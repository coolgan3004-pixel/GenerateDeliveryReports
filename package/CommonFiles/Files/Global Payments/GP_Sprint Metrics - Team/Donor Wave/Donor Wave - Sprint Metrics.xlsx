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22158" documentId="11_EF21DF46856BAED68D490EFDE3826CDCAA1F8DD4" xr6:coauthVersionLast="47" xr6:coauthVersionMax="47" xr10:uidLastSave="{3F370DB7-895C-4A86-9A60-DBFA896520C4}"/>
  <bookViews>
    <workbookView xWindow="0" yWindow="0" windowWidth="0" windowHeight="0" xr2:uid="{00000000-000D-0000-FFFF-FFFF00000000}"/>
  </bookViews>
  <sheets>
    <sheet name="Dashboard" sheetId="1" r:id="rId1"/>
    <sheet name="Unplanned Leaves" sheetId="144" r:id="rId2"/>
    <sheet name="OB-OP 8.6.0 Sprint 4-Status" sheetId="157" r:id="rId3"/>
    <sheet name="OB-OP 8.6.0 Sprint 4-Defect" sheetId="158" r:id="rId4"/>
    <sheet name="OB-OP 8.6.0 Sprint 3-Status" sheetId="155" r:id="rId5"/>
    <sheet name="OB-OP 8.6.0 Sprint 3-Defect" sheetId="156" r:id="rId6"/>
    <sheet name="OB-OP 8.6.0 Sprint 2-Status" sheetId="153" r:id="rId7"/>
    <sheet name="OB-OP 8.6.0 Sprint 2-Defect" sheetId="154" r:id="rId8"/>
    <sheet name="OB-OP 8.6.0 Sprint 1-Status" sheetId="151" r:id="rId9"/>
    <sheet name="OB-OP 8.6.0 Sprint 1-Defect" sheetId="152" r:id="rId10"/>
    <sheet name="OB-OP 8.5 Sprint 4-Status" sheetId="149" r:id="rId11"/>
    <sheet name="OB-OP 8.5 Sprint 3-Status" sheetId="147" r:id="rId12"/>
    <sheet name="OB-OP 8.5 Sprint 4-Defect" sheetId="150" r:id="rId13"/>
    <sheet name="OB-OP 8.5 Sprint 3-Defect" sheetId="148" r:id="rId14"/>
    <sheet name="OB-OP 8.5 Sprint 2-Status" sheetId="145" r:id="rId15"/>
    <sheet name="OB-OP 8.5 Sprint 2-Defect" sheetId="146" r:id="rId16"/>
    <sheet name="OB-OP 8.5 Sprint 1-Status" sheetId="142" r:id="rId17"/>
    <sheet name="OB-OP 8.5 Sprint 1-Defect" sheetId="143" r:id="rId18"/>
    <sheet name="OB-OP 8.4 Sprint 4-Status" sheetId="139" r:id="rId19"/>
    <sheet name="OB-OP 8.4 Sprint 4-Defect" sheetId="140" r:id="rId20"/>
    <sheet name="OB-OP 8.4 Sprint 2-Status" sheetId="137" r:id="rId21"/>
    <sheet name="OB-OP 8.4 Sprint 2-Defect" sheetId="138" r:id="rId22"/>
    <sheet name="OB-OP 8.4 Sprint 1-Status" sheetId="135" r:id="rId23"/>
    <sheet name="OB-OP 8.4 Sprint 1-Defect" sheetId="136" r:id="rId24"/>
    <sheet name="OB-OP 8.3 Sprint 4-Status" sheetId="133" r:id="rId25"/>
    <sheet name="OB-OP 8.3 Sprint 4-Defect" sheetId="134" r:id="rId26"/>
    <sheet name="OB-OP 8.3 Sprint 3-Status" sheetId="131" r:id="rId27"/>
    <sheet name="OB-OP 8.3 Sprint 3-Defect" sheetId="132" r:id="rId28"/>
    <sheet name="OB-OP 8.3 Sprint 2-Status" sheetId="128" r:id="rId29"/>
    <sheet name="OB-OP 8.3 Sprint 2-Defect" sheetId="129" r:id="rId30"/>
    <sheet name="OB-OP 8.3 Sprint 1-Status" sheetId="126" r:id="rId31"/>
    <sheet name="OB-OP 8.3 Sprint-1-Defect" sheetId="125" r:id="rId32"/>
    <sheet name="OB-OP 8.2 Sprint 4-Status" sheetId="121" r:id="rId33"/>
    <sheet name="OB-OP 8.2 Sprint 3-Status" sheetId="119" r:id="rId34"/>
    <sheet name="OB-OP 8.2 Sprint-4-Defect" sheetId="122" r:id="rId35"/>
    <sheet name="OB-OP 8.2 Sprint-3-Defect" sheetId="118" r:id="rId36"/>
    <sheet name="OB-OP 8.2 Sprint 2-Status" sheetId="116" r:id="rId37"/>
    <sheet name="OB-OP 8.2 Sprint-2-Defect" sheetId="115" r:id="rId38"/>
    <sheet name="OB-OP 8.2 Sprint 1-Status" sheetId="113" r:id="rId39"/>
    <sheet name="OB-OP 8.2 Sprint-1-Defect" sheetId="112" r:id="rId40"/>
    <sheet name="OB-OP 8.1 Sprint 4-Status" sheetId="110" r:id="rId41"/>
    <sheet name="OB-OP 8.1 Sprint-4-Defect" sheetId="109" r:id="rId42"/>
    <sheet name="OB-OP 8.1 Sprint 3-Status" sheetId="106" r:id="rId43"/>
    <sheet name="OB-OP 8.1 Sprint-3-Defect" sheetId="107" r:id="rId44"/>
    <sheet name="OB-OP 8.1 Sprint 2-Status" sheetId="103" r:id="rId45"/>
    <sheet name="OB-OP 8.1 Sprint-2-Defect" sheetId="104" r:id="rId46"/>
    <sheet name="OB-OP 8.1 Sprint 1-Status" sheetId="100" r:id="rId47"/>
    <sheet name="OB-OP 8.1 Sprint-1-Defect" sheetId="101" r:id="rId48"/>
    <sheet name="OB-OP 8.0 Sprint 3-Status" sheetId="94" r:id="rId49"/>
    <sheet name="OB-OP 8.0 Sprint 4-Status" sheetId="97" r:id="rId50"/>
    <sheet name="OB-OP 8.0 Sprint-4-Defect" sheetId="98" r:id="rId51"/>
    <sheet name="OB-OP 8.0 Sprint 2-Status" sheetId="91" r:id="rId52"/>
    <sheet name="OB-OP 8.0 Sprint-3-Defect" sheetId="95" r:id="rId53"/>
    <sheet name="OB-OP 8.0 Sprint-2-Defect" sheetId="92" r:id="rId54"/>
    <sheet name="OB-OP a7.14.0 Sprint 1-Status" sheetId="88" r:id="rId55"/>
    <sheet name="OB-OP a7.14.0 Sprint-1-Defect" sheetId="89" r:id="rId56"/>
    <sheet name="OB-OP 8.5.0 Sprint 4-Status" sheetId="85" r:id="rId57"/>
    <sheet name="OB-OP 8.5.0 Sprint-4-Defect" sheetId="86" r:id="rId58"/>
    <sheet name="OB-OP 8.5.0 Sprint 3-Status" sheetId="82" r:id="rId59"/>
    <sheet name="OB-OP 8.5.0 Sprint-3-Defect" sheetId="83" r:id="rId60"/>
    <sheet name="OB-OP 8.5.0 Sprint 2-Status" sheetId="79" r:id="rId61"/>
    <sheet name="OB-OP 8.5.0 Sprint-2-Defect" sheetId="80" r:id="rId62"/>
    <sheet name="OB-OP 8.5.0 Sprint 1-Status" sheetId="76" r:id="rId63"/>
    <sheet name="OB-OP 8.5.0 Sprint-1-Defect" sheetId="77" r:id="rId64"/>
    <sheet name="OB-OP 8.4.0 Sprint 4-Status" sheetId="73" r:id="rId65"/>
    <sheet name="OB-OP 8.4.0 Sprint-4-Defect" sheetId="74" r:id="rId66"/>
    <sheet name="OB-OP 8.4.0 Sprint 3-Status" sheetId="70" r:id="rId67"/>
    <sheet name="OB-OP 8.4.0 Sprint-3-Defect" sheetId="71" r:id="rId68"/>
    <sheet name="OB-OP 8.4.0 Sprint 2-Status" sheetId="66" r:id="rId69"/>
    <sheet name="OB-OP 8.4.0 Sprint-2-Defect" sheetId="65" r:id="rId70"/>
    <sheet name="OB-OP 8.4.0 Sprint 1-Status" sheetId="61" r:id="rId71"/>
    <sheet name="OB-OP 8.4.0 Sprint 1-Defect" sheetId="62" r:id="rId72"/>
    <sheet name="OB-OP 8.3.0 Sprint 4-Status" sheetId="58" r:id="rId73"/>
    <sheet name="OB-OP 8.3.0 Sprint 4-Defect" sheetId="59" r:id="rId74"/>
    <sheet name="OB-OP 8.3.0 Sprint 3-Status" sheetId="55" r:id="rId75"/>
    <sheet name="OB-OP 8.3.0 Sprint 3-Defect" sheetId="56" r:id="rId76"/>
    <sheet name="OBOP 8.3.0 Sprint 2-Status" sheetId="52" r:id="rId77"/>
    <sheet name="OBOP 8.3.0 Sprint 2-Defect" sheetId="51" r:id="rId78"/>
    <sheet name="8.3.0 Sprint 1 - CRC" sheetId="48" r:id="rId79"/>
    <sheet name="8.3.0 Sprint 1 - Defect" sheetId="49" r:id="rId80"/>
    <sheet name="8.2.0 Sprint 4 - CRC" sheetId="46" r:id="rId81"/>
    <sheet name="8.2.0 Sprint 4 - Defect" sheetId="47" r:id="rId82"/>
    <sheet name="8.2.0 Sprint 3 - CRC" sheetId="44" r:id="rId83"/>
    <sheet name="8.2.0 Sprint 3 - Defect" sheetId="45" r:id="rId84"/>
    <sheet name="8.2.0 Sprint 2 - CRC" sheetId="42" r:id="rId85"/>
    <sheet name="8.2.0 Sprint 2 - Defect" sheetId="43" r:id="rId86"/>
    <sheet name="8.2.0 Sprint 1 - CRC" sheetId="41" r:id="rId87"/>
    <sheet name="8.2.0 Sprint 1 - Defect" sheetId="40" r:id="rId88"/>
    <sheet name="7.12.0 Sprint 4 - Defect" sheetId="38" r:id="rId89"/>
    <sheet name="7.12.0 Sprint 3 - CRC " sheetId="35" r:id="rId90"/>
    <sheet name="7.12.0 Sprint 4 - CRC" sheetId="37" r:id="rId91"/>
    <sheet name="7.14.0 Sprint 3 - Defect" sheetId="36" r:id="rId92"/>
    <sheet name="7.14.0 Sprint 2 - CRC " sheetId="33" r:id="rId93"/>
    <sheet name="7.14.0 Sprint 2 - Defect" sheetId="34" r:id="rId94"/>
    <sheet name="7.14.0 Sprint 1 - CRC" sheetId="31" r:id="rId95"/>
    <sheet name="7.13.1 Sprint 4 - CRC " sheetId="29" r:id="rId96"/>
    <sheet name="7.13.1 Sprint 4 - Defect" sheetId="30" r:id="rId97"/>
    <sheet name="7.14.0 Sprint 1 - Defect" sheetId="32" r:id="rId98"/>
    <sheet name="7.13.1 Sprint 3 - CRC" sheetId="27" r:id="rId99"/>
    <sheet name="7.13.1 Sprint 3 - Defect " sheetId="28" r:id="rId100"/>
    <sheet name="7.13.1 Sprint 2 - CRC  " sheetId="25" r:id="rId101"/>
    <sheet name="7.13.1 Sprint 2 - Defect" sheetId="26" r:id="rId102"/>
    <sheet name="7.13.1 Sprint 1 - CRC  " sheetId="23" r:id="rId103"/>
    <sheet name="7.13.1 Sprint 1 - Defect " sheetId="24" r:id="rId104"/>
    <sheet name="7.12.0 Sprint 4 - Defect " sheetId="22" r:id="rId105"/>
    <sheet name="7.12.0 Sprint 4 - CRC " sheetId="21" r:id="rId106"/>
    <sheet name="7.12.0 Sprint 3 - CRC" sheetId="18" r:id="rId107"/>
    <sheet name="Sheet1" sheetId="54" r:id="rId108"/>
    <sheet name="7.12.0 Sprint 3 - Defect" sheetId="19" r:id="rId109"/>
    <sheet name="7.12.0 Sprint 2 - CRC" sheetId="16" r:id="rId110"/>
    <sheet name="7.12.0 Sprint 2 - Defect" sheetId="17" r:id="rId111"/>
    <sheet name="7.12.0 Sprint 1 - CRC" sheetId="14" r:id="rId112"/>
    <sheet name="7.12.0 Sprint 1 - Defect" sheetId="15" r:id="rId113"/>
    <sheet name="7.11.0 Sprint 4 - CRC " sheetId="10" r:id="rId114"/>
    <sheet name="7.11.0 Sprint 3 - CRC" sheetId="7" r:id="rId115"/>
    <sheet name="7.11.0 Sprint 4 - Defect" sheetId="13" r:id="rId116"/>
    <sheet name="Checklist" sheetId="4" state="hidden" r:id="rId117"/>
    <sheet name="Details" sheetId="5" state="hidden" r:id="rId118"/>
    <sheet name="7.11.0 Sprint 1&amp;2 - CRC" sheetId="6" r:id="rId119"/>
    <sheet name="7.11.0 Sprint 3 - Defect" sheetId="9" r:id="rId120"/>
    <sheet name="7.11.0 Sprint 1&amp;2 - Defect" sheetId="8" r:id="rId121"/>
    <sheet name="7.10.0 Sprint 4 - CRC" sheetId="2" r:id="rId122"/>
    <sheet name="7.10.0 Sprint 4 - Defect" sheetId="3" r:id="rId123"/>
    <sheet name="Settings" sheetId="68" r:id="rId124"/>
    <sheet name="ExportData" sheetId="141" r:id="rId125"/>
  </sheets>
  <definedNames>
    <definedName name="_xlnm._FilterDatabase" localSheetId="84" hidden="1">'8.2.0 Sprint 2 - CRC'!$A$2:$X$7</definedName>
    <definedName name="_xlnm._FilterDatabase" localSheetId="82" hidden="1">'8.2.0 Sprint 3 - CRC'!$A$2:$X$8</definedName>
    <definedName name="_xlnm._FilterDatabase" localSheetId="80" hidden="1">'8.2.0 Sprint 4 - CRC'!$A$2:$X$8</definedName>
    <definedName name="_xlnm._FilterDatabase" localSheetId="78" hidden="1">'8.3.0 Sprint 1 - CRC'!$A$2:$X$8</definedName>
    <definedName name="_xlnm._FilterDatabase" localSheetId="51" hidden="1">'OBOP 8.3.0 Sprint 2-Status'!$A$1:$X$7</definedName>
    <definedName name="_xlnm._FilterDatabase" localSheetId="48" hidden="1">'OBOP 8.3.0 Sprint 2-Status'!$A$1:$X$7</definedName>
    <definedName name="_xlnm._FilterDatabase" localSheetId="49" hidden="1">'OBOP 8.3.0 Sprint 2-Status'!$A$1:$X$7</definedName>
    <definedName name="_xlnm._FilterDatabase" localSheetId="53" hidden="1">'OB-OP 8.0 Sprint-2-Defect'!$A$1:$M$1</definedName>
    <definedName name="_xlnm._FilterDatabase" localSheetId="52" hidden="1">'OB-OP 8.0 Sprint-3-Defect'!$A$1:$M$1</definedName>
    <definedName name="_xlnm._FilterDatabase" localSheetId="50" hidden="1">'OB-OP 8.0 Sprint-4-Defect'!$A$1:$M$1</definedName>
    <definedName name="_xlnm._FilterDatabase" localSheetId="46" hidden="1">'OBOP 8.3.0 Sprint 2-Status'!$A$1:$X$7</definedName>
    <definedName name="_xlnm._FilterDatabase" localSheetId="44" hidden="1">'OBOP 8.3.0 Sprint 2-Status'!$A$1:$X$7</definedName>
    <definedName name="_xlnm._FilterDatabase" localSheetId="42" hidden="1">'OBOP 8.3.0 Sprint 2-Status'!$A$1:$X$7</definedName>
    <definedName name="_xlnm._FilterDatabase" localSheetId="40" hidden="1">'OBOP 8.3.0 Sprint 2-Status'!$A$1:$X$7</definedName>
    <definedName name="_xlnm._FilterDatabase" localSheetId="47" hidden="1">'OB-OP 8.1 Sprint-1-Defect'!$A$1:$M$1</definedName>
    <definedName name="_xlnm._FilterDatabase" localSheetId="45" hidden="1">'OB-OP 8.1 Sprint-2-Defect'!$A$1:$M$1</definedName>
    <definedName name="_xlnm._FilterDatabase" localSheetId="43" hidden="1">'OB-OP 8.1 Sprint-3-Defect'!$A$1:$M$1</definedName>
    <definedName name="_xlnm._FilterDatabase" localSheetId="41" hidden="1">'OB-OP 8.1 Sprint-4-Defect'!$A$1:$M$1</definedName>
    <definedName name="_xlnm._FilterDatabase" localSheetId="38" hidden="1">'OBOP 8.3.0 Sprint 2-Status'!$A$1:$X$7</definedName>
    <definedName name="_xlnm._FilterDatabase" localSheetId="36" hidden="1">'OBOP 8.3.0 Sprint 2-Status'!$A$1:$X$7</definedName>
    <definedName name="_xlnm._FilterDatabase" localSheetId="33" hidden="1">'OBOP 8.3.0 Sprint 2-Status'!$A$1:$X$7</definedName>
    <definedName name="_xlnm._FilterDatabase" localSheetId="32" hidden="1">'OBOP 8.3.0 Sprint 2-Status'!$A$1:$X$7</definedName>
    <definedName name="_xlnm._FilterDatabase" localSheetId="39" hidden="1">'OB-OP 8.2 Sprint-1-Defect'!$A$1:$M$1</definedName>
    <definedName name="_xlnm._FilterDatabase" localSheetId="37" hidden="1">'OB-OP 8.2 Sprint-2-Defect'!$A$1:$M$1</definedName>
    <definedName name="_xlnm._FilterDatabase" localSheetId="35" hidden="1">'OB-OP 8.2 Sprint-3-Defect'!$A$1:$M$1</definedName>
    <definedName name="_xlnm._FilterDatabase" localSheetId="34" hidden="1">'OB-OP 8.2 Sprint-4-Defect'!$A$1:$M$1</definedName>
    <definedName name="_xlnm._FilterDatabase" localSheetId="30" hidden="1">'OBOP 8.3.0 Sprint 2-Status'!$A$1:$X$7</definedName>
    <definedName name="_xlnm._FilterDatabase" localSheetId="29" hidden="1">'OB-OP 8.3 Sprint 2-Defect'!$A$1:$M$1</definedName>
    <definedName name="_xlnm._FilterDatabase" localSheetId="28" hidden="1">'OBOP 8.3.0 Sprint 2-Status'!$A$1:$X$7</definedName>
    <definedName name="_xlnm._FilterDatabase" localSheetId="27" hidden="1">'OB-OP 8.3 Sprint 3-Defect'!$A$1:$M$1</definedName>
    <definedName name="_xlnm._FilterDatabase" localSheetId="26" hidden="1">'OBOP 8.3.0 Sprint 2-Status'!$A$1:$X$7</definedName>
    <definedName name="_xlnm._FilterDatabase" localSheetId="25" hidden="1">'OB-OP 8.3 Sprint 4-Defect'!$A$1:$M$1</definedName>
    <definedName name="_xlnm._FilterDatabase" localSheetId="24" hidden="1">'OBOP 8.3.0 Sprint 2-Status'!$A$1:$X$7</definedName>
    <definedName name="_xlnm._FilterDatabase" localSheetId="31" hidden="1">'OB-OP 8.3 Sprint-1-Defect'!$A$1:$M$1</definedName>
    <definedName name="_xlnm._FilterDatabase" localSheetId="76" hidden="1">'OBOP 8.3.0 Sprint 2-Status'!$A$1:$X$7</definedName>
    <definedName name="_xlnm._FilterDatabase" localSheetId="74" hidden="1">'OBOP 8.3.0 Sprint 2-Status'!$A$1:$X$7</definedName>
    <definedName name="_xlnm._FilterDatabase" localSheetId="72" hidden="1">'OBOP 8.3.0 Sprint 2-Status'!$A$1:$X$7</definedName>
    <definedName name="_xlnm._FilterDatabase" localSheetId="23" hidden="1">'OB-OP 8.4 Sprint 1-Defect'!$A$1:$M$1</definedName>
    <definedName name="_xlnm._FilterDatabase" localSheetId="22" hidden="1">'OBOP 8.3.0 Sprint 2-Status'!$A$1:$X$7</definedName>
    <definedName name="_xlnm._FilterDatabase" localSheetId="21" hidden="1">'OB-OP 8.4 Sprint 2-Defect'!$A$1:$M$1</definedName>
    <definedName name="_xlnm._FilterDatabase" localSheetId="20" hidden="1">'OBOP 8.3.0 Sprint 2-Status'!$A$1:$X$7</definedName>
    <definedName name="_xlnm._FilterDatabase" localSheetId="19" hidden="1">'OB-OP 8.4 Sprint 4-Defect'!$A$1:$M$1</definedName>
    <definedName name="_xlnm._FilterDatabase" localSheetId="18" hidden="1">'OBOP 8.3.0 Sprint 2-Status'!$A$1:$X$7</definedName>
    <definedName name="_xlnm._FilterDatabase" localSheetId="70" hidden="1">'OBOP 8.3.0 Sprint 2-Status'!$A$1:$X$7</definedName>
    <definedName name="_xlnm._FilterDatabase" localSheetId="68" hidden="1">'OBOP 8.3.0 Sprint 2-Status'!$A$1:$X$7</definedName>
    <definedName name="_xlnm._FilterDatabase" localSheetId="66" hidden="1">'OBOP 8.3.0 Sprint 2-Status'!$A$1:$X$7</definedName>
    <definedName name="_xlnm._FilterDatabase" localSheetId="64" hidden="1">'OBOP 8.3.0 Sprint 2-Status'!$A$1:$X$7</definedName>
    <definedName name="_xlnm._FilterDatabase" localSheetId="17" hidden="1">'OB-OP 8.5 Sprint 1-Defect'!$A$1:$M$1</definedName>
    <definedName name="_xlnm._FilterDatabase" localSheetId="16" hidden="1">'OBOP 8.3.0 Sprint 2-Status'!$A$1:$X$7</definedName>
    <definedName name="_xlnm._FilterDatabase" localSheetId="15" hidden="1">'OB-OP 8.5 Sprint 2-Defect'!$A$1:$M$1</definedName>
    <definedName name="_xlnm._FilterDatabase" localSheetId="14" hidden="1">'OBOP 8.3.0 Sprint 2-Status'!$A$1:$X$7</definedName>
    <definedName name="_xlnm._FilterDatabase" localSheetId="13" hidden="1">'OB-OP 8.5 Sprint 3-Defect'!$A$1:$M$1</definedName>
    <definedName name="_xlnm._FilterDatabase" localSheetId="11" hidden="1">'OBOP 8.3.0 Sprint 2-Status'!$A$1:$X$7</definedName>
    <definedName name="_xlnm._FilterDatabase" localSheetId="12" hidden="1">'OB-OP 8.5 Sprint 4-Defect'!$A$1:$M$1</definedName>
    <definedName name="_xlnm._FilterDatabase" localSheetId="10" hidden="1">'OBOP 8.3.0 Sprint 2-Status'!$A$1:$X$7</definedName>
    <definedName name="_xlnm._FilterDatabase" localSheetId="62" hidden="1">'OBOP 8.3.0 Sprint 2-Status'!$A$1:$X$7</definedName>
    <definedName name="_xlnm._FilterDatabase" localSheetId="60" hidden="1">'OBOP 8.3.0 Sprint 2-Status'!$A$1:$X$7</definedName>
    <definedName name="_xlnm._FilterDatabase" localSheetId="58" hidden="1">'OBOP 8.3.0 Sprint 2-Status'!$A$1:$X$7</definedName>
    <definedName name="_xlnm._FilterDatabase" localSheetId="56" hidden="1">'OBOP 8.3.0 Sprint 2-Status'!$A$1:$X$7</definedName>
    <definedName name="_xlnm._FilterDatabase" localSheetId="57" hidden="1">'OB-OP 8.5.0 Sprint-4-Defect'!$A$1:$M$1</definedName>
    <definedName name="_xlnm._FilterDatabase" localSheetId="9" hidden="1">'OB-OP 8.6.0 Sprint 1-Defect'!$A$1:$M$1</definedName>
    <definedName name="_xlnm._FilterDatabase" localSheetId="8" hidden="1">'OBOP 8.3.0 Sprint 2-Status'!$A$1:$X$7</definedName>
    <definedName name="_xlnm._FilterDatabase" localSheetId="7" hidden="1">'OB-OP 8.6.0 Sprint 2-Defect'!$A$1:$M$1</definedName>
    <definedName name="_xlnm._FilterDatabase" localSheetId="6" hidden="1">'OBOP 8.3.0 Sprint 2-Status'!$A$1:$X$7</definedName>
    <definedName name="_xlnm._FilterDatabase" localSheetId="5" hidden="1">'OB-OP 8.6.0 Sprint 3-Defect'!$A$1:$M$1</definedName>
    <definedName name="_xlnm._FilterDatabase" localSheetId="3" hidden="1">'OB-OP 8.6.0 Sprint 4-Defect'!$A$1:$M$1</definedName>
    <definedName name="_xlnm._FilterDatabase" localSheetId="4" hidden="1">'OBOP 8.3.0 Sprint 2-Status'!$A$1:$X$7</definedName>
    <definedName name="_xlnm._FilterDatabase" localSheetId="2" hidden="1">'OBOP 8.3.0 Sprint 2-Status'!$A$1:$X$7</definedName>
    <definedName name="_xlnm._FilterDatabase" localSheetId="54" hidden="1">'OBOP 8.3.0 Sprint 2-Status'!$A$1:$X$7</definedName>
    <definedName name="_xlnm._FilterDatabase" localSheetId="55" hidden="1">'OB-OP a7.14.0 Sprint-1-Defect'!$A$1:$M$1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6" roundtripDataChecksum="ETdnUb+ln6pgIGScdlVz2rQX8r0e5+dTIegVMHNyZps="/>
    </ext>
  </extLst>
</workbook>
</file>

<file path=xl/calcChain.xml><?xml version="1.0" encoding="utf-8"?>
<calcChain xmlns="http://schemas.openxmlformats.org/spreadsheetml/2006/main">
  <c r="N5" i="135" l="1"/>
  <c r="N6" i="135"/>
  <c r="N2" i="135"/>
  <c r="N7" i="135"/>
  <c r="B2" i="79"/>
  <c r="B3" i="79"/>
  <c r="B4" i="79"/>
  <c r="B5" i="79"/>
  <c r="B6" i="79"/>
  <c r="B7" i="79"/>
  <c r="B8" i="79"/>
  <c r="B9" i="79"/>
  <c r="B6" i="76"/>
  <c r="B5" i="76"/>
  <c r="B4" i="76"/>
  <c r="B3" i="76"/>
  <c r="B2" i="76"/>
  <c r="B9" i="73"/>
  <c r="B8" i="73"/>
  <c r="B7" i="73"/>
  <c r="B6" i="73"/>
  <c r="B6" i="70"/>
  <c r="B5" i="73"/>
  <c r="B4" i="73"/>
  <c r="B3" i="73"/>
  <c r="B5" i="70"/>
  <c r="B4" i="70"/>
  <c r="B2" i="73"/>
  <c r="B3" i="70"/>
  <c r="B2" i="70"/>
  <c r="B8" i="66"/>
  <c r="B7" i="66"/>
  <c r="B6" i="66"/>
  <c r="B5" i="66"/>
  <c r="B4" i="66"/>
  <c r="B3" i="66"/>
  <c r="B2" i="66"/>
  <c r="B2" i="61"/>
  <c r="B7" i="61"/>
  <c r="B8" i="61"/>
  <c r="B6" i="61"/>
  <c r="B11" i="58"/>
  <c r="B5" i="61"/>
  <c r="B4" i="61"/>
  <c r="B2" i="58"/>
  <c r="B3" i="61"/>
  <c r="B10" i="58"/>
  <c r="B3" i="58"/>
  <c r="B4" i="58"/>
  <c r="B5" i="58"/>
  <c r="B6" i="58"/>
  <c r="B7" i="58"/>
  <c r="B8" i="58"/>
  <c r="B9" i="58"/>
  <c r="B1" i="1" a="1"/>
  <c r="B1" i="1"/>
  <c r="D1" i="1"/>
  <c r="A61" i="1" s="1"/>
  <c r="A41" i="1"/>
  <c r="A42" i="1"/>
  <c r="A39" i="1"/>
  <c r="A40" i="1"/>
  <c r="A35" i="1"/>
  <c r="A24" i="1"/>
  <c r="A22" i="1"/>
  <c r="A23" i="1"/>
  <c r="A19" i="1"/>
  <c r="A20" i="1"/>
  <c r="A21" i="1"/>
  <c r="A12" i="1"/>
  <c r="A13" i="1"/>
  <c r="A14" i="1"/>
  <c r="A15" i="1"/>
  <c r="A16" i="1"/>
  <c r="A17" i="1"/>
  <c r="A18" i="1"/>
  <c r="A3" i="1"/>
  <c r="A4" i="1"/>
  <c r="A5" i="1"/>
  <c r="A6" i="1"/>
  <c r="A7" i="1"/>
  <c r="A8" i="1"/>
  <c r="A9" i="1"/>
  <c r="A10" i="1"/>
  <c r="A11" i="1"/>
  <c r="A37" i="1"/>
  <c r="A36" i="1"/>
  <c r="A34" i="1"/>
  <c r="A32" i="1"/>
  <c r="A33" i="1"/>
  <c r="A30" i="1"/>
  <c r="A31" i="1"/>
  <c r="A28" i="1"/>
  <c r="A29" i="1"/>
  <c r="A25" i="1"/>
  <c r="A26" i="1"/>
  <c r="A27" i="1"/>
  <c r="A38" i="1"/>
  <c r="H1" i="1"/>
  <c r="F1" i="1"/>
  <c r="C5" i="79"/>
  <c r="C2" i="79"/>
  <c r="C3" i="79"/>
  <c r="C4" i="79"/>
  <c r="C6" i="79"/>
  <c r="C7" i="79"/>
  <c r="C8" i="79"/>
  <c r="C9" i="79"/>
  <c r="C6" i="76"/>
  <c r="C5" i="76"/>
  <c r="C3" i="76"/>
  <c r="C4" i="76"/>
  <c r="C2" i="76"/>
  <c r="C9" i="73"/>
  <c r="C7" i="73"/>
  <c r="C8" i="73"/>
  <c r="C6" i="70"/>
  <c r="C6" i="73"/>
  <c r="C4" i="73"/>
  <c r="C5" i="73"/>
  <c r="C5" i="70"/>
  <c r="C3" i="73"/>
  <c r="C4" i="70"/>
  <c r="C2" i="73"/>
  <c r="C3" i="70"/>
  <c r="C2" i="70"/>
  <c r="C8" i="66"/>
  <c r="C7" i="66"/>
  <c r="C5" i="66"/>
  <c r="C6" i="66"/>
  <c r="C3" i="66"/>
  <c r="C4" i="66"/>
  <c r="C2" i="66"/>
  <c r="C7" i="61"/>
  <c r="C6" i="61"/>
  <c r="C8" i="61"/>
  <c r="C11" i="58"/>
  <c r="C4" i="61"/>
  <c r="C5" i="61"/>
  <c r="C4" i="58"/>
  <c r="C3" i="58"/>
  <c r="C2" i="61"/>
  <c r="C3" i="61"/>
  <c r="C10" i="58"/>
  <c r="C2" i="58"/>
  <c r="C5" i="58"/>
  <c r="C6" i="58"/>
  <c r="C7" i="58"/>
  <c r="C8" i="58"/>
  <c r="C9" i="58"/>
  <c r="D2" i="79"/>
  <c r="D3" i="79"/>
  <c r="D4" i="79"/>
  <c r="D5" i="79"/>
  <c r="D6" i="79"/>
  <c r="D7" i="79"/>
  <c r="D8" i="79"/>
  <c r="D9" i="79"/>
  <c r="D6" i="76"/>
  <c r="D5" i="76"/>
  <c r="D3" i="76"/>
  <c r="D4" i="76"/>
  <c r="D2" i="76"/>
  <c r="D9" i="73"/>
  <c r="D7" i="73"/>
  <c r="D8" i="73"/>
  <c r="D6" i="70"/>
  <c r="D6" i="73"/>
  <c r="D4" i="73"/>
  <c r="D5" i="73"/>
  <c r="D5" i="70"/>
  <c r="D3" i="73"/>
  <c r="D4" i="70"/>
  <c r="D2" i="73"/>
  <c r="D3" i="70"/>
  <c r="D2" i="70"/>
  <c r="D8" i="66"/>
  <c r="D7" i="66"/>
  <c r="D5" i="66"/>
  <c r="D6" i="66"/>
  <c r="D3" i="66"/>
  <c r="D4" i="66"/>
  <c r="D2" i="66"/>
  <c r="D7" i="61"/>
  <c r="D6" i="61"/>
  <c r="D8" i="61"/>
  <c r="D11" i="58"/>
  <c r="D4" i="61"/>
  <c r="D5" i="61"/>
  <c r="D2" i="58"/>
  <c r="D2" i="61"/>
  <c r="D3" i="61"/>
  <c r="D9" i="58"/>
  <c r="D10" i="58"/>
  <c r="D3" i="58"/>
  <c r="D4" i="58"/>
  <c r="D5" i="58"/>
  <c r="D6" i="58"/>
  <c r="D7" i="58"/>
  <c r="D8" i="58"/>
  <c r="A59" i="1" l="1"/>
  <c r="A60" i="1"/>
  <c r="A57" i="1"/>
  <c r="A58" i="1"/>
  <c r="A55" i="1"/>
  <c r="A56" i="1"/>
  <c r="A53" i="1"/>
  <c r="A54" i="1"/>
  <c r="A52" i="1"/>
  <c r="A50" i="1"/>
  <c r="A51" i="1"/>
  <c r="A49" i="1"/>
  <c r="A47" i="1"/>
  <c r="A48" i="1"/>
  <c r="A45" i="1"/>
  <c r="A46" i="1"/>
  <c r="A43" i="1"/>
  <c r="A4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<sst xmlns="http://schemas.openxmlformats.org/spreadsheetml/2006/main" count="11252" uniqueCount="1931">
  <si>
    <t>Current Sprint</t>
  </si>
  <si>
    <t>Current Sprint Sheet</t>
  </si>
  <si>
    <t>Sprint Start Date</t>
  </si>
  <si>
    <t>Sprint End Date</t>
  </si>
  <si>
    <t>Application Name</t>
  </si>
  <si>
    <t>Donor Wave</t>
  </si>
  <si>
    <t>Users</t>
  </si>
  <si>
    <t>kannan.muthiah@relevantz.com;Ubaithullah.shahjahan@relevantz.com;irsath.kisar@relevantz.com;arivalagan.ramasamy@relevantz.com;saranya.palani@relevantz.com;murugesan.manthiramoorthy@relevantz.com</t>
  </si>
  <si>
    <t>Teams Name(GP-GGO.Donor Wave)</t>
  </si>
  <si>
    <t>19:1e26e53c861e4b028fd5faa4b55c0a68@thread.v2</t>
  </si>
  <si>
    <t>Sprint Type</t>
  </si>
  <si>
    <t>Sprint #</t>
  </si>
  <si>
    <t>Assigned</t>
  </si>
  <si>
    <t>Completed</t>
  </si>
  <si>
    <t>Story points introduced/removed</t>
  </si>
  <si>
    <t>Sprint Summary</t>
  </si>
  <si>
    <t>Accomplishments</t>
  </si>
  <si>
    <t>Remarks</t>
  </si>
  <si>
    <t>Retro Points
(Internal &amp; External)</t>
  </si>
  <si>
    <t>Data sanity
Audit Status</t>
  </si>
  <si>
    <t>AuditDate</t>
  </si>
  <si>
    <t>Planned Leaves</t>
  </si>
  <si>
    <t>Availed Leaves</t>
  </si>
  <si>
    <t>Backlog Health</t>
  </si>
  <si>
    <t>OBOP 7.10.0 Sprint 4</t>
  </si>
  <si>
    <t>5/0</t>
  </si>
  <si>
    <t>Offshore team faced some challenges while implementing the Rich textbox.</t>
  </si>
  <si>
    <t>Internal:
External:</t>
  </si>
  <si>
    <t>OBOP 7.11.0 Sprint 1,2</t>
  </si>
  <si>
    <t>0/0</t>
  </si>
  <si>
    <t>Offshore team got appreciations for more than expected story points completed. Prabhu and Rajesh for helping with the hotfix as well.</t>
  </si>
  <si>
    <t>OBOP 7.11.0 Sprint 3</t>
  </si>
  <si>
    <t>Overall good sprint, Prabhu and offshore team got appreciated for DNN libraries documentation.</t>
  </si>
  <si>
    <t>OBOP 7.11.0 Sprint 4</t>
  </si>
  <si>
    <t>Offshore team got appreciations for investigating the AHA templates-DNN7(OP) and group filter story(OB).</t>
  </si>
  <si>
    <t>OBOP 7.12.0 Sprint 1</t>
  </si>
  <si>
    <t>2/0</t>
  </si>
  <si>
    <t>Appreciated for completing all the work with good production release.</t>
  </si>
  <si>
    <t>OBOP 7.12.0 Sprint 2</t>
  </si>
  <si>
    <t>2 DNN-7 story getting carried. Prabhu and Offshore team got appreciated for doing  great job in learning and updating AHA templates.</t>
  </si>
  <si>
    <t>OBOP 7.12.0 Sprint 3</t>
  </si>
  <si>
    <t>Client appreciated for completing Recaptcha DNN9 conversion.
Addition to this development completed for one stretch story.</t>
  </si>
  <si>
    <t>OBOP 7.12.0 Sprint 4</t>
  </si>
  <si>
    <t>6/0</t>
  </si>
  <si>
    <t>Overall good sprint, Team completed more than expected story points.</t>
  </si>
  <si>
    <t>OBOP 7.13.1 Sprint 1</t>
  </si>
  <si>
    <t>Prabhu got appriciated for getting all AHA fixes completed and Mercy got appriciated for finding lot of issues.</t>
  </si>
  <si>
    <t>OBOP 7.13.1 Sprint 2</t>
  </si>
  <si>
    <t>8/0</t>
  </si>
  <si>
    <t>Completed most of assigned stories/defects</t>
  </si>
  <si>
    <t>OBOP 7.13.1 Sprint 3</t>
  </si>
  <si>
    <t>Appreciated for completing all the work</t>
  </si>
  <si>
    <t>OBOP 7.13.1 Sprint 4</t>
  </si>
  <si>
    <t>1/0</t>
  </si>
  <si>
    <t>Appreciated dev team for Investigation stories and Mercy for finding defect.</t>
  </si>
  <si>
    <t>OBOP 7.14.0 Sprint 1</t>
  </si>
  <si>
    <t>3/0</t>
  </si>
  <si>
    <t>Appreciated Mercy for good testing</t>
  </si>
  <si>
    <t>OBOP 7.14.0 Sprint 2</t>
  </si>
  <si>
    <t>Completing another sprint successfully, Appriciated Prabhu and offshore for completing the work on messaging</t>
  </si>
  <si>
    <t>OBOP 7.14.0 Sprint 3</t>
  </si>
  <si>
    <t>Couldn't complete testing because of release pipeline certificate issue.</t>
  </si>
  <si>
    <t>OBOP 7.14.0 Sprint 4</t>
  </si>
  <si>
    <t xml:space="preserve">Appreciated Prabhu for helping in testing. </t>
  </si>
  <si>
    <t>OBOP 8.2.0 Sprint 1</t>
  </si>
  <si>
    <t>Appreciated Prabhu for providing KT to quick invoice team</t>
  </si>
  <si>
    <t>OBOP 8.2.0 Sprint 2</t>
  </si>
  <si>
    <t xml:space="preserve">                                                            </t>
  </si>
  <si>
    <t>OBOP 8.2.0 Sprint 3</t>
  </si>
  <si>
    <t>3/3</t>
  </si>
  <si>
    <t>TST was down which lead to rolling over one story
Peer CRC: 0
Onsite CRC: 2
Client CRC: 0
Internal Defects :2
External Defects:0
Appreciated 
i)Prabhu for helping Alice on providing info on some stories
ii)Mercy for helping out while Alice  was unavailable
iii) Rajesh and Prabhu for helping Joe set up GGO locally.
iv) Lot of challenges while developing the OP page module  and offshore continued working through it
v) Rajesh for helping Prabhu  and team with testing of OP stories.
vi) Rajkumar and Prabhu for good coordination for getting the entire flow end to end on Quick invoicing</t>
  </si>
  <si>
    <t>OBOP 8.2.0 Sprint 4</t>
  </si>
  <si>
    <t>1.Import quick invoice payment page designed, created in GGO and placed in between Registrations &amp; RSVPs  2. Added new convenience fee sale and made reconcile with sale payment association  3.Pending quick invoice imports count included in existing left nav notification counter</t>
  </si>
  <si>
    <t>i) Appreciated the team for completing all the quick invoice stories.
ii) Kudos to Farhath and Mercy for helping with the test planning  and testing which made it easier for Alice.
iii) Kudos to Prabhu and Rajkumar for coordinating with offshore teams and completing all the planned stories for the sprint
iv) Appreciated Offshore for finishing the planned stories and meeting the deadline
v) Rajesh and Prabhu helped Rajkumar  &amp; offshore with the OP and GGO integration.
Peer CRC: 2
Onsite CRC: 0
Client CRC: 0
Internal Defects :0
External Defects:0</t>
  </si>
  <si>
    <t>OBOP 8.3.0 Sprint 1</t>
  </si>
  <si>
    <t>1.Quick Invoice feature release into CRT 2.Added Privacy Police notice on both OB &amp; OP 3.Default application text css changes &amp; Text updates</t>
  </si>
  <si>
    <t>Nice job with the privacy policy implementation.
One story has been moved to next sprint for testing alone
Kudos to Offshore QA - has been very helpful , making sure all gaps are covered
Peer CRC: 0
Onsite CRC: 0
Client CRC: 0
Internal Defects:2
External Defects: 0</t>
  </si>
  <si>
    <t>OBOP 8.3.0 Sprint 2</t>
  </si>
  <si>
    <t>1.OP 8.2.0 release to CRT &amp; PRD 2.App help url updates 3.Invoicing feature updates - Collected from pilot user's feedback 4.Escalation support</t>
  </si>
  <si>
    <t>Kudos shared to Mercy for the support in making a lot of test plans and doing thorough testing that really helped out with all the small areas we have to verify, especially with all of the stories we added during the quick invoice effort. Rajkumar and team for the merge field completion. Rajesh for helping with the merge strategies and Prabhu was very helpful for a couple of tickets Joe had.
Peer CRC:0 
Onsite CRC:0 
Client CRC: 6
Internal Defects:2
External Defects: 0
A 3 point story was added towards the end of the Sprint as part of the strech goal and was rolled over to the next sprint</t>
  </si>
  <si>
    <t>OB-OP 8.3.0 Sprint 3</t>
  </si>
  <si>
    <t>Ten/0</t>
  </si>
  <si>
    <t>1. We had 8.2.2 OP CRT release        2. completed final set of pending invoicing tasks          3.Macroscope fixes</t>
  </si>
  <si>
    <t>Kudos to 
Rajkumar and team for taking invoicing project to finish line, 
Offshore QA - Mercy and Farhath for putting some good notes for Alice which was helpful when she got back and 
Preethi and Karthi  for managing all the dev work during the US thanksgiving holidays when everyone was away
Kalai and Rajiv are very dynamic and all the deliveries were on time
Prabhu and Rajesh for the KT and support to the invoicing team
Peer CRC:0 
Onsite CRC:2 
Client CRC: 2
Internal Defects:1
External Defects: 0
A 2 point story was added towards the end of the Sprint as part of the strech goal and was rolled over to the next sprint</t>
  </si>
  <si>
    <t>OB-OP 8.3.0 Sprint 4</t>
  </si>
  <si>
    <t>15/0</t>
  </si>
  <si>
    <t>1.OB 7.12.1 release to CRT&amp; PRD  2. OP 8.2.2 PRD Release  3.Complete Invoicing 4.Macroscope fix</t>
  </si>
  <si>
    <t>Kudos
Offshore in general and offshore QA for keeping up with things when Onsite was away for holidays +2
Mercy for keeping up with test plans when Alice was out
Raj kumar and team for a great impact on past few sprints +1                                              Peer CRC:0 
Onsite CRC:1 
Client CRC: 0
Internal Defects:0
External Defects: 0                                                                                    Some of the stories are stretch and  got carry forwarded because of client resources unavailability due to holidays</t>
  </si>
  <si>
    <t>OB-OP 8.4.0 Sprint 1</t>
  </si>
  <si>
    <t xml:space="preserve">1. Release 8.3.0 to CRT and PRD
2. Macroscope fix in OP and OB
</t>
  </si>
  <si>
    <t>Kudos to
Given the release, towards the end of the sprint we were seeing a bunch of issues in OP and OB and Mercy was very helpful in testing those
Given the product overlap  across both teams and the staggered release for both teams, it was confusing but the team did a great job overall staying on top of everything
Rajesh for helping Joe set up for the portals
To the team on a great job on the overall Invoice project and release
Peer CRC:0 
Onsite CRC:2 
Client CRC: 0
Internal Defects:0
External Defects: 0 
3 point story carry forwarded to next sprint. Part of  the performance improvement done.Restrictions on DNN9 core functionality prevents us from finding performance improvements.  But there is more room left for improvements. So Story was carry forwarded</t>
  </si>
  <si>
    <t>OB-OP 8.4.0 Sprint 2</t>
  </si>
  <si>
    <t>RSVP enhancements, continuing with Macroscope work,OP MFA login production hotfix</t>
  </si>
  <si>
    <t>Peer CRC:0 
Onsite CRC:0 
Client CRC: 0
Internal Defects:1
External Defects: 0 
2 RSVP stories got carried over to the next sprint, RSVP Multiple attendee dynamic control creation has been challenging. Completed major functionalities, local testing and dev testing is in progress and a 3 point story is dependent on that 8 point story so we couldn't proceed that without completing the main story</t>
  </si>
  <si>
    <t>OB-OP 8.4.0 Sprint 3</t>
  </si>
  <si>
    <t>Continue RSVP enhancements, Supported OP 8.3.2 Hotfix testing support for delay in OP site creation, RSVP index table update and Apigee threading exception</t>
  </si>
  <si>
    <t xml:space="preserve">Kudos to
i) Rajesh to take the big feature and manage it +1
ii) Joe,Mike , Rajesh, Derek was handling all the rapid change in the sprint goal
iii) Rajesh for handling all on both teams GGO and OB/OP
iv) Offshore dev and QA for working hard on multiple attendees and getting all the scenarios covered
Peer CRC:2 
Onsite CRC:2 
Client CRC: 0
Internal Defects:0
External Defects: 2 
3 pt bug has been carry forwarded to next sprint as we couldn't able to reproduce the bug in our environment and trying to find the root cause for it
</t>
  </si>
  <si>
    <t>OB-OP 8.4.0 Sprint 4</t>
  </si>
  <si>
    <t>6/3</t>
  </si>
  <si>
    <t>New card type added with existing ones, OP 8.3.3 and 8.4.0 release to CRT</t>
  </si>
  <si>
    <t>Kudos to
i) Everyone in the team for all the hard work this sprint
ii) Joe , Rajesh, Mike and Carlos for all of the release stuff
iii) Offshore for taking care of all the sprint stories
Peer CRC:0 
Onsite CRC:0 
Client CRC: 0
Internal Defects:1
External Defects: 3
3 pt bug has been flagged in JIRA as blocker and removed from sprint during sprint end and another 3 pt bug which is in stretch has been carry forwarded to next sprint, in which we have completed the fix for 1 report, need to check for remaining 3 reports</t>
  </si>
  <si>
    <t>OB-OP 8.5.0 Sprint 1</t>
  </si>
  <si>
    <t>Release OP 8.4 to PRD, begin investigating OB UX and QoL fixes</t>
  </si>
  <si>
    <t xml:space="preserve">Kudos
i) Prabhu and Rajesh on assisting Joe on a ticket related to convenience fee
ii) Offshore QA Mercy for the test plan put together for catalog verification, very good testing  and makes it more secure
iii) Karthi and Preethi for great documentation on the investigation stories
Peer CRC:0 
Onsite CRC:0 
Client CRC: 0
Internal Defects:0
External Defects: 2
One of the story got completed at the  last minute  because the fix wasn't working so the team had to coninue trying out different aproaches till it worked. It was sent for peer review on the last day and hence got carry forwarded to the next sprint for testing </t>
  </si>
  <si>
    <t>OB-OP 8.5.0 Sprint 2</t>
  </si>
  <si>
    <t>7/0</t>
  </si>
  <si>
    <t>Begin work on OB UX settings and layouts</t>
  </si>
  <si>
    <t>Kudos
i) We did a stretch AC on the layout  and Prabhu assisted Joe on that
ii) Prabhu for helping Alice with testing
iii) Rajesh for helping Alice on the email issue +1
iv) Offshore for completing all the planned stories and adding some stretch stories
Peer CRC:0 
Onsite CRC:0 
Client CRC: 1
Internal Defects:0
External Defects: 0 
OB UX  settings and layout implementation
 Escalation support for investigating the max bid label update
 Fixed Max Bid label
 OP negative payment fix</t>
  </si>
  <si>
    <t>OB-OP 8.5.0 Sprint 3</t>
  </si>
  <si>
    <t xml:space="preserve">Continue OB UX and high value OP items
Accompolishments:
Added new settings in Online bidding settings page
Feature flag implementation for OB - sending data from GGO to OB
</t>
  </si>
  <si>
    <r>
      <rPr>
        <sz val="10"/>
        <color rgb="FF000000"/>
        <rFont val="Arial"/>
        <scheme val="minor"/>
      </rPr>
      <t xml:space="preserve">
Peer CRC:0 
Onsite CRC:0 
Client CRC: 0
Internal Defects:1
External Defects: 2 
</t>
    </r>
    <r>
      <rPr>
        <b/>
        <sz val="10"/>
        <color rgb="FF000000"/>
        <rFont val="Arial"/>
        <scheme val="minor"/>
      </rPr>
      <t xml:space="preserve">Pending reason
</t>
    </r>
    <r>
      <rPr>
        <sz val="10"/>
        <color rgb="FF000000"/>
        <rFont val="Arial"/>
        <scheme val="minor"/>
      </rPr>
      <t>One 3-point story was carried over to the next sprint. While development, local testing, and DEV testing were completed from our side, the peer review and 
testing for OB-3731 were delayed. This was primarily due 
to the extended time required for development and testing of OB-3708 (an 8-point story). As a result, OB-3731 has been moved to the next sprint.</t>
    </r>
  </si>
  <si>
    <t>What went well?
Offshore doing testing in Dev before going to TST helps mitigate issues later in the Sprint
What didn’t go well?
The development for OB settings page was a little challenging
Kudos
1. Nice job team on OB settings page, the mockups really look good
2. Great QA team for being a sport , working last minute to test the stories +1
3. Offshore QA Mercy for finding the issues before it hit TST and helped in not sending it back to Dev later
4. Prabhu and Rajesh for their support to Alice
5. Prabhu, Offshore dev Preethi and Karthi for completing the OB settings page for spending extended hours in completing it +2</t>
  </si>
  <si>
    <t>OB-OP 8.5.0 Sprint 4</t>
  </si>
  <si>
    <r>
      <rPr>
        <sz val="10"/>
        <color rgb="FF000000"/>
        <rFont val="Arial"/>
        <scheme val="minor"/>
      </rPr>
      <t xml:space="preserve">Release and test OP 8.5 and OB 7.13 to CRT. Donor Project continuing work
</t>
    </r>
    <r>
      <rPr>
        <b/>
        <sz val="10"/>
        <color rgb="FF000000"/>
        <rFont val="Arial"/>
        <scheme val="minor"/>
      </rPr>
      <t xml:space="preserve">Accomplishment
</t>
    </r>
    <r>
      <rPr>
        <sz val="10"/>
        <color rgb="FF000000"/>
        <rFont val="Arial"/>
        <scheme val="minor"/>
      </rPr>
      <t>1. Tested OP 8.5 and OB 7.13 in CRT
2. Upgraded Angular 12 to 13, version got upgraded but facing few routing issues</t>
    </r>
  </si>
  <si>
    <r>
      <rPr>
        <sz val="10"/>
        <color rgb="FF000000"/>
        <rFont val="Arial"/>
        <scheme val="minor"/>
      </rPr>
      <t xml:space="preserve">
Peer CRC:0 
Onsite CRC:0 
Client CRC: 0
Internal Defects:0
External Defects: 0
</t>
    </r>
    <r>
      <rPr>
        <b/>
        <sz val="10"/>
        <color rgb="FF000000"/>
        <rFont val="Arial"/>
        <scheme val="minor"/>
      </rPr>
      <t xml:space="preserve">Pending reason
</t>
    </r>
    <r>
      <rPr>
        <sz val="10"/>
        <color rgb="FF000000"/>
        <rFont val="Arial"/>
        <scheme val="minor"/>
      </rPr>
      <t>1 Bug has been carry forwarded to next sprint since it is taking more time than expected. Also PM cannot remember what this report looked like working in Prod, 
so we may need to do some discovery and explanation in order to come up with a good solution</t>
    </r>
  </si>
  <si>
    <r>
      <rPr>
        <b/>
        <sz val="10"/>
        <color rgb="FF000000"/>
        <rFont val="Arial"/>
        <scheme val="minor"/>
      </rPr>
      <t xml:space="preserve">
What went well?
</t>
    </r>
    <r>
      <rPr>
        <sz val="10"/>
        <color rgb="FF000000"/>
        <rFont val="Arial"/>
        <scheme val="minor"/>
      </rPr>
      <t xml:space="preserve">1. CRT testing completed on time
2. Great progress on Angular update
3. Good initial progress on Donor project
4. Completed more  stories than planned
</t>
    </r>
    <r>
      <rPr>
        <b/>
        <sz val="10"/>
        <color rgb="FF000000"/>
        <rFont val="Arial"/>
        <scheme val="minor"/>
      </rPr>
      <t xml:space="preserve">What didn’t go well?
</t>
    </r>
    <r>
      <rPr>
        <sz val="10"/>
        <color rgb="FF000000"/>
        <rFont val="Arial"/>
        <scheme val="minor"/>
      </rPr>
      <t xml:space="preserve">1. The package dependency made the Angular update challenging
2. Fixing the section report issue has been more complex than planned
</t>
    </r>
    <r>
      <rPr>
        <b/>
        <sz val="10"/>
        <color rgb="FF000000"/>
        <rFont val="Arial"/>
        <scheme val="minor"/>
      </rPr>
      <t xml:space="preserve">Kudos
</t>
    </r>
    <r>
      <rPr>
        <sz val="10"/>
        <color rgb="FF000000"/>
        <rFont val="Arial"/>
        <scheme val="minor"/>
      </rPr>
      <t>Prabhu and Rajesh for supporting the CRT issue fix, Carlos as well
Rajesh for  leading the way on Donor Project +2
Offshore for the Angular update , that was a big jump +2</t>
    </r>
  </si>
  <si>
    <t>OB-OP a7.14.0 Sprint 1</t>
  </si>
  <si>
    <r>
      <rPr>
        <sz val="10"/>
        <color rgb="FF000000"/>
        <rFont val="Arial"/>
        <scheme val="minor"/>
      </rPr>
      <t xml:space="preserve">OB &amp; OP PRD release, continue with OB UX and Donor project
</t>
    </r>
    <r>
      <rPr>
        <b/>
        <sz val="10"/>
        <color rgb="FF000000"/>
        <rFont val="Arial"/>
        <scheme val="minor"/>
      </rPr>
      <t xml:space="preserve">Accomplishment
</t>
    </r>
    <r>
      <rPr>
        <sz val="10"/>
        <color rgb="FF000000"/>
        <rFont val="Arial"/>
        <scheme val="minor"/>
      </rPr>
      <t xml:space="preserve">
1. Passed the new settings value from GGO to OB and mapped the header values in OB side UI
2. Upgraded Angular 12 to 13, Updated node version from 14 to 16, fixing the errors</t>
    </r>
  </si>
  <si>
    <r>
      <rPr>
        <sz val="10"/>
        <color rgb="FF000000"/>
        <rFont val="Arial"/>
        <scheme val="minor"/>
      </rPr>
      <t xml:space="preserve">
Peer CRC:0 
Onsite CRC:0 
Client CRC: 3
Internal Defects:0
External Defects: 0
</t>
    </r>
    <r>
      <rPr>
        <b/>
        <sz val="10"/>
        <color rgb="FF000000"/>
        <rFont val="Arial"/>
        <scheme val="minor"/>
      </rPr>
      <t xml:space="preserve">Pending reason
</t>
    </r>
    <r>
      <rPr>
        <sz val="10"/>
        <color rgb="FF000000"/>
        <rFont val="Arial"/>
        <scheme val="minor"/>
      </rPr>
      <t>OP-2747-It has been carry forwarded to next sprint since it is taking more time than expected. Also PM cannot remember what this report looked like working in Prod, 
so we may need to do some discovery and explanation in order to come up with a good solution
OB-3680 - Story has been carry forwarded to next sprint - Dependent on OB-3755. Development and peer review is completed, Since PR was shared in the last day testing will be done in next sprint</t>
    </r>
  </si>
  <si>
    <r>
      <rPr>
        <b/>
        <sz val="10"/>
        <color rgb="FF000000"/>
        <rFont val="Arial"/>
        <scheme val="minor"/>
      </rPr>
      <t xml:space="preserve">What went well?
</t>
    </r>
    <r>
      <rPr>
        <sz val="10"/>
        <color rgb="FF000000"/>
        <rFont val="Arial"/>
        <scheme val="minor"/>
      </rPr>
      <t xml:space="preserve">The new Donor platform setup went well
On pace with OB UX
</t>
    </r>
    <r>
      <rPr>
        <b/>
        <sz val="10"/>
        <color rgb="FF000000"/>
        <rFont val="Arial"/>
        <scheme val="minor"/>
      </rPr>
      <t xml:space="preserve">What didn’t go well?
</t>
    </r>
    <r>
      <rPr>
        <sz val="10"/>
        <color rgb="FF000000"/>
        <rFont val="Arial"/>
        <scheme val="minor"/>
      </rPr>
      <t xml:space="preserve">Last minute unplanned PTO for team member led to delay in closing a few tickets
New OB page and design turned out to be a little challenging
</t>
    </r>
    <r>
      <rPr>
        <b/>
        <sz val="10"/>
        <color rgb="FF000000"/>
        <rFont val="Arial"/>
        <scheme val="minor"/>
      </rPr>
      <t xml:space="preserve">Kudos
</t>
    </r>
    <r>
      <rPr>
        <sz val="10"/>
        <color rgb="FF000000"/>
        <rFont val="Arial"/>
        <scheme val="minor"/>
      </rPr>
      <t>Preethi for updating the node and Angular version as it requires a lot of tracking and patience. Thanks for doing it</t>
    </r>
  </si>
  <si>
    <t>OB-OP 8.0 Sprint 2</t>
  </si>
  <si>
    <r>
      <rPr>
        <sz val="10"/>
        <color rgb="FF000000"/>
        <rFont val="Arial"/>
        <scheme val="minor"/>
      </rPr>
      <t xml:space="preserve">OB &amp; OP PRD release, continue with OB UX and Donor project
</t>
    </r>
    <r>
      <rPr>
        <b/>
        <sz val="10"/>
        <color rgb="FF000000"/>
        <rFont val="Arial"/>
        <scheme val="minor"/>
      </rPr>
      <t xml:space="preserve">Accomplishment
</t>
    </r>
    <r>
      <rPr>
        <sz val="10"/>
        <color rgb="FF000000"/>
        <rFont val="Arial"/>
        <scheme val="minor"/>
      </rPr>
      <t xml:space="preserve">
1. The team completed all they planned for and more (initially firebase was spike later converted to story)
2. Fixed the warnings while compiling angular 13, ended up with 1 console error while running application</t>
    </r>
  </si>
  <si>
    <r>
      <rPr>
        <sz val="10"/>
        <color rgb="FF000000"/>
        <rFont val="Arial"/>
        <scheme val="minor"/>
      </rPr>
      <t xml:space="preserve">
Peer CRC:0 
Onsite CRC:1 
Client CRC: 0
Internal Defects:1
External Defects: 0
</t>
    </r>
    <r>
      <rPr>
        <b/>
        <sz val="10"/>
        <color rgb="FF000000"/>
        <rFont val="Arial"/>
        <scheme val="minor"/>
      </rPr>
      <t>Escaped defect RCA</t>
    </r>
    <r>
      <rPr>
        <sz val="10"/>
        <color rgb="FF000000"/>
        <rFont val="Arial"/>
        <scheme val="minor"/>
      </rPr>
      <t xml:space="preserve"> - Should do proper code review and local testing,DEV testing covering all scenarios
</t>
    </r>
    <r>
      <rPr>
        <b/>
        <sz val="10"/>
        <color rgb="FF000000"/>
        <rFont val="Arial"/>
        <scheme val="minor"/>
      </rPr>
      <t xml:space="preserve">Review Comment - </t>
    </r>
    <r>
      <rPr>
        <sz val="10"/>
        <color rgb="FF000000"/>
        <rFont val="Arial"/>
        <scheme val="minor"/>
      </rPr>
      <t>Add try catch block here when you connecting with DB to make operations</t>
    </r>
  </si>
  <si>
    <r>
      <rPr>
        <b/>
        <sz val="10"/>
        <color rgb="FF000000"/>
        <rFont val="Arial"/>
        <scheme val="minor"/>
      </rPr>
      <t xml:space="preserve">What went well?
</t>
    </r>
    <r>
      <rPr>
        <sz val="10"/>
        <color rgb="FF000000"/>
        <rFont val="Arial"/>
        <scheme val="minor"/>
      </rPr>
      <t xml:space="preserve">The team completed all they planned for and more
PRD releases were long  and it went well
</t>
    </r>
    <r>
      <rPr>
        <b/>
        <sz val="10"/>
        <color rgb="FF000000"/>
        <rFont val="Arial"/>
        <scheme val="minor"/>
      </rPr>
      <t xml:space="preserve">What didn’t go well?
</t>
    </r>
    <r>
      <rPr>
        <sz val="10"/>
        <color rgb="FF000000"/>
        <rFont val="Arial"/>
        <scheme val="minor"/>
      </rPr>
      <t xml:space="preserve">Firebase notification was a little tricky to configure
Handling Aesgcn decryption for existing URLs  cost a little extra time to complete
Docker desktop is not authorized so it forced the team to find a different way to communicate with the database
</t>
    </r>
    <r>
      <rPr>
        <b/>
        <sz val="10"/>
        <color rgb="FF000000"/>
        <rFont val="Arial"/>
        <scheme val="minor"/>
      </rPr>
      <t xml:space="preserve">Kudos
</t>
    </r>
    <r>
      <rPr>
        <sz val="10"/>
        <color rgb="FF000000"/>
        <rFont val="Arial"/>
        <scheme val="minor"/>
      </rPr>
      <t>Offshore and Dev Prabhu for completing the investigation and implementation of Firebase notification +2</t>
    </r>
  </si>
  <si>
    <t>OB-OP 8.0 Sprint 3</t>
  </si>
  <si>
    <r>
      <rPr>
        <sz val="10"/>
        <color rgb="FF000000"/>
        <rFont val="Arial"/>
        <scheme val="minor"/>
      </rPr>
      <t xml:space="preserve">Continue OB UX work, setup for donor platform
</t>
    </r>
    <r>
      <rPr>
        <b/>
        <sz val="10"/>
        <color rgb="FF000000"/>
        <rFont val="Arial"/>
        <scheme val="minor"/>
      </rPr>
      <t xml:space="preserve">Accomplishment
</t>
    </r>
    <r>
      <rPr>
        <sz val="10"/>
        <color rgb="FF000000"/>
        <rFont val="Arial"/>
        <scheme val="minor"/>
      </rPr>
      <t>1. Updated Node js to version 16 and then to 18, trying to fix the errors
2. Firebase notification is coming correctly to the bidders who are outbidden
3. New team members setup is completed and started the design story</t>
    </r>
  </si>
  <si>
    <r>
      <rPr>
        <sz val="10"/>
        <color rgb="FF000000"/>
        <rFont val="Arial"/>
        <scheme val="minor"/>
      </rPr>
      <t xml:space="preserve">
Peer CRC:0 
Onsite CRC:0
Client CRC: 2
Internal Defects:0
External Defects: 0
</t>
    </r>
    <r>
      <rPr>
        <b/>
        <sz val="10"/>
        <color rgb="FF000000"/>
        <rFont val="Arial"/>
        <scheme val="minor"/>
      </rPr>
      <t>Review comment - 1.</t>
    </r>
    <r>
      <rPr>
        <sz val="10"/>
        <color rgb="FF000000"/>
        <rFont val="Arial"/>
        <scheme val="minor"/>
      </rPr>
      <t xml:space="preserve"> Macroscope will ding us for putting apikeys or secrets in the repo. We need to add these as variables, even for local testing the same way we do for the SMS test keys
2. Let's add a general exception catch as well.
</t>
    </r>
    <r>
      <rPr>
        <b/>
        <sz val="10"/>
        <color rgb="FF000000"/>
        <rFont val="Arial"/>
        <scheme val="minor"/>
      </rPr>
      <t xml:space="preserve">Pending reason
</t>
    </r>
    <r>
      <rPr>
        <sz val="10"/>
        <color rgb="FF000000"/>
        <rFont val="Arial"/>
        <scheme val="minor"/>
      </rPr>
      <t>1. OB-3675 -During the sprint, a few high-priority security issues were introduced that required quick attention. Addressing them took some time away from our originally planned work.
Development work has been completed successfully, and dev environment testing was verified by the Relevantz offshore QA team. However, during deployment to the TST environment, we encountered issues related to pipeline variables. As a result, only testing is pending for this story.
2. DON-20 - Stretch story - Development completed, local testing is in progress, Once done will raise the PR in next sprint</t>
    </r>
  </si>
  <si>
    <r>
      <rPr>
        <b/>
        <sz val="10"/>
        <color rgb="FF000000"/>
        <rFont val="Arial"/>
        <scheme val="minor"/>
      </rPr>
      <t xml:space="preserve">What went well?
</t>
    </r>
    <r>
      <rPr>
        <sz val="10"/>
        <color rgb="FF000000"/>
        <rFont val="Arial"/>
        <scheme val="minor"/>
      </rPr>
      <t xml:space="preserve">Onboarding went well
</t>
    </r>
    <r>
      <rPr>
        <b/>
        <sz val="10"/>
        <color rgb="FF000000"/>
        <rFont val="Arial"/>
        <scheme val="minor"/>
      </rPr>
      <t xml:space="preserve">What didn’t go well?
</t>
    </r>
    <r>
      <rPr>
        <sz val="10"/>
        <color rgb="FF000000"/>
        <rFont val="Arial"/>
        <scheme val="minor"/>
      </rPr>
      <t xml:space="preserve">2 Security issues took about a week of 2 of the team members time
New developers onboarding
For multiple bidders, Firebase notification is not getting sent randomly
Angular upgrade has been challenging
Escalation support for OP Login issue
</t>
    </r>
    <r>
      <rPr>
        <b/>
        <sz val="10"/>
        <color rgb="FF000000"/>
        <rFont val="Arial"/>
        <scheme val="minor"/>
      </rPr>
      <t xml:space="preserve">Kudos
</t>
    </r>
    <r>
      <rPr>
        <sz val="10"/>
        <color rgb="FF000000"/>
        <rFont val="Arial"/>
        <scheme val="minor"/>
      </rPr>
      <t xml:space="preserve">Prabhu nice job get everybody onboarded +3
</t>
    </r>
    <r>
      <rPr>
        <b/>
        <sz val="10"/>
        <color rgb="FF000000"/>
        <rFont val="Arial"/>
        <scheme val="minor"/>
      </rPr>
      <t xml:space="preserve">Takeaways
</t>
    </r>
    <r>
      <rPr>
        <sz val="10"/>
        <color rgb="FF000000"/>
        <rFont val="Arial"/>
        <scheme val="minor"/>
      </rPr>
      <t>6/5/2025
Angular Update timebox effort should be significantly lowered - 10 hrs a Sprint
Escalation Support should be filtered by Derek Anderson and Mike Horihan so that team can focus on OB UX overhaul and Donor project</t>
    </r>
  </si>
  <si>
    <t>OB-OP 8.0 Sprint 4</t>
  </si>
  <si>
    <r>
      <rPr>
        <sz val="10"/>
        <color rgb="FF000000"/>
        <rFont val="Arial"/>
        <scheme val="minor"/>
      </rPr>
      <t xml:space="preserve">CRT Release and testing for OB and OP, continue with OB UX and Donor project
</t>
    </r>
    <r>
      <rPr>
        <b/>
        <sz val="10"/>
        <color rgb="FF000000"/>
        <rFont val="Arial"/>
        <scheme val="minor"/>
      </rPr>
      <t xml:space="preserve">Accomplishment
</t>
    </r>
    <r>
      <rPr>
        <sz val="10"/>
        <color rgb="FF000000"/>
        <rFont val="Arial"/>
        <scheme val="minor"/>
      </rPr>
      <t>Completed the design for login and registration page</t>
    </r>
  </si>
  <si>
    <r>
      <rPr>
        <sz val="10"/>
        <color rgb="FF000000"/>
        <rFont val="Arial"/>
        <scheme val="minor"/>
      </rPr>
      <t xml:space="preserve">
Peer CRC:0 
Onsite CRC:0
Client CRC: 0
Internal Defects:0
External Defects: 0
</t>
    </r>
    <r>
      <rPr>
        <b/>
        <sz val="10"/>
        <color rgb="FF000000"/>
        <rFont val="Arial"/>
        <scheme val="minor"/>
      </rPr>
      <t xml:space="preserve">Pending reason
</t>
    </r>
    <r>
      <rPr>
        <sz val="10"/>
        <color rgb="FF000000"/>
        <rFont val="Arial"/>
        <scheme val="minor"/>
      </rPr>
      <t xml:space="preserve">
1. DON-20, DON-21 - Local testing completed from offshore QA end and updated the comments in JIRA but since onsite QA was occupied with CRT testing, couldn't give signoff to this ticket. Gave the PR for DON-21 on tuesday (17/06)</t>
    </r>
  </si>
  <si>
    <r>
      <rPr>
        <b/>
        <sz val="10"/>
        <color rgb="FF000000"/>
        <rFont val="Arial"/>
        <scheme val="minor"/>
      </rPr>
      <t xml:space="preserve">A special shout out to the new Donor team for coming up to speed very fast and taking control right away. Well done!
Overall it was a good sprint even though we didn't meet the Sprint forecast this time. The onsite QA needs to signoff on those tickets before closing and given this was a regression sprint, the onsite QA had her hands full with CRT testing.
Kudos
</t>
    </r>
    <r>
      <rPr>
        <sz val="10"/>
        <color rgb="FF000000"/>
        <rFont val="Arial"/>
        <scheme val="minor"/>
      </rPr>
      <t xml:space="preserve">New Donor team for completing a lot of the design work +1
</t>
    </r>
  </si>
  <si>
    <t>OB-OP 8.1 Sprint 1</t>
  </si>
  <si>
    <r>
      <rPr>
        <sz val="10"/>
        <color rgb="FF000000"/>
        <rFont val="Arial"/>
        <scheme val="minor"/>
      </rPr>
      <t xml:space="preserve">Release OB/OP to PRD, continue OB UX and Donor Platform
</t>
    </r>
    <r>
      <rPr>
        <b/>
        <sz val="10"/>
        <color rgb="FF000000"/>
        <rFont val="Arial"/>
        <scheme val="minor"/>
      </rPr>
      <t>Completed the design for registration page and password reset pages</t>
    </r>
  </si>
  <si>
    <r>
      <rPr>
        <sz val="10"/>
        <color rgb="FF000000"/>
        <rFont val="Arial"/>
        <scheme val="minor"/>
      </rPr>
      <t xml:space="preserve">
Peer CRC:0 
Onsite CRC:0
Client CRC: 3
Internal Defects:0
External Defects: 0
</t>
    </r>
    <r>
      <rPr>
        <b/>
        <sz val="10"/>
        <color rgb="FF000000"/>
        <rFont val="Arial"/>
        <scheme val="minor"/>
      </rPr>
      <t xml:space="preserve">Pending reason
DON-16 </t>
    </r>
    <r>
      <rPr>
        <sz val="10"/>
        <color rgb="FF000000"/>
        <rFont val="Arial"/>
        <scheme val="minor"/>
      </rPr>
      <t xml:space="preserve">- 5 point story - Development completed, local testing is completed,need to do some more common functionality in API Once done will raise the PR in next sprint, Initially this was a 3 point story, later due to more work on that the story point has been increased from 3 to 5
</t>
    </r>
    <r>
      <rPr>
        <b/>
        <sz val="10"/>
        <color rgb="FF000000"/>
        <rFont val="Arial"/>
        <scheme val="minor"/>
      </rPr>
      <t xml:space="preserve">
</t>
    </r>
    <r>
      <rPr>
        <sz val="10"/>
        <color rgb="FF000000"/>
        <rFont val="Arial"/>
        <scheme val="minor"/>
      </rPr>
      <t xml:space="preserve">
</t>
    </r>
    <r>
      <rPr>
        <b/>
        <sz val="10"/>
        <color rgb="FF000000"/>
        <rFont val="Arial"/>
        <scheme val="minor"/>
      </rPr>
      <t xml:space="preserve">Review comment
</t>
    </r>
    <r>
      <rPr>
        <sz val="10"/>
        <color rgb="FF000000"/>
        <rFont val="Arial"/>
        <scheme val="minor"/>
      </rPr>
      <t>1.Rename the  varialbe
2.These 5 radio buttons should not be inputs. They will be checked off during client side input validation.
3.Remove hard-coded email.</t>
    </r>
  </si>
  <si>
    <r>
      <rPr>
        <b/>
        <sz val="10"/>
        <color rgb="FF000000"/>
        <rFont val="Arial"/>
        <scheme val="minor"/>
      </rPr>
      <t xml:space="preserve">What went well?
</t>
    </r>
    <r>
      <rPr>
        <sz val="10"/>
        <color rgb="FF000000"/>
        <rFont val="Arial"/>
        <scheme val="minor"/>
      </rPr>
      <t xml:space="preserve">All planned stories got completed and more
Quick turn around on the Hot Fix
</t>
    </r>
    <r>
      <rPr>
        <b/>
        <sz val="10"/>
        <color rgb="FF000000"/>
        <rFont val="Arial"/>
        <scheme val="minor"/>
      </rPr>
      <t xml:space="preserve">
What didn’t go well?
</t>
    </r>
    <r>
      <rPr>
        <sz val="10"/>
        <color rgb="FF000000"/>
        <rFont val="Arial"/>
        <scheme val="minor"/>
      </rPr>
      <t xml:space="preserve">A number of security issues came through which was unplanned and high priority for some old modules
The arc review is preventing us from implementing B2C
</t>
    </r>
    <r>
      <rPr>
        <b/>
        <sz val="10"/>
        <color rgb="FF000000"/>
        <rFont val="Arial"/>
        <scheme val="minor"/>
      </rPr>
      <t xml:space="preserve">
Kudos
</t>
    </r>
    <r>
      <rPr>
        <sz val="10"/>
        <color rgb="FF000000"/>
        <rFont val="Arial"/>
        <scheme val="minor"/>
      </rPr>
      <t xml:space="preserve">Offshore team did a great job on OB and Donor work, completed everything +1
Appreciate Rajesh stepping in and covering for Prabhu
 Joe and Prabhu giving assistance on couple of stories for testing to Alice( specially on Donor project)
Quick turn around on the Hot Fix 		
Alice and Offshore QA team has done a great job on automation testing which made both the prod release testing quick +1
</t>
    </r>
    <r>
      <rPr>
        <b/>
        <sz val="10"/>
        <color rgb="FF000000"/>
        <rFont val="Arial"/>
        <scheme val="minor"/>
      </rPr>
      <t xml:space="preserve">
</t>
    </r>
  </si>
  <si>
    <t>OB-OP 8.1 Sprint 2</t>
  </si>
  <si>
    <r>
      <rPr>
        <sz val="10"/>
        <color rgb="FF000000"/>
        <rFont val="Arial"/>
        <scheme val="minor"/>
      </rPr>
      <t xml:space="preserve">More OB UX, Donor Platform infrastructure, and OP security remediation.
</t>
    </r>
    <r>
      <rPr>
        <b/>
        <sz val="10"/>
        <color rgb="FF000000"/>
        <rFont val="Arial"/>
        <scheme val="minor"/>
      </rPr>
      <t xml:space="preserve">Accomplishement
</t>
    </r>
    <r>
      <rPr>
        <sz val="10"/>
        <color rgb="FF000000"/>
        <rFont val="Arial"/>
        <scheme val="minor"/>
      </rPr>
      <t xml:space="preserve">Completed API Structure and serilog setup
</t>
    </r>
  </si>
  <si>
    <r>
      <rPr>
        <sz val="10"/>
        <color rgb="FF000000"/>
        <rFont val="Arial"/>
        <scheme val="minor"/>
      </rPr>
      <t xml:space="preserve">
Peer CRC:0 
Onsite CRC:0
Client CRC: 0
Internal Defects:0
External Defects: 0
</t>
    </r>
    <r>
      <rPr>
        <b/>
        <sz val="10"/>
        <color rgb="FF000000"/>
        <rFont val="Arial"/>
        <scheme val="minor"/>
      </rPr>
      <t xml:space="preserve">Pending reason
Don-39 - </t>
    </r>
    <r>
      <rPr>
        <sz val="10"/>
        <color rgb="FF000000"/>
        <rFont val="Arial"/>
        <scheme val="minor"/>
      </rPr>
      <t xml:space="preserve">Incorporating Vega components into the input validation effort was more completex than initially thought
</t>
    </r>
    <r>
      <rPr>
        <b/>
        <sz val="10"/>
        <color rgb="FF000000"/>
        <rFont val="Arial"/>
        <scheme val="minor"/>
      </rPr>
      <t xml:space="preserve">Don-45 - </t>
    </r>
    <r>
      <rPr>
        <sz val="10"/>
        <color rgb="FF000000"/>
        <rFont val="Arial"/>
        <scheme val="minor"/>
      </rPr>
      <t>B2C team not yet create Tenant &amp; Singin and Singup page in Azure Portal</t>
    </r>
  </si>
  <si>
    <r>
      <rPr>
        <b/>
        <sz val="10"/>
        <color rgb="FF000000"/>
        <rFont val="Arial"/>
        <scheme val="minor"/>
      </rPr>
      <t xml:space="preserve">What went well?
</t>
    </r>
    <r>
      <rPr>
        <sz val="10"/>
        <color rgb="FF000000"/>
        <rFont val="Arial"/>
        <scheme val="minor"/>
      </rPr>
      <t xml:space="preserve"> API Setup from scratch and user creation and Serilog implementation
</t>
    </r>
    <r>
      <rPr>
        <b/>
        <sz val="10"/>
        <color rgb="FF000000"/>
        <rFont val="Arial"/>
        <scheme val="minor"/>
      </rPr>
      <t xml:space="preserve">
What didn’t go well?
</t>
    </r>
    <r>
      <rPr>
        <sz val="10"/>
        <color rgb="FF000000"/>
        <rFont val="Arial"/>
        <scheme val="minor"/>
      </rPr>
      <t xml:space="preserve">Faced some of the validation issues from Vega controls
</t>
    </r>
    <r>
      <rPr>
        <b/>
        <sz val="10"/>
        <color rgb="FF000000"/>
        <rFont val="Arial"/>
        <scheme val="minor"/>
      </rPr>
      <t xml:space="preserve">
Kudos
</t>
    </r>
    <r>
      <rPr>
        <sz val="10"/>
        <color rgb="FF000000"/>
        <rFont val="Arial"/>
        <scheme val="minor"/>
      </rPr>
      <t xml:space="preserve">Prabhu did a  great job on api setup and user creation code review and suggession
Offshore team did a great job on OB and Donor work
Murugesan for detailed testing
</t>
    </r>
    <r>
      <rPr>
        <b/>
        <sz val="10"/>
        <color rgb="FF000000"/>
        <rFont val="Arial"/>
        <scheme val="minor"/>
      </rPr>
      <t xml:space="preserve">
</t>
    </r>
  </si>
  <si>
    <t>OB-OP 8.1 Sprint 3</t>
  </si>
  <si>
    <r>
      <rPr>
        <sz val="10"/>
        <color rgb="FF000000"/>
        <rFont val="Arial"/>
        <scheme val="minor"/>
      </rPr>
      <t xml:space="preserve">Continue OB UX (Package Cards, Donation Modal), Platform work, Security remediation
</t>
    </r>
    <r>
      <rPr>
        <b/>
        <sz val="10"/>
        <color rgb="FF000000"/>
        <rFont val="Arial"/>
        <scheme val="minor"/>
      </rPr>
      <t xml:space="preserve">Accomplishement
</t>
    </r>
    <r>
      <rPr>
        <sz val="10"/>
        <color rgb="FF000000"/>
        <rFont val="Arial"/>
        <scheme val="minor"/>
      </rPr>
      <t xml:space="preserve">Created Home page design
</t>
    </r>
  </si>
  <si>
    <r>
      <rPr>
        <sz val="10"/>
        <color rgb="FF000000"/>
        <rFont val="Arial"/>
        <scheme val="minor"/>
      </rPr>
      <t xml:space="preserve">
Peer CRC:0 
Onsite CRC:0
Client CRC: 0
Internal Defects:0
External Defects: 0
</t>
    </r>
    <r>
      <rPr>
        <b/>
        <sz val="10"/>
        <color rgb="FF000000"/>
        <rFont val="Arial"/>
        <scheme val="minor"/>
      </rPr>
      <t xml:space="preserve">Pending reason
Don-45 - </t>
    </r>
    <r>
      <rPr>
        <sz val="10"/>
        <color rgb="FF000000"/>
        <rFont val="Arial"/>
        <scheme val="minor"/>
      </rPr>
      <t>B2C implementation requirement little bit changed integrate according to angular 19</t>
    </r>
  </si>
  <si>
    <r>
      <rPr>
        <b/>
        <sz val="10"/>
        <color rgb="FF000000"/>
        <rFont val="Arial"/>
        <scheme val="minor"/>
      </rPr>
      <t xml:space="preserve">What went well?
</t>
    </r>
    <r>
      <rPr>
        <sz val="10"/>
        <color rgb="FF000000"/>
        <rFont val="Arial"/>
        <scheme val="minor"/>
      </rPr>
      <t xml:space="preserve">Donor app progress was good
A lot of positive comments from CS on the Donor Platform progress - well done team!
“The login page looks great and it will be one of the most visited page”
</t>
    </r>
    <r>
      <rPr>
        <b/>
        <sz val="10"/>
        <color rgb="FF000000"/>
        <rFont val="Arial"/>
        <scheme val="minor"/>
      </rPr>
      <t xml:space="preserve">What didn’t go well?
</t>
    </r>
    <r>
      <rPr>
        <sz val="10"/>
        <color rgb="FF000000"/>
        <rFont val="Arial"/>
        <scheme val="minor"/>
      </rPr>
      <t xml:space="preserve">OB certificate issue blocked testing in Dev, TST and CRT
OB  build Pipeline issue
The fixes for WhiteHat security  findings was challenging
</t>
    </r>
    <r>
      <rPr>
        <b/>
        <sz val="10"/>
        <color rgb="FF000000"/>
        <rFont val="Arial"/>
        <scheme val="minor"/>
      </rPr>
      <t xml:space="preserve">Kudos
</t>
    </r>
    <r>
      <rPr>
        <sz val="10"/>
        <color rgb="FF000000"/>
        <rFont val="Arial"/>
        <scheme val="minor"/>
      </rPr>
      <t xml:space="preserve">Joe for taking care of all the scrum processes seamlessly in Rupa’s absence
Prabhu for supporting Alice with Donor platform testing
Mercy for cross site scripting testing and bringing up some issues
Prabhu, Rajesh, Mike H and Joe for  getting  the Certificate issue  resolved, it is very close to getting done
 Joe for fixing the Build pipeline and the whitehat  security scanning +1
Arivalagan - the code he delivered for Don 39 and  Don 40 is of high quality
</t>
    </r>
  </si>
  <si>
    <t>OB-OP 8.1 Sprint 4</t>
  </si>
  <si>
    <r>
      <rPr>
        <sz val="10"/>
        <color rgb="FF000000"/>
        <rFont val="Arial"/>
        <scheme val="minor"/>
      </rPr>
      <t xml:space="preserve">Continue OB UX, Platform work, Security remediation
</t>
    </r>
    <r>
      <rPr>
        <b/>
        <sz val="10"/>
        <color rgb="FF000000"/>
        <rFont val="Arial"/>
        <scheme val="minor"/>
      </rPr>
      <t xml:space="preserve">Accomplishement
</t>
    </r>
    <r>
      <rPr>
        <sz val="10"/>
        <color rgb="FF000000"/>
        <rFont val="Arial"/>
        <scheme val="minor"/>
      </rPr>
      <t xml:space="preserve">Completed Azure B2C Implementation  and Google api for address search
</t>
    </r>
  </si>
  <si>
    <r>
      <rPr>
        <sz val="10"/>
        <color rgb="FF000000"/>
        <rFont val="Arial"/>
        <scheme val="minor"/>
      </rPr>
      <t xml:space="preserve">Peer CRC:0 
Onsite CRC:0
Client CRC: 0
Internal Defects:0
External Defects: 0
</t>
    </r>
    <r>
      <rPr>
        <b/>
        <sz val="10"/>
        <color rgb="FF000000"/>
        <rFont val="Arial"/>
        <scheme val="minor"/>
      </rPr>
      <t xml:space="preserve">Pending reason
</t>
    </r>
    <r>
      <rPr>
        <sz val="10"/>
        <color rgb="FF000000"/>
        <rFont val="Arial"/>
        <scheme val="minor"/>
      </rPr>
      <t>Don-45 - B2C implementation done waiting for client`s review</t>
    </r>
  </si>
  <si>
    <r>
      <rPr>
        <b/>
        <sz val="10"/>
        <color rgb="FF000000"/>
        <rFont val="Arial"/>
        <scheme val="minor"/>
      </rPr>
      <t xml:space="preserve">What went well?
</t>
    </r>
    <r>
      <rPr>
        <sz val="10"/>
        <color rgb="FF000000"/>
        <rFont val="Arial"/>
        <scheme val="minor"/>
      </rPr>
      <t xml:space="preserve">Most of the planned stories got completed + some stretch stories
Upper Management support for getting us out of OP bug bounty
</t>
    </r>
    <r>
      <rPr>
        <b/>
        <sz val="10"/>
        <color rgb="FF000000"/>
        <rFont val="Arial"/>
        <scheme val="minor"/>
      </rPr>
      <t xml:space="preserve">What didn’t go well?
</t>
    </r>
    <r>
      <rPr>
        <sz val="10"/>
        <color rgb="FF000000"/>
        <rFont val="Arial"/>
        <scheme val="minor"/>
      </rPr>
      <t xml:space="preserve">Implementing the WAF caused us to do additional testing in CRT affecting both OB and OP
B2C implementation using MSAL  was challenging without having designated MFA policy
</t>
    </r>
    <r>
      <rPr>
        <b/>
        <sz val="10"/>
        <color rgb="FF000000"/>
        <rFont val="Arial"/>
        <scheme val="minor"/>
      </rPr>
      <t xml:space="preserve">Kudos
</t>
    </r>
    <r>
      <rPr>
        <sz val="10"/>
        <color rgb="FF000000"/>
        <rFont val="Arial"/>
        <scheme val="minor"/>
      </rPr>
      <t>Alice for getting through a bunch of WAF testing and a bunch of app testing as well( it was tedious) +2
Offshore team and Prabhu for the implementation of B2C token, It was difficult and needed a lot of coordination +1
Well Done on the OB Cert issue
Sarah was extremely helpful during WAF testing
Carlos for the release support
Prabhu and Joe for the support with all the testing
Owen for rounds of regression testing
Offshore  QA for for helping Alice with all the testing
Moose for all the help with pipeline
Joe for all the macroscope work
Rajesh for clearing the CRT issue
Offshore ( OB/OP and Donor) for completing the planned stories+1</t>
    </r>
  </si>
  <si>
    <t>OB-OP 8.2 Sprint 1</t>
  </si>
  <si>
    <r>
      <rPr>
        <sz val="10"/>
        <color rgb="FF000000"/>
        <rFont val="Arial"/>
        <scheme val="minor"/>
      </rPr>
      <t xml:space="preserve">Release OB 8.1 to PRD, OB UX, Donor Platform
</t>
    </r>
    <r>
      <rPr>
        <b/>
        <sz val="10"/>
        <color rgb="FF000000"/>
        <rFont val="Arial"/>
        <scheme val="minor"/>
      </rPr>
      <t xml:space="preserve">Accomplishement
</t>
    </r>
    <r>
      <rPr>
        <sz val="10"/>
        <color rgb="FF000000"/>
        <rFont val="Arial"/>
        <scheme val="minor"/>
      </rPr>
      <t xml:space="preserve">Completed organization and events details
</t>
    </r>
  </si>
  <si>
    <r>
      <rPr>
        <sz val="10"/>
        <color rgb="FF000000"/>
        <rFont val="Arial"/>
        <scheme val="minor"/>
      </rPr>
      <t xml:space="preserve">Peer CRC:0 
Onsite CRC:0
Client CRC: 0
Internal Defects:0
External Defects: 0
</t>
    </r>
    <r>
      <rPr>
        <b/>
        <sz val="10"/>
        <color rgb="FF000000"/>
        <rFont val="Arial"/>
        <scheme val="minor"/>
      </rPr>
      <t xml:space="preserve">Pending reason
</t>
    </r>
    <r>
      <rPr>
        <sz val="10"/>
        <color rgb="FF000000"/>
        <rFont val="Arial"/>
        <scheme val="minor"/>
      </rPr>
      <t>Don-45 - B2C implementation done waiting for client`s review
Don-51 - Events development done waiting for client`s review they did more changes in figma 2 days back too they updated the figma</t>
    </r>
  </si>
  <si>
    <r>
      <rPr>
        <b/>
        <sz val="10"/>
        <color rgb="FF000000"/>
        <rFont val="Arial"/>
        <scheme val="minor"/>
      </rPr>
      <t xml:space="preserve">What went well?
</t>
    </r>
    <r>
      <rPr>
        <sz val="10"/>
        <color rgb="FF000000"/>
        <rFont val="Arial"/>
        <scheme val="minor"/>
      </rPr>
      <t xml:space="preserve">Both OB and Donor feature implementation went well
Automation updates for the new OB Smoke test progress is awesome
OB Prod release was long but very smooth
</t>
    </r>
    <r>
      <rPr>
        <b/>
        <sz val="10"/>
        <color rgb="FF000000"/>
        <rFont val="Arial"/>
        <scheme val="minor"/>
      </rPr>
      <t xml:space="preserve">What didn’t go well?
</t>
    </r>
    <r>
      <rPr>
        <sz val="10"/>
        <color rgb="FF000000"/>
        <rFont val="Arial"/>
        <scheme val="minor"/>
      </rPr>
      <t xml:space="preserve">Dependency on B2C token
Given multiple stories were for the same Home page there was time spent on fixing merge conflict
</t>
    </r>
    <r>
      <rPr>
        <b/>
        <sz val="10"/>
        <color rgb="FF000000"/>
        <rFont val="Arial"/>
        <scheme val="minor"/>
      </rPr>
      <t xml:space="preserve">Kudos
</t>
    </r>
    <r>
      <rPr>
        <sz val="10"/>
        <color rgb="FF000000"/>
        <rFont val="Arial"/>
        <scheme val="minor"/>
      </rPr>
      <t xml:space="preserve">OB search functionality was a great win- Prabhu Sankar [C]+1
Prabhu for sticking in there on the Donor app with Joe- coordinating all the updates with offshore +1
Prabhu for supporting Alice on the local setup for Donor testing
</t>
    </r>
  </si>
  <si>
    <t>OB-OP 8.2 Sprint 2</t>
  </si>
  <si>
    <r>
      <rPr>
        <sz val="10"/>
        <color rgb="FF000000"/>
        <rFont val="Arial"/>
        <scheme val="minor"/>
      </rPr>
      <t xml:space="preserve">OP PRD release, continue Ob UX work, continue Donor Platform
</t>
    </r>
    <r>
      <rPr>
        <b/>
        <sz val="10"/>
        <color rgb="FF000000"/>
        <rFont val="Arial"/>
        <scheme val="minor"/>
      </rPr>
      <t xml:space="preserve">
Accomplishement
</t>
    </r>
    <r>
      <rPr>
        <sz val="10"/>
        <color rgb="FF000000"/>
        <rFont val="Arial"/>
        <scheme val="minor"/>
      </rPr>
      <t>Completed header nameplate and B2C PR Suggestions</t>
    </r>
  </si>
  <si>
    <t xml:space="preserve">Peer CRC:0 
Onsite CRC:0
Client CRC: 0
Internal Defects:0
External Defects: 0
</t>
  </si>
  <si>
    <r>
      <rPr>
        <b/>
        <sz val="10"/>
        <color rgb="FF000000"/>
        <rFont val="Arial"/>
        <scheme val="minor"/>
      </rPr>
      <t xml:space="preserve">Keep up the good work team, kudos on hustling to complete the planned stories given the build issue this Sprint!
What went well?
</t>
    </r>
    <r>
      <rPr>
        <sz val="10"/>
        <color rgb="FF000000"/>
        <rFont val="Arial"/>
        <scheme val="minor"/>
      </rPr>
      <t xml:space="preserve">Completed way more than planned
2  Prod releases this sprint
Over the hump on the security issues (DevOps side)
Macroscope report is up to date
Macroscope report is up to date
</t>
    </r>
    <r>
      <rPr>
        <b/>
        <sz val="10"/>
        <color rgb="FF000000"/>
        <rFont val="Arial"/>
        <scheme val="minor"/>
      </rPr>
      <t xml:space="preserve">
What didn’t go well?
</t>
    </r>
    <r>
      <rPr>
        <sz val="10"/>
        <color rgb="FF000000"/>
        <rFont val="Arial"/>
        <scheme val="minor"/>
      </rPr>
      <t xml:space="preserve">Implemented security measures that caused pipeline issues
The team is putting renewed emphasis to be compliant with FIGMA design
</t>
    </r>
    <r>
      <rPr>
        <b/>
        <sz val="10"/>
        <color rgb="FF000000"/>
        <rFont val="Arial"/>
        <scheme val="minor"/>
      </rPr>
      <t xml:space="preserve">
Kudos
</t>
    </r>
    <r>
      <rPr>
        <sz val="10"/>
        <color rgb="FF000000"/>
        <rFont val="Arial"/>
        <scheme val="minor"/>
      </rPr>
      <t>Great job team on completing more than planned given all the challenges
Prabhu and Joe for helping setup Dionor platform and general testing support, including the hotfix testing
Offshore for fixing the bugs under OB stories really fast
To Prabhu for getting offshore to be compliant with Bootstrap +2
Offshore team for being resilient and delivering on the designs meeting all the AC +2</t>
    </r>
  </si>
  <si>
    <t>OB-OP 8.2 Sprint 3</t>
  </si>
  <si>
    <r>
      <rPr>
        <sz val="10"/>
        <color rgb="FF000000"/>
        <rFont val="Arial"/>
        <scheme val="minor"/>
      </rPr>
      <t xml:space="preserve">Continue OB UX, Donor Platform
</t>
    </r>
    <r>
      <rPr>
        <b/>
        <sz val="10"/>
        <color rgb="FF000000"/>
        <rFont val="Arial"/>
        <scheme val="minor"/>
      </rPr>
      <t xml:space="preserve">
Accomplishement
</t>
    </r>
    <r>
      <rPr>
        <sz val="10"/>
        <color rgb="FF000000"/>
        <rFont val="Arial"/>
        <scheme val="minor"/>
      </rPr>
      <t>Completed clean up task</t>
    </r>
  </si>
  <si>
    <r>
      <rPr>
        <sz val="10"/>
        <color rgb="FF000000"/>
        <rFont val="Arial"/>
        <scheme val="minor"/>
      </rPr>
      <t xml:space="preserve">Peer CRC:0 
Onsite CRC:0
Client CRC: 0
Internal Defects:0
External Defects: 0
</t>
    </r>
    <r>
      <rPr>
        <b/>
        <sz val="10"/>
        <color rgb="FF000000"/>
        <rFont val="Arial"/>
        <scheme val="minor"/>
      </rPr>
      <t xml:space="preserve">Pending reason
</t>
    </r>
    <r>
      <rPr>
        <sz val="10"/>
        <color rgb="FF000000"/>
        <rFont val="Arial"/>
        <scheme val="minor"/>
      </rPr>
      <t xml:space="preserve">Don-64 - delay due to design issue with Add address manually button added into Google Map API auto completed list
</t>
    </r>
  </si>
  <si>
    <r>
      <rPr>
        <b/>
        <sz val="10"/>
        <color rgb="FF000000"/>
        <rFont val="Arial"/>
        <scheme val="minor"/>
      </rPr>
      <t xml:space="preserve">What went well?
</t>
    </r>
    <r>
      <rPr>
        <sz val="10"/>
        <color rgb="FF000000"/>
        <rFont val="Arial"/>
        <scheme val="minor"/>
      </rPr>
      <t xml:space="preserve">Completed more than planned
Lack of any escalation or any distraction lead to a lot getting done by team
</t>
    </r>
    <r>
      <rPr>
        <b/>
        <sz val="10"/>
        <color rgb="FF000000"/>
        <rFont val="Arial"/>
        <scheme val="minor"/>
      </rPr>
      <t xml:space="preserve">What didn’t go well?
</t>
    </r>
    <r>
      <rPr>
        <sz val="10"/>
        <color rgb="FF000000"/>
        <rFont val="Arial"/>
        <scheme val="minor"/>
      </rPr>
      <t xml:space="preserve">Vega is a new component library and taking some extra time to apply our customization
</t>
    </r>
    <r>
      <rPr>
        <b/>
        <sz val="10"/>
        <color rgb="FF000000"/>
        <rFont val="Arial"/>
        <scheme val="minor"/>
      </rPr>
      <t xml:space="preserve">Kudos
</t>
    </r>
    <r>
      <rPr>
        <sz val="10"/>
        <color rgb="FF000000"/>
        <rFont val="Arial"/>
        <scheme val="minor"/>
      </rPr>
      <t>Joe: Appreciate all the help from Prabhu and Alice especially towards end for review and getting everything tested out
Rajesh has been very responsive from the GGO side
Alice and Joe for all the support
Prabhu: OB/OP offshore team for completing all that was committed and more +1 from Rajesh
Joe: All the ob work looks really great +1
Alice: Shout out to Joe and Prabhu for the support on testing
Mike Horihan who is dealing with the cyber security  and shielding the team</t>
    </r>
  </si>
  <si>
    <t>OB-OP 8.2 Sprint 4</t>
  </si>
  <si>
    <t>10/0</t>
  </si>
  <si>
    <r>
      <rPr>
        <sz val="10"/>
        <color rgb="FF000000"/>
        <rFont val="Arial"/>
        <scheme val="minor"/>
      </rPr>
      <t xml:space="preserve">Release OB 8.2. to CRT, continue OB UX and Donor Platform
</t>
    </r>
    <r>
      <rPr>
        <b/>
        <sz val="10"/>
        <color rgb="FF000000"/>
        <rFont val="Arial"/>
        <scheme val="minor"/>
      </rPr>
      <t xml:space="preserve">
Accomplishement
</t>
    </r>
    <r>
      <rPr>
        <sz val="10"/>
        <color rgb="FF000000"/>
        <rFont val="Arial"/>
        <scheme val="minor"/>
      </rPr>
      <t>Completed clean up task</t>
    </r>
  </si>
  <si>
    <r>
      <rPr>
        <sz val="10"/>
        <color rgb="FF000000"/>
        <rFont val="Arial"/>
        <scheme val="minor"/>
      </rPr>
      <t xml:space="preserve">Peer CRC:0 
Onsite CRC:0
Client CRC: 0
Internal Defects:0
External Defects: 0
</t>
    </r>
    <r>
      <rPr>
        <b/>
        <sz val="10"/>
        <color rgb="FF000000"/>
        <rFont val="Arial"/>
        <scheme val="minor"/>
      </rPr>
      <t xml:space="preserve">Pending reason
DON-71
</t>
    </r>
    <r>
      <rPr>
        <sz val="10"/>
        <color rgb="FF000000"/>
        <rFont val="Arial"/>
        <scheme val="minor"/>
      </rPr>
      <t xml:space="preserve">  we struggled in design layout.
  Draft PR created and it is under prabu review
  This story has been carried forward and provided few design updates.</t>
    </r>
  </si>
  <si>
    <r>
      <rPr>
        <b/>
        <sz val="10"/>
        <color rgb="FF000000"/>
        <rFont val="Arial"/>
        <scheme val="minor"/>
      </rPr>
      <t xml:space="preserve">Well Done on keeping the momentum going and delivering more the planned!
What went well?
</t>
    </r>
    <r>
      <rPr>
        <sz val="10"/>
        <color rgb="FF000000"/>
        <rFont val="Arial"/>
        <scheme val="minor"/>
      </rPr>
      <t xml:space="preserve">Very few distractions
Completed more than planned
</t>
    </r>
    <r>
      <rPr>
        <b/>
        <sz val="10"/>
        <color rgb="FF000000"/>
        <rFont val="Arial"/>
        <scheme val="minor"/>
      </rPr>
      <t xml:space="preserve">
What didn’t go well?
</t>
    </r>
    <r>
      <rPr>
        <sz val="10"/>
        <color rgb="FF000000"/>
        <rFont val="Arial"/>
        <scheme val="minor"/>
      </rPr>
      <t xml:space="preserve">Customization on the google places autocomplete textbox was challenging
</t>
    </r>
    <r>
      <rPr>
        <b/>
        <sz val="10"/>
        <color rgb="FF000000"/>
        <rFont val="Arial"/>
        <scheme val="minor"/>
      </rPr>
      <t xml:space="preserve">
Kudos
</t>
    </r>
    <r>
      <rPr>
        <sz val="10"/>
        <color rgb="FF000000"/>
        <rFont val="Arial"/>
        <scheme val="minor"/>
      </rPr>
      <t>Joe : Prabhu for overseeing all the offshore work
Prabhu : OB/OP offshore team and Donor offshore team were very productive
Alice : Offshore QA Mercy for catching some issues and  Murugasen and Mercy doing very good testing</t>
    </r>
  </si>
  <si>
    <t>OB-OP 8.3 Sprint 1</t>
  </si>
  <si>
    <t xml:space="preserve">Production release, wrap up OB UX and continue work on Donor platform
</t>
  </si>
  <si>
    <r>
      <rPr>
        <sz val="10"/>
        <color rgb="FF000000"/>
        <rFont val="Arial"/>
        <scheme val="minor"/>
      </rPr>
      <t xml:space="preserve">Peer CRC:0 
Onsite CRC:0
Client CRC: 3
Internal Defects:0
External Defects: 0
</t>
    </r>
    <r>
      <rPr>
        <b/>
        <sz val="10"/>
        <color rgb="FF000000"/>
        <rFont val="Arial"/>
        <scheme val="minor"/>
      </rPr>
      <t xml:space="preserve">Review comments
</t>
    </r>
    <r>
      <rPr>
        <sz val="10"/>
        <color rgb="FF000000"/>
        <rFont val="Arial"/>
        <scheme val="minor"/>
      </rPr>
      <t xml:space="preserve">1. Make sure you clean up the interval in the ngOnDestroy, or even remove this entirely because it's handled in [disabled]="profileForm.invalid". and This form needs labels rather than placeholders. See the FIgma document. Use the "label" Vega attribute.
2. Direct DOM manipulation is unsafe. Let's get the file through the event parameter rather than DOM manipulation. Use Angular's built-in change detection.
3. Magic number here. Let's make it a constant/configurable.Remove unused property.Sanitize the result before binding (xss risk)
 and Name fields (first, middle, last) should have the input validation
</t>
    </r>
    <r>
      <rPr>
        <b/>
        <sz val="10"/>
        <color rgb="FF000000"/>
        <rFont val="Arial"/>
        <scheme val="minor"/>
      </rPr>
      <t xml:space="preserve">Pending reason
</t>
    </r>
    <r>
      <rPr>
        <sz val="10"/>
        <color rgb="FF000000"/>
        <rFont val="Arial"/>
        <scheme val="minor"/>
      </rPr>
      <t xml:space="preserve">DON-92 - AC got changed in-between the sprint,  So we decided to deliver the correct deliverable rather than what we developed until now.
</t>
    </r>
  </si>
  <si>
    <r>
      <rPr>
        <b/>
        <sz val="10"/>
        <color rgb="FF000000"/>
        <rFont val="Arial"/>
        <scheme val="minor"/>
      </rPr>
      <t xml:space="preserve">Great work Team for for meeting the commit again given the mid sprint changes for Profile and Login, Well Done!
What went well?
</t>
    </r>
    <r>
      <rPr>
        <sz val="10"/>
        <color rgb="FF000000"/>
        <rFont val="Arial"/>
        <scheme val="minor"/>
      </rPr>
      <t xml:space="preserve">Met the commit goal and more
Production release for OB 8.2 went well
</t>
    </r>
    <r>
      <rPr>
        <b/>
        <sz val="10"/>
        <color rgb="FF000000"/>
        <rFont val="Arial"/>
        <scheme val="minor"/>
      </rPr>
      <t xml:space="preserve">
What didn’t go well?
</t>
    </r>
    <r>
      <rPr>
        <sz val="10"/>
        <color rgb="FF000000"/>
        <rFont val="Arial"/>
        <scheme val="minor"/>
      </rPr>
      <t xml:space="preserve">Couple of changes mid Sprint regarding Profile and Login
</t>
    </r>
    <r>
      <rPr>
        <b/>
        <sz val="10"/>
        <color rgb="FF000000"/>
        <rFont val="Arial"/>
        <scheme val="minor"/>
      </rPr>
      <t xml:space="preserve">
Kudos
</t>
    </r>
    <r>
      <rPr>
        <sz val="10"/>
        <color rgb="FF000000"/>
        <rFont val="Arial"/>
        <scheme val="minor"/>
      </rPr>
      <t>Joe:
Prabhu took a quiet a few to start with making sure everything goes well  and leading / managing the big offshore team +2
Good job by offshore team by being Agile for taking all the requirement changes on the stride and changes related to Vega +2
Alice:
Offshore QA for great help with testing and writing fantastic test plans both Mercy and Murugesan +1
Prabhu:
Joe for putting in a lot effort in multiple stories
Thanks to Derek for always being being available with quick responses+1
Rajesh for supporting on the MFA work</t>
    </r>
  </si>
  <si>
    <t>OB-OP 8.3 Sprint 2</t>
  </si>
  <si>
    <t>11/0</t>
  </si>
  <si>
    <r>
      <rPr>
        <sz val="10"/>
        <color rgb="FF000000"/>
        <rFont val="Arial"/>
        <scheme val="minor"/>
      </rPr>
      <t xml:space="preserve">Wrap up OB UX and continue work on Donor platform
</t>
    </r>
    <r>
      <rPr>
        <b/>
        <sz val="10"/>
        <color rgb="FF000000"/>
        <rFont val="Arial"/>
        <scheme val="minor"/>
      </rPr>
      <t xml:space="preserve">Accomplishment
</t>
    </r>
    <r>
      <rPr>
        <sz val="10"/>
        <color rgb="FF000000"/>
        <rFont val="Arial"/>
        <scheme val="minor"/>
      </rPr>
      <t>Did login page styling, credit card area, updated about B2C flow
Completed current sprint stories and took few from backlog and completed</t>
    </r>
  </si>
  <si>
    <t xml:space="preserve">Peer CRC:0 
Onsite CRC:0
Client CRC: 0
Internal Defects:0
External Defects: 0
</t>
  </si>
  <si>
    <r>
      <rPr>
        <b/>
        <sz val="10"/>
        <color rgb="FF000000"/>
        <rFont val="Arial"/>
        <scheme val="minor"/>
      </rPr>
      <t xml:space="preserve">Here is the well deserved feedback from Onsite including the Managers on how this team is on autopilot, well done!
What went well?
</t>
    </r>
    <r>
      <rPr>
        <sz val="10"/>
        <color rgb="FF000000"/>
        <rFont val="Arial"/>
        <scheme val="minor"/>
      </rPr>
      <t xml:space="preserve">Well planned Sprint-  the tickets were pointed properly and the AC was detailed.
The stories coming out in phases for QA to test rather than all together +1
</t>
    </r>
    <r>
      <rPr>
        <b/>
        <sz val="10"/>
        <color rgb="FF000000"/>
        <rFont val="Arial"/>
        <scheme val="minor"/>
      </rPr>
      <t xml:space="preserve">
What didn’t go well?
</t>
    </r>
    <r>
      <rPr>
        <sz val="10"/>
        <color rgb="FF000000"/>
        <rFont val="Arial"/>
        <scheme val="minor"/>
      </rPr>
      <t xml:space="preserve">Security settings blocking sales appearing in GGO, that let to delay in testing OB
</t>
    </r>
    <r>
      <rPr>
        <b/>
        <sz val="10"/>
        <color rgb="FF000000"/>
        <rFont val="Arial"/>
        <scheme val="minor"/>
      </rPr>
      <t xml:space="preserve">
Kudos
</t>
    </r>
    <r>
      <rPr>
        <sz val="10"/>
        <color rgb="FF000000"/>
        <rFont val="Arial"/>
        <scheme val="minor"/>
      </rPr>
      <t>Joe:
Arivalangan - The login page styling and
Ubai- update to to credit card area
Preethi and Karthi- slide out menu stood out and was a big impact to what is seen
Alice:
Offshore QA- Mercy and Murugasen for putting all the details in written
Writing great test plans which frees up Alice to work on automation
For Prabhu and Rajesh in helping diagnose all those little issues
Prabhu:
Joe for taking on both Login flow and Signup flow
All offshore team members for completing all the work
Rajesh for supporting with Azure work +1 ( Alice)
Irsath and Kannan for the work on B2C flow as it was challenging but he was able to get it done +1 (Joe)
Owen : Thanks to everyone on the team for being on autopilot mode +1(Mike H)</t>
    </r>
  </si>
  <si>
    <t>OB-OP 8.3 Sprint 3</t>
  </si>
  <si>
    <r>
      <rPr>
        <sz val="10"/>
        <color rgb="FF000000"/>
        <rFont val="Arial"/>
        <scheme val="minor"/>
      </rPr>
      <t xml:space="preserve">Continue work on OB UX and Donor platform
</t>
    </r>
    <r>
      <rPr>
        <b/>
        <sz val="10"/>
        <color rgb="FF000000"/>
        <rFont val="Arial"/>
        <scheme val="minor"/>
      </rPr>
      <t xml:space="preserve">Accomplishment
</t>
    </r>
    <r>
      <rPr>
        <sz val="10"/>
        <color rgb="FF000000"/>
        <rFont val="Arial"/>
        <scheme val="minor"/>
      </rPr>
      <t>Completed current sprint stories and took 2 story from stretch and completed those also
Completed Profile data management
Did Profile Cleanup</t>
    </r>
  </si>
  <si>
    <r>
      <rPr>
        <b/>
        <sz val="10"/>
        <color rgb="FF000000"/>
        <rFont val="Arial"/>
        <scheme val="minor"/>
      </rPr>
      <t xml:space="preserve">Well Done Team for pulling through yet another Sprint  meeting the commit given the complexities
What went well?
</t>
    </r>
    <r>
      <rPr>
        <sz val="10"/>
        <color rgb="FF000000"/>
        <rFont val="Arial"/>
        <scheme val="minor"/>
      </rPr>
      <t xml:space="preserve">Yet again completed all planned stories
Work is getting completed for Dev environment
</t>
    </r>
    <r>
      <rPr>
        <b/>
        <sz val="10"/>
        <color rgb="FF000000"/>
        <rFont val="Arial"/>
        <scheme val="minor"/>
      </rPr>
      <t xml:space="preserve">What didn’t go well?
</t>
    </r>
    <r>
      <rPr>
        <sz val="10"/>
        <color rgb="FF000000"/>
        <rFont val="Arial"/>
        <scheme val="minor"/>
      </rPr>
      <t xml:space="preserve">None
</t>
    </r>
    <r>
      <rPr>
        <b/>
        <sz val="10"/>
        <color rgb="FF000000"/>
        <rFont val="Arial"/>
        <scheme val="minor"/>
      </rPr>
      <t xml:space="preserve">
Kudos
Joe:
</t>
    </r>
    <r>
      <rPr>
        <sz val="10"/>
        <color rgb="FF000000"/>
        <rFont val="Arial"/>
        <scheme val="minor"/>
      </rPr>
      <t xml:space="preserve">Profile data management looked really good- Kudos to Kannan and Ubai
Profile clean up looks really good- Kudos to Arivalagan
Preethi on pagination - very good initial PR given the complexity +1 (Prabhu)
Karthi on autocomplete  - very good initial PR given the complexity +1 (Prabhu)
Prabhu has a big job to look over a lot of developer and work and all the PRs
</t>
    </r>
    <r>
      <rPr>
        <b/>
        <sz val="10"/>
        <color rgb="FF000000"/>
        <rFont val="Arial"/>
        <scheme val="minor"/>
      </rPr>
      <t xml:space="preserve">
Alice:
</t>
    </r>
    <r>
      <rPr>
        <sz val="10"/>
        <color rgb="FF000000"/>
        <rFont val="Arial"/>
        <scheme val="minor"/>
      </rPr>
      <t xml:space="preserve">Offshore QA put a lot extra effort in putting the test plans together and all the testing in taking us to the finish line while Alice could focus on the automation +1 (Prabhu)
</t>
    </r>
    <r>
      <rPr>
        <b/>
        <sz val="10"/>
        <color rgb="FF000000"/>
        <rFont val="Arial"/>
        <scheme val="minor"/>
      </rPr>
      <t xml:space="preserve">Prabhu:
</t>
    </r>
    <r>
      <rPr>
        <sz val="10"/>
        <color rgb="FF000000"/>
        <rFont val="Arial"/>
        <scheme val="minor"/>
      </rPr>
      <t>Joe for providing continuous support +1 (Mike Horihan)
Rajesh for supporting the with clarification between Donor and GDon team +1 (Joe), +1 (Mike Horihan)</t>
    </r>
  </si>
  <si>
    <t>OB-OP 8.3 Sprint 4</t>
  </si>
  <si>
    <r>
      <rPr>
        <sz val="10"/>
        <color rgb="FF000000"/>
        <rFont val="Arial"/>
        <scheme val="minor"/>
      </rPr>
      <t xml:space="preserve">OB CRT release and continue work on OB UX and Donor platform
</t>
    </r>
    <r>
      <rPr>
        <b/>
        <sz val="10"/>
        <color rgb="FF000000"/>
        <rFont val="Arial"/>
        <scheme val="minor"/>
      </rPr>
      <t xml:space="preserve">Accomplishment
</t>
    </r>
    <r>
      <rPr>
        <sz val="10"/>
        <color rgb="FF000000"/>
        <rFont val="Arial"/>
        <scheme val="minor"/>
      </rPr>
      <t>Completed current sprint stories and took a story from stretch and completed that also
Profile initials functionality was completed
Updated some more error pages</t>
    </r>
  </si>
  <si>
    <r>
      <rPr>
        <sz val="10"/>
        <color rgb="FF000000"/>
        <rFont val="Arial"/>
        <scheme val="minor"/>
      </rPr>
      <t xml:space="preserve">Peer CRC:0 
Onsite CRC:0
Client CRC: 2
Internal Defects:0
External Defects: 0
</t>
    </r>
    <r>
      <rPr>
        <b/>
        <sz val="10"/>
        <color rgb="FF000000"/>
        <rFont val="Arial"/>
        <scheme val="minor"/>
      </rPr>
      <t xml:space="preserve">Review comments
</t>
    </r>
    <r>
      <rPr>
        <sz val="10"/>
        <color rgb="FF000000"/>
        <rFont val="Arial"/>
        <scheme val="minor"/>
      </rPr>
      <t>1. We should use the error code array rather than magic numbers here.
2. This needs to be disconnected/destroyed.</t>
    </r>
  </si>
  <si>
    <r>
      <rPr>
        <b/>
        <sz val="10"/>
        <color rgb="FF000000"/>
        <rFont val="Arial"/>
        <scheme val="minor"/>
      </rPr>
      <t xml:space="preserve">Client and everyone at onsite appreciated your efforts during the onsite holidays and PTOs, keep up the good work Team!
What went well?
</t>
    </r>
    <r>
      <rPr>
        <sz val="10"/>
        <color rgb="FF000000"/>
        <rFont val="Arial"/>
        <scheme val="minor"/>
      </rPr>
      <t xml:space="preserve">Despite multiple PTOs and holiday schedule, the team completed the key commitments
</t>
    </r>
    <r>
      <rPr>
        <b/>
        <sz val="10"/>
        <color rgb="FF000000"/>
        <rFont val="Arial"/>
        <scheme val="minor"/>
      </rPr>
      <t xml:space="preserve">What didn’t go well?
</t>
    </r>
    <r>
      <rPr>
        <sz val="10"/>
        <color rgb="FF000000"/>
        <rFont val="Arial"/>
        <scheme val="minor"/>
      </rPr>
      <t xml:space="preserve">TST environment was down for 1 day
</t>
    </r>
    <r>
      <rPr>
        <b/>
        <sz val="10"/>
        <color rgb="FF000000"/>
        <rFont val="Arial"/>
        <scheme val="minor"/>
      </rPr>
      <t xml:space="preserve">Kudos
Joe:
</t>
    </r>
    <r>
      <rPr>
        <sz val="10"/>
        <color rgb="FF000000"/>
        <rFont val="Arial"/>
        <scheme val="minor"/>
      </rPr>
      <t xml:space="preserve">The profile initials functionality was super cool- great job Ubai and Kannan
Error page again great work Ubai and Kannan while Joe could work on other tickets
Ob package alignment and resolving the stretch for that - Great job Karthi and Prabhu for the work
Prabhu for organizing and thinking about the approach for caching and search functionality. Great job in specifying the work that needs to be done
</t>
    </r>
    <r>
      <rPr>
        <b/>
        <sz val="10"/>
        <color rgb="FF000000"/>
        <rFont val="Arial"/>
        <scheme val="minor"/>
      </rPr>
      <t xml:space="preserve">Alice:
</t>
    </r>
    <r>
      <rPr>
        <sz val="10"/>
        <color rgb="FF000000"/>
        <rFont val="Arial"/>
        <scheme val="minor"/>
      </rPr>
      <t xml:space="preserve">Mercy and Murugasen for doing excellent testing while Alice was on PTO +1 (Prabhu)
Did excellent test plans which was very helpful
</t>
    </r>
    <r>
      <rPr>
        <b/>
        <sz val="10"/>
        <color rgb="FF000000"/>
        <rFont val="Arial"/>
        <scheme val="minor"/>
      </rPr>
      <t xml:space="preserve">Prabhu:
</t>
    </r>
    <r>
      <rPr>
        <sz val="10"/>
        <color rgb="FF000000"/>
        <rFont val="Arial"/>
        <scheme val="minor"/>
      </rPr>
      <t>Mercy and Murgasen for going over and beyond
Preethi for the good progress on caching +1 (Joe)
Joe for his consistent support
Rajesh for providing support with all Donor stories</t>
    </r>
  </si>
  <si>
    <t>OB-OP 8.4 Sprint 1</t>
  </si>
  <si>
    <t>4/0</t>
  </si>
  <si>
    <r>
      <rPr>
        <sz val="10"/>
        <color rgb="FF000000"/>
        <rFont val="Arial"/>
        <scheme val="minor"/>
      </rPr>
      <t xml:space="preserve">Release OB 8.3 to PRD, continue OB UX, continue Donor Platform
</t>
    </r>
    <r>
      <rPr>
        <b/>
        <sz val="10"/>
        <color rgb="FF000000"/>
        <rFont val="Arial"/>
        <scheme val="minor"/>
      </rPr>
      <t xml:space="preserve">Accomplishment
</t>
    </r>
    <r>
      <rPr>
        <sz val="10"/>
        <color rgb="FF000000"/>
        <rFont val="Arial"/>
        <scheme val="minor"/>
      </rPr>
      <t>1. Completed Billing address feature
2. Completed porgress bar feature
3. Finished current sprint stories and took 2 stretch stories and made good progress on that</t>
    </r>
  </si>
  <si>
    <r>
      <rPr>
        <sz val="10"/>
        <color rgb="FF000000"/>
        <rFont val="Arial"/>
        <scheme val="minor"/>
      </rPr>
      <t xml:space="preserve">Peer CRC:0 
Onsite CRC:0
Client CRC: 0
Internal Defects:1
External Defects: 0
</t>
    </r>
    <r>
      <rPr>
        <b/>
        <sz val="10"/>
        <color rgb="FF000000"/>
        <rFont val="Arial"/>
        <scheme val="minor"/>
      </rPr>
      <t xml:space="preserve">Internal Defect
</t>
    </r>
    <r>
      <rPr>
        <sz val="10"/>
        <color rgb="FF000000"/>
        <rFont val="Arial"/>
        <scheme val="minor"/>
      </rPr>
      <t>DON-164 - During the peer review, column name has been renamed in domain model but not updated in ux interface.</t>
    </r>
  </si>
  <si>
    <r>
      <rPr>
        <b/>
        <sz val="10"/>
        <color rgb="FF000000"/>
        <rFont val="Arial"/>
        <scheme val="minor"/>
      </rPr>
      <t xml:space="preserve">A strong finish to the year,  well done team!
What went well?
</t>
    </r>
    <r>
      <rPr>
        <sz val="10"/>
        <color rgb="FF000000"/>
        <rFont val="Arial"/>
        <scheme val="minor"/>
      </rPr>
      <t xml:space="preserve">Completed the planned stories and more
</t>
    </r>
    <r>
      <rPr>
        <b/>
        <sz val="10"/>
        <color rgb="FF000000"/>
        <rFont val="Arial"/>
        <scheme val="minor"/>
      </rPr>
      <t xml:space="preserve">What didn’t go well?
</t>
    </r>
    <r>
      <rPr>
        <sz val="10"/>
        <color rgb="FF000000"/>
        <rFont val="Arial"/>
        <scheme val="minor"/>
      </rPr>
      <t xml:space="preserve">The team had to wait on getting Donor database access
Still don’t have our own B2C policy
</t>
    </r>
    <r>
      <rPr>
        <b/>
        <sz val="10"/>
        <color rgb="FF000000"/>
        <rFont val="Arial"/>
        <scheme val="minor"/>
      </rPr>
      <t xml:space="preserve">Kudos
Joe:
</t>
    </r>
    <r>
      <rPr>
        <sz val="10"/>
        <color rgb="FF000000"/>
        <rFont val="Arial"/>
        <scheme val="minor"/>
      </rPr>
      <t xml:space="preserve">Prabhu and offshore team for some really great dev work, pagination, filtering and caching. That's a big ask  and they have done a terrific job. OB is looking great (+1 Mike)
</t>
    </r>
    <r>
      <rPr>
        <b/>
        <sz val="10"/>
        <color rgb="FF000000"/>
        <rFont val="Arial"/>
        <scheme val="minor"/>
      </rPr>
      <t xml:space="preserve">Alice:
</t>
    </r>
    <r>
      <rPr>
        <sz val="10"/>
        <color rgb="FF000000"/>
        <rFont val="Arial"/>
        <scheme val="minor"/>
      </rPr>
      <t xml:space="preserve">Mercy and Murugasen for doing a lot of  good testing, creating good test plans, catching bugs early codes come clean letting Alice focus on automation
Prabhu for letting me know things are ready for testing and in general very smooth
All the pre testing done by dev is ending up with sprints going smoother
</t>
    </r>
    <r>
      <rPr>
        <b/>
        <sz val="10"/>
        <color rgb="FF000000"/>
        <rFont val="Arial"/>
        <scheme val="minor"/>
      </rPr>
      <t xml:space="preserve">Prabhu:
</t>
    </r>
    <r>
      <rPr>
        <sz val="10"/>
        <color rgb="FF000000"/>
        <rFont val="Arial"/>
        <scheme val="minor"/>
      </rPr>
      <t xml:space="preserve">Joe for all the support he has provided for the team
Preethi on the caching , filtering and pagination work. She did a tremendous job on all of these items (+1 Joe)
AliCe, Mercy and Murugasen for the thorough testing
</t>
    </r>
  </si>
  <si>
    <t>OB-OP 8.4 Sprint 2</t>
  </si>
  <si>
    <r>
      <rPr>
        <sz val="10"/>
        <color rgb="FF000000"/>
        <rFont val="Arial"/>
        <scheme val="minor"/>
      </rPr>
      <t xml:space="preserve">Finish OB UX and beginning phase 2 of Donor platform
</t>
    </r>
    <r>
      <rPr>
        <b/>
        <sz val="10"/>
        <color rgb="FF000000"/>
        <rFont val="Arial"/>
        <scheme val="minor"/>
      </rPr>
      <t xml:space="preserve">Accomplishment
</t>
    </r>
    <r>
      <rPr>
        <sz val="10"/>
        <color rgb="FF000000"/>
        <rFont val="Arial"/>
        <scheme val="minor"/>
      </rPr>
      <t>1. Completed current sprint stories and took stories from backlog
2. Completed code cleanup for most of the areas</t>
    </r>
  </si>
  <si>
    <r>
      <rPr>
        <b/>
        <sz val="10"/>
        <color rgb="FF000000"/>
        <rFont val="Arial"/>
        <scheme val="minor"/>
      </rPr>
      <t xml:space="preserve">Well the retro appreciation for each of  you says it all, Well Done Team for yet another great Sprint! Both Devs and QAs were equally  appreciated for high delivery quality, keep up the good work Team
What went well?
</t>
    </r>
    <r>
      <rPr>
        <sz val="10"/>
        <color rgb="FF000000"/>
        <rFont val="Arial"/>
        <scheme val="minor"/>
      </rPr>
      <t xml:space="preserve">Completed more than planned stories even though it was holiday time
</t>
    </r>
    <r>
      <rPr>
        <b/>
        <sz val="10"/>
        <color rgb="FF000000"/>
        <rFont val="Arial"/>
        <scheme val="minor"/>
      </rPr>
      <t xml:space="preserve">
What didn’t go well?
</t>
    </r>
    <r>
      <rPr>
        <sz val="10"/>
        <color rgb="FF000000"/>
        <rFont val="Arial"/>
        <scheme val="minor"/>
      </rPr>
      <t xml:space="preserve">Setting up the new Dev environment for Donor platform is challenging
</t>
    </r>
    <r>
      <rPr>
        <b/>
        <sz val="10"/>
        <color rgb="FF000000"/>
        <rFont val="Arial"/>
        <scheme val="minor"/>
      </rPr>
      <t xml:space="preserve">
Kudos
Joe:
</t>
    </r>
    <r>
      <rPr>
        <sz val="10"/>
        <color rgb="FF000000"/>
        <rFont val="Arial"/>
        <scheme val="minor"/>
      </rPr>
      <t xml:space="preserve">Offshore team has done great work particularly OB . It looks great. They are in  rhythm and code quality is really great. (+1 Mike +1 Alice +1 Prabhu +1 Rajesh)
Prabhu for being a great leader, organizer great PR and testing (+1 Mike +1 Alice +1 Rajesh)
</t>
    </r>
    <r>
      <rPr>
        <b/>
        <sz val="10"/>
        <color rgb="FF000000"/>
        <rFont val="Arial"/>
        <scheme val="minor"/>
      </rPr>
      <t xml:space="preserve">
Alice:
</t>
    </r>
    <r>
      <rPr>
        <sz val="10"/>
        <color rgb="FF000000"/>
        <rFont val="Arial"/>
        <scheme val="minor"/>
      </rPr>
      <t xml:space="preserve">Offshore Qa for some great test plans and great testing, couple issues caught early and resolved
A lot of testing happens in Dev before coming to TST
Joe, Rajesh and Moose for the environment set up
</t>
    </r>
    <r>
      <rPr>
        <b/>
        <sz val="10"/>
        <color rgb="FF000000"/>
        <rFont val="Arial"/>
        <scheme val="minor"/>
      </rPr>
      <t xml:space="preserve">
Prabu:
</t>
    </r>
    <r>
      <rPr>
        <sz val="10"/>
        <color rgb="FF000000"/>
        <rFont val="Arial"/>
        <scheme val="minor"/>
      </rPr>
      <t xml:space="preserve">Rajesh for supporting and resolving issues whenever requested (+1 Joe) and resolving it the same day
Joe and Alice for their support for the entire support
Derek for always being available for the team (+1 Joe)
</t>
    </r>
  </si>
  <si>
    <t>OB-OP 8.4 Sprint 4</t>
  </si>
  <si>
    <r>
      <rPr>
        <sz val="10"/>
        <color rgb="FF000000"/>
        <rFont val="Arial"/>
        <scheme val="minor"/>
      </rPr>
      <t xml:space="preserve">Release OB 8.4.0 to CRT. Test it thoroughly. Continue Donor Platform build for b2c
</t>
    </r>
    <r>
      <rPr>
        <b/>
        <sz val="10"/>
        <color rgb="FF000000"/>
        <rFont val="Arial"/>
        <scheme val="minor"/>
      </rPr>
      <t xml:space="preserve">Accomplishment
</t>
    </r>
    <r>
      <rPr>
        <sz val="10"/>
        <color rgb="FF000000"/>
        <rFont val="Arial"/>
        <scheme val="minor"/>
      </rPr>
      <t>Completed current sprint stories and started to work from the backlog</t>
    </r>
  </si>
  <si>
    <r>
      <rPr>
        <sz val="10"/>
        <color rgb="FF000000"/>
        <rFont val="Arial"/>
        <scheme val="minor"/>
      </rPr>
      <t xml:space="preserve">Peer CRC:0 
Onsite CRC:0
Client CRC: 0
Internal Defects:0
External Defects: 0
</t>
    </r>
    <r>
      <rPr>
        <b/>
        <sz val="10"/>
        <color rgb="FF000000"/>
        <rFont val="Arial"/>
        <scheme val="minor"/>
      </rPr>
      <t xml:space="preserve">Pending Reason
DON-183 - </t>
    </r>
    <r>
      <rPr>
        <sz val="10"/>
        <color rgb="FF000000"/>
        <rFont val="Arial"/>
        <scheme val="minor"/>
      </rPr>
      <t>Development completed from offshore end and PR also got approved, currently its in VERIFY status, testing will be done in next sprint</t>
    </r>
  </si>
  <si>
    <r>
      <rPr>
        <b/>
        <sz val="10"/>
        <color rgb="FF000000"/>
        <rFont val="Arial"/>
        <scheme val="minor"/>
      </rPr>
      <t xml:space="preserve">Great effort, Keep up the good work!
What went well?
</t>
    </r>
    <r>
      <rPr>
        <sz val="10"/>
        <color rgb="FF000000"/>
        <rFont val="Arial"/>
        <scheme val="minor"/>
      </rPr>
      <t xml:space="preserve">CRT release went and CS team tested and shared their feedback
</t>
    </r>
    <r>
      <rPr>
        <b/>
        <sz val="10"/>
        <color rgb="FF000000"/>
        <rFont val="Arial"/>
        <scheme val="minor"/>
      </rPr>
      <t xml:space="preserve">
What didn’t go well?
</t>
    </r>
    <r>
      <rPr>
        <sz val="10"/>
        <color rgb="FF000000"/>
        <rFont val="Arial"/>
        <scheme val="minor"/>
      </rPr>
      <t xml:space="preserve">Trouble shooting and setting up the new Dev environment has been difficult
</t>
    </r>
    <r>
      <rPr>
        <b/>
        <sz val="10"/>
        <color rgb="FF000000"/>
        <rFont val="Arial"/>
        <scheme val="minor"/>
      </rPr>
      <t xml:space="preserve">
Kudos
Joe: 
</t>
    </r>
    <r>
      <rPr>
        <sz val="10"/>
        <color rgb="FF000000"/>
        <rFont val="Arial"/>
        <scheme val="minor"/>
      </rPr>
      <t xml:space="preserve">Prabhu really pushes the pace of the team and that's why we were able to bring in those bugs(+1 Rajesh)
Consistent high quality work by the team(+1 Prabhu)
B2C pages looks great +1 Prabhu
Derek for queuing in all those bugs from CS and internal Stakeholders (+1 Alice, +1 Rajesh, +1 Prabhu)
Client Services for great testing (+1 Alice)
Great testing by CS, Alice and offshore in the past Sprint 
</t>
    </r>
    <r>
      <rPr>
        <b/>
        <sz val="10"/>
        <color rgb="FF000000"/>
        <rFont val="Arial"/>
        <scheme val="minor"/>
      </rPr>
      <t xml:space="preserve">
Alice:
</t>
    </r>
    <r>
      <rPr>
        <sz val="10"/>
        <color rgb="FF000000"/>
        <rFont val="Arial"/>
        <scheme val="minor"/>
      </rPr>
      <t xml:space="preserve">Offshore Dev for fixing all the bugs
Offshore Qa Mercy for finding few of the bugs
Online Bidding sales issue support from Rajesh and Joe
</t>
    </r>
    <r>
      <rPr>
        <b/>
        <sz val="10"/>
        <color rgb="FF000000"/>
        <rFont val="Arial"/>
        <scheme val="minor"/>
      </rPr>
      <t xml:space="preserve">
Prabhu:
</t>
    </r>
    <r>
      <rPr>
        <sz val="10"/>
        <color rgb="FF000000"/>
        <rFont val="Arial"/>
        <scheme val="minor"/>
      </rPr>
      <t xml:space="preserve">Offshore team for taking ownership of the bugs which came and they quickly fixed it. 
Kudos to Preethi, Karthi and Mercy(+1 Joe, +1 Mike , +1 Alice , +1 Rajesh)
All the bugs got discussed and completed because of Joe ‘s support given he already had a lot on his plate
</t>
    </r>
  </si>
  <si>
    <t>OB-OP 8.5 Sprint 1</t>
  </si>
  <si>
    <r>
      <rPr>
        <sz val="10"/>
        <color rgb="FF000000"/>
        <rFont val="Arial"/>
        <scheme val="minor"/>
      </rPr>
      <t xml:space="preserve">Release OB 8.4.0 to CRT. Test it thoroughly. Continue Donor Platform build for b2c
</t>
    </r>
    <r>
      <rPr>
        <b/>
        <sz val="10"/>
        <color rgb="FF000000"/>
        <rFont val="Arial"/>
        <scheme val="minor"/>
      </rPr>
      <t xml:space="preserve">Accomplishment
</t>
    </r>
    <r>
      <rPr>
        <sz val="10"/>
        <color rgb="FF000000"/>
        <rFont val="Arial"/>
        <scheme val="minor"/>
      </rPr>
      <t>Completed current sprint planned development stories
Took a stretch story and made good progress on that</t>
    </r>
  </si>
  <si>
    <r>
      <rPr>
        <sz val="10"/>
        <color rgb="FF000000"/>
        <rFont val="Arial"/>
        <scheme val="minor"/>
      </rPr>
      <t xml:space="preserve">Peer CRC:0 
Onsite CRC:0
Client CRC: 0
Internal Defects:0
External Defects: 0
</t>
    </r>
    <r>
      <rPr>
        <b/>
        <sz val="10"/>
        <color rgb="FF000000"/>
        <rFont val="Arial"/>
        <scheme val="minor"/>
      </rPr>
      <t xml:space="preserve">Pending Reason
</t>
    </r>
    <r>
      <rPr>
        <sz val="10"/>
        <color rgb="FF000000"/>
        <rFont val="Arial"/>
        <scheme val="minor"/>
      </rPr>
      <t>DON-189 - Development is completed as per the requirement given at the beginning and draft PR was created but now requirement is going to change and yet to update that in AC by PO, so this was kept hold and will be carry forwarded to next sprint.</t>
    </r>
  </si>
  <si>
    <r>
      <rPr>
        <b/>
        <sz val="10"/>
        <color rgb="FF000000"/>
        <rFont val="Arial"/>
        <scheme val="minor"/>
      </rPr>
      <t xml:space="preserve">Well Done Team!
What went well?
Completed more than planned 
What didn’t go well?
</t>
    </r>
    <r>
      <rPr>
        <sz val="10"/>
        <color rgb="FF000000"/>
        <rFont val="Arial"/>
        <scheme val="minor"/>
      </rPr>
      <t xml:space="preserve">Working with Donor B2C team  has been challenging because of the time difference
OP escalations taking up time
</t>
    </r>
    <r>
      <rPr>
        <b/>
        <sz val="10"/>
        <color rgb="FF000000"/>
        <rFont val="Arial"/>
        <scheme val="minor"/>
      </rPr>
      <t xml:space="preserve">
Kudos
Joe: 
</t>
    </r>
    <r>
      <rPr>
        <sz val="10"/>
        <color rgb="FF000000"/>
        <rFont val="Arial"/>
        <scheme val="minor"/>
      </rPr>
      <t xml:space="preserve">All of the offshore team, their quality of work has been really high right now and that has led to more stories as the code quality is high and gets completed after the 1st pull request.No sending back (+1 Alice, +1 Mike H, +1 Prabhu, +1 Rajesh)
Derek for keeping tickets up to date, getting all the stories AC up to date as per request (+1 Alice, +1 Prabhu)
Alice for getting all the testing done at the end of the sprint and CRT testing as well
</t>
    </r>
    <r>
      <rPr>
        <b/>
        <sz val="10"/>
        <color rgb="FF000000"/>
        <rFont val="Arial"/>
        <scheme val="minor"/>
      </rPr>
      <t xml:space="preserve">
Alice:
</t>
    </r>
    <r>
      <rPr>
        <sz val="10"/>
        <color rgb="FF000000"/>
        <rFont val="Arial"/>
        <scheme val="minor"/>
      </rPr>
      <t xml:space="preserve">Offshore QA for getting all the bases covered and an extra eye on CRT  environment
Joe and Prabhu for the extra support  with testing the stories and completing them 
</t>
    </r>
    <r>
      <rPr>
        <b/>
        <sz val="10"/>
        <color rgb="FF000000"/>
        <rFont val="Arial"/>
        <scheme val="minor"/>
      </rPr>
      <t xml:space="preserve">
Prabhu:
</t>
    </r>
    <r>
      <rPr>
        <sz val="10"/>
        <color rgb="FF000000"/>
        <rFont val="Arial"/>
        <scheme val="minor"/>
      </rPr>
      <t xml:space="preserve">The team was able to complete all the stories only because Joe took up the complex tasks
</t>
    </r>
    <r>
      <rPr>
        <b/>
        <sz val="10"/>
        <color rgb="FF000000"/>
        <rFont val="Arial"/>
        <scheme val="minor"/>
      </rPr>
      <t xml:space="preserve">
Mike: 
</t>
    </r>
    <r>
      <rPr>
        <sz val="10"/>
        <color rgb="FF000000"/>
        <rFont val="Arial"/>
        <scheme val="minor"/>
      </rPr>
      <t xml:space="preserve">Rajesh for helping me with the Op escalations
Joe for helping me with GCP and B2C teams 
</t>
    </r>
    <r>
      <rPr>
        <b/>
        <sz val="10"/>
        <color rgb="FF000000"/>
        <rFont val="Arial"/>
        <scheme val="minor"/>
      </rPr>
      <t xml:space="preserve">
Anything that needs to be highlighted from the past Sprint
</t>
    </r>
    <r>
      <rPr>
        <sz val="10"/>
        <color rgb="FF000000"/>
        <rFont val="Arial"/>
        <scheme val="minor"/>
      </rPr>
      <t xml:space="preserve">Donor Dev environment is up and running
</t>
    </r>
    <r>
      <rPr>
        <b/>
        <sz val="10"/>
        <color rgb="FF000000"/>
        <rFont val="Arial"/>
        <scheme val="minor"/>
      </rPr>
      <t xml:space="preserve">
Takeaways
</t>
    </r>
    <r>
      <rPr>
        <sz val="10"/>
        <color rgb="FF000000"/>
        <rFont val="Arial"/>
        <scheme val="minor"/>
      </rPr>
      <t>Going forward for the next releases, as a team we need to remind ourselves that given a deadline we need to release the MVP for the release and tackle the rest in the next release instead of stretching ourselves</t>
    </r>
  </si>
  <si>
    <t>OB-OP 8.5 Sprint 2</t>
  </si>
  <si>
    <r>
      <rPr>
        <sz val="10"/>
        <color rgb="FF000000"/>
        <rFont val="Arial"/>
        <scheme val="minor"/>
      </rPr>
      <t xml:space="preserve">Release OB 8.4.0 to CRT. Test it thoroughly. Continue Donor Platform build for b2c
</t>
    </r>
    <r>
      <rPr>
        <b/>
        <sz val="10"/>
        <color rgb="FF000000"/>
        <rFont val="Arial"/>
        <scheme val="minor"/>
      </rPr>
      <t xml:space="preserve">Accomplishment
</t>
    </r>
    <r>
      <rPr>
        <sz val="10"/>
        <color rgb="FF000000"/>
        <rFont val="Arial"/>
        <scheme val="minor"/>
      </rPr>
      <t>Completed stepper 2 component though it was complex
Development for all the planned sprint stories are completed</t>
    </r>
  </si>
  <si>
    <r>
      <rPr>
        <sz val="10"/>
        <color rgb="FF000000"/>
        <rFont val="Arial"/>
        <scheme val="minor"/>
      </rPr>
      <t xml:space="preserve">Peer CRC:0 
Onsite CRC:0
Client CRC: 0
Internal Defects:0
External Defects: 0
</t>
    </r>
    <r>
      <rPr>
        <b/>
        <sz val="10"/>
        <color rgb="FF000000"/>
        <rFont val="Arial"/>
        <scheme val="minor"/>
      </rPr>
      <t xml:space="preserve">Pending reason
</t>
    </r>
    <r>
      <rPr>
        <sz val="10"/>
        <color rgb="FF000000"/>
        <rFont val="Arial"/>
        <scheme val="minor"/>
      </rPr>
      <t>DON-185 - Checkout Steeper 2 was complex and Stepper 3 was dependent on Stepper 2 which kind of delayed completing Stepper 3, development completed and shared the PR</t>
    </r>
  </si>
  <si>
    <r>
      <rPr>
        <b/>
        <sz val="10"/>
        <color rgb="FF000000"/>
        <rFont val="Arial"/>
        <scheme val="minor"/>
      </rPr>
      <t xml:space="preserve">A very challenging Sprint, everyone in retro acknowledged it.
What went well?
</t>
    </r>
    <r>
      <rPr>
        <sz val="10"/>
        <color rgb="FF000000"/>
        <rFont val="Arial"/>
        <scheme val="minor"/>
      </rPr>
      <t xml:space="preserve">A lot got completed given how complex some of the stories turned out to be 
</t>
    </r>
    <r>
      <rPr>
        <b/>
        <sz val="10"/>
        <color rgb="FF000000"/>
        <rFont val="Arial"/>
        <scheme val="minor"/>
      </rPr>
      <t xml:space="preserve">
What didn’t go well?
</t>
    </r>
    <r>
      <rPr>
        <sz val="10"/>
        <color rgb="FF000000"/>
        <rFont val="Arial"/>
        <scheme val="minor"/>
      </rPr>
      <t xml:space="preserve">Checkout Steeper 2 was complex and Stepper 3 was dependent on Stepper 2 which kind of delayed completing Stepper 3
The scenarios for back button were a lot more than the effort originally planned by the team 
Delay in response from B2C team given the different time zones
</t>
    </r>
    <r>
      <rPr>
        <b/>
        <sz val="10"/>
        <color rgb="FF000000"/>
        <rFont val="Arial"/>
        <scheme val="minor"/>
      </rPr>
      <t xml:space="preserve">
Kudos
Joe: 
</t>
    </r>
    <r>
      <rPr>
        <sz val="10"/>
        <color rgb="FF000000"/>
        <rFont val="Arial"/>
        <scheme val="minor"/>
      </rPr>
      <t xml:space="preserve">Team did a great job on(+1 Mike H, +1 Rajesh , +1 Alice)
OB price sorting as we knew it has potential to cause issues. The team did a great job
Donor side - great job on Stepper 
Kudos to Prabhu for keeping everyone on schedule and peer reviews with the OB release coming up. He has done  a lot in leading the team (+1 Mike H, +1 Rajesh , +1 Alice)
Alice found some issues which we missed, thanks for the thorough testing( +1 Prabhu)
Thanks Mike  on taking lead on the OP Apigee URL switch
</t>
    </r>
    <r>
      <rPr>
        <b/>
        <sz val="10"/>
        <color rgb="FF000000"/>
        <rFont val="Arial"/>
        <scheme val="minor"/>
      </rPr>
      <t xml:space="preserve">
Alice:
</t>
    </r>
    <r>
      <rPr>
        <sz val="10"/>
        <color rgb="FF000000"/>
        <rFont val="Arial"/>
        <scheme val="minor"/>
      </rPr>
      <t xml:space="preserve">Joe and Prabhu for support on testing efforts
Shout out to Derek for all the last minute information close to release(+1 Joe, +1 Prabhu)
Great testing and test plans from Mercy and Murugasen
</t>
    </r>
    <r>
      <rPr>
        <b/>
        <sz val="10"/>
        <color rgb="FF000000"/>
        <rFont val="Arial"/>
        <scheme val="minor"/>
      </rPr>
      <t xml:space="preserve">
Prabhu:
</t>
    </r>
    <r>
      <rPr>
        <sz val="10"/>
        <color rgb="FF000000"/>
        <rFont val="Arial"/>
        <scheme val="minor"/>
      </rPr>
      <t xml:space="preserve">Joe for leading the way for MFA and lot of insights on the work in the Sprint 
Offshore got a lot done this sprint even though we couldn’t mark those complete
</t>
    </r>
  </si>
  <si>
    <t>OB-OP 8.5 Sprint 3</t>
  </si>
  <si>
    <r>
      <rPr>
        <sz val="10"/>
        <color rgb="FF000000"/>
        <rFont val="Arial"/>
        <scheme val="minor"/>
      </rPr>
      <t xml:space="preserve">Release OB 8.4.0 to PRD. OP Security Items. Continue Donor Platform work
</t>
    </r>
    <r>
      <rPr>
        <b/>
        <sz val="10"/>
        <color rgb="FF000000"/>
        <rFont val="Arial"/>
        <scheme val="minor"/>
      </rPr>
      <t xml:space="preserve">Accomplishment
</t>
    </r>
    <r>
      <rPr>
        <sz val="10"/>
        <color rgb="FF000000"/>
        <rFont val="Arial"/>
        <scheme val="minor"/>
      </rPr>
      <t>Completed the current sprint assigned stories
Made very good progress on the 2 stretch stories - Development completed and PR raised</t>
    </r>
  </si>
  <si>
    <r>
      <rPr>
        <sz val="10"/>
        <color rgb="FF000000"/>
        <rFont val="Arial"/>
        <scheme val="minor"/>
      </rPr>
      <t xml:space="preserve">Peer CRC:0 
Onsite CRC:0
Client CRC: 2
Internal Defects:2
External Defects: 0
</t>
    </r>
    <r>
      <rPr>
        <b/>
        <sz val="10"/>
        <color rgb="FF000000"/>
        <rFont val="Arial"/>
        <scheme val="minor"/>
      </rPr>
      <t xml:space="preserve">Client CRC
</t>
    </r>
    <r>
      <rPr>
        <sz val="10"/>
        <color rgb="FF000000"/>
        <rFont val="Arial"/>
        <scheme val="minor"/>
      </rPr>
      <t xml:space="preserve">1. Implement timeout and response size handling
2. This response status needs to get checked &amp; errors handled according to their type.
</t>
    </r>
    <r>
      <rPr>
        <b/>
        <sz val="10"/>
        <color rgb="FF000000"/>
        <rFont val="Arial"/>
        <scheme val="minor"/>
      </rPr>
      <t xml:space="preserve">Internal Defect
</t>
    </r>
    <r>
      <rPr>
        <sz val="10"/>
        <color rgb="FF000000"/>
        <rFont val="Arial"/>
        <scheme val="minor"/>
      </rPr>
      <t>DON-312, DON-313 - Both features were working during the development and local testing phases. However, after making a few code changes based on Prabu’s and Joe’s suggestions, this part of the logic was missed somehow.</t>
    </r>
  </si>
  <si>
    <r>
      <rPr>
        <b/>
        <sz val="10"/>
        <color rgb="FF000000"/>
        <rFont val="Arial"/>
        <scheme val="minor"/>
      </rPr>
      <t xml:space="preserve">Well Done team for completed a good Sprint. A lot positive feedback for the foort which went in for the OB release.
What went well?
</t>
    </r>
    <r>
      <rPr>
        <sz val="10"/>
        <color rgb="FF000000"/>
        <rFont val="Arial"/>
        <scheme val="minor"/>
      </rPr>
      <t xml:space="preserve">Prod release went well
Completed all the planned stories
</t>
    </r>
    <r>
      <rPr>
        <b/>
        <sz val="10"/>
        <color rgb="FF000000"/>
        <rFont val="Arial"/>
        <scheme val="minor"/>
      </rPr>
      <t xml:space="preserve">
What didn’t go well?
</t>
    </r>
    <r>
      <rPr>
        <sz val="10"/>
        <color rgb="FF000000"/>
        <rFont val="Arial"/>
        <scheme val="minor"/>
      </rPr>
      <t xml:space="preserve">Working with B2C team took more time than planned given their availability
Reproducing OP errors was challenging
</t>
    </r>
    <r>
      <rPr>
        <b/>
        <sz val="10"/>
        <color rgb="FF000000"/>
        <rFont val="Arial"/>
        <scheme val="minor"/>
      </rPr>
      <t xml:space="preserve">
Kudos
Joe: 
</t>
    </r>
    <r>
      <rPr>
        <sz val="10"/>
        <color rgb="FF000000"/>
        <rFont val="Arial"/>
        <scheme val="minor"/>
      </rPr>
      <t xml:space="preserve">Some really good work on Checkout
Irsath and arivalagan and Prabhu backed me on this, don 128 
Release went well (+1 Derek)
Thanks for offshore for the great work and Prabhu Sankar [C], a lot of time was spent on OB for the last few months.  I really appreciate all the work
A ton of automation works which goes in with UX changes, thanks to Alice for taking care of all the automation work
Derek for dealing with all the client interaction
</t>
    </r>
    <r>
      <rPr>
        <b/>
        <sz val="10"/>
        <color rgb="FF000000"/>
        <rFont val="Arial"/>
        <scheme val="minor"/>
      </rPr>
      <t xml:space="preserve">
Alice:
</t>
    </r>
    <r>
      <rPr>
        <sz val="10"/>
        <color rgb="FF000000"/>
        <rFont val="Arial"/>
        <scheme val="minor"/>
      </rPr>
      <t xml:space="preserve">Entire team for a great release OB 8.4.0 (+1 Prabhu, +1 Rajesh, +1 Mike)
Derek for managing all our stories and progression for the OB UX release(+1 Joe)
Offshore QA Mercy for good testing leading to a smooth release
CS also helped in identifying a lot of issues which the team was able to fix before the release
</t>
    </r>
    <r>
      <rPr>
        <b/>
        <sz val="10"/>
        <color rgb="FF000000"/>
        <rFont val="Arial"/>
        <scheme val="minor"/>
      </rPr>
      <t xml:space="preserve">
Prabhu:
</t>
    </r>
    <r>
      <rPr>
        <sz val="10"/>
        <color rgb="FF000000"/>
        <rFont val="Arial"/>
        <scheme val="minor"/>
      </rPr>
      <t xml:space="preserve">Don 128 and Don 129 Irsath, arivalagan, kanna and Ubai for the progress on it
Rajesh for helping in identifying the root cause of the OP issue
</t>
    </r>
    <r>
      <rPr>
        <b/>
        <sz val="10"/>
        <color rgb="FF000000"/>
        <rFont val="Arial"/>
        <scheme val="minor"/>
      </rPr>
      <t xml:space="preserve">
Mike: 
</t>
    </r>
    <r>
      <rPr>
        <sz val="10"/>
        <color rgb="FF000000"/>
        <rFont val="Arial"/>
        <scheme val="minor"/>
      </rPr>
      <t xml:space="preserve">Joe for making great strides on the B2c stories (+1 Prabhu)
Anything that needs to be highlighted from the past Sprint
Ob UX release went well and that will increase the performance going forward
</t>
    </r>
    <r>
      <rPr>
        <b/>
        <sz val="10"/>
        <color rgb="FF000000"/>
        <rFont val="Arial"/>
        <scheme val="minor"/>
      </rPr>
      <t xml:space="preserve">
Takeaways
</t>
    </r>
    <r>
      <rPr>
        <sz val="10"/>
        <color rgb="FF000000"/>
        <rFont val="Arial"/>
        <scheme val="minor"/>
      </rPr>
      <t>If we have mock data and put it in a local file and not into the repository
Point the stories better to be able to complete the stories without getting stretched
Going forward for the next releases, as a team we need to remind ourselves that given a deadline we need to release the MVP for the release and tackle the rest in the next release instead of stretching ourselves</t>
    </r>
  </si>
  <si>
    <t>OB-OP 8.5 Sprint 4</t>
  </si>
  <si>
    <r>
      <rPr>
        <sz val="10"/>
        <color rgb="FF000000"/>
        <rFont val="Arial"/>
        <scheme val="minor"/>
      </rPr>
      <t xml:space="preserve">OB 8.5.0 CRT release and continue with Donor work
</t>
    </r>
    <r>
      <rPr>
        <b/>
        <sz val="10"/>
        <color rgb="FF000000"/>
        <rFont val="Arial"/>
        <scheme val="minor"/>
      </rPr>
      <t xml:space="preserve">Accomplishment
</t>
    </r>
    <r>
      <rPr>
        <sz val="10"/>
        <color rgb="FF000000"/>
        <rFont val="Arial"/>
        <scheme val="minor"/>
      </rPr>
      <t>1. Completed current sprint stories and made good progress on stretch stories as well, development completed and gave for peer review
2. Did good work on checkout pages</t>
    </r>
  </si>
  <si>
    <r>
      <rPr>
        <sz val="10"/>
        <color rgb="FF000000"/>
        <rFont val="Arial"/>
        <scheme val="minor"/>
      </rPr>
      <t xml:space="preserve">Peer CRC:0 
Onsite CRC:1
Client CRC: 2
Internal Defects:0
External Defects: 0
</t>
    </r>
    <r>
      <rPr>
        <b/>
        <sz val="10"/>
        <color rgb="FF000000"/>
        <rFont val="Arial"/>
        <scheme val="minor"/>
      </rPr>
      <t xml:space="preserve">Client CRC
</t>
    </r>
    <r>
      <rPr>
        <sz val="10"/>
        <color rgb="FF000000"/>
        <rFont val="Arial"/>
        <scheme val="minor"/>
      </rPr>
      <t xml:space="preserve">1. withCredentials: true is applied to all requests unconditionally here. The issue is a lack of domain check.
2. Any authorized user could pass a cardReferenceId. We need to extract claims.
</t>
    </r>
    <r>
      <rPr>
        <b/>
        <sz val="10"/>
        <color rgb="FF000000"/>
        <rFont val="Arial"/>
        <scheme val="minor"/>
      </rPr>
      <t xml:space="preserve">Onsite CRC
</t>
    </r>
    <r>
      <rPr>
        <sz val="10"/>
        <color rgb="FF000000"/>
        <rFont val="Arial"/>
        <scheme val="minor"/>
      </rPr>
      <t xml:space="preserve">If we are passing firstname to this method as a first parameter, should we receive it as a firstname right? Creating confusions b/w firstname and username . Name it as relevant
</t>
    </r>
  </si>
  <si>
    <r>
      <rPr>
        <b/>
        <sz val="10"/>
        <color rgb="FF000000"/>
        <rFont val="Arial"/>
        <scheme val="minor"/>
      </rPr>
      <t xml:space="preserve">Well Done on another great sprint!
What went well?
</t>
    </r>
    <r>
      <rPr>
        <sz val="10"/>
        <color rgb="FF000000"/>
        <rFont val="Arial"/>
        <scheme val="minor"/>
      </rPr>
      <t xml:space="preserve">Completed the planned stories and a few stretch
</t>
    </r>
    <r>
      <rPr>
        <b/>
        <sz val="10"/>
        <color rgb="FF000000"/>
        <rFont val="Arial"/>
        <scheme val="minor"/>
      </rPr>
      <t xml:space="preserve">What didn’t go well?
</t>
    </r>
    <r>
      <rPr>
        <sz val="10"/>
        <color rgb="FF000000"/>
        <rFont val="Arial"/>
        <scheme val="minor"/>
      </rPr>
      <t xml:space="preserve">Dependency on B2C and GCP team was a blocker
It was challenging for the team to reproduce the OP splash page error
</t>
    </r>
    <r>
      <rPr>
        <b/>
        <sz val="10"/>
        <color rgb="FF000000"/>
        <rFont val="Arial"/>
        <scheme val="minor"/>
      </rPr>
      <t xml:space="preserve">Kudos
Joe: 
</t>
    </r>
    <r>
      <rPr>
        <sz val="10"/>
        <color rgb="FF000000"/>
        <rFont val="Arial"/>
        <scheme val="minor"/>
      </rPr>
      <t xml:space="preserve">Nice job on Checkout : Prabhu has been working on that feature for 2 weeks now
Rajesh, Karthi and Preethi were able to find where to make the change for OP splash page issue (+1 Mike Horihan)
Thanks for all quick quick work on OB for the Crt release- Alice and offshore
</t>
    </r>
    <r>
      <rPr>
        <b/>
        <sz val="10"/>
        <color rgb="FF000000"/>
        <rFont val="Arial"/>
        <scheme val="minor"/>
      </rPr>
      <t xml:space="preserve">Alice:
</t>
    </r>
    <r>
      <rPr>
        <sz val="10"/>
        <color rgb="FF000000"/>
        <rFont val="Arial"/>
        <scheme val="minor"/>
      </rPr>
      <t xml:space="preserve">Offshore and Murugasen for good test plans and good testing documentation
Dev team for all the work on the release
</t>
    </r>
    <r>
      <rPr>
        <b/>
        <sz val="10"/>
        <color rgb="FF000000"/>
        <rFont val="Arial"/>
        <scheme val="minor"/>
      </rPr>
      <t xml:space="preserve">Prabhu:
</t>
    </r>
    <r>
      <rPr>
        <sz val="10"/>
        <color rgb="FF000000"/>
        <rFont val="Arial"/>
        <scheme val="minor"/>
      </rPr>
      <t xml:space="preserve">Ob/OP offshore team for completing the bugs for the release fast
Donor team did a great job on the checkout step
</t>
    </r>
    <r>
      <rPr>
        <b/>
        <sz val="10"/>
        <color rgb="FF000000"/>
        <rFont val="Arial"/>
        <scheme val="minor"/>
      </rPr>
      <t xml:space="preserve"> 
Mike: 
</t>
    </r>
    <r>
      <rPr>
        <sz val="10"/>
        <color rgb="FF000000"/>
        <rFont val="Arial"/>
        <scheme val="minor"/>
      </rPr>
      <t>Joe for continuing to work on B2C (+1 Rajesh, +1 Prabhu)</t>
    </r>
  </si>
  <si>
    <t>OB-OP 8.6.0 Sprint 1</t>
  </si>
  <si>
    <t>9/0</t>
  </si>
  <si>
    <t>Worked on the checkout and household functionality
Updated the payment component and cancellation token</t>
  </si>
  <si>
    <r>
      <rPr>
        <sz val="10"/>
        <color rgb="FF000000"/>
        <rFont val="Arial"/>
        <scheme val="minor"/>
      </rPr>
      <t xml:space="preserve">OB 8.5.0 Prod release, continue Donor Platform Checkout work, some of OB and OP stories
</t>
    </r>
    <r>
      <rPr>
        <b/>
        <sz val="10"/>
        <color rgb="FF000000"/>
        <rFont val="Arial"/>
        <scheme val="minor"/>
      </rPr>
      <t xml:space="preserve">Accomplishment
</t>
    </r>
    <r>
      <rPr>
        <sz val="10"/>
        <color rgb="FF000000"/>
        <rFont val="Arial"/>
        <scheme val="minor"/>
      </rPr>
      <t>Completed current sprint stories
Took 3 stories from backlog and completed 2
Client mentioned in standup that most of the PRs were ready for review in first week of the sprint itself</t>
    </r>
  </si>
  <si>
    <r>
      <rPr>
        <sz val="10"/>
        <color rgb="FF000000"/>
        <rFont val="Arial"/>
        <scheme val="minor"/>
      </rPr>
      <t xml:space="preserve">Peer CRC:0 
Onsite CRC:0
Client CRC: 2
Internal Defects:0
External Defects: 0
</t>
    </r>
    <r>
      <rPr>
        <b/>
        <sz val="10"/>
        <color rgb="FF000000"/>
        <rFont val="Arial"/>
        <scheme val="minor"/>
      </rPr>
      <t xml:space="preserve">Client CRC
</t>
    </r>
    <r>
      <rPr>
        <sz val="10"/>
        <color rgb="FF000000"/>
        <rFont val="Arial"/>
        <scheme val="minor"/>
      </rPr>
      <t xml:space="preserve">1. Log the exception with account Id. Do not bubble the accountId in the exception revealing it 
2. Let's correct this string interpolation for Angular's binding system while we're in here. We miss this sometimes. </t>
    </r>
  </si>
  <si>
    <r>
      <rPr>
        <b/>
        <sz val="10"/>
        <color rgb="FF000000"/>
        <rFont val="Arial"/>
        <scheme val="minor"/>
      </rPr>
      <t xml:space="preserve">Well Done Team for keeping up the momentum  and completing more than planned!
What went well?
</t>
    </r>
    <r>
      <rPr>
        <sz val="10"/>
        <color rgb="FF000000"/>
        <rFont val="Arial"/>
        <scheme val="minor"/>
      </rPr>
      <t xml:space="preserve">Completed more than planned stories
</t>
    </r>
    <r>
      <rPr>
        <b/>
        <sz val="10"/>
        <color rgb="FF000000"/>
        <rFont val="Arial"/>
        <scheme val="minor"/>
      </rPr>
      <t xml:space="preserve">
What didn’t go well?
</t>
    </r>
    <r>
      <rPr>
        <sz val="10"/>
        <color rgb="FF000000"/>
        <rFont val="Arial"/>
        <scheme val="minor"/>
      </rPr>
      <t xml:space="preserve">Connecting with B2C  team has been challenging
Configuration stuff for Donor environment took a lot of time
The audit process for Donor initial release is time taking
</t>
    </r>
    <r>
      <rPr>
        <b/>
        <sz val="10"/>
        <color rgb="FF000000"/>
        <rFont val="Arial"/>
        <scheme val="minor"/>
      </rPr>
      <t xml:space="preserve">
Kudos
</t>
    </r>
    <r>
      <rPr>
        <sz val="10"/>
        <color rgb="FF000000"/>
        <rFont val="Arial"/>
        <scheme val="minor"/>
      </rPr>
      <t>Lot of great work on Donor tickets this sprint
The payment component and cancellation token work from offshore donor and Rajesh is appreciated
Appreciate Rajesh's stepping up getting the PRs through and made it seamless
Donor - Murugasen has put together a lot of good test plans and good testing
The release went well, a lot of good testing over all so kudos to the team on it
Nivetha has already started creating test plans  running, thanks to the entire teams support in it
Joe for supporting for all the PRs and local testing
Offshore Donor and OB team for completing all tickets. Whole team, has always been self managing</t>
    </r>
  </si>
  <si>
    <t>OB-OP 8.6.0 Sprint 2</t>
  </si>
  <si>
    <t>13/0</t>
  </si>
  <si>
    <t>1. Integrating login flow with Checkout
2. SNYK Remediation and manually address edit</t>
  </si>
  <si>
    <r>
      <rPr>
        <sz val="10"/>
        <color rgb="FF000000"/>
        <rFont val="Arial"/>
        <scheme val="minor"/>
      </rPr>
      <t xml:space="preserve">Continue Donor Platform Checkout work, some of OB and OP stories
</t>
    </r>
    <r>
      <rPr>
        <b/>
        <sz val="10"/>
        <color rgb="FF000000"/>
        <rFont val="Arial"/>
        <scheme val="minor"/>
      </rPr>
      <t xml:space="preserve">Accomplishments
</t>
    </r>
    <r>
      <rPr>
        <sz val="10"/>
        <color rgb="FF000000"/>
        <rFont val="Arial"/>
        <scheme val="minor"/>
      </rPr>
      <t>1. Completed current sprint stories
2. Completed SYNK remediated stories
3. Took 7 stories from backlog and completed 4, made good progress on others</t>
    </r>
  </si>
  <si>
    <r>
      <rPr>
        <b/>
        <sz val="10"/>
        <color rgb="FF000000"/>
        <rFont val="Arial"/>
        <scheme val="minor"/>
      </rPr>
      <t xml:space="preserve">Well Done Team for all the good work!
What went well?
</t>
    </r>
    <r>
      <rPr>
        <sz val="10"/>
        <color rgb="FF000000"/>
        <rFont val="Arial"/>
        <scheme val="minor"/>
      </rPr>
      <t xml:space="preserve">Met the Sprint commit given we have  new team member
</t>
    </r>
    <r>
      <rPr>
        <b/>
        <sz val="10"/>
        <color rgb="FF000000"/>
        <rFont val="Arial"/>
        <scheme val="minor"/>
      </rPr>
      <t xml:space="preserve">What didn’t go well?
</t>
    </r>
    <r>
      <rPr>
        <sz val="10"/>
        <color rgb="FF000000"/>
        <rFont val="Arial"/>
        <scheme val="minor"/>
      </rPr>
      <t xml:space="preserve">B2C continues to be challenging
</t>
    </r>
    <r>
      <rPr>
        <b/>
        <sz val="10"/>
        <color rgb="FF000000"/>
        <rFont val="Arial"/>
        <scheme val="minor"/>
      </rPr>
      <t xml:space="preserve">Kudos
</t>
    </r>
    <r>
      <rPr>
        <sz val="10"/>
        <color rgb="FF000000"/>
        <rFont val="Arial"/>
        <scheme val="minor"/>
      </rPr>
      <t>Team did a great job , kept their foot on the gas pedal all sprint(+1 Mike )
Rajesh a lot gone done this sprint coordinating with offshore(+1 Mike )
Offshore for delivering high quality work(+1 Mike )
Rajesh supported with setup in Donor platform(+1 Mike )
Murugasen for all the testing and putting really good information on the testing report(+1 Mike )
Nivetha for taking care of testing and creating good reports (+1 Mike )
Ob and Donor offshore team for completing all the stories(+1 Mike )
Alice , Murgasen and Nivetha for all the good testing(+1 Mike )</t>
    </r>
  </si>
  <si>
    <t>OB-OP 8.6.0 Sprint 3</t>
  </si>
  <si>
    <t xml:space="preserve">
1. Full flow needs to be the checkout (with project key as well as bidder key)
2. All service health checkup and fixing all identified issues</t>
  </si>
  <si>
    <r>
      <rPr>
        <sz val="10"/>
        <color rgb="FF000000"/>
        <rFont val="Arial"/>
        <scheme val="minor"/>
      </rPr>
      <t xml:space="preserve">Continue Donor Platform, some of OB and OP stories
</t>
    </r>
    <r>
      <rPr>
        <b/>
        <sz val="10"/>
        <color rgb="FF000000"/>
        <rFont val="Arial"/>
        <scheme val="minor"/>
      </rPr>
      <t xml:space="preserve">Accomplishments
</t>
    </r>
    <r>
      <rPr>
        <sz val="10"/>
        <color rgb="FF000000"/>
        <rFont val="Arial"/>
        <scheme val="minor"/>
      </rPr>
      <t>1. Completed the current sprint stories
2. Great job on maintenance notification and health check work
3. Worked on B2c styling updates</t>
    </r>
  </si>
  <si>
    <r>
      <rPr>
        <b/>
        <sz val="10"/>
        <color rgb="FF000000"/>
        <rFont val="Arial"/>
        <scheme val="minor"/>
      </rPr>
      <t xml:space="preserve">Well Done Team for all the good work!
What went well?
</t>
    </r>
    <r>
      <rPr>
        <sz val="10"/>
        <color rgb="FF000000"/>
        <rFont val="Arial"/>
        <scheme val="minor"/>
      </rPr>
      <t xml:space="preserve">    ○ B2C CERT/PROD release credentials created and in progress towards implementation.
    ○ Exceeded expectations of story completion as well as great testing effort in Donor.
</t>
    </r>
    <r>
      <rPr>
        <b/>
        <sz val="10"/>
        <color rgb="FF000000"/>
        <rFont val="Arial"/>
        <scheme val="minor"/>
      </rPr>
      <t xml:space="preserve">What didn’t go well?
 </t>
    </r>
    <r>
      <rPr>
        <sz val="10"/>
        <color rgb="FF000000"/>
        <rFont val="Arial"/>
        <scheme val="minor"/>
      </rPr>
      <t xml:space="preserve">    ○ Reliance on 3rd party teams for routine updates in Donor environments delays our potential.
</t>
    </r>
    <r>
      <rPr>
        <b/>
        <sz val="10"/>
        <color rgb="FF000000"/>
        <rFont val="Arial"/>
        <scheme val="minor"/>
      </rPr>
      <t xml:space="preserve">Kudos
   </t>
    </r>
    <r>
      <rPr>
        <sz val="10"/>
        <color rgb="FF000000"/>
        <rFont val="Arial"/>
        <scheme val="minor"/>
      </rPr>
      <t xml:space="preserve">  ■ Thank you for the last minute testing of the OB slide out menu so we didn’t have to carry it forward.
     ■ Thanks for a great pre-PTO hand-off.
     ■ Thank you for the OP queries
     ■ Offshore team did a great job working within a looser-than-typical arrangement with DON-360 (catch-all), but was able to catch several bugs, resolve, retest and reiterate on some great improvements. (+1Alice)
     ■ Preethi was a huge help in Rajeshs’ absence.
     ■ Great job on B2C styling updates
     ■ Great job on maintenance notification and health check work
     ■ Great testing and fixes for OB (filter clearing and featured package appearance) done by offshore team along with some very good testing documentation from Murugesan and Nivetha. (+1 Joe)
</t>
    </r>
    <r>
      <rPr>
        <b/>
        <sz val="10"/>
        <color rgb="FF000000"/>
        <rFont val="Arial"/>
        <scheme val="minor"/>
      </rPr>
      <t xml:space="preserve">Takeaways
</t>
    </r>
    <r>
      <rPr>
        <sz val="10"/>
        <color rgb="FF000000"/>
        <rFont val="Arial"/>
        <scheme val="minor"/>
      </rPr>
      <t xml:space="preserve">    ○ Loosen the rate limiter for DEV/TST</t>
    </r>
  </si>
  <si>
    <t>OB-OP 8.6.0 Sprint 4</t>
  </si>
  <si>
    <t>Release OP, OB &amp; Donor</t>
  </si>
  <si>
    <t>Total Planned Leaves</t>
  </si>
  <si>
    <t>Total Unplanned Leaves</t>
  </si>
  <si>
    <t>Resource Name</t>
  </si>
  <si>
    <t>Sprint Name</t>
  </si>
  <si>
    <t>Saranya Palani</t>
  </si>
  <si>
    <t>Ubaithulla</t>
  </si>
  <si>
    <t>Arivalagan</t>
  </si>
  <si>
    <t>Irsath</t>
  </si>
  <si>
    <t>Kannan</t>
  </si>
  <si>
    <t>Murugesan</t>
  </si>
  <si>
    <t>OB-OP 8.5 Sprint 1 (29-Jan-26 to 12-Feb-2026)</t>
  </si>
  <si>
    <t>No unplanned leaves</t>
  </si>
  <si>
    <t>OB-OP 8.5 Sprint 2 (12-Jan-26 to 26-Feb-2026)</t>
  </si>
  <si>
    <t>OB-OP 8.5 Sprint 3 (26-Feb-26 to 12-Feb-2026)0</t>
  </si>
  <si>
    <t>3/11/2026 - 1</t>
  </si>
  <si>
    <t>Wife admitted in hospital</t>
  </si>
  <si>
    <t>OB-OP 8.5 Sprint 4 (12-Mar-26 to 26-Mar-2026)</t>
  </si>
  <si>
    <t>OB-OP 8.6.0 Sprint 1 (26-Mar-26 to 09-Apr-2026)</t>
  </si>
  <si>
    <r>
      <rPr>
        <sz val="10"/>
        <color rgb="FF000000"/>
        <rFont val="Arial"/>
      </rPr>
      <t xml:space="preserve">Paternity Leave - 6,7,8,9
</t>
    </r>
    <r>
      <rPr>
        <b/>
        <sz val="10"/>
        <color rgb="FF000000"/>
        <rFont val="Arial"/>
      </rPr>
      <t>Ubai didnt take the planned leave</t>
    </r>
  </si>
  <si>
    <t>OB-OP 8.6.0 Sprint 2 (09-Apr-26 to 23-Apr-2026)</t>
  </si>
  <si>
    <t>OB-OP 8.6.0 Sprint 3 (24-Apr-26 to 07-May-2026)</t>
  </si>
  <si>
    <t>Total</t>
  </si>
  <si>
    <t>S.No</t>
  </si>
  <si>
    <t xml:space="preserve">Sprint </t>
  </si>
  <si>
    <t>Developer</t>
  </si>
  <si>
    <t>Story ID/Defect ID</t>
  </si>
  <si>
    <t>Description</t>
  </si>
  <si>
    <t>Status</t>
  </si>
  <si>
    <t>Estimated(hrs/sp)</t>
  </si>
  <si>
    <t>Actual(hrs/sp)</t>
  </si>
  <si>
    <t>Actual Hours  Worklog</t>
  </si>
  <si>
    <t>Dev Start Date</t>
  </si>
  <si>
    <t>Dev End Date</t>
  </si>
  <si>
    <t>Unit testing</t>
  </si>
  <si>
    <t>Peer Tested By</t>
  </si>
  <si>
    <t>Peer Tested Defects, if any</t>
  </si>
  <si>
    <t>Peer Reviewed By</t>
  </si>
  <si>
    <t>Peer Code Review Comments, if any</t>
  </si>
  <si>
    <t>PR Number/Link</t>
  </si>
  <si>
    <t>PR Created Date</t>
  </si>
  <si>
    <t>PR Approved Date</t>
  </si>
  <si>
    <t>Onsite Lead Code Review</t>
  </si>
  <si>
    <t>Code Review Comments, if any</t>
  </si>
  <si>
    <t>Client Code Review</t>
  </si>
  <si>
    <t>Approved Date</t>
  </si>
  <si>
    <t>Code Review Comments, if any2</t>
  </si>
  <si>
    <t>Internal PO -POV Comments</t>
  </si>
  <si>
    <t>Client PO -POV Comments</t>
  </si>
  <si>
    <t>Comments</t>
  </si>
  <si>
    <t>QA Comments</t>
  </si>
  <si>
    <t>DON-331</t>
  </si>
  <si>
    <t>Design and implement self check-in page for Supporters - Payment Methods</t>
  </si>
  <si>
    <t>Being Developed</t>
  </si>
  <si>
    <t>5/8/2026 - Analysis completed started development.
5/11/2026 -Started the designing 
5/12/2026 - Functionality has been completed</t>
  </si>
  <si>
    <t>Arivalagan/Saranya</t>
  </si>
  <si>
    <t>DON-137</t>
  </si>
  <si>
    <t>Design and implement self check-in page for Supporters - Event details</t>
  </si>
  <si>
    <t>Peer Review</t>
  </si>
  <si>
    <t>Murugesan .M</t>
  </si>
  <si>
    <t xml:space="preserve">
1]location and events font size should match with figma  
2] Event Details should be displayed  on navigate option - 
3] figma shows 434 width for complete check in btn , app shows 534 width and looks bit lengthy  
4 ]event details should be static like back btn in check out page -  
5] hyphen should not be displayed in the header in page tile as per figma - retested 
6] the check in text is not required in the appln header as we have already respective page header in the check
 in page -this looks double entry   -  
7]profile initial and edit profile option is not displayed in the right top of the page -  
8] Check in page should be displayed as in the figma like ticket [ top and bottom curve should come] - 
9]Org icon size should be displayed as it is in the figma</t>
  </si>
  <si>
    <t>5/8/2026 - Analysis completed started development
5/11/2026-Started the design and functionality
5/12/2026-Design and functionality completed</t>
  </si>
  <si>
    <t>Kannan/Ubai</t>
  </si>
  <si>
    <t>DON-330</t>
  </si>
  <si>
    <t>Design and implement self check-in page for Supporters - Tickets</t>
  </si>
  <si>
    <t xml:space="preserve">1] user name and address should be displayed in the ticket , currently events name is displayed wrongly  
2] ticket box should be displayed as in the figma  
3] not checked in and checked in btn color code should be displayed as in the figma  
4] Edit btn should be displayed as in the figma [bold and curve] - 
5]Ticket icon should be displayed as in the figma besides your ticket text -  
6]Your ticket text  and purchased line should be matched with figma  - Retested
7]Donor user name text and size style should be displayed  as in the figma -  
8]edit button functionality need to be fixed and address should be updated -  
9]Ticket name font size looks 18 px in figma ,but the same looks 16 px in the application UI now  
10]Complete check in button width looks 436 px in figma and current ui shows 528 px width  
11]ticket  Image size should rounded off as 13x13 as in the figma  
12] Edit Address should be displayed instead of below edit profile address label text  .  </t>
  </si>
  <si>
    <t>5/8/2026 - Analysis completed  (UX and API)
5/11/2026-Started the design  
5/12/2026-DON-137 code merged and develop completed</t>
  </si>
  <si>
    <t xml:space="preserve">OB-OP 8.6.0 Sprint 4 - [STRETCH] </t>
  </si>
  <si>
    <t>Saranya</t>
  </si>
  <si>
    <t>DON-325</t>
  </si>
  <si>
    <t>Donor Check-in (Event details API) - Backend</t>
  </si>
  <si>
    <t>5/12/2026 - Analysis completed start the api intergration
5/13/2026 - API development completed</t>
  </si>
  <si>
    <t>Ubaithullah</t>
  </si>
  <si>
    <t>DON-328</t>
  </si>
  <si>
    <t>Donor Check-in (Tickets API) - Backend</t>
  </si>
  <si>
    <t xml:space="preserve">5/12/2026 - Analysis and development completed </t>
  </si>
  <si>
    <t>Irsath/Ubaithullah</t>
  </si>
  <si>
    <t>DON-329</t>
  </si>
  <si>
    <t>Donor check-in (Create GET/SET call) - Backend</t>
  </si>
  <si>
    <t xml:space="preserve">5/13/2026 - Analysis completed started development.
5/14/2026 - 30% API has been created 
5/15/2026 - 60% API has been created </t>
  </si>
  <si>
    <t xml:space="preserve"> Sprint</t>
  </si>
  <si>
    <t>Story/Defect ID</t>
  </si>
  <si>
    <t>Parent Story</t>
  </si>
  <si>
    <t>Issue Type</t>
  </si>
  <si>
    <t xml:space="preserve">Issue Description </t>
  </si>
  <si>
    <t>Priority</t>
  </si>
  <si>
    <t>Defect Source</t>
  </si>
  <si>
    <t>Type</t>
  </si>
  <si>
    <t>Root Cause Category</t>
  </si>
  <si>
    <t>Found By</t>
  </si>
  <si>
    <t>RCA Comment</t>
  </si>
  <si>
    <t>DON-348</t>
  </si>
  <si>
    <t>Donor b2c Styling Update</t>
  </si>
  <si>
    <t>Done</t>
  </si>
  <si>
    <t>Murugesan.M</t>
  </si>
  <si>
    <t>Nil</t>
  </si>
  <si>
    <t>https://dev.azure.com/greatergiving/Greater%20Giving/_git/Donor/pullrequest/9479</t>
  </si>
  <si>
    <t>Rajesh</t>
  </si>
  <si>
    <t>Joe</t>
  </si>
  <si>
    <t>4/24/2026 - Deveopment has been completed. Waiting for B2C Team Change the setting of allow external javascript access.
4/28/2026 -Unit Testing has been completed</t>
  </si>
  <si>
    <t xml:space="preserve">4/27/2026-Completed  testing on style .css file
5/6/2026-Tested config scema in dev env </t>
  </si>
  <si>
    <t>DON-351</t>
  </si>
  <si>
    <t>Donor Maintenance Notifications</t>
  </si>
  <si>
    <t>https://dev.azure.com/greatergiving/Greater%20Giving/_git/Donor/pullrequest/9509</t>
  </si>
  <si>
    <t>4/24/2026 - implemented the maintanance notification functionality
4/27/2026 -code refactoring
4/30/2026 - migration script based code changed</t>
  </si>
  <si>
    <t>4/24/2026-Completed first round of testing 
4/29/2026- Completed testing and Prepared validation doc
5/4/2026 -Regression testing 
5/7/2026 - Tested in develop branch</t>
  </si>
  <si>
    <t>DON-356</t>
  </si>
  <si>
    <t>Expan-health-check</t>
  </si>
  <si>
    <t>https://dev.azure.com/greatergiving/Greater%20Giving/_git/Donor/pullrequest/9536</t>
  </si>
  <si>
    <t>4/14/2026-Analysis and stated teh implementation
4/27/2026-Implemented Profile service in repository
4/28/2026-Code refactoring issue are fixed
4/29/2026-Review code fixed</t>
  </si>
  <si>
    <t>4/24/2026- Analysis and Test Scenarios preprations
4/29/2026- Completed first round of testing
4/30/2026- regression testing 
5/7/2026 - Tested in dev env</t>
  </si>
  <si>
    <t>Ubaitullah</t>
  </si>
  <si>
    <t xml:space="preserve">DON-362 </t>
  </si>
  <si>
    <t>Profile update email</t>
  </si>
  <si>
    <t>https://dev.azure.com/greatergiving/Greater%20Giving/_git/Donor/pullrequest/9505</t>
  </si>
  <si>
    <t>4/24/2026 - Developement completed, Provided to QA for testing</t>
  </si>
  <si>
    <t xml:space="preserve">4/24/2026-Completed first round of testing 
4/28/2026- Completed testing and Prepared validation doc
</t>
  </si>
  <si>
    <t>Ubaitullah/
Irsath/
Kannan/Arivalagan/Saranya</t>
  </si>
  <si>
    <t>DON-360</t>
  </si>
  <si>
    <t xml:space="preserve">Donor Catch all
</t>
  </si>
  <si>
    <t>1.Getting internal error 500 and unser unable to login to the appication and throwing an error in console as well</t>
  </si>
  <si>
    <t>Irsath/Ubai</t>
  </si>
  <si>
    <t>https://greatergiving.visualstudio.com/Greater%20Giving/_git/Donor/pullrequest/9530
https://greatergiving.visualstudio.com/Greater%20Giving/_git/Donor/pullrequest/9514
https://greatergiving.visualstudio.com/Greater%20Giving/_git/Donor/pullrequest/9536</t>
  </si>
  <si>
    <t>5/28/2026
5/4/2026
5/5/2026</t>
  </si>
  <si>
    <t>5/5/2026
5/5/2026
5/6/2026</t>
  </si>
  <si>
    <t>NIl</t>
  </si>
  <si>
    <t>4/27/2026 - Bug fixing 15% has been completed
4/28/2026 - Bug fixing 20% has been completed
4/29/2026 - Bug fixing 40% has been completed
4/30/2026 - Bug fixing 70% has been completed
5/4/2026 - - Bug fixing 90% has been completed
5/5/2026 - - Bug fixing 95% has been completed
5/6/2026 - - Bug fixes has been completed and given for PR</t>
  </si>
  <si>
    <t>4/27/2026 -Retested the fixed defects 
4/28/2026-Retested the fixed two defects sna reopened one issue 
4/29/2026-Retested the fixed defects 
4/30/2026- regression testing 
5/5/2026-Retested the fixes
5/6/2026- tested in Dev env
5/7/2026 - Tested in develop branch</t>
  </si>
  <si>
    <t>DON-353</t>
  </si>
  <si>
    <t>Correlate Project Key to Signin/ Signup</t>
  </si>
  <si>
    <t>Pull Request 9491: DON-353 Correlate Project Key to Signin/ Signup</t>
  </si>
  <si>
    <t>4/24/2026 - merged the DON-130 code and testing</t>
  </si>
  <si>
    <t>4/24/2026- Analysis and Test Scenarios preprations
4/28/2026- Completed first round of testing
4/29/2026- Completed testing and Prepared validation doc
5/5/2026-Regresstion testing
5/7/2026 - Tested in develop branch</t>
  </si>
  <si>
    <t>OB-OP 8.6 Sprint 2</t>
  </si>
  <si>
    <t xml:space="preserve">DON-344 </t>
  </si>
  <si>
    <t>Manual Address Entry Fix</t>
  </si>
  <si>
    <t>1]Add address text and  font size and color code should match with Figma
2]City input fields should accept only 50 chrs</t>
  </si>
  <si>
    <t>Arivu</t>
  </si>
  <si>
    <t>https://dev.azure.com/greatergiving/Greater%20Giving/_git/Donor/pullrequest/9474</t>
  </si>
  <si>
    <t>4/10/2026 -Anaylyzing story
4/13/2026 - Start the development
4/14/2026 - implemented the add address manually functionality
4/15/2026 -  code refactoring and unit testing
4/16/2026 -working on review comments</t>
  </si>
  <si>
    <t>4/10/2026 -Completed analysis 
4/13/2026-Test Scenario Preparations
4/16/2026- Did first round of testing 
4/17/2026 -  Completed testing and prepared Validation document</t>
  </si>
  <si>
    <t>Kannan/ Ubhai</t>
  </si>
  <si>
    <t>DON-341</t>
  </si>
  <si>
    <t>Donor - SNYK Remediation</t>
  </si>
  <si>
    <t>Pull Request 9461: [DON-341] Donor - SNYK Remediation</t>
  </si>
  <si>
    <t>4/10/2026 -Anaylyzing story
4/13/2026 - Start the development and created PR</t>
  </si>
  <si>
    <t>4/10/2026 -Completed analysis 
4/13/2026 -Completed Regression Testing in local branch
4/14/2026 -Completed Regression Testing in Develop branch</t>
  </si>
  <si>
    <t>DON-130</t>
  </si>
  <si>
    <t>Integrate login flow to Checkout</t>
  </si>
  <si>
    <t>1]Credit card payment is not working  and gets failed in checkout flow</t>
  </si>
  <si>
    <t>https://dev.azure.com/greatergiving/Greater%20Giving/_git/Donor/pullrequest/9470</t>
  </si>
  <si>
    <t>4/10/2026 -Integrate the API and started the development
4/13/2026-Authentication on checkout api
4/14/2026-implement the front end code functionality
4/15/2026-Unit testing
4/16/2026- Added project key functionaltiy
4/17/2026-Fixed design changes
4/20/2026-Added Project key functionaltiy
4/21/2026-Code refactoring
4/22/2026-Code refactoring and Bidder key implementation
4/23/2026-Unit testing</t>
  </si>
  <si>
    <t>4/10/2026 -Completed analysis 
4/13/2026-Test Scenario Preparations
4/16/2026- Completed first round of testing 
4/17/2026 - retested after changes and raised an observation
4/21/2026-Retested the changes
4/22/2026-Retested the changes</t>
  </si>
  <si>
    <t>OB-OP 8.6 Sprint 2 - [Stretch]</t>
  </si>
  <si>
    <t>4/13/2026 - Analysis done started development
4/14/2026 - Development completed
4/15/2026 - New Requirement has been added working on that
4/16/2026 - Development and unit testing has been completed
4/21/2026 -  New Requirement has been added  and completed.</t>
  </si>
  <si>
    <t>4/13/2026-Completed analysis  and Test Scenario Preparations
4/15/2026- Completed testing and prepared Validation document
4/21/2026- Did tetsting the flows in Dev Env</t>
  </si>
  <si>
    <t>DON-191</t>
  </si>
  <si>
    <t>Cookie Based Session Management Migration</t>
  </si>
  <si>
    <t>1] Showing 401 unauthorized  error msg after clicking in B2c sign in button from login page</t>
  </si>
  <si>
    <t>Pull Request 9476: [DON-191] Cookie Based Session Management Migration</t>
  </si>
  <si>
    <t>4/14/2026 - Analysis done started development
4/15/2026 - Development done and PR created</t>
  </si>
  <si>
    <t>4/14/2026 -did Regression Testing in local branch
4/15/2026- Completed Retesting after package updates</t>
  </si>
  <si>
    <t>DON-349</t>
  </si>
  <si>
    <t>Remove b2c Dev Backdoor</t>
  </si>
  <si>
    <t>https://dev.azure.com/greatergiving/Greater%20Giving/_git/Donor/pullrequest/9420</t>
  </si>
  <si>
    <t>4/14/2026 - Analysis and development completed
4/15/2026 - Testing Completed PR created</t>
  </si>
  <si>
    <t>4/14/2026 -did Regression Testing in local branch</t>
  </si>
  <si>
    <t>OB-OP 8.6 Sprint 2 -  [Stretch]</t>
  </si>
  <si>
    <t>DON-352</t>
  </si>
  <si>
    <t>Fix User Logout</t>
  </si>
  <si>
    <t>https://dev.azure.com/greatergiving/Greater%20Giving/_git/Donor/pullrequest/9483</t>
  </si>
  <si>
    <t>4/16/2026 - Anlaysis completed and development started
4/18/2026 - Raised PR</t>
  </si>
  <si>
    <t xml:space="preserve">4/17/2026 - Analyzed the story and prepared Test Preparation
4/20/2026 - Performed Testing and prepared Validation doc </t>
  </si>
  <si>
    <t xml:space="preserve">OB-OP 8.6 Sprint 2 </t>
  </si>
  <si>
    <t>Kannan/Irsath</t>
  </si>
  <si>
    <t>DON-347</t>
  </si>
  <si>
    <t>Donor Environment Configuration</t>
  </si>
  <si>
    <t>Pull Request 9477: [DON-347] Angular version (21.2.0) update</t>
  </si>
  <si>
    <t>4/15/2026 - Updated packages and PR created
4/16/2026 - Requested one more package update and its updated today
4/17/2026 - Worked on Database timeout issue</t>
  </si>
  <si>
    <t>4/17/2026 Started analysis
[Note]: Waiting for story point</t>
  </si>
  <si>
    <t>4/21/2026- did first round of testing</t>
  </si>
  <si>
    <t>OB-OP 8.6 Sprint 2  -  [Stretch]</t>
  </si>
  <si>
    <t>DON-354</t>
  </si>
  <si>
    <t>Remove Password Requirement for Legacy Login</t>
  </si>
  <si>
    <t>https://dev.azure.com/greatergiving/Greater%20Giving/_git/Donor/pullrequest/9488</t>
  </si>
  <si>
    <t>4/20/2026 - Development has been completed and PR has been created</t>
  </si>
  <si>
    <t>4/22/2026 - Analysis completed
4/22/2026 - start the development
4/23/2026 -  implemented the functionality</t>
  </si>
  <si>
    <t>OB-OP 8.6 Sprint 1</t>
  </si>
  <si>
    <t>Don-333</t>
  </si>
  <si>
    <t>Fix Payment Component</t>
  </si>
  <si>
    <t>1.Amex card is not adding into donor platform , showing 'Failed to add credit card accountId : 757'
2.Visa card is not adding into donor platform , showing 'Failed to add credit card accountId : 757'</t>
  </si>
  <si>
    <t>https://dev.azure.com/greatergiving/Greater%20Giving/_git/Donor/pullrequest/9415</t>
  </si>
  <si>
    <t>3/27/2026 - Analysis done started development
3/30/2026 - I have found few GDon API side issue during save credit card
3/31/2026 - Postal code issue has been fixed
4/6/2026 - Need to verify with different cards today, once murugesan confirms, will share the PR to Rajesh today
4/7/2026 - secret key needs to be changed in joe's machine - after that only he can test in his local, so pending for that</t>
  </si>
  <si>
    <t>03/27/2026 - Completed analysis and started test scenraios
4/1/2026 -Testing is in progress
4/3/2026 -Retested the fixes and completed testing 
4/9/2026 -Regression testing on Develop branch</t>
  </si>
  <si>
    <t>DON-336</t>
  </si>
  <si>
    <t>Household - Front End</t>
  </si>
  <si>
    <t>1.Email should be displayed in the household section 
2.Dot should be displayed as it is in the attached ref  ticket 
3.House hold inside data icon should be aligned with section round icon - pls ref below screenshot . [ currently it shows bit right side ]
4.Title should be Partner/Spouse .  currently the title shows only spouse in the UI</t>
  </si>
  <si>
    <t>Ubai</t>
  </si>
  <si>
    <t>Pull Request 9416: DON-336 Household - Front End</t>
  </si>
  <si>
    <t xml:space="preserve">Log the exception with account Id. Do not bubble the accountId in the exception revealing it </t>
  </si>
  <si>
    <t>3/27/2026 - Analysis started still waiting for the full flow requirement
3/30/2026 - Development completed based on API. Expecting minor when GDON API team implementing this feature
03/31/2026 - PR Created
4/6/2026 - Pending with Prabu approval, rajesh might review today and share to Joe
4/7/2026 - need to take latest develop and resolve conflicts and test once since many PRs went yesterday</t>
  </si>
  <si>
    <t>03/27/2026 - Completed analysis and started test scenraios
4/1/2026 -Completed one round of testing and shared the observations
4/6/2026 - Completed testing  and Prepared validation doc
4/8/2026 -Regression testing on Develop branch</t>
  </si>
  <si>
    <t>saranya</t>
  </si>
  <si>
    <t>DON-316</t>
  </si>
  <si>
    <t>Checkout - Implement Error banners</t>
  </si>
  <si>
    <t>https://dev.azure.com/greatergiving/Greater%20Giving/_git/Donor/pullrequest/9408</t>
  </si>
  <si>
    <t>3/27/2026 -Code refactoring and unit testing
4/2/2026 - code refactoring merge with DON-321 branch
4/3/2026 -merge with develop branch
4/6/2026 - Prabu approved the PR on friday, waiting for Joe's approval
4/7/2026 - Having conflict because of recent PR completion, mock data suggestion given by joe, need to implement that</t>
  </si>
  <si>
    <t>4/1/2026 -Completed one round of testing 
4/3/2026 - Completed testing  and Prepared validation doc
4/7/2026 -Regression testing in Local 
4/8/2026 -Regression testing on Develop branch</t>
  </si>
  <si>
    <t>DON-337</t>
  </si>
  <si>
    <t>Household - Backend</t>
  </si>
  <si>
    <t>https://dev.azure.com/greatergiving/Greater%20Giving/_git/Donor/pullrequest/9417</t>
  </si>
  <si>
    <t>3/27/2026 - Checked with GDON team need to discuss with prabhu
3/30/2026 - Development and unit testing completed
3/31/2026 - Code Refactored and PR created
4/6/2026 - Pending with Prabu approval, rajesh might review today and share to Joe</t>
  </si>
  <si>
    <t>03/27/2026 - Completed analysis and started test scenraios
4/1/2026 -Completed testing  and Prepared validation doc</t>
  </si>
  <si>
    <t>DON-317</t>
  </si>
  <si>
    <t>Checkout-Header</t>
  </si>
  <si>
    <t xml:space="preserve">1]Home text should be displayed instead of checkout while clicking back option in edit profile page
2]User should not be redirected to check out page after updating the edit profile , should go to home page after updating the profile.
3]G icon should display instead of greater giving text in the left header page for mobile landscape 
4]Adding profile image is not updating in the user profile initials while editing profile </t>
  </si>
  <si>
    <t xml:space="preserve">Let's correct this string interpolation for Angular's binding system while we're in here. We miss this sometimes. </t>
  </si>
  <si>
    <t>3/27/2026-Analysis and started the development
3/30/2026-Completed logout and edit profile functionaltiy
3/31/2026 - Code refactored and Project key functionatliy is implemented
4/1/2026 - Code refactored and functionality testing
4/2/2026 -Code merged with DON-316 and  fixed some functionality
4/7/2026 - many code changes related to other branches are in the PR, need to take latest develop and resolve conflict and test again
4/8/2026-Review comments fixed</t>
  </si>
  <si>
    <t>03/27/2026 - Completed analysis and started test scenraios
4/1/2026 -Testing is in progress
4/02/2026 - Completed testing  and Prepared validation doc
4/7/2026 -Regression testing in Local
4/8/2026 -Regression testing on Develop branch</t>
  </si>
  <si>
    <t>DON-335</t>
  </si>
  <si>
    <t>Update Payment Receipt Call</t>
  </si>
  <si>
    <t>1.Json reader exception is thrown while clicking on download receipt in the checkout page. - Report GUIID shows undefined when debugging it.</t>
  </si>
  <si>
    <t>https://dev.azure.com/greatergiving/Greater%20Giving/_git/Donor/pullrequest/9434</t>
  </si>
  <si>
    <t>Prabu</t>
  </si>
  <si>
    <t>3/27/2026 -Disscuss with GDON team
4/2/2026 - changed receipt generate values
4/3/2026 -unit testing and merge with develop branch
4/6/2026 - Prabu approved the PR on friday, waiting for Joe's approval</t>
  </si>
  <si>
    <t>03/27/2026 - Completed analysis and started test scenraios
4/3/2026 -Retested the fixes and Completed testing  and Prepared validation doc</t>
  </si>
  <si>
    <t>DON-321</t>
  </si>
  <si>
    <t>Add Cancellation Token and Size Constraints to Download Feature</t>
  </si>
  <si>
    <t>Ubai/Kannan</t>
  </si>
  <si>
    <t>Pull Request 9396: DON-321 Add Cancellation Token and Size Constraints to Download Feature</t>
  </si>
  <si>
    <t>PR Created last sprint itself waiting for Prabhu and Joe review. If any obervation from them, will work on it.
Prabu approved, waiting for Joe's approval - 4/6/2026
PR suggestion branch came from joe - need to check that and update whichever is necessary - 4/7/2026</t>
  </si>
  <si>
    <t>4/7/2026 -Regression testing in Local
4/8/2026 -Regression testing on Develop branch</t>
  </si>
  <si>
    <t xml:space="preserve">OB-OP 8.6 Sprint 1 - [Stretch] </t>
  </si>
  <si>
    <t>DON-338</t>
  </si>
  <si>
    <t>Update automapper</t>
  </si>
  <si>
    <t>https://dev.azure.com/greatergiving/Greater%20Giving/_git/Donor/pullrequest/9432</t>
  </si>
  <si>
    <t>4/2/2026 - Development completed
4/3/2026 - Given for PR
4/6/2026 - Prabu approved the PR on friday, waiting for Joe's approval</t>
  </si>
  <si>
    <t>4/6/2026-  regression testing  in Local</t>
  </si>
  <si>
    <t>DON-334</t>
  </si>
  <si>
    <t>Migration script for CC types</t>
  </si>
  <si>
    <t>https://dev.azure.com/greatergiving/Greater%20Giving/_git/Donor/pullrequest/9427</t>
  </si>
  <si>
    <t>4/2/2026 - Development and unit testing completed, PR raised
4/7/2026 - Implemented the suggestions given by Rajesh, took latest develop and resolved conflicts, will be sharing the PR tonight</t>
  </si>
  <si>
    <t>4/02/2026 - Completed testing  and Prepared validation doc</t>
  </si>
  <si>
    <t>Kannan/ Ubhai /Irsath</t>
  </si>
  <si>
    <t>DON-340</t>
  </si>
  <si>
    <t>Dev, TST, CRT environmental setup</t>
  </si>
  <si>
    <t>1.Application is not loading due to HouseholdRepository service is missed in the service</t>
  </si>
  <si>
    <t>Saranya/Arivu</t>
  </si>
  <si>
    <t>Pull Request 9448: [DON-340] Dev, TST, CRT environmental setup</t>
  </si>
  <si>
    <t>4/3/2026 -  Analysis done started development
4/6/2026 -  Code comments and removed logs which are not needed (API end)
4/8/2026 -  Code comments and created PR</t>
  </si>
  <si>
    <t>4/8/2026 -Regresstion testing on Develop branch</t>
  </si>
  <si>
    <t>4/6/2026-Analysis and started the development
4/9/2026-Code impelementation</t>
  </si>
  <si>
    <t>DON-324</t>
  </si>
  <si>
    <t xml:space="preserve"> Checkout - Manage Card Payment Selection/Storage</t>
  </si>
  <si>
    <t xml:space="preserve">1.WHen existing card is disabled , then respective billing address should not be displayed in the billing address section
2.Instaed of user name string text is displayed in the downloaded checkout receipt pdf file </t>
  </si>
  <si>
    <t>https://dev.azure.com/greatergiving/Greater%20Giving/_git/Donor/pullrequest/9390</t>
  </si>
  <si>
    <t>3/13/2026-analysis completed 
3/16/2026-unit tesing and code refactoring
3/17/2026 - Added new paramater check with GDON team
3/19/2026 - code refactoring and unit testing
3/24/2026 - Fixed space issue for added CC
3/25/2026 - Merged with develop and tested in the local, updated PR</t>
  </si>
  <si>
    <t xml:space="preserve">
3/13/2026- Completed Analysis and Test Scenarios Preparations are in progress
3/16/2026 - Worked on Test case updates
3/17/2026 - Completed the testing 
3/24/2026 -Regression Testing</t>
  </si>
  <si>
    <t>DON-319</t>
  </si>
  <si>
    <t>Fix reCAPTCHA Validation in Checkout Payment Flow</t>
  </si>
  <si>
    <t>https://dev.azure.com/greatergiving/Greater%20Giving/_git/Donor/pullrequest/9401</t>
  </si>
  <si>
    <t>3/13/2026 - Analysis done started development
3/16/2026 - Found  out 2 time api call during exception
3/17/2026 -  reCaptcha testing done it works as expected
3/24/2026 - PR has been created
3/25/2026 - PR approved</t>
  </si>
  <si>
    <t xml:space="preserve">3/13/2026- Completed Analysis and Test Scenarios Preparations are in progress
3/16/2026 - Worked on Test case updates
3/17/2026 - Completed  testing 
3/24/2026-3/20/2026 -Completed analysis and prepared the test scenarios and did first round of tesing 
3/25/2026 - Completed testing and prepared the validation doc and updated in JIRA
3/26/2026 - Verified this in Dev Branch </t>
  </si>
  <si>
    <t>Kannan, Ubhaithulla</t>
  </si>
  <si>
    <t>DON-320</t>
  </si>
  <si>
    <t>Implement Authorization Attributes and Token Claims Across Controllers</t>
  </si>
  <si>
    <t>https://dev.azure.com/greatergiving/Greater%20Giving/_git/Donor/pullrequest/9382</t>
  </si>
  <si>
    <t>If we are passing firstname to this method as a first parameter, should we receive it as a firstname right? Creating confusions b/w firstname and username . Name it as relevant</t>
  </si>
  <si>
    <t>1. withCredentials: true is applied to all requests unconditionally here. The issue is a lack of domain check.
2. Any authorized user could pass a cardReferenceId. We need to extract claims.</t>
  </si>
  <si>
    <t>3/13/2026 - Analysis done started development
3/16/2026 -  Implemented JWT based cookie authentication and code clean up
3/17/2026 - Code refactoring and completed the testing , PR has been created
3/23/2026 - Prabu reviewed and approved the PR, waiting for Joe's approval
3/25/2026 - Joe gave review comment, updating that</t>
  </si>
  <si>
    <t>3/13/2026- Completed Analysis and Test Scenarios Preparations are in progress
3/16/2026 -did one round of testing on donor application 
3/18/2026- Completed the testing 
3/19/2026: -Prepared the validation document and updated in the JIRA</t>
  </si>
  <si>
    <t>DON-314</t>
  </si>
  <si>
    <t>Checkout-Donation</t>
  </si>
  <si>
    <t>irsath</t>
  </si>
  <si>
    <t>https://dev.azure.com/greatergiving/Greater%20Giving/_git/Donor/pullrequest/9366</t>
  </si>
  <si>
    <t>3/18/2026 - Added add donation value sum in subtotal  stepper 1 
3/19/2026 - Prabhu approved the PR,waiting for joe approval - Since OB CRT release is priority this is still under Joe's review
3/25/2026 - Since Joe was working on another MFA story , he didn't approve this PR yet</t>
  </si>
  <si>
    <t>DON-315</t>
  </si>
  <si>
    <t>Checkout - Remove Donation</t>
  </si>
  <si>
    <t xml:space="preserve">3/19/2026 - Prabhu approved the PR,waiting for joe approval -  Since OB CRT release is priority this is still under Joe's review 
3/25/2026 - Since Joe was working on another MFA story , he didn't approve this PR yet - </t>
  </si>
  <si>
    <t>OB-OP 8.5 Sprint 4 - [STRETCH]</t>
  </si>
  <si>
    <t>Kannan, Irsath</t>
  </si>
  <si>
    <t>1.The error message  is not coming up when file size exceeds the limit
2.Donwload progress % should not be displayed when file size exceeds the limit</t>
  </si>
  <si>
    <t>https://greatergiving.visualstudio.com/Greater%20Giving/_git/Donor/pullrequest/9396</t>
  </si>
  <si>
    <t xml:space="preserve">3/19/2026 -  Analysis done started development
3/20/2026 - Development completed and handover to testing
3/25/2026 - Will be sharing the PR to Joe tonight </t>
  </si>
  <si>
    <t>3/20/2026 -Completed analysis and prepared the test scenarios 
and did first round of tesing 
3/23/2026 - Completed testing and prepared the validation doc and updated in JIRA</t>
  </si>
  <si>
    <t>Saranya,Arivu</t>
  </si>
  <si>
    <t>3/23/2026 -Analysis done start the development
3/24/2026 - Added design for banner
3/25/2026 - Implemented banner functionality</t>
  </si>
  <si>
    <t>3/23/2026 - Completed analysis 
3/24/2026 - Prepared Test Scenarios 
3/26/2026 - Did first round testing for the implemented messages</t>
  </si>
  <si>
    <t>Column1</t>
  </si>
  <si>
    <t>Irsath/Arivalagan</t>
  </si>
  <si>
    <t>Don-128</t>
  </si>
  <si>
    <t>Call GGO Receipt and display</t>
  </si>
  <si>
    <t>Murugesan M</t>
  </si>
  <si>
    <t xml:space="preserve">1.company name is not coming up in the receipt when user added company name in the business address type 
2.billing address is not displayed in PDF file when adding CC with forced billing address in checkout  page </t>
  </si>
  <si>
    <t>https://dev.azure.com/greatergiving/Greater%20Giving/_git/Donor/pullrequest/9355</t>
  </si>
  <si>
    <t>1. Implement timeout and response size handling
2. This response status needs to get checked &amp; errors handled according to their type.</t>
  </si>
  <si>
    <t>2/27/2026 - Analysis completed , Developement started
3/2/2026 - API has been created
3/3/2026 -  Generate PDF viewer implemented
3/4/2026 - Development has been completed and given for testing
3/5/2026 - Testing completed.PR has been created</t>
  </si>
  <si>
    <t>2/27/2026- Analysis 
3/2/22026 -Test Scenarios Preparations
3/4/22026 -Test Case Updates
3/10/2026 -Tested the download file functionality
3/11/2026 -completed testing and Prepared validation doc</t>
  </si>
  <si>
    <t>DON-185</t>
  </si>
  <si>
    <t xml:space="preserve">Checkout componnet stepper 3 </t>
  </si>
  <si>
    <t>https://dev.azure.com/greatergiving/Greater%20Giving/_git/Donor/pullrequest/9307</t>
  </si>
  <si>
    <t>3/2/2026 - working on design issue
3/4/2026 - code review
3/6/2026 - prabu made few updates and shared to Joe for review</t>
  </si>
  <si>
    <t xml:space="preserve">2/27/2026-Retested the fixes and 
3/3/2026 -Regressioin testing </t>
  </si>
  <si>
    <t>Ubaithullah/ Kannan</t>
  </si>
  <si>
    <t>DON-129</t>
  </si>
  <si>
    <t>Update GGO with Payment information on Completion</t>
  </si>
  <si>
    <t xml:space="preserve">1.Confirm and pay checkout button is not working and showing error as payment not completed , not found in console 
when processing for the existing credit card which was created from home page 
</t>
  </si>
  <si>
    <t>https://greatergiving.visualstudio.com/Greater%20Giving/_git/Donor/pullrequest/9356</t>
  </si>
  <si>
    <t>02/27/2026 - Analysis completed share the observations to Prabhu
03/02/2026 - Backend API and UI changes implementation started
03/03/2026 - UX implemention completed
03/04/2026 -  Constructed the JSON data and backend code refactor
04/04/2026 - Integrated UX and Backend and unit testing in progress</t>
  </si>
  <si>
    <t xml:space="preserve">2/27/2026- Analysis 
3/2/22026 -Test Scenarios Preparations
3/6/22026 -Tested the backend flows
3/9/22026 -Tested the UI checkout functionality 
3/10/2026 -Regression testing 
3/11/2026 -Completed testing and Prepared validation doc
3/12/2026-  -Regression testing after code review comments fix </t>
  </si>
  <si>
    <t>DON-312</t>
  </si>
  <si>
    <t>Getting Error contact support  banner message  in the stepper 2 checkout page</t>
  </si>
  <si>
    <t>https://dev.azure.com/greatergiving/Greater%20Giving/_git/Donor/pullrequest/9331</t>
  </si>
  <si>
    <t>2/27/2026- fixed banner error message
3/5/2026 - SInce OB is going for production, waiting for Joe's approval</t>
  </si>
  <si>
    <t xml:space="preserve">2/27/2026-Retested the fixes and Regressioin testing </t>
  </si>
  <si>
    <t>DON-313</t>
  </si>
  <si>
    <t>Edit Billing address is not updating the address value while modifying any of the fields in the address section</t>
  </si>
  <si>
    <t>2/27/2026 - add address and edit address has been fixed
3/5/2026 - SInce OB is going for production, waiting for Joe's approval</t>
  </si>
  <si>
    <t>OB-OP 8.5 Sprint 3 - [STRETCH]</t>
  </si>
  <si>
    <t>Don-315</t>
  </si>
  <si>
    <t xml:space="preserve">1.Added donation should be displayed in the stepper summary page </t>
  </si>
  <si>
    <t>3/6/2026 - Analysis completed , Developement started
3/9/2026 - Trash icon implemented 
3/10/2026 - Values passed to salesinfo object and given for testing
3/11/2026 - Unit testnig done PR has been created
3/12/2026 - Code has been merged with 314</t>
  </si>
  <si>
    <t xml:space="preserve">3/6/2026 - Analysis 
3/10/2026-Prepared test scenarios
3/11/2026-Completed testing and Prepared validation doc
3/12/2026-  -Regression testing after code review comments fix </t>
  </si>
  <si>
    <t>Checkout - Donation</t>
  </si>
  <si>
    <t xml:space="preserve">Murugesan M </t>
  </si>
  <si>
    <t>3/6/2026 -Analysis completed ,started development
3/9/2026 - completed the functionality and unit testing
3/11/2026 -unit testing and code refactoring.</t>
  </si>
  <si>
    <t xml:space="preserve">3/6/2026 : Analysis 
3/10/2026-Prepared test scenarios
3/11/2026-completed testing and Prepared validation doc </t>
  </si>
  <si>
    <t>Previous sprint</t>
  </si>
  <si>
    <t>Defect</t>
  </si>
  <si>
    <t>Major</t>
  </si>
  <si>
    <t>Manual</t>
  </si>
  <si>
    <t>Internal</t>
  </si>
  <si>
    <t>Closed</t>
  </si>
  <si>
    <t>Existing_Issues</t>
  </si>
  <si>
    <t>Fixed add and edit address while adding credit card</t>
  </si>
  <si>
    <t>Significant</t>
  </si>
  <si>
    <t>fixed banner error message</t>
  </si>
  <si>
    <t>Ubaithullah / Kannan</t>
  </si>
  <si>
    <t>Checkout Body Components - Stepper 3</t>
  </si>
  <si>
    <t xml:space="preserve">1.Confirmation text should be displayed when stepper 3 is selected in the page 
2.Confirmation page should be displayed properly when scroll up the content in the page, currently it goes up beyond stepper progress 
3.Payment label and below text all transaction are secure and encrypted text should be displayed in the payment section
4.Confirmation layout should be 600 px and each section should be 552 px width, currently it shows extra width as 750.
5.Billing address should be color code #04041CF2 and size should be 16 px as per figma
6.Colon should be displayed after Total text in the section and total and value should be color code #212529 as per figma 
7.View detils button should not be displayed in the blue color background by default , only the text color should be in #262AFF
8.Need space between card name and expiry text in the payment section for 430 responsive view 
9.circle with tick icon of confirmation looks bit small while comparing to Figma, fix this if possible </t>
  </si>
  <si>
    <t>13/02/2026 - Analysis completed , Developement started
16/02/2026 - Design completed and merging with stepper-2 in progress
17/02/2026 -  Functionality implementation in progress 
18/02/2026 - Created checkout- confirmation component and design 
19/02/2026 - Code refactor and code merge with DON-184
20/02/2026 - PR Created and code refactored
23/02/2026 - Code merge from DON-184 and code changes
24/02/2026 - QA findings fixed 
25/02/2026 - Merged with DON-184 
26/02/2026 - Meged with DON-184</t>
  </si>
  <si>
    <t xml:space="preserve">2/13/2026:Analysis and Test Scenarios Prep
2/16/2026 : Test Scenarios Updates
2/23/2026: Completed first round of testing and raised issues
2/24/2026: Completed testing and retested the fixes as well - working fine and Prepared the validation doc and updated in JIRA </t>
  </si>
  <si>
    <t>DON-195</t>
  </si>
  <si>
    <t>Add Check Out button to Donor Events</t>
  </si>
  <si>
    <t>1.Stepper should be displayed as per figma 
2.Scroll bar should  not come in the page</t>
  </si>
  <si>
    <t>https://dev.azure.com/greatergiving/Greater%20Giving/_git/Donor/pullrequest/9297</t>
  </si>
  <si>
    <t xml:space="preserve">13/02/2026 - Analysis completed , Developement started
2/16/2026 - Development has been completed and given for testing
</t>
  </si>
  <si>
    <t>2/13/2026:Analysis and Test Scenarios Prep
2/16/2026 : Test Scenarios Updates
2/17/2026:Testing completed in local env
2/24/2026: Completed testing in Dev branch  - working fine</t>
  </si>
  <si>
    <t>Saranya/Arivalagan</t>
  </si>
  <si>
    <t>DON-184</t>
  </si>
  <si>
    <t>Checkout Body Components - Stepper 2</t>
  </si>
  <si>
    <t>YES</t>
  </si>
  <si>
    <t xml:space="preserve">
1.Clicking on  Add donation button should not redirect to stepper 2 page
2.Below to estimated total section is not displayed fully in the stepper 2 page
3.Edit link should be displayed as 27 px as it is in the figma 
4.Modifying address type should allow the user to save in the billing information section 
5.Add New Payment Method fint size should be displayed as it is in the figma 
6.Total and extimated tax calculation value does not matched and should be shown even in the mock data
7.Billing address is not shown in the billing section on stepper 2  but the card has saved billing address and able to see the show address option 
in the payment section 
8.Edit option is not coming up in the billing information section when there is an issue in the billing informaion section  
9.primary text should be displayed fully in the responsive view 
10.Quanity is displayed as zero for the package  type , but package price value is displayed 
11.Confirm and pay button should not be enabled when there is no payment CC in the page 
12.Cover transaction checkbox width size should be 12x12 , not 24x24 
13.colon should be displayed after Estimated Total text as per figma 
14.Stepper progress  number should not be clickable in the check out page
15.Cover transaction checkbox width size should be 12x12 , not 24x24 
16.colon should be displayed after Estimated Total text as per figma 
17.Stepper progress  number should not be clickable in the check out page
18.Add new address button  is displayed  instead of billing address of CC when the card is there with billing address 
19after editing the address and select save for future events and  clicking on confirm and pay button, user not redirecting to stepper 3 page 
20.primary tag should not come when there is one card in the payment section
21.Primary tag should come for the added credit card when opting Set as Default payment method and save the card details
22.Getting error contact support  banner msg in the top of the page wheen adding CC in the page
23.Billing address is not saved when editing one field amoung five and click save option 
24.Next payment method  button should not be enabled after loading the page n stepper 1 page and clicking disable button should not user to redirect to another page</t>
  </si>
  <si>
    <t>https://dev.azure.com/greatergiving/Greater%20Giving/_git/Donor/pullrequest/9311</t>
  </si>
  <si>
    <t>Nill</t>
  </si>
  <si>
    <t>2/13/2026 - Address and payment functionality implementation
2/16/2026 - card based address loaded functionality implemented
2/17/2026-Unit testing and removed unwanted code
2/18/2026-fixed mobile design issues
2/19/2026- code cleanup fixed design issue
2/20/2026-Add flag based condion for future use API implementation
2/23/2026-Modified Checkbox based added implementeation in address section.
2/24/2026-Reported issue fxing and code refactoring.
2/25/2026-code refactoring</t>
  </si>
  <si>
    <t xml:space="preserve">2/16/2026 : Test Scenarios Updates
2/17/2026:Testing is in progress and raised defects
2/18/2026:Testing is in progress and raised defects
2/19/2026:Testing is in progress and raised defects
2/20/2026:Retested the fixed issues 
2/23/2026: Retested the fixed issues 
2/24/2026: Completed testing and retested the fixes as well - working fine
2/25/2026: After fixing code review comments , tested the story again and raised few issues and did resting it and Prepared the validation doc and updated in JIRA </t>
  </si>
  <si>
    <t>DON-189</t>
  </si>
  <si>
    <t>Fix IDOR vulnerabilities</t>
  </si>
  <si>
    <t>https://dev.azure.com/greatergiving/Greater%20Giving/_git/Donor/pullrequest/9274</t>
  </si>
  <si>
    <t>26/02/2026 - Account Id validation for Claims, Code refactoring unit testing.</t>
  </si>
  <si>
    <t xml:space="preserve">OB-OP 8.5 Sprint 2 </t>
  </si>
  <si>
    <t>arivalagan ramasamy</t>
  </si>
  <si>
    <t>Getting Error contact support banner message in the stepper 2 checkout page</t>
  </si>
  <si>
    <t>Inprogress</t>
  </si>
  <si>
    <t>QA</t>
  </si>
  <si>
    <t>Don-163</t>
  </si>
  <si>
    <t>Checkout Body Components - Stepper 1</t>
  </si>
  <si>
    <t>1.Round up input field should accept only numeric values 
2.Total text should have color code #04041c code as per figma 
3.Decimal value .00 should be displayed for the package as per figma 
4.package and total value should have a color code #04041c code as per figma - not fixed
5.Next: payment method button should have 600 X 56 width as per figma
6.Mobile responsive view 767 [Mob Landscape] recurring come below to amount input filed .
7.$ should be displayed before the value in the amont input field on round up section 
8.Need space in the bottom of next payment method button
9.Recurring drop down should be displayed parallell to amount input field for 767 mobile landscape view</t>
  </si>
  <si>
    <t>https://dev.azure.com/greatergiving/Greater%20Giving/_git/Donor/pullrequest/9254</t>
  </si>
  <si>
    <t>Prabhu</t>
  </si>
  <si>
    <r>
      <rPr>
        <sz val="11"/>
        <color rgb="FF000000"/>
        <rFont val="Calibri"/>
      </rPr>
      <t xml:space="preserve">1/30/2026 - Analysis done started development
2/2/2026  - Development 20% has been completed
2/3/2026  - Development 60% has been completed
2/4/2026  - Development 100% has been completed and given for testing
</t>
    </r>
    <r>
      <rPr>
        <b/>
        <sz val="14"/>
        <color rgb="FFFF0000"/>
        <rFont val="Calibri"/>
      </rPr>
      <t xml:space="preserve">Kept hold since requirement is going to slightly change - from 5th feb
</t>
    </r>
    <r>
      <rPr>
        <sz val="11"/>
        <color rgb="FF000000"/>
        <rFont val="Calibri"/>
      </rPr>
      <t xml:space="preserve">2/9/2026 - Worked on sales section and given for testing
</t>
    </r>
  </si>
  <si>
    <t>11/2/2026 -Testing has been completed</t>
  </si>
  <si>
    <r>
      <rPr>
        <sz val="11"/>
        <color rgb="FF000000"/>
        <rFont val="Calibri"/>
      </rPr>
      <t xml:space="preserve">1/30/2026 - Analysis Completed
2/2/2026  - Development 50% has been completed
2/3/2026  - Development has been completed and unit completed
2/4/2026  - Code refactoring and given for testing
</t>
    </r>
    <r>
      <rPr>
        <b/>
        <sz val="14"/>
        <color rgb="FFFF0000"/>
        <rFont val="Calibri"/>
      </rPr>
      <t xml:space="preserve">Kept hold for further clarification from 4th Feb
</t>
    </r>
    <r>
      <rPr>
        <sz val="11"/>
        <color rgb="FF000000"/>
        <rFont val="Calibri"/>
      </rPr>
      <t>02/11/2026 - Draft PR created and this story will be hold , as yet to update the requirement by PO.</t>
    </r>
  </si>
  <si>
    <t xml:space="preserve">11/2/2026 -Testing has been completed for Backend </t>
  </si>
  <si>
    <t>DON-126</t>
  </si>
  <si>
    <t>Create Checkout Page</t>
  </si>
  <si>
    <t>1.Right corner Profile initials square size looks as 28x28 in figma , so needs to be changed from current 36 px to figma ref
2.Checkout text should be displayed in the center of the page</t>
  </si>
  <si>
    <t xml:space="preserve">1/30/2026-Analysis done started design implementation
2/2/2026-Implemented the stepper 1 container design
2/3/2026-Design implementation for footer
2/11/2026-unit testing for stepper 1 component
</t>
  </si>
  <si>
    <t>DON-190</t>
  </si>
  <si>
    <t>Add Rate limiter</t>
  </si>
  <si>
    <t>https://dev.azure.com/greatergiving/Greater%20Giving/_git/Donor/pullrequest/9249</t>
  </si>
  <si>
    <t>1/30/2026-Stated  the implementation for rate limiter
2/2/2026-Added rate limiter for specfic action
Completed from developer end and waiting for prabu's review - 2/9/2026
2/11/2026-Testing Rate limiter functionaltiy</t>
  </si>
  <si>
    <t>DON-127</t>
  </si>
  <si>
    <t xml:space="preserve">Read API from GGO for Checkout </t>
  </si>
  <si>
    <t>https://greatergiving.visualstudio.com/Greater%20Giving/_git/Donor/pullrequest/9248</t>
  </si>
  <si>
    <t>1/30/2026 development started
2/2/2026 Development completed and PR created
2/3/2026 - Hold this PR and Story due to some changes required from GDON
2/10/2026 required changes collected from GDON and pushed code and its completed on 2/11/2026</t>
  </si>
  <si>
    <t>OB-OP 8.5 Sprint 1 - [Stretch]</t>
  </si>
  <si>
    <t>Kannan/Ubaithullah/Irsath/Arivalagan/Saranya</t>
  </si>
  <si>
    <t>Don-184</t>
  </si>
  <si>
    <t>2/5/2026 - Analysis done started development
2/6/2026 - Development 50% has been completed
2/5/2026 - Development started from summary section (Kannan)
2/6/2026 - Worked summary section and pushed the code (Kannan)
2/9/2026 - Development 60% has been completed
2/10/2026 - Development 70% has been completed
2/11/2026 - Development 80% has been completed</t>
  </si>
  <si>
    <t>DON-177</t>
  </si>
  <si>
    <t>Login page Creation for b2c</t>
  </si>
  <si>
    <t>1]Footer text should be displayed in the middle of login button
2]Login text should display bit down and should have space in btw in greater giving icon and login text
3] Mandatory required error message is not displayed when entering space alone in the password field and password field accepts space  as valid one there
4]Mouseover on create account button shows the wrong URL in the left bottom of the page- it should not display when there is no navigations.
5]Give space in between login button and forgot password , currently need few spaces there.</t>
  </si>
  <si>
    <t>https://dev.azure.com/greatergiving/Greater%20Giving/_git/Donor/pullrequest/9215</t>
  </si>
  <si>
    <t>1/16/2026 - Development 50% completed
1/19/2026 - Development 100% completed 
1/20/2026 - Converted HTML to vegacontrols
1/21/2026 - Unit testing done and provide to QA testing and Internal Peer Review.
1/22/2026 - Observation fixed and provide to QA for retesting. Once QA confirm will create the PR.
1/22/2026  -QA Testing Completed 
Created PR - 1/23/2026
Prabu approved the PR - 1/27/2026 (Since OB release stories are priority, this will be reviewed by Joe tomorrow)</t>
  </si>
  <si>
    <t>DON-181</t>
  </si>
  <si>
    <t>Password Creation page Creation for b2c</t>
  </si>
  <si>
    <t xml:space="preserve">1]There is no space from top of the page on Greater giving icon, icon should display bit down as per figma
2]Green progress status should not be appeared when the values are matched in the pwd -refer below
3]eye icon should not be displayed in the pwd fields as per figma
4]Strong and Too weak text should display bit down as in the figma
5]The bullet point should be displayed as it in the figma , currently it shows bit extra size
6] Progress bar below new password input field should match with light color as it in the figma
7]Repeat pwd value should be hidden , should not display the entered value to the user
8] Footer text does not display when having browser 100 % zoom size , hidden scroll can be implemented in the page
9] Repeat password does not match error message should be displayed when new and repeat password are not matched
10]430 px view - Footer text is not coming up 
11]The last two options are not selected in Password page when the conditions are met there for Murugesh12#45 
12]The following color code #E5EFFF should be displayed by default in the create password page . currently some gray color is displayed 
13]Appropriate error message should be displayed when both password are not matched 
14]Please remove the extra Password quality indication text and display only too weak and strong
15]Last two options of password conditions should be checked by default as it is in the Dev
16]Need space between create password button and footer text not -fixed 
17]Remove the dot after to secure  your account text 
18]The font size of repeat password text should be 14px as there in the new password error message
19]Text should be altered in the button as Create password instead of Create your password in the page
20] Choose a strong password to secure your account text should not displayed bold in the page
</t>
  </si>
  <si>
    <t>Ubaithullah/Irsath</t>
  </si>
  <si>
    <t>1/16/2026- Analysis, html page created for password create along with validations
1/19/2026 - Development 50% completed
1/20/2026 -  Development 100% completed.
1/21/2026 - Unit testing done and provide to QA testing and Internal Peer Review.
1/22/2026 - Observation fixed and provide to QA for retesting. Once QA confirm will create the PR.
1/23/2026  -QA Testing Completed 
Created PR - 1/23/2026
Prabu approved the PR - 1/27/2026 (Since OB release stories are priority, this will be reviewed by Joe tomorrow)</t>
  </si>
  <si>
    <t>DON-179</t>
  </si>
  <si>
    <t>Verification page Creation for b2c</t>
  </si>
  <si>
    <t>1]  Greater giving icon should display bit low , so that can have some space in the top of the page in 430 view
2]  Display the Input box in the middle of the text and resend code button .[currently it has less space above resend code button]</t>
  </si>
  <si>
    <t>1/16/2026 - Analysis for B2C  functionality with custom html form fields
1/19/2026 - Development 50% completed
1/20/2026 -  Development 100% completed.
1/21/2026 - Unit testing done and provide to QA testing and Internal Peer Review.
1/22/2026 - Observation fixed and provide to QA for retesting. Once QA confirm will create the PR.
1/22/2026  -QA Testing Completed 
Created PR - 1/23/2026
Prabu approved the PR - 1/27/2026 (Since OB release stories are priority, this will be reviewed by Joe tomorrow)</t>
  </si>
  <si>
    <t>DON-180</t>
  </si>
  <si>
    <t>Signup page creation for b2c</t>
  </si>
  <si>
    <t xml:space="preserve">1] Need one space between greater icon and Create your text
2]Footer text should display in the middle , move bit right side as in the Dev branch 
3]Arrow should display after the text in the buttons , not before the text in the button
4]Change Sign in link color code to #262AFF
5]Change the  Create your account  color code to #04041CF2
6]Footer text not displayed fully in the default browser zoom size 
7]Page should be aligned in the center and avoid extra space in the left side page
</t>
  </si>
  <si>
    <t>1/16/2026 -Analysis for B2C functionality with custom fileds creation for signup
1/19/2026-Started Signup page implementattion
1/20/2026-Worked on Validation part
1/21/2026-Design and validation functionality is working
1/22/2026-Unit testing and code refactoring (QA local testing pending)
1/23/2026 - Observation fixed and provide to QA for retesting.
1/23/2026  -QA Testing Completed 
Created PR - 1/23/2026
Prabu approved the PR - 1/27/2026 (Since OB release stories are priority, this will be reviewed by Joe tomorrow)</t>
  </si>
  <si>
    <t>DON-183</t>
  </si>
  <si>
    <t>Donar-Cleanup</t>
  </si>
  <si>
    <t>Verify</t>
  </si>
  <si>
    <t>https://dev.azure.com/greatergiving/Greater%20Giving/_git/Donor/pullrequest/9176</t>
  </si>
  <si>
    <t>1/19/2026-payment page banner message issue 
1/20/2026-unit testing
Have analysed this story and discussed one point with Prabhu. He said to hold that point for for now as other stories are priority 1/21/2026
Kept hold as per the discussion we had with prabu - 1/28/2026</t>
  </si>
  <si>
    <t>OB-OP 8.4 Sprint 4 - [STRETCH]</t>
  </si>
  <si>
    <t>DON-182</t>
  </si>
  <si>
    <t>Forgot password page creation for b2c</t>
  </si>
  <si>
    <t>1/23/2026  - Development Completed provided to QA
1/23/2026  -QA Testing Completed 
1/27/2026 - Testing bugs has been fixed</t>
  </si>
  <si>
    <t>Don-189</t>
  </si>
  <si>
    <t>Insecure Direct Object Reference (IDOR) vulnerabilities Issue fixes</t>
  </si>
  <si>
    <t xml:space="preserve">1/28/2026 -  Analysis done and development started
1/29/2026  - Document has been created </t>
  </si>
  <si>
    <t>Rate limiter prevents brute force and DDOS attacks.</t>
  </si>
  <si>
    <t>1/28/2026 -  Analysis done and development started
1/29/2026 - Implemented on API side</t>
  </si>
  <si>
    <t>DON-168</t>
  </si>
  <si>
    <t>Donor Clean Up - Address Area</t>
  </si>
  <si>
    <t>Murugesh</t>
  </si>
  <si>
    <t>Leo</t>
  </si>
  <si>
    <r>
      <rPr>
        <sz val="11"/>
        <color rgb="FF000000"/>
        <rFont val="Calibri"/>
      </rPr>
      <t xml:space="preserve">12/22/2025 - Task completed
</t>
    </r>
    <r>
      <rPr>
        <sz val="12"/>
        <color rgb="FFFF0000"/>
        <rFont val="Calibri"/>
      </rPr>
      <t>Remove Button works fine due to fix of GGO donor API  i did not change any Donor side code  that is why it does not have PR Link</t>
    </r>
  </si>
  <si>
    <t>DON-169</t>
  </si>
  <si>
    <t>Donor Clean Up - DB users table</t>
  </si>
  <si>
    <t>https://dev.azure.com/greatergiving/Greater%20Giving/_git/Donor/pullrequest/9128</t>
  </si>
  <si>
    <t>12/22/2025 - Task completed</t>
  </si>
  <si>
    <t>DON-167</t>
  </si>
  <si>
    <t>Donor Clean Up - Create account page</t>
  </si>
  <si>
    <t>https://dev.azure.com/greatergiving/Greater%20Giving/_git/Donor/pullrequest/9129</t>
  </si>
  <si>
    <t>12/22/2025-Fixed alignment issue</t>
  </si>
  <si>
    <t>Kannan Muthiah</t>
  </si>
  <si>
    <t>DON-170</t>
  </si>
  <si>
    <t>Donor Clean Up - Reset your pwd page</t>
  </si>
  <si>
    <t>Arivalagan Ramasamy</t>
  </si>
  <si>
    <t>DON-171</t>
  </si>
  <si>
    <t>Donor Clean Up - Create your pwd page</t>
  </si>
  <si>
    <t xml:space="preserve">12/22/2025-did some code tuning </t>
  </si>
  <si>
    <t>DON-46</t>
  </si>
  <si>
    <t>Handle user authentication into OB from Donor Platform</t>
  </si>
  <si>
    <t xml:space="preserve">The organization and Events  features are implemted for profile in donor platform
</t>
  </si>
  <si>
    <t>Kannan , Ubaithullah</t>
  </si>
  <si>
    <t>DON-165</t>
  </si>
  <si>
    <t>Donor - Back End Code Review</t>
  </si>
  <si>
    <t xml:space="preserve"> 1]Email address does not get updated in the UI , but updated in the Users table correctly.
2] Payment card is not added in payment area second time , but getting success banner message in the home page
3] Warning message for duplicate card entry [ Card already exists ] is coming up inconsistently</t>
  </si>
  <si>
    <t xml:space="preserve">https://greatergiving.visualstudio.com/Greater%20Giving/_git/Donor/pullrequest/9135
https://greatergiving.visualstudio.com/Greater%20Giving/_git/Donor/pullrequest/9144
https://greatergiving.visualstudio.com/Greater%20Giving/_git/Donor/pullrequest/9145
</t>
  </si>
  <si>
    <t>Saranya\Arivalagan Ramasamy/Irsath</t>
  </si>
  <si>
    <t>DON-166</t>
  </si>
  <si>
    <t>Donor  - Front End Code Review</t>
  </si>
  <si>
    <t xml:space="preserve">
1] when clicking on edit profile icon , below 500 error is coming in the home page  
2] org and events area still loading - data is not loading for 372 account ID 
3] Input box looks broken in forgot Pwd flow verify code page for 430 px 
4] Create account page looks bit short in right side space while comparing to left side for 430 px 
5] Input box looks broken in sign up flow verify code page for 430 px 
6] Resend code button left side is not rounded off on left side on verify code page for 430 px 
7] personal information page should have equal space on right and left side for 430 px view and 598 [mobile view] 
8] Add payment method page should have equal space on right and left side for 430 px and 598 [mobile view] 
9] profile initials circle is not displayed in the middle on name space area 
10] x-close  icon is not working in image upload modal
11] Login button and footer text are not coming up 
12] loader is displaying in the top of the page instead of middle of the page in the add payment method page 
13] Add payment method page - Continue button gets disabled just check and uncheck the use different billing address option after entering 
all the mandatory fields above toggle set as default payment method 
14]The custom error message was displayed on security code input field when entering invalid value there.</t>
  </si>
  <si>
    <t>https://dev.azure.com/greatergiving/Greater%20Giving/_git/Donor/pullrequest/9137
https://dev.azure.com/greatergiving/Greater%20Giving/_git/Donor/pullrequest/9148
https://dev.azure.com/greatergiving/Greater%20Giving/_git/Donor/pullrequest/9154</t>
  </si>
  <si>
    <t>12/29/2025
01/05/2026
01/08/2026</t>
  </si>
  <si>
    <t>12/23/2025-Change div to vega box , vega flex
12/22/2025-Added Common Data transfer for non depantable component
12/19/2025-Stepper functionality simpifiy 
12/24/2025 - 20% completed
12/26/2025 - 30% completed
12/29/2025 - 40% completed
12/30/2025 - 50% completed
12/31/2025 - 70% completed
1/2/2026     - 80% completed
1/5/2026     - 100% completed Giveing for testing
1/6/2026     - Issue has been fixed
1/7/2026     - Removed unwanted Css
1/8/2026     -  Created common navigator service
1/9/2026     - Progress tracker functionality simplify
1/12/2026  -  Shadow root Remove for color code
1/13/2026  -  Inline css remove
1/14/2026 -  Code formatting and Removed unwanted  spaces in the html and TS  and comments added</t>
  </si>
  <si>
    <t>DON-161</t>
  </si>
  <si>
    <t>Create Account page</t>
  </si>
  <si>
    <t>murugesan</t>
  </si>
  <si>
    <t>https://dev.azure.com/greatergiving/Greater%20Giving/_git/Donor/pullrequest/9108</t>
  </si>
  <si>
    <t>12/22/2025-Fixed design alignment issue.</t>
  </si>
  <si>
    <t>OB-OP 8.4 Sprint 2 - [STRETCH]</t>
  </si>
  <si>
    <t>Irsath/Kannan</t>
  </si>
  <si>
    <t>Don-178</t>
  </si>
  <si>
    <t>Investigation into B2C page creation using HTML/JS</t>
  </si>
  <si>
    <r>
      <rPr>
        <sz val="10"/>
        <color rgb="FF000000"/>
        <rFont val="Arial"/>
        <scheme val="minor"/>
      </rPr>
      <t xml:space="preserve">1/8/2026 - Analysis completed 50%
1/9/2026 - Analysis completed 80%
1/12/2026 - Analysis completed 90%
1/13/2026 - Analysis completed 95%
1/14/2026 - Analysis completed 100% and suggestion shared
</t>
    </r>
    <r>
      <rPr>
        <b/>
        <sz val="12"/>
        <color rgb="FFFF0000"/>
        <rFont val="Arial"/>
        <scheme val="minor"/>
      </rPr>
      <t>This is R&amp;D task that is why it does not have PR Link</t>
    </r>
  </si>
  <si>
    <t>DON-28</t>
  </si>
  <si>
    <t>Implement OneTrust on Donor Platform</t>
  </si>
  <si>
    <t>https://dev.azure.com/greatergiving/Greater%20Giving/_git/Donor/pullrequest/9107</t>
  </si>
  <si>
    <t>1/7/2026 - Development completed</t>
  </si>
  <si>
    <t>Arivalagan/Ubaithullah</t>
  </si>
  <si>
    <t>Donor-Cleanup-Continuation</t>
  </si>
  <si>
    <t>1/8/2026-fixed user initialis functionality</t>
  </si>
  <si>
    <t>DON-157</t>
  </si>
  <si>
    <t>Secure Code Page</t>
  </si>
  <si>
    <t>1] First and Last input box looks incomplete in tablet landscape view -1024 px
2] First and Last input box looks incomplete in Mobile Portrait  view -430 px</t>
  </si>
  <si>
    <t>https://dev.azure.com/greatergiving/Greater%20Giving/_git/Donor/pullrequest/9085</t>
  </si>
  <si>
    <t>12/05/2025-working on design issue
12/08/2025-working on design issue for tablet view</t>
  </si>
  <si>
    <t>Don-155</t>
  </si>
  <si>
    <t>Add View Billing address</t>
  </si>
  <si>
    <t>https://dev.azure.com/greatergiving/Greater%20Giving/_git/Donor/pullrequest/9093</t>
  </si>
  <si>
    <t>12/5/2025 - Analysis done,start development
12/8/2025 - Model has been created
12/9/2025 - Show hide implemented for show billing address button
12/10/2025 - Unit testing done and given for testing
12/11/2025 - Update vega library version and test all pages</t>
  </si>
  <si>
    <t>DON-153</t>
  </si>
  <si>
    <t>Determine method for storing Billing address</t>
  </si>
  <si>
    <t xml:space="preserve">
1.Billing address label should not be displayed when selecting use Different billing address option
2.Save Payment method button should not be enabled when the mandatory field company name is empty
3. Save payment method button is not working after selecting the Add address manually option
4.Company name is returning as null on  GGO API response for the saved CC card.
5. Address type is returning as null only to all the address types on  GGO API response for the saved CC card.
6. Some deley there on use different billing address check box to disabled 
7.Has Billing address column shown as false in card_reference table after adding Billing address for payment card</t>
  </si>
  <si>
    <t>Irasath</t>
  </si>
  <si>
    <t>https://greatergiving.visualstudio.com/Greater%20Giving/_git/Donor/pullrequest/9099</t>
  </si>
  <si>
    <t>12/05/2025 - Started development (Code behind started but not yet confirmed the UX side to use the existing address component)
12/09/2025 confirmation received for to use the existing address component
12/11/2025 - PR Created 
12/15/2025 Asked to update the user address in donor db
12/17/2020 Asked to update the UX changes in Credit card page, Billing Address is mandatory if profile address is empty</t>
  </si>
  <si>
    <t>Arivalagan / Ubaithullah</t>
  </si>
  <si>
    <t>Don-149</t>
  </si>
  <si>
    <t>Implement Progress Bar in Donor Home</t>
  </si>
  <si>
    <t xml:space="preserve">
1.Stepper popup is coming as flicker once it is completed 
2.Appropriate text should be displayed in the stepper 
3. Appropriate URL should be displayed in the browser while profile focus on edit profile mobile field
4.dismiss btn is not working in progress stepper 
5.Adding payment from signup flow . shows one cc in payment area of home page , but stepper shows 4th step as incomplete</t>
  </si>
  <si>
    <t>https://dev.azure.com/greatergiving/Greater%20Giving/_git/Donor/pullrequest/9103</t>
  </si>
  <si>
    <t>Create a common method and pass the respective parameter and use it</t>
  </si>
  <si>
    <t>12/5/2025- Started Analysis and development 
12/8/2025 -Started implementation progress bar
12/9/2025-Design implementation and functionality development
12/10/2025-Code refactoring and fine tune changes
12/11/2025- Mobile redirection and check completed steps
12/12/2025-code refactroing
12/15/2025-Clicking an unfinished step should take the user to the appropriate accordion/screen to enter information
12/16/2025-code refactroing
12/17/2025-code refactroing
12/18/2025-code refactroing</t>
  </si>
  <si>
    <t>DON-158</t>
  </si>
  <si>
    <t>Personal Information Page</t>
  </si>
  <si>
    <t>12/05/2025-Fixing the dropdown list</t>
  </si>
  <si>
    <t>DON-162</t>
  </si>
  <si>
    <t>Adjust Login Page width</t>
  </si>
  <si>
    <t xml:space="preserve">1]There should be some space before privacy text in the footer
2]Scrolling down the page is not working in reset password page
3]Footer text is not coming up in 1024,768 and 598 px width for Reset your  password page
4]Footer text is not coming up in 1024,768 and 598 px width for Create your password page
5.Ltext in the Login should display bit left.
6.Forgot password page has bit space in right side </t>
  </si>
  <si>
    <t>https://dev.azure.com/greatergiving/Greater%20Giving/_git/Donor/pullrequest/9096</t>
  </si>
  <si>
    <t>12/09/2025-working on footer text alignment issue
12/10/2025-working on dropdown alignment issue
12/11/2025-Unit testing for application.
12/15/2025-unit testing for Login Page</t>
  </si>
  <si>
    <t>OB-OP 8.4 Sprint 1 - [STRETCH]</t>
  </si>
  <si>
    <t>12/12/2025-Analysis done start development
12/15/2025- Development 60% completed
12/16/2025- Development 90% completed
12/17/2025-Completed.
12/18/2025-Completed Given for Peer review</t>
  </si>
  <si>
    <t xml:space="preserve">1.some extra space on create account page right side for 598 view only </t>
  </si>
  <si>
    <t>12/12/2025-Alignmnet issue fixing in create account page
12/16/2025-unit testing for create workflow</t>
  </si>
  <si>
    <t>OB-OP 8.4 sprint -1</t>
  </si>
  <si>
    <t>DON-164</t>
  </si>
  <si>
    <t xml:space="preserve">Has Billing address column shown as false in card_reference table after adding Billing address for payment card  </t>
  </si>
  <si>
    <t>Development</t>
  </si>
  <si>
    <t>During the peer review, column name has been renamed in domain model but not updated in ux interface.</t>
  </si>
  <si>
    <t>Need to revisit and test all the features again after review is done</t>
  </si>
  <si>
    <t>Ubaithullah/Kannan</t>
  </si>
  <si>
    <t>Don-146</t>
  </si>
  <si>
    <t>Complete Profile Initials Functionality</t>
  </si>
  <si>
    <t>1]Updating value not reflecting in home page , gets reflected only in edit profile page after clicked on  save profile button
2]Default color[yellow] is not displayed in the modal now
3]Alpha chars only should allow in profile initials input box
4]X icon is not working in the modal</t>
  </si>
  <si>
    <t>https://dev.azure.com/greatergiving/Greater%20Giving/_git/Donor/pullrequest/9047</t>
  </si>
  <si>
    <t xml:space="preserve">11/21/2025 - Analysis
11/24/2025 - Completed Save and update backend funcitonality
11/25/2025 - Back end Get funcationality completed and UX completed.
11/26/2025 - Code optimization and testing </t>
  </si>
  <si>
    <t>Don-148</t>
  </si>
  <si>
    <t>Implement OB Activity</t>
  </si>
  <si>
    <t>https://dev.azure.com/greatergiving/Greater%20Giving/_git/Donor/pullrequest/9043</t>
  </si>
  <si>
    <t xml:space="preserve">11/21/2025 - Analysis done
11/24/2025 - Create OnlineBidding Activity API has been created
11/25/2025 - Tested and PR has been created
</t>
  </si>
  <si>
    <t>Arivalagan/saranya</t>
  </si>
  <si>
    <t>Don-144</t>
  </si>
  <si>
    <t>Notification Display Area</t>
  </si>
  <si>
    <t>https://dev.azure.com/greatergiving/Greater%20Giving/_git/Donor/pullrequest/9044</t>
  </si>
  <si>
    <t>11/21/2025- Analysis
11/24/2025-design implementation
11/25/2025-working vega-banner</t>
  </si>
  <si>
    <t>Don-147</t>
  </si>
  <si>
    <t>Session storage</t>
  </si>
  <si>
    <t>https://dev.azure.com/greatergiving/Greater%20Giving/_git/Donor/pullrequest/9060</t>
  </si>
  <si>
    <t>11/26/2025 - Analysis
11/27/2025 - Analysis
11/28/2025 - Session Storage Implement secure and encrypted 
12/1/2025 - Unit testing
12/2/2025 - Code Optimization
12/3/2025 - A fallback to alternative storage (in-memory storage) for cases when session storage is unavailable
12/4/2025 - A fallback to alternative storage (in-memory storage) for cases when session storage is unavailable</t>
  </si>
  <si>
    <t>OB-OP 8.3 Sprint 4 - [STRETCH]</t>
  </si>
  <si>
    <t>Don-154</t>
  </si>
  <si>
    <t>Clarify Progress Bar in Create account</t>
  </si>
  <si>
    <t>1]Continue button should be worked in single click in create your password page
2]Aria label are missing to represent the progress stepper functionality
3]Scroll bar should not be displayed in payment method page 
4]Scroll bar should not be displayed in personal information page 
5]progress bar color code should match with Donor's standard one #262AFF</t>
  </si>
  <si>
    <t>Arivu/Saranya/Kannan</t>
  </si>
  <si>
    <t>https://dev.azure.com/greatergiving/Greater%20Giving/_git/Donor/pullrequest/9070</t>
  </si>
  <si>
    <t>This needs to be disconnected/destroyed.</t>
  </si>
  <si>
    <t>11/26/2025 -Analysis
11/27/2025-design implementation
11/28/2025-working progress bar step functionality
12/01/2025-Fixing design issue and unit testing
12/02/2025-fixing finding issue
12/03/2025-code cleanup
12/04/2025-code refactoring</t>
  </si>
  <si>
    <t>DON-151</t>
  </si>
  <si>
    <t>Continue Error page Work in Donor Platform</t>
  </si>
  <si>
    <t>https://dev.azure.com/greatergiving/Greater%20Giving/_git/Donor/pullrequest/9073</t>
  </si>
  <si>
    <t xml:space="preserve">We should use the error code array rather than magic numbers here.
</t>
  </si>
  <si>
    <t>Don-99</t>
  </si>
  <si>
    <t>Convert Address page from bootstrap to Vega control</t>
  </si>
  <si>
    <t xml:space="preserve">
1] Pin code should accept only numbers 
2] loaders should display in the center of the page , currently shows in the top of page  
3] error msg is not coming up for address field if you remove address value using x icon in add address page 
4] state value should not accept numeric value 
5] Remove button should not be displayed in add address window
6] Entering space allows as valid value in address field , Error message should display when there is no value
7] City value accepts all special characters, can restrict to letters
8] save button is not enabled while clicking on edit address button of partial address text update from home page</t>
  </si>
  <si>
    <t>Ubauithullah</t>
  </si>
  <si>
    <t>https://dev.azure.com/greatergiving/Greater%20Giving/_git/Donor/pullrequest/8995</t>
  </si>
  <si>
    <t>11/7/2025 - Worked for Google address api auto complete
11/10/2025 - Converted address API`s into URI Builder</t>
  </si>
  <si>
    <t>Don-109</t>
  </si>
  <si>
    <t>Profile Data Management</t>
  </si>
  <si>
    <t>https://dev.azure.com/greatergiving/Greater%20Giving/_git/Donor/pullrequest/9003</t>
  </si>
  <si>
    <t>DON-117</t>
  </si>
  <si>
    <t>Profile Cleanup</t>
  </si>
  <si>
    <t>1] When updating name with space in btw letters , it is saving with space in the profile</t>
  </si>
  <si>
    <t>https://dev.azure.com/greatergiving/Greater%20Giving/_git/Donor/pullrequest/9023</t>
  </si>
  <si>
    <t xml:space="preserve">11/7/2025- Started Analysis and development 
11/10/2025-Removed unwanted code, and working on Validation
11/11/2025- Design issue is fixed
11/12/2025-worked 320 px design changes
11/13/2025-design implmentation
11/14/2025-Worked on update and api functionaltiy
11/18/2025-Review comments worked
</t>
  </si>
  <si>
    <t>DON-110</t>
  </si>
  <si>
    <t>Terms of Use URL</t>
  </si>
  <si>
    <t>https://dev.azure.com/greatergiving/Greater%20Giving/_git/Donor/pullrequest/8989</t>
  </si>
  <si>
    <t>11/7/2025-Terms of Use URL replaced url</t>
  </si>
  <si>
    <t>Saranya/Irsath</t>
  </si>
  <si>
    <t>DON-100</t>
  </si>
  <si>
    <t>Error pages design implementation</t>
  </si>
  <si>
    <t>1.HTTP Error code ZERO  along with text "Server not connected" is not  valid when failed to load resource from  API service 
2.Wrong text message is displayed for 503 error code
3.Wrong text is displayed on the home page redirection button for 404 error code</t>
  </si>
  <si>
    <t>https://dev.azure.com/greatergiving/Greater%20Giving/_git/Donor/pullrequest/9007</t>
  </si>
  <si>
    <t>nil</t>
  </si>
  <si>
    <t>joe</t>
  </si>
  <si>
    <t>11/7/2025-Error pages design implementation
11/10/2025-working error code functionality
11/11/2025-fixing design issues.
11/12/2025-Unit testing
11/17/2025-page redirect issue fixing
11/18/2025-network issue finding
11/19/2025-code tuning
11/20/2025-working on cros issue code</t>
  </si>
  <si>
    <t>OB-OP 8.3 Sprint 3 - [STRETCH]</t>
  </si>
  <si>
    <t>DON-122</t>
  </si>
  <si>
    <t>Clicking -Cards on File</t>
  </si>
  <si>
    <t>https://dev.azure.com/greatergiving/Greater%20Giving/_git/Donor/pullrequest/9010</t>
  </si>
  <si>
    <t>11/14/2025- implementation for Cards on File</t>
  </si>
  <si>
    <t>DON-120</t>
  </si>
  <si>
    <t>Add AccountId to Donor card_references Table</t>
  </si>
  <si>
    <t>https://dev.azure.com/greatergiving/Greater%20Giving/_git/Donor/pullrequest/9016</t>
  </si>
  <si>
    <t>Don-108</t>
  </si>
  <si>
    <t>Establish b2c flow via login</t>
  </si>
  <si>
    <t>https://dev.azure.com/greatergiving/Greater%20Giving/_git/Donor/pullrequest/8961</t>
  </si>
  <si>
    <t>10/24/2025 - Unwanted code has been reviewed and documented for non PKCE
10/27/2025 - Implemeneted Custom PKCE</t>
  </si>
  <si>
    <t>DON-103</t>
  </si>
  <si>
    <t>Profile edit icon is not centered on Profile Image</t>
  </si>
  <si>
    <t>https://greatergiving.visualstudio.com/Greater%20Giving/_git/Donor/pullrequest/8951</t>
  </si>
  <si>
    <t>DON-104</t>
  </si>
  <si>
    <t>Adjust address Icon on Mobile</t>
  </si>
  <si>
    <t>https://greatergiving.visualstudio.com/Greater%20Giving/_git/Donor/pullrequest/8950</t>
  </si>
  <si>
    <t>DON-97</t>
  </si>
  <si>
    <t>Update to Credit Card area</t>
  </si>
  <si>
    <t>1]*should display before the last four digits of card name - VISA*4111 
2]Amex card's Exp11/26 should move bit left to match other cards Exp dates-alignment issue 
3]Primary should not be displayed when the card is already set as primary 
4]Add payment button should display as per Figma for all the views 
5]Border line should be displayed in between each credit cards 
6]Add payment method button color code should match with Figma Ref -#262AFF 
7]All the master card name and number should display in the same row for Mobile Landscape 
8]Delete text should be in Red color -#910818 
9]Y was displayed in next row in primary text in Mobile Portrait responsive
10]One space was displayed in Exp date when i created same credit card second time in my system</t>
  </si>
  <si>
    <t>https://dev.azure.com/greatergiving/Greater%20Giving/_git/Donor/pullrequest/8968</t>
  </si>
  <si>
    <t>DON-92</t>
  </si>
  <si>
    <t>Login page styling</t>
  </si>
  <si>
    <t xml:space="preserve">
1.Footer text should be displayed as Cookie policy , not alone privacy policy and agree text should be displayed 
in the first row after you as per Figma
2.Error message should be displayed as Enter a valid email address as per figma
3.Lock icon should 16x16 width height as per figma- not fixed 
4.That text should display in first row security code as per figma[ This helps us keep your account secure
 by verifying that it’s really you.]
5.Footer text should  not be displayed in security page as per Figma 
6.Login security code page text box gap looks 12 px and each button width size looks 490 in Figma
7.Rest your password text alignment should match with Figma
8.letter spacing needs to adjusted as per figma in Reset your password page
9.Forgot email hyperlink should show fully in the bottom of login page when mouse hover it
10.to and policy should be displayed to next link in the footer text as per figma in reset your password page 
11.Spelling mistake in  Repeate [Repeat]Password is required text in Reset your password page
12]Password text should be masked while typing in reset password </t>
  </si>
  <si>
    <t>https://greatergiving.visualstudio.com/Greater%20Giving/_git/Donor/pullrequest/8975</t>
  </si>
  <si>
    <t xml:space="preserve">10/24/2025-Analysis and start implementaion
10/27/2025-Login page design implementation
10/28/2025-Reset password page design implementation
10/29/2025- Security Code Screen implementaion
10/30/2025-login page hide and show working
10/31/2025-finding issue fixed
11/03/2025-code cleanup
11/04/2025-autofocus implementation
11/5/2025-autofoucs implementation
11/6/2025-vega textbox image findings </t>
  </si>
  <si>
    <t>DON-101</t>
  </si>
  <si>
    <t>Remove CVV from DB</t>
  </si>
  <si>
    <t>PR was not created for this</t>
  </si>
  <si>
    <t>OB-OP 8.3 Sprint 2 - [STRETCH]</t>
  </si>
  <si>
    <t>Don-87</t>
  </si>
  <si>
    <t>Review Loading screens</t>
  </si>
  <si>
    <t>https://dev.azure.com/greatergiving/Greater%20Giving/_git/Donor/pullrequest/8966</t>
  </si>
  <si>
    <t xml:space="preserve">10/28/2025 - Loader implemented in address and edit page
10/29/2025 - Task has been completed and created PR
10/30/2025 - Banner hight issues has been resolved
</t>
  </si>
  <si>
    <t>DON-102</t>
  </si>
  <si>
    <t>Adjust Body Height</t>
  </si>
  <si>
    <t>https://dev.azure.com/greatergiving/Greater%20Giving/_git/Donor/pullrequest/8972</t>
  </si>
  <si>
    <t>10/31/2025 - Design issue has been fixed</t>
  </si>
  <si>
    <t>11/3/2025 - Few textboxs convert from bootstap to vega control
11/4/2025 - 30% controls converted into vega
11/5/2025 - 80% controls converted into vega
11/5/2025 - 100% controls converted into vega</t>
  </si>
  <si>
    <t xml:space="preserve">11/4/2025 - Analysis </t>
  </si>
  <si>
    <t>Arivalagan, Ubhaithulla</t>
  </si>
  <si>
    <t>DON-71</t>
  </si>
  <si>
    <t>Donor Platform - When clicking Edit Icon for Nameplate, go to Edit Profile</t>
  </si>
  <si>
    <t xml:space="preserve">1.File type not supported text is displayed by default even after clicking cancel button on upload model -fixed
2.Image should not be displayed again in upload modal once it is deleted 
3.Remove here text from upload your image icon modal
4.File size exceeds!text is displayed by default even after clicking cancel button on upload model
5.Allowing space in name fields does not allow save button enabled ,need some restrictions there
6.Default name text should not be displayed in image preview view , can show profile image text there generally.
7.update btn is still enabled when come next time after selecting image and close the modal without updating it 
8.Error message should not be displayed while uploading the image second time in the add profile modal after clikcing cancel button </t>
  </si>
  <si>
    <t>https://dev.azure.com/greatergiving/Greater%20Giving/_git/Donor/pullrequest/8911</t>
  </si>
  <si>
    <t>1. Make sure you clean up the interval in the ngOnDestroy, or even remove this entirely because it's handled in [disabled]="profileForm.invalid".
2. Direct DOM manipulation is unsafe. Let's get the file through the event parameter rather than DOM manipulation. Use Angular's built-in change detection.
3. Magic number here. Let's make it a constant/configurable.
4. Remove unused property
5. Sanitize the result before binding (xss risk)
6. This form needs labels rather than placeholders. See the FIgma document. Use the "label" Vega attribute.
7. Name fields (first, middle, last) should have the input validation</t>
  </si>
  <si>
    <t>10/10/2025-Implement the vega components
10/13/2025-implement the vega button and upload components
10/14/2025-vega desing issue and button component
10/15/2025 -vega desing issue and button component
10/16/2025-vega input design implementation
10/17/2025-finding issue fixed
10/21/2025 -worked on refactoring the code
10/22/2025-working on client reivew code
10/23/2025-working on review and code walkthrough</t>
  </si>
  <si>
    <t>Donor-Login Page Styling</t>
  </si>
  <si>
    <t xml:space="preserve">
1.Email address label should be displayed as per Figma_ Create account page 
2.div content max width should be 500 px and so that text box width should be matched with Figma_ Create account page
3.text box label bg color does not match with Figma #04041C94 _ Create account page
4.Continue button color code should match with Figma #262AFF _ Create account page
5.Button width should be matched with Figma 500px,currently bit short_Check your inbox page
6.Continue and resend code button should match with Figma color code #262AFF _Verify your Account page
7.new password and Repeat password label text color should match with Figma _Create your password page
8.Continue button bg color should match with Figma in #B0B4B5 [grey]and #262AFF[Blue]_Create your password page
9.Input text box color should be ##04041C94_Add a Member to your account page
10.Continue and Skip text should be #262AFF_Add a Member to your account page
11.Console error "address-form.component.ts:612 ERROR TypeError: Cannot set properties of null (setting 'disabled')
    at address-form.component.ts:619:23 is displayed in create password page
12]Consol;e error "Error NG0150: form control name must be used with a parent form group directive is displayed </t>
  </si>
  <si>
    <t>https://dev.azure.com/greatergiving/Greater%20Giving/_git/Donor/pullrequest/8931</t>
  </si>
  <si>
    <t xml:space="preserve">10/10/2025-sign-up page design implementation
10/13/2025-personal information page
10/14/2025-signup page unit testing
10/15/2025-login page design implementation
10/16/2025-fixing design issues
10/17/2025-fixing design issue </t>
  </si>
  <si>
    <t>DON-23</t>
  </si>
  <si>
    <t>Create the backend login flow</t>
  </si>
  <si>
    <t>10/10/2025 - Analyzed  done
10/13/2025 - Working on B2C
10/14/2025 - Working on B2C
10/15/2025 - Working on B2C
10/16/2025 - Working on B2C
10/17/2025 - Working on B2C
10/21/2025 - Working on B2C
10/22/2025 - Working on B2C
10/23/2025 - Working on B2C</t>
  </si>
  <si>
    <t xml:space="preserve">Kannan </t>
  </si>
  <si>
    <t>DON-89</t>
  </si>
  <si>
    <t>Donor - Add missing info banners</t>
  </si>
  <si>
    <t xml:space="preserve">1] Show the warning message  text same as it is in Address accordian area
 </t>
  </si>
  <si>
    <t>Pull Request 8916: DON-89 Donor - Add missing info banners</t>
  </si>
  <si>
    <t>Development done on 10/10/2025 and tested by Murugesan and created PR the same day</t>
  </si>
  <si>
    <t>10/10/2025 - Development done and created PR</t>
  </si>
  <si>
    <t>OB-OP 8.3 Sprint 1 - [STRETCH]</t>
  </si>
  <si>
    <t>DON-96</t>
  </si>
  <si>
    <t>Update Profile API handling</t>
  </si>
  <si>
    <t>https://greatergiving.visualstudio.com/Greater%20Giving/_git/Donor/pullrequest/8943</t>
  </si>
  <si>
    <t>OB-OP 8.3 Sprint 1 - [SPIKE]</t>
  </si>
  <si>
    <t>DON-95</t>
  </si>
  <si>
    <t>Use GGO policy instead of OP Policy for MFA login</t>
  </si>
  <si>
    <t>It is a investigation story, and it will get completed by tonight 10/23/2025</t>
  </si>
  <si>
    <t>1]profile gets updated with invalid values
2]Profile gets updated without values input fields- should show error msg for empty fields
3]Image upload accepts doc file and no error msg displayed
4]need space btw profile photo label and add profile button as per figma
5]Color code of update btn , select or drop text should match with figma - #262AFF
6]Home page Input fields label text color should match with Figma#04041C94 58%
7]Removal image option is not displayed if image exists
8]padding should be 32px in upload modal and color code of cancel btn should match with figma - #262AFF
9]Add profile photo text should be #04041CF2 as per figma
10]Add profile modal should have 550 x 332 px from Desktop to Mob L and for Mob P only should have 390 x 330 px width and height
11]Upload area div should match width and height with figma from Desktop to Mobile Portrait
12]Cancel and update button color code ,width and padding should match with Figma
13]Upload note content text color code should match with Figma
14]Upload modal close icon color code and width should match with Figma
15]Upload modal bg color should be #F0F3F7 as per Figma
16]Add profile photo and Edit initials buttons color code should match with Figma
17]Save profile and cancel button color code should match with Figma -#262AFF
18]Edit profile and profile Photo text color should match with Figma -#04041CF2
19]Uploading new image should not updated in edit profile page when clicking on cancel btn
20]Add delete icon in edit profile page if image exists 
21]Modal cancel and update button figma size match  
22]In the Mob portrait view , profile photo text should come bit right and bit space 
btw image and add profile edit intials btn as in figma  
23]Mobile number is required error message should be displayed when there is no value present in mobile field
24]Error message should be displayed for incomplete value in email field
25]Red bg color should be displayed behind the input field when there is any error to highlight user though error 
message is displayed in the page</t>
  </si>
  <si>
    <t>https://greatergiving.visualstudio.com/Greater%20Giving/_git/Donor/pullrequest/8911</t>
  </si>
  <si>
    <t>10/09/2025-task completed</t>
  </si>
  <si>
    <t>Don-64</t>
  </si>
  <si>
    <t>Donor Platform - Add Address button</t>
  </si>
  <si>
    <t>1]Add address manually option is not coming when address is not available in google API 
2]Black background color is displayed in the search result panel 
3] there is some Difference on edit address remove confirmation window with Figma
4]Should be a camel case in country name input field error msg</t>
  </si>
  <si>
    <t>https://dev.azure.com/greatergiving/Greater%20Giving/_git/Donor/pullrequest/8862</t>
  </si>
  <si>
    <t>9/26/2025 - Add Address Manully design issue has been fixed
9/29/2025 - Code has been optimized
9/30/2025- Code has been optimized
10/7/2025- Fixed Review comments issues
10/8/2025- Fixed Review comments issues
10/9/2025- Fixed Review comments issues</t>
  </si>
  <si>
    <t>DON-78</t>
  </si>
  <si>
    <t>Donor Platform - Clean Up</t>
  </si>
  <si>
    <t>https://dev.azure.com/greatergiving/Greater%20Giving/_git/Donor/pullrequest/8885</t>
  </si>
  <si>
    <t>9/26/2025 - Banner Persists working
9/29/2025-Add Address Area
9/30/2025-Payment Method</t>
  </si>
  <si>
    <t>arivalagan</t>
  </si>
  <si>
    <t>DON-70</t>
  </si>
  <si>
    <t>Past Events - Show Previous Events button/Functionality</t>
  </si>
  <si>
    <t xml:space="preserve">                                           1]previous events attended label width was mismatched with Figma ref                                                                   
2]help and previous was displayed as button instead of link             </t>
  </si>
  <si>
    <t>https://dev.azure.com/greatergiving/Greater%20Giving/_git/Donor/pullrequest/8889</t>
  </si>
  <si>
    <t>9/26/2025 - Analysis and stated implementation 
9/29/2025-Design implementation 
9/30/2025-findings issue fixed
10/03/2025-Finding and issue fixing</t>
  </si>
  <si>
    <t>OB-OP 8.2 Sprint 4 - [Stretch]</t>
  </si>
  <si>
    <t>DON-83</t>
  </si>
  <si>
    <t>Donor-Help-accordion</t>
  </si>
  <si>
    <t>1]help link icon's arrow  was mismatched with figma ref</t>
  </si>
  <si>
    <t>https://dev.azure.com/greatergiving/Greater%20Giving/_git/Donor/pullrequest/8898</t>
  </si>
  <si>
    <t>10/03/2025- added help link</t>
  </si>
  <si>
    <t>DON-85</t>
  </si>
  <si>
    <t>Donor-Updatered-pill-to-match-Remove-text</t>
  </si>
  <si>
    <t>https://dev.azure.com/greatergiving/Greater%20Giving/_git/Donor/pullrequest/8899</t>
  </si>
  <si>
    <t>10/03/2025-pill color code has been changed</t>
  </si>
  <si>
    <t>Don-86</t>
  </si>
  <si>
    <t>Donor-Update backend to pick up Org and Events in single call</t>
  </si>
  <si>
    <t>https://dev.azure.com/greatergiving/Greater%20Giving/_git/Donor/pullrequest/8900</t>
  </si>
  <si>
    <t>10/03/2025 - Created API
10/06/2025 - Integrated API for org and events</t>
  </si>
  <si>
    <t>saranya/arivalagan</t>
  </si>
  <si>
    <t>10/06/2025 -Donor-Login Page Styling-analyzing and design implementation
10/07/2025-Login page design implementation
10/08/2025-signup page design
10/09/2025-signup page design</t>
  </si>
  <si>
    <t>DON-81</t>
  </si>
  <si>
    <t>Donor - Update "Events Purchased" to "Upcoming Events"</t>
  </si>
  <si>
    <t>https://greatergiving.visualstudio.com/Greater%20Giving/_git/Donor/pullrequest/8880</t>
  </si>
  <si>
    <t>DON-64</t>
  </si>
  <si>
    <t xml:space="preserve">1.Blank white pop-up is displayed in Add address window if user does not close address deleted successfully 
pop-up in home page and clicked Add address button 
2.Remove button should not be displayed in Add address window 
3.User address should not be saved and update  without value in the input field 
4.Add result component UI issues –it is not rounded off in the corner and background button blue color 
should not display in the right bottom and Location icon should not be displayed. 
5.Postal code input field should accept only numeric values, it accepts letters as well now
6.Mobile and Tablet UI issue: drop down values comes out of screen and background blue should also be #262AFF 
7.City value should not accept numeric values in add and Edit address window
8.Dot should not display at the end of warning message in Add address area 
9.There should space between country / Region label 
10.Remove window – Dot should be displayed at the end of confirm text 
11.Cancel button color should be #262AFF as per Figma 
12.Remove text Bg color code should be as per Figma #910818 
13.From home page to remove address , entire confirmation text shows as bold , but from edit remove it shows as in figma 
14.Black background color is displayed in the search result panel
15.Add Address manually option is not working on first click, taking time. [ some delay there]
16.Add address manually option is still coming up even user is chosen manually enter option from first screen
17.Add address manually option is not coming when address is not available in google API
18.In mobile portrait view, address update successfully confirmation text coming not coming in one line in edit address window
</t>
  </si>
  <si>
    <t>9/12/2025 - Analysis completed started development
9/16/2025 - Created address component and add home address design done
9/17/2025 -Completed Save &amp; Delete Address API ,Created separate component for address.
9/18/2025 - Implemeting Google address api
9/19/2025 - Address API New changes done,align issues has been fixed
9/22/2025 - Integrated Save,Edit &amp; Remove Api with component
9/23/2025 - Adderss page`s Response UI
9/24/2025 - Hide/Show Address Autocomplete based on condition
9/25/2025 - Alignment Issue fixed</t>
  </si>
  <si>
    <t>Don-63</t>
  </si>
  <si>
    <t>Donor Platform - Payment Method MVP</t>
  </si>
  <si>
    <t>1.Add payment button font size differs to Figma Reference in Mobile view</t>
  </si>
  <si>
    <t>https://dev.azure.com/greatergiving/Greater%20Giving/_git/Donor/pullrequest/8841</t>
  </si>
  <si>
    <t xml:space="preserve">9/12/2025-Working mobile desing with desktop as well               9/16/2025-findings fixed
9/17/2025-Desing issue fixing and Added svg icon
9/19/2025-removed SVG icon, and adjust the remove button </t>
  </si>
  <si>
    <t>Don-73</t>
  </si>
  <si>
    <t>Past Events - Completed Tag and Leave Story in list</t>
  </si>
  <si>
    <t xml:space="preserve">1.There is difference in Color code and Font on Event complete Text While comparing to Figma [Color 
should be #04041CF2] and Font should be Inter only. 
2.Hyphen is missing before the city in the event data. please ref the Attachment in the Jira ticket or Figma event area. </t>
  </si>
  <si>
    <t>https://greatergiving.visualstudio.com/Greater%20Giving/_git/Donor/pullrequest/8855</t>
  </si>
  <si>
    <t>9/12/2025-Analysing the story
9/15/2025-start the development
9/16/2025-working on functionality and design issue
9/17/2025-working on vega -chip design issue
9/18/2025-working on vega -chip color code issue</t>
  </si>
  <si>
    <t>Don-72</t>
  </si>
  <si>
    <t>DON-72 Donor Clean Up</t>
  </si>
  <si>
    <t xml:space="preserve">
1.Footer Links color code does not match with Figma reference
2. There is more white space between footer text and help area
 </t>
  </si>
  <si>
    <t>https://greatergiving.visualstudio.com/Greater%20Giving/_git/Donor/pullrequest/8857</t>
  </si>
  <si>
    <t>9/19/2025- Analysing the story -started Resize Icons design changes
9/22/2025-Responsive Accordion border bottoms
9/23/2025-Logging Review</t>
  </si>
  <si>
    <t>DON-41</t>
  </si>
  <si>
    <t>Donor Platform Home - Nameplate</t>
  </si>
  <si>
    <t>1Error message is not displayed when uploading iamge more than 2 mb second time in the profile section</t>
  </si>
  <si>
    <t>https://dev.azure.com/greatergiving/Greater%20Giving/_git/Donor/pullrequest/8800</t>
  </si>
  <si>
    <t>8/29/2025 - Analysis are completed
9/1/2025 - First/last initials of the user , max image size -2mb completed
9/2/2025 - Update Profile Picture`s API completed
9/3/2025 - Removed Background Image,Tested Profile Pictures
9/4/2025 - Get Uploaded profile picture API done
9/5/2025 -  Toaster message font issue has been fixed
9/8/2025 -  Merge code with don-51</t>
  </si>
  <si>
    <t>DON-51</t>
  </si>
  <si>
    <t>Donor Platform - Events MVP</t>
  </si>
  <si>
    <t xml:space="preserve">1.Need to develop simplifiy the code </t>
  </si>
  <si>
    <t>https://dev.azure.com/greatergiving/Greater%20Giving/_git/Donor/pullrequest/8765</t>
  </si>
  <si>
    <t>8/29/2025-Finding issue fixing
9/1/2025-Finding and reported issue is fixed
9/2/2025-Findings  and design issue fixing
9/3/2025-Event screen issue fixng
9/5/2025-Code merge and issue is fxing</t>
  </si>
  <si>
    <t>Don-66</t>
  </si>
  <si>
    <t>Donor Platform Home - header</t>
  </si>
  <si>
    <t>https://dev.azure.com/greatergiving/Greater%20Giving/_git/Donor/pullrequest/8789</t>
  </si>
  <si>
    <t>8/29/2025 - DON-66  Analysis and implement  design part
9/1/2025 -DON-66  Fixing the design issue 
9/2/2025- Exploring Azure defender storage
9/3/2025- Exploring Azure defender storage and preparing document
9/4/2025 -DON-66 logo design and media breakpoint issue fixing</t>
  </si>
  <si>
    <t>DON-45</t>
  </si>
  <si>
    <t>Donor Platform - Handle Token from B2C</t>
  </si>
  <si>
    <t>https://dev.azure.com/greatergiving/Greater%20Giving/_git/Donor/pullrequest/8652</t>
  </si>
  <si>
    <t>9/8/2025- Document Preparation
9/9/2025 -  Resolve merge conflicts with dev branch
9/10/2025 - B2C Issue fixed
9/11/2025 - B2C Issue fixed</t>
  </si>
  <si>
    <t>OB-OP 8.2 Sprint 2 - [Stretch]</t>
  </si>
  <si>
    <t xml:space="preserve">
1.Card type has some variations in font size while comparing to Figma [Font size should be Inter- 18 px]
2.There is some difference in Expiration type’s width and font while comparing to Figma  
3.There is some difference in Payment methods row size width while comparing to Figma
4.Primary text is missing in the payment method area when there is multiple cards are present
5.Remove link should be displayed at right last column as it is in the Figma
6.Clicking on remove link goes to login window now. There should not be edit functionality at this time.  
7.Add payment method button should start and display under exactly card image, currently it is bit moved left side it seem while comparing to Figma. 
8.Payment methods is not displayed properly in Mobile portrait view while comparing to Figma</t>
  </si>
  <si>
    <t>9/5/2025-Don-63 analyzing and start the design implemntation
9/08/2025 -Don-63 -design implementation
9/09/2025-Don-63-working on card functionality
9/10/2025-Don-63-working on design issue
9/11/2025-Don-63-working on mobile design</t>
  </si>
  <si>
    <t>DON-61</t>
  </si>
  <si>
    <t>Organizations - Update to MVP</t>
  </si>
  <si>
    <t>1.Organization area/section seems very lengthy,which should be center aligned as in the Figma
2.Organization area/section Arrow function is not working to get collapsed, it looks always expanded by default
3.Organization icon background color should be grey from blue when it is collapsed, as it is in Figma  
4.Organization area/section light border color code should be displayed as it is in Figma
5.Organization name's Text color code should be displayed as it is in Figma
6.The background of the organization title box color should be displayed as it is in Figma
7. Comma should not be displayed when there is no city , state in the organization
8.When org area is collapsed it should be #FCFCFC color Bg code, but we have #FFFFFF in UI now
9. Your organization text should be #04041C Bg code, but we have #0525C65 now
10.There are difference in Mobile view portrait height for organization area</t>
  </si>
  <si>
    <t>https://dev.azure.com/greatergiving/Greater%20Giving/_git/Donor/pullrequest/8758</t>
  </si>
  <si>
    <t>8/18/2025 -Created components and design the organization page
8/19/2025 -Created Web API and Angular service and blinded with UI 
8/20/2025 - Design issue  has been fixed
8/21/2025 -Testing issues has been fixed
8/22/2025 -Testing issues has been fixed
8/25/2025 -Merged Don-60 with Don-61
8/26/2025 -Develop branch merged with Don-61</t>
  </si>
  <si>
    <t>Arivu / Saranya</t>
  </si>
  <si>
    <t xml:space="preserve">
1.Year should be displayed fully , no hard code over there
2.Icon od event button should be displayed as it is in Figma
3.Event website and donate now button shows blank page in new tab. we can make it as no action there , since the functionality 
is not available now
4.Event website button icon should be  displayed as it is in Figma
5.Irrelevant pop up is displayed while clicking on share button. We can make it as no action there , since the functionality 
is not yet confirmed
6. There are difference in  Event area's width and hight pixels  when comparing to Figma especially in Landscape mode for Mobile and Tablet view.
7. City should be displayed below to Event date and year , but currently it displays next to date and year in Mobile - Portrait view.
8.There are slight difference in Event and Organization text's width and hight pixels when comparing to Figma especially in Landscape mode for Mobile and Tablet view
9.When clicking on share button , Share to copied pop up is displaying right top side for desktop and tablet mode
10.When clicking on share button , Share to copied pop up is displaying right top side for Mobile mode</t>
  </si>
  <si>
    <t>8/18/2025 - Analysis and implement  design part
8/19/2025 - Desing and API implementation
8/20/2025 -Design completed and checking responsive UI
8/21/2025-Design part implementation also reponsive UI integration 
8/21/2025-Design issue fixing.
8/22/2025-Reported issue fixing
8/25/2025-DON-51-code Intergration with DON-60
8/26/2025-DON -51 latest chages working from figma design
8/28/2025-[DON-51]- Code conflict and design changes working.</t>
  </si>
  <si>
    <t>Irsath/Prabu</t>
  </si>
  <si>
    <t>8/28/2025 - Applied Review comments code and changes</t>
  </si>
  <si>
    <t>Niranjan /Arivu</t>
  </si>
  <si>
    <t xml:space="preserve">8/1/2025 -MSAL integration with angular
8/4/2025 - MSAL integation with angular -30% completed
8/5/2025 - MSAL integation with angular -60% completed
8/6/2025 - MSAL integation with angular -70% completed
8/7/2025 - MSAL integation with angular -75% completed
8/8/2025 - MSAL integation with angular -80% completed
8/11/2025 - MSAL integation with angular -90% completed
8/12/2025 - MSAL integation with angular -95% completed
8/13/2025 - MSAL integation with angular -100% completed
</t>
  </si>
  <si>
    <t>DON-48</t>
  </si>
  <si>
    <t>Investigate GCP pipeline and Build</t>
  </si>
  <si>
    <t>Niranjan</t>
  </si>
  <si>
    <t>https://docs.google.com/document/d/1emYAKq7LFpFkX2vNgUscjEsB2ZTcFKVFAx1a2NOpF0E/edit?tab=t.0</t>
  </si>
  <si>
    <t>8/1/2025-Preparing the document for Build pipline
8/4/2025-Preparing the document for Build pipline
8/5/2025-document  pipline creating and YAMAL Creating
8/6/2025-analysis some build and pipeline creating
8/7/2025- completed document prepation and  moved to review
8/8/2025-create sample build and pipline creating
11/8/2025-check pipeline build and deployment</t>
  </si>
  <si>
    <t>DON-57</t>
  </si>
  <si>
    <t>Connect google api to address search</t>
  </si>
  <si>
    <t xml:space="preserve">1.Some google API warning message is displayed in console page
</t>
  </si>
  <si>
    <t>https://dev.azure.com/greatergiving/Greater%20Giving/_git/Donor/pullrequest/8730</t>
  </si>
  <si>
    <t>\</t>
  </si>
  <si>
    <t xml:space="preserve">OB-OP 8.1 Sprint 4 - [Stretch] </t>
  </si>
  <si>
    <t>DON-58</t>
  </si>
  <si>
    <t>Name field does not accept Space in the input field</t>
  </si>
  <si>
    <t>https://dev.azure.com/greatergiving/Greater%20Giving/_git/Donor/pullrequest/8707</t>
  </si>
  <si>
    <t xml:space="preserve">8/4/2025 3:27 PM - To working on Issue fixing.
8/4/2025- Retested the fix , working as expected
8/5/2025 12:06 PM- I’ve resolved the DON-58 issue and it has been moved to testing. I have changes done the following components:
- SignupComponent
- PaymentComponent
- FamilyMemberComponent
I have created the Draft PR .
8/7/2025 2:06 PM - To  start working on name field validations 
8/8/2025  11:40 AM  - DON-58 – NameFieldSpaceValidation. I have committed the changes.
As per the DON-39 Acceptance Criteria attached Image reference.
We have additionally added the  Spaces and  Accented characters. These two paterns need to include or update  into
Acceptance Criteria or Jira.
- DON-58 - PR  has approved by Prabhu and  Mccarty, Joseph 
</t>
  </si>
  <si>
    <t>OB-OP 8.1 sprint 4</t>
  </si>
  <si>
    <t>DON-39</t>
  </si>
  <si>
    <t>Name field does not accept Space in the  name input field on Card</t>
  </si>
  <si>
    <t>Medium</t>
  </si>
  <si>
    <t>Missed the logic</t>
  </si>
  <si>
    <t>Niranjan/Arivu</t>
  </si>
  <si>
    <t>Client Side Input Validation</t>
  </si>
  <si>
    <t>1.Console error is displayed in the Reset security code page after entering value and run Axe dev tool
2.Console error is displayed in the Reset your password page after entering value and run Axe dev tool [Both Web and Mobile ] 
3.Element role support issue in the create your account page 
4.Apostrophe [‘], tilde [~]and back tick [`] symbol is not 
considered as special character in create your password page and reset your password page
5.Need error message for invalid entry in street address 
6.Remove your own custom error message on street input field 
7when you enter only one digit in CVC field , it is highlighting in red , but no error msg . 
8.No error message for invalid email address in create your account page
9.The name on card should show Error message while entering ‘-. 
10.The password strength indicator goes out of the screen in the Reset and Create password page [Web and Mobile] when entering 8 characters in the password input field</t>
  </si>
  <si>
    <t>https://dev.azure.com/greatergiving/Greater%20Giving/_git/Donor/pullrequest/8653</t>
  </si>
  <si>
    <t xml:space="preserve">7/18/2025 11:29 AM - To worked on Retesting  findings
7/21/2025 11:29 AM - To worked on Retesting  findings and resolved the issue. PR has raised, waiting for PR review and approval from Prabhu.
7/24/2025 5:02 PM -  working on DON 39 minor changes.
7/25/2025 12:00 PM - working on DON 39 - PR code review  and  code changes done the following pages:
Loginsecuritycode.component.ts
profileaddress.component.ts
familymember.component.ts
signup.component.ts
</t>
  </si>
  <si>
    <t>Arivu/Niranjan</t>
  </si>
  <si>
    <t xml:space="preserve">7/18/2025 - GetB2CLoginUrl API is created
7/21/2025 - ValidateB2CLoginCode  API is created
7/22/2025 - Coding completed given for review
7/23/2025 - Implemented review comment changes
7/24/2025 - Code review changes are done
7/28/2025 -  Calling B2C URL from client side  
7/29/2025 -  Calling B2C URL from client side  
7/30/2025 -  unit Testing 
7/31/2025 -  unit Testing </t>
  </si>
  <si>
    <t>DON-40</t>
  </si>
  <si>
    <t>Create Home Page</t>
  </si>
  <si>
    <t xml:space="preserve"> 1.Thin gray box shadow is displayed inside each area; Each area should display as it is in Figma
 2.Area Border height looks different to Figma spec for organizations, address and members area on home page. [it should be 128 px]
 3.Area border color should be #42515F as per Figma, currently there is some difference in UI.  
 4. UI not displaying properly for some mobile option in mobile view by default.</t>
  </si>
  <si>
    <t xml:space="preserve">https://dev.azure.com/greatergiving/Greater%20Giving/_git/Donor/pullrequest/8693 </t>
  </si>
  <si>
    <t>7/18/2025-working on home screen design
7/21/2025-profile image icon settings
7/22/2025-accrodian image settings
7/22/2025- finding issue is fixed
7/23/2025-worked on DON-39 , Password functionality
7/24/2025-vega control issue is working
7/25/2025-working on password functionatiy
7/29/2025-desing functionaltiy issue is fixed
7/30/2025-analysis the document 
7/31/2025-analysis the document for DON-42 &amp; 51</t>
  </si>
  <si>
    <t>DON-16</t>
  </si>
  <si>
    <t>Add Methods to ProfileService for Managing Users</t>
  </si>
  <si>
    <t xml:space="preserve">
1.Duplicate records are allowed, and record entry falls into DB for example username or Email Address. 
2.Error msg is not displayed in the response when user is created without email id in payload. Since it is 
one of the mandatory fields- appropriate error message should display in the response.
3.Error msg is not displayed in the response when user is created without first name and last name in payload. 
Since it is one of the mandatory fields- appropriate error message should display in the response.
4.Incorrect status code and message are displayed in the response when executing GET for non-existing user ID. 
Currently, it shows 200 OK status code instead of 204 no content. 
5.Delete method shows 200 internal server error, instead of 204 no content in the response for already deleted user from DB. 
6.Deleting user second time using DELETE method, showing 200 OK, instead of 204 no content.
7.Error message is not displayed when updating  the email ID as invalid format [ex: test5gmail.com] using PUT method, shows 200 ok and updated successfully,
 DB also gets updated here.
8.Appropriate error message should be displayed when update user for non-existent user ID using PUT method.
9.Appropriate error message should be displayed when user data send second time without modification using PUT method.=&gt; Yet to fix</t>
  </si>
  <si>
    <t>https://dev.azure.com/greatergiving/Greater%20Giving/_git/Donor/pullrequest/8599</t>
  </si>
  <si>
    <t>7/4/2025  -Http status code implementation  globally
7/15/2025 - Moved Account creation code from controller to repository</t>
  </si>
  <si>
    <t xml:space="preserve">
1.The Login window password field does not show an error message while entering space as characters in the password field and 
login button gets enabled without password. 
2.The continue button is not working; the user is unable to proceed further from the security page. 
3.First input field is not auto focused on the login page as per story A.C 
4.User email ID’s domain is not maintained and invalid email format accepting there  
5.Incorrect error message is displayed on the user enters values with space or leave empty in the input field 
6.Resend code button looks incomplete after the timeout seconds on security page 
7.The input field should not have that background shadow red color when error message is displayed in the page 
8.No error message is displayed when Username or email field has junk values, it accepts it and navigates to next page without error
9..watermark text Enter username text should display exactly the same color as Figma slide reference. 
Current one displays bit dark and different color code there -  
10.Incorrect error message is displayed when entering wrong password in forgot password page 
11.Forgot password page email field accepts junk value as valid and not throwing any error on it   
12.Error messages should not be displayed before completing entry into the input field. Currently, the respective 
field error message comes after  entering the first character itself in all the pages in the application. 
13.Login’s Google saved password should not display and save in new reset password field  
14.Password strength default progress bar is not displayed as per Figma in Reset password page. #E56FFF should display by default.
 Then #0958FF should change while setting password there.
15.Password strength progress check is not working properly, showing strong for a simple password even without any uppercase
16.New password has space between characters, but whitespace validations show tick mark as valid.
17.Password strength progress shows too weak by default without entering value in reset password.it should be blank first,
 then should update based on user entry in password field.
18. Four consecutive character password tick mark shows incorrectly when typing in reverse order.
19.ELements must meet minimum color contrast ratio thersolds as per WCAG AA in Reset your password page
20.Irrelevant error message is displayed in Name fields when User don’t use any characters.
21.Name field does not have any restrictions.As per A.C -the max limit is 64. But it accepts more characters than the limit in the name field.
22.Page error is showing up in DOM for signup page - Incorrect use of &lt;label for=FORM_ELEMENT&gt; error for Phone number label.
23.Email fields do not accept .org and .edu domain and it should have proper domain restrictions on input field itself instead of 
 general enter a valid email address error after entering the value.
24.Remove your own error message from the page. The phone number must be at least 10 digits 
25.When the page has any error, then button should be disabled and should move forward after the page validation is passed
26.Validation message is not displayed for email address when user enter value in name fields and phone number fields 
 only directly and try to click continue button.  Enter a valid email address should be displayed.
27.Proper error message should be displayed when user enter invalid domain in email field.
28.Login’s Google saved password should not display and save in new reset password field.
29.Four consecutive character password tick mark shows incorrectly when typing in reverse order
30.Entering just space in new password input field, accepts valid characters and automatically ticks the validation options.
32.No error message is displayed when entering only special characters and numeric characters on the Create password page.
33.Password strength default progress bar is not displayed as per Figma in Create password page.
34.Run time error message is displayed in the console window in the pages -create password, personal info pages.
35.Proper URL should be displayed to represent the page name. Currently, the signup text only displays on all the pages.
36.Hard code value should be removed for street address, USA street address is displaying for India country.
37.Water mark text should be displayed as it is in Figma slide for street address. Remove own text.
38.First input field is not auto focused on the sign up and other page as per story A.C
39.Nine digit allows without any error in phone field for Australia and user navigates to next page from personal information page.
40.Clicking on skip button in add member page, shows some junk pop up message in the page.
41.Wrong error message is displayed when apply space in street address is empty in the personal information page.
42.Continue button gets enabled when pressing space bar only in the street address. It should be enabled only 
 when the page has all the mandatory .
43.Card number has 12 digits only but showing error message as card is invalid.
44.Expiry date should accept only numeric, but it is accepting characters as well now 
45.Error messages should not be displayed when the auto populated value is entered in the street address input field.
46.Card name should not accept numeric values, block numeric values in the code itself. No need to show any specific error message.
47.CVC field accepts characters, it should accept only numeric values.
48.WCAG should meet color contrast thresholds in add a member and create password  page.
49.In mobile view-relationship drop down is not displayed properly in add member to your account page.
50. In mobile, pause debugger error is displayed in the pages, so unable to proceed further.
51.Continue button gets enabled without entry in first name and user able to navigate to next page without
 mandatory field error [steps to reproduce- enter value in last name and email then
 just press 1 in the first name- continue button gets enabled]
52.Continue button is not enabled, though is no error in the create your password page
53.Personal information page and add a member to your account page are BLOCKED  since the
 continue button is not working in create your password page.
54.paused debugger issue is displayed in the reset password page in mobile view –BLOCKED other flows, unable to test further pages.
55. Continue button is not enabled and working, though no error in Reset password page</t>
  </si>
  <si>
    <t>7/04/2025 - Analysing the story points      
7/07/2025  - login page validation worked       
7/08/2025-  validation worked on forgot and reset password pages
7/09/2025-  validation worked  on Signup pages
7/09/2025-  reset and create password page  worked on auto validaiton
 7/10/2025- Findings fixed
7/10/2025- worked on personal information validation
7/11/2025- family info validation stated
7/14/2025- Finding issue fixed
7/15/2025-Finding issue fixed
7/16/2025-Finding issue fixed</t>
  </si>
  <si>
    <t>DON-44</t>
  </si>
  <si>
    <t>Create Logging for Donor Platform</t>
  </si>
  <si>
    <t>https://dev.azure.com/greatergiving/Greater%20Giving/_git/Donor/pullrequest/8631</t>
  </si>
  <si>
    <t>7/7/2025 - Implemented Serilog
7/8/2025 - Serilog implemented all User API
7/9/2025 - Requested for Pull Requested</t>
  </si>
  <si>
    <t>7/10/2025 - Analysis  Integration B2C
7/11/2025 - Analysis  Integration B2C
7/14/2025 - Integration B2C
7/16/2025 - Integration B2C
7/17/2025 - Development completed</t>
  </si>
  <si>
    <t>DON-47</t>
  </si>
  <si>
    <t>Create Email Templates</t>
  </si>
  <si>
    <t>https://greatergiving.visualstudio.com/Greater%20Giving/_git/Donor/pullrequest/8657</t>
  </si>
  <si>
    <t xml:space="preserve">
1.Duplicate records are allowed, and record entry falls into DB for example username or Email Address.
2.Error msg is not displayed in the response when user is created without email id in payload. Since it is 
one of the mandatory fields- appropriate error message should display in the response.
3.Error msg is not displayed in the response when user is created without first name and last name in payload. 
Since it is one of the mandatory fields- appropriate error message should display in the response.
4.Incorrect status code and message are displayed in the response when executing GET for non-existing user ID. 
Currently, it shows 200 OK status code instead of 204 no content.                              5.Delete method shows 200 internal server error, instead of 204 no content in the response for already deleted user from DB.
6.Deleting user second time using DELETE method, showing 200 OK, instead of 204 no content
7.Error message is not displayed when updating  the email ID as invalid format [ex: test5gmail.com] using PUT method, shows 200 ok and updated successfully,
 DB also gets updated here.
8.Appropriate error message should be displayed when update user for non-existent user ID using PUT method.
9.Appropriate error message should be displayed when user data send second time without modification using PUT method. 
10.When we give 1 in user id instead of zero in create user , 400 error code coming in response , but we get 200 ok as well.
need fix for this.-
11.proper error msg should come in the response when we give empty user id in creating user post call. </t>
  </si>
  <si>
    <t>6/19/2025 -  User Interface has been created
6/20/2025 - 4 API are completed 
6/23/2025 - Integration test function  are created
6/24/2025 - Integration functions are completed and doing unit testing for all API 
6/25/2025 - 1.JWT Token Implementation
2.Calling Legacy API after User API`s Saving,Deletion&amp;Updation
6/30/2025 - 1.Legacy System Account Creation/ Updating / Deletion Calling API  - Completed 2.Writing common API Response - InProgress
7/1/2025 - Integration testing using XUnit -Inprogress
7/2/2025 - Integration testing using XUnit -Completed
7/3/2025 -Validation done</t>
  </si>
  <si>
    <t>DON-38</t>
  </si>
  <si>
    <t>Create HTML for b2c Password Reset</t>
  </si>
  <si>
    <t xml:space="preserve">
FORGOT PASSWORD PAGE ISSUES:
1.There is spelling mistake and mismatch in Forgot password link text on UI and DOM structure with anchor link. 
2. The email validation error should not show when typing the first letter itself,
it should come up when the user is typed incorrect email address time only.
3.Instructions text should come in the next line as it is in Figma slide.
4.There is no error validation when entering just space bar only in email input field.
it accepts those as valid characters and moves on to next page.
5.Clicking on Login button in forgot password page, it does not navigate to login page.
6.Gethelp link is not working, it is navigating to login window while clicking on it, Should redirect to proper page.
7.There is no error validation for email address field when clicking on send code button without entering any value over there.
 User can able to navigate to reset password page without entering email address right now 
8.Rest your password page shows wrong URL in the address bar as well as in DOM structure 
9.Button width size should display as it is in Figma slide reference, need fix there
RESET PASSWORD PAGE ISSUES:
1.Reset password security code page URL is displayed incorrectly in the address bar[Query string issue] 
2.Security code text box should accept only numeric values.
3.There is difference in the title current pixel size when compare to recommended Figma slide in the reset password page. 
4.There is mismatch in button colour. currently design border shows #0d6efd [disabled button]. But Figma shows #095BFF as border 
colour and when the button is enabled then it should show #1362E2[blue] in reset password  
5.Reset password page Button width size should display as it is in to Figma slide.  
6.There is mismatch in verify code box width size and when entering/focusing code in the box 
-some blue shade is showing up in the Figma slide- this blue shade is missing here  
7.Instead of password quality Too weak, you can try passwored quality as strong and show that 
royal blue colour in progress bar as in the figma .Then customer can feel the difference in the reset password page  
8.Error message that No label is associated with form field is displaying for password strength: text in the reset password page DOM
9.Cache issue- when we open a Reset password link  http://localhost:4200/resetpassword  in a new tab/browser  directly- The title and greater giving text are missing in the page.</t>
  </si>
  <si>
    <t>https://dev.azure.com/greatergiving/Greater%20Giving/_git/Donor/pullrequest/8607</t>
  </si>
  <si>
    <t xml:space="preserve">6/19/2025 - DON-38 - We are analysing the screen design.
6/20/2025 - DON -38 - To working on the Reset Password page UI design
6/24/2025 7:02 PM  Reset and Forget password  UI Design issue is worked
 6/25/2025 7:09 PM Reset and Forget password UI Design issue is worked
6/26/2025 8:11 PM  Reported bugs fixed
6/27/2025 6:38 PM   Working on desing issue
6/30/2025 - DON-38 working on issue fixing
7/1/2025  3:46 PM - Niranjan working on DON -39 -   Client Side Input Validation , Arivu working on DON-38 - Reset password page OTP  validation.  
</t>
  </si>
  <si>
    <t>Murugesan - [Testing only story]</t>
  </si>
  <si>
    <t>DON-20</t>
  </si>
  <si>
    <t xml:space="preserve">Create Azure B2C Login Page </t>
  </si>
  <si>
    <t xml:space="preserve">1.Greater giving background image is not coming up properly in login window
2.Email input field's scanner icon is not displayed 
3.Terms &amp; condition and Privacy policy needs to be hyberlinked 
4.Login window is not displayed properly in mobile view
5.Spelling mistake in footer link text </t>
  </si>
  <si>
    <t>DON-21</t>
  </si>
  <si>
    <t>Create an Azure B2C Registration Page</t>
  </si>
  <si>
    <t xml:space="preserve">
1.Optional text should not be bold in phone number's Log in page
2.email address text is broken and comes in next line in verify account page
3.Continue button should  not be in blue color by default in verify account page
4.password text should be bold  in create your password page
5.password specificattions radio buttons text  should not be bold in create your password page
6.following example text 4 or more consecutive characters (e.g. “11111”,“12345”, “abcde”, or “qwert”) not as per figma slides reference, 
 those above Example values comes in 2nd line in create your password page
7.Continue button should not be blue color by default i.e should not be enabled in in create your password page
8.United states of AMerica text is not displayed by default in personal information page
9.Credit card logo is not displayed afrer credit card number , currently it displays priot to number in link a card page
10.Skip button text should be bold in link a card page
11.extra text (family) displays in add a memeber to your account page title . it is not Add a "Family" member...
12.Displaying text below to tile of add a memeber to your account page  , is not displaying as it is in figma , few text 
displays in 2nd line (Ref - Figma slide)
13. Continue button is not displyed , instead send invite is displayed  in add a memeber to your account page
14. Add another and skip button should not be displayed in bold y default in add a memeber to your account page
15.Like line/bar is not displayed  betwwen new password and password strength in create password page(refer figma page)
16. In mobile view ,that  Background  white g and  actual page not displayed properly ( space there )and vertical and scroll 
bar gets displayed  and using that only can able to view the page properly in Mobile view ( example check your inbox page)
 17. Expiration date and CVC fields should accept only numeric values , right now it accepts alphanumeric values in link a card page
18. Credit card number input field does not show space when number starts with 10065 and VISA is not coming up...
19. when press phone number 0 or 1, then it is not showing  properly , considers those as country code or something 
But we press other than 0 or 1 , then it shows in phone number format .Though there is no restrictions on number of characters on input field for login, personal information and add a member to account pages
20.Cancel signing in should be a link in verify your account page
21.Verify your account page shows wrong URL in the browser address bar                                 22.Currently current account link does not redirect to sign up/registration page, it needs to be fixed now.
</t>
  </si>
  <si>
    <t>https://dev.azure.com/greatergiving/Greater%20Giving/_git/Donor/pullrequest/8585</t>
  </si>
  <si>
    <t>1.Rename the  varialbe
2.These 5 radio buttons should not be inputs. They will be checked off during client side input validation.
3.Remove hard-coded email.</t>
  </si>
  <si>
    <t>6/23/2025 6:36 PM -  DON-21 client review comments bugs fixing</t>
  </si>
  <si>
    <t xml:space="preserve">OB-OP 8.1 Sprint 1 - [Stretch] </t>
  </si>
  <si>
    <r>
      <rPr>
        <sz val="10"/>
        <color rgb="FF000000"/>
        <rFont val="Arial"/>
      </rPr>
      <t xml:space="preserve">7/2/2025 2:39 PM  -  DON -39 - We are working on Client Side Input Validation.
7/3/2025 3:28 PM -  DON 39 - We are working on Client Side Input Validation for Login page and Signup page
7/4/2025 1:47 PM  -  DON 39 - We are working on Client Side Input Validation for  Login Page has completed ,   Signup page  work in- progress
</t>
    </r>
    <r>
      <rPr>
        <b/>
        <sz val="10"/>
        <color rgb="FF000000"/>
        <rFont val="Arial"/>
      </rPr>
      <t xml:space="preserve">Sprint end Status - Stretch story - Development in-progress, taken this story on 07/01/2025 (3 days before sprint end)
</t>
    </r>
    <r>
      <rPr>
        <sz val="10"/>
        <color rgb="FF000000"/>
        <rFont val="Arial"/>
      </rPr>
      <t xml:space="preserve">7/11/2025 5:31 PM-   DON -39 - Client side validation completed.
7/16/2025 3:01 PM -  DON -39 -  We are working with Testing feedback.
</t>
    </r>
  </si>
  <si>
    <t>OnlineBidding</t>
  </si>
  <si>
    <t>Preethi</t>
  </si>
  <si>
    <t>OB-3768</t>
  </si>
  <si>
    <t>Continue Angular Update</t>
  </si>
  <si>
    <t>Getting console error related to template conversion, trying to update to angular 14
5/28/2025
Trying changing the js files to mjs files and the respective changes 6/2/2025 3:09 PM</t>
  </si>
  <si>
    <t>Karthi/Prabu</t>
  </si>
  <si>
    <t>OB-3765</t>
  </si>
  <si>
    <t>Continue Firebase notification work</t>
  </si>
  <si>
    <t>Mercy</t>
  </si>
  <si>
    <t>When text message is sent from send message page for more than 2 bidders, not receiving notification</t>
  </si>
  <si>
    <t>Preethi/Prabu</t>
  </si>
  <si>
    <t>https://greatergiving.visualstudio.com/Greater%20Giving/_git/OnlineBidding/pullrequest/8545</t>
  </si>
  <si>
    <t>1. Macroscope will ding us for putting apikeys or secrets in the repo. We need to add these as variables, even for local testing the same way we do for the SMS test keys
2. Let's add a general exception catch as well.</t>
  </si>
  <si>
    <t>Dev testing 5/28/2025, Dev testing in Progress and did some analysis on firebase 5/29/2025
Continuing Dev testing 5/30/2025
Few changes done and local, DEV testing is in progress 6/2/2025 3:08 PM
Dev testing completed 6/3/2025
Having issues in pipeline variable when trying to deploy in TST 6/5/2025 3:00 PM</t>
  </si>
  <si>
    <t>Karthi</t>
  </si>
  <si>
    <t>OB-3764</t>
  </si>
  <si>
    <t>Use selected OB Header on Package Details Page</t>
  </si>
  <si>
    <t>https://greatergiving.visualstudio.com/Greater%20Giving/_git/OnlineBidding/pullrequest/8522</t>
  </si>
  <si>
    <t>PR raised, since US holiday it will be reviewed today 5/27/2025 4:13 PM
DEV testing completed 5/27/2025, TST testing completed 5/28/2025</t>
  </si>
  <si>
    <t>Irsath/Arivu/Niranjan/Murugesan</t>
  </si>
  <si>
    <t>DON-31</t>
  </si>
  <si>
    <t>Set Up Donor Project in Local Environment</t>
  </si>
  <si>
    <t>No PR for this as this is related to env setup only
All our new joinees completed the setup, but in JIRA board, the status is not yet updated they might update on sprint end date
6/2/2025 1:04 PM</t>
  </si>
  <si>
    <t>DON-32</t>
  </si>
  <si>
    <t>Donor - New Team Member setup</t>
  </si>
  <si>
    <t>OB-OP 8.0 Sprint 3 - [Stretch]</t>
  </si>
  <si>
    <t>Today only team has started to check the mockup and analysing on the folder structure 6/2/2025 3:07 PM
Initial design done, few things like icon mapping, responsive are pending 6/4/2025 9:36 PM</t>
  </si>
  <si>
    <t>OB-3769</t>
  </si>
  <si>
    <t>OB- XSS vulnerability</t>
  </si>
  <si>
    <t>Took this in last week of sprint because of high priority.
No PR for this, analysed and updated our findings in the JIRA ticket</t>
  </si>
  <si>
    <t>OP-2675</t>
  </si>
  <si>
    <t>Update MFA physical address</t>
  </si>
  <si>
    <t>Ready for testing</t>
  </si>
  <si>
    <t>https://dev.azure.com/greatergiving/Greater%20Giving/_git/Donor/pullrequest/8559</t>
  </si>
  <si>
    <t xml:space="preserve">6/6/2025 - Login Page`s Reponsive Issue has been fixed
6/9/2025 - Reponse UI issue has been fixed &amp; Raised PR
6/10/2025 -  Removed Social media  buttons and Show/Hide Password Functionality done
6/11/2025 - Support for Don-21
6/12/2025 - Support for Dom-21 to implemetn Vega components
6/13/2025 - Design completed both  Personal Information, Link  a Card page </t>
  </si>
  <si>
    <t>Niranjan/Arivu/Irsath</t>
  </si>
  <si>
    <t xml:space="preserve">
1.Optional text should not be bold in phone number's Log in page
2.email address text is broken and comes in next line in verify account page
3.Continue button should  not be in blue color by default in verify account page
4.password text should be bold  in create your password page
5.password specificattions radio buttons text  should not be bold in create your password page
6.following example text 4 or more consecutive characters (e.g. “11111”,“12345”, “abcde”, or “qwert”) not as per figma slides reference, 
 those above Example values comes in 2nd line in create your password page
7.Continue button should not be blue color by default i.e should not be enabled in in create your password page
8.United states of AMerica text is not displayed by default in personal information page
9.Credit card logo is not displayed afrer credit card number , currently it displays priot to number in link a card page
10.Skip button text should be bold in link a card page
11.extra text (family) displays in add a memeber to your account page title . it is not Add a "Family" member...
12.Displaying text below to tile of add a memeber to your account page  , is not displaying as it is in figma , few text 
displays in 2nd line (Ref - Figma slide)
13. Continue button is not displyed , instead send invite is displayed  in add a memeber to your account page
14. Add another and skip button should not be displayed in bold y default in add a memeber to your account page
15.Like line/bar is not displayed  betwwen new password and password strength in create password page(refer figma page)
16. In mobile view ,that  Background  white g and  actual page not displayed properly ( space there )and vertical and scroll 
bar gets displayed  and using that only can able to view the page properly in Mobile view ( example check your inbox page)
 17. Expiration date and CVC fields should accept only numeric values , right now it accepts alphanumeric values in link a card page
18. Credit card number input field does not show space when number starts with 10065 and VISA is not coming up...
19. when press phone number 0 or 1, then it is not showing  properly , considers those as country code or something 
But we press other than 0 or 1 , then it shows in phone number format .Though there is no restrictions on number of characters on input field for login, personal information and add a member to account pages
20.Cancel signing in should be a link in verify your account page
 </t>
  </si>
  <si>
    <t>https://greatergiving.visualstudio.com/Greater%20Giving/_git/Donor/pullrequest/8585</t>
  </si>
  <si>
    <t xml:space="preserve"> 6/6/2025 3:59 PM -Story Analysing
6/9/2025  -  To working with DON -21 - sign up page UI design. 
6/10/2025  - Working on DON -21 - 0.0.0 Sign Up page UI Design
6/11/2025 6:02 PM , Both are working Registration page design for DON-21 as well as part some typescript work 
6/13/2025- DON 21- Create your account, Check your inbox page, Verify Account,Create your password page,Personal Information, Link  a Card page =&gt;  Implements  design, and components =&gt; In Progress
6/17/2025 - DON21 - Create your account, Check your inbox page, Verify Account,Create your password page,Personal Information, Link  a Card page  =&gt; To working on Alignment changes    
6/18/2025 2:33 PM =&gt; DON-21 =&gt; Registration page =&gt; Reported bug's fixed  and Story completed                                                                          </t>
  </si>
  <si>
    <t xml:space="preserve">OB-OP 8.0 Sprint 4 - [Stretch] </t>
  </si>
  <si>
    <t>DON-17</t>
  </si>
  <si>
    <t>https://greatergiving.visualstudio.com/Greater%20Giving/_git/Donor/pullrequest/8587</t>
  </si>
  <si>
    <t>6/16/2025 - CardReference &amp; Cardtype table ,c# model has been created
6/17/2025 - Models are integrated with Entity framework
No testing required for this ticket 6/18/2025</t>
  </si>
  <si>
    <t>Preethi/Karthi</t>
  </si>
  <si>
    <t>OB-3761</t>
  </si>
  <si>
    <t>While compiling the application , warnings are coming, fixing those 5/16/2025 3:42 PM
Shared the points in the JIRA story</t>
  </si>
  <si>
    <t>OP-2747</t>
  </si>
  <si>
    <t>OP Reports - Section Report formatting issues</t>
  </si>
  <si>
    <t>https://dev.azure.com/greatergiving/Greater%20Giving/_git/OP/pullrequest/8509</t>
  </si>
  <si>
    <t>OB-3680</t>
  </si>
  <si>
    <t>Implement OB header designs</t>
  </si>
  <si>
    <t>No PR for this story, worked on the below sub defect</t>
  </si>
  <si>
    <t>OB-3762</t>
  </si>
  <si>
    <t>When clearing the logo and or the banner in the settings and saving the original logo and banner remain in place on the online bidding page.</t>
  </si>
  <si>
    <t>https://greatergiving.visualstudio.com/Greater%20Giving/_git/OnlineBidding/pullrequest/8480</t>
  </si>
  <si>
    <t>Shared draft PR, tested in local and DEV 5/9/2025</t>
  </si>
  <si>
    <t>OB-3756</t>
  </si>
  <si>
    <t>Add Firebase Notification system to OB</t>
  </si>
  <si>
    <t>https://dev.azure.com/greatergiving/Greater%20Giving/_git/OnlineBidding/pullrequest/8507</t>
  </si>
  <si>
    <t>Add try catch block here when you connecting with DB to make operations</t>
  </si>
  <si>
    <t>Spike has been converted to story</t>
  </si>
  <si>
    <t>OP-2761</t>
  </si>
  <si>
    <t>High - Weak Encryption: Insecure Mode of Operation - Cryptography.cs: 56</t>
  </si>
  <si>
    <t>https://dev.azure.com/greatergiving/Greater%20Giving/_git/OP/pullrequest/8501</t>
  </si>
  <si>
    <t>DON-25</t>
  </si>
  <si>
    <t xml:space="preserve"> API Endpoints for JoinMe Tables</t>
  </si>
  <si>
    <t>OB-OP 8.0 Sprint-2</t>
  </si>
  <si>
    <t>Automation</t>
  </si>
  <si>
    <t>Missed to find in review, local and DEV testing</t>
  </si>
  <si>
    <t>Alice</t>
  </si>
  <si>
    <t>Need to do proper review and local testing covering all scenarios</t>
  </si>
  <si>
    <t>OB-3753</t>
  </si>
  <si>
    <t>Continue to Update Angular to recommended version</t>
  </si>
  <si>
    <t>Facing router error while launching the application, when trying to fix that many error cam and fixed those and ended up with router error again 5/6/2025 3:09 PM
Will prepare the document of what all we have tried in this sprint and the error we are facing at the end 5/8/2025 3:43 PM
Shared the document in JIRA comments</t>
  </si>
  <si>
    <t>OB-3732</t>
  </si>
  <si>
    <t>Routing Package Details layout</t>
  </si>
  <si>
    <t>The package detailed page loads and displays at the end of the page, instead of loading and displaying at the top of the page.</t>
  </si>
  <si>
    <t>https://greatergiving.visualstudio.com/Greater%20Giving/_git/OnlineBidding/pullrequest/8439</t>
  </si>
  <si>
    <t>Let's do a little input validation here so we don't get flagged by macroscope. Ensuring we are passing a natural number should be good.</t>
  </si>
  <si>
    <t>Local testing completed 4/28/2025
Dev testing completed 4/29/2025
TST testing completed 5/2/2025</t>
  </si>
  <si>
    <t>https://greatergiving.visualstudio.com/Greater%20Giving/_git/OnlineBidding/pullrequest/8471</t>
  </si>
  <si>
    <t>1. Missing alt attribute in image tag
2. If AC says it is not needed for now, remove the code itself</t>
  </si>
  <si>
    <t>Dependent on OB-3755, ampping the values is in progress 5/6/2025 3:08 PM
Dev testing completed 5/8/2025</t>
  </si>
  <si>
    <t>Prabu/Karthi</t>
  </si>
  <si>
    <t>OB-3755</t>
  </si>
  <si>
    <t>Display Header option according to GGO values</t>
  </si>
  <si>
    <t>Not exactly defects, header was mapped in browse page, so should that also reflect in detail page. And suggested about table # to show along with bidder name and #</t>
  </si>
  <si>
    <t>https://dev.azure.com/greatergiving/Greater%20Giving/_git/OnlineBidding/pullrequest/8467</t>
  </si>
  <si>
    <t>Local and DEV testing is going on 5/6/2025 3:07 PM</t>
  </si>
  <si>
    <t>OB-3593</t>
  </si>
  <si>
    <t>Macroscope - Resolve HTML tag issues</t>
  </si>
  <si>
    <t>https://greatergiving.visualstudio.com/Greater%20Giving/_git/OnlineBidding/pullrequest/8401</t>
  </si>
  <si>
    <t>Did Dev testing 4/15/2025
Development completed and raised PR 4/15/2025 10:15 PM
Testing completed in TST 4/16/2025</t>
  </si>
  <si>
    <t>OB-3592</t>
  </si>
  <si>
    <t>Macroscope - Update the npm package "tough-cookie"</t>
  </si>
  <si>
    <t>No unit testing required for this</t>
  </si>
  <si>
    <t>No PR raised for this, as the mentioned package was not seen in the mentioned file</t>
  </si>
  <si>
    <t>OB-3590</t>
  </si>
  <si>
    <t>Macroscope - Update Microsoft.IdentityModel.Tokens</t>
  </si>
  <si>
    <t>https://dev.azure.com/greatergiving/Greater%20Giving/_git/OnlineBidding/pullrequest/8414</t>
  </si>
  <si>
    <t>Did Dev testing 4/15/2025
Development completed and raised PR 4/15/2025 10:15 PM 
Testing done in Dev environment 4/21/2025</t>
  </si>
  <si>
    <t>Mercy [ Testing only story]</t>
  </si>
  <si>
    <t>OB-3731</t>
  </si>
  <si>
    <t xml:space="preserve">UX Feature Flag Implementation for OB </t>
  </si>
  <si>
    <t>Testing completed 4/11/2025</t>
  </si>
  <si>
    <t>OB-OP 8.5.0 Sprint 4-[Stretch]</t>
  </si>
  <si>
    <t>Preethi/Karthi/Prabu</t>
  </si>
  <si>
    <t>OB-3713</t>
  </si>
  <si>
    <t>Update Angular to recommended version</t>
  </si>
  <si>
    <t>This story is timeboxed, we have added comments as per the completion status of that angular update in JIRA. Will again take in next sprint</t>
  </si>
  <si>
    <t>Existing Issue from previous sprint being carry forwarded to this sprint and also Client developer was initially working on this defect but was unable to complete it. As a result, the ticket was handed over to our Relevantz onsite developer four days before the end of the sprint.Also the PM doesn’t recall how this report functioned in Production, so we may need to do some discovery and provide context to develop an effective solution. Team is currently working on that</t>
  </si>
  <si>
    <t>Karthi/Preethi</t>
  </si>
  <si>
    <t>OB-3708</t>
  </si>
  <si>
    <t>OB Settings - Add New Settings</t>
  </si>
  <si>
    <t>1. In Featured package text field, default label is missing and it is seen editable when in View menu
2. When show sponsor scroll is disabled, sponsor location should also be disabled but it is enabled</t>
  </si>
  <si>
    <t>https://greatergiving.visualstudio.com/Greater%20Giving/_git/GGO/pullrequest/8378</t>
  </si>
  <si>
    <t>Micheal Wall</t>
  </si>
  <si>
    <t xml:space="preserve">
Testing Completed 
 4/8/2025 10:29 PM</t>
  </si>
  <si>
    <t>https://greatergiving.visualstudio.com/Greater%20Giving/_git/GGO/pullrequest/8384</t>
  </si>
  <si>
    <t xml:space="preserve">Testing done by offshore QA in TST 4/10/2025 8:18 PM
Development, local and DEV testing completed from our end, since more testing was needed for OB-3608, peer review and testing for OB-3731 got delayed and moved to next sprint </t>
  </si>
  <si>
    <t>OB-3738</t>
  </si>
  <si>
    <t>Single Featured Package not getting removed after saving</t>
  </si>
  <si>
    <t>https://greatergiving.visualstudio.com/Greater%20Giving/_git/GGO/pullrequest/8381</t>
  </si>
  <si>
    <t>Testing completed in TST 4/10/2025
This is a sub defect for story OB-3708</t>
  </si>
  <si>
    <t>Mercy
[Testing only Story]</t>
  </si>
  <si>
    <t>OP-2746</t>
  </si>
  <si>
    <t>Prevent OP from allowing Negative Payments</t>
  </si>
  <si>
    <t>Testing completed in TST</t>
  </si>
  <si>
    <t>OP-2748</t>
  </si>
  <si>
    <t>Escalation:[ES-3365] Receipts/invoices will not generate</t>
  </si>
  <si>
    <t>ES-3383</t>
  </si>
  <si>
    <t>BT1D - Cannot export bid history</t>
  </si>
  <si>
    <t xml:space="preserve">We have investigated and decoded the issue and we have given the fix. Waiting for client Approval. </t>
  </si>
  <si>
    <t>Bounceback/Sub-Defect</t>
  </si>
  <si>
    <t>Closed/Rejected</t>
  </si>
  <si>
    <t>Requirements</t>
  </si>
  <si>
    <t>Missed while developing to handle the save functionality when package count is less than 0</t>
  </si>
  <si>
    <t>Need to include all the scenarios during development as well as in local testing</t>
  </si>
  <si>
    <t>External</t>
  </si>
  <si>
    <t>Client data issue with particular client. Gave temporary fix in receipt page and will work on permanent fix later</t>
  </si>
  <si>
    <t>Client</t>
  </si>
  <si>
    <t>It is happening for only one client, so new story will be created for investigating this</t>
  </si>
  <si>
    <t xml:space="preserve">Its a data issue. We have investigated and decoded the issue and we have given the fix. Waiting for client Approval. </t>
  </si>
  <si>
    <t>Have to implement proper exception handling</t>
  </si>
  <si>
    <t>OP-2713</t>
  </si>
  <si>
    <t>OP Reports crashing with internal server error</t>
  </si>
  <si>
    <t>https://greatergiving.visualstudio.com/Greater%20Giving/_git/OP/pullrequest/8310
https://dev.azure.com/greatergiving/Greater%20Giving/_git/OP/pullrequest/8348</t>
  </si>
  <si>
    <t>Preethi/Prabhu</t>
  </si>
  <si>
    <t>OB-3677</t>
  </si>
  <si>
    <t>Feature Flag for Projects to use new elements</t>
  </si>
  <si>
    <t>Since this is DB related changes, didnt have local testing with Mercy, only migration script and LLBLGen  changes for this ticket</t>
  </si>
  <si>
    <t>https://greatergiving.visualstudio.com/Greater%20Giving/_git/GGO/pullrequest/8316</t>
  </si>
  <si>
    <t>Loan</t>
  </si>
  <si>
    <t>Karthi/Preethi/Prabhu/Mercy</t>
  </si>
  <si>
    <t>OB-3697</t>
  </si>
  <si>
    <t xml:space="preserve">Remove unnecessary settings from OB Settings page </t>
  </si>
  <si>
    <t>https://dev.azure.com/greatergiving/Greater%20Giving/_git/GGO/pullrequest/8321</t>
  </si>
  <si>
    <t>Preethi/Karthi/Prabu/Mercy</t>
  </si>
  <si>
    <t>OB-3678</t>
  </si>
  <si>
    <t>OB Settings - Update Page layout with existing settings</t>
  </si>
  <si>
    <t>https://greatergiving.visualstudio.com/Greater%20Giving/_git/GGO/pullrequest/8341</t>
  </si>
  <si>
    <t>Remove unused using from the files</t>
  </si>
  <si>
    <t>OB-3715</t>
  </si>
  <si>
    <t>Escalation Support</t>
  </si>
  <si>
    <t>OB-OP 8.5.0 Sprint 2-[Stretch]</t>
  </si>
  <si>
    <t>OB-3728</t>
  </si>
  <si>
    <t>OB Settings - Add Browse Page Sort Order and Cash Donation Close Time</t>
  </si>
  <si>
    <t>Preethi/Prabhu/Mercy</t>
  </si>
  <si>
    <t>OB-3725</t>
  </si>
  <si>
    <t>Max bid label not updating as expected</t>
  </si>
  <si>
    <t>https://dev.azure.com/greatergiving/Greater%20Giving/_git/OnlineBidding/pullrequest/8346</t>
  </si>
  <si>
    <t>Being Tested</t>
  </si>
  <si>
    <t>https://dev.azure.com/greatergiving/Greater%20Giving/_git/OP/pullrequest/8347</t>
  </si>
  <si>
    <t>This method already exists and no apparent changes from develop.</t>
  </si>
  <si>
    <t xml:space="preserve">Couldn't able to complete testing because of email delivery failure in TST </t>
  </si>
  <si>
    <t>Fixed 3 reports, only 1 report design is pending</t>
  </si>
  <si>
    <t>[SPIKE] OB-3702</t>
  </si>
  <si>
    <t>Use Firebase Notification instead of SMS if user is online</t>
  </si>
  <si>
    <t>Attached the document in JIRA for review</t>
  </si>
  <si>
    <t>OB-3666</t>
  </si>
  <si>
    <t>OB Max Sales - Update logic to check available packages on Confirm</t>
  </si>
  <si>
    <t>When choosing higher amounts and clicking buy, it throws error message</t>
  </si>
  <si>
    <t>https://greatergiving.visualstudio.com/Greater%20Giving/_git/OnlineBidding/pullrequest/8303</t>
  </si>
  <si>
    <t>Refactor the code</t>
  </si>
  <si>
    <t xml:space="preserve">[SPIKE] OB-3696 </t>
  </si>
  <si>
    <t>Investigate new OB UX and tools</t>
  </si>
  <si>
    <t>Attached the analysis document in JIRA comments</t>
  </si>
  <si>
    <t>OB-3704</t>
  </si>
  <si>
    <t>Auction board won't display all screens</t>
  </si>
  <si>
    <t>When sponsor intersitial screen is set, last set of package screen is not coming  and redirected to first screen</t>
  </si>
  <si>
    <t>https://greatergiving.visualstudio.com/Greater%20Giving/_git/OnlineBidding/pullrequest/8295</t>
  </si>
  <si>
    <t>OP-2515</t>
  </si>
  <si>
    <t>Enhancements</t>
  </si>
  <si>
    <t>PR shared on last day, carry forwarded to next sprint
As per Derek, this was not present in DNN7, could have happened while upgrading to DNN9</t>
  </si>
  <si>
    <t>GGO-11886</t>
  </si>
  <si>
    <t>This was not existing before.  this functionality was developed long back and no changes were done for this in the recent times. Might be due to any package version update animation could have taken more time causing mismatch in the calculation</t>
  </si>
  <si>
    <t>OP-2724</t>
  </si>
  <si>
    <t>Accept New Discover Cards on OP</t>
  </si>
  <si>
    <t>https://greatergiving.visualstudio.com/Greater%20Giving/_git/OP/pullrequest/8235</t>
  </si>
  <si>
    <t>OP-2685</t>
  </si>
  <si>
    <t>Resolve Alert in MFA Apigee Module</t>
  </si>
  <si>
    <t>https://greatergiving.visualstudio.com/Greater%20Giving/_git/OP/pullrequest/8245</t>
  </si>
  <si>
    <t>OP-2717</t>
  </si>
  <si>
    <t>OP Item Donation Forms Blank</t>
  </si>
  <si>
    <t>It has been flagged in JIRA and was removed from sprint</t>
  </si>
  <si>
    <t>OB-OP 8.4.0 Sprint 4-[Stretch]</t>
  </si>
  <si>
    <t>Rajesh/Preethi/Karthi</t>
  </si>
  <si>
    <t>[Stretch] OP-2713</t>
  </si>
  <si>
    <t>Checking on with telerik pdf converter, it is throwing error as it couldn't find the installed library, checking on that</t>
  </si>
  <si>
    <t>[Stretch] OP-2739</t>
  </si>
  <si>
    <t>MFA Configuration page not loading</t>
  </si>
  <si>
    <t>https://greatergiving.visualstudio.com/Greater%20Giving/_git/OP/pullrequest/8258</t>
  </si>
  <si>
    <t>Mercy
[Testing only]</t>
  </si>
  <si>
    <t>[Stretch] OB-3700</t>
  </si>
  <si>
    <t>Missing Index</t>
  </si>
  <si>
    <t>OP-2727</t>
  </si>
  <si>
    <t>Resolve portal failure during creation</t>
  </si>
  <si>
    <t>[Stretch] OP-2744</t>
  </si>
  <si>
    <t>Environment_Related</t>
  </si>
  <si>
    <t>Alert was coming even before, we reported that long back</t>
  </si>
  <si>
    <t xml:space="preserve">Still trying to reproduce the error in different ways. Flagged as of now, have asked CS team for steps to replicate
</t>
  </si>
  <si>
    <t xml:space="preserve">[Stretch] OP-2713 </t>
  </si>
  <si>
    <t>Derek said, this was not present in DNN7 and in DNN9 only this error is occuring</t>
  </si>
  <si>
    <t>Found while checking OP-2685</t>
  </si>
  <si>
    <t>OP-2145</t>
  </si>
  <si>
    <t>OP RSVP -  Multiple Attendee UI</t>
  </si>
  <si>
    <t>1. 0 Remaining text is seen in few scenarios
2. Carry forward checkbox is unchecked, but old information can be seen in credit card page
3. Country and state mapping is not happening</t>
  </si>
  <si>
    <t>Can remove the unwanted codes</t>
  </si>
  <si>
    <t>https://greatergiving.visualstudio.com/Greater%20Giving/_git/OP/pullrequest/8213</t>
  </si>
  <si>
    <t>Remove unwanted references and refactor the code</t>
  </si>
  <si>
    <t>Took more time because when we fix one scenario, the other was breaking. It involved many scenarios while going to next page and coming back and retaining values. While retaining we had little difficulty in dropdown values and validation was not happening by itself, we have to write separately as we had clone the user control</t>
  </si>
  <si>
    <t>OP-2126</t>
  </si>
  <si>
    <t>OP RSVP -  Multiple attendees submitted to OP</t>
  </si>
  <si>
    <t xml:space="preserve">Email's does not display Customized Questions for additional RSVP </t>
  </si>
  <si>
    <t>Remove unwanted reference and unused code</t>
  </si>
  <si>
    <t>https://greatergiving.visualstudio.com/Greater%20Giving/_git/OP/pullrequest/8225</t>
  </si>
  <si>
    <t>Move the repeated code to a separate method</t>
  </si>
  <si>
    <t>This took more time because we had to understand the existing logic of receipt and tried to understand the receipt flow of registration then came up with this idea of replacing the whole content in .cs file anf then updating it in XML and then refactoring of code as we had 2 sets of same code in different scenarios</t>
  </si>
  <si>
    <t>Karthi/Preethi/Rajesh</t>
  </si>
  <si>
    <t>OP-2127</t>
  </si>
  <si>
    <t>Still investigating to reproduce the issue, might be because of cache/session related</t>
  </si>
  <si>
    <t>OP-2694</t>
  </si>
  <si>
    <t>OP Dates showing incorrect times</t>
  </si>
  <si>
    <t>As per analysis, it might be related to the columns in PAPI table, so investigation is needed in PAPI side, so new ticket will be created in PAPI for further analysis. This ticket was considered as investigation and closed</t>
  </si>
  <si>
    <t>OB-OP 8.4.0 Sprint 3-[Stretch]</t>
  </si>
  <si>
    <t>Mercy/Rajesh</t>
  </si>
  <si>
    <t>OP-2721</t>
  </si>
  <si>
    <t>Release Hotfix OP 8.3.2 to CRT</t>
  </si>
  <si>
    <t>Verified only in TST environment as we don't have access to CRT</t>
  </si>
  <si>
    <t>Still investigating to reproduce the issue, might be because of cache/session related
(3 SP)</t>
  </si>
  <si>
    <t>As per analysis, it might be related to the columns in PAPI table, so investigation is needed in PAPI side
(3 SP)</t>
  </si>
  <si>
    <t>Completed development of major functionality and deployed in DEV for testing and  few design changes and validation error message are showing up, working on that</t>
  </si>
  <si>
    <t xml:space="preserve">Tested the existing flow and updated </t>
  </si>
  <si>
    <t>We are sending as List of data only from OP to GGO so newly added info will also be sent in the same way</t>
  </si>
  <si>
    <t>OP-2144</t>
  </si>
  <si>
    <t>OP RSVP -  Multiple attendee information transferred to GGO</t>
  </si>
  <si>
    <t>This depends on 2145 so it is getting blocked till we complete that story</t>
  </si>
  <si>
    <t>Mercy (Testing only story)</t>
  </si>
  <si>
    <t>OP-2700</t>
  </si>
  <si>
    <t>Resolve Unsanitized JS input (473611280)</t>
  </si>
  <si>
    <t>Development completed in previous sprint, testing alone carry forwarded to this sprint</t>
  </si>
  <si>
    <t>OP-2701</t>
  </si>
  <si>
    <t>Remove yarn.lock from Apigee Module</t>
  </si>
  <si>
    <t>OP-2704</t>
  </si>
  <si>
    <t>Update Newtonsoft.Json packages in the following modules to 13.0.3 (473594073)</t>
  </si>
  <si>
    <t>OP-2710</t>
  </si>
  <si>
    <t>Stretch--Escalation Support</t>
  </si>
  <si>
    <t>OP-2712</t>
  </si>
  <si>
    <t>Rajesh &amp; Joe</t>
  </si>
  <si>
    <t>The 'Forgot Password' page does not load immediately.</t>
  </si>
  <si>
    <t>Open</t>
  </si>
  <si>
    <t>This defect got fixed as part of OP-2710, but as per JIRA defect is still in Refinement</t>
  </si>
  <si>
    <t>[SPIKE] OB-OP 8.4.0 Sprint 1</t>
  </si>
  <si>
    <t>OP-2687</t>
  </si>
  <si>
    <t>Investigate - Creating/Managing a plugin tool for clients</t>
  </si>
  <si>
    <t>Shared analyis document</t>
  </si>
  <si>
    <t>Prabu/Karthi/Preethi</t>
  </si>
  <si>
    <t>OP-2585</t>
  </si>
  <si>
    <t>Reroute GetPortals Call</t>
  </si>
  <si>
    <t>Part of performance improvement done.Restrictions on DNN9 core functionality prevents us from finding performance improvements.  But there is more room left for improvements. So Story was carry forwarded</t>
  </si>
  <si>
    <t>https://greatergiving.visualstudio.com/Greater%20Giving/_git/OP/pullrequest/8139</t>
  </si>
  <si>
    <t>Add the code in other file also which is mentioned in AC</t>
  </si>
  <si>
    <t>https://greatergiving.visualstudio.com/Greater%20Giving/_git/OP/pullrequest/8122</t>
  </si>
  <si>
    <t>OB-3670</t>
  </si>
  <si>
    <t>Resolve Microsoft.Extensions.Caching.Memory</t>
  </si>
  <si>
    <t>https://greatergiving.visualstudio.com/Greater%20Giving/_git/OnlineBidding/pullrequest/8138</t>
  </si>
  <si>
    <t>Should commit the changes in App.config also</t>
  </si>
  <si>
    <t>OB-3671</t>
  </si>
  <si>
    <t>Resolve braces dependency in UI (426923792)</t>
  </si>
  <si>
    <t>https://greatergiving.visualstudio.com/Greater%20Giving/_git/OnlineBidding/pullrequest/8146</t>
  </si>
  <si>
    <t>OB-3672</t>
  </si>
  <si>
    <t>Resolve System.Text.Json (426923791)</t>
  </si>
  <si>
    <t>https://greatergiving.visualstudio.com/Greater%20Giving/_git/OnlineBidding/pullrequest/8140</t>
  </si>
  <si>
    <t>[SPIKE] OB-OP 8.3.0 Sprint 4</t>
  </si>
  <si>
    <t>In progress</t>
  </si>
  <si>
    <t>Story got carry forwarded because of incomplete investigation. Don't have clear idea which way to go.</t>
  </si>
  <si>
    <t>OP-2684</t>
  </si>
  <si>
    <t>Invoicing - Show obfuscated Supporter ID on Invoice Payment Page</t>
  </si>
  <si>
    <t>Move Supporter Id above Total sales</t>
  </si>
  <si>
    <t>https://greatergiving.visualstudio.com/Greater%20Giving/_git/OP/pullrequest/8061</t>
  </si>
  <si>
    <t>Mike</t>
  </si>
  <si>
    <t>Rajiv</t>
  </si>
  <si>
    <t>OP-2683</t>
  </si>
  <si>
    <t>Invoicing GGO - Make Supporter ID visible in View Supporters</t>
  </si>
  <si>
    <t>Kalai</t>
  </si>
  <si>
    <t>Raj</t>
  </si>
  <si>
    <t>https://greatergiving.visualstudio.com/Greater%20Giving/_git/GGO/pullrequest/8066</t>
  </si>
  <si>
    <t>OP-2686</t>
  </si>
  <si>
    <t xml:space="preserve">Invoicing GGO - Add basic text to Invoice Page Header </t>
  </si>
  <si>
    <t>https://greatergiving.visualstudio.com/Greater%20Giving/_git/GGO/pullrequest/8067</t>
  </si>
  <si>
    <t>Macroscope Medium - Sanitize Input in AjaxFaq.js</t>
  </si>
  <si>
    <t>Refactor the code, dont call function inside the function</t>
  </si>
  <si>
    <t>https://dev.azure.com/greatergiving/Greater%20Giving/_git/OP/pullrequest/8055</t>
  </si>
  <si>
    <t>[Stretch] OB-OP 8.3.0 Sprint 4</t>
  </si>
  <si>
    <t>OP-2660</t>
  </si>
  <si>
    <t>Remove deprecated Share Module from OP</t>
  </si>
  <si>
    <t>Ready For Testing</t>
  </si>
  <si>
    <t>https://greatergiving.visualstudio.com/Greater%20Giving/_git/OP/pullrequest/8081</t>
  </si>
  <si>
    <t>Due to the holidays onsite QA was not available to test and complete</t>
  </si>
  <si>
    <t>Part of performance improvement done. But there is more room left for improvements. So Story carry forwarded</t>
  </si>
  <si>
    <t>OP-2674</t>
  </si>
  <si>
    <t>Macroscope Medium - Replace Microsoft.IdentityModel.Clients.ActiveDirectory</t>
  </si>
  <si>
    <t>https://greatergiving.visualstudio.com/Greater%20Giving/_git/OP/pullrequest/8095</t>
  </si>
  <si>
    <t>Update to the latest stable version as much as possible</t>
  </si>
  <si>
    <t>Sprint ended right after the holidays. No time left to review and move to testing</t>
  </si>
  <si>
    <t>OP-2676</t>
  </si>
  <si>
    <t xml:space="preserve">Macroscope Medium - Upgrade Microsoft.IdentityModel.JsonWebTokens </t>
  </si>
  <si>
    <t>https://greatergiving.visualstudio.com/Greater%20Giving/_git/OP/pullrequest/8094</t>
  </si>
  <si>
    <t>OP-2601</t>
  </si>
  <si>
    <t>Page loads in middle instead of at the top</t>
  </si>
  <si>
    <t>https://dev.azure.com/greatergiving/Greater%20Giving/_git/OP/pullrequest/8069</t>
  </si>
  <si>
    <t>This is an existing production bug and it is not because of the changes that we have done in recent times</t>
  </si>
  <si>
    <t>OP-2653</t>
  </si>
  <si>
    <t>Invoicing - Hide nav bar when GGO setting is disabled</t>
  </si>
  <si>
    <t>https://greatergiving.visualstudio.com/Greater%20Giving/_git/OP/pullrequest/8029</t>
  </si>
  <si>
    <t>OP-2663</t>
  </si>
  <si>
    <t>Invoicing - Option to update Supporter Info</t>
  </si>
  <si>
    <t>https://greatergiving.visualstudio.com/Greater%20Giving/_git/GGO/pullrequest/8041</t>
  </si>
  <si>
    <t>Michael Wall</t>
  </si>
  <si>
    <t>OP-2639</t>
  </si>
  <si>
    <t>Invoicing GGO - Allow users to send invoice without invoice page created</t>
  </si>
  <si>
    <t>https://greatergiving.visualstudio.com/Greater%20Giving/_git/GGO/pullrequest/8043</t>
  </si>
  <si>
    <t>OP-2666</t>
  </si>
  <si>
    <t>GGO Invoicing - Add "Invoice Last Sent" to Manage Sales &amp; Payments</t>
  </si>
  <si>
    <t>Pull request 8034: GGO-14405- Invoice Last Sent Date - Repos</t>
  </si>
  <si>
    <t>This will throw error if Invoice is not enabled for a client.</t>
  </si>
  <si>
    <t>[Stretch]OB-OP 8.3.0 Sprint 3</t>
  </si>
  <si>
    <t>OP-2667</t>
  </si>
  <si>
    <t>Invoicing GGO - Update Review Sent Emails with proper email name</t>
  </si>
  <si>
    <t>https://greatergiving.visualstudio.com/Greater%20Giving/_git/GGO/pullrequest/8045</t>
  </si>
  <si>
    <t>[Stretch] OB-OP 8.3.0 Sprint 3</t>
  </si>
  <si>
    <t>OP-2665</t>
  </si>
  <si>
    <t>Invoicing - Enable Invoices for Customers without OP</t>
  </si>
  <si>
    <t>https://greatergiving.visualstudio.com/Greater%20Giving/_git/GGO/pullrequest/8047</t>
  </si>
  <si>
    <t>OP-2671</t>
  </si>
  <si>
    <t>Macroscope Critical - Insecure Mail Transport Transmission</t>
  </si>
  <si>
    <t>https://greatergiving.visualstudio.com/Greater%20Giving/_git/OP/commit/f39dbc0dd3abf9e863e476ef69e1fea07c8019ce?refName=refs/heads/OP/OP-2671-Macroscope-Critical-Insecure-Mail-Transport-Transmission(448262088)</t>
  </si>
  <si>
    <t>OP-2672</t>
  </si>
  <si>
    <t>Macroscope High - Model with Non-Nullable Property</t>
  </si>
  <si>
    <t>https://greatergiving.visualstudio.com/Greater%20Giving/_git/OP/commit/f5b87b868381a64e6dca17e8bac2e0484d8c6b03?refName=refs/heads/OP/OP-2672-Macroscope-High-Model-with-Non-Nullable-Property(448262077)</t>
  </si>
  <si>
    <t>In Progress</t>
  </si>
  <si>
    <t>Story Carry forwarded , onsite lead expecting more solid solution</t>
  </si>
  <si>
    <t>OP-2682</t>
  </si>
  <si>
    <t>Last sent for should display specific to project in Manage Sales and Payment screen</t>
  </si>
  <si>
    <t>OB/OP 8.3.0 Sprint 2</t>
  </si>
  <si>
    <t>Preethi / Karthi</t>
  </si>
  <si>
    <t>OP-2631</t>
  </si>
  <si>
    <t>Update/Remove Help URL in application and emails</t>
  </si>
  <si>
    <t>https://greatergiving.visualstudio.com/Greater%20Giving/_git/OP/pullrequest/7975</t>
  </si>
  <si>
    <t>OP-2643</t>
  </si>
  <si>
    <t>Invoicing - Add Convenience Fee into Total Sales</t>
  </si>
  <si>
    <t>https://greatergiving.visualstudio.com/Greater%20Giving/_git/OP/pullrequest/7974</t>
  </si>
  <si>
    <t>OP-2640</t>
  </si>
  <si>
    <t>Invoicing GGO - Add Letters&amp;Emails toolbar functions to Invoice/Receipt Settings</t>
  </si>
  <si>
    <t>Pull request 7982: Invoicing GGO - Add Letters&amp;Emails toolbar functions to Invoice/Receipt Settings - Repos</t>
  </si>
  <si>
    <t>Rajkumar</t>
  </si>
  <si>
    <t>Why is the "else" incomplete? Is this a TODO later?
Rephrase comment. Exp, invalid image format
Assign the "2" to a variable.</t>
  </si>
  <si>
    <t>OP-2642</t>
  </si>
  <si>
    <t>Invoicing - View Supporters "More" button should also indicate Receipts</t>
  </si>
  <si>
    <t xml:space="preserve"> Nil</t>
  </si>
  <si>
    <t>Pull request 7977: GGO-14377-Menu Text Changes - Repos</t>
  </si>
  <si>
    <t>OP-2650</t>
  </si>
  <si>
    <t>GGO Invoicing - Separate Invoice and Receipt Settings</t>
  </si>
  <si>
    <t>https://greatergiving.visualstudio.com/Greater%20Giving/_git/GGO/pullrequest/8001</t>
  </si>
  <si>
    <t xml:space="preserve">OP-2646 </t>
  </si>
  <si>
    <t>GGO Invoicing - Navigation Constraint UI</t>
  </si>
  <si>
    <t>https://greatergiving.visualstudio.com/Greater%20Giving/_git/GGO/pullrequest/8006</t>
  </si>
  <si>
    <t>Rolled over to next sprint, 2 files are in different places, checking on how to map that ID in another file and make the changes based on that</t>
  </si>
  <si>
    <t>8.3.0 Sprint 2</t>
  </si>
  <si>
    <t>OP-2647</t>
  </si>
  <si>
    <t>Joe (Client)</t>
  </si>
  <si>
    <t>Cannot click more than one Generate/Email Invoice &amp; Receipt in sequence</t>
  </si>
  <si>
    <t xml:space="preserve">Onsite </t>
  </si>
  <si>
    <t>OP-2650 - OP-2656</t>
  </si>
  <si>
    <t>"Receipt for" is not updated for existing projects that has Invoice Payment page created</t>
  </si>
  <si>
    <t>There are couple of less used places developers missed out during development, found out by offshore QA and fixed it</t>
  </si>
  <si>
    <t>OP-2646 - OP-2655</t>
  </si>
  <si>
    <t>Navigation Button Issues</t>
  </si>
  <si>
    <t>Missed out default value and missed out in the cloning process, found out by onsite lead and reported it to offshore QA. (Should have been fixed this during development itself)</t>
  </si>
  <si>
    <t>OB/OP 8.3.0 Sprint 1</t>
  </si>
  <si>
    <t>OP-2621</t>
  </si>
  <si>
    <t>Login Page Update - Expiring Privacy Policy Message</t>
  </si>
  <si>
    <t>None</t>
  </si>
  <si>
    <t>https://greatergiving.visualstudio.com/Greater%20Giving/_git/OP/pullrequest/7965</t>
  </si>
  <si>
    <t>Ready for Testing</t>
  </si>
  <si>
    <t>Rolled over to next sprint because Onsite QA testing is pending</t>
  </si>
  <si>
    <t>OP-2583</t>
  </si>
  <si>
    <t>AHA - Update OP Credit Card collection area label</t>
  </si>
  <si>
    <t>https://greatergiving.visualstudio.com/Greater%20Giving/_git/OP/pullrequest/7932</t>
  </si>
  <si>
    <t>OB-3651</t>
  </si>
  <si>
    <t>Update Pages with Privacy Policy Notice</t>
  </si>
  <si>
    <t>https://greatergiving.visualstudio.com/Greater%20Giving/_git/OnlineBidding/pullrequest/7960</t>
  </si>
  <si>
    <t>OP-2562</t>
  </si>
  <si>
    <t>Default text changed with OP migration</t>
  </si>
  <si>
    <t>https://greatergiving.visualstudio.com/Greater%20Giving/_git/OP/pullrequest/7954</t>
  </si>
  <si>
    <t>8.3.0 Sprint 1</t>
  </si>
  <si>
    <t>GGO-14354</t>
  </si>
  <si>
    <t>Delayed response in updating Left Nav count for Import Online Purchases &amp; Registration*</t>
  </si>
  <si>
    <t>OP-2628</t>
  </si>
  <si>
    <t>For Quick Invoice not enabled projects , leftnav label should be Print/Email Receipts</t>
  </si>
  <si>
    <t>Minor</t>
  </si>
  <si>
    <t>Found this on internal Testing and got 0.5 story points for Dev</t>
  </si>
  <si>
    <t>OB/OP 8.2.0 Sprint 4</t>
  </si>
  <si>
    <t>OP-2611</t>
  </si>
  <si>
    <t>OP Webservice to call requested invoice details</t>
  </si>
  <si>
    <t>Prabhu/Karthi</t>
  </si>
  <si>
    <t>Karthi/Prabhu</t>
  </si>
  <si>
    <t>Remove unused parameters, check for saving a property similar to reg page</t>
  </si>
  <si>
    <t>https://greatergiving.visualstudio.com/Greater%20Giving/_git/OP/pullrequest/7904</t>
  </si>
  <si>
    <t>OP-2617</t>
  </si>
  <si>
    <t>Default invoice page to not display in navigation</t>
  </si>
  <si>
    <t>try to reduce the DB call</t>
  </si>
  <si>
    <t>https://greatergiving.visualstudio.com/Greater%20Giving/_git/GGO/pullrequest/7895</t>
  </si>
  <si>
    <t>OP-2593</t>
  </si>
  <si>
    <t>Update left nav notifications</t>
  </si>
  <si>
    <t>RajKumar</t>
  </si>
  <si>
    <t>Pull request 7905: GGO-14337-UpdateNavNotify - Repos (visualstudio.com)</t>
  </si>
  <si>
    <t>OP-2610</t>
  </si>
  <si>
    <t>Generate and Include Dynamic Invoice URL</t>
  </si>
  <si>
    <t>Pull request 7898: GGO-14322-OP-2622-Embed Link Only for Email Invoices - Repos (visualstudio.com)</t>
  </si>
  <si>
    <t>10/16/2024`</t>
  </si>
  <si>
    <t>10/162024</t>
  </si>
  <si>
    <t>OP-2573</t>
  </si>
  <si>
    <t>Update to Import online Payment</t>
  </si>
  <si>
    <t>Pull request 7912: [GGO-14335]-Import Invoices - Repos</t>
  </si>
  <si>
    <t>OP-2620</t>
  </si>
  <si>
    <t>Functionality for Import Online Payment</t>
  </si>
  <si>
    <t>Pull request 7914: GGO-14335-Import-Invoices-Release - Repos</t>
  </si>
  <si>
    <t>OB/OP 8.2.0 Sprint 3</t>
  </si>
  <si>
    <t>OP-2551</t>
  </si>
  <si>
    <t>OP - Create Invoice Page from Template</t>
  </si>
  <si>
    <t>NIL</t>
  </si>
  <si>
    <t>https://greatergiving.visualstudio.com/Greater%20Giving/_git/OP/pullrequest/7875</t>
  </si>
  <si>
    <t>Update the font of supporter info similar to others</t>
  </si>
  <si>
    <t>Karthi / Preethi</t>
  </si>
  <si>
    <t>OP-2552</t>
  </si>
  <si>
    <t>OP - Add New Supporter Invoicing Module to Invoice Page</t>
  </si>
  <si>
    <t>Remove unwanted methods from cryptography file</t>
  </si>
  <si>
    <t>Rajiv/Prabhu</t>
  </si>
  <si>
    <t>OP-2609</t>
  </si>
  <si>
    <t>OP- Create Donation Page while creating Invoice Page</t>
  </si>
  <si>
    <t>Preethi, Mercy</t>
  </si>
  <si>
    <t>1.Manage project website throwing error</t>
  </si>
  <si>
    <t>OP Side PR - https://greatergiving.visualstudio.com/Greater%20Giving/_git/OP/pullrequest/7871</t>
  </si>
  <si>
    <t>Rajesh &amp; Prabu</t>
  </si>
  <si>
    <t>1. Give proper name for constraints 2. schema needs to be updated with correct constraint name by running SQL change automation</t>
  </si>
  <si>
    <t>OB/OP 8.2.0 Sprint 5</t>
  </si>
  <si>
    <t>Kalaivani</t>
  </si>
  <si>
    <t>OP - Generate and Include Dynamic Invoice URL</t>
  </si>
  <si>
    <t>Rajiv,Farhath</t>
  </si>
  <si>
    <t>Rajiv, Raj</t>
  </si>
  <si>
    <t>Pull request 7876: GGO-14322-Generate Dynamic Invoice URL - Repos (visualstudio.com)</t>
  </si>
  <si>
    <t>MikeH</t>
  </si>
  <si>
    <t>If the SaveCreditCard column doesn't exist add the column and the constraint together</t>
  </si>
  <si>
    <t>Carry frwarded to next sprint for testing, development is completed and PR has been raised</t>
  </si>
  <si>
    <t>OP-2596</t>
  </si>
  <si>
    <t>GGO - Dynamically update Email button between invoice and receipt</t>
  </si>
  <si>
    <t>Kalai,Farhath</t>
  </si>
  <si>
    <t>Kalai,Raj</t>
  </si>
  <si>
    <t>Pull request 7853: GGO-14314-Button Invoice Receipt Label Changes - Repos (visualstudio.com)</t>
  </si>
  <si>
    <t>26/09/2024</t>
  </si>
  <si>
    <t>OP-2598</t>
  </si>
  <si>
    <t>GGO - Minor text updates to Print/Email Invoices</t>
  </si>
  <si>
    <t>Rajiv,Raj</t>
  </si>
  <si>
    <t>Pull request 7854: GGO-14315-Minor-text-updates-to-Print-Email-Invoices - Repos (visualstudio.com)</t>
  </si>
  <si>
    <t>30/09/2024</t>
  </si>
  <si>
    <t>Could you rename this to something like SetEmailReceiptToolTips()?</t>
  </si>
  <si>
    <t>8.2.0 Sprint 3</t>
  </si>
  <si>
    <t>OP-2598 / OP-2612</t>
  </si>
  <si>
    <t>Tool tip issues</t>
  </si>
  <si>
    <t>OP-2610 / OP-2614</t>
  </si>
  <si>
    <t>Invoice URL is missing in emails when "Invoice Page Link Label" is kept empty</t>
  </si>
  <si>
    <t>Not a defect, Created this issue as a subtask (OP- 2614) as its not in OP - 2610 AC</t>
  </si>
  <si>
    <t>OP-2610 / OP-2615</t>
  </si>
  <si>
    <t>Multiple URL's received for single supporter email address</t>
  </si>
  <si>
    <t>As the Mail Functionality is not working in local environment we found this issue in TST</t>
  </si>
  <si>
    <t>OB/OP 8.2.0 Sprint 2</t>
  </si>
  <si>
    <t>OP - 2551</t>
  </si>
  <si>
    <t>Moved to next sprint</t>
  </si>
  <si>
    <t>Carry forwarded to next sprint, took some time to understand how new pages are created in OP side</t>
  </si>
  <si>
    <t>Kalaivani / Rajiv / Raj</t>
  </si>
  <si>
    <t>OP - 2579</t>
  </si>
  <si>
    <t>OP - New Invoice Payment page Template</t>
  </si>
  <si>
    <t>Farhath, Mercy</t>
  </si>
  <si>
    <t>1) Unwanted code is added. Remove it  2) clicking on the tool tip of page header throws error 3)clicking on tool tip of offer to Keep Credit Card info for Use at Event (Toggle)  OP-2604: Cannot Add New Invoice Page in New Project
Ready for Testing</t>
  </si>
  <si>
    <t>No</t>
  </si>
  <si>
    <t>Pull request 7836: GGO-14299-Invoicing-code-check-in-for-invoice-page-template - Repos (visualstudio.com)</t>
  </si>
  <si>
    <t>Change this IsInvoice to Not Null column and update LLBLGen entity.</t>
  </si>
  <si>
    <t>Mike Wall</t>
  </si>
  <si>
    <t>Rajiv Gandhi</t>
  </si>
  <si>
    <t>OP - 2577</t>
  </si>
  <si>
    <t>OP - Update Email Settings</t>
  </si>
  <si>
    <t>Farhath,Mercy</t>
  </si>
  <si>
    <t>Pull request 7823: GGO-14292-Update Email Settings - Repos (visualstudio.com)</t>
  </si>
  <si>
    <t>1. uxEmailBodyEditor.Text is defaulted to "your receipt is attached" in database, It won't be null or empty all the time. 
2. this batch of code are present in 2 places, it can be converted as a method which is accepting bool parameter like true/false 
3. These 2 lines of code can be simplified to 1 line</t>
  </si>
  <si>
    <t>OP-2572</t>
  </si>
  <si>
    <t>GGO - Text change to Totals for Supporter section</t>
  </si>
  <si>
    <t>1. Can make the if condition as common
2. This button should not be removed, this should just be hided depends on the IsQuickInvoiceEnabled flag</t>
  </si>
  <si>
    <t>https://greatergiving.visualstudio.com/Greater%20Giving/_git/GGO/pullrequest/7829</t>
  </si>
  <si>
    <t>OP-2566</t>
  </si>
  <si>
    <t>RSVP Receipts Show Data Tags for "Hidden" Attendee Info Fields</t>
  </si>
  <si>
    <t>Did a POC of attaching a PDF in the mail. SHould be reviewed by tech leaders.
Implementation of new solution will be done in a separate story.</t>
  </si>
  <si>
    <t>OP-2553</t>
  </si>
  <si>
    <t>OP/GGO - Create Call to Webservice or API to communicate with GGO</t>
  </si>
  <si>
    <t>https://greatergiving.visualstudio.com/Greater%20Giving/_git/GGO/pullrequest/7843</t>
  </si>
  <si>
    <t>8.2.0 Sprint 2 - Defect</t>
  </si>
  <si>
    <t>OP-2603</t>
  </si>
  <si>
    <t>Kalaivani, Rajiv</t>
  </si>
  <si>
    <t>Clicking on tooltip shows error popup</t>
  </si>
  <si>
    <t>OP-2604</t>
  </si>
  <si>
    <t>Cannot add new invoice page in new project</t>
  </si>
  <si>
    <t>Not a defect, verified. Created in JIRA alone. No development against this defect has been done</t>
  </si>
  <si>
    <t>OB/OP 8.2.0 Sprint 1</t>
  </si>
  <si>
    <t>OP-2581</t>
  </si>
  <si>
    <t>GGO - Replace the text Event Receipt with a "Receipt"</t>
  </si>
  <si>
    <t xml:space="preserve">No </t>
  </si>
  <si>
    <t>No Comments</t>
  </si>
  <si>
    <t>https://greatergiving.visualstudio.com/Greater%20Giving/_git/GGO/pullrequest/7790</t>
  </si>
  <si>
    <t>Truong, Loan</t>
  </si>
  <si>
    <t>Could you fix the spelling error? e.g. txtEventReceipt.Text</t>
  </si>
  <si>
    <t>OP-2580</t>
  </si>
  <si>
    <t>GGO - Replace the text 'Receipt Settings' with 'Edit Invoice &amp; Receipt Settings'</t>
  </si>
  <si>
    <t>https://greatergiving.visualstudio.com/Greater%20Giving/_git/GGO/pullrequest/7792</t>
  </si>
  <si>
    <t>OP-2575</t>
  </si>
  <si>
    <t xml:space="preserve">GGO - Text change to Print/Email Receipts </t>
  </si>
  <si>
    <t>https://greatergiving.visualstudio.com/Greater%20Giving/_git/GGO/pullrequest/7803</t>
  </si>
  <si>
    <t>OP-2574</t>
  </si>
  <si>
    <t>GGO - Text change to Edit Invoice &amp; Receipt Settings</t>
  </si>
  <si>
    <t>https://greatergiving.visualstudio.com/Greater%20Giving/_git/GGO/pullrequest/7797</t>
  </si>
  <si>
    <t>No Defects reported</t>
  </si>
  <si>
    <t>Reviewer 1</t>
  </si>
  <si>
    <t>Reviewer 2</t>
  </si>
  <si>
    <t>OB/OP 7.14.0 Sprint 3</t>
  </si>
  <si>
    <t>Karthi / Vaishnavi/Prabhu</t>
  </si>
  <si>
    <t>OB-3610</t>
  </si>
  <si>
    <t xml:space="preserve"> Improve OB Bidders Dashboard</t>
  </si>
  <si>
    <t>Vaishnavi</t>
  </si>
  <si>
    <t>https://greatergiving.visualstudio.com/Greater%20Giving/_git/OnlineBidding/pullrequest/7752?path=/GreaterGivingTokyo/OnlineBiddingDatabase/Programmable%20Objects/Stored%20Procedures/sp_GetBidders.sql</t>
  </si>
  <si>
    <t>Jeo</t>
  </si>
  <si>
    <t>QA Inprogress - Dev and TST release pipeline certificate issues so we couldn't test in both the environments</t>
  </si>
  <si>
    <t>OB-3612</t>
  </si>
  <si>
    <t xml:space="preserve"> Reduce steps in SendSaleData Function App</t>
  </si>
  <si>
    <t>OP-2557</t>
  </si>
  <si>
    <t xml:space="preserve"> Resolve warnings in OP Build</t>
  </si>
  <si>
    <t>OB/OP 7.14.0 Sprint 4</t>
  </si>
  <si>
    <t>Karthi/Vaishnavi/Prabhu</t>
  </si>
  <si>
    <t>Vaishnavi/Prabhu</t>
  </si>
  <si>
    <t>https://greatergiving.visualstudio.com/Greater%20Giving/_git/OnlineBidding/pullrequest/7751</t>
  </si>
  <si>
    <t xml:space="preserve">OB-3640 </t>
  </si>
  <si>
    <t xml:space="preserve"> Release and test OB 7.12.0 to CRT</t>
  </si>
  <si>
    <t>NA</t>
  </si>
  <si>
    <t>OB-3640 / OB-3642 [Defect]</t>
  </si>
  <si>
    <t xml:space="preserve"> Some Emails Not Going Out</t>
  </si>
  <si>
    <t>https://greatergiving.visualstudio.com/Greater%20Giving/_git/OnlineBidding/pullrequest/7772</t>
  </si>
  <si>
    <t>OP-2566 [Defect]</t>
  </si>
  <si>
    <t>Closed, Unable to reproduce in local environment</t>
  </si>
  <si>
    <t>No defects reported</t>
  </si>
  <si>
    <t>OB/OP 7.14.0 Sprint 2</t>
  </si>
  <si>
    <t>vaishnavi/Karthi</t>
  </si>
  <si>
    <t xml:space="preserve">OB-3609 </t>
  </si>
  <si>
    <t>Select Multiple Groups in OB Messaging</t>
  </si>
  <si>
    <t>https://greatergiving.visualstudio.com/Greater%20Giving/_git/OnlineBidding/pullrequest/7710</t>
  </si>
  <si>
    <t xml:space="preserve">OB-3609/ OB-3636 </t>
  </si>
  <si>
    <t>Group Filter Issue</t>
  </si>
  <si>
    <t>https://greatergiving.visualstudio.com/Greater%20Giving/_git/OnlineBidding/pullrequest/7716</t>
  </si>
  <si>
    <t>OB-3609/ OB-3637</t>
  </si>
  <si>
    <t>When recipient data is more than Varchar(50) error is seen in send message page</t>
  </si>
  <si>
    <t>https://greatergiving.visualstudio.com/Greater%20Giving/_git/OnlineBidding/pullrequest/7724</t>
  </si>
  <si>
    <t>OB-3621</t>
  </si>
  <si>
    <t>Update UI for Send Messages (Check All)</t>
  </si>
  <si>
    <t>https://greatergiving.visualstudio.com/Greater%20Giving/_git/OnlineBidding/pullrequest/7713</t>
  </si>
  <si>
    <t>vaishnavi/Karthi/Prabhu</t>
  </si>
  <si>
    <t>OB-3628</t>
  </si>
  <si>
    <t>Update UI for Send Messages (Logic+UI Match)</t>
  </si>
  <si>
    <t>Resolve warnings in OP Build</t>
  </si>
  <si>
    <t>https://greatergiving.visualstudio.com/Greater%20Giving/_git/OP/pullrequest/7729</t>
  </si>
  <si>
    <t>199 / 1636 warnings fixed.</t>
  </si>
  <si>
    <t>https://greatergiving.visualstudio.com/Greater%20Giving/_git/OP/pullrequest/7731</t>
  </si>
  <si>
    <t xml:space="preserve">OB-3636 </t>
  </si>
  <si>
    <t>Issue resolved</t>
  </si>
  <si>
    <t>OB-3637</t>
  </si>
  <si>
    <t>OB/OP 7.14.0 Sprint 1</t>
  </si>
  <si>
    <t>OB-3618</t>
  </si>
  <si>
    <t>Improve "Save for Later" message functionality</t>
  </si>
  <si>
    <t>https://greatergiving.visualstudio.com/Greater%20Giving/_git/OnlineBidding/pullrequest/7687</t>
  </si>
  <si>
    <t>OB-3618 / OB-3633</t>
  </si>
  <si>
    <t>Date time picker reset issue</t>
  </si>
  <si>
    <t>https://greatergiving.visualstudio.com/Greater%20Giving/_git/OnlineBidding/pullrequest/7699</t>
  </si>
  <si>
    <t>Karthi / Vaishnavi</t>
  </si>
  <si>
    <t>OB-3618 / OB-3634</t>
  </si>
  <si>
    <t>Save Fixed- Emails going out to all supporters in the recipient list</t>
  </si>
  <si>
    <t>https://greatergiving.visualstudio.com/Greater%20Giving/_git/OnlineBidding/pullrequest/7703</t>
  </si>
  <si>
    <t>OB-3620</t>
  </si>
  <si>
    <t>Update Saved/Scheduled Message Grid</t>
  </si>
  <si>
    <t>https://greatergiving.visualstudio.com/Greater%20Giving/_git/OnlineBidding/pullrequest/7690</t>
  </si>
  <si>
    <t>OB-3620 / OB-3632</t>
  </si>
  <si>
    <t>Recipient column for Email not updated as Fixed / Dynamic</t>
  </si>
  <si>
    <t>https://greatergiving.visualstudio.com/Greater%20Giving/_git/OnlineBidding/pullrequest/7693</t>
  </si>
  <si>
    <t>vaishnavi</t>
  </si>
  <si>
    <t>OB-3608</t>
  </si>
  <si>
    <t>Select Multiple Tables in OB Messaging</t>
  </si>
  <si>
    <t>https://greatergiving.visualstudio.com/Greater%20Giving/_git/OP/pullrequest/7666</t>
  </si>
  <si>
    <t>OP-2550</t>
  </si>
  <si>
    <t>[Bug] AHA - Heart Ball Logo not displaying at correct size</t>
  </si>
  <si>
    <t>https://greatergiving.visualstudio.com/Greater%20Giving/_git/OP/pullrequest/7696</t>
  </si>
  <si>
    <t>OB 7.13.1 Sprint  4</t>
  </si>
  <si>
    <t>karthi/Prabhu/vaishnavi</t>
  </si>
  <si>
    <t>OB-3613</t>
  </si>
  <si>
    <t>Investigate SendSaleData Function App</t>
  </si>
  <si>
    <t>Investigated and attached document in JIRA</t>
  </si>
  <si>
    <t>vaishnavi/Prabhu</t>
  </si>
  <si>
    <t>OP-2536</t>
  </si>
  <si>
    <t>Can't control order of manually added links in Links Module</t>
  </si>
  <si>
    <t>https://greatergiving.visualstudio.com/Greater%20Giving/_git/OP/pullrequest/7646</t>
  </si>
  <si>
    <t>26/06/2024</t>
  </si>
  <si>
    <t>OB-3614</t>
  </si>
  <si>
    <t>Investigate unresolved records with SendSaleData Function App</t>
  </si>
  <si>
    <t>OB 7.13.1 Sprint  4
Stretch</t>
  </si>
  <si>
    <t>OP-2549</t>
  </si>
  <si>
    <t>Changing toggle settings in registration module settings causes the HTML "junk" data issue to occur</t>
  </si>
  <si>
    <t>7.13.1 Sprint 4</t>
  </si>
  <si>
    <t>OP-2547</t>
  </si>
  <si>
    <t>Catalog Page Package Images Display At Actual Size Instead Of Default Scaled Size</t>
  </si>
  <si>
    <t>OP-2548</t>
  </si>
  <si>
    <t>Add announcement plain or rich text radio button select has no label text</t>
  </si>
  <si>
    <t>Existing</t>
  </si>
  <si>
    <t xml:space="preserve">                                                                                                                                                                                                        </t>
  </si>
  <si>
    <t>Prabhu / Karthi</t>
  </si>
  <si>
    <t>Save Fixed- Emails going out to all supporters in the recipient list even if check box is not selected.</t>
  </si>
  <si>
    <t>OB 7.13.1 Sprint  3</t>
  </si>
  <si>
    <t>OP-2528</t>
  </si>
  <si>
    <t xml:space="preserve"> Banner width incorrect with image size.</t>
  </si>
  <si>
    <t>https://greatergiving.visualstudio.com/Greater%20Giving/_git/OP/pullrequest/7621</t>
  </si>
  <si>
    <t>vaishnavi/Prabhu/Karthi</t>
  </si>
  <si>
    <t>OP-2533</t>
  </si>
  <si>
    <t>Option to save card for event does not appear</t>
  </si>
  <si>
    <t>No PR</t>
  </si>
  <si>
    <t>OP-2534</t>
  </si>
  <si>
    <t>Investigate and resolve HTML across modules</t>
  </si>
  <si>
    <t>https://greatergiving.visualstudio.com/Greater%20Giving/_git/OP/pullrequest/7618</t>
  </si>
  <si>
    <t>OP-2537</t>
  </si>
  <si>
    <t>[Stretch] Broken nav links due to special characters in Project Names</t>
  </si>
  <si>
    <t>https://greatergiving.visualstudio.com/Greater%20Giving/_git/OP/pullrequest/7622</t>
  </si>
  <si>
    <t>Karthi/vaishnavi</t>
  </si>
  <si>
    <t>[Stretch] Can't control order of manually added links in Links Module</t>
  </si>
  <si>
    <t>OP-2523</t>
  </si>
  <si>
    <t>AHA Content missing from Webpage</t>
  </si>
  <si>
    <t>Investigated and Inputs shared to client.Its not issues</t>
  </si>
  <si>
    <t>No defects reported.</t>
  </si>
  <si>
    <t>OB 7.13.1 Sprint 2</t>
  </si>
  <si>
    <t>Karthi/ Vaishnavi</t>
  </si>
  <si>
    <t>OP-2516</t>
  </si>
  <si>
    <t>Investigate and resolve headers with Giving Tuesday/Year End templates</t>
  </si>
  <si>
    <t>Moved to refinement</t>
  </si>
  <si>
    <t>Prabhu/vaishnavi</t>
  </si>
  <si>
    <t>OP-2498</t>
  </si>
  <si>
    <t>Generic and Volunteer template pages do not show correct header information</t>
  </si>
  <si>
    <t>Karthi/Prabhu/Rajesh</t>
  </si>
  <si>
    <t>OP-2521</t>
  </si>
  <si>
    <t>[Production issue] Can't add new modules or copy modules</t>
  </si>
  <si>
    <t>https://greatergiving.visualstudio.com/Greater%20Giving/_git/OP/pullrequest/7591</t>
  </si>
  <si>
    <t>Vaishnavi/Prabhu/Rajesh</t>
  </si>
  <si>
    <t>OP-2517</t>
  </si>
  <si>
    <t>[Production issue] OP Portals are not creating successfully</t>
  </si>
  <si>
    <t>OB 7.13.1 Sprint  2</t>
  </si>
  <si>
    <t>OP-2530</t>
  </si>
  <si>
    <t>Contact Us &amp; About Us Section - Not on OP sites</t>
  </si>
  <si>
    <t>OP-2524</t>
  </si>
  <si>
    <t>Error creating Generic Pages</t>
  </si>
  <si>
    <t>Prabhu/Rajesh</t>
  </si>
  <si>
    <t>OP-2520</t>
  </si>
  <si>
    <t>Can't edit HTML modules in OP</t>
  </si>
  <si>
    <t>OP-2518</t>
  </si>
  <si>
    <t>Junk coding added to pkg desc. every time you re-save</t>
  </si>
  <si>
    <t>https://greatergiving.visualstudio.com/Greater%20Giving/_git/OP/pullrequest/7597?_a=files</t>
  </si>
  <si>
    <t>[Stretch] Banner width incorrect with image size.</t>
  </si>
  <si>
    <t>OP-2526</t>
  </si>
  <si>
    <t>Logout Popup missing</t>
  </si>
  <si>
    <t>OB 7.13.1 Sprint 1</t>
  </si>
  <si>
    <t>OP-2490</t>
  </si>
  <si>
    <t>[Defect] Drop Downs overlap interface when adding a page in OP and cannot have options selected from the drop down</t>
  </si>
  <si>
    <t>https://greatergiving.visualstudio.com/Greater%20Giving/_git/OP/pullrequest/7546</t>
  </si>
  <si>
    <t>Joe Mccarty</t>
  </si>
  <si>
    <t>Prabhu/ Vaishnavi</t>
  </si>
  <si>
    <t>OP-2489</t>
  </si>
  <si>
    <t>Update AHA Custom Headers and Footers</t>
  </si>
  <si>
    <t>Completed testing in TST and CRT.</t>
  </si>
  <si>
    <t>Prabhu/Karthi/ Vaishnavi/Rajesh</t>
  </si>
  <si>
    <t>OP-2491[OP-2512,OP-2508,OP-2503,OP-2507,OP-2502,OP-2499]</t>
  </si>
  <si>
    <t>Continue dnn9 in CRT</t>
  </si>
  <si>
    <t>Investigated and Inputs shared to client.Its all about application configuration level</t>
  </si>
  <si>
    <t>OP-2496</t>
  </si>
  <si>
    <t>Online Auction Virtual Terminal is missing in Save the programmers Organization</t>
  </si>
  <si>
    <t>OP-2497</t>
  </si>
  <si>
    <t>Join Me Fundraiser Progress amount not getting updated</t>
  </si>
  <si>
    <t>OP-2508</t>
  </si>
  <si>
    <t>Confirmation receipt Emails not going out when making donation in Join Me fundraising</t>
  </si>
  <si>
    <t>OP-2511</t>
  </si>
  <si>
    <t>OP emails not going out</t>
  </si>
  <si>
    <t>OP-2512</t>
  </si>
  <si>
    <t>Error is seen in the place of Re-captcha</t>
  </si>
  <si>
    <t>OB 7.12.0 Sprint 4</t>
  </si>
  <si>
    <r>
      <rPr>
        <b/>
        <sz val="10"/>
        <color rgb="FF000000"/>
        <rFont val="Arial"/>
        <scheme val="minor"/>
      </rPr>
      <t>OP-2480</t>
    </r>
    <r>
      <rPr>
        <sz val="10"/>
        <color rgb="FF000000"/>
        <rFont val="Arial"/>
        <scheme val="minor"/>
      </rPr>
      <t xml:space="preserve"> 1.OP-2490</t>
    </r>
  </si>
  <si>
    <t>Drop Downs overlap interface when adding a page in OP and cannot have options selected from the drop down</t>
  </si>
  <si>
    <t>Carry forwarded to Sprint 7.13.0</t>
  </si>
  <si>
    <t>OB-3617</t>
  </si>
  <si>
    <t>Higher Bid More Values UI Issue</t>
  </si>
  <si>
    <t>Existing issue</t>
  </si>
  <si>
    <t>Prabhu / Vaishnavi / Karthi</t>
  </si>
  <si>
    <t>OP-2434</t>
  </si>
  <si>
    <t>Implement ReCaptcha in DNN9</t>
  </si>
  <si>
    <t>https://greatergiving.visualstudio.com/Greater%20Giving/_git/OP/pullrequest/7510</t>
  </si>
  <si>
    <t>OB-3587</t>
  </si>
  <si>
    <t>Macroscope - Update swiper package</t>
  </si>
  <si>
    <t>https://greatergiving.visualstudio.com/Greater%20Giving/_git/OnlineBidding/pullrequest/7502</t>
  </si>
  <si>
    <t>Prabhu/Vaishnavi</t>
  </si>
  <si>
    <t>OB-3611</t>
  </si>
  <si>
    <t>Investigate OB Queue issues re: Weekend Event Outages</t>
  </si>
  <si>
    <t>Investigated and Inputs shared to client.</t>
  </si>
  <si>
    <t>OP-2480 1.OP-2490
[STRETCH]</t>
  </si>
  <si>
    <t>[Stretch] [Defect] Drop Downs overlap interface when adding a page in OP and cannot have options selected from the drop down</t>
  </si>
  <si>
    <t>Development completed, Unit testing is pending</t>
  </si>
  <si>
    <t>Higher Bid More Values UI Issue [Stretch]</t>
  </si>
  <si>
    <t>https://greatergiving.visualstudio.com/Greater%20Giving/_git/OnlineBidding/pullrequest/7536</t>
  </si>
  <si>
    <t>Prabhu/ Karthi</t>
  </si>
  <si>
    <t>OP-2480 2.OP-2484</t>
  </si>
  <si>
    <t>Sponsor logos not displaying in OP pages</t>
  </si>
  <si>
    <t>OP-2480 3.OP-2484</t>
  </si>
  <si>
    <t>File/Resource Manager Appears Empty</t>
  </si>
  <si>
    <t>Investigated and updated setting on application level.</t>
  </si>
  <si>
    <t>Development completed,TST testing is pending</t>
  </si>
  <si>
    <t>OB 7.12.0 Sprint 3</t>
  </si>
  <si>
    <t xml:space="preserve">Vaishnavi / Karthi/Prabhu </t>
  </si>
  <si>
    <t>OB-3595</t>
  </si>
  <si>
    <t>OB Page Will Not Display Packages in Numerical Order</t>
  </si>
  <si>
    <t>https://greatergiving.visualstudio.com/Greater%20Giving/_git/OnlineBidding/pullrequest/7431</t>
  </si>
  <si>
    <t>https://greatergiving.visualstudio.com/Greater%20Giving/_git/OP/pullrequest/7503</t>
  </si>
  <si>
    <t>OB 7.12.0 Sprint 3 [Stretch]</t>
  </si>
  <si>
    <t>[Stretch] Macroscope - Update swiper package</t>
  </si>
  <si>
    <t>Development completed, testing is pending</t>
  </si>
  <si>
    <t>No defects reported for this sprint</t>
  </si>
  <si>
    <t>OB 7.12.0 Sprint 2</t>
  </si>
  <si>
    <t>OP-2440</t>
  </si>
  <si>
    <t>Update Hard Hat Template for AHA</t>
  </si>
  <si>
    <t>https://greatergiving.visualstudio.com/Greater%20Giving/_git/OP/pullrequest/7450</t>
  </si>
  <si>
    <t>OP-2438</t>
  </si>
  <si>
    <t>Update Generic Template for AHA</t>
  </si>
  <si>
    <t>https://greatergiving.visualstudio.com/Greater%20Giving/_git/OP/pullrequest/7451</t>
  </si>
  <si>
    <t>OP-2442</t>
  </si>
  <si>
    <t>Update Golf Template for AHA</t>
  </si>
  <si>
    <t>Golf Template unavailable to test in TST.</t>
  </si>
  <si>
    <t>OB 7.12.0 Sprint 2
[Stretch]</t>
  </si>
  <si>
    <t>Vaishnavi/Karthi/Prabhu</t>
  </si>
  <si>
    <t>OP-2441</t>
  </si>
  <si>
    <t>HTML Update to AHA Templates (Heart Ball)</t>
  </si>
  <si>
    <t>Development completed, AHA stories are kept on hold for now.</t>
  </si>
  <si>
    <t>OB 7.12.0 Sprint 1</t>
  </si>
  <si>
    <t>OB-3584</t>
  </si>
  <si>
    <t>Macroscope - Correct bad MVC practice</t>
  </si>
  <si>
    <t>https://greatergiving.visualstudio.com/Greater%20Giving/_git/OnlineBidding/pullrequest/7396</t>
  </si>
  <si>
    <t>OB-3585</t>
  </si>
  <si>
    <t>Macroscope - Resolve vulnerability with System.Data.SqlClient</t>
  </si>
  <si>
    <t>https://greatergiving.visualstudio.com/Greater%20Giving/_git/OnlineBidding/pullrequest/7400</t>
  </si>
  <si>
    <t>karthi/Vaishnavi/Prabhu</t>
  </si>
  <si>
    <t>OP-2456</t>
  </si>
  <si>
    <t>Provide PoC and Info regarding templates</t>
  </si>
  <si>
    <t>Vaishnavi/Karthi/</t>
  </si>
  <si>
    <t>Showed demo to client and story is closed now</t>
  </si>
  <si>
    <t>Vaishnavi/Karthi</t>
  </si>
  <si>
    <t>Moved to backlog.</t>
  </si>
  <si>
    <t>OB/OP 7.11.0 Sprint 4 [1Mar to 14Mar]</t>
  </si>
  <si>
    <t>OP-2437</t>
  </si>
  <si>
    <t>Investigate AHA Templates and updates to them</t>
  </si>
  <si>
    <t>Its DNN-7 Investigate story, so updated documents in jira .</t>
  </si>
  <si>
    <t>Karthi/vaishnavi/Prabhu</t>
  </si>
  <si>
    <t>OB-3582</t>
  </si>
  <si>
    <t>Load the Send Message Recipient types from DB rather than Hardcoded backend code</t>
  </si>
  <si>
    <t>karthi/vaishnavi</t>
  </si>
  <si>
    <t>No comments</t>
  </si>
  <si>
    <t>https://greatergiving.visualstudio.com/Greater%20Giving/_git/OnlineBidding/pullrequest/7367</t>
  </si>
  <si>
    <t>RajeshKannan</t>
  </si>
  <si>
    <t>OP-2439</t>
  </si>
  <si>
    <t>Update Go Red Template for AHA</t>
  </si>
  <si>
    <t>Inputs shared to client and story  moved to backlog</t>
  </si>
  <si>
    <t>Update Heart Ball Template for AHA</t>
  </si>
  <si>
    <t>Inputs shared to client and  story  moved to backlog</t>
  </si>
  <si>
    <t>OB-3578</t>
  </si>
  <si>
    <t>Filter issue in "Table" grid</t>
  </si>
  <si>
    <t>https://greatergiving.visualstudio.com/Greater%20Giving/_git/OnlineBidding/pullrequest/7353</t>
  </si>
  <si>
    <t>OB/OP 7.11.0 Sprint 3 [16 Feb to 29 Feb]</t>
  </si>
  <si>
    <t>OB-3534</t>
  </si>
  <si>
    <t>Fix send message grid filters</t>
  </si>
  <si>
    <t>Yes</t>
  </si>
  <si>
    <t>Not applicable</t>
  </si>
  <si>
    <t>https://greatergiving.visualstudio.com/Greater%20Giving/_git/OnlineBidding/pullrequest/7329</t>
  </si>
  <si>
    <t xml:space="preserve">
Joe Mccarty</t>
  </si>
  <si>
    <t>OP-2428</t>
  </si>
  <si>
    <t>ReCaptcha - Implement v3 and Fallback</t>
  </si>
  <si>
    <t>OP-2427</t>
  </si>
  <si>
    <t>Check dnn_JavaScriptLibraries entries for DNN9 (Spike story)</t>
  </si>
  <si>
    <t>Analysis document attacted in the Story</t>
  </si>
  <si>
    <t>OB-3552</t>
  </si>
  <si>
    <t>OB Admin - Enhance Element &lt;table&gt; on home page</t>
  </si>
  <si>
    <t>https://greatergiving.visualstudio.com/Greater%20Giving/_git/OnlineBidding/pullrequest/7322</t>
  </si>
  <si>
    <t>OB-3547</t>
  </si>
  <si>
    <t>OB Admin - Provide way to quickly navigate to main content</t>
  </si>
  <si>
    <t>https://greatergiving.visualstudio.com/Greater%20Giving/_git/OnlineBidding/pullrequest/7331</t>
  </si>
  <si>
    <t>7.11.0 4</t>
  </si>
  <si>
    <t>Code Review Comments received from Client for 2.5 Sprint</t>
  </si>
  <si>
    <t>S No</t>
  </si>
  <si>
    <t>Execution Steps</t>
  </si>
  <si>
    <t>index.tsx
/AugustWeb/Features/ContactMaintenance/Components/index.tsx
Search doesn't work on the details page. Please remove the search component from the header.</t>
  </si>
  <si>
    <t>Code conflict</t>
  </si>
  <si>
    <t>ParentApiRegistrationController.cs
/AugustWeb/Features/ParentAPI/ParentApiRegistrationController.cs
If the admin doesn't set up any of the new options, then the system rejects every registration.</t>
  </si>
  <si>
    <t>Coding Standard</t>
  </si>
  <si>
    <t>PickEnrollmentPlanView.tsx
/ParentWeb/ClientApp/src/pages/Registration/PickEnrollmentPlanView.tsx
This should be filtered before this ternary statement so the "No enrollment plans" message could be shown if all plans are at capacity and closed.</t>
  </si>
  <si>
    <t>Existing Functionality</t>
  </si>
  <si>
    <t>ParentApiRegistrationController.cs
/AugustWeb/Features/ParentAPI/ParentApiRegistrationController.cs
Could we add a TermEnrollmentPlanId query parameter and query for it directly instead of pulling all the plans for the term?</t>
  </si>
  <si>
    <t>Acceptance Criteria coverage</t>
  </si>
  <si>
    <t>Code execute</t>
  </si>
  <si>
    <t>Code Performance</t>
  </si>
  <si>
    <t>Code cleanup</t>
  </si>
  <si>
    <t>Understandable code comments</t>
  </si>
  <si>
    <t>Root Cause category</t>
  </si>
  <si>
    <t>Design</t>
  </si>
  <si>
    <t>Documentation</t>
  </si>
  <si>
    <t>Project_Management</t>
  </si>
  <si>
    <t>OB/OP 7.11.0 Sprint 1 [19 Jan to 15 Feb]</t>
  </si>
  <si>
    <t>OP-1988</t>
  </si>
  <si>
    <t>Add Class Headers to the Bidding Site</t>
  </si>
  <si>
    <t>yes</t>
  </si>
  <si>
    <t>Karthi Rajendran</t>
  </si>
  <si>
    <t>https://greatergiving.visualstudio.com/Greater%20Giving/_git/OnlineBidding/pullrequest/7230</t>
  </si>
  <si>
    <t>Karthi Rajendran/Vaishnavi</t>
  </si>
  <si>
    <t>OB-3540</t>
  </si>
  <si>
    <t>Update Schedule Message Logic</t>
  </si>
  <si>
    <t>https://greatergiving.visualstudio.com/Greater%20Giving/_git/OnlineBidding/pullrequest/7238</t>
  </si>
  <si>
    <t>joe Mccarty</t>
  </si>
  <si>
    <t>karthi Rajendran</t>
  </si>
  <si>
    <t>OB-3550</t>
  </si>
  <si>
    <t>OB Admin - Form Control "button" as no associated label</t>
  </si>
  <si>
    <t xml:space="preserve"> Vaishnavi</t>
  </si>
  <si>
    <t>https://greatergiving.visualstudio.com/Greater%20Giving/_git/OnlineBidding/pullrequest/7296</t>
  </si>
  <si>
    <t>OB-3551</t>
  </si>
  <si>
    <t>Admin - Graphs have deprecated HTML attributes</t>
  </si>
  <si>
    <t>When you naming a function, camelcase is recommended.</t>
  </si>
  <si>
    <t>https://greatergiving.visualstudio.com/Greater%20Giving/_git/OnlineBidding/pullrequest/7311</t>
  </si>
  <si>
    <t>OB-3557</t>
  </si>
  <si>
    <t>Auction display board visual bug</t>
  </si>
  <si>
    <t>https://greatergiving.visualstudio.com/Greater%20Giving/_git/OnlineBidding/pullrequest/7303</t>
  </si>
  <si>
    <t>OP-2426</t>
  </si>
  <si>
    <t>Donation Page becoming unresponsive, seems to be CAPTCHA issue</t>
  </si>
  <si>
    <t>Need to Implement the code optimize for Performance</t>
  </si>
  <si>
    <t>ReCaptcha-Implement v3 and Fallback</t>
  </si>
  <si>
    <t>Facing some challenges while  implementing V3 and added new requirements.</t>
  </si>
  <si>
    <t>OB/OP 7.10.0 Sprint 4 [05-Jan to 18-Jan]</t>
  </si>
  <si>
    <t>Karthi Rajendran/ Vaishnavi</t>
  </si>
  <si>
    <t xml:space="preserve">OB-3471 </t>
  </si>
  <si>
    <t>Update Entry Box to a Rich Text Editor</t>
  </si>
  <si>
    <t xml:space="preserve"> Prabhu</t>
  </si>
  <si>
    <t>https://greatergiving.visualstudio.com/Greater%20Giving/_git/OnlineBidding/pullrequest/7227</t>
  </si>
  <si>
    <t>OB-3529</t>
  </si>
  <si>
    <t>When selecting a filter in Send Messages, 
automatically select all Bidders</t>
  </si>
  <si>
    <t>https://greatergiving.visualstudio.com/Greater%20Giving/_git/OnlineBidding/pullrequest/7149</t>
  </si>
  <si>
    <t>OB-3405</t>
  </si>
  <si>
    <t>Add "Group" as an option on OB Messages page</t>
  </si>
  <si>
    <t>https://greatergiving.visualstudio.com/Greater%20Giving/_git/OnlineBidding/pullrequest/7144</t>
  </si>
  <si>
    <t xml:space="preserve">OB-1998 </t>
  </si>
  <si>
    <t>OB-3466</t>
  </si>
  <si>
    <t>Release OB 7.10.0 to CRT</t>
  </si>
  <si>
    <t>https://greatergiving.visualstudio.com/Greater%20Giving/_git/OnlineBidding/pullrequest/7228</t>
  </si>
  <si>
    <r>
      <rPr>
        <b/>
        <sz val="10"/>
        <color theme="1"/>
        <rFont val="Arial"/>
      </rPr>
      <t>OB-3466</t>
    </r>
    <r>
      <rPr>
        <sz val="10"/>
        <color theme="1"/>
        <rFont val="Arial"/>
      </rPr>
      <t xml:space="preserve">
1.OB-3535</t>
    </r>
  </si>
  <si>
    <t>Hide supporter grid send message functionality and revert to previous filter select logic.</t>
  </si>
  <si>
    <t>https://greatergiving.visualstudio.com/Greater%20Giving/_git/OnlineBidding/pullrequest/7226</t>
  </si>
  <si>
    <t>Prabhu/Karthi Rajendran</t>
  </si>
  <si>
    <r>
      <rPr>
        <b/>
        <sz val="10"/>
        <color theme="1"/>
        <rFont val="Arial"/>
      </rPr>
      <t>OB-3466</t>
    </r>
    <r>
      <rPr>
        <sz val="10"/>
        <color theme="1"/>
        <rFont val="Arial"/>
      </rPr>
      <t xml:space="preserve">
2. OB-3543</t>
    </r>
  </si>
  <si>
    <t>Console Error appearing on Send Message Page</t>
  </si>
  <si>
    <t>https://greatergiving.visualstudio.com/Greater%20Giving/_git/OnlineBidding/pullrequest/7235</t>
  </si>
  <si>
    <t>OB/OP 7.10.0 Sprint 4</t>
  </si>
  <si>
    <t>OB-3533</t>
  </si>
  <si>
    <t>Scheduled messages not going out for Groups</t>
  </si>
  <si>
    <t>Refinement</t>
  </si>
  <si>
    <t>Ready</t>
  </si>
  <si>
    <t>OB-OP 8.0 Sprint 4 - [Stretch]</t>
  </si>
  <si>
    <t>OB-OP 8.1 Sprint 1 - [Stretch]</t>
  </si>
  <si>
    <t xml:space="preserve">7/2/2025 2:39 PM  -  DON -39 - We are working on Client Side Input Validation.
7/3/2025 3:28 PM -  DON 39 - We are working on Client Side Input Validation for Login page and Signup page
7/4/2025 1:47 PM  -  DON 39 - We are working on Client Side Input Validation for  Login Page has completed ,   Signup page  work in- progress
Sprint end Status - Stretch story - Development in-progress, taken this story on 07/01/2025 (3 days before sprint end)
7/11/2025 5:31 PM-   DON -39 - Client side validation completed.
7/16/2025 3:01 PM -  DON -39 -  We are working with Testing feedback.
</t>
  </si>
  <si>
    <t>OB-OP 8.4 Sprint 3</t>
  </si>
  <si>
    <t>Don-177</t>
  </si>
  <si>
    <t>OB-OP 8.4 Sprint 3 - [STRETCH]</t>
  </si>
  <si>
    <t>Forgot password page Creation for b2c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</si>
</sst>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409]d\-mmm\-yyyy;@"/>
  </numFmts>
  <fonts count="59">
    <font>
      <sz val="10"/>
      <color rgb="FF000000"/>
      <name val="Arial"/>
      <scheme val="minor"/>
    </font>
    <font>
      <sz val="11"/>
      <color theme="1"/>
      <name val="Calibri"/>
      <scheme val="minor"/>
    </font>
    <font>
      <sz val="11"/>
      <color theme="1"/>
      <name val="Arial"/>
      <scheme val="minor"/>
    </font>
    <font>
      <sz val="11"/>
      <color theme="1"/>
      <name val="Arial"/>
      <scheme val="minor"/>
    </font>
    <font>
      <b/>
      <sz val="10"/>
      <color rgb="FFFFFFFF"/>
      <name val="Calibri"/>
    </font>
    <font>
      <sz val="10"/>
      <color rgb="FF000000"/>
      <name val="Arial"/>
    </font>
    <font>
      <sz val="10"/>
      <color theme="1"/>
      <name val="Arial"/>
      <scheme val="minor"/>
    </font>
    <font>
      <sz val="10"/>
      <color theme="1"/>
      <name val="Arial"/>
    </font>
    <font>
      <sz val="9"/>
      <color rgb="FF1F1F1F"/>
      <name val="Arial"/>
    </font>
    <font>
      <u/>
      <sz val="10"/>
      <color rgb="FF0000FF"/>
      <name val="Arial"/>
    </font>
    <font>
      <sz val="10"/>
      <name val="Arial"/>
    </font>
    <font>
      <sz val="11"/>
      <color theme="1"/>
      <name val="Arial"/>
    </font>
    <font>
      <sz val="11"/>
      <color rgb="FF172B4D"/>
      <name val="Arial"/>
    </font>
    <font>
      <sz val="9"/>
      <color rgb="FF1F1F1F"/>
      <name val="&quot;Google Sans&quot;"/>
    </font>
    <font>
      <b/>
      <sz val="10"/>
      <color theme="1"/>
      <name val="Arial"/>
    </font>
    <font>
      <u/>
      <sz val="10"/>
      <color rgb="FF000000"/>
      <name val="Arial"/>
    </font>
    <font>
      <b/>
      <sz val="9"/>
      <color rgb="FFFFFFFF"/>
      <name val="Proxima Nova"/>
    </font>
    <font>
      <sz val="10"/>
      <color theme="1"/>
      <name val="Proxima Nova"/>
    </font>
    <font>
      <u/>
      <sz val="10"/>
      <color theme="10"/>
      <name val="Arial"/>
      <scheme val="minor"/>
    </font>
    <font>
      <sz val="10"/>
      <color rgb="FF000000"/>
      <name val="Arial"/>
      <charset val="1"/>
    </font>
    <font>
      <sz val="11"/>
      <color rgb="FF000000"/>
      <name val="Segoe UI"/>
      <charset val="1"/>
    </font>
    <font>
      <sz val="10"/>
      <color theme="1"/>
      <name val="Arial"/>
      <scheme val="major"/>
    </font>
    <font>
      <b/>
      <sz val="10"/>
      <color rgb="FFFFFFFF"/>
      <name val="Arial"/>
      <scheme val="minor"/>
    </font>
    <font>
      <sz val="10"/>
      <color rgb="FF1C2933"/>
      <name val="Arial"/>
      <scheme val="minor"/>
    </font>
    <font>
      <sz val="11"/>
      <color rgb="FF000000"/>
      <name val="Arial"/>
      <scheme val="minor"/>
    </font>
    <font>
      <u/>
      <sz val="10"/>
      <color rgb="FF1155CC"/>
      <name val="Arial"/>
      <scheme val="minor"/>
    </font>
    <font>
      <sz val="10"/>
      <color rgb="FF1F1F1F"/>
      <name val="Arial"/>
      <scheme val="minor"/>
    </font>
    <font>
      <sz val="10"/>
      <color rgb="FF191C20"/>
      <name val="Arial"/>
      <scheme val="minor"/>
    </font>
    <font>
      <sz val="11"/>
      <color rgb="FF000000"/>
      <name val="Aptos Narrow"/>
      <charset val="1"/>
    </font>
    <font>
      <sz val="9"/>
      <color rgb="FF1F1F1F"/>
      <name val="Arial"/>
      <charset val="1"/>
    </font>
    <font>
      <sz val="11"/>
      <color rgb="FF1D1C1D"/>
      <name val="Slack-Lato"/>
      <charset val="1"/>
    </font>
    <font>
      <sz val="11"/>
      <color rgb="FF242424"/>
      <name val="Aptos Narrow"/>
      <charset val="1"/>
    </font>
    <font>
      <b/>
      <sz val="10"/>
      <color rgb="FF000000"/>
      <name val="Arial"/>
      <scheme val="minor"/>
    </font>
    <font>
      <u/>
      <sz val="10"/>
      <color rgb="FF1155CC"/>
      <name val="Arial"/>
      <charset val="1"/>
    </font>
    <font>
      <sz val="11"/>
      <color theme="1"/>
      <name val="Segoe UI"/>
      <charset val="1"/>
    </font>
    <font>
      <sz val="11"/>
      <color rgb="FF444444"/>
      <name val="Aptos Narrow"/>
      <charset val="1"/>
    </font>
    <font>
      <sz val="10"/>
      <color rgb="FF000000"/>
      <name val="Arial"/>
      <scheme val="major"/>
    </font>
    <font>
      <sz val="9"/>
      <color rgb="FF1F1F1F"/>
      <name val="Arial"/>
      <scheme val="major"/>
    </font>
    <font>
      <sz val="10"/>
      <color rgb="FF1D1C1D"/>
      <name val="Arial"/>
      <scheme val="minor"/>
    </font>
    <font>
      <sz val="9"/>
      <color rgb="FF000000"/>
      <name val="Arial"/>
      <scheme val="major"/>
    </font>
    <font>
      <b/>
      <sz val="10"/>
      <color theme="1"/>
      <name val="Calibri"/>
    </font>
    <font>
      <sz val="8"/>
      <color theme="1"/>
      <name val="Arial"/>
      <scheme val="major"/>
    </font>
    <font>
      <sz val="11"/>
      <color rgb="FF000000"/>
      <name val="Aptos Narrow"/>
    </font>
    <font>
      <sz val="11"/>
      <color rgb="FF000000"/>
      <name val="Segoe UI VSS (Regular)"/>
      <charset val="1"/>
    </font>
    <font>
      <sz val="8"/>
      <color rgb="FF000000"/>
      <name val="Segoe UI"/>
      <charset val="1"/>
    </font>
    <font>
      <b/>
      <sz val="10"/>
      <color rgb="FF000000"/>
      <name val="Arial"/>
    </font>
    <font>
      <sz val="11"/>
      <color theme="1"/>
      <name val="Calibri"/>
    </font>
    <font>
      <sz val="11"/>
      <color rgb="FF000000"/>
      <name val="Calibri"/>
      <charset val="1"/>
    </font>
    <font>
      <sz val="11"/>
      <color rgb="FF000000"/>
      <name val="Arial"/>
      <charset val="1"/>
    </font>
    <font>
      <u/>
      <sz val="11"/>
      <color theme="1"/>
      <name val="Calibri"/>
    </font>
    <font>
      <sz val="11"/>
      <color rgb="FF000000"/>
      <name val="Calibri"/>
    </font>
    <font>
      <sz val="11"/>
      <color theme="1"/>
      <name val="Calibri"/>
      <charset val="1"/>
    </font>
    <font>
      <b/>
      <sz val="12"/>
      <color rgb="FFFF0000"/>
      <name val="Arial"/>
      <scheme val="minor"/>
    </font>
    <font>
      <sz val="12"/>
      <color rgb="FFFF0000"/>
      <name val="Calibri"/>
    </font>
    <font>
      <sz val="12"/>
      <color rgb="FFFF0000"/>
      <name val="Arial"/>
      <scheme val="minor"/>
    </font>
    <font>
      <sz val="12"/>
      <color rgb="FF292A2E"/>
      <name val="Atlassian Sans"/>
    </font>
    <font>
      <b/>
      <sz val="14"/>
      <color rgb="FFFF0000"/>
      <name val="Calibri"/>
    </font>
    <font>
      <b/>
      <sz val="10"/>
      <color rgb="FFFFFFFF"/>
      <name val="Arial"/>
    </font>
    <font>
      <sz val="11"/>
      <color rgb="FF292A2E"/>
      <name val="Atlassian Sans"/>
      <charset val="1"/>
    </font>
  </fonts>
  <fills count="19">
    <fill>
      <patternFill patternType="none"/>
    </fill>
    <fill>
      <patternFill patternType="gray125"/>
    </fill>
    <fill>
      <patternFill patternType="solid">
        <fgColor rgb="FF27235C"/>
        <bgColor rgb="FF27235C"/>
      </patternFill>
    </fill>
    <fill>
      <patternFill patternType="solid">
        <fgColor rgb="FFFFFFFF"/>
        <bgColor rgb="FFFFFFFF"/>
      </patternFill>
    </fill>
    <fill>
      <patternFill patternType="solid">
        <fgColor rgb="FFE01950"/>
        <bgColor rgb="FFE01950"/>
      </patternFill>
    </fill>
    <fill>
      <patternFill patternType="solid">
        <fgColor rgb="FFF7F8F9"/>
        <bgColor rgb="FFF7F8F9"/>
      </patternFill>
    </fill>
    <fill>
      <patternFill patternType="solid">
        <fgColor rgb="FF97247E"/>
        <bgColor rgb="FF97247E"/>
      </patternFill>
    </fill>
    <fill>
      <patternFill patternType="solid">
        <fgColor rgb="FFD9D9D9"/>
        <bgColor rgb="FFD9D9D9"/>
      </patternFill>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5" tint="0.79998168889431442"/>
        <bgColor indexed="64"/>
      </patternFill>
    </fill>
    <fill>
      <patternFill patternType="solid">
        <fgColor theme="6"/>
        <bgColor indexed="64"/>
      </patternFill>
    </fill>
    <fill>
      <patternFill patternType="solid">
        <fgColor theme="4" tint="0.79998168889431442"/>
        <bgColor theme="4" tint="0.79998168889431442"/>
      </patternFill>
    </fill>
    <fill>
      <patternFill patternType="solid">
        <fgColor theme="4" tint="0.79998168889431442"/>
        <bgColor indexed="65"/>
      </patternFill>
    </fill>
    <fill>
      <patternFill patternType="solid">
        <fgColor indexed="65"/>
        <bgColor theme="4" tint="0.79998168889431442"/>
      </patternFill>
    </fill>
    <fill>
      <patternFill patternType="solid">
        <fgColor theme="4" tint="0.79998168889431442"/>
        <bgColor indexed="64"/>
      </patternFill>
    </fill>
    <fill>
      <patternFill patternType="solid">
        <fgColor rgb="FF093D93"/>
        <bgColor rgb="FF000000"/>
      </patternFill>
    </fill>
    <fill>
      <patternFill patternType="solid">
        <fgColor rgb="FFFEA767"/>
        <bgColor rgb="FF000000"/>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right style="thin">
        <color rgb="FF000000"/>
      </right>
      <top style="thin">
        <color rgb="FF000000"/>
      </top>
      <bottom style="thin">
        <color theme="4" tint="0.39997558519241921"/>
      </bottom>
      <diagonal/>
    </border>
    <border>
      <left/>
      <right style="thin">
        <color rgb="FF000000"/>
      </right>
      <top style="thin">
        <color theme="4" tint="0.39997558519241921"/>
      </top>
      <bottom style="thin">
        <color rgb="FF000000"/>
      </bottom>
      <diagonal/>
    </border>
    <border>
      <left/>
      <right style="thin">
        <color rgb="FF000000"/>
      </right>
      <top style="thin">
        <color theme="4" tint="0.39997558519241921"/>
      </top>
      <bottom/>
      <diagonal/>
    </border>
    <border>
      <left style="thin">
        <color rgb="FF000000"/>
      </left>
      <right style="thin">
        <color rgb="FF000000"/>
      </right>
      <top style="thin">
        <color rgb="FF000000"/>
      </top>
      <bottom style="medium">
        <color rgb="FF000000"/>
      </bottom>
      <diagonal/>
    </border>
    <border>
      <left/>
      <right/>
      <top/>
      <bottom style="thin">
        <color rgb="FF000000"/>
      </bottom>
      <diagonal/>
    </border>
    <border>
      <left style="thin">
        <color rgb="FF000000"/>
      </left>
      <right style="thin">
        <color rgb="FF000000"/>
      </right>
      <top style="thin">
        <color rgb="FF000000"/>
      </top>
      <bottom style="thin">
        <color theme="4" tint="0.39997558519241921"/>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3">
    <xf numFmtId="0" fontId="0" fillId="0" borderId="0"/>
    <xf numFmtId="0" fontId="18" fillId="0" borderId="0" applyNumberFormat="0" applyFill="0" applyBorder="0" applyAlignment="0" applyProtection="0"/>
    <xf numFmtId="0" fontId="3" fillId="14" borderId="0" applyNumberFormat="0" applyBorder="0" applyAlignment="0" applyProtection="0"/>
  </cellStyleXfs>
  <cellXfs count="997">
    <xf numFmtId="0" fontId="0" fillId="0" borderId="0" xfId="0"/>
    <xf numFmtId="0" fontId="4" fillId="2" borderId="1" xfId="0" applyFont="1" applyFill="1" applyBorder="1" applyAlignment="1">
      <alignment horizontal="center" wrapText="1"/>
    </xf>
    <xf numFmtId="0" fontId="6" fillId="0" borderId="0" xfId="0" applyFont="1"/>
    <xf numFmtId="0" fontId="7" fillId="0" borderId="0" xfId="0" applyFont="1" applyAlignment="1">
      <alignment horizontal="center"/>
    </xf>
    <xf numFmtId="0" fontId="4" fillId="2" borderId="0" xfId="0" applyFont="1" applyFill="1" applyAlignment="1">
      <alignment horizontal="center" wrapText="1"/>
    </xf>
    <xf numFmtId="0" fontId="4" fillId="2" borderId="0" xfId="0" applyFont="1" applyFill="1" applyAlignment="1">
      <alignment horizontal="left" wrapText="1"/>
    </xf>
    <xf numFmtId="0" fontId="4" fillId="4" borderId="0" xfId="0" applyFont="1" applyFill="1" applyAlignment="1">
      <alignment horizontal="center" wrapText="1"/>
    </xf>
    <xf numFmtId="0" fontId="4" fillId="2" borderId="1" xfId="0" applyFont="1" applyFill="1" applyBorder="1" applyAlignment="1">
      <alignment horizontal="left" wrapText="1"/>
    </xf>
    <xf numFmtId="0" fontId="4" fillId="4" borderId="1" xfId="0" applyFont="1" applyFill="1" applyBorder="1" applyAlignment="1">
      <alignment horizontal="center" wrapText="1"/>
    </xf>
    <xf numFmtId="0" fontId="7" fillId="0" borderId="1" xfId="0" applyFont="1" applyBorder="1" applyAlignment="1">
      <alignment horizontal="right"/>
    </xf>
    <xf numFmtId="0" fontId="7" fillId="0" borderId="1" xfId="0" applyFont="1" applyBorder="1" applyAlignment="1">
      <alignment horizontal="center" wrapText="1"/>
    </xf>
    <xf numFmtId="0" fontId="7" fillId="0" borderId="1" xfId="0" applyFont="1" applyBorder="1" applyAlignment="1">
      <alignment vertical="center" wrapText="1"/>
    </xf>
    <xf numFmtId="0" fontId="7" fillId="0" borderId="1" xfId="0" applyFont="1" applyBorder="1" applyAlignment="1">
      <alignment horizontal="left"/>
    </xf>
    <xf numFmtId="0" fontId="5" fillId="3" borderId="1" xfId="0" applyFont="1" applyFill="1" applyBorder="1" applyAlignment="1">
      <alignment horizontal="center" wrapText="1"/>
    </xf>
    <xf numFmtId="0" fontId="7" fillId="0" borderId="1" xfId="0" applyFont="1" applyBorder="1" applyAlignment="1">
      <alignment horizontal="center"/>
    </xf>
    <xf numFmtId="0" fontId="9" fillId="0" borderId="1" xfId="0" applyFont="1" applyBorder="1" applyAlignment="1">
      <alignment horizontal="center" wrapText="1"/>
    </xf>
    <xf numFmtId="164" fontId="7" fillId="0" borderId="1" xfId="0" applyNumberFormat="1" applyFont="1" applyBorder="1" applyAlignment="1">
      <alignment horizontal="center"/>
    </xf>
    <xf numFmtId="0" fontId="7" fillId="0" borderId="1" xfId="0" applyFont="1" applyBorder="1" applyAlignment="1">
      <alignment horizontal="center" vertical="center" wrapText="1"/>
    </xf>
    <xf numFmtId="0" fontId="7" fillId="0" borderId="1" xfId="0" applyFont="1" applyBorder="1" applyAlignment="1">
      <alignment wrapText="1"/>
    </xf>
    <xf numFmtId="0" fontId="7" fillId="0" borderId="1" xfId="0" applyFont="1" applyBorder="1"/>
    <xf numFmtId="0" fontId="5" fillId="3" borderId="1" xfId="0" applyFont="1" applyFill="1" applyBorder="1" applyAlignment="1">
      <alignment horizontal="center"/>
    </xf>
    <xf numFmtId="164" fontId="5" fillId="3" borderId="1" xfId="0" applyNumberFormat="1" applyFont="1" applyFill="1" applyBorder="1" applyAlignment="1">
      <alignment horizontal="center"/>
    </xf>
    <xf numFmtId="0" fontId="5" fillId="3" borderId="1" xfId="0" applyFont="1" applyFill="1" applyBorder="1" applyAlignment="1">
      <alignment horizontal="left"/>
    </xf>
    <xf numFmtId="0" fontId="15" fillId="0" borderId="1" xfId="0" applyFont="1" applyBorder="1" applyAlignment="1">
      <alignment horizontal="center" vertical="center" wrapText="1"/>
    </xf>
    <xf numFmtId="0" fontId="7" fillId="0" borderId="3" xfId="0" applyFont="1" applyBorder="1" applyAlignment="1">
      <alignment horizontal="right"/>
    </xf>
    <xf numFmtId="0" fontId="7" fillId="0" borderId="4" xfId="0" applyFont="1" applyBorder="1" applyAlignment="1">
      <alignment horizontal="center"/>
    </xf>
    <xf numFmtId="0" fontId="7" fillId="0" borderId="4" xfId="0" applyFont="1" applyBorder="1"/>
    <xf numFmtId="0" fontId="7" fillId="0" borderId="4" xfId="0" applyFont="1" applyBorder="1" applyAlignment="1">
      <alignment wrapText="1"/>
    </xf>
    <xf numFmtId="0" fontId="7" fillId="0" borderId="0" xfId="0" applyFont="1" applyAlignment="1">
      <alignment wrapText="1"/>
    </xf>
    <xf numFmtId="0" fontId="6" fillId="0" borderId="0" xfId="0" applyFont="1" applyAlignment="1">
      <alignment horizontal="left"/>
    </xf>
    <xf numFmtId="0" fontId="6" fillId="0" borderId="1" xfId="0" applyFont="1" applyBorder="1"/>
    <xf numFmtId="0" fontId="4" fillId="2" borderId="5" xfId="0" applyFont="1" applyFill="1" applyBorder="1" applyAlignment="1">
      <alignment horizontal="center" wrapText="1"/>
    </xf>
    <xf numFmtId="0" fontId="4" fillId="2" borderId="5" xfId="0" applyFont="1" applyFill="1" applyBorder="1" applyAlignment="1">
      <alignment wrapText="1"/>
    </xf>
    <xf numFmtId="0" fontId="4" fillId="6" borderId="5" xfId="0" applyFont="1" applyFill="1" applyBorder="1" applyAlignment="1">
      <alignment horizontal="center" wrapText="1"/>
    </xf>
    <xf numFmtId="0" fontId="4" fillId="4" borderId="5" xfId="0" applyFont="1" applyFill="1" applyBorder="1" applyAlignment="1">
      <alignment horizontal="center" wrapText="1"/>
    </xf>
    <xf numFmtId="0" fontId="7" fillId="0" borderId="0" xfId="0" applyFont="1"/>
    <xf numFmtId="0" fontId="14" fillId="7" borderId="1" xfId="0" applyFont="1" applyFill="1" applyBorder="1"/>
    <xf numFmtId="0" fontId="16" fillId="6" borderId="1" xfId="0" applyFont="1" applyFill="1" applyBorder="1" applyAlignment="1">
      <alignment horizontal="center"/>
    </xf>
    <xf numFmtId="0" fontId="17" fillId="3" borderId="3" xfId="0" applyFont="1" applyFill="1" applyBorder="1" applyAlignment="1">
      <alignment horizontal="center"/>
    </xf>
    <xf numFmtId="0" fontId="7" fillId="0" borderId="1" xfId="0" applyFont="1" applyBorder="1" applyAlignment="1">
      <alignment vertical="top"/>
    </xf>
    <xf numFmtId="0" fontId="18" fillId="0" borderId="1" xfId="1" applyBorder="1" applyAlignment="1">
      <alignment horizontal="center" wrapText="1"/>
    </xf>
    <xf numFmtId="0" fontId="7" fillId="0" borderId="1" xfId="0" applyFont="1" applyBorder="1" applyAlignment="1">
      <alignment vertical="center"/>
    </xf>
    <xf numFmtId="0" fontId="5" fillId="0" borderId="1" xfId="0" applyFont="1" applyBorder="1" applyAlignment="1">
      <alignment horizontal="left"/>
    </xf>
    <xf numFmtId="0" fontId="11" fillId="5" borderId="1" xfId="0" applyFont="1" applyFill="1" applyBorder="1" applyAlignment="1">
      <alignment horizontal="left"/>
    </xf>
    <xf numFmtId="0" fontId="14" fillId="0" borderId="1" xfId="0" applyFont="1" applyBorder="1" applyAlignment="1">
      <alignment horizontal="left" wrapText="1"/>
    </xf>
    <xf numFmtId="0" fontId="7" fillId="0" borderId="1" xfId="0" applyFont="1" applyBorder="1" applyAlignment="1">
      <alignment horizontal="left" wrapText="1"/>
    </xf>
    <xf numFmtId="0" fontId="7" fillId="0" borderId="1" xfId="0" applyFont="1" applyBorder="1" applyAlignment="1">
      <alignment horizontal="left" vertical="center"/>
    </xf>
    <xf numFmtId="0" fontId="0" fillId="0" borderId="0" xfId="0" applyAlignment="1">
      <alignment horizontal="left"/>
    </xf>
    <xf numFmtId="0" fontId="4" fillId="2" borderId="0" xfId="0" applyFont="1" applyFill="1" applyAlignment="1">
      <alignment horizontal="right" wrapText="1"/>
    </xf>
    <xf numFmtId="0" fontId="4" fillId="2" borderId="1" xfId="0" applyFont="1" applyFill="1" applyBorder="1" applyAlignment="1">
      <alignment horizontal="right" wrapText="1"/>
    </xf>
    <xf numFmtId="164" fontId="7" fillId="0" borderId="1" xfId="0" applyNumberFormat="1" applyFont="1" applyBorder="1" applyAlignment="1">
      <alignment horizontal="right"/>
    </xf>
    <xf numFmtId="164" fontId="5" fillId="3" borderId="1" xfId="0" applyNumberFormat="1" applyFont="1" applyFill="1" applyBorder="1" applyAlignment="1">
      <alignment horizontal="right"/>
    </xf>
    <xf numFmtId="0" fontId="7" fillId="0" borderId="0" xfId="0" applyFont="1" applyAlignment="1">
      <alignment horizontal="right"/>
    </xf>
    <xf numFmtId="0" fontId="0" fillId="0" borderId="0" xfId="0" applyAlignment="1">
      <alignment horizontal="right"/>
    </xf>
    <xf numFmtId="0" fontId="4" fillId="2" borderId="0" xfId="0" applyFont="1" applyFill="1" applyAlignment="1">
      <alignment horizontal="center"/>
    </xf>
    <xf numFmtId="0" fontId="4" fillId="2" borderId="1" xfId="0" applyFont="1" applyFill="1" applyBorder="1" applyAlignment="1">
      <alignment horizontal="center"/>
    </xf>
    <xf numFmtId="0" fontId="12" fillId="5" borderId="1" xfId="0" applyFont="1" applyFill="1" applyBorder="1" applyAlignment="1">
      <alignment horizontal="left"/>
    </xf>
    <xf numFmtId="0" fontId="12" fillId="3" borderId="1" xfId="0" applyFont="1" applyFill="1" applyBorder="1" applyAlignment="1">
      <alignment horizontal="left"/>
    </xf>
    <xf numFmtId="0" fontId="0" fillId="0" borderId="1" xfId="0" applyBorder="1"/>
    <xf numFmtId="0" fontId="4" fillId="2" borderId="2" xfId="0" applyFont="1" applyFill="1" applyBorder="1" applyAlignment="1">
      <alignment horizontal="center" wrapText="1"/>
    </xf>
    <xf numFmtId="0" fontId="7" fillId="0" borderId="6" xfId="0" applyFont="1" applyBorder="1" applyAlignment="1">
      <alignment wrapText="1"/>
    </xf>
    <xf numFmtId="0" fontId="0" fillId="0" borderId="1" xfId="0" applyBorder="1" applyAlignment="1">
      <alignment horizontal="left"/>
    </xf>
    <xf numFmtId="0" fontId="0" fillId="0" borderId="1" xfId="0" applyBorder="1" applyAlignment="1">
      <alignment horizontal="left" vertical="center"/>
    </xf>
    <xf numFmtId="0" fontId="7" fillId="0" borderId="3" xfId="0" applyFont="1" applyBorder="1" applyAlignment="1">
      <alignment horizontal="center"/>
    </xf>
    <xf numFmtId="0" fontId="19" fillId="0" borderId="1" xfId="0" applyFont="1" applyBorder="1"/>
    <xf numFmtId="14" fontId="19" fillId="0" borderId="1" xfId="0" applyNumberFormat="1" applyFont="1" applyBorder="1"/>
    <xf numFmtId="14" fontId="19" fillId="0" borderId="1" xfId="0" applyNumberFormat="1" applyFont="1" applyBorder="1" applyAlignment="1">
      <alignment horizontal="right"/>
    </xf>
    <xf numFmtId="0" fontId="20" fillId="0" borderId="1" xfId="0" applyFont="1" applyBorder="1" applyAlignment="1">
      <alignment wrapText="1"/>
    </xf>
    <xf numFmtId="0" fontId="22" fillId="2" borderId="2" xfId="0" applyFont="1" applyFill="1" applyBorder="1" applyAlignment="1">
      <alignment horizontal="left" wrapText="1"/>
    </xf>
    <xf numFmtId="0" fontId="22" fillId="2" borderId="2" xfId="0" applyFont="1" applyFill="1" applyBorder="1" applyAlignment="1">
      <alignment horizontal="center"/>
    </xf>
    <xf numFmtId="0" fontId="22" fillId="2" borderId="2" xfId="0" applyFont="1" applyFill="1" applyBorder="1" applyAlignment="1">
      <alignment horizontal="center" wrapText="1"/>
    </xf>
    <xf numFmtId="0" fontId="22" fillId="2" borderId="2" xfId="0" applyFont="1" applyFill="1" applyBorder="1" applyAlignment="1">
      <alignment horizontal="right" wrapText="1"/>
    </xf>
    <xf numFmtId="0" fontId="22" fillId="4" borderId="2" xfId="0" applyFont="1" applyFill="1" applyBorder="1" applyAlignment="1">
      <alignment horizontal="center" wrapText="1"/>
    </xf>
    <xf numFmtId="0" fontId="6" fillId="0" borderId="1" xfId="0" applyFont="1" applyBorder="1" applyAlignment="1">
      <alignment horizontal="left"/>
    </xf>
    <xf numFmtId="0" fontId="23" fillId="3" borderId="1" xfId="0" applyFont="1" applyFill="1" applyBorder="1" applyAlignment="1">
      <alignment vertical="center"/>
    </xf>
    <xf numFmtId="0" fontId="23" fillId="3" borderId="1" xfId="0" applyFont="1" applyFill="1" applyBorder="1" applyAlignment="1">
      <alignment horizontal="center" vertical="center" wrapText="1"/>
    </xf>
    <xf numFmtId="0" fontId="23" fillId="3" borderId="1" xfId="0" applyFont="1" applyFill="1" applyBorder="1" applyAlignment="1">
      <alignment horizontal="center" vertical="top" wrapText="1"/>
    </xf>
    <xf numFmtId="0" fontId="6" fillId="0" borderId="1" xfId="0" applyFont="1" applyBorder="1" applyAlignment="1">
      <alignment horizontal="center" vertical="center"/>
    </xf>
    <xf numFmtId="0" fontId="6" fillId="0" borderId="1" xfId="0" applyFont="1" applyBorder="1" applyAlignment="1">
      <alignment horizontal="center"/>
    </xf>
    <xf numFmtId="15" fontId="6" fillId="0" borderId="1" xfId="0" applyNumberFormat="1" applyFont="1" applyBorder="1" applyAlignment="1">
      <alignment horizontal="right"/>
    </xf>
    <xf numFmtId="0" fontId="6" fillId="0" borderId="1" xfId="0" applyFont="1" applyBorder="1" applyAlignment="1">
      <alignment horizontal="center" wrapText="1"/>
    </xf>
    <xf numFmtId="0" fontId="6" fillId="0" borderId="1" xfId="0" applyFont="1" applyBorder="1" applyAlignment="1">
      <alignment wrapText="1"/>
    </xf>
    <xf numFmtId="15" fontId="6" fillId="0" borderId="1" xfId="0" applyNumberFormat="1" applyFont="1" applyBorder="1" applyAlignment="1">
      <alignment wrapText="1"/>
    </xf>
    <xf numFmtId="0" fontId="6" fillId="0" borderId="1" xfId="0" applyFont="1" applyBorder="1" applyAlignment="1">
      <alignment vertical="center"/>
    </xf>
    <xf numFmtId="0" fontId="6" fillId="0" borderId="1" xfId="0" applyFont="1" applyBorder="1" applyAlignment="1">
      <alignment horizontal="center" vertical="center" wrapText="1"/>
    </xf>
    <xf numFmtId="14" fontId="6" fillId="0" borderId="1" xfId="0" applyNumberFormat="1" applyFont="1" applyBorder="1" applyAlignment="1">
      <alignment horizontal="right"/>
    </xf>
    <xf numFmtId="0" fontId="24" fillId="3" borderId="1" xfId="0" applyFont="1" applyFill="1" applyBorder="1"/>
    <xf numFmtId="0" fontId="6" fillId="0" borderId="1" xfId="0" applyFont="1" applyBorder="1" applyAlignment="1">
      <alignment horizontal="left" vertical="center"/>
    </xf>
    <xf numFmtId="0" fontId="25" fillId="0" borderId="0" xfId="0" applyFont="1"/>
    <xf numFmtId="0" fontId="24" fillId="0" borderId="1" xfId="0" applyFont="1" applyBorder="1"/>
    <xf numFmtId="0" fontId="0" fillId="0" borderId="1" xfId="0" applyBorder="1" applyAlignment="1">
      <alignment horizontal="left" vertical="center" wrapText="1"/>
    </xf>
    <xf numFmtId="0" fontId="0" fillId="0" borderId="1" xfId="0" applyBorder="1" applyAlignment="1">
      <alignment horizontal="center"/>
    </xf>
    <xf numFmtId="14" fontId="0" fillId="0" borderId="1" xfId="0" applyNumberFormat="1" applyBorder="1" applyAlignment="1">
      <alignment horizontal="right"/>
    </xf>
    <xf numFmtId="14" fontId="0" fillId="0" borderId="1" xfId="0" applyNumberFormat="1" applyBorder="1"/>
    <xf numFmtId="14" fontId="0" fillId="0" borderId="0" xfId="0" applyNumberFormat="1" applyAlignment="1">
      <alignment horizontal="right"/>
    </xf>
    <xf numFmtId="14" fontId="0" fillId="0" borderId="0" xfId="0" applyNumberFormat="1"/>
    <xf numFmtId="0" fontId="6" fillId="0" borderId="1" xfId="0" applyFont="1" applyBorder="1" applyAlignment="1">
      <alignment horizontal="left" wrapText="1"/>
    </xf>
    <xf numFmtId="0" fontId="8" fillId="3" borderId="1" xfId="0" applyFont="1" applyFill="1" applyBorder="1" applyAlignment="1">
      <alignment vertical="center"/>
    </xf>
    <xf numFmtId="0" fontId="7" fillId="0" borderId="8" xfId="0" applyFont="1" applyBorder="1" applyAlignment="1">
      <alignment horizontal="right"/>
    </xf>
    <xf numFmtId="0" fontId="7" fillId="0" borderId="6" xfId="0" applyFont="1" applyBorder="1"/>
    <xf numFmtId="0" fontId="21" fillId="0" borderId="5" xfId="0" applyFont="1" applyBorder="1" applyAlignment="1">
      <alignment horizontal="center"/>
    </xf>
    <xf numFmtId="0" fontId="21" fillId="0" borderId="5" xfId="0" applyFont="1" applyBorder="1" applyAlignment="1">
      <alignment horizontal="center" wrapText="1"/>
    </xf>
    <xf numFmtId="0" fontId="7" fillId="0" borderId="5" xfId="0" applyFont="1" applyBorder="1" applyAlignment="1">
      <alignment horizontal="center"/>
    </xf>
    <xf numFmtId="0" fontId="7" fillId="0" borderId="5" xfId="0" applyFont="1" applyBorder="1" applyAlignment="1">
      <alignment horizontal="center" wrapText="1"/>
    </xf>
    <xf numFmtId="0" fontId="7" fillId="0" borderId="8" xfId="0" applyFont="1" applyBorder="1" applyAlignment="1">
      <alignment wrapText="1"/>
    </xf>
    <xf numFmtId="0" fontId="19" fillId="0" borderId="1" xfId="0" applyFont="1" applyBorder="1" applyAlignment="1">
      <alignment horizontal="left" vertical="center" wrapText="1"/>
    </xf>
    <xf numFmtId="14" fontId="7" fillId="0" borderId="1" xfId="0" applyNumberFormat="1" applyFont="1" applyBorder="1" applyAlignment="1">
      <alignment horizontal="right"/>
    </xf>
    <xf numFmtId="0" fontId="7" fillId="0" borderId="3" xfId="0" applyFont="1" applyBorder="1"/>
    <xf numFmtId="0" fontId="7" fillId="0" borderId="3" xfId="0" applyFont="1" applyBorder="1" applyAlignment="1">
      <alignment wrapText="1"/>
    </xf>
    <xf numFmtId="0" fontId="7" fillId="0" borderId="3" xfId="0" applyFont="1" applyBorder="1" applyAlignment="1">
      <alignment horizontal="left"/>
    </xf>
    <xf numFmtId="0" fontId="28" fillId="0" borderId="1" xfId="0" applyFont="1" applyBorder="1"/>
    <xf numFmtId="0" fontId="7" fillId="0" borderId="5" xfId="0" applyFont="1" applyBorder="1"/>
    <xf numFmtId="0" fontId="19" fillId="0" borderId="5" xfId="0" applyFont="1" applyBorder="1"/>
    <xf numFmtId="14" fontId="19" fillId="0" borderId="6" xfId="0" applyNumberFormat="1" applyFont="1" applyBorder="1"/>
    <xf numFmtId="14" fontId="7" fillId="0" borderId="6" xfId="0" applyNumberFormat="1" applyFont="1" applyBorder="1" applyAlignment="1">
      <alignment wrapText="1"/>
    </xf>
    <xf numFmtId="0" fontId="7" fillId="0" borderId="7" xfId="0" applyFont="1" applyBorder="1" applyAlignment="1">
      <alignment wrapText="1"/>
    </xf>
    <xf numFmtId="0" fontId="7" fillId="0" borderId="6" xfId="0" applyFont="1" applyBorder="1" applyAlignment="1">
      <alignment horizontal="center"/>
    </xf>
    <xf numFmtId="0" fontId="7" fillId="0" borderId="2" xfId="0" applyFont="1" applyBorder="1" applyAlignment="1">
      <alignment horizontal="center"/>
    </xf>
    <xf numFmtId="0" fontId="18" fillId="0" borderId="5" xfId="1" applyBorder="1" applyAlignment="1">
      <alignment horizontal="center" wrapText="1"/>
    </xf>
    <xf numFmtId="0" fontId="20" fillId="0" borderId="1" xfId="0" applyFont="1" applyBorder="1" applyAlignment="1">
      <alignment horizontal="center"/>
    </xf>
    <xf numFmtId="0" fontId="20" fillId="0" borderId="1" xfId="0" applyFont="1" applyBorder="1" applyAlignment="1">
      <alignment horizontal="center" wrapText="1"/>
    </xf>
    <xf numFmtId="0" fontId="19" fillId="0" borderId="6" xfId="0" applyFont="1" applyBorder="1" applyAlignment="1">
      <alignment horizontal="center"/>
    </xf>
    <xf numFmtId="0" fontId="0" fillId="0" borderId="0" xfId="0" applyAlignment="1">
      <alignment horizontal="center"/>
    </xf>
    <xf numFmtId="164" fontId="7" fillId="0" borderId="1" xfId="0" applyNumberFormat="1" applyFont="1" applyBorder="1" applyAlignment="1">
      <alignment horizontal="right" wrapText="1"/>
    </xf>
    <xf numFmtId="164" fontId="13" fillId="3" borderId="1" xfId="0" applyNumberFormat="1" applyFont="1" applyFill="1" applyBorder="1" applyAlignment="1">
      <alignment horizontal="right"/>
    </xf>
    <xf numFmtId="0" fontId="7" fillId="0" borderId="1" xfId="0" applyFont="1" applyBorder="1" applyAlignment="1">
      <alignment horizontal="right" wrapText="1"/>
    </xf>
    <xf numFmtId="0" fontId="7" fillId="0" borderId="2" xfId="0" applyFont="1" applyBorder="1" applyAlignment="1">
      <alignment vertical="center"/>
    </xf>
    <xf numFmtId="0" fontId="8" fillId="3" borderId="2" xfId="0" applyFont="1" applyFill="1" applyBorder="1" applyAlignment="1">
      <alignment vertical="center"/>
    </xf>
    <xf numFmtId="0" fontId="8" fillId="3" borderId="3" xfId="0" applyFont="1" applyFill="1" applyBorder="1" applyAlignment="1">
      <alignment vertical="center"/>
    </xf>
    <xf numFmtId="0" fontId="18" fillId="0" borderId="1" xfId="1" applyBorder="1" applyAlignment="1">
      <alignment horizontal="left" wrapText="1"/>
    </xf>
    <xf numFmtId="0" fontId="6" fillId="0" borderId="1" xfId="0" applyFont="1" applyBorder="1" applyAlignment="1">
      <alignment horizontal="left" vertical="center" wrapText="1"/>
    </xf>
    <xf numFmtId="0" fontId="7" fillId="0" borderId="8" xfId="0" applyFont="1" applyBorder="1" applyAlignment="1">
      <alignment horizontal="right" vertical="center"/>
    </xf>
    <xf numFmtId="0" fontId="29" fillId="0" borderId="1" xfId="0" applyFont="1" applyBorder="1" applyAlignment="1">
      <alignment vertical="center"/>
    </xf>
    <xf numFmtId="0" fontId="21" fillId="0" borderId="5" xfId="0" applyFont="1" applyBorder="1" applyAlignment="1">
      <alignment horizontal="center" vertical="center"/>
    </xf>
    <xf numFmtId="15" fontId="6" fillId="0" borderId="1" xfId="0" applyNumberFormat="1" applyFont="1" applyBorder="1" applyAlignment="1">
      <alignment horizontal="right" vertical="center"/>
    </xf>
    <xf numFmtId="15" fontId="6" fillId="0" borderId="1" xfId="0" applyNumberFormat="1" applyFont="1" applyBorder="1" applyAlignment="1">
      <alignment vertical="center" wrapText="1"/>
    </xf>
    <xf numFmtId="0" fontId="6" fillId="0" borderId="1" xfId="0" applyFont="1" applyBorder="1" applyAlignment="1">
      <alignment vertical="center" wrapText="1"/>
    </xf>
    <xf numFmtId="0" fontId="0" fillId="0" borderId="0" xfId="0" applyAlignment="1">
      <alignment vertical="center"/>
    </xf>
    <xf numFmtId="0" fontId="19" fillId="0" borderId="0" xfId="0" applyFont="1"/>
    <xf numFmtId="0" fontId="6" fillId="8" borderId="1" xfId="0" applyFont="1" applyFill="1" applyBorder="1" applyAlignment="1">
      <alignment vertical="center"/>
    </xf>
    <xf numFmtId="14" fontId="6" fillId="0" borderId="1" xfId="0" applyNumberFormat="1" applyFont="1" applyBorder="1" applyAlignment="1">
      <alignment horizontal="center" vertical="center"/>
    </xf>
    <xf numFmtId="15" fontId="6" fillId="0" borderId="1" xfId="0" applyNumberFormat="1" applyFont="1" applyBorder="1" applyAlignment="1">
      <alignment horizontal="center" vertical="center"/>
    </xf>
    <xf numFmtId="0" fontId="23" fillId="3" borderId="1" xfId="0" applyFont="1" applyFill="1" applyBorder="1" applyAlignment="1">
      <alignment vertical="center" wrapText="1"/>
    </xf>
    <xf numFmtId="0" fontId="6" fillId="0" borderId="0" xfId="0" applyFont="1" applyAlignment="1">
      <alignment wrapText="1"/>
    </xf>
    <xf numFmtId="0" fontId="0" fillId="0" borderId="0" xfId="0" applyAlignment="1">
      <alignment wrapText="1"/>
    </xf>
    <xf numFmtId="0" fontId="21" fillId="0" borderId="4" xfId="0" applyFont="1" applyBorder="1" applyAlignment="1">
      <alignment horizontal="center" wrapText="1"/>
    </xf>
    <xf numFmtId="0" fontId="0" fillId="0" borderId="5" xfId="0" applyBorder="1" applyAlignment="1">
      <alignment horizontal="left" vertical="center" wrapText="1"/>
    </xf>
    <xf numFmtId="0" fontId="21" fillId="0" borderId="9" xfId="0" applyFont="1" applyBorder="1" applyAlignment="1">
      <alignment horizontal="center" vertical="center"/>
    </xf>
    <xf numFmtId="0" fontId="29" fillId="0" borderId="1" xfId="0" applyFont="1" applyBorder="1"/>
    <xf numFmtId="0" fontId="29" fillId="0" borderId="2" xfId="0" applyFont="1" applyBorder="1" applyAlignment="1">
      <alignment vertical="center"/>
    </xf>
    <xf numFmtId="0" fontId="19" fillId="0" borderId="0" xfId="0" applyFont="1" applyAlignment="1">
      <alignment horizontal="center" vertical="center"/>
    </xf>
    <xf numFmtId="0" fontId="0" fillId="0" borderId="2" xfId="0" applyBorder="1" applyAlignment="1">
      <alignment horizontal="left" wrapText="1"/>
    </xf>
    <xf numFmtId="0" fontId="18" fillId="0" borderId="1" xfId="1" applyBorder="1" applyAlignment="1">
      <alignment horizontal="center" vertical="center" wrapText="1"/>
    </xf>
    <xf numFmtId="0" fontId="28" fillId="0" borderId="0" xfId="0" applyFont="1"/>
    <xf numFmtId="0" fontId="4" fillId="2" borderId="9" xfId="0" applyFont="1" applyFill="1" applyBorder="1" applyAlignment="1">
      <alignment horizontal="center" wrapText="1"/>
    </xf>
    <xf numFmtId="0" fontId="4" fillId="2" borderId="9" xfId="0" applyFont="1" applyFill="1" applyBorder="1" applyAlignment="1">
      <alignment wrapText="1"/>
    </xf>
    <xf numFmtId="0" fontId="4" fillId="6" borderId="9" xfId="0" applyFont="1" applyFill="1" applyBorder="1" applyAlignment="1">
      <alignment horizontal="center" wrapText="1"/>
    </xf>
    <xf numFmtId="0" fontId="4" fillId="4" borderId="9" xfId="0" applyFont="1" applyFill="1" applyBorder="1" applyAlignment="1">
      <alignment horizontal="center" wrapText="1"/>
    </xf>
    <xf numFmtId="0" fontId="7" fillId="0" borderId="8" xfId="0" applyFont="1" applyBorder="1" applyAlignment="1">
      <alignment horizontal="left" vertical="center"/>
    </xf>
    <xf numFmtId="0" fontId="8" fillId="3" borderId="2" xfId="0" applyFont="1" applyFill="1" applyBorder="1" applyAlignment="1">
      <alignment horizontal="left" vertical="center"/>
    </xf>
    <xf numFmtId="0" fontId="21" fillId="0" borderId="5" xfId="0" applyFont="1" applyBorder="1" applyAlignment="1">
      <alignment horizontal="left" vertical="center"/>
    </xf>
    <xf numFmtId="0" fontId="23" fillId="3" borderId="1" xfId="0" applyFont="1" applyFill="1" applyBorder="1" applyAlignment="1">
      <alignment horizontal="left" vertical="center" wrapText="1"/>
    </xf>
    <xf numFmtId="14" fontId="6" fillId="0" borderId="1" xfId="0" applyNumberFormat="1" applyFont="1" applyBorder="1" applyAlignment="1">
      <alignment horizontal="left" vertical="center"/>
    </xf>
    <xf numFmtId="14" fontId="6" fillId="0" borderId="6" xfId="0" applyNumberFormat="1" applyFont="1" applyBorder="1" applyAlignment="1">
      <alignment horizontal="left" vertical="center"/>
    </xf>
    <xf numFmtId="0" fontId="31" fillId="0" borderId="1" xfId="0" applyFont="1" applyBorder="1" applyAlignment="1">
      <alignment horizontal="left"/>
    </xf>
    <xf numFmtId="0" fontId="6" fillId="8" borderId="1" xfId="0" applyFont="1" applyFill="1" applyBorder="1" applyAlignment="1">
      <alignment horizontal="left" vertical="center"/>
    </xf>
    <xf numFmtId="0" fontId="21" fillId="0" borderId="9" xfId="0" applyFont="1" applyBorder="1" applyAlignment="1">
      <alignment horizontal="left" vertical="center"/>
    </xf>
    <xf numFmtId="15" fontId="6" fillId="0" borderId="1" xfId="0" applyNumberFormat="1" applyFont="1" applyBorder="1" applyAlignment="1">
      <alignment horizontal="left" vertical="center"/>
    </xf>
    <xf numFmtId="0" fontId="31" fillId="0" borderId="0" xfId="0" applyFont="1" applyAlignment="1">
      <alignment horizontal="left"/>
    </xf>
    <xf numFmtId="15" fontId="6" fillId="0" borderId="1" xfId="0" applyNumberFormat="1" applyFont="1" applyBorder="1" applyAlignment="1">
      <alignment horizontal="left" vertical="center" wrapText="1"/>
    </xf>
    <xf numFmtId="0" fontId="6" fillId="0" borderId="2" xfId="0" applyFont="1" applyBorder="1" applyAlignment="1">
      <alignment horizontal="left" vertical="center"/>
    </xf>
    <xf numFmtId="0" fontId="7" fillId="0" borderId="8" xfId="0" applyFont="1" applyBorder="1" applyAlignment="1">
      <alignment horizontal="left"/>
    </xf>
    <xf numFmtId="0" fontId="18" fillId="0" borderId="0" xfId="1" applyAlignment="1">
      <alignment horizontal="left" wrapText="1"/>
    </xf>
    <xf numFmtId="0" fontId="6" fillId="8" borderId="6" xfId="0" applyFont="1" applyFill="1" applyBorder="1" applyAlignment="1">
      <alignment horizontal="left" vertical="center"/>
    </xf>
    <xf numFmtId="0" fontId="30" fillId="0" borderId="1" xfId="0" applyFont="1" applyBorder="1" applyAlignment="1">
      <alignment horizontal="left" wrapText="1"/>
    </xf>
    <xf numFmtId="0" fontId="8" fillId="3" borderId="2" xfId="0" applyFont="1" applyFill="1" applyBorder="1" applyAlignment="1">
      <alignment horizontal="left" vertical="center" wrapText="1"/>
    </xf>
    <xf numFmtId="0" fontId="18" fillId="0" borderId="1" xfId="1" applyBorder="1" applyAlignment="1">
      <alignment horizontal="left" vertical="center" wrapText="1"/>
    </xf>
    <xf numFmtId="0" fontId="30" fillId="0" borderId="0" xfId="0" applyFont="1" applyAlignment="1">
      <alignment horizontal="left" wrapText="1"/>
    </xf>
    <xf numFmtId="0" fontId="31" fillId="0" borderId="0" xfId="0" applyFont="1"/>
    <xf numFmtId="0" fontId="6" fillId="0" borderId="1" xfId="0" applyFont="1" applyBorder="1" applyAlignment="1">
      <alignment horizontal="left" vertical="top" wrapText="1"/>
    </xf>
    <xf numFmtId="0" fontId="8" fillId="3" borderId="1" xfId="0" applyFont="1" applyFill="1" applyBorder="1" applyAlignment="1">
      <alignment horizontal="center" vertical="center"/>
    </xf>
    <xf numFmtId="0" fontId="0" fillId="0" borderId="0" xfId="0" applyAlignment="1">
      <alignment horizontal="center" vertical="center"/>
    </xf>
    <xf numFmtId="0" fontId="5" fillId="0" borderId="1" xfId="0" applyFont="1" applyBorder="1" applyAlignment="1">
      <alignment wrapText="1"/>
    </xf>
    <xf numFmtId="0" fontId="0" fillId="0" borderId="1" xfId="0" applyBorder="1" applyAlignment="1">
      <alignment horizontal="left" vertical="top" wrapText="1"/>
    </xf>
    <xf numFmtId="0" fontId="4" fillId="2" borderId="0" xfId="0" applyFont="1" applyFill="1" applyAlignment="1">
      <alignment horizontal="center" vertical="center" wrapText="1"/>
    </xf>
    <xf numFmtId="0" fontId="7" fillId="0" borderId="1" xfId="0" applyFont="1" applyBorder="1" applyAlignment="1">
      <alignment horizontal="center" vertical="center"/>
    </xf>
    <xf numFmtId="0" fontId="0" fillId="0" borderId="1" xfId="0" applyBorder="1" applyAlignment="1">
      <alignment horizontal="left" wrapText="1"/>
    </xf>
    <xf numFmtId="0" fontId="19" fillId="0" borderId="1" xfId="0" applyFont="1" applyBorder="1" applyAlignment="1">
      <alignment vertical="center"/>
    </xf>
    <xf numFmtId="0" fontId="4" fillId="2" borderId="0" xfId="0" applyFont="1" applyFill="1" applyAlignment="1">
      <alignment vertical="center" wrapText="1"/>
    </xf>
    <xf numFmtId="0" fontId="22" fillId="2" borderId="2" xfId="0" applyFont="1" applyFill="1" applyBorder="1" applyAlignment="1">
      <alignment vertical="center" wrapText="1"/>
    </xf>
    <xf numFmtId="0" fontId="8" fillId="3" borderId="1" xfId="0" applyFont="1" applyFill="1" applyBorder="1" applyAlignment="1">
      <alignment horizontal="left" vertical="center"/>
    </xf>
    <xf numFmtId="0" fontId="21" fillId="0" borderId="1" xfId="0" applyFont="1" applyBorder="1" applyAlignment="1">
      <alignment horizontal="left" vertical="center"/>
    </xf>
    <xf numFmtId="0" fontId="21" fillId="0" borderId="1" xfId="0" applyFont="1" applyBorder="1" applyAlignment="1">
      <alignment horizontal="left" vertical="center" wrapText="1"/>
    </xf>
    <xf numFmtId="0" fontId="4" fillId="2" borderId="2" xfId="0" applyFont="1" applyFill="1" applyBorder="1" applyAlignment="1">
      <alignment horizontal="center" vertical="center" wrapText="1"/>
    </xf>
    <xf numFmtId="0" fontId="7" fillId="0" borderId="3" xfId="0" applyFont="1" applyBorder="1" applyAlignment="1">
      <alignment horizontal="center" vertical="center"/>
    </xf>
    <xf numFmtId="0" fontId="4" fillId="2" borderId="2" xfId="0" applyFont="1" applyFill="1" applyBorder="1" applyAlignment="1">
      <alignment horizontal="left" wrapText="1"/>
    </xf>
    <xf numFmtId="0" fontId="7" fillId="0" borderId="0" xfId="0" applyFont="1" applyAlignment="1">
      <alignment horizontal="left"/>
    </xf>
    <xf numFmtId="0" fontId="4" fillId="2" borderId="0" xfId="0" applyFont="1" applyFill="1" applyAlignment="1">
      <alignment wrapText="1"/>
    </xf>
    <xf numFmtId="0" fontId="4" fillId="2" borderId="1" xfId="0" applyFont="1" applyFill="1" applyBorder="1" applyAlignment="1">
      <alignment wrapText="1"/>
    </xf>
    <xf numFmtId="0" fontId="22" fillId="2" borderId="2" xfId="0" applyFont="1" applyFill="1" applyBorder="1" applyAlignment="1">
      <alignment wrapText="1"/>
    </xf>
    <xf numFmtId="0" fontId="18" fillId="0" borderId="1" xfId="1" applyBorder="1" applyAlignment="1">
      <alignment wrapText="1"/>
    </xf>
    <xf numFmtId="15" fontId="6" fillId="0" borderId="1" xfId="0" applyNumberFormat="1" applyFont="1" applyBorder="1" applyAlignment="1">
      <alignment vertical="center"/>
    </xf>
    <xf numFmtId="0" fontId="31" fillId="0" borderId="1" xfId="0" applyFont="1" applyBorder="1"/>
    <xf numFmtId="0" fontId="0" fillId="0" borderId="1" xfId="0" applyBorder="1" applyAlignment="1">
      <alignment vertical="center"/>
    </xf>
    <xf numFmtId="0" fontId="24" fillId="0" borderId="1" xfId="0" applyFont="1" applyBorder="1" applyAlignment="1">
      <alignment vertical="center"/>
    </xf>
    <xf numFmtId="0" fontId="18" fillId="0" borderId="1" xfId="1" applyBorder="1" applyAlignment="1">
      <alignment vertical="center" wrapText="1"/>
    </xf>
    <xf numFmtId="14" fontId="0" fillId="0" borderId="1" xfId="0" applyNumberFormat="1" applyBorder="1" applyAlignment="1">
      <alignment vertical="center"/>
    </xf>
    <xf numFmtId="14" fontId="6" fillId="0" borderId="1" xfId="0" applyNumberFormat="1" applyFont="1" applyBorder="1" applyAlignment="1">
      <alignment vertical="center"/>
    </xf>
    <xf numFmtId="0" fontId="7" fillId="0" borderId="3" xfId="0" applyFont="1" applyBorder="1" applyAlignment="1">
      <alignment vertical="center"/>
    </xf>
    <xf numFmtId="0" fontId="4" fillId="4" borderId="0" xfId="0" applyFont="1" applyFill="1" applyAlignment="1">
      <alignment wrapText="1"/>
    </xf>
    <xf numFmtId="0" fontId="22" fillId="4" borderId="2" xfId="0" applyFont="1" applyFill="1" applyBorder="1" applyAlignment="1">
      <alignment wrapText="1"/>
    </xf>
    <xf numFmtId="0" fontId="30" fillId="0" borderId="1" xfId="0" applyFont="1" applyBorder="1" applyAlignment="1">
      <alignment wrapText="1"/>
    </xf>
    <xf numFmtId="0" fontId="23" fillId="3" borderId="1" xfId="0" applyFont="1" applyFill="1" applyBorder="1" applyAlignment="1">
      <alignment horizontal="right" wrapText="1"/>
    </xf>
    <xf numFmtId="0" fontId="6" fillId="0" borderId="1" xfId="0" applyFont="1" applyBorder="1" applyAlignment="1">
      <alignment horizontal="right" wrapText="1"/>
    </xf>
    <xf numFmtId="0" fontId="7" fillId="0" borderId="3" xfId="0" applyFont="1" applyBorder="1" applyAlignment="1">
      <alignment horizontal="right" wrapText="1"/>
    </xf>
    <xf numFmtId="0" fontId="7" fillId="0" borderId="0" xfId="0" applyFont="1" applyAlignment="1">
      <alignment horizontal="right" wrapText="1"/>
    </xf>
    <xf numFmtId="0" fontId="0" fillId="0" borderId="1" xfId="0" applyBorder="1" applyAlignment="1">
      <alignment wrapText="1"/>
    </xf>
    <xf numFmtId="0" fontId="0" fillId="0" borderId="2" xfId="0" applyBorder="1" applyAlignment="1">
      <alignment horizontal="left"/>
    </xf>
    <xf numFmtId="0" fontId="0" fillId="0" borderId="2" xfId="0" applyBorder="1"/>
    <xf numFmtId="0" fontId="7" fillId="0" borderId="2" xfId="0" applyFont="1" applyBorder="1"/>
    <xf numFmtId="0" fontId="7" fillId="0" borderId="2" xfId="0" applyFont="1" applyBorder="1" applyAlignment="1">
      <alignment horizontal="left"/>
    </xf>
    <xf numFmtId="0" fontId="7" fillId="0" borderId="2" xfId="0" applyFont="1" applyBorder="1" applyAlignment="1">
      <alignment horizontal="center" vertical="center"/>
    </xf>
    <xf numFmtId="0" fontId="7" fillId="0" borderId="11" xfId="0" applyFont="1" applyBorder="1" applyAlignment="1">
      <alignment wrapText="1"/>
    </xf>
    <xf numFmtId="0" fontId="7" fillId="0" borderId="2" xfId="0" applyFont="1" applyBorder="1" applyAlignment="1">
      <alignment wrapText="1"/>
    </xf>
    <xf numFmtId="0" fontId="7" fillId="0" borderId="2" xfId="0" applyFont="1" applyBorder="1" applyAlignment="1">
      <alignment horizontal="right" wrapText="1"/>
    </xf>
    <xf numFmtId="0" fontId="7" fillId="0" borderId="1" xfId="0" applyFont="1" applyBorder="1" applyAlignment="1">
      <alignment horizontal="left" vertical="center" wrapText="1"/>
    </xf>
    <xf numFmtId="0" fontId="0" fillId="0" borderId="3" xfId="0" applyBorder="1"/>
    <xf numFmtId="0" fontId="0" fillId="0" borderId="5" xfId="0" applyBorder="1"/>
    <xf numFmtId="0" fontId="0" fillId="0" borderId="1" xfId="0" applyBorder="1" applyAlignment="1">
      <alignment horizontal="center" vertical="center"/>
    </xf>
    <xf numFmtId="0" fontId="0" fillId="0" borderId="2" xfId="0" applyBorder="1" applyAlignment="1">
      <alignment vertical="center"/>
    </xf>
    <xf numFmtId="0" fontId="7" fillId="0" borderId="1" xfId="0" applyFont="1" applyBorder="1" applyAlignment="1">
      <alignment horizontal="right" vertical="center" wrapText="1"/>
    </xf>
    <xf numFmtId="0" fontId="18" fillId="0" borderId="1" xfId="1" applyBorder="1" applyAlignment="1">
      <alignment vertical="top" wrapText="1"/>
    </xf>
    <xf numFmtId="14" fontId="7" fillId="0" borderId="1" xfId="0" applyNumberFormat="1" applyFont="1" applyBorder="1" applyAlignment="1">
      <alignment vertical="center"/>
    </xf>
    <xf numFmtId="14" fontId="19" fillId="0" borderId="1" xfId="0" applyNumberFormat="1" applyFont="1" applyBorder="1" applyAlignment="1">
      <alignment vertical="center"/>
    </xf>
    <xf numFmtId="0" fontId="4" fillId="2" borderId="1" xfId="0" applyFont="1" applyFill="1" applyBorder="1" applyAlignment="1">
      <alignment horizontal="center" vertical="center" wrapText="1"/>
    </xf>
    <xf numFmtId="0" fontId="22" fillId="2" borderId="1" xfId="0" applyFont="1" applyFill="1" applyBorder="1" applyAlignment="1">
      <alignment horizontal="left" wrapText="1"/>
    </xf>
    <xf numFmtId="0" fontId="22" fillId="2" borderId="1" xfId="0" applyFont="1" applyFill="1" applyBorder="1" applyAlignment="1">
      <alignment horizontal="center" wrapText="1"/>
    </xf>
    <xf numFmtId="0" fontId="22" fillId="2" borderId="1" xfId="0" applyFont="1" applyFill="1" applyBorder="1" applyAlignment="1">
      <alignment horizontal="right" wrapText="1"/>
    </xf>
    <xf numFmtId="0" fontId="22" fillId="2" borderId="1" xfId="0" applyFont="1" applyFill="1" applyBorder="1" applyAlignment="1">
      <alignment wrapText="1"/>
    </xf>
    <xf numFmtId="0" fontId="22" fillId="2" borderId="1" xfId="0" applyFont="1" applyFill="1" applyBorder="1" applyAlignment="1">
      <alignment vertical="center" wrapText="1"/>
    </xf>
    <xf numFmtId="0" fontId="22" fillId="4" borderId="1" xfId="0" applyFont="1" applyFill="1" applyBorder="1" applyAlignment="1">
      <alignment wrapText="1"/>
    </xf>
    <xf numFmtId="0" fontId="19" fillId="0" borderId="1" xfId="0" applyFont="1" applyBorder="1" applyAlignment="1">
      <alignment wrapText="1"/>
    </xf>
    <xf numFmtId="0" fontId="0" fillId="0" borderId="9" xfId="0" applyBorder="1"/>
    <xf numFmtId="0" fontId="4" fillId="2" borderId="2" xfId="0" applyFont="1" applyFill="1" applyBorder="1" applyAlignment="1">
      <alignment wrapText="1"/>
    </xf>
    <xf numFmtId="0" fontId="7" fillId="0" borderId="0" xfId="0" applyFont="1" applyAlignment="1">
      <alignment vertical="center"/>
    </xf>
    <xf numFmtId="0" fontId="0" fillId="0" borderId="6" xfId="0" applyBorder="1"/>
    <xf numFmtId="0" fontId="0" fillId="0" borderId="6" xfId="0" applyBorder="1" applyAlignment="1">
      <alignment vertical="center"/>
    </xf>
    <xf numFmtId="0" fontId="0" fillId="0" borderId="9" xfId="0" applyBorder="1" applyAlignment="1">
      <alignment vertical="center"/>
    </xf>
    <xf numFmtId="0" fontId="0" fillId="0" borderId="5" xfId="0" applyBorder="1" applyAlignment="1">
      <alignment vertical="center"/>
    </xf>
    <xf numFmtId="0" fontId="0" fillId="0" borderId="11" xfId="0" applyBorder="1"/>
    <xf numFmtId="0" fontId="0" fillId="0" borderId="11" xfId="0" applyBorder="1" applyAlignment="1">
      <alignment vertical="center"/>
    </xf>
    <xf numFmtId="0" fontId="7" fillId="8" borderId="1" xfId="0" applyFont="1" applyFill="1" applyBorder="1" applyAlignment="1">
      <alignment horizontal="right" wrapText="1"/>
    </xf>
    <xf numFmtId="0" fontId="7" fillId="8" borderId="1" xfId="0" applyFont="1" applyFill="1" applyBorder="1" applyAlignment="1">
      <alignment horizontal="right" vertical="center" wrapText="1"/>
    </xf>
    <xf numFmtId="0" fontId="7" fillId="9" borderId="1" xfId="0" applyFont="1" applyFill="1" applyBorder="1" applyAlignment="1">
      <alignment horizontal="right" wrapText="1"/>
    </xf>
    <xf numFmtId="14" fontId="7" fillId="0" borderId="1" xfId="0" applyNumberFormat="1" applyFont="1" applyBorder="1"/>
    <xf numFmtId="0" fontId="33" fillId="0" borderId="0" xfId="0" applyFont="1" applyAlignment="1">
      <alignment vertical="top" wrapText="1"/>
    </xf>
    <xf numFmtId="0" fontId="0" fillId="0" borderId="0" xfId="0" applyAlignment="1">
      <alignment horizontal="left" vertical="center"/>
    </xf>
    <xf numFmtId="0" fontId="0" fillId="0" borderId="2" xfId="0" applyBorder="1" applyAlignment="1">
      <alignment horizontal="left" vertical="center"/>
    </xf>
    <xf numFmtId="0" fontId="19" fillId="0" borderId="2" xfId="0" applyFont="1" applyBorder="1" applyAlignment="1">
      <alignment horizontal="left" vertical="center"/>
    </xf>
    <xf numFmtId="0" fontId="7" fillId="0" borderId="2" xfId="0" applyFont="1" applyBorder="1" applyAlignment="1">
      <alignment horizontal="left" vertical="center" wrapText="1"/>
    </xf>
    <xf numFmtId="0" fontId="0" fillId="0" borderId="3" xfId="0" applyBorder="1" applyAlignment="1">
      <alignment horizontal="left" vertical="center"/>
    </xf>
    <xf numFmtId="0" fontId="8" fillId="3" borderId="3" xfId="0" applyFont="1" applyFill="1" applyBorder="1" applyAlignment="1">
      <alignment horizontal="left" vertical="center"/>
    </xf>
    <xf numFmtId="0" fontId="7" fillId="0" borderId="3" xfId="0" applyFont="1" applyBorder="1" applyAlignment="1">
      <alignment horizontal="left" vertical="center"/>
    </xf>
    <xf numFmtId="0" fontId="5" fillId="0" borderId="3" xfId="0" applyFont="1" applyBorder="1" applyAlignment="1">
      <alignment horizontal="left" vertical="center" wrapText="1"/>
    </xf>
    <xf numFmtId="0" fontId="7" fillId="0" borderId="3" xfId="0" applyFont="1" applyBorder="1" applyAlignment="1">
      <alignment horizontal="left" vertical="center" wrapText="1"/>
    </xf>
    <xf numFmtId="0" fontId="6" fillId="0" borderId="3" xfId="0" applyFont="1" applyBorder="1" applyAlignment="1">
      <alignment horizontal="left" vertical="center"/>
    </xf>
    <xf numFmtId="14" fontId="7" fillId="0" borderId="3" xfId="0" applyNumberFormat="1" applyFont="1" applyBorder="1"/>
    <xf numFmtId="14" fontId="0" fillId="0" borderId="3" xfId="0" applyNumberFormat="1" applyBorder="1"/>
    <xf numFmtId="0" fontId="0" fillId="0" borderId="3" xfId="0" applyBorder="1" applyAlignment="1">
      <alignment vertical="center"/>
    </xf>
    <xf numFmtId="15" fontId="34" fillId="8" borderId="1" xfId="0" applyNumberFormat="1" applyFont="1" applyFill="1" applyBorder="1" applyAlignment="1">
      <alignment vertical="center"/>
    </xf>
    <xf numFmtId="0" fontId="7" fillId="0" borderId="2" xfId="0" applyFont="1" applyBorder="1" applyAlignment="1">
      <alignment horizontal="left" vertical="center"/>
    </xf>
    <xf numFmtId="0" fontId="18" fillId="0" borderId="2" xfId="1" applyBorder="1" applyAlignment="1">
      <alignment wrapText="1"/>
    </xf>
    <xf numFmtId="0" fontId="19" fillId="0" borderId="6" xfId="0" applyFont="1" applyBorder="1"/>
    <xf numFmtId="0" fontId="0" fillId="0" borderId="12" xfId="0" applyBorder="1"/>
    <xf numFmtId="0" fontId="35" fillId="0" borderId="1" xfId="0" applyFont="1" applyBorder="1"/>
    <xf numFmtId="0" fontId="36" fillId="0" borderId="1" xfId="0" applyFont="1" applyBorder="1" applyAlignment="1">
      <alignment horizontal="left" vertical="center"/>
    </xf>
    <xf numFmtId="0" fontId="37" fillId="3" borderId="1" xfId="0" applyFont="1" applyFill="1" applyBorder="1" applyAlignment="1">
      <alignment horizontal="left" vertical="center"/>
    </xf>
    <xf numFmtId="0" fontId="21" fillId="0" borderId="1" xfId="0" applyFont="1" applyBorder="1"/>
    <xf numFmtId="0" fontId="36" fillId="0" borderId="1" xfId="0" applyFont="1" applyBorder="1" applyAlignment="1">
      <alignment vertical="center"/>
    </xf>
    <xf numFmtId="0" fontId="18" fillId="0" borderId="1" xfId="1" applyBorder="1" applyAlignment="1">
      <alignment horizontal="left" vertical="top" wrapText="1"/>
    </xf>
    <xf numFmtId="0" fontId="7" fillId="0" borderId="1" xfId="0" applyFont="1" applyBorder="1" applyAlignment="1">
      <alignment vertical="top" wrapText="1"/>
    </xf>
    <xf numFmtId="0" fontId="21" fillId="0" borderId="1" xfId="0" applyFont="1" applyBorder="1" applyAlignment="1">
      <alignment vertical="top" wrapText="1"/>
    </xf>
    <xf numFmtId="14" fontId="21" fillId="0" borderId="1" xfId="0" applyNumberFormat="1" applyFont="1" applyBorder="1" applyAlignment="1">
      <alignment horizontal="left" vertical="center"/>
    </xf>
    <xf numFmtId="0" fontId="19" fillId="0" borderId="1" xfId="0" applyFont="1" applyBorder="1" applyAlignment="1">
      <alignment horizontal="left" vertical="center"/>
    </xf>
    <xf numFmtId="14" fontId="7" fillId="0" borderId="1" xfId="0" applyNumberFormat="1" applyFont="1" applyBorder="1" applyAlignment="1">
      <alignment horizontal="left" vertical="center"/>
    </xf>
    <xf numFmtId="16" fontId="7" fillId="0" borderId="1" xfId="0" applyNumberFormat="1" applyFont="1" applyBorder="1" applyAlignment="1">
      <alignment horizontal="left" vertical="center"/>
    </xf>
    <xf numFmtId="0" fontId="36" fillId="0" borderId="0" xfId="0" applyFont="1"/>
    <xf numFmtId="0" fontId="36" fillId="0" borderId="0" xfId="0" applyFont="1" applyAlignment="1">
      <alignment vertical="center"/>
    </xf>
    <xf numFmtId="0" fontId="21" fillId="0" borderId="0" xfId="0" applyFont="1" applyAlignment="1">
      <alignment vertical="center"/>
    </xf>
    <xf numFmtId="49" fontId="6" fillId="0" borderId="6" xfId="0" applyNumberFormat="1" applyFont="1" applyBorder="1" applyAlignment="1">
      <alignment horizontal="center" vertical="center"/>
    </xf>
    <xf numFmtId="49" fontId="6" fillId="0" borderId="1" xfId="0" applyNumberFormat="1" applyFont="1" applyBorder="1" applyAlignment="1">
      <alignment horizontal="center" vertical="center"/>
    </xf>
    <xf numFmtId="0" fontId="36" fillId="0" borderId="1" xfId="0" applyFont="1" applyBorder="1" applyAlignment="1">
      <alignment horizontal="left" vertical="center" wrapText="1"/>
    </xf>
    <xf numFmtId="0" fontId="0" fillId="3" borderId="1" xfId="0" applyFill="1" applyBorder="1" applyAlignment="1">
      <alignment horizontal="left" vertical="center" wrapText="1"/>
    </xf>
    <xf numFmtId="164" fontId="6" fillId="0" borderId="1" xfId="0" applyNumberFormat="1" applyFont="1" applyBorder="1" applyAlignment="1">
      <alignment horizontal="left" vertical="center"/>
    </xf>
    <xf numFmtId="0" fontId="26" fillId="3" borderId="1" xfId="0" applyFont="1" applyFill="1" applyBorder="1" applyAlignment="1">
      <alignment horizontal="left" vertical="center" wrapText="1"/>
    </xf>
    <xf numFmtId="16" fontId="0" fillId="0" borderId="1" xfId="0" applyNumberFormat="1" applyBorder="1" applyAlignment="1">
      <alignment horizontal="left" vertical="center"/>
    </xf>
    <xf numFmtId="16" fontId="27" fillId="0" borderId="1" xfId="0" applyNumberFormat="1" applyFont="1" applyBorder="1" applyAlignment="1">
      <alignment horizontal="left" vertical="center"/>
    </xf>
    <xf numFmtId="16" fontId="28" fillId="0" borderId="1" xfId="0" applyNumberFormat="1" applyFont="1" applyBorder="1" applyAlignment="1">
      <alignment horizontal="left" vertical="center"/>
    </xf>
    <xf numFmtId="0" fontId="39" fillId="0" borderId="1" xfId="0" applyFont="1" applyBorder="1" applyAlignment="1">
      <alignment vertical="center"/>
    </xf>
    <xf numFmtId="0" fontId="5" fillId="0" borderId="1" xfId="0" applyFont="1" applyBorder="1" applyAlignment="1">
      <alignment horizontal="left" vertical="center" wrapText="1"/>
    </xf>
    <xf numFmtId="0" fontId="37" fillId="3" borderId="1" xfId="0" applyFont="1" applyFill="1" applyBorder="1" applyAlignment="1">
      <alignment horizontal="left" vertical="center" wrapText="1"/>
    </xf>
    <xf numFmtId="14" fontId="19" fillId="0" borderId="1" xfId="0" applyNumberFormat="1" applyFont="1" applyBorder="1" applyAlignment="1">
      <alignment horizontal="left" vertical="center"/>
    </xf>
    <xf numFmtId="0" fontId="36" fillId="0" borderId="1" xfId="0" applyFont="1" applyBorder="1" applyAlignment="1">
      <alignment horizontal="center" vertical="center"/>
    </xf>
    <xf numFmtId="0" fontId="39" fillId="0" borderId="2" xfId="0" applyFont="1" applyBorder="1" applyAlignment="1">
      <alignment vertical="center"/>
    </xf>
    <xf numFmtId="0" fontId="21" fillId="0" borderId="1" xfId="0" applyFont="1" applyBorder="1" applyAlignment="1">
      <alignment vertical="center"/>
    </xf>
    <xf numFmtId="0" fontId="0" fillId="0" borderId="2" xfId="0" applyBorder="1" applyAlignment="1">
      <alignment horizontal="left" vertical="center" wrapText="1"/>
    </xf>
    <xf numFmtId="14" fontId="7" fillId="0" borderId="2" xfId="0" applyNumberFormat="1" applyFont="1" applyBorder="1" applyAlignment="1">
      <alignment vertical="center"/>
    </xf>
    <xf numFmtId="14" fontId="0" fillId="0" borderId="2" xfId="0" applyNumberFormat="1" applyBorder="1" applyAlignment="1">
      <alignment vertical="center"/>
    </xf>
    <xf numFmtId="14" fontId="7" fillId="0" borderId="2" xfId="0" applyNumberFormat="1" applyFont="1" applyBorder="1" applyAlignment="1">
      <alignment horizontal="left" vertical="center"/>
    </xf>
    <xf numFmtId="0" fontId="21" fillId="0" borderId="2" xfId="0" applyFont="1" applyBorder="1" applyAlignment="1">
      <alignment vertical="center"/>
    </xf>
    <xf numFmtId="0" fontId="7" fillId="0" borderId="2" xfId="0" applyFont="1" applyBorder="1" applyAlignment="1">
      <alignment horizontal="center" vertical="center" wrapText="1"/>
    </xf>
    <xf numFmtId="0" fontId="18" fillId="0" borderId="6" xfId="1" applyBorder="1" applyAlignment="1">
      <alignment vertical="top" wrapText="1"/>
    </xf>
    <xf numFmtId="0" fontId="18" fillId="0" borderId="11" xfId="1" applyBorder="1" applyAlignment="1">
      <alignment vertical="top" wrapText="1"/>
    </xf>
    <xf numFmtId="0" fontId="6" fillId="0" borderId="2" xfId="0" applyFont="1" applyBorder="1" applyAlignment="1">
      <alignment vertical="center"/>
    </xf>
    <xf numFmtId="0" fontId="7" fillId="0" borderId="2" xfId="0" applyFont="1" applyBorder="1" applyAlignment="1">
      <alignment vertical="center" wrapText="1"/>
    </xf>
    <xf numFmtId="14" fontId="21" fillId="0" borderId="2" xfId="0" applyNumberFormat="1" applyFont="1" applyBorder="1" applyAlignment="1">
      <alignment horizontal="left" vertical="center"/>
    </xf>
    <xf numFmtId="0" fontId="0" fillId="0" borderId="1" xfId="0" applyBorder="1" applyAlignment="1">
      <alignment vertical="center" wrapText="1"/>
    </xf>
    <xf numFmtId="0" fontId="36" fillId="0" borderId="2" xfId="0" applyFont="1" applyBorder="1" applyAlignment="1">
      <alignment horizontal="center" vertical="center"/>
    </xf>
    <xf numFmtId="0" fontId="7" fillId="0" borderId="0" xfId="0" applyFont="1" applyAlignment="1">
      <alignment horizontal="left" vertical="center"/>
    </xf>
    <xf numFmtId="0" fontId="39" fillId="0" borderId="0" xfId="0" applyFont="1" applyAlignment="1">
      <alignment vertical="center"/>
    </xf>
    <xf numFmtId="0" fontId="7" fillId="0" borderId="0" xfId="0" applyFont="1" applyAlignment="1">
      <alignment vertical="center" wrapText="1"/>
    </xf>
    <xf numFmtId="0" fontId="0" fillId="0" borderId="0" xfId="0" applyAlignment="1">
      <alignment vertical="center" wrapText="1"/>
    </xf>
    <xf numFmtId="0" fontId="4" fillId="2" borderId="1" xfId="0" applyFont="1" applyFill="1" applyBorder="1" applyAlignment="1">
      <alignment vertical="center" wrapText="1"/>
    </xf>
    <xf numFmtId="0" fontId="4" fillId="4" borderId="1" xfId="0" applyFont="1" applyFill="1" applyBorder="1" applyAlignment="1">
      <alignment wrapText="1"/>
    </xf>
    <xf numFmtId="165" fontId="6" fillId="0" borderId="1" xfId="0" applyNumberFormat="1" applyFont="1" applyBorder="1" applyAlignment="1">
      <alignment vertical="center"/>
    </xf>
    <xf numFmtId="14" fontId="21" fillId="0" borderId="6" xfId="0" applyNumberFormat="1" applyFont="1" applyBorder="1" applyAlignment="1">
      <alignment horizontal="left" vertical="center"/>
    </xf>
    <xf numFmtId="0" fontId="0" fillId="0" borderId="5" xfId="0" applyBorder="1" applyAlignment="1">
      <alignment wrapText="1"/>
    </xf>
    <xf numFmtId="0" fontId="0" fillId="0" borderId="2" xfId="0" applyBorder="1" applyAlignment="1">
      <alignment horizontal="center" vertical="center"/>
    </xf>
    <xf numFmtId="0" fontId="5" fillId="0" borderId="1" xfId="0" applyFont="1" applyBorder="1" applyAlignment="1">
      <alignment vertical="center" wrapText="1"/>
    </xf>
    <xf numFmtId="0" fontId="0" fillId="0" borderId="2" xfId="0" applyBorder="1" applyAlignment="1">
      <alignment vertical="center" wrapText="1"/>
    </xf>
    <xf numFmtId="0" fontId="18" fillId="0" borderId="2" xfId="1" applyBorder="1" applyAlignment="1">
      <alignment vertical="top" wrapText="1"/>
    </xf>
    <xf numFmtId="0" fontId="5" fillId="0" borderId="2" xfId="0" applyFont="1" applyBorder="1" applyAlignment="1">
      <alignment horizontal="left" vertical="center" wrapText="1"/>
    </xf>
    <xf numFmtId="14" fontId="41" fillId="0" borderId="2" xfId="0" applyNumberFormat="1" applyFont="1" applyBorder="1" applyAlignment="1">
      <alignment horizontal="left" vertical="top" wrapText="1"/>
    </xf>
    <xf numFmtId="0" fontId="0" fillId="0" borderId="2" xfId="0" applyBorder="1" applyAlignment="1">
      <alignment wrapText="1"/>
    </xf>
    <xf numFmtId="0" fontId="36" fillId="0" borderId="2" xfId="0" applyFont="1" applyBorder="1" applyAlignment="1">
      <alignment vertical="center"/>
    </xf>
    <xf numFmtId="0" fontId="19" fillId="0" borderId="0" xfId="0" applyFont="1" applyAlignment="1">
      <alignment vertical="center"/>
    </xf>
    <xf numFmtId="14" fontId="7" fillId="0" borderId="6" xfId="0" applyNumberFormat="1" applyFont="1" applyBorder="1" applyAlignment="1">
      <alignment vertical="center"/>
    </xf>
    <xf numFmtId="14" fontId="21" fillId="0" borderId="5" xfId="0" applyNumberFormat="1" applyFont="1" applyBorder="1" applyAlignment="1">
      <alignment horizontal="left" vertical="center"/>
    </xf>
    <xf numFmtId="16" fontId="28" fillId="0" borderId="2" xfId="0" applyNumberFormat="1" applyFont="1" applyBorder="1" applyAlignment="1">
      <alignment horizontal="left" vertical="center"/>
    </xf>
    <xf numFmtId="49" fontId="6" fillId="0" borderId="2" xfId="0" applyNumberFormat="1" applyFont="1" applyBorder="1" applyAlignment="1">
      <alignment horizontal="center" vertical="center"/>
    </xf>
    <xf numFmtId="0" fontId="6" fillId="0" borderId="2" xfId="0" applyFont="1" applyBorder="1" applyAlignment="1">
      <alignment vertical="center" wrapText="1"/>
    </xf>
    <xf numFmtId="165" fontId="6" fillId="0" borderId="2" xfId="0" applyNumberFormat="1" applyFont="1" applyBorder="1" applyAlignment="1">
      <alignment vertical="center"/>
    </xf>
    <xf numFmtId="14" fontId="41" fillId="0" borderId="1" xfId="0" applyNumberFormat="1" applyFont="1" applyBorder="1" applyAlignment="1">
      <alignment horizontal="left" vertical="top" wrapText="1"/>
    </xf>
    <xf numFmtId="0" fontId="43" fillId="0" borderId="1" xfId="0" applyFont="1" applyBorder="1" applyAlignment="1">
      <alignment wrapText="1"/>
    </xf>
    <xf numFmtId="0" fontId="4" fillId="2" borderId="6" xfId="0" applyFont="1" applyFill="1" applyBorder="1" applyAlignment="1">
      <alignment horizontal="center" vertical="center" wrapText="1"/>
    </xf>
    <xf numFmtId="0" fontId="36" fillId="0" borderId="11" xfId="0" applyFont="1" applyBorder="1" applyAlignment="1">
      <alignment horizontal="center" vertical="center"/>
    </xf>
    <xf numFmtId="0" fontId="4" fillId="2" borderId="2" xfId="0" applyFont="1" applyFill="1" applyBorder="1" applyAlignment="1">
      <alignment horizontal="right" wrapText="1"/>
    </xf>
    <xf numFmtId="0" fontId="4" fillId="2" borderId="2" xfId="0" applyFont="1" applyFill="1" applyBorder="1" applyAlignment="1">
      <alignment vertical="center" wrapText="1"/>
    </xf>
    <xf numFmtId="0" fontId="4" fillId="4" borderId="2" xfId="0" applyFont="1" applyFill="1" applyBorder="1" applyAlignment="1">
      <alignment wrapText="1"/>
    </xf>
    <xf numFmtId="14" fontId="0" fillId="0" borderId="2" xfId="0" applyNumberFormat="1" applyBorder="1"/>
    <xf numFmtId="0" fontId="0" fillId="0" borderId="1" xfId="0" applyBorder="1" applyAlignment="1">
      <alignment vertical="top" wrapText="1"/>
    </xf>
    <xf numFmtId="0" fontId="0" fillId="0" borderId="7" xfId="0" applyBorder="1" applyAlignment="1">
      <alignment vertical="center"/>
    </xf>
    <xf numFmtId="0" fontId="0" fillId="0" borderId="1" xfId="0" applyBorder="1" applyAlignment="1">
      <alignment horizontal="center" vertical="center" wrapText="1"/>
    </xf>
    <xf numFmtId="0" fontId="7" fillId="0" borderId="1" xfId="0" applyFont="1" applyBorder="1" applyAlignment="1">
      <alignment horizontal="left" vertical="center" wrapText="1" indent="1"/>
    </xf>
    <xf numFmtId="0" fontId="0" fillId="0" borderId="2" xfId="0" applyBorder="1" applyAlignment="1">
      <alignment vertical="top" wrapText="1"/>
    </xf>
    <xf numFmtId="0" fontId="6" fillId="0" borderId="2" xfId="0" applyFont="1" applyBorder="1" applyAlignment="1">
      <alignment horizontal="center" vertical="center"/>
    </xf>
    <xf numFmtId="0" fontId="18" fillId="0" borderId="0" xfId="1" applyAlignment="1">
      <alignment horizontal="left" vertical="top" wrapText="1"/>
    </xf>
    <xf numFmtId="0" fontId="0" fillId="0" borderId="5" xfId="0" applyBorder="1" applyAlignment="1">
      <alignment horizontal="center" vertical="center"/>
    </xf>
    <xf numFmtId="0" fontId="18" fillId="0" borderId="0" xfId="1" applyAlignment="1">
      <alignment wrapText="1"/>
    </xf>
    <xf numFmtId="14" fontId="0" fillId="0" borderId="1" xfId="0" applyNumberFormat="1" applyBorder="1" applyAlignment="1">
      <alignment horizontal="left" vertical="center"/>
    </xf>
    <xf numFmtId="14" fontId="0" fillId="0" borderId="1" xfId="0" applyNumberFormat="1" applyBorder="1" applyAlignment="1">
      <alignment horizontal="center" vertical="center"/>
    </xf>
    <xf numFmtId="0" fontId="18" fillId="0" borderId="1" xfId="1" applyBorder="1" applyAlignment="1">
      <alignment horizontal="center" vertical="top" wrapText="1"/>
    </xf>
    <xf numFmtId="0" fontId="0" fillId="0" borderId="6" xfId="0" applyBorder="1" applyAlignment="1">
      <alignment horizontal="center" vertical="center"/>
    </xf>
    <xf numFmtId="0" fontId="19" fillId="0" borderId="1" xfId="0" applyFont="1" applyBorder="1" applyAlignment="1">
      <alignment horizontal="center" vertical="center"/>
    </xf>
    <xf numFmtId="0" fontId="18" fillId="0" borderId="0" xfId="1"/>
    <xf numFmtId="0" fontId="0" fillId="0" borderId="6" xfId="0" applyBorder="1" applyAlignment="1">
      <alignment horizontal="left" vertical="center"/>
    </xf>
    <xf numFmtId="14" fontId="0" fillId="0" borderId="5" xfId="0" applyNumberFormat="1" applyBorder="1"/>
    <xf numFmtId="16" fontId="0" fillId="0" borderId="2" xfId="0" applyNumberFormat="1" applyBorder="1" applyAlignment="1">
      <alignment horizontal="left" vertical="center"/>
    </xf>
    <xf numFmtId="49" fontId="6" fillId="0" borderId="3" xfId="0" applyNumberFormat="1" applyFont="1"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wrapText="1"/>
    </xf>
    <xf numFmtId="0" fontId="44" fillId="0" borderId="0" xfId="0" applyFont="1" applyAlignment="1">
      <alignment vertical="top" wrapText="1"/>
    </xf>
    <xf numFmtId="14" fontId="0" fillId="0" borderId="9" xfId="0" applyNumberFormat="1" applyBorder="1" applyAlignment="1">
      <alignment horizontal="center" vertical="center"/>
    </xf>
    <xf numFmtId="14" fontId="0" fillId="0" borderId="2" xfId="0" applyNumberFormat="1" applyBorder="1" applyAlignment="1">
      <alignment horizontal="center" vertical="center"/>
    </xf>
    <xf numFmtId="0" fontId="0" fillId="0" borderId="11" xfId="0" applyBorder="1" applyAlignment="1">
      <alignment horizontal="center" vertical="center"/>
    </xf>
    <xf numFmtId="0" fontId="20" fillId="0" borderId="0" xfId="0" applyFont="1" applyAlignment="1">
      <alignment horizontal="center" vertical="center" wrapText="1"/>
    </xf>
    <xf numFmtId="0" fontId="0" fillId="0" borderId="6" xfId="0" applyBorder="1" applyAlignment="1">
      <alignment horizontal="left" vertical="center" wrapText="1"/>
    </xf>
    <xf numFmtId="0" fontId="0" fillId="0" borderId="6" xfId="0" applyBorder="1" applyAlignment="1">
      <alignment vertical="center" wrapText="1"/>
    </xf>
    <xf numFmtId="0" fontId="0" fillId="0" borderId="6" xfId="0" applyBorder="1" applyAlignment="1">
      <alignment wrapText="1"/>
    </xf>
    <xf numFmtId="0" fontId="4" fillId="2" borderId="13" xfId="0" applyFont="1" applyFill="1" applyBorder="1" applyAlignment="1">
      <alignment horizontal="center" vertical="center" wrapText="1"/>
    </xf>
    <xf numFmtId="0" fontId="4" fillId="2" borderId="12" xfId="0" applyFont="1" applyFill="1" applyBorder="1" applyAlignment="1">
      <alignment horizontal="center" wrapText="1"/>
    </xf>
    <xf numFmtId="0" fontId="4" fillId="2" borderId="12" xfId="0" applyFont="1" applyFill="1" applyBorder="1" applyAlignment="1">
      <alignment horizontal="left" wrapText="1"/>
    </xf>
    <xf numFmtId="0" fontId="22" fillId="2" borderId="12" xfId="0" applyFont="1" applyFill="1" applyBorder="1" applyAlignment="1">
      <alignment horizontal="left" wrapText="1"/>
    </xf>
    <xf numFmtId="0" fontId="22" fillId="2" borderId="12" xfId="0" applyFont="1" applyFill="1" applyBorder="1" applyAlignment="1">
      <alignment vertical="center" wrapText="1"/>
    </xf>
    <xf numFmtId="0" fontId="22" fillId="2" borderId="12" xfId="0" applyFont="1" applyFill="1" applyBorder="1" applyAlignment="1">
      <alignment horizontal="right" wrapText="1"/>
    </xf>
    <xf numFmtId="0" fontId="22" fillId="2" borderId="12" xfId="0" applyFont="1" applyFill="1" applyBorder="1" applyAlignment="1">
      <alignment wrapText="1"/>
    </xf>
    <xf numFmtId="0" fontId="22" fillId="4" borderId="14" xfId="0" applyFont="1" applyFill="1" applyBorder="1" applyAlignment="1">
      <alignment wrapText="1"/>
    </xf>
    <xf numFmtId="0" fontId="0" fillId="0" borderId="9" xfId="0" applyBorder="1" applyAlignment="1">
      <alignment horizontal="center"/>
    </xf>
    <xf numFmtId="0" fontId="0" fillId="0" borderId="11" xfId="0" applyBorder="1" applyAlignment="1">
      <alignment wrapText="1"/>
    </xf>
    <xf numFmtId="16" fontId="0" fillId="0" borderId="9" xfId="0" applyNumberFormat="1" applyBorder="1" applyAlignment="1">
      <alignment horizontal="left" vertical="center"/>
    </xf>
    <xf numFmtId="0" fontId="0" fillId="0" borderId="11" xfId="0" applyBorder="1" applyAlignment="1">
      <alignment horizontal="left" vertical="center" wrapText="1"/>
    </xf>
    <xf numFmtId="0" fontId="0" fillId="0" borderId="5" xfId="0" applyBorder="1" applyAlignment="1">
      <alignment horizontal="center" vertical="center" wrapText="1"/>
    </xf>
    <xf numFmtId="0" fontId="18" fillId="0" borderId="0" xfId="1" applyAlignment="1">
      <alignment vertical="top" wrapText="1"/>
    </xf>
    <xf numFmtId="0" fontId="20" fillId="0" borderId="0" xfId="0" applyFont="1" applyAlignment="1">
      <alignment wrapText="1"/>
    </xf>
    <xf numFmtId="0" fontId="0" fillId="8" borderId="2" xfId="0" applyFill="1" applyBorder="1" applyAlignment="1">
      <alignment horizontal="left" vertical="center"/>
    </xf>
    <xf numFmtId="16" fontId="28" fillId="8" borderId="2" xfId="0" applyNumberFormat="1" applyFont="1" applyFill="1" applyBorder="1" applyAlignment="1">
      <alignment horizontal="left" vertical="center"/>
    </xf>
    <xf numFmtId="0" fontId="0" fillId="8" borderId="2" xfId="0" applyFill="1" applyBorder="1" applyAlignment="1">
      <alignment horizontal="center" vertical="center"/>
    </xf>
    <xf numFmtId="49" fontId="6" fillId="8" borderId="2" xfId="0" applyNumberFormat="1" applyFont="1" applyFill="1" applyBorder="1" applyAlignment="1">
      <alignment horizontal="center" vertical="center"/>
    </xf>
    <xf numFmtId="0" fontId="6" fillId="8" borderId="2" xfId="0" applyFont="1" applyFill="1" applyBorder="1" applyAlignment="1">
      <alignment vertical="center" wrapText="1"/>
    </xf>
    <xf numFmtId="0" fontId="6" fillId="8" borderId="11" xfId="0" applyFont="1" applyFill="1" applyBorder="1" applyAlignment="1">
      <alignment vertical="center"/>
    </xf>
    <xf numFmtId="165" fontId="6" fillId="8" borderId="2" xfId="0" applyNumberFormat="1" applyFont="1" applyFill="1" applyBorder="1" applyAlignment="1">
      <alignment vertical="center"/>
    </xf>
    <xf numFmtId="0" fontId="0" fillId="0" borderId="3" xfId="0" applyBorder="1" applyAlignment="1">
      <alignment horizontal="center" vertical="center" wrapText="1"/>
    </xf>
    <xf numFmtId="0" fontId="20" fillId="0" borderId="1" xfId="0" applyFont="1" applyBorder="1" applyAlignment="1">
      <alignment horizontal="center" vertical="center" wrapText="1"/>
    </xf>
    <xf numFmtId="0" fontId="0" fillId="0" borderId="10" xfId="0" applyBorder="1" applyAlignment="1">
      <alignment horizontal="center" vertical="center" wrapText="1"/>
    </xf>
    <xf numFmtId="0" fontId="4" fillId="2" borderId="15" xfId="0" applyFont="1" applyFill="1" applyBorder="1" applyAlignment="1">
      <alignment horizontal="center" vertical="center" wrapText="1"/>
    </xf>
    <xf numFmtId="0" fontId="6" fillId="13" borderId="16" xfId="0" applyFont="1" applyFill="1" applyBorder="1" applyAlignment="1">
      <alignment horizontal="center" vertical="center"/>
    </xf>
    <xf numFmtId="14" fontId="6" fillId="13" borderId="16" xfId="0" applyNumberFormat="1" applyFont="1" applyFill="1" applyBorder="1" applyAlignment="1">
      <alignment horizontal="center" vertical="center"/>
    </xf>
    <xf numFmtId="14" fontId="0" fillId="0" borderId="5" xfId="0" applyNumberFormat="1" applyBorder="1" applyAlignment="1">
      <alignment horizontal="center" vertical="center"/>
    </xf>
    <xf numFmtId="0" fontId="0" fillId="11" borderId="0" xfId="0" applyFill="1" applyAlignment="1">
      <alignment vertical="center"/>
    </xf>
    <xf numFmtId="14" fontId="0" fillId="0" borderId="0" xfId="0" applyNumberFormat="1" applyAlignment="1">
      <alignment vertical="center"/>
    </xf>
    <xf numFmtId="0" fontId="0" fillId="12" borderId="0" xfId="0" applyFill="1" applyAlignment="1">
      <alignment vertical="center"/>
    </xf>
    <xf numFmtId="0" fontId="40" fillId="10" borderId="1" xfId="0" applyFont="1" applyFill="1" applyBorder="1" applyAlignment="1">
      <alignment horizontal="center" vertical="center" wrapText="1"/>
    </xf>
    <xf numFmtId="0" fontId="0" fillId="8" borderId="1" xfId="0" applyFill="1" applyBorder="1" applyAlignment="1">
      <alignment horizontal="left" vertical="center" wrapText="1"/>
    </xf>
    <xf numFmtId="0" fontId="38" fillId="0" borderId="1" xfId="0" applyFont="1" applyBorder="1" applyAlignment="1">
      <alignment horizontal="left" vertical="center" wrapText="1"/>
    </xf>
    <xf numFmtId="0" fontId="38" fillId="8" borderId="3" xfId="0" applyFont="1" applyFill="1" applyBorder="1" applyAlignment="1">
      <alignment horizontal="left" vertical="center" wrapText="1"/>
    </xf>
    <xf numFmtId="0" fontId="38" fillId="8" borderId="1" xfId="0" applyFont="1" applyFill="1" applyBorder="1" applyAlignment="1">
      <alignment horizontal="left" vertical="center" wrapText="1"/>
    </xf>
    <xf numFmtId="0" fontId="38" fillId="0" borderId="2" xfId="0" applyFont="1" applyBorder="1" applyAlignment="1">
      <alignment horizontal="left" vertical="center" wrapText="1"/>
    </xf>
    <xf numFmtId="0" fontId="42" fillId="0" borderId="2" xfId="0" applyFont="1" applyBorder="1" applyAlignment="1">
      <alignment vertical="center"/>
    </xf>
    <xf numFmtId="16" fontId="42" fillId="0" borderId="2" xfId="0" applyNumberFormat="1" applyFont="1" applyBorder="1" applyAlignment="1">
      <alignment horizontal="left" vertical="center"/>
    </xf>
    <xf numFmtId="0" fontId="42" fillId="0" borderId="2" xfId="0" applyFont="1" applyBorder="1" applyAlignment="1">
      <alignment horizontal="center" vertical="center"/>
    </xf>
    <xf numFmtId="0" fontId="42" fillId="0" borderId="2" xfId="0" applyFont="1" applyBorder="1" applyAlignment="1">
      <alignment vertical="center" wrapText="1"/>
    </xf>
    <xf numFmtId="0" fontId="42" fillId="0" borderId="11" xfId="0" applyFont="1" applyBorder="1" applyAlignment="1">
      <alignment vertical="center"/>
    </xf>
    <xf numFmtId="0" fontId="42" fillId="0" borderId="1" xfId="0" applyFont="1" applyBorder="1" applyAlignment="1">
      <alignment vertical="center"/>
    </xf>
    <xf numFmtId="0" fontId="42" fillId="0" borderId="0" xfId="0" applyFont="1" applyAlignment="1">
      <alignment vertical="center"/>
    </xf>
    <xf numFmtId="0" fontId="42" fillId="0" borderId="5" xfId="0" applyFont="1" applyBorder="1" applyAlignment="1">
      <alignment vertical="center"/>
    </xf>
    <xf numFmtId="0" fontId="38" fillId="8" borderId="2" xfId="0" applyFont="1" applyFill="1" applyBorder="1" applyAlignment="1">
      <alignment horizontal="left" vertical="center" wrapText="1"/>
    </xf>
    <xf numFmtId="0" fontId="0" fillId="8" borderId="0" xfId="0" applyFill="1" applyAlignment="1">
      <alignment vertical="center"/>
    </xf>
    <xf numFmtId="16" fontId="0" fillId="0" borderId="2" xfId="0" applyNumberFormat="1" applyBorder="1" applyAlignment="1">
      <alignment vertical="center"/>
    </xf>
    <xf numFmtId="16" fontId="0" fillId="0" borderId="1" xfId="0" applyNumberFormat="1" applyBorder="1" applyAlignment="1">
      <alignment vertical="center"/>
    </xf>
    <xf numFmtId="0" fontId="0" fillId="12" borderId="0" xfId="0" applyFill="1"/>
    <xf numFmtId="14" fontId="0" fillId="0" borderId="10" xfId="0" applyNumberFormat="1" applyBorder="1" applyAlignment="1">
      <alignment horizontal="center" vertical="center"/>
    </xf>
    <xf numFmtId="0" fontId="0" fillId="0" borderId="10" xfId="0" applyBorder="1" applyAlignment="1">
      <alignment vertical="center"/>
    </xf>
    <xf numFmtId="0" fontId="18" fillId="0" borderId="0" xfId="1" applyBorder="1" applyAlignment="1">
      <alignment wrapText="1"/>
    </xf>
    <xf numFmtId="0" fontId="7" fillId="13" borderId="1" xfId="0" applyFont="1" applyFill="1" applyBorder="1"/>
    <xf numFmtId="0" fontId="4" fillId="2" borderId="6" xfId="0" applyFont="1" applyFill="1" applyBorder="1" applyAlignment="1">
      <alignment horizontal="center" wrapText="1"/>
    </xf>
    <xf numFmtId="0" fontId="4" fillId="6" borderId="1" xfId="0" applyFont="1" applyFill="1" applyBorder="1" applyAlignment="1">
      <alignment horizontal="center" wrapText="1"/>
    </xf>
    <xf numFmtId="0" fontId="18" fillId="0" borderId="1" xfId="1" applyBorder="1"/>
    <xf numFmtId="0" fontId="18" fillId="10" borderId="1" xfId="1" applyFill="1" applyBorder="1"/>
    <xf numFmtId="0" fontId="7" fillId="10" borderId="1" xfId="0" applyFont="1" applyFill="1" applyBorder="1"/>
    <xf numFmtId="0" fontId="7" fillId="13" borderId="2" xfId="0" applyFont="1" applyFill="1" applyBorder="1" applyAlignment="1">
      <alignment horizontal="center" vertical="center"/>
    </xf>
    <xf numFmtId="0" fontId="18" fillId="0" borderId="2" xfId="1" applyBorder="1" applyAlignment="1">
      <alignment horizontal="left" vertical="top" wrapText="1"/>
    </xf>
    <xf numFmtId="14" fontId="0" fillId="0" borderId="2" xfId="0" applyNumberFormat="1" applyBorder="1" applyAlignment="1">
      <alignment horizontal="left" vertical="center"/>
    </xf>
    <xf numFmtId="0" fontId="6" fillId="13" borderId="9" xfId="0" applyFont="1" applyFill="1" applyBorder="1" applyAlignment="1">
      <alignment horizontal="center" vertical="center"/>
    </xf>
    <xf numFmtId="14" fontId="6" fillId="13" borderId="9" xfId="0" applyNumberFormat="1" applyFont="1" applyFill="1" applyBorder="1" applyAlignment="1">
      <alignment horizontal="center" vertical="center"/>
    </xf>
    <xf numFmtId="0" fontId="6" fillId="13" borderId="17" xfId="0" applyFont="1" applyFill="1" applyBorder="1" applyAlignment="1">
      <alignment horizontal="center" vertical="center"/>
    </xf>
    <xf numFmtId="14" fontId="6" fillId="13" borderId="17" xfId="0" applyNumberFormat="1" applyFont="1" applyFill="1" applyBorder="1" applyAlignment="1">
      <alignment horizontal="center" vertical="center"/>
    </xf>
    <xf numFmtId="0" fontId="7" fillId="13" borderId="2" xfId="0" applyFont="1" applyFill="1" applyBorder="1" applyAlignment="1">
      <alignment vertical="center"/>
    </xf>
    <xf numFmtId="49" fontId="0" fillId="0" borderId="1" xfId="0" applyNumberFormat="1" applyBorder="1" applyAlignment="1">
      <alignment horizontal="center" vertical="center"/>
    </xf>
    <xf numFmtId="49" fontId="0" fillId="0" borderId="0" xfId="0" applyNumberFormat="1" applyAlignment="1">
      <alignment vertical="center"/>
    </xf>
    <xf numFmtId="0" fontId="0" fillId="0" borderId="2" xfId="0" applyBorder="1" applyAlignment="1">
      <alignment horizontal="center" vertical="top" wrapText="1"/>
    </xf>
    <xf numFmtId="0" fontId="7" fillId="10" borderId="1" xfId="0" applyFont="1" applyFill="1" applyBorder="1" applyAlignment="1">
      <alignment horizontal="center" vertical="center"/>
    </xf>
    <xf numFmtId="0" fontId="7" fillId="10" borderId="1" xfId="0" applyFont="1" applyFill="1" applyBorder="1" applyAlignment="1">
      <alignment vertical="center"/>
    </xf>
    <xf numFmtId="0" fontId="18" fillId="0" borderId="1" xfId="1" applyBorder="1" applyAlignment="1">
      <alignment vertical="center"/>
    </xf>
    <xf numFmtId="0" fontId="18" fillId="10" borderId="1" xfId="1" applyFill="1" applyBorder="1" applyAlignment="1">
      <alignment vertical="center"/>
    </xf>
    <xf numFmtId="0" fontId="6" fillId="0" borderId="18" xfId="0" applyFont="1" applyBorder="1" applyAlignment="1">
      <alignment vertical="center"/>
    </xf>
    <xf numFmtId="0" fontId="0" fillId="0" borderId="18" xfId="0" applyBorder="1" applyAlignment="1">
      <alignment vertical="center"/>
    </xf>
    <xf numFmtId="16" fontId="0" fillId="0" borderId="18" xfId="0" applyNumberFormat="1" applyBorder="1" applyAlignment="1">
      <alignment vertical="center"/>
    </xf>
    <xf numFmtId="0" fontId="0" fillId="0" borderId="18" xfId="0" applyBorder="1" applyAlignment="1">
      <alignment horizontal="center" vertical="center"/>
    </xf>
    <xf numFmtId="0" fontId="0" fillId="0" borderId="18" xfId="0" applyBorder="1" applyAlignment="1">
      <alignment vertical="center" wrapText="1"/>
    </xf>
    <xf numFmtId="0" fontId="0" fillId="0" borderId="18" xfId="0" applyBorder="1" applyAlignment="1">
      <alignment horizontal="left" vertical="center" wrapText="1"/>
    </xf>
    <xf numFmtId="0" fontId="6" fillId="0" borderId="6" xfId="0" applyFont="1" applyBorder="1" applyAlignment="1">
      <alignment wrapText="1"/>
    </xf>
    <xf numFmtId="0" fontId="0" fillId="0" borderId="0" xfId="0" applyAlignment="1">
      <alignment horizontal="left" vertical="center" wrapText="1"/>
    </xf>
    <xf numFmtId="0" fontId="0" fillId="0" borderId="0" xfId="0" applyAlignment="1">
      <alignment horizontal="center" vertical="center" wrapText="1"/>
    </xf>
    <xf numFmtId="0" fontId="7" fillId="13" borderId="0" xfId="0" applyFont="1" applyFill="1" applyAlignment="1">
      <alignment horizontal="center" vertical="center"/>
    </xf>
    <xf numFmtId="14" fontId="6" fillId="13" borderId="10" xfId="0" applyNumberFormat="1" applyFont="1" applyFill="1" applyBorder="1" applyAlignment="1">
      <alignment horizontal="center" vertical="center"/>
    </xf>
    <xf numFmtId="0" fontId="0" fillId="0" borderId="11" xfId="0" applyBorder="1" applyAlignment="1">
      <alignment horizontal="left" vertical="center"/>
    </xf>
    <xf numFmtId="0" fontId="7" fillId="13" borderId="11" xfId="0" applyFont="1" applyFill="1" applyBorder="1" applyAlignment="1">
      <alignment horizontal="center" vertical="center"/>
    </xf>
    <xf numFmtId="0" fontId="7" fillId="13" borderId="1" xfId="0" applyFont="1" applyFill="1" applyBorder="1" applyAlignment="1">
      <alignment horizontal="center" vertical="center"/>
    </xf>
    <xf numFmtId="0" fontId="0" fillId="0" borderId="3" xfId="0" applyBorder="1" applyAlignment="1">
      <alignment horizontal="left" vertical="center" wrapText="1"/>
    </xf>
    <xf numFmtId="0" fontId="0" fillId="0" borderId="3" xfId="0" applyBorder="1" applyAlignment="1">
      <alignment horizontal="center" vertical="center"/>
    </xf>
    <xf numFmtId="0" fontId="18" fillId="0" borderId="3" xfId="1" applyBorder="1" applyAlignment="1">
      <alignment wrapText="1"/>
    </xf>
    <xf numFmtId="14" fontId="0" fillId="0" borderId="13" xfId="0" applyNumberFormat="1" applyBorder="1" applyAlignment="1">
      <alignment horizontal="center" vertical="center"/>
    </xf>
    <xf numFmtId="14" fontId="0" fillId="0" borderId="12" xfId="0" applyNumberFormat="1" applyBorder="1" applyAlignment="1">
      <alignment horizontal="center" vertical="center"/>
    </xf>
    <xf numFmtId="0" fontId="0" fillId="0" borderId="19" xfId="0" applyBorder="1" applyAlignment="1">
      <alignment horizontal="left" vertical="center" wrapText="1"/>
    </xf>
    <xf numFmtId="0" fontId="7" fillId="13" borderId="9" xfId="0" applyFont="1" applyFill="1" applyBorder="1" applyAlignment="1">
      <alignment horizontal="center" vertical="center"/>
    </xf>
    <xf numFmtId="0" fontId="18" fillId="0" borderId="1" xfId="1" applyFill="1" applyBorder="1" applyAlignment="1">
      <alignment vertical="center"/>
    </xf>
    <xf numFmtId="0" fontId="7" fillId="13" borderId="10" xfId="0" applyFont="1" applyFill="1" applyBorder="1" applyAlignment="1">
      <alignment horizontal="center" vertical="center"/>
    </xf>
    <xf numFmtId="0" fontId="18" fillId="0" borderId="2" xfId="1" applyBorder="1" applyAlignment="1">
      <alignment vertical="center"/>
    </xf>
    <xf numFmtId="0" fontId="0" fillId="0" borderId="12" xfId="0" applyBorder="1" applyAlignment="1">
      <alignment horizontal="left" vertical="center" wrapText="1"/>
    </xf>
    <xf numFmtId="0" fontId="0" fillId="0" borderId="2" xfId="0" applyBorder="1" applyAlignment="1">
      <alignment horizontal="left" vertical="top" wrapText="1"/>
    </xf>
    <xf numFmtId="0" fontId="0" fillId="0" borderId="12" xfId="0" applyBorder="1" applyAlignment="1">
      <alignment horizontal="center" vertical="center" wrapText="1"/>
    </xf>
    <xf numFmtId="0" fontId="18" fillId="0" borderId="2" xfId="1" applyBorder="1" applyAlignment="1">
      <alignment horizontal="center" vertical="center" wrapText="1"/>
    </xf>
    <xf numFmtId="0" fontId="0" fillId="0" borderId="12" xfId="0" applyBorder="1" applyAlignment="1">
      <alignment horizontal="center" vertical="center"/>
    </xf>
    <xf numFmtId="0" fontId="4" fillId="4" borderId="2" xfId="0" applyFont="1" applyFill="1" applyBorder="1" applyAlignment="1">
      <alignment horizontal="center" wrapText="1"/>
    </xf>
    <xf numFmtId="0" fontId="0" fillId="0" borderId="11" xfId="0" applyBorder="1" applyAlignment="1">
      <alignment horizontal="center"/>
    </xf>
    <xf numFmtId="0" fontId="7" fillId="0" borderId="5" xfId="0" applyFont="1" applyBorder="1" applyAlignment="1">
      <alignment horizontal="center" vertical="center"/>
    </xf>
    <xf numFmtId="0" fontId="0" fillId="0" borderId="11" xfId="0" applyBorder="1" applyAlignment="1">
      <alignment vertical="center" wrapText="1"/>
    </xf>
    <xf numFmtId="0" fontId="0" fillId="0" borderId="13" xfId="0" applyBorder="1" applyAlignment="1">
      <alignment horizontal="center" vertical="center"/>
    </xf>
    <xf numFmtId="0" fontId="6" fillId="13" borderId="13" xfId="0" applyFont="1" applyFill="1" applyBorder="1" applyAlignment="1">
      <alignment horizontal="center" vertical="center"/>
    </xf>
    <xf numFmtId="14" fontId="6" fillId="13" borderId="13" xfId="0" applyNumberFormat="1" applyFont="1" applyFill="1" applyBorder="1" applyAlignment="1">
      <alignment horizontal="center" vertical="center"/>
    </xf>
    <xf numFmtId="14" fontId="6" fillId="13" borderId="0" xfId="0" applyNumberFormat="1" applyFont="1" applyFill="1" applyAlignment="1">
      <alignment horizontal="center" vertical="center"/>
    </xf>
    <xf numFmtId="0" fontId="0" fillId="0" borderId="14" xfId="0" applyBorder="1" applyAlignment="1">
      <alignment horizontal="left" vertical="center"/>
    </xf>
    <xf numFmtId="0" fontId="0" fillId="0" borderId="12" xfId="0" applyBorder="1" applyAlignment="1">
      <alignment vertical="center"/>
    </xf>
    <xf numFmtId="0" fontId="0" fillId="0" borderId="12" xfId="0" applyBorder="1" applyAlignment="1">
      <alignment vertical="center" wrapText="1"/>
    </xf>
    <xf numFmtId="0" fontId="0" fillId="0" borderId="14" xfId="0" applyBorder="1" applyAlignment="1">
      <alignment vertical="center"/>
    </xf>
    <xf numFmtId="0" fontId="0" fillId="0" borderId="14" xfId="0" applyBorder="1" applyAlignment="1">
      <alignment horizontal="left" vertical="center" wrapText="1"/>
    </xf>
    <xf numFmtId="0" fontId="6" fillId="13" borderId="1" xfId="0" applyFont="1" applyFill="1" applyBorder="1" applyAlignment="1">
      <alignment horizontal="center" vertical="center"/>
    </xf>
    <xf numFmtId="14" fontId="6" fillId="13" borderId="1" xfId="0" applyNumberFormat="1" applyFont="1" applyFill="1" applyBorder="1" applyAlignment="1">
      <alignment horizontal="center" vertical="center"/>
    </xf>
    <xf numFmtId="0" fontId="0" fillId="8" borderId="1" xfId="0" applyFill="1" applyBorder="1" applyAlignment="1">
      <alignment vertical="center"/>
    </xf>
    <xf numFmtId="0" fontId="0" fillId="0" borderId="14" xfId="0" applyBorder="1" applyAlignment="1">
      <alignment horizontal="center" vertical="center"/>
    </xf>
    <xf numFmtId="0" fontId="18" fillId="0" borderId="12" xfId="1" applyBorder="1" applyAlignment="1">
      <alignment wrapText="1"/>
    </xf>
    <xf numFmtId="0" fontId="4" fillId="2" borderId="9" xfId="0" applyFont="1" applyFill="1" applyBorder="1" applyAlignment="1">
      <alignment horizontal="center" vertical="center" wrapText="1"/>
    </xf>
    <xf numFmtId="0" fontId="32" fillId="0" borderId="1" xfId="0" applyFont="1" applyBorder="1" applyAlignment="1">
      <alignment vertical="top" wrapText="1"/>
    </xf>
    <xf numFmtId="0" fontId="3" fillId="14" borderId="1" xfId="2" applyBorder="1" applyAlignment="1">
      <alignment horizontal="center" vertical="center"/>
    </xf>
    <xf numFmtId="14" fontId="3" fillId="14" borderId="1" xfId="2" applyNumberFormat="1" applyBorder="1" applyAlignment="1">
      <alignment horizontal="center" vertical="center"/>
    </xf>
    <xf numFmtId="0" fontId="3" fillId="14" borderId="1" xfId="2" applyBorder="1" applyAlignment="1">
      <alignment horizontal="left" vertical="center"/>
    </xf>
    <xf numFmtId="0" fontId="3" fillId="14" borderId="0" xfId="2" applyAlignment="1">
      <alignment horizontal="left" vertical="center"/>
    </xf>
    <xf numFmtId="0" fontId="3" fillId="14" borderId="11" xfId="2" applyBorder="1" applyAlignment="1">
      <alignment vertical="center"/>
    </xf>
    <xf numFmtId="0" fontId="3" fillId="14" borderId="2" xfId="2" applyBorder="1" applyAlignment="1">
      <alignment horizontal="left" vertical="center" wrapText="1"/>
    </xf>
    <xf numFmtId="0" fontId="3" fillId="14" borderId="9" xfId="2" applyBorder="1" applyAlignment="1">
      <alignment horizontal="center" vertical="center"/>
    </xf>
    <xf numFmtId="0" fontId="3" fillId="14" borderId="0" xfId="2" applyAlignment="1">
      <alignment horizontal="center" vertical="center"/>
    </xf>
    <xf numFmtId="0" fontId="3" fillId="14" borderId="2" xfId="2" applyBorder="1" applyAlignment="1">
      <alignment horizontal="center" vertical="center"/>
    </xf>
    <xf numFmtId="14" fontId="3" fillId="14" borderId="2" xfId="2" applyNumberFormat="1" applyBorder="1" applyAlignment="1">
      <alignment horizontal="center" vertical="center"/>
    </xf>
    <xf numFmtId="0" fontId="3" fillId="14" borderId="2" xfId="2" applyBorder="1" applyAlignment="1">
      <alignment vertical="center" wrapText="1"/>
    </xf>
    <xf numFmtId="0" fontId="3" fillId="14" borderId="1" xfId="2" applyBorder="1" applyAlignment="1">
      <alignment horizontal="center" vertical="center" wrapText="1"/>
    </xf>
    <xf numFmtId="0" fontId="3" fillId="14" borderId="0" xfId="2" applyAlignment="1">
      <alignment wrapText="1"/>
    </xf>
    <xf numFmtId="0" fontId="3" fillId="14" borderId="2" xfId="2" applyBorder="1" applyAlignment="1">
      <alignment horizontal="center" vertical="center" wrapText="1"/>
    </xf>
    <xf numFmtId="14" fontId="3" fillId="14" borderId="11" xfId="2" applyNumberFormat="1" applyBorder="1" applyAlignment="1">
      <alignment horizontal="left" vertical="center" wrapText="1"/>
    </xf>
    <xf numFmtId="0" fontId="3" fillId="14" borderId="9" xfId="2" applyBorder="1" applyAlignment="1">
      <alignment horizontal="left" vertical="center" wrapText="1"/>
    </xf>
    <xf numFmtId="0" fontId="3" fillId="14" borderId="1" xfId="2" applyBorder="1" applyAlignment="1">
      <alignment vertical="center"/>
    </xf>
    <xf numFmtId="0" fontId="3" fillId="14" borderId="1" xfId="2" applyBorder="1" applyAlignment="1">
      <alignment vertical="center" wrapText="1"/>
    </xf>
    <xf numFmtId="0" fontId="3" fillId="14" borderId="1" xfId="2" applyBorder="1" applyAlignment="1">
      <alignment horizontal="left" vertical="center" wrapText="1"/>
    </xf>
    <xf numFmtId="0" fontId="3" fillId="14" borderId="0" xfId="2"/>
    <xf numFmtId="0" fontId="3" fillId="14" borderId="10" xfId="2" applyBorder="1" applyAlignment="1">
      <alignment vertical="center"/>
    </xf>
    <xf numFmtId="0" fontId="3" fillId="14" borderId="9" xfId="2" applyNumberFormat="1" applyBorder="1" applyAlignment="1">
      <alignment horizontal="center" vertical="center"/>
    </xf>
    <xf numFmtId="0" fontId="3" fillId="14" borderId="0" xfId="2" applyBorder="1"/>
    <xf numFmtId="0" fontId="3" fillId="14" borderId="2" xfId="2" applyBorder="1" applyAlignment="1">
      <alignment vertical="center"/>
    </xf>
    <xf numFmtId="0" fontId="3" fillId="14" borderId="0" xfId="2" applyBorder="1" applyAlignment="1">
      <alignment wrapText="1"/>
    </xf>
    <xf numFmtId="0" fontId="3" fillId="14" borderId="11" xfId="2" applyBorder="1"/>
    <xf numFmtId="0" fontId="46" fillId="14" borderId="0" xfId="2" applyFont="1" applyAlignment="1">
      <alignment horizontal="left" vertical="center"/>
    </xf>
    <xf numFmtId="0" fontId="46" fillId="14" borderId="0" xfId="2" applyFont="1"/>
    <xf numFmtId="0" fontId="46" fillId="14" borderId="1" xfId="2" applyFont="1" applyBorder="1" applyAlignment="1">
      <alignment horizontal="center" vertical="center"/>
    </xf>
    <xf numFmtId="14" fontId="46" fillId="14" borderId="1" xfId="2" applyNumberFormat="1" applyFont="1" applyBorder="1" applyAlignment="1">
      <alignment horizontal="center" vertical="center"/>
    </xf>
    <xf numFmtId="0" fontId="46" fillId="14" borderId="1" xfId="2" applyFont="1" applyBorder="1" applyAlignment="1">
      <alignment horizontal="left" vertical="center"/>
    </xf>
    <xf numFmtId="0" fontId="46" fillId="14" borderId="2" xfId="2" applyFont="1" applyBorder="1" applyAlignment="1">
      <alignment horizontal="left" vertical="center" wrapText="1"/>
    </xf>
    <xf numFmtId="0" fontId="46" fillId="14" borderId="9" xfId="2" applyFont="1" applyBorder="1" applyAlignment="1">
      <alignment horizontal="center" vertical="center"/>
    </xf>
    <xf numFmtId="0" fontId="46" fillId="14" borderId="0" xfId="2" applyFont="1" applyAlignment="1">
      <alignment horizontal="center" vertical="center"/>
    </xf>
    <xf numFmtId="0" fontId="46" fillId="14" borderId="2" xfId="2" applyFont="1" applyBorder="1" applyAlignment="1">
      <alignment horizontal="center" vertical="center"/>
    </xf>
    <xf numFmtId="14" fontId="46" fillId="14" borderId="2" xfId="2" applyNumberFormat="1" applyFont="1" applyBorder="1" applyAlignment="1">
      <alignment horizontal="center" vertical="center"/>
    </xf>
    <xf numFmtId="0" fontId="46" fillId="14" borderId="2" xfId="2" applyFont="1" applyBorder="1" applyAlignment="1">
      <alignment vertical="center" wrapText="1"/>
    </xf>
    <xf numFmtId="0" fontId="46" fillId="14" borderId="1" xfId="2" applyFont="1" applyBorder="1" applyAlignment="1">
      <alignment horizontal="center" vertical="center" wrapText="1"/>
    </xf>
    <xf numFmtId="14" fontId="46" fillId="14" borderId="11" xfId="2" applyNumberFormat="1" applyFont="1" applyBorder="1" applyAlignment="1">
      <alignment horizontal="left" vertical="center" wrapText="1"/>
    </xf>
    <xf numFmtId="0" fontId="46" fillId="14" borderId="9" xfId="2" applyFont="1" applyBorder="1" applyAlignment="1">
      <alignment horizontal="left" vertical="center" wrapText="1"/>
    </xf>
    <xf numFmtId="0" fontId="46" fillId="14" borderId="1" xfId="2" applyFont="1" applyBorder="1" applyAlignment="1">
      <alignment vertical="center"/>
    </xf>
    <xf numFmtId="0" fontId="46" fillId="14" borderId="1" xfId="2" applyFont="1" applyBorder="1" applyAlignment="1">
      <alignment vertical="center" wrapText="1"/>
    </xf>
    <xf numFmtId="0" fontId="46" fillId="14" borderId="1" xfId="2" applyFont="1" applyBorder="1" applyAlignment="1">
      <alignment horizontal="left" vertical="center" wrapText="1"/>
    </xf>
    <xf numFmtId="0" fontId="3" fillId="14" borderId="1" xfId="2" applyBorder="1"/>
    <xf numFmtId="14" fontId="3" fillId="14" borderId="6" xfId="2" applyNumberFormat="1" applyBorder="1" applyAlignment="1">
      <alignment horizontal="center" vertical="center"/>
    </xf>
    <xf numFmtId="14" fontId="3" fillId="14" borderId="11" xfId="2" applyNumberFormat="1" applyBorder="1" applyAlignment="1">
      <alignment horizontal="center" vertical="center"/>
    </xf>
    <xf numFmtId="0" fontId="3" fillId="14" borderId="11" xfId="2" applyBorder="1" applyAlignment="1">
      <alignment horizontal="left" vertical="center"/>
    </xf>
    <xf numFmtId="0" fontId="3" fillId="14" borderId="2" xfId="2" applyBorder="1" applyAlignment="1">
      <alignment horizontal="left" vertical="center"/>
    </xf>
    <xf numFmtId="0" fontId="46" fillId="15" borderId="11" xfId="0" applyFont="1" applyFill="1" applyBorder="1" applyAlignment="1">
      <alignment wrapText="1"/>
    </xf>
    <xf numFmtId="0" fontId="18" fillId="14" borderId="1" xfId="1" applyFill="1" applyBorder="1" applyAlignment="1">
      <alignment wrapText="1"/>
    </xf>
    <xf numFmtId="0" fontId="46" fillId="14" borderId="2" xfId="2" applyFont="1" applyBorder="1" applyAlignment="1">
      <alignment horizontal="left" vertical="center"/>
    </xf>
    <xf numFmtId="0" fontId="46" fillId="14" borderId="2" xfId="2" applyFont="1" applyBorder="1" applyAlignment="1">
      <alignment vertical="center"/>
    </xf>
    <xf numFmtId="0" fontId="18" fillId="14" borderId="0" xfId="1" applyFill="1" applyAlignment="1">
      <alignment wrapText="1"/>
    </xf>
    <xf numFmtId="14" fontId="46" fillId="14" borderId="1" xfId="2" applyNumberFormat="1" applyFont="1" applyBorder="1" applyAlignment="1">
      <alignment vertical="center"/>
    </xf>
    <xf numFmtId="14" fontId="31" fillId="0" borderId="0" xfId="0" applyNumberFormat="1" applyFont="1" applyAlignment="1">
      <alignment vertical="center"/>
    </xf>
    <xf numFmtId="0" fontId="18" fillId="14" borderId="1" xfId="1" applyFill="1" applyBorder="1" applyAlignment="1">
      <alignment horizontal="center" vertical="center" wrapText="1"/>
    </xf>
    <xf numFmtId="0" fontId="46" fillId="0" borderId="1" xfId="2" applyFont="1" applyFill="1" applyBorder="1" applyAlignment="1">
      <alignment horizontal="center" vertical="center"/>
    </xf>
    <xf numFmtId="14" fontId="46" fillId="0" borderId="1" xfId="2" applyNumberFormat="1" applyFont="1" applyFill="1" applyBorder="1" applyAlignment="1">
      <alignment horizontal="center" vertical="center"/>
    </xf>
    <xf numFmtId="0" fontId="46" fillId="0" borderId="1" xfId="2" applyFont="1" applyFill="1" applyBorder="1" applyAlignment="1">
      <alignment horizontal="left" vertical="center"/>
    </xf>
    <xf numFmtId="0" fontId="46" fillId="0" borderId="1" xfId="2" applyFont="1" applyFill="1" applyBorder="1" applyAlignment="1">
      <alignment horizontal="center" vertical="center" wrapText="1"/>
    </xf>
    <xf numFmtId="0" fontId="18" fillId="0" borderId="1" xfId="1" applyFill="1" applyBorder="1" applyAlignment="1">
      <alignment horizontal="center" vertical="center" wrapText="1"/>
    </xf>
    <xf numFmtId="0" fontId="46" fillId="0" borderId="2" xfId="2" applyFont="1" applyFill="1" applyBorder="1" applyAlignment="1">
      <alignment horizontal="center" vertical="center"/>
    </xf>
    <xf numFmtId="0" fontId="46" fillId="15" borderId="9" xfId="2" applyFont="1" applyFill="1" applyBorder="1" applyAlignment="1">
      <alignment horizontal="center" vertical="top"/>
    </xf>
    <xf numFmtId="0" fontId="46" fillId="15" borderId="9" xfId="2" applyNumberFormat="1" applyFont="1" applyFill="1" applyBorder="1" applyAlignment="1">
      <alignment horizontal="center" vertical="top"/>
    </xf>
    <xf numFmtId="14" fontId="46" fillId="15" borderId="2" xfId="2" applyNumberFormat="1" applyFont="1" applyFill="1" applyBorder="1" applyAlignment="1">
      <alignment horizontal="center" vertical="top"/>
    </xf>
    <xf numFmtId="0" fontId="46" fillId="15" borderId="2" xfId="2" applyFont="1" applyFill="1" applyBorder="1" applyAlignment="1">
      <alignment vertical="top"/>
    </xf>
    <xf numFmtId="0" fontId="46" fillId="15" borderId="2" xfId="2" applyFont="1" applyFill="1" applyBorder="1" applyAlignment="1">
      <alignment horizontal="center" vertical="top"/>
    </xf>
    <xf numFmtId="0" fontId="18" fillId="15" borderId="2" xfId="1" applyFill="1" applyBorder="1" applyAlignment="1">
      <alignment vertical="top" wrapText="1"/>
    </xf>
    <xf numFmtId="0" fontId="46" fillId="15" borderId="2" xfId="2" applyFont="1" applyFill="1" applyBorder="1" applyAlignment="1">
      <alignment horizontal="center" vertical="top" wrapText="1"/>
    </xf>
    <xf numFmtId="0" fontId="46" fillId="15" borderId="11" xfId="2" applyFont="1" applyFill="1" applyBorder="1" applyAlignment="1">
      <alignment horizontal="left" vertical="top" wrapText="1"/>
    </xf>
    <xf numFmtId="0" fontId="0" fillId="0" borderId="0" xfId="0" applyAlignment="1">
      <alignment vertical="top"/>
    </xf>
    <xf numFmtId="14" fontId="46" fillId="0" borderId="11" xfId="0" applyNumberFormat="1" applyFont="1" applyBorder="1" applyAlignment="1">
      <alignment wrapText="1"/>
    </xf>
    <xf numFmtId="0" fontId="46" fillId="16" borderId="9" xfId="2" applyFont="1" applyFill="1" applyBorder="1" applyAlignment="1">
      <alignment horizontal="center" vertical="top"/>
    </xf>
    <xf numFmtId="0" fontId="46" fillId="16" borderId="9" xfId="2" applyNumberFormat="1" applyFont="1" applyFill="1" applyBorder="1" applyAlignment="1">
      <alignment horizontal="center" vertical="top"/>
    </xf>
    <xf numFmtId="14" fontId="46" fillId="16" borderId="2" xfId="2" applyNumberFormat="1" applyFont="1" applyFill="1" applyBorder="1" applyAlignment="1">
      <alignment horizontal="center" vertical="top"/>
    </xf>
    <xf numFmtId="0" fontId="46" fillId="16" borderId="2" xfId="2" applyFont="1" applyFill="1" applyBorder="1" applyAlignment="1">
      <alignment vertical="top"/>
    </xf>
    <xf numFmtId="0" fontId="46" fillId="16" borderId="2" xfId="2" applyFont="1" applyFill="1" applyBorder="1" applyAlignment="1">
      <alignment horizontal="center" vertical="top"/>
    </xf>
    <xf numFmtId="14" fontId="46" fillId="14" borderId="2" xfId="2" applyNumberFormat="1" applyFont="1" applyBorder="1" applyAlignment="1">
      <alignment horizontal="center" vertical="top"/>
    </xf>
    <xf numFmtId="0" fontId="46" fillId="16" borderId="2" xfId="2" applyFont="1" applyFill="1" applyBorder="1" applyAlignment="1">
      <alignment vertical="top" wrapText="1"/>
    </xf>
    <xf numFmtId="0" fontId="2" fillId="16" borderId="2" xfId="2" applyFont="1" applyFill="1" applyBorder="1" applyAlignment="1">
      <alignment horizontal="center" vertical="top" wrapText="1"/>
    </xf>
    <xf numFmtId="0" fontId="18" fillId="16" borderId="2" xfId="1" applyFill="1" applyBorder="1" applyAlignment="1">
      <alignment vertical="top" wrapText="1"/>
    </xf>
    <xf numFmtId="0" fontId="46" fillId="16" borderId="2" xfId="2" applyFont="1" applyFill="1" applyBorder="1" applyAlignment="1">
      <alignment horizontal="center" vertical="top" wrapText="1"/>
    </xf>
    <xf numFmtId="0" fontId="46" fillId="16" borderId="11" xfId="2" applyFont="1" applyFill="1" applyBorder="1" applyAlignment="1">
      <alignment horizontal="left" vertical="top" wrapText="1"/>
    </xf>
    <xf numFmtId="0" fontId="0" fillId="16" borderId="0" xfId="0" applyFill="1" applyAlignment="1">
      <alignment vertical="top"/>
    </xf>
    <xf numFmtId="14" fontId="46" fillId="0" borderId="1" xfId="2" applyNumberFormat="1" applyFont="1" applyFill="1" applyBorder="1" applyAlignment="1">
      <alignment horizontal="center" vertical="center" wrapText="1"/>
    </xf>
    <xf numFmtId="0" fontId="47" fillId="0" borderId="0" xfId="0" applyFont="1" applyAlignment="1">
      <alignment wrapText="1"/>
    </xf>
    <xf numFmtId="0" fontId="48" fillId="0" borderId="0" xfId="0" applyFont="1"/>
    <xf numFmtId="14" fontId="46" fillId="16" borderId="2" xfId="2" applyNumberFormat="1" applyFont="1" applyFill="1" applyBorder="1" applyAlignment="1">
      <alignment horizontal="center" vertical="center"/>
    </xf>
    <xf numFmtId="0" fontId="46" fillId="15" borderId="2" xfId="2" applyFont="1" applyFill="1" applyBorder="1" applyAlignment="1">
      <alignment vertical="center"/>
    </xf>
    <xf numFmtId="14" fontId="46" fillId="0" borderId="11" xfId="0" applyNumberFormat="1" applyFont="1" applyBorder="1" applyAlignment="1">
      <alignment vertical="top" wrapText="1"/>
    </xf>
    <xf numFmtId="14" fontId="46" fillId="14" borderId="11" xfId="2" applyNumberFormat="1" applyFont="1" applyBorder="1" applyAlignment="1">
      <alignment horizontal="left" vertical="top" wrapText="1"/>
    </xf>
    <xf numFmtId="0" fontId="46" fillId="16" borderId="9" xfId="2" applyFont="1" applyFill="1" applyBorder="1" applyAlignment="1">
      <alignment horizontal="center" vertical="center"/>
    </xf>
    <xf numFmtId="0" fontId="46" fillId="16" borderId="1" xfId="2" applyFont="1" applyFill="1" applyBorder="1" applyAlignment="1">
      <alignment vertical="center"/>
    </xf>
    <xf numFmtId="0" fontId="46" fillId="16" borderId="2" xfId="2" applyFont="1" applyFill="1" applyBorder="1" applyAlignment="1">
      <alignment horizontal="center" vertical="center"/>
    </xf>
    <xf numFmtId="0" fontId="46" fillId="16" borderId="2" xfId="2" applyFont="1" applyFill="1" applyBorder="1" applyAlignment="1">
      <alignment vertical="center"/>
    </xf>
    <xf numFmtId="0" fontId="46" fillId="16" borderId="2" xfId="2" applyFont="1" applyFill="1" applyBorder="1" applyAlignment="1">
      <alignment vertical="center" wrapText="1"/>
    </xf>
    <xf numFmtId="0" fontId="46" fillId="16" borderId="2" xfId="0" applyFont="1" applyFill="1" applyBorder="1" applyAlignment="1">
      <alignment vertical="center"/>
    </xf>
    <xf numFmtId="0" fontId="46" fillId="16" borderId="1" xfId="2" applyFont="1" applyFill="1" applyBorder="1" applyAlignment="1">
      <alignment horizontal="center" vertical="center"/>
    </xf>
    <xf numFmtId="0" fontId="46" fillId="16" borderId="2" xfId="2" applyFont="1" applyFill="1" applyBorder="1" applyAlignment="1">
      <alignment horizontal="center" vertical="center" wrapText="1"/>
    </xf>
    <xf numFmtId="14" fontId="46" fillId="16" borderId="11" xfId="0" applyNumberFormat="1" applyFont="1" applyFill="1" applyBorder="1" applyAlignment="1">
      <alignment vertical="top" wrapText="1"/>
    </xf>
    <xf numFmtId="0" fontId="0" fillId="16" borderId="0" xfId="0" applyFill="1"/>
    <xf numFmtId="0" fontId="46" fillId="8" borderId="1" xfId="2" applyFont="1" applyFill="1" applyBorder="1" applyAlignment="1">
      <alignment horizontal="center" vertical="center"/>
    </xf>
    <xf numFmtId="14" fontId="46" fillId="8" borderId="1" xfId="2" applyNumberFormat="1" applyFont="1" applyFill="1" applyBorder="1" applyAlignment="1">
      <alignment horizontal="center" vertical="center"/>
    </xf>
    <xf numFmtId="0" fontId="46" fillId="8" borderId="1" xfId="2" applyFont="1" applyFill="1" applyBorder="1" applyAlignment="1">
      <alignment horizontal="left" vertical="center"/>
    </xf>
    <xf numFmtId="0" fontId="46" fillId="8" borderId="0" xfId="2" applyFont="1" applyFill="1" applyAlignment="1">
      <alignment horizontal="left" vertical="center"/>
    </xf>
    <xf numFmtId="0" fontId="46" fillId="8" borderId="2" xfId="2" applyFont="1" applyFill="1" applyBorder="1" applyAlignment="1">
      <alignment vertical="center"/>
    </xf>
    <xf numFmtId="0" fontId="46" fillId="8" borderId="2" xfId="2" applyFont="1" applyFill="1" applyBorder="1" applyAlignment="1">
      <alignment horizontal="left" vertical="center" wrapText="1"/>
    </xf>
    <xf numFmtId="0" fontId="46" fillId="8" borderId="9" xfId="2" applyFont="1" applyFill="1" applyBorder="1" applyAlignment="1">
      <alignment horizontal="center" vertical="center"/>
    </xf>
    <xf numFmtId="0" fontId="46" fillId="8" borderId="0" xfId="2" applyFont="1" applyFill="1" applyAlignment="1">
      <alignment horizontal="center" vertical="center"/>
    </xf>
    <xf numFmtId="0" fontId="46" fillId="8" borderId="2" xfId="2" applyFont="1" applyFill="1" applyBorder="1" applyAlignment="1">
      <alignment horizontal="center" vertical="center"/>
    </xf>
    <xf numFmtId="14" fontId="46" fillId="8" borderId="2" xfId="2" applyNumberFormat="1" applyFont="1" applyFill="1" applyBorder="1" applyAlignment="1">
      <alignment horizontal="center" vertical="center"/>
    </xf>
    <xf numFmtId="0" fontId="46" fillId="8" borderId="2" xfId="2" applyFont="1" applyFill="1" applyBorder="1" applyAlignment="1">
      <alignment vertical="center" wrapText="1"/>
    </xf>
    <xf numFmtId="0" fontId="3" fillId="8" borderId="1" xfId="2" applyFill="1" applyBorder="1" applyAlignment="1">
      <alignment vertical="center"/>
    </xf>
    <xf numFmtId="0" fontId="3" fillId="8" borderId="1" xfId="2" applyFill="1" applyBorder="1" applyAlignment="1">
      <alignment horizontal="center" vertical="center" wrapText="1"/>
    </xf>
    <xf numFmtId="0" fontId="18" fillId="8" borderId="0" xfId="1" applyFill="1" applyAlignment="1">
      <alignment wrapText="1"/>
    </xf>
    <xf numFmtId="14" fontId="46" fillId="8" borderId="2" xfId="2" applyNumberFormat="1" applyFont="1" applyFill="1" applyBorder="1" applyAlignment="1">
      <alignment horizontal="center" vertical="top"/>
    </xf>
    <xf numFmtId="0" fontId="46" fillId="8" borderId="1" xfId="2" applyFont="1" applyFill="1" applyBorder="1" applyAlignment="1">
      <alignment horizontal="center" vertical="center" wrapText="1"/>
    </xf>
    <xf numFmtId="14" fontId="46" fillId="8" borderId="11" xfId="2" applyNumberFormat="1" applyFont="1" applyFill="1" applyBorder="1" applyAlignment="1">
      <alignment horizontal="left" vertical="center" wrapText="1"/>
    </xf>
    <xf numFmtId="0" fontId="0" fillId="8" borderId="0" xfId="0" applyFill="1"/>
    <xf numFmtId="0" fontId="18" fillId="16" borderId="0" xfId="1" applyFill="1" applyBorder="1" applyAlignment="1">
      <alignment wrapText="1"/>
    </xf>
    <xf numFmtId="0" fontId="46" fillId="16" borderId="9" xfId="0" applyFont="1" applyFill="1" applyBorder="1" applyAlignment="1">
      <alignment horizontal="center" vertical="center"/>
    </xf>
    <xf numFmtId="14" fontId="46" fillId="16" borderId="2" xfId="0" applyNumberFormat="1" applyFont="1" applyFill="1" applyBorder="1" applyAlignment="1">
      <alignment horizontal="center" vertical="center"/>
    </xf>
    <xf numFmtId="0" fontId="46" fillId="16" borderId="1" xfId="2" applyFont="1" applyFill="1" applyBorder="1" applyAlignment="1">
      <alignment horizontal="left" vertical="center"/>
    </xf>
    <xf numFmtId="0" fontId="46" fillId="16" borderId="2" xfId="0" applyFont="1" applyFill="1" applyBorder="1" applyAlignment="1">
      <alignment horizontal="center" vertical="center"/>
    </xf>
    <xf numFmtId="0" fontId="46" fillId="16" borderId="2" xfId="0" applyFont="1" applyFill="1" applyBorder="1" applyAlignment="1">
      <alignment vertical="center" wrapText="1"/>
    </xf>
    <xf numFmtId="0" fontId="49" fillId="16" borderId="0" xfId="1" applyFont="1" applyFill="1" applyBorder="1" applyAlignment="1">
      <alignment wrapText="1"/>
    </xf>
    <xf numFmtId="0" fontId="46" fillId="16" borderId="2" xfId="0" applyFont="1" applyFill="1" applyBorder="1" applyAlignment="1">
      <alignment horizontal="center" vertical="center" wrapText="1"/>
    </xf>
    <xf numFmtId="0" fontId="46" fillId="16" borderId="11" xfId="0" applyFont="1" applyFill="1" applyBorder="1" applyAlignment="1">
      <alignment wrapText="1"/>
    </xf>
    <xf numFmtId="0" fontId="46" fillId="15" borderId="2" xfId="2" applyFont="1" applyFill="1" applyBorder="1" applyAlignment="1">
      <alignment horizontal="center" vertical="center"/>
    </xf>
    <xf numFmtId="0" fontId="46" fillId="8" borderId="9" xfId="0" applyFont="1" applyFill="1" applyBorder="1" applyAlignment="1">
      <alignment horizontal="center" vertical="center"/>
    </xf>
    <xf numFmtId="14" fontId="46" fillId="8" borderId="2" xfId="0" applyNumberFormat="1" applyFont="1" applyFill="1" applyBorder="1" applyAlignment="1">
      <alignment horizontal="center" vertical="center"/>
    </xf>
    <xf numFmtId="0" fontId="46" fillId="8" borderId="2" xfId="0" applyFont="1" applyFill="1" applyBorder="1" applyAlignment="1">
      <alignment vertical="center"/>
    </xf>
    <xf numFmtId="0" fontId="46" fillId="8" borderId="2" xfId="0" applyFont="1" applyFill="1" applyBorder="1" applyAlignment="1">
      <alignment horizontal="center" vertical="center"/>
    </xf>
    <xf numFmtId="0" fontId="46" fillId="8" borderId="2" xfId="0" applyFont="1" applyFill="1" applyBorder="1" applyAlignment="1">
      <alignment vertical="center" wrapText="1"/>
    </xf>
    <xf numFmtId="0" fontId="46" fillId="8" borderId="2" xfId="0" applyFont="1" applyFill="1" applyBorder="1" applyAlignment="1">
      <alignment horizontal="center" vertical="center" wrapText="1"/>
    </xf>
    <xf numFmtId="0" fontId="46" fillId="8" borderId="11" xfId="0" applyFont="1" applyFill="1" applyBorder="1" applyAlignment="1">
      <alignment wrapText="1"/>
    </xf>
    <xf numFmtId="0" fontId="46" fillId="15" borderId="9" xfId="0" applyFont="1" applyFill="1" applyBorder="1" applyAlignment="1">
      <alignment horizontal="center" vertical="center"/>
    </xf>
    <xf numFmtId="0" fontId="46" fillId="15" borderId="2" xfId="0" applyFont="1" applyFill="1" applyBorder="1" applyAlignment="1">
      <alignment horizontal="center" vertical="center"/>
    </xf>
    <xf numFmtId="14" fontId="46" fillId="15" borderId="2" xfId="0" applyNumberFormat="1" applyFont="1" applyFill="1" applyBorder="1" applyAlignment="1">
      <alignment horizontal="center" vertical="center"/>
    </xf>
    <xf numFmtId="0" fontId="46" fillId="15" borderId="2" xfId="0" applyFont="1" applyFill="1" applyBorder="1" applyAlignment="1">
      <alignment vertical="center"/>
    </xf>
    <xf numFmtId="0" fontId="46" fillId="15" borderId="2" xfId="0" applyFont="1" applyFill="1" applyBorder="1" applyAlignment="1">
      <alignment vertical="center" wrapText="1"/>
    </xf>
    <xf numFmtId="0" fontId="46" fillId="15" borderId="2" xfId="0" applyFont="1" applyFill="1" applyBorder="1" applyAlignment="1">
      <alignment horizontal="center" vertical="center" wrapText="1"/>
    </xf>
    <xf numFmtId="0" fontId="46" fillId="16" borderId="0" xfId="0" applyFont="1" applyFill="1" applyAlignment="1">
      <alignment horizontal="left"/>
    </xf>
    <xf numFmtId="0" fontId="18" fillId="15" borderId="0" xfId="1" applyFill="1" applyBorder="1" applyAlignment="1">
      <alignment wrapText="1"/>
    </xf>
    <xf numFmtId="0" fontId="46" fillId="8" borderId="11" xfId="0" applyFont="1" applyFill="1" applyBorder="1" applyAlignment="1">
      <alignment vertical="center"/>
    </xf>
    <xf numFmtId="0" fontId="46" fillId="16" borderId="11" xfId="0" applyFont="1" applyFill="1" applyBorder="1" applyAlignment="1">
      <alignment vertical="center"/>
    </xf>
    <xf numFmtId="0" fontId="18" fillId="8" borderId="0" xfId="1" applyFill="1" applyBorder="1" applyAlignment="1">
      <alignment wrapText="1"/>
    </xf>
    <xf numFmtId="0" fontId="46" fillId="8" borderId="0" xfId="0" applyFont="1" applyFill="1" applyAlignment="1">
      <alignment horizontal="left"/>
    </xf>
    <xf numFmtId="0" fontId="46" fillId="16" borderId="11" xfId="0" applyFont="1" applyFill="1" applyBorder="1"/>
    <xf numFmtId="0" fontId="46" fillId="8" borderId="11" xfId="0" applyFont="1" applyFill="1" applyBorder="1"/>
    <xf numFmtId="0" fontId="46" fillId="8" borderId="2" xfId="0" applyFont="1" applyFill="1" applyBorder="1" applyAlignment="1">
      <alignment horizontal="left" vertical="center" wrapText="1"/>
    </xf>
    <xf numFmtId="0" fontId="49" fillId="8" borderId="0" xfId="1" applyFont="1" applyFill="1" applyBorder="1" applyAlignment="1">
      <alignment wrapText="1"/>
    </xf>
    <xf numFmtId="14" fontId="46" fillId="8" borderId="9" xfId="0" applyNumberFormat="1" applyFont="1" applyFill="1" applyBorder="1" applyAlignment="1">
      <alignment horizontal="center" vertical="center"/>
    </xf>
    <xf numFmtId="14" fontId="46" fillId="8" borderId="2" xfId="0" applyNumberFormat="1" applyFont="1" applyFill="1" applyBorder="1" applyAlignment="1">
      <alignment vertical="center"/>
    </xf>
    <xf numFmtId="0" fontId="18" fillId="16" borderId="9" xfId="1" applyFill="1" applyBorder="1" applyAlignment="1">
      <alignment wrapText="1"/>
    </xf>
    <xf numFmtId="0" fontId="47" fillId="0" borderId="0" xfId="0" applyFont="1" applyAlignment="1">
      <alignment horizontal="center"/>
    </xf>
    <xf numFmtId="0" fontId="46" fillId="8" borderId="2" xfId="0" applyFont="1" applyFill="1" applyBorder="1" applyAlignment="1">
      <alignment horizontal="center"/>
    </xf>
    <xf numFmtId="14" fontId="46" fillId="16" borderId="9" xfId="0" applyNumberFormat="1" applyFont="1" applyFill="1" applyBorder="1" applyAlignment="1">
      <alignment horizontal="center" vertical="center"/>
    </xf>
    <xf numFmtId="14" fontId="46" fillId="16" borderId="2" xfId="0" applyNumberFormat="1" applyFont="1" applyFill="1" applyBorder="1" applyAlignment="1">
      <alignment vertical="center"/>
    </xf>
    <xf numFmtId="0" fontId="18" fillId="14" borderId="0" xfId="1" applyFill="1" applyAlignment="1">
      <alignment vertical="center" wrapText="1"/>
    </xf>
    <xf numFmtId="0" fontId="46" fillId="16" borderId="1" xfId="0" applyFont="1" applyFill="1" applyBorder="1" applyAlignment="1">
      <alignment vertical="center"/>
    </xf>
    <xf numFmtId="0" fontId="46" fillId="8" borderId="1" xfId="0" applyFont="1" applyFill="1" applyBorder="1" applyAlignment="1">
      <alignment vertical="center"/>
    </xf>
    <xf numFmtId="0" fontId="46" fillId="16" borderId="1" xfId="0" applyFont="1" applyFill="1" applyBorder="1" applyAlignment="1">
      <alignment horizontal="center" vertical="center"/>
    </xf>
    <xf numFmtId="0" fontId="49" fillId="8" borderId="1" xfId="1" applyFont="1" applyFill="1" applyBorder="1" applyAlignment="1">
      <alignment wrapText="1"/>
    </xf>
    <xf numFmtId="0" fontId="18" fillId="16" borderId="1" xfId="1" applyFill="1" applyBorder="1" applyAlignment="1">
      <alignment wrapText="1"/>
    </xf>
    <xf numFmtId="0" fontId="18" fillId="8" borderId="1" xfId="1" applyFill="1" applyBorder="1" applyAlignment="1">
      <alignment wrapText="1"/>
    </xf>
    <xf numFmtId="0" fontId="18" fillId="14" borderId="1" xfId="1" applyFill="1" applyBorder="1" applyAlignment="1">
      <alignment vertical="center" wrapText="1"/>
    </xf>
    <xf numFmtId="14" fontId="46" fillId="16" borderId="1" xfId="0" applyNumberFormat="1" applyFont="1" applyFill="1" applyBorder="1" applyAlignment="1">
      <alignment horizontal="center" vertical="center"/>
    </xf>
    <xf numFmtId="14" fontId="46" fillId="16" borderId="1" xfId="2" applyNumberFormat="1" applyFont="1" applyFill="1" applyBorder="1" applyAlignment="1">
      <alignment horizontal="center" vertical="center"/>
    </xf>
    <xf numFmtId="14" fontId="46" fillId="14" borderId="1" xfId="2" applyNumberFormat="1" applyFont="1" applyBorder="1" applyAlignment="1">
      <alignment horizontal="left" vertical="top" wrapText="1"/>
    </xf>
    <xf numFmtId="0" fontId="46" fillId="8" borderId="1" xfId="0" applyFont="1" applyFill="1" applyBorder="1" applyAlignment="1">
      <alignment horizontal="center" vertical="center"/>
    </xf>
    <xf numFmtId="14" fontId="46" fillId="8" borderId="1" xfId="0" applyNumberFormat="1" applyFont="1" applyFill="1" applyBorder="1" applyAlignment="1">
      <alignment horizontal="center" vertical="center"/>
    </xf>
    <xf numFmtId="14" fontId="46" fillId="8" borderId="1" xfId="0" applyNumberFormat="1" applyFont="1" applyFill="1" applyBorder="1" applyAlignment="1">
      <alignment vertical="center"/>
    </xf>
    <xf numFmtId="0" fontId="46" fillId="8" borderId="1" xfId="0" applyFont="1" applyFill="1" applyBorder="1" applyAlignment="1">
      <alignment vertical="center" wrapText="1"/>
    </xf>
    <xf numFmtId="0" fontId="46" fillId="8" borderId="1" xfId="0" applyFont="1" applyFill="1" applyBorder="1" applyAlignment="1">
      <alignment horizontal="center" vertical="center" wrapText="1"/>
    </xf>
    <xf numFmtId="0" fontId="46" fillId="8" borderId="1" xfId="0" applyFont="1" applyFill="1" applyBorder="1" applyAlignment="1">
      <alignment wrapText="1"/>
    </xf>
    <xf numFmtId="0" fontId="46" fillId="16" borderId="1" xfId="0" applyFont="1" applyFill="1" applyBorder="1" applyAlignment="1">
      <alignment vertical="center" wrapText="1"/>
    </xf>
    <xf numFmtId="0" fontId="46" fillId="16" borderId="1" xfId="0" applyFont="1" applyFill="1" applyBorder="1" applyAlignment="1">
      <alignment horizontal="center" vertical="center" wrapText="1"/>
    </xf>
    <xf numFmtId="0" fontId="46" fillId="16" borderId="1" xfId="0" applyFont="1" applyFill="1" applyBorder="1" applyAlignment="1">
      <alignment wrapText="1"/>
    </xf>
    <xf numFmtId="0" fontId="46" fillId="16" borderId="1" xfId="0" applyFont="1" applyFill="1" applyBorder="1"/>
    <xf numFmtId="0" fontId="46" fillId="8" borderId="1" xfId="0" applyFont="1" applyFill="1" applyBorder="1"/>
    <xf numFmtId="14" fontId="46" fillId="16" borderId="1" xfId="0" applyNumberFormat="1" applyFont="1" applyFill="1" applyBorder="1" applyAlignment="1">
      <alignment vertical="center"/>
    </xf>
    <xf numFmtId="0" fontId="46" fillId="16" borderId="11" xfId="0" applyFont="1" applyFill="1" applyBorder="1" applyAlignment="1">
      <alignment horizontal="left" vertical="center"/>
    </xf>
    <xf numFmtId="0" fontId="18" fillId="16" borderId="1" xfId="1" applyFill="1" applyBorder="1" applyAlignment="1">
      <alignment vertical="center" wrapText="1"/>
    </xf>
    <xf numFmtId="0" fontId="0" fillId="16" borderId="0" xfId="0" applyFill="1" applyAlignment="1">
      <alignment vertical="center"/>
    </xf>
    <xf numFmtId="0" fontId="18" fillId="8" borderId="1" xfId="1" applyFill="1" applyBorder="1" applyAlignment="1">
      <alignment horizontal="center" wrapText="1"/>
    </xf>
    <xf numFmtId="0" fontId="0" fillId="8" borderId="0" xfId="0" applyFill="1" applyAlignment="1">
      <alignment horizontal="center"/>
    </xf>
    <xf numFmtId="0" fontId="47" fillId="8" borderId="1" xfId="0" applyFont="1" applyFill="1" applyBorder="1" applyAlignment="1">
      <alignment horizontal="center" vertical="center"/>
    </xf>
    <xf numFmtId="0" fontId="18" fillId="8" borderId="1" xfId="1" applyFill="1" applyBorder="1" applyAlignment="1">
      <alignment horizontal="center" vertical="center" wrapText="1"/>
    </xf>
    <xf numFmtId="0" fontId="0" fillId="8" borderId="0" xfId="0" applyFill="1" applyAlignment="1">
      <alignment horizontal="center" vertical="center"/>
    </xf>
    <xf numFmtId="0" fontId="46" fillId="8" borderId="1" xfId="0" applyFont="1" applyFill="1" applyBorder="1" applyAlignment="1">
      <alignment horizontal="left" wrapText="1"/>
    </xf>
    <xf numFmtId="0" fontId="50" fillId="0" borderId="1" xfId="2" applyFont="1" applyFill="1" applyBorder="1" applyAlignment="1">
      <alignment horizontal="center" vertical="center" wrapText="1"/>
    </xf>
    <xf numFmtId="0" fontId="46" fillId="8" borderId="1" xfId="0" applyFont="1" applyFill="1" applyBorder="1" applyAlignment="1">
      <alignment horizontal="left" vertical="center"/>
    </xf>
    <xf numFmtId="0" fontId="46" fillId="16" borderId="1" xfId="0" applyFont="1" applyFill="1" applyBorder="1" applyAlignment="1">
      <alignment horizontal="left" vertical="center"/>
    </xf>
    <xf numFmtId="0" fontId="22" fillId="2" borderId="12" xfId="0" applyFont="1" applyFill="1" applyBorder="1" applyAlignment="1">
      <alignment horizontal="center" vertical="center" wrapText="1"/>
    </xf>
    <xf numFmtId="0" fontId="49" fillId="8" borderId="2" xfId="1" applyFont="1" applyFill="1" applyBorder="1" applyAlignment="1">
      <alignment wrapText="1"/>
    </xf>
    <xf numFmtId="0" fontId="46" fillId="8" borderId="2" xfId="0" applyFont="1" applyFill="1" applyBorder="1"/>
    <xf numFmtId="0" fontId="46" fillId="16" borderId="2" xfId="2" applyNumberFormat="1" applyFont="1" applyFill="1" applyBorder="1" applyAlignment="1">
      <alignment horizontal="center" vertical="center"/>
    </xf>
    <xf numFmtId="14" fontId="46" fillId="16" borderId="2" xfId="2" applyNumberFormat="1" applyFont="1" applyFill="1" applyBorder="1" applyAlignment="1">
      <alignment horizontal="left" vertical="top" wrapText="1"/>
    </xf>
    <xf numFmtId="0" fontId="18" fillId="16" borderId="2" xfId="1" applyFill="1" applyBorder="1" applyAlignment="1">
      <alignment wrapText="1"/>
    </xf>
    <xf numFmtId="0" fontId="46" fillId="15" borderId="2" xfId="0" applyFont="1" applyFill="1" applyBorder="1"/>
    <xf numFmtId="14" fontId="46" fillId="15" borderId="2" xfId="2" applyNumberFormat="1" applyFont="1" applyFill="1" applyBorder="1" applyAlignment="1">
      <alignment horizontal="center" vertical="center"/>
    </xf>
    <xf numFmtId="0" fontId="18" fillId="15" borderId="2" xfId="1" applyFill="1" applyBorder="1" applyAlignment="1">
      <alignment wrapText="1"/>
    </xf>
    <xf numFmtId="0" fontId="49" fillId="16" borderId="2" xfId="1" applyFont="1" applyFill="1" applyBorder="1" applyAlignment="1">
      <alignment wrapText="1"/>
    </xf>
    <xf numFmtId="0" fontId="46" fillId="16" borderId="2" xfId="0" applyFont="1" applyFill="1" applyBorder="1" applyAlignment="1">
      <alignment wrapText="1"/>
    </xf>
    <xf numFmtId="14" fontId="46" fillId="16" borderId="20" xfId="2" applyNumberFormat="1" applyFont="1" applyFill="1" applyBorder="1" applyAlignment="1">
      <alignment horizontal="center" vertical="center"/>
    </xf>
    <xf numFmtId="0" fontId="46" fillId="16" borderId="20" xfId="2" applyFont="1" applyFill="1" applyBorder="1" applyAlignment="1">
      <alignment horizontal="left" vertical="center"/>
    </xf>
    <xf numFmtId="0" fontId="46" fillId="16" borderId="20" xfId="0" applyFont="1" applyFill="1" applyBorder="1" applyAlignment="1">
      <alignment horizontal="left" vertical="center"/>
    </xf>
    <xf numFmtId="0" fontId="46" fillId="8" borderId="2" xfId="2" applyNumberFormat="1" applyFont="1" applyFill="1" applyBorder="1" applyAlignment="1">
      <alignment vertical="center"/>
    </xf>
    <xf numFmtId="0" fontId="46" fillId="16" borderId="2" xfId="2" applyNumberFormat="1" applyFont="1" applyFill="1" applyBorder="1" applyAlignment="1">
      <alignment vertical="center"/>
    </xf>
    <xf numFmtId="0" fontId="18" fillId="8" borderId="2" xfId="1" applyFill="1" applyBorder="1" applyAlignment="1">
      <alignment horizontal="left" vertical="center" wrapText="1"/>
    </xf>
    <xf numFmtId="0" fontId="18" fillId="16" borderId="2" xfId="1" applyFill="1" applyBorder="1" applyAlignment="1">
      <alignment vertical="center" wrapText="1"/>
    </xf>
    <xf numFmtId="0" fontId="18" fillId="8" borderId="2" xfId="1" applyFill="1" applyBorder="1" applyAlignment="1">
      <alignment vertical="center" wrapText="1"/>
    </xf>
    <xf numFmtId="0" fontId="47" fillId="0" borderId="1" xfId="0" applyFont="1" applyBorder="1" applyAlignment="1">
      <alignment vertical="center"/>
    </xf>
    <xf numFmtId="0" fontId="0" fillId="16" borderId="2" xfId="0" applyFill="1" applyBorder="1" applyAlignment="1">
      <alignment vertical="center"/>
    </xf>
    <xf numFmtId="0" fontId="0" fillId="8" borderId="1" xfId="0" applyFill="1" applyBorder="1" applyAlignment="1">
      <alignment horizontal="center"/>
    </xf>
    <xf numFmtId="0" fontId="0" fillId="8" borderId="1" xfId="0" applyFill="1" applyBorder="1"/>
    <xf numFmtId="0" fontId="0" fillId="8" borderId="1" xfId="0" applyFill="1" applyBorder="1" applyAlignment="1">
      <alignment wrapText="1"/>
    </xf>
    <xf numFmtId="14" fontId="0" fillId="16" borderId="2" xfId="0" applyNumberFormat="1" applyFill="1" applyBorder="1" applyAlignment="1">
      <alignment horizontal="center" vertical="center"/>
    </xf>
    <xf numFmtId="0" fontId="0" fillId="16" borderId="12" xfId="0" applyFill="1" applyBorder="1" applyAlignment="1">
      <alignment horizontal="center" vertical="center"/>
    </xf>
    <xf numFmtId="0" fontId="46" fillId="16" borderId="2" xfId="0" applyFont="1" applyFill="1" applyBorder="1" applyAlignment="1">
      <alignment horizontal="left" vertical="center" wrapText="1"/>
    </xf>
    <xf numFmtId="0" fontId="0" fillId="8" borderId="1" xfId="0" applyFill="1" applyBorder="1" applyAlignment="1">
      <alignment horizontal="center" vertical="center"/>
    </xf>
    <xf numFmtId="0" fontId="18" fillId="8" borderId="0" xfId="1" applyFill="1" applyAlignment="1">
      <alignment vertical="center" wrapText="1"/>
    </xf>
    <xf numFmtId="0" fontId="0" fillId="8" borderId="0" xfId="0" applyFill="1" applyAlignment="1">
      <alignment vertical="center" wrapText="1"/>
    </xf>
    <xf numFmtId="14" fontId="0" fillId="16" borderId="1" xfId="0" applyNumberFormat="1" applyFill="1" applyBorder="1"/>
    <xf numFmtId="0" fontId="0" fillId="16" borderId="1" xfId="0" applyFill="1" applyBorder="1" applyAlignment="1">
      <alignment vertical="center"/>
    </xf>
    <xf numFmtId="0" fontId="22" fillId="2" borderId="12" xfId="0" applyFont="1" applyFill="1" applyBorder="1" applyAlignment="1">
      <alignment horizontal="center" wrapText="1"/>
    </xf>
    <xf numFmtId="0" fontId="0" fillId="16" borderId="0" xfId="0" applyFill="1" applyAlignment="1">
      <alignment horizontal="center" vertical="center"/>
    </xf>
    <xf numFmtId="14" fontId="0" fillId="8" borderId="1" xfId="0" applyNumberFormat="1" applyFill="1" applyBorder="1"/>
    <xf numFmtId="0" fontId="0" fillId="8" borderId="2" xfId="0" applyFill="1" applyBorder="1" applyAlignment="1">
      <alignment vertical="center"/>
    </xf>
    <xf numFmtId="0" fontId="47" fillId="0" borderId="2" xfId="0" applyFont="1" applyBorder="1" applyAlignment="1">
      <alignment vertical="center"/>
    </xf>
    <xf numFmtId="0" fontId="18" fillId="15" borderId="2" xfId="1" applyFill="1" applyBorder="1" applyAlignment="1">
      <alignment vertical="center" wrapText="1"/>
    </xf>
    <xf numFmtId="0" fontId="47" fillId="16" borderId="2" xfId="0" applyFont="1" applyFill="1" applyBorder="1" applyAlignment="1">
      <alignment vertical="center"/>
    </xf>
    <xf numFmtId="0" fontId="47" fillId="8" borderId="2" xfId="0" applyFont="1" applyFill="1" applyBorder="1" applyAlignment="1">
      <alignment vertical="center"/>
    </xf>
    <xf numFmtId="0" fontId="51" fillId="0" borderId="20" xfId="0" applyFont="1" applyBorder="1" applyAlignment="1">
      <alignment vertical="center"/>
    </xf>
    <xf numFmtId="0" fontId="51" fillId="16" borderId="1" xfId="0" applyFont="1" applyFill="1" applyBorder="1" applyAlignment="1">
      <alignment vertical="center"/>
    </xf>
    <xf numFmtId="0" fontId="46" fillId="15" borderId="1" xfId="0" applyFont="1" applyFill="1" applyBorder="1" applyAlignment="1">
      <alignment vertical="center"/>
    </xf>
    <xf numFmtId="0" fontId="51" fillId="8" borderId="1" xfId="0" applyFont="1" applyFill="1" applyBorder="1" applyAlignment="1">
      <alignment vertical="center"/>
    </xf>
    <xf numFmtId="0" fontId="6" fillId="16" borderId="20" xfId="0" applyFont="1" applyFill="1" applyBorder="1" applyAlignment="1">
      <alignment vertical="center"/>
    </xf>
    <xf numFmtId="0" fontId="46" fillId="16" borderId="20" xfId="0" applyFont="1" applyFill="1" applyBorder="1" applyAlignment="1">
      <alignment vertical="center"/>
    </xf>
    <xf numFmtId="0" fontId="46" fillId="16" borderId="20" xfId="0" applyFont="1" applyFill="1" applyBorder="1" applyAlignment="1">
      <alignment vertical="center" wrapText="1"/>
    </xf>
    <xf numFmtId="0" fontId="18" fillId="16" borderId="20" xfId="1" applyFill="1" applyBorder="1" applyAlignment="1">
      <alignment vertical="center" wrapText="1"/>
    </xf>
    <xf numFmtId="14" fontId="46" fillId="16" borderId="20" xfId="0" applyNumberFormat="1" applyFont="1" applyFill="1" applyBorder="1" applyAlignment="1">
      <alignment vertical="center" wrapText="1"/>
    </xf>
    <xf numFmtId="0" fontId="46" fillId="8" borderId="20" xfId="0" applyFont="1" applyFill="1" applyBorder="1" applyAlignment="1">
      <alignment vertical="center" wrapText="1"/>
    </xf>
    <xf numFmtId="0" fontId="46" fillId="8" borderId="20" xfId="0" applyFont="1" applyFill="1" applyBorder="1" applyAlignment="1">
      <alignment vertical="center"/>
    </xf>
    <xf numFmtId="0" fontId="18" fillId="0" borderId="0" xfId="1" applyAlignment="1">
      <alignment vertical="center" wrapText="1"/>
    </xf>
    <xf numFmtId="0" fontId="18" fillId="0" borderId="0" xfId="1" applyAlignment="1">
      <alignment vertical="center"/>
    </xf>
    <xf numFmtId="0" fontId="0" fillId="16" borderId="1" xfId="0" applyFill="1" applyBorder="1" applyAlignment="1">
      <alignment vertical="center" wrapText="1"/>
    </xf>
    <xf numFmtId="14" fontId="0" fillId="16" borderId="1" xfId="0" applyNumberFormat="1" applyFill="1" applyBorder="1" applyAlignment="1">
      <alignment vertical="center"/>
    </xf>
    <xf numFmtId="0" fontId="0" fillId="16" borderId="6" xfId="0" applyFill="1" applyBorder="1" applyAlignment="1">
      <alignment vertical="center"/>
    </xf>
    <xf numFmtId="14" fontId="0" fillId="8" borderId="1" xfId="0" applyNumberFormat="1" applyFill="1" applyBorder="1" applyAlignment="1">
      <alignment vertical="center"/>
    </xf>
    <xf numFmtId="0" fontId="0" fillId="8" borderId="1" xfId="0" applyFill="1" applyBorder="1" applyAlignment="1">
      <alignment vertical="center" wrapText="1"/>
    </xf>
    <xf numFmtId="0" fontId="0" fillId="8" borderId="6" xfId="0" applyFill="1" applyBorder="1" applyAlignment="1">
      <alignment vertical="center"/>
    </xf>
    <xf numFmtId="14" fontId="0" fillId="8" borderId="1" xfId="0" applyNumberFormat="1" applyFill="1" applyBorder="1" applyAlignment="1">
      <alignment vertical="center" wrapText="1"/>
    </xf>
    <xf numFmtId="0" fontId="47" fillId="16" borderId="0" xfId="0" applyFont="1" applyFill="1" applyAlignment="1">
      <alignment vertical="center"/>
    </xf>
    <xf numFmtId="0" fontId="18" fillId="8" borderId="1" xfId="1" applyFill="1" applyBorder="1" applyAlignment="1">
      <alignment vertical="center" wrapText="1"/>
    </xf>
    <xf numFmtId="14" fontId="46" fillId="16" borderId="2" xfId="2" applyNumberFormat="1" applyFont="1" applyFill="1" applyBorder="1" applyAlignment="1">
      <alignment vertical="center"/>
    </xf>
    <xf numFmtId="14" fontId="46" fillId="8" borderId="2" xfId="2" applyNumberFormat="1" applyFont="1" applyFill="1" applyBorder="1" applyAlignment="1">
      <alignment vertical="center"/>
    </xf>
    <xf numFmtId="14" fontId="46" fillId="15" borderId="2" xfId="0" applyNumberFormat="1" applyFont="1" applyFill="1" applyBorder="1" applyAlignment="1">
      <alignment vertical="center"/>
    </xf>
    <xf numFmtId="14" fontId="46" fillId="8" borderId="20" xfId="2" applyNumberFormat="1" applyFont="1" applyFill="1" applyBorder="1" applyAlignment="1">
      <alignment vertical="center"/>
    </xf>
    <xf numFmtId="0" fontId="46" fillId="8" borderId="20" xfId="2" applyFont="1" applyFill="1" applyBorder="1" applyAlignment="1">
      <alignment vertical="center"/>
    </xf>
    <xf numFmtId="14" fontId="46" fillId="16" borderId="1" xfId="2" applyNumberFormat="1" applyFont="1" applyFill="1" applyBorder="1" applyAlignment="1">
      <alignment vertical="center"/>
    </xf>
    <xf numFmtId="14" fontId="46" fillId="8" borderId="1" xfId="2" applyNumberFormat="1" applyFont="1" applyFill="1" applyBorder="1" applyAlignment="1">
      <alignment vertical="center"/>
    </xf>
    <xf numFmtId="0" fontId="46" fillId="8" borderId="1" xfId="2" applyFont="1" applyFill="1" applyBorder="1" applyAlignment="1">
      <alignment vertical="center"/>
    </xf>
    <xf numFmtId="15" fontId="0" fillId="8" borderId="1" xfId="0" applyNumberFormat="1" applyFill="1" applyBorder="1" applyAlignment="1">
      <alignment vertical="center" wrapText="1"/>
    </xf>
    <xf numFmtId="0" fontId="0" fillId="16" borderId="1" xfId="0" applyFill="1" applyBorder="1" applyAlignment="1">
      <alignment vertical="center" indent="2"/>
    </xf>
    <xf numFmtId="14" fontId="46" fillId="16" borderId="20" xfId="2" applyNumberFormat="1" applyFont="1" applyFill="1" applyBorder="1" applyAlignment="1">
      <alignment vertical="center"/>
    </xf>
    <xf numFmtId="14" fontId="46" fillId="16" borderId="20" xfId="0" applyNumberFormat="1" applyFont="1" applyFill="1" applyBorder="1" applyAlignment="1">
      <alignment vertical="center"/>
    </xf>
    <xf numFmtId="0" fontId="54" fillId="0" borderId="1" xfId="0" applyFont="1" applyBorder="1" applyAlignment="1">
      <alignment vertical="center" wrapText="1"/>
    </xf>
    <xf numFmtId="0" fontId="0" fillId="16" borderId="1" xfId="0" applyFill="1" applyBorder="1" applyAlignment="1">
      <alignment horizontal="center"/>
    </xf>
    <xf numFmtId="0" fontId="0" fillId="16" borderId="1" xfId="0" applyFill="1" applyBorder="1"/>
    <xf numFmtId="0" fontId="0" fillId="16" borderId="1" xfId="0" applyFill="1" applyBorder="1" applyAlignment="1">
      <alignment wrapText="1"/>
    </xf>
    <xf numFmtId="0" fontId="0" fillId="16" borderId="6" xfId="0" applyFill="1" applyBorder="1"/>
    <xf numFmtId="0" fontId="0" fillId="16" borderId="1" xfId="0" applyFill="1" applyBorder="1" applyAlignment="1">
      <alignment horizontal="center" vertical="center"/>
    </xf>
    <xf numFmtId="0" fontId="46" fillId="16" borderId="20" xfId="0" applyFont="1" applyFill="1" applyBorder="1" applyAlignment="1">
      <alignment horizontal="center" vertical="center"/>
    </xf>
    <xf numFmtId="0" fontId="51" fillId="16" borderId="2" xfId="0" applyFont="1" applyFill="1" applyBorder="1" applyAlignment="1">
      <alignment vertical="center"/>
    </xf>
    <xf numFmtId="0" fontId="51" fillId="8" borderId="2" xfId="0" applyFont="1" applyFill="1" applyBorder="1" applyAlignment="1">
      <alignment vertical="center"/>
    </xf>
    <xf numFmtId="0" fontId="49" fillId="8" borderId="2" xfId="1" applyFont="1" applyFill="1" applyBorder="1" applyAlignment="1">
      <alignment vertical="center" wrapText="1"/>
    </xf>
    <xf numFmtId="0" fontId="49" fillId="16" borderId="2" xfId="1" applyFont="1" applyFill="1" applyBorder="1" applyAlignment="1">
      <alignment vertical="center" wrapText="1"/>
    </xf>
    <xf numFmtId="0" fontId="46" fillId="16" borderId="9" xfId="0" applyFont="1" applyFill="1" applyBorder="1" applyAlignment="1">
      <alignment vertical="center"/>
    </xf>
    <xf numFmtId="0" fontId="46" fillId="16" borderId="20" xfId="2" applyFont="1" applyFill="1" applyBorder="1" applyAlignment="1">
      <alignment vertical="center"/>
    </xf>
    <xf numFmtId="0" fontId="47" fillId="0" borderId="0" xfId="0" applyFont="1"/>
    <xf numFmtId="0" fontId="18" fillId="16" borderId="0" xfId="1" applyFill="1" applyAlignment="1">
      <alignment vertical="center" wrapText="1"/>
    </xf>
    <xf numFmtId="0" fontId="55" fillId="16" borderId="0" xfId="0" applyFont="1" applyFill="1" applyAlignment="1">
      <alignment wrapText="1"/>
    </xf>
    <xf numFmtId="0" fontId="51" fillId="0" borderId="2" xfId="0" applyFont="1" applyBorder="1" applyAlignment="1">
      <alignment vertical="center"/>
    </xf>
    <xf numFmtId="14" fontId="46" fillId="0" borderId="2" xfId="2" applyNumberFormat="1" applyFont="1" applyFill="1" applyBorder="1" applyAlignment="1">
      <alignment vertical="center"/>
    </xf>
    <xf numFmtId="0" fontId="46" fillId="0" borderId="2" xfId="2" applyFont="1" applyFill="1" applyBorder="1" applyAlignment="1">
      <alignment vertical="center"/>
    </xf>
    <xf numFmtId="0" fontId="46" fillId="0" borderId="2" xfId="0" applyFont="1" applyBorder="1" applyAlignment="1">
      <alignment vertical="center"/>
    </xf>
    <xf numFmtId="14" fontId="46" fillId="0" borderId="2" xfId="0" applyNumberFormat="1" applyFont="1" applyBorder="1" applyAlignment="1">
      <alignment vertical="center"/>
    </xf>
    <xf numFmtId="0" fontId="46" fillId="0" borderId="2" xfId="0" applyFont="1" applyBorder="1" applyAlignment="1">
      <alignment vertical="center" wrapText="1"/>
    </xf>
    <xf numFmtId="0" fontId="49" fillId="0" borderId="2" xfId="1" applyFont="1" applyFill="1" applyBorder="1" applyAlignment="1">
      <alignment vertical="center" wrapText="1"/>
    </xf>
    <xf numFmtId="0" fontId="5" fillId="0" borderId="1" xfId="0" applyFont="1" applyBorder="1"/>
    <xf numFmtId="0" fontId="5" fillId="0" borderId="0" xfId="0" applyFont="1"/>
    <xf numFmtId="0" fontId="45" fillId="0" borderId="1" xfId="0" applyFont="1" applyBorder="1"/>
    <xf numFmtId="0" fontId="45" fillId="0" borderId="3" xfId="0" applyFont="1" applyBorder="1"/>
    <xf numFmtId="0" fontId="57" fillId="17" borderId="1" xfId="0" applyFont="1" applyFill="1" applyBorder="1"/>
    <xf numFmtId="0" fontId="45" fillId="18" borderId="1" xfId="0" applyFont="1" applyFill="1" applyBorder="1"/>
    <xf numFmtId="0" fontId="5" fillId="0" borderId="2" xfId="0" applyFont="1" applyBorder="1"/>
    <xf numFmtId="0" fontId="5" fillId="0" borderId="2" xfId="0" applyFont="1" applyBorder="1" applyAlignment="1">
      <alignment wrapText="1"/>
    </xf>
    <xf numFmtId="0" fontId="46" fillId="16" borderId="11" xfId="0" applyFont="1" applyFill="1" applyBorder="1" applyAlignment="1">
      <alignment vertical="center" wrapText="1"/>
    </xf>
    <xf numFmtId="0" fontId="46" fillId="8" borderId="11" xfId="0" applyFont="1" applyFill="1" applyBorder="1" applyAlignment="1">
      <alignment vertical="center" wrapText="1"/>
    </xf>
    <xf numFmtId="0" fontId="46" fillId="0" borderId="11" xfId="0" applyFont="1" applyBorder="1" applyAlignment="1">
      <alignment vertical="center" wrapText="1"/>
    </xf>
    <xf numFmtId="0" fontId="46" fillId="15" borderId="3" xfId="0" applyFont="1" applyFill="1" applyBorder="1" applyAlignment="1">
      <alignment vertical="center"/>
    </xf>
    <xf numFmtId="0" fontId="46" fillId="16" borderId="20" xfId="2" applyFont="1" applyFill="1" applyBorder="1" applyAlignment="1">
      <alignment horizontal="center" vertical="center"/>
    </xf>
    <xf numFmtId="0" fontId="51" fillId="8" borderId="2" xfId="0" applyFont="1" applyFill="1" applyBorder="1" applyAlignment="1">
      <alignment horizontal="center" vertical="center"/>
    </xf>
    <xf numFmtId="0" fontId="46" fillId="15" borderId="1" xfId="0" applyFont="1" applyFill="1" applyBorder="1" applyAlignment="1">
      <alignment vertical="center" wrapText="1"/>
    </xf>
    <xf numFmtId="0" fontId="46" fillId="16" borderId="20" xfId="2" applyFont="1" applyFill="1" applyBorder="1" applyAlignment="1">
      <alignment horizontal="left" vertical="top" wrapText="1"/>
    </xf>
    <xf numFmtId="0" fontId="46" fillId="8" borderId="2" xfId="0" applyFont="1" applyFill="1" applyBorder="1" applyAlignment="1">
      <alignment horizontal="left" vertical="center"/>
    </xf>
    <xf numFmtId="0" fontId="51" fillId="16" borderId="2" xfId="0" applyFont="1" applyFill="1" applyBorder="1" applyAlignment="1">
      <alignment horizontal="center" vertical="center"/>
    </xf>
    <xf numFmtId="0" fontId="46" fillId="16" borderId="20" xfId="2" applyFont="1" applyFill="1" applyBorder="1" applyAlignment="1">
      <alignment horizontal="left" vertical="center" wrapText="1"/>
    </xf>
    <xf numFmtId="14" fontId="46" fillId="16" borderId="3" xfId="0" applyNumberFormat="1" applyFont="1" applyFill="1" applyBorder="1" applyAlignment="1">
      <alignment vertical="center" wrapText="1"/>
    </xf>
    <xf numFmtId="0" fontId="46" fillId="16" borderId="20" xfId="2" applyFont="1" applyFill="1" applyBorder="1" applyAlignment="1">
      <alignment horizontal="center" vertical="center" wrapText="1"/>
    </xf>
    <xf numFmtId="0" fontId="47" fillId="16" borderId="0" xfId="0" applyFont="1" applyFill="1" applyAlignment="1">
      <alignment horizontal="center" vertical="center" indent="1"/>
    </xf>
    <xf numFmtId="0" fontId="47" fillId="16" borderId="0" xfId="0" applyFont="1" applyFill="1" applyAlignment="1">
      <alignment horizontal="left" vertical="center" indent="1"/>
    </xf>
    <xf numFmtId="0" fontId="58" fillId="0" borderId="1" xfId="0" applyFont="1" applyBorder="1"/>
    <xf numFmtId="0" fontId="4" fillId="2" borderId="11" xfId="0" applyFont="1" applyFill="1" applyBorder="1" applyAlignment="1">
      <alignment horizontal="center" wrapText="1"/>
    </xf>
    <xf numFmtId="0" fontId="0" fillId="0" borderId="1" xfId="0" applyBorder="1" applyAlignment="1">
      <alignment horizontal="center" wrapText="1"/>
    </xf>
    <xf numFmtId="0" fontId="46" fillId="8" borderId="20" xfId="2" applyFont="1" applyFill="1" applyBorder="1" applyAlignment="1">
      <alignment horizontal="center" vertical="center"/>
    </xf>
    <xf numFmtId="14" fontId="0" fillId="0" borderId="0" xfId="0" applyNumberFormat="1" applyAlignment="1">
      <alignment horizontal="center" vertical="center" indent="1"/>
    </xf>
    <xf numFmtId="0" fontId="46" fillId="16" borderId="2" xfId="0" applyFont="1" applyFill="1" applyBorder="1" applyAlignment="1">
      <alignment vertical="top" wrapText="1"/>
    </xf>
    <xf numFmtId="0" fontId="46" fillId="8" borderId="2" xfId="0" applyFont="1" applyFill="1" applyBorder="1" applyAlignment="1">
      <alignment vertical="top" wrapText="1"/>
    </xf>
    <xf numFmtId="14" fontId="46" fillId="16" borderId="20" xfId="2" applyNumberFormat="1" applyFont="1" applyFill="1" applyBorder="1" applyAlignment="1">
      <alignment horizontal="left" vertical="top" wrapText="1"/>
    </xf>
    <xf numFmtId="14" fontId="0" fillId="0" borderId="1" xfId="0" applyNumberFormat="1" applyBorder="1" applyAlignment="1">
      <alignment wrapText="1"/>
    </xf>
    <xf numFmtId="14" fontId="5" fillId="0" borderId="1" xfId="0" applyNumberFormat="1" applyFont="1" applyBorder="1"/>
    <xf numFmtId="0" fontId="0" fillId="0" borderId="1" xfId="0" applyBorder="1" applyAlignment="1">
      <alignment horizontal="center" vertical="center" indent="1"/>
    </xf>
    <xf numFmtId="14" fontId="46" fillId="8" borderId="2" xfId="0" applyNumberFormat="1" applyFont="1" applyFill="1" applyBorder="1" applyAlignment="1">
      <alignment vertical="center" wrapText="1"/>
    </xf>
    <xf numFmtId="0" fontId="47" fillId="0" borderId="0" xfId="0" applyFont="1" applyAlignment="1">
      <alignment horizontal="center" vertical="center"/>
    </xf>
    <xf numFmtId="14" fontId="46" fillId="16" borderId="2" xfId="0" applyNumberFormat="1" applyFont="1" applyFill="1" applyBorder="1" applyAlignment="1">
      <alignment vertical="center" wrapText="1"/>
    </xf>
    <xf numFmtId="14" fontId="46" fillId="16" borderId="11" xfId="2" applyNumberFormat="1" applyFont="1" applyFill="1" applyBorder="1" applyAlignment="1">
      <alignment vertical="center"/>
    </xf>
    <xf numFmtId="14" fontId="46" fillId="8" borderId="11" xfId="2" applyNumberFormat="1" applyFont="1" applyFill="1" applyBorder="1" applyAlignment="1">
      <alignment vertical="center"/>
    </xf>
    <xf numFmtId="0" fontId="0" fillId="16" borderId="3" xfId="0" applyFill="1" applyBorder="1" applyAlignment="1">
      <alignment horizontal="center" vertical="center"/>
    </xf>
    <xf numFmtId="0" fontId="46" fillId="16" borderId="12" xfId="2" applyFont="1" applyFill="1" applyBorder="1" applyAlignment="1">
      <alignment horizontal="center" vertical="center"/>
    </xf>
    <xf numFmtId="0" fontId="46" fillId="8" borderId="12" xfId="2" applyFont="1" applyFill="1" applyBorder="1" applyAlignment="1">
      <alignment horizontal="center" vertical="center"/>
    </xf>
    <xf numFmtId="0" fontId="47" fillId="0" borderId="1" xfId="0" applyFont="1" applyBorder="1" applyAlignment="1">
      <alignment horizontal="center" vertical="center"/>
    </xf>
    <xf numFmtId="0" fontId="47" fillId="16" borderId="1" xfId="0" applyFont="1" applyFill="1" applyBorder="1" applyAlignment="1">
      <alignment horizontal="center" vertical="center"/>
    </xf>
    <xf numFmtId="0" fontId="46" fillId="16" borderId="15" xfId="2" applyFont="1" applyFill="1" applyBorder="1" applyAlignment="1">
      <alignment horizontal="center" vertical="center"/>
    </xf>
    <xf numFmtId="0" fontId="47" fillId="8" borderId="6" xfId="0" applyFont="1" applyFill="1" applyBorder="1" applyAlignment="1">
      <alignment horizontal="center" vertical="center"/>
    </xf>
    <xf numFmtId="0" fontId="46" fillId="8" borderId="5" xfId="0" applyFont="1" applyFill="1" applyBorder="1" applyAlignment="1">
      <alignment horizontal="center" vertical="center"/>
    </xf>
    <xf numFmtId="0" fontId="0" fillId="16" borderId="2" xfId="0" applyFill="1" applyBorder="1" applyAlignment="1">
      <alignment horizontal="center" vertical="center"/>
    </xf>
    <xf numFmtId="0" fontId="46" fillId="8" borderId="12" xfId="0" applyFont="1" applyFill="1" applyBorder="1" applyAlignment="1">
      <alignment vertical="center"/>
    </xf>
    <xf numFmtId="0" fontId="49" fillId="15" borderId="2" xfId="1" applyFont="1" applyFill="1" applyBorder="1" applyAlignment="1">
      <alignment vertical="center" wrapText="1"/>
    </xf>
    <xf numFmtId="0" fontId="0" fillId="0" borderId="5" xfId="0" applyBorder="1" applyAlignment="1">
      <alignment vertical="center" wrapText="1"/>
    </xf>
    <xf numFmtId="0" fontId="46" fillId="16" borderId="1" xfId="0" applyFont="1" applyFill="1" applyBorder="1" applyAlignment="1">
      <alignment horizontal="left" vertical="center" wrapText="1"/>
    </xf>
    <xf numFmtId="14" fontId="46" fillId="15" borderId="2" xfId="0" applyNumberFormat="1" applyFont="1" applyFill="1" applyBorder="1" applyAlignment="1">
      <alignment vertical="center" wrapText="1"/>
    </xf>
    <xf numFmtId="0" fontId="47" fillId="8" borderId="2" xfId="0" applyFont="1" applyFill="1" applyBorder="1" applyAlignment="1">
      <alignment horizontal="center" vertical="center"/>
    </xf>
    <xf numFmtId="0" fontId="47" fillId="8" borderId="0" xfId="0" applyFont="1" applyFill="1"/>
    <xf numFmtId="0" fontId="47" fillId="16" borderId="2" xfId="0" applyFont="1" applyFill="1" applyBorder="1" applyAlignment="1">
      <alignment horizontal="center" vertical="center"/>
    </xf>
    <xf numFmtId="0" fontId="47" fillId="16" borderId="0" xfId="0" applyFont="1" applyFill="1"/>
    <xf numFmtId="0" fontId="51" fillId="8" borderId="1" xfId="2" applyFont="1" applyFill="1" applyBorder="1" applyAlignment="1">
      <alignment horizontal="center" vertical="center"/>
    </xf>
    <xf numFmtId="0" fontId="51" fillId="8" borderId="1" xfId="0" applyFont="1" applyFill="1" applyBorder="1" applyAlignment="1">
      <alignment horizontal="center" vertical="center"/>
    </xf>
    <xf numFmtId="0" fontId="51" fillId="8" borderId="1" xfId="0" applyFont="1" applyFill="1" applyBorder="1"/>
    <xf numFmtId="14" fontId="46" fillId="8" borderId="2" xfId="2" applyNumberFormat="1" applyFont="1" applyFill="1" applyBorder="1" applyAlignment="1">
      <alignment vertical="center" wrapText="1"/>
    </xf>
    <xf numFmtId="14" fontId="46" fillId="16" borderId="2" xfId="2" applyNumberFormat="1" applyFont="1" applyFill="1" applyBorder="1" applyAlignment="1">
      <alignment vertical="center" wrapText="1"/>
    </xf>
    <xf numFmtId="0" fontId="51" fillId="16" borderId="1" xfId="2" applyFont="1" applyFill="1" applyBorder="1" applyAlignment="1">
      <alignment horizontal="center" vertical="center"/>
    </xf>
    <xf numFmtId="0" fontId="51" fillId="16" borderId="1" xfId="0" applyFont="1" applyFill="1" applyBorder="1" applyAlignment="1">
      <alignment horizontal="center" vertical="center"/>
    </xf>
    <xf numFmtId="0" fontId="51" fillId="16" borderId="1" xfId="0" applyFont="1" applyFill="1" applyBorder="1"/>
    <xf numFmtId="0" fontId="22" fillId="2" borderId="1" xfId="0" applyFont="1" applyFill="1" applyBorder="1" applyAlignment="1">
      <alignment horizontal="center" vertical="center" wrapText="1"/>
    </xf>
    <xf numFmtId="49" fontId="0" fillId="12" borderId="1" xfId="0" applyNumberFormat="1" applyFill="1" applyBorder="1" applyAlignment="1">
      <alignment vertical="center"/>
    </xf>
    <xf numFmtId="49" fontId="4" fillId="2" borderId="1" xfId="0" applyNumberFormat="1" applyFont="1" applyFill="1" applyBorder="1" applyAlignment="1">
      <alignment horizontal="center" vertical="center" wrapText="1"/>
    </xf>
    <xf numFmtId="49" fontId="6" fillId="8" borderId="1" xfId="0" applyNumberFormat="1" applyFont="1" applyFill="1" applyBorder="1" applyAlignment="1">
      <alignment horizontal="center" vertical="center"/>
    </xf>
    <xf numFmtId="0" fontId="22" fillId="2" borderId="6" xfId="0" applyFont="1" applyFill="1" applyBorder="1" applyAlignment="1">
      <alignment horizontal="center" vertical="center" wrapText="1"/>
    </xf>
    <xf numFmtId="0" fontId="6" fillId="0" borderId="6" xfId="0" applyFont="1" applyBorder="1" applyAlignment="1">
      <alignment horizontal="center" vertical="center"/>
    </xf>
    <xf numFmtId="0" fontId="42" fillId="0" borderId="11" xfId="0" applyFont="1" applyBorder="1" applyAlignment="1">
      <alignment horizontal="center" vertical="center"/>
    </xf>
    <xf numFmtId="0" fontId="0" fillId="8" borderId="11" xfId="0" applyFill="1" applyBorder="1" applyAlignment="1">
      <alignment horizontal="center" vertical="center"/>
    </xf>
    <xf numFmtId="0" fontId="0" fillId="0" borderId="21" xfId="0" applyBorder="1" applyAlignment="1">
      <alignment horizontal="center" vertical="center"/>
    </xf>
    <xf numFmtId="49" fontId="4" fillId="2" borderId="7" xfId="0" applyNumberFormat="1" applyFont="1" applyFill="1" applyBorder="1" applyAlignment="1">
      <alignment horizontal="center" vertical="center" wrapText="1"/>
    </xf>
    <xf numFmtId="0" fontId="6" fillId="0" borderId="5" xfId="0" applyFont="1" applyBorder="1" applyAlignment="1">
      <alignment horizontal="center" vertical="center"/>
    </xf>
    <xf numFmtId="49" fontId="6" fillId="0" borderId="7" xfId="0" applyNumberFormat="1" applyFont="1" applyBorder="1" applyAlignment="1">
      <alignment horizontal="center" vertical="center"/>
    </xf>
    <xf numFmtId="49" fontId="6" fillId="0" borderId="4" xfId="0" applyNumberFormat="1" applyFont="1" applyBorder="1" applyAlignment="1">
      <alignment horizontal="center" vertical="center"/>
    </xf>
    <xf numFmtId="49" fontId="6" fillId="0" borderId="5" xfId="0" applyNumberFormat="1" applyFont="1" applyBorder="1" applyAlignment="1">
      <alignment horizontal="center" vertical="center"/>
    </xf>
    <xf numFmtId="49" fontId="6" fillId="0" borderId="9" xfId="0" applyNumberFormat="1" applyFont="1" applyBorder="1" applyAlignment="1">
      <alignment horizontal="center" vertical="center"/>
    </xf>
    <xf numFmtId="49" fontId="6" fillId="8" borderId="9" xfId="0" applyNumberFormat="1" applyFont="1" applyFill="1" applyBorder="1" applyAlignment="1">
      <alignment horizontal="center" vertical="center"/>
    </xf>
    <xf numFmtId="0" fontId="0" fillId="0" borderId="9" xfId="0" applyBorder="1" applyAlignment="1">
      <alignment horizontal="left" vertical="center" wrapText="1"/>
    </xf>
    <xf numFmtId="0" fontId="0" fillId="0" borderId="9" xfId="0" applyBorder="1" applyAlignment="1">
      <alignment vertical="center" wrapText="1"/>
    </xf>
    <xf numFmtId="0" fontId="0" fillId="0" borderId="10" xfId="0" applyBorder="1" applyAlignment="1">
      <alignment horizontal="left" vertical="center" wrapText="1"/>
    </xf>
    <xf numFmtId="0" fontId="0" fillId="0" borderId="22" xfId="0" applyBorder="1" applyAlignment="1">
      <alignment vertical="center" wrapText="1"/>
    </xf>
    <xf numFmtId="0" fontId="51" fillId="8" borderId="1" xfId="0" applyFont="1" applyFill="1" applyBorder="1" applyAlignment="1">
      <alignment horizontal="left" vertical="center"/>
    </xf>
    <xf numFmtId="14" fontId="19" fillId="0" borderId="0" xfId="0" applyNumberFormat="1" applyFont="1"/>
    <xf numFmtId="14" fontId="0" fillId="16" borderId="1" xfId="0" applyNumberFormat="1" applyFill="1" applyBorder="1" applyAlignment="1">
      <alignment wrapText="1"/>
    </xf>
    <xf numFmtId="0" fontId="0" fillId="16" borderId="2" xfId="0" applyFill="1" applyBorder="1" applyAlignment="1">
      <alignment horizontal="center"/>
    </xf>
    <xf numFmtId="0" fontId="0" fillId="16" borderId="2" xfId="0" applyFill="1" applyBorder="1"/>
    <xf numFmtId="14" fontId="0" fillId="16" borderId="2" xfId="0" applyNumberFormat="1" applyFill="1" applyBorder="1"/>
    <xf numFmtId="0" fontId="0" fillId="16" borderId="2" xfId="0" applyFill="1" applyBorder="1" applyAlignment="1">
      <alignment wrapText="1"/>
    </xf>
    <xf numFmtId="0" fontId="0" fillId="0" borderId="2" xfId="0" applyBorder="1" applyAlignment="1">
      <alignment horizontal="center"/>
    </xf>
    <xf numFmtId="14" fontId="0" fillId="8" borderId="2" xfId="0" applyNumberFormat="1" applyFill="1" applyBorder="1"/>
    <xf numFmtId="0" fontId="0" fillId="8" borderId="2" xfId="0" applyFill="1" applyBorder="1"/>
    <xf numFmtId="0" fontId="0" fillId="8" borderId="2" xfId="0" applyFill="1" applyBorder="1" applyAlignment="1">
      <alignment wrapText="1"/>
    </xf>
    <xf numFmtId="14" fontId="19" fillId="0" borderId="2" xfId="0" applyNumberFormat="1" applyFont="1" applyBorder="1"/>
    <xf numFmtId="0" fontId="51" fillId="16" borderId="2" xfId="2" applyFont="1" applyFill="1" applyBorder="1" applyAlignment="1">
      <alignment horizontal="center" vertical="center"/>
    </xf>
    <xf numFmtId="0" fontId="51" fillId="8" borderId="2" xfId="2" applyFont="1" applyFill="1" applyBorder="1" applyAlignment="1">
      <alignment horizontal="center" vertical="center"/>
    </xf>
    <xf numFmtId="0" fontId="0" fillId="16" borderId="0" xfId="0" applyFill="1" applyAlignment="1">
      <alignment horizontal="center"/>
    </xf>
    <xf numFmtId="0" fontId="51" fillId="16" borderId="6" xfId="0" applyFont="1" applyFill="1" applyBorder="1" applyAlignment="1">
      <alignment horizontal="center" vertical="center"/>
    </xf>
    <xf numFmtId="0" fontId="19" fillId="16" borderId="1" xfId="0" applyFont="1" applyFill="1" applyBorder="1"/>
    <xf numFmtId="0" fontId="50" fillId="16" borderId="2" xfId="0" applyFont="1" applyFill="1" applyBorder="1" applyAlignment="1">
      <alignment vertical="center" wrapText="1"/>
    </xf>
    <xf numFmtId="0" fontId="47" fillId="16" borderId="0" xfId="0" applyFont="1" applyFill="1" applyAlignment="1">
      <alignment horizontal="center" vertical="center"/>
    </xf>
    <xf numFmtId="0" fontId="47" fillId="8" borderId="0" xfId="0" applyFont="1" applyFill="1" applyAlignment="1">
      <alignment horizontal="center" vertical="center"/>
    </xf>
    <xf numFmtId="0" fontId="46" fillId="8" borderId="2" xfId="2" applyFont="1" applyFill="1" applyBorder="1" applyAlignment="1">
      <alignment horizontal="center" vertical="center" wrapText="1"/>
    </xf>
    <xf numFmtId="14" fontId="46" fillId="16" borderId="2" xfId="0" applyNumberFormat="1" applyFont="1" applyFill="1" applyBorder="1" applyAlignment="1">
      <alignment horizontal="center" vertical="center" wrapText="1"/>
    </xf>
    <xf numFmtId="0" fontId="45" fillId="0" borderId="1" xfId="0" applyFont="1" applyBorder="1" applyAlignment="1">
      <alignment wrapText="1"/>
    </xf>
    <xf numFmtId="0" fontId="46" fillId="16" borderId="2" xfId="2" applyFont="1" applyFill="1" applyBorder="1" applyAlignment="1">
      <alignment horizontal="left"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36" fillId="0" borderId="1" xfId="0" applyFont="1" applyBorder="1" applyAlignment="1">
      <alignment horizontal="center" vertical="center"/>
    </xf>
    <xf numFmtId="0" fontId="0" fillId="0" borderId="1" xfId="0" applyBorder="1" applyAlignment="1">
      <alignment horizontal="left" vertical="center"/>
    </xf>
    <xf numFmtId="0" fontId="7" fillId="0" borderId="1" xfId="0" applyFont="1" applyBorder="1" applyAlignment="1">
      <alignment horizontal="left" vertical="center" wrapText="1"/>
    </xf>
    <xf numFmtId="0" fontId="7" fillId="0" borderId="1" xfId="0"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left" vertical="center"/>
    </xf>
    <xf numFmtId="0" fontId="0" fillId="0" borderId="3" xfId="0" applyBorder="1" applyAlignment="1">
      <alignment horizontal="left" vertical="center"/>
    </xf>
    <xf numFmtId="0" fontId="7" fillId="0" borderId="12" xfId="0" applyFont="1" applyBorder="1" applyAlignment="1">
      <alignment horizontal="center" vertical="center" wrapText="1"/>
    </xf>
    <xf numFmtId="0" fontId="39" fillId="0" borderId="1" xfId="0" applyFont="1" applyBorder="1" applyAlignment="1">
      <alignment horizontal="left" vertical="center"/>
    </xf>
    <xf numFmtId="0" fontId="7" fillId="0" borderId="1" xfId="0" applyFont="1" applyBorder="1" applyAlignment="1">
      <alignment horizontal="left" vertical="center"/>
    </xf>
    <xf numFmtId="0" fontId="21" fillId="0" borderId="2"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3" xfId="0" applyFont="1" applyBorder="1" applyAlignment="1">
      <alignment horizontal="center" vertical="center" wrapText="1"/>
    </xf>
    <xf numFmtId="0" fontId="0" fillId="0" borderId="10" xfId="0" applyBorder="1" applyAlignment="1">
      <alignment horizontal="center"/>
    </xf>
    <xf numFmtId="0" fontId="7" fillId="0" borderId="6" xfId="0" applyFont="1" applyBorder="1" applyAlignment="1">
      <alignment wrapText="1"/>
    </xf>
    <xf numFmtId="0" fontId="45" fillId="0" borderId="8" xfId="0" applyFont="1" applyBorder="1" applyAlignment="1"/>
    <xf numFmtId="0" fontId="45" fillId="0" borderId="7" xfId="0" applyFont="1" applyBorder="1" applyAlignment="1"/>
    <xf numFmtId="0" fontId="1" fillId="8" borderId="2" xfId="2" applyFont="1" applyFill="1" applyBorder="1" applyAlignment="1">
      <alignment horizontal="center" vertical="center"/>
    </xf>
    <xf numFmtId="0" fontId="1" fillId="8" borderId="2" xfId="2" applyFont="1" applyFill="1" applyBorder="1" applyAlignment="1">
      <alignment vertical="center"/>
    </xf>
    <xf numFmtId="0" fontId="1" fillId="16" borderId="2" xfId="2" applyFont="1" applyFill="1" applyBorder="1" applyAlignment="1">
      <alignment horizontal="center" vertical="center"/>
    </xf>
    <xf numFmtId="0" fontId="1" fillId="16" borderId="2" xfId="2" applyFont="1" applyFill="1" applyBorder="1" applyAlignment="1">
      <alignment vertical="center"/>
    </xf>
    <xf numFmtId="0" fontId="1" fillId="8" borderId="2" xfId="0" applyFont="1" applyFill="1" applyBorder="1" applyAlignment="1">
      <alignment horizontal="center" vertical="center"/>
    </xf>
    <xf numFmtId="0" fontId="1" fillId="8" borderId="2" xfId="0" applyFont="1" applyFill="1" applyBorder="1" applyAlignment="1">
      <alignment vertical="center"/>
    </xf>
    <xf numFmtId="0" fontId="1" fillId="16" borderId="2" xfId="0" applyFont="1" applyFill="1" applyBorder="1" applyAlignment="1">
      <alignment horizontal="center" vertical="center"/>
    </xf>
    <xf numFmtId="0" fontId="1" fillId="16" borderId="2" xfId="0" applyFont="1" applyFill="1" applyBorder="1" applyAlignment="1">
      <alignment vertical="center"/>
    </xf>
    <xf numFmtId="0" fontId="1" fillId="16" borderId="1" xfId="2" applyFont="1" applyFill="1" applyBorder="1" applyAlignment="1">
      <alignment horizontal="center" vertical="center"/>
    </xf>
    <xf numFmtId="0" fontId="1" fillId="16" borderId="2" xfId="2" applyFont="1" applyFill="1" applyBorder="1" applyAlignment="1">
      <alignment horizontal="center" vertical="center" wrapText="1"/>
    </xf>
    <xf numFmtId="0" fontId="1" fillId="8" borderId="1" xfId="2" applyFont="1" applyFill="1" applyBorder="1" applyAlignment="1">
      <alignment horizontal="center" vertical="center"/>
    </xf>
    <xf numFmtId="0" fontId="1" fillId="8" borderId="9" xfId="0" applyFont="1" applyFill="1" applyBorder="1" applyAlignment="1">
      <alignment horizontal="center" vertical="center"/>
    </xf>
    <xf numFmtId="0" fontId="1" fillId="16" borderId="9" xfId="0" applyFont="1" applyFill="1" applyBorder="1" applyAlignment="1">
      <alignment horizontal="center" vertical="center"/>
    </xf>
    <xf numFmtId="0" fontId="1" fillId="16" borderId="1" xfId="0" applyFont="1" applyFill="1" applyBorder="1" applyAlignment="1">
      <alignment horizontal="center" vertical="center"/>
    </xf>
    <xf numFmtId="0" fontId="1" fillId="16" borderId="1" xfId="0" applyFont="1" applyFill="1" applyBorder="1" applyAlignment="1">
      <alignment vertical="center"/>
    </xf>
    <xf numFmtId="0" fontId="1" fillId="8" borderId="1" xfId="0" applyFont="1" applyFill="1" applyBorder="1" applyAlignment="1">
      <alignment horizontal="center" vertical="center"/>
    </xf>
    <xf numFmtId="0" fontId="1" fillId="8" borderId="1" xfId="0" applyFont="1" applyFill="1" applyBorder="1" applyAlignment="1">
      <alignment vertical="center"/>
    </xf>
    <xf numFmtId="0" fontId="1" fillId="16" borderId="13" xfId="0" applyFont="1" applyFill="1" applyBorder="1" applyAlignment="1">
      <alignment horizontal="center" vertical="center"/>
    </xf>
    <xf numFmtId="0" fontId="1" fillId="15" borderId="2" xfId="0" applyFont="1" applyFill="1" applyBorder="1" applyAlignment="1">
      <alignment horizontal="center" vertical="center"/>
    </xf>
    <xf numFmtId="0" fontId="1" fillId="15" borderId="2" xfId="0" applyFont="1" applyFill="1" applyBorder="1" applyAlignment="1">
      <alignment vertical="center"/>
    </xf>
    <xf numFmtId="0" fontId="1" fillId="0" borderId="2" xfId="0" applyFont="1" applyBorder="1" applyAlignment="1">
      <alignment vertical="center"/>
    </xf>
    <xf numFmtId="0" fontId="1" fillId="16" borderId="20" xfId="2" applyFont="1" applyFill="1" applyBorder="1" applyAlignment="1">
      <alignment vertical="center"/>
    </xf>
    <xf numFmtId="0" fontId="1" fillId="16" borderId="20" xfId="0" applyFont="1" applyFill="1" applyBorder="1" applyAlignment="1">
      <alignment vertical="center"/>
    </xf>
    <xf numFmtId="0" fontId="1" fillId="16" borderId="9" xfId="0" applyFont="1" applyFill="1" applyBorder="1" applyAlignment="1">
      <alignment vertical="center"/>
    </xf>
    <xf numFmtId="0" fontId="1" fillId="8" borderId="20" xfId="2" applyFont="1" applyFill="1" applyBorder="1" applyAlignment="1">
      <alignment vertical="center"/>
    </xf>
    <xf numFmtId="0" fontId="1" fillId="15" borderId="20" xfId="0" applyFont="1" applyFill="1" applyBorder="1" applyAlignment="1">
      <alignment vertical="center"/>
    </xf>
    <xf numFmtId="0" fontId="1" fillId="16" borderId="2" xfId="0" applyFont="1" applyFill="1" applyBorder="1" applyAlignment="1">
      <alignment horizontal="left" vertical="center"/>
    </xf>
    <xf numFmtId="0" fontId="1" fillId="8" borderId="2" xfId="0" applyFont="1" applyFill="1" applyBorder="1" applyAlignment="1">
      <alignment horizontal="left" vertical="center"/>
    </xf>
    <xf numFmtId="0" fontId="1" fillId="16" borderId="2" xfId="2" applyFont="1" applyFill="1" applyBorder="1" applyAlignment="1">
      <alignment horizontal="left" vertical="center"/>
    </xf>
    <xf numFmtId="0" fontId="1" fillId="8" borderId="2" xfId="2" applyFont="1" applyFill="1" applyBorder="1" applyAlignment="1">
      <alignment horizontal="left" vertical="center"/>
    </xf>
    <xf numFmtId="0" fontId="1" fillId="16" borderId="2" xfId="0" applyFont="1" applyFill="1" applyBorder="1" applyAlignment="1">
      <alignment horizontal="center"/>
    </xf>
    <xf numFmtId="0" fontId="1" fillId="16" borderId="2" xfId="0" applyFont="1" applyFill="1" applyBorder="1"/>
    <xf numFmtId="0" fontId="1" fillId="15" borderId="2" xfId="2" applyFont="1" applyFill="1" applyBorder="1" applyAlignment="1">
      <alignment horizontal="left" vertical="center"/>
    </xf>
    <xf numFmtId="0" fontId="1" fillId="15" borderId="2" xfId="0" applyFont="1" applyFill="1" applyBorder="1" applyAlignment="1">
      <alignment horizontal="left" vertical="center"/>
    </xf>
    <xf numFmtId="0" fontId="1" fillId="15" borderId="2" xfId="0" applyFont="1" applyFill="1" applyBorder="1" applyAlignment="1">
      <alignment horizontal="center"/>
    </xf>
    <xf numFmtId="0" fontId="1" fillId="15" borderId="2" xfId="0" applyFont="1" applyFill="1" applyBorder="1"/>
    <xf numFmtId="0" fontId="1" fillId="16" borderId="2" xfId="0" applyFont="1" applyFill="1" applyBorder="1" applyAlignment="1">
      <alignment horizontal="left"/>
    </xf>
    <xf numFmtId="0" fontId="1" fillId="15" borderId="2" xfId="0" applyFont="1" applyFill="1" applyBorder="1" applyAlignment="1">
      <alignment horizontal="left"/>
    </xf>
    <xf numFmtId="0" fontId="1" fillId="8" borderId="1" xfId="0" applyFont="1" applyFill="1" applyBorder="1" applyAlignment="1">
      <alignment horizontal="left" vertical="center"/>
    </xf>
    <xf numFmtId="0" fontId="1" fillId="8" borderId="1" xfId="0" applyFont="1" applyFill="1" applyBorder="1" applyAlignment="1">
      <alignment horizontal="center"/>
    </xf>
    <xf numFmtId="0" fontId="1" fillId="16" borderId="1" xfId="0" applyFont="1" applyFill="1" applyBorder="1" applyAlignment="1">
      <alignment horizontal="left"/>
    </xf>
    <xf numFmtId="0" fontId="1" fillId="16" borderId="1" xfId="0" applyFont="1" applyFill="1" applyBorder="1"/>
    <xf numFmtId="0" fontId="1" fillId="8" borderId="2" xfId="0" applyFont="1" applyFill="1" applyBorder="1" applyAlignment="1">
      <alignment horizontal="center"/>
    </xf>
    <xf numFmtId="0" fontId="1" fillId="8" borderId="2" xfId="0" applyFont="1" applyFill="1" applyBorder="1"/>
    <xf numFmtId="0" fontId="1" fillId="16" borderId="2" xfId="2" applyFont="1" applyFill="1" applyBorder="1" applyAlignment="1">
      <alignment horizontal="left" vertical="center" wrapText="1"/>
    </xf>
    <xf numFmtId="0" fontId="1" fillId="16" borderId="1" xfId="0" applyFont="1" applyFill="1" applyBorder="1" applyAlignment="1">
      <alignment horizontal="center"/>
    </xf>
    <xf numFmtId="0" fontId="1" fillId="8" borderId="1" xfId="0" applyFont="1" applyFill="1" applyBorder="1" applyAlignment="1">
      <alignment horizontal="left"/>
    </xf>
    <xf numFmtId="0" fontId="1" fillId="8" borderId="1" xfId="0" applyFont="1" applyFill="1" applyBorder="1"/>
    <xf numFmtId="0" fontId="1" fillId="8" borderId="0" xfId="0" applyFont="1" applyFill="1" applyAlignment="1">
      <alignment horizontal="left" vertical="center"/>
    </xf>
    <xf numFmtId="0" fontId="1" fillId="8" borderId="0" xfId="0" applyFont="1" applyFill="1" applyAlignment="1">
      <alignment vertical="center"/>
    </xf>
    <xf numFmtId="0" fontId="1" fillId="8" borderId="0" xfId="0" applyFont="1" applyFill="1" applyAlignment="1">
      <alignment horizontal="center" vertical="center"/>
    </xf>
    <xf numFmtId="0" fontId="1" fillId="16" borderId="0" xfId="0" applyFont="1" applyFill="1" applyAlignment="1">
      <alignment horizontal="left"/>
    </xf>
    <xf numFmtId="0" fontId="1" fillId="16" borderId="0" xfId="0" applyFont="1" applyFill="1" applyAlignment="1">
      <alignment vertical="center"/>
    </xf>
    <xf numFmtId="0" fontId="1" fillId="16" borderId="0" xfId="0" applyFont="1" applyFill="1" applyAlignment="1">
      <alignment horizontal="center"/>
    </xf>
    <xf numFmtId="0" fontId="1" fillId="16" borderId="12" xfId="0" applyFont="1" applyFill="1" applyBorder="1"/>
    <xf numFmtId="0" fontId="1" fillId="8" borderId="0" xfId="0" applyFont="1" applyFill="1" applyAlignment="1">
      <alignment horizontal="left"/>
    </xf>
    <xf numFmtId="0" fontId="1" fillId="8" borderId="0" xfId="0" applyFont="1" applyFill="1" applyAlignment="1">
      <alignment horizontal="center"/>
    </xf>
    <xf numFmtId="0" fontId="1" fillId="16" borderId="3" xfId="0" applyFont="1" applyFill="1" applyBorder="1"/>
    <xf numFmtId="0" fontId="1" fillId="15" borderId="0" xfId="0" applyFont="1" applyFill="1" applyAlignment="1">
      <alignment vertical="center"/>
    </xf>
    <xf numFmtId="0" fontId="1" fillId="15" borderId="0" xfId="0" applyFont="1" applyFill="1" applyAlignment="1">
      <alignment horizontal="center"/>
    </xf>
    <xf numFmtId="0" fontId="1" fillId="15" borderId="0" xfId="0" applyFont="1" applyFill="1"/>
    <xf numFmtId="0" fontId="1" fillId="16" borderId="0" xfId="2" applyFont="1" applyFill="1" applyBorder="1" applyAlignment="1">
      <alignment horizontal="left" vertical="center"/>
    </xf>
    <xf numFmtId="0" fontId="1" fillId="16" borderId="0" xfId="2" applyFont="1" applyFill="1" applyBorder="1" applyAlignment="1">
      <alignment horizontal="center" vertical="center"/>
    </xf>
    <xf numFmtId="0" fontId="1" fillId="16" borderId="0" xfId="0" applyFont="1" applyFill="1" applyAlignment="1">
      <alignment horizontal="center" vertical="center"/>
    </xf>
    <xf numFmtId="0" fontId="1" fillId="16" borderId="0" xfId="0" applyFont="1" applyFill="1"/>
    <xf numFmtId="0" fontId="1" fillId="15" borderId="2" xfId="2" applyFont="1" applyFill="1" applyBorder="1" applyAlignment="1">
      <alignment horizontal="left" vertical="top"/>
    </xf>
    <xf numFmtId="0" fontId="1" fillId="15" borderId="9" xfId="2" applyFont="1" applyFill="1" applyBorder="1" applyAlignment="1">
      <alignment horizontal="left" vertical="top" wrapText="1"/>
    </xf>
    <xf numFmtId="0" fontId="1" fillId="15" borderId="2" xfId="2" applyFont="1" applyFill="1" applyBorder="1" applyAlignment="1">
      <alignment horizontal="left" vertical="top" wrapText="1"/>
    </xf>
    <xf numFmtId="0" fontId="1" fillId="15" borderId="0" xfId="2" applyFont="1" applyFill="1" applyBorder="1" applyAlignment="1">
      <alignment horizontal="center" vertical="top"/>
    </xf>
    <xf numFmtId="0" fontId="1" fillId="15" borderId="2" xfId="2" applyFont="1" applyFill="1" applyBorder="1" applyAlignment="1">
      <alignment horizontal="center" vertical="top" wrapText="1"/>
    </xf>
    <xf numFmtId="0" fontId="14" fillId="7" borderId="0" xfId="0" applyFont="1" applyFill="1" applyAlignment="1"/>
    <xf numFmtId="0" fontId="0" fillId="0" borderId="0" xfId="0" applyAlignment="1"/>
    <xf numFmtId="0" fontId="10" fillId="0" borderId="7" xfId="0" applyFont="1" applyBorder="1" applyAlignment="1"/>
    <xf numFmtId="0" fontId="10" fillId="0" borderId="5" xfId="0" applyFont="1" applyBorder="1" applyAlignment="1"/>
  </cellXfs>
  <cellStyles count="3">
    <cellStyle name="20% - Accent1" xfId="2" builtinId="30"/>
    <cellStyle name="Hyperlink" xfId="1" builtinId="8"/>
    <cellStyle name="Normal" xfId="0" builtinId="0"/>
  </cellStyles>
  <dxfs count="1142">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diagonalUp="0" diagonalDown="0">
        <left style="thin">
          <color rgb="FF000000"/>
        </left>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19" formatCode="m/d/yyyy"/>
      <alignment horizontal="center" vertical="center" textRotation="0" wrapText="0" indent="0" justifyLastLine="0" shrinkToFit="0" readingOrder="0"/>
      <border diagonalUp="0" diagonalDown="0">
        <left/>
        <right style="thin">
          <color rgb="FF000000"/>
        </right>
        <top style="thin">
          <color rgb="FF000000"/>
        </top>
        <bottom/>
        <vertical/>
        <horizontal/>
      </border>
    </dxf>
    <dxf>
      <numFmt numFmtId="0" formatCode="General"/>
      <alignment horizontal="center" vertical="center" textRotation="0" wrapText="0" indent="0" justifyLastLine="0" shrinkToFit="0" readingOrder="0"/>
      <border diagonalUp="0" diagonalDown="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font>
        <sz val="11"/>
        <color theme="1"/>
        <name val="Calibri"/>
      </font>
      <fill>
        <patternFill patternType="solid">
          <fgColor theme="4" tint="0.79998168889431442"/>
          <bgColor indexed="65"/>
        </patternFill>
      </fill>
      <border diagonalUp="0" diagonalDown="0">
        <left style="thin">
          <color rgb="FF000000"/>
        </left>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font>
      <numFmt numFmtId="0" formatCode="General"/>
      <fill>
        <patternFill patternType="solid">
          <fgColor theme="4" tint="0.79998168889431442"/>
          <bgColor indexed="65"/>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font>
        <sz val="11"/>
        <color theme="1"/>
        <name val="Calibri"/>
      </font>
      <fill>
        <patternFill patternType="solid">
          <fgColor theme="4" tint="0.79998168889431442"/>
          <bgColor indexed="65"/>
        </patternFill>
      </fill>
      <border diagonalUp="0" diagonalDown="0">
        <left style="thin">
          <color rgb="FF000000"/>
        </left>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font>
      <numFmt numFmtId="0" formatCode="General"/>
      <fill>
        <patternFill patternType="solid">
          <fgColor theme="4" tint="0.79998168889431442"/>
          <bgColor indexed="65"/>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font>
        <sz val="11"/>
        <color theme="1"/>
        <name val="Calibri"/>
      </font>
      <fill>
        <patternFill patternType="solid">
          <fgColor theme="4" tint="0.79998168889431442"/>
          <bgColor indexed="65"/>
        </patternFill>
      </fill>
      <border diagonalUp="0" diagonalDown="0">
        <left style="thin">
          <color rgb="FF000000"/>
        </left>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font>
      <numFmt numFmtId="0" formatCode="General"/>
      <fill>
        <patternFill patternType="solid">
          <fgColor theme="4" tint="0.79998168889431442"/>
          <bgColor indexed="65"/>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font>
        <sz val="11"/>
        <color theme="1"/>
        <name val="Calibri"/>
      </font>
      <fill>
        <patternFill patternType="solid">
          <fgColor theme="4" tint="0.79998168889431442"/>
          <bgColor indexed="65"/>
        </patternFill>
      </fill>
      <border diagonalUp="0" diagonalDown="0">
        <left style="thin">
          <color rgb="FF000000"/>
        </left>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font>
      <numFmt numFmtId="0" formatCode="General"/>
      <fill>
        <patternFill patternType="solid">
          <fgColor theme="4" tint="0.79998168889431442"/>
          <bgColor indexed="65"/>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font>
        <sz val="11"/>
        <color theme="1"/>
        <name val="Calibri"/>
      </font>
      <fill>
        <patternFill patternType="solid">
          <fgColor theme="4" tint="0.79998168889431442"/>
          <bgColor indexed="65"/>
        </patternFill>
      </fill>
      <border diagonalUp="0" diagonalDown="0">
        <left style="thin">
          <color rgb="FF000000"/>
        </left>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font>
      <numFmt numFmtId="0" formatCode="General"/>
      <fill>
        <patternFill patternType="solid">
          <fgColor theme="4" tint="0.79998168889431442"/>
          <bgColor indexed="65"/>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font>
        <sz val="11"/>
        <color theme="1"/>
        <name val="Calibri"/>
      </font>
      <fill>
        <patternFill patternType="solid">
          <fgColor theme="4" tint="0.79998168889431442"/>
          <bgColor indexed="65"/>
        </patternFill>
      </fill>
      <border diagonalUp="0" diagonalDown="0">
        <left style="thin">
          <color rgb="FF000000"/>
        </left>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cent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left"/>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font>
      <numFmt numFmtId="0" formatCode="General"/>
      <fill>
        <patternFill patternType="solid">
          <fgColor theme="4" tint="0.79998168889431442"/>
          <bgColor indexed="65"/>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font>
        <sz val="11"/>
        <color theme="1"/>
        <name val="Calibri"/>
      </font>
      <fill>
        <patternFill patternType="solid">
          <fgColor theme="4" tint="0.79998168889431442"/>
          <bgColor indexed="65"/>
        </patternFill>
      </fill>
      <border diagonalUp="0" diagonalDown="0">
        <left style="thin">
          <color rgb="FF000000"/>
        </left>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cent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left"/>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font>
      <numFmt numFmtId="0" formatCode="General"/>
      <fill>
        <patternFill patternType="solid">
          <fgColor theme="4" tint="0.79998168889431442"/>
          <bgColor indexed="65"/>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font>
        <sz val="11"/>
        <color theme="1"/>
        <name val="Calibri"/>
      </font>
      <fill>
        <patternFill patternType="solid">
          <fgColor theme="4" tint="0.79998168889431442"/>
          <bgColor indexed="65"/>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lef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0" formatCode="General"/>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font>
        <sz val="11"/>
        <color theme="1"/>
        <name val="Calibri"/>
      </font>
      <fill>
        <patternFill patternType="solid">
          <fgColor theme="4" tint="0.79998168889431442"/>
          <bgColor indexed="65"/>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lef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0" formatCode="General"/>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font>
        <sz val="11"/>
        <color theme="1"/>
        <name val="Calibri"/>
      </font>
      <fill>
        <patternFill patternType="solid">
          <fgColor theme="4" tint="0.79998168889431442"/>
          <bgColor indexed="65"/>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lef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0" formatCode="General"/>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font>
        <sz val="11"/>
        <color theme="1"/>
        <name val="Calibri"/>
      </font>
      <fill>
        <patternFill patternType="solid">
          <fgColor theme="4" tint="0.79998168889431442"/>
          <bgColor indexed="65"/>
        </patternFill>
      </fill>
      <alignment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scheme val="none"/>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scheme val="none"/>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scheme val="none"/>
      </font>
      <numFmt numFmtId="0" formatCode="General"/>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font>
        <sz val="11"/>
        <color theme="1"/>
        <name val="Calibri"/>
      </font>
      <fill>
        <patternFill patternType="solid">
          <fgColor theme="4" tint="0.79998168889431442"/>
          <bgColor indexed="65"/>
        </patternFill>
      </fill>
      <alignment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scheme val="none"/>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scheme val="none"/>
      </font>
      <numFmt numFmtId="19" formatCode="m/d/yyyy"/>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font>
        <sz val="11"/>
        <color theme="1"/>
        <name val="Calibri"/>
      </font>
      <fill>
        <patternFill patternType="solid">
          <fgColor theme="4" tint="0.79998168889431442"/>
          <bgColor indexed="65"/>
        </patternFill>
      </fill>
      <alignment horizontal="general"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scheme val="none"/>
      </font>
      <numFmt numFmtId="19" formatCode="m/d/yyyy"/>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scheme val="none"/>
      </font>
      <numFmt numFmtId="19" formatCode="m/d/yyyy"/>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name val="Calibri"/>
        <charset val="1"/>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font>
        <sz val="11"/>
        <color theme="1"/>
        <name val="Calibri"/>
      </font>
      <fill>
        <patternFill patternType="solid">
          <fgColor theme="4" tint="0.79998168889431442"/>
          <bgColor indexed="65"/>
        </patternFill>
      </fill>
      <alignment horizontal="general"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b val="0"/>
        <i val="0"/>
        <strike val="0"/>
        <condense val="0"/>
        <extend val="0"/>
        <outline val="0"/>
        <shadow val="0"/>
        <u val="none"/>
        <vertAlign val="baseline"/>
        <sz val="11"/>
        <color theme="1"/>
        <name val="Calibri"/>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scheme val="none"/>
      </font>
      <numFmt numFmtId="19" formatCode="m/d/yyyy"/>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scheme val="none"/>
      </font>
      <numFmt numFmtId="19" formatCode="m/d/yyyy"/>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charset val="1"/>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scheme val="none"/>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b val="0"/>
        <i val="0"/>
        <strike val="0"/>
        <condense val="0"/>
        <extend val="0"/>
        <outline val="0"/>
        <shadow val="0"/>
        <u val="none"/>
        <vertAlign val="baseline"/>
        <sz val="11"/>
        <color theme="1"/>
        <name val="Calibri"/>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scheme val="none"/>
      </font>
      <numFmt numFmtId="19" formatCode="m/d/yyyy"/>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scheme val="none"/>
      </font>
      <numFmt numFmtId="19" formatCode="m/d/yyyy"/>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charset val="1"/>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scheme val="none"/>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b val="0"/>
        <i val="0"/>
        <strike val="0"/>
        <condense val="0"/>
        <extend val="0"/>
        <outline val="0"/>
        <shadow val="0"/>
        <u val="none"/>
        <vertAlign val="baseline"/>
        <sz val="11"/>
        <color theme="1"/>
        <name val="Calibri"/>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scheme val="none"/>
      </font>
      <numFmt numFmtId="19" formatCode="m/d/yyyy"/>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scheme val="none"/>
      </font>
      <numFmt numFmtId="19" formatCode="m/d/yyyy"/>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charset val="1"/>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scheme val="none"/>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b val="0"/>
        <i val="0"/>
        <strike val="0"/>
        <condense val="0"/>
        <extend val="0"/>
        <outline val="0"/>
        <shadow val="0"/>
        <u val="none"/>
        <vertAlign val="baseline"/>
        <sz val="11"/>
        <color theme="1"/>
        <name val="Calibri"/>
        <scheme val="none"/>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scheme val="none"/>
      </font>
      <numFmt numFmtId="19" formatCode="m/d/yyyy"/>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scheme val="none"/>
      </font>
      <numFmt numFmtId="19" formatCode="m/d/yyyy"/>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charset val="1"/>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scheme val="none"/>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alignment horizontal="center" vertical="center"/>
    </dxf>
    <dxf>
      <font>
        <sz val="11"/>
        <color theme="1"/>
        <name val="Calibri"/>
        <scheme val="none"/>
      </font>
      <numFmt numFmtId="19" formatCode="m/d/yyyy"/>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scheme val="none"/>
      </font>
      <numFmt numFmtId="19" formatCode="m/d/yyyy"/>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charset val="1"/>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scheme val="none"/>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color theme="1"/>
        <name val="Calibri"/>
        <scheme val="none"/>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scheme val="none"/>
      </font>
      <numFmt numFmtId="19" formatCode="m/d/yyyy"/>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scheme val="none"/>
      </font>
      <numFmt numFmtId="19" formatCode="m/d/yyyy"/>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charset val="1"/>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scheme val="none"/>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scheme val="none"/>
      </font>
      <numFmt numFmtId="19" formatCode="m/d/yyyy"/>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scheme val="none"/>
      </font>
      <numFmt numFmtId="19" formatCode="m/d/yyyy"/>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charset val="1"/>
        <scheme val="none"/>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scheme val="none"/>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dxf>
    <dxf>
      <font>
        <b val="0"/>
        <i val="0"/>
        <strike val="0"/>
        <condense val="0"/>
        <extend val="0"/>
        <outline val="0"/>
        <shadow val="0"/>
        <u val="none"/>
        <vertAlign val="baseline"/>
        <sz val="11"/>
        <color theme="1"/>
        <name val="Calibri"/>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scheme val="none"/>
      </font>
      <numFmt numFmtId="19" formatCode="m/d/yyyy"/>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scheme val="none"/>
      </font>
      <numFmt numFmtId="19" formatCode="m/d/yyyy"/>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charset val="1"/>
        <scheme val="none"/>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scheme val="none"/>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general"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numFmt numFmtId="19" formatCode="m/d/yyyy"/>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indexed="65"/>
        </patternFill>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font>
      <fill>
        <patternFill patternType="solid">
          <fgColor theme="4" tint="0.79998168889431442"/>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dxf>
    <dxf>
      <font>
        <b val="0"/>
        <i val="0"/>
        <strike val="0"/>
        <condense val="0"/>
        <extend val="0"/>
        <outline val="0"/>
        <shadow val="0"/>
        <u val="none"/>
        <vertAlign val="baseline"/>
        <sz val="11"/>
        <color theme="1"/>
        <name val="Calibri"/>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color theme="1"/>
        <name val="Calibri"/>
        <scheme val="none"/>
      </font>
      <numFmt numFmtId="19" formatCode="m/d/yyyy"/>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scheme val="none"/>
      </font>
      <numFmt numFmtId="19" formatCode="m/d/yyyy"/>
      <fill>
        <patternFill patternType="solid">
          <fgColor indexed="64"/>
          <bgColor theme="4" tint="0.79998168889431442"/>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charset val="1"/>
        <scheme val="none"/>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theme="4" tint="0.39997558519241921"/>
        </bottom>
        <vertical/>
        <horizontal/>
      </border>
    </dxf>
    <dxf>
      <font>
        <sz val="11"/>
        <color theme="1"/>
        <name val="Calibri"/>
        <scheme val="none"/>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border outline="0">
        <left style="thin">
          <color rgb="FF000000"/>
        </left>
        <right style="thin">
          <color rgb="FF000000"/>
        </right>
        <top style="thin">
          <color rgb="FF000000"/>
        </top>
        <bottom style="thin">
          <color rgb="FF000000"/>
        </bottom>
      </border>
    </dxf>
    <dxf>
      <font>
        <sz val="11"/>
        <color theme="1"/>
        <name val="Calibri"/>
      </font>
      <fill>
        <patternFill patternType="solid">
          <fgColor theme="4" tint="0.79998168889431442"/>
          <bgColor indexed="65"/>
        </patternFill>
      </fill>
      <alignment horizontal="general" vertical="center" textRotation="0" wrapText="0" indent="0" justifyLastLine="0" shrinkToFit="0" readingOrder="0"/>
    </dxf>
    <dxf>
      <font>
        <b/>
        <i val="0"/>
        <strike val="0"/>
        <condense val="0"/>
        <extend val="0"/>
        <outline val="0"/>
        <shadow val="0"/>
        <u val="none"/>
        <vertAlign val="baseline"/>
        <sz val="10"/>
        <color rgb="FFFFFFFF"/>
        <name val="Arial"/>
        <scheme val="minor"/>
      </font>
      <fill>
        <patternFill patternType="solid">
          <fgColor rgb="FF27235C"/>
          <bgColor rgb="FF27235C"/>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colors>
    <mruColors>
      <color rgb="FFF2FFF3"/>
      <color rgb="FFFAFE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sharedStrings" Target="sharedStrings.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sheetMetadata" Target="metadata.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customschemas.google.com/relationships/workbookmetadata" Target="metadata"/><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6A0C8F37-8EDF-4889-99A6-39B507B42E83}" name="Table14567810931213111415171918212016222324262527282930313233343536373938" displayName="Table14567810931213111415171918212016222324262527282930313233343536373938" ref="A1:AE7" totalsRowShown="0" headerRowDxfId="1141" dataDxfId="1140" tableBorderDxfId="1139">
  <autoFilter ref="A1:AE7" xr:uid="{9DC5C30B-A60C-4FFE-8316-8BFF998E3F7C}"/>
  <tableColumns count="31">
    <tableColumn id="1" xr3:uid="{B0B5E2E6-C536-4739-A453-2A52D5DE5752}" name="S.No" dataDxfId="1138" dataCellStyle="20% - Accent1"/>
    <tableColumn id="25" xr3:uid="{765ECA98-94A9-40A3-B61F-7C8DBF7C040D}" name="Application Name" dataDxfId="1137"/>
    <tableColumn id="27" xr3:uid="{EB91ADAD-F3A6-47C3-8A49-749C94E32594}" name="Sprint Start Date" dataDxfId="1136" dataCellStyle="20% - Accent1"/>
    <tableColumn id="26" xr3:uid="{FE274E82-0805-40F9-93B0-24B70B9938A7}" name="Sprint End Date" dataDxfId="1135" dataCellStyle="20% - Accent1"/>
    <tableColumn id="2" xr3:uid="{64819601-66B9-46EF-8D5B-2AC812032AD0}" name="Sprint " dataDxfId="1134"/>
    <tableColumn id="3" xr3:uid="{49A8508F-89AF-4F01-9348-EC133AD9607D}" name="Developer" dataDxfId="1133"/>
    <tableColumn id="4" xr3:uid="{6076D519-3210-4212-85DB-560540E79F04}" name="Story ID/Defect ID" dataDxfId="1132"/>
    <tableColumn id="5" xr3:uid="{8532BEBB-A578-4FF0-9C0A-9C20739584D1}" name="Description" dataDxfId="1131"/>
    <tableColumn id="23" xr3:uid="{06F4488B-CBB6-4600-A9AD-4D04ECD39C39}" name="Status" dataDxfId="1130"/>
    <tableColumn id="6" xr3:uid="{90F5FDC4-883C-4F06-BBF6-85137D259AC8}" name="Estimated(hrs/sp)" dataDxfId="1129"/>
    <tableColumn id="7" xr3:uid="{A4E34A1E-D3F8-490E-98B4-5A99A984DC4D}" name="Actual(hrs/sp)" dataDxfId="1128"/>
    <tableColumn id="28" xr3:uid="{42E00833-FCC6-4F70-A305-03982F81DB6F}" name="Actual Hours  Worklog" dataDxfId="1127"/>
    <tableColumn id="30" xr3:uid="{5DE72F71-F8B0-48C7-BD33-D09DB456928B}" name="Dev Start Date" dataDxfId="1126"/>
    <tableColumn id="29" xr3:uid="{56499CD9-E1F8-4BC1-9F69-E3C665151E82}" name="Dev End Date" dataDxfId="1125"/>
    <tableColumn id="8" xr3:uid="{07C22277-2ABE-4E24-8D5B-4948477CFB04}" name="Unit testing" dataDxfId="1124"/>
    <tableColumn id="9" xr3:uid="{6E227FD7-264B-4B62-98D1-10B2682F3073}" name="Peer Tested By" dataDxfId="1123"/>
    <tableColumn id="10" xr3:uid="{6268F534-A754-4941-BC50-6275E4D75F2C}" name="Peer Tested Defects, if any" dataDxfId="1122"/>
    <tableColumn id="11" xr3:uid="{BF04E589-835A-4C73-AFF1-106EB4A888EC}" name="Peer Reviewed By" dataDxfId="1121"/>
    <tableColumn id="12" xr3:uid="{BBAF3D0D-A8B0-4C3C-88A4-4790F4D0FE6A}" name="Peer Code Review Comments, if any" dataDxfId="1120"/>
    <tableColumn id="13" xr3:uid="{818DC867-4523-4C2C-AB27-67D6E8D64A55}" name="PR Number/Link" dataDxfId="1119" dataCellStyle="Hyperlink"/>
    <tableColumn id="14" xr3:uid="{443F74BA-0249-4EC0-88A1-5816DA11BA70}" name="PR Created Date" dataDxfId="1118"/>
    <tableColumn id="15" xr3:uid="{1AB0577B-755F-4D50-9F4E-4F549137C46C}" name="PR Approved Date" dataDxfId="1117"/>
    <tableColumn id="16" xr3:uid="{1B7AE374-35A8-48D2-B532-8BEE7D0D25D4}" name="Onsite Lead Code Review" dataDxfId="1116"/>
    <tableColumn id="17" xr3:uid="{C04F2073-E287-48EA-A4C4-858FAF6B8286}" name="Code Review Comments, if any" dataDxfId="1115"/>
    <tableColumn id="18" xr3:uid="{BC2D1BCE-366E-4CAE-9778-24FD77FB9402}" name="Client Code Review" dataDxfId="1114"/>
    <tableColumn id="19" xr3:uid="{46AD3CD7-2D90-4576-8BD5-9DBD2B208457}" name="Approved Date" dataDxfId="1113"/>
    <tableColumn id="20" xr3:uid="{B2E0170F-A7DF-4A6C-9686-03BFE53377DD}" name="Code Review Comments, if any2" dataDxfId="1112"/>
    <tableColumn id="21" xr3:uid="{6A41C67A-218F-4C67-9E82-632DF87870D2}" name="Internal PO -POV Comments" dataDxfId="1111"/>
    <tableColumn id="22" xr3:uid="{96C9581B-1B59-4BA5-8EC1-F4DD2689D56C}" name="Client PO -POV Comments" dataDxfId="1110"/>
    <tableColumn id="24" xr3:uid="{1C0E39F0-59D3-42CA-BC80-C9C12EA34581}" name="Comments" dataDxfId="1109"/>
    <tableColumn id="31" xr3:uid="{400A87B4-A9CF-4263-8CBA-09361EFD0C6E}" name="QA Comments" dataDxfId="110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EE696B8-A241-4EA5-8226-4BC27841837B}" name="Table145678109312131114151719182120162223242625272829303132333435363739" displayName="Table145678109312131114151719182120162223242625272829303132333435363739" ref="A1:AE7" totalsRowShown="0" headerRowDxfId="1107" dataDxfId="1106" tableBorderDxfId="1105">
  <autoFilter ref="A1:AE7" xr:uid="{9DC5C30B-A60C-4FFE-8316-8BFF998E3F7C}"/>
  <tableColumns count="31">
    <tableColumn id="1" xr3:uid="{AEF92A62-C868-479F-9F0C-1D6F2D143677}" name="S.No" dataDxfId="1104" dataCellStyle="20% - Accent1"/>
    <tableColumn id="25" xr3:uid="{8ABDD789-D711-480E-BB45-DFF0F3672D26}" name="Application Name" dataDxfId="1103"/>
    <tableColumn id="27" xr3:uid="{C8D648E3-9368-42A4-A618-1223521FB296}" name="Sprint Start Date" dataDxfId="1102" dataCellStyle="20% - Accent1"/>
    <tableColumn id="26" xr3:uid="{7BD4D3E1-A658-4C26-BEFF-1795D05D1392}" name="Sprint End Date" dataDxfId="1101" dataCellStyle="20% - Accent1"/>
    <tableColumn id="2" xr3:uid="{81796EBD-7FE8-4D1F-AB0C-5C6AA8CB49E3}" name="Sprint " dataDxfId="1100"/>
    <tableColumn id="3" xr3:uid="{DB9B920D-1FBA-4F3F-905D-F9F282085930}" name="Developer" dataDxfId="1099"/>
    <tableColumn id="4" xr3:uid="{A4EF62F5-0187-4860-804B-5CF916EF64CD}" name="Story ID/Defect ID" dataDxfId="1098"/>
    <tableColumn id="5" xr3:uid="{8E788D2F-0DBD-470C-A273-95736957999C}" name="Description" dataDxfId="1097"/>
    <tableColumn id="23" xr3:uid="{A17D2B03-AE8F-4432-9ADF-AB24152CC8FD}" name="Status" dataDxfId="1096"/>
    <tableColumn id="6" xr3:uid="{C202503B-8A0D-4238-A4D8-C44D9DEC42A1}" name="Estimated(hrs/sp)" dataDxfId="1095"/>
    <tableColumn id="7" xr3:uid="{96BB0F88-1B39-4282-9D57-DEEF8AAE8063}" name="Actual(hrs/sp)" dataDxfId="1094"/>
    <tableColumn id="28" xr3:uid="{105B1ABA-82B8-4582-AD37-4FCEC6B240E7}" name="Actual Hours  Worklog" dataDxfId="1093"/>
    <tableColumn id="30" xr3:uid="{10D36D1D-F53A-4869-8F80-65D06A084047}" name="Dev Start Date" dataDxfId="1092"/>
    <tableColumn id="29" xr3:uid="{4B3B2114-8DD8-4808-A515-AB501E18DB5D}" name="Dev End Date" dataDxfId="1091"/>
    <tableColumn id="8" xr3:uid="{9E00EABC-3C2B-4C93-8A58-CEB5EB734F05}" name="Unit testing" dataDxfId="1090"/>
    <tableColumn id="9" xr3:uid="{54A35C8B-0B15-473E-AC9F-F2FBA22BD552}" name="Peer Tested By" dataDxfId="1089"/>
    <tableColumn id="10" xr3:uid="{2E482F96-43F4-4110-8004-9D0EE71AE874}" name="Peer Tested Defects, if any" dataDxfId="1088"/>
    <tableColumn id="11" xr3:uid="{53E1E3C4-1DD2-4585-A2F2-9E1193CBFD09}" name="Peer Reviewed By" dataDxfId="1087"/>
    <tableColumn id="12" xr3:uid="{1DF151EC-2F3D-4740-9A35-424A40A6688D}" name="Peer Code Review Comments, if any" dataDxfId="1086"/>
    <tableColumn id="13" xr3:uid="{506D7D49-D706-493E-8588-0FD03BDE0D64}" name="PR Number/Link" dataDxfId="1085" dataCellStyle="Hyperlink"/>
    <tableColumn id="14" xr3:uid="{59B4D360-21F0-4672-B99E-2E90C1D8D773}" name="PR Created Date" dataDxfId="1084"/>
    <tableColumn id="15" xr3:uid="{6B67246B-3855-4A5C-B7E6-D48E60B2FFA8}" name="PR Approved Date" dataDxfId="1083"/>
    <tableColumn id="16" xr3:uid="{01D2FCAE-5AD7-444B-BA67-30EE24CD1056}" name="Onsite Lead Code Review" dataDxfId="1082"/>
    <tableColumn id="17" xr3:uid="{22696B8E-8B9B-44A5-BE29-4FF1B8D07E9E}" name="Code Review Comments, if any" dataDxfId="1081"/>
    <tableColumn id="18" xr3:uid="{D69ACFC2-4144-4438-BFCF-CEE71837F3CB}" name="Client Code Review" dataDxfId="1080"/>
    <tableColumn id="19" xr3:uid="{65BF552E-15CB-4898-8317-3C9F8F1DDDD4}" name="Approved Date" dataDxfId="1079"/>
    <tableColumn id="20" xr3:uid="{21486DB9-06A3-4B50-8DBC-E30BBE36ADF9}" name="Code Review Comments, if any2" dataDxfId="1078"/>
    <tableColumn id="21" xr3:uid="{08A251E3-422C-4DBA-866D-697CA6013966}" name="Internal PO -POV Comments" dataDxfId="1077"/>
    <tableColumn id="22" xr3:uid="{0BE43F21-0118-4558-8DBC-469CCEDE4FB0}" name="Client PO -POV Comments" dataDxfId="1076"/>
    <tableColumn id="24" xr3:uid="{BF17033B-6DC2-4D1C-8B67-50B0A6FC3190}" name="Comments" dataDxfId="1075"/>
    <tableColumn id="31" xr3:uid="{D86EB75B-0FC0-4F2F-BAFF-A9DBA32EDAE2}" name="QA Comments" dataDxfId="107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87F8613-A48A-481D-954A-799D4F90BC0F}" name="Table1456781093121311141517191821201622232426252728293031323334353637" displayName="Table1456781093121311141517191821201622232426252728293031323334353637" ref="A1:AE4" totalsRowShown="0" headerRowDxfId="1073" dataDxfId="1072" tableBorderDxfId="1071">
  <autoFilter ref="A1:AE4" xr:uid="{9DC5C30B-A60C-4FFE-8316-8BFF998E3F7C}"/>
  <tableColumns count="31">
    <tableColumn id="1" xr3:uid="{94D75EF9-0DBE-4640-AC4B-0A395758E36E}" name="S.No" dataDxfId="1070" dataCellStyle="20% - Accent1"/>
    <tableColumn id="25" xr3:uid="{4D2CCB1F-9E34-45B8-B348-783DAD9332E4}" name="Application Name" dataDxfId="1069"/>
    <tableColumn id="27" xr3:uid="{DABAEEF3-5FA8-46E5-B63D-858055358254}" name="Sprint Start Date" dataDxfId="1068" dataCellStyle="20% - Accent1"/>
    <tableColumn id="26" xr3:uid="{E539E906-1D64-4029-BC14-8EC3825D1A68}" name="Sprint End Date" dataDxfId="1067" dataCellStyle="20% - Accent1"/>
    <tableColumn id="2" xr3:uid="{04B2921C-A6D9-4F61-9699-D1CFAF4792BC}" name="Sprint " dataDxfId="1066"/>
    <tableColumn id="3" xr3:uid="{0034D9D4-1DC9-4678-A8BC-29B086F45BAB}" name="Developer" dataDxfId="1065"/>
    <tableColumn id="4" xr3:uid="{A1950D9F-013A-4521-82AA-E84086264081}" name="Story ID/Defect ID"/>
    <tableColumn id="5" xr3:uid="{40D47493-C910-4549-9851-11CF13E35055}" name="Description" dataDxfId="1064"/>
    <tableColumn id="23" xr3:uid="{E316417E-D3CC-4B30-BE07-5F5F2216E673}" name="Status" dataDxfId="1063"/>
    <tableColumn id="6" xr3:uid="{0B09DB6E-AB5D-463C-BD14-62CBD92B5292}" name="Estimated(hrs/sp)" dataDxfId="1062"/>
    <tableColumn id="7" xr3:uid="{B0FCB091-787D-43B2-9D6B-8F85AE491EC2}" name="Actual(hrs/sp)" dataDxfId="1061"/>
    <tableColumn id="28" xr3:uid="{70978860-7242-42E5-8ED5-F2D1F408C041}" name="Actual Hours  Worklog" dataDxfId="1060"/>
    <tableColumn id="30" xr3:uid="{F4FE4B3D-741E-4ABC-9858-2440C419047E}" name="Dev Start Date" dataDxfId="1059"/>
    <tableColumn id="29" xr3:uid="{0E209D76-6120-4FC3-9846-C97DEDE5ED47}" name="Dev End Date" dataDxfId="1058"/>
    <tableColumn id="8" xr3:uid="{BD03D2D5-B2D3-44F6-9FDD-6C93B589C994}" name="Unit testing" dataDxfId="1057"/>
    <tableColumn id="9" xr3:uid="{3ECC12C1-ACE8-4A70-B7A1-0E04FA6DDF7A}" name="Peer Tested By" dataDxfId="1056"/>
    <tableColumn id="10" xr3:uid="{C74A782C-3C47-4A79-9F7D-CC6C2BFD6404}" name="Peer Tested Defects, if any" dataDxfId="1055"/>
    <tableColumn id="11" xr3:uid="{5253C776-21E9-4757-8DC6-3A95394B3FC7}" name="Peer Reviewed By" dataDxfId="1054"/>
    <tableColumn id="12" xr3:uid="{9A5B5A9E-3C60-45E8-AC2F-DA3624E7D888}" name="Peer Code Review Comments, if any" dataDxfId="1053"/>
    <tableColumn id="13" xr3:uid="{91FA6542-A281-4FA9-AECD-2D91F57D3F65}" name="PR Number/Link" dataDxfId="1052" dataCellStyle="Hyperlink"/>
    <tableColumn id="14" xr3:uid="{97B49462-841A-4DD7-9020-14CB7408E172}" name="PR Created Date" dataDxfId="1051"/>
    <tableColumn id="15" xr3:uid="{03092BF8-8E29-4649-8E8C-7A5EB37CD3EB}" name="PR Approved Date" dataDxfId="1050"/>
    <tableColumn id="16" xr3:uid="{EF52BE23-C34A-49FA-AA58-CA3B1CCF97B1}" name="Onsite Lead Code Review" dataDxfId="1049"/>
    <tableColumn id="17" xr3:uid="{AEEEE24D-1148-44C6-BA8A-E008ED5F37F1}" name="Code Review Comments, if any" dataDxfId="1048"/>
    <tableColumn id="18" xr3:uid="{1085E7C9-1314-45A0-B732-B0126E84E318}" name="Client Code Review" dataDxfId="1047"/>
    <tableColumn id="19" xr3:uid="{0ADEE24E-6159-4447-AF2E-0E25D80B9F59}" name="Approved Date" dataDxfId="1046"/>
    <tableColumn id="20" xr3:uid="{86B1BD8B-CF91-4D7C-AF4D-27F67AC8581F}" name="Code Review Comments, if any2" dataDxfId="1045"/>
    <tableColumn id="21" xr3:uid="{2003FF84-0950-4313-9855-3FD3E35766F9}" name="Internal PO -POV Comments" dataDxfId="1044"/>
    <tableColumn id="22" xr3:uid="{89406873-4389-4C2A-A1A4-6C79AA0D5369}" name="Client PO -POV Comments" dataDxfId="1043"/>
    <tableColumn id="24" xr3:uid="{400126C6-7398-402F-810C-6F0F7B86BDB8}" name="Comments" dataDxfId="1042"/>
    <tableColumn id="31" xr3:uid="{89C4AAEF-2BC5-4725-8CAB-2CCC6A801B22}" name="QA Comments" dataDxfId="104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E39FEF25-7207-4861-B7B2-81BCD1D4FFE4}" name="Table14567810931213111415171918212016222324262527282930313233343536" displayName="Table14567810931213111415171918212016222324262527282930313233343536" ref="A1:AE12" totalsRowShown="0" headerRowDxfId="1040" dataDxfId="1039" tableBorderDxfId="1038">
  <autoFilter ref="A1:AE12" xr:uid="{9DC5C30B-A60C-4FFE-8316-8BFF998E3F7C}"/>
  <tableColumns count="31">
    <tableColumn id="1" xr3:uid="{DE713201-6798-4BCD-89C7-592DA1C6D4C0}" name="S.No" dataDxfId="1037" dataCellStyle="20% - Accent1"/>
    <tableColumn id="25" xr3:uid="{201CFAE6-B4E3-4637-96F4-043AE9554BB0}" name="Application Name" dataDxfId="1036"/>
    <tableColumn id="27" xr3:uid="{FC6EACFD-4B94-4114-9E6E-B5CC6CB91EB7}" name="Sprint Start Date" dataDxfId="1035" dataCellStyle="20% - Accent1"/>
    <tableColumn id="26" xr3:uid="{9686AA03-EB47-4317-BCF0-8E738294E6E5}" name="Sprint End Date" dataDxfId="1034" dataCellStyle="20% - Accent1"/>
    <tableColumn id="2" xr3:uid="{7513148C-40D4-4D06-9430-C1456012DE71}" name="Sprint " dataDxfId="1033"/>
    <tableColumn id="3" xr3:uid="{A2F1A1B5-D6C2-424E-939D-0E0C577D91EB}" name="Developer" dataDxfId="1032"/>
    <tableColumn id="4" xr3:uid="{D8E65859-1DEF-4C43-B0E8-65AF884B36A5}" name="Story ID/Defect ID" dataDxfId="1031"/>
    <tableColumn id="5" xr3:uid="{2721D042-2EFC-46D9-BB25-81098D26CC9F}" name="Description" dataDxfId="1030"/>
    <tableColumn id="23" xr3:uid="{CD13E8F3-ECB6-4A15-A9D2-B889DEBE4C20}" name="Status" dataDxfId="1029"/>
    <tableColumn id="6" xr3:uid="{F6B3FAD3-6B66-456A-A80A-DCA4003AF525}" name="Estimated(hrs/sp)" dataDxfId="1028"/>
    <tableColumn id="7" xr3:uid="{A1F901CD-7A2E-4FFF-B989-F43C6707A6BA}" name="Actual(hrs/sp)" dataDxfId="1027"/>
    <tableColumn id="28" xr3:uid="{CC876493-9355-4F4B-A619-D7DD8EC2B8D9}" name="Actual Hours  Worklog" dataDxfId="1026"/>
    <tableColumn id="30" xr3:uid="{A8A392B7-0114-427B-8B8A-7634DEBE1909}" name="Dev Start Date" dataDxfId="1025"/>
    <tableColumn id="29" xr3:uid="{D6DFC877-3E6E-4C5F-A7CC-18A62BDA888B}" name="Dev End Date" dataDxfId="1024"/>
    <tableColumn id="8" xr3:uid="{0FAAB94F-D117-4642-910A-DDEBFFEC5729}" name="Unit testing" dataDxfId="1023"/>
    <tableColumn id="9" xr3:uid="{7391CBE4-16F0-4533-A601-51CDA29A653C}" name="Peer Tested By" dataDxfId="1022"/>
    <tableColumn id="10" xr3:uid="{AE098A73-1EB2-42D1-8ADF-5E3AED0D6BD1}" name="Peer Tested Defects, if any" dataDxfId="1021"/>
    <tableColumn id="11" xr3:uid="{6D14E138-507F-46E0-B84A-3327AE0F1FA7}" name="Peer Reviewed By" dataDxfId="1020"/>
    <tableColumn id="12" xr3:uid="{74FE0C21-C3DC-4BD9-AFBD-3C49E0AC111F}" name="Peer Code Review Comments, if any" dataDxfId="1019"/>
    <tableColumn id="13" xr3:uid="{68ED215C-FD47-4F12-9F24-AA7BC38A876E}" name="PR Number/Link" dataDxfId="1018" dataCellStyle="Hyperlink"/>
    <tableColumn id="14" xr3:uid="{79A3A37B-E8E5-4AA7-ADF3-EC00B4EEC19B}" name="PR Created Date" dataDxfId="1017"/>
    <tableColumn id="15" xr3:uid="{7C785089-202A-479F-9A4E-E711541DADF3}" name="PR Approved Date" dataDxfId="1016"/>
    <tableColumn id="16" xr3:uid="{AFCC822F-D4DB-4B4A-8619-4FA641D75C23}" name="Onsite Lead Code Review" dataDxfId="1015"/>
    <tableColumn id="17" xr3:uid="{82D704C1-2D4F-42F1-88CB-B987F5621935}" name="Code Review Comments, if any" dataDxfId="1014"/>
    <tableColumn id="18" xr3:uid="{38526AA9-A632-4786-A458-56C002B01CB9}" name="Client Code Review" dataDxfId="1013"/>
    <tableColumn id="19" xr3:uid="{21D2BCA7-531F-48CD-81DD-24CFEC25F8E5}" name="Approved Date" dataDxfId="1012"/>
    <tableColumn id="20" xr3:uid="{8399150C-3193-4DD7-B2DD-9AB61CC33B4C}" name="Code Review Comments, if any2" dataDxfId="1011"/>
    <tableColumn id="21" xr3:uid="{447E86EC-01A8-4DD2-9D54-E5F65C1BAF1D}" name="Internal PO -POV Comments" dataDxfId="1010"/>
    <tableColumn id="22" xr3:uid="{6A957073-EF85-4700-8BED-67D604CB18EC}" name="Client PO -POV Comments" dataDxfId="1009"/>
    <tableColumn id="24" xr3:uid="{9ABA8A1B-8474-4BA1-9DD4-874F21CA9983}" name="Comments" dataDxfId="1008"/>
    <tableColumn id="31" xr3:uid="{6344002E-3859-4454-92D7-2EF105E0029B}" name="QA Comments" dataDxfId="100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85F9D06-11C6-4841-8088-48D3954FD626}" name="Table145678109312131114151719182120162223242625272829303132333435" displayName="Table145678109312131114151719182120162223242625272829303132333435" ref="A1:AE8" totalsRowShown="0" headerRowDxfId="1006" dataDxfId="1005" tableBorderDxfId="1004">
  <autoFilter ref="A1:AE8" xr:uid="{9DC5C30B-A60C-4FFE-8316-8BFF998E3F7C}"/>
  <tableColumns count="31">
    <tableColumn id="1" xr3:uid="{27E594A2-2A00-45FA-A69E-100CF9BDC778}" name="S.No" dataDxfId="1003" dataCellStyle="20% - Accent1"/>
    <tableColumn id="25" xr3:uid="{B04A9279-62A1-40E8-982B-DA09C576B713}" name="Application Name" dataDxfId="1002"/>
    <tableColumn id="27" xr3:uid="{911D6FD2-4A4B-4290-8C57-9191ECE29E52}" name="Sprint Start Date" dataDxfId="1001" dataCellStyle="20% - Accent1"/>
    <tableColumn id="26" xr3:uid="{6630ABB0-2743-4EFF-A68F-33C228FD0343}" name="Sprint End Date" dataDxfId="1000" dataCellStyle="20% - Accent1"/>
    <tableColumn id="2" xr3:uid="{3B401FF2-DDBF-414C-811F-3D24A5226988}" name="Sprint " dataDxfId="999"/>
    <tableColumn id="3" xr3:uid="{6F011177-424F-4334-99BE-7694E5BFF19F}" name="Developer" dataDxfId="998"/>
    <tableColumn id="4" xr3:uid="{F2E2298F-1795-483A-BD55-0D0CBC6B835C}" name="Story ID/Defect ID" dataDxfId="997"/>
    <tableColumn id="5" xr3:uid="{02746797-97E2-4DC1-85E1-C666C620FF9E}" name="Description" dataDxfId="996"/>
    <tableColumn id="23" xr3:uid="{E48131A2-F372-4E3B-AD05-57B3BB5BBEC1}" name="Status" dataDxfId="995"/>
    <tableColumn id="6" xr3:uid="{8A0B8476-4167-461D-9DE0-BEDB1994DFC9}" name="Estimated(hrs/sp)" dataDxfId="994"/>
    <tableColumn id="7" xr3:uid="{191800C5-8A7F-4740-A6AE-86830AF5D202}" name="Actual(hrs/sp)" dataDxfId="993"/>
    <tableColumn id="28" xr3:uid="{55FAEE2F-8D9A-4438-BE8C-089466DEAACA}" name="Actual Hours  Worklog" dataDxfId="992"/>
    <tableColumn id="30" xr3:uid="{A76D425F-F2B3-441D-814E-C93217D8D0B1}" name="Dev Start Date" dataDxfId="991"/>
    <tableColumn id="29" xr3:uid="{A09254C5-020C-46D2-A3B8-9061ACB40C57}" name="Dev End Date" dataDxfId="990"/>
    <tableColumn id="8" xr3:uid="{F98FE42B-118E-4FAE-86E1-0551DC3D28AE}" name="Unit testing" dataDxfId="989"/>
    <tableColumn id="9" xr3:uid="{BB212EBD-6A11-471E-A019-5733FBD1C8F3}" name="Peer Tested By" dataDxfId="988"/>
    <tableColumn id="10" xr3:uid="{4422C748-9AB4-4DA9-9B38-EDAA8505455F}" name="Peer Tested Defects, if any" dataDxfId="987"/>
    <tableColumn id="11" xr3:uid="{F58DC1A2-CBBE-4BC4-9B36-9AE12317964E}" name="Peer Reviewed By" dataDxfId="986"/>
    <tableColumn id="12" xr3:uid="{F5EE73F2-12D0-452A-BA87-D11149B7A663}" name="Peer Code Review Comments, if any" dataDxfId="985"/>
    <tableColumn id="13" xr3:uid="{D245D1E3-9AEE-4A18-B7B5-16B15E959D18}" name="PR Number/Link" dataDxfId="984" dataCellStyle="Hyperlink"/>
    <tableColumn id="14" xr3:uid="{3FC35DA1-0631-4341-A3CC-D32AE5CBD52E}" name="PR Created Date" dataDxfId="983"/>
    <tableColumn id="15" xr3:uid="{03C16623-7AEC-4FE7-B786-52C26997E232}" name="PR Approved Date" dataDxfId="982"/>
    <tableColumn id="16" xr3:uid="{4F2528AD-6583-4193-ABA7-2C576199F3B0}" name="Onsite Lead Code Review" dataDxfId="981"/>
    <tableColumn id="17" xr3:uid="{12A92644-CE0E-4685-9129-06D10B03AB11}" name="Code Review Comments, if any" dataDxfId="980"/>
    <tableColumn id="18" xr3:uid="{F0562160-B7EE-4F00-ABFF-05EE5A5986EE}" name="Client Code Review" dataDxfId="979"/>
    <tableColumn id="19" xr3:uid="{F468BEF8-0E68-4613-BF66-1ED4884EBE95}" name="Approved Date" dataDxfId="978"/>
    <tableColumn id="20" xr3:uid="{CCE3AD13-8C1E-47C3-B6C0-7C9D6B9064A8}" name="Code Review Comments, if any2" dataDxfId="977"/>
    <tableColumn id="21" xr3:uid="{B65A430A-5C35-44A8-909C-55CC5ACB3CFE}" name="Internal PO -POV Comments" dataDxfId="976"/>
    <tableColumn id="22" xr3:uid="{C26E5D09-9BED-4B46-940C-10BAD04578D7}" name="Client PO -POV Comments" dataDxfId="975"/>
    <tableColumn id="24" xr3:uid="{39CC5E1D-2327-485E-A08C-FBC6E83D7DD3}" name="Comments" dataDxfId="974"/>
    <tableColumn id="31" xr3:uid="{CB66565C-2EF4-46F4-9FD1-1EA60ABC2B6F}" name="QA Comments" dataDxfId="97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5881AD2-D5D4-41C0-817C-7BE95A386818}" name="Table1456781093121311141517191821201622232426252728293031323334" displayName="Table1456781093121311141517191821201622232426252728293031323334" ref="A1:AF6" totalsRowShown="0" headerRowDxfId="972" dataDxfId="971" tableBorderDxfId="970">
  <autoFilter ref="A1:AF6" xr:uid="{9DC5C30B-A60C-4FFE-8316-8BFF998E3F7C}"/>
  <tableColumns count="32">
    <tableColumn id="1" xr3:uid="{61A90685-CACA-482F-A185-353E8FAA7B36}" name="S.No" dataDxfId="969" dataCellStyle="20% - Accent1"/>
    <tableColumn id="25" xr3:uid="{E7002C2C-9ACA-4139-9F38-B5D6538A6538}" name="Application Name" dataDxfId="968"/>
    <tableColumn id="27" xr3:uid="{95279356-2A05-4186-9272-47DBC4926511}" name="Sprint Start Date" dataDxfId="967" dataCellStyle="20% - Accent1"/>
    <tableColumn id="26" xr3:uid="{F5DF550D-DAED-44D3-A525-E319597E2565}" name="Sprint End Date" dataDxfId="966" dataCellStyle="20% - Accent1"/>
    <tableColumn id="2" xr3:uid="{F12372E3-3B0F-41FC-AE8C-2DA4546C4601}" name="Sprint " dataDxfId="965" dataCellStyle="20% - Accent1"/>
    <tableColumn id="32" xr3:uid="{E5842447-EF5D-411C-9944-81F79555396E}" name="Column1" dataDxfId="964" dataCellStyle="20% - Accent1"/>
    <tableColumn id="3" xr3:uid="{7FCEB5B1-2FBB-4150-BA52-8071331FA968}" name="Developer" dataDxfId="963"/>
    <tableColumn id="4" xr3:uid="{16D2B92E-C894-4F51-903E-37CA5A17B660}" name="Story ID/Defect ID" dataDxfId="962"/>
    <tableColumn id="5" xr3:uid="{3CBAFBBC-BAAB-4C9E-A077-D75049C1292E}" name="Description" dataDxfId="961"/>
    <tableColumn id="23" xr3:uid="{D899DBDA-7B30-4FA4-A308-04E39C518CC5}" name="Status" dataDxfId="960"/>
    <tableColumn id="6" xr3:uid="{0778628D-D8B3-43F9-934F-FD20518E441C}" name="Estimated(hrs/sp)" dataDxfId="959"/>
    <tableColumn id="7" xr3:uid="{4C8DBDD4-F618-47A9-B04F-5772280952DD}" name="Actual(hrs/sp)" dataDxfId="958"/>
    <tableColumn id="28" xr3:uid="{FD4AADC4-46CA-4526-B5D6-0FED5E491A6C}" name="Actual Hours  Worklog" dataDxfId="957"/>
    <tableColumn id="30" xr3:uid="{0F33C043-B2AC-4580-BE40-8FD37D8D4741}" name="Dev Start Date" dataDxfId="956"/>
    <tableColumn id="29" xr3:uid="{534D67C9-09A1-4481-8100-567A16B89755}" name="Dev End Date" dataDxfId="955"/>
    <tableColumn id="8" xr3:uid="{0E1C5814-3D65-43E9-9583-23A9801D97B6}" name="Unit testing" dataDxfId="954"/>
    <tableColumn id="9" xr3:uid="{E8915FB7-A1F4-4B40-9F97-518A3D079F22}" name="Peer Tested By" dataDxfId="953"/>
    <tableColumn id="10" xr3:uid="{FED5A938-A809-4F0E-BEB9-FF89EBC9211B}" name="Peer Tested Defects, if any" dataDxfId="952"/>
    <tableColumn id="11" xr3:uid="{77F987C0-37F5-4A4F-86F4-C02B9DCF276A}" name="Peer Reviewed By" dataDxfId="951"/>
    <tableColumn id="12" xr3:uid="{8BEB61B1-FE31-4868-B841-95785DE7A997}" name="Peer Code Review Comments, if any" dataDxfId="950"/>
    <tableColumn id="13" xr3:uid="{C3D9A1E1-3AF9-403E-BD48-4EA9B2738F07}" name="PR Number/Link" dataDxfId="949" dataCellStyle="Hyperlink"/>
    <tableColumn id="14" xr3:uid="{F57B5675-D0DF-4BD4-BCE1-7E23DC679B3D}" name="PR Created Date" dataDxfId="948"/>
    <tableColumn id="15" xr3:uid="{1BAE4849-2E07-4FDF-BDDE-5BB899898C41}" name="PR Approved Date" dataDxfId="947"/>
    <tableColumn id="16" xr3:uid="{7E61523B-A6C0-4980-9708-15F0B18CCE07}" name="Onsite Lead Code Review" dataDxfId="946"/>
    <tableColumn id="17" xr3:uid="{0CA424E3-B32A-4F0F-9AE5-43DCECF5444D}" name="Code Review Comments, if any" dataDxfId="945"/>
    <tableColumn id="18" xr3:uid="{9DC38D0A-4CAF-44E7-A6AD-E7EEB139DE68}" name="Client Code Review" dataDxfId="944"/>
    <tableColumn id="19" xr3:uid="{D059FAE9-E54E-4C23-B9DC-B0705E961AC4}" name="Approved Date" dataDxfId="943"/>
    <tableColumn id="20" xr3:uid="{C1F5BCD0-9014-4001-8DDD-8BB59EE1AB9D}" name="Code Review Comments, if any2" dataDxfId="942"/>
    <tableColumn id="21" xr3:uid="{44E37FCB-B250-4B7F-A260-3E5EBBDD4719}" name="Internal PO -POV Comments" dataDxfId="941"/>
    <tableColumn id="22" xr3:uid="{4FD41863-4FC7-4B79-A0D0-CBE431543C9B}" name="Client PO -POV Comments" dataDxfId="940"/>
    <tableColumn id="24" xr3:uid="{CABDB68F-85E9-4B76-860B-6506DDC38B1E}" name="Comments" dataDxfId="939"/>
    <tableColumn id="31" xr3:uid="{96003033-0A78-4F2C-B17B-5C05804927D1}" name="QA Comments" dataDxfId="93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87B106F-7007-4A82-BA28-2402C6D2AE2E}" name="Table14567810931213111415171918212016222324262527282930313233" displayName="Table14567810931213111415171918212016222324262527282930313233" ref="A1:AE5" totalsRowShown="0" headerRowDxfId="937" dataDxfId="936" tableBorderDxfId="935">
  <autoFilter ref="A1:AE5" xr:uid="{9DC5C30B-A60C-4FFE-8316-8BFF998E3F7C}"/>
  <tableColumns count="31">
    <tableColumn id="1" xr3:uid="{35304121-B86D-4502-A5A0-0E3B0E4C1DAA}" name="S.No" dataDxfId="934" dataCellStyle="20% - Accent1"/>
    <tableColumn id="25" xr3:uid="{051E5688-B90F-4472-9D0E-8E5E008C3CD5}" name="Application Name" dataDxfId="933"/>
    <tableColumn id="27" xr3:uid="{6E641E79-B260-48A3-A4F3-1CD04D96AAD8}" name="Sprint Start Date" dataDxfId="932" dataCellStyle="20% - Accent1"/>
    <tableColumn id="26" xr3:uid="{854BA266-E0A9-43B4-ACC2-26E0D93C1450}" name="Sprint End Date" dataDxfId="931" dataCellStyle="20% - Accent1"/>
    <tableColumn id="2" xr3:uid="{44FAAEB4-6EE4-4303-AE5A-1F42375C9900}" name="Sprint " dataDxfId="930" dataCellStyle="20% - Accent1"/>
    <tableColumn id="3" xr3:uid="{EFF9D3FD-6DFC-46C2-BC55-9EB6AC2668FF}" name="Developer" dataDxfId="929"/>
    <tableColumn id="4" xr3:uid="{0F16EC64-0015-4E7F-AAC7-EB1E1CC280D8}" name="Story ID/Defect ID" dataDxfId="928"/>
    <tableColumn id="5" xr3:uid="{7FEAF0DE-7883-4F0F-B954-18E0D07F863A}" name="Description" dataDxfId="927"/>
    <tableColumn id="23" xr3:uid="{8897EC3F-318C-4558-A78B-3268833A0025}" name="Status" dataDxfId="926"/>
    <tableColumn id="6" xr3:uid="{5BC4469E-CD85-4DFF-BA62-C3F65DB8E71B}" name="Estimated(hrs/sp)" dataDxfId="925"/>
    <tableColumn id="7" xr3:uid="{21CA7178-6B5A-424B-A143-089B342EE370}" name="Actual(hrs/sp)" dataDxfId="924"/>
    <tableColumn id="28" xr3:uid="{BD5EC6A5-44A2-4504-8AAE-25053A380B94}" name="Actual Hours  Worklog" dataDxfId="923"/>
    <tableColumn id="30" xr3:uid="{0996BBAD-D3D1-4E48-BA8A-D82E1696F390}" name="Dev Start Date" dataDxfId="922"/>
    <tableColumn id="29" xr3:uid="{CA744A05-F7B6-46B4-87F3-0F7F1B590BB9}" name="Dev End Date" dataDxfId="921"/>
    <tableColumn id="8" xr3:uid="{65A4A180-1E7D-402F-BCDB-526F7D3B06FD}" name="Unit testing" dataDxfId="920"/>
    <tableColumn id="9" xr3:uid="{FCE8B26A-AB7F-459C-90F1-F0F270C53136}" name="Peer Tested By" dataDxfId="919"/>
    <tableColumn id="10" xr3:uid="{AD2358BD-EE6E-4E54-9C26-8A21AD647081}" name="Peer Tested Defects, if any" dataDxfId="918"/>
    <tableColumn id="11" xr3:uid="{74B0A893-EA0A-4CF9-AE39-486CDEC1AF12}" name="Peer Reviewed By" dataDxfId="917"/>
    <tableColumn id="12" xr3:uid="{D9B41BED-9E52-4014-92FE-5BA197956F4D}" name="Peer Code Review Comments, if any" dataDxfId="916"/>
    <tableColumn id="13" xr3:uid="{1D036A33-8C51-47EA-97AD-E2981DB29D2C}" name="PR Number/Link" dataDxfId="915" dataCellStyle="Hyperlink"/>
    <tableColumn id="14" xr3:uid="{79991B42-7F19-4C34-B942-2C1F7BBAC616}" name="PR Created Date" dataDxfId="914"/>
    <tableColumn id="15" xr3:uid="{C2B6AD76-B3C6-489B-A80A-0D6D0CC4D0AA}" name="PR Approved Date" dataDxfId="913"/>
    <tableColumn id="16" xr3:uid="{130A7ACC-3A80-48B2-B124-198027175508}" name="Onsite Lead Code Review" dataDxfId="912"/>
    <tableColumn id="17" xr3:uid="{2A934A8D-53B0-420C-8B80-08F1685B7733}" name="Code Review Comments, if any" dataDxfId="911"/>
    <tableColumn id="18" xr3:uid="{18DA96F1-7556-49BE-9CA1-6453C1A03A2D}" name="Client Code Review" dataDxfId="910"/>
    <tableColumn id="19" xr3:uid="{C676F106-6E22-4268-98EB-3CFAAB700028}" name="Approved Date" dataDxfId="909"/>
    <tableColumn id="20" xr3:uid="{BFBD7916-0BAB-4D43-B998-A7FCA7000598}" name="Code Review Comments, if any2" dataDxfId="908"/>
    <tableColumn id="21" xr3:uid="{73B9B110-3DE0-4097-B34A-F77B7D935219}" name="Internal PO -POV Comments" dataDxfId="907"/>
    <tableColumn id="22" xr3:uid="{1E911547-94D7-4F96-9E5D-4EC89D4262D1}" name="Client PO -POV Comments" dataDxfId="906"/>
    <tableColumn id="24" xr3:uid="{1063638F-81F9-4D40-904F-1F7081C2CA93}" name="Comments" dataDxfId="905"/>
    <tableColumn id="31" xr3:uid="{A09C3A4B-AF55-4293-86C0-9FA119765E5C}" name="QA Comments" dataDxfId="90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31CEF0-28DA-4829-815C-577087D8D840}" name="Table145678109312131114151719182120162223242625272829303132" displayName="Table145678109312131114151719182120162223242625272829303132" ref="A1:AE7" totalsRowShown="0" headerRowDxfId="903" dataDxfId="902" tableBorderDxfId="901">
  <autoFilter ref="A1:AE7" xr:uid="{9DC5C30B-A60C-4FFE-8316-8BFF998E3F7C}"/>
  <tableColumns count="31">
    <tableColumn id="1" xr3:uid="{38E3E11B-69D7-4FF0-BF6F-117D62C4463C}" name="S.No" dataDxfId="900" dataCellStyle="20% - Accent1"/>
    <tableColumn id="25" xr3:uid="{7DFB789B-2B07-4758-BE59-79E7B638B74A}" name="Application Name" dataDxfId="899"/>
    <tableColumn id="27" xr3:uid="{721A8C63-2F6F-4D5B-ABD6-8D67F31AA1E0}" name="Sprint Start Date" dataDxfId="898" dataCellStyle="20% - Accent1"/>
    <tableColumn id="26" xr3:uid="{42D554BE-7381-46F0-A8FF-1C1CA8729AC3}" name="Sprint End Date" dataDxfId="897" dataCellStyle="20% - Accent1"/>
    <tableColumn id="2" xr3:uid="{2D89A75F-F24B-41C0-8164-62825D51D437}" name="Sprint " dataDxfId="896" dataCellStyle="20% - Accent1"/>
    <tableColumn id="3" xr3:uid="{4B8A1486-7CA8-4FB2-A03A-FEEB30696BB0}" name="Developer" dataDxfId="895"/>
    <tableColumn id="4" xr3:uid="{4B4E11CB-7B7E-4CB9-BE96-3DCFF24729B6}" name="Story ID/Defect ID" dataDxfId="894"/>
    <tableColumn id="5" xr3:uid="{5F710709-B381-43C1-BEA6-9917FC536BE4}" name="Description" dataDxfId="893"/>
    <tableColumn id="23" xr3:uid="{F495FC20-2590-4456-B260-A6816CC0DBDD}" name="Status" dataDxfId="892"/>
    <tableColumn id="6" xr3:uid="{DC9FD861-49CC-4C53-882A-2B4FF4400416}" name="Estimated(hrs/sp)" dataDxfId="891"/>
    <tableColumn id="7" xr3:uid="{03109655-C62E-44E7-8CCD-038ADC6F2F9C}" name="Actual(hrs/sp)" dataDxfId="890"/>
    <tableColumn id="28" xr3:uid="{63C2D7EB-705C-4F37-8453-1BBFB5A2451B}" name="Actual Hours  Worklog" dataDxfId="889"/>
    <tableColumn id="30" xr3:uid="{9807DDC0-BABD-439F-AE94-4D34A7C9BBF0}" name="Dev Start Date" dataDxfId="888"/>
    <tableColumn id="29" xr3:uid="{0D220DB1-963B-43C1-99B8-1EEDA8EE634C}" name="Dev End Date" dataDxfId="887"/>
    <tableColumn id="8" xr3:uid="{5C5EB5CB-C326-4724-84EF-FEA64D1D3C57}" name="Unit testing" dataDxfId="886"/>
    <tableColumn id="9" xr3:uid="{CDD0F7D1-9227-4E12-96B2-B787BF296107}" name="Peer Tested By" dataDxfId="885"/>
    <tableColumn id="10" xr3:uid="{E264D855-D6BE-432D-9A72-936CD01E1A30}" name="Peer Tested Defects, if any" dataDxfId="884"/>
    <tableColumn id="11" xr3:uid="{D46D7625-A04D-49C9-8475-32155ADBE387}" name="Peer Reviewed By" dataDxfId="883"/>
    <tableColumn id="12" xr3:uid="{C8EA15A7-E23A-4452-B0C3-FB38C7356008}" name="Peer Code Review Comments, if any" dataDxfId="882"/>
    <tableColumn id="13" xr3:uid="{55874E78-17C9-494F-B32A-AC2FCB9F851C}" name="PR Number/Link" dataDxfId="881" dataCellStyle="Hyperlink"/>
    <tableColumn id="14" xr3:uid="{13EC4083-014F-4F42-B119-C717301B2CCB}" name="PR Created Date" dataDxfId="880"/>
    <tableColumn id="15" xr3:uid="{57A31A10-2E17-4BE2-AAE7-BF261C9CFFF4}" name="PR Approved Date" dataDxfId="879"/>
    <tableColumn id="16" xr3:uid="{0E48CE47-E5C3-419D-B3D9-C7EC164236ED}" name="Onsite Lead Code Review" dataDxfId="878"/>
    <tableColumn id="17" xr3:uid="{5DFBC20E-292F-4E85-9313-FD9FD8F1B682}" name="Code Review Comments, if any" dataDxfId="877"/>
    <tableColumn id="18" xr3:uid="{DC65D0A9-8057-45A9-AB1D-0A32FB110C01}" name="Client Code Review" dataDxfId="876"/>
    <tableColumn id="19" xr3:uid="{745C41C1-26BB-4F11-8FEC-8DB26C635176}" name="Approved Date" dataDxfId="875"/>
    <tableColumn id="20" xr3:uid="{57DFAFDD-87B4-4068-9192-67A0CAE0D9F4}" name="Code Review Comments, if any2" dataDxfId="874"/>
    <tableColumn id="21" xr3:uid="{B0BBF8B5-F47C-4D13-99A4-95396F1EA672}" name="Internal PO -POV Comments" dataDxfId="873"/>
    <tableColumn id="22" xr3:uid="{4868906B-D3A4-41D0-9039-428425A37B70}" name="Client PO -POV Comments" dataDxfId="872"/>
    <tableColumn id="24" xr3:uid="{A5ECA175-5166-47BF-B39B-5FAD04C95A89}" name="Comments" dataDxfId="871"/>
    <tableColumn id="31" xr3:uid="{E79ED7A7-CDAE-4118-B21B-96248248EAA6}" name="QA Comments" dataDxfId="870"/>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7798B85-9F28-43DB-90FD-7B4CDFBEF223}" name="Table1456781093121311141517191821201622232426252728293031" displayName="Table1456781093121311141517191821201622232426252728293031" ref="A1:AD9" totalsRowShown="0" headerRowDxfId="869" dataDxfId="868" tableBorderDxfId="867">
  <autoFilter ref="A1:AD9" xr:uid="{9DC5C30B-A60C-4FFE-8316-8BFF998E3F7C}"/>
  <tableColumns count="30">
    <tableColumn id="1" xr3:uid="{DD333AB7-15A1-4D39-8BFC-FDF972953BA1}" name="S.No" dataDxfId="866" dataCellStyle="20% - Accent1"/>
    <tableColumn id="25" xr3:uid="{00EAFA8F-F4A4-4248-9965-F89EE9B38C1D}" name="Application Name" dataDxfId="865"/>
    <tableColumn id="27" xr3:uid="{316ED827-98F4-4F92-871A-265879672B13}" name="Sprint Start Date" dataDxfId="864" dataCellStyle="20% - Accent1"/>
    <tableColumn id="26" xr3:uid="{13591082-7E3F-4F77-8184-2D3773355E84}" name="Sprint End Date" dataDxfId="863" dataCellStyle="20% - Accent1"/>
    <tableColumn id="2" xr3:uid="{EC3AF7DF-807F-4ABC-882C-09ABF0503A1D}" name="Sprint " dataDxfId="862" dataCellStyle="20% - Accent1"/>
    <tableColumn id="3" xr3:uid="{9DD8C521-E7ED-4E8C-98DD-8184B4F01B8E}" name="Developer" dataDxfId="861"/>
    <tableColumn id="4" xr3:uid="{46C9A5A3-FFD4-47BB-AB17-AAC689AD13AD}" name="Story ID/Defect ID" dataDxfId="860"/>
    <tableColumn id="5" xr3:uid="{E67E273A-0769-47CD-93F8-1300BD15D3D1}" name="Description" dataDxfId="859"/>
    <tableColumn id="23" xr3:uid="{BB2C0EAA-83A3-4871-9E50-9DE4A232BA29}" name="Status" dataDxfId="858"/>
    <tableColumn id="6" xr3:uid="{1328A70F-FDD1-436F-9B2A-CCDBB01783DC}" name="Estimated(hrs/sp)" dataDxfId="857"/>
    <tableColumn id="7" xr3:uid="{67FDAF1E-D847-48A9-9619-0DC115153E39}" name="Actual(hrs/sp)" dataDxfId="856"/>
    <tableColumn id="28" xr3:uid="{BAD47776-E134-4BF5-A799-85FED9E4A80D}" name="Actual Hours  Worklog" dataDxfId="855"/>
    <tableColumn id="30" xr3:uid="{C0D4CB8C-247E-4248-BC8F-09A3137A8240}" name="Dev Start Date" dataDxfId="854"/>
    <tableColumn id="29" xr3:uid="{567C2910-4C32-4C61-B9EB-5CACB4AA98CF}" name="Dev End Date" dataDxfId="853"/>
    <tableColumn id="8" xr3:uid="{A2512C69-8E86-4AB0-A23C-60806FBDFE4B}" name="Unit testing" dataDxfId="852"/>
    <tableColumn id="9" xr3:uid="{74F311E8-F81C-4143-84BD-7D5DD927E8E0}" name="Peer Tested By" dataDxfId="851"/>
    <tableColumn id="10" xr3:uid="{F2D4BD47-20B0-4A0E-967A-EF98CC3CE8E3}" name="Peer Tested Defects, if any" dataDxfId="850"/>
    <tableColumn id="11" xr3:uid="{68FA4618-5407-4EE7-9A1B-F78241D04E4E}" name="Peer Reviewed By" dataDxfId="849"/>
    <tableColumn id="12" xr3:uid="{ADFB55E1-95F0-4655-9554-6A780086BB05}" name="Peer Code Review Comments, if any" dataDxfId="848"/>
    <tableColumn id="13" xr3:uid="{A7B07E9A-D683-4286-808C-FE8079B7E485}" name="PR Number/Link" dataDxfId="847" dataCellStyle="Hyperlink"/>
    <tableColumn id="14" xr3:uid="{A2B78917-36C7-4A97-B341-09EDD2F079EB}" name="PR Created Date" dataDxfId="846"/>
    <tableColumn id="15" xr3:uid="{0D75F8BA-F4B1-4A5E-8233-621AA0E65808}" name="PR Approved Date" dataDxfId="845"/>
    <tableColumn id="16" xr3:uid="{3847ED98-744F-4A25-9098-71877EEE051A}" name="Onsite Lead Code Review" dataDxfId="844"/>
    <tableColumn id="17" xr3:uid="{407BAB4F-C499-424E-97AA-F770A6AA1EAA}" name="Code Review Comments, if any" dataDxfId="843"/>
    <tableColumn id="18" xr3:uid="{F35998EC-CFFB-476B-9BBE-0CA00DC70D00}" name="Client Code Review" dataDxfId="842"/>
    <tableColumn id="19" xr3:uid="{7DA20626-42FB-4FC7-AD94-EC4EBCBB5B46}" name="Approved Date" dataDxfId="841"/>
    <tableColumn id="20" xr3:uid="{0AD6A28D-A605-4011-B8F3-686177238A71}" name="Code Review Comments, if any2" dataDxfId="840"/>
    <tableColumn id="21" xr3:uid="{D914F062-AEC6-4749-9619-BCB42A6F03FB}" name="Internal PO -POV Comments" dataDxfId="839"/>
    <tableColumn id="22" xr3:uid="{BF0E915A-C324-4F3F-B1EE-A4C9DA781888}" name="Client PO -POV Comments" dataDxfId="838"/>
    <tableColumn id="24" xr3:uid="{4BF47640-F7AF-4108-B9C7-F770082B629A}" name="Comments" dataDxfId="837"/>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AD37312-7A6B-4B06-93C4-D834EF62BFC8}" name="Table14567810931213111415171918212016222324262527282930" displayName="Table14567810931213111415171918212016222324262527282930" ref="A1:AD6" totalsRowShown="0" headerRowDxfId="836" dataDxfId="835" tableBorderDxfId="834">
  <autoFilter ref="A1:AD6" xr:uid="{9DC5C30B-A60C-4FFE-8316-8BFF998E3F7C}"/>
  <tableColumns count="30">
    <tableColumn id="1" xr3:uid="{A75EE9DC-3AE8-4013-A996-948FD9DDD49F}" name="S.No" dataDxfId="833" dataCellStyle="20% - Accent1"/>
    <tableColumn id="25" xr3:uid="{1B0675B9-A270-4872-9FC8-9964AF72BF3B}" name="Application Name" dataDxfId="832"/>
    <tableColumn id="27" xr3:uid="{C1A81F12-9117-4643-AADE-B225509B5AC1}" name="Sprint Start Date" dataDxfId="831" dataCellStyle="20% - Accent1"/>
    <tableColumn id="26" xr3:uid="{4CD5556F-907B-4BA0-AFCF-8F8B56DFDA61}" name="Sprint End Date" dataDxfId="830" dataCellStyle="20% - Accent1"/>
    <tableColumn id="2" xr3:uid="{B4C49BB3-7D21-4A79-A840-6C8BF686CC47}" name="Sprint " dataDxfId="829" dataCellStyle="20% - Accent1"/>
    <tableColumn id="3" xr3:uid="{B7BB518A-BFFB-49D3-A487-8B3ECEED8E41}" name="Developer" dataDxfId="828"/>
    <tableColumn id="4" xr3:uid="{CAE115B9-1AD7-4AFF-87DE-467527495C83}" name="Story ID/Defect ID" dataDxfId="827"/>
    <tableColumn id="5" xr3:uid="{6AF9A5B0-9A88-4F86-86E6-0D8446AB499A}" name="Description" dataDxfId="826"/>
    <tableColumn id="23" xr3:uid="{E7AFC78D-1366-4B7E-9758-35192315BCBC}" name="Status" dataDxfId="825"/>
    <tableColumn id="6" xr3:uid="{E8E735F2-90FF-4FF2-92FD-1A19AAF3B6C7}" name="Estimated(hrs/sp)" dataDxfId="824"/>
    <tableColumn id="7" xr3:uid="{8438EDF0-58CA-4282-BC59-01AFA105A568}" name="Actual(hrs/sp)" dataDxfId="823"/>
    <tableColumn id="28" xr3:uid="{C4024383-2960-4136-9F45-AAF39C2D07E4}" name="Actual Hours  Worklog" dataDxfId="822"/>
    <tableColumn id="30" xr3:uid="{9D529ED3-0B43-4DD5-B114-50A96F9E6140}" name="Dev Start Date" dataDxfId="821"/>
    <tableColumn id="29" xr3:uid="{6176621C-2499-43CE-A886-947CED27202A}" name="Dev End Date" dataDxfId="820"/>
    <tableColumn id="8" xr3:uid="{9B0F109F-423A-4F0E-B2F5-E2C05DBA701F}" name="Unit testing" dataDxfId="819"/>
    <tableColumn id="9" xr3:uid="{6BA68650-BAA7-4E0B-85F4-C02005156202}" name="Peer Tested By" dataDxfId="818"/>
    <tableColumn id="10" xr3:uid="{C3EF346E-F8A0-4BCD-B6C0-367EE0363D1F}" name="Peer Tested Defects, if any" dataDxfId="817"/>
    <tableColumn id="11" xr3:uid="{422746D7-94E5-4C04-A1CA-110D7C606657}" name="Peer Reviewed By" dataDxfId="816"/>
    <tableColumn id="12" xr3:uid="{44237F3A-5EDE-4DE4-A1EF-EB62C6D2593C}" name="Peer Code Review Comments, if any" dataDxfId="815"/>
    <tableColumn id="13" xr3:uid="{1BE46F54-FE92-4BBB-A3DB-253491391B58}" name="PR Number/Link" dataDxfId="814" dataCellStyle="Hyperlink"/>
    <tableColumn id="14" xr3:uid="{B428737B-F0BA-42C2-A04A-4FBCAF8E0618}" name="PR Created Date" dataDxfId="813"/>
    <tableColumn id="15" xr3:uid="{7F1308A0-1B31-4C48-9054-D53814DBD82A}" name="PR Approved Date" dataDxfId="812"/>
    <tableColumn id="16" xr3:uid="{E1769624-FE23-4F20-9474-7E67F2DB35D3}" name="Onsite Lead Code Review" dataDxfId="811"/>
    <tableColumn id="17" xr3:uid="{45371FD2-22B6-4771-90F7-5E7904762FE8}" name="Code Review Comments, if any" dataDxfId="810"/>
    <tableColumn id="18" xr3:uid="{51A09526-1882-4FCE-BEF5-12EB3F4282B7}" name="Client Code Review" dataDxfId="809"/>
    <tableColumn id="19" xr3:uid="{79CC5BD1-170D-4598-8BF1-07AEDBD6BA92}" name="Approved Date" dataDxfId="808"/>
    <tableColumn id="20" xr3:uid="{8D1F4EC2-7B72-4AC4-9EF1-0D35D09890AF}" name="Code Review Comments, if any2" dataDxfId="807"/>
    <tableColumn id="21" xr3:uid="{5358E94B-D5AB-428F-A6D5-A551CA076A4C}" name="Internal PO -POV Comments" dataDxfId="806"/>
    <tableColumn id="22" xr3:uid="{63140026-DF7C-47DF-BC19-81AD9CBF05C2}" name="Client PO -POV Comments" dataDxfId="805"/>
    <tableColumn id="24" xr3:uid="{483F65E9-AAE1-4D78-B783-910641181271}" name="Comments" dataDxfId="804"/>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C9D5510-A064-4A09-A34A-7231432F95B0}" name="Table145678109312131114151719182120162223242625272829" displayName="Table145678109312131114151719182120162223242625272829" ref="A1:AD9" totalsRowShown="0" headerRowDxfId="803" dataDxfId="802" tableBorderDxfId="801">
  <autoFilter ref="A1:AD9" xr:uid="{9DC5C30B-A60C-4FFE-8316-8BFF998E3F7C}"/>
  <tableColumns count="30">
    <tableColumn id="1" xr3:uid="{167BBE6B-630A-4A60-9386-7528D6291C83}" name="S.No" dataDxfId="800"/>
    <tableColumn id="25" xr3:uid="{13251FA3-2EF4-44BD-AAF0-E73DC93B72B4}" name="Application Name" dataDxfId="799"/>
    <tableColumn id="27" xr3:uid="{6DA7430E-16BB-4C78-9F21-95364C74F836}" name="Sprint Start Date" dataDxfId="798" dataCellStyle="20% - Accent1"/>
    <tableColumn id="26" xr3:uid="{5A711ACC-C607-45CA-B5F9-61E6CAA014A8}" name="Sprint End Date" dataDxfId="797" dataCellStyle="20% - Accent1"/>
    <tableColumn id="2" xr3:uid="{A015DD4C-F0B7-430A-8BD8-313F34F3BD88}" name="Sprint " dataDxfId="796" dataCellStyle="20% - Accent1"/>
    <tableColumn id="3" xr3:uid="{20897114-0249-4FEC-86EF-3F6FD9594FC0}" name="Developer" dataDxfId="795"/>
    <tableColumn id="4" xr3:uid="{7737A4F8-FE02-4811-9AF0-95F964849F6E}" name="Story ID/Defect ID" dataDxfId="794"/>
    <tableColumn id="5" xr3:uid="{D7E57751-4B79-48A1-9F31-B232B8B4E52C}" name="Description" dataDxfId="793"/>
    <tableColumn id="23" xr3:uid="{C0B02B16-9BC6-49CD-BBF0-3E953751F988}" name="Status" dataDxfId="792"/>
    <tableColumn id="6" xr3:uid="{F3AD6AFF-6913-4664-9E1C-8F6F367CE04F}" name="Estimated(hrs/sp)" dataDxfId="791"/>
    <tableColumn id="7" xr3:uid="{8666BA5D-9AA5-42D5-ACFA-505D74283C93}" name="Actual(hrs/sp)" dataDxfId="790"/>
    <tableColumn id="28" xr3:uid="{3EDF9156-9440-4D4C-8BDC-1CAAA087182D}" name="Actual Hours  Worklog" dataDxfId="789"/>
    <tableColumn id="30" xr3:uid="{2D53B5C8-6774-4746-AEFE-C690AB81B91C}" name="Dev Start Date" dataDxfId="788"/>
    <tableColumn id="29" xr3:uid="{A6B5A474-5059-4BBB-A4E6-B1A6AF947512}" name="Dev End Date" dataDxfId="787">
      <calculatedColumnFormula>DATEVALUE(MID(LEFT(Table145678109312131114151719182120162223242625272829[[#This Row],[Comments]], FIND("{token}", SUBSTITUTE(Table145678109312131114151719182120162223242625272829[[#This Row],[Comments]], "-", "{token}", LEN(Table145678109312131114151719182120162223242625272829[[#This Row],[Comments]]) - LEN(SUBSTITUTE(Table145678109312131114151719182120162223242625272829[[#This Row],[Comments]], "-", "")))) - 1), FIND("{token}", SUBSTITUTE(Table145678109312131114151719182120162223242625272829[[#This Row],[Comments]], "/", "{token}", LEN(Table145678109312131114151719182120162223242625272829[[#This Row],[Comments]]) - LEN(SUBSTITUTE(Table145678109312131114151719182120162223242625272829[[#This Row],[Comments]], "/", "")) - 1)) - 2, LEN(Table145678109312131114151719182120162223242625272829[[#This Row],[Comments]]))) + TIMEVALUE(MID(LEFT(Table145678109312131114151719182120162223242625272829[[#This Row],[Comments]], FIND("{token}", SUBSTITUTE(Table145678109312131114151719182120162223242625272829[[#This Row],[Comments]], "-", "{token}", LEN(Table145678109312131114151719182120162223242625272829[[#This Row],[Comments]]) - LEN(SUBSTITUTE(Table145678109312131114151719182120162223242625272829[[#This Row],[Comments]], "-", "")))) - 1), FIND("{token}", SUBSTITUTE(Table145678109312131114151719182120162223242625272829[[#This Row],[Comments]], "/", "{token}", LEN(Table145678109312131114151719182120162223242625272829[[#This Row],[Comments]]) - LEN(SUBSTITUTE(Table145678109312131114151719182120162223242625272829[[#This Row],[Comments]], "/", "")) - 1)) - 2, LEN(Table145678109312131114151719182120162223242625272829[[#This Row],[Comments]])))</calculatedColumnFormula>
    </tableColumn>
    <tableColumn id="8" xr3:uid="{6CD31A9D-CA48-463D-9D1F-1EE1A7232A92}" name="Unit testing" dataDxfId="786"/>
    <tableColumn id="9" xr3:uid="{BB0F84CC-C8D8-461E-9E40-CDD861D68CB4}" name="Peer Tested By" dataDxfId="785"/>
    <tableColumn id="10" xr3:uid="{CAA811AC-1FC1-4C74-BAD6-E37EAC5C4519}" name="Peer Tested Defects, if any" dataDxfId="784"/>
    <tableColumn id="11" xr3:uid="{84B59A41-6188-411C-A591-A16D9406D5EF}" name="Peer Reviewed By" dataDxfId="783"/>
    <tableColumn id="12" xr3:uid="{E694E56A-791A-4BB6-9C23-82BC3A3FB71C}" name="Peer Code Review Comments, if any" dataDxfId="782"/>
    <tableColumn id="13" xr3:uid="{7C44F671-1AEB-4CFB-ACB0-05E45521DE58}" name="PR Number/Link" dataDxfId="781" dataCellStyle="Hyperlink"/>
    <tableColumn id="14" xr3:uid="{DD8E63B6-78D6-44F1-BC11-3403E369480A}" name="PR Created Date" dataDxfId="780"/>
    <tableColumn id="15" xr3:uid="{501260DE-8EF9-42BF-9137-436DADFD060A}" name="PR Approved Date" dataDxfId="779"/>
    <tableColumn id="16" xr3:uid="{977A2E08-FCA1-436D-AC72-40B60BFFE36B}" name="Onsite Lead Code Review" dataDxfId="778"/>
    <tableColumn id="17" xr3:uid="{95BC59A5-D3B7-4E21-85BF-BD8F5D91E529}" name="Code Review Comments, if any" dataDxfId="777"/>
    <tableColumn id="18" xr3:uid="{0159ECFA-8828-44C1-8399-89B5A661D201}" name="Client Code Review" dataDxfId="776"/>
    <tableColumn id="19" xr3:uid="{6AB31A92-A18A-4D2C-BF33-723E9CAC81CC}" name="Approved Date" dataDxfId="775"/>
    <tableColumn id="20" xr3:uid="{3B12A8F3-7A03-41F2-9E75-132E3C7DFC12}" name="Code Review Comments, if any2" dataDxfId="774"/>
    <tableColumn id="21" xr3:uid="{413EA95F-5DC3-4FA9-B485-EDF97A303DBF}" name="Internal PO -POV Comments" dataDxfId="773"/>
    <tableColumn id="22" xr3:uid="{8E850457-7701-4150-9DF1-8AF872B9C6A9}" name="Client PO -POV Comments" dataDxfId="772"/>
    <tableColumn id="24" xr3:uid="{3C7DD9C8-FA28-4736-A8E7-474F20210B76}" name="Comments" dataDxfId="771"/>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A0E7A77-DADC-44F1-8ABB-C856ED57AA19}" name="Table1456781093121311141517191821201622232426252728" displayName="Table1456781093121311141517191821201622232426252728" ref="A1:AD7" totalsRowShown="0" headerRowDxfId="770" dataDxfId="769" tableBorderDxfId="768">
  <autoFilter ref="A1:AD7" xr:uid="{9DC5C30B-A60C-4FFE-8316-8BFF998E3F7C}"/>
  <tableColumns count="30">
    <tableColumn id="1" xr3:uid="{38E60CB1-8420-4E4B-9395-DAF1A8F20362}" name="S.No" dataDxfId="767"/>
    <tableColumn id="25" xr3:uid="{D1705186-85B7-4F7F-B173-E5D8AA0C8CBA}" name="Application Name" dataDxfId="766"/>
    <tableColumn id="27" xr3:uid="{536E5E03-7122-45E3-A9CF-AC4FC42B6C4E}" name="Sprint Start Date" dataDxfId="765" dataCellStyle="20% - Accent1"/>
    <tableColumn id="26" xr3:uid="{3802508C-7FB0-4FF7-BCA2-0FD87DB8B5BB}" name="Sprint End Date" dataDxfId="764" dataCellStyle="20% - Accent1"/>
    <tableColumn id="2" xr3:uid="{176E60EC-0EC9-4E97-BADB-81E5BFB50234}" name="Sprint " dataDxfId="763" dataCellStyle="20% - Accent1"/>
    <tableColumn id="3" xr3:uid="{EFC3B2D8-001E-46D6-BC5B-DD213DA5A594}" name="Developer" dataDxfId="762"/>
    <tableColumn id="4" xr3:uid="{1B80260C-32CD-4DBA-829A-EB43CA69557F}" name="Story ID/Defect ID" dataDxfId="761"/>
    <tableColumn id="5" xr3:uid="{AD382FD3-9FEF-4B5E-B287-6235647E7B3C}" name="Description" dataDxfId="760"/>
    <tableColumn id="23" xr3:uid="{A54D7010-831F-4339-9758-F1DF5565A5F9}" name="Status" dataDxfId="759"/>
    <tableColumn id="6" xr3:uid="{48CE8C98-ECCE-4EE3-B547-6E2E57C48DBD}" name="Estimated(hrs/sp)" dataDxfId="758"/>
    <tableColumn id="7" xr3:uid="{B82A0B6A-942E-49D4-AB60-55A9D12CC551}" name="Actual(hrs/sp)" dataDxfId="757"/>
    <tableColumn id="28" xr3:uid="{C9DDFA2F-6578-4EC7-B72C-B58D567B7D92}" name="Actual Hours  Worklog" dataDxfId="756"/>
    <tableColumn id="30" xr3:uid="{92434822-DEBF-4263-84B3-50AE47F6BBF2}" name="Dev Start Date" dataDxfId="755"/>
    <tableColumn id="29" xr3:uid="{18E70B9A-0388-4294-A320-68F4E02C617B}" name="Dev End Date" dataDxfId="754"/>
    <tableColumn id="8" xr3:uid="{D2A1C3D6-72E3-4DA0-A293-3B803ABFC9B5}" name="Unit testing" dataDxfId="753"/>
    <tableColumn id="9" xr3:uid="{14D09715-0BD2-4E5E-808F-6CA6C0F7ADDA}" name="Peer Tested By" dataDxfId="752"/>
    <tableColumn id="10" xr3:uid="{6CB7F26A-6BF1-4241-BCF1-7E9E1D021A46}" name="Peer Tested Defects, if any" dataDxfId="751"/>
    <tableColumn id="11" xr3:uid="{C3EE4224-D285-4A3F-9480-CA10B56E0D5B}" name="Peer Reviewed By" dataDxfId="750"/>
    <tableColumn id="12" xr3:uid="{9AF9D3CF-E26D-4992-B313-9A83D54272CD}" name="Peer Code Review Comments, if any" dataDxfId="749"/>
    <tableColumn id="13" xr3:uid="{13274CF7-A9E4-42B1-9CDD-288B71A3D2F5}" name="PR Number/Link" dataDxfId="748" dataCellStyle="Hyperlink"/>
    <tableColumn id="14" xr3:uid="{88302962-E258-43AF-83A0-6FADB8E01BD2}" name="PR Created Date" dataDxfId="747"/>
    <tableColumn id="15" xr3:uid="{CF7D1FA6-A691-4A68-AFC7-6A01F9C4E10B}" name="PR Approved Date" dataDxfId="746"/>
    <tableColumn id="16" xr3:uid="{3A59A5EA-7C96-44A8-A97F-DF5683B3FD70}" name="Onsite Lead Code Review" dataDxfId="745"/>
    <tableColumn id="17" xr3:uid="{D15A6A7E-EA40-4C33-B0C3-94D77D99FFEF}" name="Code Review Comments, if any" dataDxfId="744"/>
    <tableColumn id="18" xr3:uid="{99C68133-24A2-4CCA-879D-719224E01388}" name="Client Code Review" dataDxfId="743"/>
    <tableColumn id="19" xr3:uid="{B9A60A6D-60C5-46CA-BF4D-33D931142F0F}" name="Approved Date" dataDxfId="742"/>
    <tableColumn id="20" xr3:uid="{CFE93039-4DD0-442D-AA7B-CEA8FF0F51D9}" name="Code Review Comments, if any2" dataDxfId="741"/>
    <tableColumn id="21" xr3:uid="{F0E40813-A6BA-4049-97F3-CAF76844A8C3}" name="Internal PO -POV Comments" dataDxfId="740"/>
    <tableColumn id="22" xr3:uid="{8664E0BE-BC5F-42C7-B73E-C3C9112C0A66}" name="Client PO -POV Comments" dataDxfId="739"/>
    <tableColumn id="24" xr3:uid="{608C6B60-83E2-471B-A9A4-896822FA745E}" name="Comments" dataDxfId="738"/>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B9E30069-0054-441D-ACA3-1E4488B6ECF8}" name="Table14567810931213111415171918212016222324262527" displayName="Table14567810931213111415171918212016222324262527" ref="A1:AD8" totalsRowShown="0" headerRowDxfId="737" dataDxfId="736" tableBorderDxfId="735">
  <autoFilter ref="A1:AD8" xr:uid="{9DC5C30B-A60C-4FFE-8316-8BFF998E3F7C}"/>
  <tableColumns count="30">
    <tableColumn id="1" xr3:uid="{8339C3EF-EC74-4EA9-B715-B6B0C3198175}" name="S.No" dataDxfId="734"/>
    <tableColumn id="25" xr3:uid="{CAAA29CE-82CC-4F25-A9A6-B2BD7FFD04B8}" name="Application Name" dataDxfId="733"/>
    <tableColumn id="27" xr3:uid="{FF4AC089-6944-4599-9D20-AD81865B181A}" name="Sprint Start Date" dataDxfId="732"/>
    <tableColumn id="26" xr3:uid="{61C956D0-CD1B-49C1-A02E-93B5CF989EC1}" name="Sprint End Date" dataDxfId="731"/>
    <tableColumn id="2" xr3:uid="{EB2E8BD3-2241-40DB-8D10-F07484E24DA8}" name="Sprint " dataDxfId="730"/>
    <tableColumn id="3" xr3:uid="{6C68118C-D003-4CE0-B154-CA4910ED713A}" name="Developer" dataDxfId="729"/>
    <tableColumn id="4" xr3:uid="{1F47EB65-7DF9-42AF-ADD6-A65D4F8D99C2}" name="Story ID/Defect ID" dataDxfId="728"/>
    <tableColumn id="5" xr3:uid="{F2A609FD-9154-42BA-AA9B-20977D5B2375}" name="Description" dataDxfId="727"/>
    <tableColumn id="23" xr3:uid="{2689855C-2656-4DEF-95A2-CF36E1C5CBBF}" name="Status" dataDxfId="726"/>
    <tableColumn id="6" xr3:uid="{4F0ACF03-4A84-4002-97A7-22D24751E3AB}" name="Estimated(hrs/sp)" dataDxfId="725"/>
    <tableColumn id="7" xr3:uid="{57BF5000-6922-465F-B4ED-8D5D835240EE}" name="Actual(hrs/sp)" dataDxfId="724"/>
    <tableColumn id="28" xr3:uid="{DA13A1EF-A69F-4E66-B33B-98ADCDBC902B}" name="Actual Hours  Worklog" dataDxfId="723"/>
    <tableColumn id="30" xr3:uid="{BF221B53-9BB6-4F49-B8B8-D97146FD41DC}" name="Dev Start Date" dataDxfId="722"/>
    <tableColumn id="29" xr3:uid="{650AEE6A-A639-4961-B64F-BD4D5C0C5BD8}" name="Dev End Date" dataDxfId="721"/>
    <tableColumn id="8" xr3:uid="{6EDB7D55-5549-44C7-A685-8611CD7FB8C8}" name="Unit testing" dataDxfId="720"/>
    <tableColumn id="9" xr3:uid="{1B65A07E-F005-4A31-8832-2540BFD3998D}" name="Peer Tested By" dataDxfId="719"/>
    <tableColumn id="10" xr3:uid="{BD26F90B-1C93-4E34-A4F9-654BDBB99D09}" name="Peer Tested Defects, if any" dataDxfId="718"/>
    <tableColumn id="11" xr3:uid="{FF8EAD2F-3BEE-4342-A552-1565D438D79B}" name="Peer Reviewed By" dataDxfId="717"/>
    <tableColumn id="12" xr3:uid="{AD2BE5D5-0511-4A8C-BD9B-C19BD7324C58}" name="Peer Code Review Comments, if any" dataDxfId="716"/>
    <tableColumn id="13" xr3:uid="{6BC817FB-3150-4F09-9961-B7EA3EB54F0B}" name="PR Number/Link" dataDxfId="715" dataCellStyle="Hyperlink"/>
    <tableColumn id="14" xr3:uid="{D5CD5C56-FCAA-4456-802F-681160BDB0C1}" name="PR Created Date" dataDxfId="714"/>
    <tableColumn id="15" xr3:uid="{0E85CDF2-975F-4C39-8060-4B967F3926B4}" name="PR Approved Date" dataDxfId="713"/>
    <tableColumn id="16" xr3:uid="{28BC1E0E-D110-4614-A99D-8D3FDA9F38F8}" name="Onsite Lead Code Review" dataDxfId="712"/>
    <tableColumn id="17" xr3:uid="{AAC72A50-B2A5-44C5-A69E-E7854C43562B}" name="Code Review Comments, if any" dataDxfId="711"/>
    <tableColumn id="18" xr3:uid="{4ED7118A-ABE1-43B3-8E5A-4C082312128E}" name="Client Code Review" dataDxfId="710"/>
    <tableColumn id="19" xr3:uid="{4B60CE60-AB16-4DC0-98C0-9599D612C142}" name="Approved Date" dataDxfId="709"/>
    <tableColumn id="20" xr3:uid="{BCD8BD84-5167-4DB9-8657-125FEC61BA48}" name="Code Review Comments, if any2" dataDxfId="708"/>
    <tableColumn id="21" xr3:uid="{295A0A3A-554A-4E71-84D1-EC73AA320F34}" name="Internal PO -POV Comments" dataDxfId="707"/>
    <tableColumn id="22" xr3:uid="{127241E8-48BA-4B02-9389-2558EC4035DA}" name="Client PO -POV Comments" dataDxfId="706"/>
    <tableColumn id="24" xr3:uid="{A1C9BFA8-6E66-48E0-BB68-EF9E6B01EB24}" name="Comments" dataDxfId="705"/>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E1F0F5A-EA08-451F-ABAE-129C24DADEFE}" name="Table145678109312131114151719182120162223242625" displayName="Table145678109312131114151719182120162223242625" ref="A1:AD11" totalsRowShown="0" headerRowDxfId="704" dataDxfId="703" tableBorderDxfId="702">
  <autoFilter ref="A1:AD11" xr:uid="{9DC5C30B-A60C-4FFE-8316-8BFF998E3F7C}"/>
  <tableColumns count="30">
    <tableColumn id="1" xr3:uid="{7F568553-7AD3-4961-84F9-0975A34E05B5}" name="S.No" dataDxfId="701"/>
    <tableColumn id="25" xr3:uid="{36F3A126-CC5C-4BD2-BCE8-B76F72949561}" name="Application Name" dataDxfId="700"/>
    <tableColumn id="27" xr3:uid="{E16BF6A0-AB88-40BF-858D-B39AB914191B}" name="Sprint Start Date" dataDxfId="699"/>
    <tableColumn id="26" xr3:uid="{B9C40A0F-71AE-4B45-B841-D2F18ADF248D}" name="Sprint End Date" dataDxfId="698"/>
    <tableColumn id="2" xr3:uid="{5E24820A-D183-4674-8D92-FC3E76E2595A}" name="Sprint " dataDxfId="697"/>
    <tableColumn id="3" xr3:uid="{665591FB-3B93-4A45-B461-D8C032119BAE}" name="Developer" dataDxfId="696"/>
    <tableColumn id="4" xr3:uid="{0EE15E99-AF86-41D9-9A55-DE3F139FAC10}" name="Story ID/Defect ID" dataDxfId="695"/>
    <tableColumn id="5" xr3:uid="{1A692456-BB28-47B4-8319-DF6FA84A56B5}" name="Description" dataDxfId="694"/>
    <tableColumn id="23" xr3:uid="{C292FE90-9680-4A6C-84AA-BC6BA1127E73}" name="Status" dataDxfId="693"/>
    <tableColumn id="6" xr3:uid="{472F22C0-E84F-445F-A7CE-8940857AF7F7}" name="Estimated(hrs/sp)" dataDxfId="692"/>
    <tableColumn id="7" xr3:uid="{2E9C35DE-BA35-4316-8C01-A42FD2510921}" name="Actual(hrs/sp)" dataDxfId="691"/>
    <tableColumn id="28" xr3:uid="{6F36C696-44D3-4F36-98C6-DFD0FA4FF7D9}" name="Actual Hours  Worklog" dataDxfId="690"/>
    <tableColumn id="30" xr3:uid="{3939BFFC-6F0B-4D0C-B9EF-4D6BCA529879}" name="Dev Start Date" dataDxfId="689"/>
    <tableColumn id="29" xr3:uid="{87387484-C47C-456E-B7E4-9573C1F0B21F}" name="Dev End Date" dataDxfId="688"/>
    <tableColumn id="8" xr3:uid="{FB2F33E6-6814-4773-9539-40E466156A2E}" name="Unit testing" dataDxfId="687"/>
    <tableColumn id="9" xr3:uid="{AFBC64B2-8148-4417-AB94-389BAB823C9B}" name="Peer Tested By" dataDxfId="686"/>
    <tableColumn id="10" xr3:uid="{0364A100-C103-4419-B516-06E2A3010C0E}" name="Peer Tested Defects, if any" dataDxfId="685"/>
    <tableColumn id="11" xr3:uid="{07CAF330-F7FD-42DE-9763-1F55F29448E9}" name="Peer Reviewed By" dataDxfId="684"/>
    <tableColumn id="12" xr3:uid="{C2D12DD1-7D41-4F0C-9016-A6B7D0C90B44}" name="Peer Code Review Comments, if any" dataDxfId="683"/>
    <tableColumn id="13" xr3:uid="{654885F8-87C2-4C02-AF15-1683433B7D7C}" name="PR Number/Link" dataDxfId="682" dataCellStyle="Hyperlink"/>
    <tableColumn id="14" xr3:uid="{9E898576-F1DA-4D4D-9D2D-C683ED475849}" name="PR Created Date" dataDxfId="681"/>
    <tableColumn id="15" xr3:uid="{96B9F602-C11C-4E2A-AC84-EC10D3CCC391}" name="PR Approved Date" dataDxfId="680"/>
    <tableColumn id="16" xr3:uid="{CD1E2630-4CCF-49AE-BCD7-1AACA10BB98B}" name="Onsite Lead Code Review" dataDxfId="679"/>
    <tableColumn id="17" xr3:uid="{E754702A-FD80-4323-ADBE-8ED6F37C3D44}" name="Code Review Comments, if any" dataDxfId="678"/>
    <tableColumn id="18" xr3:uid="{DB27171F-3804-4ECE-AE50-3EC2CE647588}" name="Client Code Review" dataDxfId="677"/>
    <tableColumn id="19" xr3:uid="{5EE073A2-E88B-4DEB-A1B3-5229112E603C}" name="Approved Date" dataDxfId="676"/>
    <tableColumn id="20" xr3:uid="{5FF582D5-7687-42C7-A24E-1B3F91881A53}" name="Code Review Comments, if any2" dataDxfId="675"/>
    <tableColumn id="21" xr3:uid="{F42D9A43-B6FA-4412-88F4-7CADFDEB6E1A}" name="Internal PO -POV Comments" dataDxfId="674"/>
    <tableColumn id="22" xr3:uid="{2E62BAE1-220D-47A9-B07B-9B4E4771B0CF}" name="Client PO -POV Comments" dataDxfId="673"/>
    <tableColumn id="24" xr3:uid="{1826C2A0-F1F5-4CBC-B46C-907A3276DADD}" name="Comments" dataDxfId="672"/>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489DE96-1646-4A31-ABC7-5F0F6FF072D8}" name="Table1456781093121311141517191821201622232426" displayName="Table1456781093121311141517191821201622232426" ref="A1:AD10" totalsRowShown="0" headerRowDxfId="671" dataDxfId="670" tableBorderDxfId="669">
  <autoFilter ref="A1:AD10" xr:uid="{9DC5C30B-A60C-4FFE-8316-8BFF998E3F7C}"/>
  <tableColumns count="30">
    <tableColumn id="1" xr3:uid="{57F3B2DE-0180-4DA1-BE3C-E4FDCA3071CB}" name="S.No" dataDxfId="668"/>
    <tableColumn id="25" xr3:uid="{3E1A569C-B325-4A00-9DD2-2D35916A033B}" name="Application Name" dataDxfId="667"/>
    <tableColumn id="27" xr3:uid="{B5B7361B-0D9C-47E3-A8FA-CB9D3268A8AF}" name="Sprint Start Date" dataDxfId="666"/>
    <tableColumn id="26" xr3:uid="{1A04596A-5718-4438-885B-A73DC52DB87D}" name="Sprint End Date" dataDxfId="665"/>
    <tableColumn id="2" xr3:uid="{82F42949-6D55-4AFF-9577-2FA84ACA2458}" name="Sprint " dataDxfId="664"/>
    <tableColumn id="3" xr3:uid="{BC62537D-9413-4EC5-AFD3-74DC393285B4}" name="Developer" dataDxfId="663"/>
    <tableColumn id="4" xr3:uid="{751645C4-41A4-4117-A84E-1BB551C0D145}" name="Story ID/Defect ID" dataDxfId="662"/>
    <tableColumn id="5" xr3:uid="{F5C47275-B554-49DA-AB53-26ADE1389F1D}" name="Description" dataDxfId="661"/>
    <tableColumn id="23" xr3:uid="{0F032C15-FA10-4512-B46B-2CC5056B7FE2}" name="Status" dataDxfId="660"/>
    <tableColumn id="6" xr3:uid="{8AAABC67-5D3B-4CA2-A52B-6D7768385210}" name="Estimated(hrs/sp)" dataDxfId="659"/>
    <tableColumn id="7" xr3:uid="{33AE5813-906B-4223-AA60-05433BDF99C9}" name="Actual(hrs/sp)" dataDxfId="658"/>
    <tableColumn id="28" xr3:uid="{749DD06E-15E6-4F8C-AAEF-76D0F8952DEF}" name="Actual Hours  Worklog" dataDxfId="657"/>
    <tableColumn id="30" xr3:uid="{703007AF-A9A0-4AB8-9595-8E7D3547D6D2}" name="Dev Start Date" dataDxfId="656"/>
    <tableColumn id="29" xr3:uid="{754DC865-940B-413F-861D-61857BD2FDE5}" name="Dev End Date" dataDxfId="655"/>
    <tableColumn id="8" xr3:uid="{DAFACB89-A187-4E69-9634-85AC7FCA97E2}" name="Unit testing" dataDxfId="654"/>
    <tableColumn id="9" xr3:uid="{71B15C7A-D125-4F36-A4DA-F64A0B1EE1AA}" name="Peer Tested By" dataDxfId="653"/>
    <tableColumn id="10" xr3:uid="{E68E7C97-6E7C-476F-8CA2-6980C3933E55}" name="Peer Tested Defects, if any" dataDxfId="652"/>
    <tableColumn id="11" xr3:uid="{59C4610E-D121-4C9A-AF80-B1053D7287F7}" name="Peer Reviewed By" dataDxfId="651"/>
    <tableColumn id="12" xr3:uid="{B1BE29EA-772C-4EAE-996E-77D5CDEF770D}" name="Peer Code Review Comments, if any" dataDxfId="650"/>
    <tableColumn id="13" xr3:uid="{E5323082-44F1-49CB-AE23-B6D2DFC636E9}" name="PR Number/Link" dataDxfId="649" dataCellStyle="Hyperlink"/>
    <tableColumn id="14" xr3:uid="{3CE77078-6692-4048-B2B1-18250789351F}" name="PR Created Date" dataDxfId="648"/>
    <tableColumn id="15" xr3:uid="{67830F00-C9D8-4534-A4DF-1FEC21076E81}" name="PR Approved Date" dataDxfId="647"/>
    <tableColumn id="16" xr3:uid="{519292E9-C9C4-474C-9792-19019DA09544}" name="Onsite Lead Code Review" dataDxfId="646"/>
    <tableColumn id="17" xr3:uid="{BBF29771-37C7-4583-9E8F-27D2B2E7BC35}" name="Code Review Comments, if any" dataDxfId="645"/>
    <tableColumn id="18" xr3:uid="{903BF1A1-1A59-4D68-B771-C1CAA86A1E61}" name="Client Code Review" dataDxfId="644"/>
    <tableColumn id="19" xr3:uid="{B233490C-7959-42AD-8D84-B0E257FA7FC7}" name="Approved Date" dataDxfId="643"/>
    <tableColumn id="20" xr3:uid="{E2AFD9B4-0CF5-49BE-B1A5-BC12B320B645}" name="Code Review Comments, if any2" dataDxfId="642"/>
    <tableColumn id="21" xr3:uid="{E4937948-CFD0-422F-8F3D-50C23AE4435A}" name="Internal PO -POV Comments" dataDxfId="641"/>
    <tableColumn id="22" xr3:uid="{7758E595-9464-4BE1-B2EB-CCFC0BB15E80}" name="Client PO -POV Comments" dataDxfId="640"/>
    <tableColumn id="24" xr3:uid="{7289EC20-0BF8-4943-80C6-40DBF73D9844}" name="Comments" dataDxfId="639"/>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EF08B0D-6627-4190-845C-A5AA0301A8D1}" name="Table14567810931213111415171918212016222324" displayName="Table14567810931213111415171918212016222324" ref="A1:AD10" totalsRowShown="0" headerRowDxfId="638" dataDxfId="637" tableBorderDxfId="636">
  <autoFilter ref="A1:AD10" xr:uid="{9DC5C30B-A60C-4FFE-8316-8BFF998E3F7C}"/>
  <tableColumns count="30">
    <tableColumn id="1" xr3:uid="{F3312A77-E81F-4EF3-9E28-71BB73AC7EE7}" name="S.No" dataDxfId="635"/>
    <tableColumn id="25" xr3:uid="{909D7537-A07E-4AEE-A134-43698D65D64A}" name="Application Name" dataDxfId="634"/>
    <tableColumn id="27" xr3:uid="{76F8176C-581D-4A85-8F7B-0CF9A446F207}" name="Sprint Start Date" dataDxfId="633"/>
    <tableColumn id="26" xr3:uid="{E4600D26-82EF-4F7F-8F3D-9197E77C9080}" name="Sprint End Date" dataDxfId="632"/>
    <tableColumn id="2" xr3:uid="{32AACE16-B615-44B0-B9B7-C14673781551}" name="Sprint " dataDxfId="631"/>
    <tableColumn id="3" xr3:uid="{AB91A602-F86B-48D5-A6D3-6135F258D2FC}" name="Developer" dataDxfId="630"/>
    <tableColumn id="4" xr3:uid="{6251BCED-5796-4E69-B055-C90AC05FDC2E}" name="Story ID/Defect ID" dataDxfId="629"/>
    <tableColumn id="5" xr3:uid="{245E70E4-A88F-4D2A-9FAD-57371939186C}" name="Description" dataDxfId="628"/>
    <tableColumn id="23" xr3:uid="{582B68C9-02C1-4D9A-82FA-37EDFDA60205}" name="Status" dataDxfId="627"/>
    <tableColumn id="6" xr3:uid="{988C4199-2023-46EE-8BCD-7B32A92C00B7}" name="Estimated(hrs/sp)" dataDxfId="626"/>
    <tableColumn id="7" xr3:uid="{589081BC-6685-49A7-BE93-2605A2FF969F}" name="Actual(hrs/sp)" dataDxfId="625"/>
    <tableColumn id="28" xr3:uid="{8A53F859-CD2C-4250-A38F-E98D939422CA}" name="Actual Hours  Worklog" dataDxfId="624"/>
    <tableColumn id="30" xr3:uid="{89CE8480-4DA6-4C7A-A5C5-8E5A815BEFC4}" name="Dev Start Date" dataDxfId="623"/>
    <tableColumn id="29" xr3:uid="{43DC77F4-B2F2-47A8-971E-6E1D94E58DA1}" name="Dev End Date" dataDxfId="622"/>
    <tableColumn id="8" xr3:uid="{5E074C31-8AE3-4079-8343-6B675B086720}" name="Unit testing" dataDxfId="621"/>
    <tableColumn id="9" xr3:uid="{91D4A361-6848-4B91-A419-E314C3E49D21}" name="Peer Tested By" dataDxfId="620"/>
    <tableColumn id="10" xr3:uid="{633023E8-FBA6-4F76-82CB-C524EFF95096}" name="Peer Tested Defects, if any" dataDxfId="619"/>
    <tableColumn id="11" xr3:uid="{29CB660A-58DF-4755-8BE1-63346A1CA86B}" name="Peer Reviewed By" dataDxfId="618"/>
    <tableColumn id="12" xr3:uid="{81C22D33-B12D-4003-B97A-3722D738F26A}" name="Peer Code Review Comments, if any" dataDxfId="617"/>
    <tableColumn id="13" xr3:uid="{E76792A8-CAD5-4394-9B8C-FE390033C0E0}" name="PR Number/Link" dataDxfId="616" dataCellStyle="Hyperlink"/>
    <tableColumn id="14" xr3:uid="{D9636BA3-C427-4899-9687-CA890479EF3E}" name="PR Created Date" dataDxfId="615"/>
    <tableColumn id="15" xr3:uid="{C6343431-DB19-439B-815D-4392A8664563}" name="PR Approved Date" dataDxfId="614"/>
    <tableColumn id="16" xr3:uid="{3832C509-0407-4DEE-AD7E-38221A52021F}" name="Onsite Lead Code Review" dataDxfId="613"/>
    <tableColumn id="17" xr3:uid="{055D3C1E-8BC1-4AD1-A1BF-63A4AB5E7C41}" name="Code Review Comments, if any" dataDxfId="612"/>
    <tableColumn id="18" xr3:uid="{1A485240-0524-4DCB-A174-3B7F8A9D7EAB}" name="Client Code Review" dataDxfId="611"/>
    <tableColumn id="19" xr3:uid="{6FA38672-80DA-4F6C-AA6E-ABDE0BA0D318}" name="Approved Date" dataDxfId="610"/>
    <tableColumn id="20" xr3:uid="{67684C53-77BB-421F-9F55-5EC8D7A696F4}" name="Code Review Comments, if any2" dataDxfId="609"/>
    <tableColumn id="21" xr3:uid="{3CFB3DEB-1245-4986-93E5-24174F83410F}" name="Internal PO -POV Comments" dataDxfId="608"/>
    <tableColumn id="22" xr3:uid="{6E96677A-C43D-463C-B80B-1763E549C4E6}" name="Client PO -POV Comments" dataDxfId="607"/>
    <tableColumn id="24" xr3:uid="{39E225CF-06A3-46EB-AA30-BB6DE5E4B3A5}" name="Comments" dataDxfId="606"/>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DC4DDAB-2ABF-4A81-B738-91236C87805A}" name="Table145678109312131114151719182120162223" displayName="Table145678109312131114151719182120162223" ref="A1:AD5" totalsRowShown="0" headerRowDxfId="605" dataDxfId="604" tableBorderDxfId="603">
  <autoFilter ref="A1:AD5" xr:uid="{9DC5C30B-A60C-4FFE-8316-8BFF998E3F7C}"/>
  <tableColumns count="30">
    <tableColumn id="1" xr3:uid="{D13592A1-72F7-42D6-AE16-5273BA677968}" name="S.No" dataDxfId="602"/>
    <tableColumn id="25" xr3:uid="{CE7A9740-A7B1-428F-BFF4-BD27D2142447}" name="Application Name" dataDxfId="601"/>
    <tableColumn id="27" xr3:uid="{581688B1-95E3-4195-8E22-5FA73AC3EDB1}" name="Sprint Start Date" dataDxfId="600"/>
    <tableColumn id="26" xr3:uid="{0A34FE20-6C34-41C1-8229-B727E814BD40}" name="Sprint End Date" dataDxfId="599"/>
    <tableColumn id="2" xr3:uid="{5C8B8DAA-B3B7-49BF-83D6-0738D41FC32E}" name="Sprint " dataDxfId="598"/>
    <tableColumn id="3" xr3:uid="{CCA7FE55-1FBA-4C84-B80B-9CF0CFCEF4EB}" name="Developer" dataDxfId="597"/>
    <tableColumn id="4" xr3:uid="{26AF963B-E625-4844-92D7-71A244D70D8E}" name="Story ID/Defect ID" dataDxfId="596"/>
    <tableColumn id="5" xr3:uid="{88D28A6F-8A5D-416D-8EBF-FEEFDBCC669A}" name="Description" dataDxfId="595"/>
    <tableColumn id="23" xr3:uid="{077D9E2A-386A-4004-B3C2-652C089D8F4B}" name="Status" dataDxfId="594"/>
    <tableColumn id="6" xr3:uid="{B6F59987-9BC6-4334-B452-0610B940EC9E}" name="Estimated(hrs/sp)" dataDxfId="593"/>
    <tableColumn id="7" xr3:uid="{C1C6398F-F1DC-40B5-8AA0-AADCC8934D90}" name="Actual(hrs/sp)" dataDxfId="592"/>
    <tableColumn id="28" xr3:uid="{34E8C2A9-5AB3-4C10-B2B5-351990BD8C0C}" name="Actual Hours  Worklog" dataDxfId="591"/>
    <tableColumn id="30" xr3:uid="{B31D9686-EDE4-4E87-B660-9BC566BB7FC3}" name="Dev Start Date" dataDxfId="590"/>
    <tableColumn id="29" xr3:uid="{95DA574E-C182-4020-A7C9-15E515CDD662}" name="Dev End Date" dataDxfId="589"/>
    <tableColumn id="8" xr3:uid="{77D73641-8E02-44E8-B2F9-2B9338A5256E}" name="Unit testing" dataDxfId="588"/>
    <tableColumn id="9" xr3:uid="{430A81EE-9309-4F9B-811A-56EC16F81232}" name="Peer Tested By" dataDxfId="587"/>
    <tableColumn id="10" xr3:uid="{BAC6E209-15D2-4FB1-ADF2-8604B0BFFBBB}" name="Peer Tested Defects, if any" dataDxfId="586"/>
    <tableColumn id="11" xr3:uid="{ECCB2FD2-EEBA-431B-98DA-B858F3C599C1}" name="Peer Reviewed By" dataDxfId="585"/>
    <tableColumn id="12" xr3:uid="{639612C1-CA59-4887-B11E-45833F6DD7DF}" name="Peer Code Review Comments, if any" dataDxfId="584"/>
    <tableColumn id="13" xr3:uid="{41BB3D46-8C81-4F4B-99E9-1ECAE1CA44BD}" name="PR Number/Link" dataDxfId="583" dataCellStyle="Hyperlink"/>
    <tableColumn id="14" xr3:uid="{659D8B5E-987D-4D78-9D59-7AEA3F1DB61C}" name="PR Created Date" dataDxfId="582"/>
    <tableColumn id="15" xr3:uid="{D5744C77-0008-49DE-9AE6-6114D043A695}" name="PR Approved Date" dataDxfId="581"/>
    <tableColumn id="16" xr3:uid="{C439E8FF-BFD1-4628-8B0B-36E1824DBEB1}" name="Onsite Lead Code Review" dataDxfId="580"/>
    <tableColumn id="17" xr3:uid="{332F7F09-392F-430D-82F6-CFB1A179A635}" name="Code Review Comments, if any" dataDxfId="579"/>
    <tableColumn id="18" xr3:uid="{9E8C06FD-2C9F-4808-996C-C76EDC62D73D}" name="Client Code Review" dataDxfId="578"/>
    <tableColumn id="19" xr3:uid="{413480FC-846A-4443-BB84-B6B218E85B61}" name="Approved Date" dataDxfId="577"/>
    <tableColumn id="20" xr3:uid="{BACFE19A-F2F2-4698-B85B-F73F8A365428}" name="Code Review Comments, if any2" dataDxfId="576"/>
    <tableColumn id="21" xr3:uid="{F3EA5AB8-3AC5-47A8-BCFA-499AFBDD994C}" name="Internal PO -POV Comments" dataDxfId="575"/>
    <tableColumn id="22" xr3:uid="{B7F5E1B3-AF8B-4CBA-B6DA-822717E8E673}" name="Client PO -POV Comments" dataDxfId="574"/>
    <tableColumn id="24" xr3:uid="{633D44CB-2CB2-404D-B550-1CBC33266B2D}" name="Comments" dataDxfId="573"/>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35120A8-F50D-4737-A4AD-AC6F1D15158F}" name="Table1456781093121311141517191821201622" displayName="Table1456781093121311141517191821201622" ref="A1:AD6" totalsRowShown="0" headerRowDxfId="572" dataDxfId="571" tableBorderDxfId="570">
  <autoFilter ref="A1:AD6" xr:uid="{9DC5C30B-A60C-4FFE-8316-8BFF998E3F7C}"/>
  <tableColumns count="30">
    <tableColumn id="1" xr3:uid="{4548D66F-DC30-4E29-AB03-82E4986DCA96}" name="S.No" dataDxfId="569"/>
    <tableColumn id="25" xr3:uid="{689B63AF-41C9-4DCB-8A6E-92830B8C4BE4}" name="Application Name" dataDxfId="568"/>
    <tableColumn id="27" xr3:uid="{C9CCEFA1-0E04-49E8-B547-C2C9BE295B5B}" name="Sprint Start Date" dataDxfId="567"/>
    <tableColumn id="26" xr3:uid="{6ABF779B-8A34-4126-948C-B25FA12FA3D2}" name="Sprint End Date" dataDxfId="566"/>
    <tableColumn id="2" xr3:uid="{33D4BE4C-3816-4DCE-B017-E80BF60F099D}" name="Sprint " dataDxfId="565"/>
    <tableColumn id="3" xr3:uid="{7F634BD4-51D3-476F-86DE-3CD584D2001B}" name="Developer" dataDxfId="564"/>
    <tableColumn id="4" xr3:uid="{090D0AFB-DE1C-48BB-8497-062BE6608E7A}" name="Story ID/Defect ID" dataDxfId="563"/>
    <tableColumn id="5" xr3:uid="{3339622F-78D4-4A4D-A8F4-6A2A7BFBAAE4}" name="Description" dataDxfId="562"/>
    <tableColumn id="23" xr3:uid="{4536CDD0-2C7B-475A-B811-8E2E78949728}" name="Status" dataDxfId="561"/>
    <tableColumn id="6" xr3:uid="{7E5DC417-FED2-41C7-BCDB-3C910646A51C}" name="Estimated(hrs/sp)" dataDxfId="560"/>
    <tableColumn id="7" xr3:uid="{A1B7F75E-D34E-4356-9D02-E572A714A899}" name="Actual(hrs/sp)" dataDxfId="559"/>
    <tableColumn id="28" xr3:uid="{E0082255-ADE4-4CED-AD11-198D35CCC5E1}" name="Actual Hours  Worklog" dataDxfId="558"/>
    <tableColumn id="30" xr3:uid="{EEFA91F5-A280-4D23-9C56-11D93C276A56}" name="Dev Start Date" dataDxfId="557"/>
    <tableColumn id="29" xr3:uid="{C5EA9162-2AA4-4444-B3F5-BBD7BB0BA4C6}" name="Dev End Date" dataDxfId="556"/>
    <tableColumn id="8" xr3:uid="{70D4D962-AF6F-43D2-8523-E889471441A7}" name="Unit testing" dataDxfId="555"/>
    <tableColumn id="9" xr3:uid="{6476FBEE-5206-4C36-96E9-AD6BDBBF5402}" name="Peer Tested By" dataDxfId="554"/>
    <tableColumn id="10" xr3:uid="{6D560DCD-ECB8-4F60-9539-FA0E8B161E7A}" name="Peer Tested Defects, if any" dataDxfId="553"/>
    <tableColumn id="11" xr3:uid="{6A4CC3EB-48BC-4F99-ADE1-D80FF34AFDCE}" name="Peer Reviewed By" dataDxfId="552"/>
    <tableColumn id="12" xr3:uid="{7CBB9926-110C-4E46-9B57-1D2843526A00}" name="Peer Code Review Comments, if any" dataDxfId="551"/>
    <tableColumn id="13" xr3:uid="{F5D661D2-F31E-4E7A-A087-4400F24E4E24}" name="PR Number/Link" dataDxfId="550" dataCellStyle="Hyperlink"/>
    <tableColumn id="14" xr3:uid="{6EA14B01-D08F-4E93-B219-86CB28C98245}" name="PR Created Date" dataDxfId="549"/>
    <tableColumn id="15" xr3:uid="{8594EECE-D428-4BC9-86D3-98C3D94C69F8}" name="PR Approved Date" dataDxfId="548"/>
    <tableColumn id="16" xr3:uid="{925DD4F4-B882-4D1C-94E2-FC7CC0638B5F}" name="Onsite Lead Code Review" dataDxfId="547"/>
    <tableColumn id="17" xr3:uid="{C876473D-8DC8-4B8F-BD0C-FD2DB38C36D4}" name="Code Review Comments, if any" dataDxfId="546"/>
    <tableColumn id="18" xr3:uid="{64524A5E-44AE-47F9-915E-C4E811796488}" name="Client Code Review" dataDxfId="545"/>
    <tableColumn id="19" xr3:uid="{DE8EC91B-2840-4D21-9EFE-B7571D01E2C8}" name="Approved Date" dataDxfId="544"/>
    <tableColumn id="20" xr3:uid="{1A1EAD3B-584D-4A94-8DF8-D28018EE92A0}" name="Code Review Comments, if any2" dataDxfId="543"/>
    <tableColumn id="21" xr3:uid="{ECEBD60E-ED33-461C-B7AC-866364DC8825}" name="Internal PO -POV Comments" dataDxfId="542"/>
    <tableColumn id="22" xr3:uid="{DCA93130-77F3-4C4A-86B0-0EA2F3271654}" name="Client PO -POV Comments" dataDxfId="541"/>
    <tableColumn id="24" xr3:uid="{8AE5F1F4-7171-4E93-93AB-947A4FEBDCC1}" name="Comments" dataDxfId="540"/>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77304BF-3A73-48FA-82FD-B8E0873A338D}" name="Table14567810931213111415171918212016" displayName="Table14567810931213111415171918212016" ref="A1:AD4" totalsRowShown="0" headerRowDxfId="539" dataDxfId="538" tableBorderDxfId="537">
  <autoFilter ref="A1:AD4" xr:uid="{9DC5C30B-A60C-4FFE-8316-8BFF998E3F7C}"/>
  <tableColumns count="30">
    <tableColumn id="1" xr3:uid="{DF435BC3-8C0A-444C-B7C4-8670067A4F21}" name="S.No" dataDxfId="536"/>
    <tableColumn id="25" xr3:uid="{BB76B204-224D-4707-8356-E0608D643D08}" name="Application Name" dataDxfId="535"/>
    <tableColumn id="27" xr3:uid="{016CD59F-CDA2-4ECB-8E8A-EBC0EEB46AE8}" name="Sprint Start Date" dataDxfId="534"/>
    <tableColumn id="26" xr3:uid="{6F5DB6BA-9D56-44BD-9352-BA78C3061B2E}" name="Sprint End Date" dataDxfId="533"/>
    <tableColumn id="2" xr3:uid="{435151EE-20F5-41DB-A029-4815CB58FBB7}" name="Sprint " dataDxfId="532"/>
    <tableColumn id="3" xr3:uid="{CA63E86D-CCA6-4170-B6E1-43F9E51070B3}" name="Developer" dataDxfId="531"/>
    <tableColumn id="4" xr3:uid="{7B70EE36-111D-4BA4-BF51-5F27D8346187}" name="Story ID/Defect ID" dataDxfId="530"/>
    <tableColumn id="5" xr3:uid="{95FC69B5-E417-4BF8-8BDD-8C31493C1E34}" name="Description" dataDxfId="529"/>
    <tableColumn id="23" xr3:uid="{07F0A64C-963B-4EC3-A5C3-B05E7628EB7F}" name="Status" dataDxfId="528"/>
    <tableColumn id="6" xr3:uid="{7F11F596-B530-4459-A7C0-7B9AE0F2C40F}" name="Estimated(hrs/sp)" dataDxfId="527"/>
    <tableColumn id="7" xr3:uid="{6E62D84C-6E3C-4859-B5FB-3E5CEFB57B7B}" name="Actual(hrs/sp)" dataDxfId="526"/>
    <tableColumn id="28" xr3:uid="{3BA20B21-F86B-48E7-AEB2-D24C02F4552B}" name="Actual Hours  Worklog" dataDxfId="525"/>
    <tableColumn id="30" xr3:uid="{B46FB6A2-F01D-4DFD-A14A-529BA5804C5D}" name="Dev Start Date" dataDxfId="524"/>
    <tableColumn id="29" xr3:uid="{5F0C15D2-064F-478D-B429-491237B78994}" name="Dev End Date" dataDxfId="523"/>
    <tableColumn id="8" xr3:uid="{ADB8AF2C-DD47-47CF-BCDE-B48D6442E8D6}" name="Unit testing" dataDxfId="522"/>
    <tableColumn id="9" xr3:uid="{776873E5-0EA3-4CDE-923B-6A34BC142F6E}" name="Peer Tested By" dataDxfId="521"/>
    <tableColumn id="10" xr3:uid="{251C1186-6248-4CA5-A0DC-F2A53CBF28E7}" name="Peer Tested Defects, if any" dataDxfId="520"/>
    <tableColumn id="11" xr3:uid="{F1A6B16F-058C-42A6-BAF3-74AEC04E05A7}" name="Peer Reviewed By" dataDxfId="519"/>
    <tableColumn id="12" xr3:uid="{5EAD4C71-0B68-4487-99DE-418F41EAE057}" name="Peer Code Review Comments, if any" dataDxfId="518"/>
    <tableColumn id="13" xr3:uid="{866CFE7F-1BE0-4DEE-8190-D3E951D50AEC}" name="PR Number/Link" dataDxfId="517" dataCellStyle="Hyperlink"/>
    <tableColumn id="14" xr3:uid="{0BC42868-AB3F-4031-876E-303CFA140B9A}" name="PR Created Date" dataDxfId="516"/>
    <tableColumn id="15" xr3:uid="{DA4416C1-CD7A-4A11-A5D0-7F2820E83F34}" name="PR Approved Date" dataDxfId="515"/>
    <tableColumn id="16" xr3:uid="{F31E47AF-ECE2-4D87-9959-7CB08AB4F304}" name="Onsite Lead Code Review" dataDxfId="514"/>
    <tableColumn id="17" xr3:uid="{AE8387E7-DA45-46A0-8695-A7884CFA1699}" name="Code Review Comments, if any" dataDxfId="513"/>
    <tableColumn id="18" xr3:uid="{6C85AE77-70A8-4206-A50E-6CD5B2A9C450}" name="Client Code Review" dataDxfId="512"/>
    <tableColumn id="19" xr3:uid="{1DC2A3E9-7140-4B55-82A0-EC7B168408B9}" name="Approved Date" dataDxfId="511"/>
    <tableColumn id="20" xr3:uid="{E3C069D8-B945-4654-985C-C8EA1EEAA8D9}" name="Code Review Comments, if any2" dataDxfId="510"/>
    <tableColumn id="21" xr3:uid="{CC7DF49C-5CA1-42DD-B529-4243588B67EE}" name="Internal PO -POV Comments" dataDxfId="509"/>
    <tableColumn id="22" xr3:uid="{FFD8C177-F822-4E8E-A513-2FAA4FE3E14C}" name="Client PO -POV Comments" dataDxfId="508"/>
    <tableColumn id="24" xr3:uid="{711DD745-C9BB-4205-9108-A25B34CC7065}" name="Comments" dataDxfId="507"/>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3616531-9C63-4523-9D86-93545FF12ADF}" name="Table145678109312131114151719182120" displayName="Table145678109312131114151719182120" ref="A1:AD5" totalsRowShown="0" headerRowDxfId="506" dataDxfId="505" tableBorderDxfId="504">
  <autoFilter ref="A1:AD5" xr:uid="{9DC5C30B-A60C-4FFE-8316-8BFF998E3F7C}"/>
  <tableColumns count="30">
    <tableColumn id="1" xr3:uid="{79558B5D-EBF0-4B0B-9A33-B95CC07A2AC5}" name="S.No" dataDxfId="503"/>
    <tableColumn id="25" xr3:uid="{9C39A5AD-7F10-4855-93D0-0F8E841F9EA4}" name="Application Name" dataDxfId="502"/>
    <tableColumn id="27" xr3:uid="{DBFF7060-0338-487C-9D29-81D0676E239B}" name="Sprint Start Date" dataDxfId="501"/>
    <tableColumn id="26" xr3:uid="{4A11AE96-F657-484D-98DC-9E980C74D97F}" name="Sprint End Date" dataDxfId="500"/>
    <tableColumn id="2" xr3:uid="{34F3C404-3F4E-4665-BF38-86CABF55FF4E}" name="Sprint " dataDxfId="499"/>
    <tableColumn id="3" xr3:uid="{D7A36FDB-2033-4E3E-A056-B04C83262F5C}" name="Developer" dataDxfId="498"/>
    <tableColumn id="4" xr3:uid="{024B2A1B-EAD8-43D3-A408-D599C226C124}" name="Story ID/Defect ID" dataDxfId="497"/>
    <tableColumn id="5" xr3:uid="{416E98BF-FFE6-4DF7-BA74-36A66A33C6AB}" name="Description" dataDxfId="496"/>
    <tableColumn id="23" xr3:uid="{04BFA289-428F-4CB1-989C-ECECF4058A83}" name="Status" dataDxfId="495"/>
    <tableColumn id="6" xr3:uid="{37A25376-B069-4332-9855-6D5E071EFFD7}" name="Estimated(hrs/sp)" dataDxfId="494"/>
    <tableColumn id="7" xr3:uid="{3142A1BD-E47A-4F83-A6A8-22EDE50F4647}" name="Actual(hrs/sp)" dataDxfId="493"/>
    <tableColumn id="28" xr3:uid="{43E625F6-1918-4C29-B0C2-BD1E092A9140}" name="Actual Hours  Worklog" dataDxfId="492"/>
    <tableColumn id="30" xr3:uid="{88F1B133-B0A9-46EB-9EC0-FFDED800BBA3}" name="Dev Start Date" dataDxfId="491"/>
    <tableColumn id="29" xr3:uid="{739F90AF-F363-44B9-A65B-4768950441C9}" name="Dev End Date" dataDxfId="490"/>
    <tableColumn id="8" xr3:uid="{DF05FECC-868F-4EB9-8FF6-139A2866896D}" name="Unit testing" dataDxfId="489"/>
    <tableColumn id="9" xr3:uid="{929654CD-75E8-480E-9D45-62831D513547}" name="Peer Tested By" dataDxfId="488"/>
    <tableColumn id="10" xr3:uid="{92981967-CCD4-4BBF-A2E0-C033C2813F72}" name="Peer Tested Defects, if any" dataDxfId="487"/>
    <tableColumn id="11" xr3:uid="{C803949B-F789-42F0-ADF2-8F1F92AEA113}" name="Peer Reviewed By" dataDxfId="486"/>
    <tableColumn id="12" xr3:uid="{204150E1-7A03-4041-B01F-6DB715B3AF42}" name="Peer Code Review Comments, if any" dataDxfId="485"/>
    <tableColumn id="13" xr3:uid="{A58E6390-C02C-4E60-BEE9-77C192C899DE}" name="PR Number/Link" dataDxfId="484" dataCellStyle="Hyperlink"/>
    <tableColumn id="14" xr3:uid="{7840B293-450A-402F-ACF0-6AF14D857419}" name="PR Created Date" dataDxfId="483"/>
    <tableColumn id="15" xr3:uid="{431C615E-4C55-42DF-8BF7-1D2067F3BB75}" name="PR Approved Date" dataDxfId="482"/>
    <tableColumn id="16" xr3:uid="{704AAA8A-F9E5-47FE-9ABD-AC9879B58E6C}" name="Onsite Lead Code Review" dataDxfId="481"/>
    <tableColumn id="17" xr3:uid="{0DE0F00B-B7C4-499C-9418-E0A7183A596C}" name="Code Review Comments, if any" dataDxfId="480"/>
    <tableColumn id="18" xr3:uid="{D2F64DEA-1F9D-430D-9140-6E08DDAF66A7}" name="Client Code Review" dataDxfId="479"/>
    <tableColumn id="19" xr3:uid="{BB8F9CE2-C15D-47E5-A169-6AE34356904E}" name="Approved Date" dataDxfId="478"/>
    <tableColumn id="20" xr3:uid="{A1603C14-7F5F-4CE1-8DCC-BDC1E62B7C88}" name="Code Review Comments, if any2" dataDxfId="477"/>
    <tableColumn id="21" xr3:uid="{6C5169CB-424B-454A-8D8C-4BD0034C6553}" name="Internal PO -POV Comments" dataDxfId="476"/>
    <tableColumn id="22" xr3:uid="{AF8EB8F6-02B2-49B1-B5C5-660D3C166642}" name="Client PO -POV Comments" dataDxfId="475"/>
    <tableColumn id="24" xr3:uid="{30C65A06-367A-4A40-9379-604C17D0A0FA}" name="Comments" dataDxfId="474"/>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9C2B79D-BF1B-4F1E-A031-C97F012A951E}" name="Table1456781093121311141517191821" displayName="Table1456781093121311141517191821" ref="A1:AD4" totalsRowShown="0" headerRowDxfId="473" dataDxfId="472" tableBorderDxfId="471">
  <autoFilter ref="A1:AD4" xr:uid="{9DC5C30B-A60C-4FFE-8316-8BFF998E3F7C}"/>
  <tableColumns count="30">
    <tableColumn id="1" xr3:uid="{E5937058-8320-4C74-8B77-2B61173DF77C}" name="S.No" dataDxfId="470"/>
    <tableColumn id="25" xr3:uid="{E3B511D2-1A65-4CBD-99D2-C2729C513479}" name="Application Name" dataDxfId="469"/>
    <tableColumn id="27" xr3:uid="{24DBF27D-9402-463D-8F14-F1D1FC90F175}" name="Sprint Start Date" dataDxfId="468"/>
    <tableColumn id="26" xr3:uid="{601104FA-33B3-49DA-B305-D9719F6A1740}" name="Sprint End Date" dataDxfId="467"/>
    <tableColumn id="2" xr3:uid="{07AA4A79-EE1A-4CF6-ADB2-6AB54E208C7E}" name="Sprint " dataDxfId="466"/>
    <tableColumn id="3" xr3:uid="{A8D72D26-08EB-455D-9B5B-06B1A9A9653B}" name="Developer" dataDxfId="465"/>
    <tableColumn id="4" xr3:uid="{8827062A-4130-4AE3-A79E-6366DDDDE28E}" name="Story ID/Defect ID" dataDxfId="464"/>
    <tableColumn id="5" xr3:uid="{7E3DD97D-5279-41FB-B5CE-013AEAD46412}" name="Description" dataDxfId="463"/>
    <tableColumn id="23" xr3:uid="{77B6F97C-6D71-4394-94C7-6DD179DA2A26}" name="Status" dataDxfId="462"/>
    <tableColumn id="6" xr3:uid="{5852CE3C-5B57-4D3D-B209-BDA3C3917DCF}" name="Estimated(hrs/sp)" dataDxfId="461"/>
    <tableColumn id="7" xr3:uid="{BB0CC17B-C065-4658-AA31-1DD6159B525E}" name="Actual(hrs/sp)" dataDxfId="460"/>
    <tableColumn id="28" xr3:uid="{20815BA8-A800-4874-87A0-2F156A598390}" name="Actual Hours  Worklog" dataDxfId="459"/>
    <tableColumn id="30" xr3:uid="{940DE220-F28A-49D3-B749-1C28641F0783}" name="Dev Start Date" dataDxfId="458"/>
    <tableColumn id="29" xr3:uid="{C453A759-09B7-411B-8CC4-5AEF21F11912}" name="Dev End Date" dataDxfId="457"/>
    <tableColumn id="8" xr3:uid="{A6C8C944-C9E9-490C-983C-83BDE3438FF3}" name="Unit testing" dataDxfId="456"/>
    <tableColumn id="9" xr3:uid="{4B360DCD-81B2-4195-8C36-81DFAD35EC00}" name="Peer Tested By" dataDxfId="455"/>
    <tableColumn id="10" xr3:uid="{C74B55A4-50ED-48D1-BA95-1C462B0EF718}" name="Peer Tested Defects, if any" dataDxfId="454"/>
    <tableColumn id="11" xr3:uid="{A412381E-6BD6-45C5-9E0B-BFE6CC96C3A7}" name="Peer Reviewed By" dataDxfId="453"/>
    <tableColumn id="12" xr3:uid="{A43EC2CA-CE38-4412-9B97-E249FB14140A}" name="Peer Code Review Comments, if any" dataDxfId="452"/>
    <tableColumn id="13" xr3:uid="{F324AA77-A1C9-4A62-BE45-7DB305742EB1}" name="PR Number/Link" dataDxfId="451" dataCellStyle="Hyperlink"/>
    <tableColumn id="14" xr3:uid="{B8938716-309F-4DE6-A8F9-8D53256359BC}" name="PR Created Date" dataDxfId="450"/>
    <tableColumn id="15" xr3:uid="{BFE0960D-9EDE-4DC7-8ECD-AC7B0CA2D4C7}" name="PR Approved Date" dataDxfId="449"/>
    <tableColumn id="16" xr3:uid="{75FC3C6A-DB77-45F4-87F5-31996D1781D2}" name="Onsite Lead Code Review" dataDxfId="448"/>
    <tableColumn id="17" xr3:uid="{34DF5F35-1843-460F-9B31-DD92E3404D68}" name="Code Review Comments, if any" dataDxfId="447"/>
    <tableColumn id="18" xr3:uid="{DF18B228-66EE-427D-8328-FD642418DA96}" name="Client Code Review" dataDxfId="446"/>
    <tableColumn id="19" xr3:uid="{787C1219-4765-4395-89CD-950D5DA57F16}" name="Approved Date" dataDxfId="445"/>
    <tableColumn id="20" xr3:uid="{6F049B46-4F06-4EA9-9AE6-2EEE931A56F5}" name="Code Review Comments, if any2" dataDxfId="444"/>
    <tableColumn id="21" xr3:uid="{92064797-9284-485E-AB11-DDFE306F7A37}" name="Internal PO -POV Comments" dataDxfId="443"/>
    <tableColumn id="22" xr3:uid="{7C745597-7EA8-40AD-8CC9-2D5FAC1671E9}" name="Client PO -POV Comments" dataDxfId="442"/>
    <tableColumn id="24" xr3:uid="{4D7B5FD7-0DD9-43DE-95A3-865C9C982A84}" name="Comments" dataDxfId="441"/>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305417B-5E00-458A-9274-B8FBF928F718}" name="Table14567810931213111415171918" displayName="Table14567810931213111415171918" ref="A1:AD6" totalsRowShown="0" headerRowDxfId="440" dataDxfId="439" tableBorderDxfId="438">
  <autoFilter ref="A1:AD6" xr:uid="{9DC5C30B-A60C-4FFE-8316-8BFF998E3F7C}"/>
  <tableColumns count="30">
    <tableColumn id="1" xr3:uid="{06850905-B85A-4D62-A665-290FEE3959C9}" name="S.No" dataDxfId="437"/>
    <tableColumn id="25" xr3:uid="{BB44FBF8-D58F-4A72-8A33-AE0FFB6FCA43}" name="Application Name" dataDxfId="436"/>
    <tableColumn id="27" xr3:uid="{5750C6D1-F84B-4F43-A88F-1C1AD08F7EC7}" name="Sprint Start Date" dataDxfId="435"/>
    <tableColumn id="26" xr3:uid="{454D3C5A-872D-45C7-9E39-C8113AF4713C}" name="Sprint End Date" dataDxfId="434"/>
    <tableColumn id="2" xr3:uid="{0B4BCB47-CD7D-48EC-86FD-E88DB05328CE}" name="Sprint " dataDxfId="433"/>
    <tableColumn id="3" xr3:uid="{B4B9E7D8-53CA-408B-9A2D-35E2FE8C2335}" name="Developer" dataDxfId="432"/>
    <tableColumn id="4" xr3:uid="{F3ADD778-C0EA-4D26-93EE-E77FC0A902D1}" name="Story ID/Defect ID" dataDxfId="431"/>
    <tableColumn id="5" xr3:uid="{EF8B6D42-5C66-4F76-88D4-B35261D96D24}" name="Description" dataDxfId="430"/>
    <tableColumn id="23" xr3:uid="{39093CFC-FD6D-4492-A4A9-996B72F5835D}" name="Status" dataDxfId="429"/>
    <tableColumn id="6" xr3:uid="{11406254-D967-409D-9507-0FD80A8C6B2D}" name="Estimated(hrs/sp)" dataDxfId="428"/>
    <tableColumn id="7" xr3:uid="{B38A9BDE-D7EA-4D66-85B3-2678503D53A0}" name="Actual(hrs/sp)" dataDxfId="427"/>
    <tableColumn id="28" xr3:uid="{2720248E-13A9-4518-B707-7C7EAF940A8D}" name="Actual Hours  Worklog" dataDxfId="426"/>
    <tableColumn id="30" xr3:uid="{7D80AC3B-11C0-45E7-BBBB-496AE54972AF}" name="Dev Start Date" dataDxfId="425"/>
    <tableColumn id="29" xr3:uid="{9CB25163-B21D-461A-88B0-10EADC8AC720}" name="Dev End Date" dataDxfId="424"/>
    <tableColumn id="8" xr3:uid="{52BBDBB7-4F46-480C-A0DF-FB13F28A107B}" name="Unit testing" dataDxfId="423"/>
    <tableColumn id="9" xr3:uid="{02E76293-DEA7-4951-BA61-C1ED9E204197}" name="Peer Tested By" dataDxfId="422"/>
    <tableColumn id="10" xr3:uid="{0825C1D4-FCD7-4E44-9DE7-81F4F9DA68A0}" name="Peer Tested Defects, if any" dataDxfId="421"/>
    <tableColumn id="11" xr3:uid="{4F070061-6F77-44A2-B79F-98C8BF480767}" name="Peer Reviewed By" dataDxfId="420"/>
    <tableColumn id="12" xr3:uid="{F6497500-3042-46DC-9AFE-90FBDA47B820}" name="Peer Code Review Comments, if any" dataDxfId="419"/>
    <tableColumn id="13" xr3:uid="{58090A62-6567-42D7-8AE1-153BEA156441}" name="PR Number/Link" dataDxfId="418" dataCellStyle="Hyperlink"/>
    <tableColumn id="14" xr3:uid="{F509FD12-CA3C-41C5-8DFC-D190D53DE49F}" name="PR Created Date" dataDxfId="417"/>
    <tableColumn id="15" xr3:uid="{F3ACF409-D1AF-4F65-8849-7A9580843FCD}" name="PR Approved Date" dataDxfId="416"/>
    <tableColumn id="16" xr3:uid="{3ECAAC8A-5D43-4FEF-B8EF-5BEACE52A3B3}" name="Onsite Lead Code Review" dataDxfId="415"/>
    <tableColumn id="17" xr3:uid="{438B0F5C-4BDF-44DE-8760-49534614AC8B}" name="Code Review Comments, if any" dataDxfId="414"/>
    <tableColumn id="18" xr3:uid="{E3285575-C1FB-437A-8E88-3769388E1390}" name="Client Code Review" dataDxfId="413"/>
    <tableColumn id="19" xr3:uid="{398EF83F-8334-4EAE-B285-D97026F3E3BC}" name="Approved Date" dataDxfId="412"/>
    <tableColumn id="20" xr3:uid="{2D5E3F5F-B3A8-4F29-BD94-259232C6ACFB}" name="Code Review Comments, if any2" dataDxfId="411"/>
    <tableColumn id="21" xr3:uid="{C2ACE23C-D225-4D53-A3BC-DA56B7EAA993}" name="Internal PO -POV Comments" dataDxfId="410"/>
    <tableColumn id="22" xr3:uid="{52998FB1-4F7A-4EB4-8FBD-BBB32BA2ABD0}" name="Client PO -POV Comments" dataDxfId="409"/>
    <tableColumn id="24" xr3:uid="{2F29B782-0E52-400B-9EB3-873956D6F718}" name="Comments" dataDxfId="408"/>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70D1913-12F5-405F-8573-890D11664F05}" name="Table145678109312131114151719" displayName="Table145678109312131114151719" ref="A1:AB8" totalsRowShown="0" headerRowDxfId="407" dataDxfId="406" tableBorderDxfId="405">
  <autoFilter ref="A1:AB8" xr:uid="{9DC5C30B-A60C-4FFE-8316-8BFF998E3F7C}"/>
  <tableColumns count="28">
    <tableColumn id="1" xr3:uid="{EE036A6D-B389-47AD-BF37-3132BF98A111}" name="S.No" dataDxfId="404"/>
    <tableColumn id="25" xr3:uid="{0A0237FA-7B4C-43F9-930F-FD8FDA662019}" name="Application Name" dataDxfId="403"/>
    <tableColumn id="27" xr3:uid="{7FAE23BF-F451-42F2-A9D4-5A58E62C349C}" name="Sprint Start Date" dataDxfId="402"/>
    <tableColumn id="26" xr3:uid="{52AE683F-CB9C-46F3-B276-220B6BB2EA23}" name="Sprint End Date" dataDxfId="401"/>
    <tableColumn id="2" xr3:uid="{E735B9AB-F109-47C7-A96D-3DF33F02F00D}" name="Sprint "/>
    <tableColumn id="3" xr3:uid="{AC614976-79DD-4B0B-8D2F-FAEF5A54550C}" name="Developer"/>
    <tableColumn id="4" xr3:uid="{08CF7388-004B-441D-8000-A84D95E06347}" name="Story ID/Defect ID" dataDxfId="400"/>
    <tableColumn id="5" xr3:uid="{E14D6645-B4C8-4997-A906-F14361A1F508}" name="Description"/>
    <tableColumn id="23" xr3:uid="{A8223592-6D01-43CB-806D-72C1CEEB4525}" name="Status" dataDxfId="399"/>
    <tableColumn id="6" xr3:uid="{0AE3C5C0-9CE0-4AB6-BC61-A62C32D65236}" name="Estimated(hrs/sp)"/>
    <tableColumn id="7" xr3:uid="{7B6B06D5-C88C-4A5C-A41B-C6B78FFB5E45}" name="Actual(hrs/sp)" dataDxfId="398"/>
    <tableColumn id="28" xr3:uid="{29720C97-A03F-4F89-8998-14AA9028E60F}" name="Actual Hours  Worklog" dataDxfId="397"/>
    <tableColumn id="8" xr3:uid="{1E47C0DB-3FEC-4A47-975A-4F32765BB56F}" name="Unit testing" dataDxfId="396"/>
    <tableColumn id="9" xr3:uid="{9D55A338-91C0-43F0-BBF2-ABC022A87B0B}" name="Peer Tested By" dataDxfId="395"/>
    <tableColumn id="10" xr3:uid="{8776FEF3-AB2D-4C04-BD90-1027DF2DBDA8}" name="Peer Tested Defects, if any" dataDxfId="394"/>
    <tableColumn id="11" xr3:uid="{F6BF781D-C591-4594-B988-DA15FE9B8AC6}" name="Peer Reviewed By" dataDxfId="393"/>
    <tableColumn id="12" xr3:uid="{72CDA2F5-3651-4441-93A0-7B5B105120CD}" name="Peer Code Review Comments, if any"/>
    <tableColumn id="13" xr3:uid="{DD249CE7-7E97-48EB-BEA4-E89458283CA8}" name="PR Number/Link" dataDxfId="392" dataCellStyle="Hyperlink"/>
    <tableColumn id="14" xr3:uid="{867987EE-71F0-4254-9777-A337CEDC44FB}" name="PR Created Date" dataDxfId="391"/>
    <tableColumn id="15" xr3:uid="{B7441D9A-0B19-4F39-B956-C21217319D27}" name="PR Approved Date" dataDxfId="390"/>
    <tableColumn id="16" xr3:uid="{639AD5E1-E3CD-43E1-B565-4AB6B8A16C88}" name="Onsite Lead Code Review" dataDxfId="389"/>
    <tableColumn id="17" xr3:uid="{B8ADC34E-14C1-4934-8540-5A302287D91C}" name="Code Review Comments, if any" dataDxfId="388"/>
    <tableColumn id="18" xr3:uid="{8BF8262F-753A-4CB7-8259-7B981423E414}" name="Client Code Review" dataDxfId="387"/>
    <tableColumn id="19" xr3:uid="{9868E7B8-5A94-42E5-9F98-8E0F18AB9DD0}" name="Approved Date" dataDxfId="386"/>
    <tableColumn id="20" xr3:uid="{1DCC14E3-F175-4F2D-B668-F0CDC3DE00A1}" name="Code Review Comments, if any2" dataDxfId="385"/>
    <tableColumn id="21" xr3:uid="{E508E043-AECF-46B0-9E66-AE7AA13840FE}" name="Internal PO -POV Comments" dataDxfId="384"/>
    <tableColumn id="22" xr3:uid="{BD87DF4B-A467-49A5-A5F7-D52AC5E48DB6}" name="Client PO -POV Comments" dataDxfId="383"/>
    <tableColumn id="24" xr3:uid="{F7948376-D430-4014-900C-A19C0BBBFF9F}" name="Comments" dataDxfId="382"/>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E8F1187-C913-472E-B40C-1378CDACFC91}" name="Table14567810931213111415" displayName="Table14567810931213111415" ref="A1:AB9" totalsRowShown="0" headerRowDxfId="381" dataDxfId="380" tableBorderDxfId="379">
  <autoFilter ref="A1:AB9" xr:uid="{9DC5C30B-A60C-4FFE-8316-8BFF998E3F7C}"/>
  <tableColumns count="28">
    <tableColumn id="1" xr3:uid="{7DDB2802-3705-4442-8806-40BCF23359F5}" name="S.No" dataDxfId="378"/>
    <tableColumn id="25" xr3:uid="{2A3855FE-44C8-43C1-AE15-D1225B73B59B}" name="Application Name" dataDxfId="377"/>
    <tableColumn id="27" xr3:uid="{39947EFF-AC8D-4837-8E58-1E3A023B71EC}" name="Sprint Start Date" dataDxfId="376"/>
    <tableColumn id="26" xr3:uid="{169F7C64-EEDE-481F-A5A7-AEBF6AF8749A}" name="Sprint End Date" dataDxfId="375"/>
    <tableColumn id="2" xr3:uid="{A4A9036B-8590-41A4-9024-106D82036988}" name="Sprint "/>
    <tableColumn id="3" xr3:uid="{E1EB8831-DBC9-4578-9253-17CC506C1148}" name="Developer"/>
    <tableColumn id="4" xr3:uid="{3C0AC678-AB1D-489F-9C79-E4F6C719F29B}" name="Story ID/Defect ID" dataDxfId="374"/>
    <tableColumn id="5" xr3:uid="{847C6625-7761-497B-B859-E43265539A43}" name="Description"/>
    <tableColumn id="23" xr3:uid="{A9D82FC8-9559-416D-9EDD-2F71692C9658}" name="Status" dataDxfId="373"/>
    <tableColumn id="6" xr3:uid="{CADC27F8-9B7C-4A01-8D36-AEA35648781B}" name="Estimated(hrs/sp)"/>
    <tableColumn id="7" xr3:uid="{E4791426-9378-4D4D-B6CB-3E0296EF2503}" name="Actual(hrs/sp)" dataDxfId="372"/>
    <tableColumn id="28" xr3:uid="{62E4276A-2369-4749-9A5C-15BA20D3210C}" name="Actual Hours  Worklog" dataDxfId="371"/>
    <tableColumn id="8" xr3:uid="{8AFCED22-A600-4480-8636-8F0FED4455DF}" name="Unit testing" dataDxfId="370"/>
    <tableColumn id="9" xr3:uid="{CC8A3B8B-60D1-41D1-B936-66443E968B2B}" name="Peer Tested By" dataDxfId="369"/>
    <tableColumn id="10" xr3:uid="{DCBA8040-31C3-4722-87F0-E048E5567567}" name="Peer Tested Defects, if any" dataDxfId="368"/>
    <tableColumn id="11" xr3:uid="{705069D7-3022-40A2-BA5D-D2E486A8645E}" name="Peer Reviewed By" dataDxfId="367"/>
    <tableColumn id="12" xr3:uid="{6BAB705F-9257-40F1-AAD3-4D2844E948A3}" name="Peer Code Review Comments, if any"/>
    <tableColumn id="13" xr3:uid="{8329F82F-E5F4-4845-BC11-0592625E25A1}" name="PR Number/Link" dataDxfId="366" dataCellStyle="Hyperlink"/>
    <tableColumn id="14" xr3:uid="{88C35BE7-8347-4FB8-AAF8-A266DBCDE712}" name="PR Created Date" dataDxfId="365"/>
    <tableColumn id="15" xr3:uid="{24F4A59D-BADE-44B2-8278-FDDD119DE75F}" name="PR Approved Date" dataDxfId="364"/>
    <tableColumn id="16" xr3:uid="{2F8BA6FB-4EC7-4635-98E4-534439E94A20}" name="Onsite Lead Code Review" dataDxfId="363"/>
    <tableColumn id="17" xr3:uid="{6AD555DE-D456-4452-B5D6-C9A7E125E9B5}" name="Code Review Comments, if any" dataDxfId="362"/>
    <tableColumn id="18" xr3:uid="{28EAAFEE-3FA8-42C9-953D-5B5471334BD2}" name="Client Code Review" dataDxfId="361"/>
    <tableColumn id="19" xr3:uid="{CE4A5EAA-4383-4505-88EA-8D036A8C84ED}" name="Approved Date" dataDxfId="360"/>
    <tableColumn id="20" xr3:uid="{D7325653-3B7F-4190-912D-66448EB91267}" name="Code Review Comments, if any2" dataDxfId="359"/>
    <tableColumn id="21" xr3:uid="{4FDA6ADD-39D6-4463-A1D0-950EF1608221}" name="Internal PO -POV Comments" dataDxfId="358"/>
    <tableColumn id="22" xr3:uid="{8B96A08B-5F96-4998-AE34-958242C25CBD}" name="Client PO -POV Comments" dataDxfId="357"/>
    <tableColumn id="24" xr3:uid="{C65AFC28-D08F-44A6-AC37-5EFBB1DFB1DD}" name="Comments" dataDxfId="356"/>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8AF95C7-F3EC-4BBB-85ED-8A8AFFA46240}" name="Table1456781093121311141517" displayName="Table1456781093121311141517" ref="A1:AB8" totalsRowShown="0" headerRowDxfId="355" dataDxfId="354" tableBorderDxfId="353">
  <autoFilter ref="A1:AB8" xr:uid="{9DC5C30B-A60C-4FFE-8316-8BFF998E3F7C}"/>
  <tableColumns count="28">
    <tableColumn id="1" xr3:uid="{E5815E86-F136-40BD-9D70-3FFD564C38E4}" name="S.No" dataDxfId="352"/>
    <tableColumn id="25" xr3:uid="{30CE1162-5965-4F59-8CD7-B7B6D80178F5}" name="Application Name" dataDxfId="351"/>
    <tableColumn id="27" xr3:uid="{DB92E2EE-C794-4ABD-B2E8-68E45C3DF0B1}" name="Sprint Start Date" dataDxfId="350"/>
    <tableColumn id="26" xr3:uid="{9F7C10CE-DF34-46FE-B1AC-A23EF5D83C39}" name="Sprint End Date" dataDxfId="349"/>
    <tableColumn id="2" xr3:uid="{CDCC6F6A-712B-4201-93D8-6D549E91CF44}" name="Sprint "/>
    <tableColumn id="3" xr3:uid="{CB44193A-5F8B-4A35-B2EE-424E6791536E}" name="Developer"/>
    <tableColumn id="4" xr3:uid="{388BB709-2A79-4C0F-A729-98E810A14827}" name="Story ID/Defect ID" dataDxfId="348"/>
    <tableColumn id="5" xr3:uid="{4546ACC5-6B5E-49F3-AC8C-121240323573}" name="Description"/>
    <tableColumn id="23" xr3:uid="{7298BEA5-DC2E-47FF-A819-139FD245BEA3}" name="Status" dataDxfId="347"/>
    <tableColumn id="6" xr3:uid="{F553E46C-F25D-4214-94F9-C0FAFE7E3947}" name="Estimated(hrs/sp)"/>
    <tableColumn id="7" xr3:uid="{96D2BEA8-BDEF-4588-A681-CADB3B3A5936}" name="Actual(hrs/sp)" dataDxfId="346"/>
    <tableColumn id="28" xr3:uid="{5F5EFF4D-0006-4570-8599-7FB891004792}" name="Actual Hours  Worklog" dataDxfId="345"/>
    <tableColumn id="8" xr3:uid="{7401CFD3-7AAA-4D8B-9DA7-8D9A71F977F8}" name="Unit testing" dataDxfId="344"/>
    <tableColumn id="9" xr3:uid="{8888616D-5042-4E4D-9393-119691B52AF6}" name="Peer Tested By" dataDxfId="343"/>
    <tableColumn id="10" xr3:uid="{483DDF33-D402-4A87-8C31-0FDB0F1A549D}" name="Peer Tested Defects, if any" dataDxfId="342"/>
    <tableColumn id="11" xr3:uid="{44524127-D596-4D86-9576-6D678932FE46}" name="Peer Reviewed By" dataDxfId="341"/>
    <tableColumn id="12" xr3:uid="{F6C0BF98-2F44-4375-A84B-B35A3F80280D}" name="Peer Code Review Comments, if any"/>
    <tableColumn id="13" xr3:uid="{58B9DB08-0537-4736-B5CB-5F4EAF282529}" name="PR Number/Link" dataDxfId="340" dataCellStyle="Hyperlink"/>
    <tableColumn id="14" xr3:uid="{3A56F881-799F-4D83-845F-C631A9B6D10F}" name="PR Created Date" dataDxfId="339"/>
    <tableColumn id="15" xr3:uid="{A1CB9C8E-6A77-4F45-A6FD-F68DBFA20A6A}" name="PR Approved Date" dataDxfId="338"/>
    <tableColumn id="16" xr3:uid="{AB1C7C74-37F5-4CDB-85E5-EF8ED571E1F8}" name="Onsite Lead Code Review" dataDxfId="337"/>
    <tableColumn id="17" xr3:uid="{E90D40D1-3CC6-474D-96B2-6F6BD9760C35}" name="Code Review Comments, if any" dataDxfId="336"/>
    <tableColumn id="18" xr3:uid="{ECEE7ABF-AEB3-4874-B57D-99B85ECC9EC8}" name="Client Code Review" dataDxfId="335"/>
    <tableColumn id="19" xr3:uid="{C80A5310-ACDD-484D-95E3-23EECC9FCB58}" name="Approved Date" dataDxfId="334"/>
    <tableColumn id="20" xr3:uid="{A86E3748-8ADC-4E6D-9736-48DB363628ED}" name="Code Review Comments, if any2" dataDxfId="333"/>
    <tableColumn id="21" xr3:uid="{FC4047C7-C348-4D39-AF18-289F66ADD204}" name="Internal PO -POV Comments" dataDxfId="332"/>
    <tableColumn id="22" xr3:uid="{88341C70-C7A4-4053-8794-DF1A5EB0D179}" name="Client PO -POV Comments" dataDxfId="331"/>
    <tableColumn id="24" xr3:uid="{FD82D3F0-85C8-4C90-B7E3-0D62C400D394}" name="Comments" dataDxfId="330"/>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8FFBA2B-29D6-48E1-AFE2-28975A481460}" name="Table145678109312131114" displayName="Table145678109312131114" ref="A1:AB8" totalsRowShown="0" headerRowDxfId="329" dataDxfId="328" tableBorderDxfId="327">
  <autoFilter ref="A1:AB8" xr:uid="{9DC5C30B-A60C-4FFE-8316-8BFF998E3F7C}"/>
  <tableColumns count="28">
    <tableColumn id="1" xr3:uid="{7F862BB0-0A87-4250-878A-17892A760FA6}" name="S.No" dataDxfId="326"/>
    <tableColumn id="25" xr3:uid="{6987B334-1F02-4917-8F22-C3CAD55FFDCA}" name="Application Name" dataDxfId="325"/>
    <tableColumn id="27" xr3:uid="{F9B6D74B-409F-4007-A356-4DD01F1B81A6}" name="Sprint Start Date" dataDxfId="324"/>
    <tableColumn id="26" xr3:uid="{FFEF4C6D-FD7D-4101-B19F-DF0E847AE559}" name="Sprint End Date" dataDxfId="323"/>
    <tableColumn id="2" xr3:uid="{DD0679C5-04B5-4D8A-B325-434025F73F1D}" name="Sprint "/>
    <tableColumn id="3" xr3:uid="{559B9300-DB0F-4313-8697-F59E30FCF191}" name="Developer"/>
    <tableColumn id="4" xr3:uid="{000EBBFE-99F0-4D4B-ADC9-9A410BBF881C}" name="Story ID/Defect ID" dataDxfId="322"/>
    <tableColumn id="5" xr3:uid="{AE07260B-275D-49D0-9B41-F73A2601B595}" name="Description"/>
    <tableColumn id="23" xr3:uid="{341E1E1C-26F0-4316-8161-DF80E976F154}" name="Status" dataDxfId="321"/>
    <tableColumn id="6" xr3:uid="{42BA0377-B249-49B7-AB7D-64DF6601838B}" name="Estimated(hrs/sp)"/>
    <tableColumn id="7" xr3:uid="{B8060940-CBFF-49DF-B8EE-E2946DEC4C93}" name="Actual(hrs/sp)" dataDxfId="320"/>
    <tableColumn id="28" xr3:uid="{5467E57B-A669-4AB5-926B-043F24FC9FC9}" name="Actual Hours  Worklog" dataDxfId="319"/>
    <tableColumn id="8" xr3:uid="{64C8702E-1CD0-466B-8D9A-2480DA3601E0}" name="Unit testing" dataDxfId="318"/>
    <tableColumn id="9" xr3:uid="{B807C534-13F5-4BFB-840A-61F8E3C49B93}" name="Peer Tested By" dataDxfId="317"/>
    <tableColumn id="10" xr3:uid="{537ADB3D-A46D-438C-BEA7-701AF04FE9C4}" name="Peer Tested Defects, if any" dataDxfId="316"/>
    <tableColumn id="11" xr3:uid="{C878B667-0BEC-4A48-84EC-5458D088C8FA}" name="Peer Reviewed By" dataDxfId="315"/>
    <tableColumn id="12" xr3:uid="{6F25A1DF-57D2-4076-8687-242DACE2387C}" name="Peer Code Review Comments, if any"/>
    <tableColumn id="13" xr3:uid="{E4A61E5F-AF62-4334-B368-48A4D005D7D0}" name="PR Number/Link" dataDxfId="314" dataCellStyle="Hyperlink"/>
    <tableColumn id="14" xr3:uid="{243F003B-85F0-4351-8451-EAE5D34AD8F1}" name="PR Created Date" dataDxfId="313"/>
    <tableColumn id="15" xr3:uid="{1F947DDA-A64D-4D72-BA5F-049FB12480E4}" name="PR Approved Date" dataDxfId="312"/>
    <tableColumn id="16" xr3:uid="{3E3FDD1F-97AD-4BF6-A79E-090462CFBDB2}" name="Onsite Lead Code Review" dataDxfId="311"/>
    <tableColumn id="17" xr3:uid="{1D940C95-860F-4426-A4DC-AF59CCF70951}" name="Code Review Comments, if any" dataDxfId="310"/>
    <tableColumn id="18" xr3:uid="{C97246D7-C5A2-44E9-A377-02168DF64BA9}" name="Client Code Review" dataDxfId="309"/>
    <tableColumn id="19" xr3:uid="{450ED3F1-94C6-4C39-9D30-89C293B93F35}" name="Approved Date" dataDxfId="308"/>
    <tableColumn id="20" xr3:uid="{EA4DE49C-AC3F-4B20-ABB3-B8A0ECCD1AC8}" name="Code Review Comments, if any2" dataDxfId="307"/>
    <tableColumn id="21" xr3:uid="{53B052BA-2BF9-47E0-8463-9A24F3D701C6}" name="Internal PO -POV Comments" dataDxfId="306"/>
    <tableColumn id="22" xr3:uid="{1A3F90F7-A110-4CA9-A6D4-DBCC90D9277D}" name="Client PO -POV Comments" dataDxfId="305"/>
    <tableColumn id="24" xr3:uid="{6194A8CF-1008-4D1A-9AE5-DFC741D9D1A0}" name="Comments" dataDxfId="304"/>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B8349EA-C21F-4B61-9DF7-A6A8703BB90E}" name="Table1456781093121311" displayName="Table1456781093121311" ref="A1:AB7" totalsRowShown="0" headerRowDxfId="303" dataDxfId="302" tableBorderDxfId="301">
  <autoFilter ref="A1:AB7" xr:uid="{9DC5C30B-A60C-4FFE-8316-8BFF998E3F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40667672-9D36-47E9-B77B-3372FD87B961}" name="S.No" dataDxfId="300"/>
    <tableColumn id="25" xr3:uid="{BDB8E77F-A703-48F1-966B-A1391B34E0A3}" name="Application Name" dataDxfId="299"/>
    <tableColumn id="27" xr3:uid="{BFD856DD-1846-4508-AA35-50E39DD713C8}" name="Sprint Start Date" dataDxfId="298"/>
    <tableColumn id="26" xr3:uid="{4A4DB143-C46D-47F6-AC29-E135E90088BF}" name="Sprint End Date" dataDxfId="297"/>
    <tableColumn id="2" xr3:uid="{AC7F979B-A27B-4876-9D37-0A75E06F2D68}" name="Sprint "/>
    <tableColumn id="3" xr3:uid="{28D2B1FE-3AC8-434C-B6B1-09C396631C50}" name="Developer"/>
    <tableColumn id="4" xr3:uid="{DF1138F9-0F80-476F-8745-96244AEA7D41}" name="Story ID/Defect ID" dataDxfId="296"/>
    <tableColumn id="5" xr3:uid="{F243B32E-2D59-426C-B3A6-1751013704F8}" name="Description"/>
    <tableColumn id="23" xr3:uid="{5C01CB60-8135-4788-8EB6-90ACCE1D25FC}" name="Status" dataDxfId="295"/>
    <tableColumn id="6" xr3:uid="{E37B6645-F333-46A4-A8D3-81CB0E6432C6}" name="Estimated(hrs/sp)"/>
    <tableColumn id="7" xr3:uid="{296BC513-FC9E-40D9-842D-333CBBA43A07}" name="Actual(hrs/sp)" dataDxfId="294"/>
    <tableColumn id="28" xr3:uid="{F62ACCAB-3131-4F33-869F-B3E9D48E6156}" name="Actual Hours  Worklog" dataDxfId="293"/>
    <tableColumn id="8" xr3:uid="{904C278A-07F6-4689-8177-96E48236553D}" name="Unit testing" dataDxfId="292"/>
    <tableColumn id="9" xr3:uid="{F339CB67-D205-474B-BA91-744F2EA87E3B}" name="Peer Tested By" dataDxfId="291"/>
    <tableColumn id="10" xr3:uid="{3BD8433D-ADAB-426D-88BE-264F2D5FF405}" name="Peer Tested Defects, if any" dataDxfId="290"/>
    <tableColumn id="11" xr3:uid="{CD8772D4-E569-4EC9-80AD-790274AE3D72}" name="Peer Reviewed By" dataDxfId="289"/>
    <tableColumn id="12" xr3:uid="{84B322F2-99FB-4585-A40D-D9319E589AA4}" name="Peer Code Review Comments, if any"/>
    <tableColumn id="13" xr3:uid="{DFE8C385-00E3-4CA2-9126-742203A60E55}" name="PR Number/Link" dataDxfId="288" dataCellStyle="Hyperlink"/>
    <tableColumn id="14" xr3:uid="{55AB02DD-6538-44C7-9BBF-D97FDC348726}" name="PR Created Date" dataDxfId="287"/>
    <tableColumn id="15" xr3:uid="{8F6A6C15-EF8A-47B2-A366-A7CA2F423018}" name="PR Approved Date" dataDxfId="286"/>
    <tableColumn id="16" xr3:uid="{9139AA64-0FBC-46DC-9EC7-8E6D06FBF496}" name="Onsite Lead Code Review" dataDxfId="285"/>
    <tableColumn id="17" xr3:uid="{A8016A93-4AC9-4180-8CBD-DE636AB416B8}" name="Code Review Comments, if any" dataDxfId="284"/>
    <tableColumn id="18" xr3:uid="{50495A08-25A5-4713-B644-5A94E90876B3}" name="Client Code Review" dataDxfId="283"/>
    <tableColumn id="19" xr3:uid="{1DBEFE85-3C87-4B1F-B19A-062B37F2A39F}" name="Approved Date" dataDxfId="282"/>
    <tableColumn id="20" xr3:uid="{89B5398F-B170-49CF-9371-EEFCC552F37F}" name="Code Review Comments, if any2" dataDxfId="281"/>
    <tableColumn id="21" xr3:uid="{2DB53B8B-E28E-4171-A097-3BB7F90F4E43}" name="Internal PO -POV Comments" dataDxfId="280"/>
    <tableColumn id="22" xr3:uid="{8CF4DC42-8E7C-4FD9-9A41-FADBBF68889C}" name="Client PO -POV Comments" dataDxfId="279"/>
    <tableColumn id="24" xr3:uid="{00968B9B-5D54-4327-ACC8-F7EBBB20B9DE}" name="Comments" dataDxfId="27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2FB4F7E-FEC9-4304-923E-E927D5573C8C}" name="Table14567810931213" displayName="Table14567810931213" ref="A1:AB7" totalsRowShown="0" headerRowDxfId="277" dataDxfId="276" tableBorderDxfId="275">
  <autoFilter ref="A1:AB7" xr:uid="{9DC5C30B-A60C-4FFE-8316-8BFF998E3F7C}"/>
  <tableColumns count="28">
    <tableColumn id="1" xr3:uid="{28EA1A63-A1F5-4644-9F5B-70C210BB4FFD}" name="S.No" dataDxfId="274"/>
    <tableColumn id="25" xr3:uid="{F306C87D-B778-4BB5-88A8-EC093F421403}" name="Application Name" dataDxfId="273"/>
    <tableColumn id="27" xr3:uid="{643246FC-8B41-40B9-BB8A-849B32D14349}" name="Sprint Start Date" dataDxfId="272"/>
    <tableColumn id="26" xr3:uid="{D4687872-0AE5-4558-8EAB-1E26D62239B9}" name="Sprint End Date" dataDxfId="271"/>
    <tableColumn id="2" xr3:uid="{D57F7C59-060E-42A8-A8D5-52093DDB0572}" name="Sprint "/>
    <tableColumn id="3" xr3:uid="{8238FCFA-51DE-4177-A322-C8B650E5372B}" name="Developer"/>
    <tableColumn id="4" xr3:uid="{83496A1F-AC96-43A9-A899-ED1285DEB9C9}" name="Story ID/Defect ID" dataDxfId="270"/>
    <tableColumn id="5" xr3:uid="{0DA82058-FF2C-463C-9B35-CBC838D01881}" name="Description"/>
    <tableColumn id="23" xr3:uid="{A3DA3D60-0B2C-4511-9E15-C92B965EADF6}" name="Status" dataDxfId="269"/>
    <tableColumn id="6" xr3:uid="{3C7F1476-D8DD-4E4D-BC2F-12BA8121E115}" name="Estimated(hrs/sp)"/>
    <tableColumn id="7" xr3:uid="{1773D911-9584-4EA6-8025-9A7480F0BFFB}" name="Actual(hrs/sp)" dataDxfId="268"/>
    <tableColumn id="28" xr3:uid="{09A91D42-8767-47DF-835E-9DAF73AE95CB}" name="Actual Hours  Worklog" dataDxfId="267"/>
    <tableColumn id="8" xr3:uid="{AA6F7D90-07AD-4800-AD0A-C7101B74FF7A}" name="Unit testing" dataDxfId="266"/>
    <tableColumn id="9" xr3:uid="{68727E35-9387-406A-9DF9-841EB58FFEB0}" name="Peer Tested By" dataDxfId="265"/>
    <tableColumn id="10" xr3:uid="{5549774B-1689-4A7D-86CF-9705071FCE21}" name="Peer Tested Defects, if any" dataDxfId="264"/>
    <tableColumn id="11" xr3:uid="{0CF293C7-7789-483F-A83C-2871D525A38F}" name="Peer Reviewed By" dataDxfId="263"/>
    <tableColumn id="12" xr3:uid="{12C6219D-90BC-4635-83E0-A3A9E7F58EC9}" name="Peer Code Review Comments, if any"/>
    <tableColumn id="13" xr3:uid="{C6AC5CCF-FDDE-43C7-8661-35BE25F4DECA}" name="PR Number/Link" dataDxfId="262" dataCellStyle="Hyperlink"/>
    <tableColumn id="14" xr3:uid="{200D36CE-B2F0-4BA3-9FB1-5DF0B13C381E}" name="PR Created Date" dataDxfId="261"/>
    <tableColumn id="15" xr3:uid="{EE106DD3-B367-49B0-B034-4CF2D1806427}" name="PR Approved Date" dataDxfId="260"/>
    <tableColumn id="16" xr3:uid="{8425C721-D286-4A7F-8C92-9BB7C427BF06}" name="Onsite Lead Code Review" dataDxfId="259"/>
    <tableColumn id="17" xr3:uid="{5E55BB64-4AFC-4E91-88CA-020B575771D3}" name="Code Review Comments, if any" dataDxfId="258"/>
    <tableColumn id="18" xr3:uid="{0B94B2F8-9D17-4A6D-8CAA-F2322637A17B}" name="Client Code Review" dataDxfId="257"/>
    <tableColumn id="19" xr3:uid="{8D12D3A0-7ED9-4182-A93E-7411A0A3B0B6}" name="Approved Date" dataDxfId="256"/>
    <tableColumn id="20" xr3:uid="{C0E2D66E-5C46-41A8-A253-2C69F71F6B28}" name="Code Review Comments, if any2" dataDxfId="255"/>
    <tableColumn id="21" xr3:uid="{3A0F3F6A-CD47-46D0-A959-46CD3662CB4F}" name="Internal PO -POV Comments" dataDxfId="254"/>
    <tableColumn id="22" xr3:uid="{ED9E56CC-6888-4F0F-88A5-0C949A7523E1}" name="Client PO -POV Comments" dataDxfId="253"/>
    <tableColumn id="24" xr3:uid="{B53405BD-8B4B-4F41-9FE7-8203C93ED442}" name="Comments" dataDxfId="252"/>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71EB15B-E801-4146-829F-4BFF79D1701A}" name="Table145678109312" displayName="Table145678109312" ref="A1:AB7" totalsRowShown="0" headerRowDxfId="251" dataDxfId="250" tableBorderDxfId="249">
  <autoFilter ref="A1:AB7" xr:uid="{9DC5C30B-A60C-4FFE-8316-8BFF998E3F7C}"/>
  <tableColumns count="28">
    <tableColumn id="1" xr3:uid="{30841824-42BB-4BD1-BD39-D263AB74DACD}" name="S.No" dataDxfId="248"/>
    <tableColumn id="25" xr3:uid="{2BCE0B56-2036-40ED-8693-14F26FE09AEA}" name="Application Name" dataDxfId="247">
      <calculatedColumnFormula>Dashboard!$J$1</calculatedColumnFormula>
    </tableColumn>
    <tableColumn id="27" xr3:uid="{389A32D0-CE14-42BB-AD8A-04B1A0C29B36}" name="Sprint Start Date" dataDxfId="246">
      <calculatedColumnFormula>Dashboard!$F$1</calculatedColumnFormula>
    </tableColumn>
    <tableColumn id="26" xr3:uid="{2C6186DF-D2A0-4260-8691-21CD2B8DAD0B}" name="Sprint End Date" dataDxfId="245">
      <calculatedColumnFormula>Dashboard!$H$1</calculatedColumnFormula>
    </tableColumn>
    <tableColumn id="2" xr3:uid="{A8D16C8A-6CE1-4A48-B2E6-A031B95EB6AC}" name="Sprint "/>
    <tableColumn id="3" xr3:uid="{69FE072F-0656-4C74-8E35-2F97EC6D0439}" name="Developer"/>
    <tableColumn id="4" xr3:uid="{741D5316-0063-4527-BD22-0B4000243D97}" name="Story ID/Defect ID" dataDxfId="244"/>
    <tableColumn id="5" xr3:uid="{8FA5FA4E-AAA0-4833-B9C9-896DC095AC05}" name="Description"/>
    <tableColumn id="23" xr3:uid="{C379B675-19DD-457C-94AE-EBBED014687B}" name="Status" dataDxfId="243"/>
    <tableColumn id="6" xr3:uid="{B8B45385-C0C3-4B78-A90C-2DDC44EAA2D5}" name="Estimated(hrs/sp)"/>
    <tableColumn id="7" xr3:uid="{18E1AABD-6B30-43C4-8BE8-E51AAC9CC9E3}" name="Actual(hrs/sp)" dataDxfId="242"/>
    <tableColumn id="28" xr3:uid="{229A0981-4C16-484A-B6D3-2927DC0E0594}" name="Actual Hours  Worklog" dataDxfId="241"/>
    <tableColumn id="8" xr3:uid="{A3D78C43-CCB3-4C16-9B1F-4DF43506A1FE}" name="Unit testing" dataDxfId="240"/>
    <tableColumn id="9" xr3:uid="{F77378E9-6E92-46C0-B028-D610C7DE2365}" name="Peer Tested By" dataDxfId="239"/>
    <tableColumn id="10" xr3:uid="{6D8DE736-1FC7-4FD7-BD63-0E5FE5BDD7E4}" name="Peer Tested Defects, if any" dataDxfId="238"/>
    <tableColumn id="11" xr3:uid="{889A8DA1-1D46-42A7-B66B-98286FDC1DF1}" name="Peer Reviewed By" dataDxfId="237"/>
    <tableColumn id="12" xr3:uid="{B80853D9-9E42-47A3-8E94-6301B68098DB}" name="Peer Code Review Comments, if any"/>
    <tableColumn id="13" xr3:uid="{251D089F-0D80-4CD5-958E-87A7307DE9B9}" name="PR Number/Link" dataDxfId="236" dataCellStyle="Hyperlink"/>
    <tableColumn id="14" xr3:uid="{EE14C456-5341-4472-B8F4-498DF9759E62}" name="PR Created Date" dataDxfId="235"/>
    <tableColumn id="15" xr3:uid="{CC00F97F-5373-42DF-A41F-924C359BD337}" name="PR Approved Date" dataDxfId="234"/>
    <tableColumn id="16" xr3:uid="{433033F5-1C61-45F8-80DC-17F530070A7B}" name="Onsite Lead Code Review" dataDxfId="233"/>
    <tableColumn id="17" xr3:uid="{40A89E02-51D8-4EC7-AD97-E6BFCAB81B11}" name="Code Review Comments, if any" dataDxfId="232"/>
    <tableColumn id="18" xr3:uid="{4A32AD3C-D16D-4096-B170-6997D96D60B7}" name="Client Code Review" dataDxfId="231"/>
    <tableColumn id="19" xr3:uid="{4E778708-3C3A-4A11-AE65-1EAAA79A7FD5}" name="Approved Date" dataDxfId="230"/>
    <tableColumn id="20" xr3:uid="{CFCEBC67-5D23-4BC8-913B-D429978FBEBB}" name="Code Review Comments, if any2" dataDxfId="229"/>
    <tableColumn id="21" xr3:uid="{C39C5855-F394-4C11-8E46-77DAAEBE9BBA}" name="Internal PO -POV Comments" dataDxfId="228"/>
    <tableColumn id="22" xr3:uid="{5D27B854-892E-4815-A4A3-2345937653C6}" name="Client PO -POV Comments" dataDxfId="227"/>
    <tableColumn id="24" xr3:uid="{A7F59749-8E70-4DA5-ADE2-76755403A434}" name="Comments" dataDxfId="226"/>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E6C33D-FBA4-4800-9261-101F52B2FC6A}" name="Table1456781093" displayName="Table1456781093" ref="A1:AB9" totalsRowShown="0" headerRowDxfId="225" dataDxfId="224" tableBorderDxfId="223">
  <autoFilter ref="A1:AB9" xr:uid="{9DC5C30B-A60C-4FFE-8316-8BFF998E3F7C}"/>
  <tableColumns count="28">
    <tableColumn id="1" xr3:uid="{47C598C6-60F9-448C-8898-CA55A62DAA0D}" name="S.No" dataDxfId="222"/>
    <tableColumn id="25" xr3:uid="{E72F2B79-50D4-4F28-9540-40C1FEE33E66}" name="Application Name" dataDxfId="221">
      <calculatedColumnFormula>Dashboard!$J$1</calculatedColumnFormula>
    </tableColumn>
    <tableColumn id="27" xr3:uid="{89F7B61D-0CFD-4EF1-93C3-5DD1ECFBBC77}" name="Sprint Start Date" dataDxfId="220">
      <calculatedColumnFormula>Dashboard!$F$1</calculatedColumnFormula>
    </tableColumn>
    <tableColumn id="26" xr3:uid="{B36BD4B7-AC82-4190-96F4-5EA24A4CA176}" name="Sprint End Date" dataDxfId="219">
      <calculatedColumnFormula>Dashboard!$H$1</calculatedColumnFormula>
    </tableColumn>
    <tableColumn id="2" xr3:uid="{449A4CFB-1529-4F23-9A85-C95E74CFEF4D}" name="Sprint "/>
    <tableColumn id="3" xr3:uid="{1A54681A-2F2F-4162-8002-36BD667438CD}" name="Developer"/>
    <tableColumn id="4" xr3:uid="{21524B58-CCFC-43BC-82B0-5BF1A0F49CFB}" name="Story ID/Defect ID" dataDxfId="218"/>
    <tableColumn id="5" xr3:uid="{8034863F-0A11-44D8-921C-4A987D844A12}" name="Description"/>
    <tableColumn id="23" xr3:uid="{645AE09E-673A-4DE1-9E1A-2EE1DB84D5EB}" name="Status" dataDxfId="217"/>
    <tableColumn id="6" xr3:uid="{32213012-4097-46B8-A328-817F16D6BC5A}" name="Estimated(hrs/sp)"/>
    <tableColumn id="7" xr3:uid="{2BB74707-2DB7-45E4-A982-DAFE2E29D5F1}" name="Actual(hrs/sp)" dataDxfId="216"/>
    <tableColumn id="28" xr3:uid="{BC9A1083-15A4-4B24-B662-802B5C3FDC98}" name="Actual Hours  Worklog" dataDxfId="215"/>
    <tableColumn id="8" xr3:uid="{7042F7D1-D329-46C7-8D12-C35F7AA38F06}" name="Unit testing" dataDxfId="214"/>
    <tableColumn id="9" xr3:uid="{D0BBE8CF-2520-41B5-9AA0-C11A57748D66}" name="Peer Tested By" dataDxfId="213"/>
    <tableColumn id="10" xr3:uid="{0162C9F2-228A-466E-9C62-AF0C9D3FE50B}" name="Peer Tested Defects, if any" dataDxfId="212"/>
    <tableColumn id="11" xr3:uid="{6D337C78-9877-4991-A72B-7FB095BB7BEB}" name="Peer Reviewed By" dataDxfId="211"/>
    <tableColumn id="12" xr3:uid="{384E80E1-463C-49BE-92DE-B790472EBB5D}" name="Peer Code Review Comments, if any"/>
    <tableColumn id="13" xr3:uid="{0186261B-78EA-4914-B4B2-68673BC2ED64}" name="PR Number/Link" dataDxfId="210" dataCellStyle="Hyperlink"/>
    <tableColumn id="14" xr3:uid="{F4CEF42D-D67E-46F2-AC68-300D2443C93D}" name="PR Created Date" dataDxfId="209"/>
    <tableColumn id="15" xr3:uid="{20D5EB0C-E464-47D1-B8A2-E2EE8E574BD3}" name="PR Approved Date" dataDxfId="208"/>
    <tableColumn id="16" xr3:uid="{420A3694-8EC3-4D9F-AF7F-33A9A729E129}" name="Onsite Lead Code Review" dataDxfId="207"/>
    <tableColumn id="17" xr3:uid="{2341CB78-4060-4E89-B9FB-D568F7587AA1}" name="Code Review Comments, if any" dataDxfId="206"/>
    <tableColumn id="18" xr3:uid="{43439D80-7649-45FB-8920-F96861CEE3C3}" name="Client Code Review" dataDxfId="205"/>
    <tableColumn id="19" xr3:uid="{FD7C2AAC-BAEA-4F8B-9DCA-13FA3FC0943A}" name="Approved Date" dataDxfId="204"/>
    <tableColumn id="20" xr3:uid="{9DCDF547-0BD8-4519-BAE7-C67B8C7356C6}" name="Code Review Comments, if any2" dataDxfId="203"/>
    <tableColumn id="21" xr3:uid="{B7ADB479-DD05-4182-B38B-BBE6755F10FF}" name="Internal PO -POV Comments" dataDxfId="202"/>
    <tableColumn id="22" xr3:uid="{76357011-D955-439A-A402-092E2290D76D}" name="Client PO -POV Comments" dataDxfId="201"/>
    <tableColumn id="24" xr3:uid="{0258B2CA-A7C2-407C-87C6-E54E65A7CA97}" name="Comments" dataDxfId="200"/>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65A1998-CC4C-4498-B4A9-F9522919B9D3}" name="Table145678109" displayName="Table145678109" ref="A1:AB6" totalsRowShown="0" headerRowDxfId="199" dataDxfId="198" tableBorderDxfId="197">
  <autoFilter ref="A1:AB6" xr:uid="{9DC5C30B-A60C-4FFE-8316-8BFF998E3F7C}"/>
  <tableColumns count="28">
    <tableColumn id="1" xr3:uid="{F1AF197E-C4ED-4C27-A947-F08B69AE632F}" name="S.No" dataDxfId="196"/>
    <tableColumn id="25" xr3:uid="{B4E002DC-B7A4-4471-A4B4-BC9F3A388ED5}" name="Application Name" dataDxfId="195">
      <calculatedColumnFormula>Dashboard!$J$1</calculatedColumnFormula>
    </tableColumn>
    <tableColumn id="27" xr3:uid="{3DDD0233-90A7-45AF-9F36-84105DD85E84}" name="Sprint Start Date" dataDxfId="194">
      <calculatedColumnFormula>Dashboard!$F$1</calculatedColumnFormula>
    </tableColumn>
    <tableColumn id="26" xr3:uid="{84EC1220-986F-4E9C-9CE0-84F5C79B563F}" name="Sprint End Date" dataDxfId="193">
      <calculatedColumnFormula>Dashboard!$H$1</calculatedColumnFormula>
    </tableColumn>
    <tableColumn id="2" xr3:uid="{DE9775D4-4B94-489D-8C14-FDA8E7EAE265}" name="Sprint "/>
    <tableColumn id="3" xr3:uid="{0699AB5F-29AE-4400-8B8F-3EFB1A68A64F}" name="Developer"/>
    <tableColumn id="4" xr3:uid="{6487AC9D-219A-4DA8-B95B-E9CD5D5F11FC}" name="Story ID/Defect ID" dataDxfId="192"/>
    <tableColumn id="5" xr3:uid="{490EA141-F29A-44A3-A3D4-B44B3DEED1F4}" name="Description"/>
    <tableColumn id="23" xr3:uid="{C37FA818-D66F-4498-809C-3EBCAEC140CE}" name="Status" dataDxfId="191"/>
    <tableColumn id="6" xr3:uid="{05BA7616-67E5-432B-8464-A617CF66C8E0}" name="Estimated(hrs/sp)"/>
    <tableColumn id="7" xr3:uid="{913CB2EA-5E8D-43D9-B4C5-D0BC380D2D5C}" name="Actual(hrs/sp)" dataDxfId="190"/>
    <tableColumn id="28" xr3:uid="{1A02FF95-04AD-4361-ABBB-7C4E3987050F}" name="Actual Hours  Worklog" dataDxfId="189"/>
    <tableColumn id="8" xr3:uid="{B8CF5FDC-14E6-4B6E-9905-63B420DB1CA5}" name="Unit testing" dataDxfId="188"/>
    <tableColumn id="9" xr3:uid="{62FED323-5D1D-4CAD-A6CD-306AB8C2B773}" name="Peer Tested By" dataDxfId="187"/>
    <tableColumn id="10" xr3:uid="{08000D7A-BEAA-41F0-BD0A-E19592639974}" name="Peer Tested Defects, if any" dataDxfId="186"/>
    <tableColumn id="11" xr3:uid="{FF7A0E32-EC18-41DA-98C5-724876BD0D53}" name="Peer Reviewed By" dataDxfId="185"/>
    <tableColumn id="12" xr3:uid="{BEEAD3E1-E263-44C5-B9AD-747CEA98E9B0}" name="Peer Code Review Comments, if any"/>
    <tableColumn id="13" xr3:uid="{2A6ED26D-1850-441F-BED6-17453186B487}" name="PR Number/Link" dataDxfId="184" dataCellStyle="Hyperlink"/>
    <tableColumn id="14" xr3:uid="{7293C3D1-2D9C-4EB2-AE56-792AB84BCAB1}" name="PR Created Date" dataDxfId="183"/>
    <tableColumn id="15" xr3:uid="{C775F5D8-3209-4BCD-8A38-6883904BC69C}" name="PR Approved Date" dataDxfId="182"/>
    <tableColumn id="16" xr3:uid="{1A033855-89F4-4B9A-A5F8-BA620AF53369}" name="Onsite Lead Code Review" dataDxfId="181"/>
    <tableColumn id="17" xr3:uid="{F212D3DD-7D74-4AF8-B5A7-4A16B17FB032}" name="Code Review Comments, if any" dataDxfId="180"/>
    <tableColumn id="18" xr3:uid="{A36824AC-1B8C-4867-997D-0DCA4685A579}" name="Client Code Review" dataDxfId="179"/>
    <tableColumn id="19" xr3:uid="{B69A6B4B-CA3C-4FE5-8404-39DE3A05BB5A}" name="Approved Date" dataDxfId="178"/>
    <tableColumn id="20" xr3:uid="{6ED2420A-73C1-4B11-8EF8-27C3BA7DC0C1}" name="Code Review Comments, if any2" dataDxfId="177"/>
    <tableColumn id="21" xr3:uid="{C773C3E0-EC66-48FF-A525-4BE33CC48620}" name="Internal PO -POV Comments" dataDxfId="176"/>
    <tableColumn id="22" xr3:uid="{225678A0-6B20-4B5A-BC67-EDDAA5C29871}" name="Client PO -POV Comments" dataDxfId="175"/>
    <tableColumn id="24" xr3:uid="{44626FCB-CA47-44DA-BFCA-81A3CFF4650F}" name="Comments" dataDxfId="174"/>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925389D-9C87-482F-B19E-B9EA2D566DEC}" name="Table14567810" displayName="Table14567810" ref="A1:AB9" totalsRowShown="0" headerRowDxfId="173" dataDxfId="172" tableBorderDxfId="171">
  <autoFilter ref="A1:AB9" xr:uid="{9DC5C30B-A60C-4FFE-8316-8BFF998E3F7C}"/>
  <tableColumns count="28">
    <tableColumn id="1" xr3:uid="{33639E65-98AD-40CC-B81E-4A6CB8DF29E7}" name="S.No" dataDxfId="170"/>
    <tableColumn id="25" xr3:uid="{26A80204-2DFD-4964-BD13-39724F7C8412}" name="Application Name" dataDxfId="169">
      <calculatedColumnFormula>Dashboard!$J$1</calculatedColumnFormula>
    </tableColumn>
    <tableColumn id="27" xr3:uid="{AB136B67-EFB3-454B-970E-1D9D08A8A06B}" name="Sprint Start Date" dataDxfId="168">
      <calculatedColumnFormula>Dashboard!$F$1</calculatedColumnFormula>
    </tableColumn>
    <tableColumn id="26" xr3:uid="{7EC762FD-6EB0-4363-928E-E009C9C88E43}" name="Sprint End Date" dataDxfId="167">
      <calculatedColumnFormula>Dashboard!$H$1</calculatedColumnFormula>
    </tableColumn>
    <tableColumn id="2" xr3:uid="{796D6B45-E8AE-4A29-920E-9E107E681920}" name="Sprint "/>
    <tableColumn id="3" xr3:uid="{F02D1F3C-348F-4931-A690-F34DB9109EAD}" name="Developer"/>
    <tableColumn id="4" xr3:uid="{4336C792-A777-4F6F-B155-2362E7FEAC9B}" name="Story ID/Defect ID" dataDxfId="166"/>
    <tableColumn id="5" xr3:uid="{AC6DDF34-F4E5-45A9-9CF7-6FB629377005}" name="Description"/>
    <tableColumn id="23" xr3:uid="{448A6010-42E7-4B9A-981B-57D53C99D753}" name="Status" dataDxfId="165"/>
    <tableColumn id="6" xr3:uid="{EB24D0FA-AEE8-4FD4-91D9-99FAC26A9406}" name="Estimated(hrs/sp)"/>
    <tableColumn id="7" xr3:uid="{72A2732B-0983-4997-AA9F-29E95A7A6B58}" name="Actual(hrs/sp)" dataDxfId="164"/>
    <tableColumn id="28" xr3:uid="{4E188512-26BF-4E93-BCAA-75CFBA3DA91B}" name="Actual Hours  Worklog" dataDxfId="163"/>
    <tableColumn id="8" xr3:uid="{78D13EBC-1E89-42D5-B9A5-2CF1F73F94B9}" name="Unit testing" dataDxfId="162"/>
    <tableColumn id="9" xr3:uid="{3499F054-783E-4148-9008-29631F50743D}" name="Peer Tested By" dataDxfId="161"/>
    <tableColumn id="10" xr3:uid="{05F5CEC4-A1EA-40C0-BF72-E3F54D98F044}" name="Peer Tested Defects, if any" dataDxfId="160"/>
    <tableColumn id="11" xr3:uid="{1A8073F5-B93C-40FA-AF52-74A824D93636}" name="Peer Reviewed By" dataDxfId="159"/>
    <tableColumn id="12" xr3:uid="{2CBFE8D7-42ED-4291-98F3-9DF083163C72}" name="Peer Code Review Comments, if any"/>
    <tableColumn id="13" xr3:uid="{AA2A3297-C201-4574-865F-634A6DD533FC}" name="PR Number/Link" dataDxfId="158" dataCellStyle="Hyperlink"/>
    <tableColumn id="14" xr3:uid="{407E164B-AEAA-4543-9423-18A8E77D5EC9}" name="PR Created Date" dataDxfId="157"/>
    <tableColumn id="15" xr3:uid="{EC5ED69B-73B6-43DD-AA0C-E5C7E5FB9AC8}" name="PR Approved Date" dataDxfId="156"/>
    <tableColumn id="16" xr3:uid="{14FDA501-2760-4C3C-89F8-41454329F103}" name="Onsite Lead Code Review" dataDxfId="155"/>
    <tableColumn id="17" xr3:uid="{A5A95538-D46D-4B51-A2F1-27C3B4AA33C0}" name="Code Review Comments, if any" dataDxfId="154"/>
    <tableColumn id="18" xr3:uid="{BB5B5C8F-F369-4226-A0EB-254EB730A65C}" name="Client Code Review" dataDxfId="153"/>
    <tableColumn id="19" xr3:uid="{5E495242-646B-4340-AA94-F2CDCAD0B42A}" name="Approved Date" dataDxfId="152"/>
    <tableColumn id="20" xr3:uid="{8C7CB128-DCC0-455A-88A3-F28266529783}" name="Code Review Comments, if any2" dataDxfId="151"/>
    <tableColumn id="21" xr3:uid="{9EA08D97-D738-498F-ACB1-F857D3F1AA41}" name="Internal PO -POV Comments" dataDxfId="150"/>
    <tableColumn id="22" xr3:uid="{DD4260AD-14B4-4D9A-8AC9-9DD50550AD62}" name="Client PO -POV Comments" dataDxfId="149"/>
    <tableColumn id="24" xr3:uid="{45697236-31D1-476C-A0E2-167237A4BC62}" name="Comments" dataDxfId="148"/>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CE3C8D1-8775-41A7-9F1F-1BE7963FBFF2}" name="Table145678" displayName="Table145678" ref="A1:AB6" totalsRowShown="0" headerRowDxfId="147" dataDxfId="146" tableBorderDxfId="145">
  <autoFilter ref="A1:AB6" xr:uid="{9DC5C30B-A60C-4FFE-8316-8BFF998E3F7C}"/>
  <tableColumns count="28">
    <tableColumn id="1" xr3:uid="{DA1B0D55-5B47-4556-883E-056A1DDE9896}" name="S.No" dataDxfId="144"/>
    <tableColumn id="25" xr3:uid="{29F17EF3-2EA1-4EAC-901F-A8748A3AFC33}" name="Application Name" dataDxfId="143">
      <calculatedColumnFormula>Dashboard!$J$1</calculatedColumnFormula>
    </tableColumn>
    <tableColumn id="27" xr3:uid="{5D015D11-CA52-4320-90A1-E2318B3979DF}" name="Sprint Start Date" dataDxfId="142">
      <calculatedColumnFormula>Dashboard!$F$1</calculatedColumnFormula>
    </tableColumn>
    <tableColumn id="26" xr3:uid="{AF732236-22C5-4340-9095-6A455BFC433F}" name="Sprint End Date" dataDxfId="141">
      <calculatedColumnFormula>Dashboard!$H$1</calculatedColumnFormula>
    </tableColumn>
    <tableColumn id="2" xr3:uid="{B963D7A9-1DC1-4CC4-8B2D-E2DE10FF872C}" name="Sprint "/>
    <tableColumn id="3" xr3:uid="{1574A873-9174-4ED8-AA10-E09403C3FE03}" name="Developer"/>
    <tableColumn id="4" xr3:uid="{14BB32F2-9A1E-4A91-8FF4-767AC8F1C028}" name="Story ID/Defect ID" dataDxfId="140"/>
    <tableColumn id="5" xr3:uid="{0065CE5E-1176-4E65-8A8E-73B3C863E7C7}" name="Description"/>
    <tableColumn id="23" xr3:uid="{039E76BC-844F-438A-A481-45692F2DA02C}" name="Status" dataDxfId="139"/>
    <tableColumn id="6" xr3:uid="{ECC4D81C-3DA9-454A-ACE0-EA669D73CC08}" name="Estimated(hrs/sp)"/>
    <tableColumn id="7" xr3:uid="{325B0163-20D1-4E44-9414-9F244A9C8A05}" name="Actual(hrs/sp)" dataDxfId="138"/>
    <tableColumn id="28" xr3:uid="{72E7217B-3C81-4626-85D2-E67C269C30B6}" name="Actual Hours  Worklog" dataDxfId="137"/>
    <tableColumn id="8" xr3:uid="{C29F6693-A0AD-409C-B228-975954C908D9}" name="Unit testing" dataDxfId="136"/>
    <tableColumn id="9" xr3:uid="{15AA871C-096D-4384-BFBA-E24957D44AC3}" name="Peer Tested By" dataDxfId="135"/>
    <tableColumn id="10" xr3:uid="{B8B49417-CC83-422B-9889-54CF749DD58C}" name="Peer Tested Defects, if any" dataDxfId="134"/>
    <tableColumn id="11" xr3:uid="{B887C1ED-5B1A-416F-978C-03267CE8B25B}" name="Peer Reviewed By" dataDxfId="133"/>
    <tableColumn id="12" xr3:uid="{5949AA4D-7527-48A9-8AAA-03124EC0A475}" name="Peer Code Review Comments, if any"/>
    <tableColumn id="13" xr3:uid="{B596070D-6518-40D1-AA11-F24A7B1F62D4}" name="PR Number/Link" dataDxfId="132" dataCellStyle="Hyperlink"/>
    <tableColumn id="14" xr3:uid="{5B81CF15-9073-45E6-85F0-D6ADEA3F781F}" name="PR Created Date" dataDxfId="131"/>
    <tableColumn id="15" xr3:uid="{60A6018E-ECD7-4486-B25B-07734F430E42}" name="PR Approved Date" dataDxfId="130"/>
    <tableColumn id="16" xr3:uid="{DCC60E8D-D2AE-4E7E-ACC0-7B18B7D88605}" name="Onsite Lead Code Review" dataDxfId="129"/>
    <tableColumn id="17" xr3:uid="{305FF392-D922-46D1-B193-56AABC45DC7D}" name="Code Review Comments, if any" dataDxfId="128"/>
    <tableColumn id="18" xr3:uid="{3BC04728-1AC5-4938-AD00-B25E789172A4}" name="Client Code Review" dataDxfId="127"/>
    <tableColumn id="19" xr3:uid="{68B7DD43-FA7F-4622-8879-BA37D796AE76}" name="Approved Date" dataDxfId="126"/>
    <tableColumn id="20" xr3:uid="{CA2CD4DA-B132-46F7-A737-E96BAAB10DC8}" name="Code Review Comments, if any2" dataDxfId="125"/>
    <tableColumn id="21" xr3:uid="{F484EED6-16F3-4324-808B-162F675F9CA9}" name="Internal PO -POV Comments" dataDxfId="124"/>
    <tableColumn id="22" xr3:uid="{56179430-AF42-4099-9BEF-1F9AF8EF5508}" name="Client PO -POV Comments" dataDxfId="123"/>
    <tableColumn id="24" xr3:uid="{8E9EEB41-F354-45B7-8B74-56E541F6BE26}" name="Comments" dataDxfId="122"/>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0EE908A-E0D7-4279-B8DB-F23DF2046361}" name="Table14567" displayName="Table14567" ref="A1:AB8" totalsRowShown="0" headerRowDxfId="121" dataDxfId="120" tableBorderDxfId="119">
  <autoFilter ref="A1:AB8" xr:uid="{9DC5C30B-A60C-4FFE-8316-8BFF998E3F7C}"/>
  <tableColumns count="28">
    <tableColumn id="1" xr3:uid="{91335814-54E5-4F43-9E21-1EE3B327573E}" name="S.No" dataDxfId="118"/>
    <tableColumn id="25" xr3:uid="{656C668B-C202-41C6-A51D-7098BF7E0264}" name="Application Name" dataDxfId="117">
      <calculatedColumnFormula>Dashboard!$J$1</calculatedColumnFormula>
    </tableColumn>
    <tableColumn id="27" xr3:uid="{ABECB659-7CFC-488F-A65A-7679F4AFF662}" name="Sprint Start Date" dataDxfId="116">
      <calculatedColumnFormula>Dashboard!$F$1</calculatedColumnFormula>
    </tableColumn>
    <tableColumn id="26" xr3:uid="{6D302088-A116-4E05-BE68-0A5F91ECF1BB}" name="Sprint End Date" dataDxfId="115">
      <calculatedColumnFormula>Dashboard!$H$1</calculatedColumnFormula>
    </tableColumn>
    <tableColumn id="2" xr3:uid="{8A64DAB5-C022-42E2-9391-AF8CDB841DA4}" name="Sprint "/>
    <tableColumn id="3" xr3:uid="{9F1376E6-EE06-440A-A64C-C0B06F4FA51E}" name="Developer"/>
    <tableColumn id="4" xr3:uid="{3E105041-31F8-40DF-B6E6-7CB1B770DB23}" name="Story ID/Defect ID" dataDxfId="114"/>
    <tableColumn id="5" xr3:uid="{D5CDEDD8-498A-4253-B922-6858E00716A6}" name="Description"/>
    <tableColumn id="23" xr3:uid="{42783DCE-4541-4AE2-93CF-A16C5CBD027E}" name="Status" dataDxfId="113"/>
    <tableColumn id="6" xr3:uid="{E143B50E-70E0-4197-9999-6D806D5CB91A}" name="Estimated(hrs/sp)"/>
    <tableColumn id="7" xr3:uid="{2A55AAB0-0FCF-4A3C-8CF4-945BAD58DEE6}" name="Actual(hrs/sp)" dataDxfId="112"/>
    <tableColumn id="28" xr3:uid="{D0B3DB48-F067-4A35-A5B5-D99CC14C2EDF}" name="Column1" dataDxfId="111"/>
    <tableColumn id="8" xr3:uid="{CBAF2228-2A21-4A80-AFC8-4169D391B49E}" name="Unit testing" dataDxfId="110"/>
    <tableColumn id="9" xr3:uid="{342AA26E-9B14-4DE7-A4B6-AA010BE8E746}" name="Peer Tested By" dataDxfId="109"/>
    <tableColumn id="10" xr3:uid="{A7E6BE7C-0353-4AB5-ADE4-454A2DB20E57}" name="Peer Tested Defects, if any" dataDxfId="108"/>
    <tableColumn id="11" xr3:uid="{2BCD006F-EA41-46E2-95E6-05A8EFD90EF0}" name="Peer Reviewed By" dataDxfId="107"/>
    <tableColumn id="12" xr3:uid="{3335FEE8-AA75-4B7E-933D-2A8DD398FB59}" name="Peer Code Review Comments, if any"/>
    <tableColumn id="13" xr3:uid="{16351FE3-0C2C-410D-8D5D-6972AC7AED20}" name="PR Number/Link" dataDxfId="106" dataCellStyle="Hyperlink"/>
    <tableColumn id="14" xr3:uid="{E1881DCF-E43E-49FE-9070-3BCAF5BE03AE}" name="PR Created Date" dataDxfId="105"/>
    <tableColumn id="15" xr3:uid="{8F26169E-F4AB-4AA0-8EAF-39349D4166DC}" name="PR Approved Date" dataDxfId="104"/>
    <tableColumn id="16" xr3:uid="{CC431B94-4CFC-4AC1-A0F2-57605002B194}" name="Onsite Lead Code Review" dataDxfId="103"/>
    <tableColumn id="17" xr3:uid="{BC58917B-D5A1-40EC-A8FA-3BF6BB71CDDE}" name="Code Review Comments, if any" dataDxfId="102"/>
    <tableColumn id="18" xr3:uid="{FF49B3D1-88E4-4026-AC63-119B359939A8}" name="Client Code Review" dataDxfId="101"/>
    <tableColumn id="19" xr3:uid="{48D5832E-709B-4F4C-B4BA-AF3E2FDD82F8}" name="Approved Date" dataDxfId="100"/>
    <tableColumn id="20" xr3:uid="{49A6A1EF-CD00-4E20-A489-7F5727325EC9}" name="Code Review Comments, if any2" dataDxfId="99"/>
    <tableColumn id="21" xr3:uid="{A0B6DA99-1A61-42AB-BE4D-A528EF1156FB}" name="Internal PO -POV Comments" dataDxfId="98"/>
    <tableColumn id="22" xr3:uid="{79436136-FCE8-4583-B5AE-739B65829E40}" name="Client PO -POV Comments" dataDxfId="97"/>
    <tableColumn id="24" xr3:uid="{9FD0FF9A-550B-4036-A9F4-55F50A078FDA}" name="Comments" dataDxfId="96"/>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841CF82-843A-4DCC-AB85-E8A6F591465F}" name="Table1456" displayName="Table1456" ref="A1:AB9" totalsRowShown="0" headerRowDxfId="95" dataDxfId="94" tableBorderDxfId="93">
  <autoFilter ref="A1:AB9" xr:uid="{9DC5C30B-A60C-4FFE-8316-8BFF998E3F7C}"/>
  <tableColumns count="28">
    <tableColumn id="1" xr3:uid="{79B713A0-D21D-4BAE-928E-7F878F07510C}" name="S.No" dataDxfId="92"/>
    <tableColumn id="25" xr3:uid="{0C173650-4FE2-4974-B02D-76B1B1296651}" name="Application Name" dataDxfId="91">
      <calculatedColumnFormula>Dashboard!$J$1</calculatedColumnFormula>
    </tableColumn>
    <tableColumn id="27" xr3:uid="{8698A4D7-FF08-4C30-9585-33663987BC93}" name="Sprint Start Date" dataDxfId="90">
      <calculatedColumnFormula>Dashboard!$F$1</calculatedColumnFormula>
    </tableColumn>
    <tableColumn id="26" xr3:uid="{6F046B21-45CC-4B87-8FEA-AB96F6AA1595}" name="Sprint End Date" dataDxfId="89">
      <calculatedColumnFormula>Dashboard!$H$1</calculatedColumnFormula>
    </tableColumn>
    <tableColumn id="2" xr3:uid="{B877DDFC-B082-4655-8B81-5D2739B52794}" name="Sprint "/>
    <tableColumn id="3" xr3:uid="{03B91D03-6341-4A61-98FB-FB99E7EAF164}" name="Developer"/>
    <tableColumn id="4" xr3:uid="{D4121AE9-DBD1-468B-A247-9075F09BF182}" name="Story ID/Defect ID" dataDxfId="88"/>
    <tableColumn id="5" xr3:uid="{BE6FB71A-0661-4D37-B24C-9FD41D07D0D4}" name="Description"/>
    <tableColumn id="23" xr3:uid="{A35AB396-E937-4552-BA82-704852BED4CE}" name="Status" dataDxfId="87"/>
    <tableColumn id="6" xr3:uid="{16CBF516-D32D-4B84-9986-8FE04244075F}" name="Estimated(hrs/sp)"/>
    <tableColumn id="7" xr3:uid="{631AED85-7006-4C59-A539-2345F3E3786C}" name="Actual(hrs/sp)" dataDxfId="86"/>
    <tableColumn id="28" xr3:uid="{47EDA5CA-EEBE-4FD4-9C4B-C636B11205D3}" name="Column1" dataDxfId="85"/>
    <tableColumn id="8" xr3:uid="{70A3F452-9850-4202-94BF-C47E2CCAAE5F}" name="Unit testing" dataDxfId="84"/>
    <tableColumn id="9" xr3:uid="{6571C421-D1C0-4E77-B1F3-9F3C6F475D0D}" name="Peer Tested By" dataDxfId="83"/>
    <tableColumn id="10" xr3:uid="{F587D3CD-6448-4EF1-A855-037672582F9A}" name="Peer Tested Defects, if any" dataDxfId="82"/>
    <tableColumn id="11" xr3:uid="{06C988AD-8077-4F03-AF0E-0D7D602C9812}" name="Peer Reviewed By" dataDxfId="81"/>
    <tableColumn id="12" xr3:uid="{5E412220-49EA-4B92-BD5C-2BFBCD2022D3}" name="Peer Code Review Comments, if any"/>
    <tableColumn id="13" xr3:uid="{07DFF14E-178B-4B4B-8432-8A74682072E1}" name="PR Number/Link" dataDxfId="80" dataCellStyle="Hyperlink"/>
    <tableColumn id="14" xr3:uid="{5C1784D3-E49F-4C3A-A521-4423BC0AB7CE}" name="PR Created Date" dataDxfId="79"/>
    <tableColumn id="15" xr3:uid="{E46BA8B2-9FD8-4D66-A667-B0F4FAF38032}" name="PR Approved Date" dataDxfId="78"/>
    <tableColumn id="16" xr3:uid="{EA53C09B-64E8-46F0-AA72-62CA70C53643}" name="Onsite Lead Code Review" dataDxfId="77"/>
    <tableColumn id="17" xr3:uid="{2EE1C7B5-DD37-4C9D-B4C1-4C1692668026}" name="Code Review Comments, if any" dataDxfId="76"/>
    <tableColumn id="18" xr3:uid="{960EFA84-7FD6-4FEF-A96C-84EC7F872154}" name="Client Code Review" dataDxfId="75"/>
    <tableColumn id="19" xr3:uid="{8B1B3C72-9C86-45FC-AA63-1BADC14ABFFA}" name="Approved Date" dataDxfId="74"/>
    <tableColumn id="20" xr3:uid="{15BEE601-1ED8-4596-9C24-D34CAC378456}" name="Code Review Comments, if any2" dataDxfId="73"/>
    <tableColumn id="21" xr3:uid="{C038BFEF-1F45-45BD-B594-3D680495284C}" name="Internal PO -POV Comments" dataDxfId="72"/>
    <tableColumn id="22" xr3:uid="{9D5073F0-EF9B-4A56-82A4-7FF7836D7E89}" name="Client PO -POV Comments" dataDxfId="71"/>
    <tableColumn id="24" xr3:uid="{2811F490-CC11-44DE-9DCF-C662159B843A}" name="Comments" dataDxfId="70"/>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68FEA15-6266-4D06-8971-02EC94C679C4}" name="Table145" displayName="Table145" ref="A1:AB9" totalsRowShown="0" headerRowDxfId="69" dataDxfId="68" tableBorderDxfId="67">
  <autoFilter ref="A1:AB9" xr:uid="{9DC5C30B-A60C-4FFE-8316-8BFF998E3F7C}"/>
  <tableColumns count="28">
    <tableColumn id="1" xr3:uid="{60EBBDCE-63EA-45C9-8DB4-F91FF98052DF}" name="S.No" dataDxfId="66"/>
    <tableColumn id="25" xr3:uid="{0B9A48BB-DC85-48A5-B775-E2C12C3CCC07}" name="Application Name" dataDxfId="65">
      <calculatedColumnFormula>Dashboard!$J$1</calculatedColumnFormula>
    </tableColumn>
    <tableColumn id="27" xr3:uid="{D6B07962-A67A-47B0-AAF7-E5D82EBF8291}" name="Sprint Start Date" dataDxfId="64">
      <calculatedColumnFormula>Dashboard!$F$1</calculatedColumnFormula>
    </tableColumn>
    <tableColumn id="26" xr3:uid="{E04439AE-FED3-4A55-A7D7-08361C02DDA0}" name="Sprint End Date" dataDxfId="63">
      <calculatedColumnFormula>Dashboard!$H$1</calculatedColumnFormula>
    </tableColumn>
    <tableColumn id="2" xr3:uid="{624DED46-B0EB-4AD2-ADCD-942A67037A91}" name="Sprint "/>
    <tableColumn id="3" xr3:uid="{4C5EB361-E91A-4F84-99F8-E639F93D335A}" name="Developer"/>
    <tableColumn id="4" xr3:uid="{01265A4B-15D4-4FD3-AAB1-06FD5FA58003}" name="Story ID/Defect ID" dataDxfId="62"/>
    <tableColumn id="5" xr3:uid="{AB361DCD-60A3-4DCA-8FE7-2A314202A83B}" name="Description"/>
    <tableColumn id="23" xr3:uid="{27FCC87A-85BF-457B-9839-0B80F410E04C}" name="Status" dataDxfId="61"/>
    <tableColumn id="6" xr3:uid="{00D1306A-C651-4D3F-8E3B-1B6C57DB0705}" name="Estimated(hrs/sp)"/>
    <tableColumn id="7" xr3:uid="{62B04302-6412-4884-9DA8-0171FCA6F3F6}" name="Actual(hrs/sp)" dataDxfId="60"/>
    <tableColumn id="28" xr3:uid="{E9B5648F-4F7F-4F9C-829C-4E3C7F029DE9}" name="Column1" dataDxfId="59"/>
    <tableColumn id="8" xr3:uid="{5849EF51-53DA-4901-BC0B-C037F00EBABF}" name="Unit testing" dataDxfId="58"/>
    <tableColumn id="9" xr3:uid="{AF33507F-A759-48CA-8459-A79C209E857A}" name="Peer Tested By" dataDxfId="57"/>
    <tableColumn id="10" xr3:uid="{D2A30325-E963-495D-9FE9-C5738DF9DACC}" name="Peer Tested Defects, if any" dataDxfId="56"/>
    <tableColumn id="11" xr3:uid="{7E26862D-3B9B-4AEF-B977-1DA820BB3175}" name="Peer Reviewed By" dataDxfId="55"/>
    <tableColumn id="12" xr3:uid="{A9187B7E-A7E5-4DE4-B84D-0749039430AE}" name="Peer Code Review Comments, if any"/>
    <tableColumn id="13" xr3:uid="{77332DC0-41E3-45F5-A9F8-11E190112208}" name="PR Number/Link" dataDxfId="54" dataCellStyle="Hyperlink"/>
    <tableColumn id="14" xr3:uid="{7E33DFC7-AB65-43EF-BE17-01CC50D8658E}" name="PR Created Date" dataDxfId="53"/>
    <tableColumn id="15" xr3:uid="{44BB0099-46DC-4CCA-810B-C92246ECEDAA}" name="PR Approved Date" dataDxfId="52"/>
    <tableColumn id="16" xr3:uid="{2D4E7BCD-9AF3-4A2E-9658-E7135019CF14}" name="Onsite Lead Code Review" dataDxfId="51"/>
    <tableColumn id="17" xr3:uid="{0FAEB56B-6995-402D-8358-D107C6858EB8}" name="Code Review Comments, if any" dataDxfId="50"/>
    <tableColumn id="18" xr3:uid="{74090AE6-5BFC-482A-86C4-C494789BFC0C}" name="Client Code Review" dataDxfId="49"/>
    <tableColumn id="19" xr3:uid="{9FC87129-A5DC-4A5E-B2C0-4BF7B67D5C1B}" name="Approved Date" dataDxfId="48"/>
    <tableColumn id="20" xr3:uid="{2431606E-132A-4A6E-B7EE-F968B6A21517}" name="Code Review Comments, if any2" dataDxfId="47"/>
    <tableColumn id="21" xr3:uid="{472C7F02-7CC3-4802-BA38-2A081EEA17E7}" name="Internal PO -POV Comments" dataDxfId="46"/>
    <tableColumn id="22" xr3:uid="{6DF77971-D21C-41D6-A7B9-EEB66CF86182}" name="Client PO -POV Comments" dataDxfId="45"/>
    <tableColumn id="24" xr3:uid="{A6BDD949-43C3-45C8-A9BF-054AC4DFAFAE}" name="Comments" dataDxfId="44"/>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199695-ADC1-4103-B301-A7E048E477BC}" name="Table14" displayName="Table14" ref="A1:X10" totalsRowShown="0" headerRowDxfId="43" dataDxfId="42" tableBorderDxfId="41">
  <autoFilter ref="A1:X10" xr:uid="{9DC5C30B-A60C-4FFE-8316-8BFF998E3F7C}"/>
  <tableColumns count="24">
    <tableColumn id="1" xr3:uid="{93DA1292-FC44-492E-BF8F-A7278DCBA34C}" name="S.No" dataDxfId="40"/>
    <tableColumn id="2" xr3:uid="{86FA8FB6-E245-4CA2-8A70-12D9C3B7382B}" name="Sprint "/>
    <tableColumn id="3" xr3:uid="{486B1C94-904B-41B2-833A-4A36D5C17442}" name="Developer"/>
    <tableColumn id="4" xr3:uid="{3AAAF654-2EB7-4BA7-A489-A2B78ECA4998}" name="Story ID/Defect ID" dataDxfId="39"/>
    <tableColumn id="5" xr3:uid="{DF7E940D-2AB8-4EA7-B199-C2B50A1D940E}" name="Description"/>
    <tableColumn id="23" xr3:uid="{8E7A9F0B-E5E8-427F-B6E7-C43EF0A54CFA}" name="Status" dataDxfId="38"/>
    <tableColumn id="6" xr3:uid="{24C70C6B-D330-4306-AC1C-E576E928C9E6}" name="Estimated(hrs/sp)"/>
    <tableColumn id="7" xr3:uid="{23B7EDC7-E3FF-41E9-9563-33DC20F2E6F5}" name="Actual(hrs/sp)" dataDxfId="37"/>
    <tableColumn id="8" xr3:uid="{891E1F51-232C-4A28-8858-82B0757C84F4}" name="Unit testing" dataDxfId="36"/>
    <tableColumn id="9" xr3:uid="{D3449774-9659-4EAA-987C-0CAE19466F8A}" name="Peer Tested By" dataDxfId="35"/>
    <tableColumn id="10" xr3:uid="{95B8B205-DF25-4BF9-B4A7-CC96EEE7C781}" name="Peer Tested Defects, if any" dataDxfId="34"/>
    <tableColumn id="11" xr3:uid="{BCA94E69-A600-4AF0-8BAB-BA4A7343C53E}" name="Peer Reviewed By" dataDxfId="33"/>
    <tableColumn id="12" xr3:uid="{C35BAA7A-2683-4AA8-B260-DB8F2BE8C5F3}" name="Peer Code Review Comments, if any"/>
    <tableColumn id="13" xr3:uid="{92AF984C-BD40-4AED-A9D2-46C569744221}" name="PR Number/Link" dataDxfId="32" dataCellStyle="Hyperlink"/>
    <tableColumn id="14" xr3:uid="{D2B06667-9E29-46EA-AA18-E010AC5FE9B2}" name="PR Created Date" dataDxfId="31"/>
    <tableColumn id="15" xr3:uid="{A22016D1-F339-4A85-8826-CFEB32B43A9B}" name="PR Approved Date" dataDxfId="30"/>
    <tableColumn id="16" xr3:uid="{812ED5C5-E35A-4CD3-93DC-209F58188F59}" name="Onsite Lead Code Review" dataDxfId="29"/>
    <tableColumn id="17" xr3:uid="{2C455049-FA9F-40D9-B868-D93CD077C84A}" name="Code Review Comments, if any" dataDxfId="28"/>
    <tableColumn id="18" xr3:uid="{F63A13A9-6646-463D-BFB5-7F477091F195}" name="Client Code Review" dataDxfId="27"/>
    <tableColumn id="19" xr3:uid="{342679BC-FE32-4213-BA8B-533A404C57D1}" name="Approved Date" dataDxfId="26"/>
    <tableColumn id="20" xr3:uid="{39E84A39-A7BA-4AA0-928A-E8F867D840E1}" name="Code Review Comments, if any2" dataDxfId="25"/>
    <tableColumn id="21" xr3:uid="{4FE95263-CD6B-4E6B-8357-CAF42C3A6B4C}" name="Internal PO -POV Comments" dataDxfId="24"/>
    <tableColumn id="22" xr3:uid="{3F79BB37-FB72-43E0-A9D1-1EC19BFD592B}" name="Client PO -POV Comments" dataDxfId="23"/>
    <tableColumn id="24" xr3:uid="{B8E81746-FA43-444C-94F9-9081969E7BE6}" name="Comments" dataDxfId="22"/>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C5C30B-A60C-4FFE-8316-8BFF998E3F7C}" name="Table1" displayName="Table1" ref="A1:X8" totalsRowShown="0" headerRowDxfId="21" dataDxfId="20" tableBorderDxfId="19">
  <autoFilter ref="A1:X8" xr:uid="{9DC5C30B-A60C-4FFE-8316-8BFF998E3F7C}"/>
  <tableColumns count="24">
    <tableColumn id="1" xr3:uid="{2BEDC8A6-D0E4-4DB1-9D9D-50FCED0DF125}" name="S.No" dataDxfId="18"/>
    <tableColumn id="2" xr3:uid="{2A39201C-9C07-4059-8659-EEC2212DE51A}" name="Sprint "/>
    <tableColumn id="3" xr3:uid="{DEE5E85F-3D85-4EEA-8DD3-092318B85592}" name="Developer"/>
    <tableColumn id="4" xr3:uid="{F433BB44-3382-4C84-9D6F-7746F49AF207}" name="Story ID/Defect ID" dataDxfId="17"/>
    <tableColumn id="5" xr3:uid="{4F910DD5-453E-4617-B734-BF3A82FA1A2C}" name="Description"/>
    <tableColumn id="6" xr3:uid="{C9D4477B-E3E5-4B0D-B6C4-622769105A3F}" name="Estimated(hrs/sp)"/>
    <tableColumn id="7" xr3:uid="{6C1F0772-4D98-47AE-AE13-E1BE6C0AE54C}" name="Actual(hrs/sp)" dataDxfId="16"/>
    <tableColumn id="8" xr3:uid="{CFB8ACE3-44F2-47BB-A3D3-C6DA521D7E0B}" name="Unit testing" dataDxfId="15"/>
    <tableColumn id="9" xr3:uid="{8391A141-A622-488B-8BCD-79944A87CB9E}" name="Peer Tested By" dataDxfId="14"/>
    <tableColumn id="10" xr3:uid="{59C38926-D50E-4FE8-A98A-163219FE39F3}" name="Peer Tested Defects, if any" dataDxfId="13"/>
    <tableColumn id="11" xr3:uid="{4788C4B7-D997-4B5F-AF69-0DB5CD1430AA}" name="Peer Reviewed By" dataDxfId="12"/>
    <tableColumn id="12" xr3:uid="{44659DF7-595E-4C67-8EF5-91EE59626612}" name="Peer Code Review Comments, if any"/>
    <tableColumn id="13" xr3:uid="{448B82BF-02D9-4FCA-AC1E-BC5F9CFB4160}" name="PR Number/Link" dataDxfId="11" dataCellStyle="Hyperlink"/>
    <tableColumn id="14" xr3:uid="{0072BA20-4E6F-449C-9041-31293D96E158}" name="PR Created Date" dataDxfId="10"/>
    <tableColumn id="15" xr3:uid="{280085BE-52BF-44FC-9DC5-3CCDD471A940}" name="PR Approved Date" dataDxfId="9"/>
    <tableColumn id="16" xr3:uid="{24FBB5E8-5C5E-44CB-BB98-A478AD706CE1}" name="Onsite Lead Code Review" dataDxfId="8"/>
    <tableColumn id="17" xr3:uid="{F479AD09-DBDF-4B3A-A5EF-64C82CBA59AF}" name="Code Review Comments, if any" dataDxfId="7"/>
    <tableColumn id="18" xr3:uid="{9A18847D-3FEA-45F5-A104-DE3412BD2452}" name="Client Code Review" dataDxfId="6"/>
    <tableColumn id="19" xr3:uid="{F0B0F1CB-CB6E-4F66-B9A0-B25837E13410}" name="Approved Date" dataDxfId="5"/>
    <tableColumn id="20" xr3:uid="{CFEA7FFB-9954-4A4A-8A60-129790C0640A}" name="Code Review Comments, if any2" dataDxfId="4"/>
    <tableColumn id="21" xr3:uid="{6F9D35F8-0326-4F8F-932B-A5FB0AC7A522}" name="Internal PO -POV Comments" dataDxfId="3"/>
    <tableColumn id="22" xr3:uid="{18C6F79C-952B-48FB-8F67-99A9F5988F8C}" name="Client PO -POV Comments" dataDxfId="2"/>
    <tableColumn id="23" xr3:uid="{D0B7553F-61B3-4140-AF13-71FC2BC1C362}" name="Status" dataDxfId="1"/>
    <tableColumn id="24" xr3:uid="{BDA2CE8F-B570-4B57-B088-E25FB027E541}" name="Comments"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19:1e26e53c861e4b028fd5faa4b55c0a68@thread.v2" TargetMode="External"/><Relationship Id="rId1" Type="http://schemas.openxmlformats.org/officeDocument/2006/relationships/hyperlink" Target="mailto:irsath.kisar@relevantz.com;arivalagan.ramasamy@relevantz.com;saranya.palani@relevantz.com;murugesan.manthiramoorthy@relevantz.com;kannan.muthiah@relevantz.com;ubaithullah.shahjahan@relevantz.co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hyperlink" Target="https://dev.azure.com/greatergiving/Greater%20Giving/_git/Donor/pullrequest/9479" TargetMode="External"/><Relationship Id="rId2" Type="http://schemas.openxmlformats.org/officeDocument/2006/relationships/hyperlink" Target="https://dev.azure.com/greatergiving/Greater%20Giving/_git/Donor/pullrequest/9509" TargetMode="External"/><Relationship Id="rId1" Type="http://schemas.openxmlformats.org/officeDocument/2006/relationships/hyperlink" Target="https://dev.azure.com/greatergiving/Greater%20Giving/_git/Donor/pullrequest/9505" TargetMode="External"/><Relationship Id="rId6" Type="http://schemas.openxmlformats.org/officeDocument/2006/relationships/table" Target="../tables/table2.xml"/><Relationship Id="rId5" Type="http://schemas.openxmlformats.org/officeDocument/2006/relationships/hyperlink" Target="https://dev.azure.com/greatergiving/Greater%20Giving/_git/Donor/pullrequest/9536" TargetMode="External"/><Relationship Id="rId4" Type="http://schemas.openxmlformats.org/officeDocument/2006/relationships/hyperlink" Target="https://greatergiving.visualstudio.com/Greater%20Giving/_git/Donor/pullrequest/9530"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dev.azure.com/greatergiving/Greater%20Giving/_git/Donor/pullrequest/9479" TargetMode="External"/><Relationship Id="rId7" Type="http://schemas.openxmlformats.org/officeDocument/2006/relationships/table" Target="../tables/table3.xml"/><Relationship Id="rId2" Type="http://schemas.openxmlformats.org/officeDocument/2006/relationships/hyperlink" Target="https://dev.azure.com/greatergiving/Greater%20Giving/_git/Donor/pullrequest/9474" TargetMode="External"/><Relationship Id="rId1" Type="http://schemas.openxmlformats.org/officeDocument/2006/relationships/hyperlink" Target="https://dev.azure.com/greatergiving/Greater%20Giving/_git/Donor/pullrequest/9420" TargetMode="External"/><Relationship Id="rId6" Type="http://schemas.openxmlformats.org/officeDocument/2006/relationships/hyperlink" Target="https://dev.azure.com/greatergiving/Greater%20Giving/_git/Donor/pullrequest/9470" TargetMode="External"/><Relationship Id="rId5" Type="http://schemas.openxmlformats.org/officeDocument/2006/relationships/hyperlink" Target="https://dev.azure.com/greatergiving/Greater%20Giving/_git/Donor/pullrequest/9483" TargetMode="External"/><Relationship Id="rId4" Type="http://schemas.openxmlformats.org/officeDocument/2006/relationships/hyperlink" Target="https://dev.azure.com/greatergiving/Greater%20Giving/_git/Donor/pullrequest/9488" TargetMode="External"/></Relationships>
</file>

<file path=xl/worksheets/_rels/sheet9.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hyperlink" Target="https://dev.azure.com/greatergiving/Greater%20Giving/_git/Donor/pullrequest/9420" TargetMode="External"/><Relationship Id="rId7" Type="http://schemas.openxmlformats.org/officeDocument/2006/relationships/hyperlink" Target="https://dev.azure.com/greatergiving/Greater%20Giving/_git/Donor/pullrequest/9434" TargetMode="External"/><Relationship Id="rId2" Type="http://schemas.openxmlformats.org/officeDocument/2006/relationships/hyperlink" Target="https://dev.azure.com/greatergiving/Greater%20Giving/_git/Donor/pullrequest/9415" TargetMode="External"/><Relationship Id="rId1" Type="http://schemas.openxmlformats.org/officeDocument/2006/relationships/hyperlink" Target="https://dev.azure.com/greatergiving/Greater%20Giving/_git/Donor/pullrequest/9408" TargetMode="External"/><Relationship Id="rId6" Type="http://schemas.openxmlformats.org/officeDocument/2006/relationships/hyperlink" Target="https://dev.azure.com/greatergiving/Greater%20Giving/_git/Donor/pullrequest/9432" TargetMode="External"/><Relationship Id="rId5" Type="http://schemas.openxmlformats.org/officeDocument/2006/relationships/hyperlink" Target="https://dev.azure.com/greatergiving/Greater%20Giving/_git/Donor/pullrequest/9417" TargetMode="External"/><Relationship Id="rId4" Type="http://schemas.openxmlformats.org/officeDocument/2006/relationships/hyperlink" Target="https://dev.azure.com/greatergiving/Greater%20Giving/_git/Donor/pullrequest/9427"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dev.azure.com/greatergiving/Greater%20Giving/_git/Donor/pullrequest/9382" TargetMode="External"/><Relationship Id="rId7" Type="http://schemas.openxmlformats.org/officeDocument/2006/relationships/table" Target="../tables/table5.xml"/><Relationship Id="rId2" Type="http://schemas.openxmlformats.org/officeDocument/2006/relationships/hyperlink" Target="https://dev.azure.com/greatergiving/Greater%20Giving/_git/Donor/pullrequest/9366" TargetMode="External"/><Relationship Id="rId1" Type="http://schemas.openxmlformats.org/officeDocument/2006/relationships/hyperlink" Target="https://dev.azure.com/greatergiving/Greater%20Giving/_git/Donor/pullrequest/9366" TargetMode="External"/><Relationship Id="rId6" Type="http://schemas.openxmlformats.org/officeDocument/2006/relationships/hyperlink" Target="https://greatergiving.visualstudio.com/Greater%20Giving/_git/Donor/pullrequest/9396" TargetMode="External"/><Relationship Id="rId5" Type="http://schemas.openxmlformats.org/officeDocument/2006/relationships/hyperlink" Target="https://dev.azure.com/greatergiving/Greater%20Giving/_git/Donor/pullrequest/9401" TargetMode="External"/><Relationship Id="rId4" Type="http://schemas.openxmlformats.org/officeDocument/2006/relationships/hyperlink" Target="https://dev.azure.com/greatergiving/Greater%20Giving/_git/Donor/pullrequest/9390" TargetMode="External"/></Relationships>
</file>

<file path=xl/worksheets/_rels/sheet12.xml.rels><?xml version="1.0" encoding="UTF-8" standalone="yes"?>
<Relationships xmlns="http://schemas.openxmlformats.org/package/2006/relationships"><Relationship Id="rId8" Type="http://schemas.openxmlformats.org/officeDocument/2006/relationships/table" Target="../tables/table6.xml"/><Relationship Id="rId3" Type="http://schemas.openxmlformats.org/officeDocument/2006/relationships/hyperlink" Target="https://dev.azure.com/greatergiving/Greater%20Giving/_git/Donor/pullrequest/9307" TargetMode="External"/><Relationship Id="rId7" Type="http://schemas.openxmlformats.org/officeDocument/2006/relationships/hyperlink" Target="https://dev.azure.com/greatergiving/Greater%20Giving/_git/Donor/pullrequest/9366" TargetMode="External"/><Relationship Id="rId2" Type="http://schemas.openxmlformats.org/officeDocument/2006/relationships/hyperlink" Target="https://dev.azure.com/greatergiving/Greater%20Giving/_git/Donor/pullrequest/9331" TargetMode="External"/><Relationship Id="rId1" Type="http://schemas.openxmlformats.org/officeDocument/2006/relationships/hyperlink" Target="https://dev.azure.com/greatergiving/Greater%20Giving/_git/Donor/pullrequest/9331" TargetMode="External"/><Relationship Id="rId6" Type="http://schemas.openxmlformats.org/officeDocument/2006/relationships/hyperlink" Target="https://dev.azure.com/greatergiving/Greater%20Giving/_git/Donor/pullrequest/9366" TargetMode="External"/><Relationship Id="rId5" Type="http://schemas.openxmlformats.org/officeDocument/2006/relationships/hyperlink" Target="https://greatergiving.visualstudio.com/Greater%20Giving/_git/Donor/pullrequest/9356" TargetMode="External"/><Relationship Id="rId4" Type="http://schemas.openxmlformats.org/officeDocument/2006/relationships/hyperlink" Target="https://dev.azure.com/greatergiving/Greater%20Giving/_git/Donor/pullrequest/9355"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dev.azure.com/greatergiving/Greater%20Giving/_git/Donor/pullrequest/9307" TargetMode="External"/><Relationship Id="rId2" Type="http://schemas.openxmlformats.org/officeDocument/2006/relationships/hyperlink" Target="https://dev.azure.com/greatergiving/Greater%20Giving/_git/Donor/pullrequest/9311" TargetMode="External"/><Relationship Id="rId1" Type="http://schemas.openxmlformats.org/officeDocument/2006/relationships/hyperlink" Target="https://dev.azure.com/greatergiving/Greater%20Giving/_git/Donor/pullrequest/9297" TargetMode="External"/><Relationship Id="rId5" Type="http://schemas.openxmlformats.org/officeDocument/2006/relationships/table" Target="../tables/table7.xml"/><Relationship Id="rId4" Type="http://schemas.openxmlformats.org/officeDocument/2006/relationships/hyperlink" Target="https://dev.azure.com/greatergiving/Greater%20Giving/_git/Donor/pullrequest/9274"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dev.azure.com/greatergiving/Greater%20Giving/_git/Donor/pullrequest/9254" TargetMode="External"/><Relationship Id="rId2" Type="http://schemas.openxmlformats.org/officeDocument/2006/relationships/hyperlink" Target="https://dev.azure.com/greatergiving/Greater%20Giving/_git/Donor/pullrequest/9249" TargetMode="External"/><Relationship Id="rId1" Type="http://schemas.openxmlformats.org/officeDocument/2006/relationships/hyperlink" Target="https://greatergiving.visualstudio.com/Greater%20Giving/_git/Donor/pullrequest/9248" TargetMode="External"/><Relationship Id="rId6" Type="http://schemas.openxmlformats.org/officeDocument/2006/relationships/table" Target="../tables/table8.xml"/><Relationship Id="rId5" Type="http://schemas.openxmlformats.org/officeDocument/2006/relationships/hyperlink" Target="https://dev.azure.com/greatergiving/Greater%20Giving/_git/Donor/pullrequest/9274" TargetMode="External"/><Relationship Id="rId4" Type="http://schemas.openxmlformats.org/officeDocument/2006/relationships/hyperlink" Target="https://dev.azure.com/greatergiving/Greater%20Giving/_git/Donor/pullrequest/9254"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dev.azure.com/greatergiving/Greater%20Giving/_git/Donor/pullrequest/9215" TargetMode="External"/><Relationship Id="rId7" Type="http://schemas.openxmlformats.org/officeDocument/2006/relationships/table" Target="../tables/table9.xml"/><Relationship Id="rId2" Type="http://schemas.openxmlformats.org/officeDocument/2006/relationships/hyperlink" Target="https://dev.azure.com/greatergiving/Greater%20Giving/_git/Donor/pullrequest/9215" TargetMode="External"/><Relationship Id="rId1" Type="http://schemas.openxmlformats.org/officeDocument/2006/relationships/hyperlink" Target="https://dev.azure.com/greatergiving/Greater%20Giving/_git/Donor/pullrequest/9176" TargetMode="External"/><Relationship Id="rId6" Type="http://schemas.openxmlformats.org/officeDocument/2006/relationships/hyperlink" Target="https://dev.azure.com/greatergiving/Greater%20Giving/_git/Donor/pullrequest/9215" TargetMode="External"/><Relationship Id="rId5" Type="http://schemas.openxmlformats.org/officeDocument/2006/relationships/hyperlink" Target="https://dev.azure.com/greatergiving/Greater%20Giving/_git/Donor/pullrequest/9215" TargetMode="External"/><Relationship Id="rId4" Type="http://schemas.openxmlformats.org/officeDocument/2006/relationships/hyperlink" Target="https://dev.azure.com/greatergiving/Greater%20Giving/_git/Donor/pullrequest/9215"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greatergiving.visualstudio.com/Greater%20Giving/_git/Donor/pullrequest/9144" TargetMode="External"/><Relationship Id="rId3" Type="http://schemas.openxmlformats.org/officeDocument/2006/relationships/hyperlink" Target="https://dev.azure.com/greatergiving/Greater%20Giving/_git/Donor/pullrequest/9129" TargetMode="External"/><Relationship Id="rId7" Type="http://schemas.openxmlformats.org/officeDocument/2006/relationships/hyperlink" Target="https://dev.azure.com/greatergiving/Greater%20Giving/_git/Donor/pullrequest/9176" TargetMode="External"/><Relationship Id="rId2" Type="http://schemas.openxmlformats.org/officeDocument/2006/relationships/hyperlink" Target="https://dev.azure.com/greatergiving/Greater%20Giving/_git/Donor/pullrequest/9129" TargetMode="External"/><Relationship Id="rId1" Type="http://schemas.openxmlformats.org/officeDocument/2006/relationships/hyperlink" Target="https://dev.azure.com/greatergiving/Greater%20Giving/_git/Donor/pullrequest/9128" TargetMode="External"/><Relationship Id="rId6" Type="http://schemas.openxmlformats.org/officeDocument/2006/relationships/hyperlink" Target="https://dev.azure.com/greatergiving/Greater%20Giving/_git/Donor/pullrequest/9107" TargetMode="External"/><Relationship Id="rId5" Type="http://schemas.openxmlformats.org/officeDocument/2006/relationships/hyperlink" Target="https://dev.azure.com/greatergiving/Greater%20Giving/_git/Donor/pullrequest/9108" TargetMode="External"/><Relationship Id="rId4" Type="http://schemas.openxmlformats.org/officeDocument/2006/relationships/hyperlink" Target="https://dev.azure.com/greatergiving/Greater%20Giving/_git/Donor/pullrequest/9129" TargetMode="External"/><Relationship Id="rId9" Type="http://schemas.openxmlformats.org/officeDocument/2006/relationships/table" Target="../tables/table10.xml"/></Relationships>
</file>

<file path=xl/worksheets/_rels/sheet23.xml.rels><?xml version="1.0" encoding="UTF-8" standalone="yes"?>
<Relationships xmlns="http://schemas.openxmlformats.org/package/2006/relationships"><Relationship Id="rId8" Type="http://schemas.openxmlformats.org/officeDocument/2006/relationships/hyperlink" Target="https://dev.azure.com/greatergiving/Greater%20Giving/_git/Donor/pullrequest/9108" TargetMode="External"/><Relationship Id="rId3" Type="http://schemas.openxmlformats.org/officeDocument/2006/relationships/hyperlink" Target="https://dev.azure.com/greatergiving/Greater%20Giving/_git/Donor/pullrequest/9093" TargetMode="External"/><Relationship Id="rId7" Type="http://schemas.openxmlformats.org/officeDocument/2006/relationships/hyperlink" Target="https://greatergiving.visualstudio.com/Greater%20Giving/_git/Donor/pullrequest/9099" TargetMode="External"/><Relationship Id="rId2" Type="http://schemas.openxmlformats.org/officeDocument/2006/relationships/hyperlink" Target="https://dev.azure.com/greatergiving/Greater%20Giving/_git/Donor/pullrequest/9085" TargetMode="External"/><Relationship Id="rId1" Type="http://schemas.openxmlformats.org/officeDocument/2006/relationships/hyperlink" Target="https://dev.azure.com/greatergiving/Greater%20Giving/_git/Donor/pullrequest/9085" TargetMode="External"/><Relationship Id="rId6" Type="http://schemas.openxmlformats.org/officeDocument/2006/relationships/hyperlink" Target="https://dev.azure.com/greatergiving/Greater%20Giving/_git/Donor/pullrequest/9107" TargetMode="External"/><Relationship Id="rId5" Type="http://schemas.openxmlformats.org/officeDocument/2006/relationships/hyperlink" Target="https://dev.azure.com/greatergiving/Greater%20Giving/_git/Donor/pullrequest/9103" TargetMode="External"/><Relationship Id="rId4" Type="http://schemas.openxmlformats.org/officeDocument/2006/relationships/hyperlink" Target="https://dev.azure.com/greatergiving/Greater%20Giving/_git/Donor/pullrequest/9096" TargetMode="External"/><Relationship Id="rId9" Type="http://schemas.openxmlformats.org/officeDocument/2006/relationships/table" Target="../tables/table11.xml"/></Relationships>
</file>

<file path=xl/worksheets/_rels/sheet24.xml.rels><?xml version="1.0" encoding="UTF-8" standalone="yes"?>
<Relationships xmlns="http://schemas.openxmlformats.org/package/2006/relationships"><Relationship Id="rId2" Type="http://schemas.openxmlformats.org/officeDocument/2006/relationships/hyperlink" Target="https://greatergiving.atlassian.net/browse/DON-153" TargetMode="External"/><Relationship Id="rId1" Type="http://schemas.openxmlformats.org/officeDocument/2006/relationships/hyperlink" Target="https://greatergiving.atlassian.net/browse/DON-164"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https://dev.azure.com/greatergiving/Greater%20Giving/_git/Donor/pullrequest/9047" TargetMode="External"/><Relationship Id="rId7" Type="http://schemas.openxmlformats.org/officeDocument/2006/relationships/table" Target="../tables/table12.xml"/><Relationship Id="rId2" Type="http://schemas.openxmlformats.org/officeDocument/2006/relationships/hyperlink" Target="https://dev.azure.com/greatergiving/Greater%20Giving/_git/Donor/pullrequest/9044" TargetMode="External"/><Relationship Id="rId1" Type="http://schemas.openxmlformats.org/officeDocument/2006/relationships/hyperlink" Target="https://dev.azure.com/greatergiving/Greater%20Giving/_git/Donor/pullrequest/9043" TargetMode="External"/><Relationship Id="rId6" Type="http://schemas.openxmlformats.org/officeDocument/2006/relationships/hyperlink" Target="https://dev.azure.com/greatergiving/Greater%20Giving/_git/Donor/pullrequest/9070" TargetMode="External"/><Relationship Id="rId5" Type="http://schemas.openxmlformats.org/officeDocument/2006/relationships/hyperlink" Target="https://dev.azure.com/greatergiving/Greater%20Giving/_git/Donor/pullrequest/9073" TargetMode="External"/><Relationship Id="rId4" Type="http://schemas.openxmlformats.org/officeDocument/2006/relationships/hyperlink" Target="https://dev.azure.com/greatergiving/Greater%20Giving/_git/Donor/pullrequest/9060" TargetMode="External"/></Relationships>
</file>

<file path=xl/worksheets/_rels/sheet27.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hyperlink" Target="https://dev.azure.com/greatergiving/Greater%20Giving/_git/Donor/pullrequest/9003" TargetMode="External"/><Relationship Id="rId7" Type="http://schemas.openxmlformats.org/officeDocument/2006/relationships/hyperlink" Target="https://dev.azure.com/greatergiving/Greater%20Giving/_git/Donor/pullrequest/9007" TargetMode="External"/><Relationship Id="rId2" Type="http://schemas.openxmlformats.org/officeDocument/2006/relationships/hyperlink" Target="https://dev.azure.com/greatergiving/Greater%20Giving/_git/Donor/pullrequest/8995" TargetMode="External"/><Relationship Id="rId1" Type="http://schemas.openxmlformats.org/officeDocument/2006/relationships/hyperlink" Target="https://dev.azure.com/greatergiving/Greater%20Giving/_git/Donor/pullrequest/8989" TargetMode="External"/><Relationship Id="rId6" Type="http://schemas.openxmlformats.org/officeDocument/2006/relationships/hyperlink" Target="https://dev.azure.com/greatergiving/Greater%20Giving/_git/Donor/pullrequest/9016" TargetMode="External"/><Relationship Id="rId5" Type="http://schemas.openxmlformats.org/officeDocument/2006/relationships/hyperlink" Target="https://dev.azure.com/greatergiving/Greater%20Giving/_git/Donor/pullrequest/9023" TargetMode="External"/><Relationship Id="rId4" Type="http://schemas.openxmlformats.org/officeDocument/2006/relationships/hyperlink" Target="https://dev.azure.com/greatergiving/Greater%20Giving/_git/Donor/pullrequest/9010" TargetMode="External"/></Relationships>
</file>

<file path=xl/worksheets/_rels/sheet29.xml.rels><?xml version="1.0" encoding="UTF-8" standalone="yes"?>
<Relationships xmlns="http://schemas.openxmlformats.org/package/2006/relationships"><Relationship Id="rId8" Type="http://schemas.openxmlformats.org/officeDocument/2006/relationships/table" Target="../tables/table14.xml"/><Relationship Id="rId3" Type="http://schemas.openxmlformats.org/officeDocument/2006/relationships/hyperlink" Target="https://dev.azure.com/greatergiving/Greater%20Giving/_git/Donor/pullrequest/8961" TargetMode="External"/><Relationship Id="rId7" Type="http://schemas.openxmlformats.org/officeDocument/2006/relationships/hyperlink" Target="https://dev.azure.com/greatergiving/Greater%20Giving/_git/Donor/pullrequest/8968" TargetMode="External"/><Relationship Id="rId2" Type="http://schemas.openxmlformats.org/officeDocument/2006/relationships/hyperlink" Target="https://greatergiving.visualstudio.com/Greater%20Giving/_git/Donor/pullrequest/8950" TargetMode="External"/><Relationship Id="rId1" Type="http://schemas.openxmlformats.org/officeDocument/2006/relationships/hyperlink" Target="https://greatergiving.visualstudio.com/Greater%20Giving/_git/Donor/pullrequest/8951" TargetMode="External"/><Relationship Id="rId6" Type="http://schemas.openxmlformats.org/officeDocument/2006/relationships/hyperlink" Target="https://greatergiving.visualstudio.com/Greater%20Giving/_git/Donor/pullrequest/8975" TargetMode="External"/><Relationship Id="rId5" Type="http://schemas.openxmlformats.org/officeDocument/2006/relationships/hyperlink" Target="https://dev.azure.com/greatergiving/Greater%20Giving/_git/Donor/pullrequest/8972" TargetMode="External"/><Relationship Id="rId4" Type="http://schemas.openxmlformats.org/officeDocument/2006/relationships/hyperlink" Target="https://dev.azure.com/greatergiving/Greater%20Giving/_git/Donor/pullrequest/8966" TargetMode="External"/></Relationships>
</file>

<file path=xl/worksheets/_rels/sheet31.xml.rels><?xml version="1.0" encoding="UTF-8" standalone="yes"?>
<Relationships xmlns="http://schemas.openxmlformats.org/package/2006/relationships"><Relationship Id="rId3" Type="http://schemas.openxmlformats.org/officeDocument/2006/relationships/hyperlink" Target="https://greatergiving.visualstudio.com/Greater%20Giving/_git/Donor/pullrequest/8943" TargetMode="External"/><Relationship Id="rId2" Type="http://schemas.openxmlformats.org/officeDocument/2006/relationships/hyperlink" Target="https://dev.azure.com/greatergiving/Greater%20Giving/_git/Donor/pullrequest/8931" TargetMode="External"/><Relationship Id="rId1" Type="http://schemas.openxmlformats.org/officeDocument/2006/relationships/hyperlink" Target="https://dev.azure.com/greatergiving/Greater%20Giving/_git/Donor/pullrequest/8911" TargetMode="External"/><Relationship Id="rId4" Type="http://schemas.openxmlformats.org/officeDocument/2006/relationships/table" Target="../tables/table15.xml"/></Relationships>
</file>

<file path=xl/worksheets/_rels/sheet33.xml.rels><?xml version="1.0" encoding="UTF-8" standalone="yes"?>
<Relationships xmlns="http://schemas.openxmlformats.org/package/2006/relationships"><Relationship Id="rId8" Type="http://schemas.openxmlformats.org/officeDocument/2006/relationships/hyperlink" Target="https://greatergiving.visualstudio.com/Greater%20Giving/_git/Donor/pullrequest/8911" TargetMode="External"/><Relationship Id="rId3" Type="http://schemas.openxmlformats.org/officeDocument/2006/relationships/hyperlink" Target="https://dev.azure.com/greatergiving/Greater%20Giving/_git/Donor/pullrequest/8898" TargetMode="External"/><Relationship Id="rId7" Type="http://schemas.openxmlformats.org/officeDocument/2006/relationships/hyperlink" Target="https://greatergiving.visualstudio.com/Greater%20Giving/_git/Donor/pullrequest/8880" TargetMode="External"/><Relationship Id="rId2" Type="http://schemas.openxmlformats.org/officeDocument/2006/relationships/hyperlink" Target="https://dev.azure.com/greatergiving/Greater%20Giving/_git/Donor/pullrequest/8885" TargetMode="External"/><Relationship Id="rId1" Type="http://schemas.openxmlformats.org/officeDocument/2006/relationships/hyperlink" Target="https://dev.azure.com/greatergiving/Greater%20Giving/_git/Donor/pullrequest/8862" TargetMode="External"/><Relationship Id="rId6" Type="http://schemas.openxmlformats.org/officeDocument/2006/relationships/hyperlink" Target="https://dev.azure.com/greatergiving/Greater%20Giving/_git/Donor/pullrequest/8900" TargetMode="External"/><Relationship Id="rId5" Type="http://schemas.openxmlformats.org/officeDocument/2006/relationships/hyperlink" Target="https://dev.azure.com/greatergiving/Greater%20Giving/_git/Donor/pullrequest/8889" TargetMode="External"/><Relationship Id="rId4" Type="http://schemas.openxmlformats.org/officeDocument/2006/relationships/hyperlink" Target="https://dev.azure.com/greatergiving/Greater%20Giving/_git/Donor/pullrequest/8899" TargetMode="External"/><Relationship Id="rId9" Type="http://schemas.openxmlformats.org/officeDocument/2006/relationships/table" Target="../tables/table16.xml"/></Relationships>
</file>

<file path=xl/worksheets/_rels/sheet34.xml.rels><?xml version="1.0" encoding="UTF-8" standalone="yes"?>
<Relationships xmlns="http://schemas.openxmlformats.org/package/2006/relationships"><Relationship Id="rId3" Type="http://schemas.openxmlformats.org/officeDocument/2006/relationships/hyperlink" Target="https://dev.azure.com/greatergiving/Greater%20Giving/_git/Donor/pullrequest/8862" TargetMode="External"/><Relationship Id="rId2" Type="http://schemas.openxmlformats.org/officeDocument/2006/relationships/hyperlink" Target="https://greatergiving.visualstudio.com/Greater%20Giving/_git/Donor/pullrequest/8857" TargetMode="External"/><Relationship Id="rId1" Type="http://schemas.openxmlformats.org/officeDocument/2006/relationships/hyperlink" Target="https://greatergiving.visualstudio.com/Greater%20Giving/_git/Donor/pullrequest/8855" TargetMode="External"/><Relationship Id="rId5" Type="http://schemas.openxmlformats.org/officeDocument/2006/relationships/table" Target="../tables/table17.xml"/><Relationship Id="rId4" Type="http://schemas.openxmlformats.org/officeDocument/2006/relationships/hyperlink" Target="https://dev.azure.com/greatergiving/Greater%20Giving/_git/Donor/pullrequest/8841" TargetMode="External"/></Relationships>
</file>

<file path=xl/worksheets/_rels/sheet37.xml.rels><?xml version="1.0" encoding="UTF-8" standalone="yes"?>
<Relationships xmlns="http://schemas.openxmlformats.org/package/2006/relationships"><Relationship Id="rId3" Type="http://schemas.openxmlformats.org/officeDocument/2006/relationships/hyperlink" Target="https://dev.azure.com/greatergiving/Greater%20Giving/_git/Donor/pullrequest/8800" TargetMode="External"/><Relationship Id="rId2" Type="http://schemas.openxmlformats.org/officeDocument/2006/relationships/hyperlink" Target="https://dev.azure.com/greatergiving/Greater%20Giving/_git/Donor/pullrequest/8765" TargetMode="External"/><Relationship Id="rId1" Type="http://schemas.openxmlformats.org/officeDocument/2006/relationships/hyperlink" Target="https://dev.azure.com/greatergiving/Greater%20Giving/_git/Donor/pullrequest/8652" TargetMode="External"/><Relationship Id="rId5" Type="http://schemas.openxmlformats.org/officeDocument/2006/relationships/table" Target="../tables/table18.xml"/><Relationship Id="rId4" Type="http://schemas.openxmlformats.org/officeDocument/2006/relationships/hyperlink" Target="https://dev.azure.com/greatergiving/Greater%20Giving/_git/Donor/pullrequest/8789" TargetMode="External"/></Relationships>
</file>

<file path=xl/worksheets/_rels/sheet39.xml.rels><?xml version="1.0" encoding="UTF-8" standalone="yes"?>
<Relationships xmlns="http://schemas.openxmlformats.org/package/2006/relationships"><Relationship Id="rId3" Type="http://schemas.openxmlformats.org/officeDocument/2006/relationships/hyperlink" Target="https://dev.azure.com/greatergiving/Greater%20Giving/_git/Donor/pullrequest/8765" TargetMode="External"/><Relationship Id="rId2" Type="http://schemas.openxmlformats.org/officeDocument/2006/relationships/hyperlink" Target="https://dev.azure.com/greatergiving/Greater%20Giving/_git/Donor/pullrequest/8758" TargetMode="External"/><Relationship Id="rId1" Type="http://schemas.openxmlformats.org/officeDocument/2006/relationships/hyperlink" Target="https://dev.azure.com/greatergiving/Greater%20Giving/_git/Donor/pullrequest/8652" TargetMode="External"/><Relationship Id="rId4" Type="http://schemas.openxmlformats.org/officeDocument/2006/relationships/table" Target="../tables/table19.xml"/></Relationships>
</file>

<file path=xl/worksheets/_rels/sheet41.xml.rels><?xml version="1.0" encoding="UTF-8" standalone="yes"?>
<Relationships xmlns="http://schemas.openxmlformats.org/package/2006/relationships"><Relationship Id="rId3" Type="http://schemas.openxmlformats.org/officeDocument/2006/relationships/hyperlink" Target="https://dev.azure.com/greatergiving/Greater%20Giving/_git/Donor/pullrequest/8652" TargetMode="External"/><Relationship Id="rId2" Type="http://schemas.openxmlformats.org/officeDocument/2006/relationships/hyperlink" Target="https://dev.azure.com/greatergiving/Greater%20Giving/_git/Donor/pullrequest/8730" TargetMode="External"/><Relationship Id="rId1" Type="http://schemas.openxmlformats.org/officeDocument/2006/relationships/hyperlink" Target="https://dev.azure.com/greatergiving/Greater%20Giving/_git/Donor/pullrequest/8707" TargetMode="External"/><Relationship Id="rId5" Type="http://schemas.openxmlformats.org/officeDocument/2006/relationships/table" Target="../tables/table20.xml"/><Relationship Id="rId4" Type="http://schemas.openxmlformats.org/officeDocument/2006/relationships/hyperlink" Target="https://docs.google.com/document/d/1emYAKq7LFpFkX2vNgUscjEsB2ZTcFKVFAx1a2NOpF0E/edit?tab=t.0" TargetMode="External"/></Relationships>
</file>

<file path=xl/worksheets/_rels/sheet43.xml.rels><?xml version="1.0" encoding="UTF-8" standalone="yes"?>
<Relationships xmlns="http://schemas.openxmlformats.org/package/2006/relationships"><Relationship Id="rId3" Type="http://schemas.openxmlformats.org/officeDocument/2006/relationships/hyperlink" Target="https://dev.azure.com/greatergiving/Greater%20Giving/_git/Donor/pullrequest/8693" TargetMode="External"/><Relationship Id="rId2" Type="http://schemas.openxmlformats.org/officeDocument/2006/relationships/hyperlink" Target="https://dev.azure.com/greatergiving/Greater%20Giving/_git/Donor/pullrequest/8652" TargetMode="External"/><Relationship Id="rId1" Type="http://schemas.openxmlformats.org/officeDocument/2006/relationships/hyperlink" Target="https://dev.azure.com/greatergiving/Greater%20Giving/_git/Donor/pullrequest/8653" TargetMode="External"/><Relationship Id="rId4" Type="http://schemas.openxmlformats.org/officeDocument/2006/relationships/table" Target="../tables/table21.xml"/></Relationships>
</file>

<file path=xl/worksheets/_rels/sheet45.xml.rels><?xml version="1.0" encoding="UTF-8" standalone="yes"?>
<Relationships xmlns="http://schemas.openxmlformats.org/package/2006/relationships"><Relationship Id="rId3" Type="http://schemas.openxmlformats.org/officeDocument/2006/relationships/hyperlink" Target="https://dev.azure.com/greatergiving/Greater%20Giving/_git/Donor/pullrequest/8652" TargetMode="External"/><Relationship Id="rId2" Type="http://schemas.openxmlformats.org/officeDocument/2006/relationships/hyperlink" Target="https://dev.azure.com/greatergiving/Greater%20Giving/_git/Donor/pullrequest/8631" TargetMode="External"/><Relationship Id="rId1" Type="http://schemas.openxmlformats.org/officeDocument/2006/relationships/hyperlink" Target="https://dev.azure.com/greatergiving/Greater%20Giving/_git/Donor/pullrequest/8599" TargetMode="External"/><Relationship Id="rId6" Type="http://schemas.openxmlformats.org/officeDocument/2006/relationships/table" Target="../tables/table22.xml"/><Relationship Id="rId5" Type="http://schemas.openxmlformats.org/officeDocument/2006/relationships/hyperlink" Target="https://greatergiving.visualstudio.com/Greater%20Giving/_git/Donor/pullrequest/8657" TargetMode="External"/><Relationship Id="rId4" Type="http://schemas.openxmlformats.org/officeDocument/2006/relationships/hyperlink" Target="https://dev.azure.com/greatergiving/Greater%20Giving/_git/Donor/pullrequest/8653"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https://dev.azure.com/greatergiving/Greater%20Giving/_git/Donor/pullrequest/8607" TargetMode="External"/><Relationship Id="rId2" Type="http://schemas.openxmlformats.org/officeDocument/2006/relationships/hyperlink" Target="https://dev.azure.com/greatergiving/Greater%20Giving/_git/Donor/pullrequest/8599" TargetMode="External"/><Relationship Id="rId1" Type="http://schemas.openxmlformats.org/officeDocument/2006/relationships/hyperlink" Target="https://dev.azure.com/greatergiving/Greater%20Giving/_git/Donor/pullrequest/8585" TargetMode="External"/><Relationship Id="rId4" Type="http://schemas.openxmlformats.org/officeDocument/2006/relationships/table" Target="../tables/table23.xml"/></Relationships>
</file>

<file path=xl/worksheets/_rels/sheet49.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hyperlink" Target="https://greatergiving.visualstudio.com/Greater%20Giving/_git/OnlineBidding/pullrequest/8545" TargetMode="External"/><Relationship Id="rId1" Type="http://schemas.openxmlformats.org/officeDocument/2006/relationships/hyperlink" Target="https://greatergiving.visualstudio.com/Greater%20Giving/_git/OnlineBidding/pullrequest/8522" TargetMode="External"/></Relationships>
</file>

<file path=xl/worksheets/_rels/sheet50.xml.rels><?xml version="1.0" encoding="UTF-8" standalone="yes"?>
<Relationships xmlns="http://schemas.openxmlformats.org/package/2006/relationships"><Relationship Id="rId3" Type="http://schemas.openxmlformats.org/officeDocument/2006/relationships/hyperlink" Target="https://greatergiving.visualstudio.com/Greater%20Giving/_git/Donor/pullrequest/8585" TargetMode="External"/><Relationship Id="rId2" Type="http://schemas.openxmlformats.org/officeDocument/2006/relationships/hyperlink" Target="https://greatergiving.visualstudio.com/Greater%20Giving/_git/Donor/pullrequest/8587" TargetMode="External"/><Relationship Id="rId1" Type="http://schemas.openxmlformats.org/officeDocument/2006/relationships/hyperlink" Target="https://dev.azure.com/greatergiving/Greater%20Giving/_git/Donor/pullrequest/8559" TargetMode="External"/><Relationship Id="rId4" Type="http://schemas.openxmlformats.org/officeDocument/2006/relationships/table" Target="../tables/table25.xml"/></Relationships>
</file>

<file path=xl/worksheets/_rels/sheet52.xml.rels><?xml version="1.0" encoding="UTF-8" standalone="yes"?>
<Relationships xmlns="http://schemas.openxmlformats.org/package/2006/relationships"><Relationship Id="rId3" Type="http://schemas.openxmlformats.org/officeDocument/2006/relationships/hyperlink" Target="https://dev.azure.com/greatergiving/Greater%20Giving/_git/OP/pullrequest/8509" TargetMode="External"/><Relationship Id="rId2" Type="http://schemas.openxmlformats.org/officeDocument/2006/relationships/hyperlink" Target="https://dev.azure.com/greatergiving/Greater%20Giving/_git/OP/pullrequest/8501" TargetMode="External"/><Relationship Id="rId1" Type="http://schemas.openxmlformats.org/officeDocument/2006/relationships/hyperlink" Target="https://greatergiving.visualstudio.com/Greater%20Giving/_git/OnlineBidding/pullrequest/8480" TargetMode="External"/><Relationship Id="rId5" Type="http://schemas.openxmlformats.org/officeDocument/2006/relationships/table" Target="../tables/table26.xml"/><Relationship Id="rId4" Type="http://schemas.openxmlformats.org/officeDocument/2006/relationships/hyperlink" Target="https://dev.azure.com/greatergiving/Greater%20Giving/_git/OnlineBidding/pullrequest/8507" TargetMode="External"/></Relationships>
</file>

<file path=xl/worksheets/_rels/sheet55.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8471" TargetMode="External"/><Relationship Id="rId2" Type="http://schemas.openxmlformats.org/officeDocument/2006/relationships/hyperlink" Target="https://dev.azure.com/greatergiving/Greater%20Giving/_git/OnlineBidding/pullrequest/8467" TargetMode="External"/><Relationship Id="rId1" Type="http://schemas.openxmlformats.org/officeDocument/2006/relationships/hyperlink" Target="https://greatergiving.visualstudio.com/Greater%20Giving/_git/OnlineBidding/pullrequest/8439" TargetMode="External"/><Relationship Id="rId4" Type="http://schemas.openxmlformats.org/officeDocument/2006/relationships/table" Target="../tables/table27.xml"/></Relationships>
</file>

<file path=xl/worksheets/_rels/sheet57.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hyperlink" Target="https://greatergiving.visualstudio.com/Greater%20Giving/_git/OnlineBidding/pullrequest/8401" TargetMode="External"/><Relationship Id="rId1" Type="http://schemas.openxmlformats.org/officeDocument/2006/relationships/hyperlink" Target="https://dev.azure.com/greatergiving/Greater%20Giving/_git/OnlineBidding/pullrequest/8414"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https://greatergiving.visualstudio.com/Greater%20Giving/_git/GGO/pullrequest/8384" TargetMode="External"/><Relationship Id="rId2" Type="http://schemas.openxmlformats.org/officeDocument/2006/relationships/hyperlink" Target="https://greatergiving.visualstudio.com/Greater%20Giving/_git/GGO/pullrequest/8381" TargetMode="External"/><Relationship Id="rId1" Type="http://schemas.openxmlformats.org/officeDocument/2006/relationships/hyperlink" Target="https://greatergiving.visualstudio.com/Greater%20Giving/_git/GGO/pullrequest/8378" TargetMode="External"/><Relationship Id="rId4" Type="http://schemas.openxmlformats.org/officeDocument/2006/relationships/table" Target="../tables/table29.xml"/></Relationships>
</file>

<file path=xl/worksheets/_rels/sheet61.xml.rels><?xml version="1.0" encoding="UTF-8" standalone="yes"?>
<Relationships xmlns="http://schemas.openxmlformats.org/package/2006/relationships"><Relationship Id="rId8" Type="http://schemas.openxmlformats.org/officeDocument/2006/relationships/table" Target="../tables/table30.xml"/><Relationship Id="rId3" Type="http://schemas.openxmlformats.org/officeDocument/2006/relationships/hyperlink" Target="https://greatergiving.visualstudio.com/Greater%20Giving/_git/GGO/pullrequest/8341" TargetMode="External"/><Relationship Id="rId7" Type="http://schemas.openxmlformats.org/officeDocument/2006/relationships/hyperlink" Target="https://greatergiving.visualstudio.com/Greater%20Giving/_git/OP/pullrequest/8310" TargetMode="External"/><Relationship Id="rId2" Type="http://schemas.openxmlformats.org/officeDocument/2006/relationships/hyperlink" Target="https://dev.azure.com/greatergiving/Greater%20Giving/_git/OnlineBidding/pullrequest/8346" TargetMode="External"/><Relationship Id="rId1" Type="http://schemas.openxmlformats.org/officeDocument/2006/relationships/hyperlink" Target="https://dev.azure.com/greatergiving/Greater%20Giving/_git/OP/pullrequest/8347" TargetMode="External"/><Relationship Id="rId6" Type="http://schemas.openxmlformats.org/officeDocument/2006/relationships/hyperlink" Target="https://greatergiving.visualstudio.com/Greater%20Giving/_git/GGO/pullrequest/8316" TargetMode="External"/><Relationship Id="rId5" Type="http://schemas.openxmlformats.org/officeDocument/2006/relationships/hyperlink" Target="https://dev.azure.com/greatergiving/Greater%20Giving/_git/GGO/pullrequest/8321" TargetMode="External"/><Relationship Id="rId4" Type="http://schemas.openxmlformats.org/officeDocument/2006/relationships/hyperlink" Target="https://greatergiving.visualstudio.com/Greater%20Giving/_git/GGO/pullrequest/8341" TargetMode="External"/></Relationships>
</file>

<file path=xl/worksheets/_rels/sheet63.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hyperlink" Target="https://greatergiving.visualstudio.com/Greater%20Giving/_git/OnlineBidding/pullrequest/8303" TargetMode="External"/><Relationship Id="rId1" Type="http://schemas.openxmlformats.org/officeDocument/2006/relationships/hyperlink" Target="https://greatergiving.visualstudio.com/Greater%20Giving/_git/OnlineBidding/pullrequest/8295" TargetMode="External"/></Relationships>
</file>

<file path=xl/worksheets/_rels/sheet65.xml.rels><?xml version="1.0" encoding="UTF-8" standalone="yes"?>
<Relationships xmlns="http://schemas.openxmlformats.org/package/2006/relationships"><Relationship Id="rId3" Type="http://schemas.openxmlformats.org/officeDocument/2006/relationships/hyperlink" Target="https://greatergiving.visualstudio.com/Greater%20Giving/_git/OP/pullrequest/8258" TargetMode="External"/><Relationship Id="rId2" Type="http://schemas.openxmlformats.org/officeDocument/2006/relationships/hyperlink" Target="https://greatergiving.visualstudio.com/Greater%20Giving/_git/OP/pullrequest/8245" TargetMode="External"/><Relationship Id="rId1" Type="http://schemas.openxmlformats.org/officeDocument/2006/relationships/hyperlink" Target="https://greatergiving.visualstudio.com/Greater%20Giving/_git/OP/pullrequest/8235" TargetMode="External"/><Relationship Id="rId4" Type="http://schemas.openxmlformats.org/officeDocument/2006/relationships/table" Target="../tables/table32.xml"/></Relationships>
</file>

<file path=xl/worksheets/_rels/sheet67.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hyperlink" Target="https://greatergiving.visualstudio.com/Greater%20Giving/_git/OP/pullrequest/8225" TargetMode="External"/><Relationship Id="rId1" Type="http://schemas.openxmlformats.org/officeDocument/2006/relationships/hyperlink" Target="https://greatergiving.visualstudio.com/Greater%20Giving/_git/OP/pullrequest/8213" TargetMode="External"/></Relationships>
</file>

<file path=xl/worksheets/_rels/sheet69.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71.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8146" TargetMode="External"/><Relationship Id="rId2" Type="http://schemas.openxmlformats.org/officeDocument/2006/relationships/hyperlink" Target="https://greatergiving.visualstudio.com/Greater%20Giving/_git/OnlineBidding/pullrequest/8138" TargetMode="External"/><Relationship Id="rId1" Type="http://schemas.openxmlformats.org/officeDocument/2006/relationships/hyperlink" Target="https://greatergiving.visualstudio.com/Greater%20Giving/_git/OP/pullrequest/8122" TargetMode="External"/><Relationship Id="rId6" Type="http://schemas.openxmlformats.org/officeDocument/2006/relationships/table" Target="../tables/table35.xml"/><Relationship Id="rId5" Type="http://schemas.openxmlformats.org/officeDocument/2006/relationships/hyperlink" Target="https://greatergiving.visualstudio.com/Greater%20Giving/_git/OP/pullrequest/8139" TargetMode="External"/><Relationship Id="rId4" Type="http://schemas.openxmlformats.org/officeDocument/2006/relationships/hyperlink" Target="https://greatergiving.visualstudio.com/Greater%20Giving/_git/OnlineBidding/pullrequest/8140" TargetMode="External"/></Relationships>
</file>

<file path=xl/worksheets/_rels/sheet73.xml.rels><?xml version="1.0" encoding="UTF-8" standalone="yes"?>
<Relationships xmlns="http://schemas.openxmlformats.org/package/2006/relationships"><Relationship Id="rId8" Type="http://schemas.openxmlformats.org/officeDocument/2006/relationships/hyperlink" Target="https://dev.azure.com/greatergiving/Greater%20Giving/_git/OP/pullrequest/8069" TargetMode="External"/><Relationship Id="rId3" Type="http://schemas.openxmlformats.org/officeDocument/2006/relationships/hyperlink" Target="https://greatergiving.visualstudio.com/Greater%20Giving/_git/GGO/pullrequest/8067" TargetMode="External"/><Relationship Id="rId7" Type="http://schemas.openxmlformats.org/officeDocument/2006/relationships/hyperlink" Target="https://greatergiving.visualstudio.com/Greater%20Giving/_git/OP/pullrequest/8094" TargetMode="External"/><Relationship Id="rId2" Type="http://schemas.openxmlformats.org/officeDocument/2006/relationships/hyperlink" Target="https://greatergiving.visualstudio.com/Greater%20Giving/_git/OP/pullrequest/8061" TargetMode="External"/><Relationship Id="rId1" Type="http://schemas.openxmlformats.org/officeDocument/2006/relationships/hyperlink" Target="https://greatergiving.visualstudio.com/Greater%20Giving/_git/GGO/pullrequest/8066" TargetMode="External"/><Relationship Id="rId6" Type="http://schemas.openxmlformats.org/officeDocument/2006/relationships/hyperlink" Target="https://greatergiving.visualstudio.com/Greater%20Giving/_git/OP/pullrequest/8095" TargetMode="External"/><Relationship Id="rId5" Type="http://schemas.openxmlformats.org/officeDocument/2006/relationships/hyperlink" Target="https://greatergiving.visualstudio.com/Greater%20Giving/_git/OP/pullrequest/8081" TargetMode="External"/><Relationship Id="rId4" Type="http://schemas.openxmlformats.org/officeDocument/2006/relationships/hyperlink" Target="https://dev.azure.com/greatergiving/Greater%20Giving/_git/OP/pullrequest/8055" TargetMode="External"/><Relationship Id="rId9" Type="http://schemas.openxmlformats.org/officeDocument/2006/relationships/table" Target="../tables/table36.xml"/></Relationships>
</file>

<file path=xl/worksheets/_rels/sheet75.xml.rels><?xml version="1.0" encoding="UTF-8" standalone="yes"?>
<Relationships xmlns="http://schemas.openxmlformats.org/package/2006/relationships"><Relationship Id="rId8" Type="http://schemas.openxmlformats.org/officeDocument/2006/relationships/hyperlink" Target="https://greatergiving.visualstudio.com/Greater%20Giving/_git/GGO/pullrequest/8043" TargetMode="External"/><Relationship Id="rId3" Type="http://schemas.openxmlformats.org/officeDocument/2006/relationships/hyperlink" Target="https://greatergiving.visualstudio.com/Greater%20Giving/_git/GGO/pullrequest/8045" TargetMode="External"/><Relationship Id="rId7" Type="http://schemas.openxmlformats.org/officeDocument/2006/relationships/hyperlink" Target="https://greatergiving.visualstudio.com/Greater%20Giving/_git/GGO/pullrequest/8034" TargetMode="External"/><Relationship Id="rId2" Type="http://schemas.openxmlformats.org/officeDocument/2006/relationships/hyperlink" Target="https://greatergiving.visualstudio.com/Greater%20Giving/_git/GGO/pullrequest/8041" TargetMode="External"/><Relationship Id="rId1" Type="http://schemas.openxmlformats.org/officeDocument/2006/relationships/hyperlink" Target="https://greatergiving.visualstudio.com/Greater%20Giving/_git/OP/pullrequest/8029" TargetMode="External"/><Relationship Id="rId6" Type="http://schemas.openxmlformats.org/officeDocument/2006/relationships/hyperlink" Target="https://greatergiving.visualstudio.com/Greater%20Giving/_git/OP/commit/f39dbc0dd3abf9e863e476ef69e1fea07c8019ce?refName=refs/heads/OP/OP-2671-Macroscope-Critical-Insecure-Mail-Transport-Transmission(448262088" TargetMode="External"/><Relationship Id="rId5" Type="http://schemas.openxmlformats.org/officeDocument/2006/relationships/hyperlink" Target="https://greatergiving.visualstudio.com/Greater%20Giving/_git/OP/commit/f5b87b868381a64e6dca17e8bac2e0484d8c6b03?refName=refs/heads/OP/OP-2672-Macroscope-High-Model-with-Non-Nullable-Property(448262077" TargetMode="External"/><Relationship Id="rId4" Type="http://schemas.openxmlformats.org/officeDocument/2006/relationships/hyperlink" Target="https://greatergiving.visualstudio.com/Greater%20Giving/_git/GGO/pullrequest/8047" TargetMode="External"/><Relationship Id="rId9" Type="http://schemas.openxmlformats.org/officeDocument/2006/relationships/table" Target="../tables/table37.xml"/></Relationships>
</file>

<file path=xl/worksheets/_rels/sheet77.xml.rels><?xml version="1.0" encoding="UTF-8" standalone="yes"?>
<Relationships xmlns="http://schemas.openxmlformats.org/package/2006/relationships"><Relationship Id="rId3" Type="http://schemas.openxmlformats.org/officeDocument/2006/relationships/hyperlink" Target="https://greatergiving.visualstudio.com/Greater%20Giving/_git/OP/pullrequest/7975" TargetMode="External"/><Relationship Id="rId7" Type="http://schemas.openxmlformats.org/officeDocument/2006/relationships/table" Target="../tables/table38.xml"/><Relationship Id="rId2" Type="http://schemas.openxmlformats.org/officeDocument/2006/relationships/hyperlink" Target="https://greatergiving.visualstudio.com/Greater%20Giving/_git/GGO/pullrequest/7977" TargetMode="External"/><Relationship Id="rId1" Type="http://schemas.openxmlformats.org/officeDocument/2006/relationships/hyperlink" Target="https://greatergiving.visualstudio.com/Greater%20Giving/_git/OP/pullrequest/7974" TargetMode="External"/><Relationship Id="rId6" Type="http://schemas.openxmlformats.org/officeDocument/2006/relationships/hyperlink" Target="https://greatergiving.visualstudio.com/Greater%20Giving/_git/GGO/pullrequest/8006" TargetMode="External"/><Relationship Id="rId5" Type="http://schemas.openxmlformats.org/officeDocument/2006/relationships/hyperlink" Target="https://greatergiving.visualstudio.com/Greater%20Giving/_git/GGO/pullrequest/7982" TargetMode="External"/><Relationship Id="rId4" Type="http://schemas.openxmlformats.org/officeDocument/2006/relationships/hyperlink" Target="https://greatergiving.visualstudio.com/Greater%20Giving/_git/GGO/pullrequest/8001" TargetMode="External"/></Relationships>
</file>

<file path=xl/worksheets/_rels/sheet79.xml.rels><?xml version="1.0" encoding="UTF-8" standalone="yes"?>
<Relationships xmlns="http://schemas.openxmlformats.org/package/2006/relationships"><Relationship Id="rId3" Type="http://schemas.openxmlformats.org/officeDocument/2006/relationships/hyperlink" Target="https://greatergiving.visualstudio.com/Greater%20Giving/_git/OP/pullrequest/7965" TargetMode="External"/><Relationship Id="rId2" Type="http://schemas.openxmlformats.org/officeDocument/2006/relationships/hyperlink" Target="https://greatergiving.visualstudio.com/Greater%20Giving/_git/OP/pullrequest/7954" TargetMode="External"/><Relationship Id="rId1" Type="http://schemas.openxmlformats.org/officeDocument/2006/relationships/hyperlink" Target="https://greatergiving.visualstudio.com/Greater%20Giving/_git/OP/pullrequest/7932" TargetMode="External"/><Relationship Id="rId4" Type="http://schemas.openxmlformats.org/officeDocument/2006/relationships/hyperlink" Target="https://greatergiving.visualstudio.com/Greater%20Giving/_git/OnlineBidding/pullrequest/7960" TargetMode="External"/></Relationships>
</file>

<file path=xl/worksheets/_rels/sheet81.xml.rels><?xml version="1.0" encoding="UTF-8" standalone="yes"?>
<Relationships xmlns="http://schemas.openxmlformats.org/package/2006/relationships"><Relationship Id="rId3" Type="http://schemas.openxmlformats.org/officeDocument/2006/relationships/hyperlink" Target="https://greatergiving.visualstudio.com/Greater%20Giving/_git/OP/pullrequest/7904" TargetMode="External"/><Relationship Id="rId2" Type="http://schemas.openxmlformats.org/officeDocument/2006/relationships/hyperlink" Target="https://greatergiving.visualstudio.com/Greater%20Giving/_git/GGO/pullrequest/7898" TargetMode="External"/><Relationship Id="rId1" Type="http://schemas.openxmlformats.org/officeDocument/2006/relationships/hyperlink" Target="https://greatergiving.visualstudio.com/Greater%20Giving/_git/GGO/pullrequest/7895" TargetMode="External"/><Relationship Id="rId6" Type="http://schemas.openxmlformats.org/officeDocument/2006/relationships/hyperlink" Target="https://greatergiving.visualstudio.com/Greater%20Giving/_git/GGO/pullrequest/7912" TargetMode="External"/><Relationship Id="rId5" Type="http://schemas.openxmlformats.org/officeDocument/2006/relationships/hyperlink" Target="https://greatergiving.visualstudio.com/Greater%20Giving/_git/GGO/pullrequest/7914" TargetMode="External"/><Relationship Id="rId4" Type="http://schemas.openxmlformats.org/officeDocument/2006/relationships/hyperlink" Target="https://greatergiving.visualstudio.com/Greater%20Giving/_git/GGO/pullrequest/7905" TargetMode="External"/></Relationships>
</file>

<file path=xl/worksheets/_rels/sheet83.xml.rels><?xml version="1.0" encoding="UTF-8" standalone="yes"?>
<Relationships xmlns="http://schemas.openxmlformats.org/package/2006/relationships"><Relationship Id="rId3" Type="http://schemas.openxmlformats.org/officeDocument/2006/relationships/hyperlink" Target="https://greatergiving.visualstudio.com/Greater%20Giving/_git/GGO/pullrequest/7876" TargetMode="External"/><Relationship Id="rId2" Type="http://schemas.openxmlformats.org/officeDocument/2006/relationships/hyperlink" Target="https://greatergiving.visualstudio.com/Greater%20Giving/_git/OP/pullrequest/7875" TargetMode="External"/><Relationship Id="rId1" Type="http://schemas.openxmlformats.org/officeDocument/2006/relationships/hyperlink" Target="https://greatergiving.visualstudio.com/Greater%20Giving/_git/OP/pullrequest/7875" TargetMode="External"/><Relationship Id="rId5" Type="http://schemas.openxmlformats.org/officeDocument/2006/relationships/hyperlink" Target="https://greatergiving.visualstudio.com/Greater%20Giving/_git/GGO/pullrequest/7854" TargetMode="External"/><Relationship Id="rId4" Type="http://schemas.openxmlformats.org/officeDocument/2006/relationships/hyperlink" Target="https://greatergiving.visualstudio.com/Greater%20Giving/_git/GGO/pullrequest/7853" TargetMode="External"/></Relationships>
</file>

<file path=xl/worksheets/_rels/sheet85.xml.rels><?xml version="1.0" encoding="UTF-8" standalone="yes"?>
<Relationships xmlns="http://schemas.openxmlformats.org/package/2006/relationships"><Relationship Id="rId3" Type="http://schemas.openxmlformats.org/officeDocument/2006/relationships/hyperlink" Target="https://greatergiving.atlassian.net/browse/OP-2604" TargetMode="External"/><Relationship Id="rId2" Type="http://schemas.openxmlformats.org/officeDocument/2006/relationships/hyperlink" Target="https://greatergiving.visualstudio.com/Greater%20Giving/_git/GGO/pullrequest/7829" TargetMode="External"/><Relationship Id="rId1" Type="http://schemas.openxmlformats.org/officeDocument/2006/relationships/hyperlink" Target="https://greatergiving.visualstudio.com/Greater%20Giving/_git/GGO/pullrequest/7823" TargetMode="External"/><Relationship Id="rId5" Type="http://schemas.openxmlformats.org/officeDocument/2006/relationships/hyperlink" Target="https://greatergiving.visualstudio.com/Greater%20Giving/_git/GGO/pullrequest/7843" TargetMode="External"/><Relationship Id="rId4" Type="http://schemas.openxmlformats.org/officeDocument/2006/relationships/hyperlink" Target="https://greatergiving.visualstudio.com/Greater%20Giving/_git/GGO/pullrequest/7836" TargetMode="External"/></Relationships>
</file>

<file path=xl/worksheets/_rels/sheet87.xml.rels><?xml version="1.0" encoding="UTF-8" standalone="yes"?>
<Relationships xmlns="http://schemas.openxmlformats.org/package/2006/relationships"><Relationship Id="rId3" Type="http://schemas.openxmlformats.org/officeDocument/2006/relationships/hyperlink" Target="https://greatergiving.visualstudio.com/Greater%20Giving/_git/GGO/pullrequest/7797" TargetMode="External"/><Relationship Id="rId2" Type="http://schemas.openxmlformats.org/officeDocument/2006/relationships/hyperlink" Target="https://greatergiving.visualstudio.com/Greater%20Giving/_git/GGO/pullrequest/7792" TargetMode="External"/><Relationship Id="rId1" Type="http://schemas.openxmlformats.org/officeDocument/2006/relationships/hyperlink" Target="https://greatergiving.visualstudio.com/Greater%20Giving/_git/GGO/pullrequest/7790" TargetMode="External"/><Relationship Id="rId4" Type="http://schemas.openxmlformats.org/officeDocument/2006/relationships/hyperlink" Target="https://greatergiving.visualstudio.com/Greater%20Giving/_git/GGO/pullrequest/7803" TargetMode="External"/></Relationships>
</file>

<file path=xl/worksheets/_rels/sheet90.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7752?path=/GreaterGivingTokyo/OnlineBiddingDatabase/Programmable%20Objects/Stored%20Procedures/sp_GetBidders.sql" TargetMode="External"/><Relationship Id="rId2" Type="http://schemas.openxmlformats.org/officeDocument/2006/relationships/hyperlink" Target="https://greatergiving.visualstudio.com/Greater%20Giving/_git/OnlineBidding/pullrequest/7752?path=/GreaterGivingTokyo/OnlineBiddingDatabase/Programmable%20Objects/Stored%20Procedures/sp_GetBidders.sql" TargetMode="External"/><Relationship Id="rId1" Type="http://schemas.openxmlformats.org/officeDocument/2006/relationships/hyperlink" Target="https://greatergiving.visualstudio.com/Greater%20Giving/_git/OnlineBidding/pullrequest/7752?path=/GreaterGivingTokyo/OnlineBiddingDatabase/Programmable%20Objects/Stored%20Procedures/sp_GetBidders.sql" TargetMode="External"/></Relationships>
</file>

<file path=xl/worksheets/_rels/sheet91.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7772" TargetMode="External"/><Relationship Id="rId2" Type="http://schemas.openxmlformats.org/officeDocument/2006/relationships/hyperlink" Target="https://greatergiving.visualstudio.com/Greater%20Giving/_git/OnlineBidding/pullrequest/7751" TargetMode="External"/><Relationship Id="rId1" Type="http://schemas.openxmlformats.org/officeDocument/2006/relationships/hyperlink" Target="https://greatergiving.visualstudio.com/Greater%20Giving/_git/OnlineBidding/pullrequest/7752?path=/GreaterGivingTokyo/OnlineBiddingDatabase/Programmable%20Objects/Stored%20Procedures/sp_GetBidders.sql" TargetMode="External"/></Relationships>
</file>

<file path=xl/worksheets/_rels/sheet93.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7716" TargetMode="External"/><Relationship Id="rId7" Type="http://schemas.openxmlformats.org/officeDocument/2006/relationships/hyperlink" Target="https://greatergiving.visualstudio.com/Greater%20Giving/_git/OP/pullrequest/7731" TargetMode="External"/><Relationship Id="rId2" Type="http://schemas.openxmlformats.org/officeDocument/2006/relationships/hyperlink" Target="https://greatergiving.visualstudio.com/Greater%20Giving/_git/OnlineBidding/pullrequest/7713" TargetMode="External"/><Relationship Id="rId1" Type="http://schemas.openxmlformats.org/officeDocument/2006/relationships/hyperlink" Target="https://greatergiving.visualstudio.com/Greater%20Giving/_git/OnlineBidding/pullrequest/7713" TargetMode="External"/><Relationship Id="rId6" Type="http://schemas.openxmlformats.org/officeDocument/2006/relationships/hyperlink" Target="https://greatergiving.visualstudio.com/Greater%20Giving/_git/OP/pullrequest/7729" TargetMode="External"/><Relationship Id="rId5" Type="http://schemas.openxmlformats.org/officeDocument/2006/relationships/hyperlink" Target="https://greatergiving.visualstudio.com/Greater%20Giving/_git/OnlineBidding/pullrequest/7724" TargetMode="External"/><Relationship Id="rId4" Type="http://schemas.openxmlformats.org/officeDocument/2006/relationships/hyperlink" Target="https://greatergiving.visualstudio.com/Greater%20Giving/_git/OnlineBidding/pullrequest/7710" TargetMode="External"/></Relationships>
</file>

<file path=xl/worksheets/_rels/sheet95.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7690" TargetMode="External"/><Relationship Id="rId7" Type="http://schemas.openxmlformats.org/officeDocument/2006/relationships/hyperlink" Target="https://greatergiving.visualstudio.com/Greater%20Giving/_git/OP/pullrequest/7696" TargetMode="External"/><Relationship Id="rId2" Type="http://schemas.openxmlformats.org/officeDocument/2006/relationships/hyperlink" Target="https://greatergiving.visualstudio.com/Greater%20Giving/_git/OnlineBidding/pullrequest/7687" TargetMode="External"/><Relationship Id="rId1" Type="http://schemas.openxmlformats.org/officeDocument/2006/relationships/hyperlink" Target="https://greatergiving.visualstudio.com/Greater%20Giving/_git/OP/pullrequest/7666" TargetMode="External"/><Relationship Id="rId6" Type="http://schemas.openxmlformats.org/officeDocument/2006/relationships/hyperlink" Target="https://greatergiving.visualstudio.com/Greater%20Giving/_git/OnlineBidding/pullrequest/7699" TargetMode="External"/><Relationship Id="rId5" Type="http://schemas.openxmlformats.org/officeDocument/2006/relationships/hyperlink" Target="https://greatergiving.visualstudio.com/Greater%20Giving/_git/OnlineBidding/pullrequest/7703" TargetMode="External"/><Relationship Id="rId4" Type="http://schemas.openxmlformats.org/officeDocument/2006/relationships/hyperlink" Target="https://greatergiving.visualstudio.com/Greater%20Giving/_git/OnlineBidding/pullrequest/7693" TargetMode="External"/></Relationships>
</file>

<file path=xl/worksheets/_rels/sheet96.xml.rels><?xml version="1.0" encoding="UTF-8" standalone="yes"?>
<Relationships xmlns="http://schemas.openxmlformats.org/package/2006/relationships"><Relationship Id="rId2" Type="http://schemas.openxmlformats.org/officeDocument/2006/relationships/hyperlink" Target="https://greatergiving.visualstudio.com/Greater%20Giving/_git/OP/pullrequest/7666" TargetMode="External"/><Relationship Id="rId1" Type="http://schemas.openxmlformats.org/officeDocument/2006/relationships/hyperlink" Target="https://greatergiving.visualstudio.com/Greater%20Giving/_git/OP/pullrequest/7646" TargetMode="External"/></Relationships>
</file>

<file path=xl/worksheets/_rels/sheet99.xml.rels><?xml version="1.0" encoding="UTF-8" standalone="yes"?>
<Relationships xmlns="http://schemas.openxmlformats.org/package/2006/relationships"><Relationship Id="rId2" Type="http://schemas.openxmlformats.org/officeDocument/2006/relationships/hyperlink" Target="https://greatergiving.visualstudio.com/Greater%20Giving/_git/OP/pullrequest/7621" TargetMode="External"/><Relationship Id="rId1" Type="http://schemas.openxmlformats.org/officeDocument/2006/relationships/hyperlink" Target="https://greatergiving.visualstudio.com/Greater%20Giving/_git/OP/pullrequest/7618" TargetMode="External"/></Relationships>
</file>

<file path=xl/worksheets/_rels/sheet101.xml.rels><?xml version="1.0" encoding="UTF-8" standalone="yes"?>
<Relationships xmlns="http://schemas.openxmlformats.org/package/2006/relationships"><Relationship Id="rId3" Type="http://schemas.openxmlformats.org/officeDocument/2006/relationships/hyperlink" Target="https://greatergiving.visualstudio.com/Greater%20Giving/_git/OP/pullrequest/7591" TargetMode="External"/><Relationship Id="rId2" Type="http://schemas.openxmlformats.org/officeDocument/2006/relationships/hyperlink" Target="https://greatergiving.visualstudio.com/Greater%20Giving/_git/OP/pullrequest/7591" TargetMode="External"/><Relationship Id="rId1" Type="http://schemas.openxmlformats.org/officeDocument/2006/relationships/hyperlink" Target="https://greatergiving.visualstudio.com/Greater%20Giving/_git/OP/pullrequest/7597?_a=files" TargetMode="External"/></Relationships>
</file>

<file path=xl/worksheets/_rels/sheet103.xml.rels><?xml version="1.0" encoding="UTF-8" standalone="yes"?>
<Relationships xmlns="http://schemas.openxmlformats.org/package/2006/relationships"><Relationship Id="rId1" Type="http://schemas.openxmlformats.org/officeDocument/2006/relationships/hyperlink" Target="https://greatergiving.visualstudio.com/Greater%20Giving/_git/OP/pullrequest/7546" TargetMode="External"/></Relationships>
</file>

<file path=xl/worksheets/_rels/sheet106.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7536" TargetMode="External"/><Relationship Id="rId2" Type="http://schemas.openxmlformats.org/officeDocument/2006/relationships/hyperlink" Target="https://greatergiving.visualstudio.com/Greater%20Giving/_git/OnlineBidding/pullrequest/7502" TargetMode="External"/><Relationship Id="rId1" Type="http://schemas.openxmlformats.org/officeDocument/2006/relationships/hyperlink" Target="https://greatergiving.visualstudio.com/Greater%20Giving/_git/OP/pullrequest/7510" TargetMode="External"/></Relationships>
</file>

<file path=xl/worksheets/_rels/sheet107.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7502" TargetMode="External"/><Relationship Id="rId2" Type="http://schemas.openxmlformats.org/officeDocument/2006/relationships/hyperlink" Target="https://greatergiving.visualstudio.com/Greater%20Giving/_git/OP/pullrequest/7503" TargetMode="External"/><Relationship Id="rId1" Type="http://schemas.openxmlformats.org/officeDocument/2006/relationships/hyperlink" Target="https://greatergiving.visualstudio.com/Greater%20Giving/_git/OnlineBidding/pullrequest/7431" TargetMode="External"/></Relationships>
</file>

<file path=xl/worksheets/_rels/sheet110.xml.rels><?xml version="1.0" encoding="UTF-8" standalone="yes"?>
<Relationships xmlns="http://schemas.openxmlformats.org/package/2006/relationships"><Relationship Id="rId3" Type="http://schemas.openxmlformats.org/officeDocument/2006/relationships/hyperlink" Target="https://greatergiving.visualstudio.com/Greater%20Giving/_git/OP/pullrequest/7451" TargetMode="External"/><Relationship Id="rId2" Type="http://schemas.openxmlformats.org/officeDocument/2006/relationships/hyperlink" Target="https://greatergiving.visualstudio.com/Greater%20Giving/_git/OP/pullrequest/7450" TargetMode="External"/><Relationship Id="rId1" Type="http://schemas.openxmlformats.org/officeDocument/2006/relationships/hyperlink" Target="https://greatergiving.visualstudio.com/Greater%20Giving/_git/OP/pullrequest/7451" TargetMode="External"/></Relationships>
</file>

<file path=xl/worksheets/_rels/sheet112.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7431" TargetMode="External"/><Relationship Id="rId2" Type="http://schemas.openxmlformats.org/officeDocument/2006/relationships/hyperlink" Target="https://greatergiving.visualstudio.com/Greater%20Giving/_git/OnlineBidding/pullrequest/7400" TargetMode="External"/><Relationship Id="rId1" Type="http://schemas.openxmlformats.org/officeDocument/2006/relationships/hyperlink" Target="https://greatergiving.visualstudio.com/Greater%20Giving/_git/OnlineBidding/pullrequest/7396" TargetMode="External"/></Relationships>
</file>

<file path=xl/worksheets/_rels/sheet114.xml.rels><?xml version="1.0" encoding="UTF-8" standalone="yes"?>
<Relationships xmlns="http://schemas.openxmlformats.org/package/2006/relationships"><Relationship Id="rId2" Type="http://schemas.openxmlformats.org/officeDocument/2006/relationships/hyperlink" Target="https://greatergiving.visualstudio.com/Greater%20Giving/_git/OnlineBidding/pullrequest/7353" TargetMode="External"/><Relationship Id="rId1" Type="http://schemas.openxmlformats.org/officeDocument/2006/relationships/hyperlink" Target="https://greatergiving.visualstudio.com/Greater%20Giving/_git/OnlineBidding/pullrequest/7367" TargetMode="External"/></Relationships>
</file>

<file path=xl/worksheets/_rels/sheet115.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7322" TargetMode="External"/><Relationship Id="rId2" Type="http://schemas.openxmlformats.org/officeDocument/2006/relationships/hyperlink" Target="https://greatergiving.visualstudio.com/Greater%20Giving/_git/OnlineBidding/pullrequest/7331" TargetMode="External"/><Relationship Id="rId1" Type="http://schemas.openxmlformats.org/officeDocument/2006/relationships/hyperlink" Target="https://greatergiving.visualstudio.com/Greater%20Giving/_git/OnlineBidding/pullrequest/7329" TargetMode="External"/></Relationships>
</file>

<file path=xl/worksheets/_rels/sheet119.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7296" TargetMode="External"/><Relationship Id="rId2" Type="http://schemas.openxmlformats.org/officeDocument/2006/relationships/hyperlink" Target="https://greatergiving.visualstudio.com/Greater%20Giving/_git/OnlineBidding/pullrequest/7238" TargetMode="External"/><Relationship Id="rId1" Type="http://schemas.openxmlformats.org/officeDocument/2006/relationships/hyperlink" Target="https://greatergiving.visualstudio.com/Greater%20Giving/_git/OnlineBidding/pullrequest/7230" TargetMode="External"/><Relationship Id="rId5" Type="http://schemas.openxmlformats.org/officeDocument/2006/relationships/hyperlink" Target="https://greatergiving.visualstudio.com/Greater%20Giving/_git/OnlineBidding/pullrequest/7303" TargetMode="External"/><Relationship Id="rId4" Type="http://schemas.openxmlformats.org/officeDocument/2006/relationships/hyperlink" Target="https://greatergiving.visualstudio.com/Greater%20Giving/_git/OnlineBidding/pullrequest/7311" TargetMode="External"/></Relationships>
</file>

<file path=xl/worksheets/_rels/sheet122.xml.rels><?xml version="1.0" encoding="UTF-8" standalone="yes"?>
<Relationships xmlns="http://schemas.openxmlformats.org/package/2006/relationships"><Relationship Id="rId3" Type="http://schemas.openxmlformats.org/officeDocument/2006/relationships/hyperlink" Target="https://greatergiving.visualstudio.com/Greater%20Giving/_git/OnlineBidding/pullrequest/7144" TargetMode="External"/><Relationship Id="rId2" Type="http://schemas.openxmlformats.org/officeDocument/2006/relationships/hyperlink" Target="https://greatergiving.visualstudio.com/Greater%20Giving/_git/OnlineBidding/pullrequest/7149" TargetMode="External"/><Relationship Id="rId1" Type="http://schemas.openxmlformats.org/officeDocument/2006/relationships/hyperlink" Target="https://greatergiving.visualstudio.com/Greater%20Giving/_git/OnlineBidding/pullrequest/7227" TargetMode="External"/><Relationship Id="rId6" Type="http://schemas.openxmlformats.org/officeDocument/2006/relationships/hyperlink" Target="https://greatergiving.visualstudio.com/Greater%20Giving/_git/OnlineBidding/pullrequest/7235" TargetMode="External"/><Relationship Id="rId5" Type="http://schemas.openxmlformats.org/officeDocument/2006/relationships/hyperlink" Target="https://greatergiving.visualstudio.com/Greater%20Giving/_git/OnlineBidding/pullrequest/7226" TargetMode="External"/><Relationship Id="rId4" Type="http://schemas.openxmlformats.org/officeDocument/2006/relationships/hyperlink" Target="https://greatergiving.visualstudio.com/Greater%20Giving/_git/OnlineBidding/pullrequest/72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C1003"/>
  <sheetViews>
    <sheetView showGridLines="0" tabSelected="1" workbookViewId="0">
      <pane ySplit="2" topLeftCell="B60" activePane="bottomLeft" state="frozen"/>
      <selection pane="bottomLeft" activeCell="D68" sqref="D68"/>
    </sheetView>
  </sheetViews>
  <sheetFormatPr defaultColWidth="12.5703125" defaultRowHeight="15" customHeight="1"/>
  <cols>
    <col min="1" max="1" width="22.85546875" style="137" customWidth="1"/>
    <col min="2" max="2" width="20.42578125" style="137" customWidth="1"/>
    <col min="3" max="3" width="13" style="137" customWidth="1"/>
    <col min="4" max="4" width="21.140625" style="137" customWidth="1"/>
    <col min="5" max="5" width="16.42578125" style="137" customWidth="1"/>
    <col min="6" max="6" width="14" style="137" customWidth="1"/>
    <col min="7" max="7" width="13.7109375" style="448" customWidth="1"/>
    <col min="8" max="8" width="24.42578125" style="448" customWidth="1"/>
    <col min="9" max="9" width="77.140625" style="137" customWidth="1"/>
    <col min="10" max="10" width="41.85546875" style="256" customWidth="1"/>
    <col min="11" max="11" width="127.5703125" style="137" customWidth="1"/>
    <col min="12" max="12" width="12.5703125" style="137"/>
    <col min="13" max="13" width="99.42578125" style="137" customWidth="1"/>
    <col min="14" max="14" width="16.28515625" style="137" customWidth="1"/>
    <col min="15" max="15" width="15.28515625" style="137" customWidth="1"/>
    <col min="16" max="16384" width="12.5703125" style="137"/>
  </cols>
  <sheetData>
    <row r="1" spans="1:41" ht="20.25" customHeight="1">
      <c r="A1" s="408" t="s">
        <v>0</v>
      </c>
      <c r="B1" s="137" t="str" cm="1">
        <f t="array" aca="1" ref="B1" ca="1">INDEX($B$2:$B$100,MATCH(1,(($D$2:$D$100 &gt;=TODAY())*($C$2:$C$100&lt;=TODAY())),0))</f>
        <v>OB-OP 8.6.0 Sprint 4</v>
      </c>
      <c r="C1" s="408" t="s">
        <v>1</v>
      </c>
      <c r="D1" s="409" t="str">
        <f ca="1">CONCATENATE(B1,"-Status")</f>
        <v>OB-OP 8.6.0 Sprint 4-Status</v>
      </c>
      <c r="E1" s="410" t="s">
        <v>2</v>
      </c>
      <c r="F1" s="409">
        <f ca="1">VLOOKUP($B$1,$B$1:$C$100,2)</f>
        <v>46149</v>
      </c>
      <c r="G1" s="860" t="s">
        <v>3</v>
      </c>
      <c r="H1" s="409">
        <f ca="1">VLOOKUP($B$1,$B$1:$D$100,3)</f>
        <v>46163</v>
      </c>
      <c r="I1" s="410" t="s">
        <v>4</v>
      </c>
      <c r="J1" s="137" t="s">
        <v>5</v>
      </c>
      <c r="K1" s="429" t="s">
        <v>6</v>
      </c>
      <c r="L1" s="358" t="s">
        <v>7</v>
      </c>
      <c r="M1" s="137" t="s">
        <v>8</v>
      </c>
      <c r="N1" s="364" t="s">
        <v>9</v>
      </c>
    </row>
    <row r="2" spans="1:41" ht="40.5">
      <c r="A2" s="193" t="s">
        <v>10</v>
      </c>
      <c r="B2" s="193" t="s">
        <v>11</v>
      </c>
      <c r="C2" s="193" t="s">
        <v>2</v>
      </c>
      <c r="D2" s="193" t="s">
        <v>3</v>
      </c>
      <c r="E2" s="859" t="s">
        <v>12</v>
      </c>
      <c r="F2" s="863" t="s">
        <v>13</v>
      </c>
      <c r="G2" s="861" t="s">
        <v>14</v>
      </c>
      <c r="H2" s="868" t="s">
        <v>15</v>
      </c>
      <c r="I2" s="234" t="s">
        <v>16</v>
      </c>
      <c r="J2" s="193" t="s">
        <v>17</v>
      </c>
      <c r="K2" s="234" t="s">
        <v>18</v>
      </c>
      <c r="L2" s="411" t="s">
        <v>19</v>
      </c>
      <c r="M2" s="411" t="s">
        <v>20</v>
      </c>
      <c r="N2" s="234" t="s">
        <v>21</v>
      </c>
      <c r="O2" s="234" t="s">
        <v>22</v>
      </c>
      <c r="P2" s="234" t="s">
        <v>23</v>
      </c>
    </row>
    <row r="3" spans="1:41" ht="24">
      <c r="A3" s="83" t="str">
        <f t="shared" ref="A3:A32" ca="1" si="0">IF(AND($D$1&gt;=C3,$D$1&lt;=D3),"CurrentSprint","NA")</f>
        <v>NA</v>
      </c>
      <c r="B3" s="292" t="s">
        <v>24</v>
      </c>
      <c r="C3" s="293">
        <v>45296</v>
      </c>
      <c r="D3" s="293">
        <v>45309</v>
      </c>
      <c r="E3" s="77">
        <v>12</v>
      </c>
      <c r="F3" s="864">
        <v>9</v>
      </c>
      <c r="G3" s="290" t="s">
        <v>25</v>
      </c>
      <c r="H3" s="869"/>
      <c r="I3" s="77"/>
      <c r="J3" s="130" t="s">
        <v>26</v>
      </c>
      <c r="K3" s="136" t="s">
        <v>27</v>
      </c>
      <c r="L3" s="83"/>
      <c r="M3" s="324"/>
    </row>
    <row r="4" spans="1:41" ht="33" customHeight="1">
      <c r="A4" s="83" t="str">
        <f t="shared" ca="1" si="0"/>
        <v>NA</v>
      </c>
      <c r="B4" s="294" t="s">
        <v>28</v>
      </c>
      <c r="C4" s="293">
        <v>45310</v>
      </c>
      <c r="D4" s="293">
        <v>45337</v>
      </c>
      <c r="E4" s="228">
        <v>25</v>
      </c>
      <c r="F4" s="362">
        <v>23</v>
      </c>
      <c r="G4" s="447" t="s">
        <v>29</v>
      </c>
      <c r="H4" s="357"/>
      <c r="I4" s="228"/>
      <c r="J4" s="412" t="s">
        <v>30</v>
      </c>
      <c r="K4" s="136" t="s">
        <v>27</v>
      </c>
      <c r="L4" s="83"/>
      <c r="M4" s="324"/>
    </row>
    <row r="5" spans="1:41" ht="12" customHeight="1">
      <c r="A5" s="83" t="str">
        <f t="shared" ca="1" si="0"/>
        <v>NA</v>
      </c>
      <c r="B5" s="62" t="s">
        <v>31</v>
      </c>
      <c r="C5" s="295">
        <v>45338</v>
      </c>
      <c r="D5" s="295">
        <v>45351</v>
      </c>
      <c r="E5" s="228">
        <v>13</v>
      </c>
      <c r="F5" s="362">
        <v>13</v>
      </c>
      <c r="G5" s="447">
        <v>0</v>
      </c>
      <c r="H5" s="357"/>
      <c r="I5" s="228"/>
      <c r="J5" s="90" t="s">
        <v>32</v>
      </c>
      <c r="K5" s="136" t="s">
        <v>27</v>
      </c>
      <c r="L5" s="83"/>
      <c r="M5" s="324"/>
    </row>
    <row r="6" spans="1:41" ht="36">
      <c r="A6" s="83" t="str">
        <f t="shared" ca="1" si="0"/>
        <v>NA</v>
      </c>
      <c r="B6" s="62" t="s">
        <v>33</v>
      </c>
      <c r="C6" s="296">
        <v>45352</v>
      </c>
      <c r="D6" s="295">
        <v>45365</v>
      </c>
      <c r="E6" s="228">
        <v>9</v>
      </c>
      <c r="F6" s="362">
        <v>9</v>
      </c>
      <c r="G6" s="447" t="s">
        <v>29</v>
      </c>
      <c r="H6" s="369"/>
      <c r="I6" s="327"/>
      <c r="J6" s="305" t="s">
        <v>34</v>
      </c>
      <c r="K6" s="136" t="s">
        <v>27</v>
      </c>
      <c r="L6" s="83"/>
      <c r="M6" s="324"/>
    </row>
    <row r="7" spans="1:41" s="203" customFormat="1" ht="15.75" customHeight="1">
      <c r="A7" s="83" t="str">
        <f t="shared" ca="1" si="0"/>
        <v>NA</v>
      </c>
      <c r="B7" s="62" t="s">
        <v>35</v>
      </c>
      <c r="C7" s="297">
        <v>45366</v>
      </c>
      <c r="D7" s="297">
        <v>45379</v>
      </c>
      <c r="E7" s="228">
        <v>11</v>
      </c>
      <c r="F7" s="362">
        <v>11</v>
      </c>
      <c r="G7" s="290" t="s">
        <v>36</v>
      </c>
      <c r="H7" s="870"/>
      <c r="I7" s="289"/>
      <c r="J7" s="413" t="s">
        <v>37</v>
      </c>
      <c r="K7" s="136" t="s">
        <v>27</v>
      </c>
      <c r="L7" s="83"/>
      <c r="M7" s="324"/>
      <c r="N7" s="137"/>
      <c r="O7" s="137"/>
      <c r="P7" s="137"/>
      <c r="Q7" s="137"/>
      <c r="R7" s="137"/>
      <c r="S7" s="137"/>
      <c r="T7" s="137"/>
      <c r="U7" s="137"/>
      <c r="V7" s="137"/>
      <c r="W7" s="137"/>
      <c r="X7" s="137"/>
      <c r="Y7" s="137"/>
      <c r="Z7" s="137"/>
      <c r="AA7" s="137"/>
      <c r="AB7" s="137"/>
      <c r="AC7" s="137"/>
      <c r="AD7" s="137"/>
      <c r="AE7" s="137"/>
      <c r="AF7" s="137"/>
      <c r="AG7" s="137"/>
      <c r="AH7" s="137"/>
      <c r="AI7" s="137"/>
      <c r="AJ7" s="137"/>
      <c r="AK7" s="137"/>
      <c r="AL7" s="137"/>
      <c r="AM7" s="137"/>
      <c r="AN7" s="137"/>
      <c r="AO7" s="248"/>
    </row>
    <row r="8" spans="1:41" ht="36">
      <c r="A8" s="83" t="str">
        <f t="shared" ca="1" si="0"/>
        <v>NA</v>
      </c>
      <c r="B8" s="62" t="s">
        <v>38</v>
      </c>
      <c r="C8" s="297">
        <v>45380</v>
      </c>
      <c r="D8" s="297">
        <v>45393</v>
      </c>
      <c r="E8" s="228">
        <v>13</v>
      </c>
      <c r="F8" s="362">
        <v>10</v>
      </c>
      <c r="G8" s="290" t="s">
        <v>25</v>
      </c>
      <c r="H8" s="871"/>
      <c r="I8" s="368"/>
      <c r="J8" s="414" t="s">
        <v>39</v>
      </c>
      <c r="K8" s="136" t="s">
        <v>27</v>
      </c>
      <c r="L8" s="83"/>
      <c r="M8" s="324"/>
    </row>
    <row r="9" spans="1:41" ht="14.25" customHeight="1">
      <c r="A9" s="83" t="str">
        <f t="shared" ca="1" si="0"/>
        <v>NA</v>
      </c>
      <c r="B9" s="62" t="s">
        <v>40</v>
      </c>
      <c r="C9" s="297">
        <v>45394</v>
      </c>
      <c r="D9" s="297">
        <v>45407</v>
      </c>
      <c r="E9" s="228">
        <v>7</v>
      </c>
      <c r="F9" s="362">
        <v>7</v>
      </c>
      <c r="G9" s="290" t="s">
        <v>29</v>
      </c>
      <c r="H9" s="872"/>
      <c r="I9" s="290"/>
      <c r="J9" s="415" t="s">
        <v>41</v>
      </c>
      <c r="K9" s="136" t="s">
        <v>27</v>
      </c>
      <c r="L9" s="83"/>
      <c r="M9" s="324"/>
    </row>
    <row r="10" spans="1:41" ht="15.75" customHeight="1">
      <c r="A10" s="83" t="str">
        <f t="shared" ca="1" si="0"/>
        <v>NA</v>
      </c>
      <c r="B10" s="62" t="s">
        <v>42</v>
      </c>
      <c r="C10" s="297">
        <v>45408</v>
      </c>
      <c r="D10" s="297">
        <v>45421</v>
      </c>
      <c r="E10" s="228">
        <v>15</v>
      </c>
      <c r="F10" s="362">
        <v>15</v>
      </c>
      <c r="G10" s="290" t="s">
        <v>43</v>
      </c>
      <c r="H10" s="872"/>
      <c r="I10" s="290"/>
      <c r="J10" s="90" t="s">
        <v>44</v>
      </c>
      <c r="K10" s="136" t="s">
        <v>27</v>
      </c>
      <c r="L10" s="83"/>
      <c r="M10" s="324"/>
    </row>
    <row r="11" spans="1:41" ht="36">
      <c r="A11" s="83" t="str">
        <f t="shared" ca="1" si="0"/>
        <v>NA</v>
      </c>
      <c r="B11" s="62" t="s">
        <v>45</v>
      </c>
      <c r="C11" s="297">
        <v>45422</v>
      </c>
      <c r="D11" s="297">
        <v>45435</v>
      </c>
      <c r="E11" s="228">
        <v>17</v>
      </c>
      <c r="F11" s="362">
        <v>17</v>
      </c>
      <c r="G11" s="290" t="s">
        <v>29</v>
      </c>
      <c r="H11" s="872"/>
      <c r="I11" s="290"/>
      <c r="J11" s="90" t="s">
        <v>46</v>
      </c>
      <c r="K11" s="136" t="s">
        <v>27</v>
      </c>
      <c r="L11" s="83"/>
      <c r="M11" s="324"/>
    </row>
    <row r="12" spans="1:41" ht="15.75" customHeight="1">
      <c r="A12" s="83" t="str">
        <f t="shared" ca="1" si="0"/>
        <v>NA</v>
      </c>
      <c r="B12" s="62" t="s">
        <v>47</v>
      </c>
      <c r="C12" s="297">
        <v>45436</v>
      </c>
      <c r="D12" s="297">
        <v>45449</v>
      </c>
      <c r="E12" s="228">
        <v>28</v>
      </c>
      <c r="F12" s="362">
        <v>23</v>
      </c>
      <c r="G12" s="290" t="s">
        <v>48</v>
      </c>
      <c r="H12" s="872"/>
      <c r="I12" s="290"/>
      <c r="J12" s="90" t="s">
        <v>49</v>
      </c>
      <c r="K12" s="136" t="s">
        <v>27</v>
      </c>
      <c r="L12" s="83"/>
      <c r="M12" s="324"/>
    </row>
    <row r="13" spans="1:41" ht="15.75" customHeight="1">
      <c r="A13" s="83" t="str">
        <f t="shared" ca="1" si="0"/>
        <v>NA</v>
      </c>
      <c r="B13" s="62" t="s">
        <v>50</v>
      </c>
      <c r="C13" s="297">
        <v>45450</v>
      </c>
      <c r="D13" s="297">
        <v>45463</v>
      </c>
      <c r="E13" s="228">
        <v>17</v>
      </c>
      <c r="F13" s="362">
        <v>16</v>
      </c>
      <c r="G13" s="290" t="s">
        <v>25</v>
      </c>
      <c r="H13" s="872"/>
      <c r="I13" s="290"/>
      <c r="J13" s="413" t="s">
        <v>51</v>
      </c>
      <c r="K13" s="136" t="s">
        <v>27</v>
      </c>
      <c r="L13" s="83"/>
      <c r="M13" s="324"/>
    </row>
    <row r="14" spans="1:41" ht="15.75" customHeight="1">
      <c r="A14" s="83" t="str">
        <f t="shared" ca="1" si="0"/>
        <v>NA</v>
      </c>
      <c r="B14" s="62" t="s">
        <v>52</v>
      </c>
      <c r="C14" s="297">
        <v>45464</v>
      </c>
      <c r="D14" s="297">
        <v>45476</v>
      </c>
      <c r="E14" s="228">
        <v>8</v>
      </c>
      <c r="F14" s="362">
        <v>8</v>
      </c>
      <c r="G14" s="290" t="s">
        <v>53</v>
      </c>
      <c r="H14" s="872"/>
      <c r="I14" s="290"/>
      <c r="J14" s="413" t="s">
        <v>54</v>
      </c>
      <c r="K14" s="136" t="s">
        <v>27</v>
      </c>
      <c r="L14" s="83"/>
      <c r="M14" s="324"/>
    </row>
    <row r="15" spans="1:41" ht="15.75" customHeight="1">
      <c r="A15" s="83" t="str">
        <f t="shared" ca="1" si="0"/>
        <v>NA</v>
      </c>
      <c r="B15" s="62" t="s">
        <v>55</v>
      </c>
      <c r="C15" s="297">
        <v>45477</v>
      </c>
      <c r="D15" s="297">
        <v>45491</v>
      </c>
      <c r="E15" s="228">
        <v>13</v>
      </c>
      <c r="F15" s="362">
        <v>13</v>
      </c>
      <c r="G15" s="290" t="s">
        <v>56</v>
      </c>
      <c r="H15" s="872"/>
      <c r="I15" s="290"/>
      <c r="J15" s="413" t="s">
        <v>57</v>
      </c>
      <c r="K15" s="136" t="s">
        <v>27</v>
      </c>
      <c r="L15" s="83"/>
      <c r="M15" s="324"/>
    </row>
    <row r="16" spans="1:41" ht="24.75" customHeight="1">
      <c r="A16" s="83" t="str">
        <f t="shared" ca="1" si="0"/>
        <v>NA</v>
      </c>
      <c r="B16" s="62" t="s">
        <v>58</v>
      </c>
      <c r="C16" s="297">
        <v>45492</v>
      </c>
      <c r="D16" s="297">
        <v>45505</v>
      </c>
      <c r="E16" s="228">
        <v>12</v>
      </c>
      <c r="F16" s="362">
        <v>12</v>
      </c>
      <c r="G16" s="290" t="s">
        <v>29</v>
      </c>
      <c r="H16" s="872"/>
      <c r="I16" s="290"/>
      <c r="J16" s="413" t="s">
        <v>59</v>
      </c>
      <c r="K16" s="136" t="s">
        <v>27</v>
      </c>
      <c r="L16" s="83"/>
      <c r="M16" s="324"/>
    </row>
    <row r="17" spans="1:159" ht="15.75" customHeight="1">
      <c r="A17" s="83" t="str">
        <f t="shared" ca="1" si="0"/>
        <v>NA</v>
      </c>
      <c r="B17" s="62" t="s">
        <v>60</v>
      </c>
      <c r="C17" s="297">
        <v>45506</v>
      </c>
      <c r="D17" s="297">
        <v>45519</v>
      </c>
      <c r="E17" s="228">
        <v>11</v>
      </c>
      <c r="F17" s="362">
        <v>8</v>
      </c>
      <c r="G17" s="290" t="s">
        <v>29</v>
      </c>
      <c r="H17" s="872"/>
      <c r="I17" s="290"/>
      <c r="J17" s="413" t="s">
        <v>61</v>
      </c>
      <c r="K17" s="136" t="s">
        <v>27</v>
      </c>
      <c r="L17" s="83"/>
      <c r="M17" s="324"/>
    </row>
    <row r="18" spans="1:159" ht="15.75" customHeight="1">
      <c r="A18" s="83" t="str">
        <f t="shared" ca="1" si="0"/>
        <v>NA</v>
      </c>
      <c r="B18" s="62" t="s">
        <v>62</v>
      </c>
      <c r="C18" s="297">
        <v>45520</v>
      </c>
      <c r="D18" s="297">
        <v>45533</v>
      </c>
      <c r="E18" s="228">
        <v>7</v>
      </c>
      <c r="F18" s="362">
        <v>7</v>
      </c>
      <c r="G18" s="290" t="s">
        <v>29</v>
      </c>
      <c r="H18" s="872"/>
      <c r="I18" s="290"/>
      <c r="J18" s="413" t="s">
        <v>63</v>
      </c>
      <c r="K18" s="136" t="s">
        <v>27</v>
      </c>
      <c r="L18" s="83"/>
      <c r="M18" s="324"/>
    </row>
    <row r="19" spans="1:159" ht="15.75" customHeight="1">
      <c r="A19" s="83" t="str">
        <f t="shared" ca="1" si="0"/>
        <v>NA</v>
      </c>
      <c r="B19" s="257" t="s">
        <v>64</v>
      </c>
      <c r="C19" s="338">
        <v>45534</v>
      </c>
      <c r="D19" s="338">
        <v>45547</v>
      </c>
      <c r="E19" s="327">
        <v>12</v>
      </c>
      <c r="F19" s="374">
        <v>12</v>
      </c>
      <c r="G19" s="290" t="s">
        <v>29</v>
      </c>
      <c r="H19" s="873"/>
      <c r="I19" s="339"/>
      <c r="J19" s="416" t="s">
        <v>65</v>
      </c>
      <c r="K19" s="340" t="s">
        <v>27</v>
      </c>
      <c r="L19" s="313"/>
      <c r="M19" s="341"/>
    </row>
    <row r="20" spans="1:159" s="422" customFormat="1" ht="87.75" customHeight="1">
      <c r="A20" s="83" t="str">
        <f t="shared" ca="1" si="0"/>
        <v>NA</v>
      </c>
      <c r="B20" s="417" t="s">
        <v>66</v>
      </c>
      <c r="C20" s="418">
        <v>45548</v>
      </c>
      <c r="D20" s="418">
        <v>45561</v>
      </c>
      <c r="E20" s="419">
        <v>20</v>
      </c>
      <c r="F20" s="865">
        <v>15</v>
      </c>
      <c r="G20" s="290" t="s">
        <v>25</v>
      </c>
      <c r="H20" s="873"/>
      <c r="I20" s="339"/>
      <c r="J20" s="305" t="s">
        <v>67</v>
      </c>
      <c r="K20" s="420" t="s">
        <v>27</v>
      </c>
      <c r="L20" s="421"/>
      <c r="N20" s="423"/>
      <c r="O20" s="423"/>
      <c r="P20" s="423"/>
      <c r="Q20" s="423"/>
      <c r="R20" s="423"/>
      <c r="S20" s="423"/>
      <c r="T20" s="423"/>
      <c r="U20" s="423"/>
      <c r="V20" s="423"/>
      <c r="W20" s="423"/>
      <c r="X20" s="423"/>
      <c r="Y20" s="423"/>
      <c r="Z20" s="423"/>
      <c r="AA20" s="423"/>
      <c r="AB20" s="423"/>
      <c r="AC20" s="423"/>
      <c r="AD20" s="423"/>
      <c r="AE20" s="423"/>
      <c r="AF20" s="423"/>
      <c r="AG20" s="423"/>
      <c r="AH20" s="423"/>
      <c r="AI20" s="423"/>
      <c r="AJ20" s="423"/>
      <c r="AK20" s="423"/>
      <c r="AL20" s="423"/>
      <c r="AM20" s="423"/>
      <c r="AN20" s="423"/>
      <c r="AO20" s="423"/>
      <c r="AP20" s="423"/>
      <c r="AQ20" s="423"/>
      <c r="AR20" s="423"/>
      <c r="AS20" s="423"/>
      <c r="AT20" s="423"/>
      <c r="AU20" s="423"/>
      <c r="AV20" s="423"/>
      <c r="AW20" s="423"/>
      <c r="AX20" s="423"/>
      <c r="AY20" s="423"/>
      <c r="AZ20" s="423"/>
      <c r="BA20" s="423"/>
      <c r="BB20" s="423"/>
      <c r="BC20" s="423"/>
      <c r="BD20" s="423"/>
      <c r="BE20" s="423"/>
      <c r="BF20" s="423"/>
      <c r="BG20" s="423"/>
      <c r="BH20" s="423"/>
      <c r="BI20" s="423"/>
      <c r="BJ20" s="423"/>
      <c r="BK20" s="423"/>
      <c r="BL20" s="423"/>
      <c r="BM20" s="423"/>
      <c r="BN20" s="423"/>
      <c r="BO20" s="423"/>
      <c r="BP20" s="423"/>
      <c r="BQ20" s="423"/>
      <c r="BR20" s="423"/>
      <c r="BS20" s="423"/>
      <c r="BT20" s="423"/>
      <c r="BU20" s="423"/>
      <c r="BV20" s="423"/>
      <c r="BW20" s="423"/>
      <c r="BX20" s="423"/>
      <c r="BY20" s="423"/>
      <c r="BZ20" s="423"/>
      <c r="CA20" s="423"/>
      <c r="CB20" s="423"/>
      <c r="CC20" s="423"/>
      <c r="CD20" s="423"/>
      <c r="CE20" s="423"/>
      <c r="CF20" s="423"/>
      <c r="CG20" s="423"/>
      <c r="CH20" s="423"/>
      <c r="CI20" s="423"/>
      <c r="CJ20" s="423"/>
      <c r="CK20" s="423"/>
      <c r="CL20" s="423"/>
      <c r="CM20" s="423"/>
      <c r="CN20" s="423"/>
      <c r="CO20" s="423"/>
      <c r="CP20" s="423"/>
      <c r="CQ20" s="423"/>
      <c r="CR20" s="423"/>
      <c r="CS20" s="423"/>
      <c r="CT20" s="423"/>
      <c r="CU20" s="423"/>
      <c r="CV20" s="423"/>
      <c r="CW20" s="423"/>
      <c r="CX20" s="423"/>
      <c r="CY20" s="423"/>
      <c r="CZ20" s="423"/>
      <c r="DA20" s="423"/>
      <c r="DB20" s="423"/>
      <c r="DC20" s="423"/>
      <c r="DD20" s="423"/>
      <c r="DE20" s="423"/>
      <c r="DF20" s="423"/>
      <c r="DG20" s="423"/>
      <c r="DH20" s="423"/>
      <c r="DI20" s="423"/>
      <c r="DJ20" s="423"/>
      <c r="DK20" s="423"/>
      <c r="DL20" s="423"/>
      <c r="DM20" s="423"/>
      <c r="DN20" s="423"/>
      <c r="DO20" s="423"/>
      <c r="DP20" s="423"/>
      <c r="DQ20" s="423"/>
      <c r="DR20" s="423"/>
      <c r="DS20" s="423"/>
      <c r="DT20" s="423"/>
      <c r="DU20" s="423"/>
      <c r="DV20" s="423"/>
      <c r="DW20" s="423"/>
      <c r="DX20" s="423"/>
      <c r="DY20" s="423"/>
      <c r="DZ20" s="423"/>
      <c r="EA20" s="423"/>
      <c r="EB20" s="423"/>
      <c r="EC20" s="423"/>
      <c r="ED20" s="423"/>
      <c r="EE20" s="423"/>
      <c r="EF20" s="423"/>
      <c r="EG20" s="423"/>
      <c r="EH20" s="423"/>
      <c r="EI20" s="423"/>
      <c r="EJ20" s="423"/>
      <c r="EK20" s="423"/>
      <c r="EL20" s="423"/>
      <c r="EM20" s="423"/>
      <c r="EN20" s="423"/>
      <c r="EO20" s="423"/>
      <c r="EP20" s="423"/>
      <c r="EQ20" s="423"/>
      <c r="ER20" s="423"/>
      <c r="ES20" s="423"/>
      <c r="ET20" s="423"/>
      <c r="EU20" s="423"/>
      <c r="EV20" s="423"/>
      <c r="EW20" s="423"/>
      <c r="EX20" s="423"/>
      <c r="EY20" s="423"/>
      <c r="EZ20" s="423"/>
      <c r="FA20" s="423"/>
      <c r="FB20" s="423"/>
      <c r="FC20" s="424"/>
    </row>
    <row r="21" spans="1:159" s="426" customFormat="1" ht="262.5">
      <c r="A21" s="139" t="str">
        <f t="shared" ca="1" si="0"/>
        <v>NA</v>
      </c>
      <c r="B21" s="394" t="s">
        <v>68</v>
      </c>
      <c r="C21" s="395">
        <v>45562</v>
      </c>
      <c r="D21" s="395">
        <v>45575</v>
      </c>
      <c r="E21" s="396">
        <v>20</v>
      </c>
      <c r="F21" s="866">
        <v>17</v>
      </c>
      <c r="G21" s="862" t="s">
        <v>69</v>
      </c>
      <c r="H21" s="874"/>
      <c r="I21" s="397"/>
      <c r="J21" s="425" t="s">
        <v>70</v>
      </c>
      <c r="K21" s="398" t="s">
        <v>27</v>
      </c>
      <c r="L21" s="399"/>
      <c r="M21" s="400"/>
    </row>
    <row r="22" spans="1:159" ht="120" customHeight="1">
      <c r="A22" s="83" t="str">
        <f t="shared" ca="1" si="0"/>
        <v>NA</v>
      </c>
      <c r="B22" s="257" t="s">
        <v>71</v>
      </c>
      <c r="C22" s="367">
        <v>45576</v>
      </c>
      <c r="D22" s="367">
        <v>45589</v>
      </c>
      <c r="E22" s="327">
        <v>17</v>
      </c>
      <c r="F22" s="374">
        <v>17</v>
      </c>
      <c r="G22" s="447" t="s">
        <v>29</v>
      </c>
      <c r="H22" s="875"/>
      <c r="I22" s="305" t="s">
        <v>72</v>
      </c>
      <c r="J22" s="305" t="s">
        <v>73</v>
      </c>
      <c r="K22" s="229"/>
      <c r="L22" s="229"/>
      <c r="M22" s="229"/>
    </row>
    <row r="23" spans="1:159" s="203" customFormat="1" ht="112.5" customHeight="1">
      <c r="A23" s="83" t="str">
        <f t="shared" ca="1" si="0"/>
        <v>NA</v>
      </c>
      <c r="B23" s="257" t="s">
        <v>74</v>
      </c>
      <c r="C23" s="367">
        <v>45590</v>
      </c>
      <c r="D23" s="367">
        <v>45603</v>
      </c>
      <c r="E23" s="327">
        <v>11</v>
      </c>
      <c r="F23" s="374">
        <v>8</v>
      </c>
      <c r="G23" s="447" t="s">
        <v>29</v>
      </c>
      <c r="H23" s="876"/>
      <c r="I23" s="329" t="s">
        <v>75</v>
      </c>
      <c r="J23" s="305" t="s">
        <v>76</v>
      </c>
      <c r="K23" s="229"/>
      <c r="L23" s="229"/>
      <c r="M23" s="229"/>
    </row>
    <row r="24" spans="1:159" ht="178.5" customHeight="1">
      <c r="A24" s="313" t="str">
        <f t="shared" ca="1" si="0"/>
        <v>NA</v>
      </c>
      <c r="B24" s="257" t="s">
        <v>77</v>
      </c>
      <c r="C24" s="389">
        <v>45604</v>
      </c>
      <c r="D24" s="367">
        <v>45617</v>
      </c>
      <c r="E24" s="327">
        <v>14</v>
      </c>
      <c r="F24" s="374">
        <v>14</v>
      </c>
      <c r="G24" s="290" t="s">
        <v>56</v>
      </c>
      <c r="H24" s="877"/>
      <c r="I24" s="390" t="s">
        <v>78</v>
      </c>
      <c r="J24" s="329" t="s">
        <v>79</v>
      </c>
      <c r="K24" s="247"/>
      <c r="L24" s="229"/>
      <c r="M24" s="229"/>
    </row>
    <row r="25" spans="1:159" s="229" customFormat="1" ht="225" customHeight="1">
      <c r="A25" s="313" t="str">
        <f t="shared" ca="1" si="0"/>
        <v>NA</v>
      </c>
      <c r="B25" s="247" t="s">
        <v>80</v>
      </c>
      <c r="C25" s="427">
        <v>45618</v>
      </c>
      <c r="D25" s="427">
        <v>45631</v>
      </c>
      <c r="E25" s="327">
        <v>21</v>
      </c>
      <c r="F25" s="374">
        <v>21</v>
      </c>
      <c r="G25" s="447" t="s">
        <v>81</v>
      </c>
      <c r="H25" s="876"/>
      <c r="I25" s="329" t="s">
        <v>82</v>
      </c>
      <c r="J25" s="305" t="s">
        <v>83</v>
      </c>
    </row>
    <row r="26" spans="1:159" s="203" customFormat="1" ht="170.25" customHeight="1">
      <c r="A26" s="313" t="str">
        <f t="shared" ca="1" si="0"/>
        <v>NA</v>
      </c>
      <c r="B26" s="203" t="s">
        <v>84</v>
      </c>
      <c r="C26" s="428">
        <v>45632</v>
      </c>
      <c r="D26" s="428">
        <v>45659</v>
      </c>
      <c r="E26" s="228">
        <v>11</v>
      </c>
      <c r="F26" s="362">
        <v>13</v>
      </c>
      <c r="G26" s="447" t="s">
        <v>85</v>
      </c>
      <c r="H26" s="844"/>
      <c r="I26" s="316" t="s">
        <v>86</v>
      </c>
      <c r="J26" s="90" t="s">
        <v>87</v>
      </c>
    </row>
    <row r="27" spans="1:159" ht="165.75" customHeight="1">
      <c r="A27" s="313" t="str">
        <f t="shared" ca="1" si="0"/>
        <v>NA</v>
      </c>
      <c r="B27" s="203" t="s">
        <v>88</v>
      </c>
      <c r="C27" s="428">
        <v>45660</v>
      </c>
      <c r="D27" s="428">
        <v>45673</v>
      </c>
      <c r="E27" s="228">
        <v>16</v>
      </c>
      <c r="F27" s="362">
        <v>13</v>
      </c>
      <c r="G27" s="447" t="s">
        <v>29</v>
      </c>
      <c r="H27" s="844"/>
      <c r="I27" s="316" t="s">
        <v>89</v>
      </c>
      <c r="J27" s="90" t="s">
        <v>90</v>
      </c>
      <c r="K27" s="203"/>
      <c r="L27" s="203"/>
      <c r="M27" s="203"/>
      <c r="N27" s="203"/>
      <c r="O27" s="203"/>
      <c r="P27" s="203"/>
      <c r="Q27" s="203"/>
      <c r="R27" s="203"/>
      <c r="S27" s="203"/>
      <c r="T27" s="203"/>
      <c r="U27" s="203"/>
      <c r="V27" s="203"/>
      <c r="W27" s="203"/>
      <c r="X27" s="203"/>
      <c r="Y27" s="203"/>
      <c r="Z27" s="203"/>
      <c r="AA27" s="203"/>
      <c r="AB27" s="203"/>
      <c r="AC27" s="203"/>
      <c r="AD27" s="203"/>
      <c r="AE27" s="203"/>
      <c r="AF27" s="203"/>
      <c r="AG27" s="203"/>
      <c r="AH27" s="203"/>
      <c r="AI27" s="203"/>
      <c r="AJ27" s="203"/>
      <c r="AK27" s="203"/>
      <c r="AL27" s="203"/>
      <c r="AM27" s="203"/>
      <c r="AN27" s="203"/>
      <c r="AO27" s="203"/>
      <c r="AP27" s="203"/>
      <c r="AQ27" s="203"/>
      <c r="AR27" s="203"/>
      <c r="AS27" s="203"/>
      <c r="AT27" s="203"/>
      <c r="AU27" s="203"/>
      <c r="AV27" s="203"/>
      <c r="AW27" s="203"/>
      <c r="AX27" s="203"/>
      <c r="AY27" s="203"/>
      <c r="AZ27" s="203"/>
      <c r="BA27" s="203"/>
      <c r="BB27" s="203"/>
      <c r="BC27" s="203"/>
      <c r="BD27" s="203"/>
      <c r="BE27" s="203"/>
      <c r="BF27" s="203"/>
      <c r="BG27" s="203"/>
      <c r="BH27" s="203"/>
      <c r="BI27" s="203"/>
      <c r="BJ27" s="203"/>
      <c r="BK27" s="203"/>
      <c r="BL27" s="203"/>
      <c r="BM27" s="203"/>
      <c r="BN27" s="203"/>
      <c r="BO27" s="203"/>
      <c r="BP27" s="203"/>
      <c r="BQ27" s="203"/>
      <c r="BR27" s="203"/>
      <c r="BS27" s="203"/>
      <c r="BT27" s="203"/>
      <c r="BU27" s="203"/>
      <c r="BV27" s="203"/>
      <c r="BW27" s="203"/>
      <c r="BX27" s="203"/>
      <c r="BY27" s="203"/>
      <c r="BZ27" s="203"/>
      <c r="CA27" s="203"/>
      <c r="CB27" s="203"/>
      <c r="CC27" s="203"/>
      <c r="CD27" s="203"/>
      <c r="CE27" s="203"/>
      <c r="CF27" s="203"/>
      <c r="CG27" s="203"/>
      <c r="CH27" s="203"/>
      <c r="CI27" s="203"/>
      <c r="CJ27" s="203"/>
      <c r="CK27" s="203"/>
      <c r="CL27" s="203"/>
      <c r="CM27" s="203"/>
      <c r="CN27" s="203"/>
      <c r="CO27" s="203"/>
      <c r="CP27" s="203"/>
      <c r="CQ27" s="203"/>
      <c r="CR27" s="203"/>
      <c r="CS27" s="203"/>
      <c r="CT27" s="203"/>
      <c r="CU27" s="203"/>
      <c r="CV27" s="203"/>
      <c r="CW27" s="203"/>
      <c r="CX27" s="203"/>
      <c r="CY27" s="203"/>
      <c r="CZ27" s="203"/>
      <c r="DA27" s="203"/>
      <c r="DB27" s="203"/>
      <c r="DC27" s="203"/>
      <c r="DD27" s="203"/>
      <c r="DE27" s="203"/>
      <c r="DF27" s="203"/>
      <c r="DG27" s="203"/>
      <c r="DH27" s="203"/>
      <c r="DI27" s="203"/>
      <c r="DJ27" s="203"/>
      <c r="DK27" s="203"/>
      <c r="DL27" s="203"/>
      <c r="DM27" s="203"/>
      <c r="DN27" s="203"/>
      <c r="DO27" s="203"/>
      <c r="DP27" s="203"/>
      <c r="DQ27" s="203"/>
      <c r="DR27" s="203"/>
      <c r="DS27" s="203"/>
      <c r="DT27" s="203"/>
      <c r="DU27" s="203"/>
      <c r="DV27" s="203"/>
      <c r="DW27" s="203"/>
      <c r="DX27" s="203"/>
      <c r="DY27" s="203"/>
      <c r="DZ27" s="203"/>
      <c r="EA27" s="203"/>
      <c r="EB27" s="203"/>
      <c r="EC27" s="203"/>
      <c r="ED27" s="203"/>
      <c r="EE27" s="203"/>
      <c r="EF27" s="203"/>
      <c r="EG27" s="203"/>
      <c r="EH27" s="203"/>
      <c r="EI27" s="203"/>
      <c r="EJ27" s="203"/>
      <c r="EK27" s="203"/>
      <c r="EL27" s="203"/>
      <c r="EM27" s="203"/>
      <c r="EN27" s="203"/>
      <c r="EO27" s="203"/>
      <c r="EP27" s="203"/>
      <c r="EQ27" s="203"/>
      <c r="ER27" s="203"/>
      <c r="ES27" s="203"/>
      <c r="ET27" s="203"/>
      <c r="EU27" s="203"/>
      <c r="EV27" s="203"/>
      <c r="EW27" s="203"/>
      <c r="EX27" s="203"/>
      <c r="EY27" s="203"/>
      <c r="EZ27" s="203"/>
      <c r="FA27" s="203"/>
      <c r="FB27" s="203"/>
      <c r="FC27" s="203"/>
    </row>
    <row r="28" spans="1:159" ht="138.75" customHeight="1">
      <c r="A28" s="313" t="str">
        <f t="shared" ref="A28" ca="1" si="1">IF(AND($D$1&gt;=C28,$D$1&lt;=D28),"CurrentSprint","NA")</f>
        <v>NA</v>
      </c>
      <c r="B28" s="203" t="s">
        <v>91</v>
      </c>
      <c r="C28" s="428">
        <v>45674</v>
      </c>
      <c r="D28" s="428">
        <v>45687</v>
      </c>
      <c r="E28" s="228">
        <v>16</v>
      </c>
      <c r="F28" s="362">
        <v>10</v>
      </c>
      <c r="G28" s="290" t="s">
        <v>25</v>
      </c>
      <c r="H28" s="844"/>
      <c r="I28" s="316" t="s">
        <v>92</v>
      </c>
      <c r="J28" s="90" t="s">
        <v>93</v>
      </c>
      <c r="K28" s="203"/>
      <c r="L28" s="203"/>
      <c r="M28" s="203"/>
      <c r="N28" s="203"/>
      <c r="O28" s="203"/>
      <c r="P28" s="203"/>
      <c r="Q28" s="203"/>
      <c r="R28" s="203"/>
      <c r="S28" s="203"/>
      <c r="T28" s="203"/>
      <c r="U28" s="203"/>
      <c r="V28" s="203"/>
      <c r="W28" s="203"/>
      <c r="X28" s="203"/>
      <c r="Y28" s="203"/>
      <c r="Z28" s="203"/>
      <c r="AA28" s="203"/>
      <c r="AB28" s="203"/>
      <c r="AC28" s="203"/>
      <c r="AD28" s="203"/>
      <c r="AE28" s="203"/>
      <c r="AF28" s="203"/>
      <c r="AG28" s="203"/>
      <c r="AH28" s="203"/>
      <c r="AI28" s="203"/>
      <c r="AJ28" s="203"/>
      <c r="AK28" s="203"/>
      <c r="AL28" s="203"/>
      <c r="AM28" s="203"/>
      <c r="AN28" s="203"/>
      <c r="AO28" s="203"/>
      <c r="AP28" s="203"/>
      <c r="AQ28" s="203"/>
      <c r="AR28" s="203"/>
      <c r="AS28" s="203"/>
      <c r="AT28" s="203"/>
      <c r="AU28" s="203"/>
      <c r="AV28" s="203"/>
      <c r="AW28" s="203"/>
      <c r="AX28" s="203"/>
      <c r="AY28" s="203"/>
      <c r="AZ28" s="203"/>
      <c r="BA28" s="203"/>
      <c r="BB28" s="203"/>
      <c r="BC28" s="203"/>
      <c r="BD28" s="203"/>
      <c r="BE28" s="203"/>
      <c r="BF28" s="203"/>
      <c r="BG28" s="203"/>
      <c r="BH28" s="203"/>
      <c r="BI28" s="203"/>
      <c r="BJ28" s="203"/>
      <c r="BK28" s="203"/>
      <c r="BL28" s="203"/>
      <c r="BM28" s="203"/>
      <c r="BN28" s="203"/>
      <c r="BO28" s="203"/>
      <c r="BP28" s="203"/>
      <c r="BQ28" s="203"/>
      <c r="BR28" s="203"/>
      <c r="BS28" s="203"/>
      <c r="BT28" s="203"/>
      <c r="BU28" s="203"/>
      <c r="BV28" s="203"/>
      <c r="BW28" s="203"/>
      <c r="BX28" s="203"/>
      <c r="BY28" s="203"/>
      <c r="BZ28" s="203"/>
      <c r="CA28" s="203"/>
      <c r="CB28" s="203"/>
      <c r="CC28" s="203"/>
      <c r="CD28" s="203"/>
      <c r="CE28" s="203"/>
      <c r="CF28" s="203"/>
      <c r="CG28" s="203"/>
      <c r="CH28" s="203"/>
      <c r="CI28" s="203"/>
      <c r="CJ28" s="203"/>
      <c r="CK28" s="203"/>
      <c r="CL28" s="203"/>
      <c r="CM28" s="203"/>
      <c r="CN28" s="203"/>
      <c r="CO28" s="203"/>
      <c r="CP28" s="203"/>
      <c r="CQ28" s="203"/>
      <c r="CR28" s="203"/>
      <c r="CS28" s="203"/>
      <c r="CT28" s="203"/>
      <c r="CU28" s="203"/>
      <c r="CV28" s="203"/>
      <c r="CW28" s="203"/>
      <c r="CX28" s="203"/>
      <c r="CY28" s="203"/>
      <c r="CZ28" s="203"/>
      <c r="DA28" s="203"/>
      <c r="DB28" s="203"/>
      <c r="DC28" s="203"/>
      <c r="DD28" s="203"/>
      <c r="DE28" s="203"/>
      <c r="DF28" s="203"/>
      <c r="DG28" s="203"/>
      <c r="DH28" s="203"/>
      <c r="DI28" s="203"/>
      <c r="DJ28" s="203"/>
      <c r="DK28" s="203"/>
      <c r="DL28" s="203"/>
      <c r="DM28" s="203"/>
      <c r="DN28" s="203"/>
      <c r="DO28" s="203"/>
      <c r="DP28" s="203"/>
      <c r="DQ28" s="203"/>
      <c r="DR28" s="203"/>
      <c r="DS28" s="203"/>
      <c r="DT28" s="203"/>
      <c r="DU28" s="203"/>
      <c r="DV28" s="203"/>
      <c r="DW28" s="203"/>
      <c r="DX28" s="203"/>
      <c r="DY28" s="203"/>
      <c r="DZ28" s="203"/>
      <c r="EA28" s="203"/>
      <c r="EB28" s="203"/>
      <c r="EC28" s="203"/>
      <c r="ED28" s="203"/>
      <c r="EE28" s="203"/>
      <c r="EF28" s="203"/>
      <c r="EG28" s="203"/>
      <c r="EH28" s="203"/>
      <c r="EI28" s="203"/>
      <c r="EJ28" s="203"/>
      <c r="EK28" s="203"/>
      <c r="EL28" s="203"/>
      <c r="EM28" s="203"/>
      <c r="EN28" s="203"/>
      <c r="EO28" s="203"/>
      <c r="EP28" s="203"/>
      <c r="EQ28" s="203"/>
      <c r="ER28" s="203"/>
      <c r="ES28" s="203"/>
      <c r="ET28" s="203"/>
      <c r="EU28" s="203"/>
      <c r="EV28" s="203"/>
      <c r="EW28" s="203"/>
      <c r="EX28" s="203"/>
      <c r="EY28" s="203"/>
      <c r="EZ28" s="203"/>
      <c r="FA28" s="203"/>
      <c r="FB28" s="203"/>
      <c r="FC28" s="203"/>
    </row>
    <row r="29" spans="1:159" ht="210" customHeight="1">
      <c r="A29" s="313" t="str">
        <f t="shared" ref="A29" ca="1" si="2">IF(AND($D$1&gt;=C29,$D$1&lt;=D29),"CurrentSprint","NA")</f>
        <v>NA</v>
      </c>
      <c r="B29" s="229" t="s">
        <v>94</v>
      </c>
      <c r="C29" s="427">
        <v>45688</v>
      </c>
      <c r="D29" s="427">
        <v>45701</v>
      </c>
      <c r="E29" s="327">
        <v>14</v>
      </c>
      <c r="F29" s="374">
        <v>12</v>
      </c>
      <c r="G29" s="447" t="s">
        <v>53</v>
      </c>
      <c r="H29" s="876"/>
      <c r="I29" s="329" t="s">
        <v>95</v>
      </c>
      <c r="J29" s="305" t="s">
        <v>96</v>
      </c>
      <c r="K29" s="229"/>
      <c r="L29" s="229"/>
      <c r="M29" s="229"/>
      <c r="N29" s="229"/>
      <c r="O29" s="229"/>
      <c r="P29" s="229"/>
      <c r="Q29" s="229"/>
      <c r="R29" s="229"/>
      <c r="S29" s="229"/>
      <c r="T29" s="229"/>
      <c r="U29" s="229"/>
      <c r="V29" s="229"/>
      <c r="W29" s="229"/>
      <c r="X29" s="229"/>
      <c r="Y29" s="229"/>
      <c r="Z29" s="229"/>
      <c r="AA29" s="229"/>
      <c r="AB29" s="229"/>
      <c r="AC29" s="229"/>
      <c r="AD29" s="229"/>
      <c r="AE29" s="229"/>
      <c r="AF29" s="229"/>
      <c r="AG29" s="229"/>
      <c r="AH29" s="229"/>
      <c r="AI29" s="229"/>
      <c r="AJ29" s="229"/>
      <c r="AK29" s="229"/>
      <c r="AL29" s="229"/>
      <c r="AM29" s="229"/>
      <c r="AN29" s="229"/>
      <c r="AO29" s="229"/>
      <c r="AP29" s="229"/>
      <c r="AQ29" s="229"/>
      <c r="AR29" s="229"/>
      <c r="AS29" s="229"/>
      <c r="AT29" s="229"/>
      <c r="AU29" s="229"/>
      <c r="AV29" s="229"/>
      <c r="AW29" s="229"/>
      <c r="AX29" s="229"/>
      <c r="AY29" s="229"/>
      <c r="AZ29" s="229"/>
      <c r="BA29" s="229"/>
      <c r="BB29" s="229"/>
      <c r="BC29" s="229"/>
      <c r="BD29" s="229"/>
      <c r="BE29" s="229"/>
      <c r="BF29" s="229"/>
      <c r="BG29" s="229"/>
      <c r="BH29" s="229"/>
      <c r="BI29" s="229"/>
      <c r="BJ29" s="229"/>
      <c r="BK29" s="229"/>
      <c r="BL29" s="229"/>
      <c r="BM29" s="229"/>
      <c r="BN29" s="229"/>
      <c r="BO29" s="229"/>
      <c r="BP29" s="229"/>
      <c r="BQ29" s="229"/>
      <c r="BR29" s="229"/>
      <c r="BS29" s="229"/>
      <c r="BT29" s="229"/>
      <c r="BU29" s="229"/>
      <c r="BV29" s="229"/>
      <c r="BW29" s="229"/>
      <c r="BX29" s="229"/>
      <c r="BY29" s="229"/>
      <c r="BZ29" s="229"/>
      <c r="CA29" s="229"/>
      <c r="CB29" s="229"/>
      <c r="CC29" s="229"/>
      <c r="CD29" s="229"/>
      <c r="CE29" s="229"/>
      <c r="CF29" s="229"/>
      <c r="CG29" s="229"/>
      <c r="CH29" s="229"/>
      <c r="CI29" s="229"/>
      <c r="CJ29" s="229"/>
      <c r="CK29" s="229"/>
      <c r="CL29" s="229"/>
      <c r="CM29" s="229"/>
      <c r="CN29" s="229"/>
      <c r="CO29" s="229"/>
      <c r="CP29" s="229"/>
      <c r="CQ29" s="229"/>
      <c r="CR29" s="229"/>
      <c r="CS29" s="229"/>
      <c r="CT29" s="229"/>
      <c r="CU29" s="229"/>
      <c r="CV29" s="229"/>
      <c r="CW29" s="229"/>
      <c r="CX29" s="229"/>
      <c r="CY29" s="229"/>
      <c r="CZ29" s="229"/>
      <c r="DA29" s="229"/>
      <c r="DB29" s="229"/>
      <c r="DC29" s="229"/>
      <c r="DD29" s="229"/>
      <c r="DE29" s="229"/>
      <c r="DF29" s="229"/>
      <c r="DG29" s="229"/>
      <c r="DH29" s="229"/>
      <c r="DI29" s="229"/>
      <c r="DJ29" s="229"/>
      <c r="DK29" s="229"/>
      <c r="DL29" s="229"/>
      <c r="DM29" s="229"/>
      <c r="DN29" s="229"/>
      <c r="DO29" s="229"/>
      <c r="DP29" s="229"/>
      <c r="DQ29" s="229"/>
      <c r="DR29" s="229"/>
      <c r="DS29" s="229"/>
      <c r="DT29" s="229"/>
      <c r="DU29" s="229"/>
      <c r="DV29" s="229"/>
      <c r="DW29" s="229"/>
      <c r="DX29" s="229"/>
      <c r="DY29" s="229"/>
      <c r="DZ29" s="229"/>
      <c r="EA29" s="229"/>
      <c r="EB29" s="229"/>
      <c r="EC29" s="229"/>
      <c r="ED29" s="229"/>
      <c r="EE29" s="229"/>
      <c r="EF29" s="229"/>
      <c r="EG29" s="229"/>
      <c r="EH29" s="229"/>
      <c r="EI29" s="229"/>
      <c r="EJ29" s="229"/>
      <c r="EK29" s="229"/>
      <c r="EL29" s="229"/>
      <c r="EM29" s="229"/>
      <c r="EN29" s="229"/>
      <c r="EO29" s="229"/>
      <c r="EP29" s="229"/>
      <c r="EQ29" s="229"/>
      <c r="ER29" s="229"/>
      <c r="ES29" s="229"/>
      <c r="ET29" s="229"/>
      <c r="EU29" s="229"/>
      <c r="EV29" s="229"/>
      <c r="EW29" s="229"/>
      <c r="EX29" s="229"/>
      <c r="EY29" s="229"/>
      <c r="EZ29" s="229"/>
      <c r="FA29" s="229"/>
      <c r="FB29" s="229"/>
      <c r="FC29" s="229"/>
    </row>
    <row r="30" spans="1:159" s="455" customFormat="1" ht="175.5" customHeight="1">
      <c r="A30" s="454" t="str">
        <f t="shared" ref="A30" ca="1" si="3">IF(AND($D$1&gt;=C30,$D$1&lt;=D30),"CurrentSprint","NA")</f>
        <v>NA</v>
      </c>
      <c r="B30" s="455" t="s">
        <v>97</v>
      </c>
      <c r="C30" s="456">
        <v>45702</v>
      </c>
      <c r="D30" s="456">
        <v>45715</v>
      </c>
      <c r="E30" s="457">
        <v>9</v>
      </c>
      <c r="F30" s="867">
        <v>9</v>
      </c>
      <c r="G30" s="447" t="s">
        <v>98</v>
      </c>
      <c r="H30" s="878"/>
      <c r="I30" s="458" t="s">
        <v>99</v>
      </c>
      <c r="J30" s="459" t="s">
        <v>100</v>
      </c>
    </row>
    <row r="31" spans="1:159" ht="204" customHeight="1">
      <c r="A31" s="454" t="str">
        <f t="shared" ref="A31" ca="1" si="4">IF(AND($D$1&gt;=C31,$D$1&lt;=D31),"CurrentSprint","NA")</f>
        <v>NA</v>
      </c>
      <c r="B31" s="455" t="s">
        <v>101</v>
      </c>
      <c r="C31" s="456">
        <v>45716</v>
      </c>
      <c r="D31" s="456">
        <v>45729</v>
      </c>
      <c r="E31" s="457">
        <v>14</v>
      </c>
      <c r="F31" s="867">
        <v>11</v>
      </c>
      <c r="G31" s="447" t="s">
        <v>29</v>
      </c>
      <c r="H31" s="461"/>
      <c r="I31" s="473" t="s">
        <v>102</v>
      </c>
      <c r="J31" s="459" t="s">
        <v>103</v>
      </c>
      <c r="K31" s="455"/>
      <c r="L31" s="455"/>
      <c r="M31" s="455"/>
      <c r="N31" s="455"/>
      <c r="O31" s="455"/>
      <c r="P31" s="455"/>
      <c r="Q31" s="455"/>
      <c r="R31" s="455"/>
      <c r="S31" s="455"/>
      <c r="T31" s="455"/>
      <c r="U31" s="455"/>
      <c r="V31" s="455"/>
      <c r="W31" s="455"/>
      <c r="X31" s="455"/>
      <c r="Y31" s="455"/>
      <c r="Z31" s="455"/>
      <c r="AA31" s="455"/>
      <c r="AB31" s="455"/>
      <c r="AC31" s="455"/>
      <c r="AD31" s="455"/>
      <c r="AE31" s="455"/>
      <c r="AF31" s="455"/>
      <c r="AG31" s="455"/>
      <c r="AH31" s="455"/>
      <c r="AI31" s="455"/>
      <c r="AJ31" s="455"/>
      <c r="AK31" s="455"/>
      <c r="AL31" s="455"/>
      <c r="AM31" s="455"/>
      <c r="AN31" s="455"/>
      <c r="AO31" s="455"/>
      <c r="AP31" s="455"/>
      <c r="AQ31" s="455"/>
      <c r="AR31" s="455"/>
      <c r="AS31" s="455"/>
      <c r="AT31" s="455"/>
      <c r="AU31" s="455"/>
      <c r="AV31" s="455"/>
      <c r="AW31" s="455"/>
      <c r="AX31" s="455"/>
      <c r="AY31" s="455"/>
      <c r="AZ31" s="455"/>
      <c r="BA31" s="455"/>
      <c r="BB31" s="455"/>
      <c r="BC31" s="455"/>
      <c r="BD31" s="455"/>
      <c r="BE31" s="455"/>
      <c r="BF31" s="455"/>
      <c r="BG31" s="455"/>
      <c r="BH31" s="455"/>
      <c r="BI31" s="455"/>
      <c r="BJ31" s="455"/>
      <c r="BK31" s="455"/>
      <c r="BL31" s="455"/>
      <c r="BM31" s="455"/>
      <c r="BN31" s="455"/>
      <c r="BO31" s="455"/>
      <c r="BP31" s="455"/>
      <c r="BQ31" s="455"/>
      <c r="BR31" s="455"/>
      <c r="BS31" s="455"/>
      <c r="BT31" s="455"/>
      <c r="BU31" s="455"/>
      <c r="BV31" s="455"/>
      <c r="BW31" s="455"/>
      <c r="BX31" s="455"/>
      <c r="BY31" s="455"/>
      <c r="BZ31" s="455"/>
      <c r="CA31" s="455"/>
      <c r="CB31" s="455"/>
      <c r="CC31" s="455"/>
      <c r="CD31" s="455"/>
      <c r="CE31" s="455"/>
      <c r="CF31" s="455"/>
      <c r="CG31" s="455"/>
      <c r="CH31" s="455"/>
      <c r="CI31" s="455"/>
      <c r="CJ31" s="455"/>
      <c r="CK31" s="455"/>
      <c r="CL31" s="455"/>
      <c r="CM31" s="455"/>
      <c r="CN31" s="455"/>
      <c r="CO31" s="455"/>
      <c r="CP31" s="455"/>
      <c r="CQ31" s="455"/>
      <c r="CR31" s="455"/>
      <c r="CS31" s="455"/>
      <c r="CT31" s="455"/>
      <c r="CU31" s="455"/>
      <c r="CV31" s="455"/>
      <c r="CW31" s="455"/>
      <c r="CX31" s="455"/>
      <c r="CY31" s="455"/>
      <c r="CZ31" s="455"/>
      <c r="DA31" s="455"/>
      <c r="DB31" s="455"/>
      <c r="DC31" s="455"/>
      <c r="DD31" s="455"/>
      <c r="DE31" s="455"/>
      <c r="DF31" s="455"/>
      <c r="DG31" s="455"/>
      <c r="DH31" s="455"/>
      <c r="DI31" s="455"/>
      <c r="DJ31" s="455"/>
      <c r="DK31" s="455"/>
      <c r="DL31" s="455"/>
      <c r="DM31" s="455"/>
      <c r="DN31" s="455"/>
      <c r="DO31" s="455"/>
      <c r="DP31" s="455"/>
      <c r="DQ31" s="455"/>
      <c r="DR31" s="455"/>
      <c r="DS31" s="455"/>
      <c r="DT31" s="455"/>
      <c r="DU31" s="455"/>
      <c r="DV31" s="455"/>
      <c r="DW31" s="455"/>
      <c r="DX31" s="455"/>
      <c r="DY31" s="455"/>
      <c r="DZ31" s="455"/>
      <c r="EA31" s="455"/>
      <c r="EB31" s="455"/>
      <c r="EC31" s="455"/>
      <c r="ED31" s="455"/>
      <c r="EE31" s="455"/>
      <c r="EF31" s="455"/>
      <c r="EG31" s="455"/>
      <c r="EH31" s="455"/>
      <c r="EI31" s="455"/>
      <c r="EJ31" s="455"/>
      <c r="EK31" s="455"/>
      <c r="EL31" s="455"/>
      <c r="EM31" s="455"/>
      <c r="EN31" s="455"/>
      <c r="EO31" s="455"/>
      <c r="EP31" s="455"/>
      <c r="EQ31" s="455"/>
      <c r="ER31" s="455"/>
      <c r="ES31" s="455"/>
      <c r="ET31" s="455"/>
      <c r="EU31" s="455"/>
      <c r="EV31" s="455"/>
      <c r="EW31" s="455"/>
      <c r="EX31" s="455"/>
      <c r="EY31" s="455"/>
      <c r="EZ31" s="455"/>
      <c r="FA31" s="455"/>
      <c r="FB31" s="455"/>
      <c r="FC31" s="455"/>
    </row>
    <row r="32" spans="1:159" ht="220.5" customHeight="1">
      <c r="A32" s="313" t="str">
        <f t="shared" ref="A32" ca="1" si="5">IF(AND($D$1&gt;=C32,$D$1&lt;=D32),"CurrentSprint","NA")</f>
        <v>NA</v>
      </c>
      <c r="B32" s="229" t="s">
        <v>104</v>
      </c>
      <c r="C32" s="427">
        <v>45729</v>
      </c>
      <c r="D32" s="427">
        <v>45743</v>
      </c>
      <c r="E32" s="327">
        <v>14</v>
      </c>
      <c r="F32" s="374">
        <v>19</v>
      </c>
      <c r="G32" s="447" t="s">
        <v>105</v>
      </c>
      <c r="H32" s="461"/>
      <c r="I32" s="461" t="s">
        <v>106</v>
      </c>
      <c r="J32" s="305" t="s">
        <v>107</v>
      </c>
      <c r="K32" s="203"/>
      <c r="L32" s="229"/>
      <c r="M32" s="229"/>
      <c r="N32" s="229"/>
      <c r="O32" s="229"/>
      <c r="P32" s="229"/>
      <c r="Q32" s="229"/>
      <c r="R32" s="229"/>
      <c r="S32" s="229"/>
      <c r="T32" s="229"/>
      <c r="U32" s="229"/>
      <c r="V32" s="229"/>
      <c r="W32" s="229"/>
      <c r="X32" s="229"/>
      <c r="Y32" s="229"/>
      <c r="Z32" s="229"/>
      <c r="AA32" s="229"/>
      <c r="AB32" s="229"/>
      <c r="AC32" s="229"/>
      <c r="AD32" s="229"/>
      <c r="AE32" s="229"/>
      <c r="AF32" s="229"/>
      <c r="AG32" s="229"/>
      <c r="AH32" s="229"/>
      <c r="AI32" s="229"/>
      <c r="AJ32" s="229"/>
      <c r="AK32" s="229"/>
      <c r="AL32" s="229"/>
      <c r="AM32" s="229"/>
      <c r="AN32" s="229"/>
      <c r="AO32" s="229"/>
      <c r="AP32" s="229"/>
      <c r="AQ32" s="229"/>
      <c r="AR32" s="229"/>
      <c r="AS32" s="229"/>
      <c r="AT32" s="229"/>
      <c r="AU32" s="229"/>
      <c r="AV32" s="229"/>
      <c r="AW32" s="229"/>
      <c r="AX32" s="229"/>
      <c r="AY32" s="229"/>
      <c r="AZ32" s="229"/>
      <c r="BA32" s="229"/>
      <c r="BB32" s="229"/>
      <c r="BC32" s="229"/>
      <c r="BD32" s="229"/>
      <c r="BE32" s="229"/>
      <c r="BF32" s="229"/>
      <c r="BG32" s="229"/>
      <c r="BH32" s="229"/>
      <c r="BI32" s="229"/>
      <c r="BJ32" s="229"/>
      <c r="BK32" s="229"/>
      <c r="BL32" s="229"/>
      <c r="BM32" s="229"/>
      <c r="BN32" s="229"/>
      <c r="BO32" s="229"/>
      <c r="BP32" s="229"/>
      <c r="BQ32" s="229"/>
      <c r="BR32" s="229"/>
      <c r="BS32" s="229"/>
      <c r="BT32" s="229"/>
      <c r="BU32" s="229"/>
      <c r="BV32" s="229"/>
      <c r="BW32" s="229"/>
      <c r="BX32" s="229"/>
      <c r="BY32" s="229"/>
      <c r="BZ32" s="229"/>
      <c r="CA32" s="229"/>
      <c r="CB32" s="229"/>
      <c r="CC32" s="229"/>
      <c r="CD32" s="229"/>
      <c r="CE32" s="229"/>
      <c r="CF32" s="229"/>
      <c r="CG32" s="229"/>
      <c r="CH32" s="229"/>
      <c r="CI32" s="229"/>
      <c r="CJ32" s="229"/>
      <c r="CK32" s="229"/>
      <c r="CL32" s="229"/>
      <c r="CM32" s="229"/>
      <c r="CN32" s="229"/>
      <c r="CO32" s="229"/>
      <c r="CP32" s="229"/>
      <c r="CQ32" s="229"/>
      <c r="CR32" s="229"/>
      <c r="CS32" s="229"/>
      <c r="CT32" s="229"/>
      <c r="CU32" s="229"/>
      <c r="CV32" s="229"/>
      <c r="CW32" s="229"/>
      <c r="CX32" s="229"/>
      <c r="CY32" s="229"/>
      <c r="CZ32" s="229"/>
      <c r="DA32" s="229"/>
      <c r="DB32" s="229"/>
      <c r="DC32" s="229"/>
      <c r="DD32" s="229"/>
      <c r="DE32" s="229"/>
      <c r="DF32" s="229"/>
      <c r="DG32" s="229"/>
      <c r="DH32" s="229"/>
      <c r="DI32" s="229"/>
      <c r="DJ32" s="229"/>
      <c r="DK32" s="229"/>
      <c r="DL32" s="229"/>
      <c r="DM32" s="229"/>
      <c r="DN32" s="229"/>
      <c r="DO32" s="229"/>
      <c r="DP32" s="229"/>
      <c r="DQ32" s="229"/>
      <c r="DR32" s="229"/>
      <c r="DS32" s="229"/>
      <c r="DT32" s="229"/>
      <c r="DU32" s="229"/>
      <c r="DV32" s="229"/>
      <c r="DW32" s="229"/>
      <c r="DX32" s="229"/>
      <c r="DY32" s="229"/>
      <c r="DZ32" s="229"/>
      <c r="EA32" s="229"/>
      <c r="EB32" s="229"/>
      <c r="EC32" s="229"/>
      <c r="ED32" s="229"/>
      <c r="EE32" s="229"/>
      <c r="EF32" s="229"/>
      <c r="EG32" s="229"/>
      <c r="EH32" s="229"/>
      <c r="EI32" s="229"/>
      <c r="EJ32" s="229"/>
      <c r="EK32" s="229"/>
      <c r="EL32" s="229"/>
      <c r="EM32" s="229"/>
      <c r="EN32" s="229"/>
      <c r="EO32" s="229"/>
      <c r="EP32" s="229"/>
      <c r="EQ32" s="229"/>
      <c r="ER32" s="229"/>
      <c r="ES32" s="229"/>
      <c r="ET32" s="229"/>
      <c r="EU32" s="229"/>
      <c r="EV32" s="229"/>
      <c r="EW32" s="229"/>
      <c r="EX32" s="229"/>
      <c r="EY32" s="229"/>
      <c r="EZ32" s="229"/>
      <c r="FA32" s="229"/>
      <c r="FB32" s="229"/>
      <c r="FC32" s="229"/>
    </row>
    <row r="33" spans="1:159" ht="256.5" customHeight="1">
      <c r="A33" s="83" t="str">
        <f t="shared" ref="A33:A35" ca="1" si="6">IF(AND($D$1&gt;=C33,$D$1&lt;=D33),"CurrentSprint","NA")</f>
        <v>NA</v>
      </c>
      <c r="B33" s="203" t="s">
        <v>108</v>
      </c>
      <c r="C33" s="428">
        <v>45743</v>
      </c>
      <c r="D33" s="428">
        <v>45757</v>
      </c>
      <c r="E33" s="228">
        <v>14</v>
      </c>
      <c r="F33" s="362">
        <v>11</v>
      </c>
      <c r="G33" s="447" t="s">
        <v>29</v>
      </c>
      <c r="H33" s="146"/>
      <c r="I33" s="90" t="s">
        <v>109</v>
      </c>
      <c r="J33" s="90" t="s">
        <v>110</v>
      </c>
      <c r="K33" s="321" t="s">
        <v>111</v>
      </c>
      <c r="L33" s="203"/>
      <c r="M33" s="203"/>
      <c r="N33" s="203"/>
      <c r="O33" s="203"/>
      <c r="P33" s="203"/>
      <c r="Q33" s="203"/>
      <c r="R33" s="203"/>
      <c r="S33" s="203"/>
      <c r="T33" s="203"/>
      <c r="U33" s="203"/>
      <c r="V33" s="203"/>
      <c r="W33" s="203"/>
      <c r="X33" s="203"/>
      <c r="Y33" s="203"/>
      <c r="Z33" s="203"/>
      <c r="AA33" s="203"/>
      <c r="AB33" s="203"/>
      <c r="AC33" s="203"/>
      <c r="AD33" s="203"/>
      <c r="AE33" s="203"/>
      <c r="AF33" s="203"/>
      <c r="AG33" s="203"/>
      <c r="AH33" s="203"/>
      <c r="AI33" s="203"/>
      <c r="AJ33" s="203"/>
      <c r="AK33" s="203"/>
      <c r="AL33" s="203"/>
      <c r="AM33" s="203"/>
      <c r="AN33" s="203"/>
      <c r="AO33" s="203"/>
      <c r="AP33" s="203"/>
      <c r="AQ33" s="203"/>
      <c r="AR33" s="203"/>
      <c r="AS33" s="203"/>
      <c r="AT33" s="203"/>
      <c r="AU33" s="203"/>
      <c r="AV33" s="203"/>
      <c r="AW33" s="203"/>
      <c r="AX33" s="203"/>
      <c r="AY33" s="203"/>
      <c r="AZ33" s="203"/>
      <c r="BA33" s="203"/>
      <c r="BB33" s="203"/>
      <c r="BC33" s="203"/>
      <c r="BD33" s="203"/>
      <c r="BE33" s="203"/>
      <c r="BF33" s="203"/>
      <c r="BG33" s="203"/>
      <c r="BH33" s="203"/>
      <c r="BI33" s="203"/>
      <c r="BJ33" s="203"/>
      <c r="BK33" s="203"/>
      <c r="BL33" s="203"/>
      <c r="BM33" s="203"/>
      <c r="BN33" s="203"/>
      <c r="BO33" s="203"/>
      <c r="BP33" s="203"/>
      <c r="BQ33" s="203"/>
      <c r="BR33" s="203"/>
      <c r="BS33" s="203"/>
      <c r="BT33" s="203"/>
      <c r="BU33" s="203"/>
      <c r="BV33" s="203"/>
      <c r="BW33" s="203"/>
      <c r="BX33" s="203"/>
      <c r="BY33" s="203"/>
      <c r="BZ33" s="203"/>
      <c r="CA33" s="203"/>
      <c r="CB33" s="203"/>
      <c r="CC33" s="203"/>
      <c r="CD33" s="203"/>
      <c r="CE33" s="203"/>
      <c r="CF33" s="203"/>
      <c r="CG33" s="203"/>
      <c r="CH33" s="203"/>
      <c r="CI33" s="203"/>
      <c r="CJ33" s="203"/>
      <c r="CK33" s="203"/>
      <c r="CL33" s="203"/>
      <c r="CM33" s="203"/>
      <c r="CN33" s="203"/>
      <c r="CO33" s="203"/>
      <c r="CP33" s="203"/>
      <c r="CQ33" s="203"/>
      <c r="CR33" s="203"/>
      <c r="CS33" s="203"/>
      <c r="CT33" s="203"/>
      <c r="CU33" s="203"/>
      <c r="CV33" s="203"/>
      <c r="CW33" s="203"/>
      <c r="CX33" s="203"/>
      <c r="CY33" s="203"/>
      <c r="CZ33" s="203"/>
      <c r="DA33" s="203"/>
      <c r="DB33" s="203"/>
      <c r="DC33" s="203"/>
      <c r="DD33" s="203"/>
      <c r="DE33" s="203"/>
      <c r="DF33" s="203"/>
      <c r="DG33" s="203"/>
      <c r="DH33" s="203"/>
      <c r="DI33" s="203"/>
      <c r="DJ33" s="203"/>
      <c r="DK33" s="203"/>
      <c r="DL33" s="203"/>
      <c r="DM33" s="203"/>
      <c r="DN33" s="203"/>
      <c r="DO33" s="203"/>
      <c r="DP33" s="203"/>
      <c r="DQ33" s="203"/>
      <c r="DR33" s="203"/>
      <c r="DS33" s="203"/>
      <c r="DT33" s="203"/>
      <c r="DU33" s="203"/>
      <c r="DV33" s="203"/>
      <c r="DW33" s="203"/>
      <c r="DX33" s="203"/>
      <c r="DY33" s="203"/>
      <c r="DZ33" s="203"/>
      <c r="EA33" s="203"/>
      <c r="EB33" s="203"/>
      <c r="EC33" s="203"/>
      <c r="ED33" s="203"/>
      <c r="EE33" s="203"/>
      <c r="EF33" s="203"/>
      <c r="EG33" s="203"/>
      <c r="EH33" s="203"/>
      <c r="EI33" s="203"/>
      <c r="EJ33" s="203"/>
      <c r="EK33" s="203"/>
      <c r="EL33" s="203"/>
      <c r="EM33" s="203"/>
      <c r="EN33" s="203"/>
      <c r="EO33" s="203"/>
      <c r="EP33" s="203"/>
      <c r="EQ33" s="203"/>
      <c r="ER33" s="203"/>
      <c r="ES33" s="203"/>
      <c r="ET33" s="203"/>
      <c r="EU33" s="203"/>
      <c r="EV33" s="203"/>
      <c r="EW33" s="203"/>
      <c r="EX33" s="203"/>
      <c r="EY33" s="203"/>
      <c r="EZ33" s="203"/>
      <c r="FA33" s="203"/>
      <c r="FB33" s="203"/>
      <c r="FC33" s="203"/>
    </row>
    <row r="34" spans="1:159" ht="240.75" customHeight="1">
      <c r="A34" s="83" t="str">
        <f t="shared" ca="1" si="6"/>
        <v>NA</v>
      </c>
      <c r="B34" s="203" t="s">
        <v>112</v>
      </c>
      <c r="C34" s="428">
        <v>45757</v>
      </c>
      <c r="D34" s="428">
        <v>45771</v>
      </c>
      <c r="E34" s="228">
        <v>11</v>
      </c>
      <c r="F34" s="362">
        <v>14</v>
      </c>
      <c r="G34" s="447" t="s">
        <v>25</v>
      </c>
      <c r="H34" s="146"/>
      <c r="I34" s="90" t="s">
        <v>113</v>
      </c>
      <c r="J34" s="183" t="s">
        <v>114</v>
      </c>
      <c r="K34" s="350" t="s">
        <v>115</v>
      </c>
      <c r="L34" s="203"/>
      <c r="M34" s="203"/>
      <c r="N34" s="203"/>
      <c r="O34" s="203"/>
      <c r="P34" s="203"/>
      <c r="Q34" s="203"/>
      <c r="R34" s="203"/>
      <c r="S34" s="203"/>
      <c r="T34" s="203"/>
      <c r="U34" s="203"/>
      <c r="V34" s="203"/>
      <c r="W34" s="203"/>
      <c r="X34" s="203"/>
      <c r="Y34" s="203"/>
      <c r="Z34" s="203"/>
      <c r="AA34" s="203"/>
      <c r="AB34" s="203"/>
      <c r="AC34" s="203"/>
      <c r="AD34" s="203"/>
      <c r="AE34" s="203"/>
      <c r="AF34" s="203"/>
      <c r="AG34" s="203"/>
      <c r="AH34" s="203"/>
      <c r="AI34" s="203"/>
      <c r="AJ34" s="203"/>
      <c r="AK34" s="203"/>
      <c r="AL34" s="203"/>
      <c r="AM34" s="203"/>
      <c r="AN34" s="203"/>
      <c r="AO34" s="203"/>
      <c r="AP34" s="203"/>
      <c r="AQ34" s="203"/>
      <c r="AR34" s="203"/>
      <c r="AS34" s="203"/>
      <c r="AT34" s="203"/>
      <c r="AU34" s="203"/>
      <c r="AV34" s="203"/>
      <c r="AW34" s="203"/>
      <c r="AX34" s="203"/>
      <c r="AY34" s="203"/>
      <c r="AZ34" s="203"/>
      <c r="BA34" s="203"/>
      <c r="BB34" s="203"/>
      <c r="BC34" s="203"/>
      <c r="BD34" s="203"/>
      <c r="BE34" s="203"/>
      <c r="BF34" s="203"/>
      <c r="BG34" s="203"/>
      <c r="BH34" s="203"/>
      <c r="BI34" s="203"/>
      <c r="BJ34" s="203"/>
      <c r="BK34" s="203"/>
      <c r="BL34" s="203"/>
      <c r="BM34" s="203"/>
      <c r="BN34" s="203"/>
      <c r="BO34" s="203"/>
      <c r="BP34" s="203"/>
      <c r="BQ34" s="203"/>
      <c r="BR34" s="203"/>
      <c r="BS34" s="203"/>
      <c r="BT34" s="203"/>
      <c r="BU34" s="203"/>
      <c r="BV34" s="203"/>
      <c r="BW34" s="203"/>
      <c r="BX34" s="203"/>
      <c r="BY34" s="203"/>
      <c r="BZ34" s="203"/>
      <c r="CA34" s="203"/>
      <c r="CB34" s="203"/>
      <c r="CC34" s="203"/>
      <c r="CD34" s="203"/>
      <c r="CE34" s="203"/>
      <c r="CF34" s="203"/>
      <c r="CG34" s="203"/>
      <c r="CH34" s="203"/>
      <c r="CI34" s="203"/>
      <c r="CJ34" s="203"/>
      <c r="CK34" s="203"/>
      <c r="CL34" s="203"/>
      <c r="CM34" s="203"/>
      <c r="CN34" s="203"/>
      <c r="CO34" s="203"/>
      <c r="CP34" s="203"/>
      <c r="CQ34" s="203"/>
      <c r="CR34" s="203"/>
      <c r="CS34" s="203"/>
      <c r="CT34" s="203"/>
      <c r="CU34" s="203"/>
      <c r="CV34" s="203"/>
      <c r="CW34" s="203"/>
      <c r="CX34" s="203"/>
      <c r="CY34" s="203"/>
      <c r="CZ34" s="203"/>
      <c r="DA34" s="203"/>
      <c r="DB34" s="203"/>
      <c r="DC34" s="203"/>
      <c r="DD34" s="203"/>
      <c r="DE34" s="203"/>
      <c r="DF34" s="203"/>
      <c r="DG34" s="203"/>
      <c r="DH34" s="203"/>
      <c r="DI34" s="203"/>
      <c r="DJ34" s="203"/>
      <c r="DK34" s="203"/>
      <c r="DL34" s="203"/>
      <c r="DM34" s="203"/>
      <c r="DN34" s="203"/>
      <c r="DO34" s="203"/>
      <c r="DP34" s="203"/>
      <c r="DQ34" s="203"/>
      <c r="DR34" s="203"/>
      <c r="DS34" s="203"/>
      <c r="DT34" s="203"/>
      <c r="DU34" s="203"/>
      <c r="DV34" s="203"/>
      <c r="DW34" s="203"/>
      <c r="DX34" s="203"/>
      <c r="DY34" s="203"/>
      <c r="DZ34" s="203"/>
      <c r="EA34" s="203"/>
      <c r="EB34" s="203"/>
      <c r="EC34" s="203"/>
      <c r="ED34" s="203"/>
      <c r="EE34" s="203"/>
      <c r="EF34" s="203"/>
      <c r="EG34" s="203"/>
      <c r="EH34" s="203"/>
      <c r="EI34" s="203"/>
      <c r="EJ34" s="203"/>
      <c r="EK34" s="203"/>
      <c r="EL34" s="203"/>
      <c r="EM34" s="203"/>
      <c r="EN34" s="203"/>
      <c r="EO34" s="203"/>
      <c r="EP34" s="203"/>
      <c r="EQ34" s="203"/>
      <c r="ER34" s="203"/>
      <c r="ES34" s="203"/>
      <c r="ET34" s="203"/>
      <c r="EU34" s="203"/>
      <c r="EV34" s="203"/>
      <c r="EW34" s="203"/>
      <c r="EX34" s="203"/>
      <c r="EY34" s="203"/>
      <c r="EZ34" s="203"/>
      <c r="FA34" s="203"/>
      <c r="FB34" s="203"/>
      <c r="FC34" s="203"/>
    </row>
    <row r="35" spans="1:159" ht="255" customHeight="1">
      <c r="A35" s="83" t="str">
        <f t="shared" ca="1" si="6"/>
        <v>NA</v>
      </c>
      <c r="B35" s="316" t="s">
        <v>116</v>
      </c>
      <c r="C35" s="428">
        <v>45771</v>
      </c>
      <c r="D35" s="428">
        <v>45785</v>
      </c>
      <c r="E35" s="228">
        <v>15</v>
      </c>
      <c r="F35" s="362">
        <v>11</v>
      </c>
      <c r="G35" s="447" t="s">
        <v>29</v>
      </c>
      <c r="H35" s="146"/>
      <c r="I35" s="90" t="s">
        <v>117</v>
      </c>
      <c r="J35" s="183" t="s">
        <v>118</v>
      </c>
      <c r="K35" s="350" t="s">
        <v>119</v>
      </c>
      <c r="L35" s="203"/>
      <c r="M35" s="203"/>
      <c r="N35" s="203"/>
      <c r="O35" s="203"/>
      <c r="P35" s="203"/>
      <c r="Q35" s="203"/>
      <c r="R35" s="203"/>
      <c r="S35" s="203"/>
      <c r="T35" s="203"/>
      <c r="U35" s="203"/>
      <c r="V35" s="203"/>
      <c r="W35" s="203"/>
      <c r="X35" s="203"/>
      <c r="Y35" s="203"/>
      <c r="Z35" s="203"/>
      <c r="AA35" s="203"/>
      <c r="AB35" s="203"/>
      <c r="AC35" s="203"/>
      <c r="AD35" s="203"/>
      <c r="AE35" s="203"/>
      <c r="AF35" s="203"/>
      <c r="AG35" s="203"/>
      <c r="AH35" s="203"/>
      <c r="AI35" s="203"/>
      <c r="AJ35" s="203"/>
      <c r="AK35" s="203"/>
      <c r="AL35" s="203"/>
      <c r="AM35" s="203"/>
      <c r="AN35" s="203"/>
      <c r="AO35" s="203"/>
      <c r="AP35" s="203"/>
      <c r="AQ35" s="203"/>
      <c r="AR35" s="203"/>
      <c r="AS35" s="203"/>
      <c r="AT35" s="203"/>
      <c r="AU35" s="203"/>
      <c r="AV35" s="203"/>
      <c r="AW35" s="203"/>
      <c r="AX35" s="203"/>
      <c r="AY35" s="203"/>
      <c r="AZ35" s="203"/>
      <c r="BA35" s="203"/>
      <c r="BB35" s="203"/>
      <c r="BC35" s="203"/>
      <c r="BD35" s="203"/>
      <c r="BE35" s="203"/>
      <c r="BF35" s="203"/>
      <c r="BG35" s="203"/>
      <c r="BH35" s="203"/>
      <c r="BI35" s="203"/>
      <c r="BJ35" s="203"/>
      <c r="BK35" s="203"/>
      <c r="BL35" s="203"/>
      <c r="BM35" s="203"/>
      <c r="BN35" s="203"/>
      <c r="BO35" s="203"/>
      <c r="BP35" s="203"/>
      <c r="BQ35" s="203"/>
      <c r="BR35" s="203"/>
      <c r="BS35" s="203"/>
      <c r="BT35" s="203"/>
      <c r="BU35" s="203"/>
      <c r="BV35" s="203"/>
      <c r="BW35" s="203"/>
      <c r="BX35" s="203"/>
      <c r="BY35" s="203"/>
      <c r="BZ35" s="203"/>
      <c r="CA35" s="203"/>
      <c r="CB35" s="203"/>
      <c r="CC35" s="203"/>
      <c r="CD35" s="203"/>
      <c r="CE35" s="203"/>
      <c r="CF35" s="203"/>
      <c r="CG35" s="203"/>
      <c r="CH35" s="203"/>
      <c r="CI35" s="203"/>
      <c r="CJ35" s="203"/>
      <c r="CK35" s="203"/>
      <c r="CL35" s="203"/>
      <c r="CM35" s="203"/>
      <c r="CN35" s="203"/>
      <c r="CO35" s="203"/>
      <c r="CP35" s="203"/>
      <c r="CQ35" s="203"/>
      <c r="CR35" s="203"/>
      <c r="CS35" s="203"/>
      <c r="CT35" s="203"/>
      <c r="CU35" s="203"/>
      <c r="CV35" s="203"/>
      <c r="CW35" s="203"/>
      <c r="CX35" s="203"/>
      <c r="CY35" s="203"/>
      <c r="CZ35" s="203"/>
      <c r="DA35" s="203"/>
      <c r="DB35" s="203"/>
      <c r="DC35" s="203"/>
      <c r="DD35" s="203"/>
      <c r="DE35" s="203"/>
      <c r="DF35" s="203"/>
      <c r="DG35" s="203"/>
      <c r="DH35" s="203"/>
      <c r="DI35" s="203"/>
      <c r="DJ35" s="203"/>
      <c r="DK35" s="203"/>
      <c r="DL35" s="203"/>
      <c r="DM35" s="203"/>
      <c r="DN35" s="203"/>
      <c r="DO35" s="203"/>
      <c r="DP35" s="203"/>
      <c r="DQ35" s="203"/>
      <c r="DR35" s="203"/>
      <c r="DS35" s="203"/>
      <c r="DT35" s="203"/>
      <c r="DU35" s="203"/>
      <c r="DV35" s="203"/>
      <c r="DW35" s="203"/>
      <c r="DX35" s="203"/>
      <c r="DY35" s="203"/>
      <c r="DZ35" s="203"/>
      <c r="EA35" s="203"/>
      <c r="EB35" s="203"/>
      <c r="EC35" s="203"/>
      <c r="ED35" s="203"/>
      <c r="EE35" s="203"/>
      <c r="EF35" s="203"/>
      <c r="EG35" s="203"/>
      <c r="EH35" s="203"/>
      <c r="EI35" s="203"/>
      <c r="EJ35" s="203"/>
      <c r="EK35" s="203"/>
      <c r="EL35" s="203"/>
      <c r="EM35" s="203"/>
      <c r="EN35" s="203"/>
      <c r="EO35" s="203"/>
      <c r="EP35" s="203"/>
      <c r="EQ35" s="203"/>
      <c r="ER35" s="203"/>
      <c r="ES35" s="203"/>
      <c r="ET35" s="203"/>
      <c r="EU35" s="203"/>
      <c r="EV35" s="203"/>
      <c r="EW35" s="203"/>
      <c r="EX35" s="203"/>
      <c r="EY35" s="203"/>
      <c r="EZ35" s="203"/>
      <c r="FA35" s="203"/>
      <c r="FB35" s="203"/>
      <c r="FC35" s="203"/>
    </row>
    <row r="36" spans="1:159" ht="150.75" customHeight="1">
      <c r="A36" s="83" t="str">
        <f t="shared" ref="A36" ca="1" si="7">IF(AND($D$1&gt;=C36,$D$1&lt;=D36),"CurrentSprint","NA")</f>
        <v>NA</v>
      </c>
      <c r="B36" s="316" t="s">
        <v>120</v>
      </c>
      <c r="C36" s="428">
        <v>45785</v>
      </c>
      <c r="D36" s="428">
        <v>45799</v>
      </c>
      <c r="E36" s="228">
        <v>15</v>
      </c>
      <c r="F36" s="362">
        <v>15</v>
      </c>
      <c r="G36" s="447" t="s">
        <v>29</v>
      </c>
      <c r="H36" s="146"/>
      <c r="I36" s="90" t="s">
        <v>121</v>
      </c>
      <c r="J36" s="183" t="s">
        <v>122</v>
      </c>
      <c r="K36" s="350" t="s">
        <v>123</v>
      </c>
      <c r="L36" s="203"/>
      <c r="M36" s="203"/>
      <c r="N36" s="203"/>
      <c r="O36" s="203"/>
      <c r="P36" s="203"/>
      <c r="Q36" s="203"/>
      <c r="R36" s="203"/>
      <c r="S36" s="203"/>
      <c r="T36" s="203"/>
      <c r="U36" s="203"/>
      <c r="V36" s="203"/>
      <c r="W36" s="203"/>
      <c r="X36" s="203"/>
      <c r="Y36" s="203"/>
      <c r="Z36" s="203"/>
      <c r="AA36" s="203"/>
      <c r="AB36" s="203"/>
      <c r="AC36" s="203"/>
      <c r="AD36" s="203"/>
      <c r="AE36" s="203"/>
      <c r="AF36" s="203"/>
      <c r="AG36" s="203"/>
      <c r="AH36" s="203"/>
      <c r="AI36" s="203"/>
      <c r="AJ36" s="203"/>
      <c r="AK36" s="203"/>
      <c r="AL36" s="203"/>
      <c r="AM36" s="203"/>
      <c r="AN36" s="203"/>
      <c r="AO36" s="203"/>
      <c r="AP36" s="203"/>
      <c r="AQ36" s="203"/>
      <c r="AR36" s="203"/>
      <c r="AS36" s="203"/>
      <c r="AT36" s="203"/>
      <c r="AU36" s="203"/>
      <c r="AV36" s="203"/>
      <c r="AW36" s="203"/>
      <c r="AX36" s="203"/>
      <c r="AY36" s="203"/>
      <c r="AZ36" s="203"/>
      <c r="BA36" s="203"/>
      <c r="BB36" s="203"/>
      <c r="BC36" s="203"/>
      <c r="BD36" s="203"/>
      <c r="BE36" s="203"/>
      <c r="BF36" s="203"/>
      <c r="BG36" s="203"/>
      <c r="BH36" s="203"/>
      <c r="BI36" s="203"/>
      <c r="BJ36" s="203"/>
      <c r="BK36" s="203"/>
      <c r="BL36" s="203"/>
      <c r="BM36" s="203"/>
      <c r="BN36" s="203"/>
      <c r="BO36" s="203"/>
      <c r="BP36" s="203"/>
      <c r="BQ36" s="203"/>
      <c r="BR36" s="203"/>
      <c r="BS36" s="203"/>
      <c r="BT36" s="203"/>
      <c r="BU36" s="203"/>
      <c r="BV36" s="203"/>
      <c r="BW36" s="203"/>
      <c r="BX36" s="203"/>
      <c r="BY36" s="203"/>
      <c r="BZ36" s="203"/>
      <c r="CA36" s="203"/>
      <c r="CB36" s="203"/>
      <c r="CC36" s="203"/>
      <c r="CD36" s="203"/>
      <c r="CE36" s="203"/>
      <c r="CF36" s="203"/>
      <c r="CG36" s="203"/>
      <c r="CH36" s="203"/>
      <c r="CI36" s="203"/>
      <c r="CJ36" s="203"/>
      <c r="CK36" s="203"/>
      <c r="CL36" s="203"/>
      <c r="CM36" s="203"/>
      <c r="CN36" s="203"/>
      <c r="CO36" s="203"/>
      <c r="CP36" s="203"/>
      <c r="CQ36" s="203"/>
      <c r="CR36" s="203"/>
      <c r="CS36" s="203"/>
      <c r="CT36" s="203"/>
      <c r="CU36" s="203"/>
      <c r="CV36" s="203"/>
      <c r="CW36" s="203"/>
      <c r="CX36" s="203"/>
      <c r="CY36" s="203"/>
      <c r="CZ36" s="203"/>
      <c r="DA36" s="203"/>
      <c r="DB36" s="203"/>
      <c r="DC36" s="203"/>
      <c r="DD36" s="203"/>
      <c r="DE36" s="203"/>
      <c r="DF36" s="203"/>
      <c r="DG36" s="203"/>
      <c r="DH36" s="203"/>
      <c r="DI36" s="203"/>
      <c r="DJ36" s="203"/>
      <c r="DK36" s="203"/>
      <c r="DL36" s="203"/>
      <c r="DM36" s="203"/>
      <c r="DN36" s="203"/>
      <c r="DO36" s="203"/>
      <c r="DP36" s="203"/>
      <c r="DQ36" s="203"/>
      <c r="DR36" s="203"/>
      <c r="DS36" s="203"/>
      <c r="DT36" s="203"/>
      <c r="DU36" s="203"/>
      <c r="DV36" s="203"/>
      <c r="DW36" s="203"/>
      <c r="DX36" s="203"/>
      <c r="DY36" s="203"/>
      <c r="DZ36" s="203"/>
      <c r="EA36" s="203"/>
      <c r="EB36" s="203"/>
      <c r="EC36" s="203"/>
      <c r="ED36" s="203"/>
      <c r="EE36" s="203"/>
      <c r="EF36" s="203"/>
      <c r="EG36" s="203"/>
      <c r="EH36" s="203"/>
      <c r="EI36" s="203"/>
      <c r="EJ36" s="203"/>
      <c r="EK36" s="203"/>
      <c r="EL36" s="203"/>
      <c r="EM36" s="203"/>
      <c r="EN36" s="203"/>
      <c r="EO36" s="203"/>
      <c r="EP36" s="203"/>
      <c r="EQ36" s="203"/>
      <c r="ER36" s="203"/>
      <c r="ES36" s="203"/>
      <c r="ET36" s="203"/>
      <c r="EU36" s="203"/>
      <c r="EV36" s="203"/>
      <c r="EW36" s="203"/>
      <c r="EX36" s="203"/>
      <c r="EY36" s="203"/>
      <c r="EZ36" s="203"/>
      <c r="FA36" s="203"/>
      <c r="FB36" s="203"/>
      <c r="FC36" s="203"/>
    </row>
    <row r="37" spans="1:159" ht="222.75" customHeight="1">
      <c r="A37" s="83" t="str">
        <f t="shared" ref="A37" ca="1" si="8">IF(AND($D$1&gt;=C37,$D$1&lt;=D37),"CurrentSprint","NA")</f>
        <v>NA</v>
      </c>
      <c r="B37" s="316" t="s">
        <v>124</v>
      </c>
      <c r="C37" s="428">
        <v>45800</v>
      </c>
      <c r="D37" s="428">
        <v>45814</v>
      </c>
      <c r="E37" s="228">
        <v>16</v>
      </c>
      <c r="F37" s="362">
        <v>14</v>
      </c>
      <c r="G37" s="447" t="s">
        <v>43</v>
      </c>
      <c r="H37" s="146"/>
      <c r="I37" s="90" t="s">
        <v>125</v>
      </c>
      <c r="J37" s="183" t="s">
        <v>126</v>
      </c>
      <c r="K37" s="350" t="s">
        <v>127</v>
      </c>
      <c r="L37" s="203"/>
      <c r="M37" s="203"/>
      <c r="N37" s="203"/>
      <c r="O37" s="203"/>
      <c r="P37" s="203"/>
      <c r="Q37" s="203"/>
      <c r="R37" s="203"/>
      <c r="S37" s="203"/>
      <c r="T37" s="203"/>
      <c r="U37" s="203"/>
      <c r="V37" s="203"/>
      <c r="W37" s="203"/>
      <c r="X37" s="203"/>
      <c r="Y37" s="203"/>
      <c r="Z37" s="203"/>
      <c r="AA37" s="203"/>
      <c r="AB37" s="203"/>
      <c r="AC37" s="203"/>
      <c r="AD37" s="203"/>
      <c r="AE37" s="203"/>
      <c r="AF37" s="203"/>
      <c r="AG37" s="203"/>
      <c r="AH37" s="203"/>
      <c r="AI37" s="203"/>
      <c r="AJ37" s="203"/>
      <c r="AK37" s="203"/>
      <c r="AL37" s="203"/>
      <c r="AM37" s="203"/>
      <c r="AN37" s="203"/>
      <c r="AO37" s="203"/>
      <c r="AP37" s="203"/>
      <c r="AQ37" s="203"/>
      <c r="AR37" s="203"/>
      <c r="AS37" s="203"/>
      <c r="AT37" s="203"/>
      <c r="AU37" s="203"/>
      <c r="AV37" s="203"/>
      <c r="AW37" s="203"/>
      <c r="AX37" s="203"/>
      <c r="AY37" s="203"/>
      <c r="AZ37" s="203"/>
      <c r="BA37" s="203"/>
      <c r="BB37" s="203"/>
      <c r="BC37" s="203"/>
      <c r="BD37" s="203"/>
      <c r="BE37" s="203"/>
      <c r="BF37" s="203"/>
      <c r="BG37" s="203"/>
      <c r="BH37" s="203"/>
      <c r="BI37" s="203"/>
      <c r="BJ37" s="203"/>
      <c r="BK37" s="203"/>
      <c r="BL37" s="203"/>
      <c r="BM37" s="203"/>
      <c r="BN37" s="203"/>
      <c r="BO37" s="203"/>
      <c r="BP37" s="203"/>
      <c r="BQ37" s="203"/>
      <c r="BR37" s="203"/>
      <c r="BS37" s="203"/>
      <c r="BT37" s="203"/>
      <c r="BU37" s="203"/>
      <c r="BV37" s="203"/>
      <c r="BW37" s="203"/>
      <c r="BX37" s="203"/>
      <c r="BY37" s="203"/>
      <c r="BZ37" s="203"/>
      <c r="CA37" s="203"/>
      <c r="CB37" s="203"/>
      <c r="CC37" s="203"/>
      <c r="CD37" s="203"/>
      <c r="CE37" s="203"/>
      <c r="CF37" s="203"/>
      <c r="CG37" s="203"/>
      <c r="CH37" s="203"/>
      <c r="CI37" s="203"/>
      <c r="CJ37" s="203"/>
      <c r="CK37" s="203"/>
      <c r="CL37" s="203"/>
      <c r="CM37" s="203"/>
      <c r="CN37" s="203"/>
      <c r="CO37" s="203"/>
      <c r="CP37" s="203"/>
      <c r="CQ37" s="203"/>
      <c r="CR37" s="203"/>
      <c r="CS37" s="203"/>
      <c r="CT37" s="203"/>
      <c r="CU37" s="203"/>
      <c r="CV37" s="203"/>
      <c r="CW37" s="203"/>
      <c r="CX37" s="203"/>
      <c r="CY37" s="203"/>
      <c r="CZ37" s="203"/>
      <c r="DA37" s="203"/>
      <c r="DB37" s="203"/>
      <c r="DC37" s="203"/>
      <c r="DD37" s="203"/>
      <c r="DE37" s="203"/>
      <c r="DF37" s="203"/>
      <c r="DG37" s="203"/>
      <c r="DH37" s="203"/>
      <c r="DI37" s="203"/>
      <c r="DJ37" s="203"/>
      <c r="DK37" s="203"/>
      <c r="DL37" s="203"/>
      <c r="DM37" s="203"/>
      <c r="DN37" s="203"/>
      <c r="DO37" s="203"/>
      <c r="DP37" s="203"/>
      <c r="DQ37" s="203"/>
      <c r="DR37" s="203"/>
      <c r="DS37" s="203"/>
      <c r="DT37" s="203"/>
      <c r="DU37" s="203"/>
      <c r="DV37" s="203"/>
      <c r="DW37" s="203"/>
      <c r="DX37" s="203"/>
      <c r="DY37" s="203"/>
      <c r="DZ37" s="203"/>
      <c r="EA37" s="203"/>
      <c r="EB37" s="203"/>
      <c r="EC37" s="203"/>
      <c r="ED37" s="203"/>
      <c r="EE37" s="203"/>
      <c r="EF37" s="203"/>
      <c r="EG37" s="203"/>
      <c r="EH37" s="203"/>
      <c r="EI37" s="203"/>
      <c r="EJ37" s="203"/>
      <c r="EK37" s="203"/>
      <c r="EL37" s="203"/>
      <c r="EM37" s="203"/>
      <c r="EN37" s="203"/>
      <c r="EO37" s="203"/>
      <c r="EP37" s="203"/>
      <c r="EQ37" s="203"/>
      <c r="ER37" s="203"/>
      <c r="ES37" s="203"/>
      <c r="ET37" s="203"/>
      <c r="EU37" s="203"/>
      <c r="EV37" s="203"/>
      <c r="EW37" s="203"/>
      <c r="EX37" s="203"/>
      <c r="EY37" s="203"/>
      <c r="EZ37" s="203"/>
      <c r="FA37" s="203"/>
      <c r="FB37" s="203"/>
      <c r="FC37" s="203"/>
    </row>
    <row r="38" spans="1:159" ht="191.25" customHeight="1">
      <c r="A38" s="83" t="str">
        <f t="shared" ref="A38" ca="1" si="9">IF(AND($D$1&gt;=C38,$D$1&lt;=D38),"CurrentSprint","NA")</f>
        <v>NA</v>
      </c>
      <c r="B38" s="316" t="s">
        <v>128</v>
      </c>
      <c r="C38" s="428">
        <v>45814</v>
      </c>
      <c r="D38" s="428">
        <v>45826</v>
      </c>
      <c r="E38" s="228">
        <v>7</v>
      </c>
      <c r="F38" s="362">
        <v>2</v>
      </c>
      <c r="G38" s="447" t="s">
        <v>36</v>
      </c>
      <c r="H38" s="146"/>
      <c r="I38" s="90" t="s">
        <v>129</v>
      </c>
      <c r="J38" s="183" t="s">
        <v>130</v>
      </c>
      <c r="K38" s="502" t="s">
        <v>131</v>
      </c>
      <c r="L38" s="203"/>
      <c r="M38" s="203"/>
      <c r="N38" s="203"/>
      <c r="O38" s="203"/>
      <c r="P38" s="203"/>
      <c r="Q38" s="203"/>
      <c r="R38" s="203"/>
      <c r="S38" s="203"/>
      <c r="T38" s="203"/>
      <c r="U38" s="203"/>
      <c r="V38" s="203"/>
      <c r="W38" s="203"/>
      <c r="X38" s="203"/>
      <c r="Y38" s="203"/>
      <c r="Z38" s="203"/>
      <c r="AA38" s="203"/>
      <c r="AB38" s="203"/>
      <c r="AC38" s="203"/>
      <c r="AD38" s="203"/>
      <c r="AE38" s="203"/>
      <c r="AF38" s="203"/>
      <c r="AG38" s="203"/>
      <c r="AH38" s="203"/>
      <c r="AI38" s="203"/>
      <c r="AJ38" s="203"/>
      <c r="AK38" s="203"/>
      <c r="AL38" s="203"/>
      <c r="AM38" s="203"/>
      <c r="AN38" s="203"/>
      <c r="AO38" s="203"/>
      <c r="AP38" s="203"/>
      <c r="AQ38" s="203"/>
      <c r="AR38" s="203"/>
      <c r="AS38" s="203"/>
      <c r="AT38" s="203"/>
      <c r="AU38" s="203"/>
      <c r="AV38" s="203"/>
      <c r="AW38" s="203"/>
      <c r="AX38" s="203"/>
      <c r="AY38" s="203"/>
      <c r="AZ38" s="203"/>
      <c r="BA38" s="203"/>
      <c r="BB38" s="203"/>
      <c r="BC38" s="203"/>
      <c r="BD38" s="203"/>
      <c r="BE38" s="203"/>
      <c r="BF38" s="203"/>
      <c r="BG38" s="203"/>
      <c r="BH38" s="203"/>
      <c r="BI38" s="203"/>
      <c r="BJ38" s="203"/>
      <c r="BK38" s="203"/>
      <c r="BL38" s="203"/>
      <c r="BM38" s="203"/>
      <c r="BN38" s="203"/>
      <c r="BO38" s="203"/>
      <c r="BP38" s="203"/>
      <c r="BQ38" s="203"/>
      <c r="BR38" s="203"/>
      <c r="BS38" s="203"/>
      <c r="BT38" s="203"/>
      <c r="BU38" s="203"/>
      <c r="BV38" s="203"/>
      <c r="BW38" s="203"/>
      <c r="BX38" s="203"/>
      <c r="BY38" s="203"/>
      <c r="BZ38" s="203"/>
      <c r="CA38" s="203"/>
      <c r="CB38" s="203"/>
      <c r="CC38" s="203"/>
      <c r="CD38" s="203"/>
      <c r="CE38" s="203"/>
      <c r="CF38" s="203"/>
      <c r="CG38" s="203"/>
      <c r="CH38" s="203"/>
      <c r="CI38" s="203"/>
      <c r="CJ38" s="203"/>
      <c r="CK38" s="203"/>
      <c r="CL38" s="203"/>
      <c r="CM38" s="203"/>
      <c r="CN38" s="203"/>
      <c r="CO38" s="203"/>
      <c r="CP38" s="203"/>
      <c r="CQ38" s="203"/>
      <c r="CR38" s="203"/>
      <c r="CS38" s="203"/>
      <c r="CT38" s="203"/>
      <c r="CU38" s="203"/>
      <c r="CV38" s="203"/>
      <c r="CW38" s="203"/>
      <c r="CX38" s="203"/>
      <c r="CY38" s="203"/>
      <c r="CZ38" s="203"/>
      <c r="DA38" s="203"/>
      <c r="DB38" s="203"/>
      <c r="DC38" s="203"/>
      <c r="DD38" s="203"/>
      <c r="DE38" s="203"/>
      <c r="DF38" s="203"/>
      <c r="DG38" s="203"/>
      <c r="DH38" s="203"/>
      <c r="DI38" s="203"/>
      <c r="DJ38" s="203"/>
      <c r="DK38" s="203"/>
      <c r="DL38" s="203"/>
      <c r="DM38" s="203"/>
      <c r="DN38" s="203"/>
      <c r="DO38" s="203"/>
      <c r="DP38" s="203"/>
      <c r="DQ38" s="203"/>
      <c r="DR38" s="203"/>
      <c r="DS38" s="203"/>
      <c r="DT38" s="203"/>
      <c r="DU38" s="203"/>
      <c r="DV38" s="203"/>
      <c r="DW38" s="203"/>
      <c r="DX38" s="203"/>
      <c r="DY38" s="203"/>
      <c r="DZ38" s="203"/>
      <c r="EA38" s="203"/>
      <c r="EB38" s="203"/>
      <c r="EC38" s="203"/>
      <c r="ED38" s="203"/>
      <c r="EE38" s="203"/>
      <c r="EF38" s="203"/>
      <c r="EG38" s="203"/>
      <c r="EH38" s="203"/>
      <c r="EI38" s="203"/>
      <c r="EJ38" s="203"/>
      <c r="EK38" s="203"/>
      <c r="EL38" s="203"/>
      <c r="EM38" s="203"/>
      <c r="EN38" s="203"/>
      <c r="EO38" s="203"/>
      <c r="EP38" s="203"/>
      <c r="EQ38" s="203"/>
      <c r="ER38" s="203"/>
      <c r="ES38" s="203"/>
      <c r="ET38" s="203"/>
      <c r="EU38" s="203"/>
      <c r="EV38" s="203"/>
      <c r="EW38" s="203"/>
      <c r="EX38" s="203"/>
      <c r="EY38" s="203"/>
      <c r="EZ38" s="203"/>
      <c r="FA38" s="203"/>
      <c r="FB38" s="203"/>
      <c r="FC38" s="203"/>
    </row>
    <row r="39" spans="1:159" ht="284.25" customHeight="1">
      <c r="A39" s="83" t="str">
        <f ca="1">IF(AND($D$1&gt;=C39,$D$1&lt;=D39),"CurrentSprint","NA")</f>
        <v>NA</v>
      </c>
      <c r="B39" s="316" t="s">
        <v>132</v>
      </c>
      <c r="C39" s="428">
        <v>45827</v>
      </c>
      <c r="D39" s="428">
        <v>45841</v>
      </c>
      <c r="E39" s="228">
        <v>12</v>
      </c>
      <c r="F39" s="362">
        <v>7</v>
      </c>
      <c r="G39" s="447" t="s">
        <v>56</v>
      </c>
      <c r="H39" s="146"/>
      <c r="I39" s="90" t="s">
        <v>133</v>
      </c>
      <c r="J39" s="183" t="s">
        <v>134</v>
      </c>
      <c r="K39" s="502" t="s">
        <v>135</v>
      </c>
      <c r="L39" s="203"/>
      <c r="M39" s="203"/>
      <c r="N39" s="203"/>
      <c r="O39" s="203"/>
      <c r="P39" s="203"/>
      <c r="Q39" s="203"/>
      <c r="R39" s="203"/>
      <c r="S39" s="203"/>
      <c r="T39" s="203"/>
      <c r="U39" s="203"/>
      <c r="V39" s="203"/>
      <c r="W39" s="203"/>
      <c r="X39" s="203"/>
      <c r="Y39" s="203"/>
      <c r="Z39" s="203"/>
      <c r="AA39" s="203"/>
      <c r="AB39" s="203"/>
      <c r="AC39" s="203"/>
      <c r="AD39" s="203"/>
      <c r="AE39" s="203"/>
      <c r="AF39" s="203"/>
      <c r="AG39" s="203"/>
      <c r="AH39" s="203"/>
      <c r="AI39" s="203"/>
      <c r="AJ39" s="203"/>
      <c r="AK39" s="203"/>
      <c r="AL39" s="203"/>
      <c r="AM39" s="203"/>
      <c r="AN39" s="203"/>
      <c r="AO39" s="203"/>
      <c r="AP39" s="203"/>
      <c r="AQ39" s="203"/>
      <c r="AR39" s="203"/>
      <c r="AS39" s="203"/>
      <c r="AT39" s="203"/>
      <c r="AU39" s="203"/>
      <c r="AV39" s="203"/>
      <c r="AW39" s="203"/>
      <c r="AX39" s="203"/>
      <c r="AY39" s="203"/>
      <c r="AZ39" s="203"/>
      <c r="BA39" s="203"/>
      <c r="BB39" s="203"/>
      <c r="BC39" s="203"/>
      <c r="BD39" s="203"/>
      <c r="BE39" s="203"/>
      <c r="BF39" s="203"/>
      <c r="BG39" s="203"/>
      <c r="BH39" s="203"/>
      <c r="BI39" s="203"/>
      <c r="BJ39" s="203"/>
      <c r="BK39" s="203"/>
      <c r="BL39" s="203"/>
      <c r="BM39" s="203"/>
      <c r="BN39" s="203"/>
      <c r="BO39" s="203"/>
      <c r="BP39" s="203"/>
      <c r="BQ39" s="203"/>
      <c r="BR39" s="203"/>
      <c r="BS39" s="203"/>
      <c r="BT39" s="203"/>
      <c r="BU39" s="203"/>
      <c r="BV39" s="203"/>
      <c r="BW39" s="203"/>
      <c r="BX39" s="203"/>
      <c r="BY39" s="203"/>
      <c r="BZ39" s="203"/>
      <c r="CA39" s="203"/>
      <c r="CB39" s="203"/>
      <c r="CC39" s="203"/>
      <c r="CD39" s="203"/>
      <c r="CE39" s="203"/>
      <c r="CF39" s="203"/>
      <c r="CG39" s="203"/>
      <c r="CH39" s="203"/>
      <c r="CI39" s="203"/>
      <c r="CJ39" s="203"/>
      <c r="CK39" s="203"/>
      <c r="CL39" s="203"/>
      <c r="CM39" s="203"/>
      <c r="CN39" s="203"/>
      <c r="CO39" s="203"/>
      <c r="CP39" s="203"/>
      <c r="CQ39" s="203"/>
      <c r="CR39" s="203"/>
      <c r="CS39" s="203"/>
      <c r="CT39" s="203"/>
      <c r="CU39" s="203"/>
      <c r="CV39" s="203"/>
      <c r="CW39" s="203"/>
      <c r="CX39" s="203"/>
      <c r="CY39" s="203"/>
      <c r="CZ39" s="203"/>
      <c r="DA39" s="203"/>
      <c r="DB39" s="203"/>
      <c r="DC39" s="203"/>
      <c r="DD39" s="203"/>
      <c r="DE39" s="203"/>
      <c r="DF39" s="203"/>
      <c r="DG39" s="203"/>
      <c r="DH39" s="203"/>
      <c r="DI39" s="203"/>
      <c r="DJ39" s="203"/>
      <c r="DK39" s="203"/>
      <c r="DL39" s="203"/>
      <c r="DM39" s="203"/>
      <c r="DN39" s="203"/>
      <c r="DO39" s="203"/>
      <c r="DP39" s="203"/>
      <c r="DQ39" s="203"/>
      <c r="DR39" s="203"/>
      <c r="DS39" s="203"/>
      <c r="DT39" s="203"/>
      <c r="DU39" s="203"/>
      <c r="DV39" s="203"/>
      <c r="DW39" s="203"/>
      <c r="DX39" s="203"/>
      <c r="DY39" s="203"/>
      <c r="DZ39" s="203"/>
      <c r="EA39" s="203"/>
      <c r="EB39" s="203"/>
      <c r="EC39" s="203"/>
      <c r="ED39" s="203"/>
      <c r="EE39" s="203"/>
      <c r="EF39" s="203"/>
      <c r="EG39" s="203"/>
      <c r="EH39" s="203"/>
      <c r="EI39" s="203"/>
      <c r="EJ39" s="203"/>
      <c r="EK39" s="203"/>
      <c r="EL39" s="203"/>
      <c r="EM39" s="203"/>
      <c r="EN39" s="203"/>
      <c r="EO39" s="203"/>
      <c r="EP39" s="203"/>
      <c r="EQ39" s="203"/>
      <c r="ER39" s="203"/>
      <c r="ES39" s="203"/>
      <c r="ET39" s="203"/>
      <c r="EU39" s="203"/>
      <c r="EV39" s="203"/>
      <c r="EW39" s="203"/>
      <c r="EX39" s="203"/>
      <c r="EY39" s="203"/>
      <c r="EZ39" s="203"/>
      <c r="FA39" s="203"/>
      <c r="FB39" s="203"/>
      <c r="FC39" s="203"/>
    </row>
    <row r="40" spans="1:159" ht="152.25" customHeight="1">
      <c r="A40" s="83" t="str">
        <f ca="1">IF(AND($D$1&gt;=C40,$D$1&lt;=D40),"CurrentSprint","NA")</f>
        <v>NA</v>
      </c>
      <c r="B40" s="316" t="s">
        <v>136</v>
      </c>
      <c r="C40" s="428">
        <v>45841</v>
      </c>
      <c r="D40" s="428">
        <v>45855</v>
      </c>
      <c r="E40" s="228">
        <v>14</v>
      </c>
      <c r="F40" s="362">
        <v>7</v>
      </c>
      <c r="G40" s="447" t="s">
        <v>29</v>
      </c>
      <c r="H40" s="146"/>
      <c r="I40" s="90" t="s">
        <v>137</v>
      </c>
      <c r="J40" s="183" t="s">
        <v>138</v>
      </c>
      <c r="K40" s="502" t="s">
        <v>139</v>
      </c>
      <c r="L40" s="203"/>
      <c r="M40" s="203"/>
      <c r="N40" s="203"/>
      <c r="O40" s="203"/>
      <c r="P40" s="203"/>
      <c r="Q40" s="203"/>
      <c r="R40" s="203"/>
      <c r="S40" s="203"/>
      <c r="T40" s="203"/>
      <c r="U40" s="203"/>
      <c r="V40" s="203"/>
      <c r="W40" s="203"/>
      <c r="X40" s="203"/>
      <c r="Y40" s="203"/>
      <c r="Z40" s="203"/>
      <c r="AA40" s="203"/>
      <c r="AB40" s="203"/>
      <c r="AC40" s="203"/>
      <c r="AD40" s="203"/>
      <c r="AE40" s="203"/>
      <c r="AF40" s="203"/>
      <c r="AG40" s="203"/>
      <c r="AH40" s="203"/>
      <c r="AI40" s="203"/>
      <c r="AJ40" s="203"/>
      <c r="AK40" s="203"/>
      <c r="AL40" s="203"/>
      <c r="AM40" s="203"/>
      <c r="AN40" s="203"/>
      <c r="AO40" s="203"/>
      <c r="AP40" s="203"/>
      <c r="AQ40" s="203"/>
      <c r="AR40" s="203"/>
      <c r="AS40" s="203"/>
      <c r="AT40" s="203"/>
      <c r="AU40" s="203"/>
      <c r="AV40" s="203"/>
      <c r="AW40" s="203"/>
      <c r="AX40" s="203"/>
      <c r="AY40" s="203"/>
      <c r="AZ40" s="203"/>
      <c r="BA40" s="203"/>
      <c r="BB40" s="203"/>
      <c r="BC40" s="203"/>
      <c r="BD40" s="203"/>
      <c r="BE40" s="203"/>
      <c r="BF40" s="203"/>
      <c r="BG40" s="203"/>
      <c r="BH40" s="203"/>
      <c r="BI40" s="203"/>
      <c r="BJ40" s="203"/>
      <c r="BK40" s="203"/>
      <c r="BL40" s="203"/>
      <c r="BM40" s="203"/>
      <c r="BN40" s="203"/>
      <c r="BO40" s="203"/>
      <c r="BP40" s="203"/>
      <c r="BQ40" s="203"/>
      <c r="BR40" s="203"/>
      <c r="BS40" s="203"/>
      <c r="BT40" s="203"/>
      <c r="BU40" s="203"/>
      <c r="BV40" s="203"/>
      <c r="BW40" s="203"/>
      <c r="BX40" s="203"/>
      <c r="BY40" s="203"/>
      <c r="BZ40" s="203"/>
      <c r="CA40" s="203"/>
      <c r="CB40" s="203"/>
      <c r="CC40" s="203"/>
      <c r="CD40" s="203"/>
      <c r="CE40" s="203"/>
      <c r="CF40" s="203"/>
      <c r="CG40" s="203"/>
      <c r="CH40" s="203"/>
      <c r="CI40" s="203"/>
      <c r="CJ40" s="203"/>
      <c r="CK40" s="203"/>
      <c r="CL40" s="203"/>
      <c r="CM40" s="203"/>
      <c r="CN40" s="203"/>
      <c r="CO40" s="203"/>
      <c r="CP40" s="203"/>
      <c r="CQ40" s="203"/>
      <c r="CR40" s="203"/>
      <c r="CS40" s="203"/>
      <c r="CT40" s="203"/>
      <c r="CU40" s="203"/>
      <c r="CV40" s="203"/>
      <c r="CW40" s="203"/>
      <c r="CX40" s="203"/>
      <c r="CY40" s="203"/>
      <c r="CZ40" s="203"/>
      <c r="DA40" s="203"/>
      <c r="DB40" s="203"/>
      <c r="DC40" s="203"/>
      <c r="DD40" s="203"/>
      <c r="DE40" s="203"/>
      <c r="DF40" s="203"/>
      <c r="DG40" s="203"/>
      <c r="DH40" s="203"/>
      <c r="DI40" s="203"/>
      <c r="DJ40" s="203"/>
      <c r="DK40" s="203"/>
      <c r="DL40" s="203"/>
      <c r="DM40" s="203"/>
      <c r="DN40" s="203"/>
      <c r="DO40" s="203"/>
      <c r="DP40" s="203"/>
      <c r="DQ40" s="203"/>
      <c r="DR40" s="203"/>
      <c r="DS40" s="203"/>
      <c r="DT40" s="203"/>
      <c r="DU40" s="203"/>
      <c r="DV40" s="203"/>
      <c r="DW40" s="203"/>
      <c r="DX40" s="203"/>
      <c r="DY40" s="203"/>
      <c r="DZ40" s="203"/>
      <c r="EA40" s="203"/>
      <c r="EB40" s="203"/>
      <c r="EC40" s="203"/>
      <c r="ED40" s="203"/>
      <c r="EE40" s="203"/>
      <c r="EF40" s="203"/>
      <c r="EG40" s="203"/>
      <c r="EH40" s="203"/>
      <c r="EI40" s="203"/>
      <c r="EJ40" s="203"/>
      <c r="EK40" s="203"/>
      <c r="EL40" s="203"/>
      <c r="EM40" s="203"/>
      <c r="EN40" s="203"/>
      <c r="EO40" s="203"/>
      <c r="EP40" s="203"/>
      <c r="EQ40" s="203"/>
      <c r="ER40" s="203"/>
      <c r="ES40" s="203"/>
      <c r="ET40" s="203"/>
      <c r="EU40" s="203"/>
      <c r="EV40" s="203"/>
      <c r="EW40" s="203"/>
      <c r="EX40" s="203"/>
      <c r="EY40" s="203"/>
      <c r="EZ40" s="203"/>
      <c r="FA40" s="203"/>
      <c r="FB40" s="203"/>
      <c r="FC40" s="203"/>
    </row>
    <row r="41" spans="1:159" ht="214.5">
      <c r="A41" s="83" t="str">
        <f ca="1">IF(AND($D$1&gt;=C41,$D$1&lt;=D41),"CurrentSprint","NA")</f>
        <v>NA</v>
      </c>
      <c r="B41" s="316" t="s">
        <v>140</v>
      </c>
      <c r="C41" s="428">
        <v>45855</v>
      </c>
      <c r="D41" s="428">
        <v>45869</v>
      </c>
      <c r="E41" s="228">
        <v>11</v>
      </c>
      <c r="F41" s="362">
        <v>8</v>
      </c>
      <c r="G41" s="447" t="s">
        <v>29</v>
      </c>
      <c r="H41" s="146"/>
      <c r="I41" s="90" t="s">
        <v>141</v>
      </c>
      <c r="J41" s="183" t="s">
        <v>142</v>
      </c>
      <c r="K41" s="502" t="s">
        <v>143</v>
      </c>
      <c r="L41" s="203"/>
      <c r="M41" s="203"/>
      <c r="N41" s="203"/>
      <c r="O41" s="203"/>
      <c r="P41" s="203"/>
      <c r="Q41" s="203"/>
      <c r="R41" s="203"/>
      <c r="S41" s="203"/>
      <c r="T41" s="203"/>
      <c r="U41" s="203"/>
      <c r="V41" s="203"/>
      <c r="W41" s="203"/>
      <c r="X41" s="203"/>
      <c r="Y41" s="203"/>
      <c r="Z41" s="203"/>
      <c r="AA41" s="203"/>
      <c r="AB41" s="203"/>
      <c r="AC41" s="203"/>
      <c r="AD41" s="203"/>
      <c r="AE41" s="203"/>
      <c r="AF41" s="203"/>
      <c r="AG41" s="203"/>
      <c r="AH41" s="203"/>
      <c r="AI41" s="203"/>
      <c r="AJ41" s="203"/>
      <c r="AK41" s="203"/>
      <c r="AL41" s="203"/>
      <c r="AM41" s="203"/>
      <c r="AN41" s="203"/>
      <c r="AO41" s="203"/>
      <c r="AP41" s="203"/>
      <c r="AQ41" s="203"/>
      <c r="AR41" s="203"/>
      <c r="AS41" s="203"/>
      <c r="AT41" s="203"/>
      <c r="AU41" s="203"/>
      <c r="AV41" s="203"/>
      <c r="AW41" s="203"/>
      <c r="AX41" s="203"/>
      <c r="AY41" s="203"/>
      <c r="AZ41" s="203"/>
      <c r="BA41" s="203"/>
      <c r="BB41" s="203"/>
      <c r="BC41" s="203"/>
      <c r="BD41" s="203"/>
      <c r="BE41" s="203"/>
      <c r="BF41" s="203"/>
      <c r="BG41" s="203"/>
      <c r="BH41" s="203"/>
      <c r="BI41" s="203"/>
      <c r="BJ41" s="203"/>
      <c r="BK41" s="203"/>
      <c r="BL41" s="203"/>
      <c r="BM41" s="203"/>
      <c r="BN41" s="203"/>
      <c r="BO41" s="203"/>
      <c r="BP41" s="203"/>
      <c r="BQ41" s="203"/>
      <c r="BR41" s="203"/>
      <c r="BS41" s="203"/>
      <c r="BT41" s="203"/>
      <c r="BU41" s="203"/>
      <c r="BV41" s="203"/>
      <c r="BW41" s="203"/>
      <c r="BX41" s="203"/>
      <c r="BY41" s="203"/>
      <c r="BZ41" s="203"/>
      <c r="CA41" s="203"/>
      <c r="CB41" s="203"/>
      <c r="CC41" s="203"/>
      <c r="CD41" s="203"/>
      <c r="CE41" s="203"/>
      <c r="CF41" s="203"/>
      <c r="CG41" s="203"/>
      <c r="CH41" s="203"/>
      <c r="CI41" s="203"/>
      <c r="CJ41" s="203"/>
      <c r="CK41" s="203"/>
      <c r="CL41" s="203"/>
      <c r="CM41" s="203"/>
      <c r="CN41" s="203"/>
      <c r="CO41" s="203"/>
      <c r="CP41" s="203"/>
      <c r="CQ41" s="203"/>
      <c r="CR41" s="203"/>
      <c r="CS41" s="203"/>
      <c r="CT41" s="203"/>
      <c r="CU41" s="203"/>
      <c r="CV41" s="203"/>
      <c r="CW41" s="203"/>
      <c r="CX41" s="203"/>
      <c r="CY41" s="203"/>
      <c r="CZ41" s="203"/>
      <c r="DA41" s="203"/>
      <c r="DB41" s="203"/>
      <c r="DC41" s="203"/>
      <c r="DD41" s="203"/>
      <c r="DE41" s="203"/>
      <c r="DF41" s="203"/>
      <c r="DG41" s="203"/>
      <c r="DH41" s="203"/>
      <c r="DI41" s="203"/>
      <c r="DJ41" s="203"/>
      <c r="DK41" s="203"/>
      <c r="DL41" s="203"/>
      <c r="DM41" s="203"/>
      <c r="DN41" s="203"/>
      <c r="DO41" s="203"/>
      <c r="DP41" s="203"/>
      <c r="DQ41" s="203"/>
      <c r="DR41" s="203"/>
      <c r="DS41" s="203"/>
      <c r="DT41" s="203"/>
      <c r="DU41" s="203"/>
      <c r="DV41" s="203"/>
      <c r="DW41" s="203"/>
      <c r="DX41" s="203"/>
      <c r="DY41" s="203"/>
      <c r="DZ41" s="203"/>
      <c r="EA41" s="203"/>
      <c r="EB41" s="203"/>
      <c r="EC41" s="203"/>
      <c r="ED41" s="203"/>
      <c r="EE41" s="203"/>
      <c r="EF41" s="203"/>
      <c r="EG41" s="203"/>
      <c r="EH41" s="203"/>
      <c r="EI41" s="203"/>
      <c r="EJ41" s="203"/>
      <c r="EK41" s="203"/>
      <c r="EL41" s="203"/>
      <c r="EM41" s="203"/>
      <c r="EN41" s="203"/>
      <c r="EO41" s="203"/>
      <c r="EP41" s="203"/>
      <c r="EQ41" s="203"/>
      <c r="ER41" s="203"/>
      <c r="ES41" s="203"/>
      <c r="ET41" s="203"/>
      <c r="EU41" s="203"/>
      <c r="EV41" s="203"/>
      <c r="EW41" s="203"/>
      <c r="EX41" s="203"/>
      <c r="EY41" s="203"/>
      <c r="EZ41" s="203"/>
      <c r="FA41" s="203"/>
      <c r="FB41" s="203"/>
      <c r="FC41" s="203"/>
    </row>
    <row r="42" spans="1:159" ht="270" customHeight="1">
      <c r="A42" s="83" t="str">
        <f ca="1">IF(AND($D$1&gt;=C42,$D$1&lt;=D42),"CurrentSprint","NA")</f>
        <v>NA</v>
      </c>
      <c r="B42" s="316" t="s">
        <v>144</v>
      </c>
      <c r="C42" s="428">
        <v>45869</v>
      </c>
      <c r="D42" s="428">
        <v>45883</v>
      </c>
      <c r="E42" s="228">
        <v>10</v>
      </c>
      <c r="F42" s="362">
        <v>7</v>
      </c>
      <c r="G42" s="447" t="s">
        <v>36</v>
      </c>
      <c r="H42" s="146"/>
      <c r="I42" s="90" t="s">
        <v>145</v>
      </c>
      <c r="J42" s="90" t="s">
        <v>146</v>
      </c>
      <c r="K42" s="502" t="s">
        <v>147</v>
      </c>
      <c r="L42" s="203"/>
      <c r="M42" s="203"/>
      <c r="N42" s="203"/>
      <c r="O42" s="203"/>
      <c r="P42" s="203"/>
      <c r="Q42" s="203"/>
      <c r="R42" s="203"/>
      <c r="S42" s="203"/>
      <c r="T42" s="203"/>
      <c r="U42" s="203"/>
      <c r="V42" s="203"/>
      <c r="W42" s="203"/>
      <c r="X42" s="203"/>
      <c r="Y42" s="203"/>
      <c r="Z42" s="203"/>
      <c r="AA42" s="203"/>
      <c r="AB42" s="203"/>
      <c r="AC42" s="203"/>
      <c r="AD42" s="203"/>
      <c r="AE42" s="203"/>
      <c r="AF42" s="203"/>
      <c r="AG42" s="203"/>
      <c r="AH42" s="203"/>
      <c r="AI42" s="203"/>
      <c r="AJ42" s="203"/>
      <c r="AK42" s="203"/>
      <c r="AL42" s="203"/>
      <c r="AM42" s="203"/>
      <c r="AN42" s="203"/>
      <c r="AO42" s="203"/>
      <c r="AP42" s="203"/>
      <c r="AQ42" s="203"/>
      <c r="AR42" s="203"/>
      <c r="AS42" s="203"/>
      <c r="AT42" s="203"/>
      <c r="AU42" s="203"/>
      <c r="AV42" s="203"/>
      <c r="AW42" s="203"/>
      <c r="AX42" s="203"/>
      <c r="AY42" s="203"/>
      <c r="AZ42" s="203"/>
      <c r="BA42" s="203"/>
      <c r="BB42" s="203"/>
      <c r="BC42" s="203"/>
      <c r="BD42" s="203"/>
      <c r="BE42" s="203"/>
      <c r="BF42" s="203"/>
      <c r="BG42" s="203"/>
      <c r="BH42" s="203"/>
      <c r="BI42" s="203"/>
      <c r="BJ42" s="203"/>
      <c r="BK42" s="203"/>
      <c r="BL42" s="203"/>
      <c r="BM42" s="203"/>
      <c r="BN42" s="203"/>
      <c r="BO42" s="203"/>
      <c r="BP42" s="203"/>
      <c r="BQ42" s="203"/>
      <c r="BR42" s="203"/>
      <c r="BS42" s="203"/>
      <c r="BT42" s="203"/>
      <c r="BU42" s="203"/>
      <c r="BV42" s="203"/>
      <c r="BW42" s="203"/>
      <c r="BX42" s="203"/>
      <c r="BY42" s="203"/>
      <c r="BZ42" s="203"/>
      <c r="CA42" s="203"/>
      <c r="CB42" s="203"/>
      <c r="CC42" s="203"/>
      <c r="CD42" s="203"/>
      <c r="CE42" s="203"/>
      <c r="CF42" s="203"/>
      <c r="CG42" s="203"/>
      <c r="CH42" s="203"/>
      <c r="CI42" s="203"/>
      <c r="CJ42" s="203"/>
      <c r="CK42" s="203"/>
      <c r="CL42" s="203"/>
      <c r="CM42" s="203"/>
      <c r="CN42" s="203"/>
      <c r="CO42" s="203"/>
      <c r="CP42" s="203"/>
      <c r="CQ42" s="203"/>
      <c r="CR42" s="203"/>
      <c r="CS42" s="203"/>
      <c r="CT42" s="203"/>
      <c r="CU42" s="203"/>
      <c r="CV42" s="203"/>
      <c r="CW42" s="203"/>
      <c r="CX42" s="203"/>
      <c r="CY42" s="203"/>
      <c r="CZ42" s="203"/>
      <c r="DA42" s="203"/>
      <c r="DB42" s="203"/>
      <c r="DC42" s="203"/>
      <c r="DD42" s="203"/>
      <c r="DE42" s="203"/>
      <c r="DF42" s="203"/>
      <c r="DG42" s="203"/>
      <c r="DH42" s="203"/>
      <c r="DI42" s="203"/>
      <c r="DJ42" s="203"/>
      <c r="DK42" s="203"/>
      <c r="DL42" s="203"/>
      <c r="DM42" s="203"/>
      <c r="DN42" s="203"/>
      <c r="DO42" s="203"/>
      <c r="DP42" s="203"/>
      <c r="DQ42" s="203"/>
      <c r="DR42" s="203"/>
      <c r="DS42" s="203"/>
      <c r="DT42" s="203"/>
      <c r="DU42" s="203"/>
      <c r="DV42" s="203"/>
      <c r="DW42" s="203"/>
      <c r="DX42" s="203"/>
      <c r="DY42" s="203"/>
      <c r="DZ42" s="203"/>
      <c r="EA42" s="203"/>
      <c r="EB42" s="203"/>
      <c r="EC42" s="203"/>
      <c r="ED42" s="203"/>
      <c r="EE42" s="203"/>
      <c r="EF42" s="203"/>
      <c r="EG42" s="203"/>
      <c r="EH42" s="203"/>
      <c r="EI42" s="203"/>
      <c r="EJ42" s="203"/>
      <c r="EK42" s="203"/>
      <c r="EL42" s="203"/>
      <c r="EM42" s="203"/>
      <c r="EN42" s="203"/>
      <c r="EO42" s="203"/>
      <c r="EP42" s="203"/>
      <c r="EQ42" s="203"/>
      <c r="ER42" s="203"/>
      <c r="ES42" s="203"/>
      <c r="ET42" s="203"/>
      <c r="EU42" s="203"/>
      <c r="EV42" s="203"/>
      <c r="EW42" s="203"/>
      <c r="EX42" s="203"/>
      <c r="EY42" s="203"/>
      <c r="EZ42" s="203"/>
      <c r="FA42" s="203"/>
      <c r="FB42" s="203"/>
      <c r="FC42" s="203"/>
    </row>
    <row r="43" spans="1:159" ht="166.5">
      <c r="A43" s="83" t="str">
        <f ca="1">IF(AND($D$1&gt;=C43,$D$1&lt;=D43),"CurrentSprint","NA")</f>
        <v>NA</v>
      </c>
      <c r="B43" s="316" t="s">
        <v>148</v>
      </c>
      <c r="C43" s="428">
        <v>45883</v>
      </c>
      <c r="D43" s="428">
        <v>45897</v>
      </c>
      <c r="E43" s="228">
        <v>14</v>
      </c>
      <c r="F43" s="362">
        <v>3</v>
      </c>
      <c r="G43" s="447" t="s">
        <v>29</v>
      </c>
      <c r="H43" s="146"/>
      <c r="I43" s="90" t="s">
        <v>149</v>
      </c>
      <c r="J43" s="90" t="s">
        <v>150</v>
      </c>
      <c r="K43" s="502" t="s">
        <v>151</v>
      </c>
      <c r="L43" s="203"/>
      <c r="M43" s="203"/>
      <c r="N43" s="203"/>
      <c r="O43" s="203"/>
      <c r="P43" s="203"/>
      <c r="Q43" s="203"/>
      <c r="R43" s="203"/>
      <c r="S43" s="203"/>
      <c r="T43" s="203"/>
      <c r="U43" s="203"/>
      <c r="V43" s="203"/>
      <c r="W43" s="203"/>
      <c r="X43" s="203"/>
      <c r="Y43" s="203"/>
      <c r="Z43" s="203"/>
      <c r="AA43" s="203"/>
      <c r="AB43" s="203"/>
      <c r="AC43" s="203"/>
      <c r="AD43" s="203"/>
      <c r="AE43" s="203"/>
      <c r="AF43" s="203"/>
      <c r="AG43" s="203"/>
      <c r="AH43" s="203"/>
      <c r="AI43" s="203"/>
      <c r="AJ43" s="203"/>
      <c r="AK43" s="203"/>
      <c r="AL43" s="203"/>
      <c r="AM43" s="203"/>
      <c r="AN43" s="203"/>
      <c r="AO43" s="203"/>
      <c r="AP43" s="203"/>
      <c r="AQ43" s="203"/>
      <c r="AR43" s="203"/>
      <c r="AS43" s="203"/>
      <c r="AT43" s="203"/>
      <c r="AU43" s="203"/>
      <c r="AV43" s="203"/>
      <c r="AW43" s="203"/>
      <c r="AX43" s="203"/>
      <c r="AY43" s="203"/>
      <c r="AZ43" s="203"/>
      <c r="BA43" s="203"/>
      <c r="BB43" s="203"/>
      <c r="BC43" s="203"/>
      <c r="BD43" s="203"/>
      <c r="BE43" s="203"/>
      <c r="BF43" s="203"/>
      <c r="BG43" s="203"/>
      <c r="BH43" s="203"/>
      <c r="BI43" s="203"/>
      <c r="BJ43" s="203"/>
      <c r="BK43" s="203"/>
      <c r="BL43" s="203"/>
      <c r="BM43" s="203"/>
      <c r="BN43" s="203"/>
      <c r="BO43" s="203"/>
      <c r="BP43" s="203"/>
      <c r="BQ43" s="203"/>
      <c r="BR43" s="203"/>
      <c r="BS43" s="203"/>
      <c r="BT43" s="203"/>
      <c r="BU43" s="203"/>
      <c r="BV43" s="203"/>
      <c r="BW43" s="203"/>
      <c r="BX43" s="203"/>
      <c r="BY43" s="203"/>
      <c r="BZ43" s="203"/>
      <c r="CA43" s="203"/>
      <c r="CB43" s="203"/>
      <c r="CC43" s="203"/>
      <c r="CD43" s="203"/>
      <c r="CE43" s="203"/>
      <c r="CF43" s="203"/>
      <c r="CG43" s="203"/>
      <c r="CH43" s="203"/>
      <c r="CI43" s="203"/>
      <c r="CJ43" s="203"/>
      <c r="CK43" s="203"/>
      <c r="CL43" s="203"/>
      <c r="CM43" s="203"/>
      <c r="CN43" s="203"/>
      <c r="CO43" s="203"/>
      <c r="CP43" s="203"/>
      <c r="CQ43" s="203"/>
      <c r="CR43" s="203"/>
      <c r="CS43" s="203"/>
      <c r="CT43" s="203"/>
      <c r="CU43" s="203"/>
      <c r="CV43" s="203"/>
      <c r="CW43" s="203"/>
      <c r="CX43" s="203"/>
      <c r="CY43" s="203"/>
      <c r="CZ43" s="203"/>
      <c r="DA43" s="203"/>
      <c r="DB43" s="203"/>
      <c r="DC43" s="203"/>
      <c r="DD43" s="203"/>
      <c r="DE43" s="203"/>
      <c r="DF43" s="203"/>
      <c r="DG43" s="203"/>
      <c r="DH43" s="203"/>
      <c r="DI43" s="203"/>
      <c r="DJ43" s="203"/>
      <c r="DK43" s="203"/>
      <c r="DL43" s="203"/>
      <c r="DM43" s="203"/>
      <c r="DN43" s="203"/>
      <c r="DO43" s="203"/>
      <c r="DP43" s="203"/>
      <c r="DQ43" s="203"/>
      <c r="DR43" s="203"/>
      <c r="DS43" s="203"/>
      <c r="DT43" s="203"/>
      <c r="DU43" s="203"/>
      <c r="DV43" s="203"/>
      <c r="DW43" s="203"/>
      <c r="DX43" s="203"/>
      <c r="DY43" s="203"/>
      <c r="DZ43" s="203"/>
      <c r="EA43" s="203"/>
      <c r="EB43" s="203"/>
      <c r="EC43" s="203"/>
      <c r="ED43" s="203"/>
      <c r="EE43" s="203"/>
      <c r="EF43" s="203"/>
      <c r="EG43" s="203"/>
      <c r="EH43" s="203"/>
      <c r="EI43" s="203"/>
      <c r="EJ43" s="203"/>
      <c r="EK43" s="203"/>
      <c r="EL43" s="203"/>
      <c r="EM43" s="203"/>
      <c r="EN43" s="203"/>
      <c r="EO43" s="203"/>
      <c r="EP43" s="203"/>
      <c r="EQ43" s="203"/>
      <c r="ER43" s="203"/>
      <c r="ES43" s="203"/>
      <c r="ET43" s="203"/>
      <c r="EU43" s="203"/>
      <c r="EV43" s="203"/>
      <c r="EW43" s="203"/>
      <c r="EX43" s="203"/>
      <c r="EY43" s="203"/>
      <c r="EZ43" s="203"/>
      <c r="FA43" s="203"/>
      <c r="FB43" s="203"/>
      <c r="FC43" s="203"/>
    </row>
    <row r="44" spans="1:159" ht="189.75" customHeight="1">
      <c r="A44" s="83" t="str">
        <f ca="1">IF(AND($D$1&gt;=C44,$D$1&lt;=D44),"CurrentSprint","NA")</f>
        <v>NA</v>
      </c>
      <c r="B44" s="316" t="s">
        <v>152</v>
      </c>
      <c r="C44" s="428">
        <v>45897</v>
      </c>
      <c r="D44" s="428">
        <v>45911</v>
      </c>
      <c r="E44" s="228">
        <v>12</v>
      </c>
      <c r="F44" s="362">
        <v>12</v>
      </c>
      <c r="G44" s="447" t="s">
        <v>56</v>
      </c>
      <c r="H44" s="146"/>
      <c r="I44" s="90" t="s">
        <v>153</v>
      </c>
      <c r="J44" s="90" t="s">
        <v>154</v>
      </c>
      <c r="K44" s="502" t="s">
        <v>155</v>
      </c>
      <c r="L44" s="203"/>
      <c r="M44" s="203"/>
      <c r="N44" s="203"/>
      <c r="O44" s="203"/>
      <c r="P44" s="203"/>
      <c r="Q44" s="203"/>
      <c r="R44" s="203"/>
      <c r="S44" s="203"/>
      <c r="T44" s="203"/>
      <c r="U44" s="203"/>
      <c r="V44" s="203"/>
      <c r="W44" s="203"/>
      <c r="X44" s="203"/>
      <c r="Y44" s="203"/>
      <c r="Z44" s="203"/>
      <c r="AA44" s="203"/>
      <c r="AB44" s="203"/>
      <c r="AC44" s="203"/>
      <c r="AD44" s="203"/>
      <c r="AE44" s="203"/>
      <c r="AF44" s="203"/>
      <c r="AG44" s="203"/>
      <c r="AH44" s="203"/>
      <c r="AI44" s="203"/>
      <c r="AJ44" s="203"/>
      <c r="AK44" s="203"/>
      <c r="AL44" s="203"/>
      <c r="AM44" s="203"/>
      <c r="AN44" s="203"/>
      <c r="AO44" s="203"/>
      <c r="AP44" s="203"/>
      <c r="AQ44" s="203"/>
      <c r="AR44" s="203"/>
      <c r="AS44" s="203"/>
      <c r="AT44" s="203"/>
      <c r="AU44" s="203"/>
      <c r="AV44" s="203"/>
      <c r="AW44" s="203"/>
      <c r="AX44" s="203"/>
      <c r="AY44" s="203"/>
      <c r="AZ44" s="203"/>
      <c r="BA44" s="203"/>
      <c r="BB44" s="203"/>
      <c r="BC44" s="203"/>
      <c r="BD44" s="203"/>
      <c r="BE44" s="203"/>
      <c r="BF44" s="203"/>
      <c r="BG44" s="203"/>
      <c r="BH44" s="203"/>
      <c r="BI44" s="203"/>
      <c r="BJ44" s="203"/>
      <c r="BK44" s="203"/>
      <c r="BL44" s="203"/>
      <c r="BM44" s="203"/>
      <c r="BN44" s="203"/>
      <c r="BO44" s="203"/>
      <c r="BP44" s="203"/>
      <c r="BQ44" s="203"/>
      <c r="BR44" s="203"/>
      <c r="BS44" s="203"/>
      <c r="BT44" s="203"/>
      <c r="BU44" s="203"/>
      <c r="BV44" s="203"/>
      <c r="BW44" s="203"/>
      <c r="BX44" s="203"/>
      <c r="BY44" s="203"/>
      <c r="BZ44" s="203"/>
      <c r="CA44" s="203"/>
      <c r="CB44" s="203"/>
      <c r="CC44" s="203"/>
      <c r="CD44" s="203"/>
      <c r="CE44" s="203"/>
      <c r="CF44" s="203"/>
      <c r="CG44" s="203"/>
      <c r="CH44" s="203"/>
      <c r="CI44" s="203"/>
      <c r="CJ44" s="203"/>
      <c r="CK44" s="203"/>
      <c r="CL44" s="203"/>
      <c r="CM44" s="203"/>
      <c r="CN44" s="203"/>
      <c r="CO44" s="203"/>
      <c r="CP44" s="203"/>
      <c r="CQ44" s="203"/>
      <c r="CR44" s="203"/>
      <c r="CS44" s="203"/>
      <c r="CT44" s="203"/>
      <c r="CU44" s="203"/>
      <c r="CV44" s="203"/>
      <c r="CW44" s="203"/>
      <c r="CX44" s="203"/>
      <c r="CY44" s="203"/>
      <c r="CZ44" s="203"/>
      <c r="DA44" s="203"/>
      <c r="DB44" s="203"/>
      <c r="DC44" s="203"/>
      <c r="DD44" s="203"/>
      <c r="DE44" s="203"/>
      <c r="DF44" s="203"/>
      <c r="DG44" s="203"/>
      <c r="DH44" s="203"/>
      <c r="DI44" s="203"/>
      <c r="DJ44" s="203"/>
      <c r="DK44" s="203"/>
      <c r="DL44" s="203"/>
      <c r="DM44" s="203"/>
      <c r="DN44" s="203"/>
      <c r="DO44" s="203"/>
      <c r="DP44" s="203"/>
      <c r="DQ44" s="203"/>
      <c r="DR44" s="203"/>
      <c r="DS44" s="203"/>
      <c r="DT44" s="203"/>
      <c r="DU44" s="203"/>
      <c r="DV44" s="203"/>
      <c r="DW44" s="203"/>
      <c r="DX44" s="203"/>
      <c r="DY44" s="203"/>
      <c r="DZ44" s="203"/>
      <c r="EA44" s="203"/>
      <c r="EB44" s="203"/>
      <c r="EC44" s="203"/>
      <c r="ED44" s="203"/>
      <c r="EE44" s="203"/>
      <c r="EF44" s="203"/>
      <c r="EG44" s="203"/>
      <c r="EH44" s="203"/>
      <c r="EI44" s="203"/>
      <c r="EJ44" s="203"/>
      <c r="EK44" s="203"/>
      <c r="EL44" s="203"/>
      <c r="EM44" s="203"/>
      <c r="EN44" s="203"/>
      <c r="EO44" s="203"/>
      <c r="EP44" s="203"/>
      <c r="EQ44" s="203"/>
      <c r="ER44" s="203"/>
      <c r="ES44" s="203"/>
      <c r="ET44" s="203"/>
      <c r="EU44" s="203"/>
      <c r="EV44" s="203"/>
      <c r="EW44" s="203"/>
      <c r="EX44" s="203"/>
      <c r="EY44" s="203"/>
      <c r="EZ44" s="203"/>
      <c r="FA44" s="203"/>
      <c r="FB44" s="203"/>
      <c r="FC44" s="203"/>
    </row>
    <row r="45" spans="1:159" ht="242.25" customHeight="1">
      <c r="A45" s="83" t="str">
        <f ca="1">IF(AND($D$1&gt;=C45,$D$1&lt;=D45),"CurrentSprint","NA")</f>
        <v>NA</v>
      </c>
      <c r="B45" s="316" t="s">
        <v>156</v>
      </c>
      <c r="C45" s="428">
        <v>45911</v>
      </c>
      <c r="D45" s="428">
        <v>45925</v>
      </c>
      <c r="E45" s="228">
        <v>10</v>
      </c>
      <c r="F45" s="362">
        <v>5</v>
      </c>
      <c r="G45" s="447" t="s">
        <v>29</v>
      </c>
      <c r="H45" s="146"/>
      <c r="I45" s="90" t="s">
        <v>157</v>
      </c>
      <c r="J45" s="90" t="s">
        <v>158</v>
      </c>
      <c r="K45" s="502" t="s">
        <v>159</v>
      </c>
      <c r="L45" s="203"/>
      <c r="M45" s="203"/>
      <c r="N45" s="203"/>
      <c r="O45" s="203"/>
      <c r="P45" s="203"/>
      <c r="Q45" s="203"/>
      <c r="R45" s="203"/>
      <c r="S45" s="203"/>
      <c r="T45" s="203"/>
      <c r="U45" s="203"/>
      <c r="V45" s="203"/>
      <c r="W45" s="203"/>
      <c r="X45" s="203"/>
      <c r="Y45" s="203"/>
      <c r="Z45" s="203"/>
      <c r="AA45" s="203"/>
      <c r="AB45" s="203"/>
      <c r="AC45" s="203"/>
      <c r="AD45" s="203"/>
      <c r="AE45" s="203"/>
      <c r="AF45" s="203"/>
      <c r="AG45" s="203"/>
      <c r="AH45" s="203"/>
      <c r="AI45" s="203"/>
      <c r="AJ45" s="203"/>
      <c r="AK45" s="203"/>
      <c r="AL45" s="203"/>
      <c r="AM45" s="203"/>
      <c r="AN45" s="203"/>
      <c r="AO45" s="203"/>
      <c r="AP45" s="203"/>
      <c r="AQ45" s="203"/>
      <c r="AR45" s="203"/>
      <c r="AS45" s="203"/>
      <c r="AT45" s="203"/>
      <c r="AU45" s="203"/>
      <c r="AV45" s="203"/>
      <c r="AW45" s="203"/>
      <c r="AX45" s="203"/>
      <c r="AY45" s="203"/>
      <c r="AZ45" s="203"/>
      <c r="BA45" s="203"/>
      <c r="BB45" s="203"/>
      <c r="BC45" s="203"/>
      <c r="BD45" s="203"/>
      <c r="BE45" s="203"/>
      <c r="BF45" s="203"/>
      <c r="BG45" s="203"/>
      <c r="BH45" s="203"/>
      <c r="BI45" s="203"/>
      <c r="BJ45" s="203"/>
      <c r="BK45" s="203"/>
      <c r="BL45" s="203"/>
      <c r="BM45" s="203"/>
      <c r="BN45" s="203"/>
      <c r="BO45" s="203"/>
      <c r="BP45" s="203"/>
      <c r="BQ45" s="203"/>
      <c r="BR45" s="203"/>
      <c r="BS45" s="203"/>
      <c r="BT45" s="203"/>
      <c r="BU45" s="203"/>
      <c r="BV45" s="203"/>
      <c r="BW45" s="203"/>
      <c r="BX45" s="203"/>
      <c r="BY45" s="203"/>
      <c r="BZ45" s="203"/>
      <c r="CA45" s="203"/>
      <c r="CB45" s="203"/>
      <c r="CC45" s="203"/>
      <c r="CD45" s="203"/>
      <c r="CE45" s="203"/>
      <c r="CF45" s="203"/>
      <c r="CG45" s="203"/>
      <c r="CH45" s="203"/>
      <c r="CI45" s="203"/>
      <c r="CJ45" s="203"/>
      <c r="CK45" s="203"/>
      <c r="CL45" s="203"/>
      <c r="CM45" s="203"/>
      <c r="CN45" s="203"/>
      <c r="CO45" s="203"/>
      <c r="CP45" s="203"/>
      <c r="CQ45" s="203"/>
      <c r="CR45" s="203"/>
      <c r="CS45" s="203"/>
      <c r="CT45" s="203"/>
      <c r="CU45" s="203"/>
      <c r="CV45" s="203"/>
      <c r="CW45" s="203"/>
      <c r="CX45" s="203"/>
      <c r="CY45" s="203"/>
      <c r="CZ45" s="203"/>
      <c r="DA45" s="203"/>
      <c r="DB45" s="203"/>
      <c r="DC45" s="203"/>
      <c r="DD45" s="203"/>
      <c r="DE45" s="203"/>
      <c r="DF45" s="203"/>
      <c r="DG45" s="203"/>
      <c r="DH45" s="203"/>
      <c r="DI45" s="203"/>
      <c r="DJ45" s="203"/>
      <c r="DK45" s="203"/>
      <c r="DL45" s="203"/>
      <c r="DM45" s="203"/>
      <c r="DN45" s="203"/>
      <c r="DO45" s="203"/>
      <c r="DP45" s="203"/>
      <c r="DQ45" s="203"/>
      <c r="DR45" s="203"/>
      <c r="DS45" s="203"/>
      <c r="DT45" s="203"/>
      <c r="DU45" s="203"/>
      <c r="DV45" s="203"/>
      <c r="DW45" s="203"/>
      <c r="DX45" s="203"/>
      <c r="DY45" s="203"/>
      <c r="DZ45" s="203"/>
      <c r="EA45" s="203"/>
      <c r="EB45" s="203"/>
      <c r="EC45" s="203"/>
      <c r="ED45" s="203"/>
      <c r="EE45" s="203"/>
      <c r="EF45" s="203"/>
      <c r="EG45" s="203"/>
      <c r="EH45" s="203"/>
      <c r="EI45" s="203"/>
      <c r="EJ45" s="203"/>
      <c r="EK45" s="203"/>
      <c r="EL45" s="203"/>
      <c r="EM45" s="203"/>
      <c r="EN45" s="203"/>
      <c r="EO45" s="203"/>
      <c r="EP45" s="203"/>
      <c r="EQ45" s="203"/>
      <c r="ER45" s="203"/>
      <c r="ES45" s="203"/>
      <c r="ET45" s="203"/>
      <c r="EU45" s="203"/>
      <c r="EV45" s="203"/>
      <c r="EW45" s="203"/>
      <c r="EX45" s="203"/>
      <c r="EY45" s="203"/>
      <c r="EZ45" s="203"/>
      <c r="FA45" s="203"/>
      <c r="FB45" s="203"/>
      <c r="FC45" s="203"/>
    </row>
    <row r="46" spans="1:159" ht="210" customHeight="1">
      <c r="A46" s="83" t="str">
        <f ca="1">IF(AND($D$1&gt;=C46,$D$1&lt;=D46),"CurrentSprint","NA")</f>
        <v>NA</v>
      </c>
      <c r="B46" s="316" t="s">
        <v>160</v>
      </c>
      <c r="C46" s="428">
        <v>45925</v>
      </c>
      <c r="D46" s="428">
        <v>45939</v>
      </c>
      <c r="E46" s="228">
        <v>16</v>
      </c>
      <c r="F46" s="362">
        <v>18</v>
      </c>
      <c r="G46" s="447" t="s">
        <v>161</v>
      </c>
      <c r="H46" s="146"/>
      <c r="I46" s="90" t="s">
        <v>162</v>
      </c>
      <c r="J46" s="90" t="s">
        <v>163</v>
      </c>
      <c r="K46" s="502" t="s">
        <v>164</v>
      </c>
      <c r="L46" s="203"/>
      <c r="M46" s="203"/>
      <c r="N46" s="203"/>
      <c r="O46" s="203"/>
      <c r="P46" s="203"/>
      <c r="Q46" s="203"/>
      <c r="R46" s="203"/>
      <c r="S46" s="203"/>
      <c r="T46" s="203"/>
      <c r="U46" s="203"/>
      <c r="V46" s="203"/>
      <c r="W46" s="203"/>
      <c r="X46" s="203"/>
      <c r="Y46" s="203"/>
      <c r="Z46" s="203"/>
      <c r="AA46" s="203"/>
      <c r="AB46" s="203"/>
      <c r="AC46" s="203"/>
      <c r="AD46" s="203"/>
      <c r="AE46" s="203"/>
      <c r="AF46" s="203"/>
      <c r="AG46" s="203"/>
      <c r="AH46" s="203"/>
      <c r="AI46" s="203"/>
      <c r="AJ46" s="203"/>
      <c r="AK46" s="203"/>
      <c r="AL46" s="203"/>
      <c r="AM46" s="203"/>
      <c r="AN46" s="203"/>
      <c r="AO46" s="203"/>
      <c r="AP46" s="203"/>
      <c r="AQ46" s="203"/>
      <c r="AR46" s="203"/>
      <c r="AS46" s="203"/>
      <c r="AT46" s="203"/>
      <c r="AU46" s="203"/>
      <c r="AV46" s="203"/>
      <c r="AW46" s="203"/>
      <c r="AX46" s="203"/>
      <c r="AY46" s="203"/>
      <c r="AZ46" s="203"/>
      <c r="BA46" s="203"/>
      <c r="BB46" s="203"/>
      <c r="BC46" s="203"/>
      <c r="BD46" s="203"/>
      <c r="BE46" s="203"/>
      <c r="BF46" s="203"/>
      <c r="BG46" s="203"/>
      <c r="BH46" s="203"/>
      <c r="BI46" s="203"/>
      <c r="BJ46" s="203"/>
      <c r="BK46" s="203"/>
      <c r="BL46" s="203"/>
      <c r="BM46" s="203"/>
      <c r="BN46" s="203"/>
      <c r="BO46" s="203"/>
      <c r="BP46" s="203"/>
      <c r="BQ46" s="203"/>
      <c r="BR46" s="203"/>
      <c r="BS46" s="203"/>
      <c r="BT46" s="203"/>
      <c r="BU46" s="203"/>
      <c r="BV46" s="203"/>
      <c r="BW46" s="203"/>
      <c r="BX46" s="203"/>
      <c r="BY46" s="203"/>
      <c r="BZ46" s="203"/>
      <c r="CA46" s="203"/>
      <c r="CB46" s="203"/>
      <c r="CC46" s="203"/>
      <c r="CD46" s="203"/>
      <c r="CE46" s="203"/>
      <c r="CF46" s="203"/>
      <c r="CG46" s="203"/>
      <c r="CH46" s="203"/>
      <c r="CI46" s="203"/>
      <c r="CJ46" s="203"/>
      <c r="CK46" s="203"/>
      <c r="CL46" s="203"/>
      <c r="CM46" s="203"/>
      <c r="CN46" s="203"/>
      <c r="CO46" s="203"/>
      <c r="CP46" s="203"/>
      <c r="CQ46" s="203"/>
      <c r="CR46" s="203"/>
      <c r="CS46" s="203"/>
      <c r="CT46" s="203"/>
      <c r="CU46" s="203"/>
      <c r="CV46" s="203"/>
      <c r="CW46" s="203"/>
      <c r="CX46" s="203"/>
      <c r="CY46" s="203"/>
      <c r="CZ46" s="203"/>
      <c r="DA46" s="203"/>
      <c r="DB46" s="203"/>
      <c r="DC46" s="203"/>
      <c r="DD46" s="203"/>
      <c r="DE46" s="203"/>
      <c r="DF46" s="203"/>
      <c r="DG46" s="203"/>
      <c r="DH46" s="203"/>
      <c r="DI46" s="203"/>
      <c r="DJ46" s="203"/>
      <c r="DK46" s="203"/>
      <c r="DL46" s="203"/>
      <c r="DM46" s="203"/>
      <c r="DN46" s="203"/>
      <c r="DO46" s="203"/>
      <c r="DP46" s="203"/>
      <c r="DQ46" s="203"/>
      <c r="DR46" s="203"/>
      <c r="DS46" s="203"/>
      <c r="DT46" s="203"/>
      <c r="DU46" s="203"/>
      <c r="DV46" s="203"/>
      <c r="DW46" s="203"/>
      <c r="DX46" s="203"/>
      <c r="DY46" s="203"/>
      <c r="DZ46" s="203"/>
      <c r="EA46" s="203"/>
      <c r="EB46" s="203"/>
      <c r="EC46" s="203"/>
      <c r="ED46" s="203"/>
      <c r="EE46" s="203"/>
      <c r="EF46" s="203"/>
      <c r="EG46" s="203"/>
      <c r="EH46" s="203"/>
      <c r="EI46" s="203"/>
      <c r="EJ46" s="203"/>
      <c r="EK46" s="203"/>
      <c r="EL46" s="203"/>
      <c r="EM46" s="203"/>
      <c r="EN46" s="203"/>
      <c r="EO46" s="203"/>
      <c r="EP46" s="203"/>
      <c r="EQ46" s="203"/>
      <c r="ER46" s="203"/>
      <c r="ES46" s="203"/>
      <c r="ET46" s="203"/>
      <c r="EU46" s="203"/>
      <c r="EV46" s="203"/>
      <c r="EW46" s="203"/>
      <c r="EX46" s="203"/>
      <c r="EY46" s="203"/>
      <c r="EZ46" s="203"/>
      <c r="FA46" s="203"/>
      <c r="FB46" s="203"/>
      <c r="FC46" s="203"/>
    </row>
    <row r="47" spans="1:159" ht="313.5" customHeight="1">
      <c r="A47" s="83" t="str">
        <f ca="1">IF(AND($D$1&gt;=C47,$D$1&lt;=D47),"CurrentSprint","NA")</f>
        <v>NA</v>
      </c>
      <c r="B47" s="316" t="s">
        <v>165</v>
      </c>
      <c r="C47" s="428">
        <v>45939</v>
      </c>
      <c r="D47" s="428">
        <v>45953</v>
      </c>
      <c r="E47" s="228">
        <v>16</v>
      </c>
      <c r="F47" s="362">
        <v>13</v>
      </c>
      <c r="G47" s="447" t="s">
        <v>29</v>
      </c>
      <c r="H47" s="146"/>
      <c r="I47" s="90" t="s">
        <v>166</v>
      </c>
      <c r="J47" s="90" t="s">
        <v>167</v>
      </c>
      <c r="K47" s="502" t="s">
        <v>168</v>
      </c>
      <c r="L47" s="203"/>
      <c r="M47" s="203"/>
      <c r="N47" s="203"/>
      <c r="O47" s="203"/>
      <c r="P47" s="203"/>
      <c r="Q47" s="203"/>
      <c r="R47" s="203"/>
      <c r="S47" s="203"/>
      <c r="T47" s="203"/>
      <c r="U47" s="203"/>
      <c r="V47" s="203"/>
      <c r="W47" s="203"/>
      <c r="X47" s="203"/>
      <c r="Y47" s="203"/>
      <c r="Z47" s="203"/>
      <c r="AA47" s="203"/>
      <c r="AB47" s="203"/>
      <c r="AC47" s="203"/>
      <c r="AD47" s="203"/>
      <c r="AE47" s="203"/>
      <c r="AF47" s="203"/>
      <c r="AG47" s="203"/>
      <c r="AH47" s="203"/>
      <c r="AI47" s="203"/>
      <c r="AJ47" s="203"/>
      <c r="AK47" s="203"/>
      <c r="AL47" s="203"/>
      <c r="AM47" s="203"/>
      <c r="AN47" s="203"/>
      <c r="AO47" s="203"/>
      <c r="AP47" s="203"/>
      <c r="AQ47" s="203"/>
      <c r="AR47" s="203"/>
      <c r="AS47" s="203"/>
      <c r="AT47" s="203"/>
      <c r="AU47" s="203"/>
      <c r="AV47" s="203"/>
      <c r="AW47" s="203"/>
      <c r="AX47" s="203"/>
      <c r="AY47" s="203"/>
      <c r="AZ47" s="203"/>
      <c r="BA47" s="203"/>
      <c r="BB47" s="203"/>
      <c r="BC47" s="203"/>
      <c r="BD47" s="203"/>
      <c r="BE47" s="203"/>
      <c r="BF47" s="203"/>
      <c r="BG47" s="203"/>
      <c r="BH47" s="203"/>
      <c r="BI47" s="203"/>
      <c r="BJ47" s="203"/>
      <c r="BK47" s="203"/>
      <c r="BL47" s="203"/>
      <c r="BM47" s="203"/>
      <c r="BN47" s="203"/>
      <c r="BO47" s="203"/>
      <c r="BP47" s="203"/>
      <c r="BQ47" s="203"/>
      <c r="BR47" s="203"/>
      <c r="BS47" s="203"/>
      <c r="BT47" s="203"/>
      <c r="BU47" s="203"/>
      <c r="BV47" s="203"/>
      <c r="BW47" s="203"/>
      <c r="BX47" s="203"/>
      <c r="BY47" s="203"/>
      <c r="BZ47" s="203"/>
      <c r="CA47" s="203"/>
      <c r="CB47" s="203"/>
      <c r="CC47" s="203"/>
      <c r="CD47" s="203"/>
      <c r="CE47" s="203"/>
      <c r="CF47" s="203"/>
      <c r="CG47" s="203"/>
      <c r="CH47" s="203"/>
      <c r="CI47" s="203"/>
      <c r="CJ47" s="203"/>
      <c r="CK47" s="203"/>
      <c r="CL47" s="203"/>
      <c r="CM47" s="203"/>
      <c r="CN47" s="203"/>
      <c r="CO47" s="203"/>
      <c r="CP47" s="203"/>
      <c r="CQ47" s="203"/>
      <c r="CR47" s="203"/>
      <c r="CS47" s="203"/>
      <c r="CT47" s="203"/>
      <c r="CU47" s="203"/>
      <c r="CV47" s="203"/>
      <c r="CW47" s="203"/>
      <c r="CX47" s="203"/>
      <c r="CY47" s="203"/>
      <c r="CZ47" s="203"/>
      <c r="DA47" s="203"/>
      <c r="DB47" s="203"/>
      <c r="DC47" s="203"/>
      <c r="DD47" s="203"/>
      <c r="DE47" s="203"/>
      <c r="DF47" s="203"/>
      <c r="DG47" s="203"/>
      <c r="DH47" s="203"/>
      <c r="DI47" s="203"/>
      <c r="DJ47" s="203"/>
      <c r="DK47" s="203"/>
      <c r="DL47" s="203"/>
      <c r="DM47" s="203"/>
      <c r="DN47" s="203"/>
      <c r="DO47" s="203"/>
      <c r="DP47" s="203"/>
      <c r="DQ47" s="203"/>
      <c r="DR47" s="203"/>
      <c r="DS47" s="203"/>
      <c r="DT47" s="203"/>
      <c r="DU47" s="203"/>
      <c r="DV47" s="203"/>
      <c r="DW47" s="203"/>
      <c r="DX47" s="203"/>
      <c r="DY47" s="203"/>
      <c r="DZ47" s="203"/>
      <c r="EA47" s="203"/>
      <c r="EB47" s="203"/>
      <c r="EC47" s="203"/>
      <c r="ED47" s="203"/>
      <c r="EE47" s="203"/>
      <c r="EF47" s="203"/>
      <c r="EG47" s="203"/>
      <c r="EH47" s="203"/>
      <c r="EI47" s="203"/>
      <c r="EJ47" s="203"/>
      <c r="EK47" s="203"/>
      <c r="EL47" s="203"/>
      <c r="EM47" s="203"/>
      <c r="EN47" s="203"/>
      <c r="EO47" s="203"/>
      <c r="EP47" s="203"/>
      <c r="EQ47" s="203"/>
      <c r="ER47" s="203"/>
      <c r="ES47" s="203"/>
      <c r="ET47" s="203"/>
      <c r="EU47" s="203"/>
      <c r="EV47" s="203"/>
      <c r="EW47" s="203"/>
      <c r="EX47" s="203"/>
      <c r="EY47" s="203"/>
      <c r="EZ47" s="203"/>
      <c r="FA47" s="203"/>
      <c r="FB47" s="203"/>
      <c r="FC47" s="203"/>
    </row>
    <row r="48" spans="1:159" ht="358.5" customHeight="1">
      <c r="A48" s="83" t="str">
        <f ca="1">IF(AND($D$1&gt;=C48,$D$1&lt;=D48),"CurrentSprint","NA")</f>
        <v>NA</v>
      </c>
      <c r="B48" s="316" t="s">
        <v>169</v>
      </c>
      <c r="C48" s="428">
        <v>45953</v>
      </c>
      <c r="D48" s="428">
        <v>45967</v>
      </c>
      <c r="E48" s="228">
        <v>15</v>
      </c>
      <c r="F48" s="362">
        <v>18</v>
      </c>
      <c r="G48" s="447" t="s">
        <v>170</v>
      </c>
      <c r="H48" s="875"/>
      <c r="I48" s="305" t="s">
        <v>171</v>
      </c>
      <c r="J48" s="90" t="s">
        <v>172</v>
      </c>
      <c r="K48" s="502" t="s">
        <v>173</v>
      </c>
      <c r="L48" s="203"/>
      <c r="M48" s="203"/>
      <c r="N48" s="203"/>
      <c r="O48" s="203"/>
      <c r="P48" s="203"/>
      <c r="Q48" s="203"/>
      <c r="R48" s="203"/>
      <c r="S48" s="203"/>
      <c r="T48" s="203"/>
      <c r="U48" s="203"/>
      <c r="V48" s="203"/>
      <c r="W48" s="203"/>
      <c r="X48" s="203"/>
      <c r="Y48" s="203"/>
      <c r="Z48" s="203"/>
      <c r="AA48" s="203"/>
      <c r="AB48" s="203"/>
      <c r="AC48" s="203"/>
      <c r="AD48" s="203"/>
      <c r="AE48" s="203"/>
      <c r="AF48" s="203"/>
      <c r="AG48" s="203"/>
      <c r="AH48" s="203"/>
      <c r="AI48" s="203"/>
      <c r="AJ48" s="203"/>
      <c r="AK48" s="203"/>
      <c r="AL48" s="203"/>
      <c r="AM48" s="203"/>
      <c r="AN48" s="203"/>
      <c r="AO48" s="203"/>
      <c r="AP48" s="203"/>
      <c r="AQ48" s="203"/>
      <c r="AR48" s="203"/>
      <c r="AS48" s="203"/>
      <c r="AT48" s="203"/>
      <c r="AU48" s="203"/>
      <c r="AV48" s="203"/>
      <c r="AW48" s="203"/>
      <c r="AX48" s="203"/>
      <c r="AY48" s="203"/>
      <c r="AZ48" s="203"/>
      <c r="BA48" s="203"/>
      <c r="BB48" s="203"/>
      <c r="BC48" s="203"/>
      <c r="BD48" s="203"/>
      <c r="BE48" s="203"/>
      <c r="BF48" s="203"/>
      <c r="BG48" s="203"/>
      <c r="BH48" s="203"/>
      <c r="BI48" s="203"/>
      <c r="BJ48" s="203"/>
      <c r="BK48" s="203"/>
      <c r="BL48" s="203"/>
      <c r="BM48" s="203"/>
      <c r="BN48" s="203"/>
      <c r="BO48" s="203"/>
      <c r="BP48" s="203"/>
      <c r="BQ48" s="203"/>
      <c r="BR48" s="203"/>
      <c r="BS48" s="203"/>
      <c r="BT48" s="203"/>
      <c r="BU48" s="203"/>
      <c r="BV48" s="203"/>
      <c r="BW48" s="203"/>
      <c r="BX48" s="203"/>
      <c r="BY48" s="203"/>
      <c r="BZ48" s="203"/>
      <c r="CA48" s="203"/>
      <c r="CB48" s="203"/>
      <c r="CC48" s="203"/>
      <c r="CD48" s="203"/>
      <c r="CE48" s="203"/>
      <c r="CF48" s="203"/>
      <c r="CG48" s="203"/>
      <c r="CH48" s="203"/>
      <c r="CI48" s="203"/>
      <c r="CJ48" s="203"/>
      <c r="CK48" s="203"/>
      <c r="CL48" s="203"/>
      <c r="CM48" s="203"/>
      <c r="CN48" s="203"/>
      <c r="CO48" s="203"/>
      <c r="CP48" s="203"/>
      <c r="CQ48" s="203"/>
      <c r="CR48" s="203"/>
      <c r="CS48" s="203"/>
      <c r="CT48" s="203"/>
      <c r="CU48" s="203"/>
      <c r="CV48" s="203"/>
      <c r="CW48" s="203"/>
      <c r="CX48" s="203"/>
      <c r="CY48" s="203"/>
      <c r="CZ48" s="203"/>
      <c r="DA48" s="203"/>
      <c r="DB48" s="203"/>
      <c r="DC48" s="203"/>
      <c r="DD48" s="203"/>
      <c r="DE48" s="203"/>
      <c r="DF48" s="203"/>
      <c r="DG48" s="203"/>
      <c r="DH48" s="203"/>
      <c r="DI48" s="203"/>
      <c r="DJ48" s="203"/>
      <c r="DK48" s="203"/>
      <c r="DL48" s="203"/>
      <c r="DM48" s="203"/>
      <c r="DN48" s="203"/>
      <c r="DO48" s="203"/>
      <c r="DP48" s="203"/>
      <c r="DQ48" s="203"/>
      <c r="DR48" s="203"/>
      <c r="DS48" s="203"/>
      <c r="DT48" s="203"/>
      <c r="DU48" s="203"/>
      <c r="DV48" s="203"/>
      <c r="DW48" s="203"/>
      <c r="DX48" s="203"/>
      <c r="DY48" s="203"/>
      <c r="DZ48" s="203"/>
      <c r="EA48" s="203"/>
      <c r="EB48" s="203"/>
      <c r="EC48" s="203"/>
      <c r="ED48" s="203"/>
      <c r="EE48" s="203"/>
      <c r="EF48" s="203"/>
      <c r="EG48" s="203"/>
      <c r="EH48" s="203"/>
      <c r="EI48" s="203"/>
      <c r="EJ48" s="203"/>
      <c r="EK48" s="203"/>
      <c r="EL48" s="203"/>
      <c r="EM48" s="203"/>
      <c r="EN48" s="203"/>
      <c r="EO48" s="203"/>
      <c r="EP48" s="203"/>
      <c r="EQ48" s="203"/>
      <c r="ER48" s="203"/>
      <c r="ES48" s="203"/>
      <c r="ET48" s="203"/>
      <c r="EU48" s="203"/>
      <c r="EV48" s="203"/>
      <c r="EW48" s="203"/>
      <c r="EX48" s="203"/>
      <c r="EY48" s="203"/>
      <c r="EZ48" s="203"/>
      <c r="FA48" s="203"/>
      <c r="FB48" s="203"/>
      <c r="FC48" s="203"/>
    </row>
    <row r="49" spans="1:159" ht="315.75" customHeight="1">
      <c r="A49" s="83" t="str">
        <f ca="1">IF(AND($D$1&gt;=C49,$D$1&lt;=D49),"CurrentSprint","NA")</f>
        <v>NA</v>
      </c>
      <c r="B49" s="316" t="s">
        <v>174</v>
      </c>
      <c r="C49" s="428">
        <v>45967</v>
      </c>
      <c r="D49" s="428">
        <v>45981</v>
      </c>
      <c r="E49" s="228">
        <v>15</v>
      </c>
      <c r="F49" s="362">
        <v>17</v>
      </c>
      <c r="G49" s="447" t="s">
        <v>36</v>
      </c>
      <c r="H49" s="844"/>
      <c r="I49" s="316" t="s">
        <v>175</v>
      </c>
      <c r="J49" s="146" t="s">
        <v>172</v>
      </c>
      <c r="K49" s="502" t="s">
        <v>176</v>
      </c>
      <c r="L49" s="203"/>
      <c r="M49" s="203"/>
      <c r="N49" s="203"/>
      <c r="O49" s="203"/>
      <c r="P49" s="203"/>
      <c r="Q49" s="203"/>
      <c r="R49" s="203"/>
      <c r="S49" s="203"/>
      <c r="T49" s="203"/>
      <c r="U49" s="203"/>
      <c r="V49" s="203"/>
      <c r="W49" s="203"/>
      <c r="X49" s="203"/>
      <c r="Y49" s="203"/>
      <c r="Z49" s="203"/>
      <c r="AA49" s="203"/>
      <c r="AB49" s="203"/>
      <c r="AC49" s="203"/>
      <c r="AD49" s="203"/>
      <c r="AE49" s="203"/>
      <c r="AF49" s="203"/>
      <c r="AG49" s="203"/>
      <c r="AH49" s="203"/>
      <c r="AI49" s="203"/>
      <c r="AJ49" s="203"/>
      <c r="AK49" s="203"/>
      <c r="AL49" s="203"/>
      <c r="AM49" s="203"/>
      <c r="AN49" s="203"/>
      <c r="AO49" s="203"/>
      <c r="AP49" s="203"/>
      <c r="AQ49" s="203"/>
      <c r="AR49" s="203"/>
      <c r="AS49" s="203"/>
      <c r="AT49" s="203"/>
      <c r="AU49" s="203"/>
      <c r="AV49" s="203"/>
      <c r="AW49" s="203"/>
      <c r="AX49" s="203"/>
      <c r="AY49" s="203"/>
      <c r="AZ49" s="203"/>
      <c r="BA49" s="203"/>
      <c r="BB49" s="203"/>
      <c r="BC49" s="203"/>
      <c r="BD49" s="203"/>
      <c r="BE49" s="203"/>
      <c r="BF49" s="203"/>
      <c r="BG49" s="203"/>
      <c r="BH49" s="203"/>
      <c r="BI49" s="203"/>
      <c r="BJ49" s="203"/>
      <c r="BK49" s="203"/>
      <c r="BL49" s="203"/>
      <c r="BM49" s="203"/>
      <c r="BN49" s="203"/>
      <c r="BO49" s="203"/>
      <c r="BP49" s="203"/>
      <c r="BQ49" s="203"/>
      <c r="BR49" s="203"/>
      <c r="BS49" s="203"/>
      <c r="BT49" s="203"/>
      <c r="BU49" s="203"/>
      <c r="BV49" s="203"/>
      <c r="BW49" s="203"/>
      <c r="BX49" s="203"/>
      <c r="BY49" s="203"/>
      <c r="BZ49" s="203"/>
      <c r="CA49" s="203"/>
      <c r="CB49" s="203"/>
      <c r="CC49" s="203"/>
      <c r="CD49" s="203"/>
      <c r="CE49" s="203"/>
      <c r="CF49" s="203"/>
      <c r="CG49" s="203"/>
      <c r="CH49" s="203"/>
      <c r="CI49" s="203"/>
      <c r="CJ49" s="203"/>
      <c r="CK49" s="203"/>
      <c r="CL49" s="203"/>
      <c r="CM49" s="203"/>
      <c r="CN49" s="203"/>
      <c r="CO49" s="203"/>
      <c r="CP49" s="203"/>
      <c r="CQ49" s="203"/>
      <c r="CR49" s="203"/>
      <c r="CS49" s="203"/>
      <c r="CT49" s="203"/>
      <c r="CU49" s="203"/>
      <c r="CV49" s="203"/>
      <c r="CW49" s="203"/>
      <c r="CX49" s="203"/>
      <c r="CY49" s="203"/>
      <c r="CZ49" s="203"/>
      <c r="DA49" s="203"/>
      <c r="DB49" s="203"/>
      <c r="DC49" s="203"/>
      <c r="DD49" s="203"/>
      <c r="DE49" s="203"/>
      <c r="DF49" s="203"/>
      <c r="DG49" s="203"/>
      <c r="DH49" s="203"/>
      <c r="DI49" s="203"/>
      <c r="DJ49" s="203"/>
      <c r="DK49" s="203"/>
      <c r="DL49" s="203"/>
      <c r="DM49" s="203"/>
      <c r="DN49" s="203"/>
      <c r="DO49" s="203"/>
      <c r="DP49" s="203"/>
      <c r="DQ49" s="203"/>
      <c r="DR49" s="203"/>
      <c r="DS49" s="203"/>
      <c r="DT49" s="203"/>
      <c r="DU49" s="203"/>
      <c r="DV49" s="203"/>
      <c r="DW49" s="203"/>
      <c r="DX49" s="203"/>
      <c r="DY49" s="203"/>
      <c r="DZ49" s="203"/>
      <c r="EA49" s="203"/>
      <c r="EB49" s="203"/>
      <c r="EC49" s="203"/>
      <c r="ED49" s="203"/>
      <c r="EE49" s="203"/>
      <c r="EF49" s="203"/>
      <c r="EG49" s="203"/>
      <c r="EH49" s="203"/>
      <c r="EI49" s="203"/>
      <c r="EJ49" s="203"/>
      <c r="EK49" s="203"/>
      <c r="EL49" s="203"/>
      <c r="EM49" s="203"/>
      <c r="EN49" s="203"/>
      <c r="EO49" s="203"/>
      <c r="EP49" s="203"/>
      <c r="EQ49" s="203"/>
      <c r="ER49" s="203"/>
      <c r="ES49" s="203"/>
      <c r="ET49" s="203"/>
      <c r="EU49" s="203"/>
      <c r="EV49" s="203"/>
      <c r="EW49" s="203"/>
      <c r="EX49" s="203"/>
      <c r="EY49" s="203"/>
      <c r="EZ49" s="203"/>
      <c r="FA49" s="203"/>
      <c r="FB49" s="203"/>
      <c r="FC49" s="203"/>
    </row>
    <row r="50" spans="1:159" ht="409.5" customHeight="1">
      <c r="A50" s="83" t="str">
        <f ca="1">IF(AND($D$1&gt;=C50,$D$1&lt;=D50),"CurrentSprint","NA")</f>
        <v>NA</v>
      </c>
      <c r="B50" s="316" t="s">
        <v>177</v>
      </c>
      <c r="C50" s="428">
        <v>45981</v>
      </c>
      <c r="D50" s="428">
        <v>45995</v>
      </c>
      <c r="E50" s="228">
        <v>17</v>
      </c>
      <c r="F50" s="362">
        <v>20</v>
      </c>
      <c r="G50" s="447" t="s">
        <v>56</v>
      </c>
      <c r="H50" s="844"/>
      <c r="I50" s="316" t="s">
        <v>178</v>
      </c>
      <c r="J50" s="146" t="s">
        <v>179</v>
      </c>
      <c r="K50" s="502" t="s">
        <v>180</v>
      </c>
      <c r="L50" s="203"/>
      <c r="M50" s="203"/>
      <c r="N50" s="203"/>
      <c r="O50" s="203"/>
      <c r="P50" s="203"/>
      <c r="Q50" s="203"/>
      <c r="R50" s="203"/>
      <c r="S50" s="203"/>
      <c r="T50" s="203"/>
      <c r="U50" s="203"/>
      <c r="V50" s="203"/>
      <c r="W50" s="203"/>
      <c r="X50" s="203"/>
      <c r="Y50" s="203"/>
      <c r="Z50" s="203"/>
      <c r="AA50" s="203"/>
      <c r="AB50" s="203"/>
      <c r="AC50" s="203"/>
      <c r="AD50" s="203"/>
      <c r="AE50" s="203"/>
      <c r="AF50" s="203"/>
      <c r="AG50" s="203"/>
      <c r="AH50" s="203"/>
      <c r="AI50" s="203"/>
      <c r="AJ50" s="203"/>
      <c r="AK50" s="203"/>
      <c r="AL50" s="203"/>
      <c r="AM50" s="203"/>
      <c r="AN50" s="203"/>
      <c r="AO50" s="203"/>
      <c r="AP50" s="203"/>
      <c r="AQ50" s="203"/>
      <c r="AR50" s="203"/>
      <c r="AS50" s="203"/>
      <c r="AT50" s="203"/>
      <c r="AU50" s="203"/>
      <c r="AV50" s="203"/>
      <c r="AW50" s="203"/>
      <c r="AX50" s="203"/>
      <c r="AY50" s="203"/>
      <c r="AZ50" s="203"/>
      <c r="BA50" s="203"/>
      <c r="BB50" s="203"/>
      <c r="BC50" s="203"/>
      <c r="BD50" s="203"/>
      <c r="BE50" s="203"/>
      <c r="BF50" s="203"/>
      <c r="BG50" s="203"/>
      <c r="BH50" s="203"/>
      <c r="BI50" s="203"/>
      <c r="BJ50" s="203"/>
      <c r="BK50" s="203"/>
      <c r="BL50" s="203"/>
      <c r="BM50" s="203"/>
      <c r="BN50" s="203"/>
      <c r="BO50" s="203"/>
      <c r="BP50" s="203"/>
      <c r="BQ50" s="203"/>
      <c r="BR50" s="203"/>
      <c r="BS50" s="203"/>
      <c r="BT50" s="203"/>
      <c r="BU50" s="203"/>
      <c r="BV50" s="203"/>
      <c r="BW50" s="203"/>
      <c r="BX50" s="203"/>
      <c r="BY50" s="203"/>
      <c r="BZ50" s="203"/>
      <c r="CA50" s="203"/>
      <c r="CB50" s="203"/>
      <c r="CC50" s="203"/>
      <c r="CD50" s="203"/>
      <c r="CE50" s="203"/>
      <c r="CF50" s="203"/>
      <c r="CG50" s="203"/>
      <c r="CH50" s="203"/>
      <c r="CI50" s="203"/>
      <c r="CJ50" s="203"/>
      <c r="CK50" s="203"/>
      <c r="CL50" s="203"/>
      <c r="CM50" s="203"/>
      <c r="CN50" s="203"/>
      <c r="CO50" s="203"/>
      <c r="CP50" s="203"/>
      <c r="CQ50" s="203"/>
      <c r="CR50" s="203"/>
      <c r="CS50" s="203"/>
      <c r="CT50" s="203"/>
      <c r="CU50" s="203"/>
      <c r="CV50" s="203"/>
      <c r="CW50" s="203"/>
      <c r="CX50" s="203"/>
      <c r="CY50" s="203"/>
      <c r="CZ50" s="203"/>
      <c r="DA50" s="203"/>
      <c r="DB50" s="203"/>
      <c r="DC50" s="203"/>
      <c r="DD50" s="203"/>
      <c r="DE50" s="203"/>
      <c r="DF50" s="203"/>
      <c r="DG50" s="203"/>
      <c r="DH50" s="203"/>
      <c r="DI50" s="203"/>
      <c r="DJ50" s="203"/>
      <c r="DK50" s="203"/>
      <c r="DL50" s="203"/>
      <c r="DM50" s="203"/>
      <c r="DN50" s="203"/>
      <c r="DO50" s="203"/>
      <c r="DP50" s="203"/>
      <c r="DQ50" s="203"/>
      <c r="DR50" s="203"/>
      <c r="DS50" s="203"/>
      <c r="DT50" s="203"/>
      <c r="DU50" s="203"/>
      <c r="DV50" s="203"/>
      <c r="DW50" s="203"/>
      <c r="DX50" s="203"/>
      <c r="DY50" s="203"/>
      <c r="DZ50" s="203"/>
      <c r="EA50" s="203"/>
      <c r="EB50" s="203"/>
      <c r="EC50" s="203"/>
      <c r="ED50" s="203"/>
      <c r="EE50" s="203"/>
      <c r="EF50" s="203"/>
      <c r="EG50" s="203"/>
      <c r="EH50" s="203"/>
      <c r="EI50" s="203"/>
      <c r="EJ50" s="203"/>
      <c r="EK50" s="203"/>
      <c r="EL50" s="203"/>
      <c r="EM50" s="203"/>
      <c r="EN50" s="203"/>
      <c r="EO50" s="203"/>
      <c r="EP50" s="203"/>
      <c r="EQ50" s="203"/>
      <c r="ER50" s="203"/>
      <c r="ES50" s="203"/>
      <c r="ET50" s="203"/>
      <c r="EU50" s="203"/>
      <c r="EV50" s="203"/>
      <c r="EW50" s="203"/>
      <c r="EX50" s="203"/>
      <c r="EY50" s="203"/>
      <c r="EZ50" s="203"/>
      <c r="FA50" s="203"/>
      <c r="FB50" s="203"/>
      <c r="FC50" s="203"/>
    </row>
    <row r="51" spans="1:159" ht="357.75" customHeight="1">
      <c r="A51" s="83" t="str">
        <f ca="1">IF(AND($D$1&gt;=C51,$D$1&lt;=D51),"CurrentSprint","NA")</f>
        <v>NA</v>
      </c>
      <c r="B51" s="316" t="s">
        <v>181</v>
      </c>
      <c r="C51" s="428">
        <v>45995</v>
      </c>
      <c r="D51" s="428">
        <v>46009</v>
      </c>
      <c r="E51" s="228">
        <v>14</v>
      </c>
      <c r="F51" s="362">
        <v>14</v>
      </c>
      <c r="G51" s="447" t="s">
        <v>182</v>
      </c>
      <c r="H51" s="844"/>
      <c r="I51" s="316" t="s">
        <v>183</v>
      </c>
      <c r="J51" s="146" t="s">
        <v>184</v>
      </c>
      <c r="K51" s="502" t="s">
        <v>185</v>
      </c>
      <c r="L51" s="203"/>
      <c r="M51" s="203"/>
      <c r="N51" s="203"/>
      <c r="O51" s="203"/>
      <c r="P51" s="203"/>
      <c r="Q51" s="203"/>
      <c r="R51" s="203"/>
      <c r="S51" s="203"/>
      <c r="T51" s="203"/>
      <c r="U51" s="203"/>
      <c r="V51" s="203"/>
      <c r="W51" s="203"/>
      <c r="X51" s="203"/>
      <c r="Y51" s="203"/>
      <c r="Z51" s="203"/>
      <c r="AA51" s="203"/>
      <c r="AB51" s="203"/>
      <c r="AC51" s="203"/>
      <c r="AD51" s="203"/>
      <c r="AE51" s="203"/>
      <c r="AF51" s="203"/>
      <c r="AG51" s="203"/>
      <c r="AH51" s="203"/>
      <c r="AI51" s="203"/>
      <c r="AJ51" s="203"/>
      <c r="AK51" s="203"/>
      <c r="AL51" s="203"/>
      <c r="AM51" s="203"/>
      <c r="AN51" s="203"/>
      <c r="AO51" s="203"/>
      <c r="AP51" s="203"/>
      <c r="AQ51" s="203"/>
      <c r="AR51" s="203"/>
      <c r="AS51" s="203"/>
      <c r="AT51" s="203"/>
      <c r="AU51" s="203"/>
      <c r="AV51" s="203"/>
      <c r="AW51" s="203"/>
      <c r="AX51" s="203"/>
      <c r="AY51" s="203"/>
      <c r="AZ51" s="203"/>
      <c r="BA51" s="203"/>
      <c r="BB51" s="203"/>
      <c r="BC51" s="203"/>
      <c r="BD51" s="203"/>
      <c r="BE51" s="203"/>
      <c r="BF51" s="203"/>
      <c r="BG51" s="203"/>
      <c r="BH51" s="203"/>
      <c r="BI51" s="203"/>
      <c r="BJ51" s="203"/>
      <c r="BK51" s="203"/>
      <c r="BL51" s="203"/>
      <c r="BM51" s="203"/>
      <c r="BN51" s="203"/>
      <c r="BO51" s="203"/>
      <c r="BP51" s="203"/>
      <c r="BQ51" s="203"/>
      <c r="BR51" s="203"/>
      <c r="BS51" s="203"/>
      <c r="BT51" s="203"/>
      <c r="BU51" s="203"/>
      <c r="BV51" s="203"/>
      <c r="BW51" s="203"/>
      <c r="BX51" s="203"/>
      <c r="BY51" s="203"/>
      <c r="BZ51" s="203"/>
      <c r="CA51" s="203"/>
      <c r="CB51" s="203"/>
      <c r="CC51" s="203"/>
      <c r="CD51" s="203"/>
      <c r="CE51" s="203"/>
      <c r="CF51" s="203"/>
      <c r="CG51" s="203"/>
      <c r="CH51" s="203"/>
      <c r="CI51" s="203"/>
      <c r="CJ51" s="203"/>
      <c r="CK51" s="203"/>
      <c r="CL51" s="203"/>
      <c r="CM51" s="203"/>
      <c r="CN51" s="203"/>
      <c r="CO51" s="203"/>
      <c r="CP51" s="203"/>
      <c r="CQ51" s="203"/>
      <c r="CR51" s="203"/>
      <c r="CS51" s="203"/>
      <c r="CT51" s="203"/>
      <c r="CU51" s="203"/>
      <c r="CV51" s="203"/>
      <c r="CW51" s="203"/>
      <c r="CX51" s="203"/>
      <c r="CY51" s="203"/>
      <c r="CZ51" s="203"/>
      <c r="DA51" s="203"/>
      <c r="DB51" s="203"/>
      <c r="DC51" s="203"/>
      <c r="DD51" s="203"/>
      <c r="DE51" s="203"/>
      <c r="DF51" s="203"/>
      <c r="DG51" s="203"/>
      <c r="DH51" s="203"/>
      <c r="DI51" s="203"/>
      <c r="DJ51" s="203"/>
      <c r="DK51" s="203"/>
      <c r="DL51" s="203"/>
      <c r="DM51" s="203"/>
      <c r="DN51" s="203"/>
      <c r="DO51" s="203"/>
      <c r="DP51" s="203"/>
      <c r="DQ51" s="203"/>
      <c r="DR51" s="203"/>
      <c r="DS51" s="203"/>
      <c r="DT51" s="203"/>
      <c r="DU51" s="203"/>
      <c r="DV51" s="203"/>
      <c r="DW51" s="203"/>
      <c r="DX51" s="203"/>
      <c r="DY51" s="203"/>
      <c r="DZ51" s="203"/>
      <c r="EA51" s="203"/>
      <c r="EB51" s="203"/>
      <c r="EC51" s="203"/>
      <c r="ED51" s="203"/>
      <c r="EE51" s="203"/>
      <c r="EF51" s="203"/>
      <c r="EG51" s="203"/>
      <c r="EH51" s="203"/>
      <c r="EI51" s="203"/>
      <c r="EJ51" s="203"/>
      <c r="EK51" s="203"/>
      <c r="EL51" s="203"/>
      <c r="EM51" s="203"/>
      <c r="EN51" s="203"/>
      <c r="EO51" s="203"/>
      <c r="EP51" s="203"/>
      <c r="EQ51" s="203"/>
      <c r="ER51" s="203"/>
      <c r="ES51" s="203"/>
      <c r="ET51" s="203"/>
      <c r="EU51" s="203"/>
      <c r="EV51" s="203"/>
      <c r="EW51" s="203"/>
      <c r="EX51" s="203"/>
      <c r="EY51" s="203"/>
      <c r="EZ51" s="203"/>
      <c r="FA51" s="203"/>
      <c r="FB51" s="203"/>
      <c r="FC51" s="203"/>
    </row>
    <row r="52" spans="1:159" ht="291.75" customHeight="1">
      <c r="A52" s="83" t="str">
        <f ca="1">IF(AND($D$1&gt;=C52,$D$1&lt;=D52),"CurrentSprint","NA")</f>
        <v>NA</v>
      </c>
      <c r="B52" s="316" t="s">
        <v>186</v>
      </c>
      <c r="C52" s="428">
        <v>46009</v>
      </c>
      <c r="D52" s="428">
        <v>46037</v>
      </c>
      <c r="E52" s="228">
        <v>15</v>
      </c>
      <c r="F52" s="362">
        <v>16</v>
      </c>
      <c r="G52" s="447" t="s">
        <v>182</v>
      </c>
      <c r="H52" s="844"/>
      <c r="I52" s="316" t="s">
        <v>187</v>
      </c>
      <c r="J52" s="146" t="s">
        <v>154</v>
      </c>
      <c r="K52" s="502" t="s">
        <v>188</v>
      </c>
      <c r="L52" s="203"/>
      <c r="M52" s="203"/>
      <c r="N52" s="203"/>
      <c r="O52" s="203"/>
      <c r="P52" s="203"/>
      <c r="Q52" s="203"/>
      <c r="R52" s="203"/>
      <c r="S52" s="203"/>
      <c r="T52" s="203"/>
      <c r="U52" s="203"/>
      <c r="V52" s="203"/>
      <c r="W52" s="203"/>
      <c r="X52" s="203"/>
      <c r="Y52" s="203"/>
      <c r="Z52" s="203"/>
      <c r="AA52" s="203"/>
      <c r="AB52" s="203"/>
      <c r="AC52" s="203"/>
      <c r="AD52" s="203"/>
      <c r="AE52" s="203"/>
      <c r="AF52" s="203"/>
      <c r="AG52" s="203"/>
      <c r="AH52" s="203"/>
      <c r="AI52" s="203"/>
      <c r="AJ52" s="203"/>
      <c r="AK52" s="203"/>
      <c r="AL52" s="203"/>
      <c r="AM52" s="203"/>
      <c r="AN52" s="203"/>
      <c r="AO52" s="203"/>
      <c r="AP52" s="203"/>
      <c r="AQ52" s="203"/>
      <c r="AR52" s="203"/>
      <c r="AS52" s="203"/>
      <c r="AT52" s="203"/>
      <c r="AU52" s="203"/>
      <c r="AV52" s="203"/>
      <c r="AW52" s="203"/>
      <c r="AX52" s="203"/>
      <c r="AY52" s="203"/>
      <c r="AZ52" s="203"/>
      <c r="BA52" s="203"/>
      <c r="BB52" s="203"/>
      <c r="BC52" s="203"/>
      <c r="BD52" s="203"/>
      <c r="BE52" s="203"/>
      <c r="BF52" s="203"/>
      <c r="BG52" s="203"/>
      <c r="BH52" s="203"/>
      <c r="BI52" s="203"/>
      <c r="BJ52" s="203"/>
      <c r="BK52" s="203"/>
      <c r="BL52" s="203"/>
      <c r="BM52" s="203"/>
      <c r="BN52" s="203"/>
      <c r="BO52" s="203"/>
      <c r="BP52" s="203"/>
      <c r="BQ52" s="203"/>
      <c r="BR52" s="203"/>
      <c r="BS52" s="203"/>
      <c r="BT52" s="203"/>
      <c r="BU52" s="203"/>
      <c r="BV52" s="203"/>
      <c r="BW52" s="203"/>
      <c r="BX52" s="203"/>
      <c r="BY52" s="203"/>
      <c r="BZ52" s="203"/>
      <c r="CA52" s="203"/>
      <c r="CB52" s="203"/>
      <c r="CC52" s="203"/>
      <c r="CD52" s="203"/>
      <c r="CE52" s="203"/>
      <c r="CF52" s="203"/>
      <c r="CG52" s="203"/>
      <c r="CH52" s="203"/>
      <c r="CI52" s="203"/>
      <c r="CJ52" s="203"/>
      <c r="CK52" s="203"/>
      <c r="CL52" s="203"/>
      <c r="CM52" s="203"/>
      <c r="CN52" s="203"/>
      <c r="CO52" s="203"/>
      <c r="CP52" s="203"/>
      <c r="CQ52" s="203"/>
      <c r="CR52" s="203"/>
      <c r="CS52" s="203"/>
      <c r="CT52" s="203"/>
      <c r="CU52" s="203"/>
      <c r="CV52" s="203"/>
      <c r="CW52" s="203"/>
      <c r="CX52" s="203"/>
      <c r="CY52" s="203"/>
      <c r="CZ52" s="203"/>
      <c r="DA52" s="203"/>
      <c r="DB52" s="203"/>
      <c r="DC52" s="203"/>
      <c r="DD52" s="203"/>
      <c r="DE52" s="203"/>
      <c r="DF52" s="203"/>
      <c r="DG52" s="203"/>
      <c r="DH52" s="203"/>
      <c r="DI52" s="203"/>
      <c r="DJ52" s="203"/>
      <c r="DK52" s="203"/>
      <c r="DL52" s="203"/>
      <c r="DM52" s="203"/>
      <c r="DN52" s="203"/>
      <c r="DO52" s="203"/>
      <c r="DP52" s="203"/>
      <c r="DQ52" s="203"/>
      <c r="DR52" s="203"/>
      <c r="DS52" s="203"/>
      <c r="DT52" s="203"/>
      <c r="DU52" s="203"/>
      <c r="DV52" s="203"/>
      <c r="DW52" s="203"/>
      <c r="DX52" s="203"/>
      <c r="DY52" s="203"/>
      <c r="DZ52" s="203"/>
      <c r="EA52" s="203"/>
      <c r="EB52" s="203"/>
      <c r="EC52" s="203"/>
      <c r="ED52" s="203"/>
      <c r="EE52" s="203"/>
      <c r="EF52" s="203"/>
      <c r="EG52" s="203"/>
      <c r="EH52" s="203"/>
      <c r="EI52" s="203"/>
      <c r="EJ52" s="203"/>
      <c r="EK52" s="203"/>
      <c r="EL52" s="203"/>
      <c r="EM52" s="203"/>
      <c r="EN52" s="203"/>
      <c r="EO52" s="203"/>
      <c r="EP52" s="203"/>
      <c r="EQ52" s="203"/>
      <c r="ER52" s="203"/>
      <c r="ES52" s="203"/>
      <c r="ET52" s="203"/>
      <c r="EU52" s="203"/>
      <c r="EV52" s="203"/>
      <c r="EW52" s="203"/>
      <c r="EX52" s="203"/>
      <c r="EY52" s="203"/>
      <c r="EZ52" s="203"/>
      <c r="FA52" s="203"/>
      <c r="FB52" s="203"/>
      <c r="FC52" s="203"/>
    </row>
    <row r="53" spans="1:159" ht="330.75" customHeight="1">
      <c r="A53" s="83" t="str">
        <f ca="1">IF(AND($D$1&gt;=C53,$D$1&lt;=D53),"CurrentSprint","NA")</f>
        <v>NA</v>
      </c>
      <c r="B53" s="316" t="s">
        <v>189</v>
      </c>
      <c r="C53" s="428">
        <v>46037</v>
      </c>
      <c r="D53" s="428">
        <v>46051</v>
      </c>
      <c r="E53" s="228">
        <v>14</v>
      </c>
      <c r="F53" s="362">
        <v>15</v>
      </c>
      <c r="G53" s="447" t="s">
        <v>105</v>
      </c>
      <c r="H53" s="844"/>
      <c r="I53" s="316" t="s">
        <v>190</v>
      </c>
      <c r="J53" s="146" t="s">
        <v>191</v>
      </c>
      <c r="K53" s="502" t="s">
        <v>192</v>
      </c>
      <c r="L53" s="203"/>
      <c r="M53" s="203"/>
      <c r="N53" s="203"/>
      <c r="O53" s="203"/>
      <c r="P53" s="203"/>
      <c r="Q53" s="203"/>
      <c r="R53" s="203"/>
      <c r="S53" s="203"/>
      <c r="T53" s="203"/>
      <c r="U53" s="203"/>
      <c r="V53" s="203"/>
      <c r="W53" s="203"/>
      <c r="X53" s="203"/>
      <c r="Y53" s="203"/>
      <c r="Z53" s="203"/>
      <c r="AA53" s="203"/>
      <c r="AB53" s="203"/>
      <c r="AC53" s="203"/>
      <c r="AD53" s="203"/>
      <c r="AE53" s="203"/>
      <c r="AF53" s="203"/>
      <c r="AG53" s="203"/>
      <c r="AH53" s="203"/>
      <c r="AI53" s="203"/>
      <c r="AJ53" s="203"/>
      <c r="AK53" s="203"/>
      <c r="AL53" s="203"/>
      <c r="AM53" s="203"/>
      <c r="AN53" s="203"/>
      <c r="AO53" s="203"/>
      <c r="AP53" s="203"/>
      <c r="AQ53" s="203"/>
      <c r="AR53" s="203"/>
      <c r="AS53" s="203"/>
      <c r="AT53" s="203"/>
      <c r="AU53" s="203"/>
      <c r="AV53" s="203"/>
      <c r="AW53" s="203"/>
      <c r="AX53" s="203"/>
      <c r="AY53" s="203"/>
      <c r="AZ53" s="203"/>
      <c r="BA53" s="203"/>
      <c r="BB53" s="203"/>
      <c r="BC53" s="203"/>
      <c r="BD53" s="203"/>
      <c r="BE53" s="203"/>
      <c r="BF53" s="203"/>
      <c r="BG53" s="203"/>
      <c r="BH53" s="203"/>
      <c r="BI53" s="203"/>
      <c r="BJ53" s="203"/>
      <c r="BK53" s="203"/>
      <c r="BL53" s="203"/>
      <c r="BM53" s="203"/>
      <c r="BN53" s="203"/>
      <c r="BO53" s="203"/>
      <c r="BP53" s="203"/>
      <c r="BQ53" s="203"/>
      <c r="BR53" s="203"/>
      <c r="BS53" s="203"/>
      <c r="BT53" s="203"/>
      <c r="BU53" s="203"/>
      <c r="BV53" s="203"/>
      <c r="BW53" s="203"/>
      <c r="BX53" s="203"/>
      <c r="BY53" s="203"/>
      <c r="BZ53" s="203"/>
      <c r="CA53" s="203"/>
      <c r="CB53" s="203"/>
      <c r="CC53" s="203"/>
      <c r="CD53" s="203"/>
      <c r="CE53" s="203"/>
      <c r="CF53" s="203"/>
      <c r="CG53" s="203"/>
      <c r="CH53" s="203"/>
      <c r="CI53" s="203"/>
      <c r="CJ53" s="203"/>
      <c r="CK53" s="203"/>
      <c r="CL53" s="203"/>
      <c r="CM53" s="203"/>
      <c r="CN53" s="203"/>
      <c r="CO53" s="203"/>
      <c r="CP53" s="203"/>
      <c r="CQ53" s="203"/>
      <c r="CR53" s="203"/>
      <c r="CS53" s="203"/>
      <c r="CT53" s="203"/>
      <c r="CU53" s="203"/>
      <c r="CV53" s="203"/>
      <c r="CW53" s="203"/>
      <c r="CX53" s="203"/>
      <c r="CY53" s="203"/>
      <c r="CZ53" s="203"/>
      <c r="DA53" s="203"/>
      <c r="DB53" s="203"/>
      <c r="DC53" s="203"/>
      <c r="DD53" s="203"/>
      <c r="DE53" s="203"/>
      <c r="DF53" s="203"/>
      <c r="DG53" s="203"/>
      <c r="DH53" s="203"/>
      <c r="DI53" s="203"/>
      <c r="DJ53" s="203"/>
      <c r="DK53" s="203"/>
      <c r="DL53" s="203"/>
      <c r="DM53" s="203"/>
      <c r="DN53" s="203"/>
      <c r="DO53" s="203"/>
      <c r="DP53" s="203"/>
      <c r="DQ53" s="203"/>
      <c r="DR53" s="203"/>
      <c r="DS53" s="203"/>
      <c r="DT53" s="203"/>
      <c r="DU53" s="203"/>
      <c r="DV53" s="203"/>
      <c r="DW53" s="203"/>
      <c r="DX53" s="203"/>
      <c r="DY53" s="203"/>
      <c r="DZ53" s="203"/>
      <c r="EA53" s="203"/>
      <c r="EB53" s="203"/>
      <c r="EC53" s="203"/>
      <c r="ED53" s="203"/>
      <c r="EE53" s="203"/>
      <c r="EF53" s="203"/>
      <c r="EG53" s="203"/>
      <c r="EH53" s="203"/>
      <c r="EI53" s="203"/>
      <c r="EJ53" s="203"/>
      <c r="EK53" s="203"/>
      <c r="EL53" s="203"/>
      <c r="EM53" s="203"/>
      <c r="EN53" s="203"/>
      <c r="EO53" s="203"/>
      <c r="EP53" s="203"/>
      <c r="EQ53" s="203"/>
      <c r="ER53" s="203"/>
      <c r="ES53" s="203"/>
      <c r="ET53" s="203"/>
      <c r="EU53" s="203"/>
      <c r="EV53" s="203"/>
      <c r="EW53" s="203"/>
      <c r="EX53" s="203"/>
      <c r="EY53" s="203"/>
      <c r="EZ53" s="203"/>
      <c r="FA53" s="203"/>
      <c r="FB53" s="203"/>
      <c r="FC53" s="203"/>
    </row>
    <row r="54" spans="1:159" ht="409.5" customHeight="1">
      <c r="A54" s="83" t="str">
        <f ca="1">IF(AND($D$1&gt;=C54,$D$1&lt;=D54),"CurrentSprint","NA")</f>
        <v>NA</v>
      </c>
      <c r="B54" s="316" t="s">
        <v>193</v>
      </c>
      <c r="C54" s="428">
        <v>46051</v>
      </c>
      <c r="D54" s="428">
        <v>46065</v>
      </c>
      <c r="E54" s="228">
        <v>15</v>
      </c>
      <c r="F54" s="362">
        <v>13</v>
      </c>
      <c r="G54" s="447" t="s">
        <v>25</v>
      </c>
      <c r="H54" s="844"/>
      <c r="I54" s="316" t="s">
        <v>194</v>
      </c>
      <c r="J54" s="146" t="s">
        <v>195</v>
      </c>
      <c r="K54" s="502" t="s">
        <v>196</v>
      </c>
      <c r="L54" s="203"/>
      <c r="M54" s="203"/>
      <c r="N54" s="228">
        <v>1</v>
      </c>
      <c r="O54" s="203">
        <v>1</v>
      </c>
      <c r="P54" s="203"/>
      <c r="Q54" s="203"/>
      <c r="R54" s="203"/>
      <c r="S54" s="203"/>
      <c r="T54" s="203"/>
      <c r="U54" s="203"/>
      <c r="V54" s="203"/>
      <c r="W54" s="203"/>
      <c r="X54" s="203"/>
      <c r="Y54" s="203"/>
      <c r="Z54" s="203"/>
      <c r="AA54" s="203"/>
      <c r="AB54" s="203"/>
      <c r="AC54" s="203"/>
      <c r="AD54" s="203"/>
      <c r="AE54" s="203"/>
      <c r="AF54" s="203"/>
      <c r="AG54" s="203"/>
      <c r="AH54" s="203"/>
      <c r="AI54" s="203"/>
      <c r="AJ54" s="203"/>
      <c r="AK54" s="203"/>
      <c r="AL54" s="203"/>
      <c r="AM54" s="203"/>
      <c r="AN54" s="203"/>
      <c r="AO54" s="203"/>
      <c r="AP54" s="203"/>
      <c r="AQ54" s="203"/>
      <c r="AR54" s="203"/>
      <c r="AS54" s="203"/>
      <c r="AT54" s="203"/>
      <c r="AU54" s="203"/>
      <c r="AV54" s="203"/>
      <c r="AW54" s="203"/>
      <c r="AX54" s="203"/>
      <c r="AY54" s="203"/>
      <c r="AZ54" s="203"/>
      <c r="BA54" s="203"/>
      <c r="BB54" s="203"/>
      <c r="BC54" s="203"/>
      <c r="BD54" s="203"/>
      <c r="BE54" s="203"/>
      <c r="BF54" s="203"/>
      <c r="BG54" s="203"/>
      <c r="BH54" s="203"/>
      <c r="BI54" s="203"/>
      <c r="BJ54" s="203"/>
      <c r="BK54" s="203"/>
      <c r="BL54" s="203"/>
      <c r="BM54" s="203"/>
      <c r="BN54" s="203"/>
      <c r="BO54" s="203"/>
      <c r="BP54" s="203"/>
      <c r="BQ54" s="203"/>
      <c r="BR54" s="203"/>
      <c r="BS54" s="203"/>
      <c r="BT54" s="203"/>
      <c r="BU54" s="203"/>
      <c r="BV54" s="203"/>
      <c r="BW54" s="203"/>
      <c r="BX54" s="203"/>
      <c r="BY54" s="203"/>
      <c r="BZ54" s="203"/>
      <c r="CA54" s="203"/>
      <c r="CB54" s="203"/>
      <c r="CC54" s="203"/>
      <c r="CD54" s="203"/>
      <c r="CE54" s="203"/>
      <c r="CF54" s="203"/>
      <c r="CG54" s="203"/>
      <c r="CH54" s="203"/>
      <c r="CI54" s="203"/>
      <c r="CJ54" s="203"/>
      <c r="CK54" s="203"/>
      <c r="CL54" s="203"/>
      <c r="CM54" s="203"/>
      <c r="CN54" s="203"/>
      <c r="CO54" s="203"/>
      <c r="CP54" s="203"/>
      <c r="CQ54" s="203"/>
      <c r="CR54" s="203"/>
      <c r="CS54" s="203"/>
      <c r="CT54" s="203"/>
      <c r="CU54" s="203"/>
      <c r="CV54" s="203"/>
      <c r="CW54" s="203"/>
      <c r="CX54" s="203"/>
      <c r="CY54" s="203"/>
      <c r="CZ54" s="203"/>
      <c r="DA54" s="203"/>
      <c r="DB54" s="203"/>
      <c r="DC54" s="203"/>
      <c r="DD54" s="203"/>
      <c r="DE54" s="203"/>
      <c r="DF54" s="203"/>
      <c r="DG54" s="203"/>
      <c r="DH54" s="203"/>
      <c r="DI54" s="203"/>
      <c r="DJ54" s="203"/>
      <c r="DK54" s="203"/>
      <c r="DL54" s="203"/>
      <c r="DM54" s="203"/>
      <c r="DN54" s="203"/>
      <c r="DO54" s="203"/>
      <c r="DP54" s="203"/>
      <c r="DQ54" s="203"/>
      <c r="DR54" s="203"/>
      <c r="DS54" s="203"/>
      <c r="DT54" s="203"/>
      <c r="DU54" s="203"/>
      <c r="DV54" s="203"/>
      <c r="DW54" s="203"/>
      <c r="DX54" s="203"/>
      <c r="DY54" s="203"/>
      <c r="DZ54" s="203"/>
      <c r="EA54" s="203"/>
      <c r="EB54" s="203"/>
      <c r="EC54" s="203"/>
      <c r="ED54" s="203"/>
      <c r="EE54" s="203"/>
      <c r="EF54" s="203"/>
      <c r="EG54" s="203"/>
      <c r="EH54" s="203"/>
      <c r="EI54" s="203"/>
      <c r="EJ54" s="203"/>
      <c r="EK54" s="203"/>
      <c r="EL54" s="203"/>
      <c r="EM54" s="203"/>
      <c r="EN54" s="203"/>
      <c r="EO54" s="203"/>
      <c r="EP54" s="203"/>
      <c r="EQ54" s="203"/>
      <c r="ER54" s="203"/>
      <c r="ES54" s="203"/>
      <c r="ET54" s="203"/>
      <c r="EU54" s="203"/>
      <c r="EV54" s="203"/>
      <c r="EW54" s="203"/>
      <c r="EX54" s="203"/>
      <c r="EY54" s="203"/>
      <c r="EZ54" s="203"/>
      <c r="FA54" s="203"/>
      <c r="FB54" s="203"/>
      <c r="FC54" s="203"/>
    </row>
    <row r="55" spans="1:159" ht="343.5" customHeight="1">
      <c r="A55" s="83" t="str">
        <f ca="1">IF(AND($D$1&gt;=C55,$D$1&lt;=D55),"CurrentSprint","NA")</f>
        <v>NA</v>
      </c>
      <c r="B55" s="316" t="s">
        <v>197</v>
      </c>
      <c r="C55" s="428">
        <v>46065</v>
      </c>
      <c r="D55" s="428">
        <v>46079</v>
      </c>
      <c r="E55" s="228">
        <v>12</v>
      </c>
      <c r="F55" s="362">
        <v>10</v>
      </c>
      <c r="G55" s="447" t="s">
        <v>29</v>
      </c>
      <c r="H55" s="844"/>
      <c r="I55" s="316" t="s">
        <v>198</v>
      </c>
      <c r="J55" s="146" t="s">
        <v>199</v>
      </c>
      <c r="K55" s="502" t="s">
        <v>200</v>
      </c>
      <c r="L55" s="203"/>
      <c r="M55" s="203"/>
      <c r="N55" s="228">
        <v>3</v>
      </c>
      <c r="O55" s="228">
        <v>2</v>
      </c>
      <c r="P55" s="203"/>
      <c r="Q55" s="203"/>
      <c r="R55" s="203"/>
      <c r="S55" s="203"/>
      <c r="T55" s="203"/>
      <c r="U55" s="203"/>
      <c r="V55" s="203"/>
      <c r="W55" s="203"/>
      <c r="X55" s="203"/>
      <c r="Y55" s="203"/>
      <c r="Z55" s="203"/>
      <c r="AA55" s="203"/>
      <c r="AB55" s="203"/>
      <c r="AC55" s="203"/>
      <c r="AD55" s="203"/>
      <c r="AE55" s="203"/>
      <c r="AF55" s="203"/>
      <c r="AG55" s="203"/>
      <c r="AH55" s="203"/>
      <c r="AI55" s="203"/>
      <c r="AJ55" s="203"/>
      <c r="AK55" s="203"/>
      <c r="AL55" s="203"/>
      <c r="AM55" s="203"/>
      <c r="AN55" s="203"/>
      <c r="AO55" s="203"/>
      <c r="AP55" s="203"/>
      <c r="AQ55" s="203"/>
      <c r="AR55" s="203"/>
      <c r="AS55" s="203"/>
      <c r="AT55" s="203"/>
      <c r="AU55" s="203"/>
      <c r="AV55" s="203"/>
      <c r="AW55" s="203"/>
      <c r="AX55" s="203"/>
      <c r="AY55" s="203"/>
      <c r="AZ55" s="203"/>
      <c r="BA55" s="203"/>
      <c r="BB55" s="203"/>
      <c r="BC55" s="203"/>
      <c r="BD55" s="203"/>
      <c r="BE55" s="203"/>
      <c r="BF55" s="203"/>
      <c r="BG55" s="203"/>
      <c r="BH55" s="203"/>
      <c r="BI55" s="203"/>
      <c r="BJ55" s="203"/>
      <c r="BK55" s="203"/>
      <c r="BL55" s="203"/>
      <c r="BM55" s="203"/>
      <c r="BN55" s="203"/>
      <c r="BO55" s="203"/>
      <c r="BP55" s="203"/>
      <c r="BQ55" s="203"/>
      <c r="BR55" s="203"/>
      <c r="BS55" s="203"/>
      <c r="BT55" s="203"/>
      <c r="BU55" s="203"/>
      <c r="BV55" s="203"/>
      <c r="BW55" s="203"/>
      <c r="BX55" s="203"/>
      <c r="BY55" s="203"/>
      <c r="BZ55" s="203"/>
      <c r="CA55" s="203"/>
      <c r="CB55" s="203"/>
      <c r="CC55" s="203"/>
      <c r="CD55" s="203"/>
      <c r="CE55" s="203"/>
      <c r="CF55" s="203"/>
      <c r="CG55" s="203"/>
      <c r="CH55" s="203"/>
      <c r="CI55" s="203"/>
      <c r="CJ55" s="203"/>
      <c r="CK55" s="203"/>
      <c r="CL55" s="203"/>
      <c r="CM55" s="203"/>
      <c r="CN55" s="203"/>
      <c r="CO55" s="203"/>
      <c r="CP55" s="203"/>
      <c r="CQ55" s="203"/>
      <c r="CR55" s="203"/>
      <c r="CS55" s="203"/>
      <c r="CT55" s="203"/>
      <c r="CU55" s="203"/>
      <c r="CV55" s="203"/>
      <c r="CW55" s="203"/>
      <c r="CX55" s="203"/>
      <c r="CY55" s="203"/>
      <c r="CZ55" s="203"/>
      <c r="DA55" s="203"/>
      <c r="DB55" s="203"/>
      <c r="DC55" s="203"/>
      <c r="DD55" s="203"/>
      <c r="DE55" s="203"/>
      <c r="DF55" s="203"/>
      <c r="DG55" s="203"/>
      <c r="DH55" s="203"/>
      <c r="DI55" s="203"/>
      <c r="DJ55" s="203"/>
      <c r="DK55" s="203"/>
      <c r="DL55" s="203"/>
      <c r="DM55" s="203"/>
      <c r="DN55" s="203"/>
      <c r="DO55" s="203"/>
      <c r="DP55" s="203"/>
      <c r="DQ55" s="203"/>
      <c r="DR55" s="203"/>
      <c r="DS55" s="203"/>
      <c r="DT55" s="203"/>
      <c r="DU55" s="203"/>
      <c r="DV55" s="203"/>
      <c r="DW55" s="203"/>
      <c r="DX55" s="203"/>
      <c r="DY55" s="203"/>
      <c r="DZ55" s="203"/>
      <c r="EA55" s="203"/>
      <c r="EB55" s="203"/>
      <c r="EC55" s="203"/>
      <c r="ED55" s="203"/>
      <c r="EE55" s="203"/>
      <c r="EF55" s="203"/>
      <c r="EG55" s="203"/>
      <c r="EH55" s="203"/>
      <c r="EI55" s="203"/>
      <c r="EJ55" s="203"/>
      <c r="EK55" s="203"/>
      <c r="EL55" s="203"/>
      <c r="EM55" s="203"/>
      <c r="EN55" s="203"/>
      <c r="EO55" s="203"/>
      <c r="EP55" s="203"/>
      <c r="EQ55" s="203"/>
      <c r="ER55" s="203"/>
      <c r="ES55" s="203"/>
      <c r="ET55" s="203"/>
      <c r="EU55" s="203"/>
      <c r="EV55" s="203"/>
      <c r="EW55" s="203"/>
      <c r="EX55" s="203"/>
      <c r="EY55" s="203"/>
      <c r="EZ55" s="203"/>
      <c r="FA55" s="203"/>
      <c r="FB55" s="203"/>
      <c r="FC55" s="203"/>
    </row>
    <row r="56" spans="1:159" ht="408.75" customHeight="1">
      <c r="A56" s="83" t="str">
        <f ca="1">IF(AND($D$1&gt;=C56,$D$1&lt;=D56),"CurrentSprint","NA")</f>
        <v>NA</v>
      </c>
      <c r="B56" s="316" t="s">
        <v>201</v>
      </c>
      <c r="C56" s="428">
        <v>46079</v>
      </c>
      <c r="D56" s="428">
        <v>46093</v>
      </c>
      <c r="E56" s="228">
        <v>14</v>
      </c>
      <c r="F56" s="362">
        <v>14</v>
      </c>
      <c r="G56" s="447" t="s">
        <v>25</v>
      </c>
      <c r="H56" s="844"/>
      <c r="I56" s="316" t="s">
        <v>202</v>
      </c>
      <c r="J56" s="146" t="s">
        <v>203</v>
      </c>
      <c r="K56" s="502" t="s">
        <v>204</v>
      </c>
      <c r="L56" s="203"/>
      <c r="M56" s="203"/>
      <c r="N56" s="228">
        <v>1</v>
      </c>
      <c r="O56" s="228">
        <v>2</v>
      </c>
      <c r="P56" s="203"/>
      <c r="Q56" s="203"/>
      <c r="R56" s="203"/>
      <c r="S56" s="203"/>
      <c r="T56" s="203"/>
      <c r="U56" s="203"/>
      <c r="V56" s="203"/>
      <c r="W56" s="203"/>
      <c r="X56" s="203"/>
      <c r="Y56" s="203"/>
      <c r="Z56" s="203"/>
      <c r="AA56" s="203"/>
      <c r="AB56" s="203"/>
      <c r="AC56" s="203"/>
      <c r="AD56" s="203"/>
      <c r="AE56" s="203"/>
      <c r="AF56" s="203"/>
      <c r="AG56" s="203"/>
      <c r="AH56" s="203"/>
      <c r="AI56" s="203"/>
      <c r="AJ56" s="203"/>
      <c r="AK56" s="203"/>
      <c r="AL56" s="203"/>
      <c r="AM56" s="203"/>
      <c r="AN56" s="203"/>
      <c r="AO56" s="203"/>
      <c r="AP56" s="203"/>
      <c r="AQ56" s="203"/>
      <c r="AR56" s="203"/>
      <c r="AS56" s="203"/>
      <c r="AT56" s="203"/>
      <c r="AU56" s="203"/>
      <c r="AV56" s="203"/>
      <c r="AW56" s="203"/>
      <c r="AX56" s="203"/>
      <c r="AY56" s="203"/>
      <c r="AZ56" s="203"/>
      <c r="BA56" s="203"/>
      <c r="BB56" s="203"/>
      <c r="BC56" s="203"/>
      <c r="BD56" s="203"/>
      <c r="BE56" s="203"/>
      <c r="BF56" s="203"/>
      <c r="BG56" s="203"/>
      <c r="BH56" s="203"/>
      <c r="BI56" s="203"/>
      <c r="BJ56" s="203"/>
      <c r="BK56" s="203"/>
      <c r="BL56" s="203"/>
      <c r="BM56" s="203"/>
      <c r="BN56" s="203"/>
      <c r="BO56" s="203"/>
      <c r="BP56" s="203"/>
      <c r="BQ56" s="203"/>
      <c r="BR56" s="203"/>
      <c r="BS56" s="203"/>
      <c r="BT56" s="203"/>
      <c r="BU56" s="203"/>
      <c r="BV56" s="203"/>
      <c r="BW56" s="203"/>
      <c r="BX56" s="203"/>
      <c r="BY56" s="203"/>
      <c r="BZ56" s="203"/>
      <c r="CA56" s="203"/>
      <c r="CB56" s="203"/>
      <c r="CC56" s="203"/>
      <c r="CD56" s="203"/>
      <c r="CE56" s="203"/>
      <c r="CF56" s="203"/>
      <c r="CG56" s="203"/>
      <c r="CH56" s="203"/>
      <c r="CI56" s="203"/>
      <c r="CJ56" s="203"/>
      <c r="CK56" s="203"/>
      <c r="CL56" s="203"/>
      <c r="CM56" s="203"/>
      <c r="CN56" s="203"/>
      <c r="CO56" s="203"/>
      <c r="CP56" s="203"/>
      <c r="CQ56" s="203"/>
      <c r="CR56" s="203"/>
      <c r="CS56" s="203"/>
      <c r="CT56" s="203"/>
      <c r="CU56" s="203"/>
      <c r="CV56" s="203"/>
      <c r="CW56" s="203"/>
      <c r="CX56" s="203"/>
      <c r="CY56" s="203"/>
      <c r="CZ56" s="203"/>
      <c r="DA56" s="203"/>
      <c r="DB56" s="203"/>
      <c r="DC56" s="203"/>
      <c r="DD56" s="203"/>
      <c r="DE56" s="203"/>
      <c r="DF56" s="203"/>
      <c r="DG56" s="203"/>
      <c r="DH56" s="203"/>
      <c r="DI56" s="203"/>
      <c r="DJ56" s="203"/>
      <c r="DK56" s="203"/>
      <c r="DL56" s="203"/>
      <c r="DM56" s="203"/>
      <c r="DN56" s="203"/>
      <c r="DO56" s="203"/>
      <c r="DP56" s="203"/>
      <c r="DQ56" s="203"/>
      <c r="DR56" s="203"/>
      <c r="DS56" s="203"/>
      <c r="DT56" s="203"/>
      <c r="DU56" s="203"/>
      <c r="DV56" s="203"/>
      <c r="DW56" s="203"/>
      <c r="DX56" s="203"/>
      <c r="DY56" s="203"/>
      <c r="DZ56" s="203"/>
      <c r="EA56" s="203"/>
      <c r="EB56" s="203"/>
      <c r="EC56" s="203"/>
      <c r="ED56" s="203"/>
      <c r="EE56" s="203"/>
      <c r="EF56" s="203"/>
      <c r="EG56" s="203"/>
      <c r="EH56" s="203"/>
      <c r="EI56" s="203"/>
      <c r="EJ56" s="203"/>
      <c r="EK56" s="203"/>
      <c r="EL56" s="203"/>
      <c r="EM56" s="203"/>
      <c r="EN56" s="203"/>
      <c r="EO56" s="203"/>
      <c r="EP56" s="203"/>
      <c r="EQ56" s="203"/>
      <c r="ER56" s="203"/>
      <c r="ES56" s="203"/>
      <c r="ET56" s="203"/>
      <c r="EU56" s="203"/>
      <c r="EV56" s="203"/>
      <c r="EW56" s="203"/>
      <c r="EX56" s="203"/>
      <c r="EY56" s="203"/>
      <c r="EZ56" s="203"/>
      <c r="FA56" s="203"/>
      <c r="FB56" s="203"/>
      <c r="FC56" s="203"/>
    </row>
    <row r="57" spans="1:159" ht="211.5" customHeight="1">
      <c r="A57" s="83" t="str">
        <f ca="1">IF(AND($D$1&gt;=C57,$D$1&lt;=D57),"CurrentSprint","NA")</f>
        <v>NA</v>
      </c>
      <c r="B57" s="316" t="s">
        <v>205</v>
      </c>
      <c r="C57" s="428">
        <v>46093</v>
      </c>
      <c r="D57" s="428">
        <v>46107</v>
      </c>
      <c r="E57" s="228">
        <v>10</v>
      </c>
      <c r="F57" s="362">
        <v>10</v>
      </c>
      <c r="G57" s="447" t="s">
        <v>43</v>
      </c>
      <c r="H57" s="844"/>
      <c r="I57" s="316" t="s">
        <v>206</v>
      </c>
      <c r="J57" s="146" t="s">
        <v>207</v>
      </c>
      <c r="K57" s="502" t="s">
        <v>208</v>
      </c>
      <c r="L57" s="203"/>
      <c r="M57" s="203"/>
      <c r="N57" s="228">
        <v>9</v>
      </c>
      <c r="O57" s="228">
        <v>8</v>
      </c>
      <c r="P57" s="203"/>
      <c r="Q57" s="203"/>
      <c r="R57" s="203"/>
      <c r="S57" s="203"/>
      <c r="T57" s="203"/>
      <c r="U57" s="203"/>
      <c r="V57" s="203"/>
      <c r="W57" s="203"/>
      <c r="X57" s="203"/>
      <c r="Y57" s="203"/>
      <c r="Z57" s="203"/>
      <c r="AA57" s="203"/>
      <c r="AB57" s="203"/>
      <c r="AC57" s="203"/>
      <c r="AD57" s="203"/>
      <c r="AE57" s="203"/>
      <c r="AF57" s="203"/>
      <c r="AG57" s="203"/>
      <c r="AH57" s="203"/>
      <c r="AI57" s="203"/>
      <c r="AJ57" s="203"/>
      <c r="AK57" s="203"/>
      <c r="AL57" s="203"/>
      <c r="AM57" s="203"/>
      <c r="AN57" s="203"/>
      <c r="AO57" s="203"/>
      <c r="AP57" s="203"/>
      <c r="AQ57" s="203"/>
      <c r="AR57" s="203"/>
      <c r="AS57" s="203"/>
      <c r="AT57" s="203"/>
      <c r="AU57" s="203"/>
      <c r="AV57" s="203"/>
      <c r="AW57" s="203"/>
      <c r="AX57" s="203"/>
      <c r="AY57" s="203"/>
      <c r="AZ57" s="203"/>
      <c r="BA57" s="203"/>
      <c r="BB57" s="203"/>
      <c r="BC57" s="203"/>
      <c r="BD57" s="203"/>
      <c r="BE57" s="203"/>
      <c r="BF57" s="203"/>
      <c r="BG57" s="203"/>
      <c r="BH57" s="203"/>
      <c r="BI57" s="203"/>
      <c r="BJ57" s="203"/>
      <c r="BK57" s="203"/>
      <c r="BL57" s="203"/>
      <c r="BM57" s="203"/>
      <c r="BN57" s="203"/>
      <c r="BO57" s="203"/>
      <c r="BP57" s="203"/>
      <c r="BQ57" s="203"/>
      <c r="BR57" s="203"/>
      <c r="BS57" s="203"/>
      <c r="BT57" s="203"/>
      <c r="BU57" s="203"/>
      <c r="BV57" s="203"/>
      <c r="BW57" s="203"/>
      <c r="BX57" s="203"/>
      <c r="BY57" s="203"/>
      <c r="BZ57" s="203"/>
      <c r="CA57" s="203"/>
      <c r="CB57" s="203"/>
      <c r="CC57" s="203"/>
      <c r="CD57" s="203"/>
      <c r="CE57" s="203"/>
      <c r="CF57" s="203"/>
      <c r="CG57" s="203"/>
      <c r="CH57" s="203"/>
      <c r="CI57" s="203"/>
      <c r="CJ57" s="203"/>
      <c r="CK57" s="203"/>
      <c r="CL57" s="203"/>
      <c r="CM57" s="203"/>
      <c r="CN57" s="203"/>
      <c r="CO57" s="203"/>
      <c r="CP57" s="203"/>
      <c r="CQ57" s="203"/>
      <c r="CR57" s="203"/>
      <c r="CS57" s="203"/>
      <c r="CT57" s="203"/>
      <c r="CU57" s="203"/>
      <c r="CV57" s="203"/>
      <c r="CW57" s="203"/>
      <c r="CX57" s="203"/>
      <c r="CY57" s="203"/>
      <c r="CZ57" s="203"/>
      <c r="DA57" s="203"/>
      <c r="DB57" s="203"/>
      <c r="DC57" s="203"/>
      <c r="DD57" s="203"/>
      <c r="DE57" s="203"/>
      <c r="DF57" s="203"/>
      <c r="DG57" s="203"/>
      <c r="DH57" s="203"/>
      <c r="DI57" s="203"/>
      <c r="DJ57" s="203"/>
      <c r="DK57" s="203"/>
      <c r="DL57" s="203"/>
      <c r="DM57" s="203"/>
      <c r="DN57" s="203"/>
      <c r="DO57" s="203"/>
      <c r="DP57" s="203"/>
      <c r="DQ57" s="203"/>
      <c r="DR57" s="203"/>
      <c r="DS57" s="203"/>
      <c r="DT57" s="203"/>
      <c r="DU57" s="203"/>
      <c r="DV57" s="203"/>
      <c r="DW57" s="203"/>
      <c r="DX57" s="203"/>
      <c r="DY57" s="203"/>
      <c r="DZ57" s="203"/>
      <c r="EA57" s="203"/>
      <c r="EB57" s="203"/>
      <c r="EC57" s="203"/>
      <c r="ED57" s="203"/>
      <c r="EE57" s="203"/>
      <c r="EF57" s="203"/>
      <c r="EG57" s="203"/>
      <c r="EH57" s="203"/>
      <c r="EI57" s="203"/>
      <c r="EJ57" s="203"/>
      <c r="EK57" s="203"/>
      <c r="EL57" s="203"/>
      <c r="EM57" s="203"/>
      <c r="EN57" s="203"/>
      <c r="EO57" s="203"/>
      <c r="EP57" s="203"/>
      <c r="EQ57" s="203"/>
      <c r="ER57" s="203"/>
      <c r="ES57" s="203"/>
      <c r="ET57" s="203"/>
      <c r="EU57" s="203"/>
      <c r="EV57" s="203"/>
      <c r="EW57" s="203"/>
      <c r="EX57" s="203"/>
      <c r="EY57" s="203"/>
      <c r="EZ57" s="203"/>
      <c r="FA57" s="203"/>
      <c r="FB57" s="203"/>
      <c r="FC57" s="203"/>
    </row>
    <row r="58" spans="1:159" ht="222" customHeight="1">
      <c r="A58" s="83" t="str">
        <f ca="1">IF(AND($D$1&gt;=C58,$D$1&lt;=D58),"CurrentSprint","NA")</f>
        <v>NA</v>
      </c>
      <c r="B58" s="316" t="s">
        <v>209</v>
      </c>
      <c r="C58" s="428">
        <v>46107</v>
      </c>
      <c r="D58" s="428">
        <v>46121</v>
      </c>
      <c r="E58" s="228">
        <v>16</v>
      </c>
      <c r="F58" s="362">
        <v>20</v>
      </c>
      <c r="G58" s="447" t="s">
        <v>210</v>
      </c>
      <c r="H58" s="844" t="s">
        <v>211</v>
      </c>
      <c r="I58" s="316" t="s">
        <v>212</v>
      </c>
      <c r="J58" s="146" t="s">
        <v>213</v>
      </c>
      <c r="K58" s="502" t="s">
        <v>214</v>
      </c>
      <c r="L58" s="203"/>
      <c r="M58" s="203"/>
      <c r="N58" s="228">
        <v>4</v>
      </c>
      <c r="O58" s="228">
        <v>7</v>
      </c>
      <c r="P58" s="203"/>
      <c r="Q58" s="203"/>
      <c r="R58" s="203"/>
      <c r="S58" s="203"/>
      <c r="T58" s="203"/>
      <c r="U58" s="203"/>
      <c r="V58" s="203"/>
      <c r="W58" s="203"/>
      <c r="X58" s="203"/>
      <c r="Y58" s="203"/>
      <c r="Z58" s="203"/>
      <c r="AA58" s="203"/>
      <c r="AB58" s="203"/>
      <c r="AC58" s="203"/>
      <c r="AD58" s="203"/>
      <c r="AE58" s="203"/>
      <c r="AF58" s="203"/>
      <c r="AG58" s="203"/>
      <c r="AH58" s="203"/>
      <c r="AI58" s="203"/>
      <c r="AJ58" s="203"/>
      <c r="AK58" s="203"/>
      <c r="AL58" s="203"/>
      <c r="AM58" s="203"/>
      <c r="AN58" s="203"/>
      <c r="AO58" s="203"/>
      <c r="AP58" s="203"/>
      <c r="AQ58" s="203"/>
      <c r="AR58" s="203"/>
      <c r="AS58" s="203"/>
      <c r="AT58" s="203"/>
      <c r="AU58" s="203"/>
      <c r="AV58" s="203"/>
      <c r="AW58" s="203"/>
      <c r="AX58" s="203"/>
      <c r="AY58" s="203"/>
      <c r="AZ58" s="203"/>
      <c r="BA58" s="203"/>
      <c r="BB58" s="203"/>
      <c r="BC58" s="203"/>
      <c r="BD58" s="203"/>
      <c r="BE58" s="203"/>
      <c r="BF58" s="203"/>
      <c r="BG58" s="203"/>
      <c r="BH58" s="203"/>
      <c r="BI58" s="203"/>
      <c r="BJ58" s="203"/>
      <c r="BK58" s="203"/>
      <c r="BL58" s="203"/>
      <c r="BM58" s="203"/>
      <c r="BN58" s="203"/>
      <c r="BO58" s="203"/>
      <c r="BP58" s="203"/>
      <c r="BQ58" s="203"/>
      <c r="BR58" s="203"/>
      <c r="BS58" s="203"/>
      <c r="BT58" s="203"/>
      <c r="BU58" s="203"/>
      <c r="BV58" s="203"/>
      <c r="BW58" s="203"/>
      <c r="BX58" s="203"/>
      <c r="BY58" s="203"/>
      <c r="BZ58" s="203"/>
      <c r="CA58" s="203"/>
      <c r="CB58" s="203"/>
      <c r="CC58" s="203"/>
      <c r="CD58" s="203"/>
      <c r="CE58" s="203"/>
      <c r="CF58" s="203"/>
      <c r="CG58" s="203"/>
      <c r="CH58" s="203"/>
      <c r="CI58" s="203"/>
      <c r="CJ58" s="203"/>
      <c r="CK58" s="203"/>
      <c r="CL58" s="203"/>
      <c r="CM58" s="203"/>
      <c r="CN58" s="203"/>
      <c r="CO58" s="203"/>
      <c r="CP58" s="203"/>
      <c r="CQ58" s="203"/>
      <c r="CR58" s="203"/>
      <c r="CS58" s="203"/>
      <c r="CT58" s="203"/>
      <c r="CU58" s="203"/>
      <c r="CV58" s="203"/>
      <c r="CW58" s="203"/>
      <c r="CX58" s="203"/>
      <c r="CY58" s="203"/>
      <c r="CZ58" s="203"/>
      <c r="DA58" s="203"/>
      <c r="DB58" s="203"/>
      <c r="DC58" s="203"/>
      <c r="DD58" s="203"/>
      <c r="DE58" s="203"/>
      <c r="DF58" s="203"/>
      <c r="DG58" s="203"/>
      <c r="DH58" s="203"/>
      <c r="DI58" s="203"/>
      <c r="DJ58" s="203"/>
      <c r="DK58" s="203"/>
      <c r="DL58" s="203"/>
      <c r="DM58" s="203"/>
      <c r="DN58" s="203"/>
      <c r="DO58" s="203"/>
      <c r="DP58" s="203"/>
      <c r="DQ58" s="203"/>
      <c r="DR58" s="203"/>
      <c r="DS58" s="203"/>
      <c r="DT58" s="203"/>
      <c r="DU58" s="203"/>
      <c r="DV58" s="203"/>
      <c r="DW58" s="203"/>
      <c r="DX58" s="203"/>
      <c r="DY58" s="203"/>
      <c r="DZ58" s="203"/>
      <c r="EA58" s="203"/>
      <c r="EB58" s="203"/>
      <c r="EC58" s="203"/>
      <c r="ED58" s="203"/>
      <c r="EE58" s="203"/>
      <c r="EF58" s="203"/>
      <c r="EG58" s="203"/>
      <c r="EH58" s="203"/>
      <c r="EI58" s="203"/>
      <c r="EJ58" s="203"/>
      <c r="EK58" s="203"/>
      <c r="EL58" s="203"/>
      <c r="EM58" s="203"/>
      <c r="EN58" s="203"/>
      <c r="EO58" s="203"/>
      <c r="EP58" s="203"/>
      <c r="EQ58" s="203"/>
      <c r="ER58" s="203"/>
      <c r="ES58" s="203"/>
      <c r="ET58" s="203"/>
      <c r="EU58" s="203"/>
      <c r="EV58" s="203"/>
      <c r="EW58" s="203"/>
      <c r="EX58" s="203"/>
      <c r="EY58" s="203"/>
      <c r="EZ58" s="203"/>
      <c r="FA58" s="203"/>
      <c r="FB58" s="203"/>
      <c r="FC58" s="203"/>
    </row>
    <row r="59" spans="1:159" ht="188.25" customHeight="1">
      <c r="A59" s="83" t="str">
        <f ca="1">IF(AND($D$1&gt;=C59,$D$1&lt;=D59),"CurrentSprint","NA")</f>
        <v>NA</v>
      </c>
      <c r="B59" s="316" t="s">
        <v>215</v>
      </c>
      <c r="C59" s="428">
        <v>46121</v>
      </c>
      <c r="D59" s="428">
        <v>46135</v>
      </c>
      <c r="E59" s="228">
        <v>13</v>
      </c>
      <c r="F59" s="362">
        <v>18</v>
      </c>
      <c r="G59" s="447" t="s">
        <v>216</v>
      </c>
      <c r="H59" s="844" t="s">
        <v>217</v>
      </c>
      <c r="I59" s="316" t="s">
        <v>218</v>
      </c>
      <c r="J59" s="146" t="s">
        <v>154</v>
      </c>
      <c r="K59" s="502" t="s">
        <v>219</v>
      </c>
      <c r="L59" s="203"/>
      <c r="M59" s="203"/>
      <c r="N59" s="228">
        <v>3</v>
      </c>
      <c r="O59" s="228">
        <v>3</v>
      </c>
      <c r="P59" s="203"/>
      <c r="Q59" s="203"/>
      <c r="R59" s="203"/>
      <c r="S59" s="203"/>
      <c r="T59" s="203"/>
      <c r="U59" s="203"/>
      <c r="V59" s="203"/>
      <c r="W59" s="203"/>
      <c r="X59" s="203"/>
      <c r="Y59" s="203"/>
      <c r="Z59" s="203"/>
      <c r="AA59" s="203"/>
      <c r="AB59" s="203"/>
      <c r="AC59" s="203"/>
      <c r="AD59" s="203"/>
      <c r="AE59" s="203"/>
      <c r="AF59" s="203"/>
      <c r="AG59" s="203"/>
      <c r="AH59" s="203"/>
      <c r="AI59" s="203"/>
      <c r="AJ59" s="203"/>
      <c r="AK59" s="203"/>
      <c r="AL59" s="203"/>
      <c r="AM59" s="203"/>
      <c r="AN59" s="203"/>
      <c r="AO59" s="203"/>
      <c r="AP59" s="203"/>
      <c r="AQ59" s="203"/>
      <c r="AR59" s="203"/>
      <c r="AS59" s="203"/>
      <c r="AT59" s="203"/>
      <c r="AU59" s="203"/>
      <c r="AV59" s="203"/>
      <c r="AW59" s="203"/>
      <c r="AX59" s="203"/>
      <c r="AY59" s="203"/>
      <c r="AZ59" s="203"/>
      <c r="BA59" s="203"/>
      <c r="BB59" s="203"/>
      <c r="BC59" s="203"/>
      <c r="BD59" s="203"/>
      <c r="BE59" s="203"/>
      <c r="BF59" s="203"/>
      <c r="BG59" s="203"/>
      <c r="BH59" s="203"/>
      <c r="BI59" s="203"/>
      <c r="BJ59" s="203"/>
      <c r="BK59" s="203"/>
      <c r="BL59" s="203"/>
      <c r="BM59" s="203"/>
      <c r="BN59" s="203"/>
      <c r="BO59" s="203"/>
      <c r="BP59" s="203"/>
      <c r="BQ59" s="203"/>
      <c r="BR59" s="203"/>
      <c r="BS59" s="203"/>
      <c r="BT59" s="203"/>
      <c r="BU59" s="203"/>
      <c r="BV59" s="203"/>
      <c r="BW59" s="203"/>
      <c r="BX59" s="203"/>
      <c r="BY59" s="203"/>
      <c r="BZ59" s="203"/>
      <c r="CA59" s="203"/>
      <c r="CB59" s="203"/>
      <c r="CC59" s="203"/>
      <c r="CD59" s="203"/>
      <c r="CE59" s="203"/>
      <c r="CF59" s="203"/>
      <c r="CG59" s="203"/>
      <c r="CH59" s="203"/>
      <c r="CI59" s="203"/>
      <c r="CJ59" s="203"/>
      <c r="CK59" s="203"/>
      <c r="CL59" s="203"/>
      <c r="CM59" s="203"/>
      <c r="CN59" s="203"/>
      <c r="CO59" s="203"/>
      <c r="CP59" s="203"/>
      <c r="CQ59" s="203"/>
      <c r="CR59" s="203"/>
      <c r="CS59" s="203"/>
      <c r="CT59" s="203"/>
      <c r="CU59" s="203"/>
      <c r="CV59" s="203"/>
      <c r="CW59" s="203"/>
      <c r="CX59" s="203"/>
      <c r="CY59" s="203"/>
      <c r="CZ59" s="203"/>
      <c r="DA59" s="203"/>
      <c r="DB59" s="203"/>
      <c r="DC59" s="203"/>
      <c r="DD59" s="203"/>
      <c r="DE59" s="203"/>
      <c r="DF59" s="203"/>
      <c r="DG59" s="203"/>
      <c r="DH59" s="203"/>
      <c r="DI59" s="203"/>
      <c r="DJ59" s="203"/>
      <c r="DK59" s="203"/>
      <c r="DL59" s="203"/>
      <c r="DM59" s="203"/>
      <c r="DN59" s="203"/>
      <c r="DO59" s="203"/>
      <c r="DP59" s="203"/>
      <c r="DQ59" s="203"/>
      <c r="DR59" s="203"/>
      <c r="DS59" s="203"/>
      <c r="DT59" s="203"/>
      <c r="DU59" s="203"/>
      <c r="DV59" s="203"/>
      <c r="DW59" s="203"/>
      <c r="DX59" s="203"/>
      <c r="DY59" s="203"/>
      <c r="DZ59" s="203"/>
      <c r="EA59" s="203"/>
      <c r="EB59" s="203"/>
      <c r="EC59" s="203"/>
      <c r="ED59" s="203"/>
      <c r="EE59" s="203"/>
      <c r="EF59" s="203"/>
      <c r="EG59" s="203"/>
      <c r="EH59" s="203"/>
      <c r="EI59" s="203"/>
      <c r="EJ59" s="203"/>
      <c r="EK59" s="203"/>
      <c r="EL59" s="203"/>
      <c r="EM59" s="203"/>
      <c r="EN59" s="203"/>
      <c r="EO59" s="203"/>
      <c r="EP59" s="203"/>
      <c r="EQ59" s="203"/>
      <c r="ER59" s="203"/>
      <c r="ES59" s="203"/>
      <c r="ET59" s="203"/>
      <c r="EU59" s="203"/>
      <c r="EV59" s="203"/>
      <c r="EW59" s="203"/>
      <c r="EX59" s="203"/>
      <c r="EY59" s="203"/>
      <c r="EZ59" s="203"/>
      <c r="FA59" s="203"/>
      <c r="FB59" s="203"/>
      <c r="FC59" s="203"/>
    </row>
    <row r="60" spans="1:159" ht="263.25" customHeight="1">
      <c r="A60" s="83" t="str">
        <f ca="1">IF(AND($D$1&gt;=C60,$D$1&lt;=D60),"CurrentSprint","NA")</f>
        <v>NA</v>
      </c>
      <c r="B60" s="316" t="s">
        <v>220</v>
      </c>
      <c r="C60" s="428">
        <v>46135</v>
      </c>
      <c r="D60" s="428">
        <v>46149</v>
      </c>
      <c r="E60" s="228">
        <v>13</v>
      </c>
      <c r="F60" s="362">
        <v>13</v>
      </c>
      <c r="G60" s="447" t="s">
        <v>29</v>
      </c>
      <c r="H60" s="844" t="s">
        <v>221</v>
      </c>
      <c r="I60" s="316" t="s">
        <v>222</v>
      </c>
      <c r="J60" s="146" t="s">
        <v>154</v>
      </c>
      <c r="K60" s="502" t="s">
        <v>223</v>
      </c>
      <c r="L60" s="203"/>
      <c r="M60" s="203"/>
      <c r="N60" s="228">
        <v>0</v>
      </c>
      <c r="O60" s="228">
        <v>0</v>
      </c>
      <c r="P60" s="203"/>
      <c r="Q60" s="203"/>
      <c r="R60" s="203"/>
      <c r="S60" s="203"/>
      <c r="T60" s="203"/>
      <c r="U60" s="203"/>
      <c r="V60" s="203"/>
      <c r="W60" s="203"/>
      <c r="X60" s="203"/>
      <c r="Y60" s="203"/>
      <c r="Z60" s="203"/>
      <c r="AA60" s="203"/>
      <c r="AB60" s="203"/>
      <c r="AC60" s="203"/>
      <c r="AD60" s="203"/>
      <c r="AE60" s="203"/>
      <c r="AF60" s="203"/>
      <c r="AG60" s="203"/>
      <c r="AH60" s="203"/>
      <c r="AI60" s="203"/>
      <c r="AJ60" s="203"/>
      <c r="AK60" s="203"/>
      <c r="AL60" s="203"/>
      <c r="AM60" s="203"/>
      <c r="AN60" s="203"/>
      <c r="AO60" s="203"/>
      <c r="AP60" s="203"/>
      <c r="AQ60" s="203"/>
      <c r="AR60" s="203"/>
      <c r="AS60" s="203"/>
      <c r="AT60" s="203"/>
      <c r="AU60" s="203"/>
      <c r="AV60" s="203"/>
      <c r="AW60" s="203"/>
      <c r="AX60" s="203"/>
      <c r="AY60" s="203"/>
      <c r="AZ60" s="203"/>
      <c r="BA60" s="203"/>
      <c r="BB60" s="203"/>
      <c r="BC60" s="203"/>
      <c r="BD60" s="203"/>
      <c r="BE60" s="203"/>
      <c r="BF60" s="203"/>
      <c r="BG60" s="203"/>
      <c r="BH60" s="203"/>
      <c r="BI60" s="203"/>
      <c r="BJ60" s="203"/>
      <c r="BK60" s="203"/>
      <c r="BL60" s="203"/>
      <c r="BM60" s="203"/>
      <c r="BN60" s="203"/>
      <c r="BO60" s="203"/>
      <c r="BP60" s="203"/>
      <c r="BQ60" s="203"/>
      <c r="BR60" s="203"/>
      <c r="BS60" s="203"/>
      <c r="BT60" s="203"/>
      <c r="BU60" s="203"/>
      <c r="BV60" s="203"/>
      <c r="BW60" s="203"/>
      <c r="BX60" s="203"/>
      <c r="BY60" s="203"/>
      <c r="BZ60" s="203"/>
      <c r="CA60" s="203"/>
      <c r="CB60" s="203"/>
      <c r="CC60" s="203"/>
      <c r="CD60" s="203"/>
      <c r="CE60" s="203"/>
      <c r="CF60" s="203"/>
      <c r="CG60" s="203"/>
      <c r="CH60" s="203"/>
      <c r="CI60" s="203"/>
      <c r="CJ60" s="203"/>
      <c r="CK60" s="203"/>
      <c r="CL60" s="203"/>
      <c r="CM60" s="203"/>
      <c r="CN60" s="203"/>
      <c r="CO60" s="203"/>
      <c r="CP60" s="203"/>
      <c r="CQ60" s="203"/>
      <c r="CR60" s="203"/>
      <c r="CS60" s="203"/>
      <c r="CT60" s="203"/>
      <c r="CU60" s="203"/>
      <c r="CV60" s="203"/>
      <c r="CW60" s="203"/>
      <c r="CX60" s="203"/>
      <c r="CY60" s="203"/>
      <c r="CZ60" s="203"/>
      <c r="DA60" s="203"/>
      <c r="DB60" s="203"/>
      <c r="DC60" s="203"/>
      <c r="DD60" s="203"/>
      <c r="DE60" s="203"/>
      <c r="DF60" s="203"/>
      <c r="DG60" s="203"/>
      <c r="DH60" s="203"/>
      <c r="DI60" s="203"/>
      <c r="DJ60" s="203"/>
      <c r="DK60" s="203"/>
      <c r="DL60" s="203"/>
      <c r="DM60" s="203"/>
      <c r="DN60" s="203"/>
      <c r="DO60" s="203"/>
      <c r="DP60" s="203"/>
      <c r="DQ60" s="203"/>
      <c r="DR60" s="203"/>
      <c r="DS60" s="203"/>
      <c r="DT60" s="203"/>
      <c r="DU60" s="203"/>
      <c r="DV60" s="203"/>
      <c r="DW60" s="203"/>
      <c r="DX60" s="203"/>
      <c r="DY60" s="203"/>
      <c r="DZ60" s="203"/>
      <c r="EA60" s="203"/>
      <c r="EB60" s="203"/>
      <c r="EC60" s="203"/>
      <c r="ED60" s="203"/>
      <c r="EE60" s="203"/>
      <c r="EF60" s="203"/>
      <c r="EG60" s="203"/>
      <c r="EH60" s="203"/>
      <c r="EI60" s="203"/>
      <c r="EJ60" s="203"/>
      <c r="EK60" s="203"/>
      <c r="EL60" s="203"/>
      <c r="EM60" s="203"/>
      <c r="EN60" s="203"/>
      <c r="EO60" s="203"/>
      <c r="EP60" s="203"/>
      <c r="EQ60" s="203"/>
      <c r="ER60" s="203"/>
      <c r="ES60" s="203"/>
      <c r="ET60" s="203"/>
      <c r="EU60" s="203"/>
      <c r="EV60" s="203"/>
      <c r="EW60" s="203"/>
      <c r="EX60" s="203"/>
      <c r="EY60" s="203"/>
      <c r="EZ60" s="203"/>
      <c r="FA60" s="203"/>
      <c r="FB60" s="203"/>
      <c r="FC60" s="203"/>
    </row>
    <row r="61" spans="1:159" ht="84.75" customHeight="1">
      <c r="A61" s="83" t="str">
        <f ca="1">IF(AND($D$1&gt;=C61,$D$1&lt;=D61),"CurrentSprint","NA")</f>
        <v>NA</v>
      </c>
      <c r="B61" s="316" t="s">
        <v>224</v>
      </c>
      <c r="C61" s="428">
        <v>46149</v>
      </c>
      <c r="D61" s="428">
        <v>46163</v>
      </c>
      <c r="E61" s="228">
        <v>9</v>
      </c>
      <c r="F61" s="362">
        <v>0</v>
      </c>
      <c r="G61" s="447" t="s">
        <v>43</v>
      </c>
      <c r="H61" s="844"/>
      <c r="I61" s="316" t="s">
        <v>225</v>
      </c>
      <c r="J61" s="146" t="s">
        <v>154</v>
      </c>
      <c r="K61" s="502"/>
      <c r="L61" s="203"/>
      <c r="M61" s="203"/>
      <c r="N61" s="228">
        <v>3</v>
      </c>
      <c r="O61" s="228">
        <v>0</v>
      </c>
      <c r="P61" s="203"/>
      <c r="Q61" s="203"/>
      <c r="R61" s="203"/>
      <c r="S61" s="203"/>
      <c r="T61" s="203"/>
      <c r="U61" s="203"/>
      <c r="V61" s="203"/>
      <c r="W61" s="203"/>
      <c r="X61" s="203"/>
      <c r="Y61" s="203"/>
      <c r="Z61" s="203"/>
      <c r="AA61" s="203"/>
      <c r="AB61" s="203"/>
      <c r="AC61" s="203"/>
      <c r="AD61" s="203"/>
      <c r="AE61" s="203"/>
      <c r="AF61" s="203"/>
      <c r="AG61" s="203"/>
      <c r="AH61" s="203"/>
      <c r="AI61" s="203"/>
      <c r="AJ61" s="203"/>
      <c r="AK61" s="203"/>
      <c r="AL61" s="203"/>
      <c r="AM61" s="203"/>
      <c r="AN61" s="203"/>
      <c r="AO61" s="203"/>
      <c r="AP61" s="203"/>
      <c r="AQ61" s="203"/>
      <c r="AR61" s="203"/>
      <c r="AS61" s="203"/>
      <c r="AT61" s="203"/>
      <c r="AU61" s="203"/>
      <c r="AV61" s="203"/>
      <c r="AW61" s="203"/>
      <c r="AX61" s="203"/>
      <c r="AY61" s="203"/>
      <c r="AZ61" s="203"/>
      <c r="BA61" s="203"/>
      <c r="BB61" s="203"/>
      <c r="BC61" s="203"/>
      <c r="BD61" s="203"/>
      <c r="BE61" s="203"/>
      <c r="BF61" s="203"/>
      <c r="BG61" s="203"/>
      <c r="BH61" s="203"/>
      <c r="BI61" s="203"/>
      <c r="BJ61" s="203"/>
      <c r="BK61" s="203"/>
      <c r="BL61" s="203"/>
      <c r="BM61" s="203"/>
      <c r="BN61" s="203"/>
      <c r="BO61" s="203"/>
      <c r="BP61" s="203"/>
      <c r="BQ61" s="203"/>
      <c r="BR61" s="203"/>
      <c r="BS61" s="203"/>
      <c r="BT61" s="203"/>
      <c r="BU61" s="203"/>
      <c r="BV61" s="203"/>
      <c r="BW61" s="203"/>
      <c r="BX61" s="203"/>
      <c r="BY61" s="203"/>
      <c r="BZ61" s="203"/>
      <c r="CA61" s="203"/>
      <c r="CB61" s="203"/>
      <c r="CC61" s="203"/>
      <c r="CD61" s="203"/>
      <c r="CE61" s="203"/>
      <c r="CF61" s="203"/>
      <c r="CG61" s="203"/>
      <c r="CH61" s="203"/>
      <c r="CI61" s="203"/>
      <c r="CJ61" s="203"/>
      <c r="CK61" s="203"/>
      <c r="CL61" s="203"/>
      <c r="CM61" s="203"/>
      <c r="CN61" s="203"/>
      <c r="CO61" s="203"/>
      <c r="CP61" s="203"/>
      <c r="CQ61" s="203"/>
      <c r="CR61" s="203"/>
      <c r="CS61" s="203"/>
      <c r="CT61" s="203"/>
      <c r="CU61" s="203"/>
      <c r="CV61" s="203"/>
      <c r="CW61" s="203"/>
      <c r="CX61" s="203"/>
      <c r="CY61" s="203"/>
      <c r="CZ61" s="203"/>
      <c r="DA61" s="203"/>
      <c r="DB61" s="203"/>
      <c r="DC61" s="203"/>
      <c r="DD61" s="203"/>
      <c r="DE61" s="203"/>
      <c r="DF61" s="203"/>
      <c r="DG61" s="203"/>
      <c r="DH61" s="203"/>
      <c r="DI61" s="203"/>
      <c r="DJ61" s="203"/>
      <c r="DK61" s="203"/>
      <c r="DL61" s="203"/>
      <c r="DM61" s="203"/>
      <c r="DN61" s="203"/>
      <c r="DO61" s="203"/>
      <c r="DP61" s="203"/>
      <c r="DQ61" s="203"/>
      <c r="DR61" s="203"/>
      <c r="DS61" s="203"/>
      <c r="DT61" s="203"/>
      <c r="DU61" s="203"/>
      <c r="DV61" s="203"/>
      <c r="DW61" s="203"/>
      <c r="DX61" s="203"/>
      <c r="DY61" s="203"/>
      <c r="DZ61" s="203"/>
      <c r="EA61" s="203"/>
      <c r="EB61" s="203"/>
      <c r="EC61" s="203"/>
      <c r="ED61" s="203"/>
      <c r="EE61" s="203"/>
      <c r="EF61" s="203"/>
      <c r="EG61" s="203"/>
      <c r="EH61" s="203"/>
      <c r="EI61" s="203"/>
      <c r="EJ61" s="203"/>
      <c r="EK61" s="203"/>
      <c r="EL61" s="203"/>
      <c r="EM61" s="203"/>
      <c r="EN61" s="203"/>
      <c r="EO61" s="203"/>
      <c r="EP61" s="203"/>
      <c r="EQ61" s="203"/>
      <c r="ER61" s="203"/>
      <c r="ES61" s="203"/>
      <c r="ET61" s="203"/>
      <c r="EU61" s="203"/>
      <c r="EV61" s="203"/>
      <c r="EW61" s="203"/>
      <c r="EX61" s="203"/>
      <c r="EY61" s="203"/>
      <c r="EZ61" s="203"/>
      <c r="FA61" s="203"/>
      <c r="FB61" s="203"/>
      <c r="FC61" s="203"/>
    </row>
    <row r="62" spans="1:159" ht="15.75" customHeight="1">
      <c r="H62" s="137"/>
    </row>
    <row r="63" spans="1:159" ht="15.75" customHeight="1">
      <c r="H63" s="137"/>
    </row>
    <row r="64" spans="1:159" ht="15.75" customHeight="1">
      <c r="H64" s="137"/>
    </row>
    <row r="65" spans="8:8" ht="15.75" customHeight="1">
      <c r="H65" s="137"/>
    </row>
    <row r="66" spans="8:8" ht="15.75" customHeight="1">
      <c r="H66" s="137"/>
    </row>
    <row r="67" spans="8:8" ht="15.75" customHeight="1">
      <c r="H67" s="137"/>
    </row>
    <row r="68" spans="8:8" ht="15.75" customHeight="1">
      <c r="H68" s="137"/>
    </row>
    <row r="69" spans="8:8" ht="15.75" customHeight="1">
      <c r="H69" s="137"/>
    </row>
    <row r="70" spans="8:8" ht="15.75" customHeight="1">
      <c r="H70" s="137"/>
    </row>
    <row r="71" spans="8:8" ht="15.75" customHeight="1">
      <c r="H71" s="137"/>
    </row>
    <row r="72" spans="8:8" ht="15.75" customHeight="1">
      <c r="H72" s="137"/>
    </row>
    <row r="73" spans="8:8" ht="15.75" customHeight="1">
      <c r="H73" s="137"/>
    </row>
    <row r="74" spans="8:8" ht="15.75" customHeight="1">
      <c r="H74" s="137"/>
    </row>
    <row r="75" spans="8:8" ht="15.75" customHeight="1">
      <c r="H75" s="137"/>
    </row>
    <row r="76" spans="8:8" ht="15.75" customHeight="1">
      <c r="H76" s="137"/>
    </row>
    <row r="77" spans="8:8" ht="15.75" customHeight="1">
      <c r="H77" s="137"/>
    </row>
    <row r="78" spans="8:8" ht="15.75" customHeight="1">
      <c r="H78" s="137"/>
    </row>
    <row r="79" spans="8:8" ht="15.75" customHeight="1">
      <c r="H79" s="137"/>
    </row>
    <row r="80" spans="8:8" ht="15.75" customHeight="1">
      <c r="H80" s="137"/>
    </row>
    <row r="81" spans="8:8" ht="15.75" customHeight="1">
      <c r="H81" s="137"/>
    </row>
    <row r="82" spans="8:8" ht="15.75" customHeight="1">
      <c r="H82" s="137"/>
    </row>
    <row r="83" spans="8:8" ht="15.75" customHeight="1">
      <c r="H83" s="137"/>
    </row>
    <row r="84" spans="8:8" ht="15.75" customHeight="1">
      <c r="H84" s="137"/>
    </row>
    <row r="85" spans="8:8" ht="15.75" customHeight="1">
      <c r="H85" s="137"/>
    </row>
    <row r="86" spans="8:8" ht="15.75" customHeight="1">
      <c r="H86" s="137"/>
    </row>
    <row r="87" spans="8:8" ht="15.75" customHeight="1">
      <c r="H87" s="137"/>
    </row>
    <row r="88" spans="8:8" ht="15.75" customHeight="1">
      <c r="H88" s="137"/>
    </row>
    <row r="89" spans="8:8" ht="15.75" customHeight="1">
      <c r="H89" s="137"/>
    </row>
    <row r="90" spans="8:8" ht="15.75" customHeight="1">
      <c r="H90" s="137"/>
    </row>
    <row r="91" spans="8:8" ht="15.75" customHeight="1">
      <c r="H91" s="137"/>
    </row>
    <row r="92" spans="8:8" ht="15.75" customHeight="1">
      <c r="H92" s="137"/>
    </row>
    <row r="93" spans="8:8" ht="15.75" customHeight="1">
      <c r="H93" s="137"/>
    </row>
    <row r="94" spans="8:8" ht="15.75" customHeight="1">
      <c r="H94" s="137"/>
    </row>
    <row r="95" spans="8:8" ht="15.75" customHeight="1">
      <c r="H95" s="137"/>
    </row>
    <row r="96" spans="8:8" ht="15.75" customHeight="1">
      <c r="H96" s="137"/>
    </row>
    <row r="97" spans="8:8" ht="15.75" customHeight="1">
      <c r="H97" s="137"/>
    </row>
    <row r="98" spans="8:8" ht="15.75" customHeight="1">
      <c r="H98" s="137"/>
    </row>
    <row r="99" spans="8:8" ht="15.75" customHeight="1">
      <c r="H99" s="137"/>
    </row>
    <row r="100" spans="8:8" ht="15.75" customHeight="1">
      <c r="H100" s="137"/>
    </row>
    <row r="101" spans="8:8" ht="15.75" customHeight="1">
      <c r="H101" s="137"/>
    </row>
    <row r="102" spans="8:8" ht="15.75" customHeight="1">
      <c r="H102" s="137"/>
    </row>
    <row r="103" spans="8:8" ht="15.75" customHeight="1">
      <c r="H103" s="137"/>
    </row>
    <row r="104" spans="8:8" ht="15.75" customHeight="1">
      <c r="H104" s="137"/>
    </row>
    <row r="105" spans="8:8" ht="15.75" customHeight="1">
      <c r="H105" s="137"/>
    </row>
    <row r="106" spans="8:8" ht="15.75" customHeight="1">
      <c r="H106" s="137"/>
    </row>
    <row r="107" spans="8:8" ht="15.75" customHeight="1">
      <c r="H107" s="137"/>
    </row>
    <row r="108" spans="8:8" ht="15.75" customHeight="1">
      <c r="H108" s="137"/>
    </row>
    <row r="109" spans="8:8" ht="15.75" customHeight="1">
      <c r="H109" s="137"/>
    </row>
    <row r="110" spans="8:8" ht="15.75" customHeight="1">
      <c r="H110" s="137"/>
    </row>
    <row r="111" spans="8:8" ht="15.75" customHeight="1">
      <c r="H111" s="137"/>
    </row>
    <row r="112" spans="8:8" ht="15.75" customHeight="1">
      <c r="H112" s="137"/>
    </row>
    <row r="113" spans="8:8" ht="15.75" customHeight="1">
      <c r="H113" s="137"/>
    </row>
    <row r="114" spans="8:8" ht="15.75" customHeight="1">
      <c r="H114" s="137"/>
    </row>
    <row r="115" spans="8:8" ht="15.75" customHeight="1">
      <c r="H115" s="137"/>
    </row>
    <row r="116" spans="8:8" ht="15.75" customHeight="1">
      <c r="H116" s="137"/>
    </row>
    <row r="117" spans="8:8" ht="15.75" customHeight="1">
      <c r="H117" s="137"/>
    </row>
    <row r="118" spans="8:8" ht="15.75" customHeight="1">
      <c r="H118" s="137"/>
    </row>
    <row r="119" spans="8:8" ht="15.75" customHeight="1">
      <c r="H119" s="137"/>
    </row>
    <row r="120" spans="8:8" ht="15.75" customHeight="1">
      <c r="H120" s="137"/>
    </row>
    <row r="121" spans="8:8" ht="15.75" customHeight="1">
      <c r="H121" s="137"/>
    </row>
    <row r="122" spans="8:8" ht="15.75" customHeight="1">
      <c r="H122" s="137"/>
    </row>
    <row r="123" spans="8:8" ht="15.75" customHeight="1">
      <c r="H123" s="137"/>
    </row>
    <row r="124" spans="8:8" ht="15.75" customHeight="1">
      <c r="H124" s="137"/>
    </row>
    <row r="125" spans="8:8" ht="15.75" customHeight="1">
      <c r="H125" s="137"/>
    </row>
    <row r="126" spans="8:8" ht="15.75" customHeight="1">
      <c r="H126" s="137"/>
    </row>
    <row r="127" spans="8:8" ht="15.75" customHeight="1">
      <c r="H127" s="137"/>
    </row>
    <row r="128" spans="8:8" ht="15.75" customHeight="1">
      <c r="H128" s="137"/>
    </row>
    <row r="129" spans="8:8" ht="15.75" customHeight="1">
      <c r="H129" s="137"/>
    </row>
    <row r="130" spans="8:8" ht="15.75" customHeight="1">
      <c r="H130" s="137"/>
    </row>
    <row r="131" spans="8:8" ht="15.75" customHeight="1">
      <c r="H131" s="137"/>
    </row>
    <row r="132" spans="8:8" ht="15.75" customHeight="1">
      <c r="H132" s="137"/>
    </row>
    <row r="133" spans="8:8" ht="15.75" customHeight="1">
      <c r="H133" s="137"/>
    </row>
    <row r="134" spans="8:8" ht="15.75" customHeight="1">
      <c r="H134" s="137"/>
    </row>
    <row r="135" spans="8:8" ht="15.75" customHeight="1">
      <c r="H135" s="137"/>
    </row>
    <row r="136" spans="8:8" ht="15.75" customHeight="1">
      <c r="H136" s="137"/>
    </row>
    <row r="137" spans="8:8" ht="15.75" customHeight="1">
      <c r="H137" s="137"/>
    </row>
    <row r="138" spans="8:8" ht="15.75" customHeight="1">
      <c r="H138" s="137"/>
    </row>
    <row r="139" spans="8:8" ht="15.75" customHeight="1">
      <c r="H139" s="137"/>
    </row>
    <row r="140" spans="8:8" ht="15.75" customHeight="1">
      <c r="H140" s="137"/>
    </row>
    <row r="141" spans="8:8" ht="15.75" customHeight="1">
      <c r="H141" s="137"/>
    </row>
    <row r="142" spans="8:8" ht="15.75" customHeight="1">
      <c r="H142" s="137"/>
    </row>
    <row r="143" spans="8:8" ht="15.75" customHeight="1">
      <c r="H143" s="137"/>
    </row>
    <row r="144" spans="8:8" ht="15.75" customHeight="1">
      <c r="H144" s="137"/>
    </row>
    <row r="145" spans="8:8" ht="15.75" customHeight="1">
      <c r="H145" s="137"/>
    </row>
    <row r="146" spans="8:8" ht="15.75" customHeight="1">
      <c r="H146" s="137"/>
    </row>
    <row r="147" spans="8:8" ht="15.75" customHeight="1">
      <c r="H147" s="137"/>
    </row>
    <row r="148" spans="8:8" ht="15.75" customHeight="1">
      <c r="H148" s="137"/>
    </row>
    <row r="149" spans="8:8" ht="15.75" customHeight="1">
      <c r="H149" s="137"/>
    </row>
    <row r="150" spans="8:8" ht="15.75" customHeight="1">
      <c r="H150" s="137"/>
    </row>
    <row r="151" spans="8:8" ht="15.75" customHeight="1">
      <c r="H151" s="137"/>
    </row>
    <row r="152" spans="8:8" ht="15.75" customHeight="1">
      <c r="H152" s="137"/>
    </row>
    <row r="153" spans="8:8" ht="15.75" customHeight="1">
      <c r="H153" s="137"/>
    </row>
    <row r="154" spans="8:8" ht="15.75" customHeight="1">
      <c r="H154" s="137"/>
    </row>
    <row r="155" spans="8:8" ht="15.75" customHeight="1">
      <c r="H155" s="137"/>
    </row>
    <row r="156" spans="8:8" ht="15.75" customHeight="1">
      <c r="H156" s="137"/>
    </row>
    <row r="157" spans="8:8" ht="15.75" customHeight="1">
      <c r="H157" s="137"/>
    </row>
    <row r="158" spans="8:8" ht="15.75" customHeight="1">
      <c r="H158" s="137"/>
    </row>
    <row r="159" spans="8:8" ht="15.75" customHeight="1">
      <c r="H159" s="137"/>
    </row>
    <row r="160" spans="8:8" ht="15.75" customHeight="1">
      <c r="H160" s="137"/>
    </row>
    <row r="161" spans="8:8" ht="15.75" customHeight="1">
      <c r="H161" s="137"/>
    </row>
    <row r="162" spans="8:8" ht="15.75" customHeight="1">
      <c r="H162" s="137"/>
    </row>
    <row r="163" spans="8:8" ht="15.75" customHeight="1">
      <c r="H163" s="137"/>
    </row>
    <row r="164" spans="8:8" ht="15.75" customHeight="1">
      <c r="H164" s="137"/>
    </row>
    <row r="165" spans="8:8" ht="15.75" customHeight="1">
      <c r="H165" s="137"/>
    </row>
    <row r="166" spans="8:8" ht="15.75" customHeight="1">
      <c r="H166" s="137"/>
    </row>
    <row r="167" spans="8:8" ht="15.75" customHeight="1">
      <c r="H167" s="137"/>
    </row>
    <row r="168" spans="8:8" ht="15.75" customHeight="1">
      <c r="H168" s="137"/>
    </row>
    <row r="169" spans="8:8" ht="15.75" customHeight="1">
      <c r="H169" s="137"/>
    </row>
    <row r="170" spans="8:8" ht="15.75" customHeight="1">
      <c r="H170" s="137"/>
    </row>
    <row r="171" spans="8:8" ht="15.75" customHeight="1">
      <c r="H171" s="137"/>
    </row>
    <row r="172" spans="8:8" ht="15.75" customHeight="1">
      <c r="H172" s="137"/>
    </row>
    <row r="173" spans="8:8" ht="15.75" customHeight="1">
      <c r="H173" s="137"/>
    </row>
    <row r="174" spans="8:8" ht="15.75" customHeight="1">
      <c r="H174" s="137"/>
    </row>
    <row r="175" spans="8:8" ht="15.75" customHeight="1">
      <c r="H175" s="137"/>
    </row>
    <row r="176" spans="8:8" ht="15.75" customHeight="1">
      <c r="H176" s="137"/>
    </row>
    <row r="177" spans="8:8" ht="15.75" customHeight="1">
      <c r="H177" s="137"/>
    </row>
    <row r="178" spans="8:8" ht="15.75" customHeight="1">
      <c r="H178" s="137"/>
    </row>
    <row r="179" spans="8:8" ht="15.75" customHeight="1">
      <c r="H179" s="137"/>
    </row>
    <row r="180" spans="8:8" ht="15.75" customHeight="1">
      <c r="H180" s="137"/>
    </row>
    <row r="181" spans="8:8" ht="15.75" customHeight="1">
      <c r="H181" s="137"/>
    </row>
    <row r="182" spans="8:8" ht="15.75" customHeight="1">
      <c r="H182" s="137"/>
    </row>
    <row r="183" spans="8:8" ht="15.75" customHeight="1">
      <c r="H183" s="137"/>
    </row>
    <row r="184" spans="8:8" ht="15.75" customHeight="1">
      <c r="H184" s="137"/>
    </row>
    <row r="185" spans="8:8" ht="15.75" customHeight="1">
      <c r="H185" s="137"/>
    </row>
    <row r="186" spans="8:8" ht="15.75" customHeight="1">
      <c r="H186" s="137"/>
    </row>
    <row r="187" spans="8:8" ht="15.75" customHeight="1">
      <c r="H187" s="137"/>
    </row>
    <row r="188" spans="8:8" ht="15.75" customHeight="1">
      <c r="H188" s="137"/>
    </row>
    <row r="189" spans="8:8" ht="15.75" customHeight="1">
      <c r="H189" s="137"/>
    </row>
    <row r="190" spans="8:8" ht="15.75" customHeight="1">
      <c r="H190" s="137"/>
    </row>
    <row r="191" spans="8:8" ht="15.75" customHeight="1">
      <c r="H191" s="137"/>
    </row>
    <row r="192" spans="8:8" ht="15.75" customHeight="1">
      <c r="H192" s="137"/>
    </row>
    <row r="193" spans="8:8" ht="15.75" customHeight="1">
      <c r="H193" s="137"/>
    </row>
    <row r="194" spans="8:8" ht="15.75" customHeight="1">
      <c r="H194" s="137"/>
    </row>
    <row r="195" spans="8:8" ht="15.75" customHeight="1">
      <c r="H195" s="137"/>
    </row>
    <row r="196" spans="8:8" ht="15.75" customHeight="1">
      <c r="H196" s="137"/>
    </row>
    <row r="197" spans="8:8" ht="15.75" customHeight="1">
      <c r="H197" s="137"/>
    </row>
    <row r="198" spans="8:8" ht="15.75" customHeight="1">
      <c r="H198" s="137"/>
    </row>
    <row r="199" spans="8:8" ht="15.75" customHeight="1">
      <c r="H199" s="137"/>
    </row>
    <row r="200" spans="8:8" ht="15.75" customHeight="1">
      <c r="H200" s="137"/>
    </row>
    <row r="201" spans="8:8" ht="15.75" customHeight="1">
      <c r="H201" s="137"/>
    </row>
    <row r="202" spans="8:8" ht="15.75" customHeight="1">
      <c r="H202" s="137"/>
    </row>
    <row r="203" spans="8:8" ht="15.75" customHeight="1">
      <c r="H203" s="137"/>
    </row>
    <row r="204" spans="8:8" ht="15.75" customHeight="1">
      <c r="H204" s="137"/>
    </row>
    <row r="205" spans="8:8" ht="15.75" customHeight="1">
      <c r="H205" s="137"/>
    </row>
    <row r="206" spans="8:8" ht="15.75" customHeight="1">
      <c r="H206" s="137"/>
    </row>
    <row r="207" spans="8:8" ht="15.75" customHeight="1">
      <c r="H207" s="137"/>
    </row>
    <row r="208" spans="8:8" ht="15.75" customHeight="1">
      <c r="H208" s="137"/>
    </row>
    <row r="209" spans="8:8" ht="15.75" customHeight="1">
      <c r="H209" s="137"/>
    </row>
    <row r="210" spans="8:8" ht="15.75" customHeight="1">
      <c r="H210" s="137"/>
    </row>
    <row r="211" spans="8:8" ht="15.75" customHeight="1">
      <c r="H211" s="137"/>
    </row>
    <row r="212" spans="8:8" ht="15.75" customHeight="1">
      <c r="H212" s="137"/>
    </row>
    <row r="213" spans="8:8" ht="15.75" customHeight="1">
      <c r="H213" s="137"/>
    </row>
    <row r="214" spans="8:8" ht="15.75" customHeight="1">
      <c r="H214" s="137"/>
    </row>
    <row r="215" spans="8:8" ht="15.75" customHeight="1">
      <c r="H215" s="137"/>
    </row>
    <row r="216" spans="8:8" ht="15.75" customHeight="1">
      <c r="H216" s="137"/>
    </row>
    <row r="217" spans="8:8" ht="15.75" customHeight="1">
      <c r="H217" s="137"/>
    </row>
    <row r="218" spans="8:8" ht="15.75" customHeight="1">
      <c r="H218" s="137"/>
    </row>
    <row r="219" spans="8:8" ht="15.75" customHeight="1">
      <c r="H219" s="137"/>
    </row>
    <row r="220" spans="8:8" ht="15.75" customHeight="1">
      <c r="H220" s="137"/>
    </row>
    <row r="221" spans="8:8" ht="15.75" customHeight="1">
      <c r="H221" s="137"/>
    </row>
    <row r="222" spans="8:8" ht="15.75" customHeight="1">
      <c r="H222" s="137"/>
    </row>
    <row r="223" spans="8:8" ht="15.75" customHeight="1">
      <c r="H223" s="137"/>
    </row>
    <row r="224" spans="8:8" ht="15.75" customHeight="1">
      <c r="H224" s="137"/>
    </row>
    <row r="225" spans="8:8" ht="15.75" customHeight="1">
      <c r="H225" s="137"/>
    </row>
    <row r="226" spans="8:8" ht="15.75" customHeight="1">
      <c r="H226" s="137"/>
    </row>
    <row r="227" spans="8:8" ht="15.75" customHeight="1">
      <c r="H227" s="137"/>
    </row>
    <row r="228" spans="8:8" ht="15.75" customHeight="1">
      <c r="H228" s="137"/>
    </row>
    <row r="229" spans="8:8" ht="15.75" customHeight="1">
      <c r="H229" s="137"/>
    </row>
    <row r="230" spans="8:8" ht="15.75" customHeight="1">
      <c r="H230" s="137"/>
    </row>
    <row r="231" spans="8:8" ht="15.75" customHeight="1">
      <c r="H231" s="137"/>
    </row>
    <row r="232" spans="8:8" ht="15.75" customHeight="1">
      <c r="H232" s="137"/>
    </row>
    <row r="233" spans="8:8" ht="15.75" customHeight="1">
      <c r="H233" s="137"/>
    </row>
    <row r="234" spans="8:8" ht="15.75" customHeight="1">
      <c r="H234" s="137"/>
    </row>
    <row r="235" spans="8:8" ht="15.75" customHeight="1">
      <c r="H235" s="137"/>
    </row>
    <row r="236" spans="8:8" ht="15.75" customHeight="1">
      <c r="H236" s="137"/>
    </row>
    <row r="237" spans="8:8" ht="15.75" customHeight="1">
      <c r="H237" s="137"/>
    </row>
    <row r="238" spans="8:8" ht="15.75" customHeight="1">
      <c r="H238" s="137"/>
    </row>
    <row r="239" spans="8:8" ht="15.75" customHeight="1">
      <c r="H239" s="137"/>
    </row>
    <row r="240" spans="8:8" ht="15.75" customHeight="1">
      <c r="H240" s="137"/>
    </row>
    <row r="241" spans="8:8" ht="15.75" customHeight="1">
      <c r="H241" s="137"/>
    </row>
    <row r="242" spans="8:8" ht="15.75" customHeight="1">
      <c r="H242" s="137"/>
    </row>
    <row r="243" spans="8:8" ht="15.75" customHeight="1">
      <c r="H243" s="137"/>
    </row>
    <row r="244" spans="8:8" ht="15.75" customHeight="1">
      <c r="H244" s="137"/>
    </row>
    <row r="245" spans="8:8" ht="15.75" customHeight="1">
      <c r="H245" s="137"/>
    </row>
    <row r="246" spans="8:8" ht="15.75" customHeight="1">
      <c r="H246" s="137"/>
    </row>
    <row r="247" spans="8:8" ht="15.75" customHeight="1">
      <c r="H247" s="137"/>
    </row>
    <row r="248" spans="8:8" ht="15.75" customHeight="1">
      <c r="H248" s="137"/>
    </row>
    <row r="249" spans="8:8" ht="15.75" customHeight="1">
      <c r="H249" s="137"/>
    </row>
    <row r="250" spans="8:8" ht="15.75" customHeight="1">
      <c r="H250" s="137"/>
    </row>
    <row r="251" spans="8:8" ht="15.75" customHeight="1">
      <c r="H251" s="137"/>
    </row>
    <row r="252" spans="8:8" ht="15.75" customHeight="1">
      <c r="H252" s="137"/>
    </row>
    <row r="253" spans="8:8" ht="15.75" customHeight="1">
      <c r="H253" s="137"/>
    </row>
    <row r="254" spans="8:8" ht="15.75" customHeight="1">
      <c r="H254" s="137"/>
    </row>
    <row r="255" spans="8:8" ht="15.75" customHeight="1">
      <c r="H255" s="137"/>
    </row>
    <row r="256" spans="8:8" ht="15.75" customHeight="1">
      <c r="H256" s="137"/>
    </row>
    <row r="257" spans="8:8" ht="15.75" customHeight="1">
      <c r="H257" s="137"/>
    </row>
    <row r="258" spans="8:8" ht="15.75" customHeight="1">
      <c r="H258" s="137"/>
    </row>
    <row r="259" spans="8:8" ht="15.75" customHeight="1">
      <c r="H259" s="137"/>
    </row>
    <row r="260" spans="8:8" ht="15.75" customHeight="1">
      <c r="H260" s="137"/>
    </row>
    <row r="261" spans="8:8" ht="15.75" customHeight="1">
      <c r="H261" s="137"/>
    </row>
    <row r="262" spans="8:8" ht="15.75" customHeight="1">
      <c r="H262" s="137"/>
    </row>
    <row r="263" spans="8:8" ht="15.75" customHeight="1">
      <c r="H263" s="137"/>
    </row>
    <row r="264" spans="8:8" ht="15.75" customHeight="1">
      <c r="H264" s="137"/>
    </row>
    <row r="265" spans="8:8" ht="15.75" customHeight="1">
      <c r="H265" s="137"/>
    </row>
    <row r="266" spans="8:8" ht="15.75" customHeight="1">
      <c r="H266" s="137"/>
    </row>
    <row r="267" spans="8:8" ht="15.75" customHeight="1">
      <c r="H267" s="137"/>
    </row>
    <row r="268" spans="8:8" ht="15.75" customHeight="1">
      <c r="H268" s="137"/>
    </row>
    <row r="269" spans="8:8" ht="15.75" customHeight="1">
      <c r="H269" s="137"/>
    </row>
    <row r="270" spans="8:8" ht="15.75" customHeight="1">
      <c r="H270" s="137"/>
    </row>
    <row r="271" spans="8:8" ht="15.75" customHeight="1">
      <c r="H271" s="137"/>
    </row>
    <row r="272" spans="8:8" ht="15.75" customHeight="1">
      <c r="H272" s="137"/>
    </row>
    <row r="273" spans="8:8" ht="15.75" customHeight="1">
      <c r="H273" s="137"/>
    </row>
    <row r="274" spans="8:8" ht="15.75" customHeight="1">
      <c r="H274" s="137"/>
    </row>
    <row r="275" spans="8:8" ht="15.75" customHeight="1">
      <c r="H275" s="137"/>
    </row>
    <row r="276" spans="8:8" ht="15.75" customHeight="1">
      <c r="H276" s="137"/>
    </row>
    <row r="277" spans="8:8" ht="15.75" customHeight="1">
      <c r="H277" s="137"/>
    </row>
    <row r="278" spans="8:8" ht="15.75" customHeight="1">
      <c r="H278" s="137"/>
    </row>
    <row r="279" spans="8:8" ht="15.75" customHeight="1">
      <c r="H279" s="137"/>
    </row>
    <row r="280" spans="8:8" ht="15.75" customHeight="1">
      <c r="H280" s="137"/>
    </row>
    <row r="281" spans="8:8" ht="15.75" customHeight="1">
      <c r="H281" s="137"/>
    </row>
    <row r="282" spans="8:8" ht="15.75" customHeight="1">
      <c r="H282" s="137"/>
    </row>
    <row r="283" spans="8:8" ht="15.75" customHeight="1">
      <c r="H283" s="137"/>
    </row>
    <row r="284" spans="8:8" ht="15.75" customHeight="1">
      <c r="H284" s="137"/>
    </row>
    <row r="285" spans="8:8" ht="15.75" customHeight="1">
      <c r="H285" s="137"/>
    </row>
    <row r="286" spans="8:8" ht="15.75" customHeight="1">
      <c r="H286" s="137"/>
    </row>
    <row r="287" spans="8:8" ht="15.75" customHeight="1">
      <c r="H287" s="137"/>
    </row>
    <row r="288" spans="8:8" ht="15.75" customHeight="1">
      <c r="H288" s="137"/>
    </row>
    <row r="289" spans="8:8" ht="15.75" customHeight="1">
      <c r="H289" s="137"/>
    </row>
    <row r="290" spans="8:8" ht="15.75" customHeight="1">
      <c r="H290" s="137"/>
    </row>
    <row r="291" spans="8:8" ht="15.75" customHeight="1">
      <c r="H291" s="137"/>
    </row>
    <row r="292" spans="8:8" ht="15.75" customHeight="1">
      <c r="H292" s="137"/>
    </row>
    <row r="293" spans="8:8" ht="15.75" customHeight="1">
      <c r="H293" s="137"/>
    </row>
    <row r="294" spans="8:8" ht="15.75" customHeight="1">
      <c r="H294" s="137"/>
    </row>
    <row r="295" spans="8:8" ht="15.75" customHeight="1">
      <c r="H295" s="137"/>
    </row>
    <row r="296" spans="8:8" ht="15.75" customHeight="1">
      <c r="H296" s="137"/>
    </row>
    <row r="297" spans="8:8" ht="15.75" customHeight="1">
      <c r="H297" s="137"/>
    </row>
    <row r="298" spans="8:8" ht="15.75" customHeight="1">
      <c r="H298" s="137"/>
    </row>
    <row r="299" spans="8:8" ht="15.75" customHeight="1">
      <c r="H299" s="137"/>
    </row>
    <row r="300" spans="8:8" ht="15.75" customHeight="1">
      <c r="H300" s="137"/>
    </row>
    <row r="301" spans="8:8" ht="15.75" customHeight="1">
      <c r="H301" s="137"/>
    </row>
    <row r="302" spans="8:8" ht="15.75" customHeight="1">
      <c r="H302" s="137"/>
    </row>
    <row r="303" spans="8:8" ht="15.75" customHeight="1">
      <c r="H303" s="137"/>
    </row>
    <row r="304" spans="8:8" ht="15.75" customHeight="1">
      <c r="H304" s="137"/>
    </row>
    <row r="305" spans="8:8" ht="15.75" customHeight="1">
      <c r="H305" s="137"/>
    </row>
    <row r="306" spans="8:8" ht="15.75" customHeight="1">
      <c r="H306" s="137"/>
    </row>
    <row r="307" spans="8:8" ht="15.75" customHeight="1">
      <c r="H307" s="137"/>
    </row>
    <row r="308" spans="8:8" ht="15.75" customHeight="1">
      <c r="H308" s="137"/>
    </row>
    <row r="309" spans="8:8" ht="15.75" customHeight="1">
      <c r="H309" s="137"/>
    </row>
    <row r="310" spans="8:8" ht="15.75" customHeight="1">
      <c r="H310" s="137"/>
    </row>
    <row r="311" spans="8:8" ht="15.75" customHeight="1">
      <c r="H311" s="137"/>
    </row>
    <row r="312" spans="8:8" ht="15.75" customHeight="1">
      <c r="H312" s="137"/>
    </row>
    <row r="313" spans="8:8" ht="15.75" customHeight="1">
      <c r="H313" s="137"/>
    </row>
    <row r="314" spans="8:8" ht="15.75" customHeight="1">
      <c r="H314" s="137"/>
    </row>
    <row r="315" spans="8:8" ht="15.75" customHeight="1">
      <c r="H315" s="137"/>
    </row>
    <row r="316" spans="8:8" ht="15.75" customHeight="1">
      <c r="H316" s="137"/>
    </row>
    <row r="317" spans="8:8" ht="15.75" customHeight="1">
      <c r="H317" s="137"/>
    </row>
    <row r="318" spans="8:8" ht="15.75" customHeight="1">
      <c r="H318" s="137"/>
    </row>
    <row r="319" spans="8:8" ht="15.75" customHeight="1">
      <c r="H319" s="137"/>
    </row>
    <row r="320" spans="8:8" ht="15.75" customHeight="1">
      <c r="H320" s="137"/>
    </row>
    <row r="321" spans="8:8" ht="15.75" customHeight="1">
      <c r="H321" s="137"/>
    </row>
    <row r="322" spans="8:8" ht="15.75" customHeight="1">
      <c r="H322" s="137"/>
    </row>
    <row r="323" spans="8:8" ht="15.75" customHeight="1">
      <c r="H323" s="137"/>
    </row>
    <row r="324" spans="8:8" ht="15.75" customHeight="1">
      <c r="H324" s="137"/>
    </row>
    <row r="325" spans="8:8" ht="15.75" customHeight="1">
      <c r="H325" s="137"/>
    </row>
    <row r="326" spans="8:8" ht="15.75" customHeight="1">
      <c r="H326" s="137"/>
    </row>
    <row r="327" spans="8:8" ht="15.75" customHeight="1">
      <c r="H327" s="137"/>
    </row>
    <row r="328" spans="8:8" ht="15.75" customHeight="1">
      <c r="H328" s="137"/>
    </row>
    <row r="329" spans="8:8" ht="15.75" customHeight="1">
      <c r="H329" s="137"/>
    </row>
    <row r="330" spans="8:8" ht="15.75" customHeight="1">
      <c r="H330" s="137"/>
    </row>
    <row r="331" spans="8:8" ht="15.75" customHeight="1">
      <c r="H331" s="137"/>
    </row>
    <row r="332" spans="8:8" ht="15.75" customHeight="1">
      <c r="H332" s="137"/>
    </row>
    <row r="333" spans="8:8" ht="15.75" customHeight="1">
      <c r="H333" s="137"/>
    </row>
    <row r="334" spans="8:8" ht="15.75" customHeight="1">
      <c r="H334" s="137"/>
    </row>
    <row r="335" spans="8:8" ht="15.75" customHeight="1">
      <c r="H335" s="137"/>
    </row>
    <row r="336" spans="8:8" ht="15.75" customHeight="1">
      <c r="H336" s="137"/>
    </row>
    <row r="337" spans="8:8" ht="15.75" customHeight="1">
      <c r="H337" s="137"/>
    </row>
    <row r="338" spans="8:8" ht="15.75" customHeight="1">
      <c r="H338" s="137"/>
    </row>
    <row r="339" spans="8:8" ht="15.75" customHeight="1">
      <c r="H339" s="137"/>
    </row>
    <row r="340" spans="8:8" ht="15.75" customHeight="1">
      <c r="H340" s="137"/>
    </row>
    <row r="341" spans="8:8" ht="15.75" customHeight="1">
      <c r="H341" s="137"/>
    </row>
    <row r="342" spans="8:8" ht="15.75" customHeight="1">
      <c r="H342" s="137"/>
    </row>
    <row r="343" spans="8:8" ht="15.75" customHeight="1">
      <c r="H343" s="137"/>
    </row>
    <row r="344" spans="8:8" ht="15.75" customHeight="1">
      <c r="H344" s="137"/>
    </row>
    <row r="345" spans="8:8" ht="15.75" customHeight="1">
      <c r="H345" s="137"/>
    </row>
    <row r="346" spans="8:8" ht="15.75" customHeight="1">
      <c r="H346" s="137"/>
    </row>
    <row r="347" spans="8:8" ht="15.75" customHeight="1">
      <c r="H347" s="137"/>
    </row>
    <row r="348" spans="8:8" ht="15.75" customHeight="1">
      <c r="H348" s="137"/>
    </row>
    <row r="349" spans="8:8" ht="15.75" customHeight="1">
      <c r="H349" s="137"/>
    </row>
    <row r="350" spans="8:8" ht="15.75" customHeight="1">
      <c r="H350" s="137"/>
    </row>
    <row r="351" spans="8:8" ht="15.75" customHeight="1">
      <c r="H351" s="137"/>
    </row>
    <row r="352" spans="8:8" ht="15.75" customHeight="1">
      <c r="H352" s="137"/>
    </row>
    <row r="353" spans="8:8" ht="15.75" customHeight="1">
      <c r="H353" s="137"/>
    </row>
    <row r="354" spans="8:8" ht="15.75" customHeight="1">
      <c r="H354" s="137"/>
    </row>
    <row r="355" spans="8:8" ht="15.75" customHeight="1">
      <c r="H355" s="137"/>
    </row>
    <row r="356" spans="8:8" ht="15.75" customHeight="1">
      <c r="H356" s="137"/>
    </row>
    <row r="357" spans="8:8" ht="15.75" customHeight="1">
      <c r="H357" s="137"/>
    </row>
    <row r="358" spans="8:8" ht="15.75" customHeight="1">
      <c r="H358" s="137"/>
    </row>
    <row r="359" spans="8:8" ht="15.75" customHeight="1">
      <c r="H359" s="137"/>
    </row>
    <row r="360" spans="8:8" ht="15.75" customHeight="1">
      <c r="H360" s="137"/>
    </row>
    <row r="361" spans="8:8" ht="15.75" customHeight="1">
      <c r="H361" s="137"/>
    </row>
    <row r="362" spans="8:8" ht="15.75" customHeight="1">
      <c r="H362" s="137"/>
    </row>
    <row r="363" spans="8:8" ht="15.75" customHeight="1">
      <c r="H363" s="137"/>
    </row>
    <row r="364" spans="8:8" ht="15.75" customHeight="1">
      <c r="H364" s="137"/>
    </row>
    <row r="365" spans="8:8" ht="15.75" customHeight="1">
      <c r="H365" s="137"/>
    </row>
    <row r="366" spans="8:8" ht="15.75" customHeight="1">
      <c r="H366" s="137"/>
    </row>
    <row r="367" spans="8:8" ht="15.75" customHeight="1">
      <c r="H367" s="137"/>
    </row>
    <row r="368" spans="8:8" ht="15.75" customHeight="1">
      <c r="H368" s="137"/>
    </row>
    <row r="369" spans="8:8" ht="15.75" customHeight="1">
      <c r="H369" s="137"/>
    </row>
    <row r="370" spans="8:8" ht="15.75" customHeight="1">
      <c r="H370" s="137"/>
    </row>
    <row r="371" spans="8:8" ht="15.75" customHeight="1">
      <c r="H371" s="137"/>
    </row>
    <row r="372" spans="8:8" ht="15.75" customHeight="1">
      <c r="H372" s="137"/>
    </row>
    <row r="373" spans="8:8" ht="15.75" customHeight="1">
      <c r="H373" s="137"/>
    </row>
    <row r="374" spans="8:8" ht="15.75" customHeight="1">
      <c r="H374" s="137"/>
    </row>
    <row r="375" spans="8:8" ht="15.75" customHeight="1">
      <c r="H375" s="137"/>
    </row>
    <row r="376" spans="8:8" ht="15.75" customHeight="1">
      <c r="H376" s="137"/>
    </row>
    <row r="377" spans="8:8" ht="15.75" customHeight="1">
      <c r="H377" s="137"/>
    </row>
    <row r="378" spans="8:8" ht="15.75" customHeight="1">
      <c r="H378" s="137"/>
    </row>
    <row r="379" spans="8:8" ht="15.75" customHeight="1">
      <c r="H379" s="137"/>
    </row>
    <row r="380" spans="8:8" ht="15.75" customHeight="1">
      <c r="H380" s="137"/>
    </row>
    <row r="381" spans="8:8" ht="15.75" customHeight="1">
      <c r="H381" s="137"/>
    </row>
    <row r="382" spans="8:8" ht="15.75" customHeight="1">
      <c r="H382" s="137"/>
    </row>
    <row r="383" spans="8:8" ht="15.75" customHeight="1">
      <c r="H383" s="137"/>
    </row>
    <row r="384" spans="8:8" ht="15.75" customHeight="1">
      <c r="H384" s="137"/>
    </row>
    <row r="385" spans="8:8" ht="15.75" customHeight="1">
      <c r="H385" s="137"/>
    </row>
    <row r="386" spans="8:8" ht="15.75" customHeight="1">
      <c r="H386" s="137"/>
    </row>
    <row r="387" spans="8:8" ht="15.75" customHeight="1">
      <c r="H387" s="137"/>
    </row>
    <row r="388" spans="8:8" ht="15.75" customHeight="1">
      <c r="H388" s="137"/>
    </row>
    <row r="389" spans="8:8" ht="15.75" customHeight="1">
      <c r="H389" s="137"/>
    </row>
    <row r="390" spans="8:8" ht="15.75" customHeight="1">
      <c r="H390" s="137"/>
    </row>
    <row r="391" spans="8:8" ht="15.75" customHeight="1">
      <c r="H391" s="137"/>
    </row>
    <row r="392" spans="8:8" ht="15.75" customHeight="1">
      <c r="H392" s="137"/>
    </row>
    <row r="393" spans="8:8" ht="15.75" customHeight="1">
      <c r="H393" s="137"/>
    </row>
    <row r="394" spans="8:8" ht="15.75" customHeight="1">
      <c r="H394" s="137"/>
    </row>
    <row r="395" spans="8:8" ht="15.75" customHeight="1">
      <c r="H395" s="137"/>
    </row>
    <row r="396" spans="8:8" ht="15.75" customHeight="1">
      <c r="H396" s="137"/>
    </row>
    <row r="397" spans="8:8" ht="15.75" customHeight="1">
      <c r="H397" s="137"/>
    </row>
    <row r="398" spans="8:8" ht="15.75" customHeight="1">
      <c r="H398" s="137"/>
    </row>
    <row r="399" spans="8:8" ht="15.75" customHeight="1">
      <c r="H399" s="137"/>
    </row>
    <row r="400" spans="8:8" ht="15.75" customHeight="1">
      <c r="H400" s="137"/>
    </row>
    <row r="401" spans="8:8" ht="15.75" customHeight="1">
      <c r="H401" s="137"/>
    </row>
    <row r="402" spans="8:8" ht="15.75" customHeight="1">
      <c r="H402" s="137"/>
    </row>
    <row r="403" spans="8:8" ht="15.75" customHeight="1">
      <c r="H403" s="137"/>
    </row>
    <row r="404" spans="8:8" ht="15.75" customHeight="1">
      <c r="H404" s="137"/>
    </row>
    <row r="405" spans="8:8" ht="15.75" customHeight="1">
      <c r="H405" s="137"/>
    </row>
    <row r="406" spans="8:8" ht="15.75" customHeight="1">
      <c r="H406" s="137"/>
    </row>
    <row r="407" spans="8:8" ht="15.75" customHeight="1">
      <c r="H407" s="137"/>
    </row>
    <row r="408" spans="8:8" ht="15.75" customHeight="1">
      <c r="H408" s="137"/>
    </row>
    <row r="409" spans="8:8" ht="15.75" customHeight="1">
      <c r="H409" s="137"/>
    </row>
    <row r="410" spans="8:8" ht="15.75" customHeight="1">
      <c r="H410" s="137"/>
    </row>
    <row r="411" spans="8:8" ht="15.75" customHeight="1">
      <c r="H411" s="137"/>
    </row>
    <row r="412" spans="8:8" ht="15.75" customHeight="1">
      <c r="H412" s="137"/>
    </row>
    <row r="413" spans="8:8" ht="15.75" customHeight="1">
      <c r="H413" s="137"/>
    </row>
    <row r="414" spans="8:8" ht="15.75" customHeight="1">
      <c r="H414" s="137"/>
    </row>
    <row r="415" spans="8:8" ht="15.75" customHeight="1">
      <c r="H415" s="137"/>
    </row>
    <row r="416" spans="8:8" ht="15.75" customHeight="1">
      <c r="H416" s="137"/>
    </row>
    <row r="417" spans="8:8" ht="15.75" customHeight="1">
      <c r="H417" s="137"/>
    </row>
    <row r="418" spans="8:8" ht="15.75" customHeight="1">
      <c r="H418" s="137"/>
    </row>
    <row r="419" spans="8:8" ht="15.75" customHeight="1">
      <c r="H419" s="137"/>
    </row>
    <row r="420" spans="8:8" ht="15.75" customHeight="1">
      <c r="H420" s="137"/>
    </row>
    <row r="421" spans="8:8" ht="15.75" customHeight="1">
      <c r="H421" s="137"/>
    </row>
    <row r="422" spans="8:8" ht="15.75" customHeight="1">
      <c r="H422" s="137"/>
    </row>
    <row r="423" spans="8:8" ht="15.75" customHeight="1">
      <c r="H423" s="137"/>
    </row>
    <row r="424" spans="8:8" ht="15.75" customHeight="1">
      <c r="H424" s="137"/>
    </row>
    <row r="425" spans="8:8" ht="15.75" customHeight="1">
      <c r="H425" s="137"/>
    </row>
    <row r="426" spans="8:8" ht="15.75" customHeight="1">
      <c r="H426" s="137"/>
    </row>
    <row r="427" spans="8:8" ht="15.75" customHeight="1">
      <c r="H427" s="137"/>
    </row>
    <row r="428" spans="8:8" ht="15.75" customHeight="1">
      <c r="H428" s="137"/>
    </row>
    <row r="429" spans="8:8" ht="15.75" customHeight="1">
      <c r="H429" s="137"/>
    </row>
    <row r="430" spans="8:8" ht="15.75" customHeight="1">
      <c r="H430" s="137"/>
    </row>
    <row r="431" spans="8:8" ht="15.75" customHeight="1">
      <c r="H431" s="137"/>
    </row>
    <row r="432" spans="8:8" ht="15.75" customHeight="1">
      <c r="H432" s="137"/>
    </row>
    <row r="433" spans="8:8" ht="15.75" customHeight="1">
      <c r="H433" s="137"/>
    </row>
    <row r="434" spans="8:8" ht="15.75" customHeight="1">
      <c r="H434" s="137"/>
    </row>
    <row r="435" spans="8:8" ht="15.75" customHeight="1">
      <c r="H435" s="137"/>
    </row>
    <row r="436" spans="8:8" ht="15.75" customHeight="1">
      <c r="H436" s="137"/>
    </row>
    <row r="437" spans="8:8" ht="15.75" customHeight="1">
      <c r="H437" s="137"/>
    </row>
    <row r="438" spans="8:8" ht="15.75" customHeight="1">
      <c r="H438" s="137"/>
    </row>
    <row r="439" spans="8:8" ht="15.75" customHeight="1">
      <c r="H439" s="137"/>
    </row>
    <row r="440" spans="8:8" ht="15.75" customHeight="1">
      <c r="H440" s="137"/>
    </row>
    <row r="441" spans="8:8" ht="15.75" customHeight="1">
      <c r="H441" s="137"/>
    </row>
    <row r="442" spans="8:8" ht="15.75" customHeight="1">
      <c r="H442" s="137"/>
    </row>
    <row r="443" spans="8:8" ht="15.75" customHeight="1">
      <c r="H443" s="137"/>
    </row>
    <row r="444" spans="8:8" ht="15.75" customHeight="1">
      <c r="H444" s="137"/>
    </row>
    <row r="445" spans="8:8" ht="15.75" customHeight="1">
      <c r="H445" s="137"/>
    </row>
    <row r="446" spans="8:8" ht="15.75" customHeight="1">
      <c r="H446" s="137"/>
    </row>
    <row r="447" spans="8:8" ht="15.75" customHeight="1">
      <c r="H447" s="137"/>
    </row>
    <row r="448" spans="8:8" ht="15.75" customHeight="1">
      <c r="H448" s="137"/>
    </row>
    <row r="449" spans="8:8" ht="15.75" customHeight="1">
      <c r="H449" s="137"/>
    </row>
    <row r="450" spans="8:8" ht="15.75" customHeight="1">
      <c r="H450" s="137"/>
    </row>
    <row r="451" spans="8:8" ht="15.75" customHeight="1">
      <c r="H451" s="137"/>
    </row>
    <row r="452" spans="8:8" ht="15.75" customHeight="1">
      <c r="H452" s="137"/>
    </row>
    <row r="453" spans="8:8" ht="15.75" customHeight="1">
      <c r="H453" s="137"/>
    </row>
    <row r="454" spans="8:8" ht="15.75" customHeight="1">
      <c r="H454" s="137"/>
    </row>
    <row r="455" spans="8:8" ht="15.75" customHeight="1">
      <c r="H455" s="137"/>
    </row>
    <row r="456" spans="8:8" ht="15.75" customHeight="1">
      <c r="H456" s="137"/>
    </row>
    <row r="457" spans="8:8" ht="15.75" customHeight="1">
      <c r="H457" s="137"/>
    </row>
    <row r="458" spans="8:8" ht="15.75" customHeight="1">
      <c r="H458" s="137"/>
    </row>
    <row r="459" spans="8:8" ht="15.75" customHeight="1">
      <c r="H459" s="137"/>
    </row>
    <row r="460" spans="8:8" ht="15.75" customHeight="1">
      <c r="H460" s="137"/>
    </row>
    <row r="461" spans="8:8" ht="15.75" customHeight="1">
      <c r="H461" s="137"/>
    </row>
    <row r="462" spans="8:8" ht="15.75" customHeight="1">
      <c r="H462" s="137"/>
    </row>
    <row r="463" spans="8:8" ht="15.75" customHeight="1">
      <c r="H463" s="137"/>
    </row>
    <row r="464" spans="8:8" ht="15.75" customHeight="1">
      <c r="H464" s="137"/>
    </row>
    <row r="465" spans="8:8" ht="15.75" customHeight="1">
      <c r="H465" s="137"/>
    </row>
    <row r="466" spans="8:8" ht="15.75" customHeight="1">
      <c r="H466" s="137"/>
    </row>
    <row r="467" spans="8:8" ht="15.75" customHeight="1">
      <c r="H467" s="137"/>
    </row>
    <row r="468" spans="8:8" ht="15.75" customHeight="1">
      <c r="H468" s="137"/>
    </row>
    <row r="469" spans="8:8" ht="15.75" customHeight="1">
      <c r="H469" s="137"/>
    </row>
    <row r="470" spans="8:8" ht="15.75" customHeight="1">
      <c r="H470" s="137"/>
    </row>
    <row r="471" spans="8:8" ht="15.75" customHeight="1">
      <c r="H471" s="137"/>
    </row>
    <row r="472" spans="8:8" ht="15.75" customHeight="1">
      <c r="H472" s="137"/>
    </row>
    <row r="473" spans="8:8" ht="15.75" customHeight="1">
      <c r="H473" s="137"/>
    </row>
    <row r="474" spans="8:8" ht="15.75" customHeight="1">
      <c r="H474" s="137"/>
    </row>
    <row r="475" spans="8:8" ht="15.75" customHeight="1">
      <c r="H475" s="137"/>
    </row>
    <row r="476" spans="8:8" ht="15.75" customHeight="1">
      <c r="H476" s="137"/>
    </row>
    <row r="477" spans="8:8" ht="15.75" customHeight="1">
      <c r="H477" s="137"/>
    </row>
    <row r="478" spans="8:8" ht="15.75" customHeight="1">
      <c r="H478" s="137"/>
    </row>
    <row r="479" spans="8:8" ht="15.75" customHeight="1">
      <c r="H479" s="137"/>
    </row>
    <row r="480" spans="8:8" ht="15.75" customHeight="1">
      <c r="H480" s="137"/>
    </row>
    <row r="481" spans="8:8" ht="15.75" customHeight="1">
      <c r="H481" s="137"/>
    </row>
    <row r="482" spans="8:8" ht="15.75" customHeight="1">
      <c r="H482" s="137"/>
    </row>
    <row r="483" spans="8:8" ht="15.75" customHeight="1">
      <c r="H483" s="137"/>
    </row>
    <row r="484" spans="8:8" ht="15.75" customHeight="1">
      <c r="H484" s="137"/>
    </row>
    <row r="485" spans="8:8" ht="15.75" customHeight="1">
      <c r="H485" s="137"/>
    </row>
    <row r="486" spans="8:8" ht="15.75" customHeight="1">
      <c r="H486" s="137"/>
    </row>
    <row r="487" spans="8:8" ht="15.75" customHeight="1">
      <c r="H487" s="137"/>
    </row>
    <row r="488" spans="8:8" ht="15.75" customHeight="1">
      <c r="H488" s="137"/>
    </row>
    <row r="489" spans="8:8" ht="15.75" customHeight="1">
      <c r="H489" s="137"/>
    </row>
    <row r="490" spans="8:8" ht="15.75" customHeight="1">
      <c r="H490" s="137"/>
    </row>
    <row r="491" spans="8:8" ht="15.75" customHeight="1">
      <c r="H491" s="137"/>
    </row>
    <row r="492" spans="8:8" ht="15.75" customHeight="1">
      <c r="H492" s="137"/>
    </row>
    <row r="493" spans="8:8" ht="15.75" customHeight="1">
      <c r="H493" s="137"/>
    </row>
    <row r="494" spans="8:8" ht="15.75" customHeight="1">
      <c r="H494" s="137"/>
    </row>
    <row r="495" spans="8:8" ht="15.75" customHeight="1">
      <c r="H495" s="137"/>
    </row>
    <row r="496" spans="8:8" ht="15.75" customHeight="1">
      <c r="H496" s="137"/>
    </row>
    <row r="497" spans="8:8" ht="15.75" customHeight="1">
      <c r="H497" s="137"/>
    </row>
    <row r="498" spans="8:8" ht="15.75" customHeight="1">
      <c r="H498" s="137"/>
    </row>
    <row r="499" spans="8:8" ht="15.75" customHeight="1">
      <c r="H499" s="137"/>
    </row>
    <row r="500" spans="8:8" ht="15.75" customHeight="1">
      <c r="H500" s="137"/>
    </row>
    <row r="501" spans="8:8" ht="15.75" customHeight="1">
      <c r="H501" s="137"/>
    </row>
    <row r="502" spans="8:8" ht="15.75" customHeight="1">
      <c r="H502" s="137"/>
    </row>
    <row r="503" spans="8:8" ht="15.75" customHeight="1">
      <c r="H503" s="137"/>
    </row>
    <row r="504" spans="8:8" ht="15.75" customHeight="1">
      <c r="H504" s="137"/>
    </row>
    <row r="505" spans="8:8" ht="15.75" customHeight="1">
      <c r="H505" s="137"/>
    </row>
    <row r="506" spans="8:8" ht="15.75" customHeight="1">
      <c r="H506" s="137"/>
    </row>
    <row r="507" spans="8:8" ht="15.75" customHeight="1">
      <c r="H507" s="137"/>
    </row>
    <row r="508" spans="8:8" ht="15.75" customHeight="1">
      <c r="H508" s="137"/>
    </row>
    <row r="509" spans="8:8" ht="15.75" customHeight="1">
      <c r="H509" s="137"/>
    </row>
    <row r="510" spans="8:8" ht="15.75" customHeight="1">
      <c r="H510" s="137"/>
    </row>
    <row r="511" spans="8:8" ht="15.75" customHeight="1">
      <c r="H511" s="137"/>
    </row>
    <row r="512" spans="8:8" ht="15.75" customHeight="1">
      <c r="H512" s="137"/>
    </row>
    <row r="513" spans="8:8" ht="15.75" customHeight="1">
      <c r="H513" s="137"/>
    </row>
    <row r="514" spans="8:8" ht="15.75" customHeight="1">
      <c r="H514" s="137"/>
    </row>
    <row r="515" spans="8:8" ht="15.75" customHeight="1">
      <c r="H515" s="137"/>
    </row>
    <row r="516" spans="8:8" ht="15.75" customHeight="1">
      <c r="H516" s="137"/>
    </row>
    <row r="517" spans="8:8" ht="15.75" customHeight="1">
      <c r="H517" s="137"/>
    </row>
    <row r="518" spans="8:8" ht="15.75" customHeight="1">
      <c r="H518" s="137"/>
    </row>
    <row r="519" spans="8:8" ht="15.75" customHeight="1">
      <c r="H519" s="137"/>
    </row>
    <row r="520" spans="8:8" ht="15.75" customHeight="1">
      <c r="H520" s="137"/>
    </row>
    <row r="521" spans="8:8" ht="15.75" customHeight="1">
      <c r="H521" s="137"/>
    </row>
    <row r="522" spans="8:8" ht="15.75" customHeight="1">
      <c r="H522" s="137"/>
    </row>
    <row r="523" spans="8:8" ht="15.75" customHeight="1">
      <c r="H523" s="137"/>
    </row>
    <row r="524" spans="8:8" ht="15.75" customHeight="1">
      <c r="H524" s="137"/>
    </row>
    <row r="525" spans="8:8" ht="15.75" customHeight="1">
      <c r="H525" s="137"/>
    </row>
    <row r="526" spans="8:8" ht="15.75" customHeight="1">
      <c r="H526" s="137"/>
    </row>
    <row r="527" spans="8:8" ht="15.75" customHeight="1">
      <c r="H527" s="137"/>
    </row>
    <row r="528" spans="8:8" ht="15.75" customHeight="1">
      <c r="H528" s="137"/>
    </row>
    <row r="529" spans="8:8" ht="15.75" customHeight="1">
      <c r="H529" s="137"/>
    </row>
    <row r="530" spans="8:8" ht="15.75" customHeight="1">
      <c r="H530" s="137"/>
    </row>
    <row r="531" spans="8:8" ht="15.75" customHeight="1">
      <c r="H531" s="137"/>
    </row>
    <row r="532" spans="8:8" ht="15.75" customHeight="1">
      <c r="H532" s="137"/>
    </row>
    <row r="533" spans="8:8" ht="15.75" customHeight="1">
      <c r="H533" s="137"/>
    </row>
    <row r="534" spans="8:8" ht="15.75" customHeight="1">
      <c r="H534" s="137"/>
    </row>
    <row r="535" spans="8:8" ht="15.75" customHeight="1">
      <c r="H535" s="137"/>
    </row>
    <row r="536" spans="8:8" ht="15.75" customHeight="1">
      <c r="H536" s="137"/>
    </row>
    <row r="537" spans="8:8" ht="15.75" customHeight="1">
      <c r="H537" s="137"/>
    </row>
    <row r="538" spans="8:8" ht="15.75" customHeight="1">
      <c r="H538" s="137"/>
    </row>
    <row r="539" spans="8:8" ht="15.75" customHeight="1">
      <c r="H539" s="137"/>
    </row>
    <row r="540" spans="8:8" ht="15.75" customHeight="1">
      <c r="H540" s="137"/>
    </row>
    <row r="541" spans="8:8" ht="15.75" customHeight="1">
      <c r="H541" s="137"/>
    </row>
    <row r="542" spans="8:8" ht="15.75" customHeight="1">
      <c r="H542" s="137"/>
    </row>
    <row r="543" spans="8:8" ht="15.75" customHeight="1">
      <c r="H543" s="137"/>
    </row>
    <row r="544" spans="8:8" ht="15.75" customHeight="1">
      <c r="H544" s="137"/>
    </row>
    <row r="545" spans="8:8" ht="15.75" customHeight="1">
      <c r="H545" s="137"/>
    </row>
    <row r="546" spans="8:8" ht="15.75" customHeight="1">
      <c r="H546" s="137"/>
    </row>
    <row r="547" spans="8:8" ht="15.75" customHeight="1">
      <c r="H547" s="137"/>
    </row>
    <row r="548" spans="8:8" ht="15.75" customHeight="1">
      <c r="H548" s="137"/>
    </row>
    <row r="549" spans="8:8" ht="15.75" customHeight="1">
      <c r="H549" s="137"/>
    </row>
    <row r="550" spans="8:8" ht="15.75" customHeight="1">
      <c r="H550" s="137"/>
    </row>
    <row r="551" spans="8:8" ht="15.75" customHeight="1">
      <c r="H551" s="137"/>
    </row>
    <row r="552" spans="8:8" ht="15.75" customHeight="1">
      <c r="H552" s="137"/>
    </row>
    <row r="553" spans="8:8" ht="15.75" customHeight="1">
      <c r="H553" s="137"/>
    </row>
    <row r="554" spans="8:8" ht="15.75" customHeight="1">
      <c r="H554" s="137"/>
    </row>
    <row r="555" spans="8:8" ht="15.75" customHeight="1">
      <c r="H555" s="137"/>
    </row>
    <row r="556" spans="8:8" ht="15.75" customHeight="1">
      <c r="H556" s="137"/>
    </row>
    <row r="557" spans="8:8" ht="15.75" customHeight="1">
      <c r="H557" s="137"/>
    </row>
    <row r="558" spans="8:8" ht="15.75" customHeight="1">
      <c r="H558" s="137"/>
    </row>
    <row r="559" spans="8:8" ht="15.75" customHeight="1">
      <c r="H559" s="137"/>
    </row>
    <row r="560" spans="8:8" ht="15.75" customHeight="1">
      <c r="H560" s="137"/>
    </row>
    <row r="561" spans="8:8" ht="15.75" customHeight="1">
      <c r="H561" s="137"/>
    </row>
    <row r="562" spans="8:8" ht="15.75" customHeight="1">
      <c r="H562" s="137"/>
    </row>
    <row r="563" spans="8:8" ht="15.75" customHeight="1">
      <c r="H563" s="137"/>
    </row>
    <row r="564" spans="8:8" ht="15.75" customHeight="1">
      <c r="H564" s="137"/>
    </row>
    <row r="565" spans="8:8" ht="15.75" customHeight="1">
      <c r="H565" s="137"/>
    </row>
    <row r="566" spans="8:8" ht="15.75" customHeight="1">
      <c r="H566" s="137"/>
    </row>
    <row r="567" spans="8:8" ht="15.75" customHeight="1">
      <c r="H567" s="137"/>
    </row>
    <row r="568" spans="8:8" ht="15.75" customHeight="1">
      <c r="H568" s="137"/>
    </row>
    <row r="569" spans="8:8" ht="15.75" customHeight="1">
      <c r="H569" s="137"/>
    </row>
    <row r="570" spans="8:8" ht="15.75" customHeight="1">
      <c r="H570" s="137"/>
    </row>
    <row r="571" spans="8:8" ht="15.75" customHeight="1">
      <c r="H571" s="137"/>
    </row>
    <row r="572" spans="8:8" ht="15.75" customHeight="1">
      <c r="H572" s="137"/>
    </row>
    <row r="573" spans="8:8" ht="15.75" customHeight="1">
      <c r="H573" s="137"/>
    </row>
    <row r="574" spans="8:8" ht="15.75" customHeight="1">
      <c r="H574" s="137"/>
    </row>
    <row r="575" spans="8:8" ht="15.75" customHeight="1">
      <c r="H575" s="137"/>
    </row>
    <row r="576" spans="8:8" ht="15.75" customHeight="1">
      <c r="H576" s="137"/>
    </row>
    <row r="577" spans="8:8" ht="15.75" customHeight="1">
      <c r="H577" s="137"/>
    </row>
    <row r="578" spans="8:8" ht="15.75" customHeight="1">
      <c r="H578" s="137"/>
    </row>
    <row r="579" spans="8:8" ht="15.75" customHeight="1">
      <c r="H579" s="137"/>
    </row>
    <row r="580" spans="8:8" ht="15.75" customHeight="1">
      <c r="H580" s="137"/>
    </row>
    <row r="581" spans="8:8" ht="15.75" customHeight="1">
      <c r="H581" s="137"/>
    </row>
    <row r="582" spans="8:8" ht="15.75" customHeight="1">
      <c r="H582" s="137"/>
    </row>
    <row r="583" spans="8:8" ht="15.75" customHeight="1">
      <c r="H583" s="137"/>
    </row>
    <row r="584" spans="8:8" ht="15.75" customHeight="1">
      <c r="H584" s="137"/>
    </row>
    <row r="585" spans="8:8" ht="15.75" customHeight="1">
      <c r="H585" s="137"/>
    </row>
    <row r="586" spans="8:8" ht="15.75" customHeight="1">
      <c r="H586" s="137"/>
    </row>
    <row r="587" spans="8:8" ht="15.75" customHeight="1">
      <c r="H587" s="137"/>
    </row>
    <row r="588" spans="8:8" ht="15.75" customHeight="1">
      <c r="H588" s="137"/>
    </row>
    <row r="589" spans="8:8" ht="15.75" customHeight="1">
      <c r="H589" s="137"/>
    </row>
    <row r="590" spans="8:8" ht="15.75" customHeight="1">
      <c r="H590" s="137"/>
    </row>
    <row r="591" spans="8:8" ht="15.75" customHeight="1">
      <c r="H591" s="137"/>
    </row>
    <row r="592" spans="8:8" ht="15.75" customHeight="1">
      <c r="H592" s="137"/>
    </row>
    <row r="593" spans="8:8" ht="15.75" customHeight="1">
      <c r="H593" s="137"/>
    </row>
    <row r="594" spans="8:8" ht="15.75" customHeight="1">
      <c r="H594" s="137"/>
    </row>
    <row r="595" spans="8:8" ht="15.75" customHeight="1">
      <c r="H595" s="137"/>
    </row>
    <row r="596" spans="8:8" ht="15.75" customHeight="1">
      <c r="H596" s="137"/>
    </row>
    <row r="597" spans="8:8" ht="15.75" customHeight="1">
      <c r="H597" s="137"/>
    </row>
    <row r="598" spans="8:8" ht="15.75" customHeight="1">
      <c r="H598" s="137"/>
    </row>
    <row r="599" spans="8:8" ht="15.75" customHeight="1">
      <c r="H599" s="137"/>
    </row>
    <row r="600" spans="8:8" ht="15.75" customHeight="1">
      <c r="H600" s="137"/>
    </row>
    <row r="601" spans="8:8" ht="15.75" customHeight="1">
      <c r="H601" s="137"/>
    </row>
    <row r="602" spans="8:8" ht="15.75" customHeight="1">
      <c r="H602" s="137"/>
    </row>
    <row r="603" spans="8:8" ht="15.75" customHeight="1">
      <c r="H603" s="137"/>
    </row>
    <row r="604" spans="8:8" ht="15.75" customHeight="1">
      <c r="H604" s="137"/>
    </row>
    <row r="605" spans="8:8" ht="15.75" customHeight="1">
      <c r="H605" s="137"/>
    </row>
    <row r="606" spans="8:8" ht="15.75" customHeight="1">
      <c r="H606" s="137"/>
    </row>
    <row r="607" spans="8:8" ht="15.75" customHeight="1">
      <c r="H607" s="137"/>
    </row>
    <row r="608" spans="8:8" ht="15.75" customHeight="1">
      <c r="H608" s="137"/>
    </row>
    <row r="609" spans="8:8" ht="15.75" customHeight="1">
      <c r="H609" s="137"/>
    </row>
    <row r="610" spans="8:8" ht="15.75" customHeight="1">
      <c r="H610" s="137"/>
    </row>
    <row r="611" spans="8:8" ht="15.75" customHeight="1">
      <c r="H611" s="137"/>
    </row>
    <row r="612" spans="8:8" ht="15.75" customHeight="1">
      <c r="H612" s="137"/>
    </row>
    <row r="613" spans="8:8" ht="15.75" customHeight="1">
      <c r="H613" s="137"/>
    </row>
    <row r="614" spans="8:8" ht="15.75" customHeight="1">
      <c r="H614" s="137"/>
    </row>
    <row r="615" spans="8:8" ht="15.75" customHeight="1">
      <c r="H615" s="137"/>
    </row>
    <row r="616" spans="8:8" ht="15.75" customHeight="1">
      <c r="H616" s="137"/>
    </row>
    <row r="617" spans="8:8" ht="15.75" customHeight="1">
      <c r="H617" s="137"/>
    </row>
    <row r="618" spans="8:8" ht="15.75" customHeight="1">
      <c r="H618" s="137"/>
    </row>
    <row r="619" spans="8:8" ht="15.75" customHeight="1">
      <c r="H619" s="137"/>
    </row>
    <row r="620" spans="8:8" ht="15.75" customHeight="1">
      <c r="H620" s="137"/>
    </row>
    <row r="621" spans="8:8" ht="15.75" customHeight="1">
      <c r="H621" s="137"/>
    </row>
    <row r="622" spans="8:8" ht="15.75" customHeight="1">
      <c r="H622" s="137"/>
    </row>
    <row r="623" spans="8:8" ht="15.75" customHeight="1">
      <c r="H623" s="137"/>
    </row>
    <row r="624" spans="8:8" ht="15.75" customHeight="1">
      <c r="H624" s="137"/>
    </row>
    <row r="625" spans="8:8" ht="15.75" customHeight="1">
      <c r="H625" s="137"/>
    </row>
    <row r="626" spans="8:8" ht="15.75" customHeight="1">
      <c r="H626" s="137"/>
    </row>
    <row r="627" spans="8:8" ht="15.75" customHeight="1">
      <c r="H627" s="137"/>
    </row>
    <row r="628" spans="8:8" ht="15.75" customHeight="1">
      <c r="H628" s="137"/>
    </row>
    <row r="629" spans="8:8" ht="15.75" customHeight="1">
      <c r="H629" s="137"/>
    </row>
    <row r="630" spans="8:8" ht="15.75" customHeight="1">
      <c r="H630" s="137"/>
    </row>
    <row r="631" spans="8:8" ht="15.75" customHeight="1">
      <c r="H631" s="137"/>
    </row>
    <row r="632" spans="8:8" ht="15.75" customHeight="1">
      <c r="H632" s="137"/>
    </row>
    <row r="633" spans="8:8" ht="15.75" customHeight="1">
      <c r="H633" s="137"/>
    </row>
    <row r="634" spans="8:8" ht="15.75" customHeight="1">
      <c r="H634" s="137"/>
    </row>
    <row r="635" spans="8:8" ht="15.75" customHeight="1">
      <c r="H635" s="137"/>
    </row>
    <row r="636" spans="8:8" ht="15.75" customHeight="1">
      <c r="H636" s="137"/>
    </row>
    <row r="637" spans="8:8" ht="15.75" customHeight="1">
      <c r="H637" s="137"/>
    </row>
    <row r="638" spans="8:8" ht="15.75" customHeight="1">
      <c r="H638" s="137"/>
    </row>
    <row r="639" spans="8:8" ht="15.75" customHeight="1">
      <c r="H639" s="137"/>
    </row>
    <row r="640" spans="8:8" ht="15.75" customHeight="1">
      <c r="H640" s="137"/>
    </row>
    <row r="641" spans="8:8" ht="15.75" customHeight="1">
      <c r="H641" s="137"/>
    </row>
    <row r="642" spans="8:8" ht="15.75" customHeight="1">
      <c r="H642" s="137"/>
    </row>
    <row r="643" spans="8:8" ht="15.75" customHeight="1">
      <c r="H643" s="137"/>
    </row>
    <row r="644" spans="8:8" ht="15.75" customHeight="1">
      <c r="H644" s="137"/>
    </row>
    <row r="645" spans="8:8" ht="15.75" customHeight="1">
      <c r="H645" s="137"/>
    </row>
    <row r="646" spans="8:8" ht="15.75" customHeight="1">
      <c r="H646" s="137"/>
    </row>
    <row r="647" spans="8:8" ht="15.75" customHeight="1">
      <c r="H647" s="137"/>
    </row>
    <row r="648" spans="8:8" ht="15.75" customHeight="1">
      <c r="H648" s="137"/>
    </row>
    <row r="649" spans="8:8" ht="15.75" customHeight="1">
      <c r="H649" s="137"/>
    </row>
    <row r="650" spans="8:8" ht="15.75" customHeight="1">
      <c r="H650" s="137"/>
    </row>
    <row r="651" spans="8:8" ht="15.75" customHeight="1">
      <c r="H651" s="137"/>
    </row>
    <row r="652" spans="8:8" ht="15.75" customHeight="1">
      <c r="H652" s="137"/>
    </row>
    <row r="653" spans="8:8" ht="15.75" customHeight="1">
      <c r="H653" s="137"/>
    </row>
    <row r="654" spans="8:8" ht="15.75" customHeight="1">
      <c r="H654" s="137"/>
    </row>
    <row r="655" spans="8:8" ht="15.75" customHeight="1">
      <c r="H655" s="137"/>
    </row>
    <row r="656" spans="8:8" ht="15.75" customHeight="1">
      <c r="H656" s="137"/>
    </row>
    <row r="657" spans="8:8" ht="15.75" customHeight="1">
      <c r="H657" s="137"/>
    </row>
    <row r="658" spans="8:8" ht="15.75" customHeight="1">
      <c r="H658" s="137"/>
    </row>
    <row r="659" spans="8:8" ht="15.75" customHeight="1">
      <c r="H659" s="137"/>
    </row>
    <row r="660" spans="8:8" ht="15.75" customHeight="1">
      <c r="H660" s="137"/>
    </row>
    <row r="661" spans="8:8" ht="15.75" customHeight="1">
      <c r="H661" s="137"/>
    </row>
    <row r="662" spans="8:8" ht="15.75" customHeight="1">
      <c r="H662" s="137"/>
    </row>
    <row r="663" spans="8:8" ht="15.75" customHeight="1">
      <c r="H663" s="137"/>
    </row>
    <row r="664" spans="8:8" ht="15.75" customHeight="1">
      <c r="H664" s="137"/>
    </row>
    <row r="665" spans="8:8" ht="15.75" customHeight="1">
      <c r="H665" s="137"/>
    </row>
    <row r="666" spans="8:8" ht="15.75" customHeight="1">
      <c r="H666" s="137"/>
    </row>
    <row r="667" spans="8:8" ht="15.75" customHeight="1">
      <c r="H667" s="137"/>
    </row>
    <row r="668" spans="8:8" ht="15.75" customHeight="1">
      <c r="H668" s="137"/>
    </row>
    <row r="669" spans="8:8" ht="15.75" customHeight="1">
      <c r="H669" s="137"/>
    </row>
    <row r="670" spans="8:8" ht="15.75" customHeight="1">
      <c r="H670" s="137"/>
    </row>
    <row r="671" spans="8:8" ht="15.75" customHeight="1">
      <c r="H671" s="137"/>
    </row>
    <row r="672" spans="8:8" ht="15.75" customHeight="1">
      <c r="H672" s="137"/>
    </row>
    <row r="673" spans="8:8" ht="15.75" customHeight="1">
      <c r="H673" s="137"/>
    </row>
    <row r="674" spans="8:8" ht="15.75" customHeight="1">
      <c r="H674" s="137"/>
    </row>
    <row r="675" spans="8:8" ht="15.75" customHeight="1">
      <c r="H675" s="137"/>
    </row>
    <row r="676" spans="8:8" ht="15.75" customHeight="1">
      <c r="H676" s="137"/>
    </row>
    <row r="677" spans="8:8" ht="15.75" customHeight="1">
      <c r="H677" s="137"/>
    </row>
    <row r="678" spans="8:8" ht="15.75" customHeight="1">
      <c r="H678" s="137"/>
    </row>
    <row r="679" spans="8:8" ht="15.75" customHeight="1">
      <c r="H679" s="137"/>
    </row>
    <row r="680" spans="8:8" ht="15.75" customHeight="1">
      <c r="H680" s="137"/>
    </row>
    <row r="681" spans="8:8" ht="15.75" customHeight="1">
      <c r="H681" s="137"/>
    </row>
    <row r="682" spans="8:8" ht="15.75" customHeight="1">
      <c r="H682" s="137"/>
    </row>
    <row r="683" spans="8:8" ht="15.75" customHeight="1">
      <c r="H683" s="137"/>
    </row>
    <row r="684" spans="8:8" ht="15.75" customHeight="1">
      <c r="H684" s="137"/>
    </row>
    <row r="685" spans="8:8" ht="15.75" customHeight="1">
      <c r="H685" s="137"/>
    </row>
    <row r="686" spans="8:8" ht="15.75" customHeight="1">
      <c r="H686" s="137"/>
    </row>
    <row r="687" spans="8:8" ht="15.75" customHeight="1">
      <c r="H687" s="137"/>
    </row>
    <row r="688" spans="8:8" ht="15.75" customHeight="1">
      <c r="H688" s="137"/>
    </row>
    <row r="689" spans="8:8" ht="15.75" customHeight="1">
      <c r="H689" s="137"/>
    </row>
    <row r="690" spans="8:8" ht="15.75" customHeight="1">
      <c r="H690" s="137"/>
    </row>
    <row r="691" spans="8:8" ht="15.75" customHeight="1">
      <c r="H691" s="137"/>
    </row>
    <row r="692" spans="8:8" ht="15.75" customHeight="1">
      <c r="H692" s="137"/>
    </row>
    <row r="693" spans="8:8" ht="15.75" customHeight="1">
      <c r="H693" s="137"/>
    </row>
    <row r="694" spans="8:8" ht="15.75" customHeight="1">
      <c r="H694" s="137"/>
    </row>
    <row r="695" spans="8:8" ht="15.75" customHeight="1">
      <c r="H695" s="137"/>
    </row>
    <row r="696" spans="8:8" ht="15.75" customHeight="1">
      <c r="H696" s="137"/>
    </row>
    <row r="697" spans="8:8" ht="15.75" customHeight="1">
      <c r="H697" s="137"/>
    </row>
    <row r="698" spans="8:8" ht="15.75" customHeight="1">
      <c r="H698" s="137"/>
    </row>
    <row r="699" spans="8:8" ht="15.75" customHeight="1">
      <c r="H699" s="137"/>
    </row>
    <row r="700" spans="8:8" ht="15.75" customHeight="1">
      <c r="H700" s="137"/>
    </row>
    <row r="701" spans="8:8" ht="15.75" customHeight="1">
      <c r="H701" s="137"/>
    </row>
    <row r="702" spans="8:8" ht="15.75" customHeight="1">
      <c r="H702" s="137"/>
    </row>
    <row r="703" spans="8:8" ht="15.75" customHeight="1">
      <c r="H703" s="137"/>
    </row>
    <row r="704" spans="8:8" ht="15.75" customHeight="1">
      <c r="H704" s="137"/>
    </row>
    <row r="705" spans="8:8" ht="15.75" customHeight="1">
      <c r="H705" s="137"/>
    </row>
    <row r="706" spans="8:8" ht="15.75" customHeight="1">
      <c r="H706" s="137"/>
    </row>
    <row r="707" spans="8:8" ht="15.75" customHeight="1">
      <c r="H707" s="137"/>
    </row>
    <row r="708" spans="8:8" ht="15.75" customHeight="1">
      <c r="H708" s="137"/>
    </row>
    <row r="709" spans="8:8" ht="15.75" customHeight="1">
      <c r="H709" s="137"/>
    </row>
    <row r="710" spans="8:8" ht="15.75" customHeight="1">
      <c r="H710" s="137"/>
    </row>
    <row r="711" spans="8:8" ht="15.75" customHeight="1">
      <c r="H711" s="137"/>
    </row>
    <row r="712" spans="8:8" ht="15.75" customHeight="1">
      <c r="H712" s="137"/>
    </row>
    <row r="713" spans="8:8" ht="15.75" customHeight="1">
      <c r="H713" s="137"/>
    </row>
    <row r="714" spans="8:8" ht="15.75" customHeight="1">
      <c r="H714" s="137"/>
    </row>
    <row r="715" spans="8:8" ht="15.75" customHeight="1">
      <c r="H715" s="137"/>
    </row>
    <row r="716" spans="8:8" ht="15.75" customHeight="1">
      <c r="H716" s="137"/>
    </row>
    <row r="717" spans="8:8" ht="15.75" customHeight="1">
      <c r="H717" s="137"/>
    </row>
    <row r="718" spans="8:8" ht="15.75" customHeight="1">
      <c r="H718" s="137"/>
    </row>
    <row r="719" spans="8:8" ht="15.75" customHeight="1">
      <c r="H719" s="137"/>
    </row>
    <row r="720" spans="8:8" ht="15.75" customHeight="1">
      <c r="H720" s="137"/>
    </row>
    <row r="721" spans="8:8" ht="15.75" customHeight="1">
      <c r="H721" s="137"/>
    </row>
    <row r="722" spans="8:8" ht="15.75" customHeight="1">
      <c r="H722" s="137"/>
    </row>
    <row r="723" spans="8:8" ht="15.75" customHeight="1">
      <c r="H723" s="137"/>
    </row>
    <row r="724" spans="8:8" ht="15.75" customHeight="1">
      <c r="H724" s="137"/>
    </row>
    <row r="725" spans="8:8" ht="15.75" customHeight="1">
      <c r="H725" s="137"/>
    </row>
    <row r="726" spans="8:8" ht="15.75" customHeight="1">
      <c r="H726" s="137"/>
    </row>
    <row r="727" spans="8:8" ht="15.75" customHeight="1">
      <c r="H727" s="137"/>
    </row>
    <row r="728" spans="8:8" ht="15.75" customHeight="1">
      <c r="H728" s="137"/>
    </row>
    <row r="729" spans="8:8" ht="15.75" customHeight="1">
      <c r="H729" s="137"/>
    </row>
    <row r="730" spans="8:8" ht="15.75" customHeight="1">
      <c r="H730" s="137"/>
    </row>
    <row r="731" spans="8:8" ht="15.75" customHeight="1">
      <c r="H731" s="137"/>
    </row>
    <row r="732" spans="8:8" ht="15.75" customHeight="1">
      <c r="H732" s="137"/>
    </row>
    <row r="733" spans="8:8" ht="15.75" customHeight="1">
      <c r="H733" s="137"/>
    </row>
    <row r="734" spans="8:8" ht="15.75" customHeight="1">
      <c r="H734" s="137"/>
    </row>
    <row r="735" spans="8:8" ht="15.75" customHeight="1">
      <c r="H735" s="137"/>
    </row>
    <row r="736" spans="8:8" ht="15.75" customHeight="1">
      <c r="H736" s="137"/>
    </row>
    <row r="737" spans="8:8" ht="15.75" customHeight="1">
      <c r="H737" s="137"/>
    </row>
    <row r="738" spans="8:8" ht="15.75" customHeight="1">
      <c r="H738" s="137"/>
    </row>
    <row r="739" spans="8:8" ht="15.75" customHeight="1">
      <c r="H739" s="137"/>
    </row>
    <row r="740" spans="8:8" ht="15.75" customHeight="1">
      <c r="H740" s="137"/>
    </row>
    <row r="741" spans="8:8" ht="15.75" customHeight="1">
      <c r="H741" s="137"/>
    </row>
    <row r="742" spans="8:8" ht="15.75" customHeight="1">
      <c r="H742" s="137"/>
    </row>
    <row r="743" spans="8:8" ht="15.75" customHeight="1">
      <c r="H743" s="137"/>
    </row>
    <row r="744" spans="8:8" ht="15.75" customHeight="1">
      <c r="H744" s="137"/>
    </row>
    <row r="745" spans="8:8" ht="15.75" customHeight="1">
      <c r="H745" s="137"/>
    </row>
    <row r="746" spans="8:8" ht="15.75" customHeight="1">
      <c r="H746" s="137"/>
    </row>
    <row r="747" spans="8:8" ht="15.75" customHeight="1">
      <c r="H747" s="137"/>
    </row>
    <row r="748" spans="8:8" ht="15.75" customHeight="1">
      <c r="H748" s="137"/>
    </row>
    <row r="749" spans="8:8" ht="15.75" customHeight="1">
      <c r="H749" s="137"/>
    </row>
    <row r="750" spans="8:8" ht="15.75" customHeight="1">
      <c r="H750" s="137"/>
    </row>
    <row r="751" spans="8:8" ht="15.75" customHeight="1">
      <c r="H751" s="137"/>
    </row>
    <row r="752" spans="8:8" ht="15.75" customHeight="1">
      <c r="H752" s="137"/>
    </row>
    <row r="753" spans="8:8" ht="15.75" customHeight="1">
      <c r="H753" s="137"/>
    </row>
    <row r="754" spans="8:8" ht="15.75" customHeight="1">
      <c r="H754" s="137"/>
    </row>
    <row r="755" spans="8:8" ht="15.75" customHeight="1">
      <c r="H755" s="137"/>
    </row>
    <row r="756" spans="8:8" ht="15.75" customHeight="1">
      <c r="H756" s="137"/>
    </row>
    <row r="757" spans="8:8" ht="15.75" customHeight="1">
      <c r="H757" s="137"/>
    </row>
    <row r="758" spans="8:8" ht="15.75" customHeight="1">
      <c r="H758" s="137"/>
    </row>
    <row r="759" spans="8:8" ht="15.75" customHeight="1">
      <c r="H759" s="137"/>
    </row>
    <row r="760" spans="8:8" ht="15.75" customHeight="1">
      <c r="H760" s="137"/>
    </row>
    <row r="761" spans="8:8" ht="15.75" customHeight="1">
      <c r="H761" s="137"/>
    </row>
    <row r="762" spans="8:8" ht="15.75" customHeight="1">
      <c r="H762" s="137"/>
    </row>
    <row r="763" spans="8:8" ht="15.75" customHeight="1">
      <c r="H763" s="137"/>
    </row>
    <row r="764" spans="8:8" ht="15.75" customHeight="1">
      <c r="H764" s="137"/>
    </row>
    <row r="765" spans="8:8" ht="15.75" customHeight="1">
      <c r="H765" s="137"/>
    </row>
    <row r="766" spans="8:8" ht="15.75" customHeight="1">
      <c r="H766" s="137"/>
    </row>
    <row r="767" spans="8:8" ht="15.75" customHeight="1">
      <c r="H767" s="137"/>
    </row>
    <row r="768" spans="8:8" ht="15.75" customHeight="1">
      <c r="H768" s="137"/>
    </row>
    <row r="769" spans="8:8" ht="15.75" customHeight="1">
      <c r="H769" s="137"/>
    </row>
    <row r="770" spans="8:8" ht="15.75" customHeight="1">
      <c r="H770" s="137"/>
    </row>
    <row r="771" spans="8:8" ht="15.75" customHeight="1">
      <c r="H771" s="137"/>
    </row>
    <row r="772" spans="8:8" ht="15.75" customHeight="1">
      <c r="H772" s="137"/>
    </row>
    <row r="773" spans="8:8" ht="15.75" customHeight="1">
      <c r="H773" s="137"/>
    </row>
    <row r="774" spans="8:8" ht="15.75" customHeight="1">
      <c r="H774" s="137"/>
    </row>
    <row r="775" spans="8:8" ht="15.75" customHeight="1">
      <c r="H775" s="137"/>
    </row>
    <row r="776" spans="8:8" ht="15.75" customHeight="1">
      <c r="H776" s="137"/>
    </row>
    <row r="777" spans="8:8" ht="15.75" customHeight="1">
      <c r="H777" s="137"/>
    </row>
    <row r="778" spans="8:8" ht="15.75" customHeight="1">
      <c r="H778" s="137"/>
    </row>
    <row r="779" spans="8:8" ht="15.75" customHeight="1">
      <c r="H779" s="137"/>
    </row>
    <row r="780" spans="8:8" ht="15.75" customHeight="1">
      <c r="H780" s="137"/>
    </row>
    <row r="781" spans="8:8" ht="15.75" customHeight="1">
      <c r="H781" s="137"/>
    </row>
    <row r="782" spans="8:8" ht="15.75" customHeight="1">
      <c r="H782" s="137"/>
    </row>
    <row r="783" spans="8:8" ht="15.75" customHeight="1">
      <c r="H783" s="137"/>
    </row>
    <row r="784" spans="8:8" ht="15.75" customHeight="1">
      <c r="H784" s="137"/>
    </row>
    <row r="785" spans="8:8" ht="15.75" customHeight="1">
      <c r="H785" s="137"/>
    </row>
    <row r="786" spans="8:8" ht="15.75" customHeight="1">
      <c r="H786" s="137"/>
    </row>
    <row r="787" spans="8:8" ht="15.75" customHeight="1">
      <c r="H787" s="137"/>
    </row>
    <row r="788" spans="8:8" ht="15.75" customHeight="1">
      <c r="H788" s="137"/>
    </row>
    <row r="789" spans="8:8" ht="15.75" customHeight="1">
      <c r="H789" s="137"/>
    </row>
    <row r="790" spans="8:8" ht="15.75" customHeight="1">
      <c r="H790" s="137"/>
    </row>
    <row r="791" spans="8:8" ht="15.75" customHeight="1">
      <c r="H791" s="137"/>
    </row>
    <row r="792" spans="8:8" ht="15.75" customHeight="1">
      <c r="H792" s="137"/>
    </row>
    <row r="793" spans="8:8" ht="15.75" customHeight="1">
      <c r="H793" s="137"/>
    </row>
    <row r="794" spans="8:8" ht="15.75" customHeight="1">
      <c r="H794" s="137"/>
    </row>
    <row r="795" spans="8:8" ht="15.75" customHeight="1">
      <c r="H795" s="137"/>
    </row>
    <row r="796" spans="8:8" ht="15.75" customHeight="1">
      <c r="H796" s="137"/>
    </row>
    <row r="797" spans="8:8" ht="15.75" customHeight="1">
      <c r="H797" s="137"/>
    </row>
    <row r="798" spans="8:8" ht="15.75" customHeight="1">
      <c r="H798" s="137"/>
    </row>
    <row r="799" spans="8:8" ht="15.75" customHeight="1">
      <c r="H799" s="137"/>
    </row>
    <row r="800" spans="8:8" ht="15.75" customHeight="1">
      <c r="H800" s="137"/>
    </row>
    <row r="801" spans="8:8" ht="15.75" customHeight="1">
      <c r="H801" s="137"/>
    </row>
    <row r="802" spans="8:8" ht="15.75" customHeight="1">
      <c r="H802" s="137"/>
    </row>
    <row r="803" spans="8:8" ht="15.75" customHeight="1">
      <c r="H803" s="137"/>
    </row>
    <row r="804" spans="8:8" ht="15.75" customHeight="1">
      <c r="H804" s="137"/>
    </row>
    <row r="805" spans="8:8" ht="15.75" customHeight="1">
      <c r="H805" s="137"/>
    </row>
    <row r="806" spans="8:8" ht="15.75" customHeight="1">
      <c r="H806" s="137"/>
    </row>
    <row r="807" spans="8:8" ht="15.75" customHeight="1">
      <c r="H807" s="137"/>
    </row>
    <row r="808" spans="8:8" ht="15.75" customHeight="1">
      <c r="H808" s="137"/>
    </row>
    <row r="809" spans="8:8" ht="15.75" customHeight="1">
      <c r="H809" s="137"/>
    </row>
    <row r="810" spans="8:8" ht="15.75" customHeight="1">
      <c r="H810" s="137"/>
    </row>
    <row r="811" spans="8:8" ht="15.75" customHeight="1">
      <c r="H811" s="137"/>
    </row>
    <row r="812" spans="8:8" ht="15.75" customHeight="1">
      <c r="H812" s="137"/>
    </row>
    <row r="813" spans="8:8" ht="15.75" customHeight="1">
      <c r="H813" s="137"/>
    </row>
    <row r="814" spans="8:8" ht="15.75" customHeight="1">
      <c r="H814" s="137"/>
    </row>
    <row r="815" spans="8:8" ht="15.75" customHeight="1">
      <c r="H815" s="137"/>
    </row>
    <row r="816" spans="8:8" ht="15.75" customHeight="1">
      <c r="H816" s="137"/>
    </row>
    <row r="817" spans="8:8" ht="15.75" customHeight="1">
      <c r="H817" s="137"/>
    </row>
    <row r="818" spans="8:8" ht="15.75" customHeight="1">
      <c r="H818" s="137"/>
    </row>
    <row r="819" spans="8:8" ht="15.75" customHeight="1">
      <c r="H819" s="137"/>
    </row>
    <row r="820" spans="8:8" ht="15.75" customHeight="1">
      <c r="H820" s="137"/>
    </row>
    <row r="821" spans="8:8" ht="15.75" customHeight="1">
      <c r="H821" s="137"/>
    </row>
    <row r="822" spans="8:8" ht="15.75" customHeight="1">
      <c r="H822" s="137"/>
    </row>
    <row r="823" spans="8:8" ht="15.75" customHeight="1">
      <c r="H823" s="137"/>
    </row>
    <row r="824" spans="8:8" ht="15.75" customHeight="1">
      <c r="H824" s="137"/>
    </row>
    <row r="825" spans="8:8" ht="15.75" customHeight="1">
      <c r="H825" s="137"/>
    </row>
    <row r="826" spans="8:8" ht="15.75" customHeight="1">
      <c r="H826" s="137"/>
    </row>
    <row r="827" spans="8:8" ht="15.75" customHeight="1">
      <c r="H827" s="137"/>
    </row>
    <row r="828" spans="8:8" ht="15.75" customHeight="1">
      <c r="H828" s="137"/>
    </row>
    <row r="829" spans="8:8" ht="15.75" customHeight="1">
      <c r="H829" s="137"/>
    </row>
    <row r="830" spans="8:8" ht="15.75" customHeight="1">
      <c r="H830" s="137"/>
    </row>
    <row r="831" spans="8:8" ht="15.75" customHeight="1">
      <c r="H831" s="137"/>
    </row>
    <row r="832" spans="8:8" ht="15.75" customHeight="1">
      <c r="H832" s="137"/>
    </row>
    <row r="833" spans="8:8" ht="15.75" customHeight="1">
      <c r="H833" s="137"/>
    </row>
    <row r="834" spans="8:8" ht="15.75" customHeight="1">
      <c r="H834" s="137"/>
    </row>
    <row r="835" spans="8:8" ht="15.75" customHeight="1">
      <c r="H835" s="137"/>
    </row>
    <row r="836" spans="8:8" ht="15.75" customHeight="1">
      <c r="H836" s="137"/>
    </row>
    <row r="837" spans="8:8" ht="15.75" customHeight="1">
      <c r="H837" s="137"/>
    </row>
    <row r="838" spans="8:8" ht="15.75" customHeight="1">
      <c r="H838" s="137"/>
    </row>
    <row r="839" spans="8:8" ht="15.75" customHeight="1">
      <c r="H839" s="137"/>
    </row>
    <row r="840" spans="8:8" ht="15.75" customHeight="1">
      <c r="H840" s="137"/>
    </row>
    <row r="841" spans="8:8" ht="15.75" customHeight="1">
      <c r="H841" s="137"/>
    </row>
    <row r="842" spans="8:8" ht="15.75" customHeight="1">
      <c r="H842" s="137"/>
    </row>
    <row r="843" spans="8:8" ht="15.75" customHeight="1">
      <c r="H843" s="137"/>
    </row>
    <row r="844" spans="8:8" ht="15.75" customHeight="1">
      <c r="H844" s="137"/>
    </row>
    <row r="845" spans="8:8" ht="15.75" customHeight="1">
      <c r="H845" s="137"/>
    </row>
    <row r="846" spans="8:8" ht="15.75" customHeight="1">
      <c r="H846" s="137"/>
    </row>
    <row r="847" spans="8:8" ht="15.75" customHeight="1">
      <c r="H847" s="137"/>
    </row>
    <row r="848" spans="8:8" ht="15.75" customHeight="1">
      <c r="H848" s="137"/>
    </row>
    <row r="849" spans="8:8" ht="15.75" customHeight="1">
      <c r="H849" s="137"/>
    </row>
    <row r="850" spans="8:8" ht="15.75" customHeight="1">
      <c r="H850" s="137"/>
    </row>
    <row r="851" spans="8:8" ht="15.75" customHeight="1">
      <c r="H851" s="137"/>
    </row>
    <row r="852" spans="8:8" ht="15.75" customHeight="1">
      <c r="H852" s="137"/>
    </row>
    <row r="853" spans="8:8" ht="15.75" customHeight="1">
      <c r="H853" s="137"/>
    </row>
    <row r="854" spans="8:8" ht="15.75" customHeight="1">
      <c r="H854" s="137"/>
    </row>
    <row r="855" spans="8:8" ht="15.75" customHeight="1">
      <c r="H855" s="137"/>
    </row>
    <row r="856" spans="8:8" ht="15.75" customHeight="1">
      <c r="H856" s="137"/>
    </row>
    <row r="857" spans="8:8" ht="15.75" customHeight="1">
      <c r="H857" s="137"/>
    </row>
    <row r="858" spans="8:8" ht="15.75" customHeight="1">
      <c r="H858" s="137"/>
    </row>
    <row r="859" spans="8:8" ht="15.75" customHeight="1">
      <c r="H859" s="137"/>
    </row>
    <row r="860" spans="8:8" ht="15.75" customHeight="1">
      <c r="H860" s="137"/>
    </row>
    <row r="861" spans="8:8" ht="15.75" customHeight="1">
      <c r="H861" s="137"/>
    </row>
    <row r="862" spans="8:8" ht="15.75" customHeight="1">
      <c r="H862" s="137"/>
    </row>
    <row r="863" spans="8:8" ht="15.75" customHeight="1">
      <c r="H863" s="137"/>
    </row>
    <row r="864" spans="8:8" ht="15.75" customHeight="1">
      <c r="H864" s="137"/>
    </row>
    <row r="865" spans="8:8" ht="15.75" customHeight="1">
      <c r="H865" s="137"/>
    </row>
    <row r="866" spans="8:8" ht="15.75" customHeight="1">
      <c r="H866" s="137"/>
    </row>
    <row r="867" spans="8:8" ht="15.75" customHeight="1">
      <c r="H867" s="137"/>
    </row>
    <row r="868" spans="8:8" ht="15.75" customHeight="1">
      <c r="H868" s="137"/>
    </row>
    <row r="869" spans="8:8" ht="15.75" customHeight="1">
      <c r="H869" s="137"/>
    </row>
    <row r="870" spans="8:8" ht="15.75" customHeight="1">
      <c r="H870" s="137"/>
    </row>
    <row r="871" spans="8:8" ht="15.75" customHeight="1">
      <c r="H871" s="137"/>
    </row>
    <row r="872" spans="8:8" ht="15.75" customHeight="1">
      <c r="H872" s="137"/>
    </row>
    <row r="873" spans="8:8" ht="15.75" customHeight="1">
      <c r="H873" s="137"/>
    </row>
    <row r="874" spans="8:8" ht="15.75" customHeight="1">
      <c r="H874" s="137"/>
    </row>
    <row r="875" spans="8:8" ht="15.75" customHeight="1">
      <c r="H875" s="137"/>
    </row>
    <row r="876" spans="8:8" ht="15.75" customHeight="1">
      <c r="H876" s="137"/>
    </row>
    <row r="877" spans="8:8" ht="15.75" customHeight="1">
      <c r="H877" s="137"/>
    </row>
    <row r="878" spans="8:8" ht="15.75" customHeight="1">
      <c r="H878" s="137"/>
    </row>
    <row r="879" spans="8:8" ht="15.75" customHeight="1">
      <c r="H879" s="137"/>
    </row>
    <row r="880" spans="8:8" ht="15.75" customHeight="1">
      <c r="H880" s="137"/>
    </row>
    <row r="881" spans="8:8" ht="15.75" customHeight="1">
      <c r="H881" s="137"/>
    </row>
    <row r="882" spans="8:8" ht="15.75" customHeight="1">
      <c r="H882" s="137"/>
    </row>
    <row r="883" spans="8:8" ht="15.75" customHeight="1">
      <c r="H883" s="137"/>
    </row>
    <row r="884" spans="8:8" ht="15.75" customHeight="1">
      <c r="H884" s="137"/>
    </row>
    <row r="885" spans="8:8" ht="15.75" customHeight="1">
      <c r="H885" s="137"/>
    </row>
    <row r="886" spans="8:8" ht="15.75" customHeight="1">
      <c r="H886" s="137"/>
    </row>
    <row r="887" spans="8:8" ht="15.75" customHeight="1">
      <c r="H887" s="137"/>
    </row>
    <row r="888" spans="8:8" ht="15.75" customHeight="1">
      <c r="H888" s="137"/>
    </row>
    <row r="889" spans="8:8" ht="15.75" customHeight="1">
      <c r="H889" s="137"/>
    </row>
    <row r="890" spans="8:8" ht="15.75" customHeight="1">
      <c r="H890" s="137"/>
    </row>
    <row r="891" spans="8:8" ht="15.75" customHeight="1">
      <c r="H891" s="137"/>
    </row>
    <row r="892" spans="8:8" ht="15.75" customHeight="1">
      <c r="H892" s="137"/>
    </row>
    <row r="893" spans="8:8" ht="15.75" customHeight="1">
      <c r="H893" s="137"/>
    </row>
    <row r="894" spans="8:8" ht="15.75" customHeight="1">
      <c r="H894" s="137"/>
    </row>
    <row r="895" spans="8:8" ht="15.75" customHeight="1">
      <c r="H895" s="137"/>
    </row>
    <row r="896" spans="8:8" ht="15.75" customHeight="1">
      <c r="H896" s="137"/>
    </row>
    <row r="897" spans="8:8" ht="15.75" customHeight="1">
      <c r="H897" s="137"/>
    </row>
    <row r="898" spans="8:8" ht="15.75" customHeight="1">
      <c r="H898" s="137"/>
    </row>
    <row r="899" spans="8:8" ht="15.75" customHeight="1">
      <c r="H899" s="137"/>
    </row>
    <row r="900" spans="8:8" ht="15.75" customHeight="1">
      <c r="H900" s="137"/>
    </row>
    <row r="901" spans="8:8" ht="15.75" customHeight="1">
      <c r="H901" s="137"/>
    </row>
    <row r="902" spans="8:8" ht="15.75" customHeight="1">
      <c r="H902" s="137"/>
    </row>
    <row r="903" spans="8:8" ht="15.75" customHeight="1">
      <c r="H903" s="137"/>
    </row>
    <row r="904" spans="8:8" ht="15.75" customHeight="1">
      <c r="H904" s="137"/>
    </row>
    <row r="905" spans="8:8" ht="15.75" customHeight="1">
      <c r="H905" s="137"/>
    </row>
    <row r="906" spans="8:8" ht="15.75" customHeight="1">
      <c r="H906" s="137"/>
    </row>
    <row r="907" spans="8:8" ht="15.75" customHeight="1">
      <c r="H907" s="137"/>
    </row>
    <row r="908" spans="8:8" ht="15.75" customHeight="1">
      <c r="H908" s="137"/>
    </row>
    <row r="909" spans="8:8" ht="15.75" customHeight="1">
      <c r="H909" s="137"/>
    </row>
    <row r="910" spans="8:8" ht="15.75" customHeight="1">
      <c r="H910" s="137"/>
    </row>
    <row r="911" spans="8:8" ht="15.75" customHeight="1">
      <c r="H911" s="137"/>
    </row>
    <row r="912" spans="8:8" ht="15.75" customHeight="1">
      <c r="H912" s="137"/>
    </row>
    <row r="913" spans="8:8" ht="15.75" customHeight="1">
      <c r="H913" s="137"/>
    </row>
    <row r="914" spans="8:8" ht="15.75" customHeight="1">
      <c r="H914" s="137"/>
    </row>
    <row r="915" spans="8:8" ht="15.75" customHeight="1">
      <c r="H915" s="137"/>
    </row>
    <row r="916" spans="8:8" ht="15.75" customHeight="1">
      <c r="H916" s="137"/>
    </row>
    <row r="917" spans="8:8" ht="15.75" customHeight="1">
      <c r="H917" s="137"/>
    </row>
    <row r="918" spans="8:8" ht="15.75" customHeight="1">
      <c r="H918" s="137"/>
    </row>
    <row r="919" spans="8:8" ht="15.75" customHeight="1">
      <c r="H919" s="137"/>
    </row>
    <row r="920" spans="8:8" ht="15.75" customHeight="1">
      <c r="H920" s="137"/>
    </row>
    <row r="921" spans="8:8" ht="15.75" customHeight="1">
      <c r="H921" s="137"/>
    </row>
    <row r="922" spans="8:8" ht="15.75" customHeight="1">
      <c r="H922" s="137"/>
    </row>
    <row r="923" spans="8:8" ht="15.75" customHeight="1">
      <c r="H923" s="137"/>
    </row>
    <row r="924" spans="8:8" ht="15.75" customHeight="1">
      <c r="H924" s="137"/>
    </row>
    <row r="925" spans="8:8" ht="15.75" customHeight="1">
      <c r="H925" s="137"/>
    </row>
    <row r="926" spans="8:8" ht="15.75" customHeight="1">
      <c r="H926" s="137"/>
    </row>
    <row r="927" spans="8:8" ht="15.75" customHeight="1">
      <c r="H927" s="137"/>
    </row>
    <row r="928" spans="8:8" ht="15.75" customHeight="1">
      <c r="H928" s="137"/>
    </row>
    <row r="929" spans="8:8" ht="15.75" customHeight="1">
      <c r="H929" s="137"/>
    </row>
    <row r="930" spans="8:8" ht="15.75" customHeight="1">
      <c r="H930" s="137"/>
    </row>
    <row r="931" spans="8:8" ht="15.75" customHeight="1">
      <c r="H931" s="137"/>
    </row>
    <row r="932" spans="8:8" ht="15.75" customHeight="1">
      <c r="H932" s="137"/>
    </row>
    <row r="933" spans="8:8" ht="15.75" customHeight="1">
      <c r="H933" s="137"/>
    </row>
    <row r="934" spans="8:8" ht="15.75" customHeight="1">
      <c r="H934" s="137"/>
    </row>
    <row r="935" spans="8:8" ht="15.75" customHeight="1">
      <c r="H935" s="137"/>
    </row>
    <row r="936" spans="8:8" ht="15.75" customHeight="1">
      <c r="H936" s="137"/>
    </row>
    <row r="937" spans="8:8" ht="15.75" customHeight="1">
      <c r="H937" s="137"/>
    </row>
    <row r="938" spans="8:8" ht="15.75" customHeight="1">
      <c r="H938" s="137"/>
    </row>
    <row r="939" spans="8:8" ht="15.75" customHeight="1">
      <c r="H939" s="137"/>
    </row>
    <row r="940" spans="8:8" ht="15.75" customHeight="1">
      <c r="H940" s="137"/>
    </row>
    <row r="941" spans="8:8" ht="15.75" customHeight="1">
      <c r="H941" s="137"/>
    </row>
    <row r="942" spans="8:8" ht="15.75" customHeight="1">
      <c r="H942" s="137"/>
    </row>
    <row r="943" spans="8:8" ht="15.75" customHeight="1">
      <c r="H943" s="137"/>
    </row>
    <row r="944" spans="8:8" ht="15.75" customHeight="1">
      <c r="H944" s="137"/>
    </row>
    <row r="945" spans="8:8" ht="15.75" customHeight="1">
      <c r="H945" s="137"/>
    </row>
    <row r="946" spans="8:8" ht="15.75" customHeight="1">
      <c r="H946" s="137"/>
    </row>
    <row r="947" spans="8:8" ht="15.75" customHeight="1">
      <c r="H947" s="137"/>
    </row>
    <row r="948" spans="8:8" ht="15.75" customHeight="1">
      <c r="H948" s="137"/>
    </row>
    <row r="949" spans="8:8" ht="15.75" customHeight="1">
      <c r="H949" s="137"/>
    </row>
    <row r="950" spans="8:8" ht="15.75" customHeight="1">
      <c r="H950" s="137"/>
    </row>
    <row r="951" spans="8:8" ht="15.75" customHeight="1">
      <c r="H951" s="137"/>
    </row>
    <row r="952" spans="8:8" ht="15.75" customHeight="1">
      <c r="H952" s="137"/>
    </row>
    <row r="953" spans="8:8" ht="15.75" customHeight="1">
      <c r="H953" s="137"/>
    </row>
    <row r="954" spans="8:8" ht="15.75" customHeight="1">
      <c r="H954" s="137"/>
    </row>
    <row r="955" spans="8:8" ht="15.75" customHeight="1">
      <c r="H955" s="137"/>
    </row>
    <row r="956" spans="8:8" ht="15.75" customHeight="1">
      <c r="H956" s="137"/>
    </row>
    <row r="957" spans="8:8" ht="15.75" customHeight="1">
      <c r="H957" s="137"/>
    </row>
    <row r="958" spans="8:8" ht="15.75" customHeight="1">
      <c r="H958" s="137"/>
    </row>
    <row r="959" spans="8:8" ht="15.75" customHeight="1">
      <c r="H959" s="137"/>
    </row>
    <row r="960" spans="8:8" ht="15.75" customHeight="1">
      <c r="H960" s="137"/>
    </row>
    <row r="961" spans="8:8" ht="15.75" customHeight="1">
      <c r="H961" s="137"/>
    </row>
    <row r="962" spans="8:8" ht="15.75" customHeight="1">
      <c r="H962" s="137"/>
    </row>
    <row r="963" spans="8:8" ht="15.75" customHeight="1">
      <c r="H963" s="137"/>
    </row>
    <row r="964" spans="8:8" ht="15.75" customHeight="1">
      <c r="H964" s="137"/>
    </row>
    <row r="965" spans="8:8" ht="15.75" customHeight="1">
      <c r="H965" s="137"/>
    </row>
    <row r="966" spans="8:8" ht="15.75" customHeight="1">
      <c r="H966" s="137"/>
    </row>
    <row r="967" spans="8:8" ht="15.75" customHeight="1">
      <c r="H967" s="137"/>
    </row>
    <row r="968" spans="8:8" ht="15.75" customHeight="1">
      <c r="H968" s="137"/>
    </row>
    <row r="969" spans="8:8" ht="15.75" customHeight="1">
      <c r="H969" s="137"/>
    </row>
    <row r="970" spans="8:8" ht="15.75" customHeight="1">
      <c r="H970" s="137"/>
    </row>
    <row r="971" spans="8:8" ht="15.75" customHeight="1">
      <c r="H971" s="137"/>
    </row>
    <row r="972" spans="8:8" ht="15.75" customHeight="1">
      <c r="H972" s="137"/>
    </row>
    <row r="973" spans="8:8" ht="15.75" customHeight="1">
      <c r="H973" s="137"/>
    </row>
    <row r="974" spans="8:8" ht="15.75" customHeight="1">
      <c r="H974" s="137"/>
    </row>
    <row r="975" spans="8:8" ht="15.75" customHeight="1">
      <c r="H975" s="137"/>
    </row>
    <row r="976" spans="8:8" ht="15.75" customHeight="1">
      <c r="H976" s="137"/>
    </row>
    <row r="977" spans="8:8" ht="15.75" customHeight="1">
      <c r="H977" s="137"/>
    </row>
    <row r="978" spans="8:8" ht="15.75" customHeight="1">
      <c r="H978" s="137"/>
    </row>
    <row r="979" spans="8:8" ht="15.75" customHeight="1">
      <c r="H979" s="137"/>
    </row>
    <row r="980" spans="8:8" ht="15.75" customHeight="1">
      <c r="H980" s="137"/>
    </row>
    <row r="981" spans="8:8" ht="15.75" customHeight="1">
      <c r="H981" s="137"/>
    </row>
    <row r="982" spans="8:8" ht="15.75" customHeight="1">
      <c r="H982" s="137"/>
    </row>
    <row r="983" spans="8:8" ht="15.75" customHeight="1">
      <c r="H983" s="137"/>
    </row>
    <row r="984" spans="8:8" ht="15.75" customHeight="1">
      <c r="H984" s="137"/>
    </row>
    <row r="985" spans="8:8" ht="15.75" customHeight="1">
      <c r="H985" s="137"/>
    </row>
    <row r="986" spans="8:8" ht="15.75" customHeight="1">
      <c r="H986" s="137"/>
    </row>
    <row r="987" spans="8:8" ht="15.75" customHeight="1">
      <c r="H987" s="137"/>
    </row>
    <row r="988" spans="8:8" ht="15.75" customHeight="1">
      <c r="H988" s="137"/>
    </row>
    <row r="989" spans="8:8" ht="15.75" customHeight="1">
      <c r="H989" s="137"/>
    </row>
    <row r="990" spans="8:8" ht="15.75" customHeight="1">
      <c r="H990" s="137"/>
    </row>
    <row r="991" spans="8:8" ht="15.75" customHeight="1">
      <c r="H991" s="137"/>
    </row>
    <row r="992" spans="8:8" ht="15.75" customHeight="1">
      <c r="H992" s="137"/>
    </row>
    <row r="993" spans="8:8" ht="15.75" customHeight="1">
      <c r="H993" s="137"/>
    </row>
    <row r="994" spans="8:8" ht="15.75" customHeight="1">
      <c r="H994" s="137"/>
    </row>
    <row r="995" spans="8:8" ht="15.75" customHeight="1">
      <c r="H995" s="137"/>
    </row>
    <row r="996" spans="8:8" ht="15.75" customHeight="1">
      <c r="H996" s="137"/>
    </row>
    <row r="997" spans="8:8" ht="15.75" customHeight="1">
      <c r="H997" s="137"/>
    </row>
    <row r="998" spans="8:8" ht="15.75" customHeight="1">
      <c r="H998" s="137"/>
    </row>
    <row r="999" spans="8:8" ht="15.75" customHeight="1">
      <c r="H999" s="137"/>
    </row>
    <row r="1000" spans="8:8" ht="15.75" customHeight="1">
      <c r="H1000" s="137"/>
    </row>
    <row r="1001" spans="8:8" ht="15.75" customHeight="1">
      <c r="H1001" s="137"/>
    </row>
    <row r="1002" spans="8:8" ht="15.75" customHeight="1">
      <c r="H1002" s="137"/>
    </row>
    <row r="1003" spans="8:8" ht="15.75" customHeight="1">
      <c r="H1003" s="137"/>
    </row>
  </sheetData>
  <dataValidations count="1">
    <dataValidation type="list" allowBlank="1" showInputMessage="1" showErrorMessage="1" sqref="L3:L19 L21" xr:uid="{C5BBDAAE-428F-4621-AC1D-46ED5A1C9E43}">
      <formula1>"Inprogress, Completed"</formula1>
    </dataValidation>
  </dataValidations>
  <hyperlinks>
    <hyperlink ref="L1" r:id="rId1" display="irsath.kisar@relevantz.com;arivalagan.ramasamy@relevantz.com;saranya.palani@relevantz.com;murugesan.manthiramoorthy@relevantz.com;kannan.muthiah@relevantz.com;ubaithullah.shahjahan@relevantz.com" xr:uid="{5D4EDA01-E87B-4797-88B6-C24BBE8D5A8D}"/>
    <hyperlink ref="N1" r:id="rId2" xr:uid="{F7E37428-7972-4157-89EA-F090407807A6}"/>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711AA-72E6-4B42-9C9C-9249A021B3B2}">
  <dimension ref="A1:H18"/>
  <sheetViews>
    <sheetView workbookViewId="0">
      <selection activeCell="H14" sqref="H14"/>
    </sheetView>
  </sheetViews>
  <sheetFormatPr defaultRowHeight="12.75"/>
  <cols>
    <col min="1" max="1" width="46" customWidth="1"/>
    <col min="2" max="2" width="41.28515625" customWidth="1"/>
    <col min="4" max="4" width="13.28515625" customWidth="1"/>
    <col min="8" max="8" width="31.42578125" customWidth="1"/>
  </cols>
  <sheetData>
    <row r="1" spans="1:8">
      <c r="A1" s="794" t="s">
        <v>226</v>
      </c>
      <c r="B1" s="794"/>
      <c r="C1" s="795"/>
      <c r="D1" s="795"/>
      <c r="E1" s="795"/>
      <c r="F1" s="795"/>
      <c r="G1" s="795"/>
      <c r="H1" s="795"/>
    </row>
    <row r="2" spans="1:8">
      <c r="A2" s="796" t="s">
        <v>227</v>
      </c>
      <c r="B2" s="796">
        <v>0</v>
      </c>
      <c r="C2" s="795"/>
      <c r="D2" s="795"/>
      <c r="E2" s="795"/>
      <c r="F2" s="795"/>
      <c r="G2" s="795"/>
      <c r="H2" s="795"/>
    </row>
    <row r="3" spans="1:8">
      <c r="A3" s="797"/>
      <c r="B3" s="921" t="s">
        <v>228</v>
      </c>
      <c r="C3" s="922"/>
      <c r="D3" s="922"/>
      <c r="E3" s="922"/>
      <c r="F3" s="922"/>
      <c r="G3" s="922"/>
      <c r="H3" s="922"/>
    </row>
    <row r="4" spans="1:8">
      <c r="A4" s="798" t="s">
        <v>229</v>
      </c>
      <c r="B4" s="799" t="s">
        <v>230</v>
      </c>
      <c r="C4" s="799" t="s">
        <v>231</v>
      </c>
      <c r="D4" s="799" t="s">
        <v>232</v>
      </c>
      <c r="E4" s="799" t="s">
        <v>233</v>
      </c>
      <c r="F4" s="799" t="s">
        <v>234</v>
      </c>
      <c r="G4" s="799" t="s">
        <v>235</v>
      </c>
      <c r="H4" s="799" t="s">
        <v>17</v>
      </c>
    </row>
    <row r="5" spans="1:8">
      <c r="A5" s="794" t="s">
        <v>236</v>
      </c>
      <c r="B5" s="794">
        <v>0</v>
      </c>
      <c r="C5" s="794">
        <v>0</v>
      </c>
      <c r="D5" s="794">
        <v>0</v>
      </c>
      <c r="E5" s="794">
        <v>0</v>
      </c>
      <c r="F5" s="794">
        <v>0</v>
      </c>
      <c r="G5" s="794">
        <v>0</v>
      </c>
      <c r="H5" s="901" t="s">
        <v>237</v>
      </c>
    </row>
    <row r="6" spans="1:8">
      <c r="A6" s="794" t="s">
        <v>238</v>
      </c>
      <c r="B6" s="794">
        <v>0</v>
      </c>
      <c r="C6" s="794">
        <v>0</v>
      </c>
      <c r="D6" s="794">
        <v>0</v>
      </c>
      <c r="E6" s="794">
        <v>0</v>
      </c>
      <c r="F6" s="794">
        <v>0</v>
      </c>
      <c r="G6" s="794">
        <v>0</v>
      </c>
      <c r="H6" s="901" t="s">
        <v>237</v>
      </c>
    </row>
    <row r="7" spans="1:8">
      <c r="A7" s="794" t="s">
        <v>239</v>
      </c>
      <c r="B7" s="794">
        <v>0</v>
      </c>
      <c r="C7" s="794">
        <v>0</v>
      </c>
      <c r="D7" s="826" t="s">
        <v>240</v>
      </c>
      <c r="E7" s="794">
        <v>0</v>
      </c>
      <c r="F7" s="794">
        <v>0</v>
      </c>
      <c r="G7" s="794">
        <v>0</v>
      </c>
      <c r="H7" s="182" t="s">
        <v>241</v>
      </c>
    </row>
    <row r="8" spans="1:8">
      <c r="A8" s="794" t="s">
        <v>242</v>
      </c>
      <c r="B8" s="794">
        <v>0</v>
      </c>
      <c r="C8" s="794">
        <v>0</v>
      </c>
      <c r="D8" s="794">
        <v>0</v>
      </c>
      <c r="E8" s="794">
        <v>0</v>
      </c>
      <c r="F8" s="794">
        <v>0</v>
      </c>
      <c r="G8" s="794">
        <v>0</v>
      </c>
      <c r="H8" s="901" t="s">
        <v>237</v>
      </c>
    </row>
    <row r="9" spans="1:8" ht="24">
      <c r="A9" s="794" t="s">
        <v>243</v>
      </c>
      <c r="B9" s="794">
        <v>0</v>
      </c>
      <c r="C9" s="794">
        <v>0</v>
      </c>
      <c r="D9" s="794">
        <v>0</v>
      </c>
      <c r="E9" s="794">
        <v>4</v>
      </c>
      <c r="F9" s="794">
        <v>0</v>
      </c>
      <c r="G9" s="794">
        <v>0</v>
      </c>
      <c r="H9" s="182" t="s">
        <v>244</v>
      </c>
    </row>
    <row r="10" spans="1:8">
      <c r="A10" t="s">
        <v>245</v>
      </c>
      <c r="B10" s="794">
        <v>0</v>
      </c>
      <c r="C10" s="794">
        <v>0</v>
      </c>
      <c r="D10" s="794">
        <v>0</v>
      </c>
      <c r="E10" s="794">
        <v>0</v>
      </c>
      <c r="F10" s="794">
        <v>0</v>
      </c>
      <c r="G10" s="794">
        <v>0</v>
      </c>
      <c r="H10" s="901" t="s">
        <v>237</v>
      </c>
    </row>
    <row r="11" spans="1:8">
      <c r="A11" s="794" t="s">
        <v>246</v>
      </c>
      <c r="B11" s="794">
        <v>0</v>
      </c>
      <c r="C11" s="794">
        <v>0</v>
      </c>
      <c r="D11" s="794">
        <v>0</v>
      </c>
      <c r="E11" s="794">
        <v>0</v>
      </c>
      <c r="F11" s="794">
        <v>0</v>
      </c>
      <c r="G11" s="794">
        <v>0</v>
      </c>
      <c r="H11" s="901" t="s">
        <v>237</v>
      </c>
    </row>
    <row r="12" spans="1:8">
      <c r="A12" s="794"/>
      <c r="B12" s="794"/>
      <c r="C12" s="794"/>
      <c r="D12" s="794"/>
      <c r="E12" s="794"/>
      <c r="F12" s="794"/>
      <c r="G12" s="794"/>
      <c r="H12" s="182"/>
    </row>
    <row r="13" spans="1:8">
      <c r="A13" s="794"/>
      <c r="B13" s="794"/>
      <c r="C13" s="794"/>
      <c r="D13" s="794"/>
      <c r="E13" s="794"/>
      <c r="F13" s="794"/>
      <c r="G13" s="794"/>
      <c r="H13" s="182"/>
    </row>
    <row r="14" spans="1:8">
      <c r="A14" s="794"/>
      <c r="B14" s="794"/>
      <c r="C14" s="794"/>
      <c r="D14" s="794"/>
      <c r="E14" s="794"/>
      <c r="F14" s="794"/>
      <c r="G14" s="794"/>
      <c r="H14" s="182"/>
    </row>
    <row r="15" spans="1:8">
      <c r="A15" s="794"/>
      <c r="B15" s="794"/>
      <c r="C15" s="794"/>
      <c r="D15" s="794"/>
      <c r="E15" s="794"/>
      <c r="F15" s="794"/>
      <c r="G15" s="794"/>
      <c r="H15" s="182"/>
    </row>
    <row r="16" spans="1:8">
      <c r="A16" s="794"/>
      <c r="B16" s="794"/>
      <c r="C16" s="794"/>
      <c r="D16" s="794"/>
      <c r="E16" s="794"/>
      <c r="F16" s="794"/>
      <c r="G16" s="794"/>
      <c r="H16" s="182"/>
    </row>
    <row r="17" spans="1:8">
      <c r="A17" s="800"/>
      <c r="B17" s="800"/>
      <c r="C17" s="800"/>
      <c r="D17" s="800"/>
      <c r="E17" s="800"/>
      <c r="F17" s="800"/>
      <c r="G17" s="800"/>
      <c r="H17" s="801"/>
    </row>
    <row r="18" spans="1:8">
      <c r="A18" s="794" t="s">
        <v>247</v>
      </c>
      <c r="B18" s="794">
        <v>0</v>
      </c>
      <c r="C18" s="794">
        <v>0</v>
      </c>
      <c r="D18" s="794">
        <v>1</v>
      </c>
      <c r="E18" s="794">
        <v>0</v>
      </c>
      <c r="F18" s="794">
        <v>0</v>
      </c>
      <c r="G18" s="794"/>
      <c r="H18" s="794"/>
    </row>
  </sheetData>
  <mergeCells count="1">
    <mergeCell ref="B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59CEF-D790-49E6-9E10-15DD937CF268}">
  <dimension ref="A1:AE8"/>
  <sheetViews>
    <sheetView workbookViewId="0">
      <pane xSplit="7" ySplit="1" topLeftCell="O3" activePane="bottomRight" state="frozen"/>
      <selection pane="bottomRight" activeCell="P4" sqref="P4"/>
      <selection pane="bottomLeft"/>
      <selection pane="topRight"/>
    </sheetView>
  </sheetViews>
  <sheetFormatPr defaultRowHeight="12.75"/>
  <cols>
    <col min="1" max="1" width="9.140625" style="122"/>
    <col min="2" max="2" width="15.140625" style="181" customWidth="1"/>
    <col min="3" max="3" width="12.140625" style="122" customWidth="1"/>
    <col min="4" max="4" width="10.85546875" style="122" customWidth="1"/>
    <col min="5" max="5" width="33" customWidth="1"/>
    <col min="6" max="6" width="24.85546875" customWidth="1"/>
    <col min="7" max="7" width="18.85546875" customWidth="1"/>
    <col min="8" max="8" width="57.42578125" style="137" customWidth="1"/>
    <col min="9" max="9" width="16.85546875" style="122" customWidth="1"/>
    <col min="10" max="10" width="11.42578125" style="122" bestFit="1" customWidth="1"/>
    <col min="11" max="11" width="11.42578125" bestFit="1" customWidth="1"/>
    <col min="12" max="12" width="25.5703125" customWidth="1"/>
    <col min="13" max="14" width="11.42578125" customWidth="1"/>
    <col min="15" max="15" width="13.140625" customWidth="1"/>
    <col min="16" max="16" width="17" style="144" bestFit="1" customWidth="1"/>
    <col min="17" max="17" width="58.140625" customWidth="1"/>
    <col min="18" max="18" width="23.7109375" customWidth="1"/>
    <col min="19" max="19" width="14.85546875" customWidth="1"/>
    <col min="20" max="20" width="51.5703125" style="144" customWidth="1"/>
    <col min="21" max="22" width="12.7109375" bestFit="1" customWidth="1"/>
    <col min="23" max="23" width="20.5703125" customWidth="1"/>
    <col min="24" max="24" width="22.28515625" style="144" customWidth="1"/>
    <col min="25" max="25" width="11.42578125" bestFit="1" customWidth="1"/>
    <col min="26" max="26" width="12.7109375" bestFit="1" customWidth="1"/>
    <col min="27" max="27" width="52.140625" customWidth="1"/>
    <col min="28" max="29" width="11.42578125" bestFit="1" customWidth="1"/>
    <col min="30" max="30" width="78.5703125" customWidth="1"/>
    <col min="31" max="31" width="56.140625" customWidth="1"/>
  </cols>
  <sheetData>
    <row r="1" spans="1:31" ht="48">
      <c r="A1" s="379" t="s">
        <v>248</v>
      </c>
      <c r="B1" s="501" t="s">
        <v>4</v>
      </c>
      <c r="C1" s="501" t="s">
        <v>2</v>
      </c>
      <c r="D1" s="501" t="s">
        <v>3</v>
      </c>
      <c r="E1" s="380" t="s">
        <v>249</v>
      </c>
      <c r="F1" s="381" t="s">
        <v>250</v>
      </c>
      <c r="G1" s="382" t="s">
        <v>251</v>
      </c>
      <c r="H1" s="383" t="s">
        <v>252</v>
      </c>
      <c r="I1" s="697" t="s">
        <v>253</v>
      </c>
      <c r="J1" s="729" t="s">
        <v>254</v>
      </c>
      <c r="K1" s="384" t="s">
        <v>255</v>
      </c>
      <c r="L1" s="384" t="s">
        <v>256</v>
      </c>
      <c r="M1" s="384" t="s">
        <v>257</v>
      </c>
      <c r="N1" s="384" t="s">
        <v>258</v>
      </c>
      <c r="O1" s="385" t="s">
        <v>259</v>
      </c>
      <c r="P1" s="385" t="s">
        <v>260</v>
      </c>
      <c r="Q1" s="385" t="s">
        <v>261</v>
      </c>
      <c r="R1" s="385" t="s">
        <v>262</v>
      </c>
      <c r="S1" s="385" t="s">
        <v>263</v>
      </c>
      <c r="T1" s="385" t="s">
        <v>264</v>
      </c>
      <c r="U1" s="385" t="s">
        <v>265</v>
      </c>
      <c r="V1" s="385" t="s">
        <v>266</v>
      </c>
      <c r="W1" s="385" t="s">
        <v>267</v>
      </c>
      <c r="X1" s="385" t="s">
        <v>268</v>
      </c>
      <c r="Y1" s="385" t="s">
        <v>269</v>
      </c>
      <c r="Z1" s="385" t="s">
        <v>270</v>
      </c>
      <c r="AA1" s="385" t="s">
        <v>271</v>
      </c>
      <c r="AB1" s="385" t="s">
        <v>272</v>
      </c>
      <c r="AC1" s="385" t="s">
        <v>273</v>
      </c>
      <c r="AD1" s="386" t="s">
        <v>274</v>
      </c>
      <c r="AE1" s="385" t="s">
        <v>275</v>
      </c>
    </row>
    <row r="2" spans="1:31" s="603" customFormat="1" ht="45.75">
      <c r="A2" s="806">
        <v>1</v>
      </c>
      <c r="B2" s="856" t="s">
        <v>5</v>
      </c>
      <c r="C2" s="759">
        <v>46149</v>
      </c>
      <c r="D2" s="831">
        <v>46163</v>
      </c>
      <c r="E2" s="837" t="s">
        <v>224</v>
      </c>
      <c r="F2" s="838" t="s">
        <v>233</v>
      </c>
      <c r="G2" s="897" t="s">
        <v>276</v>
      </c>
      <c r="H2" s="709" t="s">
        <v>277</v>
      </c>
      <c r="I2" s="806" t="s">
        <v>278</v>
      </c>
      <c r="J2" s="806"/>
      <c r="K2" s="806">
        <v>3</v>
      </c>
      <c r="L2" s="806"/>
      <c r="M2" s="661">
        <v>46150</v>
      </c>
      <c r="N2" s="661"/>
      <c r="O2" s="806"/>
      <c r="P2" s="806"/>
      <c r="Q2" s="814"/>
      <c r="R2" s="806"/>
      <c r="S2" s="806"/>
      <c r="T2" s="714"/>
      <c r="U2" s="708"/>
      <c r="V2" s="708"/>
      <c r="W2" s="806"/>
      <c r="X2" s="806"/>
      <c r="Y2" s="806"/>
      <c r="Z2" s="624"/>
      <c r="AA2" s="814"/>
      <c r="AB2" s="806"/>
      <c r="AC2" s="806"/>
      <c r="AD2" s="812" t="s">
        <v>279</v>
      </c>
      <c r="AE2" s="588"/>
    </row>
    <row r="3" spans="1:31" s="621" customFormat="1" ht="244.5">
      <c r="A3" s="612">
        <v>2</v>
      </c>
      <c r="B3" s="851" t="s">
        <v>5</v>
      </c>
      <c r="C3" s="760">
        <v>46149</v>
      </c>
      <c r="D3" s="832">
        <v>46163</v>
      </c>
      <c r="E3" s="690" t="s">
        <v>224</v>
      </c>
      <c r="F3" s="923" t="s">
        <v>280</v>
      </c>
      <c r="G3" s="898" t="s">
        <v>281</v>
      </c>
      <c r="H3" s="608" t="s">
        <v>282</v>
      </c>
      <c r="I3" s="612" t="s">
        <v>283</v>
      </c>
      <c r="J3" s="923"/>
      <c r="K3" s="612">
        <v>3</v>
      </c>
      <c r="L3" s="608"/>
      <c r="M3" s="656">
        <v>46150</v>
      </c>
      <c r="N3" s="656"/>
      <c r="O3" s="612"/>
      <c r="P3" s="614" t="s">
        <v>284</v>
      </c>
      <c r="Q3" s="609" t="s">
        <v>285</v>
      </c>
      <c r="R3" s="612"/>
      <c r="S3" s="924"/>
      <c r="T3" s="715"/>
      <c r="U3" s="613"/>
      <c r="V3" s="613"/>
      <c r="W3" s="820"/>
      <c r="X3" s="820"/>
      <c r="Y3" s="820"/>
      <c r="Z3" s="633"/>
      <c r="AA3" s="899"/>
      <c r="AB3" s="612"/>
      <c r="AC3" s="612"/>
      <c r="AD3" s="614" t="s">
        <v>286</v>
      </c>
      <c r="AE3" s="854"/>
    </row>
    <row r="4" spans="1:31" s="603" customFormat="1" ht="321">
      <c r="A4" s="596">
        <v>3</v>
      </c>
      <c r="B4" s="856" t="s">
        <v>5</v>
      </c>
      <c r="C4" s="759">
        <v>46149</v>
      </c>
      <c r="D4" s="831">
        <v>46163</v>
      </c>
      <c r="E4" s="837" t="s">
        <v>224</v>
      </c>
      <c r="F4" s="925" t="s">
        <v>287</v>
      </c>
      <c r="G4" s="897" t="s">
        <v>288</v>
      </c>
      <c r="H4" s="597" t="s">
        <v>289</v>
      </c>
      <c r="I4" s="596" t="s">
        <v>278</v>
      </c>
      <c r="J4" s="925"/>
      <c r="K4" s="596">
        <v>3</v>
      </c>
      <c r="L4" s="597"/>
      <c r="M4" s="661">
        <v>46150</v>
      </c>
      <c r="N4" s="661"/>
      <c r="O4" s="596"/>
      <c r="P4" s="598" t="s">
        <v>284</v>
      </c>
      <c r="Q4" s="902" t="s">
        <v>290</v>
      </c>
      <c r="R4" s="596"/>
      <c r="S4" s="926"/>
      <c r="T4" s="714"/>
      <c r="U4" s="590"/>
      <c r="V4" s="590"/>
      <c r="W4" s="806"/>
      <c r="X4" s="806"/>
      <c r="Y4" s="806"/>
      <c r="Z4" s="624"/>
      <c r="AA4" s="601"/>
      <c r="AB4" s="596"/>
      <c r="AC4" s="596"/>
      <c r="AD4" s="598" t="s">
        <v>291</v>
      </c>
      <c r="AE4" s="855"/>
    </row>
    <row r="5" spans="1:31" s="719" customFormat="1" ht="30.75">
      <c r="A5" s="612">
        <v>4</v>
      </c>
      <c r="B5" s="851" t="s">
        <v>5</v>
      </c>
      <c r="C5" s="760">
        <v>46149</v>
      </c>
      <c r="D5" s="832">
        <v>46163</v>
      </c>
      <c r="E5" s="690" t="s">
        <v>292</v>
      </c>
      <c r="F5" s="923" t="s">
        <v>293</v>
      </c>
      <c r="G5" s="807" t="s">
        <v>294</v>
      </c>
      <c r="H5" s="634" t="s">
        <v>295</v>
      </c>
      <c r="I5" s="612" t="s">
        <v>278</v>
      </c>
      <c r="J5" s="927"/>
      <c r="K5" s="635">
        <v>2</v>
      </c>
      <c r="L5" s="634"/>
      <c r="M5" s="656">
        <v>46154</v>
      </c>
      <c r="N5" s="656"/>
      <c r="O5" s="635"/>
      <c r="P5" s="636"/>
      <c r="Q5" s="635"/>
      <c r="R5" s="635"/>
      <c r="S5" s="928"/>
      <c r="T5" s="715"/>
      <c r="U5" s="613"/>
      <c r="V5" s="633"/>
      <c r="W5" s="635"/>
      <c r="X5" s="637"/>
      <c r="Y5" s="635"/>
      <c r="Z5" s="633"/>
      <c r="AA5" s="637"/>
      <c r="AB5" s="635"/>
      <c r="AC5" s="635"/>
      <c r="AD5" s="636" t="s">
        <v>296</v>
      </c>
      <c r="AE5" s="636"/>
    </row>
    <row r="6" spans="1:31" s="603" customFormat="1" ht="15">
      <c r="A6" s="596">
        <v>5</v>
      </c>
      <c r="B6" s="856" t="s">
        <v>5</v>
      </c>
      <c r="C6" s="759">
        <v>46149</v>
      </c>
      <c r="D6" s="831">
        <v>46163</v>
      </c>
      <c r="E6" s="837" t="s">
        <v>292</v>
      </c>
      <c r="F6" s="925" t="s">
        <v>297</v>
      </c>
      <c r="G6" s="811" t="s">
        <v>298</v>
      </c>
      <c r="H6" s="599" t="s">
        <v>299</v>
      </c>
      <c r="I6" s="596" t="s">
        <v>283</v>
      </c>
      <c r="J6" s="929"/>
      <c r="K6" s="626">
        <v>2</v>
      </c>
      <c r="L6" s="599"/>
      <c r="M6" s="661">
        <v>46154</v>
      </c>
      <c r="N6" s="661"/>
      <c r="O6" s="626"/>
      <c r="P6" s="627"/>
      <c r="Q6" s="627"/>
      <c r="R6" s="626"/>
      <c r="S6" s="930"/>
      <c r="T6" s="714"/>
      <c r="U6" s="900"/>
      <c r="V6" s="900"/>
      <c r="W6" s="626"/>
      <c r="X6" s="629"/>
      <c r="Y6" s="626"/>
      <c r="Z6" s="900"/>
      <c r="AA6" s="629"/>
      <c r="AB6" s="626"/>
      <c r="AC6" s="626"/>
      <c r="AD6" s="627" t="s">
        <v>300</v>
      </c>
      <c r="AE6" s="830"/>
    </row>
    <row r="7" spans="1:31" s="621" customFormat="1" ht="31.5" customHeight="1">
      <c r="A7" s="612">
        <v>6</v>
      </c>
      <c r="B7" s="851" t="s">
        <v>5</v>
      </c>
      <c r="C7" s="760">
        <v>46149</v>
      </c>
      <c r="D7" s="832">
        <v>46163</v>
      </c>
      <c r="E7" s="690" t="s">
        <v>292</v>
      </c>
      <c r="F7" s="923" t="s">
        <v>301</v>
      </c>
      <c r="G7" s="807" t="s">
        <v>302</v>
      </c>
      <c r="H7" s="634" t="s">
        <v>303</v>
      </c>
      <c r="I7" s="612" t="s">
        <v>278</v>
      </c>
      <c r="J7" s="927"/>
      <c r="K7" s="635">
        <v>2</v>
      </c>
      <c r="L7" s="634"/>
      <c r="M7" s="656">
        <v>46155</v>
      </c>
      <c r="N7" s="656"/>
      <c r="O7" s="635"/>
      <c r="P7" s="636"/>
      <c r="Q7" s="635"/>
      <c r="R7" s="635"/>
      <c r="S7" s="928"/>
      <c r="T7" s="780"/>
      <c r="U7" s="633"/>
      <c r="V7" s="633"/>
      <c r="W7" s="635"/>
      <c r="X7" s="637"/>
      <c r="Y7" s="635"/>
      <c r="Z7" s="633"/>
      <c r="AA7" s="637"/>
      <c r="AB7" s="635"/>
      <c r="AC7" s="635"/>
      <c r="AD7" s="636" t="s">
        <v>304</v>
      </c>
      <c r="AE7" s="636"/>
    </row>
    <row r="8" spans="1:31" s="603" customFormat="1" ht="15">
      <c r="A8" s="772"/>
      <c r="B8" s="856"/>
      <c r="C8" s="764"/>
      <c r="D8" s="764"/>
      <c r="E8" s="857"/>
      <c r="F8" s="931"/>
      <c r="G8" s="858"/>
      <c r="H8" s="728"/>
      <c r="I8" s="595"/>
      <c r="J8" s="772"/>
      <c r="K8" s="773"/>
      <c r="L8" s="773"/>
      <c r="M8" s="727"/>
      <c r="N8" s="727"/>
      <c r="O8" s="773"/>
      <c r="P8" s="774"/>
      <c r="Q8" s="773"/>
      <c r="R8" s="773"/>
      <c r="S8" s="773"/>
      <c r="T8" s="667"/>
      <c r="U8" s="727"/>
      <c r="V8" s="727"/>
      <c r="W8" s="773"/>
      <c r="X8" s="774"/>
      <c r="Y8" s="773"/>
      <c r="Z8" s="727"/>
      <c r="AA8" s="773"/>
      <c r="AB8" s="773"/>
      <c r="AC8" s="773"/>
      <c r="AD8" s="881"/>
      <c r="AE8" s="774"/>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1170E7B7-D70F-4DAA-9302-8EF24F98D102}">
          <x14:formula1>
            <xm:f>Settings!$C$3:$C$20</xm:f>
          </x14:formula1>
          <xm:sqref>I2:I8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5954C-C006-4EBF-8152-2B13A31F77EC}">
  <sheetPr>
    <outlinePr summaryBelow="0" summaryRight="0"/>
  </sheetPr>
  <dimension ref="A1:AB984"/>
  <sheetViews>
    <sheetView topLeftCell="B1" workbookViewId="0"/>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54.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248</v>
      </c>
      <c r="B1" s="59" t="s">
        <v>305</v>
      </c>
      <c r="C1" s="243" t="s">
        <v>306</v>
      </c>
      <c r="D1" s="243" t="s">
        <v>307</v>
      </c>
      <c r="E1" s="59" t="s">
        <v>250</v>
      </c>
      <c r="F1" s="243" t="s">
        <v>308</v>
      </c>
      <c r="G1" s="243" t="s">
        <v>309</v>
      </c>
      <c r="H1" s="59" t="s">
        <v>310</v>
      </c>
      <c r="I1" s="59" t="s">
        <v>311</v>
      </c>
      <c r="J1" s="59" t="s">
        <v>312</v>
      </c>
      <c r="K1" s="59" t="s">
        <v>253</v>
      </c>
      <c r="L1" s="156" t="s">
        <v>313</v>
      </c>
      <c r="M1" s="483" t="s">
        <v>274</v>
      </c>
      <c r="N1" s="483" t="s">
        <v>314</v>
      </c>
      <c r="O1" s="483" t="s">
        <v>315</v>
      </c>
      <c r="P1" s="35"/>
      <c r="Q1" s="35"/>
      <c r="R1" s="35"/>
      <c r="S1" s="35"/>
      <c r="T1" s="35"/>
      <c r="U1" s="35"/>
      <c r="V1" s="35"/>
      <c r="W1" s="35"/>
      <c r="X1" s="35"/>
      <c r="Y1" s="35"/>
      <c r="Z1" s="35"/>
      <c r="AA1" s="35"/>
      <c r="AB1" s="35"/>
    </row>
    <row r="2" spans="1:28" ht="116.25" customHeight="1">
      <c r="B2" s="228"/>
      <c r="C2" s="228"/>
      <c r="D2" s="228"/>
      <c r="E2" s="228"/>
      <c r="F2" s="185"/>
      <c r="G2" s="316"/>
      <c r="H2" s="41"/>
      <c r="I2" s="41"/>
      <c r="J2" s="41"/>
      <c r="K2" s="41"/>
      <c r="L2" s="41"/>
      <c r="M2" s="216"/>
      <c r="N2" s="91"/>
      <c r="O2" s="216"/>
    </row>
    <row r="3" spans="1:28" ht="30.75" customHeight="1">
      <c r="B3" s="228"/>
      <c r="C3" s="228"/>
      <c r="D3" s="228"/>
      <c r="E3" s="228"/>
      <c r="F3" s="185"/>
      <c r="G3" s="316"/>
      <c r="H3" s="58"/>
      <c r="I3" s="41"/>
      <c r="J3" s="41"/>
      <c r="K3" s="58"/>
      <c r="L3" s="41"/>
      <c r="M3" s="58"/>
      <c r="N3" s="91"/>
      <c r="O3" s="58"/>
    </row>
    <row r="4" spans="1:28" ht="15.75" customHeight="1"/>
    <row r="5" spans="1:28" ht="15.75" customHeight="1">
      <c r="K5" s="144"/>
    </row>
    <row r="6" spans="1:28" ht="15.75" customHeight="1"/>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autoFilter ref="A1:M1" xr:uid="{3A2BB050-11AC-4ED7-A296-96B42C7FCFBA}"/>
  <dataValidations count="5">
    <dataValidation type="list" allowBlank="1" showErrorMessage="1" sqref="K2" xr:uid="{8D37AFA4-4758-45E5-B5A1-643113769406}">
      <formula1>"Open,Inprogress,Closed"</formula1>
    </dataValidation>
    <dataValidation type="list" allowBlank="1" showErrorMessage="1" sqref="I2:I3" xr:uid="{A1DE9644-DFD8-401D-8CED-3A3E7CEFDF3D}">
      <formula1>"Manual, Automation"</formula1>
    </dataValidation>
    <dataValidation type="list" allowBlank="1" showErrorMessage="1" sqref="H2" xr:uid="{8A4986BA-18F7-406C-8B12-691239944576}">
      <formula1>"Minor,Significant,Major"</formula1>
    </dataValidation>
    <dataValidation type="list" allowBlank="1" showErrorMessage="1" sqref="J2:J3" xr:uid="{99984878-51CF-4750-81A5-2877D32E6ABA}">
      <formula1>"Internal,External"</formula1>
    </dataValidation>
    <dataValidation type="list" allowBlank="1" showErrorMessage="1" sqref="F2:F3" xr:uid="{E62DACE7-36CD-4B21-8339-47A886D74E50}">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E0FA92F6-84BB-4C3A-8FFC-4EA7C59BE15F}">
          <x14:formula1>
            <xm:f>Details!$A$2:$A$10</xm:f>
          </x14:formula1>
          <xm:sqref>L2:L3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20925-4283-47DD-A7CA-C0A9B7540F88}">
  <dimension ref="A1:AE10"/>
  <sheetViews>
    <sheetView workbookViewId="0">
      <pane xSplit="7" ySplit="1" topLeftCell="H6" activePane="bottomRight" state="frozen"/>
      <selection pane="bottomRight" activeCell="U14" sqref="U14"/>
      <selection pane="bottomLeft"/>
      <selection pane="topRight"/>
    </sheetView>
  </sheetViews>
  <sheetFormatPr defaultRowHeight="12.75"/>
  <cols>
    <col min="1" max="1" width="9.140625" style="122"/>
    <col min="2" max="2" width="15.140625" style="181" customWidth="1"/>
    <col min="3" max="3" width="12.140625" style="122" customWidth="1"/>
    <col min="4" max="4" width="10.85546875" style="122" customWidth="1"/>
    <col min="5" max="5" width="33" customWidth="1"/>
    <col min="6" max="6" width="24.85546875" customWidth="1"/>
    <col min="7" max="7" width="18.85546875" customWidth="1"/>
    <col min="8" max="8" width="57.42578125" style="137" customWidth="1"/>
    <col min="9" max="9" width="16.85546875" style="122" customWidth="1"/>
    <col min="10" max="10" width="11.42578125" style="122" bestFit="1" customWidth="1"/>
    <col min="11" max="11" width="11.42578125" bestFit="1" customWidth="1"/>
    <col min="12" max="12" width="25.5703125" customWidth="1"/>
    <col min="13" max="14" width="11.42578125" customWidth="1"/>
    <col min="15" max="15" width="13.140625" customWidth="1"/>
    <col min="16" max="16" width="17" style="144" bestFit="1" customWidth="1"/>
    <col min="17" max="17" width="58.140625" customWidth="1"/>
    <col min="18" max="18" width="23.7109375" customWidth="1"/>
    <col min="19" max="19" width="14.85546875" customWidth="1"/>
    <col min="20" max="20" width="51.5703125" style="144" customWidth="1"/>
    <col min="21" max="22" width="12.7109375" bestFit="1" customWidth="1"/>
    <col min="23" max="23" width="20.5703125" customWidth="1"/>
    <col min="24" max="24" width="22.28515625" style="144" customWidth="1"/>
    <col min="25" max="25" width="11.42578125" bestFit="1" customWidth="1"/>
    <col min="26" max="26" width="12.7109375" bestFit="1" customWidth="1"/>
    <col min="27" max="27" width="52.140625" customWidth="1"/>
    <col min="28" max="29" width="11.42578125" bestFit="1" customWidth="1"/>
    <col min="30" max="30" width="78.5703125" customWidth="1"/>
    <col min="31" max="31" width="56.140625" customWidth="1"/>
  </cols>
  <sheetData>
    <row r="1" spans="1:31" ht="48">
      <c r="A1" s="379" t="s">
        <v>248</v>
      </c>
      <c r="B1" s="501" t="s">
        <v>4</v>
      </c>
      <c r="C1" s="501" t="s">
        <v>2</v>
      </c>
      <c r="D1" s="501" t="s">
        <v>3</v>
      </c>
      <c r="E1" s="380" t="s">
        <v>249</v>
      </c>
      <c r="F1" s="381" t="s">
        <v>250</v>
      </c>
      <c r="G1" s="382" t="s">
        <v>251</v>
      </c>
      <c r="H1" s="383" t="s">
        <v>252</v>
      </c>
      <c r="I1" s="697" t="s">
        <v>253</v>
      </c>
      <c r="J1" s="729" t="s">
        <v>254</v>
      </c>
      <c r="K1" s="384" t="s">
        <v>255</v>
      </c>
      <c r="L1" s="384" t="s">
        <v>256</v>
      </c>
      <c r="M1" s="384" t="s">
        <v>257</v>
      </c>
      <c r="N1" s="384" t="s">
        <v>258</v>
      </c>
      <c r="O1" s="385" t="s">
        <v>259</v>
      </c>
      <c r="P1" s="385" t="s">
        <v>260</v>
      </c>
      <c r="Q1" s="385" t="s">
        <v>261</v>
      </c>
      <c r="R1" s="385" t="s">
        <v>262</v>
      </c>
      <c r="S1" s="385" t="s">
        <v>263</v>
      </c>
      <c r="T1" s="385" t="s">
        <v>264</v>
      </c>
      <c r="U1" s="385" t="s">
        <v>265</v>
      </c>
      <c r="V1" s="385" t="s">
        <v>266</v>
      </c>
      <c r="W1" s="385" t="s">
        <v>267</v>
      </c>
      <c r="X1" s="385" t="s">
        <v>268</v>
      </c>
      <c r="Y1" s="385" t="s">
        <v>269</v>
      </c>
      <c r="Z1" s="385" t="s">
        <v>270</v>
      </c>
      <c r="AA1" s="385" t="s">
        <v>271</v>
      </c>
      <c r="AB1" s="385" t="s">
        <v>272</v>
      </c>
      <c r="AC1" s="385" t="s">
        <v>273</v>
      </c>
      <c r="AD1" s="386" t="s">
        <v>274</v>
      </c>
      <c r="AE1" s="385" t="s">
        <v>275</v>
      </c>
    </row>
    <row r="2" spans="1:31" s="603" customFormat="1" ht="45.75">
      <c r="A2" s="806">
        <v>1</v>
      </c>
      <c r="B2" s="856" t="s">
        <v>5</v>
      </c>
      <c r="C2" s="759">
        <v>46135</v>
      </c>
      <c r="D2" s="831">
        <v>46149</v>
      </c>
      <c r="E2" s="837" t="s">
        <v>220</v>
      </c>
      <c r="F2" s="838" t="s">
        <v>233</v>
      </c>
      <c r="G2" s="897" t="s">
        <v>316</v>
      </c>
      <c r="H2" s="709" t="s">
        <v>317</v>
      </c>
      <c r="I2" s="806" t="s">
        <v>13</v>
      </c>
      <c r="J2" s="806">
        <v>1</v>
      </c>
      <c r="K2" s="806">
        <v>1</v>
      </c>
      <c r="L2" s="806"/>
      <c r="M2" s="661">
        <v>46136</v>
      </c>
      <c r="N2" s="661">
        <v>46139</v>
      </c>
      <c r="O2" s="806" t="s">
        <v>318</v>
      </c>
      <c r="P2" s="806" t="s">
        <v>319</v>
      </c>
      <c r="Q2" s="814" t="s">
        <v>320</v>
      </c>
      <c r="R2" s="806" t="s">
        <v>297</v>
      </c>
      <c r="S2" s="806" t="s">
        <v>320</v>
      </c>
      <c r="T2" s="714" t="s">
        <v>321</v>
      </c>
      <c r="U2" s="708">
        <v>46139</v>
      </c>
      <c r="V2" s="708">
        <v>46143</v>
      </c>
      <c r="W2" s="806" t="s">
        <v>322</v>
      </c>
      <c r="X2" s="806" t="s">
        <v>320</v>
      </c>
      <c r="Y2" s="806" t="s">
        <v>323</v>
      </c>
      <c r="Z2" s="624">
        <v>46143</v>
      </c>
      <c r="AA2" s="814" t="s">
        <v>320</v>
      </c>
      <c r="AB2" s="806" t="s">
        <v>320</v>
      </c>
      <c r="AC2" s="806" t="s">
        <v>320</v>
      </c>
      <c r="AD2" s="812" t="s">
        <v>324</v>
      </c>
      <c r="AE2" s="588" t="s">
        <v>325</v>
      </c>
    </row>
    <row r="3" spans="1:31" s="621" customFormat="1" ht="60.75">
      <c r="A3" s="612">
        <v>2</v>
      </c>
      <c r="B3" s="851" t="s">
        <v>5</v>
      </c>
      <c r="C3" s="760">
        <v>46135</v>
      </c>
      <c r="D3" s="832">
        <v>46149</v>
      </c>
      <c r="E3" s="690" t="s">
        <v>220</v>
      </c>
      <c r="F3" s="923" t="s">
        <v>293</v>
      </c>
      <c r="G3" s="898" t="s">
        <v>326</v>
      </c>
      <c r="H3" s="608" t="s">
        <v>327</v>
      </c>
      <c r="I3" s="612" t="s">
        <v>13</v>
      </c>
      <c r="J3" s="923">
        <v>2</v>
      </c>
      <c r="K3" s="612">
        <v>2</v>
      </c>
      <c r="L3" s="608"/>
      <c r="M3" s="656">
        <v>46136</v>
      </c>
      <c r="N3" s="656">
        <v>46139</v>
      </c>
      <c r="O3" s="612" t="s">
        <v>318</v>
      </c>
      <c r="P3" s="614" t="s">
        <v>319</v>
      </c>
      <c r="Q3" s="612" t="s">
        <v>320</v>
      </c>
      <c r="R3" s="612" t="s">
        <v>234</v>
      </c>
      <c r="S3" s="924" t="s">
        <v>320</v>
      </c>
      <c r="T3" s="715" t="s">
        <v>328</v>
      </c>
      <c r="U3" s="613">
        <v>46140</v>
      </c>
      <c r="V3" s="613">
        <v>46142</v>
      </c>
      <c r="W3" s="806" t="s">
        <v>322</v>
      </c>
      <c r="X3" s="806" t="s">
        <v>320</v>
      </c>
      <c r="Y3" s="806" t="s">
        <v>323</v>
      </c>
      <c r="Z3" s="633">
        <v>46143</v>
      </c>
      <c r="AA3" s="899" t="s">
        <v>320</v>
      </c>
      <c r="AB3" s="612" t="s">
        <v>320</v>
      </c>
      <c r="AC3" s="612" t="s">
        <v>320</v>
      </c>
      <c r="AD3" s="614" t="s">
        <v>329</v>
      </c>
      <c r="AE3" s="854" t="s">
        <v>330</v>
      </c>
    </row>
    <row r="4" spans="1:31" s="603" customFormat="1" ht="60.75">
      <c r="A4" s="596">
        <v>3</v>
      </c>
      <c r="B4" s="856" t="s">
        <v>5</v>
      </c>
      <c r="C4" s="759">
        <v>46135</v>
      </c>
      <c r="D4" s="831">
        <v>46149</v>
      </c>
      <c r="E4" s="837" t="s">
        <v>220</v>
      </c>
      <c r="F4" s="925" t="s">
        <v>232</v>
      </c>
      <c r="G4" s="897" t="s">
        <v>331</v>
      </c>
      <c r="H4" s="597" t="s">
        <v>332</v>
      </c>
      <c r="I4" s="596" t="s">
        <v>13</v>
      </c>
      <c r="J4" s="925">
        <v>2</v>
      </c>
      <c r="K4" s="596">
        <v>2</v>
      </c>
      <c r="L4" s="597"/>
      <c r="M4" s="661">
        <v>46136</v>
      </c>
      <c r="N4" s="661">
        <v>46148</v>
      </c>
      <c r="O4" s="596" t="s">
        <v>318</v>
      </c>
      <c r="P4" s="598" t="s">
        <v>319</v>
      </c>
      <c r="Q4" s="601" t="s">
        <v>320</v>
      </c>
      <c r="R4" s="596" t="s">
        <v>234</v>
      </c>
      <c r="S4" s="926" t="s">
        <v>320</v>
      </c>
      <c r="T4" s="714" t="s">
        <v>333</v>
      </c>
      <c r="U4" s="590">
        <v>46146</v>
      </c>
      <c r="V4" s="590">
        <v>46149</v>
      </c>
      <c r="W4" s="596" t="s">
        <v>322</v>
      </c>
      <c r="X4" s="601" t="s">
        <v>320</v>
      </c>
      <c r="Y4" s="596" t="s">
        <v>323</v>
      </c>
      <c r="Z4" s="624">
        <v>46149</v>
      </c>
      <c r="AA4" s="601" t="s">
        <v>320</v>
      </c>
      <c r="AB4" s="596" t="s">
        <v>320</v>
      </c>
      <c r="AC4" s="596" t="s">
        <v>320</v>
      </c>
      <c r="AD4" s="855" t="s">
        <v>334</v>
      </c>
      <c r="AE4" s="855" t="s">
        <v>335</v>
      </c>
    </row>
    <row r="5" spans="1:31" s="719" customFormat="1" ht="45.75">
      <c r="A5" s="612">
        <v>4</v>
      </c>
      <c r="B5" s="892" t="s">
        <v>5</v>
      </c>
      <c r="C5" s="760">
        <v>46135</v>
      </c>
      <c r="D5" s="760">
        <v>46149</v>
      </c>
      <c r="E5" s="690" t="s">
        <v>220</v>
      </c>
      <c r="F5" s="923" t="s">
        <v>336</v>
      </c>
      <c r="G5" s="807" t="s">
        <v>337</v>
      </c>
      <c r="H5" s="634" t="s">
        <v>338</v>
      </c>
      <c r="I5" s="612" t="s">
        <v>13</v>
      </c>
      <c r="J5" s="927">
        <v>1</v>
      </c>
      <c r="K5" s="635">
        <v>1</v>
      </c>
      <c r="L5" s="634"/>
      <c r="M5" s="656">
        <v>46136</v>
      </c>
      <c r="N5" s="656">
        <v>46136</v>
      </c>
      <c r="O5" s="635" t="s">
        <v>318</v>
      </c>
      <c r="P5" s="636" t="s">
        <v>319</v>
      </c>
      <c r="Q5" s="635" t="s">
        <v>320</v>
      </c>
      <c r="R5" s="635" t="s">
        <v>234</v>
      </c>
      <c r="S5" s="928" t="s">
        <v>320</v>
      </c>
      <c r="T5" s="715" t="s">
        <v>339</v>
      </c>
      <c r="U5" s="613">
        <v>46136</v>
      </c>
      <c r="V5" s="633">
        <v>46141</v>
      </c>
      <c r="W5" s="635" t="s">
        <v>322</v>
      </c>
      <c r="X5" s="637" t="s">
        <v>320</v>
      </c>
      <c r="Y5" s="635" t="s">
        <v>323</v>
      </c>
      <c r="Z5" s="633">
        <v>46141</v>
      </c>
      <c r="AA5" s="637" t="s">
        <v>320</v>
      </c>
      <c r="AB5" s="635" t="s">
        <v>320</v>
      </c>
      <c r="AC5" s="635" t="s">
        <v>320</v>
      </c>
      <c r="AD5" s="636" t="s">
        <v>340</v>
      </c>
      <c r="AE5" s="636" t="s">
        <v>341</v>
      </c>
    </row>
    <row r="6" spans="1:31" s="603" customFormat="1" ht="121.5">
      <c r="A6" s="596">
        <v>5</v>
      </c>
      <c r="B6" s="891" t="s">
        <v>5</v>
      </c>
      <c r="C6" s="759">
        <v>46135</v>
      </c>
      <c r="D6" s="759">
        <v>46149</v>
      </c>
      <c r="E6" s="837" t="s">
        <v>220</v>
      </c>
      <c r="F6" s="932" t="s">
        <v>342</v>
      </c>
      <c r="G6" s="811" t="s">
        <v>343</v>
      </c>
      <c r="H6" s="896" t="s">
        <v>344</v>
      </c>
      <c r="I6" s="596" t="s">
        <v>13</v>
      </c>
      <c r="J6" s="929">
        <v>5</v>
      </c>
      <c r="K6" s="626">
        <v>5</v>
      </c>
      <c r="L6" s="599"/>
      <c r="M6" s="661">
        <v>46136</v>
      </c>
      <c r="N6" s="661">
        <v>46148</v>
      </c>
      <c r="O6" s="626" t="s">
        <v>318</v>
      </c>
      <c r="P6" s="627" t="s">
        <v>319</v>
      </c>
      <c r="Q6" s="627" t="s">
        <v>345</v>
      </c>
      <c r="R6" s="626" t="s">
        <v>346</v>
      </c>
      <c r="S6" s="930" t="s">
        <v>320</v>
      </c>
      <c r="T6" s="714" t="s">
        <v>347</v>
      </c>
      <c r="U6" s="900" t="s">
        <v>348</v>
      </c>
      <c r="V6" s="900" t="s">
        <v>349</v>
      </c>
      <c r="W6" s="626" t="s">
        <v>322</v>
      </c>
      <c r="X6" s="629" t="s">
        <v>320</v>
      </c>
      <c r="Y6" s="626" t="s">
        <v>323</v>
      </c>
      <c r="Z6" s="900" t="s">
        <v>349</v>
      </c>
      <c r="AA6" s="629" t="s">
        <v>350</v>
      </c>
      <c r="AB6" s="626" t="s">
        <v>320</v>
      </c>
      <c r="AC6" s="626" t="s">
        <v>320</v>
      </c>
      <c r="AD6" s="627" t="s">
        <v>351</v>
      </c>
      <c r="AE6" s="830" t="s">
        <v>352</v>
      </c>
    </row>
    <row r="7" spans="1:31" s="621" customFormat="1" ht="76.5">
      <c r="A7" s="612">
        <v>6</v>
      </c>
      <c r="B7" s="892" t="s">
        <v>5</v>
      </c>
      <c r="C7" s="760">
        <v>46135</v>
      </c>
      <c r="D7" s="760">
        <v>46149</v>
      </c>
      <c r="E7" s="847" t="s">
        <v>220</v>
      </c>
      <c r="F7" s="923" t="s">
        <v>234</v>
      </c>
      <c r="G7" s="807" t="s">
        <v>353</v>
      </c>
      <c r="H7" s="634" t="s">
        <v>354</v>
      </c>
      <c r="I7" s="612" t="s">
        <v>13</v>
      </c>
      <c r="J7" s="927">
        <v>2</v>
      </c>
      <c r="K7" s="635">
        <v>2</v>
      </c>
      <c r="L7" s="634"/>
      <c r="M7" s="656">
        <v>46136</v>
      </c>
      <c r="N7" s="656">
        <v>46140</v>
      </c>
      <c r="O7" s="635" t="s">
        <v>318</v>
      </c>
      <c r="P7" s="636" t="s">
        <v>319</v>
      </c>
      <c r="Q7" s="635" t="s">
        <v>320</v>
      </c>
      <c r="R7" s="635" t="s">
        <v>297</v>
      </c>
      <c r="S7" s="928" t="s">
        <v>320</v>
      </c>
      <c r="T7" s="780" t="s">
        <v>355</v>
      </c>
      <c r="U7" s="633">
        <v>46146</v>
      </c>
      <c r="V7" s="633">
        <v>46147</v>
      </c>
      <c r="W7" s="635" t="s">
        <v>322</v>
      </c>
      <c r="X7" s="637" t="s">
        <v>320</v>
      </c>
      <c r="Y7" s="635" t="s">
        <v>323</v>
      </c>
      <c r="Z7" s="633">
        <v>46147</v>
      </c>
      <c r="AA7" s="637" t="s">
        <v>320</v>
      </c>
      <c r="AB7" s="635" t="s">
        <v>320</v>
      </c>
      <c r="AC7" s="635" t="s">
        <v>320</v>
      </c>
      <c r="AD7" s="636" t="s">
        <v>356</v>
      </c>
      <c r="AE7" s="636" t="s">
        <v>357</v>
      </c>
    </row>
    <row r="8" spans="1:31" s="603" customFormat="1" ht="15">
      <c r="A8" s="772"/>
      <c r="B8" s="856"/>
      <c r="C8" s="764"/>
      <c r="D8" s="764"/>
      <c r="E8" s="857"/>
      <c r="F8" s="931"/>
      <c r="G8" s="858"/>
      <c r="H8" s="728"/>
      <c r="I8" s="595"/>
      <c r="J8" s="772"/>
      <c r="K8" s="773"/>
      <c r="L8" s="773"/>
      <c r="M8" s="727"/>
      <c r="N8" s="727"/>
      <c r="O8" s="773"/>
      <c r="P8" s="774"/>
      <c r="Q8" s="773"/>
      <c r="R8" s="773"/>
      <c r="S8" s="773"/>
      <c r="T8" s="667"/>
      <c r="U8" s="727"/>
      <c r="V8" s="727"/>
      <c r="W8" s="773"/>
      <c r="X8" s="774"/>
      <c r="Y8" s="773"/>
      <c r="Z8" s="727"/>
      <c r="AA8" s="773"/>
      <c r="AB8" s="773"/>
      <c r="AC8" s="773"/>
      <c r="AD8" s="881"/>
      <c r="AE8" s="774"/>
    </row>
    <row r="10" spans="1:31">
      <c r="F10" s="603"/>
    </row>
  </sheetData>
  <hyperlinks>
    <hyperlink ref="T5" r:id="rId1" xr:uid="{316AAA89-572F-4E26-9ACE-A376360B0063}"/>
    <hyperlink ref="T3" r:id="rId2" xr:uid="{2758E83C-9A7D-4644-BA7A-618908300ABC}"/>
    <hyperlink ref="T2" r:id="rId3" xr:uid="{5A77310F-9CA5-40A6-B281-29FD4672FAA7}"/>
    <hyperlink ref="T6" r:id="rId4" display="https://greatergiving.visualstudio.com/Greater%20Giving/_git/Donor/pullrequest/9530" xr:uid="{76E330AB-7C46-4D4A-A624-284C32145E64}"/>
    <hyperlink ref="T4" r:id="rId5" xr:uid="{6718EC48-C543-468A-97F4-32B8FD927292}"/>
  </hyperlinks>
  <pageMargins left="0.7" right="0.7" top="0.75" bottom="0.75" header="0.3" footer="0.3"/>
  <tableParts count="1">
    <tablePart r:id="rId6"/>
  </tableParts>
  <extLst>
    <ext xmlns:x14="http://schemas.microsoft.com/office/spreadsheetml/2009/9/main" uri="{CCE6A557-97BC-4b89-ADB6-D9C93CAAB3DF}">
      <x14:dataValidations xmlns:xm="http://schemas.microsoft.com/office/excel/2006/main" count="1">
        <x14:dataValidation type="list" allowBlank="1" showErrorMessage="1" xr:uid="{554CC37C-18F0-4F5C-8202-3E6005A9D0DA}">
          <x14:formula1>
            <xm:f>Settings!$C$3:$C$20</xm:f>
          </x14:formula1>
          <xm:sqref>I2:I8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43B1F-C674-4B7C-97A4-3CF5B6ADFC12}">
  <sheetPr>
    <outlinePr summaryBelow="0" summaryRight="0"/>
  </sheetPr>
  <dimension ref="A1:AB984"/>
  <sheetViews>
    <sheetView topLeftCell="B1" workbookViewId="0"/>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54.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248</v>
      </c>
      <c r="B1" s="59" t="s">
        <v>305</v>
      </c>
      <c r="C1" s="243" t="s">
        <v>306</v>
      </c>
      <c r="D1" s="243" t="s">
        <v>307</v>
      </c>
      <c r="E1" s="59" t="s">
        <v>250</v>
      </c>
      <c r="F1" s="243" t="s">
        <v>308</v>
      </c>
      <c r="G1" s="243" t="s">
        <v>309</v>
      </c>
      <c r="H1" s="59" t="s">
        <v>310</v>
      </c>
      <c r="I1" s="59" t="s">
        <v>311</v>
      </c>
      <c r="J1" s="59" t="s">
        <v>312</v>
      </c>
      <c r="K1" s="59" t="s">
        <v>253</v>
      </c>
      <c r="L1" s="156" t="s">
        <v>313</v>
      </c>
      <c r="M1" s="483" t="s">
        <v>274</v>
      </c>
      <c r="N1" s="483" t="s">
        <v>314</v>
      </c>
      <c r="O1" s="483" t="s">
        <v>315</v>
      </c>
      <c r="P1" s="35"/>
      <c r="Q1" s="35"/>
      <c r="R1" s="35"/>
      <c r="S1" s="35"/>
      <c r="T1" s="35"/>
      <c r="U1" s="35"/>
      <c r="V1" s="35"/>
      <c r="W1" s="35"/>
      <c r="X1" s="35"/>
      <c r="Y1" s="35"/>
      <c r="Z1" s="35"/>
      <c r="AA1" s="35"/>
      <c r="AB1" s="35"/>
    </row>
    <row r="2" spans="1:28" ht="116.25" customHeight="1">
      <c r="B2" s="228"/>
      <c r="C2" s="228"/>
      <c r="D2" s="228"/>
      <c r="E2" s="228"/>
      <c r="F2" s="185"/>
      <c r="G2" s="316"/>
      <c r="H2" s="41"/>
      <c r="I2" s="41"/>
      <c r="J2" s="41"/>
      <c r="K2" s="41"/>
      <c r="L2" s="41"/>
      <c r="M2" s="216"/>
      <c r="N2" s="91"/>
      <c r="O2" s="216"/>
    </row>
    <row r="3" spans="1:28" ht="30.75" customHeight="1">
      <c r="B3" s="228"/>
      <c r="C3" s="228"/>
      <c r="D3" s="228"/>
      <c r="E3" s="228"/>
      <c r="F3" s="185"/>
      <c r="G3" s="316"/>
      <c r="H3" s="58"/>
      <c r="I3" s="41"/>
      <c r="J3" s="41"/>
      <c r="K3" s="58"/>
      <c r="L3" s="41"/>
      <c r="M3" s="58"/>
      <c r="N3" s="91"/>
      <c r="O3" s="58"/>
    </row>
    <row r="4" spans="1:28" ht="15.75" customHeight="1"/>
    <row r="5" spans="1:28" ht="15.75" customHeight="1">
      <c r="K5" s="144"/>
    </row>
    <row r="6" spans="1:28" ht="15.75" customHeight="1"/>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autoFilter ref="A1:M1" xr:uid="{3A2BB050-11AC-4ED7-A296-96B42C7FCFBA}"/>
  <dataValidations count="5">
    <dataValidation type="list" allowBlank="1" showErrorMessage="1" sqref="F2:F3" xr:uid="{89A771F0-6066-4002-9525-739ABB6088D4}">
      <formula1>"Bounceback,Defect,None"</formula1>
    </dataValidation>
    <dataValidation type="list" allowBlank="1" showErrorMessage="1" sqref="J2:J3" xr:uid="{E180984F-CA24-4745-B7CE-0C769DE0CAA5}">
      <formula1>"Internal,External"</formula1>
    </dataValidation>
    <dataValidation type="list" allowBlank="1" showErrorMessage="1" sqref="H2" xr:uid="{B515800E-194F-463E-AEF3-012A6B270AED}">
      <formula1>"Minor,Significant,Major"</formula1>
    </dataValidation>
    <dataValidation type="list" allowBlank="1" showErrorMessage="1" sqref="I2:I3" xr:uid="{234D64DC-4068-4D3A-881F-74D498F4D2CA}">
      <formula1>"Manual, Automation"</formula1>
    </dataValidation>
    <dataValidation type="list" allowBlank="1" showErrorMessage="1" sqref="K2" xr:uid="{2EF1B514-F324-43CF-ABAF-E089EC94AB25}">
      <formula1>"Open,Inprogress,Closed"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A84AB098-9C07-473F-BFDF-C680A2C680F6}">
          <x14:formula1>
            <xm:f>Details!$A$2:$A$10</xm:f>
          </x14:formula1>
          <xm:sqref>L2:L3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207D2-F6B8-429E-A5E3-8FD9DEF4A3DB}">
  <dimension ref="A1:AE12"/>
  <sheetViews>
    <sheetView workbookViewId="0">
      <pane xSplit="7" ySplit="1" topLeftCell="L5" activePane="bottomRight" state="frozen"/>
      <selection pane="bottomRight" activeCell="G4" sqref="G4"/>
      <selection pane="bottomLeft"/>
      <selection pane="topRight"/>
    </sheetView>
  </sheetViews>
  <sheetFormatPr defaultRowHeight="12.75"/>
  <cols>
    <col min="1" max="1" width="9.140625" style="122"/>
    <col min="2" max="2" width="15.140625" style="181" customWidth="1"/>
    <col min="3" max="3" width="12.140625" style="122" customWidth="1"/>
    <col min="4" max="4" width="10.85546875" style="122" customWidth="1"/>
    <col min="5" max="5" width="33" customWidth="1"/>
    <col min="6" max="6" width="20.85546875" customWidth="1"/>
    <col min="7" max="7" width="18.85546875" customWidth="1"/>
    <col min="8" max="8" width="57.42578125" style="137" customWidth="1"/>
    <col min="9" max="9" width="16.85546875" style="122" customWidth="1"/>
    <col min="10" max="10" width="11.42578125" style="122" bestFit="1" customWidth="1"/>
    <col min="11" max="11" width="11.42578125" bestFit="1" customWidth="1"/>
    <col min="12" max="12" width="25.5703125" customWidth="1"/>
    <col min="13" max="14" width="11.42578125" customWidth="1"/>
    <col min="15" max="15" width="13.140625" customWidth="1"/>
    <col min="16" max="16" width="17" style="144" bestFit="1" customWidth="1"/>
    <col min="17" max="17" width="58.140625" customWidth="1"/>
    <col min="18" max="18" width="23.7109375" customWidth="1"/>
    <col min="19" max="19" width="14.85546875" customWidth="1"/>
    <col min="20" max="20" width="51.5703125" style="144" customWidth="1"/>
    <col min="21" max="22" width="12.7109375" bestFit="1" customWidth="1"/>
    <col min="23" max="23" width="20.5703125" customWidth="1"/>
    <col min="24" max="24" width="22.28515625" style="144" customWidth="1"/>
    <col min="25" max="25" width="11.42578125" bestFit="1" customWidth="1"/>
    <col min="26" max="26" width="12.7109375" bestFit="1" customWidth="1"/>
    <col min="27" max="27" width="52.140625" customWidth="1"/>
    <col min="28" max="29" width="11.42578125" bestFit="1" customWidth="1"/>
    <col min="30" max="30" width="78.5703125" customWidth="1"/>
    <col min="31" max="31" width="56.140625" customWidth="1"/>
  </cols>
  <sheetData>
    <row r="1" spans="1:31" ht="48">
      <c r="A1" s="379" t="s">
        <v>248</v>
      </c>
      <c r="B1" s="501" t="s">
        <v>4</v>
      </c>
      <c r="C1" s="501" t="s">
        <v>2</v>
      </c>
      <c r="D1" s="501" t="s">
        <v>3</v>
      </c>
      <c r="E1" s="380" t="s">
        <v>249</v>
      </c>
      <c r="F1" s="381" t="s">
        <v>250</v>
      </c>
      <c r="G1" s="382" t="s">
        <v>251</v>
      </c>
      <c r="H1" s="383" t="s">
        <v>252</v>
      </c>
      <c r="I1" s="697" t="s">
        <v>253</v>
      </c>
      <c r="J1" s="729" t="s">
        <v>254</v>
      </c>
      <c r="K1" s="384" t="s">
        <v>255</v>
      </c>
      <c r="L1" s="384" t="s">
        <v>256</v>
      </c>
      <c r="M1" s="384" t="s">
        <v>257</v>
      </c>
      <c r="N1" s="384" t="s">
        <v>258</v>
      </c>
      <c r="O1" s="385" t="s">
        <v>259</v>
      </c>
      <c r="P1" s="385" t="s">
        <v>260</v>
      </c>
      <c r="Q1" s="385" t="s">
        <v>261</v>
      </c>
      <c r="R1" s="385" t="s">
        <v>262</v>
      </c>
      <c r="S1" s="385" t="s">
        <v>263</v>
      </c>
      <c r="T1" s="385" t="s">
        <v>264</v>
      </c>
      <c r="U1" s="385" t="s">
        <v>265</v>
      </c>
      <c r="V1" s="385" t="s">
        <v>266</v>
      </c>
      <c r="W1" s="385" t="s">
        <v>267</v>
      </c>
      <c r="X1" s="385" t="s">
        <v>268</v>
      </c>
      <c r="Y1" s="385" t="s">
        <v>269</v>
      </c>
      <c r="Z1" s="385" t="s">
        <v>270</v>
      </c>
      <c r="AA1" s="385" t="s">
        <v>271</v>
      </c>
      <c r="AB1" s="385" t="s">
        <v>272</v>
      </c>
      <c r="AC1" s="385" t="s">
        <v>273</v>
      </c>
      <c r="AD1" s="386" t="s">
        <v>274</v>
      </c>
      <c r="AE1" s="385" t="s">
        <v>275</v>
      </c>
    </row>
    <row r="2" spans="1:31" s="603" customFormat="1" ht="76.5">
      <c r="A2" s="806">
        <v>1</v>
      </c>
      <c r="B2" s="856" t="s">
        <v>5</v>
      </c>
      <c r="C2" s="759">
        <v>46121</v>
      </c>
      <c r="D2" s="831">
        <v>46135</v>
      </c>
      <c r="E2" s="837" t="s">
        <v>358</v>
      </c>
      <c r="F2" s="838" t="s">
        <v>293</v>
      </c>
      <c r="G2" s="850" t="s">
        <v>359</v>
      </c>
      <c r="H2" s="709" t="s">
        <v>360</v>
      </c>
      <c r="I2" s="806" t="s">
        <v>13</v>
      </c>
      <c r="J2" s="806">
        <v>3</v>
      </c>
      <c r="K2" s="806">
        <v>3</v>
      </c>
      <c r="L2" s="806"/>
      <c r="M2" s="661">
        <v>46122</v>
      </c>
      <c r="N2" s="661">
        <v>46129</v>
      </c>
      <c r="O2" s="806" t="s">
        <v>318</v>
      </c>
      <c r="P2" s="806" t="s">
        <v>284</v>
      </c>
      <c r="Q2" s="814" t="s">
        <v>361</v>
      </c>
      <c r="R2" s="806" t="s">
        <v>362</v>
      </c>
      <c r="S2" s="806" t="s">
        <v>320</v>
      </c>
      <c r="T2" s="714" t="s">
        <v>363</v>
      </c>
      <c r="U2" s="708">
        <v>46127</v>
      </c>
      <c r="V2" s="708">
        <v>46129</v>
      </c>
      <c r="W2" s="806" t="s">
        <v>322</v>
      </c>
      <c r="X2" s="806" t="s">
        <v>320</v>
      </c>
      <c r="Y2" s="806" t="s">
        <v>323</v>
      </c>
      <c r="Z2" s="661">
        <v>46129</v>
      </c>
      <c r="AA2" s="814" t="s">
        <v>320</v>
      </c>
      <c r="AB2" s="806" t="s">
        <v>320</v>
      </c>
      <c r="AC2" s="806" t="s">
        <v>320</v>
      </c>
      <c r="AD2" s="812" t="s">
        <v>364</v>
      </c>
      <c r="AE2" s="824" t="s">
        <v>365</v>
      </c>
    </row>
    <row r="3" spans="1:31" s="621" customFormat="1" ht="45.75">
      <c r="A3" s="612">
        <v>2</v>
      </c>
      <c r="B3" s="851" t="s">
        <v>5</v>
      </c>
      <c r="C3" s="760">
        <v>46121</v>
      </c>
      <c r="D3" s="760">
        <v>46135</v>
      </c>
      <c r="E3" s="847" t="s">
        <v>358</v>
      </c>
      <c r="F3" s="923" t="s">
        <v>366</v>
      </c>
      <c r="G3" s="848" t="s">
        <v>367</v>
      </c>
      <c r="H3" s="608" t="s">
        <v>368</v>
      </c>
      <c r="I3" s="608" t="s">
        <v>13</v>
      </c>
      <c r="J3" s="923">
        <v>3</v>
      </c>
      <c r="K3" s="608">
        <v>3</v>
      </c>
      <c r="L3" s="608"/>
      <c r="M3" s="656">
        <v>46122</v>
      </c>
      <c r="N3" s="656">
        <v>46125</v>
      </c>
      <c r="O3" s="608" t="s">
        <v>318</v>
      </c>
      <c r="P3" s="614" t="s">
        <v>284</v>
      </c>
      <c r="Q3" s="608" t="s">
        <v>320</v>
      </c>
      <c r="R3" s="608" t="s">
        <v>233</v>
      </c>
      <c r="S3" s="924" t="s">
        <v>320</v>
      </c>
      <c r="T3" s="780" t="s">
        <v>369</v>
      </c>
      <c r="U3" s="760">
        <v>46125</v>
      </c>
      <c r="V3" s="760">
        <v>46125</v>
      </c>
      <c r="W3" s="608" t="s">
        <v>322</v>
      </c>
      <c r="X3" s="614" t="s">
        <v>320</v>
      </c>
      <c r="Y3" s="608" t="s">
        <v>323</v>
      </c>
      <c r="Z3" s="656">
        <v>46125</v>
      </c>
      <c r="AA3" s="614" t="s">
        <v>320</v>
      </c>
      <c r="AB3" s="608" t="s">
        <v>320</v>
      </c>
      <c r="AC3" s="608" t="s">
        <v>320</v>
      </c>
      <c r="AD3" s="614" t="s">
        <v>370</v>
      </c>
      <c r="AE3" s="854" t="s">
        <v>371</v>
      </c>
    </row>
    <row r="4" spans="1:31" s="603" customFormat="1" ht="152.25">
      <c r="A4" s="596">
        <v>3</v>
      </c>
      <c r="B4" s="856" t="s">
        <v>5</v>
      </c>
      <c r="C4" s="759">
        <v>46121</v>
      </c>
      <c r="D4" s="759">
        <v>46135</v>
      </c>
      <c r="E4" s="849" t="s">
        <v>358</v>
      </c>
      <c r="F4" s="925" t="s">
        <v>232</v>
      </c>
      <c r="G4" s="850" t="s">
        <v>372</v>
      </c>
      <c r="H4" s="597" t="s">
        <v>373</v>
      </c>
      <c r="I4" s="597" t="s">
        <v>13</v>
      </c>
      <c r="J4" s="925">
        <v>5</v>
      </c>
      <c r="K4" s="597">
        <v>5</v>
      </c>
      <c r="L4" s="597"/>
      <c r="M4" s="661">
        <v>46122</v>
      </c>
      <c r="N4" s="661">
        <v>46135</v>
      </c>
      <c r="O4" s="597" t="s">
        <v>318</v>
      </c>
      <c r="P4" s="598" t="s">
        <v>284</v>
      </c>
      <c r="Q4" s="598" t="s">
        <v>374</v>
      </c>
      <c r="R4" s="597" t="s">
        <v>234</v>
      </c>
      <c r="S4" s="926" t="s">
        <v>320</v>
      </c>
      <c r="T4" s="714" t="s">
        <v>375</v>
      </c>
      <c r="U4" s="759">
        <v>46127</v>
      </c>
      <c r="V4" s="759">
        <v>46135</v>
      </c>
      <c r="W4" s="597" t="s">
        <v>322</v>
      </c>
      <c r="X4" s="598" t="s">
        <v>320</v>
      </c>
      <c r="Y4" s="597" t="s">
        <v>323</v>
      </c>
      <c r="Z4" s="661">
        <v>46135</v>
      </c>
      <c r="AA4" s="598" t="s">
        <v>320</v>
      </c>
      <c r="AB4" s="597" t="s">
        <v>320</v>
      </c>
      <c r="AC4" s="597" t="s">
        <v>320</v>
      </c>
      <c r="AD4" s="598" t="s">
        <v>376</v>
      </c>
      <c r="AE4" s="855" t="s">
        <v>377</v>
      </c>
    </row>
    <row r="5" spans="1:31" s="719" customFormat="1" ht="60">
      <c r="A5" s="718">
        <v>4</v>
      </c>
      <c r="B5" s="851" t="s">
        <v>5</v>
      </c>
      <c r="C5" s="765">
        <v>46121</v>
      </c>
      <c r="D5" s="765">
        <v>46135</v>
      </c>
      <c r="E5" s="852" t="s">
        <v>378</v>
      </c>
      <c r="F5" s="933" t="s">
        <v>233</v>
      </c>
      <c r="G5" s="879" t="s">
        <v>316</v>
      </c>
      <c r="H5" s="498" t="s">
        <v>317</v>
      </c>
      <c r="I5" s="766" t="s">
        <v>278</v>
      </c>
      <c r="J5" s="718">
        <v>2</v>
      </c>
      <c r="M5" s="731">
        <v>46125</v>
      </c>
      <c r="N5" s="731">
        <v>46128</v>
      </c>
      <c r="O5" s="719" t="s">
        <v>318</v>
      </c>
      <c r="P5" s="720" t="s">
        <v>284</v>
      </c>
      <c r="Q5" s="719" t="s">
        <v>320</v>
      </c>
      <c r="R5" s="719" t="s">
        <v>297</v>
      </c>
      <c r="S5" s="719" t="s">
        <v>320</v>
      </c>
      <c r="T5" s="668" t="s">
        <v>321</v>
      </c>
      <c r="U5" s="762">
        <v>46128</v>
      </c>
      <c r="W5" s="719" t="s">
        <v>322</v>
      </c>
      <c r="X5" s="720" t="s">
        <v>320</v>
      </c>
      <c r="Y5" s="719" t="s">
        <v>323</v>
      </c>
      <c r="AB5" s="719" t="s">
        <v>320</v>
      </c>
      <c r="AC5" s="719" t="s">
        <v>320</v>
      </c>
      <c r="AD5" s="720" t="s">
        <v>379</v>
      </c>
      <c r="AE5" s="720" t="s">
        <v>380</v>
      </c>
    </row>
    <row r="6" spans="1:31" s="603" customFormat="1" ht="24">
      <c r="A6" s="772">
        <v>5</v>
      </c>
      <c r="B6" s="856" t="s">
        <v>5</v>
      </c>
      <c r="C6" s="764">
        <v>46121</v>
      </c>
      <c r="D6" s="764">
        <v>46135</v>
      </c>
      <c r="E6" s="857" t="s">
        <v>378</v>
      </c>
      <c r="F6" s="931" t="s">
        <v>234</v>
      </c>
      <c r="G6" s="858" t="s">
        <v>381</v>
      </c>
      <c r="H6" s="728" t="s">
        <v>382</v>
      </c>
      <c r="I6" s="595" t="s">
        <v>13</v>
      </c>
      <c r="J6" s="772">
        <v>1</v>
      </c>
      <c r="K6" s="773">
        <v>1</v>
      </c>
      <c r="L6" s="773"/>
      <c r="M6" s="727">
        <v>46126</v>
      </c>
      <c r="N6" s="727">
        <v>46127</v>
      </c>
      <c r="O6" s="773" t="s">
        <v>318</v>
      </c>
      <c r="P6" s="774" t="s">
        <v>284</v>
      </c>
      <c r="Q6" s="774" t="s">
        <v>383</v>
      </c>
      <c r="R6" s="773" t="s">
        <v>297</v>
      </c>
      <c r="S6" s="773" t="s">
        <v>320</v>
      </c>
      <c r="T6" s="774" t="s">
        <v>384</v>
      </c>
      <c r="U6" s="727">
        <v>46127</v>
      </c>
      <c r="V6" s="727">
        <v>46129</v>
      </c>
      <c r="W6" s="773" t="s">
        <v>322</v>
      </c>
      <c r="X6" s="774" t="s">
        <v>320</v>
      </c>
      <c r="Y6" s="773" t="s">
        <v>323</v>
      </c>
      <c r="Z6" s="727">
        <v>46129</v>
      </c>
      <c r="AA6" s="773" t="s">
        <v>320</v>
      </c>
      <c r="AB6" s="773" t="s">
        <v>320</v>
      </c>
      <c r="AC6" s="773" t="s">
        <v>320</v>
      </c>
      <c r="AD6" s="774" t="s">
        <v>385</v>
      </c>
      <c r="AE6" s="774" t="s">
        <v>386</v>
      </c>
    </row>
    <row r="7" spans="1:31" ht="24">
      <c r="A7" s="718">
        <v>6</v>
      </c>
      <c r="B7" s="851" t="s">
        <v>5</v>
      </c>
      <c r="C7" s="765">
        <v>46121</v>
      </c>
      <c r="D7" s="765">
        <v>46135</v>
      </c>
      <c r="E7" s="852" t="s">
        <v>378</v>
      </c>
      <c r="F7" s="933" t="s">
        <v>297</v>
      </c>
      <c r="G7" s="853" t="s">
        <v>387</v>
      </c>
      <c r="H7" s="498" t="s">
        <v>388</v>
      </c>
      <c r="I7" s="766" t="s">
        <v>13</v>
      </c>
      <c r="J7" s="718">
        <v>2</v>
      </c>
      <c r="K7" s="719">
        <v>2</v>
      </c>
      <c r="L7" s="719"/>
      <c r="M7" s="731">
        <v>46126</v>
      </c>
      <c r="N7" s="727">
        <v>46127</v>
      </c>
      <c r="O7" s="719" t="s">
        <v>318</v>
      </c>
      <c r="P7" s="720" t="s">
        <v>284</v>
      </c>
      <c r="Q7" s="719" t="s">
        <v>320</v>
      </c>
      <c r="R7" s="719" t="s">
        <v>234</v>
      </c>
      <c r="S7" s="719" t="s">
        <v>320</v>
      </c>
      <c r="T7" s="668" t="s">
        <v>389</v>
      </c>
      <c r="U7" s="727">
        <v>46127</v>
      </c>
      <c r="V7" s="727">
        <v>46127</v>
      </c>
      <c r="W7" s="719" t="s">
        <v>322</v>
      </c>
      <c r="X7" s="720" t="s">
        <v>320</v>
      </c>
      <c r="Y7" s="719" t="s">
        <v>323</v>
      </c>
      <c r="Z7" s="731">
        <v>46127</v>
      </c>
      <c r="AA7" s="719" t="s">
        <v>320</v>
      </c>
      <c r="AB7" s="719" t="s">
        <v>320</v>
      </c>
      <c r="AC7" s="719" t="s">
        <v>320</v>
      </c>
      <c r="AD7" s="720" t="s">
        <v>390</v>
      </c>
      <c r="AE7" s="719" t="s">
        <v>391</v>
      </c>
    </row>
    <row r="8" spans="1:31" s="603" customFormat="1" ht="24">
      <c r="A8" s="772">
        <v>7</v>
      </c>
      <c r="B8" s="856" t="s">
        <v>5</v>
      </c>
      <c r="C8" s="764">
        <v>46121</v>
      </c>
      <c r="D8" s="764">
        <v>46135</v>
      </c>
      <c r="E8" s="857" t="s">
        <v>392</v>
      </c>
      <c r="F8" s="931" t="s">
        <v>297</v>
      </c>
      <c r="G8" s="858" t="s">
        <v>393</v>
      </c>
      <c r="H8" s="728" t="s">
        <v>394</v>
      </c>
      <c r="I8" s="595" t="s">
        <v>13</v>
      </c>
      <c r="J8" s="772">
        <v>1</v>
      </c>
      <c r="K8" s="773">
        <v>1</v>
      </c>
      <c r="L8" s="773"/>
      <c r="M8" s="727">
        <v>46128</v>
      </c>
      <c r="N8" s="727">
        <v>46130</v>
      </c>
      <c r="O8" s="773" t="s">
        <v>318</v>
      </c>
      <c r="P8" s="774" t="s">
        <v>284</v>
      </c>
      <c r="Q8" s="773" t="s">
        <v>320</v>
      </c>
      <c r="R8" s="773" t="s">
        <v>234</v>
      </c>
      <c r="S8" s="773" t="s">
        <v>320</v>
      </c>
      <c r="T8" s="667" t="s">
        <v>395</v>
      </c>
      <c r="U8" s="727">
        <v>46129</v>
      </c>
      <c r="V8" s="727">
        <v>46132</v>
      </c>
      <c r="W8" s="773" t="s">
        <v>322</v>
      </c>
      <c r="X8" s="774" t="s">
        <v>320</v>
      </c>
      <c r="Y8" s="773" t="s">
        <v>323</v>
      </c>
      <c r="Z8" s="727">
        <v>46132</v>
      </c>
      <c r="AA8" s="773" t="s">
        <v>320</v>
      </c>
      <c r="AB8" s="773" t="s">
        <v>320</v>
      </c>
      <c r="AC8" s="773" t="s">
        <v>320</v>
      </c>
      <c r="AD8" s="881" t="s">
        <v>396</v>
      </c>
      <c r="AE8" s="774" t="s">
        <v>397</v>
      </c>
    </row>
    <row r="9" spans="1:31" ht="36">
      <c r="A9" s="718">
        <v>8</v>
      </c>
      <c r="B9" s="851" t="s">
        <v>5</v>
      </c>
      <c r="C9" s="765">
        <v>46121</v>
      </c>
      <c r="D9" s="765">
        <v>46135</v>
      </c>
      <c r="E9" s="852" t="s">
        <v>398</v>
      </c>
      <c r="F9" s="933" t="s">
        <v>399</v>
      </c>
      <c r="G9" s="853" t="s">
        <v>400</v>
      </c>
      <c r="H9" s="498" t="s">
        <v>401</v>
      </c>
      <c r="I9" s="766" t="s">
        <v>13</v>
      </c>
      <c r="J9" s="718">
        <v>2</v>
      </c>
      <c r="K9" s="719">
        <v>2</v>
      </c>
      <c r="L9" s="719"/>
      <c r="M9" s="731">
        <v>46127</v>
      </c>
      <c r="N9" s="731">
        <v>46128</v>
      </c>
      <c r="O9" s="719" t="s">
        <v>318</v>
      </c>
      <c r="P9" s="720" t="s">
        <v>284</v>
      </c>
      <c r="Q9" s="719" t="s">
        <v>320</v>
      </c>
      <c r="R9" s="719" t="s">
        <v>297</v>
      </c>
      <c r="S9" s="719" t="s">
        <v>320</v>
      </c>
      <c r="T9" s="720" t="s">
        <v>402</v>
      </c>
      <c r="U9" s="731">
        <v>46127</v>
      </c>
      <c r="V9" s="731">
        <v>46128</v>
      </c>
      <c r="W9" s="719" t="s">
        <v>322</v>
      </c>
      <c r="X9" s="720" t="s">
        <v>320</v>
      </c>
      <c r="Y9" s="719" t="s">
        <v>323</v>
      </c>
      <c r="Z9" s="880">
        <v>46128</v>
      </c>
      <c r="AA9" s="719" t="s">
        <v>320</v>
      </c>
      <c r="AB9" s="719" t="s">
        <v>320</v>
      </c>
      <c r="AC9" s="719" t="s">
        <v>320</v>
      </c>
      <c r="AD9" s="720" t="s">
        <v>403</v>
      </c>
      <c r="AE9" s="719"/>
    </row>
    <row r="10" spans="1:31" s="603" customFormat="1" ht="24">
      <c r="A10" s="772">
        <v>9</v>
      </c>
      <c r="B10" s="856" t="s">
        <v>5</v>
      </c>
      <c r="C10" s="764">
        <v>46121</v>
      </c>
      <c r="D10" s="764">
        <v>46135</v>
      </c>
      <c r="E10" s="857" t="s">
        <v>392</v>
      </c>
      <c r="F10" s="931" t="s">
        <v>234</v>
      </c>
      <c r="G10" s="858" t="s">
        <v>353</v>
      </c>
      <c r="H10" s="717" t="s">
        <v>354</v>
      </c>
      <c r="I10" s="597" t="s">
        <v>278</v>
      </c>
      <c r="J10" s="882">
        <v>3</v>
      </c>
      <c r="K10" s="883"/>
      <c r="L10" s="883"/>
      <c r="M10" s="884">
        <v>46129</v>
      </c>
      <c r="N10" s="883"/>
      <c r="O10" s="883"/>
      <c r="P10" s="885"/>
      <c r="Q10" s="883"/>
      <c r="R10" s="883"/>
      <c r="S10" s="883"/>
      <c r="T10" s="885"/>
      <c r="U10" s="883"/>
      <c r="V10" s="883"/>
      <c r="W10" s="883"/>
      <c r="X10" s="885"/>
      <c r="Y10" s="883"/>
      <c r="Z10" s="883"/>
      <c r="AA10" s="883"/>
      <c r="AB10" s="883"/>
      <c r="AC10" s="883"/>
      <c r="AD10" s="885" t="s">
        <v>404</v>
      </c>
      <c r="AE10" s="883" t="s">
        <v>405</v>
      </c>
    </row>
    <row r="11" spans="1:31" ht="24">
      <c r="A11" s="122">
        <v>10</v>
      </c>
      <c r="B11" s="181" t="s">
        <v>5</v>
      </c>
      <c r="C11" s="765">
        <v>46121</v>
      </c>
      <c r="D11" s="765">
        <v>46135</v>
      </c>
      <c r="E11" s="852" t="s">
        <v>406</v>
      </c>
      <c r="F11" s="923" t="s">
        <v>233</v>
      </c>
      <c r="G11" t="s">
        <v>407</v>
      </c>
      <c r="H11" s="229" t="s">
        <v>408</v>
      </c>
      <c r="I11" s="608" t="s">
        <v>13</v>
      </c>
      <c r="J11" s="886">
        <v>1</v>
      </c>
      <c r="K11" s="218">
        <v>1</v>
      </c>
      <c r="L11" s="218"/>
      <c r="M11" s="349">
        <v>46132</v>
      </c>
      <c r="N11" s="349">
        <v>46132</v>
      </c>
      <c r="O11" s="218" t="s">
        <v>318</v>
      </c>
      <c r="P11" s="333" t="s">
        <v>284</v>
      </c>
      <c r="Q11" s="218" t="s">
        <v>320</v>
      </c>
      <c r="R11" s="218" t="s">
        <v>297</v>
      </c>
      <c r="S11" s="218" t="s">
        <v>320</v>
      </c>
      <c r="T11" s="271" t="s">
        <v>409</v>
      </c>
      <c r="U11" s="887">
        <v>46132</v>
      </c>
      <c r="V11" s="887">
        <v>46132</v>
      </c>
      <c r="W11" s="888" t="s">
        <v>322</v>
      </c>
      <c r="X11" s="889" t="s">
        <v>320</v>
      </c>
      <c r="Y11" s="888" t="s">
        <v>323</v>
      </c>
      <c r="Z11" s="890">
        <v>46134</v>
      </c>
      <c r="AA11" s="218" t="s">
        <v>320</v>
      </c>
      <c r="AB11" s="218" t="s">
        <v>320</v>
      </c>
      <c r="AC11" s="218" t="s">
        <v>320</v>
      </c>
      <c r="AD11" s="218" t="s">
        <v>410</v>
      </c>
      <c r="AE11" s="218"/>
    </row>
    <row r="12" spans="1:31" s="603" customFormat="1" ht="36">
      <c r="A12" s="893">
        <v>11</v>
      </c>
      <c r="B12" s="730" t="s">
        <v>5</v>
      </c>
      <c r="C12" s="764">
        <v>46121</v>
      </c>
      <c r="D12" s="764">
        <v>46135</v>
      </c>
      <c r="E12" s="894" t="s">
        <v>406</v>
      </c>
      <c r="F12" s="773" t="s">
        <v>293</v>
      </c>
      <c r="G12" s="895" t="s">
        <v>326</v>
      </c>
      <c r="H12" s="752" t="s">
        <v>327</v>
      </c>
      <c r="I12" s="772" t="s">
        <v>278</v>
      </c>
      <c r="J12" s="772">
        <v>3</v>
      </c>
      <c r="K12" s="773"/>
      <c r="L12" s="773"/>
      <c r="M12" s="727">
        <v>46134</v>
      </c>
      <c r="N12" s="773"/>
      <c r="O12" s="773"/>
      <c r="P12" s="774"/>
      <c r="Q12" s="773"/>
      <c r="R12" s="773"/>
      <c r="S12" s="773"/>
      <c r="T12" s="774"/>
      <c r="U12" s="773"/>
      <c r="V12" s="773"/>
      <c r="W12" s="773"/>
      <c r="X12" s="774"/>
      <c r="Y12" s="773"/>
      <c r="Z12" s="773"/>
      <c r="AA12" s="773"/>
      <c r="AB12" s="773"/>
      <c r="AC12" s="773"/>
      <c r="AD12" s="774" t="s">
        <v>411</v>
      </c>
      <c r="AE12" s="773"/>
    </row>
  </sheetData>
  <hyperlinks>
    <hyperlink ref="T7" r:id="rId1" xr:uid="{0C42155C-10B8-4D24-911F-908C45AA05C8}"/>
    <hyperlink ref="T2" r:id="rId2" xr:uid="{82872DAD-AB39-4FE2-A029-FC93B2538DA5}"/>
    <hyperlink ref="T5" r:id="rId3" xr:uid="{77C936F0-BCB4-4C26-B5FF-D32B7EC4E2AB}"/>
    <hyperlink ref="T11" r:id="rId4" xr:uid="{787C39DB-D2CD-41AA-99B9-B9EEBAE648C0}"/>
    <hyperlink ref="T8" r:id="rId5" xr:uid="{A3AC6429-2FE1-40E2-BAE6-E9F9846A5438}"/>
    <hyperlink ref="T4" r:id="rId6" xr:uid="{F94FA2EE-BA6C-4B5C-9C48-E3BF6E75A24D}"/>
  </hyperlinks>
  <pageMargins left="0.7" right="0.7" top="0.75" bottom="0.75" header="0.3" footer="0.3"/>
  <tableParts count="1">
    <tablePart r:id="rId7"/>
  </tableParts>
  <extLst>
    <ext xmlns:x14="http://schemas.microsoft.com/office/spreadsheetml/2009/9/main" uri="{CCE6A557-97BC-4b89-ADB6-D9C93CAAB3DF}">
      <x14:dataValidations xmlns:xm="http://schemas.microsoft.com/office/excel/2006/main" count="1">
        <x14:dataValidation type="list" allowBlank="1" showErrorMessage="1" xr:uid="{117AABB1-9B9D-4F5F-9691-B4C5C11EEF6E}">
          <x14:formula1>
            <xm:f>Settings!$C$3:$C$20</xm:f>
          </x14:formula1>
          <xm:sqref>I2:I11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9408C-A38F-4409-8871-0B55E3FA63D5}">
  <sheetPr>
    <outlinePr summaryBelow="0" summaryRight="0"/>
  </sheetPr>
  <dimension ref="A1:AB984"/>
  <sheetViews>
    <sheetView topLeftCell="B1" workbookViewId="0"/>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54.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248</v>
      </c>
      <c r="B1" s="59" t="s">
        <v>305</v>
      </c>
      <c r="C1" s="243" t="s">
        <v>306</v>
      </c>
      <c r="D1" s="243" t="s">
        <v>307</v>
      </c>
      <c r="E1" s="59" t="s">
        <v>250</v>
      </c>
      <c r="F1" s="243" t="s">
        <v>308</v>
      </c>
      <c r="G1" s="243" t="s">
        <v>309</v>
      </c>
      <c r="H1" s="59" t="s">
        <v>310</v>
      </c>
      <c r="I1" s="59" t="s">
        <v>311</v>
      </c>
      <c r="J1" s="59" t="s">
        <v>312</v>
      </c>
      <c r="K1" s="59" t="s">
        <v>253</v>
      </c>
      <c r="L1" s="156" t="s">
        <v>313</v>
      </c>
      <c r="M1" s="483" t="s">
        <v>274</v>
      </c>
      <c r="N1" s="483" t="s">
        <v>314</v>
      </c>
      <c r="O1" s="483" t="s">
        <v>315</v>
      </c>
      <c r="P1" s="35"/>
      <c r="Q1" s="35"/>
      <c r="R1" s="35"/>
      <c r="S1" s="35"/>
      <c r="T1" s="35"/>
      <c r="U1" s="35"/>
      <c r="V1" s="35"/>
      <c r="W1" s="35"/>
      <c r="X1" s="35"/>
      <c r="Y1" s="35"/>
      <c r="Z1" s="35"/>
      <c r="AA1" s="35"/>
      <c r="AB1" s="35"/>
    </row>
    <row r="2" spans="1:28" ht="116.25" customHeight="1">
      <c r="B2" s="228"/>
      <c r="C2" s="228"/>
      <c r="D2" s="228"/>
      <c r="E2" s="228"/>
      <c r="F2" s="185"/>
      <c r="G2" s="316"/>
      <c r="H2" s="41"/>
      <c r="I2" s="41"/>
      <c r="J2" s="41"/>
      <c r="K2" s="41"/>
      <c r="L2" s="41"/>
      <c r="M2" s="216"/>
      <c r="N2" s="91"/>
      <c r="O2" s="216"/>
    </row>
    <row r="3" spans="1:28" ht="30.75" customHeight="1">
      <c r="B3" s="228"/>
      <c r="C3" s="228"/>
      <c r="D3" s="228"/>
      <c r="E3" s="228"/>
      <c r="F3" s="185"/>
      <c r="G3" s="316"/>
      <c r="H3" s="58"/>
      <c r="I3" s="41"/>
      <c r="J3" s="41"/>
      <c r="K3" s="58"/>
      <c r="L3" s="41"/>
      <c r="M3" s="58"/>
      <c r="N3" s="91"/>
      <c r="O3" s="58"/>
    </row>
    <row r="4" spans="1:28" ht="15.75" customHeight="1"/>
    <row r="5" spans="1:28" ht="15.75" customHeight="1">
      <c r="K5" s="144"/>
    </row>
    <row r="6" spans="1:28" ht="15.75" customHeight="1"/>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autoFilter ref="A1:M1" xr:uid="{3A2BB050-11AC-4ED7-A296-96B42C7FCFBA}"/>
  <dataValidations count="5">
    <dataValidation type="list" allowBlank="1" showErrorMessage="1" sqref="K2" xr:uid="{70FFEACC-5AC9-44C1-A34B-1CE067B3BB85}">
      <formula1>"Open,Inprogress,Closed"</formula1>
    </dataValidation>
    <dataValidation type="list" allowBlank="1" showErrorMessage="1" sqref="I2:I3" xr:uid="{9EAF0452-E838-400D-9D53-930D59BA1CC8}">
      <formula1>"Manual, Automation"</formula1>
    </dataValidation>
    <dataValidation type="list" allowBlank="1" showErrorMessage="1" sqref="H2" xr:uid="{7F673FD6-D9BE-453D-A2C3-4C31A43E336F}">
      <formula1>"Minor,Significant,Major"</formula1>
    </dataValidation>
    <dataValidation type="list" allowBlank="1" showErrorMessage="1" sqref="J2:J3" xr:uid="{41F33CEC-9D48-406F-9A4B-DDB1056F6066}">
      <formula1>"Internal,External"</formula1>
    </dataValidation>
    <dataValidation type="list" allowBlank="1" showErrorMessage="1" sqref="F2:F3" xr:uid="{646FD95A-E695-4BED-BE88-A01F80C3F90C}">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5A2FCCE4-E600-4BC3-B1CD-C405F2EA022D}">
          <x14:formula1>
            <xm:f>Details!$A$2:$A$10</xm:f>
          </x14:formula1>
          <xm:sqref>L2:L3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088D5-FC02-4509-8C24-11BED516DF30}">
  <dimension ref="A1:AE12"/>
  <sheetViews>
    <sheetView workbookViewId="0">
      <pane xSplit="7" ySplit="1" topLeftCell="H9" activePane="bottomRight" state="frozen"/>
      <selection pane="bottomRight" activeCell="AD6" sqref="AD6"/>
      <selection pane="bottomLeft"/>
      <selection pane="topRight"/>
    </sheetView>
  </sheetViews>
  <sheetFormatPr defaultRowHeight="12.75"/>
  <cols>
    <col min="1" max="1" width="9.140625" style="122"/>
    <col min="2" max="2" width="15.140625" style="137" customWidth="1"/>
    <col min="3" max="3" width="12.140625" style="122" customWidth="1"/>
    <col min="4" max="4" width="10.85546875" style="122" customWidth="1"/>
    <col min="5" max="5" width="33" customWidth="1"/>
    <col min="6" max="6" width="20.85546875" customWidth="1"/>
    <col min="7" max="7" width="18.85546875" customWidth="1"/>
    <col min="8" max="8" width="57.42578125" style="137" customWidth="1"/>
    <col min="9" max="9" width="16.85546875" style="122" customWidth="1"/>
    <col min="10" max="10" width="11.42578125" style="122" bestFit="1" customWidth="1"/>
    <col min="11" max="11" width="11.42578125" bestFit="1" customWidth="1"/>
    <col min="12" max="12" width="25.5703125" customWidth="1"/>
    <col min="13" max="14" width="11.42578125" customWidth="1"/>
    <col min="15" max="15" width="13.140625" customWidth="1"/>
    <col min="16" max="16" width="17" style="144" bestFit="1" customWidth="1"/>
    <col min="17" max="17" width="88.140625" customWidth="1"/>
    <col min="18" max="18" width="23.7109375" customWidth="1"/>
    <col min="19" max="19" width="14.85546875" customWidth="1"/>
    <col min="20" max="20" width="27.7109375" style="144" customWidth="1"/>
    <col min="21" max="22" width="12.7109375" bestFit="1" customWidth="1"/>
    <col min="23" max="23" width="20.5703125" customWidth="1"/>
    <col min="24" max="24" width="22.28515625" style="144" customWidth="1"/>
    <col min="25" max="25" width="11.42578125" bestFit="1" customWidth="1"/>
    <col min="26" max="26" width="12.7109375" bestFit="1" customWidth="1"/>
    <col min="27" max="27" width="52.140625" customWidth="1"/>
    <col min="28" max="29" width="11.42578125" bestFit="1" customWidth="1"/>
    <col min="30" max="30" width="78.5703125" customWidth="1"/>
    <col min="31" max="31" width="56.140625" customWidth="1"/>
  </cols>
  <sheetData>
    <row r="1" spans="1:31" ht="48">
      <c r="A1" s="379" t="s">
        <v>248</v>
      </c>
      <c r="B1" s="501" t="s">
        <v>4</v>
      </c>
      <c r="C1" s="501" t="s">
        <v>2</v>
      </c>
      <c r="D1" s="501" t="s">
        <v>3</v>
      </c>
      <c r="E1" s="380" t="s">
        <v>249</v>
      </c>
      <c r="F1" s="381" t="s">
        <v>250</v>
      </c>
      <c r="G1" s="382" t="s">
        <v>251</v>
      </c>
      <c r="H1" s="383" t="s">
        <v>252</v>
      </c>
      <c r="I1" s="697" t="s">
        <v>253</v>
      </c>
      <c r="J1" s="729" t="s">
        <v>254</v>
      </c>
      <c r="K1" s="384" t="s">
        <v>255</v>
      </c>
      <c r="L1" s="384" t="s">
        <v>256</v>
      </c>
      <c r="M1" s="384" t="s">
        <v>257</v>
      </c>
      <c r="N1" s="384" t="s">
        <v>258</v>
      </c>
      <c r="O1" s="385" t="s">
        <v>259</v>
      </c>
      <c r="P1" s="385" t="s">
        <v>260</v>
      </c>
      <c r="Q1" s="385" t="s">
        <v>261</v>
      </c>
      <c r="R1" s="385" t="s">
        <v>262</v>
      </c>
      <c r="S1" s="385" t="s">
        <v>263</v>
      </c>
      <c r="T1" s="385" t="s">
        <v>264</v>
      </c>
      <c r="U1" s="385" t="s">
        <v>265</v>
      </c>
      <c r="V1" s="385" t="s">
        <v>266</v>
      </c>
      <c r="W1" s="385" t="s">
        <v>267</v>
      </c>
      <c r="X1" s="385" t="s">
        <v>268</v>
      </c>
      <c r="Y1" s="385" t="s">
        <v>269</v>
      </c>
      <c r="Z1" s="385" t="s">
        <v>270</v>
      </c>
      <c r="AA1" s="385" t="s">
        <v>271</v>
      </c>
      <c r="AB1" s="385" t="s">
        <v>272</v>
      </c>
      <c r="AC1" s="385" t="s">
        <v>273</v>
      </c>
      <c r="AD1" s="386" t="s">
        <v>274</v>
      </c>
      <c r="AE1" s="385" t="s">
        <v>275</v>
      </c>
    </row>
    <row r="2" spans="1:31" s="603" customFormat="1" ht="106.5">
      <c r="A2" s="806">
        <v>1</v>
      </c>
      <c r="B2" s="806" t="s">
        <v>5</v>
      </c>
      <c r="C2" s="759">
        <v>46107</v>
      </c>
      <c r="D2" s="831">
        <v>46121</v>
      </c>
      <c r="E2" s="836" t="s">
        <v>412</v>
      </c>
      <c r="F2" s="838" t="s">
        <v>233</v>
      </c>
      <c r="G2" s="806" t="s">
        <v>413</v>
      </c>
      <c r="H2" s="709" t="s">
        <v>414</v>
      </c>
      <c r="I2" s="806" t="s">
        <v>13</v>
      </c>
      <c r="J2" s="806">
        <v>2</v>
      </c>
      <c r="K2" s="806">
        <v>2</v>
      </c>
      <c r="L2" s="806">
        <v>48.75</v>
      </c>
      <c r="M2" s="661">
        <v>46108</v>
      </c>
      <c r="N2" s="661">
        <v>46112</v>
      </c>
      <c r="O2" s="806" t="s">
        <v>318</v>
      </c>
      <c r="P2" s="806" t="s">
        <v>284</v>
      </c>
      <c r="Q2" s="814" t="s">
        <v>415</v>
      </c>
      <c r="R2" s="806" t="s">
        <v>232</v>
      </c>
      <c r="S2" s="806" t="s">
        <v>320</v>
      </c>
      <c r="T2" s="714" t="s">
        <v>416</v>
      </c>
      <c r="U2" s="708">
        <v>46118</v>
      </c>
      <c r="V2" s="708">
        <v>46120</v>
      </c>
      <c r="W2" s="806" t="s">
        <v>322</v>
      </c>
      <c r="X2" s="806" t="s">
        <v>320</v>
      </c>
      <c r="Y2" s="806" t="s">
        <v>323</v>
      </c>
      <c r="Z2" s="661">
        <v>46120</v>
      </c>
      <c r="AA2" s="814" t="s">
        <v>320</v>
      </c>
      <c r="AB2" s="806" t="s">
        <v>320</v>
      </c>
      <c r="AC2" s="806" t="s">
        <v>320</v>
      </c>
      <c r="AD2" s="812" t="s">
        <v>417</v>
      </c>
      <c r="AE2" s="824" t="s">
        <v>418</v>
      </c>
    </row>
    <row r="3" spans="1:31" s="621" customFormat="1" ht="106.5">
      <c r="A3" s="612">
        <v>2</v>
      </c>
      <c r="B3" s="820" t="s">
        <v>5</v>
      </c>
      <c r="C3" s="760">
        <v>46107</v>
      </c>
      <c r="D3" s="832">
        <v>46121</v>
      </c>
      <c r="E3" s="690" t="s">
        <v>412</v>
      </c>
      <c r="F3" s="934" t="s">
        <v>234</v>
      </c>
      <c r="G3" s="635" t="s">
        <v>419</v>
      </c>
      <c r="H3" s="634" t="s">
        <v>420</v>
      </c>
      <c r="I3" s="634" t="s">
        <v>13</v>
      </c>
      <c r="J3" s="927">
        <v>2</v>
      </c>
      <c r="K3" s="634">
        <v>2</v>
      </c>
      <c r="L3" s="635">
        <v>28.75</v>
      </c>
      <c r="M3" s="661">
        <v>46108</v>
      </c>
      <c r="N3" s="661">
        <v>46112</v>
      </c>
      <c r="O3" s="634" t="s">
        <v>318</v>
      </c>
      <c r="P3" s="636" t="s">
        <v>284</v>
      </c>
      <c r="Q3" s="636" t="s">
        <v>421</v>
      </c>
      <c r="R3" s="634" t="s">
        <v>422</v>
      </c>
      <c r="S3" s="928" t="s">
        <v>320</v>
      </c>
      <c r="T3" s="780" t="s">
        <v>423</v>
      </c>
      <c r="U3" s="684">
        <v>46112</v>
      </c>
      <c r="V3" s="684">
        <v>46120</v>
      </c>
      <c r="W3" s="634" t="s">
        <v>322</v>
      </c>
      <c r="X3" s="636" t="s">
        <v>320</v>
      </c>
      <c r="Y3" s="634" t="s">
        <v>323</v>
      </c>
      <c r="Z3" s="656">
        <v>46120</v>
      </c>
      <c r="AA3" s="636" t="s">
        <v>424</v>
      </c>
      <c r="AB3" s="634" t="s">
        <v>320</v>
      </c>
      <c r="AC3" s="634" t="s">
        <v>320</v>
      </c>
      <c r="AD3" s="636" t="s">
        <v>425</v>
      </c>
      <c r="AE3" s="636" t="s">
        <v>426</v>
      </c>
    </row>
    <row r="4" spans="1:31" s="603" customFormat="1" ht="91.5">
      <c r="A4" s="596">
        <v>3</v>
      </c>
      <c r="B4" s="806" t="s">
        <v>5</v>
      </c>
      <c r="C4" s="759">
        <v>46107</v>
      </c>
      <c r="D4" s="831">
        <v>46121</v>
      </c>
      <c r="E4" s="837" t="s">
        <v>412</v>
      </c>
      <c r="F4" s="935" t="s">
        <v>427</v>
      </c>
      <c r="G4" s="665" t="s">
        <v>428</v>
      </c>
      <c r="H4" s="663" t="s">
        <v>429</v>
      </c>
      <c r="I4" s="663" t="s">
        <v>13</v>
      </c>
      <c r="J4" s="936">
        <v>2</v>
      </c>
      <c r="K4" s="663">
        <v>2</v>
      </c>
      <c r="L4" s="665">
        <v>67.349999999999994</v>
      </c>
      <c r="M4" s="684">
        <v>46108</v>
      </c>
      <c r="N4" s="684">
        <v>46108</v>
      </c>
      <c r="O4" s="663" t="s">
        <v>318</v>
      </c>
      <c r="P4" s="679" t="s">
        <v>284</v>
      </c>
      <c r="Q4" s="663" t="s">
        <v>320</v>
      </c>
      <c r="R4" s="663" t="s">
        <v>234</v>
      </c>
      <c r="S4" s="937" t="s">
        <v>320</v>
      </c>
      <c r="T4" s="686" t="s">
        <v>430</v>
      </c>
      <c r="U4" s="684">
        <v>46108</v>
      </c>
      <c r="V4" s="684">
        <v>46120</v>
      </c>
      <c r="W4" s="663" t="s">
        <v>322</v>
      </c>
      <c r="X4" s="679" t="s">
        <v>320</v>
      </c>
      <c r="Y4" s="663" t="s">
        <v>323</v>
      </c>
      <c r="Z4" s="684">
        <v>46120</v>
      </c>
      <c r="AA4" s="679" t="s">
        <v>320</v>
      </c>
      <c r="AB4" s="663" t="s">
        <v>320</v>
      </c>
      <c r="AC4" s="663" t="s">
        <v>320</v>
      </c>
      <c r="AD4" s="679" t="s">
        <v>431</v>
      </c>
      <c r="AE4" s="679" t="s">
        <v>432</v>
      </c>
    </row>
    <row r="5" spans="1:31" s="621" customFormat="1" ht="60.75">
      <c r="A5" s="835">
        <v>4</v>
      </c>
      <c r="B5" s="820" t="s">
        <v>5</v>
      </c>
      <c r="C5" s="760">
        <v>46107</v>
      </c>
      <c r="D5" s="832">
        <v>46121</v>
      </c>
      <c r="E5" s="839" t="s">
        <v>412</v>
      </c>
      <c r="F5" s="938" t="s">
        <v>297</v>
      </c>
      <c r="G5" s="840" t="s">
        <v>433</v>
      </c>
      <c r="H5" s="664" t="s">
        <v>434</v>
      </c>
      <c r="I5" s="664" t="s">
        <v>13</v>
      </c>
      <c r="J5" s="938">
        <v>3</v>
      </c>
      <c r="K5" s="664">
        <v>3</v>
      </c>
      <c r="L5" s="673">
        <v>39.75</v>
      </c>
      <c r="M5" s="684">
        <v>46108</v>
      </c>
      <c r="N5" s="675">
        <v>46118</v>
      </c>
      <c r="O5" s="664" t="s">
        <v>318</v>
      </c>
      <c r="P5" s="676" t="s">
        <v>284</v>
      </c>
      <c r="Q5" s="664" t="s">
        <v>320</v>
      </c>
      <c r="R5" s="664" t="s">
        <v>234</v>
      </c>
      <c r="S5" s="939" t="s">
        <v>320</v>
      </c>
      <c r="T5" s="758" t="s">
        <v>435</v>
      </c>
      <c r="U5" s="675">
        <v>46112</v>
      </c>
      <c r="V5" s="675">
        <v>46119</v>
      </c>
      <c r="W5" s="664" t="s">
        <v>322</v>
      </c>
      <c r="X5" s="676" t="s">
        <v>320</v>
      </c>
      <c r="Y5" s="664" t="s">
        <v>323</v>
      </c>
      <c r="Z5" s="675">
        <v>46119</v>
      </c>
      <c r="AA5" s="676" t="s">
        <v>320</v>
      </c>
      <c r="AB5" s="664" t="s">
        <v>320</v>
      </c>
      <c r="AC5" s="664" t="s">
        <v>320</v>
      </c>
      <c r="AD5" s="636" t="s">
        <v>436</v>
      </c>
      <c r="AE5" s="676" t="s">
        <v>437</v>
      </c>
    </row>
    <row r="6" spans="1:31" s="603" customFormat="1" ht="121.5">
      <c r="A6" s="834">
        <v>5</v>
      </c>
      <c r="B6" s="806" t="s">
        <v>5</v>
      </c>
      <c r="C6" s="759">
        <v>46107</v>
      </c>
      <c r="D6" s="831">
        <v>46121</v>
      </c>
      <c r="E6" s="837" t="s">
        <v>412</v>
      </c>
      <c r="F6" s="940" t="s">
        <v>232</v>
      </c>
      <c r="G6" s="665" t="s">
        <v>438</v>
      </c>
      <c r="H6" s="663" t="s">
        <v>439</v>
      </c>
      <c r="I6" s="663" t="s">
        <v>13</v>
      </c>
      <c r="J6" s="936">
        <v>3</v>
      </c>
      <c r="K6" s="663">
        <v>3</v>
      </c>
      <c r="L6" s="665">
        <v>83.3</v>
      </c>
      <c r="M6" s="684">
        <v>46108</v>
      </c>
      <c r="N6" s="684">
        <v>46112</v>
      </c>
      <c r="O6" s="663" t="s">
        <v>318</v>
      </c>
      <c r="P6" s="679" t="s">
        <v>284</v>
      </c>
      <c r="Q6" s="679" t="s">
        <v>440</v>
      </c>
      <c r="R6" s="663" t="s">
        <v>293</v>
      </c>
      <c r="S6" s="937" t="s">
        <v>320</v>
      </c>
      <c r="T6" s="686" t="s">
        <v>389</v>
      </c>
      <c r="U6" s="684">
        <v>46112</v>
      </c>
      <c r="V6" s="684">
        <v>46120</v>
      </c>
      <c r="W6" s="663" t="s">
        <v>322</v>
      </c>
      <c r="X6" s="679" t="s">
        <v>320</v>
      </c>
      <c r="Y6" s="663" t="s">
        <v>323</v>
      </c>
      <c r="Z6" s="684">
        <v>46120</v>
      </c>
      <c r="AA6" s="679" t="s">
        <v>441</v>
      </c>
      <c r="AB6" s="663" t="s">
        <v>320</v>
      </c>
      <c r="AC6" s="663" t="s">
        <v>320</v>
      </c>
      <c r="AD6" s="679" t="s">
        <v>442</v>
      </c>
      <c r="AE6" s="679" t="s">
        <v>443</v>
      </c>
    </row>
    <row r="7" spans="1:31" s="621" customFormat="1" ht="60.75">
      <c r="A7" s="612">
        <v>6</v>
      </c>
      <c r="B7" s="820" t="s">
        <v>5</v>
      </c>
      <c r="C7" s="760">
        <v>46107</v>
      </c>
      <c r="D7" s="832">
        <v>46121</v>
      </c>
      <c r="E7" s="690" t="s">
        <v>412</v>
      </c>
      <c r="F7" s="934" t="s">
        <v>427</v>
      </c>
      <c r="G7" s="635" t="s">
        <v>444</v>
      </c>
      <c r="H7" s="634" t="s">
        <v>445</v>
      </c>
      <c r="I7" s="634" t="s">
        <v>13</v>
      </c>
      <c r="J7" s="927">
        <v>1</v>
      </c>
      <c r="K7" s="634">
        <v>1</v>
      </c>
      <c r="L7" s="635">
        <v>21.3</v>
      </c>
      <c r="M7" s="656">
        <v>46108</v>
      </c>
      <c r="N7" s="656">
        <v>46115</v>
      </c>
      <c r="O7" s="634" t="s">
        <v>318</v>
      </c>
      <c r="P7" s="636" t="s">
        <v>284</v>
      </c>
      <c r="Q7" s="636" t="s">
        <v>446</v>
      </c>
      <c r="R7" s="634" t="s">
        <v>232</v>
      </c>
      <c r="S7" s="928" t="s">
        <v>320</v>
      </c>
      <c r="T7" s="715" t="s">
        <v>447</v>
      </c>
      <c r="U7" s="656">
        <v>46115</v>
      </c>
      <c r="V7" s="656">
        <v>46118</v>
      </c>
      <c r="W7" s="634" t="s">
        <v>448</v>
      </c>
      <c r="X7" s="636" t="s">
        <v>320</v>
      </c>
      <c r="Y7" s="634" t="s">
        <v>323</v>
      </c>
      <c r="Z7" s="656">
        <v>46118</v>
      </c>
      <c r="AA7" s="636" t="s">
        <v>320</v>
      </c>
      <c r="AB7" s="634" t="s">
        <v>320</v>
      </c>
      <c r="AC7" s="634" t="s">
        <v>320</v>
      </c>
      <c r="AD7" s="636" t="s">
        <v>449</v>
      </c>
      <c r="AE7" s="636" t="s">
        <v>450</v>
      </c>
    </row>
    <row r="8" spans="1:31" s="603" customFormat="1" ht="76.5">
      <c r="A8" s="596">
        <v>7</v>
      </c>
      <c r="B8" s="806" t="s">
        <v>5</v>
      </c>
      <c r="C8" s="759">
        <v>46107</v>
      </c>
      <c r="D8" s="831">
        <v>46121</v>
      </c>
      <c r="E8" s="837" t="s">
        <v>412</v>
      </c>
      <c r="F8" s="935" t="s">
        <v>366</v>
      </c>
      <c r="G8" s="626" t="s">
        <v>451</v>
      </c>
      <c r="H8" s="599" t="s">
        <v>452</v>
      </c>
      <c r="I8" s="599" t="s">
        <v>13</v>
      </c>
      <c r="J8" s="929">
        <v>2</v>
      </c>
      <c r="K8" s="599">
        <v>2</v>
      </c>
      <c r="L8" s="626">
        <v>31</v>
      </c>
      <c r="M8" s="661">
        <v>46119</v>
      </c>
      <c r="N8" s="661">
        <v>46119</v>
      </c>
      <c r="O8" s="599" t="s">
        <v>318</v>
      </c>
      <c r="P8" s="627" t="s">
        <v>284</v>
      </c>
      <c r="Q8" s="599" t="s">
        <v>320</v>
      </c>
      <c r="R8" s="599" t="s">
        <v>453</v>
      </c>
      <c r="S8" s="930" t="s">
        <v>320</v>
      </c>
      <c r="T8" s="781" t="s">
        <v>454</v>
      </c>
      <c r="U8" s="684">
        <v>46108</v>
      </c>
      <c r="V8" s="684">
        <v>46120</v>
      </c>
      <c r="W8" s="599" t="s">
        <v>448</v>
      </c>
      <c r="X8" s="627" t="s">
        <v>320</v>
      </c>
      <c r="Y8" s="599" t="s">
        <v>323</v>
      </c>
      <c r="Z8" s="661">
        <v>46120</v>
      </c>
      <c r="AA8" s="627" t="s">
        <v>320</v>
      </c>
      <c r="AB8" s="599" t="s">
        <v>320</v>
      </c>
      <c r="AC8" s="599" t="s">
        <v>320</v>
      </c>
      <c r="AD8" s="802" t="s">
        <v>455</v>
      </c>
      <c r="AE8" s="845" t="s">
        <v>456</v>
      </c>
    </row>
    <row r="9" spans="1:31" s="621" customFormat="1" ht="48">
      <c r="A9" s="612">
        <v>8</v>
      </c>
      <c r="B9" s="820" t="s">
        <v>5</v>
      </c>
      <c r="C9" s="760">
        <v>46107</v>
      </c>
      <c r="D9" s="832">
        <v>46121</v>
      </c>
      <c r="E9" s="690" t="s">
        <v>457</v>
      </c>
      <c r="F9" s="927" t="s">
        <v>233</v>
      </c>
      <c r="G9" s="635" t="s">
        <v>458</v>
      </c>
      <c r="H9" s="634" t="s">
        <v>459</v>
      </c>
      <c r="I9" s="634" t="s">
        <v>13</v>
      </c>
      <c r="J9" s="927">
        <v>1</v>
      </c>
      <c r="K9" s="634">
        <v>1</v>
      </c>
      <c r="L9" s="635">
        <v>11.5</v>
      </c>
      <c r="M9" s="656">
        <v>46114</v>
      </c>
      <c r="N9" s="656">
        <v>46114</v>
      </c>
      <c r="O9" s="634" t="s">
        <v>318</v>
      </c>
      <c r="P9" s="636" t="s">
        <v>284</v>
      </c>
      <c r="Q9" s="634" t="s">
        <v>320</v>
      </c>
      <c r="R9" s="634" t="s">
        <v>234</v>
      </c>
      <c r="S9" s="928" t="s">
        <v>320</v>
      </c>
      <c r="T9" s="715" t="s">
        <v>460</v>
      </c>
      <c r="U9" s="656">
        <v>46115</v>
      </c>
      <c r="V9" s="656">
        <v>46119</v>
      </c>
      <c r="W9" s="634" t="s">
        <v>448</v>
      </c>
      <c r="X9" s="636" t="s">
        <v>320</v>
      </c>
      <c r="Y9" s="634" t="s">
        <v>323</v>
      </c>
      <c r="Z9" s="656">
        <v>46118</v>
      </c>
      <c r="AA9" s="636" t="s">
        <v>320</v>
      </c>
      <c r="AB9" s="634" t="s">
        <v>320</v>
      </c>
      <c r="AC9" s="634" t="s">
        <v>320</v>
      </c>
      <c r="AD9" s="636" t="s">
        <v>461</v>
      </c>
      <c r="AE9" s="842" t="s">
        <v>462</v>
      </c>
    </row>
    <row r="10" spans="1:31" s="603" customFormat="1" ht="48">
      <c r="A10" s="596">
        <v>9</v>
      </c>
      <c r="B10" s="811" t="s">
        <v>5</v>
      </c>
      <c r="C10" s="759">
        <v>46107</v>
      </c>
      <c r="D10" s="759">
        <v>46121</v>
      </c>
      <c r="E10" s="841" t="s">
        <v>412</v>
      </c>
      <c r="F10" s="929" t="s">
        <v>297</v>
      </c>
      <c r="G10" s="626" t="s">
        <v>463</v>
      </c>
      <c r="H10" s="599" t="s">
        <v>464</v>
      </c>
      <c r="I10" s="599" t="s">
        <v>13</v>
      </c>
      <c r="J10" s="929">
        <v>1</v>
      </c>
      <c r="K10" s="599">
        <v>1</v>
      </c>
      <c r="L10" s="626">
        <v>7</v>
      </c>
      <c r="M10" s="661">
        <v>46114</v>
      </c>
      <c r="N10" s="661">
        <v>46114</v>
      </c>
      <c r="O10" s="599" t="s">
        <v>318</v>
      </c>
      <c r="P10" s="627" t="s">
        <v>284</v>
      </c>
      <c r="Q10" s="599" t="s">
        <v>320</v>
      </c>
      <c r="R10" s="599" t="s">
        <v>234</v>
      </c>
      <c r="S10" s="930" t="s">
        <v>320</v>
      </c>
      <c r="T10" s="714" t="s">
        <v>465</v>
      </c>
      <c r="U10" s="661">
        <v>46114</v>
      </c>
      <c r="V10" s="661">
        <v>46119</v>
      </c>
      <c r="W10" s="599" t="s">
        <v>322</v>
      </c>
      <c r="X10" s="627" t="s">
        <v>320</v>
      </c>
      <c r="Y10" s="599" t="s">
        <v>323</v>
      </c>
      <c r="Z10" s="661">
        <v>46119</v>
      </c>
      <c r="AA10" s="627" t="s">
        <v>320</v>
      </c>
      <c r="AB10" s="599" t="s">
        <v>320</v>
      </c>
      <c r="AC10" s="599" t="s">
        <v>320</v>
      </c>
      <c r="AD10" s="627" t="s">
        <v>466</v>
      </c>
      <c r="AE10" s="599" t="s">
        <v>467</v>
      </c>
    </row>
    <row r="11" spans="1:31" ht="45.75">
      <c r="A11" s="612">
        <v>10</v>
      </c>
      <c r="B11" s="820" t="s">
        <v>5</v>
      </c>
      <c r="C11" s="760">
        <v>46107</v>
      </c>
      <c r="D11" s="832">
        <v>46121</v>
      </c>
      <c r="E11" s="690" t="s">
        <v>457</v>
      </c>
      <c r="F11" s="927" t="s">
        <v>468</v>
      </c>
      <c r="G11" s="635" t="s">
        <v>469</v>
      </c>
      <c r="H11" s="634" t="s">
        <v>470</v>
      </c>
      <c r="I11" s="634" t="s">
        <v>13</v>
      </c>
      <c r="J11" s="927">
        <v>3</v>
      </c>
      <c r="K11" s="634">
        <v>3</v>
      </c>
      <c r="L11" s="635">
        <v>67.25</v>
      </c>
      <c r="M11" s="656">
        <v>46115</v>
      </c>
      <c r="N11" s="656">
        <v>46120</v>
      </c>
      <c r="O11" s="634" t="s">
        <v>318</v>
      </c>
      <c r="P11" s="636" t="s">
        <v>284</v>
      </c>
      <c r="Q11" s="634" t="s">
        <v>471</v>
      </c>
      <c r="R11" s="634" t="s">
        <v>472</v>
      </c>
      <c r="S11" s="928" t="s">
        <v>320</v>
      </c>
      <c r="T11" s="780" t="s">
        <v>473</v>
      </c>
      <c r="U11" s="661">
        <v>46120</v>
      </c>
      <c r="V11" s="661">
        <v>46120</v>
      </c>
      <c r="W11" s="634" t="s">
        <v>322</v>
      </c>
      <c r="X11" s="636" t="s">
        <v>320</v>
      </c>
      <c r="Y11" s="634" t="s">
        <v>323</v>
      </c>
      <c r="Z11" s="661">
        <v>46120</v>
      </c>
      <c r="AA11" s="636" t="s">
        <v>320</v>
      </c>
      <c r="AB11" s="634" t="s">
        <v>320</v>
      </c>
      <c r="AC11" s="634" t="s">
        <v>320</v>
      </c>
      <c r="AD11" s="828" t="s">
        <v>474</v>
      </c>
      <c r="AE11" s="634" t="s">
        <v>475</v>
      </c>
    </row>
    <row r="12" spans="1:31" ht="30.75">
      <c r="A12" s="596">
        <v>11</v>
      </c>
      <c r="B12" s="820" t="s">
        <v>5</v>
      </c>
      <c r="C12" s="760">
        <v>46107</v>
      </c>
      <c r="D12" s="832">
        <v>46121</v>
      </c>
      <c r="E12" s="690" t="s">
        <v>457</v>
      </c>
      <c r="F12" s="929" t="s">
        <v>280</v>
      </c>
      <c r="G12" s="626" t="s">
        <v>372</v>
      </c>
      <c r="H12" s="599" t="s">
        <v>373</v>
      </c>
      <c r="I12" s="642" t="s">
        <v>278</v>
      </c>
      <c r="J12" s="941">
        <v>5</v>
      </c>
      <c r="K12" s="642"/>
      <c r="L12" s="640">
        <v>22</v>
      </c>
      <c r="M12" s="761">
        <v>46118</v>
      </c>
      <c r="N12" s="761"/>
      <c r="O12" s="642"/>
      <c r="P12" s="643"/>
      <c r="Q12" s="642"/>
      <c r="R12" s="642"/>
      <c r="S12" s="942"/>
      <c r="T12" s="843"/>
      <c r="U12" s="761"/>
      <c r="V12" s="761"/>
      <c r="W12" s="642"/>
      <c r="X12" s="643"/>
      <c r="Y12" s="642"/>
      <c r="Z12" s="761"/>
      <c r="AA12" s="643"/>
      <c r="AB12" s="642"/>
      <c r="AC12" s="642"/>
      <c r="AD12" s="846" t="s">
        <v>476</v>
      </c>
      <c r="AE12" s="642"/>
    </row>
  </sheetData>
  <hyperlinks>
    <hyperlink ref="T4" r:id="rId1" xr:uid="{4AB18C2A-87E1-460F-9C05-DB6560D745D2}"/>
    <hyperlink ref="T2" r:id="rId2" xr:uid="{C33B6134-F292-4A61-B0BF-7F01B114D5B5}"/>
    <hyperlink ref="T6" r:id="rId3" xr:uid="{9B174520-058A-4346-9E2D-AF59D3A8ECCD}"/>
    <hyperlink ref="T10" r:id="rId4" xr:uid="{2829D6D0-CFB2-45CE-AEF5-4278A35796D5}"/>
    <hyperlink ref="T5" r:id="rId5" xr:uid="{B5D09386-5BCF-425C-A18E-DFED9104E946}"/>
    <hyperlink ref="T9" r:id="rId6" xr:uid="{BB6D0089-4577-440C-B68C-F9E46DF8AC12}"/>
    <hyperlink ref="T7" r:id="rId7" xr:uid="{A8375AFB-63E7-4AAE-B2A8-558C3BEC26F5}"/>
  </hyperlinks>
  <pageMargins left="0.7" right="0.7" top="0.75" bottom="0.75" header="0.3" footer="0.3"/>
  <tableParts count="1">
    <tablePart r:id="rId8"/>
  </tableParts>
  <extLst>
    <ext xmlns:x14="http://schemas.microsoft.com/office/spreadsheetml/2009/9/main" uri="{CCE6A557-97BC-4b89-ADB6-D9C93CAAB3DF}">
      <x14:dataValidations xmlns:xm="http://schemas.microsoft.com/office/excel/2006/main" count="1">
        <x14:dataValidation type="list" allowBlank="1" showErrorMessage="1" xr:uid="{0F9F62B2-2E01-4D62-ACA3-E1DC495660CF}">
          <x14:formula1>
            <xm:f>Settings!$C$3:$C$20</xm:f>
          </x14:formula1>
          <xm:sqref>I2:I12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5830A-19A7-4D8B-92FB-4AB7AEBFC278}">
  <sheetPr>
    <outlinePr summaryBelow="0" summaryRight="0"/>
  </sheetPr>
  <dimension ref="A1:AB984"/>
  <sheetViews>
    <sheetView topLeftCell="B1" workbookViewId="0"/>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54.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248</v>
      </c>
      <c r="B1" s="59" t="s">
        <v>305</v>
      </c>
      <c r="C1" s="243" t="s">
        <v>306</v>
      </c>
      <c r="D1" s="243" t="s">
        <v>307</v>
      </c>
      <c r="E1" s="59" t="s">
        <v>250</v>
      </c>
      <c r="F1" s="243" t="s">
        <v>308</v>
      </c>
      <c r="G1" s="243" t="s">
        <v>309</v>
      </c>
      <c r="H1" s="59" t="s">
        <v>310</v>
      </c>
      <c r="I1" s="59" t="s">
        <v>311</v>
      </c>
      <c r="J1" s="59" t="s">
        <v>312</v>
      </c>
      <c r="K1" s="59" t="s">
        <v>253</v>
      </c>
      <c r="L1" s="156" t="s">
        <v>313</v>
      </c>
      <c r="M1" s="483" t="s">
        <v>274</v>
      </c>
      <c r="N1" s="483" t="s">
        <v>314</v>
      </c>
      <c r="O1" s="483" t="s">
        <v>315</v>
      </c>
      <c r="P1" s="35"/>
      <c r="Q1" s="35"/>
      <c r="R1" s="35"/>
      <c r="S1" s="35"/>
      <c r="T1" s="35"/>
      <c r="U1" s="35"/>
      <c r="V1" s="35"/>
      <c r="W1" s="35"/>
      <c r="X1" s="35"/>
      <c r="Y1" s="35"/>
      <c r="Z1" s="35"/>
      <c r="AA1" s="35"/>
      <c r="AB1" s="35"/>
    </row>
    <row r="2" spans="1:28" ht="116.25" customHeight="1">
      <c r="B2" s="228"/>
      <c r="C2" s="228"/>
      <c r="D2" s="228"/>
      <c r="E2" s="228"/>
      <c r="F2" s="185"/>
      <c r="G2" s="316"/>
      <c r="H2" s="41"/>
      <c r="I2" s="41"/>
      <c r="J2" s="41"/>
      <c r="K2" s="41"/>
      <c r="L2" s="41"/>
      <c r="M2" s="216"/>
      <c r="N2" s="91"/>
      <c r="O2" s="216"/>
    </row>
    <row r="3" spans="1:28" ht="30.75" customHeight="1">
      <c r="B3" s="228"/>
      <c r="C3" s="228"/>
      <c r="D3" s="228"/>
      <c r="E3" s="228"/>
      <c r="F3" s="185"/>
      <c r="G3" s="316"/>
      <c r="H3" s="58"/>
      <c r="I3" s="41"/>
      <c r="J3" s="41"/>
      <c r="K3" s="58"/>
      <c r="L3" s="41"/>
      <c r="M3" s="58"/>
      <c r="N3" s="91"/>
      <c r="O3" s="58"/>
    </row>
    <row r="4" spans="1:28" ht="15.75" customHeight="1"/>
    <row r="5" spans="1:28" ht="15.75" customHeight="1">
      <c r="K5" s="144"/>
    </row>
    <row r="6" spans="1:28" ht="15.75" customHeight="1"/>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autoFilter ref="A1:M1" xr:uid="{3A2BB050-11AC-4ED7-A296-96B42C7FCFBA}"/>
  <dataValidations count="5">
    <dataValidation type="list" allowBlank="1" showErrorMessage="1" sqref="F2:F3" xr:uid="{BC7B2CAF-FFB8-4192-974E-D41D3B4574D5}">
      <formula1>"Bounceback,Defect,None"</formula1>
    </dataValidation>
    <dataValidation type="list" allowBlank="1" showErrorMessage="1" sqref="J2:J3" xr:uid="{2B3B25E0-9AB8-4883-8C42-CA529AA88DF1}">
      <formula1>"Internal,External"</formula1>
    </dataValidation>
    <dataValidation type="list" allowBlank="1" showErrorMessage="1" sqref="H2" xr:uid="{C9B73916-38A1-4DEC-A790-575329D95F53}">
      <formula1>"Minor,Significant,Major"</formula1>
    </dataValidation>
    <dataValidation type="list" allowBlank="1" showErrorMessage="1" sqref="I2:I3" xr:uid="{C38332A1-939A-4BDF-8F1E-B20ED2E3AB04}">
      <formula1>"Manual, Automation"</formula1>
    </dataValidation>
    <dataValidation type="list" allowBlank="1" showErrorMessage="1" sqref="K2" xr:uid="{2BCFC255-C264-465A-8B4F-DBD5ABF30CBD}">
      <formula1>"Open,Inprogress,Closed"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4D44A52-56F6-4589-916F-D4197F399A96}">
          <x14:formula1>
            <xm:f>Details!$A$2:$A$10</xm:f>
          </x14:formula1>
          <xm:sqref>L2:L3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EAA0D-3BD3-4C11-A3DE-2E6C6962732B}">
  <dimension ref="A1:AE8"/>
  <sheetViews>
    <sheetView workbookViewId="0">
      <pane xSplit="7" ySplit="1" topLeftCell="AC7" activePane="bottomRight" state="frozen"/>
      <selection pane="bottomRight" activeCell="AD7" sqref="AD7"/>
      <selection pane="bottomLeft"/>
      <selection pane="topRight"/>
    </sheetView>
  </sheetViews>
  <sheetFormatPr defaultRowHeight="12.75"/>
  <cols>
    <col min="1" max="1" width="9.140625" style="122"/>
    <col min="2" max="2" width="15.140625" style="137" customWidth="1"/>
    <col min="3" max="3" width="12.140625" style="122" customWidth="1"/>
    <col min="4" max="4" width="10.85546875" style="122" customWidth="1"/>
    <col min="5" max="5" width="33" customWidth="1"/>
    <col min="6" max="6" width="44.140625" customWidth="1"/>
    <col min="7" max="7" width="18.85546875" customWidth="1"/>
    <col min="8" max="8" width="57.42578125" style="137" customWidth="1"/>
    <col min="9" max="9" width="16.85546875" style="122" customWidth="1"/>
    <col min="10" max="10" width="11.42578125" style="122" bestFit="1" customWidth="1"/>
    <col min="11" max="11" width="11.42578125" bestFit="1" customWidth="1"/>
    <col min="12" max="12" width="25.5703125" customWidth="1"/>
    <col min="13" max="14" width="11.42578125" customWidth="1"/>
    <col min="15" max="15" width="13.140625" customWidth="1"/>
    <col min="16" max="16" width="17" style="144" bestFit="1" customWidth="1"/>
    <col min="17" max="17" width="88.140625" customWidth="1"/>
    <col min="18" max="18" width="23.7109375" customWidth="1"/>
    <col min="19" max="19" width="14.85546875" customWidth="1"/>
    <col min="20" max="20" width="27.7109375" style="144" customWidth="1"/>
    <col min="21" max="22" width="12.7109375" bestFit="1" customWidth="1"/>
    <col min="23" max="23" width="20.5703125" customWidth="1"/>
    <col min="24" max="24" width="22.28515625" style="144" customWidth="1"/>
    <col min="25" max="25" width="11.42578125" bestFit="1" customWidth="1"/>
    <col min="26" max="26" width="12.7109375" bestFit="1" customWidth="1"/>
    <col min="27" max="27" width="52.140625" customWidth="1"/>
    <col min="28" max="29" width="11.42578125" bestFit="1" customWidth="1"/>
    <col min="30" max="30" width="78.5703125" customWidth="1"/>
    <col min="31" max="31" width="56.140625" customWidth="1"/>
  </cols>
  <sheetData>
    <row r="1" spans="1:31" ht="48">
      <c r="A1" s="379" t="s">
        <v>248</v>
      </c>
      <c r="B1" s="501" t="s">
        <v>4</v>
      </c>
      <c r="C1" s="501" t="s">
        <v>2</v>
      </c>
      <c r="D1" s="501" t="s">
        <v>3</v>
      </c>
      <c r="E1" s="380" t="s">
        <v>249</v>
      </c>
      <c r="F1" s="381" t="s">
        <v>250</v>
      </c>
      <c r="G1" s="382" t="s">
        <v>251</v>
      </c>
      <c r="H1" s="383" t="s">
        <v>252</v>
      </c>
      <c r="I1" s="697" t="s">
        <v>253</v>
      </c>
      <c r="J1" s="729" t="s">
        <v>254</v>
      </c>
      <c r="K1" s="384" t="s">
        <v>255</v>
      </c>
      <c r="L1" s="384" t="s">
        <v>256</v>
      </c>
      <c r="M1" s="384" t="s">
        <v>257</v>
      </c>
      <c r="N1" s="384" t="s">
        <v>258</v>
      </c>
      <c r="O1" s="385" t="s">
        <v>259</v>
      </c>
      <c r="P1" s="385" t="s">
        <v>260</v>
      </c>
      <c r="Q1" s="385" t="s">
        <v>261</v>
      </c>
      <c r="R1" s="385" t="s">
        <v>262</v>
      </c>
      <c r="S1" s="385" t="s">
        <v>263</v>
      </c>
      <c r="T1" s="385" t="s">
        <v>264</v>
      </c>
      <c r="U1" s="385" t="s">
        <v>265</v>
      </c>
      <c r="V1" s="385" t="s">
        <v>266</v>
      </c>
      <c r="W1" s="385" t="s">
        <v>267</v>
      </c>
      <c r="X1" s="385" t="s">
        <v>268</v>
      </c>
      <c r="Y1" s="385" t="s">
        <v>269</v>
      </c>
      <c r="Z1" s="385" t="s">
        <v>270</v>
      </c>
      <c r="AA1" s="385" t="s">
        <v>271</v>
      </c>
      <c r="AB1" s="385" t="s">
        <v>272</v>
      </c>
      <c r="AC1" s="385" t="s">
        <v>273</v>
      </c>
      <c r="AD1" s="386" t="s">
        <v>274</v>
      </c>
      <c r="AE1" s="385" t="s">
        <v>275</v>
      </c>
    </row>
    <row r="2" spans="1:31" s="603" customFormat="1" ht="91.5">
      <c r="A2" s="806">
        <v>1</v>
      </c>
      <c r="B2" s="806" t="s">
        <v>5</v>
      </c>
      <c r="C2" s="759">
        <v>46093</v>
      </c>
      <c r="D2" s="759">
        <v>46107</v>
      </c>
      <c r="E2" s="829" t="s">
        <v>205</v>
      </c>
      <c r="F2" s="806" t="s">
        <v>293</v>
      </c>
      <c r="G2" s="806" t="s">
        <v>477</v>
      </c>
      <c r="H2" s="709" t="s">
        <v>478</v>
      </c>
      <c r="I2" s="806" t="s">
        <v>13</v>
      </c>
      <c r="J2" s="806">
        <v>3</v>
      </c>
      <c r="K2" s="806">
        <v>3</v>
      </c>
      <c r="L2" s="806">
        <v>82</v>
      </c>
      <c r="M2" s="661">
        <v>46094</v>
      </c>
      <c r="N2" s="661">
        <v>46106</v>
      </c>
      <c r="O2" s="806" t="s">
        <v>318</v>
      </c>
      <c r="P2" s="806" t="s">
        <v>284</v>
      </c>
      <c r="Q2" s="814" t="s">
        <v>479</v>
      </c>
      <c r="R2" s="806" t="s">
        <v>234</v>
      </c>
      <c r="S2" s="806" t="s">
        <v>320</v>
      </c>
      <c r="T2" s="714" t="s">
        <v>480</v>
      </c>
      <c r="U2" s="708">
        <v>46100</v>
      </c>
      <c r="V2" s="708">
        <v>46107</v>
      </c>
      <c r="W2" s="806" t="s">
        <v>448</v>
      </c>
      <c r="X2" s="806" t="s">
        <v>320</v>
      </c>
      <c r="Y2" s="806" t="s">
        <v>323</v>
      </c>
      <c r="Z2" s="661">
        <v>46107</v>
      </c>
      <c r="AA2" s="814" t="s">
        <v>320</v>
      </c>
      <c r="AB2" s="806" t="s">
        <v>320</v>
      </c>
      <c r="AC2" s="806" t="s">
        <v>320</v>
      </c>
      <c r="AD2" s="812" t="s">
        <v>481</v>
      </c>
      <c r="AE2" s="824" t="s">
        <v>482</v>
      </c>
    </row>
    <row r="3" spans="1:31" s="621" customFormat="1" ht="137.25">
      <c r="A3" s="612">
        <v>2</v>
      </c>
      <c r="B3" s="779" t="s">
        <v>5</v>
      </c>
      <c r="C3" s="760">
        <v>46093</v>
      </c>
      <c r="D3" s="832">
        <v>46107</v>
      </c>
      <c r="E3" s="724" t="s">
        <v>205</v>
      </c>
      <c r="F3" s="934" t="s">
        <v>233</v>
      </c>
      <c r="G3" s="635" t="s">
        <v>483</v>
      </c>
      <c r="H3" s="634" t="s">
        <v>484</v>
      </c>
      <c r="I3" s="635" t="s">
        <v>13</v>
      </c>
      <c r="J3" s="927">
        <v>2</v>
      </c>
      <c r="K3" s="635">
        <v>2</v>
      </c>
      <c r="L3" s="635">
        <v>45</v>
      </c>
      <c r="M3" s="656">
        <v>46094</v>
      </c>
      <c r="N3" s="656">
        <v>46099</v>
      </c>
      <c r="O3" s="634" t="s">
        <v>318</v>
      </c>
      <c r="P3" s="636" t="s">
        <v>284</v>
      </c>
      <c r="Q3" s="635" t="s">
        <v>320</v>
      </c>
      <c r="R3" s="635" t="s">
        <v>232</v>
      </c>
      <c r="S3" s="927" t="s">
        <v>320</v>
      </c>
      <c r="T3" s="715" t="s">
        <v>485</v>
      </c>
      <c r="U3" s="656">
        <v>46105</v>
      </c>
      <c r="V3" s="656">
        <v>46106</v>
      </c>
      <c r="W3" s="634" t="s">
        <v>448</v>
      </c>
      <c r="X3" s="636" t="s">
        <v>320</v>
      </c>
      <c r="Y3" s="634" t="s">
        <v>323</v>
      </c>
      <c r="Z3" s="656">
        <v>46106</v>
      </c>
      <c r="AA3" s="636" t="s">
        <v>320</v>
      </c>
      <c r="AB3" s="634" t="s">
        <v>320</v>
      </c>
      <c r="AC3" s="634" t="s">
        <v>320</v>
      </c>
      <c r="AD3" s="828" t="s">
        <v>486</v>
      </c>
      <c r="AE3" s="636" t="s">
        <v>487</v>
      </c>
    </row>
    <row r="4" spans="1:31" s="603" customFormat="1" ht="152.25">
      <c r="A4" s="596">
        <v>3</v>
      </c>
      <c r="B4" s="778" t="s">
        <v>5</v>
      </c>
      <c r="C4" s="759">
        <v>46093</v>
      </c>
      <c r="D4" s="759">
        <v>46107</v>
      </c>
      <c r="E4" s="730" t="s">
        <v>205</v>
      </c>
      <c r="F4" s="929" t="s">
        <v>488</v>
      </c>
      <c r="G4" s="626" t="s">
        <v>489</v>
      </c>
      <c r="H4" s="599" t="s">
        <v>490</v>
      </c>
      <c r="I4" s="626" t="s">
        <v>13</v>
      </c>
      <c r="J4" s="929">
        <v>3</v>
      </c>
      <c r="K4" s="626">
        <v>3</v>
      </c>
      <c r="L4" s="626">
        <v>83.75</v>
      </c>
      <c r="M4" s="661">
        <v>46094</v>
      </c>
      <c r="N4" s="661">
        <v>46098</v>
      </c>
      <c r="O4" s="599" t="s">
        <v>318</v>
      </c>
      <c r="P4" s="627" t="s">
        <v>284</v>
      </c>
      <c r="Q4" s="599" t="s">
        <v>320</v>
      </c>
      <c r="R4" s="599" t="s">
        <v>233</v>
      </c>
      <c r="S4" s="930" t="s">
        <v>320</v>
      </c>
      <c r="T4" s="714" t="s">
        <v>491</v>
      </c>
      <c r="U4" s="661">
        <v>46098</v>
      </c>
      <c r="V4" s="661">
        <v>46107</v>
      </c>
      <c r="W4" s="599" t="s">
        <v>448</v>
      </c>
      <c r="X4" s="627" t="s">
        <v>492</v>
      </c>
      <c r="Y4" s="599" t="s">
        <v>323</v>
      </c>
      <c r="Z4" s="661">
        <v>46107</v>
      </c>
      <c r="AA4" s="627" t="s">
        <v>493</v>
      </c>
      <c r="AB4" s="599"/>
      <c r="AC4" s="599"/>
      <c r="AD4" s="830" t="s">
        <v>494</v>
      </c>
      <c r="AE4" s="627" t="s">
        <v>495</v>
      </c>
    </row>
    <row r="5" spans="1:31" s="621" customFormat="1" ht="60.75">
      <c r="A5" s="612">
        <v>4</v>
      </c>
      <c r="B5" s="779" t="s">
        <v>5</v>
      </c>
      <c r="C5" s="760">
        <v>46093</v>
      </c>
      <c r="D5" s="832">
        <v>46107</v>
      </c>
      <c r="E5" s="724" t="s">
        <v>205</v>
      </c>
      <c r="F5" s="934" t="s">
        <v>427</v>
      </c>
      <c r="G5" s="635" t="s">
        <v>496</v>
      </c>
      <c r="H5" s="634" t="s">
        <v>497</v>
      </c>
      <c r="I5" s="635" t="s">
        <v>13</v>
      </c>
      <c r="J5" s="927">
        <v>1</v>
      </c>
      <c r="K5" s="635">
        <v>1</v>
      </c>
      <c r="L5" s="635">
        <v>8.5</v>
      </c>
      <c r="M5" s="656">
        <v>46099</v>
      </c>
      <c r="N5" s="656">
        <v>46099</v>
      </c>
      <c r="O5" s="634" t="s">
        <v>318</v>
      </c>
      <c r="P5" s="636" t="s">
        <v>284</v>
      </c>
      <c r="Q5" s="634" t="s">
        <v>320</v>
      </c>
      <c r="R5" s="634" t="s">
        <v>498</v>
      </c>
      <c r="S5" s="928" t="s">
        <v>320</v>
      </c>
      <c r="T5" s="715" t="s">
        <v>499</v>
      </c>
      <c r="U5" s="656">
        <v>46093</v>
      </c>
      <c r="V5" s="656"/>
      <c r="W5" s="634" t="s">
        <v>448</v>
      </c>
      <c r="X5" s="636" t="s">
        <v>320</v>
      </c>
      <c r="Y5" s="634" t="s">
        <v>323</v>
      </c>
      <c r="Z5" s="656">
        <v>46107</v>
      </c>
      <c r="AA5" s="636" t="s">
        <v>320</v>
      </c>
      <c r="AB5" s="634" t="s">
        <v>320</v>
      </c>
      <c r="AC5" s="634" t="s">
        <v>320</v>
      </c>
      <c r="AD5" s="636" t="s">
        <v>500</v>
      </c>
      <c r="AE5" s="634"/>
    </row>
    <row r="6" spans="1:31" s="603" customFormat="1" ht="48">
      <c r="A6" s="596">
        <v>5</v>
      </c>
      <c r="B6" s="778" t="s">
        <v>5</v>
      </c>
      <c r="C6" s="759">
        <v>46093</v>
      </c>
      <c r="D6" s="831">
        <v>46107</v>
      </c>
      <c r="E6" s="833" t="s">
        <v>205</v>
      </c>
      <c r="F6" s="935" t="s">
        <v>233</v>
      </c>
      <c r="G6" s="626" t="s">
        <v>501</v>
      </c>
      <c r="H6" s="599" t="s">
        <v>502</v>
      </c>
      <c r="I6" s="626" t="s">
        <v>13</v>
      </c>
      <c r="J6" s="929">
        <v>1</v>
      </c>
      <c r="K6" s="626">
        <v>1</v>
      </c>
      <c r="L6" s="626">
        <v>8.5</v>
      </c>
      <c r="M6" s="661">
        <v>46099</v>
      </c>
      <c r="N6" s="661">
        <v>46099</v>
      </c>
      <c r="O6" s="599" t="s">
        <v>318</v>
      </c>
      <c r="P6" s="627" t="s">
        <v>284</v>
      </c>
      <c r="Q6" s="599" t="s">
        <v>320</v>
      </c>
      <c r="R6" s="634" t="s">
        <v>427</v>
      </c>
      <c r="S6" s="928" t="s">
        <v>320</v>
      </c>
      <c r="T6" s="714" t="s">
        <v>499</v>
      </c>
      <c r="U6" s="661">
        <v>46093</v>
      </c>
      <c r="V6" s="661">
        <v>46107</v>
      </c>
      <c r="W6" s="599" t="s">
        <v>448</v>
      </c>
      <c r="X6" s="627" t="s">
        <v>320</v>
      </c>
      <c r="Y6" s="599" t="s">
        <v>323</v>
      </c>
      <c r="Z6" s="661">
        <v>46107</v>
      </c>
      <c r="AA6" s="627" t="s">
        <v>320</v>
      </c>
      <c r="AB6" s="599" t="s">
        <v>320</v>
      </c>
      <c r="AC6" s="599" t="s">
        <v>320</v>
      </c>
      <c r="AD6" s="627" t="s">
        <v>503</v>
      </c>
      <c r="AE6" s="599"/>
    </row>
    <row r="7" spans="1:31" s="621" customFormat="1" ht="60.75">
      <c r="A7" s="612">
        <v>6</v>
      </c>
      <c r="B7" s="779" t="s">
        <v>5</v>
      </c>
      <c r="C7" s="760">
        <v>46093</v>
      </c>
      <c r="D7" s="832">
        <v>46107</v>
      </c>
      <c r="E7" s="724" t="s">
        <v>504</v>
      </c>
      <c r="F7" s="934" t="s">
        <v>505</v>
      </c>
      <c r="G7" s="635" t="s">
        <v>451</v>
      </c>
      <c r="H7" s="634" t="s">
        <v>452</v>
      </c>
      <c r="I7" s="634" t="s">
        <v>278</v>
      </c>
      <c r="J7" s="927">
        <v>3</v>
      </c>
      <c r="K7" s="634"/>
      <c r="L7" s="635">
        <v>79</v>
      </c>
      <c r="M7" s="656">
        <v>46100</v>
      </c>
      <c r="N7" s="656">
        <v>46105</v>
      </c>
      <c r="O7" s="634" t="s">
        <v>318</v>
      </c>
      <c r="P7" s="636" t="s">
        <v>284</v>
      </c>
      <c r="Q7" s="636" t="s">
        <v>506</v>
      </c>
      <c r="R7" s="634" t="s">
        <v>422</v>
      </c>
      <c r="S7" s="928" t="s">
        <v>320</v>
      </c>
      <c r="T7" s="715" t="s">
        <v>507</v>
      </c>
      <c r="U7" s="656">
        <v>46105</v>
      </c>
      <c r="V7" s="656"/>
      <c r="W7" s="634" t="s">
        <v>448</v>
      </c>
      <c r="X7" s="636"/>
      <c r="Y7" s="634" t="s">
        <v>323</v>
      </c>
      <c r="Z7" s="656"/>
      <c r="AA7" s="636"/>
      <c r="AB7" s="634" t="s">
        <v>320</v>
      </c>
      <c r="AC7" s="634" t="s">
        <v>320</v>
      </c>
      <c r="AD7" s="636" t="s">
        <v>508</v>
      </c>
      <c r="AE7" s="636" t="s">
        <v>509</v>
      </c>
    </row>
    <row r="8" spans="1:31" ht="60.75">
      <c r="A8" s="596">
        <v>7</v>
      </c>
      <c r="B8" s="778" t="s">
        <v>5</v>
      </c>
      <c r="C8" s="759">
        <v>46093</v>
      </c>
      <c r="D8" s="759">
        <v>46107</v>
      </c>
      <c r="E8" s="730" t="s">
        <v>504</v>
      </c>
      <c r="F8" s="929" t="s">
        <v>510</v>
      </c>
      <c r="G8" s="626" t="s">
        <v>428</v>
      </c>
      <c r="H8" s="599" t="s">
        <v>429</v>
      </c>
      <c r="I8" s="599" t="s">
        <v>278</v>
      </c>
      <c r="J8" s="929">
        <v>3</v>
      </c>
      <c r="K8" s="599"/>
      <c r="L8" s="626">
        <v>71.849999999999994</v>
      </c>
      <c r="M8" s="661">
        <v>46104</v>
      </c>
      <c r="N8" s="661"/>
      <c r="O8" s="599"/>
      <c r="P8" s="627"/>
      <c r="Q8" s="599"/>
      <c r="R8" s="599"/>
      <c r="S8" s="930"/>
      <c r="T8" s="781"/>
      <c r="U8" s="661"/>
      <c r="V8" s="661"/>
      <c r="W8" s="599"/>
      <c r="X8" s="627"/>
      <c r="Y8" s="599"/>
      <c r="Z8" s="661"/>
      <c r="AA8" s="627"/>
      <c r="AB8" s="599"/>
      <c r="AC8" s="599"/>
      <c r="AD8" s="627" t="s">
        <v>511</v>
      </c>
      <c r="AE8" s="627" t="s">
        <v>512</v>
      </c>
    </row>
  </sheetData>
  <hyperlinks>
    <hyperlink ref="T5" r:id="rId1" xr:uid="{6B3085CF-7AE9-4270-B2FF-B87463A01D7A}"/>
    <hyperlink ref="T6" r:id="rId2" xr:uid="{894CBA30-5CE1-4057-B3F8-BAE7047A2D26}"/>
    <hyperlink ref="T4" r:id="rId3" xr:uid="{AC34877D-8405-4DCA-B4E6-3AE396F6EF0E}"/>
    <hyperlink ref="T2" r:id="rId4" xr:uid="{E64ED006-AF17-48A3-9ADA-E280EAE92825}"/>
    <hyperlink ref="T3" r:id="rId5" xr:uid="{0F1ADD70-EB47-40F6-94D4-DBC71D428F7C}"/>
    <hyperlink ref="T7" r:id="rId6" xr:uid="{DE32DCE1-6B6D-4415-B04B-A172759B09EA}"/>
  </hyperlinks>
  <pageMargins left="0.7" right="0.7" top="0.75" bottom="0.75" header="0.3" footer="0.3"/>
  <tableParts count="1">
    <tablePart r:id="rId7"/>
  </tableParts>
  <extLst>
    <ext xmlns:x14="http://schemas.microsoft.com/office/spreadsheetml/2009/9/main" uri="{CCE6A557-97BC-4b89-ADB6-D9C93CAAB3DF}">
      <x14:dataValidations xmlns:xm="http://schemas.microsoft.com/office/excel/2006/main" count="1">
        <x14:dataValidation type="list" allowBlank="1" showErrorMessage="1" xr:uid="{336A3415-BC9C-47AF-99E2-51606D4CB35B}">
          <x14:formula1>
            <xm:f>Settings!$C$3:$C$20</xm:f>
          </x14:formula1>
          <xm:sqref>I2:I8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38F8A-4F39-4970-AC7E-A9ED09935594}">
  <dimension ref="A1:AF9"/>
  <sheetViews>
    <sheetView workbookViewId="0">
      <pane xSplit="8" ySplit="1" topLeftCell="I4" activePane="bottomRight" state="frozen"/>
      <selection pane="bottomRight" activeCell="AD3" sqref="AD3"/>
      <selection pane="bottomLeft"/>
      <selection pane="topRight"/>
    </sheetView>
  </sheetViews>
  <sheetFormatPr defaultRowHeight="12.75"/>
  <cols>
    <col min="1" max="1" width="9.140625" style="122"/>
    <col min="2" max="2" width="15.140625" style="137" customWidth="1"/>
    <col min="3" max="3" width="12.140625" style="122" customWidth="1"/>
    <col min="4" max="4" width="10.85546875" style="122" customWidth="1"/>
    <col min="5" max="6" width="33" customWidth="1"/>
    <col min="7" max="7" width="44.140625" customWidth="1"/>
    <col min="8" max="8" width="18.85546875" customWidth="1"/>
    <col min="9" max="9" width="57.42578125" style="137" customWidth="1"/>
    <col min="10" max="10" width="16.85546875" style="122" customWidth="1"/>
    <col min="11" max="11" width="11.42578125" style="122" bestFit="1" customWidth="1"/>
    <col min="12" max="12" width="11.42578125" bestFit="1" customWidth="1"/>
    <col min="13" max="13" width="25.5703125" customWidth="1"/>
    <col min="14" max="15" width="11.42578125" customWidth="1"/>
    <col min="16" max="16" width="13.140625" customWidth="1"/>
    <col min="17" max="17" width="17" style="144" bestFit="1" customWidth="1"/>
    <col min="18" max="18" width="88.140625" customWidth="1"/>
    <col min="19" max="19" width="23.7109375" customWidth="1"/>
    <col min="20" max="20" width="14.85546875" customWidth="1"/>
    <col min="21" max="21" width="27.7109375" style="144" customWidth="1"/>
    <col min="22" max="23" width="12.7109375" bestFit="1" customWidth="1"/>
    <col min="24" max="24" width="20.5703125" customWidth="1"/>
    <col min="25" max="25" width="11.42578125" style="144" bestFit="1" customWidth="1"/>
    <col min="26" max="26" width="11.42578125" bestFit="1" customWidth="1"/>
    <col min="27" max="27" width="12.7109375" bestFit="1" customWidth="1"/>
    <col min="28" max="28" width="52.140625" customWidth="1"/>
    <col min="29" max="30" width="11.42578125" bestFit="1" customWidth="1"/>
    <col min="31" max="31" width="78.5703125" customWidth="1"/>
    <col min="32" max="32" width="56.140625" customWidth="1"/>
  </cols>
  <sheetData>
    <row r="1" spans="1:32" ht="48">
      <c r="A1" s="379" t="s">
        <v>248</v>
      </c>
      <c r="B1" s="501" t="s">
        <v>4</v>
      </c>
      <c r="C1" s="501" t="s">
        <v>2</v>
      </c>
      <c r="D1" s="501" t="s">
        <v>3</v>
      </c>
      <c r="E1" s="380" t="s">
        <v>249</v>
      </c>
      <c r="F1" s="380" t="s">
        <v>513</v>
      </c>
      <c r="G1" s="381" t="s">
        <v>250</v>
      </c>
      <c r="H1" s="382" t="s">
        <v>251</v>
      </c>
      <c r="I1" s="383" t="s">
        <v>252</v>
      </c>
      <c r="J1" s="697" t="s">
        <v>253</v>
      </c>
      <c r="K1" s="729" t="s">
        <v>254</v>
      </c>
      <c r="L1" s="384" t="s">
        <v>255</v>
      </c>
      <c r="M1" s="384" t="s">
        <v>256</v>
      </c>
      <c r="N1" s="384" t="s">
        <v>257</v>
      </c>
      <c r="O1" s="384" t="s">
        <v>258</v>
      </c>
      <c r="P1" s="385" t="s">
        <v>259</v>
      </c>
      <c r="Q1" s="385" t="s">
        <v>260</v>
      </c>
      <c r="R1" s="385" t="s">
        <v>261</v>
      </c>
      <c r="S1" s="385" t="s">
        <v>262</v>
      </c>
      <c r="T1" s="385" t="s">
        <v>263</v>
      </c>
      <c r="U1" s="385" t="s">
        <v>264</v>
      </c>
      <c r="V1" s="385" t="s">
        <v>265</v>
      </c>
      <c r="W1" s="385" t="s">
        <v>266</v>
      </c>
      <c r="X1" s="385" t="s">
        <v>267</v>
      </c>
      <c r="Y1" s="385" t="s">
        <v>268</v>
      </c>
      <c r="Z1" s="385" t="s">
        <v>269</v>
      </c>
      <c r="AA1" s="385" t="s">
        <v>270</v>
      </c>
      <c r="AB1" s="385" t="s">
        <v>271</v>
      </c>
      <c r="AC1" s="385" t="s">
        <v>272</v>
      </c>
      <c r="AD1" s="385" t="s">
        <v>273</v>
      </c>
      <c r="AE1" s="386" t="s">
        <v>274</v>
      </c>
      <c r="AF1" s="385" t="s">
        <v>275</v>
      </c>
    </row>
    <row r="2" spans="1:32" s="603" customFormat="1" ht="76.5">
      <c r="A2" s="806">
        <v>1</v>
      </c>
      <c r="B2" s="806" t="s">
        <v>5</v>
      </c>
      <c r="C2" s="759">
        <v>46079</v>
      </c>
      <c r="D2" s="759">
        <v>46093</v>
      </c>
      <c r="E2" s="806" t="s">
        <v>201</v>
      </c>
      <c r="F2" s="806"/>
      <c r="G2" s="806" t="s">
        <v>514</v>
      </c>
      <c r="H2" s="806" t="s">
        <v>515</v>
      </c>
      <c r="I2" s="709" t="s">
        <v>516</v>
      </c>
      <c r="J2" s="806" t="s">
        <v>13</v>
      </c>
      <c r="K2" s="806">
        <v>5</v>
      </c>
      <c r="L2" s="806">
        <v>5</v>
      </c>
      <c r="M2" s="806">
        <v>106</v>
      </c>
      <c r="N2" s="661">
        <v>46080</v>
      </c>
      <c r="O2" s="661">
        <v>46087</v>
      </c>
      <c r="P2" s="806" t="s">
        <v>318</v>
      </c>
      <c r="Q2" s="806" t="s">
        <v>517</v>
      </c>
      <c r="R2" s="814" t="s">
        <v>518</v>
      </c>
      <c r="S2" s="806" t="s">
        <v>297</v>
      </c>
      <c r="T2" s="806" t="s">
        <v>320</v>
      </c>
      <c r="U2" s="714" t="s">
        <v>519</v>
      </c>
      <c r="V2" s="708">
        <v>46086</v>
      </c>
      <c r="W2" s="708">
        <v>46092</v>
      </c>
      <c r="X2" s="806" t="s">
        <v>448</v>
      </c>
      <c r="Y2" s="806" t="s">
        <v>320</v>
      </c>
      <c r="Z2" s="806" t="s">
        <v>323</v>
      </c>
      <c r="AA2" s="661">
        <v>46092</v>
      </c>
      <c r="AB2" s="814" t="s">
        <v>520</v>
      </c>
      <c r="AC2" s="806" t="s">
        <v>320</v>
      </c>
      <c r="AD2" s="806" t="s">
        <v>320</v>
      </c>
      <c r="AE2" s="812" t="s">
        <v>521</v>
      </c>
      <c r="AF2" s="824" t="s">
        <v>522</v>
      </c>
    </row>
    <row r="3" spans="1:32" s="621" customFormat="1" ht="48">
      <c r="A3" s="612">
        <v>2</v>
      </c>
      <c r="B3" s="820" t="s">
        <v>5</v>
      </c>
      <c r="C3" s="760">
        <v>46079</v>
      </c>
      <c r="D3" s="760">
        <v>46093</v>
      </c>
      <c r="E3" s="820" t="s">
        <v>201</v>
      </c>
      <c r="F3" s="612"/>
      <c r="G3" s="927" t="s">
        <v>293</v>
      </c>
      <c r="H3" s="635" t="s">
        <v>523</v>
      </c>
      <c r="I3" s="810" t="s">
        <v>524</v>
      </c>
      <c r="J3" s="634" t="s">
        <v>13</v>
      </c>
      <c r="K3" s="927">
        <v>2</v>
      </c>
      <c r="L3" s="635">
        <v>2</v>
      </c>
      <c r="M3" s="635">
        <v>47.5</v>
      </c>
      <c r="N3" s="656">
        <v>46080</v>
      </c>
      <c r="O3" s="821">
        <v>46086</v>
      </c>
      <c r="P3" s="634" t="s">
        <v>318</v>
      </c>
      <c r="Q3" s="636" t="s">
        <v>517</v>
      </c>
      <c r="R3" s="636" t="s">
        <v>320</v>
      </c>
      <c r="S3" s="635" t="s">
        <v>234</v>
      </c>
      <c r="T3" s="928" t="s">
        <v>320</v>
      </c>
      <c r="U3" s="715" t="s">
        <v>525</v>
      </c>
      <c r="V3" s="656">
        <v>46087</v>
      </c>
      <c r="W3" s="656">
        <v>46091</v>
      </c>
      <c r="X3" s="634" t="s">
        <v>448</v>
      </c>
      <c r="Y3" s="636" t="s">
        <v>320</v>
      </c>
      <c r="Z3" s="634" t="s">
        <v>323</v>
      </c>
      <c r="AA3" s="656">
        <v>46091</v>
      </c>
      <c r="AB3" s="636" t="s">
        <v>320</v>
      </c>
      <c r="AC3" s="634" t="s">
        <v>320</v>
      </c>
      <c r="AD3" s="634" t="s">
        <v>320</v>
      </c>
      <c r="AE3" s="803" t="s">
        <v>526</v>
      </c>
      <c r="AF3" s="676" t="s">
        <v>527</v>
      </c>
    </row>
    <row r="4" spans="1:32" s="603" customFormat="1" ht="106.5">
      <c r="A4" s="596">
        <v>3</v>
      </c>
      <c r="B4" s="806" t="s">
        <v>5</v>
      </c>
      <c r="C4" s="759">
        <v>46079</v>
      </c>
      <c r="D4" s="759">
        <v>46093</v>
      </c>
      <c r="E4" s="806" t="s">
        <v>201</v>
      </c>
      <c r="F4" s="596"/>
      <c r="G4" s="929" t="s">
        <v>528</v>
      </c>
      <c r="H4" s="626" t="s">
        <v>529</v>
      </c>
      <c r="I4" s="816" t="s">
        <v>530</v>
      </c>
      <c r="J4" s="599" t="s">
        <v>13</v>
      </c>
      <c r="K4" s="929">
        <v>5</v>
      </c>
      <c r="L4" s="626">
        <v>5</v>
      </c>
      <c r="M4" s="626">
        <v>149.25</v>
      </c>
      <c r="N4" s="661">
        <v>46080</v>
      </c>
      <c r="O4" s="661">
        <v>46091</v>
      </c>
      <c r="P4" s="599" t="s">
        <v>318</v>
      </c>
      <c r="Q4" s="627" t="s">
        <v>517</v>
      </c>
      <c r="R4" s="627" t="s">
        <v>531</v>
      </c>
      <c r="S4" s="599" t="s">
        <v>233</v>
      </c>
      <c r="T4" s="930" t="s">
        <v>320</v>
      </c>
      <c r="U4" s="714" t="s">
        <v>532</v>
      </c>
      <c r="V4" s="661">
        <v>46091</v>
      </c>
      <c r="W4" s="661">
        <v>46093</v>
      </c>
      <c r="X4" s="599" t="s">
        <v>448</v>
      </c>
      <c r="Y4" s="627" t="s">
        <v>320</v>
      </c>
      <c r="Z4" s="599" t="s">
        <v>323</v>
      </c>
      <c r="AA4" s="661">
        <v>46093</v>
      </c>
      <c r="AB4" s="627" t="s">
        <v>320</v>
      </c>
      <c r="AC4" s="599" t="s">
        <v>320</v>
      </c>
      <c r="AD4" s="599" t="s">
        <v>320</v>
      </c>
      <c r="AE4" s="802" t="s">
        <v>533</v>
      </c>
      <c r="AF4" s="813" t="s">
        <v>534</v>
      </c>
    </row>
    <row r="5" spans="1:32" s="621" customFormat="1" ht="48">
      <c r="A5" s="612">
        <v>4</v>
      </c>
      <c r="B5" s="820" t="s">
        <v>5</v>
      </c>
      <c r="C5" s="760">
        <v>46079</v>
      </c>
      <c r="D5" s="760">
        <v>46093</v>
      </c>
      <c r="E5" s="820" t="s">
        <v>201</v>
      </c>
      <c r="F5" s="612"/>
      <c r="G5" s="927" t="s">
        <v>427</v>
      </c>
      <c r="H5" s="635" t="s">
        <v>535</v>
      </c>
      <c r="I5" s="823" t="s">
        <v>536</v>
      </c>
      <c r="J5" s="634" t="s">
        <v>13</v>
      </c>
      <c r="K5" s="927">
        <v>1</v>
      </c>
      <c r="L5" s="635">
        <v>1</v>
      </c>
      <c r="M5" s="635">
        <v>10.3</v>
      </c>
      <c r="N5" s="656">
        <v>46080</v>
      </c>
      <c r="O5" s="656">
        <v>46080</v>
      </c>
      <c r="P5" s="634" t="s">
        <v>318</v>
      </c>
      <c r="Q5" s="636" t="s">
        <v>517</v>
      </c>
      <c r="R5" s="634" t="s">
        <v>320</v>
      </c>
      <c r="S5" s="634" t="s">
        <v>232</v>
      </c>
      <c r="T5" s="928" t="s">
        <v>320</v>
      </c>
      <c r="U5" s="715" t="s">
        <v>537</v>
      </c>
      <c r="V5" s="656">
        <v>46080</v>
      </c>
      <c r="W5" s="656">
        <v>46086</v>
      </c>
      <c r="X5" s="634" t="s">
        <v>448</v>
      </c>
      <c r="Y5" s="636" t="s">
        <v>320</v>
      </c>
      <c r="Z5" s="634" t="s">
        <v>323</v>
      </c>
      <c r="AA5" s="656">
        <v>46086</v>
      </c>
      <c r="AB5" s="636" t="s">
        <v>320</v>
      </c>
      <c r="AC5" s="634" t="s">
        <v>320</v>
      </c>
      <c r="AD5" s="634" t="s">
        <v>320</v>
      </c>
      <c r="AE5" s="803" t="s">
        <v>538</v>
      </c>
      <c r="AF5" s="634" t="s">
        <v>539</v>
      </c>
    </row>
    <row r="6" spans="1:32" s="603" customFormat="1" ht="48">
      <c r="A6" s="596">
        <v>5</v>
      </c>
      <c r="B6" s="596" t="s">
        <v>5</v>
      </c>
      <c r="C6" s="759">
        <v>46079</v>
      </c>
      <c r="D6" s="759">
        <v>46093</v>
      </c>
      <c r="E6" s="596" t="s">
        <v>201</v>
      </c>
      <c r="F6" s="596"/>
      <c r="G6" s="929" t="s">
        <v>427</v>
      </c>
      <c r="H6" s="626" t="s">
        <v>540</v>
      </c>
      <c r="I6" s="822" t="s">
        <v>541</v>
      </c>
      <c r="J6" s="599" t="s">
        <v>13</v>
      </c>
      <c r="K6" s="929">
        <v>1</v>
      </c>
      <c r="L6" s="626">
        <v>1</v>
      </c>
      <c r="M6" s="626">
        <v>11.3</v>
      </c>
      <c r="N6" s="661">
        <v>46080</v>
      </c>
      <c r="O6" s="661">
        <v>46080</v>
      </c>
      <c r="P6" s="599" t="s">
        <v>318</v>
      </c>
      <c r="Q6" s="627" t="s">
        <v>517</v>
      </c>
      <c r="R6" s="599" t="s">
        <v>320</v>
      </c>
      <c r="S6" s="599" t="s">
        <v>232</v>
      </c>
      <c r="T6" s="930" t="s">
        <v>320</v>
      </c>
      <c r="U6" s="714" t="s">
        <v>537</v>
      </c>
      <c r="V6" s="661">
        <v>46080</v>
      </c>
      <c r="W6" s="661">
        <v>46086</v>
      </c>
      <c r="X6" s="599" t="s">
        <v>448</v>
      </c>
      <c r="Y6" s="627" t="s">
        <v>320</v>
      </c>
      <c r="Z6" s="599" t="s">
        <v>323</v>
      </c>
      <c r="AA6" s="661">
        <v>46086</v>
      </c>
      <c r="AB6" s="627" t="s">
        <v>320</v>
      </c>
      <c r="AC6" s="599" t="s">
        <v>320</v>
      </c>
      <c r="AD6" s="599" t="s">
        <v>320</v>
      </c>
      <c r="AE6" s="802" t="s">
        <v>542</v>
      </c>
      <c r="AF6" s="599" t="s">
        <v>539</v>
      </c>
    </row>
    <row r="7" spans="1:32" s="58" customFormat="1" ht="60">
      <c r="A7" s="91">
        <v>6</v>
      </c>
      <c r="B7" s="228" t="s">
        <v>5</v>
      </c>
      <c r="C7" s="765">
        <v>46079</v>
      </c>
      <c r="D7" s="765">
        <v>46093</v>
      </c>
      <c r="E7" s="604" t="s">
        <v>543</v>
      </c>
      <c r="F7" s="604"/>
      <c r="G7" s="938" t="s">
        <v>514</v>
      </c>
      <c r="H7" s="827" t="s">
        <v>544</v>
      </c>
      <c r="I7" s="203" t="s">
        <v>502</v>
      </c>
      <c r="J7" s="664" t="s">
        <v>283</v>
      </c>
      <c r="K7" s="228">
        <v>3</v>
      </c>
      <c r="M7" s="228">
        <v>60.5</v>
      </c>
      <c r="N7" s="93">
        <v>46087</v>
      </c>
      <c r="O7" s="93">
        <v>46092</v>
      </c>
      <c r="P7" s="58" t="s">
        <v>318</v>
      </c>
      <c r="Q7" s="216" t="s">
        <v>517</v>
      </c>
      <c r="R7" s="58" t="s">
        <v>545</v>
      </c>
      <c r="S7" s="58" t="s">
        <v>234</v>
      </c>
      <c r="T7" s="58" t="s">
        <v>320</v>
      </c>
      <c r="U7" s="200" t="s">
        <v>499</v>
      </c>
      <c r="V7" s="93">
        <v>46092</v>
      </c>
      <c r="X7" s="58" t="s">
        <v>448</v>
      </c>
      <c r="Y7" s="216" t="s">
        <v>320</v>
      </c>
      <c r="Z7" s="58" t="s">
        <v>323</v>
      </c>
      <c r="AB7" s="58" t="s">
        <v>320</v>
      </c>
      <c r="AC7" s="58" t="s">
        <v>320</v>
      </c>
      <c r="AD7" s="58" t="s">
        <v>320</v>
      </c>
      <c r="AE7" s="216" t="s">
        <v>546</v>
      </c>
      <c r="AF7" s="825" t="s">
        <v>547</v>
      </c>
    </row>
    <row r="8" spans="1:32" s="773" customFormat="1" ht="48">
      <c r="A8" s="772">
        <v>7</v>
      </c>
      <c r="B8" s="776" t="s">
        <v>5</v>
      </c>
      <c r="C8" s="764">
        <v>46079</v>
      </c>
      <c r="D8" s="764">
        <v>46093</v>
      </c>
      <c r="E8" s="600" t="s">
        <v>543</v>
      </c>
      <c r="F8" s="600"/>
      <c r="G8" s="772" t="s">
        <v>293</v>
      </c>
      <c r="H8" s="776" t="s">
        <v>496</v>
      </c>
      <c r="I8" s="728" t="s">
        <v>548</v>
      </c>
      <c r="J8" s="663" t="s">
        <v>283</v>
      </c>
      <c r="K8" s="772">
        <v>2</v>
      </c>
      <c r="M8" s="776">
        <v>45.8</v>
      </c>
      <c r="N8" s="727">
        <v>46087</v>
      </c>
      <c r="O8" s="727">
        <v>46093</v>
      </c>
      <c r="P8" s="773" t="s">
        <v>318</v>
      </c>
      <c r="Q8" s="774" t="s">
        <v>549</v>
      </c>
      <c r="R8" s="773" t="s">
        <v>320</v>
      </c>
      <c r="S8" s="773" t="s">
        <v>422</v>
      </c>
      <c r="T8" s="773" t="s">
        <v>320</v>
      </c>
      <c r="U8" s="667" t="s">
        <v>499</v>
      </c>
      <c r="V8" s="727">
        <v>46092</v>
      </c>
      <c r="X8" s="773" t="s">
        <v>448</v>
      </c>
      <c r="Y8" s="774"/>
      <c r="Z8" s="773" t="s">
        <v>323</v>
      </c>
      <c r="AE8" s="774" t="s">
        <v>550</v>
      </c>
      <c r="AF8" s="679" t="s">
        <v>551</v>
      </c>
    </row>
    <row r="9" spans="1:32">
      <c r="AE9" s="95"/>
    </row>
  </sheetData>
  <hyperlinks>
    <hyperlink ref="U5" r:id="rId1" xr:uid="{88A93495-816B-44ED-9E00-FD8A6A2AFE36}"/>
    <hyperlink ref="U6" r:id="rId2" xr:uid="{DF9EFDC3-A3B0-408B-AB5F-D557B7F13892}"/>
    <hyperlink ref="U3" r:id="rId3" xr:uid="{09BD0417-10D4-4201-9E33-0F308728BE24}"/>
    <hyperlink ref="U2" r:id="rId4" xr:uid="{305CE6B2-D38E-408E-B182-C829CB1BE01B}"/>
    <hyperlink ref="U4" r:id="rId5" xr:uid="{52C80035-95C4-471D-86E1-89340BEA2CCE}"/>
    <hyperlink ref="U7" r:id="rId6" xr:uid="{2D470F6D-BE56-4C17-B23B-3132D40194C6}"/>
    <hyperlink ref="U8" r:id="rId7" xr:uid="{3FD7DC3B-9153-4ABB-939D-61B35F483083}"/>
  </hyperlinks>
  <pageMargins left="0.7" right="0.7" top="0.75" bottom="0.75" header="0.3" footer="0.3"/>
  <tableParts count="1">
    <tablePart r:id="rId8"/>
  </tableParts>
  <extLst>
    <ext xmlns:x14="http://schemas.microsoft.com/office/spreadsheetml/2009/9/main" uri="{CCE6A557-97BC-4b89-ADB6-D9C93CAAB3DF}">
      <x14:dataValidations xmlns:xm="http://schemas.microsoft.com/office/excel/2006/main" count="1">
        <x14:dataValidation type="list" allowBlank="1" showErrorMessage="1" xr:uid="{E27E6DE1-2AFC-442D-A7E5-69B853980CB7}">
          <x14:formula1>
            <xm:f>Settings!$C$3:$C$20</xm:f>
          </x14:formula1>
          <xm:sqref>J2:J8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8C02B-9D6E-47CA-88DD-59AB09E9EFDE}">
  <sheetPr>
    <outlinePr summaryBelow="0" summaryRight="0"/>
  </sheetPr>
  <dimension ref="A1:AB984"/>
  <sheetViews>
    <sheetView topLeftCell="B1" workbookViewId="0">
      <selection activeCell="K2" sqref="K2"/>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54.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248</v>
      </c>
      <c r="B1" s="59" t="s">
        <v>305</v>
      </c>
      <c r="C1" s="243" t="s">
        <v>306</v>
      </c>
      <c r="D1" s="243" t="s">
        <v>307</v>
      </c>
      <c r="E1" s="59" t="s">
        <v>250</v>
      </c>
      <c r="F1" s="243" t="s">
        <v>308</v>
      </c>
      <c r="G1" s="243" t="s">
        <v>309</v>
      </c>
      <c r="H1" s="59" t="s">
        <v>310</v>
      </c>
      <c r="I1" s="59" t="s">
        <v>311</v>
      </c>
      <c r="J1" s="59" t="s">
        <v>312</v>
      </c>
      <c r="K1" s="59" t="s">
        <v>253</v>
      </c>
      <c r="L1" s="156" t="s">
        <v>313</v>
      </c>
      <c r="M1" s="483" t="s">
        <v>274</v>
      </c>
      <c r="N1" s="483" t="s">
        <v>314</v>
      </c>
      <c r="O1" s="483" t="s">
        <v>315</v>
      </c>
      <c r="P1" s="35"/>
      <c r="Q1" s="35"/>
      <c r="R1" s="35"/>
      <c r="S1" s="35"/>
      <c r="T1" s="35"/>
      <c r="U1" s="35"/>
      <c r="V1" s="35"/>
      <c r="W1" s="35"/>
      <c r="X1" s="35"/>
      <c r="Y1" s="35"/>
      <c r="Z1" s="35"/>
      <c r="AA1" s="35"/>
      <c r="AB1" s="35"/>
    </row>
    <row r="2" spans="1:28" ht="116.25" customHeight="1">
      <c r="B2" s="228"/>
      <c r="C2" s="228"/>
      <c r="D2" s="228"/>
      <c r="E2" s="228"/>
      <c r="F2" s="185"/>
      <c r="G2" s="316"/>
      <c r="H2" s="41"/>
      <c r="I2" s="41"/>
      <c r="J2" s="41"/>
      <c r="K2" s="41"/>
      <c r="L2" s="41"/>
      <c r="M2" s="216"/>
      <c r="N2" s="91"/>
      <c r="O2" s="216"/>
    </row>
    <row r="3" spans="1:28" ht="30.75" customHeight="1">
      <c r="B3" s="228"/>
      <c r="C3" s="228"/>
      <c r="D3" s="228"/>
      <c r="E3" s="228"/>
      <c r="F3" s="185"/>
      <c r="G3" s="316"/>
      <c r="H3" s="58"/>
      <c r="I3" s="41"/>
      <c r="J3" s="41"/>
      <c r="K3" s="58"/>
      <c r="L3" s="41"/>
      <c r="M3" s="58"/>
      <c r="N3" s="91"/>
      <c r="O3" s="58"/>
    </row>
    <row r="4" spans="1:28" ht="15.75" customHeight="1"/>
    <row r="5" spans="1:28" ht="15.75" customHeight="1">
      <c r="K5" s="144"/>
    </row>
    <row r="6" spans="1:28" ht="15.75" customHeight="1"/>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autoFilter ref="A1:M1" xr:uid="{3A2BB050-11AC-4ED7-A296-96B42C7FCFBA}"/>
  <dataValidations count="5">
    <dataValidation type="list" allowBlank="1" showErrorMessage="1" sqref="K2" xr:uid="{2D0E5C27-3189-4270-87F3-158E90606A53}">
      <formula1>"Open,Inprogress,Closed"</formula1>
    </dataValidation>
    <dataValidation type="list" allowBlank="1" showErrorMessage="1" sqref="I2:I3" xr:uid="{6FAB1A5B-5D6B-4712-BEBC-7D79286B6C41}">
      <formula1>"Manual, Automation"</formula1>
    </dataValidation>
    <dataValidation type="list" allowBlank="1" showErrorMessage="1" sqref="H2" xr:uid="{7F5D5D59-1D71-4689-8EBE-FEC433734C1B}">
      <formula1>"Minor,Significant,Major"</formula1>
    </dataValidation>
    <dataValidation type="list" allowBlank="1" showErrorMessage="1" sqref="J2:J3" xr:uid="{82D87F50-8D85-4F8C-ADE1-0E71B13F0DE8}">
      <formula1>"Internal,External"</formula1>
    </dataValidation>
    <dataValidation type="list" allowBlank="1" showErrorMessage="1" sqref="F2:F3" xr:uid="{33AB7EE2-5836-40BB-BCE5-65645983AD39}">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3B16C6BD-DF50-48F9-82CF-07A3A9189DDB}">
          <x14:formula1>
            <xm:f>Details!$A$2:$A$10</xm:f>
          </x14:formula1>
          <xm:sqref>L2:L3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9A765-B85E-47DB-9CFA-9FEC600D1B9E}">
  <sheetPr>
    <outlinePr summaryBelow="0" summaryRight="0"/>
  </sheetPr>
  <dimension ref="A1:AB984"/>
  <sheetViews>
    <sheetView topLeftCell="B1" workbookViewId="0">
      <selection activeCell="F14" sqref="F14"/>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54.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248</v>
      </c>
      <c r="B1" s="59" t="s">
        <v>305</v>
      </c>
      <c r="C1" s="243" t="s">
        <v>306</v>
      </c>
      <c r="D1" s="243" t="s">
        <v>307</v>
      </c>
      <c r="E1" s="59" t="s">
        <v>250</v>
      </c>
      <c r="F1" s="243" t="s">
        <v>308</v>
      </c>
      <c r="G1" s="243" t="s">
        <v>309</v>
      </c>
      <c r="H1" s="59" t="s">
        <v>310</v>
      </c>
      <c r="I1" s="59" t="s">
        <v>311</v>
      </c>
      <c r="J1" s="59" t="s">
        <v>312</v>
      </c>
      <c r="K1" s="59" t="s">
        <v>253</v>
      </c>
      <c r="L1" s="156" t="s">
        <v>313</v>
      </c>
      <c r="M1" s="483" t="s">
        <v>274</v>
      </c>
      <c r="N1" s="483" t="s">
        <v>314</v>
      </c>
      <c r="O1" s="483" t="s">
        <v>315</v>
      </c>
      <c r="P1" s="35"/>
      <c r="Q1" s="35"/>
      <c r="R1" s="35"/>
      <c r="S1" s="35"/>
      <c r="T1" s="35"/>
      <c r="U1" s="35"/>
      <c r="V1" s="35"/>
      <c r="W1" s="35"/>
      <c r="X1" s="35"/>
      <c r="Y1" s="35"/>
      <c r="Z1" s="35"/>
      <c r="AA1" s="35"/>
      <c r="AB1" s="35"/>
    </row>
    <row r="2" spans="1:28" ht="116.25" customHeight="1">
      <c r="B2" s="228">
        <v>1</v>
      </c>
      <c r="C2" s="228" t="s">
        <v>540</v>
      </c>
      <c r="D2" s="228" t="s">
        <v>552</v>
      </c>
      <c r="E2" s="228" t="s">
        <v>427</v>
      </c>
      <c r="F2" s="185" t="s">
        <v>553</v>
      </c>
      <c r="G2" s="316" t="s">
        <v>541</v>
      </c>
      <c r="H2" s="41" t="s">
        <v>554</v>
      </c>
      <c r="I2" s="41" t="s">
        <v>555</v>
      </c>
      <c r="J2" s="41" t="s">
        <v>556</v>
      </c>
      <c r="K2" s="41" t="s">
        <v>557</v>
      </c>
      <c r="L2" s="41" t="s">
        <v>558</v>
      </c>
      <c r="M2" s="216" t="s">
        <v>559</v>
      </c>
      <c r="N2" s="91" t="s">
        <v>235</v>
      </c>
      <c r="O2" s="216"/>
    </row>
    <row r="3" spans="1:28" ht="30.75" customHeight="1">
      <c r="B3" s="228">
        <v>2</v>
      </c>
      <c r="C3" s="228" t="s">
        <v>535</v>
      </c>
      <c r="D3" s="228" t="s">
        <v>552</v>
      </c>
      <c r="E3" s="228" t="s">
        <v>427</v>
      </c>
      <c r="F3" s="185" t="s">
        <v>553</v>
      </c>
      <c r="G3" s="316" t="s">
        <v>536</v>
      </c>
      <c r="H3" s="58" t="s">
        <v>560</v>
      </c>
      <c r="I3" s="41" t="s">
        <v>555</v>
      </c>
      <c r="J3" s="41" t="s">
        <v>556</v>
      </c>
      <c r="K3" s="58" t="s">
        <v>557</v>
      </c>
      <c r="L3" s="41" t="s">
        <v>558</v>
      </c>
      <c r="M3" s="58" t="s">
        <v>561</v>
      </c>
      <c r="N3" s="91" t="s">
        <v>235</v>
      </c>
      <c r="O3" s="58"/>
    </row>
    <row r="4" spans="1:28" ht="15.75" customHeight="1"/>
    <row r="5" spans="1:28" ht="15.75" customHeight="1">
      <c r="K5" s="144"/>
    </row>
    <row r="6" spans="1:28" ht="15.75" customHeight="1"/>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autoFilter ref="A1:M1" xr:uid="{3A2BB050-11AC-4ED7-A296-96B42C7FCFBA}"/>
  <dataValidations count="5">
    <dataValidation type="list" allowBlank="1" showErrorMessage="1" sqref="F2:F3" xr:uid="{7ECB3EF2-640A-4F32-8920-F856B6393BA8}">
      <formula1>"Bounceback,Defect,None"</formula1>
    </dataValidation>
    <dataValidation type="list" allowBlank="1" showErrorMessage="1" sqref="J2:J3" xr:uid="{C870DA9D-1717-4F29-BBFD-C2035FB3F900}">
      <formula1>"Internal,External"</formula1>
    </dataValidation>
    <dataValidation type="list" allowBlank="1" showErrorMessage="1" sqref="H2" xr:uid="{F3F3CF1B-344F-40DE-A618-504E6B160629}">
      <formula1>"Minor,Significant,Major"</formula1>
    </dataValidation>
    <dataValidation type="list" allowBlank="1" showErrorMessage="1" sqref="I2:I3" xr:uid="{73A46CFB-B82C-4863-9919-616191313415}">
      <formula1>"Manual, Automation"</formula1>
    </dataValidation>
    <dataValidation type="list" allowBlank="1" showErrorMessage="1" sqref="K2" xr:uid="{7A3D6048-0A25-405D-BC4E-C589B3BC2041}">
      <formula1>"Open,Inprogress,Closed"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55C7B95-01DE-4F1E-8B0F-C925F6F9B280}">
          <x14:formula1>
            <xm:f>Details!$A$2:$A$10</xm:f>
          </x14:formula1>
          <xm:sqref>L2:L3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B7382-2E06-47EB-B4E4-54BC5BDA9EBC}">
  <dimension ref="A1:AE8"/>
  <sheetViews>
    <sheetView workbookViewId="0">
      <pane xSplit="7" ySplit="1" topLeftCell="P2" activePane="bottomRight" state="frozen"/>
      <selection pane="bottomRight" activeCell="P2" sqref="P2"/>
      <selection pane="bottomLeft"/>
      <selection pane="topRight"/>
    </sheetView>
  </sheetViews>
  <sheetFormatPr defaultRowHeight="12.75"/>
  <cols>
    <col min="1" max="1" width="9.140625" style="122"/>
    <col min="2" max="2" width="15.140625" style="137" customWidth="1"/>
    <col min="3" max="3" width="12.140625" style="122" customWidth="1"/>
    <col min="4" max="4" width="10.85546875" style="122" customWidth="1"/>
    <col min="5" max="5" width="25.42578125" customWidth="1"/>
    <col min="6" max="6" width="44.140625" customWidth="1"/>
    <col min="7" max="7" width="18.85546875" customWidth="1"/>
    <col min="8" max="8" width="57.42578125" style="137" customWidth="1"/>
    <col min="9" max="9" width="16.85546875" style="122" customWidth="1"/>
    <col min="10" max="10" width="11.42578125" style="122" bestFit="1" customWidth="1"/>
    <col min="11" max="11" width="11.42578125" bestFit="1" customWidth="1"/>
    <col min="12" max="12" width="25.5703125" customWidth="1"/>
    <col min="13" max="14" width="11.42578125" customWidth="1"/>
    <col min="15" max="15" width="13.140625" customWidth="1"/>
    <col min="16" max="16" width="17" style="144" bestFit="1" customWidth="1"/>
    <col min="17" max="17" width="88.140625" customWidth="1"/>
    <col min="18" max="18" width="23.7109375" customWidth="1"/>
    <col min="19" max="19" width="14.85546875" customWidth="1"/>
    <col min="20" max="20" width="27.7109375" style="144" customWidth="1"/>
    <col min="21" max="22" width="12.7109375" bestFit="1" customWidth="1"/>
    <col min="23" max="23" width="20.5703125" customWidth="1"/>
    <col min="24" max="24" width="11.42578125" style="144" bestFit="1" customWidth="1"/>
    <col min="25" max="25" width="11.42578125" bestFit="1" customWidth="1"/>
    <col min="26" max="26" width="12.7109375" bestFit="1" customWidth="1"/>
    <col min="27" max="27" width="52.140625" customWidth="1"/>
    <col min="28" max="29" width="11.42578125" bestFit="1" customWidth="1"/>
    <col min="30" max="30" width="78.5703125" customWidth="1"/>
    <col min="31" max="31" width="56.140625" customWidth="1"/>
  </cols>
  <sheetData>
    <row r="1" spans="1:31" ht="48">
      <c r="A1" s="379" t="s">
        <v>248</v>
      </c>
      <c r="B1" s="501" t="s">
        <v>4</v>
      </c>
      <c r="C1" s="501" t="s">
        <v>2</v>
      </c>
      <c r="D1" s="501" t="s">
        <v>3</v>
      </c>
      <c r="E1" s="380" t="s">
        <v>249</v>
      </c>
      <c r="F1" s="381" t="s">
        <v>250</v>
      </c>
      <c r="G1" s="382" t="s">
        <v>251</v>
      </c>
      <c r="H1" s="383" t="s">
        <v>252</v>
      </c>
      <c r="I1" s="697" t="s">
        <v>253</v>
      </c>
      <c r="J1" s="729" t="s">
        <v>254</v>
      </c>
      <c r="K1" s="384" t="s">
        <v>255</v>
      </c>
      <c r="L1" s="384" t="s">
        <v>256</v>
      </c>
      <c r="M1" s="384" t="s">
        <v>257</v>
      </c>
      <c r="N1" s="384" t="s">
        <v>258</v>
      </c>
      <c r="O1" s="385" t="s">
        <v>259</v>
      </c>
      <c r="P1" s="385" t="s">
        <v>260</v>
      </c>
      <c r="Q1" s="385" t="s">
        <v>261</v>
      </c>
      <c r="R1" s="385" t="s">
        <v>262</v>
      </c>
      <c r="S1" s="385" t="s">
        <v>263</v>
      </c>
      <c r="T1" s="385" t="s">
        <v>264</v>
      </c>
      <c r="U1" s="385" t="s">
        <v>265</v>
      </c>
      <c r="V1" s="385" t="s">
        <v>266</v>
      </c>
      <c r="W1" s="385" t="s">
        <v>267</v>
      </c>
      <c r="X1" s="385" t="s">
        <v>268</v>
      </c>
      <c r="Y1" s="385" t="s">
        <v>269</v>
      </c>
      <c r="Z1" s="385" t="s">
        <v>270</v>
      </c>
      <c r="AA1" s="385" t="s">
        <v>271</v>
      </c>
      <c r="AB1" s="385" t="s">
        <v>272</v>
      </c>
      <c r="AC1" s="385" t="s">
        <v>273</v>
      </c>
      <c r="AD1" s="386" t="s">
        <v>274</v>
      </c>
      <c r="AE1" s="385" t="s">
        <v>275</v>
      </c>
    </row>
    <row r="2" spans="1:31" s="603" customFormat="1" ht="213">
      <c r="A2" s="806">
        <v>1</v>
      </c>
      <c r="B2" s="806" t="s">
        <v>5</v>
      </c>
      <c r="C2" s="759">
        <v>46065</v>
      </c>
      <c r="D2" s="759">
        <v>46079</v>
      </c>
      <c r="E2" s="806" t="s">
        <v>197</v>
      </c>
      <c r="F2" s="806" t="s">
        <v>562</v>
      </c>
      <c r="G2" s="806" t="s">
        <v>523</v>
      </c>
      <c r="H2" s="709" t="s">
        <v>563</v>
      </c>
      <c r="I2" s="806" t="s">
        <v>283</v>
      </c>
      <c r="J2" s="806">
        <v>3</v>
      </c>
      <c r="K2" s="806">
        <v>1</v>
      </c>
      <c r="L2" s="806">
        <v>127.25</v>
      </c>
      <c r="M2" s="661">
        <v>46066</v>
      </c>
      <c r="N2" s="806"/>
      <c r="O2" s="806"/>
      <c r="P2" s="806" t="s">
        <v>517</v>
      </c>
      <c r="Q2" s="814" t="s">
        <v>564</v>
      </c>
      <c r="R2" s="806"/>
      <c r="S2" s="806"/>
      <c r="T2" s="714" t="s">
        <v>525</v>
      </c>
      <c r="U2" s="708">
        <v>46073</v>
      </c>
      <c r="V2" s="806"/>
      <c r="W2" s="806" t="s">
        <v>448</v>
      </c>
      <c r="X2" s="806"/>
      <c r="Y2" s="806"/>
      <c r="Z2" s="806"/>
      <c r="AA2" s="806"/>
      <c r="AB2" s="806"/>
      <c r="AC2" s="806"/>
      <c r="AD2" s="812" t="s">
        <v>565</v>
      </c>
      <c r="AE2" s="809" t="s">
        <v>566</v>
      </c>
    </row>
    <row r="3" spans="1:31" s="621" customFormat="1" ht="94.5" customHeight="1">
      <c r="A3" s="612">
        <v>2</v>
      </c>
      <c r="B3" s="807" t="s">
        <v>5</v>
      </c>
      <c r="C3" s="760">
        <v>46065</v>
      </c>
      <c r="D3" s="760">
        <v>46079</v>
      </c>
      <c r="E3" s="612" t="s">
        <v>197</v>
      </c>
      <c r="F3" s="927" t="s">
        <v>233</v>
      </c>
      <c r="G3" s="635" t="s">
        <v>567</v>
      </c>
      <c r="H3" s="810" t="s">
        <v>568</v>
      </c>
      <c r="I3" s="634" t="s">
        <v>13</v>
      </c>
      <c r="J3" s="927">
        <v>2</v>
      </c>
      <c r="K3" s="634">
        <v>2</v>
      </c>
      <c r="L3" s="634">
        <v>36.25</v>
      </c>
      <c r="M3" s="656">
        <v>46066</v>
      </c>
      <c r="N3" s="656">
        <v>46069</v>
      </c>
      <c r="O3" s="634" t="s">
        <v>318</v>
      </c>
      <c r="P3" s="636" t="s">
        <v>517</v>
      </c>
      <c r="Q3" s="636" t="s">
        <v>569</v>
      </c>
      <c r="R3" s="634" t="s">
        <v>232</v>
      </c>
      <c r="S3" s="928" t="s">
        <v>320</v>
      </c>
      <c r="T3" s="715" t="s">
        <v>570</v>
      </c>
      <c r="U3" s="656">
        <v>46070</v>
      </c>
      <c r="V3" s="656">
        <v>46079</v>
      </c>
      <c r="W3" s="634" t="s">
        <v>448</v>
      </c>
      <c r="X3" s="636" t="s">
        <v>320</v>
      </c>
      <c r="Y3" s="634" t="s">
        <v>323</v>
      </c>
      <c r="Z3" s="656">
        <v>46079</v>
      </c>
      <c r="AA3" s="636" t="s">
        <v>320</v>
      </c>
      <c r="AB3" s="634" t="s">
        <v>320</v>
      </c>
      <c r="AC3" s="634" t="s">
        <v>320</v>
      </c>
      <c r="AD3" s="803" t="s">
        <v>571</v>
      </c>
      <c r="AE3" s="808" t="s">
        <v>572</v>
      </c>
    </row>
    <row r="4" spans="1:31" s="603" customFormat="1" ht="409.6">
      <c r="A4" s="596">
        <v>3</v>
      </c>
      <c r="B4" s="811" t="s">
        <v>5</v>
      </c>
      <c r="C4" s="759">
        <v>46065</v>
      </c>
      <c r="D4" s="759">
        <v>46079</v>
      </c>
      <c r="E4" s="596" t="s">
        <v>197</v>
      </c>
      <c r="F4" s="929" t="s">
        <v>573</v>
      </c>
      <c r="G4" s="626" t="s">
        <v>574</v>
      </c>
      <c r="H4" s="815" t="s">
        <v>575</v>
      </c>
      <c r="I4" s="599" t="s">
        <v>13</v>
      </c>
      <c r="J4" s="930">
        <v>5</v>
      </c>
      <c r="K4" s="599">
        <v>5</v>
      </c>
      <c r="L4" s="599">
        <v>260.60000000000002</v>
      </c>
      <c r="M4" s="661">
        <v>46066</v>
      </c>
      <c r="N4" s="661">
        <v>46073</v>
      </c>
      <c r="O4" s="599" t="s">
        <v>576</v>
      </c>
      <c r="P4" s="627" t="s">
        <v>517</v>
      </c>
      <c r="Q4" s="627" t="s">
        <v>577</v>
      </c>
      <c r="R4" s="599" t="s">
        <v>234</v>
      </c>
      <c r="S4" s="930" t="s">
        <v>350</v>
      </c>
      <c r="T4" s="714" t="s">
        <v>578</v>
      </c>
      <c r="U4" s="661">
        <v>46074</v>
      </c>
      <c r="V4" s="661">
        <v>46079</v>
      </c>
      <c r="W4" s="599" t="s">
        <v>448</v>
      </c>
      <c r="X4" s="627" t="s">
        <v>320</v>
      </c>
      <c r="Y4" s="599" t="s">
        <v>323</v>
      </c>
      <c r="Z4" s="661">
        <v>46079</v>
      </c>
      <c r="AA4" s="627" t="s">
        <v>579</v>
      </c>
      <c r="AB4" s="599" t="s">
        <v>320</v>
      </c>
      <c r="AC4" s="599" t="s">
        <v>320</v>
      </c>
      <c r="AD4" s="802" t="s">
        <v>580</v>
      </c>
      <c r="AE4" s="813" t="s">
        <v>581</v>
      </c>
    </row>
    <row r="5" spans="1:31" s="621" customFormat="1" ht="48">
      <c r="A5" s="612">
        <v>4</v>
      </c>
      <c r="B5" s="807" t="s">
        <v>5</v>
      </c>
      <c r="C5" s="760">
        <v>46065</v>
      </c>
      <c r="D5" s="760">
        <v>46079</v>
      </c>
      <c r="E5" s="612" t="s">
        <v>197</v>
      </c>
      <c r="F5" s="927" t="s">
        <v>297</v>
      </c>
      <c r="G5" s="635" t="s">
        <v>582</v>
      </c>
      <c r="H5" s="635" t="s">
        <v>583</v>
      </c>
      <c r="I5" s="634" t="s">
        <v>13</v>
      </c>
      <c r="J5" s="928">
        <v>2</v>
      </c>
      <c r="K5" s="634">
        <v>2</v>
      </c>
      <c r="L5" s="634">
        <v>15.25</v>
      </c>
      <c r="M5" s="656">
        <v>46078</v>
      </c>
      <c r="N5" s="656">
        <v>46078</v>
      </c>
      <c r="O5" s="634" t="s">
        <v>318</v>
      </c>
      <c r="P5" s="636" t="s">
        <v>517</v>
      </c>
      <c r="Q5" s="634" t="s">
        <v>350</v>
      </c>
      <c r="R5" s="634" t="s">
        <v>234</v>
      </c>
      <c r="S5" s="928" t="s">
        <v>320</v>
      </c>
      <c r="T5" s="715" t="s">
        <v>584</v>
      </c>
      <c r="U5" s="656">
        <v>46078</v>
      </c>
      <c r="V5" s="656">
        <v>46078</v>
      </c>
      <c r="W5" s="634" t="s">
        <v>448</v>
      </c>
      <c r="X5" s="636" t="s">
        <v>320</v>
      </c>
      <c r="Y5" s="634" t="s">
        <v>323</v>
      </c>
      <c r="Z5" s="656">
        <v>46078</v>
      </c>
      <c r="AA5" s="636" t="s">
        <v>579</v>
      </c>
      <c r="AB5" s="634" t="s">
        <v>320</v>
      </c>
      <c r="AC5" s="634" t="s">
        <v>320</v>
      </c>
      <c r="AD5" s="803" t="s">
        <v>585</v>
      </c>
      <c r="AE5" s="739"/>
    </row>
    <row r="8" spans="1:31" ht="15">
      <c r="B8" s="784"/>
    </row>
  </sheetData>
  <hyperlinks>
    <hyperlink ref="T3" r:id="rId1" xr:uid="{62881E62-9BF8-4523-897E-7A3D68CF8122}"/>
    <hyperlink ref="T4" r:id="rId2" xr:uid="{87410264-BF57-4FB1-BCB4-8C17A1661995}"/>
    <hyperlink ref="T2" r:id="rId3" xr:uid="{13F0F20D-5C52-4C69-8C1E-12825064EE27}"/>
    <hyperlink ref="T5" r:id="rId4" xr:uid="{AFC32BAE-80AF-4BC8-A4B6-2FE348FACC44}"/>
  </hyperlinks>
  <pageMargins left="0.7" right="0.7" top="0.75" bottom="0.75" header="0.3" footer="0.3"/>
  <tableParts count="1">
    <tablePart r:id="rId5"/>
  </tableParts>
  <extLst>
    <ext xmlns:x14="http://schemas.microsoft.com/office/spreadsheetml/2009/9/main" uri="{CCE6A557-97BC-4b89-ADB6-D9C93CAAB3DF}">
      <x14:dataValidations xmlns:xm="http://schemas.microsoft.com/office/excel/2006/main" count="1">
        <x14:dataValidation type="list" allowBlank="1" showErrorMessage="1" xr:uid="{A83F23C1-1AAE-44A1-901E-5274878FA63E}">
          <x14:formula1>
            <xm:f>Settings!$C$3:$C$20</xm:f>
          </x14:formula1>
          <xm:sqref>I2:I5</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D1314-5486-4683-84A9-9A6E9DD4552E}">
  <sheetPr>
    <outlinePr summaryBelow="0" summaryRight="0"/>
  </sheetPr>
  <dimension ref="A1:AB984"/>
  <sheetViews>
    <sheetView topLeftCell="B1" workbookViewId="0">
      <selection activeCell="L6" sqref="L6"/>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54.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818" t="s">
        <v>248</v>
      </c>
      <c r="B1" s="59" t="s">
        <v>305</v>
      </c>
      <c r="C1" s="243" t="s">
        <v>306</v>
      </c>
      <c r="D1" s="243" t="s">
        <v>307</v>
      </c>
      <c r="E1" s="59" t="s">
        <v>250</v>
      </c>
      <c r="F1" s="243" t="s">
        <v>308</v>
      </c>
      <c r="G1" s="243" t="s">
        <v>309</v>
      </c>
      <c r="H1" s="59" t="s">
        <v>310</v>
      </c>
      <c r="I1" s="59" t="s">
        <v>311</v>
      </c>
      <c r="J1" s="59" t="s">
        <v>312</v>
      </c>
      <c r="K1" s="59" t="s">
        <v>253</v>
      </c>
      <c r="L1" s="156" t="s">
        <v>313</v>
      </c>
      <c r="M1" s="483" t="s">
        <v>274</v>
      </c>
      <c r="N1" s="483" t="s">
        <v>314</v>
      </c>
      <c r="O1" s="483" t="s">
        <v>315</v>
      </c>
      <c r="P1" s="35"/>
      <c r="Q1" s="35"/>
      <c r="R1" s="35"/>
      <c r="S1" s="35"/>
      <c r="T1" s="35"/>
      <c r="U1" s="35"/>
      <c r="V1" s="35"/>
      <c r="W1" s="35"/>
      <c r="X1" s="35"/>
      <c r="Y1" s="35"/>
      <c r="Z1" s="35"/>
      <c r="AA1" s="35"/>
      <c r="AB1" s="35"/>
    </row>
    <row r="2" spans="1:28" s="58" customFormat="1" ht="29.25" customHeight="1">
      <c r="B2" s="58" t="s">
        <v>586</v>
      </c>
      <c r="C2" s="58" t="s">
        <v>535</v>
      </c>
      <c r="D2" s="58" t="s">
        <v>574</v>
      </c>
      <c r="E2" s="58" t="s">
        <v>587</v>
      </c>
      <c r="F2" s="817" t="s">
        <v>553</v>
      </c>
      <c r="G2" s="819" t="s">
        <v>588</v>
      </c>
      <c r="H2" s="58" t="s">
        <v>554</v>
      </c>
      <c r="I2" s="41" t="s">
        <v>555</v>
      </c>
      <c r="J2" s="41" t="s">
        <v>556</v>
      </c>
      <c r="K2" s="41" t="s">
        <v>589</v>
      </c>
      <c r="L2" s="41" t="s">
        <v>590</v>
      </c>
      <c r="M2" s="216"/>
      <c r="N2" s="91"/>
      <c r="O2" s="216"/>
    </row>
    <row r="3" spans="1:28" s="58" customFormat="1" ht="46.5" customHeight="1">
      <c r="B3" s="58" t="s">
        <v>201</v>
      </c>
      <c r="C3" s="58" t="s">
        <v>540</v>
      </c>
      <c r="D3" s="58" t="s">
        <v>574</v>
      </c>
      <c r="E3" s="817" t="s">
        <v>587</v>
      </c>
      <c r="F3" s="58" t="s">
        <v>553</v>
      </c>
      <c r="G3" s="216" t="s">
        <v>541</v>
      </c>
      <c r="H3" s="58" t="s">
        <v>554</v>
      </c>
      <c r="I3" s="58" t="s">
        <v>555</v>
      </c>
      <c r="J3" s="58" t="s">
        <v>556</v>
      </c>
      <c r="K3" s="58" t="s">
        <v>589</v>
      </c>
      <c r="L3" s="58" t="s">
        <v>590</v>
      </c>
      <c r="N3" s="91"/>
    </row>
    <row r="4" spans="1:28" ht="15.75" customHeight="1"/>
    <row r="5" spans="1:28" ht="15.75" customHeight="1">
      <c r="K5" s="144"/>
    </row>
    <row r="6" spans="1:28" ht="15.75" customHeight="1"/>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autoFilter ref="A1:M1" xr:uid="{3A2BB050-11AC-4ED7-A296-96B42C7FCFBA}"/>
  <dataValidations count="5">
    <dataValidation type="list" allowBlank="1" showErrorMessage="1" sqref="K2" xr:uid="{6F54F321-FF75-4816-AE74-A99238A79A66}">
      <formula1>"Open,Inprogress,Closed"</formula1>
    </dataValidation>
    <dataValidation type="list" allowBlank="1" showErrorMessage="1" sqref="I2" xr:uid="{B73AFC9D-7B9C-42AE-A45A-F3E30A415278}">
      <formula1>"Manual, Automation"</formula1>
    </dataValidation>
    <dataValidation type="list" allowBlank="1" showErrorMessage="1" sqref="H2" xr:uid="{E0DAFDC6-99AB-41DB-B325-BEBF3B167A95}">
      <formula1>"Minor,Significant,Major"</formula1>
    </dataValidation>
    <dataValidation type="list" allowBlank="1" showErrorMessage="1" sqref="J2" xr:uid="{1E695ED5-3011-4374-9163-9FF2CC1BF672}">
      <formula1>"Internal,External"</formula1>
    </dataValidation>
    <dataValidation type="list" allowBlank="1" showErrorMessage="1" sqref="F2" xr:uid="{0196B61B-2A96-487D-8B3A-6BEE492A08AD}">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4384CD84-01B6-4C2B-A76C-35EB6C735442}">
          <x14:formula1>
            <xm:f>Details!$A$2:$A$10</xm:f>
          </x14:formula1>
          <xm:sqref>L2</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09072-9A4C-4937-A190-E56FD9C04733}">
  <dimension ref="A1:AE10"/>
  <sheetViews>
    <sheetView workbookViewId="0">
      <pane xSplit="7" ySplit="1" topLeftCell="H4" activePane="bottomRight" state="frozen"/>
      <selection pane="bottomRight" activeCell="I6" sqref="I6"/>
      <selection pane="bottomLeft"/>
      <selection pane="topRight"/>
    </sheetView>
  </sheetViews>
  <sheetFormatPr defaultRowHeight="12.75"/>
  <cols>
    <col min="1" max="1" width="9.140625" style="122"/>
    <col min="2" max="2" width="13.28515625" style="137" customWidth="1"/>
    <col min="3" max="3" width="10.7109375" style="122" customWidth="1"/>
    <col min="4" max="4" width="12.140625" style="122" customWidth="1"/>
    <col min="5" max="5" width="40.7109375" customWidth="1"/>
    <col min="6" max="6" width="44.140625" customWidth="1"/>
    <col min="7" max="7" width="18.85546875" customWidth="1"/>
    <col min="8" max="8" width="57.42578125" style="137" customWidth="1"/>
    <col min="9" max="9" width="16.85546875" style="122" customWidth="1"/>
    <col min="10" max="10" width="11.42578125" style="122" bestFit="1" customWidth="1"/>
    <col min="11" max="11" width="11.42578125" bestFit="1" customWidth="1"/>
    <col min="12" max="12" width="25.5703125" customWidth="1"/>
    <col min="13" max="14" width="11.42578125" customWidth="1"/>
    <col min="15" max="15" width="13.140625" customWidth="1"/>
    <col min="16" max="16" width="17" style="144" bestFit="1" customWidth="1"/>
    <col min="17" max="17" width="88.140625" customWidth="1"/>
    <col min="18" max="18" width="23.7109375" customWidth="1"/>
    <col min="19" max="19" width="14.85546875" customWidth="1"/>
    <col min="20" max="20" width="27.7109375" style="144" customWidth="1"/>
    <col min="21" max="22" width="12.7109375" bestFit="1" customWidth="1"/>
    <col min="23" max="23" width="20.5703125" customWidth="1"/>
    <col min="24" max="24" width="11.42578125" style="144" bestFit="1" customWidth="1"/>
    <col min="25" max="25" width="11.42578125" bestFit="1" customWidth="1"/>
    <col min="26" max="26" width="12.7109375" bestFit="1" customWidth="1"/>
    <col min="27" max="27" width="52.140625" customWidth="1"/>
    <col min="28" max="29" width="11.42578125" bestFit="1" customWidth="1"/>
    <col min="30" max="30" width="78.5703125" customWidth="1"/>
    <col min="31" max="31" width="56.140625" customWidth="1"/>
  </cols>
  <sheetData>
    <row r="1" spans="1:31" ht="48">
      <c r="A1" s="379" t="s">
        <v>248</v>
      </c>
      <c r="B1" s="501" t="s">
        <v>4</v>
      </c>
      <c r="C1" s="501" t="s">
        <v>2</v>
      </c>
      <c r="D1" s="501" t="s">
        <v>3</v>
      </c>
      <c r="E1" s="380" t="s">
        <v>249</v>
      </c>
      <c r="F1" s="381" t="s">
        <v>250</v>
      </c>
      <c r="G1" s="382" t="s">
        <v>251</v>
      </c>
      <c r="H1" s="383" t="s">
        <v>252</v>
      </c>
      <c r="I1" s="697" t="s">
        <v>253</v>
      </c>
      <c r="J1" s="729" t="s">
        <v>254</v>
      </c>
      <c r="K1" s="384" t="s">
        <v>255</v>
      </c>
      <c r="L1" s="384" t="s">
        <v>256</v>
      </c>
      <c r="M1" s="384" t="s">
        <v>257</v>
      </c>
      <c r="N1" s="384" t="s">
        <v>258</v>
      </c>
      <c r="O1" s="385" t="s">
        <v>259</v>
      </c>
      <c r="P1" s="385" t="s">
        <v>260</v>
      </c>
      <c r="Q1" s="385" t="s">
        <v>261</v>
      </c>
      <c r="R1" s="385" t="s">
        <v>262</v>
      </c>
      <c r="S1" s="385" t="s">
        <v>263</v>
      </c>
      <c r="T1" s="385" t="s">
        <v>264</v>
      </c>
      <c r="U1" s="385" t="s">
        <v>265</v>
      </c>
      <c r="V1" s="385" t="s">
        <v>266</v>
      </c>
      <c r="W1" s="385" t="s">
        <v>267</v>
      </c>
      <c r="X1" s="385" t="s">
        <v>268</v>
      </c>
      <c r="Y1" s="385" t="s">
        <v>269</v>
      </c>
      <c r="Z1" s="385" t="s">
        <v>270</v>
      </c>
      <c r="AA1" s="385" t="s">
        <v>271</v>
      </c>
      <c r="AB1" s="385" t="s">
        <v>272</v>
      </c>
      <c r="AC1" s="385" t="s">
        <v>273</v>
      </c>
      <c r="AD1" s="386" t="s">
        <v>274</v>
      </c>
      <c r="AE1" s="385" t="s">
        <v>275</v>
      </c>
    </row>
    <row r="2" spans="1:31" s="603" customFormat="1" ht="152.25">
      <c r="A2" s="596">
        <v>1</v>
      </c>
      <c r="B2" s="741" t="s">
        <v>5</v>
      </c>
      <c r="C2" s="769">
        <v>46051</v>
      </c>
      <c r="D2" s="769">
        <v>46065</v>
      </c>
      <c r="E2" s="783" t="s">
        <v>193</v>
      </c>
      <c r="F2" s="742" t="s">
        <v>233</v>
      </c>
      <c r="G2" s="599" t="s">
        <v>591</v>
      </c>
      <c r="H2" s="599" t="s">
        <v>592</v>
      </c>
      <c r="I2" s="599" t="s">
        <v>13</v>
      </c>
      <c r="J2" s="782">
        <v>5</v>
      </c>
      <c r="K2" s="599">
        <v>5</v>
      </c>
      <c r="L2" s="599">
        <v>76</v>
      </c>
      <c r="M2" s="661">
        <v>46052</v>
      </c>
      <c r="N2" s="661">
        <v>46062</v>
      </c>
      <c r="O2" s="599" t="s">
        <v>318</v>
      </c>
      <c r="P2" s="627" t="s">
        <v>549</v>
      </c>
      <c r="Q2" s="627" t="s">
        <v>593</v>
      </c>
      <c r="R2" s="599" t="s">
        <v>234</v>
      </c>
      <c r="S2" s="599" t="s">
        <v>320</v>
      </c>
      <c r="T2" s="785" t="s">
        <v>594</v>
      </c>
      <c r="U2" s="661">
        <v>46062</v>
      </c>
      <c r="V2" s="661">
        <v>46065</v>
      </c>
      <c r="W2" s="599" t="s">
        <v>595</v>
      </c>
      <c r="X2" s="627" t="s">
        <v>320</v>
      </c>
      <c r="Y2" s="599" t="s">
        <v>323</v>
      </c>
      <c r="Z2" s="661">
        <v>46065</v>
      </c>
      <c r="AA2" s="627" t="s">
        <v>320</v>
      </c>
      <c r="AB2" s="599" t="s">
        <v>320</v>
      </c>
      <c r="AC2" s="599" t="s">
        <v>320</v>
      </c>
      <c r="AD2" s="802" t="s">
        <v>596</v>
      </c>
      <c r="AE2" s="626" t="s">
        <v>597</v>
      </c>
    </row>
    <row r="3" spans="1:31" s="621" customFormat="1" ht="106.5">
      <c r="A3" s="612">
        <v>2</v>
      </c>
      <c r="B3" s="779" t="s">
        <v>5</v>
      </c>
      <c r="C3" s="760">
        <v>46051</v>
      </c>
      <c r="D3" s="760">
        <v>46065</v>
      </c>
      <c r="E3" s="608" t="s">
        <v>193</v>
      </c>
      <c r="F3" s="928" t="s">
        <v>297</v>
      </c>
      <c r="G3" s="634" t="s">
        <v>582</v>
      </c>
      <c r="H3" s="634" t="s">
        <v>583</v>
      </c>
      <c r="I3" s="634" t="s">
        <v>278</v>
      </c>
      <c r="J3" s="928">
        <v>3</v>
      </c>
      <c r="K3" s="634">
        <v>1</v>
      </c>
      <c r="L3" s="634">
        <v>40.25</v>
      </c>
      <c r="M3" s="656">
        <v>46052</v>
      </c>
      <c r="N3" s="656"/>
      <c r="O3" s="634" t="s">
        <v>318</v>
      </c>
      <c r="P3" s="636" t="s">
        <v>549</v>
      </c>
      <c r="Q3" s="634"/>
      <c r="R3" s="634"/>
      <c r="S3" s="928"/>
      <c r="T3" s="715" t="s">
        <v>584</v>
      </c>
      <c r="U3" s="656">
        <v>46064</v>
      </c>
      <c r="V3" s="656"/>
      <c r="W3" s="634" t="s">
        <v>448</v>
      </c>
      <c r="X3" s="636" t="s">
        <v>320</v>
      </c>
      <c r="Y3" s="634"/>
      <c r="Z3" s="656"/>
      <c r="AA3" s="636" t="s">
        <v>320</v>
      </c>
      <c r="AB3" s="634"/>
      <c r="AC3" s="634"/>
      <c r="AD3" s="803" t="s">
        <v>598</v>
      </c>
      <c r="AE3" s="739" t="s">
        <v>599</v>
      </c>
    </row>
    <row r="4" spans="1:31" s="603" customFormat="1" ht="76.5">
      <c r="A4" s="596">
        <v>3</v>
      </c>
      <c r="B4" s="778" t="s">
        <v>5</v>
      </c>
      <c r="C4" s="759">
        <v>46051</v>
      </c>
      <c r="D4" s="759">
        <v>46065</v>
      </c>
      <c r="E4" s="597" t="s">
        <v>193</v>
      </c>
      <c r="F4" s="930" t="s">
        <v>293</v>
      </c>
      <c r="G4" s="599" t="s">
        <v>600</v>
      </c>
      <c r="H4" s="786" t="s">
        <v>601</v>
      </c>
      <c r="I4" s="599" t="s">
        <v>13</v>
      </c>
      <c r="J4" s="930">
        <v>3</v>
      </c>
      <c r="K4" s="599">
        <v>3</v>
      </c>
      <c r="L4" s="599">
        <v>34</v>
      </c>
      <c r="M4" s="661">
        <v>46052</v>
      </c>
      <c r="N4" s="661">
        <v>46056</v>
      </c>
      <c r="O4" s="599" t="s">
        <v>318</v>
      </c>
      <c r="P4" s="627" t="s">
        <v>549</v>
      </c>
      <c r="Q4" s="627" t="s">
        <v>602</v>
      </c>
      <c r="R4" s="599" t="s">
        <v>234</v>
      </c>
      <c r="S4" s="930" t="s">
        <v>320</v>
      </c>
      <c r="T4" s="714" t="s">
        <v>594</v>
      </c>
      <c r="U4" s="661">
        <v>46064</v>
      </c>
      <c r="V4" s="661">
        <v>46065</v>
      </c>
      <c r="W4" s="599" t="s">
        <v>448</v>
      </c>
      <c r="X4" s="627" t="s">
        <v>320</v>
      </c>
      <c r="Y4" s="599" t="s">
        <v>323</v>
      </c>
      <c r="Z4" s="661">
        <v>46065</v>
      </c>
      <c r="AA4" s="627" t="s">
        <v>320</v>
      </c>
      <c r="AB4" s="599" t="s">
        <v>320</v>
      </c>
      <c r="AC4" s="599" t="s">
        <v>320</v>
      </c>
      <c r="AD4" s="802" t="s">
        <v>603</v>
      </c>
      <c r="AE4" s="805" t="s">
        <v>597</v>
      </c>
    </row>
    <row r="5" spans="1:31" s="621" customFormat="1" ht="60.75">
      <c r="A5" s="612">
        <v>4</v>
      </c>
      <c r="B5" s="779" t="s">
        <v>5</v>
      </c>
      <c r="C5" s="760">
        <v>46051</v>
      </c>
      <c r="D5" s="760">
        <v>46065</v>
      </c>
      <c r="E5" s="608" t="s">
        <v>193</v>
      </c>
      <c r="F5" s="928" t="s">
        <v>232</v>
      </c>
      <c r="G5" s="634" t="s">
        <v>604</v>
      </c>
      <c r="H5" s="634" t="s">
        <v>605</v>
      </c>
      <c r="I5" s="634" t="s">
        <v>13</v>
      </c>
      <c r="J5" s="928">
        <v>2</v>
      </c>
      <c r="K5" s="634">
        <v>2</v>
      </c>
      <c r="L5" s="634">
        <v>49.25</v>
      </c>
      <c r="M5" s="656">
        <v>46052</v>
      </c>
      <c r="N5" s="656">
        <v>46055</v>
      </c>
      <c r="O5" s="634" t="s">
        <v>318</v>
      </c>
      <c r="P5" s="636" t="s">
        <v>549</v>
      </c>
      <c r="Q5" s="634" t="s">
        <v>320</v>
      </c>
      <c r="R5" s="634" t="s">
        <v>293</v>
      </c>
      <c r="S5" s="928" t="s">
        <v>320</v>
      </c>
      <c r="T5" s="715" t="s">
        <v>606</v>
      </c>
      <c r="U5" s="656">
        <v>46055</v>
      </c>
      <c r="V5" s="656">
        <v>46064</v>
      </c>
      <c r="W5" s="634" t="s">
        <v>448</v>
      </c>
      <c r="X5" s="636" t="s">
        <v>320</v>
      </c>
      <c r="Y5" s="634" t="s">
        <v>323</v>
      </c>
      <c r="Z5" s="656">
        <v>46064</v>
      </c>
      <c r="AA5" s="636" t="s">
        <v>320</v>
      </c>
      <c r="AB5" s="634" t="s">
        <v>320</v>
      </c>
      <c r="AC5" s="634" t="s">
        <v>320</v>
      </c>
      <c r="AD5" s="803" t="s">
        <v>607</v>
      </c>
      <c r="AE5" s="739" t="s">
        <v>597</v>
      </c>
    </row>
    <row r="6" spans="1:31" s="603" customFormat="1" ht="76.5">
      <c r="A6" s="596">
        <v>5</v>
      </c>
      <c r="B6" s="778" t="s">
        <v>5</v>
      </c>
      <c r="C6" s="759">
        <v>46051</v>
      </c>
      <c r="D6" s="759">
        <v>46065</v>
      </c>
      <c r="E6" s="597" t="s">
        <v>193</v>
      </c>
      <c r="F6" s="930" t="s">
        <v>234</v>
      </c>
      <c r="G6" s="599" t="s">
        <v>608</v>
      </c>
      <c r="H6" s="599" t="s">
        <v>609</v>
      </c>
      <c r="I6" s="599" t="s">
        <v>13</v>
      </c>
      <c r="J6" s="930">
        <v>2</v>
      </c>
      <c r="K6" s="599">
        <v>2</v>
      </c>
      <c r="L6" s="599">
        <v>28</v>
      </c>
      <c r="M6" s="661">
        <v>46052</v>
      </c>
      <c r="N6" s="661">
        <v>46055</v>
      </c>
      <c r="O6" s="599" t="s">
        <v>318</v>
      </c>
      <c r="P6" s="627" t="s">
        <v>549</v>
      </c>
      <c r="Q6" s="599" t="s">
        <v>320</v>
      </c>
      <c r="R6" s="599" t="s">
        <v>297</v>
      </c>
      <c r="S6" s="930" t="s">
        <v>320</v>
      </c>
      <c r="T6" s="714" t="s">
        <v>610</v>
      </c>
      <c r="U6" s="661">
        <v>46055</v>
      </c>
      <c r="V6" s="661">
        <v>46064</v>
      </c>
      <c r="W6" s="599" t="s">
        <v>448</v>
      </c>
      <c r="X6" s="627" t="s">
        <v>320</v>
      </c>
      <c r="Y6" s="599" t="s">
        <v>323</v>
      </c>
      <c r="Z6" s="661">
        <v>46064</v>
      </c>
      <c r="AA6" s="627" t="s">
        <v>320</v>
      </c>
      <c r="AB6" s="599" t="s">
        <v>320</v>
      </c>
      <c r="AC6" s="599" t="s">
        <v>320</v>
      </c>
      <c r="AD6" s="802" t="s">
        <v>611</v>
      </c>
      <c r="AE6" s="739" t="s">
        <v>597</v>
      </c>
    </row>
    <row r="7" spans="1:31" ht="106.5">
      <c r="A7" s="564">
        <v>6</v>
      </c>
      <c r="B7" s="787" t="s">
        <v>5</v>
      </c>
      <c r="C7" s="788">
        <v>46051</v>
      </c>
      <c r="D7" s="788">
        <v>46065</v>
      </c>
      <c r="E7" s="789" t="s">
        <v>612</v>
      </c>
      <c r="F7" s="943" t="s">
        <v>613</v>
      </c>
      <c r="G7" s="790" t="s">
        <v>614</v>
      </c>
      <c r="H7" s="790" t="s">
        <v>575</v>
      </c>
      <c r="I7" s="790" t="s">
        <v>278</v>
      </c>
      <c r="J7" s="943">
        <v>5</v>
      </c>
      <c r="K7" s="790"/>
      <c r="L7" s="790">
        <v>180.75</v>
      </c>
      <c r="M7" s="791">
        <v>46058</v>
      </c>
      <c r="N7" s="791"/>
      <c r="O7" s="790"/>
      <c r="P7" s="792"/>
      <c r="Q7" s="790"/>
      <c r="R7" s="790"/>
      <c r="S7" s="943"/>
      <c r="T7" s="793"/>
      <c r="U7" s="791"/>
      <c r="V7" s="791"/>
      <c r="W7" s="790"/>
      <c r="X7" s="792"/>
      <c r="Y7" s="790"/>
      <c r="Z7" s="791"/>
      <c r="AA7" s="792"/>
      <c r="AB7" s="790"/>
      <c r="AC7" s="790"/>
      <c r="AD7" s="804" t="s">
        <v>615</v>
      </c>
      <c r="AE7" s="739"/>
    </row>
    <row r="10" spans="1:31" ht="15">
      <c r="B10" s="784"/>
    </row>
  </sheetData>
  <hyperlinks>
    <hyperlink ref="T6" r:id="rId1" xr:uid="{AC825125-D9B9-4A5E-AF2E-B11ED09DE613}"/>
    <hyperlink ref="T5" r:id="rId2" xr:uid="{BAE308D7-110E-4213-97FB-153C7FFA1AD5}"/>
    <hyperlink ref="T2" r:id="rId3" xr:uid="{33A3015A-2CE7-4F23-A432-6015E4963E45}"/>
    <hyperlink ref="T4" r:id="rId4" xr:uid="{BDCD1FE4-12A7-4B23-9E27-010556458ABD}"/>
    <hyperlink ref="T3" r:id="rId5" xr:uid="{48EAA57A-4D87-48A9-B7A2-9D9BE8CC448A}"/>
  </hyperlinks>
  <pageMargins left="0.7" right="0.7" top="0.75" bottom="0.75" header="0.3" footer="0.3"/>
  <tableParts count="1">
    <tablePart r:id="rId6"/>
  </tableParts>
  <extLst>
    <ext xmlns:x14="http://schemas.microsoft.com/office/spreadsheetml/2009/9/main" uri="{CCE6A557-97BC-4b89-ADB6-D9C93CAAB3DF}">
      <x14:dataValidations xmlns:xm="http://schemas.microsoft.com/office/excel/2006/main" count="1">
        <x14:dataValidation type="list" allowBlank="1" showErrorMessage="1" xr:uid="{1788ECF7-95FF-4017-B04F-BD00B2F788A1}">
          <x14:formula1>
            <xm:f>Settings!$C$3:$C$20</xm:f>
          </x14:formula1>
          <xm:sqref>I2:I7</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1D4A8-4FAC-429C-BEF5-CD56F42BF390}">
  <sheetPr>
    <outlinePr summaryBelow="0" summaryRight="0"/>
  </sheetPr>
  <dimension ref="A1:AB984"/>
  <sheetViews>
    <sheetView topLeftCell="B1" workbookViewId="0"/>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54.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248</v>
      </c>
      <c r="B1" s="1" t="s">
        <v>305</v>
      </c>
      <c r="C1" s="198" t="s">
        <v>306</v>
      </c>
      <c r="D1" s="198" t="s">
        <v>307</v>
      </c>
      <c r="E1" s="1" t="s">
        <v>250</v>
      </c>
      <c r="F1" s="198" t="s">
        <v>308</v>
      </c>
      <c r="G1" s="198" t="s">
        <v>309</v>
      </c>
      <c r="H1" s="1" t="s">
        <v>310</v>
      </c>
      <c r="I1" s="1" t="s">
        <v>311</v>
      </c>
      <c r="J1" s="1" t="s">
        <v>312</v>
      </c>
      <c r="K1" s="1" t="s">
        <v>253</v>
      </c>
      <c r="L1" s="156" t="s">
        <v>313</v>
      </c>
      <c r="M1" s="8" t="s">
        <v>274</v>
      </c>
      <c r="N1" s="483" t="s">
        <v>314</v>
      </c>
      <c r="O1" s="483" t="s">
        <v>315</v>
      </c>
      <c r="P1" s="35"/>
      <c r="Q1" s="35"/>
      <c r="R1" s="35"/>
      <c r="S1" s="35"/>
      <c r="T1" s="35"/>
      <c r="U1" s="35"/>
      <c r="V1" s="35"/>
      <c r="W1" s="35"/>
      <c r="X1" s="35"/>
      <c r="Y1" s="35"/>
      <c r="Z1" s="35"/>
      <c r="AA1" s="35"/>
      <c r="AB1" s="35"/>
    </row>
    <row r="2" spans="1:28" ht="116.25" customHeight="1">
      <c r="F2" s="221"/>
      <c r="G2" s="144"/>
      <c r="H2" s="126"/>
      <c r="I2" s="126"/>
      <c r="J2" s="126"/>
      <c r="K2" s="126"/>
      <c r="L2" s="126"/>
      <c r="M2" s="144"/>
      <c r="O2" s="144"/>
    </row>
    <row r="3" spans="1:28" ht="15.75" customHeight="1"/>
    <row r="4" spans="1:28" ht="15.75" customHeight="1"/>
    <row r="5" spans="1:28" ht="15.75" customHeight="1">
      <c r="K5" s="144"/>
    </row>
    <row r="6" spans="1:28" ht="15.75" customHeight="1"/>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autoFilter ref="A1:M1" xr:uid="{3A2BB050-11AC-4ED7-A296-96B42C7FCFBA}"/>
  <dataValidations count="5">
    <dataValidation type="list" allowBlank="1" showErrorMessage="1" sqref="F2" xr:uid="{112D7F8B-EC8A-4ADF-9918-C77D7A3E9AB9}">
      <formula1>"Bounceback,Defect,None"</formula1>
    </dataValidation>
    <dataValidation type="list" allowBlank="1" showErrorMessage="1" sqref="J2" xr:uid="{4A565F18-9A2B-4339-AA88-C5A0BEBC7CCF}">
      <formula1>"Internal,External"</formula1>
    </dataValidation>
    <dataValidation type="list" allowBlank="1" showErrorMessage="1" sqref="H2" xr:uid="{C7D2F6B8-7BCF-4FCF-83C3-4BA4775D11C0}">
      <formula1>"Minor,Significant,Major"</formula1>
    </dataValidation>
    <dataValidation type="list" allowBlank="1" showErrorMessage="1" sqref="I2" xr:uid="{7A97A0FD-66B5-4E66-A798-141289762310}">
      <formula1>"Manual, Automation"</formula1>
    </dataValidation>
    <dataValidation type="list" allowBlank="1" showErrorMessage="1" sqref="K2" xr:uid="{EEA3008B-07DD-4CA4-91CC-9D1C8224D44C}">
      <formula1>"Open,Inprogress,Closed"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4E4C6635-DF9A-44B2-A37C-568CBA69638F}">
          <x14:formula1>
            <xm:f>Details!$A$2:$A$10</xm:f>
          </x14:formula1>
          <xm:sqref>L2</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E9EB7-260F-430A-9D5B-3E9C54FFAD2B}">
  <dimension ref="A1:AD14"/>
  <sheetViews>
    <sheetView workbookViewId="0">
      <pane xSplit="7" ySplit="1" topLeftCell="H8" activePane="bottomRight" state="frozen"/>
      <selection pane="bottomRight" activeCell="H8" sqref="H8"/>
      <selection pane="bottomLeft"/>
      <selection pane="topRight"/>
    </sheetView>
  </sheetViews>
  <sheetFormatPr defaultRowHeight="12.75"/>
  <cols>
    <col min="1" max="1" width="9.140625" style="122"/>
    <col min="2" max="2" width="13.28515625" style="137" customWidth="1"/>
    <col min="3" max="3" width="10.7109375" style="122" customWidth="1"/>
    <col min="4" max="4" width="12.140625" style="122" customWidth="1"/>
    <col min="5" max="5" width="40.7109375" customWidth="1"/>
    <col min="6" max="6" width="39" customWidth="1"/>
    <col min="7" max="7" width="18.85546875" customWidth="1"/>
    <col min="8" max="8" width="57.42578125" style="137" customWidth="1"/>
    <col min="9" max="9" width="16.85546875" style="122" customWidth="1"/>
    <col min="10" max="10" width="11.42578125" style="122" bestFit="1" customWidth="1"/>
    <col min="11" max="11" width="11.42578125" bestFit="1" customWidth="1"/>
    <col min="12" max="12" width="25.5703125" customWidth="1"/>
    <col min="13" max="14" width="11.42578125" customWidth="1"/>
    <col min="15" max="15" width="13.140625" customWidth="1"/>
    <col min="16" max="16" width="17" style="144" bestFit="1" customWidth="1"/>
    <col min="17" max="17" width="88.140625" customWidth="1"/>
    <col min="18" max="18" width="23.7109375" customWidth="1"/>
    <col min="19" max="19" width="14.85546875" customWidth="1"/>
    <col min="20" max="20" width="27.7109375" style="144" customWidth="1"/>
    <col min="21" max="22" width="12.7109375" bestFit="1" customWidth="1"/>
    <col min="23" max="23" width="20.5703125" customWidth="1"/>
    <col min="24" max="24" width="11.42578125" style="144" bestFit="1" customWidth="1"/>
    <col min="25" max="25" width="11.42578125" bestFit="1" customWidth="1"/>
    <col min="26" max="26" width="12.7109375" bestFit="1" customWidth="1"/>
    <col min="27" max="27" width="52.140625" customWidth="1"/>
    <col min="28" max="29" width="11.42578125" bestFit="1" customWidth="1"/>
    <col min="30" max="30" width="78.5703125" customWidth="1"/>
  </cols>
  <sheetData>
    <row r="1" spans="1:30" ht="48">
      <c r="A1" s="379" t="s">
        <v>248</v>
      </c>
      <c r="B1" s="501" t="s">
        <v>4</v>
      </c>
      <c r="C1" s="501" t="s">
        <v>2</v>
      </c>
      <c r="D1" s="501" t="s">
        <v>3</v>
      </c>
      <c r="E1" s="380" t="s">
        <v>249</v>
      </c>
      <c r="F1" s="381" t="s">
        <v>250</v>
      </c>
      <c r="G1" s="382" t="s">
        <v>251</v>
      </c>
      <c r="H1" s="383" t="s">
        <v>252</v>
      </c>
      <c r="I1" s="697" t="s">
        <v>253</v>
      </c>
      <c r="J1" s="729" t="s">
        <v>254</v>
      </c>
      <c r="K1" s="384" t="s">
        <v>255</v>
      </c>
      <c r="L1" s="384" t="s">
        <v>256</v>
      </c>
      <c r="M1" s="384" t="s">
        <v>257</v>
      </c>
      <c r="N1" s="384" t="s">
        <v>258</v>
      </c>
      <c r="O1" s="385" t="s">
        <v>259</v>
      </c>
      <c r="P1" s="385" t="s">
        <v>260</v>
      </c>
      <c r="Q1" s="385" t="s">
        <v>261</v>
      </c>
      <c r="R1" s="385" t="s">
        <v>262</v>
      </c>
      <c r="S1" s="385" t="s">
        <v>263</v>
      </c>
      <c r="T1" s="385" t="s">
        <v>264</v>
      </c>
      <c r="U1" s="385" t="s">
        <v>265</v>
      </c>
      <c r="V1" s="385" t="s">
        <v>266</v>
      </c>
      <c r="W1" s="385" t="s">
        <v>267</v>
      </c>
      <c r="X1" s="385" t="s">
        <v>268</v>
      </c>
      <c r="Y1" s="385" t="s">
        <v>269</v>
      </c>
      <c r="Z1" s="385" t="s">
        <v>270</v>
      </c>
      <c r="AA1" s="385" t="s">
        <v>271</v>
      </c>
      <c r="AB1" s="385" t="s">
        <v>272</v>
      </c>
      <c r="AC1" s="385" t="s">
        <v>273</v>
      </c>
      <c r="AD1" s="386" t="s">
        <v>274</v>
      </c>
    </row>
    <row r="2" spans="1:30" s="603" customFormat="1" ht="150.75" customHeight="1">
      <c r="A2" s="596">
        <v>1</v>
      </c>
      <c r="B2" s="741" t="s">
        <v>5</v>
      </c>
      <c r="C2" s="769">
        <v>46038</v>
      </c>
      <c r="D2" s="769">
        <v>46051</v>
      </c>
      <c r="E2" s="944" t="s">
        <v>189</v>
      </c>
      <c r="F2" s="945" t="s">
        <v>233</v>
      </c>
      <c r="G2" s="599" t="s">
        <v>616</v>
      </c>
      <c r="H2" s="599" t="s">
        <v>617</v>
      </c>
      <c r="I2" s="599" t="s">
        <v>13</v>
      </c>
      <c r="J2" s="946">
        <v>3</v>
      </c>
      <c r="K2" s="599"/>
      <c r="L2" s="599">
        <v>41.33</v>
      </c>
      <c r="M2" s="661">
        <v>46038</v>
      </c>
      <c r="N2" s="661">
        <v>46044</v>
      </c>
      <c r="O2" s="599" t="s">
        <v>318</v>
      </c>
      <c r="P2" s="627" t="s">
        <v>549</v>
      </c>
      <c r="Q2" s="627" t="s">
        <v>618</v>
      </c>
      <c r="R2" s="599" t="s">
        <v>297</v>
      </c>
      <c r="S2" s="930" t="s">
        <v>320</v>
      </c>
      <c r="T2" s="748" t="s">
        <v>619</v>
      </c>
      <c r="U2" s="661">
        <v>46045</v>
      </c>
      <c r="V2" s="661">
        <v>46050</v>
      </c>
      <c r="W2" s="599" t="s">
        <v>595</v>
      </c>
      <c r="X2" s="627" t="s">
        <v>320</v>
      </c>
      <c r="Y2" s="599" t="s">
        <v>323</v>
      </c>
      <c r="Z2" s="661">
        <v>46050</v>
      </c>
      <c r="AA2" s="627" t="s">
        <v>320</v>
      </c>
      <c r="AB2" s="599" t="s">
        <v>320</v>
      </c>
      <c r="AC2" s="599" t="s">
        <v>320</v>
      </c>
      <c r="AD2" s="627" t="s">
        <v>620</v>
      </c>
    </row>
    <row r="3" spans="1:30" s="621" customFormat="1" ht="158.25" customHeight="1">
      <c r="A3" s="612">
        <v>2</v>
      </c>
      <c r="B3" s="779" t="s">
        <v>5</v>
      </c>
      <c r="C3" s="762">
        <v>46038</v>
      </c>
      <c r="D3" s="762">
        <v>46051</v>
      </c>
      <c r="E3" s="947" t="s">
        <v>189</v>
      </c>
      <c r="F3" s="928" t="s">
        <v>234</v>
      </c>
      <c r="G3" s="634" t="s">
        <v>621</v>
      </c>
      <c r="H3" s="634" t="s">
        <v>622</v>
      </c>
      <c r="I3" s="634" t="s">
        <v>13</v>
      </c>
      <c r="J3" s="928">
        <v>3</v>
      </c>
      <c r="K3" s="634"/>
      <c r="L3" s="634">
        <v>57.33</v>
      </c>
      <c r="M3" s="656">
        <v>46038</v>
      </c>
      <c r="N3" s="656">
        <v>46045</v>
      </c>
      <c r="O3" s="634" t="s">
        <v>318</v>
      </c>
      <c r="P3" s="636" t="s">
        <v>549</v>
      </c>
      <c r="Q3" s="636" t="s">
        <v>623</v>
      </c>
      <c r="R3" s="634" t="s">
        <v>624</v>
      </c>
      <c r="S3" s="928" t="s">
        <v>320</v>
      </c>
      <c r="T3" s="715" t="s">
        <v>619</v>
      </c>
      <c r="U3" s="656">
        <v>46045</v>
      </c>
      <c r="V3" s="661">
        <v>46050</v>
      </c>
      <c r="W3" s="634" t="s">
        <v>448</v>
      </c>
      <c r="X3" s="636" t="s">
        <v>320</v>
      </c>
      <c r="Y3" s="634" t="s">
        <v>323</v>
      </c>
      <c r="Z3" s="661">
        <v>46050</v>
      </c>
      <c r="AA3" s="636" t="s">
        <v>320</v>
      </c>
      <c r="AB3" s="634" t="s">
        <v>320</v>
      </c>
      <c r="AC3" s="634" t="s">
        <v>320</v>
      </c>
      <c r="AD3" s="636" t="s">
        <v>625</v>
      </c>
    </row>
    <row r="4" spans="1:30" s="603" customFormat="1" ht="152.25">
      <c r="A4" s="596">
        <v>3</v>
      </c>
      <c r="B4" s="778" t="s">
        <v>5</v>
      </c>
      <c r="C4" s="759">
        <v>46038</v>
      </c>
      <c r="D4" s="759">
        <v>46051</v>
      </c>
      <c r="E4" s="944" t="s">
        <v>189</v>
      </c>
      <c r="F4" s="930" t="s">
        <v>297</v>
      </c>
      <c r="G4" s="599" t="s">
        <v>626</v>
      </c>
      <c r="H4" s="599" t="s">
        <v>627</v>
      </c>
      <c r="I4" s="599" t="s">
        <v>13</v>
      </c>
      <c r="J4" s="930">
        <v>3</v>
      </c>
      <c r="K4" s="599"/>
      <c r="L4" s="599">
        <v>43.33</v>
      </c>
      <c r="M4" s="661">
        <v>46038</v>
      </c>
      <c r="N4" s="661">
        <v>46044</v>
      </c>
      <c r="O4" s="599" t="s">
        <v>318</v>
      </c>
      <c r="P4" s="599" t="s">
        <v>549</v>
      </c>
      <c r="Q4" s="627" t="s">
        <v>628</v>
      </c>
      <c r="R4" s="599" t="s">
        <v>233</v>
      </c>
      <c r="S4" s="930" t="s">
        <v>320</v>
      </c>
      <c r="T4" s="714" t="s">
        <v>619</v>
      </c>
      <c r="U4" s="661">
        <v>46045</v>
      </c>
      <c r="V4" s="661">
        <v>46050</v>
      </c>
      <c r="W4" s="599" t="s">
        <v>448</v>
      </c>
      <c r="X4" s="627" t="s">
        <v>320</v>
      </c>
      <c r="Y4" s="599" t="s">
        <v>323</v>
      </c>
      <c r="Z4" s="661">
        <v>46050</v>
      </c>
      <c r="AA4" s="627" t="s">
        <v>320</v>
      </c>
      <c r="AB4" s="599" t="s">
        <v>320</v>
      </c>
      <c r="AC4" s="599" t="s">
        <v>320</v>
      </c>
      <c r="AD4" s="627" t="s">
        <v>629</v>
      </c>
    </row>
    <row r="5" spans="1:30" s="621" customFormat="1" ht="152.25">
      <c r="A5" s="612">
        <v>4</v>
      </c>
      <c r="B5" s="779" t="s">
        <v>5</v>
      </c>
      <c r="C5" s="760">
        <v>46038</v>
      </c>
      <c r="D5" s="760">
        <v>46051</v>
      </c>
      <c r="E5" s="947" t="s">
        <v>189</v>
      </c>
      <c r="F5" s="928" t="s">
        <v>280</v>
      </c>
      <c r="G5" s="634" t="s">
        <v>630</v>
      </c>
      <c r="H5" s="634" t="s">
        <v>631</v>
      </c>
      <c r="I5" s="634" t="s">
        <v>13</v>
      </c>
      <c r="J5" s="928">
        <v>3</v>
      </c>
      <c r="K5" s="634"/>
      <c r="L5" s="634">
        <v>82.83</v>
      </c>
      <c r="M5" s="656">
        <v>46038</v>
      </c>
      <c r="N5" s="656">
        <v>46049</v>
      </c>
      <c r="O5" s="634" t="s">
        <v>318</v>
      </c>
      <c r="P5" s="634" t="s">
        <v>549</v>
      </c>
      <c r="Q5" s="636" t="s">
        <v>632</v>
      </c>
      <c r="R5" s="634" t="s">
        <v>293</v>
      </c>
      <c r="S5" s="928" t="s">
        <v>320</v>
      </c>
      <c r="T5" s="715" t="s">
        <v>619</v>
      </c>
      <c r="U5" s="656">
        <v>46045</v>
      </c>
      <c r="V5" s="661">
        <v>46050</v>
      </c>
      <c r="W5" s="634" t="s">
        <v>448</v>
      </c>
      <c r="X5" s="636" t="s">
        <v>320</v>
      </c>
      <c r="Y5" s="634" t="s">
        <v>323</v>
      </c>
      <c r="Z5" s="656">
        <v>46050</v>
      </c>
      <c r="AA5" s="636" t="s">
        <v>320</v>
      </c>
      <c r="AB5" s="634" t="s">
        <v>320</v>
      </c>
      <c r="AC5" s="634" t="s">
        <v>320</v>
      </c>
      <c r="AD5" s="636" t="s">
        <v>633</v>
      </c>
    </row>
    <row r="6" spans="1:30" s="603" customFormat="1" ht="76.5">
      <c r="A6" s="596">
        <v>5</v>
      </c>
      <c r="B6" s="778" t="s">
        <v>5</v>
      </c>
      <c r="C6" s="759">
        <v>46038</v>
      </c>
      <c r="D6" s="759">
        <v>46051</v>
      </c>
      <c r="E6" s="944" t="s">
        <v>189</v>
      </c>
      <c r="F6" s="930" t="s">
        <v>293</v>
      </c>
      <c r="G6" s="599" t="s">
        <v>634</v>
      </c>
      <c r="H6" s="599" t="s">
        <v>635</v>
      </c>
      <c r="I6" s="599" t="s">
        <v>636</v>
      </c>
      <c r="J6" s="930">
        <v>2</v>
      </c>
      <c r="K6" s="599"/>
      <c r="L6" s="599">
        <v>15.25</v>
      </c>
      <c r="M6" s="661">
        <v>46041</v>
      </c>
      <c r="N6" s="661">
        <v>46042</v>
      </c>
      <c r="O6" s="599" t="s">
        <v>318</v>
      </c>
      <c r="P6" s="599" t="s">
        <v>549</v>
      </c>
      <c r="Q6" s="599"/>
      <c r="R6" s="599" t="s">
        <v>232</v>
      </c>
      <c r="S6" s="930" t="s">
        <v>320</v>
      </c>
      <c r="T6" s="714" t="s">
        <v>637</v>
      </c>
      <c r="U6" s="661">
        <v>46036</v>
      </c>
      <c r="V6" s="661"/>
      <c r="W6" s="627"/>
      <c r="X6" s="627"/>
      <c r="Y6" s="599"/>
      <c r="Z6" s="661"/>
      <c r="AA6" s="627"/>
      <c r="AB6" s="599"/>
      <c r="AC6" s="599"/>
      <c r="AD6" s="627" t="s">
        <v>638</v>
      </c>
    </row>
    <row r="7" spans="1:30" s="621" customFormat="1" ht="48">
      <c r="A7" s="612">
        <v>6</v>
      </c>
      <c r="B7" s="779" t="s">
        <v>5</v>
      </c>
      <c r="C7" s="760">
        <v>46038</v>
      </c>
      <c r="D7" s="760">
        <v>46051</v>
      </c>
      <c r="E7" s="608" t="s">
        <v>639</v>
      </c>
      <c r="F7" s="928" t="s">
        <v>301</v>
      </c>
      <c r="G7" s="634" t="s">
        <v>640</v>
      </c>
      <c r="H7" s="634" t="s">
        <v>641</v>
      </c>
      <c r="I7" s="634" t="s">
        <v>13</v>
      </c>
      <c r="J7" s="928">
        <v>3</v>
      </c>
      <c r="K7" s="634"/>
      <c r="L7" s="634">
        <v>27.75</v>
      </c>
      <c r="M7" s="656">
        <v>46045</v>
      </c>
      <c r="N7" s="656">
        <v>46049</v>
      </c>
      <c r="O7" s="634" t="s">
        <v>318</v>
      </c>
      <c r="P7" s="636"/>
      <c r="Q7" s="634"/>
      <c r="R7" s="634" t="s">
        <v>595</v>
      </c>
      <c r="S7" s="928" t="s">
        <v>320</v>
      </c>
      <c r="T7" s="715" t="s">
        <v>619</v>
      </c>
      <c r="U7" s="656">
        <v>46045</v>
      </c>
      <c r="V7" s="656">
        <v>46050</v>
      </c>
      <c r="W7" s="634" t="s">
        <v>448</v>
      </c>
      <c r="X7" s="636" t="s">
        <v>320</v>
      </c>
      <c r="Y7" s="634" t="s">
        <v>323</v>
      </c>
      <c r="Z7" s="656">
        <v>46050</v>
      </c>
      <c r="AA7" s="636" t="s">
        <v>320</v>
      </c>
      <c r="AB7" s="634" t="s">
        <v>320</v>
      </c>
      <c r="AC7" s="634" t="s">
        <v>320</v>
      </c>
      <c r="AD7" s="636" t="s">
        <v>642</v>
      </c>
    </row>
    <row r="8" spans="1:30" s="603" customFormat="1" ht="30.75">
      <c r="A8" s="596">
        <v>7</v>
      </c>
      <c r="B8" s="778" t="s">
        <v>5</v>
      </c>
      <c r="C8" s="759">
        <v>46038</v>
      </c>
      <c r="D8" s="759">
        <v>46051</v>
      </c>
      <c r="E8" s="597" t="s">
        <v>639</v>
      </c>
      <c r="F8" s="930" t="s">
        <v>301</v>
      </c>
      <c r="G8" s="599" t="s">
        <v>643</v>
      </c>
      <c r="H8" s="599" t="s">
        <v>644</v>
      </c>
      <c r="I8" s="599" t="s">
        <v>278</v>
      </c>
      <c r="J8" s="930">
        <v>2</v>
      </c>
      <c r="K8" s="599"/>
      <c r="L8" s="599">
        <v>25</v>
      </c>
      <c r="M8" s="661">
        <v>46050</v>
      </c>
      <c r="N8" s="661"/>
      <c r="O8" s="599"/>
      <c r="P8" s="627"/>
      <c r="Q8" s="599"/>
      <c r="R8" s="599"/>
      <c r="S8" s="930"/>
      <c r="T8" s="781"/>
      <c r="U8" s="661"/>
      <c r="V8" s="661"/>
      <c r="W8" s="599"/>
      <c r="X8" s="627"/>
      <c r="Y8" s="599"/>
      <c r="Z8" s="661"/>
      <c r="AA8" s="627"/>
      <c r="AB8" s="599" t="s">
        <v>320</v>
      </c>
      <c r="AC8" s="599" t="s">
        <v>320</v>
      </c>
      <c r="AD8" s="627" t="s">
        <v>645</v>
      </c>
    </row>
    <row r="9" spans="1:30" s="621" customFormat="1" ht="24">
      <c r="A9" s="612">
        <v>8</v>
      </c>
      <c r="B9" s="779" t="s">
        <v>5</v>
      </c>
      <c r="C9" s="760">
        <v>46038</v>
      </c>
      <c r="D9" s="760">
        <v>46051</v>
      </c>
      <c r="E9" s="608" t="s">
        <v>639</v>
      </c>
      <c r="F9" s="928" t="s">
        <v>280</v>
      </c>
      <c r="G9" s="634" t="s">
        <v>604</v>
      </c>
      <c r="H9" s="634" t="s">
        <v>646</v>
      </c>
      <c r="I9" s="634" t="s">
        <v>278</v>
      </c>
      <c r="J9" s="928">
        <v>2</v>
      </c>
      <c r="K9" s="634"/>
      <c r="L9" s="634">
        <v>26.5</v>
      </c>
      <c r="M9" s="656">
        <v>46050</v>
      </c>
      <c r="N9" s="656"/>
      <c r="O9" s="634"/>
      <c r="P9" s="636"/>
      <c r="Q9" s="634"/>
      <c r="R9" s="634"/>
      <c r="S9" s="928"/>
      <c r="T9" s="780"/>
      <c r="U9" s="656"/>
      <c r="V9" s="656"/>
      <c r="W9" s="634"/>
      <c r="X9" s="636"/>
      <c r="Y9" s="634"/>
      <c r="Z9" s="656"/>
      <c r="AA9" s="636"/>
      <c r="AB9" s="634"/>
      <c r="AC9" s="634"/>
      <c r="AD9" s="398" t="s">
        <v>647</v>
      </c>
    </row>
    <row r="10" spans="1:30" s="603" customFormat="1">
      <c r="A10" s="772"/>
      <c r="B10" s="728"/>
      <c r="C10" s="772"/>
      <c r="D10" s="772"/>
      <c r="E10" s="773"/>
      <c r="F10" s="773"/>
      <c r="G10" s="773"/>
      <c r="H10" s="728"/>
      <c r="I10" s="772"/>
      <c r="J10" s="772"/>
      <c r="K10" s="773"/>
      <c r="L10" s="773"/>
      <c r="M10" s="773"/>
      <c r="N10" s="773"/>
      <c r="O10" s="773"/>
      <c r="P10" s="774"/>
      <c r="Q10" s="773"/>
      <c r="R10" s="773"/>
      <c r="S10" s="773"/>
      <c r="T10" s="774"/>
      <c r="U10" s="773"/>
      <c r="V10" s="773"/>
      <c r="W10" s="773"/>
      <c r="X10" s="774"/>
      <c r="Y10" s="773"/>
      <c r="Z10" s="773"/>
      <c r="AA10" s="773"/>
      <c r="AB10" s="775"/>
      <c r="AC10" s="773"/>
      <c r="AD10" s="773"/>
    </row>
    <row r="11" spans="1:30" ht="15">
      <c r="A11" s="724"/>
      <c r="B11" s="498"/>
      <c r="C11" s="753"/>
      <c r="D11" s="762"/>
      <c r="E11" s="947"/>
      <c r="F11" s="498"/>
      <c r="G11" s="498"/>
      <c r="H11" s="498"/>
      <c r="I11" s="747"/>
      <c r="J11" s="498"/>
      <c r="K11" s="498"/>
      <c r="L11" s="498"/>
      <c r="M11" s="753"/>
      <c r="N11" s="753"/>
      <c r="O11" s="498"/>
      <c r="P11" s="746"/>
      <c r="Q11" s="498"/>
      <c r="R11" s="498"/>
      <c r="S11" s="498"/>
      <c r="T11" s="758"/>
      <c r="U11" s="753"/>
      <c r="V11" s="753"/>
      <c r="W11" s="747"/>
      <c r="X11" s="746"/>
      <c r="Y11" s="747"/>
      <c r="Z11" s="753"/>
      <c r="AA11" s="498"/>
      <c r="AB11" s="755"/>
      <c r="AC11" s="498"/>
      <c r="AD11" s="498"/>
    </row>
    <row r="12" spans="1:30" s="603" customFormat="1">
      <c r="A12" s="772"/>
      <c r="B12" s="728"/>
      <c r="C12" s="772"/>
      <c r="D12" s="772"/>
      <c r="E12" s="773"/>
      <c r="F12" s="773"/>
      <c r="G12" s="773"/>
      <c r="H12" s="728"/>
      <c r="I12" s="772"/>
      <c r="J12" s="772"/>
      <c r="K12" s="773"/>
      <c r="L12" s="773"/>
      <c r="M12" s="773"/>
      <c r="N12" s="773"/>
      <c r="O12" s="773"/>
      <c r="P12" s="774"/>
      <c r="Q12" s="773"/>
      <c r="R12" s="773"/>
      <c r="S12" s="773"/>
      <c r="T12" s="774"/>
      <c r="U12" s="773"/>
      <c r="V12" s="773"/>
      <c r="W12" s="773"/>
      <c r="X12" s="774"/>
      <c r="Y12" s="773"/>
      <c r="Z12" s="773"/>
      <c r="AA12" s="773"/>
      <c r="AB12" s="775"/>
      <c r="AC12" s="773"/>
      <c r="AD12" s="773"/>
    </row>
    <row r="13" spans="1:30" ht="15">
      <c r="A13" s="724"/>
      <c r="B13" s="498"/>
      <c r="C13" s="753"/>
      <c r="D13" s="762"/>
      <c r="E13" s="947"/>
      <c r="F13" s="498"/>
      <c r="G13" s="498"/>
      <c r="H13" s="498"/>
      <c r="I13" s="747"/>
      <c r="J13" s="498"/>
      <c r="K13" s="498"/>
      <c r="L13" s="498"/>
      <c r="M13" s="753"/>
      <c r="N13" s="753"/>
      <c r="O13" s="498"/>
      <c r="P13" s="746"/>
      <c r="Q13" s="498"/>
      <c r="R13" s="498"/>
      <c r="S13" s="498"/>
      <c r="T13" s="758"/>
      <c r="U13" s="753"/>
      <c r="V13" s="753"/>
      <c r="W13" s="747"/>
      <c r="X13" s="746"/>
      <c r="Y13" s="747"/>
      <c r="Z13" s="753"/>
      <c r="AA13" s="498"/>
      <c r="AB13" s="755"/>
      <c r="AC13" s="498"/>
      <c r="AD13" s="498"/>
    </row>
    <row r="14" spans="1:30" s="603" customFormat="1">
      <c r="A14" s="772"/>
      <c r="B14" s="728"/>
      <c r="C14" s="772"/>
      <c r="D14" s="772"/>
      <c r="E14" s="773"/>
      <c r="F14" s="773"/>
      <c r="G14" s="773"/>
      <c r="H14" s="728"/>
      <c r="I14" s="772"/>
      <c r="J14" s="772"/>
      <c r="K14" s="773"/>
      <c r="L14" s="773"/>
      <c r="M14" s="773"/>
      <c r="N14" s="773"/>
      <c r="O14" s="773"/>
      <c r="P14" s="774"/>
      <c r="Q14" s="773"/>
      <c r="R14" s="773"/>
      <c r="S14" s="773"/>
      <c r="T14" s="774"/>
      <c r="U14" s="773"/>
      <c r="V14" s="773"/>
      <c r="W14" s="773"/>
      <c r="X14" s="774"/>
      <c r="Y14" s="773"/>
      <c r="Z14" s="773"/>
      <c r="AA14" s="773"/>
      <c r="AB14" s="775"/>
      <c r="AC14" s="773"/>
      <c r="AD14" s="773"/>
    </row>
  </sheetData>
  <hyperlinks>
    <hyperlink ref="T6" r:id="rId1" xr:uid="{5FB41A26-E34C-4F43-88C8-5EE67C8AACDA}"/>
    <hyperlink ref="T2" r:id="rId2" xr:uid="{86E36132-2F83-4992-806E-8B441DA73189}"/>
    <hyperlink ref="T3" r:id="rId3" xr:uid="{644E0EEF-BD2B-4EF2-9999-36B654EB33F7}"/>
    <hyperlink ref="T4" r:id="rId4" xr:uid="{9A12BB7A-DCF4-4B99-A94F-7BE574EBB7B4}"/>
    <hyperlink ref="T5" r:id="rId5" xr:uid="{DC0C16C3-07C0-4104-9E46-9AA15233CB2B}"/>
    <hyperlink ref="T7" r:id="rId6" xr:uid="{5DFAD64F-200F-41D9-BD61-2621E717F6A2}"/>
  </hyperlinks>
  <pageMargins left="0.7" right="0.7" top="0.75" bottom="0.75" header="0.3" footer="0.3"/>
  <tableParts count="1">
    <tablePart r:id="rId7"/>
  </tableParts>
  <extLst>
    <ext xmlns:x14="http://schemas.microsoft.com/office/spreadsheetml/2009/9/main" uri="{CCE6A557-97BC-4b89-ADB6-D9C93CAAB3DF}">
      <x14:dataValidations xmlns:xm="http://schemas.microsoft.com/office/excel/2006/main" count="1">
        <x14:dataValidation type="list" allowBlank="1" showErrorMessage="1" xr:uid="{4C8B5542-2292-4818-A2E5-A9682F698757}">
          <x14:formula1>
            <xm:f>Settings!$C$3:$C$20</xm:f>
          </x14:formula1>
          <xm:sqref>I13 I11 I2:I9</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157A4-AF92-47FF-BC61-C42BEB8B8ACD}">
  <sheetPr>
    <outlinePr summaryBelow="0" summaryRight="0"/>
  </sheetPr>
  <dimension ref="A1:AB984"/>
  <sheetViews>
    <sheetView topLeftCell="B1" workbookViewId="0">
      <selection activeCell="D2" sqref="D2"/>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54.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248</v>
      </c>
      <c r="B1" s="1" t="s">
        <v>305</v>
      </c>
      <c r="C1" s="198" t="s">
        <v>306</v>
      </c>
      <c r="D1" s="198" t="s">
        <v>307</v>
      </c>
      <c r="E1" s="1" t="s">
        <v>250</v>
      </c>
      <c r="F1" s="198" t="s">
        <v>308</v>
      </c>
      <c r="G1" s="198" t="s">
        <v>309</v>
      </c>
      <c r="H1" s="1" t="s">
        <v>310</v>
      </c>
      <c r="I1" s="1" t="s">
        <v>311</v>
      </c>
      <c r="J1" s="1" t="s">
        <v>312</v>
      </c>
      <c r="K1" s="1" t="s">
        <v>253</v>
      </c>
      <c r="L1" s="156" t="s">
        <v>313</v>
      </c>
      <c r="M1" s="8" t="s">
        <v>274</v>
      </c>
      <c r="N1" s="483" t="s">
        <v>314</v>
      </c>
      <c r="O1" s="483" t="s">
        <v>315</v>
      </c>
      <c r="P1" s="35"/>
      <c r="Q1" s="35"/>
      <c r="R1" s="35"/>
      <c r="S1" s="35"/>
      <c r="T1" s="35"/>
      <c r="U1" s="35"/>
      <c r="V1" s="35"/>
      <c r="W1" s="35"/>
      <c r="X1" s="35"/>
      <c r="Y1" s="35"/>
      <c r="Z1" s="35"/>
      <c r="AA1" s="35"/>
      <c r="AB1" s="35"/>
    </row>
    <row r="2" spans="1:28" ht="116.25" customHeight="1">
      <c r="F2" s="221"/>
      <c r="G2" s="144"/>
      <c r="H2" s="126"/>
      <c r="I2" s="126"/>
      <c r="J2" s="126"/>
      <c r="K2" s="126"/>
      <c r="L2" s="126"/>
      <c r="M2" s="144"/>
      <c r="O2" s="144"/>
    </row>
    <row r="3" spans="1:28" ht="15.75" customHeight="1"/>
    <row r="4" spans="1:28" ht="15.75" customHeight="1"/>
    <row r="5" spans="1:28" ht="15.75" customHeight="1">
      <c r="K5" s="144"/>
    </row>
    <row r="6" spans="1:28" ht="15.75" customHeight="1"/>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autoFilter ref="A1:M1" xr:uid="{3A2BB050-11AC-4ED7-A296-96B42C7FCFBA}"/>
  <dataValidations count="5">
    <dataValidation type="list" allowBlank="1" showErrorMessage="1" sqref="K2" xr:uid="{D7CCD257-A52A-4C7C-89E6-96ECFF6AB34B}">
      <formula1>"Open,Inprogress,Closed"</formula1>
    </dataValidation>
    <dataValidation type="list" allowBlank="1" showErrorMessage="1" sqref="I2" xr:uid="{6E8F4FE2-61F9-4767-A7D3-5F5E67BE5474}">
      <formula1>"Manual, Automation"</formula1>
    </dataValidation>
    <dataValidation type="list" allowBlank="1" showErrorMessage="1" sqref="H2" xr:uid="{0ACD516F-4770-498E-8677-1D4901BF0EFE}">
      <formula1>"Minor,Significant,Major"</formula1>
    </dataValidation>
    <dataValidation type="list" allowBlank="1" showErrorMessage="1" sqref="J2" xr:uid="{AECF4916-6FE8-40EA-86D0-61B1E3D6F334}">
      <formula1>"Internal,External"</formula1>
    </dataValidation>
    <dataValidation type="list" allowBlank="1" showErrorMessage="1" sqref="F2" xr:uid="{A993F9C1-9B8C-484D-A1CD-C54266DACD5E}">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4225B787-B714-4240-90E0-FE61B1A0241A}">
          <x14:formula1>
            <xm:f>Details!$A$2:$A$10</xm:f>
          </x14:formula1>
          <xm:sqref>L2</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573CE-F508-4969-9328-98D3F6B45454}">
  <dimension ref="A1:AD14"/>
  <sheetViews>
    <sheetView workbookViewId="0">
      <pane xSplit="7" ySplit="1" topLeftCell="W9" activePane="bottomRight" state="frozen"/>
      <selection pane="bottomRight" activeCell="W9" sqref="W9"/>
      <selection pane="bottomLeft"/>
      <selection pane="topRight"/>
    </sheetView>
  </sheetViews>
  <sheetFormatPr defaultRowHeight="12.75"/>
  <cols>
    <col min="1" max="1" width="9.140625" style="122"/>
    <col min="2" max="2" width="13.28515625" style="137" customWidth="1"/>
    <col min="3" max="3" width="10.7109375" style="122" customWidth="1"/>
    <col min="4" max="4" width="12.140625" style="122" customWidth="1"/>
    <col min="5" max="5" width="40.7109375" customWidth="1"/>
    <col min="6" max="6" width="39" customWidth="1"/>
    <col min="7" max="7" width="18.85546875" customWidth="1"/>
    <col min="8" max="8" width="57.42578125" style="137" customWidth="1"/>
    <col min="9" max="9" width="16.85546875" style="122" customWidth="1"/>
    <col min="10" max="10" width="11.42578125" style="122" bestFit="1" customWidth="1"/>
    <col min="11" max="11" width="11.42578125" bestFit="1" customWidth="1"/>
    <col min="12" max="12" width="25.5703125" customWidth="1"/>
    <col min="13" max="14" width="11.42578125" customWidth="1"/>
    <col min="15" max="15" width="13.140625" customWidth="1"/>
    <col min="16" max="16" width="17" style="144" bestFit="1" customWidth="1"/>
    <col min="17" max="17" width="88.140625" customWidth="1"/>
    <col min="18" max="18" width="23.7109375" customWidth="1"/>
    <col min="19" max="19" width="14.85546875" customWidth="1"/>
    <col min="20" max="20" width="27.7109375" style="144" customWidth="1"/>
    <col min="21" max="22" width="12.7109375" bestFit="1" customWidth="1"/>
    <col min="23" max="23" width="20.5703125" customWidth="1"/>
    <col min="24" max="24" width="11.42578125" style="144" bestFit="1" customWidth="1"/>
    <col min="25" max="25" width="11.42578125" bestFit="1" customWidth="1"/>
    <col min="26" max="26" width="12.7109375" bestFit="1" customWidth="1"/>
    <col min="27" max="27" width="52.140625" customWidth="1"/>
    <col min="28" max="29" width="11.42578125" bestFit="1" customWidth="1"/>
    <col min="30" max="30" width="78.5703125" customWidth="1"/>
  </cols>
  <sheetData>
    <row r="1" spans="1:30" ht="48">
      <c r="A1" s="379" t="s">
        <v>248</v>
      </c>
      <c r="B1" s="501" t="s">
        <v>4</v>
      </c>
      <c r="C1" s="501" t="s">
        <v>2</v>
      </c>
      <c r="D1" s="501" t="s">
        <v>3</v>
      </c>
      <c r="E1" s="380" t="s">
        <v>249</v>
      </c>
      <c r="F1" s="381" t="s">
        <v>250</v>
      </c>
      <c r="G1" s="382" t="s">
        <v>251</v>
      </c>
      <c r="H1" s="383" t="s">
        <v>252</v>
      </c>
      <c r="I1" s="697" t="s">
        <v>253</v>
      </c>
      <c r="J1" s="729" t="s">
        <v>254</v>
      </c>
      <c r="K1" s="384" t="s">
        <v>255</v>
      </c>
      <c r="L1" s="384" t="s">
        <v>256</v>
      </c>
      <c r="M1" s="384" t="s">
        <v>257</v>
      </c>
      <c r="N1" s="384" t="s">
        <v>258</v>
      </c>
      <c r="O1" s="385" t="s">
        <v>259</v>
      </c>
      <c r="P1" s="385" t="s">
        <v>260</v>
      </c>
      <c r="Q1" s="385" t="s">
        <v>261</v>
      </c>
      <c r="R1" s="385" t="s">
        <v>262</v>
      </c>
      <c r="S1" s="385" t="s">
        <v>263</v>
      </c>
      <c r="T1" s="385" t="s">
        <v>264</v>
      </c>
      <c r="U1" s="385" t="s">
        <v>265</v>
      </c>
      <c r="V1" s="385" t="s">
        <v>266</v>
      </c>
      <c r="W1" s="385" t="s">
        <v>267</v>
      </c>
      <c r="X1" s="385" t="s">
        <v>268</v>
      </c>
      <c r="Y1" s="385" t="s">
        <v>269</v>
      </c>
      <c r="Z1" s="385" t="s">
        <v>270</v>
      </c>
      <c r="AA1" s="385" t="s">
        <v>271</v>
      </c>
      <c r="AB1" s="385" t="s">
        <v>272</v>
      </c>
      <c r="AC1" s="385" t="s">
        <v>273</v>
      </c>
      <c r="AD1" s="386" t="s">
        <v>274</v>
      </c>
    </row>
    <row r="2" spans="1:30" s="603" customFormat="1" ht="41.25" customHeight="1">
      <c r="A2" s="597">
        <v>1</v>
      </c>
      <c r="B2" s="733" t="s">
        <v>5</v>
      </c>
      <c r="C2" s="759">
        <v>46009</v>
      </c>
      <c r="D2" s="759">
        <v>46037</v>
      </c>
      <c r="E2" s="597" t="s">
        <v>186</v>
      </c>
      <c r="F2" s="599" t="s">
        <v>233</v>
      </c>
      <c r="G2" s="599" t="s">
        <v>648</v>
      </c>
      <c r="H2" s="599" t="s">
        <v>649</v>
      </c>
      <c r="I2" s="599" t="s">
        <v>13</v>
      </c>
      <c r="J2" s="946">
        <v>1</v>
      </c>
      <c r="K2" s="599"/>
      <c r="L2" s="626">
        <v>6.75</v>
      </c>
      <c r="M2" s="661">
        <v>46013</v>
      </c>
      <c r="N2" s="661">
        <v>46013</v>
      </c>
      <c r="O2" s="599" t="s">
        <v>318</v>
      </c>
      <c r="P2" s="627" t="s">
        <v>650</v>
      </c>
      <c r="Q2" s="627" t="s">
        <v>320</v>
      </c>
      <c r="R2" s="599" t="s">
        <v>297</v>
      </c>
      <c r="S2" s="930" t="s">
        <v>320</v>
      </c>
      <c r="T2" s="748"/>
      <c r="U2" s="661"/>
      <c r="V2" s="661">
        <v>46027</v>
      </c>
      <c r="W2" s="599" t="s">
        <v>595</v>
      </c>
      <c r="X2" s="627" t="s">
        <v>320</v>
      </c>
      <c r="Y2" s="599" t="s">
        <v>651</v>
      </c>
      <c r="Z2" s="661">
        <v>46027</v>
      </c>
      <c r="AA2" s="627" t="s">
        <v>320</v>
      </c>
      <c r="AB2" s="599" t="s">
        <v>320</v>
      </c>
      <c r="AC2" s="599" t="s">
        <v>320</v>
      </c>
      <c r="AD2" s="627" t="s">
        <v>652</v>
      </c>
    </row>
    <row r="3" spans="1:30" ht="48">
      <c r="A3" s="608">
        <v>2</v>
      </c>
      <c r="B3" s="733" t="s">
        <v>5</v>
      </c>
      <c r="C3" s="760">
        <v>46009</v>
      </c>
      <c r="D3" s="760">
        <v>46037</v>
      </c>
      <c r="E3" s="608" t="s">
        <v>186</v>
      </c>
      <c r="F3" s="942" t="s">
        <v>297</v>
      </c>
      <c r="G3" s="634" t="s">
        <v>653</v>
      </c>
      <c r="H3" s="634" t="s">
        <v>654</v>
      </c>
      <c r="I3" s="634" t="s">
        <v>13</v>
      </c>
      <c r="J3" s="942">
        <v>1</v>
      </c>
      <c r="K3" s="642"/>
      <c r="L3" s="640">
        <v>13.75</v>
      </c>
      <c r="M3" s="761">
        <v>46013</v>
      </c>
      <c r="N3" s="761">
        <v>46013</v>
      </c>
      <c r="O3" s="642" t="s">
        <v>318</v>
      </c>
      <c r="P3" s="643" t="s">
        <v>650</v>
      </c>
      <c r="Q3" s="642" t="s">
        <v>320</v>
      </c>
      <c r="R3" s="642" t="s">
        <v>233</v>
      </c>
      <c r="S3" s="942"/>
      <c r="T3" s="734" t="s">
        <v>655</v>
      </c>
      <c r="U3" s="761">
        <v>46013</v>
      </c>
      <c r="V3" s="761">
        <v>46015</v>
      </c>
      <c r="W3" s="642" t="s">
        <v>448</v>
      </c>
      <c r="X3" s="643"/>
      <c r="Y3" s="642"/>
      <c r="Z3" s="761"/>
      <c r="AA3" s="643"/>
      <c r="AB3" s="642"/>
      <c r="AC3" s="642"/>
      <c r="AD3" s="636" t="s">
        <v>656</v>
      </c>
    </row>
    <row r="4" spans="1:30" s="603" customFormat="1" ht="48">
      <c r="A4" s="597">
        <v>3</v>
      </c>
      <c r="B4" s="735" t="s">
        <v>5</v>
      </c>
      <c r="C4" s="759">
        <v>46009</v>
      </c>
      <c r="D4" s="759">
        <v>46037</v>
      </c>
      <c r="E4" s="597" t="s">
        <v>186</v>
      </c>
      <c r="F4" s="930" t="s">
        <v>293</v>
      </c>
      <c r="G4" s="599" t="s">
        <v>657</v>
      </c>
      <c r="H4" s="599" t="s">
        <v>658</v>
      </c>
      <c r="I4" s="599" t="s">
        <v>13</v>
      </c>
      <c r="J4" s="930">
        <v>1</v>
      </c>
      <c r="K4" s="599"/>
      <c r="L4" s="626">
        <v>14.75</v>
      </c>
      <c r="M4" s="661">
        <v>46013</v>
      </c>
      <c r="N4" s="661">
        <v>46014</v>
      </c>
      <c r="O4" s="599" t="s">
        <v>318</v>
      </c>
      <c r="P4" s="627" t="s">
        <v>650</v>
      </c>
      <c r="Q4" s="599"/>
      <c r="R4" s="599" t="s">
        <v>232</v>
      </c>
      <c r="S4" s="930"/>
      <c r="T4" s="714" t="s">
        <v>659</v>
      </c>
      <c r="U4" s="661">
        <v>46013</v>
      </c>
      <c r="V4" s="661">
        <v>46015</v>
      </c>
      <c r="W4" s="599" t="s">
        <v>448</v>
      </c>
      <c r="X4" s="627"/>
      <c r="Y4" s="599"/>
      <c r="Z4" s="661"/>
      <c r="AA4" s="627"/>
      <c r="AB4" s="599"/>
      <c r="AC4" s="599"/>
      <c r="AD4" s="599" t="s">
        <v>660</v>
      </c>
    </row>
    <row r="5" spans="1:30" s="621" customFormat="1" ht="48">
      <c r="A5" s="608">
        <v>4</v>
      </c>
      <c r="B5" s="736" t="s">
        <v>5</v>
      </c>
      <c r="C5" s="760">
        <v>46009</v>
      </c>
      <c r="D5" s="760">
        <v>46037</v>
      </c>
      <c r="E5" s="608" t="s">
        <v>186</v>
      </c>
      <c r="F5" s="928" t="s">
        <v>661</v>
      </c>
      <c r="G5" s="634" t="s">
        <v>662</v>
      </c>
      <c r="H5" s="634" t="s">
        <v>663</v>
      </c>
      <c r="I5" s="634" t="s">
        <v>13</v>
      </c>
      <c r="J5" s="928">
        <v>1</v>
      </c>
      <c r="K5" s="634"/>
      <c r="L5" s="635">
        <v>3.75</v>
      </c>
      <c r="M5" s="656">
        <v>46013</v>
      </c>
      <c r="N5" s="761">
        <v>46014</v>
      </c>
      <c r="O5" s="634" t="s">
        <v>318</v>
      </c>
      <c r="P5" s="636" t="s">
        <v>650</v>
      </c>
      <c r="Q5" s="634"/>
      <c r="R5" s="634" t="s">
        <v>297</v>
      </c>
      <c r="S5" s="928"/>
      <c r="T5" s="734" t="s">
        <v>659</v>
      </c>
      <c r="U5" s="761">
        <v>46013</v>
      </c>
      <c r="V5" s="656">
        <v>46015</v>
      </c>
      <c r="W5" s="634" t="s">
        <v>448</v>
      </c>
      <c r="X5" s="636"/>
      <c r="Y5" s="634"/>
      <c r="Z5" s="656"/>
      <c r="AA5" s="636"/>
      <c r="AB5" s="634"/>
      <c r="AC5" s="634"/>
      <c r="AD5" s="634"/>
    </row>
    <row r="6" spans="1:30" s="603" customFormat="1" ht="15">
      <c r="A6" s="597">
        <v>5</v>
      </c>
      <c r="B6" s="735" t="s">
        <v>5</v>
      </c>
      <c r="C6" s="759">
        <v>46009</v>
      </c>
      <c r="D6" s="759">
        <v>46037</v>
      </c>
      <c r="E6" s="597" t="s">
        <v>186</v>
      </c>
      <c r="F6" s="942" t="s">
        <v>664</v>
      </c>
      <c r="G6" s="599" t="s">
        <v>665</v>
      </c>
      <c r="H6" s="599" t="s">
        <v>666</v>
      </c>
      <c r="I6" s="634" t="s">
        <v>13</v>
      </c>
      <c r="J6" s="942">
        <v>1</v>
      </c>
      <c r="K6" s="642"/>
      <c r="L6" s="640">
        <v>1</v>
      </c>
      <c r="M6" s="761">
        <v>46013</v>
      </c>
      <c r="N6" s="761">
        <v>46014</v>
      </c>
      <c r="O6" s="642" t="s">
        <v>318</v>
      </c>
      <c r="P6" s="643" t="s">
        <v>650</v>
      </c>
      <c r="Q6" s="642"/>
      <c r="R6" s="642" t="s">
        <v>233</v>
      </c>
      <c r="S6" s="942"/>
      <c r="T6" s="749" t="s">
        <v>659</v>
      </c>
      <c r="U6" s="761">
        <v>46013</v>
      </c>
      <c r="V6" s="761">
        <v>46015</v>
      </c>
      <c r="W6" s="642" t="s">
        <v>448</v>
      </c>
      <c r="X6" s="643"/>
      <c r="Y6" s="642"/>
      <c r="Z6" s="761"/>
      <c r="AA6" s="643"/>
      <c r="AB6" s="642"/>
      <c r="AC6" s="642"/>
      <c r="AD6" s="642" t="s">
        <v>667</v>
      </c>
    </row>
    <row r="7" spans="1:30" ht="45.75">
      <c r="A7" s="203">
        <v>6</v>
      </c>
      <c r="B7" s="737" t="s">
        <v>5</v>
      </c>
      <c r="C7" s="762">
        <v>46009</v>
      </c>
      <c r="D7" s="762">
        <v>46037</v>
      </c>
      <c r="E7" s="763" t="s">
        <v>186</v>
      </c>
      <c r="F7" s="948" t="s">
        <v>233</v>
      </c>
      <c r="G7" s="747" t="s">
        <v>668</v>
      </c>
      <c r="H7" s="203" t="s">
        <v>669</v>
      </c>
      <c r="I7" s="747" t="s">
        <v>13</v>
      </c>
      <c r="J7" s="203">
        <v>1</v>
      </c>
      <c r="K7" s="203"/>
      <c r="L7" s="228">
        <v>9.25</v>
      </c>
      <c r="M7" s="206">
        <v>46014</v>
      </c>
      <c r="N7" s="206">
        <v>46015</v>
      </c>
      <c r="O7" s="203" t="s">
        <v>318</v>
      </c>
      <c r="P7" s="316" t="s">
        <v>650</v>
      </c>
      <c r="Q7" s="203" t="s">
        <v>320</v>
      </c>
      <c r="R7" s="203" t="s">
        <v>232</v>
      </c>
      <c r="S7" s="203" t="s">
        <v>320</v>
      </c>
      <c r="T7" s="316"/>
      <c r="U7" s="203"/>
      <c r="V7" s="203"/>
      <c r="W7" s="203" t="s">
        <v>595</v>
      </c>
      <c r="X7" s="316" t="s">
        <v>320</v>
      </c>
      <c r="Y7" s="203" t="s">
        <v>320</v>
      </c>
      <c r="Z7" s="203"/>
      <c r="AA7" s="203" t="s">
        <v>320</v>
      </c>
      <c r="AB7" s="246" t="s">
        <v>320</v>
      </c>
      <c r="AC7" s="203" t="s">
        <v>320</v>
      </c>
      <c r="AD7" s="771" t="s">
        <v>670</v>
      </c>
    </row>
    <row r="8" spans="1:30" s="603" customFormat="1" ht="75" customHeight="1">
      <c r="A8" s="595">
        <v>7</v>
      </c>
      <c r="B8" s="738" t="s">
        <v>5</v>
      </c>
      <c r="C8" s="764">
        <v>46009</v>
      </c>
      <c r="D8" s="764">
        <v>46037</v>
      </c>
      <c r="E8" s="595" t="s">
        <v>186</v>
      </c>
      <c r="F8" s="739" t="s">
        <v>671</v>
      </c>
      <c r="G8" s="663" t="s">
        <v>672</v>
      </c>
      <c r="H8" s="663" t="s">
        <v>673</v>
      </c>
      <c r="I8" s="747" t="s">
        <v>13</v>
      </c>
      <c r="J8" s="728">
        <v>3</v>
      </c>
      <c r="K8" s="728"/>
      <c r="L8" s="776">
        <v>120</v>
      </c>
      <c r="M8" s="206">
        <v>46014</v>
      </c>
      <c r="N8" s="751">
        <v>46036</v>
      </c>
      <c r="O8" s="728" t="s">
        <v>318</v>
      </c>
      <c r="P8" s="750" t="s">
        <v>650</v>
      </c>
      <c r="Q8" s="750" t="s">
        <v>674</v>
      </c>
      <c r="R8" s="728" t="s">
        <v>232</v>
      </c>
      <c r="S8" s="728"/>
      <c r="T8" s="686" t="s">
        <v>675</v>
      </c>
      <c r="U8" s="751">
        <v>46017</v>
      </c>
      <c r="V8" s="751">
        <v>46037</v>
      </c>
      <c r="W8" s="728" t="s">
        <v>448</v>
      </c>
      <c r="X8" s="750" t="s">
        <v>320</v>
      </c>
      <c r="Y8" s="728" t="s">
        <v>320</v>
      </c>
      <c r="Z8" s="751">
        <v>46036</v>
      </c>
      <c r="AA8" s="728"/>
      <c r="AB8" s="752"/>
      <c r="AC8" s="728"/>
      <c r="AD8" s="728"/>
    </row>
    <row r="9" spans="1:30" s="621" customFormat="1" ht="250.5">
      <c r="A9" s="498">
        <v>8</v>
      </c>
      <c r="B9" s="740" t="s">
        <v>5</v>
      </c>
      <c r="C9" s="765">
        <v>46009</v>
      </c>
      <c r="D9" s="765">
        <v>46037</v>
      </c>
      <c r="E9" s="766" t="s">
        <v>186</v>
      </c>
      <c r="F9" s="498" t="s">
        <v>676</v>
      </c>
      <c r="G9" s="498" t="s">
        <v>677</v>
      </c>
      <c r="H9" s="498" t="s">
        <v>678</v>
      </c>
      <c r="I9" s="747" t="s">
        <v>13</v>
      </c>
      <c r="J9" s="498">
        <v>3</v>
      </c>
      <c r="K9" s="498"/>
      <c r="L9" s="724">
        <v>249.75</v>
      </c>
      <c r="M9" s="753">
        <v>46014</v>
      </c>
      <c r="N9" s="753">
        <v>46036</v>
      </c>
      <c r="O9" s="498" t="s">
        <v>318</v>
      </c>
      <c r="P9" s="754" t="s">
        <v>650</v>
      </c>
      <c r="Q9" s="754" t="s">
        <v>679</v>
      </c>
      <c r="R9" s="498" t="s">
        <v>448</v>
      </c>
      <c r="S9" s="498" t="s">
        <v>320</v>
      </c>
      <c r="T9" s="754" t="s">
        <v>680</v>
      </c>
      <c r="U9" s="767" t="s">
        <v>681</v>
      </c>
      <c r="V9" s="753">
        <v>46037</v>
      </c>
      <c r="W9" s="498" t="s">
        <v>595</v>
      </c>
      <c r="X9" s="754" t="s">
        <v>320</v>
      </c>
      <c r="Y9" s="498" t="s">
        <v>323</v>
      </c>
      <c r="Z9" s="753">
        <v>46036</v>
      </c>
      <c r="AA9" s="498" t="s">
        <v>320</v>
      </c>
      <c r="AB9" s="755"/>
      <c r="AC9" s="498"/>
      <c r="AD9" s="756" t="s">
        <v>682</v>
      </c>
    </row>
    <row r="10" spans="1:30" s="603" customFormat="1" ht="48">
      <c r="A10" s="728">
        <v>9</v>
      </c>
      <c r="B10" s="738" t="s">
        <v>5</v>
      </c>
      <c r="C10" s="764">
        <v>46009</v>
      </c>
      <c r="D10" s="764">
        <v>46037</v>
      </c>
      <c r="E10" s="595" t="s">
        <v>186</v>
      </c>
      <c r="F10" s="768" t="s">
        <v>427</v>
      </c>
      <c r="G10" s="757" t="s">
        <v>683</v>
      </c>
      <c r="H10" s="757" t="s">
        <v>684</v>
      </c>
      <c r="I10" s="747" t="s">
        <v>13</v>
      </c>
      <c r="J10" s="728">
        <v>1</v>
      </c>
      <c r="K10" s="728"/>
      <c r="L10" s="776">
        <v>33</v>
      </c>
      <c r="M10" s="751">
        <v>46013</v>
      </c>
      <c r="N10" s="751">
        <v>46013</v>
      </c>
      <c r="O10" s="728"/>
      <c r="P10" s="750" t="s">
        <v>650</v>
      </c>
      <c r="Q10" s="728"/>
      <c r="R10" s="728" t="s">
        <v>685</v>
      </c>
      <c r="S10" s="728"/>
      <c r="T10" s="686" t="s">
        <v>686</v>
      </c>
      <c r="U10" s="751">
        <v>46007</v>
      </c>
      <c r="V10" s="751">
        <v>46015</v>
      </c>
      <c r="W10" s="728" t="s">
        <v>448</v>
      </c>
      <c r="X10" s="750" t="s">
        <v>320</v>
      </c>
      <c r="Y10" s="728" t="s">
        <v>323</v>
      </c>
      <c r="Z10" s="751">
        <v>46015</v>
      </c>
      <c r="AA10" s="728" t="s">
        <v>320</v>
      </c>
      <c r="AB10" s="752" t="s">
        <v>320</v>
      </c>
      <c r="AC10" s="728" t="s">
        <v>320</v>
      </c>
      <c r="AD10" s="728" t="s">
        <v>687</v>
      </c>
    </row>
    <row r="11" spans="1:30" ht="84">
      <c r="A11" s="203">
        <v>10</v>
      </c>
      <c r="B11" s="740" t="s">
        <v>5</v>
      </c>
      <c r="C11" s="765">
        <v>46009</v>
      </c>
      <c r="D11" s="765">
        <v>46037</v>
      </c>
      <c r="E11" s="766" t="s">
        <v>688</v>
      </c>
      <c r="F11" s="203" t="s">
        <v>689</v>
      </c>
      <c r="G11" s="203" t="s">
        <v>690</v>
      </c>
      <c r="H11" s="316" t="s">
        <v>691</v>
      </c>
      <c r="I11" s="747" t="s">
        <v>13</v>
      </c>
      <c r="J11" s="203">
        <v>1</v>
      </c>
      <c r="K11" s="203"/>
      <c r="L11" s="228">
        <v>32</v>
      </c>
      <c r="M11" s="206">
        <v>46030</v>
      </c>
      <c r="N11" s="206">
        <v>46036</v>
      </c>
      <c r="O11" s="203" t="s">
        <v>318</v>
      </c>
      <c r="P11" s="316" t="s">
        <v>650</v>
      </c>
      <c r="Q11" s="203" t="s">
        <v>320</v>
      </c>
      <c r="R11" s="203" t="s">
        <v>297</v>
      </c>
      <c r="S11" s="203" t="s">
        <v>320</v>
      </c>
      <c r="T11" s="316"/>
      <c r="U11" s="203"/>
      <c r="V11" s="203"/>
      <c r="W11" s="203" t="s">
        <v>595</v>
      </c>
      <c r="X11" s="316" t="s">
        <v>320</v>
      </c>
      <c r="Y11" s="203" t="s">
        <v>320</v>
      </c>
      <c r="Z11" s="206"/>
      <c r="AA11" s="203" t="s">
        <v>320</v>
      </c>
      <c r="AB11" s="246" t="s">
        <v>320</v>
      </c>
      <c r="AC11" s="203" t="s">
        <v>320</v>
      </c>
      <c r="AD11" s="316" t="s">
        <v>692</v>
      </c>
    </row>
    <row r="12" spans="1:30" s="603" customFormat="1" ht="48">
      <c r="A12" s="742">
        <v>11</v>
      </c>
      <c r="B12" s="741" t="s">
        <v>5</v>
      </c>
      <c r="C12" s="769">
        <v>46009</v>
      </c>
      <c r="D12" s="769">
        <v>46037</v>
      </c>
      <c r="E12" s="944" t="s">
        <v>186</v>
      </c>
      <c r="F12" s="945" t="s">
        <v>233</v>
      </c>
      <c r="G12" s="742" t="s">
        <v>693</v>
      </c>
      <c r="H12" s="742" t="s">
        <v>694</v>
      </c>
      <c r="I12" s="747" t="s">
        <v>13</v>
      </c>
      <c r="J12" s="945">
        <v>2</v>
      </c>
      <c r="K12" s="742"/>
      <c r="L12" s="777">
        <v>13.5</v>
      </c>
      <c r="M12" s="770">
        <v>46029</v>
      </c>
      <c r="N12" s="770">
        <v>46029</v>
      </c>
      <c r="O12" s="742" t="s">
        <v>318</v>
      </c>
      <c r="P12" s="743" t="s">
        <v>650</v>
      </c>
      <c r="Q12" s="742" t="s">
        <v>320</v>
      </c>
      <c r="R12" s="742" t="s">
        <v>297</v>
      </c>
      <c r="S12" s="945" t="s">
        <v>320</v>
      </c>
      <c r="T12" s="744" t="s">
        <v>695</v>
      </c>
      <c r="U12" s="770">
        <v>46030</v>
      </c>
      <c r="V12" s="770">
        <v>46031</v>
      </c>
      <c r="W12" s="742" t="s">
        <v>595</v>
      </c>
      <c r="X12" s="743" t="s">
        <v>320</v>
      </c>
      <c r="Y12" s="742" t="s">
        <v>323</v>
      </c>
      <c r="Z12" s="770">
        <v>46031</v>
      </c>
      <c r="AA12" s="743" t="s">
        <v>320</v>
      </c>
      <c r="AB12" s="742" t="s">
        <v>320</v>
      </c>
      <c r="AC12" s="742" t="s">
        <v>320</v>
      </c>
      <c r="AD12" s="745" t="s">
        <v>696</v>
      </c>
    </row>
    <row r="13" spans="1:30" s="621" customFormat="1" ht="48">
      <c r="A13" s="498">
        <v>12</v>
      </c>
      <c r="B13" s="498" t="s">
        <v>5</v>
      </c>
      <c r="C13" s="753">
        <v>46009</v>
      </c>
      <c r="D13" s="762">
        <v>46037</v>
      </c>
      <c r="E13" s="947" t="s">
        <v>688</v>
      </c>
      <c r="F13" s="498" t="s">
        <v>697</v>
      </c>
      <c r="G13" s="498" t="s">
        <v>634</v>
      </c>
      <c r="H13" s="498" t="s">
        <v>698</v>
      </c>
      <c r="I13" s="747" t="s">
        <v>278</v>
      </c>
      <c r="J13" s="498">
        <v>3</v>
      </c>
      <c r="K13" s="498"/>
      <c r="L13" s="724">
        <v>29.25</v>
      </c>
      <c r="M13" s="753">
        <v>46030</v>
      </c>
      <c r="N13" s="753">
        <v>46030</v>
      </c>
      <c r="O13" s="498"/>
      <c r="P13" s="746" t="s">
        <v>650</v>
      </c>
      <c r="Q13" s="498"/>
      <c r="R13" s="498" t="s">
        <v>297</v>
      </c>
      <c r="S13" s="498"/>
      <c r="T13" s="758" t="s">
        <v>637</v>
      </c>
      <c r="U13" s="753">
        <v>46036</v>
      </c>
      <c r="V13" s="753"/>
      <c r="W13" s="747" t="s">
        <v>595</v>
      </c>
      <c r="X13" s="746" t="s">
        <v>320</v>
      </c>
      <c r="Y13" s="747" t="s">
        <v>323</v>
      </c>
      <c r="Z13" s="753"/>
      <c r="AA13" s="498" t="s">
        <v>320</v>
      </c>
      <c r="AB13" s="755" t="s">
        <v>320</v>
      </c>
      <c r="AC13" s="498" t="s">
        <v>320</v>
      </c>
      <c r="AD13" s="498" t="s">
        <v>699</v>
      </c>
    </row>
    <row r="14" spans="1:30">
      <c r="A14" s="91"/>
      <c r="B14" s="203"/>
      <c r="C14" s="91"/>
      <c r="D14" s="91"/>
      <c r="E14" s="58"/>
      <c r="F14" s="58"/>
      <c r="G14" s="58"/>
      <c r="H14" s="203"/>
      <c r="I14" s="91"/>
      <c r="J14" s="91"/>
      <c r="K14" s="58"/>
      <c r="L14" s="58"/>
      <c r="M14" s="58"/>
      <c r="N14" s="58"/>
      <c r="O14" s="58"/>
      <c r="P14" s="216"/>
      <c r="Q14" s="58"/>
      <c r="R14" s="58"/>
      <c r="S14" s="58"/>
      <c r="T14" s="216"/>
      <c r="U14" s="58"/>
      <c r="V14" s="58"/>
      <c r="W14" s="58"/>
      <c r="X14" s="216"/>
      <c r="Y14" s="58"/>
      <c r="Z14" s="58"/>
      <c r="AA14" s="58"/>
      <c r="AB14" s="245"/>
      <c r="AC14" s="58"/>
      <c r="AD14" s="58"/>
    </row>
  </sheetData>
  <hyperlinks>
    <hyperlink ref="T3" r:id="rId1" xr:uid="{E05256D3-753B-40C8-B0A3-8DC30164C00C}"/>
    <hyperlink ref="T4" r:id="rId2" xr:uid="{1CAA1903-1222-48E6-82CC-30970108F084}"/>
    <hyperlink ref="T5" r:id="rId3" xr:uid="{A0F5E122-27AB-4AC6-BAD4-445C61886DFD}"/>
    <hyperlink ref="T6" r:id="rId4" xr:uid="{1128CF07-75F3-4744-930B-C7DA6265948E}"/>
    <hyperlink ref="T10" r:id="rId5" xr:uid="{FD596003-D719-4388-ABDF-9FA762C92246}"/>
    <hyperlink ref="T12" r:id="rId6" xr:uid="{D0C6B9FE-46A0-45E3-ADD0-5E48365CACEA}"/>
    <hyperlink ref="T13" r:id="rId7" xr:uid="{5F07372A-991E-4F99-A983-1EA4900532FB}"/>
    <hyperlink ref="T8" r:id="rId8" display="https://greatergiving.visualstudio.com/Greater%20Giving/_git/Donor/pullrequest/9144" xr:uid="{FA223EF1-CF33-454E-8FCD-DEBBF304B016}"/>
  </hyperlinks>
  <pageMargins left="0.7" right="0.7" top="0.75" bottom="0.75" header="0.3" footer="0.3"/>
  <tableParts count="1">
    <tablePart r:id="rId9"/>
  </tableParts>
  <extLst>
    <ext xmlns:x14="http://schemas.microsoft.com/office/spreadsheetml/2009/9/main" uri="{CCE6A557-97BC-4b89-ADB6-D9C93CAAB3DF}">
      <x14:dataValidations xmlns:xm="http://schemas.microsoft.com/office/excel/2006/main" count="1">
        <x14:dataValidation type="list" allowBlank="1" showErrorMessage="1" xr:uid="{2434E4C2-6E4E-462C-A174-D96C3D7AB378}">
          <x14:formula1>
            <xm:f>Settings!$C$3:$C$20</xm:f>
          </x14:formula1>
          <xm:sqref>I2:I13</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DD757-A88C-457B-A5F7-D47E31689AD5}">
  <sheetPr>
    <outlinePr summaryBelow="0" summaryRight="0"/>
  </sheetPr>
  <dimension ref="A1:AB984"/>
  <sheetViews>
    <sheetView topLeftCell="B2" workbookViewId="0">
      <selection activeCell="A2" sqref="A2"/>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54.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248</v>
      </c>
      <c r="B1" s="1" t="s">
        <v>305</v>
      </c>
      <c r="C1" s="198" t="s">
        <v>306</v>
      </c>
      <c r="D1" s="198" t="s">
        <v>307</v>
      </c>
      <c r="E1" s="1" t="s">
        <v>250</v>
      </c>
      <c r="F1" s="198" t="s">
        <v>308</v>
      </c>
      <c r="G1" s="198" t="s">
        <v>309</v>
      </c>
      <c r="H1" s="1" t="s">
        <v>310</v>
      </c>
      <c r="I1" s="1" t="s">
        <v>311</v>
      </c>
      <c r="J1" s="1" t="s">
        <v>312</v>
      </c>
      <c r="K1" s="1" t="s">
        <v>253</v>
      </c>
      <c r="L1" s="156" t="s">
        <v>313</v>
      </c>
      <c r="M1" s="8" t="s">
        <v>274</v>
      </c>
      <c r="N1" s="483" t="s">
        <v>314</v>
      </c>
      <c r="O1" s="483" t="s">
        <v>315</v>
      </c>
      <c r="P1" s="35"/>
      <c r="Q1" s="35"/>
      <c r="R1" s="35"/>
      <c r="S1" s="35"/>
      <c r="T1" s="35"/>
      <c r="U1" s="35"/>
      <c r="V1" s="35"/>
      <c r="W1" s="35"/>
      <c r="X1" s="35"/>
      <c r="Y1" s="35"/>
      <c r="Z1" s="35"/>
      <c r="AA1" s="35"/>
      <c r="AB1" s="35"/>
    </row>
    <row r="2" spans="1:28" ht="116.25" customHeight="1">
      <c r="F2" s="221"/>
      <c r="G2" s="144"/>
      <c r="H2" s="126"/>
      <c r="I2" s="126"/>
      <c r="J2" s="126"/>
      <c r="K2" s="126"/>
      <c r="L2" s="126"/>
      <c r="M2" s="144"/>
      <c r="O2" s="144"/>
    </row>
    <row r="3" spans="1:28" ht="15.75" customHeight="1"/>
    <row r="4" spans="1:28" ht="15.75" customHeight="1"/>
    <row r="5" spans="1:28" ht="15.75" customHeight="1">
      <c r="K5" s="144"/>
    </row>
    <row r="6" spans="1:28" ht="15.75" customHeight="1"/>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autoFilter ref="A1:M1" xr:uid="{3A2BB050-11AC-4ED7-A296-96B42C7FCFBA}"/>
  <dataValidations count="5">
    <dataValidation type="list" allowBlank="1" showErrorMessage="1" sqref="F2" xr:uid="{95D5DF90-2AC0-4E9C-9166-0A1AD1811C6C}">
      <formula1>"Bounceback,Defect,None"</formula1>
    </dataValidation>
    <dataValidation type="list" allowBlank="1" showErrorMessage="1" sqref="J2" xr:uid="{EC32F99E-5E87-4841-B428-14776B078536}">
      <formula1>"Internal,External"</formula1>
    </dataValidation>
    <dataValidation type="list" allowBlank="1" showErrorMessage="1" sqref="H2" xr:uid="{29327BE3-D29C-4B10-BB11-3CCC62F22125}">
      <formula1>"Minor,Significant,Major"</formula1>
    </dataValidation>
    <dataValidation type="list" allowBlank="1" showErrorMessage="1" sqref="I2" xr:uid="{D8BF3555-F2A9-4E58-8CA1-775DF2507973}">
      <formula1>"Manual, Automation"</formula1>
    </dataValidation>
    <dataValidation type="list" allowBlank="1" showErrorMessage="1" sqref="K2" xr:uid="{B457E862-E152-43CA-8E93-88F48AE429E7}">
      <formula1>"Open,Inprogress,Closed"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9B891FB-984D-4145-B634-858D81A7BFF4}">
          <x14:formula1>
            <xm:f>Details!$A$2:$A$10</xm:f>
          </x14:formula1>
          <xm:sqref>L2</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95C02-F1F2-4986-B077-01340678DE54}">
  <dimension ref="A1:AD9"/>
  <sheetViews>
    <sheetView workbookViewId="0">
      <pane xSplit="7" ySplit="1" topLeftCell="H5" activePane="bottomRight" state="frozen"/>
      <selection pane="bottomRight" activeCell="C8" sqref="C8"/>
      <selection pane="bottomLeft"/>
      <selection pane="topRight"/>
    </sheetView>
  </sheetViews>
  <sheetFormatPr defaultRowHeight="12.75"/>
  <cols>
    <col min="1" max="1" width="9.140625" style="122"/>
    <col min="2" max="2" width="13.28515625" style="137" customWidth="1"/>
    <col min="3" max="3" width="10.7109375" style="122" customWidth="1"/>
    <col min="4" max="4" width="12.140625" style="122" customWidth="1"/>
    <col min="5" max="5" width="40.7109375" customWidth="1"/>
    <col min="6" max="6" width="29.7109375" customWidth="1"/>
    <col min="7" max="7" width="18.85546875" customWidth="1"/>
    <col min="8" max="8" width="57.42578125" style="137" customWidth="1"/>
    <col min="9" max="9" width="16.85546875" style="122" customWidth="1"/>
    <col min="10" max="10" width="11.42578125" style="122" bestFit="1" customWidth="1"/>
    <col min="11" max="11" width="11.42578125" bestFit="1" customWidth="1"/>
    <col min="12" max="12" width="25.5703125" customWidth="1"/>
    <col min="13" max="14" width="11.42578125" customWidth="1"/>
    <col min="15" max="15" width="13.140625" customWidth="1"/>
    <col min="16" max="16" width="17" style="144" bestFit="1" customWidth="1"/>
    <col min="17" max="17" width="88.140625" customWidth="1"/>
    <col min="18" max="18" width="23.7109375" customWidth="1"/>
    <col min="19" max="19" width="14.85546875" customWidth="1"/>
    <col min="20" max="20" width="27.7109375" style="144" customWidth="1"/>
    <col min="21" max="22" width="12.7109375" bestFit="1" customWidth="1"/>
    <col min="23" max="23" width="20.5703125" customWidth="1"/>
    <col min="24" max="24" width="11.42578125" style="144" bestFit="1" customWidth="1"/>
    <col min="25" max="25" width="11.42578125" bestFit="1" customWidth="1"/>
    <col min="26" max="26" width="12.7109375" bestFit="1" customWidth="1"/>
    <col min="27" max="27" width="52.140625" customWidth="1"/>
    <col min="28" max="29" width="11.42578125" bestFit="1" customWidth="1"/>
    <col min="30" max="30" width="78.5703125" customWidth="1"/>
  </cols>
  <sheetData>
    <row r="1" spans="1:30" ht="48">
      <c r="A1" s="379" t="s">
        <v>248</v>
      </c>
      <c r="B1" s="501" t="s">
        <v>4</v>
      </c>
      <c r="C1" s="501" t="s">
        <v>2</v>
      </c>
      <c r="D1" s="501" t="s">
        <v>3</v>
      </c>
      <c r="E1" s="380" t="s">
        <v>249</v>
      </c>
      <c r="F1" s="381" t="s">
        <v>250</v>
      </c>
      <c r="G1" s="382" t="s">
        <v>251</v>
      </c>
      <c r="H1" s="383" t="s">
        <v>252</v>
      </c>
      <c r="I1" s="697" t="s">
        <v>253</v>
      </c>
      <c r="J1" s="729" t="s">
        <v>254</v>
      </c>
      <c r="K1" s="384" t="s">
        <v>255</v>
      </c>
      <c r="L1" s="384" t="s">
        <v>256</v>
      </c>
      <c r="M1" s="384" t="s">
        <v>257</v>
      </c>
      <c r="N1" s="384" t="s">
        <v>258</v>
      </c>
      <c r="O1" s="385" t="s">
        <v>259</v>
      </c>
      <c r="P1" s="385" t="s">
        <v>260</v>
      </c>
      <c r="Q1" s="385" t="s">
        <v>261</v>
      </c>
      <c r="R1" s="385" t="s">
        <v>262</v>
      </c>
      <c r="S1" s="385" t="s">
        <v>263</v>
      </c>
      <c r="T1" s="385" t="s">
        <v>264</v>
      </c>
      <c r="U1" s="385" t="s">
        <v>265</v>
      </c>
      <c r="V1" s="385" t="s">
        <v>266</v>
      </c>
      <c r="W1" s="385" t="s">
        <v>267</v>
      </c>
      <c r="X1" s="385" t="s">
        <v>268</v>
      </c>
      <c r="Y1" s="385" t="s">
        <v>269</v>
      </c>
      <c r="Z1" s="385" t="s">
        <v>270</v>
      </c>
      <c r="AA1" s="385" t="s">
        <v>271</v>
      </c>
      <c r="AB1" s="385" t="s">
        <v>272</v>
      </c>
      <c r="AC1" s="385" t="s">
        <v>273</v>
      </c>
      <c r="AD1" s="386" t="s">
        <v>274</v>
      </c>
    </row>
    <row r="2" spans="1:30" s="603" customFormat="1" ht="41.25" customHeight="1">
      <c r="A2" s="596">
        <v>1</v>
      </c>
      <c r="B2" s="716" t="s">
        <v>5</v>
      </c>
      <c r="C2" s="671">
        <v>45995</v>
      </c>
      <c r="D2" s="671">
        <v>46009</v>
      </c>
      <c r="E2" s="625" t="s">
        <v>181</v>
      </c>
      <c r="F2" s="696" t="s">
        <v>293</v>
      </c>
      <c r="G2" s="663" t="s">
        <v>700</v>
      </c>
      <c r="H2" s="663" t="s">
        <v>701</v>
      </c>
      <c r="I2" s="665" t="s">
        <v>13</v>
      </c>
      <c r="J2" s="935">
        <v>1</v>
      </c>
      <c r="K2" s="626"/>
      <c r="L2" s="626">
        <v>23.5</v>
      </c>
      <c r="M2" s="624">
        <v>45996</v>
      </c>
      <c r="N2" s="624">
        <f>DATEVALUE(MID(LEFT(Table145678109312131114151719182120162223242625272829[[#This Row],[Comments]], FIND("{token}", SUBSTITUTE(Table145678109312131114151719182120162223242625272829[[#This Row],[Comments]], "-", "{token}", LEN(Table145678109312131114151719182120162223242625272829[[#This Row],[Comments]]) - LEN(SUBSTITUTE(Table145678109312131114151719182120162223242625272829[[#This Row],[Comments]], "-", "")))) - 1), FIND("{token}", SUBSTITUTE(Table145678109312131114151719182120162223242625272829[[#This Row],[Comments]], "/", "{token}", LEN(Table145678109312131114151719182120162223242625272829[[#This Row],[Comments]]) - LEN(SUBSTITUTE(Table145678109312131114151719182120162223242625272829[[#This Row],[Comments]], "/", "")) - 1)) - 2, LEN(Table145678109312131114151719182120162223242625272829[[#This Row],[Comments]]))) + TIMEVALUE(MID(LEFT(Table145678109312131114151719182120162223242625272829[[#This Row],[Comments]], FIND("{token}", SUBSTITUTE(Table145678109312131114151719182120162223242625272829[[#This Row],[Comments]], "-", "{token}", LEN(Table145678109312131114151719182120162223242625272829[[#This Row],[Comments]]) - LEN(SUBSTITUTE(Table145678109312131114151719182120162223242625272829[[#This Row],[Comments]], "-", "")))) - 1), FIND("{token}", SUBSTITUTE(Table145678109312131114151719182120162223242625272829[[#This Row],[Comments]], "/", "{token}", LEN(Table145678109312131114151719182120162223242625272829[[#This Row],[Comments]]) - LEN(SUBSTITUTE(Table145678109312131114151719182120162223242625272829[[#This Row],[Comments]], "/", "")) - 1)) - 2, LEN(Table145678109312131114151719182120162223242625272829[[#This Row],[Comments]])))</f>
        <v>45999</v>
      </c>
      <c r="O2" s="599" t="s">
        <v>318</v>
      </c>
      <c r="P2" s="627" t="s">
        <v>549</v>
      </c>
      <c r="Q2" s="723" t="s">
        <v>702</v>
      </c>
      <c r="R2" s="599" t="s">
        <v>234</v>
      </c>
      <c r="S2" s="930" t="s">
        <v>579</v>
      </c>
      <c r="T2" s="358" t="s">
        <v>703</v>
      </c>
      <c r="U2" s="624">
        <v>45999</v>
      </c>
      <c r="V2" s="624">
        <v>46006</v>
      </c>
      <c r="W2" s="626" t="s">
        <v>595</v>
      </c>
      <c r="X2" s="629" t="s">
        <v>320</v>
      </c>
      <c r="Y2" s="626" t="s">
        <v>323</v>
      </c>
      <c r="Z2" s="624">
        <v>46006</v>
      </c>
      <c r="AA2" s="629" t="s">
        <v>320</v>
      </c>
      <c r="AB2" s="626" t="s">
        <v>320</v>
      </c>
      <c r="AC2" s="626" t="s">
        <v>320</v>
      </c>
      <c r="AD2" s="627" t="s">
        <v>704</v>
      </c>
    </row>
    <row r="3" spans="1:30" s="426" customFormat="1" ht="60">
      <c r="A3" s="724">
        <v>2</v>
      </c>
      <c r="B3" s="426" t="s">
        <v>5</v>
      </c>
      <c r="C3" s="605">
        <v>45995</v>
      </c>
      <c r="D3" s="605">
        <v>46009</v>
      </c>
      <c r="E3" s="606" t="s">
        <v>181</v>
      </c>
      <c r="F3" s="426" t="s">
        <v>233</v>
      </c>
      <c r="G3" s="664" t="s">
        <v>705</v>
      </c>
      <c r="H3" s="664" t="s">
        <v>706</v>
      </c>
      <c r="I3" s="692" t="s">
        <v>13</v>
      </c>
      <c r="J3" s="724">
        <v>3</v>
      </c>
      <c r="K3" s="498"/>
      <c r="L3" s="724">
        <v>48</v>
      </c>
      <c r="M3" s="633">
        <v>45996</v>
      </c>
      <c r="N3" s="641">
        <v>46001</v>
      </c>
      <c r="O3" s="724" t="s">
        <v>318</v>
      </c>
      <c r="P3" s="643" t="s">
        <v>549</v>
      </c>
      <c r="Q3" s="640" t="s">
        <v>320</v>
      </c>
      <c r="R3" s="642" t="s">
        <v>232</v>
      </c>
      <c r="S3" s="942" t="s">
        <v>320</v>
      </c>
      <c r="T3" s="725" t="s">
        <v>707</v>
      </c>
      <c r="U3" s="641">
        <v>46001</v>
      </c>
      <c r="V3" s="641">
        <v>46007</v>
      </c>
      <c r="W3" s="640" t="s">
        <v>595</v>
      </c>
      <c r="X3" s="644" t="s">
        <v>320</v>
      </c>
      <c r="Y3" s="640" t="s">
        <v>323</v>
      </c>
      <c r="Z3" s="641">
        <v>46007</v>
      </c>
      <c r="AA3" s="644" t="s">
        <v>320</v>
      </c>
      <c r="AB3" s="640" t="s">
        <v>320</v>
      </c>
      <c r="AC3" s="640" t="s">
        <v>320</v>
      </c>
      <c r="AD3" s="726" t="s">
        <v>708</v>
      </c>
    </row>
    <row r="4" spans="1:30" s="603" customFormat="1" ht="229.5">
      <c r="A4" s="722">
        <v>3</v>
      </c>
      <c r="B4" s="717" t="s">
        <v>5</v>
      </c>
      <c r="C4" s="721">
        <v>45995</v>
      </c>
      <c r="D4" s="721">
        <v>46009</v>
      </c>
      <c r="E4" s="625" t="s">
        <v>181</v>
      </c>
      <c r="F4" s="717" t="s">
        <v>234</v>
      </c>
      <c r="G4" s="663" t="s">
        <v>709</v>
      </c>
      <c r="H4" s="663" t="s">
        <v>710</v>
      </c>
      <c r="I4" s="717" t="s">
        <v>13</v>
      </c>
      <c r="J4" s="730">
        <v>3</v>
      </c>
      <c r="K4" s="626"/>
      <c r="L4" s="626">
        <v>90</v>
      </c>
      <c r="M4" s="624">
        <v>45996</v>
      </c>
      <c r="N4" s="624">
        <v>46002</v>
      </c>
      <c r="O4" s="599" t="s">
        <v>318</v>
      </c>
      <c r="P4" s="627" t="s">
        <v>549</v>
      </c>
      <c r="Q4" s="627" t="s">
        <v>711</v>
      </c>
      <c r="R4" s="599" t="s">
        <v>712</v>
      </c>
      <c r="S4" s="930" t="s">
        <v>320</v>
      </c>
      <c r="T4" s="714" t="s">
        <v>713</v>
      </c>
      <c r="U4" s="624">
        <v>46002</v>
      </c>
      <c r="V4" s="624">
        <v>46008</v>
      </c>
      <c r="W4" s="626" t="s">
        <v>448</v>
      </c>
      <c r="X4" s="629" t="s">
        <v>320</v>
      </c>
      <c r="Y4" s="626" t="s">
        <v>323</v>
      </c>
      <c r="Z4" s="624">
        <v>46009</v>
      </c>
      <c r="AA4" s="629" t="s">
        <v>320</v>
      </c>
      <c r="AB4" s="626" t="s">
        <v>320</v>
      </c>
      <c r="AC4" s="626" t="s">
        <v>320</v>
      </c>
      <c r="AD4" s="627" t="s">
        <v>714</v>
      </c>
    </row>
    <row r="5" spans="1:30" s="621" customFormat="1" ht="130.5">
      <c r="A5" s="718">
        <v>4</v>
      </c>
      <c r="B5" s="498" t="s">
        <v>5</v>
      </c>
      <c r="C5" s="605">
        <v>45995</v>
      </c>
      <c r="D5" s="605">
        <v>46009</v>
      </c>
      <c r="E5" s="606" t="s">
        <v>181</v>
      </c>
      <c r="F5" s="719" t="s">
        <v>715</v>
      </c>
      <c r="G5" s="664" t="s">
        <v>716</v>
      </c>
      <c r="H5" s="664" t="s">
        <v>717</v>
      </c>
      <c r="I5" s="718" t="s">
        <v>13</v>
      </c>
      <c r="J5" s="718">
        <v>5</v>
      </c>
      <c r="K5" s="719"/>
      <c r="L5" s="724">
        <v>155.25</v>
      </c>
      <c r="M5" s="633">
        <v>45996</v>
      </c>
      <c r="N5" s="633">
        <f>DATEVALUE(MID(LEFT(Table145678109312131114151719182120162223242625272829[[#This Row],[Comments]], FIND("{token}", SUBSTITUTE(Table145678109312131114151719182120162223242625272829[[#This Row],[Comments]], "-", "{token}", LEN(Table145678109312131114151719182120162223242625272829[[#This Row],[Comments]]) - LEN(SUBSTITUTE(Table145678109312131114151719182120162223242625272829[[#This Row],[Comments]], "-", "")))) - 1), FIND("{token}", SUBSTITUTE(Table145678109312131114151719182120162223242625272829[[#This Row],[Comments]], "/", "{token}", LEN(Table145678109312131114151719182120162223242625272829[[#This Row],[Comments]]) - LEN(SUBSTITUTE(Table145678109312131114151719182120162223242625272829[[#This Row],[Comments]], "/", "")) - 1)) - 2, LEN(Table145678109312131114151719182120162223242625272829[[#This Row],[Comments]]))) + TIMEVALUE(MID(LEFT(Table145678109312131114151719182120162223242625272829[[#This Row],[Comments]], FIND("{token}", SUBSTITUTE(Table145678109312131114151719182120162223242625272829[[#This Row],[Comments]], "-", "{token}", LEN(Table145678109312131114151719182120162223242625272829[[#This Row],[Comments]]) - LEN(SUBSTITUTE(Table145678109312131114151719182120162223242625272829[[#This Row],[Comments]], "-", "")))) - 1), FIND("{token}", SUBSTITUTE(Table145678109312131114151719182120162223242625272829[[#This Row],[Comments]], "/", "{token}", LEN(Table145678109312131114151719182120162223242625272829[[#This Row],[Comments]]) - LEN(SUBSTITUTE(Table145678109312131114151719182120162223242625272829[[#This Row],[Comments]], "/", "")) - 1)) - 2, LEN(Table145678109312131114151719182120162223242625272829[[#This Row],[Comments]])))</f>
        <v>46009</v>
      </c>
      <c r="O5" s="719" t="s">
        <v>318</v>
      </c>
      <c r="P5" s="720" t="s">
        <v>549</v>
      </c>
      <c r="Q5" s="720" t="s">
        <v>718</v>
      </c>
      <c r="R5" s="719" t="s">
        <v>712</v>
      </c>
      <c r="S5" s="719" t="s">
        <v>579</v>
      </c>
      <c r="T5" s="668" t="s">
        <v>719</v>
      </c>
      <c r="U5" s="731">
        <v>46003</v>
      </c>
      <c r="V5" s="731">
        <v>46009</v>
      </c>
      <c r="W5" s="626" t="s">
        <v>595</v>
      </c>
      <c r="X5" s="629" t="s">
        <v>720</v>
      </c>
      <c r="Y5" s="626" t="s">
        <v>323</v>
      </c>
      <c r="Z5" s="731">
        <v>46009</v>
      </c>
      <c r="AA5" s="719" t="s">
        <v>320</v>
      </c>
      <c r="AB5" s="719" t="s">
        <v>320</v>
      </c>
      <c r="AC5" s="719" t="s">
        <v>320</v>
      </c>
      <c r="AD5" s="720" t="s">
        <v>721</v>
      </c>
    </row>
    <row r="6" spans="1:30" s="603" customFormat="1" ht="48">
      <c r="A6" s="626">
        <v>5</v>
      </c>
      <c r="B6" s="728" t="s">
        <v>5</v>
      </c>
      <c r="C6" s="671">
        <v>45995</v>
      </c>
      <c r="D6" s="671">
        <v>46009</v>
      </c>
      <c r="E6" s="625" t="s">
        <v>181</v>
      </c>
      <c r="F6" s="949" t="s">
        <v>293</v>
      </c>
      <c r="G6" s="599" t="s">
        <v>722</v>
      </c>
      <c r="H6" s="599" t="s">
        <v>723</v>
      </c>
      <c r="I6" s="626" t="s">
        <v>13</v>
      </c>
      <c r="J6" s="929">
        <v>1</v>
      </c>
      <c r="K6" s="626"/>
      <c r="L6" s="626">
        <v>15</v>
      </c>
      <c r="M6" s="624">
        <v>45996</v>
      </c>
      <c r="N6" s="727">
        <f>DATEVALUE(MID(LEFT(Table145678109312131114151719182120162223242625272829[[#This Row],[Comments]], FIND("{token}", SUBSTITUTE(Table145678109312131114151719182120162223242625272829[[#This Row],[Comments]], "-", "{token}", LEN(Table145678109312131114151719182120162223242625272829[[#This Row],[Comments]]) - LEN(SUBSTITUTE(Table145678109312131114151719182120162223242625272829[[#This Row],[Comments]], "-", "")))) - 1), FIND("{token}", SUBSTITUTE(Table145678109312131114151719182120162223242625272829[[#This Row],[Comments]], "/", "{token}", LEN(Table145678109312131114151719182120162223242625272829[[#This Row],[Comments]]) - LEN(SUBSTITUTE(Table145678109312131114151719182120162223242625272829[[#This Row],[Comments]], "/", "")) - 1)) - 2, LEN(Table145678109312131114151719182120162223242625272829[[#This Row],[Comments]]))) + TIMEVALUE(MID(LEFT(Table145678109312131114151719182120162223242625272829[[#This Row],[Comments]], FIND("{token}", SUBSTITUTE(Table145678109312131114151719182120162223242625272829[[#This Row],[Comments]], "-", "{token}", LEN(Table145678109312131114151719182120162223242625272829[[#This Row],[Comments]]) - LEN(SUBSTITUTE(Table145678109312131114151719182120162223242625272829[[#This Row],[Comments]], "-", "")))) - 1), FIND("{token}", SUBSTITUTE(Table145678109312131114151719182120162223242625272829[[#This Row],[Comments]], "/", "{token}", LEN(Table145678109312131114151719182120162223242625272829[[#This Row],[Comments]]) - LEN(SUBSTITUTE(Table145678109312131114151719182120162223242625272829[[#This Row],[Comments]], "/", "")) - 1)) - 2, LEN(Table145678109312131114151719182120162223242625272829[[#This Row],[Comments]])))</f>
        <v>45996</v>
      </c>
      <c r="O6" s="599" t="s">
        <v>318</v>
      </c>
      <c r="P6" s="627" t="s">
        <v>549</v>
      </c>
      <c r="Q6" s="626" t="s">
        <v>320</v>
      </c>
      <c r="R6" s="599" t="s">
        <v>234</v>
      </c>
      <c r="S6" s="930" t="s">
        <v>579</v>
      </c>
      <c r="T6" s="714" t="s">
        <v>703</v>
      </c>
      <c r="U6" s="624">
        <v>45996</v>
      </c>
      <c r="V6" s="624">
        <v>46006</v>
      </c>
      <c r="W6" s="626" t="s">
        <v>595</v>
      </c>
      <c r="X6" s="629" t="s">
        <v>320</v>
      </c>
      <c r="Y6" s="626" t="s">
        <v>323</v>
      </c>
      <c r="Z6" s="624">
        <v>46006</v>
      </c>
      <c r="AA6" s="629" t="s">
        <v>320</v>
      </c>
      <c r="AB6" s="626" t="s">
        <v>320</v>
      </c>
      <c r="AC6" s="626" t="s">
        <v>320</v>
      </c>
      <c r="AD6" s="599" t="s">
        <v>724</v>
      </c>
    </row>
    <row r="7" spans="1:30" s="621" customFormat="1" ht="52.5" customHeight="1">
      <c r="A7" s="635">
        <v>6</v>
      </c>
      <c r="B7" s="498" t="s">
        <v>5</v>
      </c>
      <c r="C7" s="605">
        <v>45995</v>
      </c>
      <c r="D7" s="605">
        <v>46009</v>
      </c>
      <c r="E7" s="606" t="s">
        <v>181</v>
      </c>
      <c r="F7" s="950" t="s">
        <v>293</v>
      </c>
      <c r="G7" s="634" t="s">
        <v>725</v>
      </c>
      <c r="H7" s="634" t="s">
        <v>726</v>
      </c>
      <c r="I7" s="635" t="s">
        <v>13</v>
      </c>
      <c r="J7" s="927">
        <v>1</v>
      </c>
      <c r="K7" s="635"/>
      <c r="L7" s="635">
        <v>30.75</v>
      </c>
      <c r="M7" s="633">
        <v>46000</v>
      </c>
      <c r="N7" s="633">
        <f>DATEVALUE(MID(LEFT(Table145678109312131114151719182120162223242625272829[[#This Row],[Comments]], FIND("{token}", SUBSTITUTE(Table145678109312131114151719182120162223242625272829[[#This Row],[Comments]], "-", "{token}", LEN(Table145678109312131114151719182120162223242625272829[[#This Row],[Comments]]) - LEN(SUBSTITUTE(Table145678109312131114151719182120162223242625272829[[#This Row],[Comments]], "-", "")))) - 1), FIND("{token}", SUBSTITUTE(Table145678109312131114151719182120162223242625272829[[#This Row],[Comments]], "/", "{token}", LEN(Table145678109312131114151719182120162223242625272829[[#This Row],[Comments]]) - LEN(SUBSTITUTE(Table145678109312131114151719182120162223242625272829[[#This Row],[Comments]], "/", "")) - 1)) - 2, LEN(Table145678109312131114151719182120162223242625272829[[#This Row],[Comments]]))) + TIMEVALUE(MID(LEFT(Table145678109312131114151719182120162223242625272829[[#This Row],[Comments]], FIND("{token}", SUBSTITUTE(Table145678109312131114151719182120162223242625272829[[#This Row],[Comments]], "-", "{token}", LEN(Table145678109312131114151719182120162223242625272829[[#This Row],[Comments]]) - LEN(SUBSTITUTE(Table145678109312131114151719182120162223242625272829[[#This Row],[Comments]], "-", "")))) - 1), FIND("{token}", SUBSTITUTE(Table145678109312131114151719182120162223242625272829[[#This Row],[Comments]], "/", "{token}", LEN(Table145678109312131114151719182120162223242625272829[[#This Row],[Comments]]) - LEN(SUBSTITUTE(Table145678109312131114151719182120162223242625272829[[#This Row],[Comments]], "/", "")) - 1)) - 2, LEN(Table145678109312131114151719182120162223242625272829[[#This Row],[Comments]])))</f>
        <v>46006</v>
      </c>
      <c r="O7" s="634" t="s">
        <v>318</v>
      </c>
      <c r="P7" s="636" t="s">
        <v>549</v>
      </c>
      <c r="Q7" s="653" t="s">
        <v>727</v>
      </c>
      <c r="R7" s="634" t="s">
        <v>232</v>
      </c>
      <c r="S7" s="928" t="s">
        <v>579</v>
      </c>
      <c r="T7" s="715" t="s">
        <v>728</v>
      </c>
      <c r="U7" s="633">
        <v>46001</v>
      </c>
      <c r="V7" s="633">
        <v>46006</v>
      </c>
      <c r="W7" s="635" t="s">
        <v>595</v>
      </c>
      <c r="X7" s="637" t="s">
        <v>320</v>
      </c>
      <c r="Y7" s="635" t="s">
        <v>323</v>
      </c>
      <c r="Z7" s="633">
        <v>46006</v>
      </c>
      <c r="AA7" s="637" t="s">
        <v>320</v>
      </c>
      <c r="AB7" s="635" t="s">
        <v>320</v>
      </c>
      <c r="AC7" s="635" t="s">
        <v>320</v>
      </c>
      <c r="AD7" s="636" t="s">
        <v>729</v>
      </c>
    </row>
    <row r="8" spans="1:30" s="603" customFormat="1" ht="76.5">
      <c r="A8" s="626">
        <v>7</v>
      </c>
      <c r="B8" s="717" t="s">
        <v>5</v>
      </c>
      <c r="C8" s="590">
        <v>45995</v>
      </c>
      <c r="D8" s="590">
        <v>46009</v>
      </c>
      <c r="E8" s="951" t="s">
        <v>730</v>
      </c>
      <c r="F8" s="949" t="s">
        <v>233</v>
      </c>
      <c r="G8" s="599" t="s">
        <v>693</v>
      </c>
      <c r="H8" s="599" t="s">
        <v>694</v>
      </c>
      <c r="I8" s="626" t="s">
        <v>283</v>
      </c>
      <c r="J8" s="929">
        <v>3</v>
      </c>
      <c r="K8" s="626"/>
      <c r="L8" s="626">
        <v>30</v>
      </c>
      <c r="M8" s="624">
        <v>46003</v>
      </c>
      <c r="N8" s="624">
        <v>46007</v>
      </c>
      <c r="O8" s="599"/>
      <c r="P8" s="627"/>
      <c r="Q8" s="626"/>
      <c r="R8" s="599" t="s">
        <v>297</v>
      </c>
      <c r="S8" s="930" t="s">
        <v>320</v>
      </c>
      <c r="T8" s="714" t="s">
        <v>695</v>
      </c>
      <c r="U8" s="624">
        <v>46007</v>
      </c>
      <c r="V8" s="624"/>
      <c r="W8" s="626" t="s">
        <v>595</v>
      </c>
      <c r="X8" s="629" t="s">
        <v>320</v>
      </c>
      <c r="Y8" s="626" t="s">
        <v>323</v>
      </c>
      <c r="Z8" s="624"/>
      <c r="AA8" s="629"/>
      <c r="AB8" s="626"/>
      <c r="AC8" s="626" t="s">
        <v>320</v>
      </c>
      <c r="AD8" s="627" t="s">
        <v>731</v>
      </c>
    </row>
    <row r="9" spans="1:30" s="621" customFormat="1" ht="48">
      <c r="A9" s="635">
        <v>8</v>
      </c>
      <c r="B9" s="732" t="s">
        <v>5</v>
      </c>
      <c r="C9" s="613">
        <v>45995</v>
      </c>
      <c r="D9" s="613">
        <v>46009</v>
      </c>
      <c r="E9" s="952" t="s">
        <v>730</v>
      </c>
      <c r="F9" s="950" t="s">
        <v>293</v>
      </c>
      <c r="G9" s="634" t="s">
        <v>683</v>
      </c>
      <c r="H9" s="634" t="s">
        <v>684</v>
      </c>
      <c r="I9" s="635" t="s">
        <v>278</v>
      </c>
      <c r="J9" s="927">
        <v>1</v>
      </c>
      <c r="K9" s="635"/>
      <c r="L9" s="635">
        <v>28</v>
      </c>
      <c r="M9" s="633">
        <v>46003</v>
      </c>
      <c r="N9" s="633">
        <v>46008</v>
      </c>
      <c r="O9" s="634"/>
      <c r="P9" s="636" t="s">
        <v>549</v>
      </c>
      <c r="Q9" s="635" t="s">
        <v>732</v>
      </c>
      <c r="R9" s="634" t="s">
        <v>297</v>
      </c>
      <c r="S9" s="928" t="s">
        <v>579</v>
      </c>
      <c r="T9" s="715" t="s">
        <v>686</v>
      </c>
      <c r="U9" s="633">
        <v>46007</v>
      </c>
      <c r="V9" s="633"/>
      <c r="W9" s="635" t="s">
        <v>595</v>
      </c>
      <c r="X9" s="637" t="s">
        <v>320</v>
      </c>
      <c r="Y9" s="635" t="s">
        <v>323</v>
      </c>
      <c r="Z9" s="633"/>
      <c r="AA9" s="637"/>
      <c r="AB9" s="635"/>
      <c r="AC9" s="635"/>
      <c r="AD9" s="636" t="s">
        <v>733</v>
      </c>
    </row>
  </sheetData>
  <hyperlinks>
    <hyperlink ref="T6" r:id="rId1" xr:uid="{D298ECA6-EF5A-42FE-A501-48C8C3142B22}"/>
    <hyperlink ref="T2" r:id="rId2" xr:uid="{1FE589BC-5EB0-4149-AB4B-C7EC377081E1}"/>
    <hyperlink ref="T3" r:id="rId3" xr:uid="{8496B550-86DD-46DC-820E-D53A451D6374}"/>
    <hyperlink ref="T7" r:id="rId4" xr:uid="{B91ED9AD-A4C9-40CA-8174-C5AD8431BF29}"/>
    <hyperlink ref="T5" r:id="rId5" xr:uid="{51F8ACCA-386D-46CC-8F01-65B70BF9B278}"/>
    <hyperlink ref="T8" r:id="rId6" xr:uid="{BB6FF1FC-DA5F-4658-AC4C-75BBF5066BF1}"/>
    <hyperlink ref="T4" r:id="rId7" xr:uid="{59B527CE-AAF0-427F-AB2D-C53A861C9E04}"/>
    <hyperlink ref="T9" r:id="rId8" xr:uid="{35E3FB0A-2744-4BCA-9CFF-7C007688D6AD}"/>
  </hyperlinks>
  <pageMargins left="0.7" right="0.7" top="0.75" bottom="0.75" header="0.3" footer="0.3"/>
  <tableParts count="1">
    <tablePart r:id="rId9"/>
  </tableParts>
  <extLst>
    <ext xmlns:x14="http://schemas.microsoft.com/office/spreadsheetml/2009/9/main" uri="{CCE6A557-97BC-4b89-ADB6-D9C93CAAB3DF}">
      <x14:dataValidations xmlns:xm="http://schemas.microsoft.com/office/excel/2006/main" count="1">
        <x14:dataValidation type="list" allowBlank="1" showErrorMessage="1" xr:uid="{B97805B7-8039-474A-B625-EBB9FBD1B9A4}">
          <x14:formula1>
            <xm:f>Settings!$C$3:$C$20</xm:f>
          </x14:formula1>
          <xm:sqref>I2:I9</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42446-D6C5-476A-ADFD-5EAEE6A6D281}">
  <sheetPr>
    <outlinePr summaryBelow="0" summaryRight="0"/>
  </sheetPr>
  <dimension ref="A1:AB985"/>
  <sheetViews>
    <sheetView topLeftCell="E1" workbookViewId="0">
      <selection activeCell="I2" sqref="I2"/>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54.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248</v>
      </c>
      <c r="B1" s="1" t="s">
        <v>305</v>
      </c>
      <c r="C1" s="198" t="s">
        <v>306</v>
      </c>
      <c r="D1" s="198" t="s">
        <v>307</v>
      </c>
      <c r="E1" s="1" t="s">
        <v>250</v>
      </c>
      <c r="F1" s="198" t="s">
        <v>308</v>
      </c>
      <c r="G1" s="198" t="s">
        <v>309</v>
      </c>
      <c r="H1" s="1" t="s">
        <v>310</v>
      </c>
      <c r="I1" s="1" t="s">
        <v>311</v>
      </c>
      <c r="J1" s="1" t="s">
        <v>312</v>
      </c>
      <c r="K1" s="1" t="s">
        <v>253</v>
      </c>
      <c r="L1" s="156" t="s">
        <v>313</v>
      </c>
      <c r="M1" s="8" t="s">
        <v>274</v>
      </c>
      <c r="N1" s="483" t="s">
        <v>314</v>
      </c>
      <c r="O1" s="483" t="s">
        <v>315</v>
      </c>
      <c r="P1" s="35"/>
      <c r="Q1" s="35"/>
      <c r="R1" s="35"/>
      <c r="S1" s="35"/>
      <c r="T1" s="35"/>
      <c r="U1" s="35"/>
      <c r="V1" s="35"/>
      <c r="W1" s="35"/>
      <c r="X1" s="35"/>
      <c r="Y1" s="35"/>
      <c r="Z1" s="35"/>
      <c r="AA1" s="35"/>
      <c r="AB1" s="35"/>
    </row>
    <row r="2" spans="1:28" ht="108.75" customHeight="1">
      <c r="B2" t="s">
        <v>734</v>
      </c>
      <c r="C2" s="358" t="s">
        <v>735</v>
      </c>
      <c r="D2" s="358" t="s">
        <v>709</v>
      </c>
      <c r="E2" t="s">
        <v>661</v>
      </c>
      <c r="F2" s="221" t="s">
        <v>553</v>
      </c>
      <c r="G2" s="144" t="s">
        <v>736</v>
      </c>
      <c r="H2" s="126" t="s">
        <v>554</v>
      </c>
      <c r="I2" s="126" t="s">
        <v>555</v>
      </c>
      <c r="J2" s="126" t="s">
        <v>556</v>
      </c>
      <c r="K2" s="126" t="s">
        <v>557</v>
      </c>
      <c r="L2" s="126" t="s">
        <v>737</v>
      </c>
      <c r="M2" s="144" t="s">
        <v>738</v>
      </c>
      <c r="N2" s="122" t="s">
        <v>235</v>
      </c>
      <c r="O2" s="144" t="s">
        <v>739</v>
      </c>
    </row>
    <row r="3" spans="1:28" ht="116.25" customHeight="1">
      <c r="F3" s="221"/>
      <c r="G3" s="144"/>
      <c r="H3" s="126"/>
      <c r="I3" s="126"/>
      <c r="J3" s="126"/>
      <c r="K3" s="126"/>
      <c r="L3" s="126"/>
      <c r="M3" s="144"/>
      <c r="O3" s="144"/>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autoFilter ref="A1:M1" xr:uid="{3A2BB050-11AC-4ED7-A296-96B42C7FCFBA}"/>
  <dataValidations count="5">
    <dataValidation type="list" allowBlank="1" showErrorMessage="1" sqref="K2:K3" xr:uid="{E68DF487-F271-40BD-B43D-4E0E93F262E1}">
      <formula1>"Open,Inprogress,Closed"</formula1>
    </dataValidation>
    <dataValidation type="list" allowBlank="1" showErrorMessage="1" sqref="I2:I3" xr:uid="{3720AA99-54F7-41F1-AC35-1D74F15F94D1}">
      <formula1>"Manual, Automation"</formula1>
    </dataValidation>
    <dataValidation type="list" allowBlank="1" showErrorMessage="1" sqref="H2:H3" xr:uid="{01DD8D0A-F3CE-4A97-B938-21201662A1AD}">
      <formula1>"Minor,Significant,Major"</formula1>
    </dataValidation>
    <dataValidation type="list" allowBlank="1" showErrorMessage="1" sqref="J2:J3" xr:uid="{87164B8E-6049-49B9-B039-7284A2805455}">
      <formula1>"Internal,External"</formula1>
    </dataValidation>
    <dataValidation type="list" allowBlank="1" showErrorMessage="1" sqref="F2:F3" xr:uid="{7BFC4451-3202-4306-B368-3137A6C824C1}">
      <formula1>"Bounceback,Defect,None"</formula1>
    </dataValidation>
  </dataValidations>
  <hyperlinks>
    <hyperlink ref="C2" r:id="rId1" xr:uid="{91E1B08F-40F7-47C1-8DAF-9CD0F8FBD274}"/>
    <hyperlink ref="D2" r:id="rId2" xr:uid="{601EB845-FF24-4846-8A84-A4DE6FFD7F42}"/>
  </hyperlink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DC5F5294-758F-4C36-AD95-BC3F73D8F307}">
          <x14:formula1>
            <xm:f>Details!$A$2:$A$10</xm:f>
          </x14:formula1>
          <xm:sqref>L2:L3</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D2644-49FF-4CAC-B794-27C2950B4B25}">
  <dimension ref="A1:AD7"/>
  <sheetViews>
    <sheetView workbookViewId="0">
      <pane xSplit="7" ySplit="1" topLeftCell="H6" activePane="bottomRight" state="frozen"/>
      <selection pane="bottomRight" activeCell="A6" sqref="A6"/>
      <selection pane="bottomLeft"/>
      <selection pane="topRight"/>
    </sheetView>
  </sheetViews>
  <sheetFormatPr defaultRowHeight="12.75"/>
  <cols>
    <col min="2" max="2" width="13.28515625" customWidth="1"/>
    <col min="3" max="3" width="10.7109375" customWidth="1"/>
    <col min="4" max="4" width="12.140625" customWidth="1"/>
    <col min="5" max="5" width="40.7109375" customWidth="1"/>
    <col min="6" max="6" width="29.7109375" customWidth="1"/>
    <col min="7" max="7" width="18.85546875" customWidth="1"/>
    <col min="8" max="8" width="57.42578125" style="137" customWidth="1"/>
    <col min="9" max="9" width="16.85546875" style="122" customWidth="1"/>
    <col min="10" max="11" width="11.42578125" bestFit="1" customWidth="1"/>
    <col min="12" max="12" width="25.5703125" customWidth="1"/>
    <col min="13" max="14" width="11.42578125" customWidth="1"/>
    <col min="15" max="15" width="13.140625" customWidth="1"/>
    <col min="16" max="16" width="17" style="144" bestFit="1" customWidth="1"/>
    <col min="17" max="17" width="88.140625" customWidth="1"/>
    <col min="18" max="18" width="23.7109375" customWidth="1"/>
    <col min="19" max="19" width="14.85546875" customWidth="1"/>
    <col min="20" max="20" width="24.42578125" style="144" customWidth="1"/>
    <col min="21" max="22" width="12.7109375" bestFit="1" customWidth="1"/>
    <col min="23" max="23" width="20.5703125" customWidth="1"/>
    <col min="24" max="24" width="11.42578125" style="144" bestFit="1" customWidth="1"/>
    <col min="25" max="25" width="11.42578125" bestFit="1" customWidth="1"/>
    <col min="26" max="26" width="12.7109375" bestFit="1" customWidth="1"/>
    <col min="27" max="27" width="52.140625" customWidth="1"/>
    <col min="28" max="29" width="11.42578125" bestFit="1" customWidth="1"/>
    <col min="30" max="30" width="78.5703125" customWidth="1"/>
  </cols>
  <sheetData>
    <row r="1" spans="1:30" ht="46.5">
      <c r="A1" s="379" t="s">
        <v>248</v>
      </c>
      <c r="B1" s="501" t="s">
        <v>4</v>
      </c>
      <c r="C1" s="501" t="s">
        <v>2</v>
      </c>
      <c r="D1" s="501" t="s">
        <v>3</v>
      </c>
      <c r="E1" s="380" t="s">
        <v>249</v>
      </c>
      <c r="F1" s="381" t="s">
        <v>250</v>
      </c>
      <c r="G1" s="382" t="s">
        <v>251</v>
      </c>
      <c r="H1" s="383" t="s">
        <v>252</v>
      </c>
      <c r="I1" s="697" t="s">
        <v>253</v>
      </c>
      <c r="J1" s="384" t="s">
        <v>254</v>
      </c>
      <c r="K1" s="384" t="s">
        <v>255</v>
      </c>
      <c r="L1" s="384" t="s">
        <v>256</v>
      </c>
      <c r="M1" s="384" t="s">
        <v>257</v>
      </c>
      <c r="N1" s="384" t="s">
        <v>258</v>
      </c>
      <c r="O1" s="385" t="s">
        <v>259</v>
      </c>
      <c r="P1" s="385" t="s">
        <v>260</v>
      </c>
      <c r="Q1" s="385" t="s">
        <v>261</v>
      </c>
      <c r="R1" s="385" t="s">
        <v>262</v>
      </c>
      <c r="S1" s="385" t="s">
        <v>263</v>
      </c>
      <c r="T1" s="385" t="s">
        <v>264</v>
      </c>
      <c r="U1" s="385" t="s">
        <v>265</v>
      </c>
      <c r="V1" s="385" t="s">
        <v>266</v>
      </c>
      <c r="W1" s="385" t="s">
        <v>267</v>
      </c>
      <c r="X1" s="385" t="s">
        <v>268</v>
      </c>
      <c r="Y1" s="385" t="s">
        <v>269</v>
      </c>
      <c r="Z1" s="385" t="s">
        <v>270</v>
      </c>
      <c r="AA1" s="385" t="s">
        <v>271</v>
      </c>
      <c r="AB1" s="385" t="s">
        <v>272</v>
      </c>
      <c r="AC1" s="385" t="s">
        <v>273</v>
      </c>
      <c r="AD1" s="386" t="s">
        <v>274</v>
      </c>
    </row>
    <row r="2" spans="1:30" s="603" customFormat="1" ht="41.25" customHeight="1">
      <c r="A2" s="596">
        <v>1</v>
      </c>
      <c r="B2" s="599" t="s">
        <v>5</v>
      </c>
      <c r="C2" s="708">
        <v>45981</v>
      </c>
      <c r="D2" s="708">
        <v>45995</v>
      </c>
      <c r="E2" s="709" t="s">
        <v>177</v>
      </c>
      <c r="F2" s="710" t="s">
        <v>740</v>
      </c>
      <c r="G2" s="599" t="s">
        <v>741</v>
      </c>
      <c r="H2" s="599" t="s">
        <v>742</v>
      </c>
      <c r="I2" s="626" t="s">
        <v>13</v>
      </c>
      <c r="J2" s="929">
        <v>5</v>
      </c>
      <c r="K2" s="626"/>
      <c r="L2" s="626">
        <v>73.75</v>
      </c>
      <c r="M2" s="624">
        <v>45982</v>
      </c>
      <c r="N2" s="624">
        <v>45987</v>
      </c>
      <c r="O2" s="599" t="s">
        <v>318</v>
      </c>
      <c r="P2" s="627" t="s">
        <v>549</v>
      </c>
      <c r="Q2" s="629" t="s">
        <v>743</v>
      </c>
      <c r="R2" s="599" t="s">
        <v>234</v>
      </c>
      <c r="S2" s="930" t="s">
        <v>320</v>
      </c>
      <c r="T2" s="714" t="s">
        <v>744</v>
      </c>
      <c r="U2" s="624">
        <v>45986</v>
      </c>
      <c r="V2" s="624">
        <v>45993</v>
      </c>
      <c r="W2" s="626" t="s">
        <v>448</v>
      </c>
      <c r="X2" s="629" t="s">
        <v>320</v>
      </c>
      <c r="Y2" s="626" t="s">
        <v>323</v>
      </c>
      <c r="Z2" s="624">
        <v>45993</v>
      </c>
      <c r="AA2" s="629" t="s">
        <v>320</v>
      </c>
      <c r="AB2" s="626" t="s">
        <v>320</v>
      </c>
      <c r="AC2" s="626" t="s">
        <v>320</v>
      </c>
      <c r="AD2" s="627" t="s">
        <v>745</v>
      </c>
    </row>
    <row r="3" spans="1:30" s="621" customFormat="1" ht="60.75">
      <c r="A3" s="612">
        <v>2</v>
      </c>
      <c r="B3" s="711" t="s">
        <v>5</v>
      </c>
      <c r="C3" s="613">
        <v>45981</v>
      </c>
      <c r="D3" s="613">
        <v>45995</v>
      </c>
      <c r="E3" s="952" t="s">
        <v>177</v>
      </c>
      <c r="F3" s="952" t="s">
        <v>233</v>
      </c>
      <c r="G3" s="608" t="s">
        <v>746</v>
      </c>
      <c r="H3" s="928" t="s">
        <v>747</v>
      </c>
      <c r="I3" s="635" t="s">
        <v>13</v>
      </c>
      <c r="J3" s="927">
        <v>3</v>
      </c>
      <c r="K3" s="635"/>
      <c r="L3" s="635">
        <v>38</v>
      </c>
      <c r="M3" s="633">
        <v>45982</v>
      </c>
      <c r="N3" s="633">
        <v>45987</v>
      </c>
      <c r="O3" s="634" t="s">
        <v>318</v>
      </c>
      <c r="P3" s="636" t="s">
        <v>549</v>
      </c>
      <c r="Q3" s="635" t="s">
        <v>320</v>
      </c>
      <c r="R3" s="634" t="s">
        <v>297</v>
      </c>
      <c r="S3" s="928" t="s">
        <v>320</v>
      </c>
      <c r="T3" s="715" t="s">
        <v>748</v>
      </c>
      <c r="U3" s="633">
        <v>45987</v>
      </c>
      <c r="V3" s="633">
        <v>45993</v>
      </c>
      <c r="W3" s="635" t="s">
        <v>595</v>
      </c>
      <c r="X3" s="637" t="s">
        <v>320</v>
      </c>
      <c r="Y3" s="635" t="s">
        <v>323</v>
      </c>
      <c r="Z3" s="633">
        <v>45993</v>
      </c>
      <c r="AA3" s="637" t="s">
        <v>320</v>
      </c>
      <c r="AB3" s="635" t="s">
        <v>320</v>
      </c>
      <c r="AC3" s="635" t="s">
        <v>320</v>
      </c>
      <c r="AD3" s="636" t="s">
        <v>749</v>
      </c>
    </row>
    <row r="4" spans="1:30" s="603" customFormat="1" ht="48">
      <c r="A4" s="626">
        <v>3</v>
      </c>
      <c r="B4" s="712" t="s">
        <v>5</v>
      </c>
      <c r="C4" s="590">
        <v>45981</v>
      </c>
      <c r="D4" s="590">
        <v>45995</v>
      </c>
      <c r="E4" s="951" t="s">
        <v>177</v>
      </c>
      <c r="F4" s="949" t="s">
        <v>750</v>
      </c>
      <c r="G4" s="599" t="s">
        <v>751</v>
      </c>
      <c r="H4" s="930" t="s">
        <v>752</v>
      </c>
      <c r="I4" s="626" t="s">
        <v>13</v>
      </c>
      <c r="J4" s="929">
        <v>3</v>
      </c>
      <c r="K4" s="626"/>
      <c r="L4" s="626">
        <v>58.5</v>
      </c>
      <c r="M4" s="624">
        <v>45982</v>
      </c>
      <c r="N4" s="624">
        <v>45986</v>
      </c>
      <c r="O4" s="599" t="s">
        <v>318</v>
      </c>
      <c r="P4" s="627" t="s">
        <v>549</v>
      </c>
      <c r="Q4" s="626"/>
      <c r="R4" s="599" t="s">
        <v>427</v>
      </c>
      <c r="S4" s="930" t="s">
        <v>320</v>
      </c>
      <c r="T4" s="714" t="s">
        <v>753</v>
      </c>
      <c r="U4" s="624">
        <v>45987</v>
      </c>
      <c r="V4" s="624">
        <v>45993</v>
      </c>
      <c r="W4" s="635" t="s">
        <v>595</v>
      </c>
      <c r="X4" s="637" t="s">
        <v>320</v>
      </c>
      <c r="Y4" s="626" t="s">
        <v>323</v>
      </c>
      <c r="Z4" s="624">
        <v>45993</v>
      </c>
      <c r="AA4" s="629" t="s">
        <v>320</v>
      </c>
      <c r="AB4" s="635" t="s">
        <v>320</v>
      </c>
      <c r="AC4" s="635" t="s">
        <v>320</v>
      </c>
      <c r="AD4" s="627" t="s">
        <v>754</v>
      </c>
    </row>
    <row r="5" spans="1:30" s="426" customFormat="1" ht="137.25">
      <c r="A5" s="612">
        <v>4</v>
      </c>
      <c r="B5" s="711" t="s">
        <v>5</v>
      </c>
      <c r="C5" s="613">
        <v>45981</v>
      </c>
      <c r="D5" s="613">
        <v>45995</v>
      </c>
      <c r="E5" s="952" t="s">
        <v>177</v>
      </c>
      <c r="F5" s="952" t="s">
        <v>233</v>
      </c>
      <c r="G5" s="608" t="s">
        <v>755</v>
      </c>
      <c r="H5" s="928" t="s">
        <v>756</v>
      </c>
      <c r="I5" s="635" t="s">
        <v>13</v>
      </c>
      <c r="J5" s="927">
        <v>3</v>
      </c>
      <c r="K5" s="635"/>
      <c r="L5" s="635">
        <v>45</v>
      </c>
      <c r="M5" s="633">
        <v>45987</v>
      </c>
      <c r="N5" s="633">
        <v>45994</v>
      </c>
      <c r="O5" s="634" t="s">
        <v>318</v>
      </c>
      <c r="P5" s="636" t="s">
        <v>549</v>
      </c>
      <c r="Q5" s="635" t="s">
        <v>320</v>
      </c>
      <c r="R5" s="634" t="s">
        <v>232</v>
      </c>
      <c r="S5" s="928" t="s">
        <v>320</v>
      </c>
      <c r="T5" s="713" t="s">
        <v>757</v>
      </c>
      <c r="U5" s="633">
        <v>45994</v>
      </c>
      <c r="V5" s="633">
        <v>45995</v>
      </c>
      <c r="W5" s="635" t="s">
        <v>595</v>
      </c>
      <c r="X5" s="637" t="s">
        <v>320</v>
      </c>
      <c r="Y5" s="635" t="s">
        <v>323</v>
      </c>
      <c r="Z5" s="633">
        <v>45995</v>
      </c>
      <c r="AA5" s="637" t="s">
        <v>320</v>
      </c>
      <c r="AB5" s="635" t="s">
        <v>320</v>
      </c>
      <c r="AC5" s="635" t="s">
        <v>320</v>
      </c>
      <c r="AD5" s="636" t="s">
        <v>758</v>
      </c>
    </row>
    <row r="6" spans="1:30" ht="63" customHeight="1">
      <c r="A6" s="626">
        <v>5</v>
      </c>
      <c r="B6" s="712" t="s">
        <v>5</v>
      </c>
      <c r="C6" s="590">
        <v>45981</v>
      </c>
      <c r="D6" s="590">
        <v>45995</v>
      </c>
      <c r="E6" s="951" t="s">
        <v>759</v>
      </c>
      <c r="F6" s="949" t="s">
        <v>573</v>
      </c>
      <c r="G6" s="599" t="s">
        <v>760</v>
      </c>
      <c r="H6" s="930" t="s">
        <v>761</v>
      </c>
      <c r="I6" s="626" t="s">
        <v>13</v>
      </c>
      <c r="J6" s="929">
        <v>3</v>
      </c>
      <c r="K6" s="626"/>
      <c r="L6" s="626">
        <v>114.5</v>
      </c>
      <c r="M6" s="624">
        <v>45987</v>
      </c>
      <c r="N6" s="624">
        <v>45995</v>
      </c>
      <c r="O6" s="599" t="s">
        <v>318</v>
      </c>
      <c r="P6" s="627" t="s">
        <v>549</v>
      </c>
      <c r="Q6" s="629" t="s">
        <v>762</v>
      </c>
      <c r="R6" s="599" t="s">
        <v>763</v>
      </c>
      <c r="S6" s="930" t="s">
        <v>320</v>
      </c>
      <c r="T6" s="714" t="s">
        <v>764</v>
      </c>
      <c r="U6" s="624">
        <v>45995</v>
      </c>
      <c r="V6" s="624">
        <v>45995</v>
      </c>
      <c r="W6" s="635" t="s">
        <v>448</v>
      </c>
      <c r="X6" s="637" t="s">
        <v>320</v>
      </c>
      <c r="Y6" s="626" t="s">
        <v>323</v>
      </c>
      <c r="Z6" s="624">
        <v>45995</v>
      </c>
      <c r="AA6" s="629" t="s">
        <v>765</v>
      </c>
      <c r="AB6" s="635" t="s">
        <v>320</v>
      </c>
      <c r="AC6" s="635" t="s">
        <v>320</v>
      </c>
      <c r="AD6" s="627" t="s">
        <v>766</v>
      </c>
    </row>
    <row r="7" spans="1:30" s="603" customFormat="1" ht="48">
      <c r="A7" s="612">
        <v>6</v>
      </c>
      <c r="B7" s="711" t="s">
        <v>5</v>
      </c>
      <c r="C7" s="613">
        <v>45981</v>
      </c>
      <c r="D7" s="613">
        <v>45995</v>
      </c>
      <c r="E7" s="952" t="s">
        <v>177</v>
      </c>
      <c r="F7" s="952" t="s">
        <v>740</v>
      </c>
      <c r="G7" s="608" t="s">
        <v>767</v>
      </c>
      <c r="H7" s="928" t="s">
        <v>768</v>
      </c>
      <c r="I7" s="635" t="s">
        <v>13</v>
      </c>
      <c r="J7" s="927">
        <v>3</v>
      </c>
      <c r="K7" s="635"/>
      <c r="L7" s="635">
        <v>87</v>
      </c>
      <c r="M7" s="633">
        <v>45988</v>
      </c>
      <c r="N7" s="633">
        <v>45995</v>
      </c>
      <c r="O7" s="634" t="s">
        <v>318</v>
      </c>
      <c r="P7" s="636" t="s">
        <v>549</v>
      </c>
      <c r="Q7" s="635"/>
      <c r="R7" s="634" t="s">
        <v>287</v>
      </c>
      <c r="S7" s="928" t="s">
        <v>320</v>
      </c>
      <c r="T7" s="715" t="s">
        <v>769</v>
      </c>
      <c r="U7" s="633">
        <v>45995</v>
      </c>
      <c r="V7" s="633">
        <v>45995</v>
      </c>
      <c r="W7" s="635" t="s">
        <v>448</v>
      </c>
      <c r="X7" s="637" t="s">
        <v>320</v>
      </c>
      <c r="Y7" s="635" t="s">
        <v>323</v>
      </c>
      <c r="Z7" s="633">
        <v>45995</v>
      </c>
      <c r="AA7" s="637" t="s">
        <v>770</v>
      </c>
      <c r="AB7" s="635" t="s">
        <v>320</v>
      </c>
      <c r="AC7" s="635" t="s">
        <v>320</v>
      </c>
      <c r="AD7" s="636"/>
    </row>
  </sheetData>
  <hyperlinks>
    <hyperlink ref="T3" r:id="rId1" xr:uid="{8D0E32DD-3770-43AE-9AC7-EE7424EB3869}"/>
    <hyperlink ref="T4" r:id="rId2" xr:uid="{8C9E7D79-2DCE-4C94-8395-8D9A762FF999}"/>
    <hyperlink ref="T2" r:id="rId3" xr:uid="{66B5EC48-8C7C-4966-A917-A7FC5CD51447}"/>
    <hyperlink ref="T5" r:id="rId4" xr:uid="{A06BA9BC-FE6B-4829-8D48-BE14ED23409F}"/>
    <hyperlink ref="T7" r:id="rId5" xr:uid="{30649B42-47CC-4AE8-872A-A3F69BBF2DF8}"/>
    <hyperlink ref="T6" r:id="rId6" xr:uid="{A3171BE7-FA59-46EC-92A3-6FA0DC516B1A}"/>
  </hyperlinks>
  <pageMargins left="0.7" right="0.7" top="0.75" bottom="0.75" header="0.3" footer="0.3"/>
  <tableParts count="1">
    <tablePart r:id="rId7"/>
  </tableParts>
  <extLst>
    <ext xmlns:x14="http://schemas.microsoft.com/office/spreadsheetml/2009/9/main" uri="{CCE6A557-97BC-4b89-ADB6-D9C93CAAB3DF}">
      <x14:dataValidations xmlns:xm="http://schemas.microsoft.com/office/excel/2006/main" count="1">
        <x14:dataValidation type="list" allowBlank="1" showErrorMessage="1" xr:uid="{EB44C2F2-EC63-4C2D-A175-F8E255135372}">
          <x14:formula1>
            <xm:f>Settings!$C$3:$C$20</xm:f>
          </x14:formula1>
          <xm:sqref>I2:I7</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C78E0-5FFC-4932-AE1A-7812BF209982}">
  <sheetPr>
    <outlinePr summaryBelow="0" summaryRight="0"/>
  </sheetPr>
  <dimension ref="A1:AB985"/>
  <sheetViews>
    <sheetView topLeftCell="B1" workbookViewId="0"/>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54.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248</v>
      </c>
      <c r="B1" s="1" t="s">
        <v>305</v>
      </c>
      <c r="C1" s="198" t="s">
        <v>306</v>
      </c>
      <c r="D1" s="198" t="s">
        <v>307</v>
      </c>
      <c r="E1" s="1" t="s">
        <v>250</v>
      </c>
      <c r="F1" s="198" t="s">
        <v>308</v>
      </c>
      <c r="G1" s="198" t="s">
        <v>309</v>
      </c>
      <c r="H1" s="1" t="s">
        <v>310</v>
      </c>
      <c r="I1" s="1" t="s">
        <v>311</v>
      </c>
      <c r="J1" s="1" t="s">
        <v>312</v>
      </c>
      <c r="K1" s="1" t="s">
        <v>253</v>
      </c>
      <c r="L1" s="156" t="s">
        <v>313</v>
      </c>
      <c r="M1" s="8" t="s">
        <v>274</v>
      </c>
      <c r="N1" s="483" t="s">
        <v>314</v>
      </c>
      <c r="O1" s="483" t="s">
        <v>315</v>
      </c>
      <c r="P1" s="35"/>
      <c r="Q1" s="35"/>
      <c r="R1" s="35"/>
      <c r="S1" s="35"/>
      <c r="T1" s="35"/>
      <c r="U1" s="35"/>
      <c r="V1" s="35"/>
      <c r="W1" s="35"/>
      <c r="X1" s="35"/>
      <c r="Y1" s="35"/>
      <c r="Z1" s="35"/>
      <c r="AA1" s="35"/>
      <c r="AB1" s="35"/>
    </row>
    <row r="2" spans="1:28" ht="108.75" customHeight="1">
      <c r="F2" s="221"/>
      <c r="G2" s="144"/>
      <c r="H2" s="126"/>
      <c r="I2" s="126"/>
      <c r="J2" s="126"/>
      <c r="K2" s="126"/>
      <c r="L2" s="126"/>
      <c r="M2" s="144"/>
      <c r="O2" s="144"/>
    </row>
    <row r="3" spans="1:28" ht="116.25" customHeight="1">
      <c r="F3" s="221"/>
      <c r="G3" s="144"/>
      <c r="H3" s="126"/>
      <c r="I3" s="126"/>
      <c r="J3" s="126"/>
      <c r="K3" s="126"/>
      <c r="L3" s="126"/>
      <c r="M3" s="144"/>
      <c r="O3" s="144"/>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autoFilter ref="A1:M1" xr:uid="{3A2BB050-11AC-4ED7-A296-96B42C7FCFBA}"/>
  <dataValidations count="5">
    <dataValidation type="list" allowBlank="1" showErrorMessage="1" sqref="F2:F3" xr:uid="{62A4E9FD-99ED-4898-BBDE-904CB05DE604}">
      <formula1>"Bounceback,Defect,None"</formula1>
    </dataValidation>
    <dataValidation type="list" allowBlank="1" showErrorMessage="1" sqref="J2:J3" xr:uid="{CAB622C0-737E-4A17-A5E9-6C5812537ABC}">
      <formula1>"Internal,External"</formula1>
    </dataValidation>
    <dataValidation type="list" allowBlank="1" showErrorMessage="1" sqref="H2:H3" xr:uid="{90DBA764-CC15-4477-B400-A7A389678AF9}">
      <formula1>"Minor,Significant,Major"</formula1>
    </dataValidation>
    <dataValidation type="list" allowBlank="1" showErrorMessage="1" sqref="I2:I3" xr:uid="{3D0853CC-57DC-4848-AA6B-88B9F5C58ADB}">
      <formula1>"Manual, Automation"</formula1>
    </dataValidation>
    <dataValidation type="list" allowBlank="1" showErrorMessage="1" sqref="K2:K3" xr:uid="{6D528D01-1678-4A36-81B6-3B4064B71E6F}">
      <formula1>"Open,Inprogress,Closed"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350C88F7-8E21-4A75-915C-C80904A5D1DB}">
          <x14:formula1>
            <xm:f>Details!$A$2:$A$10</xm:f>
          </x14:formula1>
          <xm:sqref>L2:L3</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D9776-D1EE-401C-B923-D6CA9426993A}">
  <dimension ref="A1:AD8"/>
  <sheetViews>
    <sheetView workbookViewId="0">
      <pane xSplit="7" ySplit="1" topLeftCell="Q6" activePane="bottomRight" state="frozen"/>
      <selection pane="bottomRight" activeCell="Q8" sqref="Q8"/>
      <selection pane="bottomLeft"/>
      <selection pane="topRight"/>
    </sheetView>
  </sheetViews>
  <sheetFormatPr defaultRowHeight="12.75"/>
  <cols>
    <col min="2" max="2" width="13.28515625" customWidth="1"/>
    <col min="3" max="3" width="10.7109375" customWidth="1"/>
    <col min="4" max="4" width="12.140625" customWidth="1"/>
    <col min="5" max="5" width="40.7109375" customWidth="1"/>
    <col min="6" max="6" width="29.7109375" customWidth="1"/>
    <col min="7" max="7" width="18.85546875" customWidth="1"/>
    <col min="8" max="8" width="57.42578125" style="137" customWidth="1"/>
    <col min="9" max="9" width="16.85546875" style="122" customWidth="1"/>
    <col min="10" max="11" width="11.42578125" bestFit="1" customWidth="1"/>
    <col min="12" max="12" width="25.5703125" customWidth="1"/>
    <col min="13" max="14" width="11.42578125" customWidth="1"/>
    <col min="15" max="15" width="13.140625" customWidth="1"/>
    <col min="16" max="16" width="17" style="144" bestFit="1" customWidth="1"/>
    <col min="17" max="17" width="88.140625" customWidth="1"/>
    <col min="18" max="18" width="23.7109375" customWidth="1"/>
    <col min="19" max="19" width="14.85546875" customWidth="1"/>
    <col min="20" max="20" width="24.42578125" style="144" customWidth="1"/>
    <col min="21" max="22" width="12.7109375" bestFit="1" customWidth="1"/>
    <col min="23" max="23" width="20.5703125" customWidth="1"/>
    <col min="24" max="24" width="11.42578125" style="144" bestFit="1" customWidth="1"/>
    <col min="25" max="25" width="11.42578125" bestFit="1" customWidth="1"/>
    <col min="26" max="26" width="12.7109375" bestFit="1" customWidth="1"/>
    <col min="27" max="27" width="52.140625" customWidth="1"/>
    <col min="28" max="29" width="11.42578125" bestFit="1" customWidth="1"/>
    <col min="30" max="30" width="78.5703125" customWidth="1"/>
  </cols>
  <sheetData>
    <row r="1" spans="1:30" ht="46.5">
      <c r="A1" s="379" t="s">
        <v>248</v>
      </c>
      <c r="B1" s="501" t="s">
        <v>4</v>
      </c>
      <c r="C1" s="501" t="s">
        <v>2</v>
      </c>
      <c r="D1" s="501" t="s">
        <v>3</v>
      </c>
      <c r="E1" s="380" t="s">
        <v>249</v>
      </c>
      <c r="F1" s="381" t="s">
        <v>250</v>
      </c>
      <c r="G1" s="382" t="s">
        <v>251</v>
      </c>
      <c r="H1" s="383" t="s">
        <v>252</v>
      </c>
      <c r="I1" s="697" t="s">
        <v>253</v>
      </c>
      <c r="J1" s="384" t="s">
        <v>254</v>
      </c>
      <c r="K1" s="384" t="s">
        <v>255</v>
      </c>
      <c r="L1" s="384" t="s">
        <v>256</v>
      </c>
      <c r="M1" s="384" t="s">
        <v>257</v>
      </c>
      <c r="N1" s="384" t="s">
        <v>258</v>
      </c>
      <c r="O1" s="385" t="s">
        <v>259</v>
      </c>
      <c r="P1" s="385" t="s">
        <v>260</v>
      </c>
      <c r="Q1" s="385" t="s">
        <v>261</v>
      </c>
      <c r="R1" s="385" t="s">
        <v>262</v>
      </c>
      <c r="S1" s="385" t="s">
        <v>263</v>
      </c>
      <c r="T1" s="385" t="s">
        <v>264</v>
      </c>
      <c r="U1" s="385" t="s">
        <v>265</v>
      </c>
      <c r="V1" s="385" t="s">
        <v>266</v>
      </c>
      <c r="W1" s="385" t="s">
        <v>267</v>
      </c>
      <c r="X1" s="385" t="s">
        <v>268</v>
      </c>
      <c r="Y1" s="385" t="s">
        <v>269</v>
      </c>
      <c r="Z1" s="385" t="s">
        <v>270</v>
      </c>
      <c r="AA1" s="385" t="s">
        <v>271</v>
      </c>
      <c r="AB1" s="385" t="s">
        <v>272</v>
      </c>
      <c r="AC1" s="385" t="s">
        <v>273</v>
      </c>
      <c r="AD1" s="386" t="s">
        <v>274</v>
      </c>
    </row>
    <row r="2" spans="1:30" s="603" customFormat="1" ht="41.25" customHeight="1">
      <c r="A2" s="596">
        <v>1</v>
      </c>
      <c r="B2" s="700" t="s">
        <v>5</v>
      </c>
      <c r="C2" s="590">
        <v>45967</v>
      </c>
      <c r="D2" s="590">
        <v>45981</v>
      </c>
      <c r="E2" s="951" t="s">
        <v>174</v>
      </c>
      <c r="F2" s="951" t="s">
        <v>233</v>
      </c>
      <c r="G2" s="597" t="s">
        <v>771</v>
      </c>
      <c r="H2" s="930" t="s">
        <v>772</v>
      </c>
      <c r="I2" s="626" t="s">
        <v>13</v>
      </c>
      <c r="J2" s="953">
        <v>2</v>
      </c>
      <c r="K2" s="626"/>
      <c r="L2" s="626">
        <v>47.75</v>
      </c>
      <c r="M2" s="624">
        <v>45968</v>
      </c>
      <c r="N2" s="624">
        <v>45972</v>
      </c>
      <c r="O2" s="599" t="s">
        <v>318</v>
      </c>
      <c r="P2" s="627" t="s">
        <v>517</v>
      </c>
      <c r="Q2" s="629" t="s">
        <v>773</v>
      </c>
      <c r="R2" s="599" t="s">
        <v>774</v>
      </c>
      <c r="S2" s="954" t="s">
        <v>320</v>
      </c>
      <c r="T2" s="702" t="s">
        <v>775</v>
      </c>
      <c r="U2" s="624">
        <v>45971</v>
      </c>
      <c r="V2" s="624">
        <v>45975</v>
      </c>
      <c r="W2" s="626" t="s">
        <v>595</v>
      </c>
      <c r="X2" s="629" t="s">
        <v>320</v>
      </c>
      <c r="Y2" s="626" t="s">
        <v>323</v>
      </c>
      <c r="Z2" s="624">
        <v>45975</v>
      </c>
      <c r="AA2" s="629" t="s">
        <v>320</v>
      </c>
      <c r="AB2" s="626" t="s">
        <v>320</v>
      </c>
      <c r="AC2" s="626" t="s">
        <v>320</v>
      </c>
      <c r="AD2" s="707" t="s">
        <v>776</v>
      </c>
    </row>
    <row r="3" spans="1:30" ht="46.5">
      <c r="A3" s="640">
        <v>2</v>
      </c>
      <c r="B3" s="640" t="s">
        <v>5</v>
      </c>
      <c r="C3" s="704">
        <v>45967</v>
      </c>
      <c r="D3" s="704">
        <v>45981</v>
      </c>
      <c r="E3" s="955" t="s">
        <v>174</v>
      </c>
      <c r="F3" s="956" t="s">
        <v>740</v>
      </c>
      <c r="G3" s="642" t="s">
        <v>777</v>
      </c>
      <c r="H3" s="942" t="s">
        <v>778</v>
      </c>
      <c r="I3" s="640" t="s">
        <v>13</v>
      </c>
      <c r="J3" s="957">
        <v>5</v>
      </c>
      <c r="K3" s="640"/>
      <c r="L3" s="640">
        <v>138.75</v>
      </c>
      <c r="M3" s="641">
        <v>45968</v>
      </c>
      <c r="N3" s="641">
        <v>45980</v>
      </c>
      <c r="O3" s="642" t="s">
        <v>318</v>
      </c>
      <c r="P3" s="643" t="s">
        <v>517</v>
      </c>
      <c r="Q3" s="640"/>
      <c r="R3" s="642" t="s">
        <v>234</v>
      </c>
      <c r="S3" s="958" t="s">
        <v>320</v>
      </c>
      <c r="T3" s="705" t="s">
        <v>779</v>
      </c>
      <c r="U3" s="641">
        <v>45973</v>
      </c>
      <c r="V3" s="641">
        <v>45980</v>
      </c>
      <c r="W3" s="640" t="s">
        <v>595</v>
      </c>
      <c r="X3" s="644" t="s">
        <v>320</v>
      </c>
      <c r="Y3" s="640" t="s">
        <v>323</v>
      </c>
      <c r="Z3" s="641">
        <v>45980</v>
      </c>
      <c r="AA3" s="644" t="s">
        <v>320</v>
      </c>
      <c r="AB3" s="640" t="s">
        <v>320</v>
      </c>
      <c r="AC3" s="640" t="s">
        <v>320</v>
      </c>
      <c r="AD3" s="703"/>
    </row>
    <row r="4" spans="1:30" s="603" customFormat="1" ht="121.5">
      <c r="A4" s="626">
        <v>3</v>
      </c>
      <c r="B4" s="626" t="s">
        <v>5</v>
      </c>
      <c r="C4" s="590">
        <v>45967</v>
      </c>
      <c r="D4" s="590">
        <v>45967</v>
      </c>
      <c r="E4" s="951" t="s">
        <v>174</v>
      </c>
      <c r="F4" s="959" t="s">
        <v>232</v>
      </c>
      <c r="G4" s="599" t="s">
        <v>780</v>
      </c>
      <c r="H4" s="930" t="s">
        <v>781</v>
      </c>
      <c r="I4" s="626" t="s">
        <v>13</v>
      </c>
      <c r="J4" s="953">
        <v>2</v>
      </c>
      <c r="K4" s="626"/>
      <c r="L4" s="626">
        <v>82.5</v>
      </c>
      <c r="M4" s="624">
        <v>45968</v>
      </c>
      <c r="N4" s="624">
        <v>45979</v>
      </c>
      <c r="O4" s="599" t="s">
        <v>318</v>
      </c>
      <c r="P4" s="627" t="s">
        <v>517</v>
      </c>
      <c r="Q4" s="626" t="s">
        <v>782</v>
      </c>
      <c r="R4" s="599" t="s">
        <v>293</v>
      </c>
      <c r="S4" s="958" t="s">
        <v>320</v>
      </c>
      <c r="T4" s="702" t="s">
        <v>783</v>
      </c>
      <c r="U4" s="624">
        <v>45978</v>
      </c>
      <c r="V4" s="624">
        <v>45979</v>
      </c>
      <c r="W4" s="626" t="s">
        <v>595</v>
      </c>
      <c r="X4" s="629" t="s">
        <v>320</v>
      </c>
      <c r="Y4" s="626" t="s">
        <v>323</v>
      </c>
      <c r="Z4" s="624">
        <v>45979</v>
      </c>
      <c r="AA4" s="629" t="s">
        <v>320</v>
      </c>
      <c r="AB4" s="626" t="s">
        <v>320</v>
      </c>
      <c r="AC4" s="626" t="s">
        <v>320</v>
      </c>
      <c r="AD4" s="707" t="s">
        <v>784</v>
      </c>
    </row>
    <row r="5" spans="1:30" ht="46.5">
      <c r="A5" s="640">
        <v>4</v>
      </c>
      <c r="B5" s="640" t="s">
        <v>5</v>
      </c>
      <c r="C5" s="704">
        <v>45967</v>
      </c>
      <c r="D5" s="704">
        <v>45981</v>
      </c>
      <c r="E5" s="955" t="s">
        <v>174</v>
      </c>
      <c r="F5" s="960" t="s">
        <v>293</v>
      </c>
      <c r="G5" s="642" t="s">
        <v>785</v>
      </c>
      <c r="H5" s="942" t="s">
        <v>786</v>
      </c>
      <c r="I5" s="640" t="s">
        <v>13</v>
      </c>
      <c r="J5" s="957">
        <v>1</v>
      </c>
      <c r="K5" s="640"/>
      <c r="L5" s="640">
        <v>9.25</v>
      </c>
      <c r="M5" s="641">
        <v>45968</v>
      </c>
      <c r="N5" s="641">
        <v>45968</v>
      </c>
      <c r="O5" s="642" t="s">
        <v>318</v>
      </c>
      <c r="P5" s="643" t="s">
        <v>517</v>
      </c>
      <c r="Q5" s="640" t="s">
        <v>320</v>
      </c>
      <c r="R5" s="642" t="s">
        <v>232</v>
      </c>
      <c r="S5" s="958" t="s">
        <v>320</v>
      </c>
      <c r="T5" s="705" t="s">
        <v>787</v>
      </c>
      <c r="U5" s="641">
        <v>45968</v>
      </c>
      <c r="V5" s="641">
        <v>45969</v>
      </c>
      <c r="W5" s="640" t="s">
        <v>595</v>
      </c>
      <c r="X5" s="644" t="s">
        <v>320</v>
      </c>
      <c r="Y5" s="640" t="s">
        <v>323</v>
      </c>
      <c r="Z5" s="641">
        <v>45969</v>
      </c>
      <c r="AA5" s="644" t="s">
        <v>320</v>
      </c>
      <c r="AB5" s="640" t="s">
        <v>320</v>
      </c>
      <c r="AC5" s="640" t="s">
        <v>320</v>
      </c>
      <c r="AD5" s="703" t="s">
        <v>788</v>
      </c>
    </row>
    <row r="6" spans="1:30" s="603" customFormat="1" ht="121.5">
      <c r="A6" s="626">
        <v>5</v>
      </c>
      <c r="B6" s="626" t="s">
        <v>5</v>
      </c>
      <c r="C6" s="590">
        <v>45967</v>
      </c>
      <c r="D6" s="590">
        <v>45981</v>
      </c>
      <c r="E6" s="951" t="s">
        <v>174</v>
      </c>
      <c r="F6" s="959" t="s">
        <v>789</v>
      </c>
      <c r="G6" s="599" t="s">
        <v>790</v>
      </c>
      <c r="H6" s="603" t="s">
        <v>791</v>
      </c>
      <c r="I6" s="626" t="s">
        <v>13</v>
      </c>
      <c r="J6" s="953">
        <v>5</v>
      </c>
      <c r="K6" s="626"/>
      <c r="L6" s="626">
        <v>123.25</v>
      </c>
      <c r="M6" s="624">
        <v>45968</v>
      </c>
      <c r="N6" s="624">
        <v>45981</v>
      </c>
      <c r="O6" s="599" t="s">
        <v>318</v>
      </c>
      <c r="P6" s="627" t="s">
        <v>517</v>
      </c>
      <c r="Q6" s="629" t="s">
        <v>792</v>
      </c>
      <c r="R6" s="599" t="s">
        <v>498</v>
      </c>
      <c r="S6" s="954" t="s">
        <v>320</v>
      </c>
      <c r="T6" s="702" t="s">
        <v>793</v>
      </c>
      <c r="U6" s="624">
        <v>45980</v>
      </c>
      <c r="V6" s="624">
        <v>45981</v>
      </c>
      <c r="W6" s="626" t="s">
        <v>595</v>
      </c>
      <c r="X6" s="629" t="s">
        <v>794</v>
      </c>
      <c r="Y6" s="626" t="s">
        <v>795</v>
      </c>
      <c r="Z6" s="624">
        <v>45981</v>
      </c>
      <c r="AA6" s="629" t="s">
        <v>320</v>
      </c>
      <c r="AB6" s="626" t="s">
        <v>320</v>
      </c>
      <c r="AC6" s="626" t="s">
        <v>320</v>
      </c>
      <c r="AD6" s="707" t="s">
        <v>796</v>
      </c>
    </row>
    <row r="7" spans="1:30" ht="46.5">
      <c r="A7" s="640">
        <v>7</v>
      </c>
      <c r="B7" s="640" t="s">
        <v>5</v>
      </c>
      <c r="C7" s="704">
        <v>45967</v>
      </c>
      <c r="D7" s="704">
        <v>45981</v>
      </c>
      <c r="E7" s="955" t="s">
        <v>797</v>
      </c>
      <c r="F7" s="960" t="s">
        <v>293</v>
      </c>
      <c r="G7" s="642" t="s">
        <v>798</v>
      </c>
      <c r="H7" s="942" t="s">
        <v>799</v>
      </c>
      <c r="I7" s="640" t="s">
        <v>13</v>
      </c>
      <c r="J7" s="957">
        <v>1</v>
      </c>
      <c r="K7" s="640"/>
      <c r="L7" s="640">
        <v>11</v>
      </c>
      <c r="M7" s="641">
        <v>45975</v>
      </c>
      <c r="N7" s="641">
        <v>45975</v>
      </c>
      <c r="O7" s="642" t="s">
        <v>318</v>
      </c>
      <c r="P7" s="643" t="s">
        <v>517</v>
      </c>
      <c r="Q7" s="640" t="s">
        <v>320</v>
      </c>
      <c r="R7" s="642" t="s">
        <v>232</v>
      </c>
      <c r="S7" s="958" t="s">
        <v>320</v>
      </c>
      <c r="T7" s="705" t="s">
        <v>800</v>
      </c>
      <c r="U7" s="641">
        <v>45975</v>
      </c>
      <c r="V7" s="641">
        <v>45978</v>
      </c>
      <c r="W7" s="640" t="s">
        <v>595</v>
      </c>
      <c r="X7" s="644" t="s">
        <v>320</v>
      </c>
      <c r="Y7" s="640" t="s">
        <v>323</v>
      </c>
      <c r="Z7" s="641">
        <v>45978</v>
      </c>
      <c r="AA7" s="644" t="s">
        <v>320</v>
      </c>
      <c r="AB7" s="640" t="s">
        <v>320</v>
      </c>
      <c r="AC7" s="640" t="s">
        <v>320</v>
      </c>
      <c r="AD7" s="703" t="s">
        <v>801</v>
      </c>
    </row>
    <row r="8" spans="1:30" ht="46.5">
      <c r="A8" s="640">
        <v>8</v>
      </c>
      <c r="B8" s="640" t="s">
        <v>5</v>
      </c>
      <c r="C8" s="641">
        <v>45967</v>
      </c>
      <c r="D8" s="641">
        <v>45981</v>
      </c>
      <c r="E8" s="955" t="s">
        <v>797</v>
      </c>
      <c r="F8" s="960" t="s">
        <v>297</v>
      </c>
      <c r="G8" s="642" t="s">
        <v>802</v>
      </c>
      <c r="H8" s="942" t="s">
        <v>803</v>
      </c>
      <c r="I8" s="640" t="s">
        <v>13</v>
      </c>
      <c r="J8" s="957">
        <v>1</v>
      </c>
      <c r="K8" s="640"/>
      <c r="L8" s="640">
        <v>19</v>
      </c>
      <c r="M8" s="641">
        <v>45975</v>
      </c>
      <c r="N8" s="641">
        <v>45979</v>
      </c>
      <c r="O8" s="642" t="s">
        <v>318</v>
      </c>
      <c r="P8" s="643" t="s">
        <v>517</v>
      </c>
      <c r="Q8" s="640" t="s">
        <v>320</v>
      </c>
      <c r="R8" s="642" t="s">
        <v>448</v>
      </c>
      <c r="S8" s="958" t="s">
        <v>320</v>
      </c>
      <c r="T8" s="705" t="s">
        <v>804</v>
      </c>
      <c r="U8" s="641">
        <v>45978</v>
      </c>
      <c r="V8" s="641">
        <v>45979</v>
      </c>
      <c r="W8" s="640" t="s">
        <v>595</v>
      </c>
      <c r="X8" s="644" t="s">
        <v>320</v>
      </c>
      <c r="Y8" s="640" t="s">
        <v>323</v>
      </c>
      <c r="Z8" s="641">
        <v>45979</v>
      </c>
      <c r="AA8" s="644" t="s">
        <v>320</v>
      </c>
      <c r="AB8" s="640" t="s">
        <v>320</v>
      </c>
      <c r="AC8" s="640" t="s">
        <v>320</v>
      </c>
      <c r="AD8" s="703"/>
    </row>
  </sheetData>
  <hyperlinks>
    <hyperlink ref="T5" r:id="rId1" xr:uid="{4E860E61-50FC-428A-B8D7-C7DA25759D25}"/>
    <hyperlink ref="T2" r:id="rId2" xr:uid="{864F9987-CCE2-4CC8-8AC8-11C482EF8B36}"/>
    <hyperlink ref="T3" r:id="rId3" xr:uid="{3F14DDE9-9241-4083-AF98-941030510BA3}"/>
    <hyperlink ref="T7" r:id="rId4" xr:uid="{083BA91D-511E-490B-BCBD-D9FA3321542F}"/>
    <hyperlink ref="T4" r:id="rId5" xr:uid="{BAB2F61E-2BF9-4B12-ACE4-DF1C2C5AC9D8}"/>
    <hyperlink ref="T8" r:id="rId6" xr:uid="{F136E430-CF75-4AB7-A60E-4EA111A6D964}"/>
    <hyperlink ref="T6" r:id="rId7" xr:uid="{50300452-8701-477C-A5CD-7A8E7EF3727A}"/>
  </hyperlinks>
  <pageMargins left="0.7" right="0.7" top="0.75" bottom="0.75" header="0.3" footer="0.3"/>
  <tableParts count="1">
    <tablePart r:id="rId8"/>
  </tableParts>
  <extLst>
    <ext xmlns:x14="http://schemas.microsoft.com/office/spreadsheetml/2009/9/main" uri="{CCE6A557-97BC-4b89-ADB6-D9C93CAAB3DF}">
      <x14:dataValidations xmlns:xm="http://schemas.microsoft.com/office/excel/2006/main" count="1">
        <x14:dataValidation type="list" allowBlank="1" showErrorMessage="1" xr:uid="{9734AE08-B434-47AE-A4E6-6D4B4A90E456}">
          <x14:formula1>
            <xm:f>Settings!$C$3:$C$20</xm:f>
          </x14:formula1>
          <xm:sqref>I2:I8</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0500B-29A9-484D-896B-38F9C14BB4C8}">
  <sheetPr>
    <outlinePr summaryBelow="0" summaryRight="0"/>
  </sheetPr>
  <dimension ref="A1:AB985"/>
  <sheetViews>
    <sheetView topLeftCell="B1" workbookViewId="0"/>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54.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248</v>
      </c>
      <c r="B1" s="1" t="s">
        <v>305</v>
      </c>
      <c r="C1" s="198" t="s">
        <v>306</v>
      </c>
      <c r="D1" s="198" t="s">
        <v>307</v>
      </c>
      <c r="E1" s="1" t="s">
        <v>250</v>
      </c>
      <c r="F1" s="198" t="s">
        <v>308</v>
      </c>
      <c r="G1" s="198" t="s">
        <v>309</v>
      </c>
      <c r="H1" s="1" t="s">
        <v>310</v>
      </c>
      <c r="I1" s="1" t="s">
        <v>311</v>
      </c>
      <c r="J1" s="1" t="s">
        <v>312</v>
      </c>
      <c r="K1" s="1" t="s">
        <v>253</v>
      </c>
      <c r="L1" s="156" t="s">
        <v>313</v>
      </c>
      <c r="M1" s="8" t="s">
        <v>274</v>
      </c>
      <c r="N1" s="483" t="s">
        <v>314</v>
      </c>
      <c r="O1" s="483" t="s">
        <v>315</v>
      </c>
      <c r="P1" s="35"/>
      <c r="Q1" s="35"/>
      <c r="R1" s="35"/>
      <c r="S1" s="35"/>
      <c r="T1" s="35"/>
      <c r="U1" s="35"/>
      <c r="V1" s="35"/>
      <c r="W1" s="35"/>
      <c r="X1" s="35"/>
      <c r="Y1" s="35"/>
      <c r="Z1" s="35"/>
      <c r="AA1" s="35"/>
      <c r="AB1" s="35"/>
    </row>
    <row r="2" spans="1:28" ht="108.75" customHeight="1">
      <c r="F2" s="221"/>
      <c r="G2" s="144"/>
      <c r="H2" s="126"/>
      <c r="I2" s="126"/>
      <c r="J2" s="126"/>
      <c r="K2" s="126"/>
      <c r="L2" s="126"/>
      <c r="M2" s="144"/>
      <c r="O2" s="144"/>
    </row>
    <row r="3" spans="1:28" ht="116.25" customHeight="1">
      <c r="F3" s="221"/>
      <c r="G3" s="144"/>
      <c r="H3" s="126"/>
      <c r="I3" s="126"/>
      <c r="J3" s="126"/>
      <c r="K3" s="126"/>
      <c r="L3" s="126"/>
      <c r="M3" s="144"/>
      <c r="O3" s="144"/>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autoFilter ref="A1:M1" xr:uid="{3A2BB050-11AC-4ED7-A296-96B42C7FCFBA}"/>
  <dataValidations count="5">
    <dataValidation type="list" allowBlank="1" showErrorMessage="1" sqref="K2:K3" xr:uid="{EC4B78A9-E947-450C-8D11-D367D82F3186}">
      <formula1>"Open,Inprogress,Closed"</formula1>
    </dataValidation>
    <dataValidation type="list" allowBlank="1" showErrorMessage="1" sqref="I2:I3" xr:uid="{4FE52C17-6F2B-418B-9B9E-4866626806F2}">
      <formula1>"Manual, Automation"</formula1>
    </dataValidation>
    <dataValidation type="list" allowBlank="1" showErrorMessage="1" sqref="H2:H3" xr:uid="{B7BC0244-7359-416D-95CE-DE33C6CDB1BC}">
      <formula1>"Minor,Significant,Major"</formula1>
    </dataValidation>
    <dataValidation type="list" allowBlank="1" showErrorMessage="1" sqref="J2:J3" xr:uid="{B907D6C2-C913-4FEF-9406-15AEFE6BF45B}">
      <formula1>"Internal,External"</formula1>
    </dataValidation>
    <dataValidation type="list" allowBlank="1" showErrorMessage="1" sqref="F2:F3" xr:uid="{1C693011-F8CB-435B-85C9-BE9A1A0CD644}">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73AD9302-FC5F-4B82-A103-C9EFB6EE4B8A}">
          <x14:formula1>
            <xm:f>Details!$A$2:$A$10</xm:f>
          </x14:formula1>
          <xm:sqref>L2:L3</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9796D-5C31-4A02-8333-42A50A863551}">
  <dimension ref="A1:AD11"/>
  <sheetViews>
    <sheetView workbookViewId="0">
      <pane xSplit="7" ySplit="1" topLeftCell="AD6" activePane="bottomRight" state="frozen"/>
      <selection pane="bottomRight" activeCell="AD12" sqref="AD12"/>
      <selection pane="bottomLeft"/>
      <selection pane="topRight"/>
    </sheetView>
  </sheetViews>
  <sheetFormatPr defaultRowHeight="12.75"/>
  <cols>
    <col min="2" max="2" width="13.28515625" customWidth="1"/>
    <col min="3" max="3" width="10.7109375" customWidth="1"/>
    <col min="4" max="4" width="12.140625" customWidth="1"/>
    <col min="5" max="5" width="40.7109375" customWidth="1"/>
    <col min="6" max="6" width="29.7109375" customWidth="1"/>
    <col min="7" max="7" width="18.85546875" customWidth="1"/>
    <col min="8" max="8" width="57.42578125" style="137" customWidth="1"/>
    <col min="9" max="9" width="16.85546875" style="122" customWidth="1"/>
    <col min="10" max="11" width="11.42578125" bestFit="1" customWidth="1"/>
    <col min="12" max="12" width="25.5703125" customWidth="1"/>
    <col min="13" max="14" width="11.42578125" customWidth="1"/>
    <col min="15" max="15" width="13.140625" customWidth="1"/>
    <col min="16" max="16" width="17" style="144" bestFit="1" customWidth="1"/>
    <col min="17" max="17" width="88.140625" customWidth="1"/>
    <col min="18" max="18" width="23.7109375" customWidth="1"/>
    <col min="19" max="19" width="14.85546875" customWidth="1"/>
    <col min="20" max="20" width="24.42578125" style="144" customWidth="1"/>
    <col min="21" max="22" width="12.7109375" bestFit="1" customWidth="1"/>
    <col min="23" max="23" width="20.5703125" customWidth="1"/>
    <col min="24" max="24" width="11.42578125" style="144" bestFit="1" customWidth="1"/>
    <col min="25" max="25" width="11.42578125" bestFit="1" customWidth="1"/>
    <col min="26" max="26" width="12.7109375" bestFit="1" customWidth="1"/>
    <col min="27" max="27" width="52.140625" customWidth="1"/>
    <col min="28" max="29" width="11.42578125" bestFit="1" customWidth="1"/>
    <col min="30" max="30" width="78.5703125" customWidth="1"/>
  </cols>
  <sheetData>
    <row r="1" spans="1:30" ht="46.5">
      <c r="A1" s="379" t="s">
        <v>248</v>
      </c>
      <c r="B1" s="501" t="s">
        <v>4</v>
      </c>
      <c r="C1" s="501" t="s">
        <v>2</v>
      </c>
      <c r="D1" s="501" t="s">
        <v>3</v>
      </c>
      <c r="E1" s="380" t="s">
        <v>249</v>
      </c>
      <c r="F1" s="381" t="s">
        <v>250</v>
      </c>
      <c r="G1" s="382" t="s">
        <v>251</v>
      </c>
      <c r="H1" s="383" t="s">
        <v>252</v>
      </c>
      <c r="I1" s="697" t="s">
        <v>253</v>
      </c>
      <c r="J1" s="384" t="s">
        <v>254</v>
      </c>
      <c r="K1" s="384" t="s">
        <v>255</v>
      </c>
      <c r="L1" s="384" t="s">
        <v>256</v>
      </c>
      <c r="M1" s="384" t="s">
        <v>257</v>
      </c>
      <c r="N1" s="384" t="s">
        <v>258</v>
      </c>
      <c r="O1" s="385" t="s">
        <v>259</v>
      </c>
      <c r="P1" s="385" t="s">
        <v>260</v>
      </c>
      <c r="Q1" s="385" t="s">
        <v>261</v>
      </c>
      <c r="R1" s="385" t="s">
        <v>262</v>
      </c>
      <c r="S1" s="385" t="s">
        <v>263</v>
      </c>
      <c r="T1" s="385" t="s">
        <v>264</v>
      </c>
      <c r="U1" s="385" t="s">
        <v>265</v>
      </c>
      <c r="V1" s="385" t="s">
        <v>266</v>
      </c>
      <c r="W1" s="385" t="s">
        <v>267</v>
      </c>
      <c r="X1" s="385" t="s">
        <v>268</v>
      </c>
      <c r="Y1" s="385" t="s">
        <v>269</v>
      </c>
      <c r="Z1" s="385" t="s">
        <v>270</v>
      </c>
      <c r="AA1" s="385" t="s">
        <v>271</v>
      </c>
      <c r="AB1" s="385" t="s">
        <v>272</v>
      </c>
      <c r="AC1" s="385" t="s">
        <v>273</v>
      </c>
      <c r="AD1" s="386" t="s">
        <v>274</v>
      </c>
    </row>
    <row r="2" spans="1:30" ht="46.5">
      <c r="A2" s="531">
        <v>1</v>
      </c>
      <c r="B2" s="543" t="s">
        <v>5</v>
      </c>
      <c r="C2" s="532">
        <v>45953</v>
      </c>
      <c r="D2" s="532">
        <v>45967</v>
      </c>
      <c r="E2" s="533" t="s">
        <v>169</v>
      </c>
      <c r="F2" s="533" t="s">
        <v>233</v>
      </c>
      <c r="G2" s="543" t="s">
        <v>805</v>
      </c>
      <c r="H2" s="545" t="s">
        <v>806</v>
      </c>
      <c r="I2" s="531" t="s">
        <v>13</v>
      </c>
      <c r="J2" s="531">
        <v>3</v>
      </c>
      <c r="K2" s="531"/>
      <c r="L2" s="531"/>
      <c r="M2" s="532">
        <v>45954</v>
      </c>
      <c r="N2" s="532">
        <v>45957</v>
      </c>
      <c r="O2" s="544" t="s">
        <v>318</v>
      </c>
      <c r="P2" s="544"/>
      <c r="Q2" s="545" t="s">
        <v>320</v>
      </c>
      <c r="R2" s="665" t="s">
        <v>234</v>
      </c>
      <c r="S2" s="514" t="s">
        <v>320</v>
      </c>
      <c r="T2" s="669" t="s">
        <v>807</v>
      </c>
      <c r="U2" s="670">
        <v>45957</v>
      </c>
      <c r="V2" s="671">
        <v>45967</v>
      </c>
      <c r="W2" s="531" t="s">
        <v>595</v>
      </c>
      <c r="X2" s="531" t="s">
        <v>320</v>
      </c>
      <c r="Y2" s="531" t="s">
        <v>323</v>
      </c>
      <c r="Z2" s="671">
        <v>45967</v>
      </c>
      <c r="AA2" s="694" t="s">
        <v>320</v>
      </c>
      <c r="AB2" s="562" t="s">
        <v>320</v>
      </c>
      <c r="AC2" s="562" t="s">
        <v>320</v>
      </c>
      <c r="AD2" s="672" t="s">
        <v>808</v>
      </c>
    </row>
    <row r="3" spans="1:30" s="689" customFormat="1" ht="46.5">
      <c r="A3" s="673">
        <v>2</v>
      </c>
      <c r="B3" s="673" t="s">
        <v>5</v>
      </c>
      <c r="C3" s="605">
        <v>45953</v>
      </c>
      <c r="D3" s="605">
        <v>45967</v>
      </c>
      <c r="E3" s="606" t="s">
        <v>169</v>
      </c>
      <c r="F3" s="695" t="s">
        <v>234</v>
      </c>
      <c r="G3" s="695" t="s">
        <v>809</v>
      </c>
      <c r="H3" s="961" t="s">
        <v>810</v>
      </c>
      <c r="I3" s="673" t="s">
        <v>13</v>
      </c>
      <c r="J3" s="938">
        <v>1</v>
      </c>
      <c r="K3" s="673"/>
      <c r="L3" s="673"/>
      <c r="M3" s="605">
        <v>45954</v>
      </c>
      <c r="N3" s="605">
        <v>45954</v>
      </c>
      <c r="O3" s="673" t="s">
        <v>318</v>
      </c>
      <c r="P3" s="677" t="s">
        <v>517</v>
      </c>
      <c r="Q3" s="677" t="s">
        <v>320</v>
      </c>
      <c r="R3" s="673" t="s">
        <v>595</v>
      </c>
      <c r="S3" s="962" t="s">
        <v>320</v>
      </c>
      <c r="T3" s="688" t="s">
        <v>811</v>
      </c>
      <c r="U3" s="605">
        <v>45954</v>
      </c>
      <c r="V3" s="605">
        <v>45954</v>
      </c>
      <c r="W3" s="673" t="s">
        <v>448</v>
      </c>
      <c r="X3" s="677" t="s">
        <v>320</v>
      </c>
      <c r="Y3" s="673" t="s">
        <v>323</v>
      </c>
      <c r="Z3" s="605">
        <v>45954</v>
      </c>
      <c r="AA3" s="677" t="s">
        <v>320</v>
      </c>
      <c r="AB3" s="673" t="s">
        <v>320</v>
      </c>
      <c r="AC3" s="673" t="s">
        <v>320</v>
      </c>
      <c r="AD3" s="693"/>
    </row>
    <row r="4" spans="1:30" s="687" customFormat="1" ht="46.5">
      <c r="A4" s="665">
        <v>3</v>
      </c>
      <c r="B4" s="665" t="s">
        <v>5</v>
      </c>
      <c r="C4" s="671">
        <v>45953</v>
      </c>
      <c r="D4" s="671">
        <v>45967</v>
      </c>
      <c r="E4" s="625" t="s">
        <v>169</v>
      </c>
      <c r="F4" s="696" t="s">
        <v>234</v>
      </c>
      <c r="G4" s="663" t="s">
        <v>812</v>
      </c>
      <c r="H4" s="937" t="s">
        <v>813</v>
      </c>
      <c r="I4" s="665" t="s">
        <v>13</v>
      </c>
      <c r="J4" s="936">
        <v>1</v>
      </c>
      <c r="K4" s="663"/>
      <c r="L4" s="663"/>
      <c r="M4" s="671">
        <v>45954</v>
      </c>
      <c r="N4" s="671">
        <v>45954</v>
      </c>
      <c r="O4" s="663" t="s">
        <v>318</v>
      </c>
      <c r="P4" s="680" t="s">
        <v>517</v>
      </c>
      <c r="Q4" s="679" t="s">
        <v>320</v>
      </c>
      <c r="R4" s="665" t="s">
        <v>595</v>
      </c>
      <c r="S4" s="937" t="s">
        <v>320</v>
      </c>
      <c r="T4" s="686" t="s">
        <v>814</v>
      </c>
      <c r="U4" s="671">
        <v>45954</v>
      </c>
      <c r="V4" s="671">
        <v>45954</v>
      </c>
      <c r="W4" s="663" t="s">
        <v>448</v>
      </c>
      <c r="X4" s="679" t="s">
        <v>320</v>
      </c>
      <c r="Y4" s="673" t="s">
        <v>323</v>
      </c>
      <c r="Z4" s="605">
        <v>45954</v>
      </c>
      <c r="AA4" s="679" t="s">
        <v>320</v>
      </c>
      <c r="AB4" s="663" t="s">
        <v>320</v>
      </c>
      <c r="AC4" s="663" t="s">
        <v>320</v>
      </c>
      <c r="AD4" s="679"/>
    </row>
    <row r="5" spans="1:30" s="692" customFormat="1" ht="152.25">
      <c r="A5" s="673">
        <v>4</v>
      </c>
      <c r="B5" s="673" t="s">
        <v>5</v>
      </c>
      <c r="C5" s="605">
        <v>45953</v>
      </c>
      <c r="D5" s="605">
        <v>45967</v>
      </c>
      <c r="E5" s="606" t="s">
        <v>169</v>
      </c>
      <c r="F5" s="695" t="s">
        <v>740</v>
      </c>
      <c r="G5" s="695" t="s">
        <v>815</v>
      </c>
      <c r="H5" s="664" t="s">
        <v>816</v>
      </c>
      <c r="I5" s="673" t="s">
        <v>13</v>
      </c>
      <c r="J5" s="690">
        <v>3</v>
      </c>
      <c r="K5" s="673"/>
      <c r="L5" s="673"/>
      <c r="M5" s="674">
        <v>45954</v>
      </c>
      <c r="N5" s="674">
        <v>45964</v>
      </c>
      <c r="O5" s="673" t="s">
        <v>318</v>
      </c>
      <c r="P5" s="677" t="s">
        <v>517</v>
      </c>
      <c r="Q5" s="677" t="s">
        <v>817</v>
      </c>
      <c r="R5" s="673" t="s">
        <v>233</v>
      </c>
      <c r="S5" s="938" t="s">
        <v>320</v>
      </c>
      <c r="T5" s="691" t="s">
        <v>818</v>
      </c>
      <c r="U5" s="674">
        <v>45960</v>
      </c>
      <c r="V5" s="674">
        <v>45964</v>
      </c>
      <c r="W5" s="673" t="s">
        <v>595</v>
      </c>
      <c r="X5" s="677" t="s">
        <v>320</v>
      </c>
      <c r="Y5" s="673" t="s">
        <v>323</v>
      </c>
      <c r="Z5" s="674">
        <v>45964</v>
      </c>
      <c r="AA5" s="677" t="s">
        <v>350</v>
      </c>
      <c r="AB5" s="673" t="s">
        <v>350</v>
      </c>
      <c r="AC5" s="673" t="s">
        <v>320</v>
      </c>
      <c r="AD5" s="676"/>
    </row>
    <row r="6" spans="1:30" s="603" customFormat="1" ht="275.25">
      <c r="A6" s="665">
        <v>5</v>
      </c>
      <c r="B6" s="665" t="s">
        <v>5</v>
      </c>
      <c r="C6" s="671">
        <v>45953</v>
      </c>
      <c r="D6" s="671">
        <v>45967</v>
      </c>
      <c r="E6" s="625" t="s">
        <v>169</v>
      </c>
      <c r="F6" s="963" t="s">
        <v>280</v>
      </c>
      <c r="G6" s="663" t="s">
        <v>819</v>
      </c>
      <c r="H6" s="937" t="s">
        <v>820</v>
      </c>
      <c r="I6" s="665" t="s">
        <v>13</v>
      </c>
      <c r="J6" s="936">
        <v>5</v>
      </c>
      <c r="K6" s="665"/>
      <c r="L6" s="665"/>
      <c r="M6" s="670">
        <v>45954</v>
      </c>
      <c r="N6" s="670">
        <v>45965</v>
      </c>
      <c r="O6" s="663" t="s">
        <v>318</v>
      </c>
      <c r="P6" s="679" t="s">
        <v>517</v>
      </c>
      <c r="Q6" s="679" t="s">
        <v>821</v>
      </c>
      <c r="R6" s="663"/>
      <c r="S6" s="964"/>
      <c r="T6" s="667" t="s">
        <v>822</v>
      </c>
      <c r="U6" s="670">
        <v>45964</v>
      </c>
      <c r="V6" s="670">
        <v>45965</v>
      </c>
      <c r="W6" s="665" t="s">
        <v>595</v>
      </c>
      <c r="X6" s="680" t="s">
        <v>794</v>
      </c>
      <c r="Y6" s="665" t="s">
        <v>323</v>
      </c>
      <c r="Z6" s="670">
        <v>45965</v>
      </c>
      <c r="AA6" s="680" t="s">
        <v>320</v>
      </c>
      <c r="AB6" s="665" t="s">
        <v>320</v>
      </c>
      <c r="AC6" s="665" t="s">
        <v>320</v>
      </c>
      <c r="AD6" s="681" t="s">
        <v>823</v>
      </c>
    </row>
    <row r="7" spans="1:30" s="621" customFormat="1" ht="15">
      <c r="A7" s="635">
        <v>6</v>
      </c>
      <c r="B7" s="635" t="s">
        <v>5</v>
      </c>
      <c r="C7" s="605">
        <v>45953</v>
      </c>
      <c r="D7" s="605">
        <v>45967</v>
      </c>
      <c r="E7" s="606" t="s">
        <v>169</v>
      </c>
      <c r="F7" s="695" t="s">
        <v>234</v>
      </c>
      <c r="G7" s="634" t="s">
        <v>824</v>
      </c>
      <c r="H7" s="928" t="s">
        <v>825</v>
      </c>
      <c r="I7" s="635" t="s">
        <v>13</v>
      </c>
      <c r="J7" s="965">
        <v>2</v>
      </c>
      <c r="K7" s="635"/>
      <c r="L7" s="635"/>
      <c r="M7" s="674">
        <v>45957</v>
      </c>
      <c r="N7" s="633">
        <v>45958</v>
      </c>
      <c r="O7" s="634"/>
      <c r="P7" s="636"/>
      <c r="Q7" s="635"/>
      <c r="R7" s="634"/>
      <c r="S7" s="966"/>
      <c r="T7" s="698"/>
      <c r="U7" s="633"/>
      <c r="V7" s="633"/>
      <c r="W7" s="635"/>
      <c r="X7" s="637"/>
      <c r="Y7" s="635"/>
      <c r="Z7" s="633"/>
      <c r="AA7" s="637"/>
      <c r="AB7" s="635"/>
      <c r="AC7" s="635"/>
      <c r="AD7" s="699" t="s">
        <v>826</v>
      </c>
    </row>
    <row r="8" spans="1:30" s="603" customFormat="1" ht="60.75">
      <c r="A8" s="596">
        <v>7</v>
      </c>
      <c r="B8" s="700" t="s">
        <v>5</v>
      </c>
      <c r="C8" s="590">
        <v>45953</v>
      </c>
      <c r="D8" s="590">
        <v>45967</v>
      </c>
      <c r="E8" s="951" t="s">
        <v>827</v>
      </c>
      <c r="F8" s="951" t="s">
        <v>233</v>
      </c>
      <c r="G8" s="597" t="s">
        <v>828</v>
      </c>
      <c r="H8" s="967" t="s">
        <v>829</v>
      </c>
      <c r="I8" s="596" t="s">
        <v>13</v>
      </c>
      <c r="J8" s="925">
        <v>2</v>
      </c>
      <c r="K8" s="596"/>
      <c r="L8" s="596"/>
      <c r="M8" s="590">
        <v>45958</v>
      </c>
      <c r="N8" s="590">
        <v>45961</v>
      </c>
      <c r="O8" s="597" t="s">
        <v>318</v>
      </c>
      <c r="P8" s="679" t="s">
        <v>517</v>
      </c>
      <c r="Q8" s="596" t="s">
        <v>320</v>
      </c>
      <c r="R8" s="597" t="s">
        <v>297</v>
      </c>
      <c r="S8" s="932" t="s">
        <v>320</v>
      </c>
      <c r="T8" s="702" t="s">
        <v>830</v>
      </c>
      <c r="U8" s="624">
        <v>45959</v>
      </c>
      <c r="V8" s="590">
        <v>45964</v>
      </c>
      <c r="W8" s="596" t="s">
        <v>595</v>
      </c>
      <c r="X8" s="601" t="s">
        <v>320</v>
      </c>
      <c r="Y8" s="596" t="s">
        <v>323</v>
      </c>
      <c r="Z8" s="590">
        <v>45964</v>
      </c>
      <c r="AA8" s="601" t="s">
        <v>320</v>
      </c>
      <c r="AB8" s="596" t="s">
        <v>320</v>
      </c>
      <c r="AC8" s="596" t="s">
        <v>320</v>
      </c>
      <c r="AD8" s="701" t="s">
        <v>831</v>
      </c>
    </row>
    <row r="9" spans="1:30" ht="46.5">
      <c r="A9" s="640">
        <v>8</v>
      </c>
      <c r="B9" s="640" t="s">
        <v>5</v>
      </c>
      <c r="C9" s="704">
        <v>45953</v>
      </c>
      <c r="D9" s="704">
        <v>45967</v>
      </c>
      <c r="E9" s="955" t="s">
        <v>827</v>
      </c>
      <c r="F9" s="956" t="s">
        <v>233</v>
      </c>
      <c r="G9" s="642" t="s">
        <v>832</v>
      </c>
      <c r="H9" s="942" t="s">
        <v>833</v>
      </c>
      <c r="I9" s="640" t="s">
        <v>13</v>
      </c>
      <c r="J9" s="957">
        <v>1</v>
      </c>
      <c r="K9" s="640"/>
      <c r="L9" s="640"/>
      <c r="M9" s="641">
        <v>45961</v>
      </c>
      <c r="N9" s="641">
        <v>45961</v>
      </c>
      <c r="O9" s="642" t="s">
        <v>318</v>
      </c>
      <c r="P9" s="643" t="s">
        <v>517</v>
      </c>
      <c r="Q9" s="640" t="s">
        <v>320</v>
      </c>
      <c r="R9" s="642" t="s">
        <v>232</v>
      </c>
      <c r="S9" s="958" t="s">
        <v>320</v>
      </c>
      <c r="T9" s="705" t="s">
        <v>834</v>
      </c>
      <c r="U9" s="641">
        <v>45961</v>
      </c>
      <c r="V9" s="641">
        <v>45964</v>
      </c>
      <c r="W9" s="640" t="s">
        <v>595</v>
      </c>
      <c r="X9" s="644" t="s">
        <v>320</v>
      </c>
      <c r="Y9" s="640" t="s">
        <v>323</v>
      </c>
      <c r="Z9" s="641">
        <v>45964</v>
      </c>
      <c r="AA9" s="644" t="s">
        <v>320</v>
      </c>
      <c r="AB9" s="640" t="s">
        <v>320</v>
      </c>
      <c r="AC9" s="640" t="s">
        <v>320</v>
      </c>
      <c r="AD9" s="703" t="s">
        <v>835</v>
      </c>
    </row>
    <row r="10" spans="1:30" s="603" customFormat="1" ht="60.75">
      <c r="A10" s="596">
        <v>9</v>
      </c>
      <c r="B10" s="700" t="s">
        <v>5</v>
      </c>
      <c r="C10" s="590">
        <v>45953</v>
      </c>
      <c r="D10" s="590">
        <v>45967</v>
      </c>
      <c r="E10" s="951" t="s">
        <v>827</v>
      </c>
      <c r="F10" s="951" t="s">
        <v>233</v>
      </c>
      <c r="G10" s="597" t="s">
        <v>771</v>
      </c>
      <c r="H10" s="930" t="s">
        <v>772</v>
      </c>
      <c r="I10" s="626" t="s">
        <v>278</v>
      </c>
      <c r="J10" s="953">
        <v>3</v>
      </c>
      <c r="K10" s="626"/>
      <c r="L10" s="626"/>
      <c r="M10" s="624">
        <v>45964</v>
      </c>
      <c r="N10" s="624"/>
      <c r="O10" s="599"/>
      <c r="P10" s="627"/>
      <c r="Q10" s="626"/>
      <c r="R10" s="599"/>
      <c r="S10" s="954"/>
      <c r="T10" s="706"/>
      <c r="U10" s="624"/>
      <c r="V10" s="624"/>
      <c r="W10" s="626"/>
      <c r="X10" s="629"/>
      <c r="Y10" s="626"/>
      <c r="Z10" s="624"/>
      <c r="AA10" s="629"/>
      <c r="AB10" s="626"/>
      <c r="AC10" s="626"/>
      <c r="AD10" s="707" t="s">
        <v>836</v>
      </c>
    </row>
    <row r="11" spans="1:30" ht="15">
      <c r="A11" s="640">
        <v>10</v>
      </c>
      <c r="B11" s="640" t="s">
        <v>5</v>
      </c>
      <c r="C11" s="704">
        <v>45953</v>
      </c>
      <c r="D11" s="704">
        <v>45967</v>
      </c>
      <c r="E11" s="955" t="s">
        <v>827</v>
      </c>
      <c r="F11" s="956" t="s">
        <v>740</v>
      </c>
      <c r="G11" s="642" t="s">
        <v>777</v>
      </c>
      <c r="H11" s="942" t="s">
        <v>778</v>
      </c>
      <c r="I11" s="640" t="s">
        <v>278</v>
      </c>
      <c r="J11" s="957">
        <v>5</v>
      </c>
      <c r="K11" s="640"/>
      <c r="L11" s="640"/>
      <c r="M11" s="641">
        <v>45964</v>
      </c>
      <c r="N11" s="641"/>
      <c r="O11" s="642"/>
      <c r="P11" s="643"/>
      <c r="Q11" s="640"/>
      <c r="R11" s="642"/>
      <c r="S11" s="958"/>
      <c r="T11" s="705"/>
      <c r="U11" s="641"/>
      <c r="V11" s="641"/>
      <c r="W11" s="640"/>
      <c r="X11" s="644"/>
      <c r="Y11" s="640"/>
      <c r="Z11" s="641"/>
      <c r="AA11" s="644"/>
      <c r="AB11" s="640"/>
      <c r="AC11" s="640"/>
      <c r="AD11" s="703" t="s">
        <v>837</v>
      </c>
    </row>
  </sheetData>
  <hyperlinks>
    <hyperlink ref="T3" r:id="rId1" xr:uid="{0390E3F9-98FB-4E45-B381-31F870E60018}"/>
    <hyperlink ref="T4" r:id="rId2" xr:uid="{8E6FA28F-43A0-4859-8B1A-800FD0707865}"/>
    <hyperlink ref="T2" r:id="rId3" xr:uid="{C30360B6-B5AB-405C-818F-EC1F4C842D6F}"/>
    <hyperlink ref="T8" r:id="rId4" xr:uid="{AB1FB916-C04F-4151-9CA5-9155E0D48EAA}"/>
    <hyperlink ref="T9" r:id="rId5" xr:uid="{32CC8A16-18FA-4014-8579-5CC4E91192B2}"/>
    <hyperlink ref="T6" r:id="rId6" xr:uid="{D3CD12B6-25FD-4A23-B23A-969BB3F59E13}"/>
    <hyperlink ref="T5" r:id="rId7" xr:uid="{9473D09E-83A9-4CE9-9F53-8CBA3636553D}"/>
  </hyperlinks>
  <pageMargins left="0.7" right="0.7" top="0.75" bottom="0.75" header="0.3" footer="0.3"/>
  <tableParts count="1">
    <tablePart r:id="rId8"/>
  </tableParts>
  <extLst>
    <ext xmlns:x14="http://schemas.microsoft.com/office/spreadsheetml/2009/9/main" uri="{CCE6A557-97BC-4b89-ADB6-D9C93CAAB3DF}">
      <x14:dataValidations xmlns:xm="http://schemas.microsoft.com/office/excel/2006/main" count="1">
        <x14:dataValidation type="list" allowBlank="1" showErrorMessage="1" xr:uid="{17E07885-B38B-4A8A-B9EE-523FC1EA14D5}">
          <x14:formula1>
            <xm:f>Settings!$C$3:$C$20</xm:f>
          </x14:formula1>
          <xm:sqref>I2:I11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87ED5-105C-497E-B512-5C307DEB137B}">
  <sheetPr>
    <outlinePr summaryBelow="0" summaryRight="0"/>
  </sheetPr>
  <dimension ref="A1:AB985"/>
  <sheetViews>
    <sheetView topLeftCell="B1" workbookViewId="0">
      <selection activeCell="B1" sqref="B1"/>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54.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248</v>
      </c>
      <c r="B1" s="1" t="s">
        <v>305</v>
      </c>
      <c r="C1" s="198" t="s">
        <v>306</v>
      </c>
      <c r="D1" s="198" t="s">
        <v>307</v>
      </c>
      <c r="E1" s="1" t="s">
        <v>250</v>
      </c>
      <c r="F1" s="198" t="s">
        <v>308</v>
      </c>
      <c r="G1" s="198" t="s">
        <v>309</v>
      </c>
      <c r="H1" s="1" t="s">
        <v>310</v>
      </c>
      <c r="I1" s="1" t="s">
        <v>311</v>
      </c>
      <c r="J1" s="1" t="s">
        <v>312</v>
      </c>
      <c r="K1" s="1" t="s">
        <v>253</v>
      </c>
      <c r="L1" s="156" t="s">
        <v>313</v>
      </c>
      <c r="M1" s="8" t="s">
        <v>274</v>
      </c>
      <c r="N1" s="483" t="s">
        <v>314</v>
      </c>
      <c r="O1" s="483" t="s">
        <v>315</v>
      </c>
      <c r="P1" s="35"/>
      <c r="Q1" s="35"/>
      <c r="R1" s="35"/>
      <c r="S1" s="35"/>
      <c r="T1" s="35"/>
      <c r="U1" s="35"/>
      <c r="V1" s="35"/>
      <c r="W1" s="35"/>
      <c r="X1" s="35"/>
      <c r="Y1" s="35"/>
      <c r="Z1" s="35"/>
      <c r="AA1" s="35"/>
      <c r="AB1" s="35"/>
    </row>
    <row r="2" spans="1:28" ht="108.75" customHeight="1">
      <c r="F2" s="221"/>
      <c r="G2" s="144"/>
      <c r="H2" s="126"/>
      <c r="I2" s="126"/>
      <c r="J2" s="126"/>
      <c r="K2" s="126"/>
      <c r="L2" s="126"/>
      <c r="M2" s="144"/>
      <c r="O2" s="144"/>
    </row>
    <row r="3" spans="1:28" ht="116.25" customHeight="1">
      <c r="F3" s="221"/>
      <c r="G3" s="144"/>
      <c r="H3" s="126"/>
      <c r="I3" s="126"/>
      <c r="J3" s="126"/>
      <c r="K3" s="126"/>
      <c r="L3" s="126"/>
      <c r="M3" s="144"/>
      <c r="O3" s="144"/>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autoFilter ref="A1:M1" xr:uid="{3A2BB050-11AC-4ED7-A296-96B42C7FCFBA}"/>
  <dataValidations count="5">
    <dataValidation type="list" allowBlank="1" showErrorMessage="1" sqref="F2:F3" xr:uid="{AB3DE8B9-4DE1-41E8-A235-CA543F223B96}">
      <formula1>"Bounceback,Defect,None"</formula1>
    </dataValidation>
    <dataValidation type="list" allowBlank="1" showErrorMessage="1" sqref="J2:J3" xr:uid="{670085C9-9FFB-4295-9131-DDAF6A967F9C}">
      <formula1>"Internal,External"</formula1>
    </dataValidation>
    <dataValidation type="list" allowBlank="1" showErrorMessage="1" sqref="H2:H3" xr:uid="{3F3CBF8F-054D-4B8E-8876-A7A105646E3F}">
      <formula1>"Minor,Significant,Major"</formula1>
    </dataValidation>
    <dataValidation type="list" allowBlank="1" showErrorMessage="1" sqref="I2:I3" xr:uid="{9F61EA88-05DC-4046-BA93-E750DF48F44E}">
      <formula1>"Manual, Automation"</formula1>
    </dataValidation>
    <dataValidation type="list" allowBlank="1" showErrorMessage="1" sqref="K2:K3" xr:uid="{72619671-1783-4BAF-95ED-1488F1DF640A}">
      <formula1>"Open,Inprogress,Closed"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2ADECBDB-B9C8-4B75-9519-6B87373BC0AC}">
          <x14:formula1>
            <xm:f>Details!$A$2:$A$10</xm:f>
          </x14:formula1>
          <xm:sqref>L2:L3</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69E88-C0AB-47BD-A605-3B8206D39C7F}">
  <dimension ref="A1:AD10"/>
  <sheetViews>
    <sheetView workbookViewId="0">
      <pane xSplit="7" ySplit="1" topLeftCell="H2" activePane="bottomRight" state="frozen"/>
      <selection pane="bottomRight" activeCell="A2" sqref="A2"/>
      <selection pane="bottomLeft"/>
      <selection pane="topRight"/>
    </sheetView>
  </sheetViews>
  <sheetFormatPr defaultRowHeight="12.75"/>
  <cols>
    <col min="2" max="2" width="13.28515625" customWidth="1"/>
    <col min="3" max="3" width="10.7109375" customWidth="1"/>
    <col min="4" max="4" width="12.140625" customWidth="1"/>
    <col min="5" max="5" width="40.7109375" customWidth="1"/>
    <col min="6" max="6" width="29.7109375" customWidth="1"/>
    <col min="7" max="7" width="18.85546875" customWidth="1"/>
    <col min="8" max="8" width="57.42578125" style="137" customWidth="1"/>
    <col min="9" max="9" width="16.85546875" customWidth="1"/>
    <col min="10" max="11" width="11.42578125" bestFit="1" customWidth="1"/>
    <col min="12" max="12" width="25.5703125" customWidth="1"/>
    <col min="13" max="14" width="11.42578125" customWidth="1"/>
    <col min="15" max="15" width="13.140625" customWidth="1"/>
    <col min="16" max="16" width="17" style="144" bestFit="1" customWidth="1"/>
    <col min="17" max="17" width="59.28515625" customWidth="1"/>
    <col min="18" max="18" width="23.7109375" customWidth="1"/>
    <col min="19" max="19" width="14.85546875" customWidth="1"/>
    <col min="20" max="20" width="24.42578125" style="144" customWidth="1"/>
    <col min="21" max="22" width="12.7109375" bestFit="1" customWidth="1"/>
    <col min="23" max="23" width="20.5703125" customWidth="1"/>
    <col min="24" max="24" width="11.42578125" style="144" bestFit="1" customWidth="1"/>
    <col min="25" max="25" width="11.42578125" bestFit="1" customWidth="1"/>
    <col min="26" max="26" width="12.7109375" bestFit="1" customWidth="1"/>
    <col min="27" max="27" width="52.140625" customWidth="1"/>
    <col min="28" max="29" width="11.42578125" bestFit="1" customWidth="1"/>
    <col min="30" max="30" width="58.42578125" bestFit="1" customWidth="1"/>
  </cols>
  <sheetData>
    <row r="1" spans="1:30" ht="46.5">
      <c r="A1" s="379" t="s">
        <v>248</v>
      </c>
      <c r="B1" s="501" t="s">
        <v>4</v>
      </c>
      <c r="C1" s="501" t="s">
        <v>2</v>
      </c>
      <c r="D1" s="501" t="s">
        <v>3</v>
      </c>
      <c r="E1" s="380" t="s">
        <v>249</v>
      </c>
      <c r="F1" s="381" t="s">
        <v>250</v>
      </c>
      <c r="G1" s="382" t="s">
        <v>251</v>
      </c>
      <c r="H1" s="383" t="s">
        <v>252</v>
      </c>
      <c r="I1" s="383" t="s">
        <v>253</v>
      </c>
      <c r="J1" s="384" t="s">
        <v>254</v>
      </c>
      <c r="K1" s="384" t="s">
        <v>255</v>
      </c>
      <c r="L1" s="384" t="s">
        <v>256</v>
      </c>
      <c r="M1" s="384" t="s">
        <v>257</v>
      </c>
      <c r="N1" s="384" t="s">
        <v>258</v>
      </c>
      <c r="O1" s="385" t="s">
        <v>259</v>
      </c>
      <c r="P1" s="385" t="s">
        <v>260</v>
      </c>
      <c r="Q1" s="385" t="s">
        <v>261</v>
      </c>
      <c r="R1" s="385" t="s">
        <v>262</v>
      </c>
      <c r="S1" s="385" t="s">
        <v>263</v>
      </c>
      <c r="T1" s="385" t="s">
        <v>264</v>
      </c>
      <c r="U1" s="385" t="s">
        <v>265</v>
      </c>
      <c r="V1" s="385" t="s">
        <v>266</v>
      </c>
      <c r="W1" s="385" t="s">
        <v>267</v>
      </c>
      <c r="X1" s="385" t="s">
        <v>268</v>
      </c>
      <c r="Y1" s="385" t="s">
        <v>269</v>
      </c>
      <c r="Z1" s="385" t="s">
        <v>270</v>
      </c>
      <c r="AA1" s="385" t="s">
        <v>271</v>
      </c>
      <c r="AB1" s="385" t="s">
        <v>272</v>
      </c>
      <c r="AC1" s="385" t="s">
        <v>273</v>
      </c>
      <c r="AD1" s="386" t="s">
        <v>274</v>
      </c>
    </row>
    <row r="2" spans="1:30" ht="150.75" customHeight="1">
      <c r="A2" s="531">
        <v>1</v>
      </c>
      <c r="B2" s="531" t="s">
        <v>5</v>
      </c>
      <c r="C2" s="532">
        <v>45939</v>
      </c>
      <c r="D2" s="532">
        <v>45953</v>
      </c>
      <c r="E2" s="533" t="s">
        <v>165</v>
      </c>
      <c r="F2" s="533" t="s">
        <v>838</v>
      </c>
      <c r="G2" s="543" t="s">
        <v>839</v>
      </c>
      <c r="H2" s="545" t="s">
        <v>840</v>
      </c>
      <c r="I2" s="531" t="s">
        <v>13</v>
      </c>
      <c r="J2" s="531">
        <v>5</v>
      </c>
      <c r="K2" s="531"/>
      <c r="L2" s="531">
        <v>214.25</v>
      </c>
      <c r="M2" s="532">
        <v>45940</v>
      </c>
      <c r="N2" s="532">
        <v>45952</v>
      </c>
      <c r="O2" s="544" t="s">
        <v>318</v>
      </c>
      <c r="P2" s="544" t="s">
        <v>517</v>
      </c>
      <c r="Q2" s="545" t="s">
        <v>841</v>
      </c>
      <c r="R2" s="519"/>
      <c r="S2" s="514"/>
      <c r="T2" s="669" t="s">
        <v>842</v>
      </c>
      <c r="U2" s="670">
        <v>45947</v>
      </c>
      <c r="V2" s="671">
        <v>45953</v>
      </c>
      <c r="W2" s="531" t="s">
        <v>448</v>
      </c>
      <c r="X2" s="531"/>
      <c r="Y2" s="531" t="s">
        <v>323</v>
      </c>
      <c r="Z2" s="671">
        <v>45953</v>
      </c>
      <c r="AA2" s="694" t="s">
        <v>843</v>
      </c>
      <c r="AB2" s="562" t="s">
        <v>320</v>
      </c>
      <c r="AC2" s="562" t="s">
        <v>320</v>
      </c>
      <c r="AD2" s="672" t="s">
        <v>844</v>
      </c>
    </row>
    <row r="3" spans="1:30" s="689" customFormat="1" ht="222" customHeight="1">
      <c r="A3" s="673">
        <v>2</v>
      </c>
      <c r="B3" s="673" t="s">
        <v>5</v>
      </c>
      <c r="C3" s="674">
        <v>45939</v>
      </c>
      <c r="D3" s="674">
        <v>45953</v>
      </c>
      <c r="E3" s="673" t="s">
        <v>165</v>
      </c>
      <c r="F3" s="673" t="s">
        <v>293</v>
      </c>
      <c r="G3" s="673" t="s">
        <v>819</v>
      </c>
      <c r="H3" s="938" t="s">
        <v>845</v>
      </c>
      <c r="I3" s="673" t="s">
        <v>278</v>
      </c>
      <c r="J3" s="938">
        <v>3</v>
      </c>
      <c r="K3" s="673"/>
      <c r="L3" s="673">
        <v>70.5</v>
      </c>
      <c r="M3" s="674">
        <v>45940</v>
      </c>
      <c r="N3" s="674"/>
      <c r="O3" s="673" t="s">
        <v>318</v>
      </c>
      <c r="P3" s="677" t="s">
        <v>517</v>
      </c>
      <c r="Q3" s="677" t="s">
        <v>846</v>
      </c>
      <c r="R3" s="673" t="s">
        <v>232</v>
      </c>
      <c r="S3" s="962"/>
      <c r="T3" s="688" t="s">
        <v>847</v>
      </c>
      <c r="U3" s="674">
        <v>45947</v>
      </c>
      <c r="V3" s="674"/>
      <c r="W3" s="673"/>
      <c r="X3" s="677"/>
      <c r="Y3" s="673"/>
      <c r="Z3" s="674"/>
      <c r="AA3" s="677"/>
      <c r="AB3" s="673"/>
      <c r="AC3" s="673"/>
      <c r="AD3" s="693" t="s">
        <v>848</v>
      </c>
    </row>
    <row r="4" spans="1:30" s="687" customFormat="1" ht="137.25">
      <c r="A4" s="665">
        <v>3</v>
      </c>
      <c r="B4" s="543" t="s">
        <v>5</v>
      </c>
      <c r="C4" s="556">
        <v>45939</v>
      </c>
      <c r="D4" s="556">
        <v>45953</v>
      </c>
      <c r="E4" s="543" t="s">
        <v>165</v>
      </c>
      <c r="F4" s="937" t="s">
        <v>689</v>
      </c>
      <c r="G4" s="663" t="s">
        <v>849</v>
      </c>
      <c r="H4" s="937" t="s">
        <v>850</v>
      </c>
      <c r="I4" s="663" t="s">
        <v>13</v>
      </c>
      <c r="J4" s="936">
        <v>3</v>
      </c>
      <c r="K4" s="663"/>
      <c r="L4" s="663">
        <v>112.25</v>
      </c>
      <c r="M4" s="684">
        <v>45940</v>
      </c>
      <c r="N4" s="684">
        <v>45953</v>
      </c>
      <c r="O4" s="663" t="s">
        <v>318</v>
      </c>
      <c r="P4" s="679"/>
      <c r="Q4" s="679"/>
      <c r="R4" s="663" t="s">
        <v>595</v>
      </c>
      <c r="S4" s="937" t="s">
        <v>320</v>
      </c>
      <c r="T4" s="686"/>
      <c r="U4" s="684"/>
      <c r="V4" s="684"/>
      <c r="W4" s="663"/>
      <c r="X4" s="679"/>
      <c r="Y4" s="663"/>
      <c r="Z4" s="684"/>
      <c r="AA4" s="679"/>
      <c r="AB4" s="663"/>
      <c r="AC4" s="663"/>
      <c r="AD4" s="679" t="s">
        <v>851</v>
      </c>
    </row>
    <row r="5" spans="1:30" s="692" customFormat="1" ht="45.75">
      <c r="A5" s="604">
        <v>4</v>
      </c>
      <c r="B5" s="604" t="s">
        <v>5</v>
      </c>
      <c r="C5" s="605">
        <v>45939</v>
      </c>
      <c r="D5" s="605">
        <v>45953</v>
      </c>
      <c r="E5" s="604" t="s">
        <v>165</v>
      </c>
      <c r="F5" s="673" t="s">
        <v>852</v>
      </c>
      <c r="G5" s="673" t="s">
        <v>853</v>
      </c>
      <c r="H5" s="938" t="s">
        <v>854</v>
      </c>
      <c r="I5" s="673" t="s">
        <v>13</v>
      </c>
      <c r="J5" s="690">
        <v>2</v>
      </c>
      <c r="K5" s="673"/>
      <c r="L5" s="673">
        <v>12</v>
      </c>
      <c r="M5" s="674">
        <v>45940</v>
      </c>
      <c r="N5" s="674">
        <v>45940</v>
      </c>
      <c r="O5" s="673" t="s">
        <v>318</v>
      </c>
      <c r="P5" s="677" t="s">
        <v>517</v>
      </c>
      <c r="Q5" s="677" t="s">
        <v>855</v>
      </c>
      <c r="R5" s="673" t="s">
        <v>595</v>
      </c>
      <c r="S5" s="938" t="s">
        <v>320</v>
      </c>
      <c r="T5" s="691" t="s">
        <v>856</v>
      </c>
      <c r="U5" s="674">
        <v>45940</v>
      </c>
      <c r="V5" s="674">
        <v>45945</v>
      </c>
      <c r="W5" s="673" t="s">
        <v>595</v>
      </c>
      <c r="X5" s="677" t="s">
        <v>320</v>
      </c>
      <c r="Y5" s="673" t="s">
        <v>323</v>
      </c>
      <c r="Z5" s="674">
        <v>45945</v>
      </c>
      <c r="AA5" s="677" t="s">
        <v>857</v>
      </c>
      <c r="AB5" s="673" t="s">
        <v>320</v>
      </c>
      <c r="AC5" s="673" t="s">
        <v>320</v>
      </c>
      <c r="AD5" s="676" t="s">
        <v>858</v>
      </c>
    </row>
    <row r="6" spans="1:30" s="603" customFormat="1" ht="46.5">
      <c r="A6" s="665">
        <v>5</v>
      </c>
      <c r="B6" s="600" t="s">
        <v>5</v>
      </c>
      <c r="C6" s="532">
        <v>45939</v>
      </c>
      <c r="D6" s="532">
        <v>45953</v>
      </c>
      <c r="E6" s="625" t="s">
        <v>859</v>
      </c>
      <c r="F6" s="963" t="s">
        <v>448</v>
      </c>
      <c r="G6" s="663" t="s">
        <v>860</v>
      </c>
      <c r="H6" s="937" t="s">
        <v>861</v>
      </c>
      <c r="I6" s="665" t="s">
        <v>13</v>
      </c>
      <c r="J6" s="968">
        <v>2</v>
      </c>
      <c r="K6" s="665"/>
      <c r="L6" s="665">
        <v>7.5</v>
      </c>
      <c r="M6" s="670">
        <v>45951</v>
      </c>
      <c r="N6" s="670">
        <v>45952</v>
      </c>
      <c r="O6" s="663" t="s">
        <v>318</v>
      </c>
      <c r="P6" s="679" t="s">
        <v>448</v>
      </c>
      <c r="Q6" s="679" t="s">
        <v>320</v>
      </c>
      <c r="R6" s="663" t="s">
        <v>323</v>
      </c>
      <c r="S6" s="964" t="s">
        <v>320</v>
      </c>
      <c r="T6" s="667" t="s">
        <v>862</v>
      </c>
      <c r="U6" s="670">
        <v>45953</v>
      </c>
      <c r="V6" s="670">
        <v>45953</v>
      </c>
      <c r="W6" s="665" t="s">
        <v>448</v>
      </c>
      <c r="X6" s="680" t="s">
        <v>320</v>
      </c>
      <c r="Y6" s="665" t="s">
        <v>323</v>
      </c>
      <c r="Z6" s="670">
        <v>45953</v>
      </c>
      <c r="AA6" s="680" t="s">
        <v>320</v>
      </c>
      <c r="AB6" s="665" t="s">
        <v>320</v>
      </c>
      <c r="AC6" s="665" t="s">
        <v>320</v>
      </c>
      <c r="AD6" s="682"/>
    </row>
    <row r="7" spans="1:30" s="621" customFormat="1" ht="15">
      <c r="A7" s="673">
        <v>6</v>
      </c>
      <c r="B7" s="604" t="s">
        <v>5</v>
      </c>
      <c r="C7" s="605">
        <v>45939</v>
      </c>
      <c r="D7" s="674">
        <v>45953</v>
      </c>
      <c r="E7" s="606" t="s">
        <v>863</v>
      </c>
      <c r="F7" s="969" t="s">
        <v>448</v>
      </c>
      <c r="G7" s="664" t="s">
        <v>864</v>
      </c>
      <c r="H7" s="939" t="s">
        <v>865</v>
      </c>
      <c r="I7" s="673" t="s">
        <v>13</v>
      </c>
      <c r="J7" s="962">
        <v>1</v>
      </c>
      <c r="K7" s="673"/>
      <c r="L7" s="673">
        <v>0.75</v>
      </c>
      <c r="M7" s="674">
        <v>45951</v>
      </c>
      <c r="N7" s="674">
        <v>45953</v>
      </c>
      <c r="O7" s="664"/>
      <c r="P7" s="676"/>
      <c r="Q7" s="673"/>
      <c r="R7" s="664"/>
      <c r="S7" s="970"/>
      <c r="T7" s="668"/>
      <c r="U7" s="674"/>
      <c r="V7" s="674"/>
      <c r="W7" s="673"/>
      <c r="X7" s="677"/>
      <c r="Y7" s="673"/>
      <c r="Z7" s="674"/>
      <c r="AA7" s="677"/>
      <c r="AB7" s="673"/>
      <c r="AC7" s="673"/>
      <c r="AD7" s="683" t="s">
        <v>866</v>
      </c>
    </row>
    <row r="8" spans="1:30" s="603" customFormat="1" ht="15">
      <c r="A8" s="665"/>
      <c r="B8" s="600"/>
      <c r="C8" s="532"/>
      <c r="D8" s="532"/>
      <c r="E8" s="625"/>
      <c r="F8" s="963"/>
      <c r="G8" s="663"/>
      <c r="H8" s="937"/>
      <c r="I8" s="665"/>
      <c r="J8" s="968"/>
      <c r="K8" s="665"/>
      <c r="L8" s="665"/>
      <c r="M8" s="670"/>
      <c r="N8" s="670"/>
      <c r="O8" s="663"/>
      <c r="P8" s="679"/>
      <c r="Q8" s="665"/>
      <c r="R8" s="663"/>
      <c r="S8" s="964"/>
      <c r="T8" s="667"/>
      <c r="U8" s="670"/>
      <c r="V8" s="670"/>
      <c r="W8" s="665"/>
      <c r="X8" s="680"/>
      <c r="Y8" s="665"/>
      <c r="Z8" s="670"/>
      <c r="AA8" s="680"/>
      <c r="AB8" s="665"/>
      <c r="AC8" s="665"/>
      <c r="AD8" s="681"/>
    </row>
    <row r="9" spans="1:30" s="621" customFormat="1" ht="15">
      <c r="A9" s="673"/>
      <c r="B9" s="673"/>
      <c r="C9" s="674"/>
      <c r="D9" s="675"/>
      <c r="E9" s="664"/>
      <c r="F9" s="664"/>
      <c r="G9" s="664"/>
      <c r="H9" s="939"/>
      <c r="I9" s="673"/>
      <c r="J9" s="962"/>
      <c r="K9" s="673"/>
      <c r="L9" s="673"/>
      <c r="M9" s="674"/>
      <c r="N9" s="674"/>
      <c r="O9" s="664"/>
      <c r="P9" s="676"/>
      <c r="Q9" s="673"/>
      <c r="R9" s="664"/>
      <c r="S9" s="970"/>
      <c r="T9" s="666"/>
      <c r="U9" s="674"/>
      <c r="V9" s="674"/>
      <c r="W9" s="673"/>
      <c r="X9" s="677"/>
      <c r="Y9" s="673"/>
      <c r="Z9" s="674"/>
      <c r="AA9" s="677"/>
      <c r="AB9" s="673"/>
      <c r="AC9" s="673"/>
      <c r="AD9" s="678"/>
    </row>
    <row r="10" spans="1:30" s="603" customFormat="1" ht="15">
      <c r="A10" s="665"/>
      <c r="B10" s="665"/>
      <c r="C10" s="670"/>
      <c r="D10" s="684"/>
      <c r="E10" s="665"/>
      <c r="F10" s="665"/>
      <c r="G10" s="663"/>
      <c r="H10" s="936"/>
      <c r="I10" s="665"/>
      <c r="J10" s="936"/>
      <c r="K10" s="665"/>
      <c r="L10" s="665"/>
      <c r="M10" s="670"/>
      <c r="N10" s="670"/>
      <c r="O10" s="663"/>
      <c r="P10" s="679"/>
      <c r="Q10" s="665"/>
      <c r="R10" s="663"/>
      <c r="S10" s="936"/>
      <c r="T10" s="667"/>
      <c r="U10" s="670"/>
      <c r="V10" s="670"/>
      <c r="W10" s="665"/>
      <c r="X10" s="680"/>
      <c r="Y10" s="665"/>
      <c r="Z10" s="670"/>
      <c r="AA10" s="680"/>
      <c r="AB10" s="665"/>
      <c r="AC10" s="665"/>
      <c r="AD10" s="665"/>
    </row>
  </sheetData>
  <hyperlinks>
    <hyperlink ref="T2" r:id="rId1" xr:uid="{311B520C-A460-4083-8372-3BDAB2BB01B4}"/>
    <hyperlink ref="T3" r:id="rId2" xr:uid="{50D33859-D0D7-445E-9B8C-5E4BE6B0ABE4}"/>
    <hyperlink ref="T6" r:id="rId3" xr:uid="{2BE8ED0D-4D54-4D5E-B87D-5B264A8BD56B}"/>
  </hyperlinks>
  <pageMargins left="0.7" right="0.7" top="0.75" bottom="0.75" header="0.3" footer="0.3"/>
  <tableParts count="1">
    <tablePart r:id="rId4"/>
  </tableParts>
  <extLst>
    <ext xmlns:x14="http://schemas.microsoft.com/office/spreadsheetml/2009/9/main" uri="{CCE6A557-97BC-4b89-ADB6-D9C93CAAB3DF}">
      <x14:dataValidations xmlns:xm="http://schemas.microsoft.com/office/excel/2006/main" count="1">
        <x14:dataValidation type="list" allowBlank="1" showErrorMessage="1" xr:uid="{0E335380-062B-405F-A84F-214B93B0FD8F}">
          <x14:formula1>
            <xm:f>Settings!$C$3:$C$20</xm:f>
          </x14:formula1>
          <xm:sqref>I2:I10</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DBF12-6105-46BD-961C-6B2354E59FB3}">
  <sheetPr>
    <outlinePr summaryBelow="0" summaryRight="0"/>
  </sheetPr>
  <dimension ref="A1:AB985"/>
  <sheetViews>
    <sheetView topLeftCell="B1" workbookViewId="0">
      <selection activeCell="F27" sqref="F27"/>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54.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248</v>
      </c>
      <c r="B1" s="1" t="s">
        <v>305</v>
      </c>
      <c r="C1" s="198" t="s">
        <v>306</v>
      </c>
      <c r="D1" s="198" t="s">
        <v>307</v>
      </c>
      <c r="E1" s="1" t="s">
        <v>250</v>
      </c>
      <c r="F1" s="198" t="s">
        <v>308</v>
      </c>
      <c r="G1" s="198" t="s">
        <v>309</v>
      </c>
      <c r="H1" s="1" t="s">
        <v>310</v>
      </c>
      <c r="I1" s="1" t="s">
        <v>311</v>
      </c>
      <c r="J1" s="1" t="s">
        <v>312</v>
      </c>
      <c r="K1" s="1" t="s">
        <v>253</v>
      </c>
      <c r="L1" s="156" t="s">
        <v>313</v>
      </c>
      <c r="M1" s="8" t="s">
        <v>274</v>
      </c>
      <c r="N1" s="483" t="s">
        <v>314</v>
      </c>
      <c r="O1" s="483" t="s">
        <v>315</v>
      </c>
      <c r="P1" s="35"/>
      <c r="Q1" s="35"/>
      <c r="R1" s="35"/>
      <c r="S1" s="35"/>
      <c r="T1" s="35"/>
      <c r="U1" s="35"/>
      <c r="V1" s="35"/>
      <c r="W1" s="35"/>
      <c r="X1" s="35"/>
      <c r="Y1" s="35"/>
      <c r="Z1" s="35"/>
      <c r="AA1" s="35"/>
      <c r="AB1" s="35"/>
    </row>
    <row r="2" spans="1:28" ht="108.75" customHeight="1">
      <c r="F2" s="221"/>
      <c r="G2" s="144"/>
      <c r="H2" s="126"/>
      <c r="I2" s="126"/>
      <c r="J2" s="126"/>
      <c r="K2" s="126"/>
      <c r="L2" s="126"/>
      <c r="M2" s="144"/>
      <c r="O2" s="144"/>
    </row>
    <row r="3" spans="1:28" ht="116.25" customHeight="1">
      <c r="F3" s="221"/>
      <c r="G3" s="144"/>
      <c r="H3" s="126"/>
      <c r="I3" s="126"/>
      <c r="J3" s="126"/>
      <c r="K3" s="126"/>
      <c r="L3" s="126"/>
      <c r="M3" s="144"/>
      <c r="O3" s="144"/>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autoFilter ref="A1:M1" xr:uid="{3A2BB050-11AC-4ED7-A296-96B42C7FCFBA}"/>
  <dataValidations count="5">
    <dataValidation type="list" allowBlank="1" showErrorMessage="1" sqref="K2:K3" xr:uid="{7919878D-CD3E-4370-BEBA-4A3EA7E5BD10}">
      <formula1>"Open,Inprogress,Closed"</formula1>
    </dataValidation>
    <dataValidation type="list" allowBlank="1" showErrorMessage="1" sqref="I2:I3" xr:uid="{1A826C81-7918-41FA-AD22-E59399BF3B3B}">
      <formula1>"Manual, Automation"</formula1>
    </dataValidation>
    <dataValidation type="list" allowBlank="1" showErrorMessage="1" sqref="H2:H3" xr:uid="{8A41543A-F6A9-43A7-A8B2-B9B3A1357002}">
      <formula1>"Minor,Significant,Major"</formula1>
    </dataValidation>
    <dataValidation type="list" allowBlank="1" showErrorMessage="1" sqref="J2:J3" xr:uid="{CAA6753F-9C6B-4E13-BBCD-A97D99DCAE9A}">
      <formula1>"Internal,External"</formula1>
    </dataValidation>
    <dataValidation type="list" allowBlank="1" showErrorMessage="1" sqref="F2:F3" xr:uid="{FFFA9D21-FAA3-4D32-95F9-07A11E335005}">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A4E4672-CB10-440C-BAB9-005CE103CFEB}">
          <x14:formula1>
            <xm:f>Details!$A$2:$A$10</xm:f>
          </x14:formula1>
          <xm:sqref>L2:L3</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AEA47-38DE-42A3-8CB1-D697B3F9F909}">
  <dimension ref="A1:AD10"/>
  <sheetViews>
    <sheetView workbookViewId="0">
      <pane xSplit="7" ySplit="1" topLeftCell="AD2" activePane="bottomRight" state="frozen"/>
      <selection pane="bottomRight" activeCell="G2" sqref="G2"/>
      <selection pane="bottomLeft"/>
      <selection pane="topRight"/>
    </sheetView>
  </sheetViews>
  <sheetFormatPr defaultRowHeight="12.75"/>
  <cols>
    <col min="2" max="2" width="13.28515625" customWidth="1"/>
    <col min="3" max="3" width="10.7109375" customWidth="1"/>
    <col min="4" max="4" width="12.140625" customWidth="1"/>
    <col min="5" max="5" width="40.7109375" customWidth="1"/>
    <col min="6" max="6" width="29.7109375" customWidth="1"/>
    <col min="7" max="7" width="18.85546875" customWidth="1"/>
    <col min="8" max="8" width="57.42578125" style="137" customWidth="1"/>
    <col min="9" max="9" width="16.85546875" customWidth="1"/>
    <col min="10" max="11" width="11.42578125" bestFit="1" customWidth="1"/>
    <col min="12" max="12" width="25.5703125" customWidth="1"/>
    <col min="13" max="14" width="11.42578125" customWidth="1"/>
    <col min="15" max="15" width="13.140625" customWidth="1"/>
    <col min="16" max="16" width="16" style="144" customWidth="1"/>
    <col min="17" max="17" width="59.28515625" customWidth="1"/>
    <col min="18" max="18" width="23.7109375" customWidth="1"/>
    <col min="19" max="19" width="14.85546875" customWidth="1"/>
    <col min="20" max="20" width="24.42578125" style="144" customWidth="1"/>
    <col min="21" max="22" width="12.7109375" bestFit="1" customWidth="1"/>
    <col min="23" max="23" width="20.5703125" customWidth="1"/>
    <col min="24" max="24" width="11.42578125" style="144" bestFit="1" customWidth="1"/>
    <col min="25" max="25" width="11.42578125" bestFit="1" customWidth="1"/>
    <col min="26" max="26" width="12.7109375" bestFit="1" customWidth="1"/>
    <col min="27" max="27" width="52.140625" customWidth="1"/>
    <col min="28" max="29" width="11.42578125" bestFit="1" customWidth="1"/>
    <col min="30" max="30" width="58.42578125" bestFit="1" customWidth="1"/>
  </cols>
  <sheetData>
    <row r="1" spans="1:30" ht="46.5">
      <c r="A1" s="379" t="s">
        <v>248</v>
      </c>
      <c r="B1" s="501" t="s">
        <v>4</v>
      </c>
      <c r="C1" s="501" t="s">
        <v>2</v>
      </c>
      <c r="D1" s="501" t="s">
        <v>3</v>
      </c>
      <c r="E1" s="380" t="s">
        <v>249</v>
      </c>
      <c r="F1" s="381" t="s">
        <v>250</v>
      </c>
      <c r="G1" s="382" t="s">
        <v>251</v>
      </c>
      <c r="H1" s="383" t="s">
        <v>252</v>
      </c>
      <c r="I1" s="383" t="s">
        <v>253</v>
      </c>
      <c r="J1" s="384" t="s">
        <v>254</v>
      </c>
      <c r="K1" s="384" t="s">
        <v>255</v>
      </c>
      <c r="L1" s="384" t="s">
        <v>256</v>
      </c>
      <c r="M1" s="384" t="s">
        <v>257</v>
      </c>
      <c r="N1" s="384" t="s">
        <v>258</v>
      </c>
      <c r="O1" s="385" t="s">
        <v>259</v>
      </c>
      <c r="P1" s="385" t="s">
        <v>260</v>
      </c>
      <c r="Q1" s="385" t="s">
        <v>261</v>
      </c>
      <c r="R1" s="385" t="s">
        <v>262</v>
      </c>
      <c r="S1" s="385" t="s">
        <v>263</v>
      </c>
      <c r="T1" s="385" t="s">
        <v>264</v>
      </c>
      <c r="U1" s="385" t="s">
        <v>265</v>
      </c>
      <c r="V1" s="385" t="s">
        <v>266</v>
      </c>
      <c r="W1" s="385" t="s">
        <v>267</v>
      </c>
      <c r="X1" s="385" t="s">
        <v>268</v>
      </c>
      <c r="Y1" s="385" t="s">
        <v>269</v>
      </c>
      <c r="Z1" s="385" t="s">
        <v>270</v>
      </c>
      <c r="AA1" s="385" t="s">
        <v>271</v>
      </c>
      <c r="AB1" s="385" t="s">
        <v>272</v>
      </c>
      <c r="AC1" s="385" t="s">
        <v>273</v>
      </c>
      <c r="AD1" s="386" t="s">
        <v>274</v>
      </c>
    </row>
    <row r="2" spans="1:30" ht="282.75" customHeight="1">
      <c r="A2" s="531">
        <v>1</v>
      </c>
      <c r="B2" s="531" t="s">
        <v>5</v>
      </c>
      <c r="C2" s="532">
        <v>45925</v>
      </c>
      <c r="D2" s="532">
        <v>45939</v>
      </c>
      <c r="E2" s="533" t="s">
        <v>160</v>
      </c>
      <c r="F2" s="529" t="s">
        <v>488</v>
      </c>
      <c r="G2" s="554" t="s">
        <v>839</v>
      </c>
      <c r="H2" s="534" t="s">
        <v>840</v>
      </c>
      <c r="I2" s="535" t="s">
        <v>278</v>
      </c>
      <c r="J2" s="536">
        <v>5</v>
      </c>
      <c r="K2" s="537"/>
      <c r="L2" s="537">
        <v>157.75</v>
      </c>
      <c r="M2" s="532">
        <v>45926</v>
      </c>
      <c r="N2" s="532">
        <v>45938</v>
      </c>
      <c r="O2" s="539" t="s">
        <v>318</v>
      </c>
      <c r="P2" s="539" t="s">
        <v>517</v>
      </c>
      <c r="Q2" s="534" t="s">
        <v>867</v>
      </c>
      <c r="R2" s="519"/>
      <c r="S2" s="516"/>
      <c r="T2" s="662" t="s">
        <v>868</v>
      </c>
      <c r="U2" s="624"/>
      <c r="V2" s="590"/>
      <c r="W2" s="537"/>
      <c r="X2" s="537"/>
      <c r="Y2" s="537"/>
      <c r="Z2" s="537"/>
      <c r="AA2" s="562"/>
      <c r="AB2" s="562"/>
      <c r="AC2" s="562"/>
      <c r="AD2" s="685" t="s">
        <v>869</v>
      </c>
    </row>
    <row r="3" spans="1:30" s="621" customFormat="1" ht="91.5">
      <c r="A3" s="632">
        <v>2</v>
      </c>
      <c r="B3" s="604" t="s">
        <v>5</v>
      </c>
      <c r="C3" s="605">
        <v>45925</v>
      </c>
      <c r="D3" s="605">
        <v>45939</v>
      </c>
      <c r="E3" s="606" t="s">
        <v>160</v>
      </c>
      <c r="F3" s="971" t="s">
        <v>233</v>
      </c>
      <c r="G3" s="634" t="s">
        <v>870</v>
      </c>
      <c r="H3" s="972" t="s">
        <v>871</v>
      </c>
      <c r="I3" s="635" t="s">
        <v>13</v>
      </c>
      <c r="J3" s="973">
        <v>3</v>
      </c>
      <c r="K3" s="635">
        <v>3</v>
      </c>
      <c r="L3" s="635">
        <v>56.75</v>
      </c>
      <c r="M3" s="633">
        <v>45926</v>
      </c>
      <c r="N3" s="633">
        <v>45936</v>
      </c>
      <c r="O3" s="634" t="s">
        <v>318</v>
      </c>
      <c r="P3" s="636" t="s">
        <v>517</v>
      </c>
      <c r="Q3" s="636" t="s">
        <v>872</v>
      </c>
      <c r="R3" s="647" t="s">
        <v>232</v>
      </c>
      <c r="S3" s="970" t="s">
        <v>320</v>
      </c>
      <c r="T3" s="649" t="s">
        <v>873</v>
      </c>
      <c r="U3" s="633">
        <v>45938</v>
      </c>
      <c r="V3" s="633">
        <v>45939</v>
      </c>
      <c r="W3" s="635" t="s">
        <v>448</v>
      </c>
      <c r="X3" s="637" t="s">
        <v>579</v>
      </c>
      <c r="Y3" s="635" t="s">
        <v>323</v>
      </c>
      <c r="Z3" s="633">
        <v>45939</v>
      </c>
      <c r="AA3" s="637" t="s">
        <v>320</v>
      </c>
      <c r="AB3" s="635" t="s">
        <v>320</v>
      </c>
      <c r="AC3" s="635" t="s">
        <v>320</v>
      </c>
      <c r="AD3" s="638" t="s">
        <v>874</v>
      </c>
    </row>
    <row r="4" spans="1:30" s="603" customFormat="1" ht="46.5">
      <c r="A4" s="623">
        <v>3</v>
      </c>
      <c r="B4" s="531" t="s">
        <v>5</v>
      </c>
      <c r="C4" s="532">
        <v>45925</v>
      </c>
      <c r="D4" s="532">
        <v>45939</v>
      </c>
      <c r="E4" s="533" t="s">
        <v>160</v>
      </c>
      <c r="F4" s="974" t="s">
        <v>427</v>
      </c>
      <c r="G4" s="599" t="s">
        <v>875</v>
      </c>
      <c r="H4" s="975" t="s">
        <v>876</v>
      </c>
      <c r="I4" s="626" t="s">
        <v>13</v>
      </c>
      <c r="J4" s="976">
        <v>2</v>
      </c>
      <c r="K4" s="626"/>
      <c r="L4" s="626">
        <v>26</v>
      </c>
      <c r="M4" s="624">
        <v>45926</v>
      </c>
      <c r="N4" s="624">
        <v>45930</v>
      </c>
      <c r="O4" s="599" t="s">
        <v>318</v>
      </c>
      <c r="P4" s="627" t="s">
        <v>517</v>
      </c>
      <c r="Q4" s="629" t="s">
        <v>320</v>
      </c>
      <c r="R4" s="648" t="s">
        <v>232</v>
      </c>
      <c r="S4" s="977" t="s">
        <v>320</v>
      </c>
      <c r="T4" s="622" t="s">
        <v>877</v>
      </c>
      <c r="U4" s="624">
        <v>45930</v>
      </c>
      <c r="V4" s="624">
        <v>45934</v>
      </c>
      <c r="W4" s="626" t="s">
        <v>448</v>
      </c>
      <c r="X4" s="629" t="s">
        <v>320</v>
      </c>
      <c r="Y4" s="626" t="s">
        <v>323</v>
      </c>
      <c r="Z4" s="624">
        <v>45934</v>
      </c>
      <c r="AA4" s="629" t="s">
        <v>320</v>
      </c>
      <c r="AB4" s="626" t="s">
        <v>320</v>
      </c>
      <c r="AC4" s="626" t="s">
        <v>320</v>
      </c>
      <c r="AD4" s="630" t="s">
        <v>878</v>
      </c>
    </row>
    <row r="5" spans="1:30" s="621" customFormat="1" ht="60.75">
      <c r="A5" s="632">
        <v>4</v>
      </c>
      <c r="B5" s="604" t="s">
        <v>5</v>
      </c>
      <c r="C5" s="605">
        <v>45925</v>
      </c>
      <c r="D5" s="633">
        <v>45939</v>
      </c>
      <c r="E5" s="606" t="s">
        <v>160</v>
      </c>
      <c r="F5" s="650" t="s">
        <v>879</v>
      </c>
      <c r="G5" s="634" t="s">
        <v>880</v>
      </c>
      <c r="H5" s="972" t="s">
        <v>881</v>
      </c>
      <c r="I5" s="635" t="s">
        <v>13</v>
      </c>
      <c r="J5" s="658">
        <v>5</v>
      </c>
      <c r="K5" s="659">
        <v>5</v>
      </c>
      <c r="L5" s="635">
        <v>45.5</v>
      </c>
      <c r="M5" s="633">
        <v>45926</v>
      </c>
      <c r="N5" s="633">
        <v>45934</v>
      </c>
      <c r="O5" s="634" t="s">
        <v>318</v>
      </c>
      <c r="P5" s="636" t="s">
        <v>517</v>
      </c>
      <c r="Q5" s="653" t="s">
        <v>882</v>
      </c>
      <c r="R5" s="647" t="s">
        <v>427</v>
      </c>
      <c r="S5" s="970"/>
      <c r="T5" s="649" t="s">
        <v>883</v>
      </c>
      <c r="U5" s="633">
        <v>45931</v>
      </c>
      <c r="V5" s="633">
        <v>45934</v>
      </c>
      <c r="W5" s="635" t="s">
        <v>448</v>
      </c>
      <c r="X5" s="637" t="s">
        <v>320</v>
      </c>
      <c r="Y5" s="635" t="s">
        <v>795</v>
      </c>
      <c r="Z5" s="633">
        <v>45934</v>
      </c>
      <c r="AA5" s="637" t="s">
        <v>320</v>
      </c>
      <c r="AB5" s="635" t="s">
        <v>320</v>
      </c>
      <c r="AC5" s="635" t="s">
        <v>320</v>
      </c>
      <c r="AD5" s="638" t="s">
        <v>884</v>
      </c>
    </row>
    <row r="6" spans="1:30" s="603" customFormat="1" ht="46.5">
      <c r="A6" s="623">
        <v>5</v>
      </c>
      <c r="B6" s="600" t="s">
        <v>5</v>
      </c>
      <c r="C6" s="532">
        <v>45925</v>
      </c>
      <c r="D6" s="532">
        <v>45939</v>
      </c>
      <c r="E6" s="625" t="s">
        <v>885</v>
      </c>
      <c r="F6" s="974" t="s">
        <v>427</v>
      </c>
      <c r="G6" s="599" t="s">
        <v>886</v>
      </c>
      <c r="H6" s="975" t="s">
        <v>887</v>
      </c>
      <c r="I6" s="626" t="s">
        <v>13</v>
      </c>
      <c r="J6" s="976">
        <v>1</v>
      </c>
      <c r="K6" s="626"/>
      <c r="L6" s="626">
        <v>9</v>
      </c>
      <c r="M6" s="624">
        <v>45933</v>
      </c>
      <c r="N6" s="624">
        <v>45933</v>
      </c>
      <c r="O6" s="599" t="s">
        <v>318</v>
      </c>
      <c r="P6" s="627" t="s">
        <v>517</v>
      </c>
      <c r="Q6" s="627" t="s">
        <v>888</v>
      </c>
      <c r="R6" s="648" t="s">
        <v>232</v>
      </c>
      <c r="S6" s="964" t="s">
        <v>320</v>
      </c>
      <c r="T6" s="622" t="s">
        <v>889</v>
      </c>
      <c r="U6" s="624">
        <v>45936</v>
      </c>
      <c r="V6" s="624">
        <v>45937</v>
      </c>
      <c r="W6" s="626" t="s">
        <v>448</v>
      </c>
      <c r="X6" s="629" t="s">
        <v>320</v>
      </c>
      <c r="Y6" s="626" t="s">
        <v>323</v>
      </c>
      <c r="Z6" s="624">
        <v>45937</v>
      </c>
      <c r="AA6" s="629" t="s">
        <v>320</v>
      </c>
      <c r="AB6" s="626" t="s">
        <v>320</v>
      </c>
      <c r="AC6" s="626" t="s">
        <v>320</v>
      </c>
      <c r="AD6" s="651" t="s">
        <v>890</v>
      </c>
    </row>
    <row r="7" spans="1:30" s="621" customFormat="1" ht="46.5">
      <c r="A7" s="632">
        <v>6</v>
      </c>
      <c r="B7" s="604" t="s">
        <v>5</v>
      </c>
      <c r="C7" s="605">
        <v>45925</v>
      </c>
      <c r="D7" s="633">
        <v>45939</v>
      </c>
      <c r="E7" s="606" t="s">
        <v>885</v>
      </c>
      <c r="F7" s="978" t="s">
        <v>427</v>
      </c>
      <c r="G7" s="634" t="s">
        <v>891</v>
      </c>
      <c r="H7" s="972" t="s">
        <v>892</v>
      </c>
      <c r="I7" s="635" t="s">
        <v>13</v>
      </c>
      <c r="J7" s="979">
        <v>1</v>
      </c>
      <c r="K7" s="635"/>
      <c r="L7" s="635">
        <v>6</v>
      </c>
      <c r="M7" s="633">
        <v>45933</v>
      </c>
      <c r="N7" s="633">
        <v>45933</v>
      </c>
      <c r="O7" s="634" t="s">
        <v>318</v>
      </c>
      <c r="P7" s="636" t="s">
        <v>517</v>
      </c>
      <c r="Q7" s="635" t="s">
        <v>320</v>
      </c>
      <c r="R7" s="647" t="s">
        <v>232</v>
      </c>
      <c r="S7" s="966" t="s">
        <v>320</v>
      </c>
      <c r="T7" s="649" t="s">
        <v>893</v>
      </c>
      <c r="U7" s="633">
        <v>45936</v>
      </c>
      <c r="V7" s="633">
        <v>45937</v>
      </c>
      <c r="W7" s="635" t="s">
        <v>448</v>
      </c>
      <c r="X7" s="637" t="s">
        <v>320</v>
      </c>
      <c r="Y7" s="635" t="s">
        <v>323</v>
      </c>
      <c r="Z7" s="633">
        <v>45937</v>
      </c>
      <c r="AA7" s="637" t="s">
        <v>320</v>
      </c>
      <c r="AB7" s="635" t="s">
        <v>320</v>
      </c>
      <c r="AC7" s="635" t="s">
        <v>320</v>
      </c>
      <c r="AD7" s="652" t="s">
        <v>894</v>
      </c>
    </row>
    <row r="8" spans="1:30" s="603" customFormat="1" ht="46.5">
      <c r="A8" s="623">
        <v>7</v>
      </c>
      <c r="B8" s="600" t="s">
        <v>5</v>
      </c>
      <c r="C8" s="532">
        <v>45925</v>
      </c>
      <c r="D8" s="532">
        <v>45939</v>
      </c>
      <c r="E8" s="625" t="s">
        <v>885</v>
      </c>
      <c r="F8" s="974" t="s">
        <v>233</v>
      </c>
      <c r="G8" s="599" t="s">
        <v>895</v>
      </c>
      <c r="H8" s="975" t="s">
        <v>896</v>
      </c>
      <c r="I8" s="626" t="s">
        <v>13</v>
      </c>
      <c r="J8" s="976">
        <v>5</v>
      </c>
      <c r="K8" s="626"/>
      <c r="L8" s="626">
        <v>32.25</v>
      </c>
      <c r="M8" s="624">
        <v>45933</v>
      </c>
      <c r="N8" s="624">
        <v>45938</v>
      </c>
      <c r="O8" s="599" t="s">
        <v>318</v>
      </c>
      <c r="P8" s="627" t="s">
        <v>517</v>
      </c>
      <c r="Q8" s="626" t="s">
        <v>320</v>
      </c>
      <c r="R8" s="648" t="s">
        <v>232</v>
      </c>
      <c r="S8" s="964" t="s">
        <v>320</v>
      </c>
      <c r="T8" s="622" t="s">
        <v>897</v>
      </c>
      <c r="U8" s="624">
        <v>45936</v>
      </c>
      <c r="V8" s="624">
        <v>45938</v>
      </c>
      <c r="W8" s="626" t="s">
        <v>448</v>
      </c>
      <c r="X8" s="629" t="s">
        <v>320</v>
      </c>
      <c r="Y8" s="626" t="s">
        <v>323</v>
      </c>
      <c r="Z8" s="624">
        <v>45938</v>
      </c>
      <c r="AA8" s="629" t="s">
        <v>320</v>
      </c>
      <c r="AB8" s="626" t="s">
        <v>320</v>
      </c>
      <c r="AC8" s="626" t="s">
        <v>320</v>
      </c>
      <c r="AD8" s="630" t="s">
        <v>898</v>
      </c>
    </row>
    <row r="9" spans="1:30" s="621" customFormat="1" ht="76.5">
      <c r="A9" s="632">
        <v>8</v>
      </c>
      <c r="B9" s="632" t="s">
        <v>5</v>
      </c>
      <c r="C9" s="655">
        <v>45925</v>
      </c>
      <c r="D9" s="656">
        <v>45939</v>
      </c>
      <c r="E9" s="634" t="s">
        <v>885</v>
      </c>
      <c r="F9" s="634" t="s">
        <v>899</v>
      </c>
      <c r="G9" s="634" t="s">
        <v>819</v>
      </c>
      <c r="H9" s="972" t="s">
        <v>845</v>
      </c>
      <c r="I9" s="635" t="s">
        <v>278</v>
      </c>
      <c r="J9" s="979">
        <v>3</v>
      </c>
      <c r="K9" s="635"/>
      <c r="L9" s="635">
        <v>31.75</v>
      </c>
      <c r="M9" s="633">
        <v>45936</v>
      </c>
      <c r="N9" s="633"/>
      <c r="O9" s="634" t="s">
        <v>318</v>
      </c>
      <c r="P9" s="636"/>
      <c r="Q9" s="635"/>
      <c r="R9" s="647"/>
      <c r="S9" s="970"/>
      <c r="T9" s="654"/>
      <c r="U9" s="633"/>
      <c r="V9" s="633"/>
      <c r="W9" s="635"/>
      <c r="X9" s="637"/>
      <c r="Y9" s="635"/>
      <c r="Z9" s="633"/>
      <c r="AA9" s="637"/>
      <c r="AB9" s="635"/>
      <c r="AC9" s="635"/>
      <c r="AD9" s="638" t="s">
        <v>900</v>
      </c>
    </row>
    <row r="10" spans="1:30" s="603" customFormat="1" ht="46.5">
      <c r="A10" s="623">
        <v>9</v>
      </c>
      <c r="B10" s="623" t="s">
        <v>5</v>
      </c>
      <c r="C10" s="660">
        <v>45925</v>
      </c>
      <c r="D10" s="661">
        <v>45939</v>
      </c>
      <c r="E10" s="623" t="s">
        <v>160</v>
      </c>
      <c r="F10" s="623" t="s">
        <v>448</v>
      </c>
      <c r="G10" s="599" t="s">
        <v>901</v>
      </c>
      <c r="H10" s="935" t="s">
        <v>902</v>
      </c>
      <c r="I10" s="626" t="s">
        <v>13</v>
      </c>
      <c r="J10" s="935">
        <v>1</v>
      </c>
      <c r="K10" s="626"/>
      <c r="L10" s="626">
        <v>8.5</v>
      </c>
      <c r="M10" s="624">
        <v>45927</v>
      </c>
      <c r="N10" s="624">
        <v>45927</v>
      </c>
      <c r="O10" s="599" t="s">
        <v>318</v>
      </c>
      <c r="P10" s="627" t="s">
        <v>448</v>
      </c>
      <c r="Q10" s="626" t="s">
        <v>320</v>
      </c>
      <c r="R10" s="599" t="s">
        <v>323</v>
      </c>
      <c r="S10" s="940" t="s">
        <v>320</v>
      </c>
      <c r="T10" s="657" t="s">
        <v>903</v>
      </c>
      <c r="U10" s="624">
        <v>45927</v>
      </c>
      <c r="V10" s="624">
        <v>45927</v>
      </c>
      <c r="W10" s="626" t="s">
        <v>322</v>
      </c>
      <c r="X10" s="629" t="s">
        <v>579</v>
      </c>
      <c r="Y10" s="626" t="s">
        <v>323</v>
      </c>
      <c r="Z10" s="624">
        <v>45927</v>
      </c>
      <c r="AA10" s="629" t="s">
        <v>320</v>
      </c>
      <c r="AB10" s="626" t="s">
        <v>320</v>
      </c>
      <c r="AC10" s="626" t="s">
        <v>320</v>
      </c>
      <c r="AD10" s="685" t="s">
        <v>869</v>
      </c>
    </row>
  </sheetData>
  <hyperlinks>
    <hyperlink ref="T3" r:id="rId1" xr:uid="{9D05E9BE-6F5B-4DB9-83F5-CB0473D2EB8E}"/>
    <hyperlink ref="T4" r:id="rId2" xr:uid="{8231F764-AFC1-43B3-BC66-33AF9CDD1EE2}"/>
    <hyperlink ref="T6" r:id="rId3" xr:uid="{4B8441FE-48C8-442F-82C3-891EC5560DAE}"/>
    <hyperlink ref="T7" r:id="rId4" xr:uid="{42A59C61-FE83-4611-9AD1-409B5F3AEAD8}"/>
    <hyperlink ref="T5" r:id="rId5" xr:uid="{80F6023C-336A-4C4E-B71B-1DB774891C55}"/>
    <hyperlink ref="T8" r:id="rId6" xr:uid="{A39C877B-2C65-48F5-A147-8FCA8B812CB0}"/>
    <hyperlink ref="T10" r:id="rId7" xr:uid="{1D4637F7-68BF-494B-89DE-5CAF023A16BB}"/>
    <hyperlink ref="T2" r:id="rId8" xr:uid="{765D43E3-ADF9-4C1D-BB61-17441A38AA91}"/>
  </hyperlinks>
  <pageMargins left="0.7" right="0.7" top="0.75" bottom="0.75" header="0.3" footer="0.3"/>
  <tableParts count="1">
    <tablePart r:id="rId9"/>
  </tableParts>
  <extLst>
    <ext xmlns:x14="http://schemas.microsoft.com/office/spreadsheetml/2009/9/main" uri="{CCE6A557-97BC-4b89-ADB6-D9C93CAAB3DF}">
      <x14:dataValidations xmlns:xm="http://schemas.microsoft.com/office/excel/2006/main" count="1">
        <x14:dataValidation type="list" allowBlank="1" showErrorMessage="1" xr:uid="{EA287E8B-45E8-4EA1-AD09-AA7AC41C607F}">
          <x14:formula1>
            <xm:f>Settings!$C$3:$C$20</xm:f>
          </x14:formula1>
          <xm:sqref>I2:I10</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2F0FF-191F-4E56-A656-6848F3B5A009}">
  <dimension ref="A1:AD5"/>
  <sheetViews>
    <sheetView workbookViewId="0">
      <pane xSplit="7" ySplit="1" topLeftCell="H2" activePane="bottomRight" state="frozen"/>
      <selection pane="bottomRight" activeCell="E2" sqref="E2"/>
      <selection pane="bottomLeft"/>
      <selection pane="topRight"/>
    </sheetView>
  </sheetViews>
  <sheetFormatPr defaultRowHeight="12.75"/>
  <cols>
    <col min="2" max="2" width="13.28515625" customWidth="1"/>
    <col min="3" max="3" width="10.7109375" customWidth="1"/>
    <col min="4" max="4" width="12.140625" customWidth="1"/>
    <col min="5" max="5" width="40.7109375" customWidth="1"/>
    <col min="6" max="6" width="29.7109375" customWidth="1"/>
    <col min="7" max="7" width="18.85546875" customWidth="1"/>
    <col min="8" max="8" width="57.42578125" style="137" customWidth="1"/>
    <col min="9" max="9" width="16.85546875" customWidth="1"/>
    <col min="10" max="11" width="11.42578125" bestFit="1" customWidth="1"/>
    <col min="12" max="12" width="25.5703125" customWidth="1"/>
    <col min="13" max="14" width="11.42578125" customWidth="1"/>
    <col min="15" max="15" width="13.140625" customWidth="1"/>
    <col min="16" max="16" width="16" style="144" customWidth="1"/>
    <col min="17" max="17" width="25" customWidth="1"/>
    <col min="18" max="18" width="23.7109375" customWidth="1"/>
    <col min="19" max="19" width="14.85546875" customWidth="1"/>
    <col min="20" max="20" width="24.42578125" style="144" customWidth="1"/>
    <col min="21" max="22" width="12.7109375" bestFit="1" customWidth="1"/>
    <col min="23" max="23" width="20.5703125" customWidth="1"/>
    <col min="24" max="24" width="11.42578125" style="144" bestFit="1" customWidth="1"/>
    <col min="25" max="25" width="11.42578125" bestFit="1" customWidth="1"/>
    <col min="26" max="26" width="12.7109375" bestFit="1" customWidth="1"/>
    <col min="27" max="27" width="52.140625" customWidth="1"/>
    <col min="28" max="29" width="11.42578125" bestFit="1" customWidth="1"/>
    <col min="30" max="30" width="58.42578125" bestFit="1" customWidth="1"/>
  </cols>
  <sheetData>
    <row r="1" spans="1:30" ht="46.5">
      <c r="A1" s="379" t="s">
        <v>248</v>
      </c>
      <c r="B1" s="501" t="s">
        <v>4</v>
      </c>
      <c r="C1" s="501" t="s">
        <v>2</v>
      </c>
      <c r="D1" s="501" t="s">
        <v>3</v>
      </c>
      <c r="E1" s="380" t="s">
        <v>249</v>
      </c>
      <c r="F1" s="381" t="s">
        <v>250</v>
      </c>
      <c r="G1" s="382" t="s">
        <v>251</v>
      </c>
      <c r="H1" s="383" t="s">
        <v>252</v>
      </c>
      <c r="I1" s="383" t="s">
        <v>253</v>
      </c>
      <c r="J1" s="384" t="s">
        <v>254</v>
      </c>
      <c r="K1" s="384" t="s">
        <v>255</v>
      </c>
      <c r="L1" s="384" t="s">
        <v>256</v>
      </c>
      <c r="M1" s="384" t="s">
        <v>257</v>
      </c>
      <c r="N1" s="384" t="s">
        <v>258</v>
      </c>
      <c r="O1" s="385" t="s">
        <v>259</v>
      </c>
      <c r="P1" s="385" t="s">
        <v>260</v>
      </c>
      <c r="Q1" s="385" t="s">
        <v>261</v>
      </c>
      <c r="R1" s="385" t="s">
        <v>262</v>
      </c>
      <c r="S1" s="385" t="s">
        <v>263</v>
      </c>
      <c r="T1" s="385" t="s">
        <v>264</v>
      </c>
      <c r="U1" s="385" t="s">
        <v>265</v>
      </c>
      <c r="V1" s="385" t="s">
        <v>266</v>
      </c>
      <c r="W1" s="385" t="s">
        <v>267</v>
      </c>
      <c r="X1" s="385" t="s">
        <v>268</v>
      </c>
      <c r="Y1" s="385" t="s">
        <v>269</v>
      </c>
      <c r="Z1" s="385" t="s">
        <v>270</v>
      </c>
      <c r="AA1" s="385" t="s">
        <v>271</v>
      </c>
      <c r="AB1" s="385" t="s">
        <v>272</v>
      </c>
      <c r="AC1" s="385" t="s">
        <v>273</v>
      </c>
      <c r="AD1" s="386" t="s">
        <v>274</v>
      </c>
    </row>
    <row r="2" spans="1:30" ht="409.6">
      <c r="A2" s="531">
        <v>1</v>
      </c>
      <c r="B2" s="531" t="s">
        <v>5</v>
      </c>
      <c r="C2" s="532">
        <v>45911</v>
      </c>
      <c r="D2" s="532">
        <v>45925</v>
      </c>
      <c r="E2" s="533" t="s">
        <v>156</v>
      </c>
      <c r="F2" s="529" t="s">
        <v>514</v>
      </c>
      <c r="G2" s="554" t="s">
        <v>904</v>
      </c>
      <c r="H2" s="534" t="s">
        <v>871</v>
      </c>
      <c r="I2" s="535" t="s">
        <v>278</v>
      </c>
      <c r="J2" s="536">
        <v>5</v>
      </c>
      <c r="K2" s="537"/>
      <c r="L2" s="537">
        <v>129.5</v>
      </c>
      <c r="M2" s="532">
        <v>45911</v>
      </c>
      <c r="N2" s="532">
        <v>45925</v>
      </c>
      <c r="O2" s="539" t="s">
        <v>579</v>
      </c>
      <c r="P2" s="539" t="s">
        <v>517</v>
      </c>
      <c r="Q2" s="534" t="s">
        <v>905</v>
      </c>
      <c r="R2" s="519" t="s">
        <v>232</v>
      </c>
      <c r="S2" s="516" t="s">
        <v>320</v>
      </c>
      <c r="T2" s="555" t="s">
        <v>873</v>
      </c>
      <c r="U2" s="624">
        <v>45923</v>
      </c>
      <c r="V2" s="590" t="s">
        <v>320</v>
      </c>
      <c r="W2" s="537" t="s">
        <v>320</v>
      </c>
      <c r="X2" s="537" t="s">
        <v>320</v>
      </c>
      <c r="Y2" s="537" t="s">
        <v>320</v>
      </c>
      <c r="Z2" s="537" t="s">
        <v>320</v>
      </c>
      <c r="AA2" s="562" t="s">
        <v>320</v>
      </c>
      <c r="AB2" s="562" t="s">
        <v>320</v>
      </c>
      <c r="AC2" s="562" t="s">
        <v>320</v>
      </c>
      <c r="AD2" s="593" t="s">
        <v>906</v>
      </c>
    </row>
    <row r="3" spans="1:30" s="621" customFormat="1" ht="60.75">
      <c r="A3" s="632">
        <v>2</v>
      </c>
      <c r="B3" s="604" t="s">
        <v>5</v>
      </c>
      <c r="C3" s="605">
        <v>45911</v>
      </c>
      <c r="D3" s="633">
        <v>45925</v>
      </c>
      <c r="E3" s="606" t="s">
        <v>156</v>
      </c>
      <c r="F3" s="971" t="s">
        <v>232</v>
      </c>
      <c r="G3" s="634" t="s">
        <v>907</v>
      </c>
      <c r="H3" s="972" t="s">
        <v>908</v>
      </c>
      <c r="I3" s="635" t="s">
        <v>13</v>
      </c>
      <c r="J3" s="973">
        <v>2</v>
      </c>
      <c r="K3" s="635"/>
      <c r="L3" s="635">
        <v>62</v>
      </c>
      <c r="M3" s="633">
        <v>45912</v>
      </c>
      <c r="N3" s="633">
        <v>45919</v>
      </c>
      <c r="O3" s="634"/>
      <c r="P3" s="636" t="s">
        <v>517</v>
      </c>
      <c r="Q3" s="636" t="s">
        <v>909</v>
      </c>
      <c r="R3" s="647"/>
      <c r="S3" s="970"/>
      <c r="T3" s="649" t="s">
        <v>910</v>
      </c>
      <c r="U3" s="633">
        <v>45916</v>
      </c>
      <c r="V3" s="633">
        <v>45925</v>
      </c>
      <c r="W3" s="635" t="s">
        <v>448</v>
      </c>
      <c r="X3" s="637" t="s">
        <v>320</v>
      </c>
      <c r="Y3" s="635" t="s">
        <v>323</v>
      </c>
      <c r="Z3" s="633">
        <v>45925</v>
      </c>
      <c r="AA3" s="637" t="s">
        <v>320</v>
      </c>
      <c r="AB3" s="635" t="s">
        <v>320</v>
      </c>
      <c r="AC3" s="635" t="s">
        <v>320</v>
      </c>
      <c r="AD3" s="638" t="s">
        <v>911</v>
      </c>
    </row>
    <row r="4" spans="1:30" s="603" customFormat="1" ht="167.25">
      <c r="A4" s="623">
        <v>3</v>
      </c>
      <c r="B4" s="531" t="s">
        <v>5</v>
      </c>
      <c r="C4" s="532">
        <v>45911</v>
      </c>
      <c r="D4" s="532">
        <v>45925</v>
      </c>
      <c r="E4" s="533" t="s">
        <v>156</v>
      </c>
      <c r="F4" s="974" t="s">
        <v>293</v>
      </c>
      <c r="G4" s="599" t="s">
        <v>912</v>
      </c>
      <c r="H4" s="975" t="s">
        <v>913</v>
      </c>
      <c r="I4" s="626" t="s">
        <v>13</v>
      </c>
      <c r="J4" s="976">
        <v>2</v>
      </c>
      <c r="K4" s="626"/>
      <c r="L4" s="626">
        <v>47.5</v>
      </c>
      <c r="M4" s="624">
        <v>45912</v>
      </c>
      <c r="N4" s="624">
        <v>45923</v>
      </c>
      <c r="O4" s="599" t="s">
        <v>318</v>
      </c>
      <c r="P4" s="627" t="s">
        <v>517</v>
      </c>
      <c r="Q4" s="629" t="s">
        <v>914</v>
      </c>
      <c r="R4" s="648" t="s">
        <v>232</v>
      </c>
      <c r="S4" s="980" t="s">
        <v>320</v>
      </c>
      <c r="T4" s="622" t="s">
        <v>915</v>
      </c>
      <c r="U4" s="624">
        <v>45923</v>
      </c>
      <c r="V4" s="624">
        <v>45924</v>
      </c>
      <c r="W4" s="626" t="s">
        <v>448</v>
      </c>
      <c r="X4" s="629" t="s">
        <v>320</v>
      </c>
      <c r="Y4" s="626" t="s">
        <v>323</v>
      </c>
      <c r="Z4" s="624">
        <v>45924</v>
      </c>
      <c r="AA4" s="629" t="s">
        <v>320</v>
      </c>
      <c r="AB4" s="626" t="s">
        <v>320</v>
      </c>
      <c r="AC4" s="626" t="s">
        <v>320</v>
      </c>
      <c r="AD4" s="630" t="s">
        <v>916</v>
      </c>
    </row>
    <row r="5" spans="1:30" ht="79.5" customHeight="1">
      <c r="A5" s="639">
        <v>4</v>
      </c>
      <c r="B5" s="531" t="s">
        <v>5</v>
      </c>
      <c r="C5" s="641">
        <v>45911</v>
      </c>
      <c r="D5" s="641">
        <v>45925</v>
      </c>
      <c r="E5" s="533" t="s">
        <v>156</v>
      </c>
      <c r="F5" s="645" t="s">
        <v>293</v>
      </c>
      <c r="G5" s="642" t="s">
        <v>917</v>
      </c>
      <c r="H5" s="981" t="s">
        <v>918</v>
      </c>
      <c r="I5" s="640" t="s">
        <v>13</v>
      </c>
      <c r="J5" s="982">
        <v>1</v>
      </c>
      <c r="K5" s="640"/>
      <c r="L5" s="640">
        <v>38.75</v>
      </c>
      <c r="M5" s="641">
        <v>45919</v>
      </c>
      <c r="N5" s="641">
        <v>45924</v>
      </c>
      <c r="O5" s="642" t="s">
        <v>318</v>
      </c>
      <c r="P5" s="643" t="s">
        <v>517</v>
      </c>
      <c r="Q5" s="644" t="s">
        <v>919</v>
      </c>
      <c r="R5" s="642" t="s">
        <v>232</v>
      </c>
      <c r="S5" s="983" t="s">
        <v>320</v>
      </c>
      <c r="T5" s="646" t="s">
        <v>920</v>
      </c>
      <c r="U5" s="641">
        <v>45924</v>
      </c>
      <c r="V5" s="641">
        <v>45924</v>
      </c>
      <c r="W5" s="640" t="s">
        <v>448</v>
      </c>
      <c r="X5" s="644" t="s">
        <v>320</v>
      </c>
      <c r="Y5" s="640" t="s">
        <v>323</v>
      </c>
      <c r="Z5" s="641">
        <v>45924</v>
      </c>
      <c r="AA5" s="644" t="s">
        <v>320</v>
      </c>
      <c r="AB5" s="640" t="s">
        <v>320</v>
      </c>
      <c r="AC5" s="640" t="s">
        <v>320</v>
      </c>
      <c r="AD5" s="551" t="s">
        <v>921</v>
      </c>
    </row>
  </sheetData>
  <hyperlinks>
    <hyperlink ref="T4" r:id="rId1" xr:uid="{4947E720-C222-4343-B9DD-F4E340467656}"/>
    <hyperlink ref="T5" r:id="rId2" xr:uid="{72142786-0784-4264-B283-938AF3FBFD6F}"/>
    <hyperlink ref="T2" r:id="rId3" xr:uid="{C07DDE59-1B83-4B00-BABE-DC3DFC4C4C3D}"/>
    <hyperlink ref="T3" r:id="rId4" xr:uid="{3BD082A0-8BD6-48E4-A842-C43C29AF73E9}"/>
  </hyperlinks>
  <pageMargins left="0.7" right="0.7" top="0.75" bottom="0.75" header="0.3" footer="0.3"/>
  <tableParts count="1">
    <tablePart r:id="rId5"/>
  </tableParts>
  <extLst>
    <ext xmlns:x14="http://schemas.microsoft.com/office/spreadsheetml/2009/9/main" uri="{CCE6A557-97BC-4b89-ADB6-D9C93CAAB3DF}">
      <x14:dataValidations xmlns:xm="http://schemas.microsoft.com/office/excel/2006/main" count="1">
        <x14:dataValidation type="list" allowBlank="1" showErrorMessage="1" xr:uid="{D7FD8A4A-2282-4148-A881-6C31198BA792}">
          <x14:formula1>
            <xm:f>Settings!$C$3:$C$20</xm:f>
          </x14:formula1>
          <xm:sqref>I2:I5</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74CFE-673E-432A-AC1D-57078A6EE728}">
  <sheetPr>
    <outlinePr summaryBelow="0" summaryRight="0"/>
  </sheetPr>
  <dimension ref="A1:AB985"/>
  <sheetViews>
    <sheetView topLeftCell="B1" workbookViewId="0">
      <selection activeCell="A3" sqref="A3"/>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54.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248</v>
      </c>
      <c r="B1" s="1" t="s">
        <v>305</v>
      </c>
      <c r="C1" s="198" t="s">
        <v>306</v>
      </c>
      <c r="D1" s="198" t="s">
        <v>307</v>
      </c>
      <c r="E1" s="1" t="s">
        <v>250</v>
      </c>
      <c r="F1" s="198" t="s">
        <v>308</v>
      </c>
      <c r="G1" s="198" t="s">
        <v>309</v>
      </c>
      <c r="H1" s="1" t="s">
        <v>310</v>
      </c>
      <c r="I1" s="1" t="s">
        <v>311</v>
      </c>
      <c r="J1" s="1" t="s">
        <v>312</v>
      </c>
      <c r="K1" s="1" t="s">
        <v>253</v>
      </c>
      <c r="L1" s="156" t="s">
        <v>313</v>
      </c>
      <c r="M1" s="8" t="s">
        <v>274</v>
      </c>
      <c r="N1" s="483" t="s">
        <v>314</v>
      </c>
      <c r="O1" s="483" t="s">
        <v>315</v>
      </c>
      <c r="P1" s="35"/>
      <c r="Q1" s="35"/>
      <c r="R1" s="35"/>
      <c r="S1" s="35"/>
      <c r="T1" s="35"/>
      <c r="U1" s="35"/>
      <c r="V1" s="35"/>
      <c r="W1" s="35"/>
      <c r="X1" s="35"/>
      <c r="Y1" s="35"/>
      <c r="Z1" s="35"/>
      <c r="AA1" s="35"/>
      <c r="AB1" s="35"/>
    </row>
    <row r="2" spans="1:28" ht="108.75" customHeight="1">
      <c r="F2" s="221"/>
      <c r="G2" s="144"/>
      <c r="H2" s="126"/>
      <c r="I2" s="126"/>
      <c r="J2" s="126"/>
      <c r="K2" s="126"/>
      <c r="L2" s="126"/>
      <c r="M2" s="144"/>
      <c r="O2" s="144"/>
    </row>
    <row r="3" spans="1:28" ht="116.25" customHeight="1">
      <c r="F3" s="221"/>
      <c r="G3" s="144"/>
      <c r="H3" s="126"/>
      <c r="I3" s="126"/>
      <c r="J3" s="126"/>
      <c r="K3" s="126"/>
      <c r="L3" s="126"/>
      <c r="M3" s="144"/>
      <c r="O3" s="144"/>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autoFilter ref="A1:M1" xr:uid="{3A2BB050-11AC-4ED7-A296-96B42C7FCFBA}"/>
  <dataValidations count="5">
    <dataValidation type="list" allowBlank="1" showErrorMessage="1" sqref="F2:F3" xr:uid="{36A11CBF-06BA-4760-9720-A16F46FA0E59}">
      <formula1>"Bounceback,Defect,None"</formula1>
    </dataValidation>
    <dataValidation type="list" allowBlank="1" showErrorMessage="1" sqref="J2:J3" xr:uid="{B9F38592-7B65-4547-803E-7D2C4490E726}">
      <formula1>"Internal,External"</formula1>
    </dataValidation>
    <dataValidation type="list" allowBlank="1" showErrorMessage="1" sqref="H2:H3" xr:uid="{8E617AA3-1002-42D6-BD0E-19D970C212C9}">
      <formula1>"Minor,Significant,Major"</formula1>
    </dataValidation>
    <dataValidation type="list" allowBlank="1" showErrorMessage="1" sqref="I2:I3" xr:uid="{68F0B02A-61B9-4AC0-A9F4-1F784711ECF0}">
      <formula1>"Manual, Automation"</formula1>
    </dataValidation>
    <dataValidation type="list" allowBlank="1" showErrorMessage="1" sqref="K2:K3" xr:uid="{43DBEAE2-B0FF-4D98-A617-66ACF0614570}">
      <formula1>"Open,Inprogress,Closed"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8E1B8539-2E41-4AF3-BFE7-F5D675C4C3E3}">
          <x14:formula1>
            <xm:f>Details!$A$2:$A$10</xm:f>
          </x14:formula1>
          <xm:sqref>L2:L3</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E7297-71BE-4368-B88B-B817E3DD0837}">
  <sheetPr>
    <outlinePr summaryBelow="0" summaryRight="0"/>
  </sheetPr>
  <dimension ref="A1:AB985"/>
  <sheetViews>
    <sheetView topLeftCell="B1" workbookViewId="0">
      <selection activeCell="F2" sqref="F2"/>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54.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248</v>
      </c>
      <c r="B1" s="1" t="s">
        <v>305</v>
      </c>
      <c r="C1" s="198" t="s">
        <v>306</v>
      </c>
      <c r="D1" s="198" t="s">
        <v>307</v>
      </c>
      <c r="E1" s="1" t="s">
        <v>250</v>
      </c>
      <c r="F1" s="198" t="s">
        <v>308</v>
      </c>
      <c r="G1" s="198" t="s">
        <v>309</v>
      </c>
      <c r="H1" s="1" t="s">
        <v>310</v>
      </c>
      <c r="I1" s="1" t="s">
        <v>311</v>
      </c>
      <c r="J1" s="1" t="s">
        <v>312</v>
      </c>
      <c r="K1" s="1" t="s">
        <v>253</v>
      </c>
      <c r="L1" s="156" t="s">
        <v>313</v>
      </c>
      <c r="M1" s="8" t="s">
        <v>274</v>
      </c>
      <c r="N1" s="483" t="s">
        <v>314</v>
      </c>
      <c r="O1" s="483" t="s">
        <v>315</v>
      </c>
      <c r="P1" s="35"/>
      <c r="Q1" s="35"/>
      <c r="R1" s="35"/>
      <c r="S1" s="35"/>
      <c r="T1" s="35"/>
      <c r="U1" s="35"/>
      <c r="V1" s="35"/>
      <c r="W1" s="35"/>
      <c r="X1" s="35"/>
      <c r="Y1" s="35"/>
      <c r="Z1" s="35"/>
      <c r="AA1" s="35"/>
      <c r="AB1" s="35"/>
    </row>
    <row r="2" spans="1:28" ht="15.75" customHeight="1"/>
    <row r="3" spans="1:28" ht="15.75" customHeight="1">
      <c r="K3" s="144"/>
    </row>
    <row r="4" spans="1:28" ht="15.75" customHeight="1"/>
    <row r="5" spans="1:28" ht="15.75" customHeight="1"/>
    <row r="6" spans="1:28" ht="15.75" customHeight="1"/>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autoFilter ref="A1:M1" xr:uid="{3A2BB050-11AC-4ED7-A296-96B42C7FCFBA}"/>
  <pageMargins left="0" right="0" top="0" bottom="0" header="0" footer="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0C164-CCFA-4409-BA93-70E4A7A3CF8E}">
  <dimension ref="A1:AD6"/>
  <sheetViews>
    <sheetView workbookViewId="0">
      <pane xSplit="7" ySplit="1" topLeftCell="H5" activePane="bottomRight" state="frozen"/>
      <selection pane="bottomRight" activeCell="E6" sqref="E6"/>
      <selection pane="bottomLeft"/>
      <selection pane="topRight"/>
    </sheetView>
  </sheetViews>
  <sheetFormatPr defaultRowHeight="12.75"/>
  <cols>
    <col min="2" max="2" width="13.28515625" customWidth="1"/>
    <col min="3" max="3" width="10.7109375" customWidth="1"/>
    <col min="4" max="4" width="12.140625" customWidth="1"/>
    <col min="5" max="5" width="40.7109375" customWidth="1"/>
    <col min="6" max="6" width="29.7109375" customWidth="1"/>
    <col min="7" max="7" width="18.85546875" customWidth="1"/>
    <col min="8" max="8" width="57.42578125" style="137" customWidth="1"/>
    <col min="9" max="9" width="16.85546875" customWidth="1"/>
    <col min="10" max="11" width="11.42578125" bestFit="1" customWidth="1"/>
    <col min="12" max="12" width="25.5703125" customWidth="1"/>
    <col min="13" max="14" width="11.42578125" customWidth="1"/>
    <col min="15" max="15" width="13.140625" customWidth="1"/>
    <col min="16" max="16" width="16" style="144" customWidth="1"/>
    <col min="17" max="17" width="25" customWidth="1"/>
    <col min="18" max="18" width="23.7109375" customWidth="1"/>
    <col min="19" max="19" width="14.85546875" customWidth="1"/>
    <col min="20" max="20" width="24.42578125" style="144" customWidth="1"/>
    <col min="21" max="22" width="12.7109375" bestFit="1" customWidth="1"/>
    <col min="23" max="23" width="20.5703125" customWidth="1"/>
    <col min="24" max="24" width="11.42578125" style="144" bestFit="1" customWidth="1"/>
    <col min="25" max="25" width="11.42578125" bestFit="1" customWidth="1"/>
    <col min="26" max="26" width="12.7109375" bestFit="1" customWidth="1"/>
    <col min="27" max="27" width="52.140625" customWidth="1"/>
    <col min="28" max="29" width="11.42578125" bestFit="1" customWidth="1"/>
    <col min="30" max="30" width="58.42578125" bestFit="1" customWidth="1"/>
  </cols>
  <sheetData>
    <row r="1" spans="1:30" ht="47.25">
      <c r="A1" s="379" t="s">
        <v>248</v>
      </c>
      <c r="B1" s="501" t="s">
        <v>4</v>
      </c>
      <c r="C1" s="501" t="s">
        <v>2</v>
      </c>
      <c r="D1" s="501" t="s">
        <v>3</v>
      </c>
      <c r="E1" s="380" t="s">
        <v>249</v>
      </c>
      <c r="F1" s="381" t="s">
        <v>250</v>
      </c>
      <c r="G1" s="382" t="s">
        <v>251</v>
      </c>
      <c r="H1" s="383" t="s">
        <v>252</v>
      </c>
      <c r="I1" s="383" t="s">
        <v>253</v>
      </c>
      <c r="J1" s="384" t="s">
        <v>254</v>
      </c>
      <c r="K1" s="384" t="s">
        <v>255</v>
      </c>
      <c r="L1" s="384" t="s">
        <v>256</v>
      </c>
      <c r="M1" s="384" t="s">
        <v>257</v>
      </c>
      <c r="N1" s="384" t="s">
        <v>258</v>
      </c>
      <c r="O1" s="385" t="s">
        <v>259</v>
      </c>
      <c r="P1" s="385" t="s">
        <v>260</v>
      </c>
      <c r="Q1" s="385" t="s">
        <v>261</v>
      </c>
      <c r="R1" s="385" t="s">
        <v>262</v>
      </c>
      <c r="S1" s="385" t="s">
        <v>263</v>
      </c>
      <c r="T1" s="385" t="s">
        <v>264</v>
      </c>
      <c r="U1" s="385" t="s">
        <v>265</v>
      </c>
      <c r="V1" s="385" t="s">
        <v>266</v>
      </c>
      <c r="W1" s="385" t="s">
        <v>267</v>
      </c>
      <c r="X1" s="385" t="s">
        <v>268</v>
      </c>
      <c r="Y1" s="385" t="s">
        <v>269</v>
      </c>
      <c r="Z1" s="385" t="s">
        <v>270</v>
      </c>
      <c r="AA1" s="385" t="s">
        <v>271</v>
      </c>
      <c r="AB1" s="385" t="s">
        <v>272</v>
      </c>
      <c r="AC1" s="385" t="s">
        <v>273</v>
      </c>
      <c r="AD1" s="386" t="s">
        <v>274</v>
      </c>
    </row>
    <row r="2" spans="1:30" ht="121.5">
      <c r="A2" s="531">
        <v>1</v>
      </c>
      <c r="B2" s="531" t="s">
        <v>5</v>
      </c>
      <c r="C2" s="532">
        <v>45897</v>
      </c>
      <c r="D2" s="532">
        <v>45911</v>
      </c>
      <c r="E2" s="533" t="s">
        <v>152</v>
      </c>
      <c r="F2" s="529" t="s">
        <v>233</v>
      </c>
      <c r="G2" s="554" t="s">
        <v>922</v>
      </c>
      <c r="H2" s="534" t="s">
        <v>923</v>
      </c>
      <c r="I2" s="535" t="s">
        <v>13</v>
      </c>
      <c r="J2" s="536">
        <v>5</v>
      </c>
      <c r="K2" s="537"/>
      <c r="L2" s="537">
        <v>70.5</v>
      </c>
      <c r="M2" s="532">
        <v>45897</v>
      </c>
      <c r="N2" s="538">
        <v>45909</v>
      </c>
      <c r="O2" s="539" t="s">
        <v>320</v>
      </c>
      <c r="P2" s="539" t="s">
        <v>517</v>
      </c>
      <c r="Q2" s="534" t="s">
        <v>924</v>
      </c>
      <c r="R2" s="519" t="s">
        <v>232</v>
      </c>
      <c r="S2" s="514" t="s">
        <v>320</v>
      </c>
      <c r="T2" s="555" t="s">
        <v>925</v>
      </c>
      <c r="U2" s="538">
        <v>45903</v>
      </c>
      <c r="V2" s="590">
        <v>45909</v>
      </c>
      <c r="W2" s="537" t="s">
        <v>595</v>
      </c>
      <c r="X2" s="562" t="s">
        <v>320</v>
      </c>
      <c r="Y2" s="540" t="s">
        <v>323</v>
      </c>
      <c r="Z2" s="590">
        <v>45909</v>
      </c>
      <c r="AA2" s="562" t="s">
        <v>320</v>
      </c>
      <c r="AB2" s="562" t="s">
        <v>320</v>
      </c>
      <c r="AC2" s="562" t="s">
        <v>320</v>
      </c>
      <c r="AD2" s="593" t="s">
        <v>926</v>
      </c>
    </row>
    <row r="3" spans="1:30" ht="76.5">
      <c r="A3" s="559">
        <v>2</v>
      </c>
      <c r="B3" s="559" t="s">
        <v>5</v>
      </c>
      <c r="C3" s="560">
        <v>45897</v>
      </c>
      <c r="D3" s="560">
        <v>45911</v>
      </c>
      <c r="E3" s="561" t="s">
        <v>152</v>
      </c>
      <c r="F3" s="561" t="s">
        <v>362</v>
      </c>
      <c r="G3" s="561" t="s">
        <v>927</v>
      </c>
      <c r="H3" s="561" t="s">
        <v>928</v>
      </c>
      <c r="I3" s="559" t="s">
        <v>13</v>
      </c>
      <c r="J3" s="559">
        <v>3</v>
      </c>
      <c r="K3" s="559"/>
      <c r="L3" s="559">
        <v>102.17</v>
      </c>
      <c r="M3" s="560">
        <v>45898</v>
      </c>
      <c r="N3" s="560">
        <v>45905</v>
      </c>
      <c r="O3" s="631" t="s">
        <v>320</v>
      </c>
      <c r="P3" s="591" t="s">
        <v>517</v>
      </c>
      <c r="Q3" s="562"/>
      <c r="R3" s="589" t="s">
        <v>233</v>
      </c>
      <c r="S3" s="559" t="s">
        <v>929</v>
      </c>
      <c r="T3" s="563" t="s">
        <v>930</v>
      </c>
      <c r="U3" s="560">
        <v>45894</v>
      </c>
      <c r="V3" s="560">
        <v>45909</v>
      </c>
      <c r="W3" s="559" t="s">
        <v>595</v>
      </c>
      <c r="X3" s="562" t="s">
        <v>320</v>
      </c>
      <c r="Y3" s="587" t="s">
        <v>323</v>
      </c>
      <c r="Z3" s="587">
        <v>45909</v>
      </c>
      <c r="AA3" s="562" t="s">
        <v>320</v>
      </c>
      <c r="AB3" s="562" t="s">
        <v>320</v>
      </c>
      <c r="AC3" s="562" t="s">
        <v>320</v>
      </c>
      <c r="AD3" s="592" t="s">
        <v>931</v>
      </c>
    </row>
    <row r="4" spans="1:30" s="603" customFormat="1" ht="106.5">
      <c r="A4" s="594">
        <v>3</v>
      </c>
      <c r="B4" s="531" t="s">
        <v>5</v>
      </c>
      <c r="C4" s="532">
        <v>45897</v>
      </c>
      <c r="D4" s="532">
        <v>45911</v>
      </c>
      <c r="E4" s="533" t="s">
        <v>152</v>
      </c>
      <c r="F4" s="984" t="s">
        <v>293</v>
      </c>
      <c r="G4" s="595" t="s">
        <v>932</v>
      </c>
      <c r="H4" s="951" t="s">
        <v>933</v>
      </c>
      <c r="I4" s="596" t="s">
        <v>13</v>
      </c>
      <c r="J4" s="985">
        <v>2</v>
      </c>
      <c r="K4" s="596"/>
      <c r="L4" s="596">
        <v>48.75</v>
      </c>
      <c r="M4" s="590">
        <v>45898</v>
      </c>
      <c r="N4" s="590">
        <v>45904</v>
      </c>
      <c r="O4" s="597" t="s">
        <v>320</v>
      </c>
      <c r="P4" s="598" t="s">
        <v>517</v>
      </c>
      <c r="Q4" s="596"/>
      <c r="R4" s="519" t="s">
        <v>232</v>
      </c>
      <c r="S4" s="931" t="s">
        <v>320</v>
      </c>
      <c r="T4" s="622" t="s">
        <v>934</v>
      </c>
      <c r="U4" s="590">
        <v>45901</v>
      </c>
      <c r="V4" s="590">
        <v>45905</v>
      </c>
      <c r="W4" s="600" t="s">
        <v>595</v>
      </c>
      <c r="X4" s="601" t="s">
        <v>320</v>
      </c>
      <c r="Y4" s="590" t="s">
        <v>323</v>
      </c>
      <c r="Z4" s="590">
        <v>45905</v>
      </c>
      <c r="AA4" s="601" t="s">
        <v>320</v>
      </c>
      <c r="AB4" s="596" t="s">
        <v>320</v>
      </c>
      <c r="AC4" s="596" t="s">
        <v>320</v>
      </c>
      <c r="AD4" s="602" t="s">
        <v>935</v>
      </c>
    </row>
    <row r="5" spans="1:30" s="621" customFormat="1" ht="60.75">
      <c r="A5" s="604">
        <v>4</v>
      </c>
      <c r="B5" s="604" t="s">
        <v>5</v>
      </c>
      <c r="C5" s="605">
        <v>45883</v>
      </c>
      <c r="D5" s="605">
        <v>45897</v>
      </c>
      <c r="E5" s="606" t="s">
        <v>152</v>
      </c>
      <c r="F5" s="607" t="s">
        <v>233</v>
      </c>
      <c r="G5" s="608" t="s">
        <v>936</v>
      </c>
      <c r="H5" s="609" t="s">
        <v>937</v>
      </c>
      <c r="I5" s="610" t="s">
        <v>13</v>
      </c>
      <c r="J5" s="611">
        <v>2</v>
      </c>
      <c r="K5" s="612"/>
      <c r="L5" s="612">
        <v>37</v>
      </c>
      <c r="M5" s="613">
        <v>45909</v>
      </c>
      <c r="N5" s="613">
        <v>45910</v>
      </c>
      <c r="O5" s="614" t="s">
        <v>320</v>
      </c>
      <c r="P5" s="614"/>
      <c r="Q5" s="609"/>
      <c r="R5" s="615" t="s">
        <v>232</v>
      </c>
      <c r="S5" s="616" t="s">
        <v>320</v>
      </c>
      <c r="T5" s="617" t="s">
        <v>938</v>
      </c>
      <c r="U5" s="613">
        <v>45882</v>
      </c>
      <c r="V5" s="618">
        <v>45911</v>
      </c>
      <c r="W5" s="612" t="s">
        <v>595</v>
      </c>
      <c r="X5" s="619" t="s">
        <v>320</v>
      </c>
      <c r="Y5" s="619" t="s">
        <v>323</v>
      </c>
      <c r="Z5" s="613">
        <v>45911</v>
      </c>
      <c r="AA5" s="619" t="s">
        <v>320</v>
      </c>
      <c r="AB5" s="619" t="s">
        <v>320</v>
      </c>
      <c r="AC5" s="619" t="s">
        <v>320</v>
      </c>
      <c r="AD5" s="620" t="s">
        <v>939</v>
      </c>
    </row>
    <row r="6" spans="1:30" s="603" customFormat="1" ht="409.6">
      <c r="A6" s="623">
        <v>5</v>
      </c>
      <c r="B6" s="600" t="s">
        <v>5</v>
      </c>
      <c r="C6" s="532">
        <v>45897</v>
      </c>
      <c r="D6" s="624">
        <v>45911</v>
      </c>
      <c r="E6" s="625" t="s">
        <v>940</v>
      </c>
      <c r="F6" s="986" t="s">
        <v>293</v>
      </c>
      <c r="G6" s="599" t="s">
        <v>907</v>
      </c>
      <c r="H6" s="975" t="s">
        <v>908</v>
      </c>
      <c r="I6" s="626" t="s">
        <v>278</v>
      </c>
      <c r="J6" s="986">
        <v>3</v>
      </c>
      <c r="K6" s="626"/>
      <c r="L6" s="626">
        <v>73.75</v>
      </c>
      <c r="M6" s="624">
        <v>45905</v>
      </c>
      <c r="N6" s="624"/>
      <c r="O6" s="599" t="s">
        <v>320</v>
      </c>
      <c r="P6" s="627" t="s">
        <v>517</v>
      </c>
      <c r="Q6" s="627" t="s">
        <v>941</v>
      </c>
      <c r="R6" s="599"/>
      <c r="S6" s="987"/>
      <c r="T6" s="628"/>
      <c r="U6" s="624"/>
      <c r="V6" s="624"/>
      <c r="W6" s="626"/>
      <c r="X6" s="629"/>
      <c r="Y6" s="626"/>
      <c r="Z6" s="624"/>
      <c r="AA6" s="629"/>
      <c r="AB6" s="626"/>
      <c r="AC6" s="626"/>
      <c r="AD6" s="630" t="s">
        <v>942</v>
      </c>
    </row>
  </sheetData>
  <hyperlinks>
    <hyperlink ref="T5" r:id="rId1" xr:uid="{8DE716BD-8E0C-4B19-8E24-AA8A0AC1CDD5}"/>
    <hyperlink ref="T3" r:id="rId2" xr:uid="{B54EB061-56C2-4DF7-BE5D-4F09ED0B605F}"/>
    <hyperlink ref="T2" r:id="rId3" xr:uid="{A469D180-89E6-4952-A5BF-1BAA1A530C9E}"/>
    <hyperlink ref="T4" r:id="rId4" xr:uid="{201D6E82-FD59-4634-9B8F-95D541517140}"/>
  </hyperlinks>
  <pageMargins left="0.7" right="0.7" top="0.75" bottom="0.75" header="0.3" footer="0.3"/>
  <tableParts count="1">
    <tablePart r:id="rId5"/>
  </tableParts>
  <extLst>
    <ext xmlns:x14="http://schemas.microsoft.com/office/spreadsheetml/2009/9/main" uri="{CCE6A557-97BC-4b89-ADB6-D9C93CAAB3DF}">
      <x14:dataValidations xmlns:xm="http://schemas.microsoft.com/office/excel/2006/main" count="1">
        <x14:dataValidation type="list" allowBlank="1" showErrorMessage="1" xr:uid="{20BC8F04-40DF-48D5-A344-582900D15F44}">
          <x14:formula1>
            <xm:f>Settings!$C$3:$C$20</xm:f>
          </x14:formula1>
          <xm:sqref>I2:I6</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C0C30-B715-4D90-BCA6-674E5B68DE24}">
  <sheetPr>
    <outlinePr summaryBelow="0" summaryRight="0"/>
  </sheetPr>
  <dimension ref="A1:AB985"/>
  <sheetViews>
    <sheetView topLeftCell="B1" workbookViewId="0">
      <selection activeCell="F2" sqref="F2"/>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54.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248</v>
      </c>
      <c r="B1" s="1" t="s">
        <v>305</v>
      </c>
      <c r="C1" s="198" t="s">
        <v>306</v>
      </c>
      <c r="D1" s="198" t="s">
        <v>307</v>
      </c>
      <c r="E1" s="1" t="s">
        <v>250</v>
      </c>
      <c r="F1" s="198" t="s">
        <v>308</v>
      </c>
      <c r="G1" s="198" t="s">
        <v>309</v>
      </c>
      <c r="H1" s="1" t="s">
        <v>310</v>
      </c>
      <c r="I1" s="1" t="s">
        <v>311</v>
      </c>
      <c r="J1" s="1" t="s">
        <v>312</v>
      </c>
      <c r="K1" s="1" t="s">
        <v>253</v>
      </c>
      <c r="L1" s="156" t="s">
        <v>313</v>
      </c>
      <c r="M1" s="8" t="s">
        <v>274</v>
      </c>
      <c r="N1" s="483" t="s">
        <v>314</v>
      </c>
      <c r="O1" s="483" t="s">
        <v>315</v>
      </c>
      <c r="P1" s="35"/>
      <c r="Q1" s="35"/>
      <c r="R1" s="35"/>
      <c r="S1" s="35"/>
      <c r="T1" s="35"/>
      <c r="U1" s="35"/>
      <c r="V1" s="35"/>
      <c r="W1" s="35"/>
      <c r="X1" s="35"/>
      <c r="Y1" s="35"/>
      <c r="Z1" s="35"/>
      <c r="AA1" s="35"/>
      <c r="AB1" s="35"/>
    </row>
    <row r="2" spans="1:28" ht="15.75" customHeight="1"/>
    <row r="3" spans="1:28" ht="15.75" customHeight="1">
      <c r="K3" s="144"/>
    </row>
    <row r="4" spans="1:28" ht="15.75" customHeight="1"/>
    <row r="5" spans="1:28" ht="15.75" customHeight="1"/>
    <row r="6" spans="1:28" ht="15.75" customHeight="1"/>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autoFilter ref="A1:M1" xr:uid="{3A2BB050-11AC-4ED7-A296-96B42C7FCFBA}"/>
  <pageMargins left="0" right="0" top="0" bottom="0" header="0" footer="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C2CD9-25B8-49D6-81E6-CB451EEEA049}">
  <dimension ref="A1:AD4"/>
  <sheetViews>
    <sheetView workbookViewId="0">
      <pane xSplit="7" ySplit="1" topLeftCell="Q4" activePane="bottomRight" state="frozen"/>
      <selection pane="bottomRight" activeCell="AA2" sqref="AA2"/>
      <selection pane="bottomLeft"/>
      <selection pane="topRight"/>
    </sheetView>
  </sheetViews>
  <sheetFormatPr defaultRowHeight="12.75"/>
  <cols>
    <col min="2" max="2" width="13.28515625" customWidth="1"/>
    <col min="3" max="3" width="10.7109375" customWidth="1"/>
    <col min="4" max="4" width="12.140625" customWidth="1"/>
    <col min="5" max="5" width="40.7109375" customWidth="1"/>
    <col min="6" max="6" width="29.7109375" customWidth="1"/>
    <col min="7" max="7" width="18.85546875" customWidth="1"/>
    <col min="8" max="8" width="57.42578125" style="137" customWidth="1"/>
    <col min="9" max="9" width="16.85546875" customWidth="1"/>
    <col min="10" max="11" width="11.42578125" bestFit="1" customWidth="1"/>
    <col min="12" max="12" width="25.5703125" customWidth="1"/>
    <col min="13" max="14" width="11.42578125" customWidth="1"/>
    <col min="15" max="15" width="13.140625" customWidth="1"/>
    <col min="16" max="16" width="16" style="144" customWidth="1"/>
    <col min="17" max="17" width="43.5703125" customWidth="1"/>
    <col min="18" max="18" width="16.42578125" customWidth="1"/>
    <col min="19" max="19" width="14.85546875" customWidth="1"/>
    <col min="20" max="20" width="24.42578125" style="144" customWidth="1"/>
    <col min="21" max="22" width="12.7109375" bestFit="1" customWidth="1"/>
    <col min="23" max="23" width="20.5703125" customWidth="1"/>
    <col min="24" max="24" width="11.42578125" style="144" bestFit="1" customWidth="1"/>
    <col min="25" max="25" width="11.42578125" bestFit="1" customWidth="1"/>
    <col min="26" max="26" width="12.7109375" bestFit="1" customWidth="1"/>
    <col min="27" max="27" width="52.140625" customWidth="1"/>
    <col min="28" max="29" width="11.42578125" bestFit="1" customWidth="1"/>
    <col min="30" max="30" width="51.7109375" customWidth="1"/>
  </cols>
  <sheetData>
    <row r="1" spans="1:30" ht="47.25">
      <c r="A1" s="379" t="s">
        <v>248</v>
      </c>
      <c r="B1" s="501" t="s">
        <v>4</v>
      </c>
      <c r="C1" s="501" t="s">
        <v>2</v>
      </c>
      <c r="D1" s="501" t="s">
        <v>3</v>
      </c>
      <c r="E1" s="380" t="s">
        <v>249</v>
      </c>
      <c r="F1" s="381" t="s">
        <v>250</v>
      </c>
      <c r="G1" s="382" t="s">
        <v>251</v>
      </c>
      <c r="H1" s="383" t="s">
        <v>252</v>
      </c>
      <c r="I1" s="383" t="s">
        <v>253</v>
      </c>
      <c r="J1" s="384" t="s">
        <v>254</v>
      </c>
      <c r="K1" s="384" t="s">
        <v>255</v>
      </c>
      <c r="L1" s="384" t="s">
        <v>256</v>
      </c>
      <c r="M1" s="384" t="s">
        <v>257</v>
      </c>
      <c r="N1" s="384" t="s">
        <v>258</v>
      </c>
      <c r="O1" s="385" t="s">
        <v>259</v>
      </c>
      <c r="P1" s="385" t="s">
        <v>260</v>
      </c>
      <c r="Q1" s="385" t="s">
        <v>261</v>
      </c>
      <c r="R1" s="385" t="s">
        <v>262</v>
      </c>
      <c r="S1" s="385" t="s">
        <v>263</v>
      </c>
      <c r="T1" s="385" t="s">
        <v>264</v>
      </c>
      <c r="U1" s="385" t="s">
        <v>265</v>
      </c>
      <c r="V1" s="385" t="s">
        <v>266</v>
      </c>
      <c r="W1" s="385" t="s">
        <v>267</v>
      </c>
      <c r="X1" s="385" t="s">
        <v>268</v>
      </c>
      <c r="Y1" s="385" t="s">
        <v>269</v>
      </c>
      <c r="Z1" s="385" t="s">
        <v>270</v>
      </c>
      <c r="AA1" s="385" t="s">
        <v>271</v>
      </c>
      <c r="AB1" s="385" t="s">
        <v>272</v>
      </c>
      <c r="AC1" s="385" t="s">
        <v>273</v>
      </c>
      <c r="AD1" s="386" t="s">
        <v>274</v>
      </c>
    </row>
    <row r="2" spans="1:30" ht="156.75" customHeight="1">
      <c r="A2" s="531">
        <v>1</v>
      </c>
      <c r="B2" s="531" t="s">
        <v>5</v>
      </c>
      <c r="C2" s="532">
        <v>45883</v>
      </c>
      <c r="D2" s="532">
        <v>45897</v>
      </c>
      <c r="E2" s="533" t="s">
        <v>148</v>
      </c>
      <c r="F2" s="529" t="s">
        <v>233</v>
      </c>
      <c r="G2" s="554" t="s">
        <v>943</v>
      </c>
      <c r="H2" s="534" t="s">
        <v>944</v>
      </c>
      <c r="I2" s="535" t="s">
        <v>13</v>
      </c>
      <c r="J2" s="536">
        <v>3</v>
      </c>
      <c r="K2" s="537">
        <v>3</v>
      </c>
      <c r="L2" s="537">
        <v>89.75</v>
      </c>
      <c r="M2" s="532">
        <v>45883</v>
      </c>
      <c r="N2" s="538">
        <v>45895</v>
      </c>
      <c r="O2" s="539" t="s">
        <v>320</v>
      </c>
      <c r="P2" s="539" t="s">
        <v>517</v>
      </c>
      <c r="Q2" s="534" t="s">
        <v>945</v>
      </c>
      <c r="R2" s="519" t="s">
        <v>362</v>
      </c>
      <c r="S2" s="514" t="s">
        <v>320</v>
      </c>
      <c r="T2" s="555" t="s">
        <v>946</v>
      </c>
      <c r="U2" s="538">
        <v>45894</v>
      </c>
      <c r="V2" s="577">
        <v>45896</v>
      </c>
      <c r="W2" s="537" t="s">
        <v>595</v>
      </c>
      <c r="X2" s="562" t="s">
        <v>320</v>
      </c>
      <c r="Y2" s="540" t="s">
        <v>323</v>
      </c>
      <c r="Z2" s="590">
        <v>45896</v>
      </c>
      <c r="AA2" s="562" t="s">
        <v>320</v>
      </c>
      <c r="AB2" s="562" t="s">
        <v>320</v>
      </c>
      <c r="AC2" s="562" t="s">
        <v>320</v>
      </c>
      <c r="AD2" s="593" t="s">
        <v>947</v>
      </c>
    </row>
    <row r="3" spans="1:30" ht="183.75" customHeight="1">
      <c r="A3" s="559">
        <v>2</v>
      </c>
      <c r="B3" s="559" t="s">
        <v>5</v>
      </c>
      <c r="C3" s="560">
        <v>45883</v>
      </c>
      <c r="D3" s="560">
        <v>45897</v>
      </c>
      <c r="E3" s="561" t="s">
        <v>148</v>
      </c>
      <c r="F3" s="561" t="s">
        <v>948</v>
      </c>
      <c r="G3" s="561" t="s">
        <v>927</v>
      </c>
      <c r="H3" s="561" t="s">
        <v>928</v>
      </c>
      <c r="I3" s="559" t="s">
        <v>283</v>
      </c>
      <c r="J3" s="559">
        <v>8</v>
      </c>
      <c r="K3" s="559"/>
      <c r="L3" s="559">
        <v>149.66999999999999</v>
      </c>
      <c r="M3" s="560">
        <v>45883</v>
      </c>
      <c r="N3" s="560">
        <v>45896</v>
      </c>
      <c r="O3" s="569" t="s">
        <v>320</v>
      </c>
      <c r="P3" s="591" t="s">
        <v>517</v>
      </c>
      <c r="Q3" s="609" t="s">
        <v>949</v>
      </c>
      <c r="R3" s="589" t="s">
        <v>498</v>
      </c>
      <c r="S3" s="559" t="s">
        <v>320</v>
      </c>
      <c r="T3" s="563" t="s">
        <v>930</v>
      </c>
      <c r="U3" s="560">
        <v>45897</v>
      </c>
      <c r="V3" s="560"/>
      <c r="W3" s="559" t="s">
        <v>595</v>
      </c>
      <c r="X3" s="562" t="s">
        <v>320</v>
      </c>
      <c r="Y3" s="587"/>
      <c r="Z3" s="587"/>
      <c r="AA3" s="562"/>
      <c r="AB3" s="564"/>
      <c r="AC3" s="564"/>
      <c r="AD3" s="592" t="s">
        <v>950</v>
      </c>
    </row>
    <row r="4" spans="1:30" ht="46.5">
      <c r="A4" s="531">
        <v>3</v>
      </c>
      <c r="B4" s="531" t="s">
        <v>5</v>
      </c>
      <c r="C4" s="532">
        <v>45883</v>
      </c>
      <c r="D4" s="532">
        <v>45897</v>
      </c>
      <c r="E4" s="561" t="s">
        <v>148</v>
      </c>
      <c r="F4" s="529" t="s">
        <v>951</v>
      </c>
      <c r="G4" s="554" t="s">
        <v>936</v>
      </c>
      <c r="H4" s="534" t="s">
        <v>937</v>
      </c>
      <c r="I4" s="535" t="s">
        <v>278</v>
      </c>
      <c r="J4" s="536">
        <v>3</v>
      </c>
      <c r="K4" s="537"/>
      <c r="L4" s="537">
        <v>29.25</v>
      </c>
      <c r="M4" s="538">
        <v>45897</v>
      </c>
      <c r="N4" s="538">
        <v>45897</v>
      </c>
      <c r="O4" s="539" t="s">
        <v>320</v>
      </c>
      <c r="P4" s="539" t="s">
        <v>320</v>
      </c>
      <c r="Q4" s="534" t="s">
        <v>320</v>
      </c>
      <c r="R4" s="519" t="s">
        <v>320</v>
      </c>
      <c r="S4" s="514" t="s">
        <v>320</v>
      </c>
      <c r="T4" s="555" t="s">
        <v>938</v>
      </c>
      <c r="U4" s="538">
        <v>45882</v>
      </c>
      <c r="V4" s="577">
        <v>45882</v>
      </c>
      <c r="W4" s="537" t="s">
        <v>595</v>
      </c>
      <c r="X4" s="562" t="s">
        <v>320</v>
      </c>
      <c r="Y4" s="540" t="s">
        <v>323</v>
      </c>
      <c r="Z4" s="590">
        <v>45897</v>
      </c>
      <c r="AA4" s="562" t="s">
        <v>320</v>
      </c>
      <c r="AB4" s="562" t="s">
        <v>320</v>
      </c>
      <c r="AC4" s="562" t="s">
        <v>320</v>
      </c>
      <c r="AD4" s="541" t="s">
        <v>952</v>
      </c>
    </row>
  </sheetData>
  <hyperlinks>
    <hyperlink ref="T4" r:id="rId1" xr:uid="{C86C4D1E-07BF-4454-AD38-F5390BD3DCE7}"/>
    <hyperlink ref="T2" r:id="rId2" xr:uid="{F2FDB741-35D1-457F-88B5-9126108169DA}"/>
    <hyperlink ref="T3" r:id="rId3" xr:uid="{F92AB772-89FE-4037-8073-CD21DCE4494A}"/>
  </hyperlinks>
  <pageMargins left="0.7" right="0.7" top="0.75" bottom="0.75" header="0.3" footer="0.3"/>
  <tableParts count="1">
    <tablePart r:id="rId4"/>
  </tableParts>
  <extLst>
    <ext xmlns:x14="http://schemas.microsoft.com/office/spreadsheetml/2009/9/main" uri="{CCE6A557-97BC-4b89-ADB6-D9C93CAAB3DF}">
      <x14:dataValidations xmlns:xm="http://schemas.microsoft.com/office/excel/2006/main" count="1">
        <x14:dataValidation type="list" allowBlank="1" showErrorMessage="1" xr:uid="{B4C74CF4-78CF-4E47-A9CF-72EFE6F59822}">
          <x14:formula1>
            <xm:f>Settings!$C$3:$C$20</xm:f>
          </x14:formula1>
          <xm:sqref>I2:I4</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FE095-5478-4590-88C4-2ADEB75D5034}">
  <sheetPr>
    <outlinePr summaryBelow="0" summaryRight="0"/>
  </sheetPr>
  <dimension ref="A1:AB985"/>
  <sheetViews>
    <sheetView topLeftCell="B1" workbookViewId="0">
      <selection activeCell="F2" sqref="F2"/>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54.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13.5">
      <c r="A1" s="434" t="s">
        <v>248</v>
      </c>
      <c r="B1" s="1" t="s">
        <v>305</v>
      </c>
      <c r="C1" s="198" t="s">
        <v>306</v>
      </c>
      <c r="D1" s="198" t="s">
        <v>307</v>
      </c>
      <c r="E1" s="1" t="s">
        <v>250</v>
      </c>
      <c r="F1" s="198" t="s">
        <v>308</v>
      </c>
      <c r="G1" s="198" t="s">
        <v>309</v>
      </c>
      <c r="H1" s="1" t="s">
        <v>310</v>
      </c>
      <c r="I1" s="1" t="s">
        <v>311</v>
      </c>
      <c r="J1" s="1" t="s">
        <v>312</v>
      </c>
      <c r="K1" s="1" t="s">
        <v>253</v>
      </c>
      <c r="L1" s="156" t="s">
        <v>313</v>
      </c>
      <c r="M1" s="8" t="s">
        <v>274</v>
      </c>
      <c r="N1" s="483" t="s">
        <v>314</v>
      </c>
      <c r="O1" s="483" t="s">
        <v>315</v>
      </c>
      <c r="P1" s="35"/>
      <c r="Q1" s="35"/>
      <c r="R1" s="35"/>
      <c r="S1" s="35"/>
      <c r="T1" s="35"/>
      <c r="U1" s="35"/>
      <c r="V1" s="35"/>
      <c r="W1" s="35"/>
      <c r="X1" s="35"/>
      <c r="Y1" s="35"/>
      <c r="Z1" s="35"/>
      <c r="AA1" s="35"/>
      <c r="AB1" s="35"/>
    </row>
    <row r="2" spans="1:28" ht="15.75" customHeight="1"/>
    <row r="3" spans="1:28" ht="15.75" customHeight="1">
      <c r="K3" s="144"/>
    </row>
    <row r="4" spans="1:28" ht="15.75" customHeight="1"/>
    <row r="5" spans="1:28" ht="15.75" customHeight="1"/>
    <row r="6" spans="1:28" ht="15.75" customHeight="1"/>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autoFilter ref="A1:M1" xr:uid="{3A2BB050-11AC-4ED7-A296-96B42C7FCFBA}"/>
  <pageMargins left="0" right="0" top="0" bottom="0" header="0" footer="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B54C1-9E86-4431-87C7-E9D93EFAC9C7}">
  <dimension ref="A1:AD5"/>
  <sheetViews>
    <sheetView workbookViewId="0">
      <pane xSplit="7" ySplit="1" topLeftCell="H2" activePane="bottomRight" state="frozen"/>
      <selection pane="bottomRight" activeCell="A2" sqref="A2"/>
      <selection pane="bottomLeft"/>
      <selection pane="topRight"/>
    </sheetView>
  </sheetViews>
  <sheetFormatPr defaultRowHeight="12.75"/>
  <cols>
    <col min="2" max="2" width="13.28515625" customWidth="1"/>
    <col min="3" max="3" width="10.7109375" customWidth="1"/>
    <col min="4" max="4" width="12.140625" customWidth="1"/>
    <col min="5" max="5" width="40.7109375" customWidth="1"/>
    <col min="6" max="6" width="29.7109375" customWidth="1"/>
    <col min="7" max="7" width="18.85546875" customWidth="1"/>
    <col min="8" max="8" width="57.42578125" style="137" customWidth="1"/>
    <col min="9" max="9" width="16.85546875" customWidth="1"/>
    <col min="10" max="11" width="11.42578125" bestFit="1" customWidth="1"/>
    <col min="12" max="12" width="25.5703125" customWidth="1"/>
    <col min="13" max="14" width="11.42578125" customWidth="1"/>
    <col min="15" max="15" width="13.140625" customWidth="1"/>
    <col min="16" max="16" width="16" style="144" customWidth="1"/>
    <col min="17" max="17" width="140.7109375" customWidth="1"/>
    <col min="18" max="18" width="16.42578125" customWidth="1"/>
    <col min="19" max="19" width="14.85546875" customWidth="1"/>
    <col min="20" max="20" width="24.42578125" style="144" customWidth="1"/>
    <col min="21" max="22" width="12.7109375" bestFit="1" customWidth="1"/>
    <col min="23" max="23" width="11.42578125" bestFit="1" customWidth="1"/>
    <col min="24" max="24" width="11.42578125" style="144" bestFit="1" customWidth="1"/>
    <col min="25" max="25" width="11.42578125" bestFit="1" customWidth="1"/>
    <col min="26" max="26" width="12.7109375" bestFit="1" customWidth="1"/>
    <col min="27" max="27" width="52.140625" customWidth="1"/>
    <col min="28" max="29" width="11.42578125" bestFit="1" customWidth="1"/>
    <col min="30" max="30" width="47.5703125" customWidth="1"/>
  </cols>
  <sheetData>
    <row r="1" spans="1:30" ht="47.25">
      <c r="A1" s="379" t="s">
        <v>248</v>
      </c>
      <c r="B1" s="501" t="s">
        <v>4</v>
      </c>
      <c r="C1" s="501" t="s">
        <v>2</v>
      </c>
      <c r="D1" s="501" t="s">
        <v>3</v>
      </c>
      <c r="E1" s="380" t="s">
        <v>249</v>
      </c>
      <c r="F1" s="381" t="s">
        <v>250</v>
      </c>
      <c r="G1" s="382" t="s">
        <v>251</v>
      </c>
      <c r="H1" s="383" t="s">
        <v>252</v>
      </c>
      <c r="I1" s="383" t="s">
        <v>253</v>
      </c>
      <c r="J1" s="384" t="s">
        <v>254</v>
      </c>
      <c r="K1" s="384" t="s">
        <v>255</v>
      </c>
      <c r="L1" s="384" t="s">
        <v>256</v>
      </c>
      <c r="M1" s="384" t="s">
        <v>257</v>
      </c>
      <c r="N1" s="384" t="s">
        <v>258</v>
      </c>
      <c r="O1" s="385" t="s">
        <v>259</v>
      </c>
      <c r="P1" s="385" t="s">
        <v>260</v>
      </c>
      <c r="Q1" s="385" t="s">
        <v>261</v>
      </c>
      <c r="R1" s="385" t="s">
        <v>262</v>
      </c>
      <c r="S1" s="385" t="s">
        <v>263</v>
      </c>
      <c r="T1" s="385" t="s">
        <v>264</v>
      </c>
      <c r="U1" s="385" t="s">
        <v>265</v>
      </c>
      <c r="V1" s="385" t="s">
        <v>266</v>
      </c>
      <c r="W1" s="385" t="s">
        <v>267</v>
      </c>
      <c r="X1" s="385" t="s">
        <v>268</v>
      </c>
      <c r="Y1" s="385" t="s">
        <v>269</v>
      </c>
      <c r="Z1" s="385" t="s">
        <v>270</v>
      </c>
      <c r="AA1" s="385" t="s">
        <v>271</v>
      </c>
      <c r="AB1" s="385" t="s">
        <v>272</v>
      </c>
      <c r="AC1" s="385" t="s">
        <v>273</v>
      </c>
      <c r="AD1" s="386" t="s">
        <v>274</v>
      </c>
    </row>
    <row r="2" spans="1:30" ht="290.25">
      <c r="A2" s="531">
        <v>1</v>
      </c>
      <c r="B2" s="531" t="s">
        <v>5</v>
      </c>
      <c r="C2" s="532">
        <v>45869</v>
      </c>
      <c r="D2" s="532">
        <v>45883</v>
      </c>
      <c r="E2" s="533" t="s">
        <v>144</v>
      </c>
      <c r="F2" s="529" t="s">
        <v>233</v>
      </c>
      <c r="G2" s="554" t="s">
        <v>936</v>
      </c>
      <c r="H2" s="534" t="s">
        <v>937</v>
      </c>
      <c r="I2" s="535" t="s">
        <v>283</v>
      </c>
      <c r="J2" s="536">
        <v>5</v>
      </c>
      <c r="K2" s="537"/>
      <c r="L2" s="537">
        <v>111.75</v>
      </c>
      <c r="M2" s="538">
        <v>45869</v>
      </c>
      <c r="N2" s="538">
        <v>45882</v>
      </c>
      <c r="O2" s="539" t="s">
        <v>318</v>
      </c>
      <c r="P2" s="539" t="s">
        <v>517</v>
      </c>
      <c r="Q2" s="534" t="s">
        <v>320</v>
      </c>
      <c r="R2" s="519" t="s">
        <v>953</v>
      </c>
      <c r="S2" s="514" t="s">
        <v>320</v>
      </c>
      <c r="T2" s="555" t="s">
        <v>938</v>
      </c>
      <c r="U2" s="538">
        <v>45882</v>
      </c>
      <c r="V2" s="577">
        <v>45882</v>
      </c>
      <c r="W2" s="537" t="s">
        <v>595</v>
      </c>
      <c r="X2" s="562" t="s">
        <v>320</v>
      </c>
      <c r="Y2" s="540" t="s">
        <v>323</v>
      </c>
      <c r="Z2" s="590">
        <v>45882</v>
      </c>
      <c r="AA2" s="562" t="s">
        <v>320</v>
      </c>
      <c r="AB2" s="562" t="s">
        <v>320</v>
      </c>
      <c r="AC2" s="562" t="s">
        <v>320</v>
      </c>
      <c r="AD2" s="541" t="s">
        <v>954</v>
      </c>
    </row>
    <row r="3" spans="1:30" ht="137.25">
      <c r="A3" s="559">
        <v>2</v>
      </c>
      <c r="B3" s="559" t="s">
        <v>5</v>
      </c>
      <c r="C3" s="560">
        <v>45869</v>
      </c>
      <c r="D3" s="560">
        <v>45883</v>
      </c>
      <c r="E3" s="561" t="s">
        <v>144</v>
      </c>
      <c r="F3" s="561" t="s">
        <v>362</v>
      </c>
      <c r="G3" s="561" t="s">
        <v>955</v>
      </c>
      <c r="H3" s="561" t="s">
        <v>956</v>
      </c>
      <c r="I3" s="559" t="s">
        <v>13</v>
      </c>
      <c r="J3" s="559">
        <v>2</v>
      </c>
      <c r="K3" s="559">
        <v>2</v>
      </c>
      <c r="L3" s="559">
        <v>58.75</v>
      </c>
      <c r="M3" s="560">
        <v>45870</v>
      </c>
      <c r="N3" s="560">
        <v>45877</v>
      </c>
      <c r="O3" s="568" t="s">
        <v>318</v>
      </c>
      <c r="P3" s="539" t="s">
        <v>517</v>
      </c>
      <c r="Q3" s="562" t="s">
        <v>579</v>
      </c>
      <c r="R3" s="589" t="s">
        <v>957</v>
      </c>
      <c r="S3" s="559" t="s">
        <v>320</v>
      </c>
      <c r="T3" s="563" t="s">
        <v>958</v>
      </c>
      <c r="U3" s="560">
        <v>45876</v>
      </c>
      <c r="V3" s="560">
        <v>45881</v>
      </c>
      <c r="W3" s="559" t="s">
        <v>595</v>
      </c>
      <c r="X3" s="562" t="s">
        <v>320</v>
      </c>
      <c r="Y3" s="587" t="s">
        <v>323</v>
      </c>
      <c r="Z3" s="587">
        <v>45881</v>
      </c>
      <c r="AA3" s="562" t="s">
        <v>320</v>
      </c>
      <c r="AB3" s="564" t="s">
        <v>320</v>
      </c>
      <c r="AC3" s="564" t="s">
        <v>320</v>
      </c>
      <c r="AD3" s="574" t="s">
        <v>959</v>
      </c>
    </row>
    <row r="4" spans="1:30" s="586" customFormat="1" ht="46.5">
      <c r="A4" s="575">
        <v>3</v>
      </c>
      <c r="B4" s="576" t="s">
        <v>5</v>
      </c>
      <c r="C4" s="577">
        <v>45869</v>
      </c>
      <c r="D4" s="577">
        <v>45883</v>
      </c>
      <c r="E4" s="988" t="s">
        <v>144</v>
      </c>
      <c r="F4" s="989" t="s">
        <v>957</v>
      </c>
      <c r="G4" s="578" t="s">
        <v>960</v>
      </c>
      <c r="H4" s="990" t="s">
        <v>961</v>
      </c>
      <c r="I4" s="579" t="s">
        <v>13</v>
      </c>
      <c r="J4" s="991">
        <v>3</v>
      </c>
      <c r="K4" s="579">
        <v>3</v>
      </c>
      <c r="L4" s="579">
        <v>78.25</v>
      </c>
      <c r="M4" s="580">
        <v>45870</v>
      </c>
      <c r="N4" s="580">
        <v>45881</v>
      </c>
      <c r="O4" s="578" t="s">
        <v>318</v>
      </c>
      <c r="P4" s="581" t="s">
        <v>517</v>
      </c>
      <c r="Q4" s="584" t="s">
        <v>962</v>
      </c>
      <c r="R4" s="568" t="s">
        <v>362</v>
      </c>
      <c r="S4" s="582" t="s">
        <v>320</v>
      </c>
      <c r="T4" s="583" t="s">
        <v>963</v>
      </c>
      <c r="U4" s="577">
        <v>45881</v>
      </c>
      <c r="V4" s="577">
        <v>45882</v>
      </c>
      <c r="W4" s="579" t="s">
        <v>448</v>
      </c>
      <c r="X4" s="584" t="s">
        <v>320</v>
      </c>
      <c r="Y4" s="579" t="s">
        <v>323</v>
      </c>
      <c r="Z4" s="577">
        <v>45882</v>
      </c>
      <c r="AA4" s="584" t="s">
        <v>320</v>
      </c>
      <c r="AB4" s="579" t="s">
        <v>320</v>
      </c>
      <c r="AC4" s="579" t="s">
        <v>320</v>
      </c>
      <c r="AD4" s="585" t="s">
        <v>964</v>
      </c>
    </row>
    <row r="5" spans="1:30" s="573" customFormat="1" ht="351">
      <c r="A5" s="565">
        <v>4</v>
      </c>
      <c r="B5" s="566" t="s">
        <v>5</v>
      </c>
      <c r="C5" s="567">
        <v>45869</v>
      </c>
      <c r="D5" s="567">
        <v>45883</v>
      </c>
      <c r="E5" s="988" t="s">
        <v>965</v>
      </c>
      <c r="F5" s="989" t="s">
        <v>957</v>
      </c>
      <c r="G5" s="568" t="s">
        <v>966</v>
      </c>
      <c r="H5" s="990" t="s">
        <v>967</v>
      </c>
      <c r="I5" s="569" t="s">
        <v>13</v>
      </c>
      <c r="J5" s="991">
        <v>2</v>
      </c>
      <c r="K5" s="569"/>
      <c r="L5" s="569">
        <v>35.75</v>
      </c>
      <c r="M5" s="567">
        <v>45873</v>
      </c>
      <c r="N5" s="567">
        <v>45874</v>
      </c>
      <c r="O5" s="568" t="s">
        <v>318</v>
      </c>
      <c r="P5" s="539" t="s">
        <v>517</v>
      </c>
      <c r="Q5" s="569" t="s">
        <v>320</v>
      </c>
      <c r="R5" s="568" t="s">
        <v>362</v>
      </c>
      <c r="S5" s="992" t="s">
        <v>320</v>
      </c>
      <c r="T5" s="570" t="s">
        <v>968</v>
      </c>
      <c r="U5" s="567">
        <v>45874</v>
      </c>
      <c r="V5" s="567">
        <v>45877</v>
      </c>
      <c r="W5" s="569" t="s">
        <v>448</v>
      </c>
      <c r="X5" s="571" t="s">
        <v>320</v>
      </c>
      <c r="Y5" s="569" t="s">
        <v>323</v>
      </c>
      <c r="Z5" s="567">
        <v>45877</v>
      </c>
      <c r="AA5" s="571" t="s">
        <v>320</v>
      </c>
      <c r="AB5" s="569" t="s">
        <v>320</v>
      </c>
      <c r="AC5" s="569" t="s">
        <v>320</v>
      </c>
      <c r="AD5" s="572" t="s">
        <v>969</v>
      </c>
    </row>
  </sheetData>
  <hyperlinks>
    <hyperlink ref="T5" r:id="rId1" xr:uid="{27A40771-A904-4A77-B44C-9AECF6519C30}"/>
    <hyperlink ref="T4" r:id="rId2" xr:uid="{2785BF38-8000-4903-BAF3-D4EFC71576C2}"/>
    <hyperlink ref="T2" r:id="rId3" xr:uid="{C3DB8DD9-0CEC-40B5-A05C-203E51A23D6A}"/>
    <hyperlink ref="T3" r:id="rId4" xr:uid="{3EEB37D4-36B1-49F8-A5E1-474B09894B62}"/>
  </hyperlinks>
  <pageMargins left="0.7" right="0.7" top="0.75" bottom="0.75" header="0.3" footer="0.3"/>
  <tableParts count="1">
    <tablePart r:id="rId5"/>
  </tableParts>
  <extLst>
    <ext xmlns:x14="http://schemas.microsoft.com/office/spreadsheetml/2009/9/main" uri="{CCE6A557-97BC-4b89-ADB6-D9C93CAAB3DF}">
      <x14:dataValidations xmlns:xm="http://schemas.microsoft.com/office/excel/2006/main" count="1">
        <x14:dataValidation type="list" allowBlank="1" showErrorMessage="1" xr:uid="{9F59FB21-4ADD-4F9B-8367-0616C6046056}">
          <x14:formula1>
            <xm:f>Settings!$C$3:$C$20</xm:f>
          </x14:formula1>
          <xm:sqref>I2:I5</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BABB7-11BB-4325-B9DE-B61E7AC85873}">
  <sheetPr>
    <outlinePr summaryBelow="0" summaryRight="0"/>
  </sheetPr>
  <dimension ref="A1:AB986"/>
  <sheetViews>
    <sheetView topLeftCell="B1" workbookViewId="0">
      <selection activeCell="F2" sqref="F2"/>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54.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25.5">
      <c r="A1" s="434" t="s">
        <v>248</v>
      </c>
      <c r="B1" s="1" t="s">
        <v>305</v>
      </c>
      <c r="C1" s="198" t="s">
        <v>306</v>
      </c>
      <c r="D1" s="198" t="s">
        <v>307</v>
      </c>
      <c r="E1" s="1" t="s">
        <v>250</v>
      </c>
      <c r="F1" s="198" t="s">
        <v>308</v>
      </c>
      <c r="G1" s="198" t="s">
        <v>309</v>
      </c>
      <c r="H1" s="1" t="s">
        <v>310</v>
      </c>
      <c r="I1" s="1" t="s">
        <v>311</v>
      </c>
      <c r="J1" s="1" t="s">
        <v>312</v>
      </c>
      <c r="K1" s="1" t="s">
        <v>253</v>
      </c>
      <c r="L1" s="156" t="s">
        <v>313</v>
      </c>
      <c r="M1" s="8" t="s">
        <v>274</v>
      </c>
      <c r="N1" s="483" t="s">
        <v>314</v>
      </c>
      <c r="O1" s="483" t="s">
        <v>315</v>
      </c>
      <c r="P1" s="35"/>
      <c r="Q1" s="35"/>
      <c r="R1" s="35"/>
      <c r="S1" s="35"/>
      <c r="T1" s="35"/>
      <c r="U1" s="35"/>
      <c r="V1" s="35"/>
      <c r="W1" s="35"/>
      <c r="X1" s="35"/>
      <c r="Y1" s="35"/>
      <c r="Z1" s="35"/>
      <c r="AA1" s="35"/>
      <c r="AB1" s="35"/>
    </row>
    <row r="2" spans="1:28" ht="36.75" customHeight="1">
      <c r="B2" t="s">
        <v>970</v>
      </c>
      <c r="C2" t="s">
        <v>966</v>
      </c>
      <c r="D2" t="s">
        <v>971</v>
      </c>
      <c r="E2" t="s">
        <v>957</v>
      </c>
      <c r="F2" t="s">
        <v>553</v>
      </c>
      <c r="G2" s="588" t="s">
        <v>972</v>
      </c>
      <c r="H2" t="s">
        <v>973</v>
      </c>
      <c r="I2" t="s">
        <v>555</v>
      </c>
      <c r="J2" t="s">
        <v>556</v>
      </c>
      <c r="K2" t="s">
        <v>557</v>
      </c>
      <c r="L2" t="s">
        <v>974</v>
      </c>
      <c r="N2" s="122" t="s">
        <v>517</v>
      </c>
    </row>
    <row r="3" spans="1:28" ht="15.75" customHeight="1"/>
    <row r="4" spans="1:28" ht="15.75" customHeight="1">
      <c r="K4" s="144"/>
    </row>
    <row r="5" spans="1:28" ht="15.75" customHeight="1"/>
    <row r="6" spans="1:28" ht="15.75" customHeight="1"/>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autoFilter ref="A1:M1" xr:uid="{3A2BB050-11AC-4ED7-A296-96B42C7FCFBA}"/>
  <pageMargins left="0" right="0" top="0" bottom="0" header="0" footer="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D7D68-FC6B-4246-B75D-CC5163D288EB}">
  <dimension ref="A1:AD4"/>
  <sheetViews>
    <sheetView workbookViewId="0">
      <pane xSplit="7" ySplit="1" topLeftCell="H2" activePane="bottomRight" state="frozen"/>
      <selection pane="bottomRight" activeCell="G4" sqref="G4"/>
      <selection pane="bottomLeft"/>
      <selection pane="topRight"/>
    </sheetView>
  </sheetViews>
  <sheetFormatPr defaultRowHeight="12.75"/>
  <cols>
    <col min="2" max="2" width="13.28515625" customWidth="1"/>
    <col min="3" max="3" width="10.7109375" customWidth="1"/>
    <col min="4" max="4" width="12.140625" customWidth="1"/>
    <col min="5" max="5" width="40.7109375" customWidth="1"/>
    <col min="6" max="6" width="29.7109375" customWidth="1"/>
    <col min="7" max="7" width="18.85546875" customWidth="1"/>
    <col min="8" max="8" width="41.7109375" style="137" customWidth="1"/>
    <col min="9" max="9" width="16.85546875" customWidth="1"/>
    <col min="10" max="11" width="11.42578125" bestFit="1" customWidth="1"/>
    <col min="12" max="12" width="25.5703125" customWidth="1"/>
    <col min="13" max="14" width="11.42578125" customWidth="1"/>
    <col min="15" max="15" width="13.140625" customWidth="1"/>
    <col min="16" max="16" width="13.42578125" style="144" customWidth="1"/>
    <col min="17" max="17" width="140.7109375" customWidth="1"/>
    <col min="18" max="18" width="16.42578125" customWidth="1"/>
    <col min="19" max="19" width="14.85546875" customWidth="1"/>
    <col min="20" max="20" width="24.42578125" style="144" customWidth="1"/>
    <col min="21" max="22" width="12.7109375" bestFit="1" customWidth="1"/>
    <col min="23" max="23" width="11.42578125" bestFit="1" customWidth="1"/>
    <col min="24" max="24" width="11.42578125" style="144" bestFit="1" customWidth="1"/>
    <col min="25" max="25" width="11.42578125" bestFit="1" customWidth="1"/>
    <col min="26" max="26" width="12.7109375" bestFit="1" customWidth="1"/>
    <col min="27" max="27" width="52.140625" customWidth="1"/>
    <col min="28" max="29" width="11.42578125" bestFit="1" customWidth="1"/>
    <col min="30" max="30" width="47.5703125" customWidth="1"/>
  </cols>
  <sheetData>
    <row r="1" spans="1:30" ht="47.25">
      <c r="A1" s="379" t="s">
        <v>248</v>
      </c>
      <c r="B1" s="501" t="s">
        <v>4</v>
      </c>
      <c r="C1" s="501" t="s">
        <v>2</v>
      </c>
      <c r="D1" s="501" t="s">
        <v>3</v>
      </c>
      <c r="E1" s="380" t="s">
        <v>249</v>
      </c>
      <c r="F1" s="381" t="s">
        <v>250</v>
      </c>
      <c r="G1" s="382" t="s">
        <v>251</v>
      </c>
      <c r="H1" s="383" t="s">
        <v>252</v>
      </c>
      <c r="I1" s="383" t="s">
        <v>253</v>
      </c>
      <c r="J1" s="384" t="s">
        <v>254</v>
      </c>
      <c r="K1" s="384" t="s">
        <v>255</v>
      </c>
      <c r="L1" s="384" t="s">
        <v>256</v>
      </c>
      <c r="M1" s="384" t="s">
        <v>257</v>
      </c>
      <c r="N1" s="384" t="s">
        <v>258</v>
      </c>
      <c r="O1" s="385" t="s">
        <v>259</v>
      </c>
      <c r="P1" s="385" t="s">
        <v>260</v>
      </c>
      <c r="Q1" s="385" t="s">
        <v>261</v>
      </c>
      <c r="R1" s="385" t="s">
        <v>262</v>
      </c>
      <c r="S1" s="385" t="s">
        <v>263</v>
      </c>
      <c r="T1" s="385" t="s">
        <v>264</v>
      </c>
      <c r="U1" s="385" t="s">
        <v>265</v>
      </c>
      <c r="V1" s="385" t="s">
        <v>266</v>
      </c>
      <c r="W1" s="385" t="s">
        <v>267</v>
      </c>
      <c r="X1" s="385" t="s">
        <v>268</v>
      </c>
      <c r="Y1" s="385" t="s">
        <v>269</v>
      </c>
      <c r="Z1" s="385" t="s">
        <v>270</v>
      </c>
      <c r="AA1" s="385" t="s">
        <v>271</v>
      </c>
      <c r="AB1" s="385" t="s">
        <v>272</v>
      </c>
      <c r="AC1" s="385" t="s">
        <v>273</v>
      </c>
      <c r="AD1" s="386" t="s">
        <v>274</v>
      </c>
    </row>
    <row r="2" spans="1:30" s="530" customFormat="1" ht="202.5">
      <c r="A2" s="531">
        <v>1</v>
      </c>
      <c r="B2" s="531" t="s">
        <v>5</v>
      </c>
      <c r="C2" s="532">
        <v>45855</v>
      </c>
      <c r="D2" s="532">
        <v>45869</v>
      </c>
      <c r="E2" s="533" t="s">
        <v>140</v>
      </c>
      <c r="F2" s="542" t="s">
        <v>975</v>
      </c>
      <c r="G2" s="543" t="s">
        <v>971</v>
      </c>
      <c r="H2" s="534" t="s">
        <v>976</v>
      </c>
      <c r="I2" s="535" t="s">
        <v>13</v>
      </c>
      <c r="J2" s="536">
        <v>3</v>
      </c>
      <c r="K2" s="531">
        <v>3</v>
      </c>
      <c r="L2" s="531">
        <v>135.75</v>
      </c>
      <c r="M2" s="538">
        <v>45856</v>
      </c>
      <c r="N2" s="538">
        <v>45859</v>
      </c>
      <c r="O2" s="543" t="s">
        <v>318</v>
      </c>
      <c r="P2" s="544" t="s">
        <v>517</v>
      </c>
      <c r="Q2" s="545" t="s">
        <v>977</v>
      </c>
      <c r="R2" s="543" t="s">
        <v>233</v>
      </c>
      <c r="S2" s="540" t="s">
        <v>320</v>
      </c>
      <c r="T2" s="552" t="s">
        <v>978</v>
      </c>
      <c r="U2" s="538">
        <v>45854</v>
      </c>
      <c r="V2" s="538">
        <v>45867</v>
      </c>
      <c r="W2" s="537" t="s">
        <v>448</v>
      </c>
      <c r="X2" s="540" t="s">
        <v>320</v>
      </c>
      <c r="Y2" s="540" t="s">
        <v>320</v>
      </c>
      <c r="Z2" s="538">
        <v>45867</v>
      </c>
      <c r="AA2" s="540" t="s">
        <v>320</v>
      </c>
      <c r="AB2" s="531"/>
      <c r="AC2" s="531"/>
      <c r="AD2" s="545" t="s">
        <v>979</v>
      </c>
    </row>
    <row r="3" spans="1:30" s="530" customFormat="1" ht="121.5">
      <c r="A3" s="531">
        <v>2</v>
      </c>
      <c r="B3" s="531" t="s">
        <v>5</v>
      </c>
      <c r="C3" s="532">
        <v>45855</v>
      </c>
      <c r="D3" s="532">
        <v>45869</v>
      </c>
      <c r="E3" s="553" t="s">
        <v>140</v>
      </c>
      <c r="F3" s="529" t="s">
        <v>233</v>
      </c>
      <c r="G3" s="554" t="s">
        <v>936</v>
      </c>
      <c r="H3" s="534" t="s">
        <v>937</v>
      </c>
      <c r="I3" s="535" t="s">
        <v>278</v>
      </c>
      <c r="J3" s="536">
        <v>3</v>
      </c>
      <c r="K3" s="537">
        <v>3</v>
      </c>
      <c r="L3" s="537">
        <v>102.75</v>
      </c>
      <c r="M3" s="538">
        <v>45856</v>
      </c>
      <c r="N3" s="538">
        <v>45869</v>
      </c>
      <c r="O3" s="539" t="s">
        <v>318</v>
      </c>
      <c r="P3" s="539" t="s">
        <v>517</v>
      </c>
      <c r="Q3" s="534"/>
      <c r="R3" s="519" t="s">
        <v>980</v>
      </c>
      <c r="S3" s="514" t="s">
        <v>320</v>
      </c>
      <c r="T3" s="555" t="s">
        <v>938</v>
      </c>
      <c r="U3" s="538">
        <v>45854</v>
      </c>
      <c r="V3" s="538">
        <v>45869</v>
      </c>
      <c r="W3" s="537" t="s">
        <v>448</v>
      </c>
      <c r="X3" s="540" t="s">
        <v>320</v>
      </c>
      <c r="Y3" s="540" t="s">
        <v>320</v>
      </c>
      <c r="Z3" s="538">
        <v>45869</v>
      </c>
      <c r="AA3" s="540" t="s">
        <v>320</v>
      </c>
      <c r="AB3" s="537"/>
      <c r="AC3" s="537"/>
      <c r="AD3" s="541" t="s">
        <v>981</v>
      </c>
    </row>
    <row r="4" spans="1:30" ht="135">
      <c r="A4" s="531">
        <v>3</v>
      </c>
      <c r="B4" s="531" t="s">
        <v>5</v>
      </c>
      <c r="C4" s="557">
        <v>45855</v>
      </c>
      <c r="D4" s="556">
        <v>45869</v>
      </c>
      <c r="E4" s="533" t="s">
        <v>140</v>
      </c>
      <c r="F4" s="533" t="s">
        <v>980</v>
      </c>
      <c r="G4" s="533" t="s">
        <v>982</v>
      </c>
      <c r="H4" s="533" t="s">
        <v>983</v>
      </c>
      <c r="I4" s="531" t="s">
        <v>13</v>
      </c>
      <c r="J4" s="531">
        <v>5</v>
      </c>
      <c r="K4" s="531">
        <v>3</v>
      </c>
      <c r="L4" s="531">
        <v>126.5</v>
      </c>
      <c r="M4" s="532">
        <v>45860</v>
      </c>
      <c r="N4" s="532">
        <v>45866</v>
      </c>
      <c r="O4" s="531" t="s">
        <v>318</v>
      </c>
      <c r="P4" s="539" t="s">
        <v>517</v>
      </c>
      <c r="Q4" s="540" t="s">
        <v>984</v>
      </c>
      <c r="R4" s="519" t="s">
        <v>980</v>
      </c>
      <c r="S4" s="531" t="s">
        <v>579</v>
      </c>
      <c r="T4" s="558" t="s">
        <v>985</v>
      </c>
      <c r="U4" s="532">
        <v>45866</v>
      </c>
      <c r="V4" s="532">
        <v>45867</v>
      </c>
      <c r="W4" s="531" t="s">
        <v>448</v>
      </c>
      <c r="X4" s="540" t="s">
        <v>320</v>
      </c>
      <c r="Y4" s="540" t="s">
        <v>320</v>
      </c>
      <c r="Z4" s="538">
        <v>45867</v>
      </c>
      <c r="AA4" s="540" t="s">
        <v>320</v>
      </c>
      <c r="AB4" s="537"/>
      <c r="AC4" s="537"/>
      <c r="AD4" s="551" t="s">
        <v>986</v>
      </c>
    </row>
  </sheetData>
  <hyperlinks>
    <hyperlink ref="T2" r:id="rId1" xr:uid="{3365F23C-AC12-4541-834F-FB730F4E4704}"/>
    <hyperlink ref="T3" r:id="rId2" xr:uid="{D390B1A3-3DDD-456B-AA0A-6C9D78B8C36E}"/>
    <hyperlink ref="T4" r:id="rId3" xr:uid="{33772B83-9C08-44A5-90C5-8F14658B1C75}"/>
  </hyperlinks>
  <pageMargins left="0.7" right="0.7" top="0.75" bottom="0.75" header="0.3" footer="0.3"/>
  <tableParts count="1">
    <tablePart r:id="rId4"/>
  </tableParts>
  <extLst>
    <ext xmlns:x14="http://schemas.microsoft.com/office/spreadsheetml/2009/9/main" uri="{CCE6A557-97BC-4b89-ADB6-D9C93CAAB3DF}">
      <x14:dataValidations xmlns:xm="http://schemas.microsoft.com/office/excel/2006/main" count="1">
        <x14:dataValidation type="list" allowBlank="1" showErrorMessage="1" xr:uid="{A2F03D34-725A-49C0-BAE9-EC84BBFB228C}">
          <x14:formula1>
            <xm:f>Settings!$C$3:$C$20</xm:f>
          </x14:formula1>
          <xm:sqref>I2:I4</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ADA15-75D6-4EED-B205-599C9A35A110}">
  <sheetPr>
    <outlinePr summaryBelow="0" summaryRight="0"/>
  </sheetPr>
  <dimension ref="A1:AB988"/>
  <sheetViews>
    <sheetView topLeftCell="B1" workbookViewId="0">
      <selection activeCell="H1" sqref="H1:L1048576"/>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25.5">
      <c r="A1" s="434" t="s">
        <v>248</v>
      </c>
      <c r="B1" s="1" t="s">
        <v>305</v>
      </c>
      <c r="C1" s="198" t="s">
        <v>306</v>
      </c>
      <c r="D1" s="198" t="s">
        <v>307</v>
      </c>
      <c r="E1" s="1" t="s">
        <v>250</v>
      </c>
      <c r="F1" s="198" t="s">
        <v>308</v>
      </c>
      <c r="G1" s="198" t="s">
        <v>309</v>
      </c>
      <c r="H1" s="1" t="s">
        <v>310</v>
      </c>
      <c r="I1" s="1" t="s">
        <v>311</v>
      </c>
      <c r="J1" s="1" t="s">
        <v>312</v>
      </c>
      <c r="K1" s="1" t="s">
        <v>253</v>
      </c>
      <c r="L1" s="156" t="s">
        <v>313</v>
      </c>
      <c r="M1" s="8" t="s">
        <v>274</v>
      </c>
      <c r="N1" s="483" t="s">
        <v>314</v>
      </c>
      <c r="O1" s="483" t="s">
        <v>315</v>
      </c>
      <c r="P1" s="35"/>
      <c r="Q1" s="35"/>
      <c r="R1" s="35"/>
      <c r="S1" s="35"/>
      <c r="T1" s="35"/>
      <c r="U1" s="35"/>
      <c r="V1" s="35"/>
      <c r="W1" s="35"/>
      <c r="X1" s="35"/>
      <c r="Y1" s="35"/>
      <c r="Z1" s="35"/>
      <c r="AA1" s="35"/>
      <c r="AB1" s="35"/>
    </row>
    <row r="2" spans="1:28" ht="56.25" customHeight="1">
      <c r="B2" s="126"/>
      <c r="C2" s="477"/>
      <c r="D2" s="477"/>
      <c r="E2" s="126"/>
      <c r="F2" s="221"/>
      <c r="G2" s="305"/>
      <c r="H2" s="126"/>
      <c r="I2" s="126"/>
      <c r="J2" s="126"/>
      <c r="K2" s="126"/>
      <c r="L2" s="126"/>
      <c r="M2" s="333"/>
      <c r="N2" s="91"/>
      <c r="O2" s="216"/>
    </row>
    <row r="3" spans="1:28" ht="66.75" customHeight="1">
      <c r="B3" s="126"/>
      <c r="C3" s="477"/>
      <c r="D3" s="477"/>
      <c r="E3" s="126"/>
      <c r="F3" s="221"/>
      <c r="G3" s="305"/>
      <c r="H3" s="126"/>
      <c r="I3" s="126"/>
      <c r="J3" s="126"/>
      <c r="K3" s="126"/>
      <c r="L3" s="126"/>
      <c r="M3" s="333"/>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M1" xr:uid="{3A2BB050-11AC-4ED7-A296-96B42C7FCFBA}"/>
  <dataValidations count="5">
    <dataValidation type="list" allowBlank="1" showErrorMessage="1" sqref="F2:F3" xr:uid="{D932527F-94B6-40F0-8FCE-41634A763418}">
      <formula1>"Bounceback,Defect,None"</formula1>
    </dataValidation>
    <dataValidation type="list" allowBlank="1" showErrorMessage="1" sqref="K2:K3" xr:uid="{89CA16B2-37F4-4109-957C-6586D1078D2F}">
      <formula1>"Open,Inprogress,Closed"</formula1>
    </dataValidation>
    <dataValidation type="list" allowBlank="1" showErrorMessage="1" sqref="I2:I3" xr:uid="{050D258C-1DB7-4470-9188-5F07658775C3}">
      <formula1>"Manual, Automation"</formula1>
    </dataValidation>
    <dataValidation type="list" allowBlank="1" showErrorMessage="1" sqref="H2:H3" xr:uid="{FFDA0F94-8561-4604-801B-400EC3373DB9}">
      <formula1>"Minor,Significant,Major"</formula1>
    </dataValidation>
    <dataValidation type="list" allowBlank="1" showErrorMessage="1" sqref="J2:J3" xr:uid="{E8C58335-97E2-4A5F-9AF7-A25651C0E588}">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83003AAC-2BCE-4E61-A924-8EF2533C872C}">
          <x14:formula1>
            <xm:f>Details!$A$2:$A$10</xm:f>
          </x14:formula1>
          <xm:sqref>L2:L3</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DB306-1738-4C67-B4FA-6162CD1CFB5C}">
  <dimension ref="A1:AD6"/>
  <sheetViews>
    <sheetView workbookViewId="0">
      <pane xSplit="7" ySplit="1" topLeftCell="AW2" activePane="bottomRight" state="frozen"/>
      <selection pane="bottomRight"/>
      <selection pane="bottomLeft"/>
      <selection pane="topRight"/>
    </sheetView>
  </sheetViews>
  <sheetFormatPr defaultRowHeight="12.75"/>
  <cols>
    <col min="2" max="2" width="13.28515625" customWidth="1"/>
    <col min="3" max="3" width="10.7109375" customWidth="1"/>
    <col min="4" max="4" width="12.140625" customWidth="1"/>
    <col min="5" max="5" width="40.7109375" customWidth="1"/>
    <col min="6" max="6" width="29.7109375" customWidth="1"/>
    <col min="7" max="7" width="18.85546875" customWidth="1"/>
    <col min="8" max="8" width="41.7109375" style="137" customWidth="1"/>
    <col min="9" max="9" width="16.85546875" customWidth="1"/>
    <col min="10" max="11" width="11.42578125" bestFit="1" customWidth="1"/>
    <col min="12" max="12" width="25.5703125" customWidth="1"/>
    <col min="13" max="14" width="11.42578125" customWidth="1"/>
    <col min="15" max="15" width="13.140625" customWidth="1"/>
    <col min="16" max="16" width="13.42578125" style="144" customWidth="1"/>
    <col min="17" max="17" width="140.7109375" customWidth="1"/>
    <col min="18" max="18" width="16.42578125" customWidth="1"/>
    <col min="19" max="19" width="14.85546875" customWidth="1"/>
    <col min="20" max="20" width="24.42578125" style="144" customWidth="1"/>
    <col min="21" max="22" width="12.7109375" bestFit="1" customWidth="1"/>
    <col min="23" max="23" width="11.42578125" bestFit="1" customWidth="1"/>
    <col min="24" max="24" width="11.42578125" style="144" bestFit="1" customWidth="1"/>
    <col min="25" max="25" width="11.42578125" bestFit="1" customWidth="1"/>
    <col min="26" max="26" width="12.7109375" bestFit="1" customWidth="1"/>
    <col min="27" max="27" width="52.140625" customWidth="1"/>
    <col min="28" max="29" width="11.42578125" bestFit="1" customWidth="1"/>
    <col min="30" max="30" width="47.5703125" customWidth="1"/>
  </cols>
  <sheetData>
    <row r="1" spans="1:30" ht="47.25">
      <c r="A1" s="379" t="s">
        <v>248</v>
      </c>
      <c r="B1" s="501" t="s">
        <v>4</v>
      </c>
      <c r="C1" s="501" t="s">
        <v>2</v>
      </c>
      <c r="D1" s="501" t="s">
        <v>3</v>
      </c>
      <c r="E1" s="380" t="s">
        <v>249</v>
      </c>
      <c r="F1" s="381" t="s">
        <v>250</v>
      </c>
      <c r="G1" s="382" t="s">
        <v>251</v>
      </c>
      <c r="H1" s="383" t="s">
        <v>252</v>
      </c>
      <c r="I1" s="383" t="s">
        <v>253</v>
      </c>
      <c r="J1" s="384" t="s">
        <v>254</v>
      </c>
      <c r="K1" s="384" t="s">
        <v>255</v>
      </c>
      <c r="L1" s="384" t="s">
        <v>256</v>
      </c>
      <c r="M1" s="384" t="s">
        <v>257</v>
      </c>
      <c r="N1" s="384" t="s">
        <v>258</v>
      </c>
      <c r="O1" s="385" t="s">
        <v>259</v>
      </c>
      <c r="P1" s="385" t="s">
        <v>260</v>
      </c>
      <c r="Q1" s="385" t="s">
        <v>261</v>
      </c>
      <c r="R1" s="385" t="s">
        <v>262</v>
      </c>
      <c r="S1" s="385" t="s">
        <v>263</v>
      </c>
      <c r="T1" s="385" t="s">
        <v>264</v>
      </c>
      <c r="U1" s="385" t="s">
        <v>265</v>
      </c>
      <c r="V1" s="385" t="s">
        <v>266</v>
      </c>
      <c r="W1" s="385" t="s">
        <v>267</v>
      </c>
      <c r="X1" s="385" t="s">
        <v>268</v>
      </c>
      <c r="Y1" s="385" t="s">
        <v>269</v>
      </c>
      <c r="Z1" s="385" t="s">
        <v>270</v>
      </c>
      <c r="AA1" s="385" t="s">
        <v>271</v>
      </c>
      <c r="AB1" s="385" t="s">
        <v>272</v>
      </c>
      <c r="AC1" s="385" t="s">
        <v>273</v>
      </c>
      <c r="AD1" s="386" t="s">
        <v>274</v>
      </c>
    </row>
    <row r="2" spans="1:30" s="506" customFormat="1" ht="180.75" customHeight="1">
      <c r="A2" s="503">
        <v>1</v>
      </c>
      <c r="B2" s="503" t="s">
        <v>5</v>
      </c>
      <c r="C2" s="504">
        <v>45841</v>
      </c>
      <c r="D2" s="504">
        <v>45855</v>
      </c>
      <c r="E2" s="505" t="s">
        <v>136</v>
      </c>
      <c r="F2" s="506" t="s">
        <v>233</v>
      </c>
      <c r="G2" s="507" t="s">
        <v>987</v>
      </c>
      <c r="H2" s="508" t="s">
        <v>988</v>
      </c>
      <c r="I2" s="509" t="s">
        <v>13</v>
      </c>
      <c r="J2" s="510">
        <v>3</v>
      </c>
      <c r="K2" s="511"/>
      <c r="L2" s="511">
        <v>64.5</v>
      </c>
      <c r="M2" s="512">
        <v>45842</v>
      </c>
      <c r="N2" s="512">
        <v>45847</v>
      </c>
      <c r="O2" s="513" t="s">
        <v>318</v>
      </c>
      <c r="P2" s="513" t="s">
        <v>319</v>
      </c>
      <c r="Q2" s="508" t="s">
        <v>989</v>
      </c>
      <c r="R2" s="513" t="s">
        <v>362</v>
      </c>
      <c r="S2" s="514" t="s">
        <v>320</v>
      </c>
      <c r="T2" s="515" t="s">
        <v>990</v>
      </c>
      <c r="U2" s="512">
        <v>45845</v>
      </c>
      <c r="V2" s="512">
        <v>45854</v>
      </c>
      <c r="W2" s="511" t="s">
        <v>595</v>
      </c>
      <c r="X2" s="516"/>
      <c r="Y2" s="511"/>
      <c r="Z2" s="512"/>
      <c r="AA2" s="516"/>
      <c r="AB2" s="511"/>
      <c r="AC2" s="511"/>
      <c r="AD2" s="517" t="s">
        <v>991</v>
      </c>
    </row>
    <row r="3" spans="1:30" s="522" customFormat="1" ht="245.25" customHeight="1">
      <c r="A3" s="503">
        <v>2</v>
      </c>
      <c r="B3" s="503" t="s">
        <v>5</v>
      </c>
      <c r="C3" s="504">
        <v>45841</v>
      </c>
      <c r="D3" s="504">
        <v>45855</v>
      </c>
      <c r="E3" s="505" t="s">
        <v>136</v>
      </c>
      <c r="F3" s="518" t="s">
        <v>975</v>
      </c>
      <c r="G3" s="519" t="s">
        <v>971</v>
      </c>
      <c r="H3" s="508" t="s">
        <v>976</v>
      </c>
      <c r="I3" s="509" t="s">
        <v>283</v>
      </c>
      <c r="J3" s="510">
        <v>3</v>
      </c>
      <c r="K3" s="503"/>
      <c r="L3" s="503">
        <v>220</v>
      </c>
      <c r="M3" s="512">
        <v>45842</v>
      </c>
      <c r="N3" s="512">
        <v>45854</v>
      </c>
      <c r="O3" s="519" t="s">
        <v>318</v>
      </c>
      <c r="P3" s="520" t="s">
        <v>319</v>
      </c>
      <c r="Q3" s="521" t="s">
        <v>992</v>
      </c>
      <c r="R3" s="519" t="s">
        <v>980</v>
      </c>
      <c r="S3" s="514" t="s">
        <v>320</v>
      </c>
      <c r="T3" s="552" t="s">
        <v>978</v>
      </c>
      <c r="U3" s="512">
        <v>45854</v>
      </c>
      <c r="V3" s="512"/>
      <c r="W3" s="511" t="s">
        <v>448</v>
      </c>
      <c r="X3" s="514"/>
      <c r="Y3" s="503"/>
      <c r="Z3" s="512"/>
      <c r="AA3" s="514"/>
      <c r="AB3" s="503"/>
      <c r="AC3" s="503"/>
      <c r="AD3" s="521" t="s">
        <v>993</v>
      </c>
    </row>
    <row r="4" spans="1:30" s="522" customFormat="1" ht="72.75" customHeight="1">
      <c r="A4" s="503">
        <v>3</v>
      </c>
      <c r="B4" s="503" t="s">
        <v>5</v>
      </c>
      <c r="C4" s="504">
        <v>45841</v>
      </c>
      <c r="D4" s="504">
        <v>45855</v>
      </c>
      <c r="E4" s="549" t="s">
        <v>136</v>
      </c>
      <c r="F4" s="550" t="s">
        <v>233</v>
      </c>
      <c r="G4" s="523" t="s">
        <v>994</v>
      </c>
      <c r="H4" s="508" t="s">
        <v>995</v>
      </c>
      <c r="I4" s="509" t="s">
        <v>13</v>
      </c>
      <c r="J4" s="510">
        <v>3</v>
      </c>
      <c r="K4" s="511"/>
      <c r="L4" s="511">
        <v>33</v>
      </c>
      <c r="M4" s="512">
        <v>45846</v>
      </c>
      <c r="N4" s="512">
        <v>45848</v>
      </c>
      <c r="O4" s="513" t="s">
        <v>318</v>
      </c>
      <c r="P4" s="513" t="s">
        <v>319</v>
      </c>
      <c r="Q4" s="508"/>
      <c r="R4" s="519" t="s">
        <v>980</v>
      </c>
      <c r="S4" s="514" t="s">
        <v>320</v>
      </c>
      <c r="T4" s="515" t="s">
        <v>996</v>
      </c>
      <c r="U4" s="512">
        <v>45847</v>
      </c>
      <c r="V4" s="512">
        <v>45854</v>
      </c>
      <c r="W4" s="511" t="s">
        <v>448</v>
      </c>
      <c r="X4" s="516"/>
      <c r="Y4" s="511"/>
      <c r="Z4" s="512"/>
      <c r="AA4" s="516"/>
      <c r="AB4" s="511"/>
      <c r="AC4" s="511"/>
      <c r="AD4" s="517" t="s">
        <v>997</v>
      </c>
    </row>
    <row r="5" spans="1:30" s="522" customFormat="1" ht="63.75">
      <c r="A5" s="503">
        <v>4</v>
      </c>
      <c r="B5" s="503" t="s">
        <v>5</v>
      </c>
      <c r="C5" s="504">
        <v>45841</v>
      </c>
      <c r="D5" s="547">
        <v>45855</v>
      </c>
      <c r="E5" s="505" t="s">
        <v>136</v>
      </c>
      <c r="F5" s="505" t="s">
        <v>233</v>
      </c>
      <c r="G5" s="519" t="s">
        <v>936</v>
      </c>
      <c r="H5" s="518" t="s">
        <v>937</v>
      </c>
      <c r="I5" s="509" t="s">
        <v>283</v>
      </c>
      <c r="J5" s="510">
        <v>5</v>
      </c>
      <c r="K5" s="511"/>
      <c r="L5" s="511">
        <v>33</v>
      </c>
      <c r="M5" s="512">
        <v>45849</v>
      </c>
      <c r="N5" s="512">
        <v>45855</v>
      </c>
      <c r="O5" s="513" t="s">
        <v>318</v>
      </c>
      <c r="P5" s="513"/>
      <c r="Q5" s="508"/>
      <c r="R5" s="519" t="s">
        <v>980</v>
      </c>
      <c r="S5" s="514" t="s">
        <v>320</v>
      </c>
      <c r="T5" s="515" t="s">
        <v>938</v>
      </c>
      <c r="U5" s="512">
        <v>45854</v>
      </c>
      <c r="V5" s="512"/>
      <c r="W5" s="511" t="s">
        <v>448</v>
      </c>
      <c r="X5" s="516"/>
      <c r="Y5" s="511"/>
      <c r="Z5" s="512"/>
      <c r="AA5" s="516"/>
      <c r="AB5" s="511"/>
      <c r="AC5" s="511"/>
      <c r="AD5" s="517" t="s">
        <v>998</v>
      </c>
    </row>
    <row r="6" spans="1:30" s="522" customFormat="1" ht="63.75">
      <c r="A6" s="509">
        <v>5</v>
      </c>
      <c r="B6" s="524" t="s">
        <v>5</v>
      </c>
      <c r="C6" s="512">
        <v>45841</v>
      </c>
      <c r="D6" s="548">
        <v>45855</v>
      </c>
      <c r="E6" s="546" t="s">
        <v>136</v>
      </c>
      <c r="F6" s="546" t="s">
        <v>448</v>
      </c>
      <c r="G6" s="519" t="s">
        <v>999</v>
      </c>
      <c r="H6" s="522" t="s">
        <v>1000</v>
      </c>
      <c r="I6" s="511" t="s">
        <v>13</v>
      </c>
      <c r="J6" s="525">
        <v>1</v>
      </c>
      <c r="K6" s="511"/>
      <c r="L6" s="511">
        <v>2</v>
      </c>
      <c r="M6" s="512">
        <v>45855</v>
      </c>
      <c r="N6" s="512">
        <v>45855</v>
      </c>
      <c r="O6" s="526" t="s">
        <v>318</v>
      </c>
      <c r="P6" s="513"/>
      <c r="Q6" s="511"/>
      <c r="R6" s="526" t="s">
        <v>322</v>
      </c>
      <c r="S6" s="525" t="s">
        <v>320</v>
      </c>
      <c r="T6" s="527" t="s">
        <v>1001</v>
      </c>
      <c r="U6" s="512">
        <v>45855</v>
      </c>
      <c r="V6" s="512">
        <v>45855</v>
      </c>
      <c r="W6" s="511" t="s">
        <v>323</v>
      </c>
      <c r="X6" s="516" t="s">
        <v>320</v>
      </c>
      <c r="Y6" s="511" t="s">
        <v>323</v>
      </c>
      <c r="Z6" s="512">
        <v>45855</v>
      </c>
      <c r="AA6" s="516"/>
      <c r="AB6" s="511"/>
      <c r="AC6" s="511"/>
      <c r="AD6" s="528"/>
    </row>
  </sheetData>
  <hyperlinks>
    <hyperlink ref="T2" r:id="rId1" xr:uid="{9FEF1459-D37E-46D0-BBFB-A0583BFEB067}"/>
    <hyperlink ref="T4" r:id="rId2" xr:uid="{DB7C8C58-1776-4BED-89E6-F7AAFCE278A2}"/>
    <hyperlink ref="T5" r:id="rId3" xr:uid="{814ADA30-D83B-46D4-B3C6-719C9601729E}"/>
    <hyperlink ref="T3" r:id="rId4" xr:uid="{F8E09F1F-DC28-4F3E-BD70-896EE904498B}"/>
    <hyperlink ref="T6" r:id="rId5" xr:uid="{DE7E5526-57EB-4952-8A7A-4B4130D6FC3F}"/>
  </hyperlinks>
  <pageMargins left="0.7" right="0.7" top="0.75" bottom="0.75" header="0.3" footer="0.3"/>
  <tableParts count="1">
    <tablePart r:id="rId6"/>
  </tableParts>
  <extLst>
    <ext xmlns:x14="http://schemas.microsoft.com/office/spreadsheetml/2009/9/main" uri="{CCE6A557-97BC-4b89-ADB6-D9C93CAAB3DF}">
      <x14:dataValidations xmlns:xm="http://schemas.microsoft.com/office/excel/2006/main" count="1">
        <x14:dataValidation type="list" allowBlank="1" showErrorMessage="1" xr:uid="{1BEC82BB-B20A-4C2E-8204-D917E99261A7}">
          <x14:formula1>
            <xm:f>Settings!$C$3:$C$20</xm:f>
          </x14:formula1>
          <xm:sqref>I2:I6</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4F32E-E82E-491E-908A-2BFF950B75C2}">
  <sheetPr>
    <outlinePr summaryBelow="0" summaryRight="0"/>
  </sheetPr>
  <dimension ref="A1:AB988"/>
  <sheetViews>
    <sheetView topLeftCell="B1" workbookViewId="0">
      <selection activeCell="D4" sqref="D4"/>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25.5">
      <c r="A1" s="434" t="s">
        <v>248</v>
      </c>
      <c r="B1" s="1" t="s">
        <v>305</v>
      </c>
      <c r="C1" s="198" t="s">
        <v>306</v>
      </c>
      <c r="D1" s="198" t="s">
        <v>307</v>
      </c>
      <c r="E1" s="1" t="s">
        <v>250</v>
      </c>
      <c r="F1" s="198" t="s">
        <v>308</v>
      </c>
      <c r="G1" s="198" t="s">
        <v>309</v>
      </c>
      <c r="H1" s="1" t="s">
        <v>310</v>
      </c>
      <c r="I1" s="1" t="s">
        <v>311</v>
      </c>
      <c r="J1" s="1" t="s">
        <v>312</v>
      </c>
      <c r="K1" s="1" t="s">
        <v>253</v>
      </c>
      <c r="L1" s="156" t="s">
        <v>313</v>
      </c>
      <c r="M1" s="8" t="s">
        <v>274</v>
      </c>
      <c r="N1" s="483" t="s">
        <v>314</v>
      </c>
      <c r="O1" s="483" t="s">
        <v>315</v>
      </c>
      <c r="P1" s="35"/>
      <c r="Q1" s="35"/>
      <c r="R1" s="35"/>
      <c r="S1" s="35"/>
      <c r="T1" s="35"/>
      <c r="U1" s="35"/>
      <c r="V1" s="35"/>
      <c r="W1" s="35"/>
      <c r="X1" s="35"/>
      <c r="Y1" s="35"/>
      <c r="Z1" s="35"/>
      <c r="AA1" s="35"/>
      <c r="AB1" s="35"/>
    </row>
    <row r="2" spans="1:28" ht="56.25" customHeight="1">
      <c r="B2" s="126"/>
      <c r="C2" s="477"/>
      <c r="D2" s="477"/>
      <c r="E2" s="126"/>
      <c r="F2" s="221"/>
      <c r="G2" s="305"/>
      <c r="H2" s="126"/>
      <c r="I2" s="126"/>
      <c r="J2" s="126"/>
      <c r="K2" s="126"/>
      <c r="L2" s="126"/>
      <c r="M2" s="333"/>
      <c r="N2" s="91"/>
      <c r="O2" s="216"/>
    </row>
    <row r="3" spans="1:28" ht="66.75" customHeight="1">
      <c r="B3" s="126"/>
      <c r="C3" s="477"/>
      <c r="D3" s="477"/>
      <c r="E3" s="126"/>
      <c r="F3" s="221"/>
      <c r="G3" s="305"/>
      <c r="H3" s="126"/>
      <c r="I3" s="126"/>
      <c r="J3" s="126"/>
      <c r="K3" s="126"/>
      <c r="L3" s="126"/>
      <c r="M3" s="333"/>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M1" xr:uid="{3A2BB050-11AC-4ED7-A296-96B42C7FCFBA}"/>
  <dataValidations count="5">
    <dataValidation type="list" allowBlank="1" showErrorMessage="1" sqref="J2:J3" xr:uid="{9B11C6E6-EF0F-488F-9084-97D9568DBCE4}">
      <formula1>"Internal,External"</formula1>
    </dataValidation>
    <dataValidation type="list" allowBlank="1" showErrorMessage="1" sqref="H2:H3" xr:uid="{C6E3B2DE-DC95-4701-925F-A6D2CF3F72FA}">
      <formula1>"Minor,Significant,Major"</formula1>
    </dataValidation>
    <dataValidation type="list" allowBlank="1" showErrorMessage="1" sqref="I2:I3" xr:uid="{EEF3B864-5A24-43CC-9F60-ED88115F588D}">
      <formula1>"Manual, Automation"</formula1>
    </dataValidation>
    <dataValidation type="list" allowBlank="1" showErrorMessage="1" sqref="K2:K3" xr:uid="{0A0C00C3-62DB-4FDC-9CC2-82FDF540A58F}">
      <formula1>"Open,Inprogress,Closed"</formula1>
    </dataValidation>
    <dataValidation type="list" allowBlank="1" showErrorMessage="1" sqref="F2:F3" xr:uid="{C73A3C19-2309-4BB1-A020-D9834AF188C5}">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E8EB8475-85B6-48DB-BB01-66C4ECA6320E}">
          <x14:formula1>
            <xm:f>Details!$A$2:$A$10</xm:f>
          </x14:formula1>
          <xm:sqref>L2:L3</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510FC-32C2-4201-A858-CD1368929112}">
  <dimension ref="A1:AB8"/>
  <sheetViews>
    <sheetView workbookViewId="0">
      <pane xSplit="7" ySplit="1" topLeftCell="Y2" activePane="bottomRight" state="frozen"/>
      <selection pane="bottomRight"/>
      <selection pane="bottomLeft"/>
      <selection pane="topRight"/>
    </sheetView>
  </sheetViews>
  <sheetFormatPr defaultRowHeight="12.75"/>
  <cols>
    <col min="2" max="2" width="13.28515625" customWidth="1"/>
    <col min="3" max="3" width="10.7109375" customWidth="1"/>
    <col min="4" max="4" width="12.140625" customWidth="1"/>
    <col min="5" max="5" width="40.7109375" customWidth="1"/>
    <col min="6" max="6" width="29.7109375" customWidth="1"/>
    <col min="7" max="7" width="18.85546875" customWidth="1"/>
    <col min="8" max="8" width="41.7109375" style="137" customWidth="1"/>
    <col min="9" max="9" width="16.85546875" customWidth="1"/>
    <col min="10" max="11" width="11.42578125" bestFit="1" customWidth="1"/>
    <col min="12" max="12" width="11.42578125" customWidth="1"/>
    <col min="13" max="13" width="13.140625" customWidth="1"/>
    <col min="14" max="14" width="20" style="144" customWidth="1"/>
    <col min="15" max="15" width="122.5703125" customWidth="1"/>
    <col min="16" max="16" width="16.42578125" customWidth="1"/>
    <col min="17" max="17" width="14.85546875" customWidth="1"/>
    <col min="18" max="18" width="24.42578125" style="144" customWidth="1"/>
    <col min="19" max="20" width="12.7109375" bestFit="1" customWidth="1"/>
    <col min="21" max="21" width="11.42578125" bestFit="1" customWidth="1"/>
    <col min="22" max="22" width="11.42578125" style="144" bestFit="1" customWidth="1"/>
    <col min="23" max="23" width="11.42578125" bestFit="1" customWidth="1"/>
    <col min="24" max="24" width="12.7109375" bestFit="1" customWidth="1"/>
    <col min="25" max="25" width="52.140625" customWidth="1"/>
    <col min="26" max="27" width="11.42578125" bestFit="1" customWidth="1"/>
    <col min="28" max="28" width="47.5703125" customWidth="1"/>
  </cols>
  <sheetData>
    <row r="1" spans="1:28" ht="47.25">
      <c r="A1" s="379" t="s">
        <v>248</v>
      </c>
      <c r="B1" s="501" t="s">
        <v>4</v>
      </c>
      <c r="C1" s="501" t="s">
        <v>2</v>
      </c>
      <c r="D1" s="501" t="s">
        <v>3</v>
      </c>
      <c r="E1" s="380" t="s">
        <v>249</v>
      </c>
      <c r="F1" s="381" t="s">
        <v>250</v>
      </c>
      <c r="G1" s="382" t="s">
        <v>251</v>
      </c>
      <c r="H1" s="383" t="s">
        <v>252</v>
      </c>
      <c r="I1" s="383" t="s">
        <v>253</v>
      </c>
      <c r="J1" s="384" t="s">
        <v>254</v>
      </c>
      <c r="K1" s="384" t="s">
        <v>255</v>
      </c>
      <c r="L1" s="384" t="s">
        <v>256</v>
      </c>
      <c r="M1" s="385" t="s">
        <v>259</v>
      </c>
      <c r="N1" s="385" t="s">
        <v>260</v>
      </c>
      <c r="O1" s="385" t="s">
        <v>261</v>
      </c>
      <c r="P1" s="385" t="s">
        <v>262</v>
      </c>
      <c r="Q1" s="385" t="s">
        <v>263</v>
      </c>
      <c r="R1" s="385" t="s">
        <v>264</v>
      </c>
      <c r="S1" s="385" t="s">
        <v>265</v>
      </c>
      <c r="T1" s="385" t="s">
        <v>266</v>
      </c>
      <c r="U1" s="385" t="s">
        <v>267</v>
      </c>
      <c r="V1" s="385" t="s">
        <v>268</v>
      </c>
      <c r="W1" s="385" t="s">
        <v>269</v>
      </c>
      <c r="X1" s="385" t="s">
        <v>270</v>
      </c>
      <c r="Y1" s="385" t="s">
        <v>271</v>
      </c>
      <c r="Z1" s="385" t="s">
        <v>272</v>
      </c>
      <c r="AA1" s="385" t="s">
        <v>273</v>
      </c>
      <c r="AB1" s="386" t="s">
        <v>274</v>
      </c>
    </row>
    <row r="2" spans="1:28" s="256" customFormat="1" ht="233.25" customHeight="1">
      <c r="A2" s="228">
        <v>1</v>
      </c>
      <c r="B2" s="496" t="s">
        <v>5</v>
      </c>
      <c r="C2" s="497">
        <v>45827</v>
      </c>
      <c r="D2" s="497">
        <v>45841</v>
      </c>
      <c r="E2" s="62" t="s">
        <v>132</v>
      </c>
      <c r="F2" s="256" t="s">
        <v>233</v>
      </c>
      <c r="G2" s="250" t="s">
        <v>987</v>
      </c>
      <c r="H2" s="305" t="s">
        <v>988</v>
      </c>
      <c r="I2" s="474" t="s">
        <v>283</v>
      </c>
      <c r="J2" s="181">
        <v>5</v>
      </c>
      <c r="K2" s="327"/>
      <c r="L2" s="327">
        <v>115</v>
      </c>
      <c r="M2" s="329" t="s">
        <v>318</v>
      </c>
      <c r="N2" s="329" t="s">
        <v>319</v>
      </c>
      <c r="O2" s="305" t="s">
        <v>1002</v>
      </c>
      <c r="P2" s="329" t="s">
        <v>232</v>
      </c>
      <c r="Q2" s="480"/>
      <c r="R2" s="358" t="s">
        <v>990</v>
      </c>
      <c r="S2" s="373">
        <v>45840</v>
      </c>
      <c r="T2" s="373"/>
      <c r="U2" s="327" t="s">
        <v>595</v>
      </c>
      <c r="V2" s="370" t="s">
        <v>320</v>
      </c>
      <c r="W2" s="327"/>
      <c r="X2" s="373"/>
      <c r="Y2" s="370"/>
      <c r="Z2" s="327"/>
      <c r="AA2" s="327"/>
      <c r="AB2" s="390" t="s">
        <v>1003</v>
      </c>
    </row>
    <row r="3" spans="1:28" s="256" customFormat="1" ht="370.5" customHeight="1">
      <c r="A3" s="228">
        <v>2</v>
      </c>
      <c r="B3" s="496" t="s">
        <v>5</v>
      </c>
      <c r="C3" s="497">
        <v>45827</v>
      </c>
      <c r="D3" s="497">
        <v>45841</v>
      </c>
      <c r="E3" s="62" t="s">
        <v>132</v>
      </c>
      <c r="F3" s="146" t="s">
        <v>975</v>
      </c>
      <c r="G3" s="203" t="s">
        <v>1004</v>
      </c>
      <c r="H3" s="305" t="s">
        <v>1005</v>
      </c>
      <c r="I3" s="474" t="s">
        <v>13</v>
      </c>
      <c r="J3" s="181">
        <v>5</v>
      </c>
      <c r="K3" s="228"/>
      <c r="L3" s="228">
        <v>154.25</v>
      </c>
      <c r="M3" s="203" t="s">
        <v>318</v>
      </c>
      <c r="N3" s="316" t="s">
        <v>319</v>
      </c>
      <c r="O3" s="90" t="s">
        <v>1006</v>
      </c>
      <c r="P3" s="203" t="s">
        <v>233</v>
      </c>
      <c r="Q3" s="352"/>
      <c r="R3" s="200" t="s">
        <v>1007</v>
      </c>
      <c r="S3" s="360">
        <v>45839</v>
      </c>
      <c r="T3" s="360">
        <v>45839</v>
      </c>
      <c r="U3" s="228" t="s">
        <v>595</v>
      </c>
      <c r="V3" s="352" t="s">
        <v>579</v>
      </c>
      <c r="W3" s="228" t="s">
        <v>323</v>
      </c>
      <c r="X3" s="360">
        <v>45839</v>
      </c>
      <c r="Y3" s="352" t="s">
        <v>579</v>
      </c>
      <c r="Z3" s="228" t="s">
        <v>579</v>
      </c>
      <c r="AA3" s="228" t="s">
        <v>579</v>
      </c>
      <c r="AB3" s="90" t="s">
        <v>1008</v>
      </c>
    </row>
    <row r="4" spans="1:28" s="256" customFormat="1" ht="58.5">
      <c r="A4" s="228">
        <v>3</v>
      </c>
      <c r="B4" s="496" t="s">
        <v>5</v>
      </c>
      <c r="C4" s="497">
        <v>45827</v>
      </c>
      <c r="D4" s="497">
        <v>45841</v>
      </c>
      <c r="E4" s="62" t="s">
        <v>132</v>
      </c>
      <c r="F4" s="256" t="s">
        <v>1009</v>
      </c>
      <c r="G4" s="250" t="s">
        <v>1010</v>
      </c>
      <c r="H4" s="305" t="s">
        <v>1011</v>
      </c>
      <c r="I4" s="474" t="s">
        <v>13</v>
      </c>
      <c r="J4" s="181">
        <v>1</v>
      </c>
      <c r="K4" s="327"/>
      <c r="L4" s="327">
        <v>3.75</v>
      </c>
      <c r="M4" s="329"/>
      <c r="N4" s="329" t="s">
        <v>319</v>
      </c>
      <c r="O4" s="305" t="s">
        <v>1012</v>
      </c>
      <c r="P4" s="329"/>
      <c r="Q4" s="480"/>
      <c r="R4" s="358"/>
      <c r="S4" s="373"/>
      <c r="T4" s="373"/>
      <c r="U4" s="327"/>
      <c r="V4" s="370"/>
      <c r="W4" s="327"/>
      <c r="X4" s="373"/>
      <c r="Y4" s="370"/>
      <c r="Z4" s="327"/>
      <c r="AA4" s="327"/>
      <c r="AB4" s="390"/>
    </row>
    <row r="5" spans="1:28" ht="395.25" customHeight="1">
      <c r="A5" s="228">
        <v>4</v>
      </c>
      <c r="B5" s="496" t="s">
        <v>5</v>
      </c>
      <c r="C5" s="497">
        <v>45827</v>
      </c>
      <c r="D5" s="497">
        <v>45841</v>
      </c>
      <c r="E5" s="62" t="s">
        <v>132</v>
      </c>
      <c r="F5" s="146" t="s">
        <v>975</v>
      </c>
      <c r="G5" s="203" t="s">
        <v>1013</v>
      </c>
      <c r="H5" s="305" t="s">
        <v>1014</v>
      </c>
      <c r="I5" s="467" t="s">
        <v>13</v>
      </c>
      <c r="J5" s="228">
        <v>1</v>
      </c>
      <c r="K5" s="228"/>
      <c r="L5" s="228">
        <v>43.75</v>
      </c>
      <c r="M5" s="203" t="s">
        <v>318</v>
      </c>
      <c r="N5" s="316" t="s">
        <v>319</v>
      </c>
      <c r="O5" s="90" t="s">
        <v>1015</v>
      </c>
      <c r="P5" s="203" t="s">
        <v>957</v>
      </c>
      <c r="Q5" s="352" t="s">
        <v>579</v>
      </c>
      <c r="R5" s="200" t="s">
        <v>1016</v>
      </c>
      <c r="S5" s="360">
        <v>45825</v>
      </c>
      <c r="T5" s="360">
        <v>45835</v>
      </c>
      <c r="U5" s="228" t="s">
        <v>322</v>
      </c>
      <c r="V5" s="352" t="s">
        <v>579</v>
      </c>
      <c r="W5" s="228" t="s">
        <v>323</v>
      </c>
      <c r="X5" s="360">
        <v>45835</v>
      </c>
      <c r="Y5" s="352" t="s">
        <v>1017</v>
      </c>
      <c r="Z5" s="228" t="s">
        <v>579</v>
      </c>
      <c r="AA5" s="228" t="s">
        <v>579</v>
      </c>
      <c r="AB5" s="90" t="s">
        <v>1018</v>
      </c>
    </row>
    <row r="6" spans="1:28" ht="186" customHeight="1">
      <c r="A6" s="228">
        <v>5</v>
      </c>
      <c r="B6" s="496" t="s">
        <v>5</v>
      </c>
      <c r="C6" s="497">
        <v>45840</v>
      </c>
      <c r="D6" s="497">
        <v>45854</v>
      </c>
      <c r="E6" s="62" t="s">
        <v>1019</v>
      </c>
      <c r="F6" s="146" t="s">
        <v>975</v>
      </c>
      <c r="G6" s="203" t="s">
        <v>971</v>
      </c>
      <c r="H6" s="305" t="s">
        <v>976</v>
      </c>
      <c r="I6" s="474" t="s">
        <v>278</v>
      </c>
      <c r="J6" s="181">
        <v>3</v>
      </c>
      <c r="K6" s="228"/>
      <c r="L6" s="228">
        <v>33.5</v>
      </c>
      <c r="M6" s="203"/>
      <c r="N6" s="316"/>
      <c r="O6" s="90"/>
      <c r="P6" s="203"/>
      <c r="Q6" s="352"/>
      <c r="R6" s="200"/>
      <c r="S6" s="360"/>
      <c r="T6" s="360"/>
      <c r="U6" s="228"/>
      <c r="V6" s="352"/>
      <c r="W6" s="228"/>
      <c r="X6" s="360"/>
      <c r="Y6" s="352"/>
      <c r="Z6" s="228"/>
      <c r="AA6" s="228"/>
      <c r="AB6" s="299" t="s">
        <v>1020</v>
      </c>
    </row>
    <row r="7" spans="1:28" ht="72.75" customHeight="1">
      <c r="A7" s="369"/>
      <c r="B7" s="369"/>
      <c r="C7" s="372"/>
      <c r="D7" s="430"/>
      <c r="E7" s="229"/>
      <c r="F7" s="137"/>
      <c r="G7" s="229"/>
      <c r="I7" s="499"/>
      <c r="J7" s="228"/>
      <c r="K7" s="369"/>
      <c r="L7" s="327"/>
      <c r="M7" s="229"/>
      <c r="N7" s="329"/>
      <c r="O7" s="327"/>
      <c r="P7" s="250"/>
      <c r="Q7" s="218"/>
      <c r="R7" s="271"/>
      <c r="S7" s="372"/>
      <c r="T7" s="373"/>
      <c r="U7" s="327"/>
      <c r="V7" s="370"/>
      <c r="W7" s="327"/>
      <c r="X7" s="373"/>
      <c r="Y7" s="370"/>
      <c r="Z7" s="327"/>
      <c r="AA7" s="327"/>
      <c r="AB7" s="388"/>
    </row>
    <row r="8" spans="1:28">
      <c r="A8" s="369"/>
      <c r="B8" s="369"/>
      <c r="C8" s="372"/>
      <c r="D8" s="430"/>
      <c r="E8" s="203"/>
      <c r="F8" s="498"/>
      <c r="G8" s="498"/>
      <c r="I8" s="327"/>
      <c r="J8" s="181"/>
      <c r="K8" s="327"/>
      <c r="L8" s="327"/>
      <c r="M8" s="229"/>
      <c r="N8" s="329"/>
      <c r="O8" s="327"/>
      <c r="P8" s="250"/>
      <c r="Q8" s="58"/>
      <c r="R8" s="200"/>
      <c r="S8" s="372"/>
      <c r="T8" s="373"/>
      <c r="U8" s="327"/>
      <c r="V8" s="370"/>
      <c r="W8" s="327"/>
      <c r="X8" s="373"/>
      <c r="Y8" s="370"/>
      <c r="Z8" s="327"/>
      <c r="AA8" s="327"/>
      <c r="AB8" s="388"/>
    </row>
  </sheetData>
  <hyperlinks>
    <hyperlink ref="R5" r:id="rId1" xr:uid="{F04B675D-B789-43D8-AA40-24ADCDCFD404}"/>
    <hyperlink ref="R2" r:id="rId2" xr:uid="{1115A8B6-8FE2-48BD-A977-7AD254941C34}"/>
    <hyperlink ref="R3" r:id="rId3" xr:uid="{C7AA135E-B2FB-4811-B0E0-87B3FCE84C61}"/>
  </hyperlinks>
  <pageMargins left="0.7" right="0.7" top="0.75" bottom="0.75" header="0.3" footer="0.3"/>
  <tableParts count="1">
    <tablePart r:id="rId4"/>
  </tableParts>
  <extLst>
    <ext xmlns:x14="http://schemas.microsoft.com/office/spreadsheetml/2009/9/main" uri="{CCE6A557-97BC-4b89-ADB6-D9C93CAAB3DF}">
      <x14:dataValidations xmlns:xm="http://schemas.microsoft.com/office/excel/2006/main" count="1">
        <x14:dataValidation type="list" allowBlank="1" showErrorMessage="1" xr:uid="{5D2BCE1E-D489-49E6-A61C-05FBEE7EABD1}">
          <x14:formula1>
            <xm:f>Settings!$C$3:$C$20</xm:f>
          </x14:formula1>
          <xm:sqref>I2:I8</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C817D-600B-46DA-B03A-5D1F67EBC076}">
  <sheetPr>
    <outlinePr summaryBelow="0" summaryRight="0"/>
  </sheetPr>
  <dimension ref="A1:AB988"/>
  <sheetViews>
    <sheetView topLeftCell="B1" workbookViewId="0">
      <selection activeCell="F5" sqref="F5"/>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25.5">
      <c r="A1" s="434" t="s">
        <v>248</v>
      </c>
      <c r="B1" s="1" t="s">
        <v>305</v>
      </c>
      <c r="C1" s="198" t="s">
        <v>306</v>
      </c>
      <c r="D1" s="198" t="s">
        <v>307</v>
      </c>
      <c r="E1" s="1" t="s">
        <v>250</v>
      </c>
      <c r="F1" s="198" t="s">
        <v>308</v>
      </c>
      <c r="G1" s="198" t="s">
        <v>309</v>
      </c>
      <c r="H1" s="1" t="s">
        <v>310</v>
      </c>
      <c r="I1" s="1" t="s">
        <v>311</v>
      </c>
      <c r="J1" s="1" t="s">
        <v>312</v>
      </c>
      <c r="K1" s="1" t="s">
        <v>253</v>
      </c>
      <c r="L1" s="156" t="s">
        <v>313</v>
      </c>
      <c r="M1" s="8" t="s">
        <v>274</v>
      </c>
      <c r="N1" s="483" t="s">
        <v>314</v>
      </c>
      <c r="O1" s="483" t="s">
        <v>315</v>
      </c>
      <c r="P1" s="35"/>
      <c r="Q1" s="35"/>
      <c r="R1" s="35"/>
      <c r="S1" s="35"/>
      <c r="T1" s="35"/>
      <c r="U1" s="35"/>
      <c r="V1" s="35"/>
      <c r="W1" s="35"/>
      <c r="X1" s="35"/>
      <c r="Y1" s="35"/>
      <c r="Z1" s="35"/>
      <c r="AA1" s="35"/>
      <c r="AB1" s="35"/>
    </row>
    <row r="2" spans="1:28" ht="56.25" customHeight="1">
      <c r="B2" s="126"/>
      <c r="C2" s="477"/>
      <c r="D2" s="477"/>
      <c r="E2" s="126"/>
      <c r="F2" s="221"/>
      <c r="G2" s="305"/>
      <c r="H2" s="126"/>
      <c r="I2" s="126"/>
      <c r="J2" s="126"/>
      <c r="K2" s="126"/>
      <c r="L2" s="126"/>
      <c r="M2" s="333"/>
      <c r="N2" s="91"/>
      <c r="O2" s="216"/>
    </row>
    <row r="3" spans="1:28" ht="66.75" customHeight="1">
      <c r="B3" s="126"/>
      <c r="C3" s="477"/>
      <c r="D3" s="477"/>
      <c r="E3" s="126"/>
      <c r="F3" s="221"/>
      <c r="G3" s="305"/>
      <c r="H3" s="126"/>
      <c r="I3" s="126"/>
      <c r="J3" s="126"/>
      <c r="K3" s="126"/>
      <c r="L3" s="126"/>
      <c r="M3" s="333"/>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M1" xr:uid="{3A2BB050-11AC-4ED7-A296-96B42C7FCFBA}"/>
  <dataValidations count="5">
    <dataValidation type="list" allowBlank="1" showErrorMessage="1" sqref="F2:F3" xr:uid="{7C523AC6-15B1-4041-832D-80C1C2991915}">
      <formula1>"Bounceback,Defect,None"</formula1>
    </dataValidation>
    <dataValidation type="list" allowBlank="1" showErrorMessage="1" sqref="K2:K3" xr:uid="{50D71DE2-DBDD-46DD-ACA4-AD0A5F80EAEC}">
      <formula1>"Open,Inprogress,Closed"</formula1>
    </dataValidation>
    <dataValidation type="list" allowBlank="1" showErrorMessage="1" sqref="I2:I3" xr:uid="{F85E53E1-C4FB-49ED-BB38-9248B08384AF}">
      <formula1>"Manual, Automation"</formula1>
    </dataValidation>
    <dataValidation type="list" allowBlank="1" showErrorMessage="1" sqref="H2:H3" xr:uid="{15AA3BE0-DA40-42BB-8363-CB54836D5B7A}">
      <formula1>"Minor,Significant,Major"</formula1>
    </dataValidation>
    <dataValidation type="list" allowBlank="1" showErrorMessage="1" sqref="J2:J3" xr:uid="{8C59A824-2D94-45F0-95FA-CD9FECC5F291}">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B9F3670C-A973-427D-A54C-F36449F2F023}">
          <x14:formula1>
            <xm:f>Details!$A$2:$A$10</xm:f>
          </x14:formula1>
          <xm:sqref>L2:L3</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EB21D-C4D8-4B06-956C-DCE8F5AECFFF}">
  <dimension ref="A1:AB9"/>
  <sheetViews>
    <sheetView workbookViewId="0">
      <pane xSplit="7" ySplit="1" topLeftCell="H8" activePane="bottomRight" state="frozen"/>
      <selection pane="bottomRight"/>
      <selection pane="bottomLeft"/>
      <selection pane="topRight"/>
    </sheetView>
  </sheetViews>
  <sheetFormatPr defaultRowHeight="12.75"/>
  <cols>
    <col min="2" max="2" width="13.28515625" customWidth="1"/>
    <col min="3" max="3" width="10.7109375" customWidth="1"/>
    <col min="4" max="4" width="12.140625" customWidth="1"/>
    <col min="5" max="5" width="40.7109375" customWidth="1"/>
    <col min="6" max="6" width="29.7109375" customWidth="1"/>
    <col min="7" max="7" width="18.85546875" customWidth="1"/>
    <col min="8" max="8" width="41.7109375" style="137" customWidth="1"/>
    <col min="9" max="9" width="16.85546875" customWidth="1"/>
    <col min="10" max="11" width="11.42578125" bestFit="1" customWidth="1"/>
    <col min="12" max="12" width="11.42578125" customWidth="1"/>
    <col min="13" max="13" width="13.140625" customWidth="1"/>
    <col min="14" max="14" width="13.42578125" style="144" customWidth="1"/>
    <col min="15" max="15" width="21.85546875" customWidth="1"/>
    <col min="16" max="16" width="16.42578125" customWidth="1"/>
    <col min="17" max="17" width="14.85546875" customWidth="1"/>
    <col min="18" max="18" width="24.42578125" style="144" customWidth="1"/>
    <col min="19" max="20" width="12.7109375" bestFit="1" customWidth="1"/>
    <col min="21" max="21" width="11.42578125" bestFit="1" customWidth="1"/>
    <col min="22" max="22" width="11.42578125" style="144" bestFit="1" customWidth="1"/>
    <col min="23" max="23" width="11.42578125" bestFit="1" customWidth="1"/>
    <col min="24" max="24" width="12.7109375" bestFit="1" customWidth="1"/>
    <col min="25" max="27" width="11.42578125" bestFit="1" customWidth="1"/>
    <col min="28" max="28" width="27.42578125" customWidth="1"/>
  </cols>
  <sheetData>
    <row r="1" spans="1:28" ht="47.25">
      <c r="A1" s="379" t="s">
        <v>248</v>
      </c>
      <c r="B1" s="404" t="s">
        <v>4</v>
      </c>
      <c r="C1" s="404" t="s">
        <v>2</v>
      </c>
      <c r="D1" s="404" t="s">
        <v>3</v>
      </c>
      <c r="E1" s="380" t="s">
        <v>249</v>
      </c>
      <c r="F1" s="381" t="s">
        <v>250</v>
      </c>
      <c r="G1" s="382" t="s">
        <v>251</v>
      </c>
      <c r="H1" s="383" t="s">
        <v>252</v>
      </c>
      <c r="I1" s="383" t="s">
        <v>253</v>
      </c>
      <c r="J1" s="384" t="s">
        <v>254</v>
      </c>
      <c r="K1" s="384" t="s">
        <v>255</v>
      </c>
      <c r="L1" s="384" t="s">
        <v>256</v>
      </c>
      <c r="M1" s="385" t="s">
        <v>259</v>
      </c>
      <c r="N1" s="385" t="s">
        <v>260</v>
      </c>
      <c r="O1" s="385" t="s">
        <v>261</v>
      </c>
      <c r="P1" s="385" t="s">
        <v>262</v>
      </c>
      <c r="Q1" s="385" t="s">
        <v>263</v>
      </c>
      <c r="R1" s="385" t="s">
        <v>264</v>
      </c>
      <c r="S1" s="385" t="s">
        <v>265</v>
      </c>
      <c r="T1" s="385" t="s">
        <v>266</v>
      </c>
      <c r="U1" s="385" t="s">
        <v>267</v>
      </c>
      <c r="V1" s="385" t="s">
        <v>268</v>
      </c>
      <c r="W1" s="385" t="s">
        <v>269</v>
      </c>
      <c r="X1" s="385" t="s">
        <v>270</v>
      </c>
      <c r="Y1" s="385" t="s">
        <v>271</v>
      </c>
      <c r="Z1" s="385" t="s">
        <v>272</v>
      </c>
      <c r="AA1" s="385" t="s">
        <v>273</v>
      </c>
      <c r="AB1" s="386" t="s">
        <v>274</v>
      </c>
    </row>
    <row r="2" spans="1:28" s="256" customFormat="1" ht="128.25" customHeight="1">
      <c r="A2" s="369">
        <v>1</v>
      </c>
      <c r="B2" s="444" t="s">
        <v>1021</v>
      </c>
      <c r="C2" s="445">
        <v>45800</v>
      </c>
      <c r="D2" s="445">
        <v>45813</v>
      </c>
      <c r="E2" s="465" t="s">
        <v>124</v>
      </c>
      <c r="F2" s="90" t="s">
        <v>1022</v>
      </c>
      <c r="G2" s="431" t="s">
        <v>1023</v>
      </c>
      <c r="H2" s="90" t="s">
        <v>1024</v>
      </c>
      <c r="I2" s="474" t="s">
        <v>13</v>
      </c>
      <c r="J2" s="327">
        <v>3</v>
      </c>
      <c r="K2" s="327">
        <v>3</v>
      </c>
      <c r="L2" s="327">
        <v>57</v>
      </c>
      <c r="M2" s="229"/>
      <c r="N2" s="329"/>
      <c r="O2" s="370"/>
      <c r="P2" s="250"/>
      <c r="Q2" s="152"/>
      <c r="R2" s="200"/>
      <c r="S2" s="372"/>
      <c r="T2" s="373"/>
      <c r="U2" s="370"/>
      <c r="V2" s="370"/>
      <c r="W2" s="327"/>
      <c r="X2" s="373"/>
      <c r="Y2" s="370"/>
      <c r="Z2" s="327"/>
      <c r="AA2" s="327"/>
      <c r="AB2" s="390" t="s">
        <v>1025</v>
      </c>
    </row>
    <row r="3" spans="1:28" s="256" customFormat="1" ht="128.25" customHeight="1">
      <c r="A3" s="369">
        <v>2</v>
      </c>
      <c r="B3" s="442" t="s">
        <v>1021</v>
      </c>
      <c r="C3" s="443">
        <v>45800</v>
      </c>
      <c r="D3" s="443">
        <v>45813</v>
      </c>
      <c r="E3" s="257" t="s">
        <v>124</v>
      </c>
      <c r="F3" s="256" t="s">
        <v>1026</v>
      </c>
      <c r="G3" s="250" t="s">
        <v>1027</v>
      </c>
      <c r="H3" s="305" t="s">
        <v>1028</v>
      </c>
      <c r="I3" s="474" t="s">
        <v>283</v>
      </c>
      <c r="J3" s="181">
        <v>5</v>
      </c>
      <c r="K3" s="327"/>
      <c r="L3" s="327">
        <v>141.75</v>
      </c>
      <c r="M3" s="329" t="s">
        <v>318</v>
      </c>
      <c r="N3" s="329" t="s">
        <v>1029</v>
      </c>
      <c r="O3" s="370" t="s">
        <v>1030</v>
      </c>
      <c r="P3" s="329" t="s">
        <v>1031</v>
      </c>
      <c r="Q3" s="480" t="s">
        <v>320</v>
      </c>
      <c r="R3" s="358" t="s">
        <v>1032</v>
      </c>
      <c r="S3" s="373">
        <v>45812</v>
      </c>
      <c r="T3" s="373">
        <v>45813</v>
      </c>
      <c r="U3" s="327" t="s">
        <v>448</v>
      </c>
      <c r="V3" s="370" t="s">
        <v>320</v>
      </c>
      <c r="W3" s="327" t="s">
        <v>323</v>
      </c>
      <c r="X3" s="373">
        <v>45813</v>
      </c>
      <c r="Y3" s="370" t="s">
        <v>1033</v>
      </c>
      <c r="Z3" s="327"/>
      <c r="AA3" s="327"/>
      <c r="AB3" s="390" t="s">
        <v>1034</v>
      </c>
    </row>
    <row r="4" spans="1:28" s="256" customFormat="1" ht="128.25" customHeight="1">
      <c r="A4" s="228">
        <v>3</v>
      </c>
      <c r="B4" s="496" t="s">
        <v>1021</v>
      </c>
      <c r="C4" s="497">
        <v>45800</v>
      </c>
      <c r="D4" s="497">
        <v>45813</v>
      </c>
      <c r="E4" s="62" t="s">
        <v>124</v>
      </c>
      <c r="F4" s="90" t="s">
        <v>1035</v>
      </c>
      <c r="G4" s="203" t="s">
        <v>1036</v>
      </c>
      <c r="H4" s="90" t="s">
        <v>1037</v>
      </c>
      <c r="I4" s="467" t="s">
        <v>13</v>
      </c>
      <c r="J4" s="228">
        <v>2</v>
      </c>
      <c r="K4" s="228">
        <v>2</v>
      </c>
      <c r="L4" s="228">
        <v>39.25</v>
      </c>
      <c r="M4" s="203" t="s">
        <v>318</v>
      </c>
      <c r="N4" s="316" t="s">
        <v>1029</v>
      </c>
      <c r="O4" s="228" t="s">
        <v>320</v>
      </c>
      <c r="P4" s="203" t="s">
        <v>1022</v>
      </c>
      <c r="Q4" s="352" t="s">
        <v>320</v>
      </c>
      <c r="R4" s="200" t="s">
        <v>1038</v>
      </c>
      <c r="S4" s="360">
        <v>45803</v>
      </c>
      <c r="T4" s="360">
        <v>45805</v>
      </c>
      <c r="U4" s="228" t="s">
        <v>448</v>
      </c>
      <c r="V4" s="352" t="s">
        <v>320</v>
      </c>
      <c r="W4" s="228" t="s">
        <v>323</v>
      </c>
      <c r="X4" s="360">
        <v>45805</v>
      </c>
      <c r="Y4" s="352" t="s">
        <v>320</v>
      </c>
      <c r="Z4" s="228" t="s">
        <v>320</v>
      </c>
      <c r="AA4" s="228" t="s">
        <v>320</v>
      </c>
      <c r="AB4" s="90" t="s">
        <v>1039</v>
      </c>
    </row>
    <row r="5" spans="1:28" s="256" customFormat="1" ht="128.25" customHeight="1">
      <c r="A5" s="487">
        <v>4</v>
      </c>
      <c r="B5" s="488" t="s">
        <v>1021</v>
      </c>
      <c r="C5" s="489">
        <v>45800</v>
      </c>
      <c r="D5" s="490">
        <v>45813</v>
      </c>
      <c r="E5" s="491" t="s">
        <v>124</v>
      </c>
      <c r="F5" s="478" t="s">
        <v>1040</v>
      </c>
      <c r="G5" s="137" t="s">
        <v>1041</v>
      </c>
      <c r="H5" s="468" t="s">
        <v>1042</v>
      </c>
      <c r="I5" s="463" t="s">
        <v>13</v>
      </c>
      <c r="J5" s="469">
        <v>1</v>
      </c>
      <c r="K5" s="469">
        <v>1</v>
      </c>
      <c r="L5" s="482">
        <v>24.75</v>
      </c>
      <c r="M5" s="492"/>
      <c r="N5" s="493"/>
      <c r="O5" s="482"/>
      <c r="P5" s="494"/>
      <c r="Q5" s="480"/>
      <c r="R5" s="500"/>
      <c r="S5" s="471"/>
      <c r="T5" s="472"/>
      <c r="U5" s="482"/>
      <c r="V5" s="480"/>
      <c r="W5" s="482"/>
      <c r="X5" s="472"/>
      <c r="Y5" s="480"/>
      <c r="Z5" s="482"/>
      <c r="AA5" s="482"/>
      <c r="AB5" s="495" t="s">
        <v>1043</v>
      </c>
    </row>
    <row r="6" spans="1:28" ht="117" customHeight="1">
      <c r="A6" s="369">
        <v>5</v>
      </c>
      <c r="B6" s="369" t="s">
        <v>1021</v>
      </c>
      <c r="C6" s="372">
        <v>45800</v>
      </c>
      <c r="D6" s="430">
        <v>45813</v>
      </c>
      <c r="E6" s="250" t="s">
        <v>124</v>
      </c>
      <c r="F6" s="203" t="s">
        <v>233</v>
      </c>
      <c r="G6" s="247" t="s">
        <v>1044</v>
      </c>
      <c r="H6" s="321" t="s">
        <v>1045</v>
      </c>
      <c r="I6" s="374" t="s">
        <v>13</v>
      </c>
      <c r="J6" s="228">
        <v>5</v>
      </c>
      <c r="K6" s="228">
        <v>5</v>
      </c>
      <c r="L6" s="327">
        <v>66</v>
      </c>
      <c r="M6" s="229"/>
      <c r="N6" s="329"/>
      <c r="O6" s="370"/>
      <c r="P6" s="250"/>
      <c r="Q6" s="58"/>
      <c r="R6" s="200"/>
      <c r="S6" s="372"/>
      <c r="T6" s="373"/>
      <c r="U6" s="327"/>
      <c r="V6" s="370"/>
      <c r="W6" s="327"/>
      <c r="X6" s="373"/>
      <c r="Y6" s="370"/>
      <c r="Z6" s="327"/>
      <c r="AA6" s="327"/>
      <c r="AB6" s="388" t="s">
        <v>1043</v>
      </c>
    </row>
    <row r="7" spans="1:28" ht="66" customHeight="1">
      <c r="A7" s="369">
        <v>6</v>
      </c>
      <c r="B7" s="369" t="s">
        <v>1021</v>
      </c>
      <c r="C7" s="372">
        <v>45800</v>
      </c>
      <c r="D7" s="430">
        <v>45813</v>
      </c>
      <c r="E7" s="203" t="s">
        <v>1046</v>
      </c>
      <c r="F7" s="137" t="s">
        <v>232</v>
      </c>
      <c r="G7" s="250" t="s">
        <v>1010</v>
      </c>
      <c r="H7" s="377" t="s">
        <v>1011</v>
      </c>
      <c r="I7" s="228" t="s">
        <v>278</v>
      </c>
      <c r="J7" s="181">
        <v>3</v>
      </c>
      <c r="K7" s="181"/>
      <c r="L7" s="327">
        <v>102.5</v>
      </c>
      <c r="M7" s="229"/>
      <c r="N7" s="329"/>
      <c r="O7" s="327"/>
      <c r="P7" s="250"/>
      <c r="Q7" s="58"/>
      <c r="R7" s="200"/>
      <c r="S7" s="372"/>
      <c r="T7" s="373"/>
      <c r="U7" s="327"/>
      <c r="V7" s="370"/>
      <c r="W7" s="327"/>
      <c r="X7" s="373"/>
      <c r="Y7" s="370"/>
      <c r="Z7" s="327"/>
      <c r="AA7" s="327"/>
      <c r="AB7" s="388" t="s">
        <v>1047</v>
      </c>
    </row>
    <row r="8" spans="1:28" ht="72.75" customHeight="1">
      <c r="A8" s="369">
        <v>7</v>
      </c>
      <c r="B8" s="369" t="s">
        <v>1021</v>
      </c>
      <c r="C8" s="372">
        <v>45800</v>
      </c>
      <c r="D8" s="430">
        <v>45813</v>
      </c>
      <c r="E8" s="229" t="s">
        <v>1046</v>
      </c>
      <c r="F8" s="137" t="s">
        <v>448</v>
      </c>
      <c r="G8" s="229" t="s">
        <v>1048</v>
      </c>
      <c r="H8" s="137" t="s">
        <v>1049</v>
      </c>
      <c r="I8" s="499" t="s">
        <v>13</v>
      </c>
      <c r="J8" s="228">
        <v>2</v>
      </c>
      <c r="K8" s="228">
        <v>2</v>
      </c>
      <c r="L8" s="327">
        <v>7.25</v>
      </c>
      <c r="M8" s="229"/>
      <c r="N8" s="329"/>
      <c r="O8" s="327"/>
      <c r="P8" s="250"/>
      <c r="Q8" s="218"/>
      <c r="R8" s="271"/>
      <c r="S8" s="372"/>
      <c r="T8" s="373"/>
      <c r="U8" s="327"/>
      <c r="V8" s="370"/>
      <c r="W8" s="327"/>
      <c r="X8" s="373"/>
      <c r="Y8" s="370"/>
      <c r="Z8" s="327"/>
      <c r="AA8" s="327"/>
      <c r="AB8" s="388" t="s">
        <v>1050</v>
      </c>
    </row>
    <row r="9" spans="1:28" ht="58.5">
      <c r="A9" s="369">
        <v>8</v>
      </c>
      <c r="B9" s="369" t="s">
        <v>1021</v>
      </c>
      <c r="C9" s="372">
        <v>45800</v>
      </c>
      <c r="D9" s="430">
        <v>45813</v>
      </c>
      <c r="E9" s="203" t="s">
        <v>1046</v>
      </c>
      <c r="F9" s="498" t="s">
        <v>448</v>
      </c>
      <c r="G9" s="498" t="s">
        <v>1051</v>
      </c>
      <c r="H9" s="137" t="s">
        <v>1052</v>
      </c>
      <c r="I9" s="327" t="s">
        <v>13</v>
      </c>
      <c r="J9" s="181">
        <v>1</v>
      </c>
      <c r="K9" s="181">
        <v>1</v>
      </c>
      <c r="L9" s="327"/>
      <c r="M9" s="229"/>
      <c r="N9" s="329"/>
      <c r="O9" s="327"/>
      <c r="P9" s="250"/>
      <c r="Q9" s="58"/>
      <c r="R9" s="200"/>
      <c r="S9" s="372"/>
      <c r="T9" s="373"/>
      <c r="U9" s="327"/>
      <c r="V9" s="370"/>
      <c r="W9" s="327"/>
      <c r="X9" s="373"/>
      <c r="Y9" s="370"/>
      <c r="Z9" s="327"/>
      <c r="AA9" s="327"/>
      <c r="AB9" s="388" t="s">
        <v>1050</v>
      </c>
    </row>
  </sheetData>
  <hyperlinks>
    <hyperlink ref="R4" r:id="rId1" xr:uid="{C2BACBD7-6202-462C-BEF9-E11FEEBB151A}"/>
    <hyperlink ref="R3" r:id="rId2" xr:uid="{0F7C91CB-DBA7-473B-8995-DDC3E48A7F8B}"/>
  </hyperlinks>
  <pageMargins left="0.7" right="0.7" top="0.75" bottom="0.75" header="0.3" footer="0.3"/>
  <tableParts count="1">
    <tablePart r:id="rId3"/>
  </tableParts>
  <extLst>
    <ext xmlns:x14="http://schemas.microsoft.com/office/spreadsheetml/2009/9/main" uri="{CCE6A557-97BC-4b89-ADB6-D9C93CAAB3DF}">
      <x14:dataValidations xmlns:xm="http://schemas.microsoft.com/office/excel/2006/main" count="1">
        <x14:dataValidation type="list" allowBlank="1" showErrorMessage="1" xr:uid="{AD6A3314-EB19-44A5-B51D-780D8DB25F74}">
          <x14:formula1>
            <xm:f>Settings!$C$3:$C$20</xm:f>
          </x14:formula1>
          <xm:sqref>I2:I9</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18E5F-43BC-44A7-BC3E-565B30FBA601}">
  <dimension ref="A1:AB8"/>
  <sheetViews>
    <sheetView workbookViewId="0">
      <pane xSplit="7" ySplit="1" topLeftCell="H2" activePane="bottomRight" state="frozen"/>
      <selection pane="bottomRight" activeCell="C5" sqref="C5"/>
      <selection pane="bottomLeft"/>
      <selection pane="topRight"/>
    </sheetView>
  </sheetViews>
  <sheetFormatPr defaultRowHeight="12.75"/>
  <cols>
    <col min="2" max="2" width="13.28515625" customWidth="1"/>
    <col min="3" max="3" width="10.7109375" customWidth="1"/>
    <col min="4" max="4" width="12.140625" customWidth="1"/>
    <col min="5" max="5" width="19.7109375" customWidth="1"/>
    <col min="6" max="6" width="12.42578125" customWidth="1"/>
    <col min="7" max="7" width="9.42578125" customWidth="1"/>
    <col min="8" max="8" width="41.7109375" style="137" customWidth="1"/>
    <col min="9" max="9" width="16.85546875" customWidth="1"/>
    <col min="10" max="11" width="11.42578125" bestFit="1" customWidth="1"/>
    <col min="12" max="12" width="11.42578125" customWidth="1"/>
    <col min="13" max="13" width="13.140625" customWidth="1"/>
    <col min="14" max="14" width="13.42578125" style="144" customWidth="1"/>
    <col min="15" max="15" width="122.5703125" customWidth="1"/>
    <col min="16" max="16" width="16.42578125" customWidth="1"/>
    <col min="17" max="17" width="14.85546875" customWidth="1"/>
    <col min="18" max="18" width="24.42578125" style="144" customWidth="1"/>
    <col min="19" max="20" width="12.7109375" bestFit="1" customWidth="1"/>
    <col min="21" max="21" width="11.42578125" bestFit="1" customWidth="1"/>
    <col min="22" max="22" width="11.42578125" style="144" bestFit="1" customWidth="1"/>
    <col min="23" max="23" width="11.42578125" bestFit="1" customWidth="1"/>
    <col min="24" max="24" width="12.7109375" bestFit="1" customWidth="1"/>
    <col min="25" max="27" width="11.42578125" bestFit="1" customWidth="1"/>
    <col min="28" max="28" width="47.5703125" customWidth="1"/>
  </cols>
  <sheetData>
    <row r="1" spans="1:28" ht="47.25">
      <c r="A1" s="379" t="s">
        <v>248</v>
      </c>
      <c r="B1" s="501" t="s">
        <v>4</v>
      </c>
      <c r="C1" s="501" t="s">
        <v>2</v>
      </c>
      <c r="D1" s="501" t="s">
        <v>3</v>
      </c>
      <c r="E1" s="380" t="s">
        <v>249</v>
      </c>
      <c r="F1" s="381" t="s">
        <v>250</v>
      </c>
      <c r="G1" s="382" t="s">
        <v>251</v>
      </c>
      <c r="H1" s="383" t="s">
        <v>252</v>
      </c>
      <c r="I1" s="383" t="s">
        <v>253</v>
      </c>
      <c r="J1" s="384" t="s">
        <v>254</v>
      </c>
      <c r="K1" s="384" t="s">
        <v>255</v>
      </c>
      <c r="L1" s="384" t="s">
        <v>256</v>
      </c>
      <c r="M1" s="385" t="s">
        <v>259</v>
      </c>
      <c r="N1" s="385" t="s">
        <v>260</v>
      </c>
      <c r="O1" s="385" t="s">
        <v>261</v>
      </c>
      <c r="P1" s="385" t="s">
        <v>262</v>
      </c>
      <c r="Q1" s="385" t="s">
        <v>263</v>
      </c>
      <c r="R1" s="385" t="s">
        <v>264</v>
      </c>
      <c r="S1" s="385" t="s">
        <v>265</v>
      </c>
      <c r="T1" s="385" t="s">
        <v>266</v>
      </c>
      <c r="U1" s="385" t="s">
        <v>267</v>
      </c>
      <c r="V1" s="385" t="s">
        <v>268</v>
      </c>
      <c r="W1" s="385" t="s">
        <v>269</v>
      </c>
      <c r="X1" s="385" t="s">
        <v>270</v>
      </c>
      <c r="Y1" s="385" t="s">
        <v>271</v>
      </c>
      <c r="Z1" s="385" t="s">
        <v>272</v>
      </c>
      <c r="AA1" s="385" t="s">
        <v>273</v>
      </c>
      <c r="AB1" s="386" t="s">
        <v>274</v>
      </c>
    </row>
    <row r="2" spans="1:28" s="256" customFormat="1" ht="128.25" customHeight="1">
      <c r="A2" s="228">
        <v>1</v>
      </c>
      <c r="B2" s="496" t="s">
        <v>5</v>
      </c>
      <c r="C2" s="497">
        <v>45813</v>
      </c>
      <c r="D2" s="497">
        <v>45826</v>
      </c>
      <c r="E2" s="62" t="s">
        <v>128</v>
      </c>
      <c r="F2" s="256" t="s">
        <v>233</v>
      </c>
      <c r="G2" s="250" t="s">
        <v>1010</v>
      </c>
      <c r="H2" s="305" t="s">
        <v>1011</v>
      </c>
      <c r="I2" s="474" t="s">
        <v>1053</v>
      </c>
      <c r="J2" s="181">
        <v>2</v>
      </c>
      <c r="K2" s="327"/>
      <c r="L2" s="327">
        <v>49.25</v>
      </c>
      <c r="M2" s="329"/>
      <c r="N2" s="329" t="s">
        <v>319</v>
      </c>
      <c r="O2" s="305" t="s">
        <v>1012</v>
      </c>
      <c r="P2" s="329" t="s">
        <v>232</v>
      </c>
      <c r="Q2" s="480" t="s">
        <v>579</v>
      </c>
      <c r="R2" s="358" t="s">
        <v>1054</v>
      </c>
      <c r="S2" s="373">
        <v>45817</v>
      </c>
      <c r="T2" s="373">
        <v>45826</v>
      </c>
      <c r="U2" s="327" t="s">
        <v>322</v>
      </c>
      <c r="V2" s="370" t="s">
        <v>320</v>
      </c>
      <c r="W2" s="327" t="s">
        <v>323</v>
      </c>
      <c r="X2" s="373">
        <v>45826</v>
      </c>
      <c r="Y2" s="370" t="s">
        <v>320</v>
      </c>
      <c r="Z2" s="327" t="s">
        <v>320</v>
      </c>
      <c r="AA2" s="327" t="s">
        <v>320</v>
      </c>
      <c r="AB2" s="390" t="s">
        <v>1055</v>
      </c>
    </row>
    <row r="3" spans="1:28" s="256" customFormat="1" ht="321.75" customHeight="1">
      <c r="A3" s="228">
        <v>2</v>
      </c>
      <c r="B3" s="496" t="s">
        <v>5</v>
      </c>
      <c r="C3" s="497">
        <v>45813</v>
      </c>
      <c r="D3" s="497">
        <v>45827</v>
      </c>
      <c r="E3" s="62" t="s">
        <v>128</v>
      </c>
      <c r="F3" s="146" t="s">
        <v>1056</v>
      </c>
      <c r="G3" s="203" t="s">
        <v>1013</v>
      </c>
      <c r="H3" s="305" t="s">
        <v>1014</v>
      </c>
      <c r="I3" s="467" t="s">
        <v>283</v>
      </c>
      <c r="J3" s="228">
        <v>5</v>
      </c>
      <c r="K3" s="228"/>
      <c r="L3" s="228">
        <v>222.5</v>
      </c>
      <c r="M3" s="203"/>
      <c r="N3" s="316" t="s">
        <v>319</v>
      </c>
      <c r="O3" s="90" t="s">
        <v>1057</v>
      </c>
      <c r="P3" s="203" t="s">
        <v>233</v>
      </c>
      <c r="Q3" s="352"/>
      <c r="R3" s="200" t="s">
        <v>1058</v>
      </c>
      <c r="S3" s="360">
        <v>45825</v>
      </c>
      <c r="T3" s="360"/>
      <c r="U3" s="228" t="s">
        <v>322</v>
      </c>
      <c r="V3" s="352"/>
      <c r="W3" s="228"/>
      <c r="X3" s="360"/>
      <c r="Y3" s="352"/>
      <c r="Z3" s="228"/>
      <c r="AA3" s="228"/>
      <c r="AB3" s="90" t="s">
        <v>1059</v>
      </c>
    </row>
    <row r="4" spans="1:28" s="256" customFormat="1" ht="128.25" customHeight="1">
      <c r="A4" s="228">
        <v>3</v>
      </c>
      <c r="B4" s="496" t="s">
        <v>5</v>
      </c>
      <c r="C4" s="497">
        <v>45813</v>
      </c>
      <c r="D4" s="497">
        <v>45827</v>
      </c>
      <c r="E4" s="62" t="s">
        <v>1060</v>
      </c>
      <c r="F4" s="256" t="s">
        <v>233</v>
      </c>
      <c r="G4" s="250" t="s">
        <v>1061</v>
      </c>
      <c r="H4" s="90" t="s">
        <v>1011</v>
      </c>
      <c r="I4" s="474" t="s">
        <v>13</v>
      </c>
      <c r="J4" s="181">
        <v>2</v>
      </c>
      <c r="K4" s="181">
        <v>2</v>
      </c>
      <c r="L4" s="327">
        <v>12</v>
      </c>
      <c r="M4" s="329"/>
      <c r="N4" s="329" t="s">
        <v>319</v>
      </c>
      <c r="O4" s="370"/>
      <c r="P4" s="329" t="s">
        <v>232</v>
      </c>
      <c r="Q4" s="480" t="s">
        <v>579</v>
      </c>
      <c r="R4" s="358" t="s">
        <v>1062</v>
      </c>
      <c r="S4" s="373">
        <v>45825</v>
      </c>
      <c r="T4" s="373">
        <v>45826</v>
      </c>
      <c r="U4" s="327" t="s">
        <v>322</v>
      </c>
      <c r="V4" s="370" t="s">
        <v>320</v>
      </c>
      <c r="W4" s="327" t="s">
        <v>323</v>
      </c>
      <c r="X4" s="373">
        <v>45826</v>
      </c>
      <c r="Y4" s="370" t="s">
        <v>320</v>
      </c>
      <c r="Z4" s="327" t="s">
        <v>320</v>
      </c>
      <c r="AA4" s="327" t="s">
        <v>320</v>
      </c>
      <c r="AB4" s="390" t="s">
        <v>1063</v>
      </c>
    </row>
    <row r="5" spans="1:28" ht="117" customHeight="1">
      <c r="A5" s="369"/>
      <c r="B5" s="444"/>
      <c r="C5" s="372"/>
      <c r="D5" s="430"/>
      <c r="E5" s="250"/>
      <c r="F5" s="203"/>
      <c r="G5" s="247"/>
      <c r="H5" s="321"/>
      <c r="I5" s="374"/>
      <c r="J5" s="228"/>
      <c r="K5" s="369"/>
      <c r="L5" s="327"/>
      <c r="M5" s="229"/>
      <c r="N5" s="329"/>
      <c r="O5" s="370"/>
      <c r="P5" s="250"/>
      <c r="Q5" s="58"/>
      <c r="R5" s="200"/>
      <c r="S5" s="372"/>
      <c r="T5" s="373"/>
      <c r="U5" s="327"/>
      <c r="V5" s="370"/>
      <c r="W5" s="327"/>
      <c r="X5" s="373"/>
      <c r="Y5" s="370"/>
      <c r="Z5" s="327"/>
      <c r="AA5" s="327"/>
      <c r="AB5" s="388"/>
    </row>
    <row r="6" spans="1:28" ht="66" customHeight="1">
      <c r="A6" s="369"/>
      <c r="B6" s="444"/>
      <c r="C6" s="372"/>
      <c r="D6" s="430"/>
      <c r="E6" s="203"/>
      <c r="F6" s="137"/>
      <c r="G6" s="250"/>
      <c r="H6" s="377"/>
      <c r="I6" s="228"/>
      <c r="J6" s="181"/>
      <c r="K6" s="327"/>
      <c r="L6" s="327"/>
      <c r="M6" s="229"/>
      <c r="N6" s="329"/>
      <c r="O6" s="327"/>
      <c r="P6" s="250"/>
      <c r="Q6" s="58"/>
      <c r="R6" s="200"/>
      <c r="S6" s="372"/>
      <c r="T6" s="373"/>
      <c r="U6" s="327"/>
      <c r="V6" s="370"/>
      <c r="W6" s="327"/>
      <c r="X6" s="373"/>
      <c r="Y6" s="370"/>
      <c r="Z6" s="327"/>
      <c r="AA6" s="327"/>
      <c r="AB6" s="388"/>
    </row>
    <row r="7" spans="1:28" ht="72.75" customHeight="1">
      <c r="A7" s="369"/>
      <c r="B7" s="369"/>
      <c r="C7" s="372"/>
      <c r="D7" s="430"/>
      <c r="E7" s="229"/>
      <c r="F7" s="137"/>
      <c r="G7" s="229"/>
      <c r="I7" s="499"/>
      <c r="J7" s="228"/>
      <c r="K7" s="369"/>
      <c r="L7" s="327"/>
      <c r="M7" s="229"/>
      <c r="N7" s="329"/>
      <c r="O7" s="327"/>
      <c r="P7" s="250"/>
      <c r="Q7" s="218"/>
      <c r="R7" s="271"/>
      <c r="S7" s="372"/>
      <c r="T7" s="373"/>
      <c r="U7" s="327"/>
      <c r="V7" s="370"/>
      <c r="W7" s="327"/>
      <c r="X7" s="373"/>
      <c r="Y7" s="370"/>
      <c r="Z7" s="327"/>
      <c r="AA7" s="327"/>
      <c r="AB7" s="388"/>
    </row>
    <row r="8" spans="1:28">
      <c r="A8" s="369"/>
      <c r="B8" s="369"/>
      <c r="C8" s="372"/>
      <c r="D8" s="430"/>
      <c r="E8" s="203"/>
      <c r="F8" s="498"/>
      <c r="G8" s="498"/>
      <c r="I8" s="327"/>
      <c r="J8" s="181"/>
      <c r="K8" s="327"/>
      <c r="L8" s="327"/>
      <c r="M8" s="229"/>
      <c r="N8" s="329"/>
      <c r="O8" s="327"/>
      <c r="P8" s="250"/>
      <c r="Q8" s="58"/>
      <c r="R8" s="200"/>
      <c r="S8" s="372"/>
      <c r="T8" s="373"/>
      <c r="U8" s="327"/>
      <c r="V8" s="370"/>
      <c r="W8" s="327"/>
      <c r="X8" s="373"/>
      <c r="Y8" s="370"/>
      <c r="Z8" s="327"/>
      <c r="AA8" s="327"/>
      <c r="AB8" s="388"/>
    </row>
  </sheetData>
  <hyperlinks>
    <hyperlink ref="R2" r:id="rId1" xr:uid="{7FDB7F05-AE26-44FB-AE30-5493E019674D}"/>
    <hyperlink ref="R4" r:id="rId2" xr:uid="{9EC9A525-2380-4EFF-87B6-9188FE723C32}"/>
    <hyperlink ref="R3" r:id="rId3" xr:uid="{E17BBB33-32CE-4B42-975E-E81A50F36574}"/>
  </hyperlinks>
  <pageMargins left="0.7" right="0.7" top="0.75" bottom="0.75" header="0.3" footer="0.3"/>
  <tableParts count="1">
    <tablePart r:id="rId4"/>
  </tableParts>
  <extLst>
    <ext xmlns:x14="http://schemas.microsoft.com/office/spreadsheetml/2009/9/main" uri="{CCE6A557-97BC-4b89-ADB6-D9C93CAAB3DF}">
      <x14:dataValidations xmlns:xm="http://schemas.microsoft.com/office/excel/2006/main" count="1">
        <x14:dataValidation type="list" allowBlank="1" showErrorMessage="1" xr:uid="{3C43DD4B-27A8-48D8-9641-85EB7DA357B5}">
          <x14:formula1>
            <xm:f>Settings!$C$3:$C$20</xm:f>
          </x14:formula1>
          <xm:sqref>I2:I8</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6FAEF-1138-4B18-89A9-4C14AF4EF017}">
  <sheetPr>
    <outlinePr summaryBelow="0" summaryRight="0"/>
  </sheetPr>
  <dimension ref="A1:AB988"/>
  <sheetViews>
    <sheetView topLeftCell="F5" workbookViewId="0">
      <selection activeCell="F5" sqref="F5"/>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25.5">
      <c r="A1" s="434" t="s">
        <v>248</v>
      </c>
      <c r="B1" s="1" t="s">
        <v>305</v>
      </c>
      <c r="C1" s="198" t="s">
        <v>306</v>
      </c>
      <c r="D1" s="198" t="s">
        <v>307</v>
      </c>
      <c r="E1" s="1" t="s">
        <v>250</v>
      </c>
      <c r="F1" s="198" t="s">
        <v>308</v>
      </c>
      <c r="G1" s="198" t="s">
        <v>309</v>
      </c>
      <c r="H1" s="1" t="s">
        <v>310</v>
      </c>
      <c r="I1" s="1" t="s">
        <v>311</v>
      </c>
      <c r="J1" s="1" t="s">
        <v>312</v>
      </c>
      <c r="K1" s="1" t="s">
        <v>253</v>
      </c>
      <c r="L1" s="156" t="s">
        <v>313</v>
      </c>
      <c r="M1" s="8" t="s">
        <v>274</v>
      </c>
      <c r="N1" s="483" t="s">
        <v>314</v>
      </c>
      <c r="O1" s="483" t="s">
        <v>315</v>
      </c>
      <c r="P1" s="35"/>
      <c r="Q1" s="35"/>
      <c r="R1" s="35"/>
      <c r="S1" s="35"/>
      <c r="T1" s="35"/>
      <c r="U1" s="35"/>
      <c r="V1" s="35"/>
      <c r="W1" s="35"/>
      <c r="X1" s="35"/>
      <c r="Y1" s="35"/>
      <c r="Z1" s="35"/>
      <c r="AA1" s="35"/>
      <c r="AB1" s="35"/>
    </row>
    <row r="2" spans="1:28" ht="56.25" customHeight="1">
      <c r="B2" s="126"/>
      <c r="C2" s="477"/>
      <c r="D2" s="477"/>
      <c r="E2" s="126"/>
      <c r="F2" s="221"/>
      <c r="G2" s="305"/>
      <c r="H2" s="126"/>
      <c r="I2" s="126"/>
      <c r="J2" s="126"/>
      <c r="K2" s="126"/>
      <c r="L2" s="126"/>
      <c r="M2" s="333"/>
      <c r="N2" s="91"/>
      <c r="O2" s="216"/>
    </row>
    <row r="3" spans="1:28" ht="66.75" customHeight="1">
      <c r="B3" s="126"/>
      <c r="C3" s="477"/>
      <c r="D3" s="477"/>
      <c r="E3" s="126"/>
      <c r="F3" s="221"/>
      <c r="G3" s="305"/>
      <c r="H3" s="126"/>
      <c r="I3" s="126"/>
      <c r="J3" s="126"/>
      <c r="K3" s="126"/>
      <c r="L3" s="126"/>
      <c r="M3" s="333"/>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M1" xr:uid="{3A2BB050-11AC-4ED7-A296-96B42C7FCFBA}"/>
  <dataValidations count="5">
    <dataValidation type="list" allowBlank="1" showErrorMessage="1" sqref="J2:J3" xr:uid="{9953F66E-577C-4581-93AB-5BD9A33E92DC}">
      <formula1>"Internal,External"</formula1>
    </dataValidation>
    <dataValidation type="list" allowBlank="1" showErrorMessage="1" sqref="H2:H3" xr:uid="{17ECE499-327E-46D6-B732-C45F800A8C5B}">
      <formula1>"Minor,Significant,Major"</formula1>
    </dataValidation>
    <dataValidation type="list" allowBlank="1" showErrorMessage="1" sqref="I2:I3" xr:uid="{F26F86D1-5C0E-4A4A-B959-AAAB4831DCAC}">
      <formula1>"Manual, Automation"</formula1>
    </dataValidation>
    <dataValidation type="list" allowBlank="1" showErrorMessage="1" sqref="K2:K3" xr:uid="{86912481-61F8-438B-86DE-9309181DF1E7}">
      <formula1>"Open,Inprogress,Closed"</formula1>
    </dataValidation>
    <dataValidation type="list" allowBlank="1" showErrorMessage="1" sqref="F2:F3" xr:uid="{E1F141A2-16D0-443A-A49F-DB5A3E1E6BBF}">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D73EA6F5-ECBF-47C0-9A78-3C5B5BBDC072}">
          <x14:formula1>
            <xm:f>Details!$A$2:$A$10</xm:f>
          </x14:formula1>
          <xm:sqref>L2:L3</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37AB5-F12B-4DBF-AD20-BE8B8C9748E4}">
  <dimension ref="A1:AB16"/>
  <sheetViews>
    <sheetView workbookViewId="0">
      <pane xSplit="7" ySplit="1" topLeftCell="H2" activePane="bottomRight" state="frozen"/>
      <selection pane="bottomRight"/>
      <selection pane="bottomLeft"/>
      <selection pane="topRight"/>
    </sheetView>
  </sheetViews>
  <sheetFormatPr defaultRowHeight="12.75"/>
  <cols>
    <col min="2" max="2" width="13.28515625" customWidth="1"/>
    <col min="3" max="3" width="10.7109375" customWidth="1"/>
    <col min="4" max="4" width="12.140625" customWidth="1"/>
    <col min="5" max="5" width="40.7109375" customWidth="1"/>
    <col min="6" max="6" width="21.140625" customWidth="1"/>
    <col min="7" max="7" width="18.85546875" customWidth="1"/>
    <col min="8" max="8" width="41.7109375" style="137" customWidth="1"/>
    <col min="9" max="9" width="16.85546875" customWidth="1"/>
    <col min="10" max="11" width="11.42578125" bestFit="1" customWidth="1"/>
    <col min="12" max="12" width="11.42578125" customWidth="1"/>
    <col min="13" max="13" width="13.140625" customWidth="1"/>
    <col min="14" max="14" width="13.42578125" style="144" customWidth="1"/>
    <col min="15" max="15" width="21.85546875" customWidth="1"/>
    <col min="16" max="16" width="16.42578125" customWidth="1"/>
    <col min="17" max="17" width="14.85546875" customWidth="1"/>
    <col min="18" max="18" width="24.42578125" style="144" customWidth="1"/>
    <col min="19" max="20" width="12.7109375" bestFit="1" customWidth="1"/>
    <col min="21" max="21" width="11.42578125" bestFit="1" customWidth="1"/>
    <col min="22" max="22" width="11.42578125" style="144" bestFit="1" customWidth="1"/>
    <col min="23" max="23" width="11.42578125" bestFit="1" customWidth="1"/>
    <col min="24" max="24" width="12.7109375" bestFit="1" customWidth="1"/>
    <col min="25" max="27" width="11.42578125" bestFit="1" customWidth="1"/>
    <col min="28" max="28" width="27.42578125" customWidth="1"/>
  </cols>
  <sheetData>
    <row r="1" spans="1:28" ht="47.25">
      <c r="A1" s="379" t="s">
        <v>248</v>
      </c>
      <c r="B1" s="404" t="s">
        <v>4</v>
      </c>
      <c r="C1" s="404" t="s">
        <v>2</v>
      </c>
      <c r="D1" s="404" t="s">
        <v>3</v>
      </c>
      <c r="E1" s="380" t="s">
        <v>249</v>
      </c>
      <c r="F1" s="381" t="s">
        <v>250</v>
      </c>
      <c r="G1" s="382" t="s">
        <v>251</v>
      </c>
      <c r="H1" s="383" t="s">
        <v>252</v>
      </c>
      <c r="I1" s="383" t="s">
        <v>253</v>
      </c>
      <c r="J1" s="384" t="s">
        <v>254</v>
      </c>
      <c r="K1" s="384" t="s">
        <v>255</v>
      </c>
      <c r="L1" s="384" t="s">
        <v>256</v>
      </c>
      <c r="M1" s="385" t="s">
        <v>259</v>
      </c>
      <c r="N1" s="385" t="s">
        <v>260</v>
      </c>
      <c r="O1" s="385" t="s">
        <v>261</v>
      </c>
      <c r="P1" s="385" t="s">
        <v>262</v>
      </c>
      <c r="Q1" s="385" t="s">
        <v>263</v>
      </c>
      <c r="R1" s="385" t="s">
        <v>264</v>
      </c>
      <c r="S1" s="385" t="s">
        <v>265</v>
      </c>
      <c r="T1" s="385" t="s">
        <v>266</v>
      </c>
      <c r="U1" s="385" t="s">
        <v>267</v>
      </c>
      <c r="V1" s="385" t="s">
        <v>268</v>
      </c>
      <c r="W1" s="385" t="s">
        <v>269</v>
      </c>
      <c r="X1" s="385" t="s">
        <v>270</v>
      </c>
      <c r="Y1" s="385" t="s">
        <v>271</v>
      </c>
      <c r="Z1" s="385" t="s">
        <v>272</v>
      </c>
      <c r="AA1" s="385" t="s">
        <v>273</v>
      </c>
      <c r="AB1" s="386" t="s">
        <v>274</v>
      </c>
    </row>
    <row r="2" spans="1:28" s="256" customFormat="1" ht="38.25" customHeight="1">
      <c r="A2" s="369">
        <v>1</v>
      </c>
      <c r="B2" s="444" t="s">
        <v>1021</v>
      </c>
      <c r="C2" s="445">
        <v>45786</v>
      </c>
      <c r="D2" s="445">
        <v>45799</v>
      </c>
      <c r="E2" s="465" t="s">
        <v>120</v>
      </c>
      <c r="F2" s="90" t="s">
        <v>1064</v>
      </c>
      <c r="G2" s="431" t="s">
        <v>1065</v>
      </c>
      <c r="H2" s="90" t="s">
        <v>1024</v>
      </c>
      <c r="I2" s="474" t="s">
        <v>13</v>
      </c>
      <c r="J2" s="327">
        <v>3</v>
      </c>
      <c r="K2" s="482">
        <v>3</v>
      </c>
      <c r="L2" s="327">
        <v>58.25</v>
      </c>
      <c r="M2" s="229"/>
      <c r="N2" s="329"/>
      <c r="O2" s="370"/>
      <c r="P2" s="229"/>
      <c r="Q2" s="481"/>
      <c r="R2" s="271"/>
      <c r="S2" s="373"/>
      <c r="T2" s="373"/>
      <c r="U2" s="370"/>
      <c r="V2" s="370"/>
      <c r="W2" s="327"/>
      <c r="X2" s="373"/>
      <c r="Y2" s="370"/>
      <c r="Z2" s="327"/>
      <c r="AA2" s="327"/>
      <c r="AB2" s="390" t="s">
        <v>1066</v>
      </c>
    </row>
    <row r="3" spans="1:28" s="256" customFormat="1" ht="38.25" customHeight="1">
      <c r="A3" s="369">
        <v>2</v>
      </c>
      <c r="B3" s="442" t="s">
        <v>1021</v>
      </c>
      <c r="C3" s="443">
        <v>45786</v>
      </c>
      <c r="D3" s="443">
        <v>45799</v>
      </c>
      <c r="E3" s="257" t="s">
        <v>120</v>
      </c>
      <c r="F3" s="256" t="s">
        <v>448</v>
      </c>
      <c r="G3" s="250" t="s">
        <v>1067</v>
      </c>
      <c r="H3" s="305" t="s">
        <v>1068</v>
      </c>
      <c r="I3" s="474" t="s">
        <v>13</v>
      </c>
      <c r="J3" s="181">
        <v>2</v>
      </c>
      <c r="K3" s="327">
        <v>2</v>
      </c>
      <c r="L3" s="327">
        <v>13</v>
      </c>
      <c r="M3" s="329" t="s">
        <v>318</v>
      </c>
      <c r="N3" s="329" t="s">
        <v>1029</v>
      </c>
      <c r="O3" s="327" t="s">
        <v>320</v>
      </c>
      <c r="P3" s="329" t="s">
        <v>322</v>
      </c>
      <c r="Q3" s="480" t="s">
        <v>320</v>
      </c>
      <c r="R3" s="358" t="s">
        <v>1069</v>
      </c>
      <c r="S3" s="373">
        <v>45798</v>
      </c>
      <c r="T3" s="373">
        <v>45798</v>
      </c>
      <c r="U3" s="327" t="s">
        <v>322</v>
      </c>
      <c r="V3" s="370" t="s">
        <v>320</v>
      </c>
      <c r="W3" s="327" t="s">
        <v>323</v>
      </c>
      <c r="X3" s="373">
        <v>45798</v>
      </c>
      <c r="Y3" s="370" t="s">
        <v>320</v>
      </c>
      <c r="Z3" s="327" t="s">
        <v>320</v>
      </c>
      <c r="AA3" s="327" t="s">
        <v>320</v>
      </c>
      <c r="AB3" s="390"/>
    </row>
    <row r="4" spans="1:28" s="256" customFormat="1" ht="38.25" customHeight="1">
      <c r="A4" s="228">
        <v>3</v>
      </c>
      <c r="B4" s="496" t="s">
        <v>1021</v>
      </c>
      <c r="C4" s="497">
        <v>45786</v>
      </c>
      <c r="D4" s="497">
        <v>45799</v>
      </c>
      <c r="E4" s="62" t="s">
        <v>120</v>
      </c>
      <c r="F4" s="90" t="s">
        <v>448</v>
      </c>
      <c r="G4" s="203" t="s">
        <v>1070</v>
      </c>
      <c r="H4" s="90" t="s">
        <v>1071</v>
      </c>
      <c r="I4" s="467" t="s">
        <v>13</v>
      </c>
      <c r="J4" s="228">
        <v>2</v>
      </c>
      <c r="K4" s="228">
        <v>2</v>
      </c>
      <c r="L4" s="228">
        <v>50.75</v>
      </c>
      <c r="M4" s="203"/>
      <c r="N4" s="316"/>
      <c r="O4" s="228"/>
      <c r="P4" s="203"/>
      <c r="Q4" s="352"/>
      <c r="R4" s="200"/>
      <c r="S4" s="360"/>
      <c r="T4" s="360"/>
      <c r="U4" s="228"/>
      <c r="V4" s="352"/>
      <c r="W4" s="228"/>
      <c r="X4" s="360"/>
      <c r="Y4" s="352"/>
      <c r="Z4" s="228"/>
      <c r="AA4" s="228"/>
      <c r="AB4" s="90" t="s">
        <v>1072</v>
      </c>
    </row>
    <row r="5" spans="1:28" s="256" customFormat="1" ht="38.25" customHeight="1">
      <c r="A5" s="487">
        <v>4</v>
      </c>
      <c r="B5" s="488" t="s">
        <v>1021</v>
      </c>
      <c r="C5" s="489">
        <v>45786</v>
      </c>
      <c r="D5" s="490">
        <v>45799</v>
      </c>
      <c r="E5" s="491" t="s">
        <v>120</v>
      </c>
      <c r="F5" s="478" t="s">
        <v>1022</v>
      </c>
      <c r="G5" s="137" t="s">
        <v>1073</v>
      </c>
      <c r="H5" s="468" t="s">
        <v>1074</v>
      </c>
      <c r="I5" s="463" t="s">
        <v>13</v>
      </c>
      <c r="J5" s="469"/>
      <c r="K5" s="487"/>
      <c r="L5" s="482">
        <v>23.5</v>
      </c>
      <c r="M5" s="492" t="s">
        <v>318</v>
      </c>
      <c r="N5" s="493" t="s">
        <v>1029</v>
      </c>
      <c r="O5" s="482" t="s">
        <v>320</v>
      </c>
      <c r="P5" s="494" t="s">
        <v>1035</v>
      </c>
      <c r="Q5" s="401" t="s">
        <v>320</v>
      </c>
      <c r="R5" s="470" t="s">
        <v>1075</v>
      </c>
      <c r="S5" s="471">
        <v>45786</v>
      </c>
      <c r="T5" s="472">
        <v>45787</v>
      </c>
      <c r="U5" s="482" t="s">
        <v>448</v>
      </c>
      <c r="V5" s="480" t="s">
        <v>320</v>
      </c>
      <c r="W5" s="482" t="s">
        <v>323</v>
      </c>
      <c r="X5" s="472">
        <v>45787</v>
      </c>
      <c r="Y5" s="480" t="s">
        <v>320</v>
      </c>
      <c r="Z5" s="482" t="s">
        <v>320</v>
      </c>
      <c r="AA5" s="482" t="s">
        <v>320</v>
      </c>
      <c r="AB5" s="495" t="s">
        <v>1076</v>
      </c>
    </row>
    <row r="6" spans="1:28" ht="38.25" customHeight="1">
      <c r="A6" s="369">
        <v>5</v>
      </c>
      <c r="B6" s="369" t="s">
        <v>1021</v>
      </c>
      <c r="C6" s="372">
        <v>45786</v>
      </c>
      <c r="D6" s="430">
        <v>45799</v>
      </c>
      <c r="E6" s="246" t="s">
        <v>120</v>
      </c>
      <c r="F6" s="203" t="s">
        <v>1026</v>
      </c>
      <c r="G6" s="247" t="s">
        <v>1077</v>
      </c>
      <c r="H6" s="321" t="s">
        <v>1078</v>
      </c>
      <c r="I6" s="374" t="s">
        <v>13</v>
      </c>
      <c r="J6" s="228">
        <v>3</v>
      </c>
      <c r="K6" s="369">
        <v>3</v>
      </c>
      <c r="L6" s="327">
        <v>72</v>
      </c>
      <c r="M6" s="229" t="s">
        <v>318</v>
      </c>
      <c r="N6" s="329" t="s">
        <v>1029</v>
      </c>
      <c r="O6" s="370" t="s">
        <v>320</v>
      </c>
      <c r="P6" s="250" t="s">
        <v>322</v>
      </c>
      <c r="Q6" s="226" t="s">
        <v>320</v>
      </c>
      <c r="R6" s="358" t="s">
        <v>1079</v>
      </c>
      <c r="S6" s="373">
        <v>45798</v>
      </c>
      <c r="T6" s="373">
        <v>45799</v>
      </c>
      <c r="U6" s="327" t="s">
        <v>448</v>
      </c>
      <c r="V6" s="370" t="s">
        <v>1080</v>
      </c>
      <c r="W6" s="327" t="s">
        <v>323</v>
      </c>
      <c r="X6" s="373">
        <v>45799</v>
      </c>
      <c r="Y6" s="370" t="s">
        <v>320</v>
      </c>
      <c r="Z6" s="327" t="s">
        <v>320</v>
      </c>
      <c r="AA6" s="327" t="s">
        <v>320</v>
      </c>
      <c r="AB6" s="388" t="s">
        <v>1081</v>
      </c>
    </row>
    <row r="7" spans="1:28" ht="38.25" customHeight="1">
      <c r="A7" s="369">
        <v>6</v>
      </c>
      <c r="B7" s="369" t="s">
        <v>1021</v>
      </c>
      <c r="C7" s="372">
        <v>45786</v>
      </c>
      <c r="D7" s="430">
        <v>45799</v>
      </c>
      <c r="E7" s="246" t="s">
        <v>120</v>
      </c>
      <c r="F7" s="137" t="s">
        <v>448</v>
      </c>
      <c r="G7" s="229" t="s">
        <v>1082</v>
      </c>
      <c r="H7" s="321" t="s">
        <v>1083</v>
      </c>
      <c r="I7" s="374" t="s">
        <v>13</v>
      </c>
      <c r="J7" s="181">
        <v>3</v>
      </c>
      <c r="K7" s="327">
        <v>3</v>
      </c>
      <c r="L7" s="327">
        <v>38.5</v>
      </c>
      <c r="M7" s="229" t="s">
        <v>318</v>
      </c>
      <c r="N7" s="329" t="s">
        <v>1029</v>
      </c>
      <c r="O7" s="327" t="s">
        <v>320</v>
      </c>
      <c r="P7" s="229" t="s">
        <v>322</v>
      </c>
      <c r="Q7" s="218" t="s">
        <v>320</v>
      </c>
      <c r="R7" s="358" t="s">
        <v>1084</v>
      </c>
      <c r="S7" s="373">
        <v>45796</v>
      </c>
      <c r="T7" s="373">
        <v>45798</v>
      </c>
      <c r="U7" s="327" t="s">
        <v>322</v>
      </c>
      <c r="V7" s="370" t="s">
        <v>320</v>
      </c>
      <c r="W7" s="327" t="s">
        <v>323</v>
      </c>
      <c r="X7" s="373">
        <v>45798</v>
      </c>
      <c r="Y7" s="370" t="s">
        <v>320</v>
      </c>
      <c r="Z7" s="327" t="s">
        <v>320</v>
      </c>
      <c r="AA7" s="327" t="s">
        <v>320</v>
      </c>
      <c r="AB7" s="388"/>
    </row>
    <row r="8" spans="1:28" ht="38.25" customHeight="1">
      <c r="A8" s="369">
        <v>7</v>
      </c>
      <c r="B8" s="369" t="s">
        <v>1021</v>
      </c>
      <c r="C8" s="372">
        <v>45786</v>
      </c>
      <c r="D8" s="372">
        <v>45799</v>
      </c>
      <c r="E8" t="s">
        <v>120</v>
      </c>
      <c r="F8" t="s">
        <v>448</v>
      </c>
      <c r="G8" s="229" t="s">
        <v>1085</v>
      </c>
      <c r="H8" s="137" t="s">
        <v>1086</v>
      </c>
      <c r="I8" s="327" t="s">
        <v>13</v>
      </c>
      <c r="J8" s="181">
        <v>2</v>
      </c>
      <c r="K8" s="327">
        <v>2</v>
      </c>
      <c r="L8" s="327"/>
      <c r="M8" s="229"/>
      <c r="N8" s="329"/>
      <c r="O8" s="327"/>
      <c r="P8" s="229"/>
      <c r="R8" s="432"/>
      <c r="S8" s="373"/>
      <c r="T8" s="373"/>
      <c r="U8" s="327"/>
      <c r="V8" s="370"/>
      <c r="W8" s="327"/>
      <c r="X8" s="373"/>
      <c r="Y8" s="370"/>
      <c r="Z8" s="327"/>
      <c r="AA8" s="327"/>
      <c r="AB8" s="249"/>
    </row>
    <row r="9" spans="1:28" ht="38.25" customHeight="1"/>
    <row r="10" spans="1:28" ht="38.25" customHeight="1"/>
    <row r="11" spans="1:28" ht="38.25" customHeight="1"/>
    <row r="12" spans="1:28" ht="38.25" customHeight="1"/>
    <row r="13" spans="1:28" ht="38.25" customHeight="1"/>
    <row r="14" spans="1:28" ht="38.25" customHeight="1"/>
    <row r="15" spans="1:28" ht="38.25" customHeight="1"/>
    <row r="16" spans="1:28" ht="38.25" customHeight="1"/>
  </sheetData>
  <hyperlinks>
    <hyperlink ref="R5" r:id="rId1" xr:uid="{E17B4BB4-5981-463C-A95D-A54189F385A8}"/>
    <hyperlink ref="R7" r:id="rId2" xr:uid="{16C9B404-4D27-49FD-89E9-AA5B22BA47FB}"/>
    <hyperlink ref="R3" r:id="rId3" xr:uid="{971E819D-619C-4301-BA02-6924111AFAC0}"/>
    <hyperlink ref="R6" r:id="rId4" xr:uid="{C2E0FC46-6EFD-4589-A595-B744182C82E4}"/>
  </hyperlinks>
  <pageMargins left="0.7" right="0.7" top="0.75" bottom="0.75" header="0.3" footer="0.3"/>
  <tableParts count="1">
    <tablePart r:id="rId5"/>
  </tableParts>
  <extLst>
    <ext xmlns:x14="http://schemas.microsoft.com/office/spreadsheetml/2009/9/main" uri="{CCE6A557-97BC-4b89-ADB6-D9C93CAAB3DF}">
      <x14:dataValidations xmlns:xm="http://schemas.microsoft.com/office/excel/2006/main" count="1">
        <x14:dataValidation type="list" allowBlank="1" showErrorMessage="1" xr:uid="{2CF089F0-326B-4B08-9BD1-3F377ABF98CE}">
          <x14:formula1>
            <xm:f>Settings!$C$3:$C$20</xm:f>
          </x14:formula1>
          <xm:sqref>I2:I8</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88E50-B6F8-4F41-B0EE-F89F5600523A}">
  <sheetPr>
    <outlinePr summaryBelow="0" summaryRight="0"/>
  </sheetPr>
  <dimension ref="A1:AB988"/>
  <sheetViews>
    <sheetView topLeftCell="B1" workbookViewId="0">
      <selection activeCell="C7" sqref="C7"/>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25.5">
      <c r="A1" s="434" t="s">
        <v>248</v>
      </c>
      <c r="B1" s="1" t="s">
        <v>305</v>
      </c>
      <c r="C1" s="198" t="s">
        <v>306</v>
      </c>
      <c r="D1" s="198" t="s">
        <v>307</v>
      </c>
      <c r="E1" s="1" t="s">
        <v>250</v>
      </c>
      <c r="F1" s="198" t="s">
        <v>308</v>
      </c>
      <c r="G1" s="198" t="s">
        <v>309</v>
      </c>
      <c r="H1" s="1" t="s">
        <v>310</v>
      </c>
      <c r="I1" s="1" t="s">
        <v>311</v>
      </c>
      <c r="J1" s="1" t="s">
        <v>312</v>
      </c>
      <c r="K1" s="1" t="s">
        <v>253</v>
      </c>
      <c r="L1" s="156" t="s">
        <v>313</v>
      </c>
      <c r="M1" s="8" t="s">
        <v>274</v>
      </c>
      <c r="N1" s="483" t="s">
        <v>314</v>
      </c>
      <c r="O1" s="483" t="s">
        <v>315</v>
      </c>
      <c r="P1" s="35"/>
      <c r="Q1" s="35"/>
      <c r="R1" s="35"/>
      <c r="S1" s="35"/>
      <c r="T1" s="35"/>
      <c r="U1" s="35"/>
      <c r="V1" s="35"/>
      <c r="W1" s="35"/>
      <c r="X1" s="35"/>
      <c r="Y1" s="35"/>
      <c r="Z1" s="35"/>
      <c r="AA1" s="35"/>
      <c r="AB1" s="35"/>
    </row>
    <row r="2" spans="1:28" ht="56.25" customHeight="1">
      <c r="B2" s="126"/>
      <c r="C2" s="477"/>
      <c r="D2" s="477"/>
      <c r="E2" s="126"/>
      <c r="F2" s="221"/>
      <c r="G2" s="305"/>
      <c r="H2" s="126"/>
      <c r="I2" s="126"/>
      <c r="J2" s="126"/>
      <c r="K2" s="126"/>
      <c r="L2" s="126"/>
      <c r="M2" s="333"/>
      <c r="N2" s="91"/>
      <c r="O2" s="216"/>
    </row>
    <row r="3" spans="1:28" ht="66.75" customHeight="1">
      <c r="B3" s="126"/>
      <c r="C3" s="477"/>
      <c r="D3" s="477"/>
      <c r="E3" s="126"/>
      <c r="F3" s="221"/>
      <c r="G3" s="305"/>
      <c r="H3" s="126"/>
      <c r="I3" s="126"/>
      <c r="J3" s="126"/>
      <c r="K3" s="126"/>
      <c r="L3" s="126"/>
      <c r="M3" s="333"/>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M1" xr:uid="{3A2BB050-11AC-4ED7-A296-96B42C7FCFBA}"/>
  <dataValidations count="5">
    <dataValidation type="list" allowBlank="1" showErrorMessage="1" sqref="F2:F3" xr:uid="{851D39D2-DB4A-4495-822F-205656C42EEB}">
      <formula1>"Bounceback,Defect,None"</formula1>
    </dataValidation>
    <dataValidation type="list" allowBlank="1" showErrorMessage="1" sqref="K2:K3" xr:uid="{DFF87F33-BACC-4366-9CD4-8AFDB83CB277}">
      <formula1>"Open,Inprogress,Closed"</formula1>
    </dataValidation>
    <dataValidation type="list" allowBlank="1" showErrorMessage="1" sqref="I2:I3" xr:uid="{3A923A8B-37C0-4EC1-9F04-F8EA32D86081}">
      <formula1>"Manual, Automation"</formula1>
    </dataValidation>
    <dataValidation type="list" allowBlank="1" showErrorMessage="1" sqref="H2:H3" xr:uid="{711C9DED-FEB5-4748-B79D-AE2006FFACA0}">
      <formula1>"Minor,Significant,Major"</formula1>
    </dataValidation>
    <dataValidation type="list" allowBlank="1" showErrorMessage="1" sqref="J2:J3" xr:uid="{D88AA105-4D9F-4E08-894B-8176C0F0EA23}">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ED30E2A-2632-4AD1-96E2-D671D131EB4C}">
          <x14:formula1>
            <xm:f>Details!$A$2:$A$10</xm:f>
          </x14:formula1>
          <xm:sqref>L2:L3</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DCBE1-1C8F-40AD-8468-997F5E8C2644}">
  <sheetPr>
    <outlinePr summaryBelow="0" summaryRight="0"/>
  </sheetPr>
  <dimension ref="A1:AB988"/>
  <sheetViews>
    <sheetView topLeftCell="B1" workbookViewId="0">
      <selection activeCell="E4" sqref="E4"/>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25.5">
      <c r="A1" s="434" t="s">
        <v>248</v>
      </c>
      <c r="B1" s="1" t="s">
        <v>305</v>
      </c>
      <c r="C1" s="198" t="s">
        <v>306</v>
      </c>
      <c r="D1" s="198" t="s">
        <v>307</v>
      </c>
      <c r="E1" s="1" t="s">
        <v>250</v>
      </c>
      <c r="F1" s="198" t="s">
        <v>308</v>
      </c>
      <c r="G1" s="198" t="s">
        <v>309</v>
      </c>
      <c r="H1" s="1" t="s">
        <v>310</v>
      </c>
      <c r="I1" s="1" t="s">
        <v>311</v>
      </c>
      <c r="J1" s="1" t="s">
        <v>312</v>
      </c>
      <c r="K1" s="1" t="s">
        <v>253</v>
      </c>
      <c r="L1" s="156" t="s">
        <v>313</v>
      </c>
      <c r="M1" s="8" t="s">
        <v>274</v>
      </c>
      <c r="N1" s="483" t="s">
        <v>314</v>
      </c>
      <c r="O1" s="483" t="s">
        <v>315</v>
      </c>
      <c r="P1" s="35"/>
      <c r="Q1" s="35"/>
      <c r="R1" s="35"/>
      <c r="S1" s="35"/>
      <c r="T1" s="35"/>
      <c r="U1" s="35"/>
      <c r="V1" s="35"/>
      <c r="W1" s="35"/>
      <c r="X1" s="35"/>
      <c r="Y1" s="35"/>
      <c r="Z1" s="35"/>
      <c r="AA1" s="35"/>
      <c r="AB1" s="35"/>
    </row>
    <row r="2" spans="1:28" ht="56.25" customHeight="1">
      <c r="B2" s="126" t="s">
        <v>1087</v>
      </c>
      <c r="C2" s="477" t="s">
        <v>1073</v>
      </c>
      <c r="D2" s="477" t="s">
        <v>1070</v>
      </c>
      <c r="E2" s="126" t="s">
        <v>1022</v>
      </c>
      <c r="F2" s="221" t="s">
        <v>553</v>
      </c>
      <c r="G2" s="305" t="s">
        <v>1074</v>
      </c>
      <c r="H2" s="126" t="s">
        <v>560</v>
      </c>
      <c r="I2" s="126" t="s">
        <v>1088</v>
      </c>
      <c r="J2" s="126" t="s">
        <v>556</v>
      </c>
      <c r="K2" s="126" t="s">
        <v>557</v>
      </c>
      <c r="L2" s="126" t="s">
        <v>737</v>
      </c>
      <c r="M2" s="333" t="s">
        <v>1089</v>
      </c>
      <c r="N2" s="91" t="s">
        <v>1090</v>
      </c>
      <c r="O2" s="216" t="s">
        <v>1091</v>
      </c>
    </row>
    <row r="3" spans="1:28" ht="66.75" customHeight="1">
      <c r="B3" s="126"/>
      <c r="C3" s="477"/>
      <c r="D3" s="477"/>
      <c r="E3" s="126"/>
      <c r="F3" s="221"/>
      <c r="G3" s="305"/>
      <c r="H3" s="126"/>
      <c r="I3" s="126"/>
      <c r="J3" s="126"/>
      <c r="K3" s="126"/>
      <c r="L3" s="126"/>
      <c r="M3" s="333"/>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M1" xr:uid="{3A2BB050-11AC-4ED7-A296-96B42C7FCFBA}"/>
  <dataValidations count="5">
    <dataValidation type="list" allowBlank="1" showErrorMessage="1" sqref="J2:J3" xr:uid="{56676E4A-1906-4876-9DE2-83DE4D65AB81}">
      <formula1>"Internal,External"</formula1>
    </dataValidation>
    <dataValidation type="list" allowBlank="1" showErrorMessage="1" sqref="H2:H3" xr:uid="{BA8F8E36-2E57-4834-B354-B0E145389269}">
      <formula1>"Minor,Significant,Major"</formula1>
    </dataValidation>
    <dataValidation type="list" allowBlank="1" showErrorMessage="1" sqref="I2:I3" xr:uid="{92BF6F33-D8CF-49CB-96D1-29066280CAA2}">
      <formula1>"Manual, Automation"</formula1>
    </dataValidation>
    <dataValidation type="list" allowBlank="1" showErrorMessage="1" sqref="K2:K3" xr:uid="{40D73040-3611-4B7D-A7E7-DC61C1253E8B}">
      <formula1>"Open,Inprogress,Closed"</formula1>
    </dataValidation>
    <dataValidation type="list" allowBlank="1" showErrorMessage="1" sqref="F2:F3" xr:uid="{9BF0D88E-7465-49B6-A32E-3C7BF0A56E65}">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F2216E05-F71F-4635-86C8-FC488C16ED3B}">
          <x14:formula1>
            <xm:f>Details!$A$2:$A$10</xm:f>
          </x14:formula1>
          <xm:sqref>L2:L3</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56C2A-5F72-48D1-BF8F-F1C426C074AF}">
  <dimension ref="A1:AB7"/>
  <sheetViews>
    <sheetView workbookViewId="0">
      <pane xSplit="7" ySplit="1" topLeftCell="H2" activePane="bottomRight" state="frozen"/>
      <selection pane="bottomRight"/>
      <selection pane="bottomLeft"/>
      <selection pane="topRight"/>
    </sheetView>
  </sheetViews>
  <sheetFormatPr defaultRowHeight="12.75"/>
  <cols>
    <col min="2" max="2" width="13.28515625" customWidth="1"/>
    <col min="3" max="3" width="10.7109375" customWidth="1"/>
    <col min="4" max="4" width="12.140625" customWidth="1"/>
    <col min="5" max="5" width="40.7109375" customWidth="1"/>
    <col min="6" max="6" width="21.140625" customWidth="1"/>
    <col min="7" max="7" width="18.85546875" customWidth="1"/>
    <col min="8" max="8" width="41.7109375" style="137" customWidth="1"/>
    <col min="9" max="9" width="16.85546875" customWidth="1"/>
    <col min="10" max="11" width="11.42578125" bestFit="1" customWidth="1"/>
    <col min="12" max="12" width="11.42578125" customWidth="1"/>
    <col min="13" max="13" width="13.140625" customWidth="1"/>
    <col min="14" max="14" width="13.42578125" style="144" customWidth="1"/>
    <col min="15" max="15" width="21.85546875" customWidth="1"/>
    <col min="16" max="16" width="16.42578125" customWidth="1"/>
    <col min="17" max="17" width="14.85546875" customWidth="1"/>
    <col min="18" max="18" width="24.42578125" style="144" customWidth="1"/>
    <col min="19" max="20" width="12.7109375" bestFit="1" customWidth="1"/>
    <col min="21" max="21" width="11.42578125" bestFit="1" customWidth="1"/>
    <col min="22" max="22" width="11.42578125" style="144" bestFit="1" customWidth="1"/>
    <col min="23" max="23" width="11.42578125" bestFit="1" customWidth="1"/>
    <col min="24" max="24" width="12.7109375" bestFit="1" customWidth="1"/>
    <col min="25" max="27" width="11.42578125" bestFit="1" customWidth="1"/>
    <col min="28" max="28" width="27.42578125" customWidth="1"/>
  </cols>
  <sheetData>
    <row r="1" spans="1:28" ht="47.25">
      <c r="A1" s="379" t="s">
        <v>248</v>
      </c>
      <c r="B1" s="404" t="s">
        <v>4</v>
      </c>
      <c r="C1" s="404" t="s">
        <v>2</v>
      </c>
      <c r="D1" s="404" t="s">
        <v>3</v>
      </c>
      <c r="E1" s="380" t="s">
        <v>249</v>
      </c>
      <c r="F1" s="381" t="s">
        <v>250</v>
      </c>
      <c r="G1" s="382" t="s">
        <v>251</v>
      </c>
      <c r="H1" s="383" t="s">
        <v>252</v>
      </c>
      <c r="I1" s="383" t="s">
        <v>253</v>
      </c>
      <c r="J1" s="384" t="s">
        <v>254</v>
      </c>
      <c r="K1" s="384" t="s">
        <v>255</v>
      </c>
      <c r="L1" s="384" t="s">
        <v>256</v>
      </c>
      <c r="M1" s="385" t="s">
        <v>259</v>
      </c>
      <c r="N1" s="385" t="s">
        <v>260</v>
      </c>
      <c r="O1" s="385" t="s">
        <v>261</v>
      </c>
      <c r="P1" s="385" t="s">
        <v>262</v>
      </c>
      <c r="Q1" s="385" t="s">
        <v>263</v>
      </c>
      <c r="R1" s="385" t="s">
        <v>264</v>
      </c>
      <c r="S1" s="385" t="s">
        <v>265</v>
      </c>
      <c r="T1" s="385" t="s">
        <v>266</v>
      </c>
      <c r="U1" s="385" t="s">
        <v>267</v>
      </c>
      <c r="V1" s="385" t="s">
        <v>268</v>
      </c>
      <c r="W1" s="385" t="s">
        <v>269</v>
      </c>
      <c r="X1" s="385" t="s">
        <v>270</v>
      </c>
      <c r="Y1" s="385" t="s">
        <v>271</v>
      </c>
      <c r="Z1" s="385" t="s">
        <v>272</v>
      </c>
      <c r="AA1" s="385" t="s">
        <v>273</v>
      </c>
      <c r="AB1" s="386" t="s">
        <v>274</v>
      </c>
    </row>
    <row r="2" spans="1:28" s="256" customFormat="1" ht="128.25" customHeight="1">
      <c r="A2" s="369">
        <v>1</v>
      </c>
      <c r="B2" s="444" t="s">
        <v>1021</v>
      </c>
      <c r="C2" s="445">
        <v>45771</v>
      </c>
      <c r="D2" s="445">
        <v>45785</v>
      </c>
      <c r="E2" s="257" t="s">
        <v>116</v>
      </c>
      <c r="F2" s="305" t="s">
        <v>1022</v>
      </c>
      <c r="G2" s="250" t="s">
        <v>1092</v>
      </c>
      <c r="H2" s="90" t="s">
        <v>1093</v>
      </c>
      <c r="I2" s="474" t="s">
        <v>13</v>
      </c>
      <c r="J2" s="327">
        <v>3</v>
      </c>
      <c r="K2" s="482"/>
      <c r="L2" s="327">
        <v>50</v>
      </c>
      <c r="M2" s="229"/>
      <c r="N2" s="329"/>
      <c r="O2" s="370"/>
      <c r="P2" s="229"/>
      <c r="Q2" s="481"/>
      <c r="R2" s="271"/>
      <c r="S2" s="373"/>
      <c r="T2" s="373"/>
      <c r="U2" s="370"/>
      <c r="V2" s="370"/>
      <c r="W2" s="327"/>
      <c r="X2" s="373"/>
      <c r="Y2" s="370"/>
      <c r="Z2" s="327"/>
      <c r="AA2" s="327"/>
      <c r="AB2" s="390" t="s">
        <v>1094</v>
      </c>
    </row>
    <row r="3" spans="1:28" s="256" customFormat="1" ht="128.25" customHeight="1">
      <c r="A3" s="369">
        <v>2</v>
      </c>
      <c r="B3" s="442" t="s">
        <v>1021</v>
      </c>
      <c r="C3" s="443">
        <v>45771</v>
      </c>
      <c r="D3" s="464">
        <v>45785</v>
      </c>
      <c r="E3" s="465" t="s">
        <v>116</v>
      </c>
      <c r="F3" s="62" t="s">
        <v>1035</v>
      </c>
      <c r="G3" s="248" t="s">
        <v>1095</v>
      </c>
      <c r="H3" s="461" t="s">
        <v>1096</v>
      </c>
      <c r="I3" s="466" t="s">
        <v>13</v>
      </c>
      <c r="J3" s="228">
        <v>2</v>
      </c>
      <c r="K3" s="327">
        <v>2</v>
      </c>
      <c r="L3" s="369">
        <v>47.25</v>
      </c>
      <c r="M3" s="329" t="s">
        <v>318</v>
      </c>
      <c r="N3" s="329" t="s">
        <v>1029</v>
      </c>
      <c r="O3" s="370" t="s">
        <v>1097</v>
      </c>
      <c r="P3" s="486" t="s">
        <v>1022</v>
      </c>
      <c r="Q3" s="370" t="s">
        <v>320</v>
      </c>
      <c r="R3" s="200" t="s">
        <v>1098</v>
      </c>
      <c r="S3" s="372">
        <v>45776</v>
      </c>
      <c r="T3" s="373">
        <v>45778</v>
      </c>
      <c r="U3" s="327" t="s">
        <v>448</v>
      </c>
      <c r="V3" s="370" t="s">
        <v>320</v>
      </c>
      <c r="W3" s="370" t="s">
        <v>323</v>
      </c>
      <c r="X3" s="373">
        <v>45778</v>
      </c>
      <c r="Y3" s="370" t="s">
        <v>1099</v>
      </c>
      <c r="Z3" s="327" t="s">
        <v>320</v>
      </c>
      <c r="AA3" s="327" t="s">
        <v>320</v>
      </c>
      <c r="AB3" s="390" t="s">
        <v>1100</v>
      </c>
    </row>
    <row r="4" spans="1:28" s="256" customFormat="1" ht="128.25" customHeight="1">
      <c r="A4" s="369">
        <v>3</v>
      </c>
      <c r="B4" s="442" t="s">
        <v>1021</v>
      </c>
      <c r="C4" s="443">
        <v>45771</v>
      </c>
      <c r="D4" s="443">
        <v>45785</v>
      </c>
      <c r="E4" s="257" t="s">
        <v>116</v>
      </c>
      <c r="F4" s="256" t="s">
        <v>448</v>
      </c>
      <c r="G4" s="246" t="s">
        <v>1067</v>
      </c>
      <c r="H4" s="305" t="s">
        <v>1068</v>
      </c>
      <c r="I4" s="474" t="s">
        <v>278</v>
      </c>
      <c r="J4" s="181">
        <v>2</v>
      </c>
      <c r="K4" s="327"/>
      <c r="L4" s="327">
        <v>2.5</v>
      </c>
      <c r="M4" s="329"/>
      <c r="N4" s="329"/>
      <c r="O4" s="327"/>
      <c r="P4" s="329"/>
      <c r="Q4" s="480"/>
      <c r="R4" s="358"/>
      <c r="S4" s="360"/>
      <c r="T4" s="373"/>
      <c r="U4" s="228"/>
      <c r="V4" s="370"/>
      <c r="W4" s="327"/>
      <c r="X4" s="373"/>
      <c r="Y4" s="370"/>
      <c r="Z4" s="327"/>
      <c r="AA4" s="327"/>
      <c r="AB4" s="390"/>
    </row>
    <row r="5" spans="1:28" s="256" customFormat="1" ht="128.25" customHeight="1">
      <c r="A5" s="369">
        <v>4</v>
      </c>
      <c r="B5" s="442" t="s">
        <v>1021</v>
      </c>
      <c r="C5" s="443">
        <v>45771</v>
      </c>
      <c r="D5" s="464">
        <v>45785</v>
      </c>
      <c r="E5" s="465" t="s">
        <v>116</v>
      </c>
      <c r="F5" s="305" t="s">
        <v>1026</v>
      </c>
      <c r="G5" s="431" t="s">
        <v>1070</v>
      </c>
      <c r="H5" s="90" t="s">
        <v>1071</v>
      </c>
      <c r="I5" s="476" t="s">
        <v>1053</v>
      </c>
      <c r="J5" s="228">
        <v>5</v>
      </c>
      <c r="K5" s="369">
        <v>3</v>
      </c>
      <c r="L5" s="327">
        <v>65.25</v>
      </c>
      <c r="M5" s="229" t="s">
        <v>318</v>
      </c>
      <c r="N5" s="329" t="s">
        <v>1029</v>
      </c>
      <c r="O5" s="327"/>
      <c r="P5" s="250" t="s">
        <v>1022</v>
      </c>
      <c r="Q5" s="352" t="s">
        <v>320</v>
      </c>
      <c r="R5" s="200" t="s">
        <v>1101</v>
      </c>
      <c r="S5" s="372">
        <v>45784</v>
      </c>
      <c r="T5" s="373">
        <v>45785</v>
      </c>
      <c r="U5" s="327" t="s">
        <v>322</v>
      </c>
      <c r="V5" s="370" t="s">
        <v>320</v>
      </c>
      <c r="W5" s="327" t="s">
        <v>323</v>
      </c>
      <c r="X5" s="373">
        <v>45785</v>
      </c>
      <c r="Y5" s="370" t="s">
        <v>1102</v>
      </c>
      <c r="Z5" s="327" t="s">
        <v>320</v>
      </c>
      <c r="AA5" s="327" t="s">
        <v>320</v>
      </c>
      <c r="AB5" s="390" t="s">
        <v>1103</v>
      </c>
    </row>
    <row r="6" spans="1:28" ht="69.75" customHeight="1">
      <c r="A6" s="369">
        <v>5</v>
      </c>
      <c r="B6" s="369" t="s">
        <v>1021</v>
      </c>
      <c r="C6" s="372">
        <v>45771</v>
      </c>
      <c r="D6" s="430">
        <v>45785</v>
      </c>
      <c r="E6" s="246" t="s">
        <v>116</v>
      </c>
      <c r="F6" s="203" t="s">
        <v>1104</v>
      </c>
      <c r="G6" s="247" t="s">
        <v>1105</v>
      </c>
      <c r="H6" s="321" t="s">
        <v>1106</v>
      </c>
      <c r="I6" s="374" t="s">
        <v>13</v>
      </c>
      <c r="J6" s="228">
        <v>3</v>
      </c>
      <c r="K6" s="369"/>
      <c r="L6" s="327">
        <v>16</v>
      </c>
      <c r="M6" s="229" t="s">
        <v>318</v>
      </c>
      <c r="N6" s="329" t="s">
        <v>1029</v>
      </c>
      <c r="O6" s="370" t="s">
        <v>1107</v>
      </c>
      <c r="P6" s="250" t="s">
        <v>1022</v>
      </c>
      <c r="Q6" s="226" t="s">
        <v>320</v>
      </c>
      <c r="R6" s="358" t="s">
        <v>1108</v>
      </c>
      <c r="S6" s="373">
        <v>45782</v>
      </c>
      <c r="T6" s="373">
        <v>45784</v>
      </c>
      <c r="U6" s="327" t="s">
        <v>322</v>
      </c>
      <c r="V6" s="370" t="s">
        <v>320</v>
      </c>
      <c r="W6" s="327" t="s">
        <v>323</v>
      </c>
      <c r="X6" s="373">
        <v>45784</v>
      </c>
      <c r="Y6" s="370" t="s">
        <v>320</v>
      </c>
      <c r="Z6" s="327" t="s">
        <v>320</v>
      </c>
      <c r="AA6" s="327" t="s">
        <v>320</v>
      </c>
      <c r="AB6" s="388" t="s">
        <v>1109</v>
      </c>
    </row>
    <row r="7" spans="1:28">
      <c r="A7" s="369"/>
      <c r="B7" s="369"/>
      <c r="C7" s="372"/>
      <c r="D7" s="430"/>
      <c r="E7" s="246"/>
      <c r="F7" s="137"/>
      <c r="G7" s="229"/>
      <c r="H7" s="321"/>
      <c r="I7" s="374"/>
      <c r="J7" s="181"/>
      <c r="K7" s="327"/>
      <c r="L7" s="327"/>
      <c r="M7" s="229"/>
      <c r="N7" s="329"/>
      <c r="O7" s="327"/>
      <c r="P7" s="229"/>
      <c r="Q7" s="218"/>
      <c r="R7" s="358"/>
      <c r="S7" s="373"/>
      <c r="T7" s="373"/>
      <c r="U7" s="327"/>
      <c r="V7" s="370"/>
      <c r="W7" s="327"/>
      <c r="X7" s="373"/>
      <c r="Y7" s="370"/>
      <c r="Z7" s="327"/>
      <c r="AA7" s="327"/>
      <c r="AB7" s="388"/>
    </row>
  </sheetData>
  <hyperlinks>
    <hyperlink ref="R3" r:id="rId1" xr:uid="{6750B396-084B-49A4-AD6D-C24D5B80D8FD}"/>
    <hyperlink ref="R6" r:id="rId2" xr:uid="{6E9F7744-FDAE-43B0-BAEA-279A1022E452}"/>
    <hyperlink ref="R5" r:id="rId3" xr:uid="{053F6A95-C92C-4252-B4C4-79E4AEFF1F18}"/>
  </hyperlinks>
  <pageMargins left="0.7" right="0.7" top="0.75" bottom="0.75" header="0.3" footer="0.3"/>
  <tableParts count="1">
    <tablePart r:id="rId4"/>
  </tableParts>
  <extLst>
    <ext xmlns:x14="http://schemas.microsoft.com/office/spreadsheetml/2009/9/main" uri="{CCE6A557-97BC-4b89-ADB6-D9C93CAAB3DF}">
      <x14:dataValidations xmlns:xm="http://schemas.microsoft.com/office/excel/2006/main" count="1">
        <x14:dataValidation type="list" allowBlank="1" showErrorMessage="1" xr:uid="{318A4EAE-6D5C-45A0-9602-400452BF87FA}">
          <x14:formula1>
            <xm:f>Settings!$C$3:$C$20</xm:f>
          </x14:formula1>
          <xm:sqref>I2:I7</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21607-7F8F-4416-BC45-EE4EB296EB0E}">
  <sheetPr>
    <outlinePr summaryBelow="0" summaryRight="0"/>
  </sheetPr>
  <dimension ref="A1:AB988"/>
  <sheetViews>
    <sheetView topLeftCell="B1" workbookViewId="0">
      <selection activeCell="A2" sqref="A2"/>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25.5">
      <c r="A1" s="434" t="s">
        <v>248</v>
      </c>
      <c r="B1" s="1" t="s">
        <v>305</v>
      </c>
      <c r="C1" s="198" t="s">
        <v>306</v>
      </c>
      <c r="D1" s="198" t="s">
        <v>307</v>
      </c>
      <c r="E1" s="1" t="s">
        <v>250</v>
      </c>
      <c r="F1" s="198" t="s">
        <v>308</v>
      </c>
      <c r="G1" s="198" t="s">
        <v>309</v>
      </c>
      <c r="H1" s="1" t="s">
        <v>310</v>
      </c>
      <c r="I1" s="1" t="s">
        <v>311</v>
      </c>
      <c r="J1" s="1" t="s">
        <v>312</v>
      </c>
      <c r="K1" s="1" t="s">
        <v>253</v>
      </c>
      <c r="L1" s="156" t="s">
        <v>313</v>
      </c>
      <c r="M1" s="8" t="s">
        <v>274</v>
      </c>
      <c r="N1" s="483" t="s">
        <v>314</v>
      </c>
      <c r="O1" s="483" t="s">
        <v>315</v>
      </c>
      <c r="P1" s="35"/>
      <c r="Q1" s="35"/>
      <c r="R1" s="35"/>
      <c r="S1" s="35"/>
      <c r="T1" s="35"/>
      <c r="U1" s="35"/>
      <c r="V1" s="35"/>
      <c r="W1" s="35"/>
      <c r="X1" s="35"/>
      <c r="Y1" s="35"/>
      <c r="Z1" s="35"/>
      <c r="AA1" s="35"/>
      <c r="AB1" s="35"/>
    </row>
    <row r="2" spans="1:28" ht="56.25" customHeight="1">
      <c r="B2" s="126"/>
      <c r="C2" s="477"/>
      <c r="D2" s="477"/>
      <c r="E2" s="126"/>
      <c r="F2" s="221"/>
      <c r="G2" s="305"/>
      <c r="H2" s="126"/>
      <c r="I2" s="126"/>
      <c r="J2" s="126"/>
      <c r="K2" s="126"/>
      <c r="L2" s="126"/>
      <c r="M2" s="333"/>
      <c r="N2" s="91"/>
      <c r="O2" s="216"/>
    </row>
    <row r="3" spans="1:28" ht="66.75" customHeight="1">
      <c r="B3" s="126"/>
      <c r="C3" s="477"/>
      <c r="D3" s="477"/>
      <c r="E3" s="126"/>
      <c r="F3" s="221"/>
      <c r="G3" s="305"/>
      <c r="H3" s="126"/>
      <c r="I3" s="126"/>
      <c r="J3" s="126"/>
      <c r="K3" s="126"/>
      <c r="L3" s="126"/>
      <c r="M3" s="333"/>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M1" xr:uid="{3A2BB050-11AC-4ED7-A296-96B42C7FCFBA}"/>
  <dataValidations count="5">
    <dataValidation type="list" allowBlank="1" showErrorMessage="1" sqref="F2:F3" xr:uid="{85822404-A6DC-4248-88D9-2226B1584659}">
      <formula1>"Bounceback,Defect,None"</formula1>
    </dataValidation>
    <dataValidation type="list" allowBlank="1" showErrorMessage="1" sqref="K2:K3" xr:uid="{89A44261-0AA3-42E7-A5BC-0CEA3A95E484}">
      <formula1>"Open,Inprogress,Closed"</formula1>
    </dataValidation>
    <dataValidation type="list" allowBlank="1" showErrorMessage="1" sqref="I2:I3" xr:uid="{5FCA6C63-020C-442C-96E4-FE8CFF0AC02E}">
      <formula1>"Manual, Automation"</formula1>
    </dataValidation>
    <dataValidation type="list" allowBlank="1" showErrorMessage="1" sqref="H2:H3" xr:uid="{36DBFAD7-DDD1-43EE-9268-250FECA41007}">
      <formula1>"Minor,Significant,Major"</formula1>
    </dataValidation>
    <dataValidation type="list" allowBlank="1" showErrorMessage="1" sqref="J2:J3" xr:uid="{014297F0-D4E7-48E7-BDC3-16FC9D173598}">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3ECAF615-7A73-46A8-8654-6FD96848AAC4}">
          <x14:formula1>
            <xm:f>Details!$A$2:$A$10</xm:f>
          </x14:formula1>
          <xm:sqref>L2:L3</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4178B-8112-48D0-BFF6-272472B19E79}">
  <dimension ref="A1:AB7"/>
  <sheetViews>
    <sheetView workbookViewId="0">
      <pane xSplit="7" topLeftCell="N1" activePane="topRight" state="frozen"/>
      <selection pane="topRight" activeCell="N7" sqref="N7"/>
    </sheetView>
  </sheetViews>
  <sheetFormatPr defaultRowHeight="12.75"/>
  <cols>
    <col min="2" max="2" width="13.28515625" customWidth="1"/>
    <col min="3" max="3" width="10.7109375" customWidth="1"/>
    <col min="4" max="4" width="12.140625" customWidth="1"/>
    <col min="5" max="5" width="21.5703125" customWidth="1"/>
    <col min="6" max="6" width="21.140625" customWidth="1"/>
    <col min="7" max="7" width="18.85546875" customWidth="1"/>
    <col min="8" max="8" width="41.7109375" style="137" customWidth="1"/>
    <col min="9" max="9" width="16.85546875" customWidth="1"/>
    <col min="10" max="11" width="11.42578125" bestFit="1" customWidth="1"/>
    <col min="12" max="12" width="11.42578125" customWidth="1"/>
    <col min="13" max="13" width="13.140625" customWidth="1"/>
    <col min="14" max="14" width="13.42578125" style="144" customWidth="1"/>
    <col min="15" max="15" width="21.85546875" customWidth="1"/>
    <col min="16" max="16" width="16.42578125" customWidth="1"/>
    <col min="17" max="17" width="14.85546875" customWidth="1"/>
    <col min="18" max="18" width="24.42578125" style="144" customWidth="1"/>
    <col min="19" max="20" width="12.7109375" bestFit="1" customWidth="1"/>
    <col min="21" max="21" width="11.42578125" bestFit="1" customWidth="1"/>
    <col min="22" max="22" width="11.42578125" style="144" bestFit="1" customWidth="1"/>
    <col min="23" max="23" width="11.42578125" bestFit="1" customWidth="1"/>
    <col min="24" max="24" width="12.7109375" bestFit="1" customWidth="1"/>
    <col min="25" max="27" width="11.42578125" bestFit="1" customWidth="1"/>
    <col min="28" max="28" width="44.42578125" customWidth="1"/>
  </cols>
  <sheetData>
    <row r="1" spans="1:28" ht="47.25">
      <c r="A1" s="379" t="s">
        <v>248</v>
      </c>
      <c r="B1" s="404" t="s">
        <v>4</v>
      </c>
      <c r="C1" s="404" t="s">
        <v>2</v>
      </c>
      <c r="D1" s="404" t="s">
        <v>3</v>
      </c>
      <c r="E1" s="380" t="s">
        <v>249</v>
      </c>
      <c r="F1" s="381" t="s">
        <v>250</v>
      </c>
      <c r="G1" s="382" t="s">
        <v>251</v>
      </c>
      <c r="H1" s="383" t="s">
        <v>252</v>
      </c>
      <c r="I1" s="383" t="s">
        <v>253</v>
      </c>
      <c r="J1" s="384" t="s">
        <v>254</v>
      </c>
      <c r="K1" s="384" t="s">
        <v>255</v>
      </c>
      <c r="L1" s="384" t="s">
        <v>256</v>
      </c>
      <c r="M1" s="385" t="s">
        <v>259</v>
      </c>
      <c r="N1" s="385" t="s">
        <v>260</v>
      </c>
      <c r="O1" s="385" t="s">
        <v>261</v>
      </c>
      <c r="P1" s="385" t="s">
        <v>262</v>
      </c>
      <c r="Q1" s="385" t="s">
        <v>263</v>
      </c>
      <c r="R1" s="385" t="s">
        <v>264</v>
      </c>
      <c r="S1" s="385" t="s">
        <v>265</v>
      </c>
      <c r="T1" s="385" t="s">
        <v>266</v>
      </c>
      <c r="U1" s="385" t="s">
        <v>267</v>
      </c>
      <c r="V1" s="385" t="s">
        <v>268</v>
      </c>
      <c r="W1" s="385" t="s">
        <v>269</v>
      </c>
      <c r="X1" s="385" t="s">
        <v>270</v>
      </c>
      <c r="Y1" s="385" t="s">
        <v>271</v>
      </c>
      <c r="Z1" s="385" t="s">
        <v>272</v>
      </c>
      <c r="AA1" s="385" t="s">
        <v>273</v>
      </c>
      <c r="AB1" s="386" t="s">
        <v>274</v>
      </c>
    </row>
    <row r="2" spans="1:28" s="256" customFormat="1" ht="128.25" customHeight="1">
      <c r="A2" s="369">
        <v>1</v>
      </c>
      <c r="B2" s="444" t="s">
        <v>1021</v>
      </c>
      <c r="C2" s="445">
        <v>45757</v>
      </c>
      <c r="D2" s="445">
        <v>45771</v>
      </c>
      <c r="E2" s="257" t="s">
        <v>112</v>
      </c>
      <c r="F2" s="305" t="s">
        <v>1035</v>
      </c>
      <c r="G2" s="250" t="s">
        <v>1110</v>
      </c>
      <c r="H2" s="90" t="s">
        <v>1111</v>
      </c>
      <c r="I2" s="474" t="s">
        <v>13</v>
      </c>
      <c r="J2" s="327">
        <v>3</v>
      </c>
      <c r="K2" s="482"/>
      <c r="L2" s="327">
        <v>25.73</v>
      </c>
      <c r="M2" s="229"/>
      <c r="N2" s="329" t="s">
        <v>1029</v>
      </c>
      <c r="O2" s="370" t="s">
        <v>320</v>
      </c>
      <c r="P2" s="229" t="s">
        <v>1022</v>
      </c>
      <c r="Q2" s="481" t="s">
        <v>320</v>
      </c>
      <c r="R2" s="271" t="s">
        <v>1112</v>
      </c>
      <c r="S2" s="373">
        <v>45762</v>
      </c>
      <c r="T2" s="373">
        <v>45763</v>
      </c>
      <c r="U2" s="370" t="s">
        <v>448</v>
      </c>
      <c r="V2" s="370" t="s">
        <v>320</v>
      </c>
      <c r="W2" s="327" t="s">
        <v>323</v>
      </c>
      <c r="X2" s="373">
        <v>45763</v>
      </c>
      <c r="Y2" s="370" t="s">
        <v>320</v>
      </c>
      <c r="Z2" s="327" t="s">
        <v>320</v>
      </c>
      <c r="AA2" s="327" t="s">
        <v>320</v>
      </c>
      <c r="AB2" s="390" t="s">
        <v>1113</v>
      </c>
    </row>
    <row r="3" spans="1:28" s="256" customFormat="1" ht="128.25" customHeight="1">
      <c r="A3" s="369">
        <v>2</v>
      </c>
      <c r="B3" s="442" t="s">
        <v>1021</v>
      </c>
      <c r="C3" s="443">
        <v>45757</v>
      </c>
      <c r="D3" s="464">
        <v>45771</v>
      </c>
      <c r="E3" s="465" t="s">
        <v>112</v>
      </c>
      <c r="F3" s="62" t="s">
        <v>1022</v>
      </c>
      <c r="G3" s="248" t="s">
        <v>1114</v>
      </c>
      <c r="H3" s="461" t="s">
        <v>1115</v>
      </c>
      <c r="I3" s="466" t="s">
        <v>13</v>
      </c>
      <c r="J3" s="228">
        <v>2</v>
      </c>
      <c r="K3" s="327">
        <v>2</v>
      </c>
      <c r="L3" s="369">
        <v>2.25</v>
      </c>
      <c r="M3" s="329" t="s">
        <v>1116</v>
      </c>
      <c r="N3" s="329"/>
      <c r="O3" s="327"/>
      <c r="P3" s="486" t="s">
        <v>1117</v>
      </c>
      <c r="Q3" s="370"/>
      <c r="R3" s="200"/>
      <c r="S3" s="372"/>
      <c r="T3" s="373"/>
      <c r="U3" s="327"/>
      <c r="V3" s="370"/>
      <c r="W3" s="327"/>
      <c r="X3" s="373"/>
      <c r="Y3" s="370"/>
      <c r="Z3" s="327"/>
      <c r="AA3" s="327"/>
      <c r="AB3" s="390"/>
    </row>
    <row r="4" spans="1:28" s="256" customFormat="1" ht="128.25" customHeight="1">
      <c r="A4" s="369">
        <v>3</v>
      </c>
      <c r="B4" s="442" t="s">
        <v>1021</v>
      </c>
      <c r="C4" s="443">
        <v>45757</v>
      </c>
      <c r="D4" s="443">
        <v>45771</v>
      </c>
      <c r="E4" s="257" t="s">
        <v>112</v>
      </c>
      <c r="F4" s="256" t="s">
        <v>1031</v>
      </c>
      <c r="G4" s="246" t="s">
        <v>1118</v>
      </c>
      <c r="H4" s="305" t="s">
        <v>1119</v>
      </c>
      <c r="I4" s="474" t="s">
        <v>13</v>
      </c>
      <c r="J4" s="181">
        <v>2</v>
      </c>
      <c r="K4" s="327">
        <v>2</v>
      </c>
      <c r="L4" s="327">
        <v>26.5</v>
      </c>
      <c r="M4" s="329" t="s">
        <v>318</v>
      </c>
      <c r="N4" s="329" t="s">
        <v>1029</v>
      </c>
      <c r="O4" s="327" t="s">
        <v>320</v>
      </c>
      <c r="P4" s="329" t="s">
        <v>1035</v>
      </c>
      <c r="Q4" s="480" t="s">
        <v>320</v>
      </c>
      <c r="R4" s="358" t="s">
        <v>1120</v>
      </c>
      <c r="S4" s="360">
        <v>45765</v>
      </c>
      <c r="T4" s="373">
        <v>45768</v>
      </c>
      <c r="U4" s="228" t="s">
        <v>322</v>
      </c>
      <c r="V4" s="370" t="s">
        <v>320</v>
      </c>
      <c r="W4" s="327" t="s">
        <v>323</v>
      </c>
      <c r="X4" s="373">
        <v>45768</v>
      </c>
      <c r="Y4" s="370" t="s">
        <v>320</v>
      </c>
      <c r="Z4" s="327" t="s">
        <v>320</v>
      </c>
      <c r="AA4" s="327" t="s">
        <v>320</v>
      </c>
      <c r="AB4" s="390" t="s">
        <v>1121</v>
      </c>
    </row>
    <row r="5" spans="1:28" s="256" customFormat="1" ht="128.25" customHeight="1">
      <c r="A5" s="369">
        <v>4</v>
      </c>
      <c r="B5" s="442" t="s">
        <v>1021</v>
      </c>
      <c r="C5" s="443">
        <v>45757</v>
      </c>
      <c r="D5" s="464">
        <v>45771</v>
      </c>
      <c r="E5" s="465" t="s">
        <v>112</v>
      </c>
      <c r="F5" s="305" t="s">
        <v>1122</v>
      </c>
      <c r="G5" s="431" t="s">
        <v>1123</v>
      </c>
      <c r="H5" s="90" t="s">
        <v>1124</v>
      </c>
      <c r="I5" s="476" t="s">
        <v>13</v>
      </c>
      <c r="J5" s="228">
        <v>2</v>
      </c>
      <c r="K5" s="369">
        <v>2</v>
      </c>
      <c r="L5" s="327">
        <v>18.5</v>
      </c>
      <c r="M5" s="229"/>
      <c r="N5" s="329"/>
      <c r="O5" s="327"/>
      <c r="P5" s="250"/>
      <c r="Q5" s="352"/>
      <c r="R5" s="200"/>
      <c r="S5" s="372"/>
      <c r="T5" s="373"/>
      <c r="U5" s="327"/>
      <c r="V5" s="370"/>
      <c r="W5" s="327"/>
      <c r="X5" s="373"/>
      <c r="Y5" s="370"/>
      <c r="Z5" s="327"/>
      <c r="AA5" s="327"/>
      <c r="AB5" s="390" t="s">
        <v>1125</v>
      </c>
    </row>
    <row r="6" spans="1:28" ht="69.75" customHeight="1">
      <c r="A6" s="369">
        <v>5</v>
      </c>
      <c r="B6" s="369" t="s">
        <v>1021</v>
      </c>
      <c r="C6" s="372">
        <v>45757</v>
      </c>
      <c r="D6" s="430">
        <v>45771</v>
      </c>
      <c r="E6" s="246" t="s">
        <v>1126</v>
      </c>
      <c r="F6" s="203" t="s">
        <v>1127</v>
      </c>
      <c r="G6" s="247" t="s">
        <v>1128</v>
      </c>
      <c r="H6" s="321" t="s">
        <v>1129</v>
      </c>
      <c r="I6" s="374" t="s">
        <v>13</v>
      </c>
      <c r="J6" s="228">
        <v>5</v>
      </c>
      <c r="K6" s="369">
        <v>5</v>
      </c>
      <c r="L6" s="327">
        <v>77</v>
      </c>
      <c r="M6" s="229"/>
      <c r="N6" s="329"/>
      <c r="O6" s="327"/>
      <c r="P6" s="250"/>
      <c r="Q6" s="226"/>
      <c r="R6" s="358"/>
      <c r="S6" s="373"/>
      <c r="T6" s="373"/>
      <c r="U6" s="327"/>
      <c r="V6" s="370"/>
      <c r="W6" s="327"/>
      <c r="X6" s="373"/>
      <c r="Y6" s="370"/>
      <c r="Z6" s="327"/>
      <c r="AA6" s="327"/>
      <c r="AB6" s="388" t="s">
        <v>1130</v>
      </c>
    </row>
    <row r="7" spans="1:28" ht="104.25">
      <c r="A7" s="369">
        <v>6</v>
      </c>
      <c r="B7" s="369" t="s">
        <v>1021</v>
      </c>
      <c r="C7" s="372">
        <v>45757</v>
      </c>
      <c r="D7" s="430">
        <v>45771</v>
      </c>
      <c r="E7" s="246" t="s">
        <v>112</v>
      </c>
      <c r="F7" s="137" t="s">
        <v>448</v>
      </c>
      <c r="G7" s="229" t="s">
        <v>1067</v>
      </c>
      <c r="H7" s="321" t="s">
        <v>1068</v>
      </c>
      <c r="I7" s="374" t="s">
        <v>278</v>
      </c>
      <c r="J7" s="181">
        <v>2</v>
      </c>
      <c r="K7" s="327">
        <v>2</v>
      </c>
      <c r="L7" s="327">
        <v>18.5</v>
      </c>
      <c r="M7" s="229"/>
      <c r="N7" s="329"/>
      <c r="O7" s="327"/>
      <c r="P7" s="229"/>
      <c r="Q7" s="218"/>
      <c r="R7" s="358"/>
      <c r="S7" s="373"/>
      <c r="T7" s="373"/>
      <c r="U7" s="327"/>
      <c r="V7" s="370"/>
      <c r="W7" s="327"/>
      <c r="X7" s="373"/>
      <c r="Y7" s="370"/>
      <c r="Z7" s="327"/>
      <c r="AA7" s="327"/>
      <c r="AB7" s="388" t="s">
        <v>1131</v>
      </c>
    </row>
  </sheetData>
  <hyperlinks>
    <hyperlink ref="R4" r:id="rId1" xr:uid="{73DF1D2E-EF11-4EFE-BAAE-3402E0A674F4}"/>
    <hyperlink ref="R2" r:id="rId2" xr:uid="{152B31CC-ADBF-41CA-8572-502B3090A73C}"/>
  </hyperlinks>
  <pageMargins left="0.7" right="0.7" top="0.75" bottom="0.75" header="0.3" footer="0.3"/>
  <tableParts count="1">
    <tablePart r:id="rId3"/>
  </tableParts>
  <extLst>
    <ext xmlns:x14="http://schemas.microsoft.com/office/spreadsheetml/2009/9/main" uri="{CCE6A557-97BC-4b89-ADB6-D9C93CAAB3DF}">
      <x14:dataValidations xmlns:xm="http://schemas.microsoft.com/office/excel/2006/main" count="1">
        <x14:dataValidation type="list" allowBlank="1" showErrorMessage="1" xr:uid="{D71E04FA-411C-4B59-9D34-21361AFE84BC}">
          <x14:formula1>
            <xm:f>Settings!$C$3:$C$20</xm:f>
          </x14:formula1>
          <xm:sqref>I2:I7</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8F645-235A-416F-A2A1-0F6566E8AA10}">
  <sheetPr>
    <outlinePr summaryBelow="0" summaryRight="0"/>
  </sheetPr>
  <dimension ref="A1:AB988"/>
  <sheetViews>
    <sheetView topLeftCell="G1" workbookViewId="0">
      <selection activeCell="M3" sqref="M3"/>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25.5">
      <c r="A1" s="434" t="s">
        <v>248</v>
      </c>
      <c r="B1" s="1" t="s">
        <v>305</v>
      </c>
      <c r="C1" s="198" t="s">
        <v>306</v>
      </c>
      <c r="D1" s="198" t="s">
        <v>307</v>
      </c>
      <c r="E1" s="1" t="s">
        <v>250</v>
      </c>
      <c r="F1" s="198" t="s">
        <v>308</v>
      </c>
      <c r="G1" s="198" t="s">
        <v>309</v>
      </c>
      <c r="H1" s="1" t="s">
        <v>310</v>
      </c>
      <c r="I1" s="1" t="s">
        <v>311</v>
      </c>
      <c r="J1" s="1" t="s">
        <v>312</v>
      </c>
      <c r="K1" s="1" t="s">
        <v>253</v>
      </c>
      <c r="L1" s="156" t="s">
        <v>313</v>
      </c>
      <c r="M1" s="8" t="s">
        <v>274</v>
      </c>
      <c r="N1" s="483" t="s">
        <v>314</v>
      </c>
      <c r="O1" s="483" t="s">
        <v>315</v>
      </c>
      <c r="P1" s="35"/>
      <c r="Q1" s="35"/>
      <c r="R1" s="35"/>
      <c r="S1" s="35"/>
      <c r="T1" s="35"/>
      <c r="U1" s="35"/>
      <c r="V1" s="35"/>
      <c r="W1" s="35"/>
      <c r="X1" s="35"/>
      <c r="Y1" s="35"/>
      <c r="Z1" s="35"/>
      <c r="AA1" s="35"/>
      <c r="AB1" s="35"/>
    </row>
    <row r="2" spans="1:28" ht="56.25" customHeight="1">
      <c r="B2" s="126"/>
      <c r="C2" s="477"/>
      <c r="D2" s="477"/>
      <c r="E2" s="126"/>
      <c r="F2" s="221"/>
      <c r="G2" s="305"/>
      <c r="H2" s="126"/>
      <c r="I2" s="126"/>
      <c r="J2" s="126"/>
      <c r="K2" s="126"/>
      <c r="L2" s="126"/>
      <c r="M2" s="333"/>
      <c r="N2" s="91"/>
      <c r="O2" s="216"/>
    </row>
    <row r="3" spans="1:28" ht="66.75" customHeight="1">
      <c r="B3" s="126"/>
      <c r="C3" s="477"/>
      <c r="D3" s="477"/>
      <c r="E3" s="126"/>
      <c r="F3" s="221"/>
      <c r="G3" s="305"/>
      <c r="H3" s="126"/>
      <c r="I3" s="126"/>
      <c r="J3" s="126"/>
      <c r="K3" s="126"/>
      <c r="L3" s="126"/>
      <c r="M3" s="333"/>
    </row>
    <row r="4" spans="1:28" ht="15.75" customHeight="1"/>
    <row r="5" spans="1:28" ht="15.75" customHeight="1"/>
    <row r="6" spans="1:28" ht="15.75" customHeight="1">
      <c r="K6" s="144"/>
    </row>
    <row r="7" spans="1:28" ht="15.75" customHeight="1"/>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autoFilter ref="A1:M1" xr:uid="{3A2BB050-11AC-4ED7-A296-96B42C7FCFBA}"/>
  <dataValidations count="5">
    <dataValidation type="list" allowBlank="1" showErrorMessage="1" sqref="K2:K3" xr:uid="{6E34FF1A-F046-4136-860D-D992DFAAA606}">
      <formula1>"Open,Inprogress,Closed"</formula1>
    </dataValidation>
    <dataValidation type="list" allowBlank="1" showErrorMessage="1" sqref="F2:F3" xr:uid="{06628545-E41D-4C2D-A275-CD8AFBCEEF21}">
      <formula1>"Bounceback,Defect,None"</formula1>
    </dataValidation>
    <dataValidation type="list" allowBlank="1" showErrorMessage="1" sqref="J2:J3" xr:uid="{704409D3-1F01-4B32-9ABB-A3D23A3E3FA9}">
      <formula1>"Internal,External"</formula1>
    </dataValidation>
    <dataValidation type="list" allowBlank="1" showErrorMessage="1" sqref="H2:H3" xr:uid="{06BA577B-ABCF-4F65-8FEA-CC8161F9B30D}">
      <formula1>"Minor,Significant,Major"</formula1>
    </dataValidation>
    <dataValidation type="list" allowBlank="1" showErrorMessage="1" sqref="I2:I3" xr:uid="{8886F317-9C33-441B-A66C-CD5E373BBC0B}">
      <formula1>"Manual, Automation"</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7F3AFE50-4AA5-4F63-8179-4CD52BA67763}">
          <x14:formula1>
            <xm:f>Details!$A$2:$A$10</xm:f>
          </x14:formula1>
          <xm:sqref>L2:L3</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C815F-F4A5-4F92-886D-6D8F062C049E}">
  <dimension ref="A1:AB7"/>
  <sheetViews>
    <sheetView workbookViewId="0">
      <pane xSplit="7" ySplit="1" topLeftCell="H2" activePane="bottomRight" state="frozen"/>
      <selection pane="bottomRight"/>
      <selection pane="bottomLeft"/>
      <selection pane="topRight"/>
    </sheetView>
  </sheetViews>
  <sheetFormatPr defaultRowHeight="12.75"/>
  <cols>
    <col min="2" max="2" width="13.28515625" customWidth="1"/>
    <col min="3" max="3" width="23.140625" customWidth="1"/>
    <col min="4" max="4" width="33.42578125" customWidth="1"/>
    <col min="5" max="5" width="40.7109375" customWidth="1"/>
    <col min="6" max="6" width="21.140625" customWidth="1"/>
    <col min="7" max="7" width="18.85546875" customWidth="1"/>
    <col min="8" max="8" width="41.7109375" style="137" customWidth="1"/>
    <col min="9" max="9" width="16.85546875" customWidth="1"/>
    <col min="10" max="11" width="11.42578125" bestFit="1" customWidth="1"/>
    <col min="12" max="12" width="11.42578125" customWidth="1"/>
    <col min="13" max="13" width="13.140625" customWidth="1"/>
    <col min="14" max="14" width="13.42578125" style="144" customWidth="1"/>
    <col min="15" max="15" width="21.85546875" customWidth="1"/>
    <col min="16" max="16" width="16.42578125" customWidth="1"/>
    <col min="17" max="17" width="14.85546875" customWidth="1"/>
    <col min="18" max="18" width="24.42578125" style="144" customWidth="1"/>
    <col min="19" max="20" width="12.7109375" bestFit="1" customWidth="1"/>
    <col min="21" max="21" width="11.42578125" bestFit="1" customWidth="1"/>
    <col min="22" max="22" width="11.42578125" style="144" bestFit="1" customWidth="1"/>
    <col min="23" max="23" width="11.42578125" bestFit="1" customWidth="1"/>
    <col min="24" max="24" width="12.7109375" bestFit="1" customWidth="1"/>
    <col min="25" max="27" width="11.42578125" bestFit="1" customWidth="1"/>
    <col min="28" max="28" width="27.42578125" customWidth="1"/>
  </cols>
  <sheetData>
    <row r="1" spans="1:28" ht="47.25">
      <c r="A1" s="379" t="s">
        <v>248</v>
      </c>
      <c r="B1" s="404" t="s">
        <v>4</v>
      </c>
      <c r="C1" s="404" t="s">
        <v>2</v>
      </c>
      <c r="D1" s="404" t="s">
        <v>3</v>
      </c>
      <c r="E1" s="380" t="s">
        <v>249</v>
      </c>
      <c r="F1" s="381" t="s">
        <v>250</v>
      </c>
      <c r="G1" s="382" t="s">
        <v>251</v>
      </c>
      <c r="H1" s="383" t="s">
        <v>252</v>
      </c>
      <c r="I1" s="383" t="s">
        <v>253</v>
      </c>
      <c r="J1" s="384" t="s">
        <v>254</v>
      </c>
      <c r="K1" s="384" t="s">
        <v>255</v>
      </c>
      <c r="L1" s="384" t="s">
        <v>256</v>
      </c>
      <c r="M1" s="385" t="s">
        <v>259</v>
      </c>
      <c r="N1" s="385" t="s">
        <v>260</v>
      </c>
      <c r="O1" s="385" t="s">
        <v>261</v>
      </c>
      <c r="P1" s="385" t="s">
        <v>262</v>
      </c>
      <c r="Q1" s="385" t="s">
        <v>263</v>
      </c>
      <c r="R1" s="385" t="s">
        <v>264</v>
      </c>
      <c r="S1" s="385" t="s">
        <v>265</v>
      </c>
      <c r="T1" s="385" t="s">
        <v>266</v>
      </c>
      <c r="U1" s="385" t="s">
        <v>267</v>
      </c>
      <c r="V1" s="385" t="s">
        <v>268</v>
      </c>
      <c r="W1" s="385" t="s">
        <v>269</v>
      </c>
      <c r="X1" s="385" t="s">
        <v>270</v>
      </c>
      <c r="Y1" s="385" t="s">
        <v>271</v>
      </c>
      <c r="Z1" s="385" t="s">
        <v>272</v>
      </c>
      <c r="AA1" s="385" t="s">
        <v>273</v>
      </c>
      <c r="AB1" s="386" t="s">
        <v>274</v>
      </c>
    </row>
    <row r="2" spans="1:28" s="256" customFormat="1" ht="128.25" customHeight="1">
      <c r="A2" s="369">
        <v>1</v>
      </c>
      <c r="B2" s="444" t="s">
        <v>1021</v>
      </c>
      <c r="C2" s="445">
        <v>45744</v>
      </c>
      <c r="D2" s="445">
        <v>45757</v>
      </c>
      <c r="E2" s="257" t="s">
        <v>108</v>
      </c>
      <c r="F2" s="305" t="s">
        <v>1132</v>
      </c>
      <c r="G2" s="250" t="s">
        <v>1133</v>
      </c>
      <c r="H2" s="90" t="s">
        <v>1134</v>
      </c>
      <c r="I2" s="474" t="s">
        <v>13</v>
      </c>
      <c r="J2" s="327">
        <v>8</v>
      </c>
      <c r="K2" s="482"/>
      <c r="L2" s="327">
        <v>168</v>
      </c>
      <c r="M2" s="229" t="s">
        <v>318</v>
      </c>
      <c r="N2" s="329" t="s">
        <v>1029</v>
      </c>
      <c r="O2" s="370" t="s">
        <v>1135</v>
      </c>
      <c r="P2" s="229" t="s">
        <v>1064</v>
      </c>
      <c r="Q2" s="481" t="s">
        <v>320</v>
      </c>
      <c r="R2" s="271" t="s">
        <v>1136</v>
      </c>
      <c r="S2" s="373">
        <v>45755</v>
      </c>
      <c r="T2" s="373">
        <v>45756</v>
      </c>
      <c r="U2" s="370" t="s">
        <v>448</v>
      </c>
      <c r="V2" s="370" t="s">
        <v>320</v>
      </c>
      <c r="W2" s="327" t="s">
        <v>1137</v>
      </c>
      <c r="X2" s="373">
        <v>45756</v>
      </c>
      <c r="Y2" s="370" t="s">
        <v>320</v>
      </c>
      <c r="Z2" s="327" t="s">
        <v>320</v>
      </c>
      <c r="AA2" s="327" t="s">
        <v>320</v>
      </c>
      <c r="AB2" s="390" t="s">
        <v>1138</v>
      </c>
    </row>
    <row r="3" spans="1:28" s="256" customFormat="1" ht="128.25" customHeight="1">
      <c r="A3" s="369">
        <v>2</v>
      </c>
      <c r="B3" s="442" t="s">
        <v>1021</v>
      </c>
      <c r="C3" s="443">
        <v>45744</v>
      </c>
      <c r="D3" s="464">
        <v>45757</v>
      </c>
      <c r="E3" s="465" t="s">
        <v>108</v>
      </c>
      <c r="F3" s="62" t="s">
        <v>448</v>
      </c>
      <c r="G3" s="248" t="s">
        <v>1123</v>
      </c>
      <c r="H3" s="461" t="s">
        <v>1124</v>
      </c>
      <c r="I3" s="466" t="s">
        <v>636</v>
      </c>
      <c r="J3" s="228">
        <v>3</v>
      </c>
      <c r="K3" s="327"/>
      <c r="L3" s="369">
        <v>24.5</v>
      </c>
      <c r="M3" s="229" t="s">
        <v>318</v>
      </c>
      <c r="N3" s="329" t="s">
        <v>448</v>
      </c>
      <c r="O3" s="327" t="s">
        <v>320</v>
      </c>
      <c r="P3" s="250" t="s">
        <v>322</v>
      </c>
      <c r="Q3" s="370" t="s">
        <v>320</v>
      </c>
      <c r="R3" s="200" t="s">
        <v>1139</v>
      </c>
      <c r="S3" s="372">
        <v>45757</v>
      </c>
      <c r="T3" s="373">
        <v>45757</v>
      </c>
      <c r="U3" s="327" t="s">
        <v>322</v>
      </c>
      <c r="V3" s="370" t="s">
        <v>320</v>
      </c>
      <c r="W3" s="327" t="s">
        <v>1137</v>
      </c>
      <c r="X3" s="373">
        <v>45757</v>
      </c>
      <c r="Y3" s="370" t="s">
        <v>320</v>
      </c>
      <c r="Z3" s="327" t="s">
        <v>320</v>
      </c>
      <c r="AA3" s="327" t="s">
        <v>320</v>
      </c>
      <c r="AB3" s="390" t="s">
        <v>1140</v>
      </c>
    </row>
    <row r="4" spans="1:28" s="256" customFormat="1" ht="128.25" customHeight="1">
      <c r="A4" s="369">
        <v>3</v>
      </c>
      <c r="B4" s="442" t="s">
        <v>1021</v>
      </c>
      <c r="C4" s="443">
        <v>45744</v>
      </c>
      <c r="D4" s="464">
        <v>45757</v>
      </c>
      <c r="E4" s="257" t="s">
        <v>108</v>
      </c>
      <c r="F4" s="256" t="s">
        <v>1022</v>
      </c>
      <c r="G4" s="203" t="s">
        <v>1141</v>
      </c>
      <c r="H4" s="461" t="s">
        <v>1142</v>
      </c>
      <c r="I4" s="439" t="s">
        <v>13</v>
      </c>
      <c r="J4" s="181"/>
      <c r="K4" s="327"/>
      <c r="L4" s="327">
        <v>11.5</v>
      </c>
      <c r="M4" s="229" t="s">
        <v>318</v>
      </c>
      <c r="N4" s="329" t="s">
        <v>1029</v>
      </c>
      <c r="O4" s="327" t="s">
        <v>320</v>
      </c>
      <c r="P4" s="229" t="s">
        <v>448</v>
      </c>
      <c r="Q4" s="480" t="s">
        <v>320</v>
      </c>
      <c r="R4" s="432" t="s">
        <v>1143</v>
      </c>
      <c r="S4" s="360">
        <v>45756</v>
      </c>
      <c r="T4" s="373">
        <v>45757</v>
      </c>
      <c r="U4" s="228" t="s">
        <v>448</v>
      </c>
      <c r="V4" s="370" t="s">
        <v>320</v>
      </c>
      <c r="W4" s="327" t="s">
        <v>1137</v>
      </c>
      <c r="X4" s="373">
        <v>45757</v>
      </c>
      <c r="Y4" s="370" t="s">
        <v>320</v>
      </c>
      <c r="Z4" s="327" t="s">
        <v>320</v>
      </c>
      <c r="AA4" s="327" t="s">
        <v>320</v>
      </c>
      <c r="AB4" s="390" t="s">
        <v>1144</v>
      </c>
    </row>
    <row r="5" spans="1:28" s="256" customFormat="1" ht="128.25" customHeight="1">
      <c r="A5" s="369">
        <v>4</v>
      </c>
      <c r="B5" s="442" t="s">
        <v>1021</v>
      </c>
      <c r="C5" s="443">
        <v>45744</v>
      </c>
      <c r="D5" s="464">
        <v>45757</v>
      </c>
      <c r="E5" s="257" t="s">
        <v>108</v>
      </c>
      <c r="F5" s="461" t="s">
        <v>1145</v>
      </c>
      <c r="G5" s="229" t="s">
        <v>1146</v>
      </c>
      <c r="H5" s="461" t="s">
        <v>1147</v>
      </c>
      <c r="I5" s="439" t="s">
        <v>13</v>
      </c>
      <c r="J5" s="181">
        <v>1</v>
      </c>
      <c r="K5" s="327">
        <v>1</v>
      </c>
      <c r="L5" s="327">
        <v>21.5</v>
      </c>
      <c r="M5" s="229"/>
      <c r="N5" s="329"/>
      <c r="O5" s="327"/>
      <c r="P5" s="250"/>
      <c r="Q5" s="480"/>
      <c r="R5" s="432"/>
      <c r="S5" s="373"/>
      <c r="T5" s="373"/>
      <c r="U5" s="327"/>
      <c r="V5" s="370"/>
      <c r="W5" s="327"/>
      <c r="X5" s="373"/>
      <c r="Y5" s="370"/>
      <c r="Z5" s="327"/>
      <c r="AA5" s="327"/>
      <c r="AB5" s="390" t="s">
        <v>1148</v>
      </c>
    </row>
    <row r="6" spans="1:28" ht="45" customHeight="1">
      <c r="A6" s="369">
        <v>5</v>
      </c>
      <c r="B6" s="369" t="s">
        <v>1021</v>
      </c>
      <c r="C6" s="443">
        <v>45744</v>
      </c>
      <c r="D6" s="464">
        <v>45757</v>
      </c>
      <c r="E6" s="250" t="s">
        <v>108</v>
      </c>
      <c r="F6" s="203" t="s">
        <v>448</v>
      </c>
      <c r="G6" s="247" t="s">
        <v>1149</v>
      </c>
      <c r="H6" s="321" t="s">
        <v>1150</v>
      </c>
      <c r="I6" s="327" t="s">
        <v>13</v>
      </c>
      <c r="J6" s="181">
        <v>1</v>
      </c>
      <c r="K6" s="327">
        <v>1</v>
      </c>
      <c r="L6" s="327">
        <v>25.25</v>
      </c>
      <c r="M6" s="229"/>
      <c r="N6" s="329"/>
      <c r="O6" s="327"/>
      <c r="P6" s="250"/>
      <c r="Q6" s="58"/>
      <c r="R6" s="432"/>
      <c r="S6" s="373"/>
      <c r="T6" s="373"/>
      <c r="U6" s="327"/>
      <c r="V6" s="370"/>
      <c r="W6" s="327"/>
      <c r="X6" s="373"/>
      <c r="Y6" s="370"/>
      <c r="Z6" s="327"/>
      <c r="AA6" s="327"/>
      <c r="AB6" s="249"/>
    </row>
    <row r="7" spans="1:28" ht="46.5">
      <c r="A7" s="369">
        <v>6</v>
      </c>
      <c r="B7" s="369" t="s">
        <v>1021</v>
      </c>
      <c r="C7" s="443">
        <v>45744</v>
      </c>
      <c r="D7" s="464">
        <v>45757</v>
      </c>
      <c r="E7" s="203" t="s">
        <v>108</v>
      </c>
      <c r="F7" s="137" t="s">
        <v>448</v>
      </c>
      <c r="G7" s="229" t="s">
        <v>1151</v>
      </c>
      <c r="H7" s="321" t="s">
        <v>1152</v>
      </c>
      <c r="I7" s="327" t="s">
        <v>13</v>
      </c>
      <c r="J7" s="181">
        <v>1</v>
      </c>
      <c r="K7" s="327">
        <v>1</v>
      </c>
      <c r="L7" s="327">
        <v>11</v>
      </c>
      <c r="M7" s="229"/>
      <c r="N7" s="329"/>
      <c r="O7" s="327"/>
      <c r="P7" s="229"/>
      <c r="Q7" s="218"/>
      <c r="R7" s="432"/>
      <c r="S7" s="373"/>
      <c r="T7" s="373"/>
      <c r="U7" s="327"/>
      <c r="V7" s="370"/>
      <c r="W7" s="327"/>
      <c r="X7" s="373"/>
      <c r="Y7" s="370"/>
      <c r="Z7" s="327"/>
      <c r="AA7" s="327"/>
      <c r="AB7" s="388" t="s">
        <v>1153</v>
      </c>
    </row>
  </sheetData>
  <hyperlinks>
    <hyperlink ref="R2" r:id="rId1" xr:uid="{D7A13EDF-0A64-4188-A43A-8735975FE544}"/>
    <hyperlink ref="R4" r:id="rId2" xr:uid="{61E2E95E-8F7D-45FF-AFE0-E26E746F472E}"/>
    <hyperlink ref="R3" r:id="rId3" xr:uid="{D698C868-B134-4961-97DD-99BD671ED813}"/>
  </hyperlinks>
  <pageMargins left="0.7" right="0.7" top="0.75" bottom="0.75" header="0.3" footer="0.3"/>
  <tableParts count="1">
    <tablePart r:id="rId4"/>
  </tableParts>
  <extLst>
    <ext xmlns:x14="http://schemas.microsoft.com/office/spreadsheetml/2009/9/main" uri="{CCE6A557-97BC-4b89-ADB6-D9C93CAAB3DF}">
      <x14:dataValidations xmlns:xm="http://schemas.microsoft.com/office/excel/2006/main" count="1">
        <x14:dataValidation type="list" allowBlank="1" showErrorMessage="1" xr:uid="{FAD0BE6E-16D4-472E-B90B-82FB0F31D855}">
          <x14:formula1>
            <xm:f>Settings!$C$3:$C$20</xm:f>
          </x14:formula1>
          <xm:sqref>I2:I7</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BEB42-F07A-4CEB-8502-ACBAB7341D92}">
  <sheetPr>
    <outlinePr summaryBelow="0" summaryRight="0"/>
  </sheetPr>
  <dimension ref="A1:AB989"/>
  <sheetViews>
    <sheetView workbookViewId="0">
      <pane xSplit="3" topLeftCell="D1" activePane="topRight" state="frozen"/>
      <selection pane="topRight" activeCell="C8" sqref="C8"/>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 min="14" max="14" width="14.140625" style="122" customWidth="1"/>
    <col min="15" max="15" width="29" customWidth="1"/>
  </cols>
  <sheetData>
    <row r="1" spans="1:28" ht="25.5">
      <c r="A1" s="434" t="s">
        <v>248</v>
      </c>
      <c r="B1" s="1" t="s">
        <v>305</v>
      </c>
      <c r="C1" s="198" t="s">
        <v>306</v>
      </c>
      <c r="D1" s="198" t="s">
        <v>307</v>
      </c>
      <c r="E1" s="1" t="s">
        <v>250</v>
      </c>
      <c r="F1" s="198" t="s">
        <v>308</v>
      </c>
      <c r="G1" s="198" t="s">
        <v>309</v>
      </c>
      <c r="H1" s="1" t="s">
        <v>310</v>
      </c>
      <c r="I1" s="1" t="s">
        <v>311</v>
      </c>
      <c r="J1" s="1" t="s">
        <v>312</v>
      </c>
      <c r="K1" s="1" t="s">
        <v>253</v>
      </c>
      <c r="L1" s="156" t="s">
        <v>313</v>
      </c>
      <c r="M1" s="8" t="s">
        <v>274</v>
      </c>
      <c r="N1" s="483" t="s">
        <v>314</v>
      </c>
      <c r="O1" s="483" t="s">
        <v>315</v>
      </c>
      <c r="P1" s="35"/>
      <c r="Q1" s="35"/>
      <c r="R1" s="35"/>
      <c r="S1" s="35"/>
      <c r="T1" s="35"/>
      <c r="U1" s="35"/>
      <c r="V1" s="35"/>
      <c r="W1" s="35"/>
      <c r="X1" s="35"/>
      <c r="Y1" s="35"/>
      <c r="Z1" s="35"/>
      <c r="AA1" s="35"/>
      <c r="AB1" s="35"/>
    </row>
    <row r="2" spans="1:28" ht="84" customHeight="1">
      <c r="B2" s="41" t="s">
        <v>108</v>
      </c>
      <c r="C2" s="452" t="s">
        <v>1141</v>
      </c>
      <c r="D2" s="453" t="s">
        <v>1133</v>
      </c>
      <c r="E2" s="203" t="s">
        <v>1022</v>
      </c>
      <c r="F2" s="450" t="s">
        <v>1154</v>
      </c>
      <c r="G2" s="90" t="s">
        <v>1142</v>
      </c>
      <c r="H2" s="41" t="s">
        <v>560</v>
      </c>
      <c r="I2" s="451" t="s">
        <v>555</v>
      </c>
      <c r="J2" s="41" t="s">
        <v>556</v>
      </c>
      <c r="K2" s="451" t="s">
        <v>1155</v>
      </c>
      <c r="L2" s="329" t="s">
        <v>1156</v>
      </c>
      <c r="M2" s="90" t="s">
        <v>1157</v>
      </c>
      <c r="N2" s="91" t="s">
        <v>1029</v>
      </c>
      <c r="O2" s="333" t="s">
        <v>1158</v>
      </c>
    </row>
    <row r="3" spans="1:28" ht="56.25" customHeight="1">
      <c r="B3" s="126" t="s">
        <v>108</v>
      </c>
      <c r="C3" s="477" t="s">
        <v>1149</v>
      </c>
      <c r="D3" s="477"/>
      <c r="E3" s="126" t="s">
        <v>448</v>
      </c>
      <c r="F3" s="221" t="s">
        <v>553</v>
      </c>
      <c r="G3" s="305" t="s">
        <v>1150</v>
      </c>
      <c r="H3" s="126" t="s">
        <v>560</v>
      </c>
      <c r="I3" s="126" t="s">
        <v>555</v>
      </c>
      <c r="J3" s="126" t="s">
        <v>1159</v>
      </c>
      <c r="K3" s="126" t="s">
        <v>557</v>
      </c>
      <c r="L3" s="126" t="s">
        <v>558</v>
      </c>
      <c r="M3" s="333" t="s">
        <v>1160</v>
      </c>
      <c r="N3" s="484" t="s">
        <v>1161</v>
      </c>
      <c r="O3" s="333" t="s">
        <v>1162</v>
      </c>
    </row>
    <row r="4" spans="1:28" ht="66.75" customHeight="1">
      <c r="B4" s="41" t="s">
        <v>108</v>
      </c>
      <c r="C4" s="452" t="s">
        <v>1151</v>
      </c>
      <c r="D4" s="452"/>
      <c r="E4" s="41" t="s">
        <v>448</v>
      </c>
      <c r="F4" s="485" t="s">
        <v>553</v>
      </c>
      <c r="G4" s="90" t="s">
        <v>1152</v>
      </c>
      <c r="H4" s="41" t="s">
        <v>560</v>
      </c>
      <c r="I4" s="41" t="s">
        <v>555</v>
      </c>
      <c r="J4" s="41" t="s">
        <v>1159</v>
      </c>
      <c r="K4" s="41" t="s">
        <v>557</v>
      </c>
      <c r="L4" s="41" t="s">
        <v>558</v>
      </c>
      <c r="M4" s="216" t="s">
        <v>1163</v>
      </c>
      <c r="N4" s="91" t="s">
        <v>1161</v>
      </c>
      <c r="O4" s="216" t="s">
        <v>1164</v>
      </c>
    </row>
    <row r="5" spans="1:28" ht="15.75" customHeight="1"/>
    <row r="6" spans="1:28" ht="15.75" customHeight="1"/>
    <row r="7" spans="1:28" ht="15.75" customHeight="1">
      <c r="K7" s="144"/>
    </row>
    <row r="8" spans="1:28" ht="15.75" customHeight="1"/>
    <row r="9" spans="1:28" ht="15.75" customHeight="1"/>
    <row r="10" spans="1:28" ht="15.75" customHeight="1"/>
    <row r="11" spans="1:28" ht="15.75" customHeight="1"/>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autoFilter ref="A1:M1" xr:uid="{3A2BB050-11AC-4ED7-A296-96B42C7FCFBA}"/>
  <dataValidations count="7">
    <dataValidation type="list" allowBlank="1" showErrorMessage="1" sqref="K2" xr:uid="{E4AA48BE-4580-46BC-822C-560E289F8DBD}">
      <formula1>"Open,Inprogress,Closed/Rejected"</formula1>
    </dataValidation>
    <dataValidation type="list" allowBlank="1" showErrorMessage="1" sqref="F2" xr:uid="{6ACAB26C-54B7-40D0-884B-ACD70DDA2D5C}">
      <formula1>"Bounceback/Sub-Defect,Defect,None"</formula1>
    </dataValidation>
    <dataValidation type="list" allowBlank="1" showErrorMessage="1" sqref="I2:I4" xr:uid="{7757B6D8-F6DC-4E1C-84FB-4F3B0717F19C}">
      <formula1>"Manual, Automation"</formula1>
    </dataValidation>
    <dataValidation type="list" allowBlank="1" showErrorMessage="1" sqref="F3:F4" xr:uid="{78EEDBD3-3DC9-4AF4-8286-E44496F46C58}">
      <formula1>"Bounceback,Defect,None"</formula1>
    </dataValidation>
    <dataValidation type="list" allowBlank="1" showErrorMessage="1" sqref="H2:H4" xr:uid="{93735547-7FED-4AE0-B078-B160CE4835FC}">
      <formula1>"Minor,Significant,Major"</formula1>
    </dataValidation>
    <dataValidation type="list" allowBlank="1" showErrorMessage="1" sqref="K3:K4" xr:uid="{4FB09D97-7434-4436-8D4C-4984B804D8E0}">
      <formula1>"Open,Inprogress,Closed"</formula1>
    </dataValidation>
    <dataValidation type="list" allowBlank="1" showErrorMessage="1" sqref="J2:J4" xr:uid="{A9152C0A-4931-4D18-8B9E-07D0C39806EC}">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BF87045E-EAFE-49D7-B392-8083C17FE882}">
          <x14:formula1>
            <xm:f>Details!$A$2:$A$10</xm:f>
          </x14:formula1>
          <xm:sqref>L2:L4</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814AA-A00D-4659-A2E8-9EA5F46D030B}">
  <dimension ref="A1:AB9"/>
  <sheetViews>
    <sheetView workbookViewId="0">
      <pane xSplit="7" ySplit="1" topLeftCell="H7" activePane="bottomRight" state="frozen"/>
      <selection pane="bottomRight"/>
      <selection pane="bottomLeft"/>
      <selection pane="topRight"/>
    </sheetView>
  </sheetViews>
  <sheetFormatPr defaultRowHeight="12.75"/>
  <cols>
    <col min="2" max="2" width="13.28515625" customWidth="1"/>
    <col min="3" max="3" width="10.7109375" customWidth="1"/>
    <col min="4" max="4" width="12.140625" customWidth="1"/>
    <col min="5" max="5" width="40.7109375" customWidth="1"/>
    <col min="6" max="6" width="21.140625" customWidth="1"/>
    <col min="7" max="7" width="18.85546875" customWidth="1"/>
    <col min="8" max="8" width="41.7109375" style="137" customWidth="1"/>
    <col min="9" max="9" width="16.85546875" customWidth="1"/>
    <col min="10" max="11" width="11.42578125" bestFit="1" customWidth="1"/>
    <col min="12" max="12" width="11.42578125" customWidth="1"/>
    <col min="13" max="13" width="13.140625" customWidth="1"/>
    <col min="14" max="14" width="13.42578125" style="144" customWidth="1"/>
    <col min="15" max="15" width="15.42578125" customWidth="1"/>
    <col min="16" max="16" width="16.42578125" customWidth="1"/>
    <col min="17" max="17" width="14.85546875" customWidth="1"/>
    <col min="18" max="18" width="24.42578125" style="144" customWidth="1"/>
    <col min="19" max="20" width="12.7109375" bestFit="1" customWidth="1"/>
    <col min="21" max="21" width="11.42578125" bestFit="1" customWidth="1"/>
    <col min="22" max="22" width="11.42578125" style="144" bestFit="1" customWidth="1"/>
    <col min="23" max="23" width="11.42578125" bestFit="1" customWidth="1"/>
    <col min="24" max="24" width="12.7109375" bestFit="1" customWidth="1"/>
    <col min="25" max="27" width="11.42578125" bestFit="1" customWidth="1"/>
    <col min="28" max="28" width="27.42578125" customWidth="1"/>
  </cols>
  <sheetData>
    <row r="1" spans="1:28" ht="47.25">
      <c r="A1" s="379" t="s">
        <v>248</v>
      </c>
      <c r="B1" s="404" t="s">
        <v>4</v>
      </c>
      <c r="C1" s="404" t="s">
        <v>2</v>
      </c>
      <c r="D1" s="404" t="s">
        <v>3</v>
      </c>
      <c r="E1" s="380" t="s">
        <v>249</v>
      </c>
      <c r="F1" s="381" t="s">
        <v>250</v>
      </c>
      <c r="G1" s="382" t="s">
        <v>251</v>
      </c>
      <c r="H1" s="383" t="s">
        <v>252</v>
      </c>
      <c r="I1" s="383" t="s">
        <v>253</v>
      </c>
      <c r="J1" s="384" t="s">
        <v>254</v>
      </c>
      <c r="K1" s="384" t="s">
        <v>255</v>
      </c>
      <c r="L1" s="384" t="s">
        <v>256</v>
      </c>
      <c r="M1" s="385" t="s">
        <v>259</v>
      </c>
      <c r="N1" s="385" t="s">
        <v>260</v>
      </c>
      <c r="O1" s="385" t="s">
        <v>261</v>
      </c>
      <c r="P1" s="385" t="s">
        <v>262</v>
      </c>
      <c r="Q1" s="385" t="s">
        <v>263</v>
      </c>
      <c r="R1" s="385" t="s">
        <v>264</v>
      </c>
      <c r="S1" s="385" t="s">
        <v>265</v>
      </c>
      <c r="T1" s="385" t="s">
        <v>266</v>
      </c>
      <c r="U1" s="385" t="s">
        <v>267</v>
      </c>
      <c r="V1" s="385" t="s">
        <v>268</v>
      </c>
      <c r="W1" s="385" t="s">
        <v>269</v>
      </c>
      <c r="X1" s="385" t="s">
        <v>270</v>
      </c>
      <c r="Y1" s="385" t="s">
        <v>271</v>
      </c>
      <c r="Z1" s="385" t="s">
        <v>272</v>
      </c>
      <c r="AA1" s="385" t="s">
        <v>273</v>
      </c>
      <c r="AB1" s="386" t="s">
        <v>274</v>
      </c>
    </row>
    <row r="2" spans="1:28" s="256" customFormat="1" ht="128.25" customHeight="1">
      <c r="A2" s="369">
        <v>1</v>
      </c>
      <c r="B2" s="444" t="str">
        <f>Dashboard!$J$1</f>
        <v>Donor Wave</v>
      </c>
      <c r="C2" s="445">
        <f ca="1">Dashboard!$F$1</f>
        <v>46149</v>
      </c>
      <c r="D2" s="445">
        <f ca="1">Dashboard!$H$1</f>
        <v>46163</v>
      </c>
      <c r="E2" s="257" t="s">
        <v>104</v>
      </c>
      <c r="F2" s="257" t="s">
        <v>448</v>
      </c>
      <c r="G2" s="250" t="s">
        <v>1165</v>
      </c>
      <c r="H2" s="90" t="s">
        <v>1166</v>
      </c>
      <c r="I2" s="474" t="s">
        <v>13</v>
      </c>
      <c r="J2" s="327">
        <v>1</v>
      </c>
      <c r="K2" s="327">
        <v>1</v>
      </c>
      <c r="L2" s="327">
        <v>35.25</v>
      </c>
      <c r="M2" s="229" t="s">
        <v>318</v>
      </c>
      <c r="N2" s="329" t="s">
        <v>1029</v>
      </c>
      <c r="O2" s="370" t="s">
        <v>320</v>
      </c>
      <c r="P2" s="229" t="s">
        <v>1035</v>
      </c>
      <c r="Q2" s="370" t="s">
        <v>320</v>
      </c>
      <c r="R2" s="271" t="s">
        <v>1167</v>
      </c>
      <c r="S2" s="373">
        <v>45729</v>
      </c>
      <c r="T2" s="373">
        <v>45730</v>
      </c>
      <c r="U2" s="370" t="s">
        <v>448</v>
      </c>
      <c r="V2" s="370" t="s">
        <v>320</v>
      </c>
      <c r="W2" s="327" t="s">
        <v>323</v>
      </c>
      <c r="X2" s="373">
        <v>45730</v>
      </c>
      <c r="Y2" s="370" t="s">
        <v>320</v>
      </c>
      <c r="Z2" s="327" t="s">
        <v>320</v>
      </c>
      <c r="AA2" s="327" t="s">
        <v>320</v>
      </c>
      <c r="AB2" s="390"/>
    </row>
    <row r="3" spans="1:28" s="256" customFormat="1" ht="128.25" customHeight="1">
      <c r="A3" s="369">
        <v>2</v>
      </c>
      <c r="B3" s="442" t="str">
        <f>Dashboard!$J$1</f>
        <v>Donor Wave</v>
      </c>
      <c r="C3" s="443">
        <f ca="1">Dashboard!$F$1</f>
        <v>46149</v>
      </c>
      <c r="D3" s="464">
        <f ca="1">Dashboard!$H$1</f>
        <v>46163</v>
      </c>
      <c r="E3" s="257" t="s">
        <v>104</v>
      </c>
      <c r="F3" s="257" t="s">
        <v>1168</v>
      </c>
      <c r="G3" s="203" t="s">
        <v>1169</v>
      </c>
      <c r="H3" s="461" t="s">
        <v>1170</v>
      </c>
      <c r="I3" s="466" t="s">
        <v>13</v>
      </c>
      <c r="J3" s="228">
        <v>2</v>
      </c>
      <c r="K3" s="369">
        <v>2</v>
      </c>
      <c r="L3" s="327">
        <v>16.75</v>
      </c>
      <c r="M3" s="229" t="s">
        <v>318</v>
      </c>
      <c r="N3" s="329" t="s">
        <v>1171</v>
      </c>
      <c r="O3" s="327" t="s">
        <v>320</v>
      </c>
      <c r="P3" s="250" t="s">
        <v>1035</v>
      </c>
      <c r="Q3" s="370" t="s">
        <v>320</v>
      </c>
      <c r="R3" s="200" t="s">
        <v>1172</v>
      </c>
      <c r="S3" s="372">
        <v>45733</v>
      </c>
      <c r="T3" s="373">
        <v>45734</v>
      </c>
      <c r="U3" s="327" t="s">
        <v>448</v>
      </c>
      <c r="V3" s="370" t="s">
        <v>320</v>
      </c>
      <c r="W3" s="327" t="s">
        <v>1173</v>
      </c>
      <c r="X3" s="373">
        <v>45734</v>
      </c>
      <c r="Y3" s="370" t="s">
        <v>320</v>
      </c>
      <c r="Z3" s="327" t="s">
        <v>320</v>
      </c>
      <c r="AA3" s="327" t="s">
        <v>320</v>
      </c>
      <c r="AB3" s="390"/>
    </row>
    <row r="4" spans="1:28" s="256" customFormat="1" ht="128.25" customHeight="1">
      <c r="A4" s="369">
        <v>3</v>
      </c>
      <c r="B4" s="442" t="str">
        <f>Dashboard!$J$1</f>
        <v>Donor Wave</v>
      </c>
      <c r="C4" s="443">
        <f ca="1">Dashboard!$F$1</f>
        <v>46149</v>
      </c>
      <c r="D4" s="464">
        <f ca="1">Dashboard!$H$1</f>
        <v>46163</v>
      </c>
      <c r="E4" s="257" t="s">
        <v>104</v>
      </c>
      <c r="F4" s="90" t="s">
        <v>1174</v>
      </c>
      <c r="G4" s="137" t="s">
        <v>1175</v>
      </c>
      <c r="H4" s="90" t="s">
        <v>1176</v>
      </c>
      <c r="I4" s="474" t="s">
        <v>13</v>
      </c>
      <c r="J4" s="181">
        <v>2</v>
      </c>
      <c r="K4" s="327">
        <v>2</v>
      </c>
      <c r="L4" s="327">
        <v>46.25</v>
      </c>
      <c r="M4" s="229" t="s">
        <v>318</v>
      </c>
      <c r="N4" s="329" t="s">
        <v>1029</v>
      </c>
      <c r="O4" s="327" t="s">
        <v>320</v>
      </c>
      <c r="P4" s="250" t="s">
        <v>1022</v>
      </c>
      <c r="Q4" s="352" t="s">
        <v>320</v>
      </c>
      <c r="R4" s="432" t="s">
        <v>1177</v>
      </c>
      <c r="S4" s="373">
        <v>45734</v>
      </c>
      <c r="T4" s="373">
        <v>45736</v>
      </c>
      <c r="U4" s="327" t="s">
        <v>448</v>
      </c>
      <c r="V4" s="370" t="s">
        <v>320</v>
      </c>
      <c r="W4" s="327" t="s">
        <v>1173</v>
      </c>
      <c r="X4" s="373">
        <v>45736</v>
      </c>
      <c r="Y4" s="370" t="s">
        <v>320</v>
      </c>
      <c r="Z4" s="327" t="s">
        <v>320</v>
      </c>
      <c r="AA4" s="327" t="s">
        <v>320</v>
      </c>
      <c r="AB4" s="390"/>
    </row>
    <row r="5" spans="1:28" s="256" customFormat="1" ht="128.25" customHeight="1">
      <c r="A5" s="369">
        <v>4</v>
      </c>
      <c r="B5" s="442" t="str">
        <f>Dashboard!$J$1</f>
        <v>Donor Wave</v>
      </c>
      <c r="C5" s="443">
        <f ca="1">Dashboard!$F$1</f>
        <v>46149</v>
      </c>
      <c r="D5" s="464">
        <f ca="1">Dashboard!$H$1</f>
        <v>46163</v>
      </c>
      <c r="E5" s="257" t="s">
        <v>104</v>
      </c>
      <c r="F5" s="461" t="s">
        <v>1178</v>
      </c>
      <c r="G5" s="229" t="s">
        <v>1179</v>
      </c>
      <c r="H5" s="461" t="s">
        <v>1180</v>
      </c>
      <c r="I5" s="439" t="s">
        <v>13</v>
      </c>
      <c r="J5" s="181">
        <v>8</v>
      </c>
      <c r="K5" s="181">
        <v>8</v>
      </c>
      <c r="L5" s="327">
        <v>99</v>
      </c>
      <c r="M5" s="229" t="s">
        <v>318</v>
      </c>
      <c r="N5" s="329" t="s">
        <v>1029</v>
      </c>
      <c r="O5" s="327" t="s">
        <v>320</v>
      </c>
      <c r="P5" s="250" t="s">
        <v>1132</v>
      </c>
      <c r="Q5" s="401" t="s">
        <v>320</v>
      </c>
      <c r="R5" s="432" t="s">
        <v>1181</v>
      </c>
      <c r="S5" s="373">
        <v>45741</v>
      </c>
      <c r="T5" s="373">
        <v>45742</v>
      </c>
      <c r="U5" s="327" t="s">
        <v>448</v>
      </c>
      <c r="V5" s="370" t="s">
        <v>1182</v>
      </c>
      <c r="W5" s="327" t="s">
        <v>1173</v>
      </c>
      <c r="X5" s="373">
        <v>45742</v>
      </c>
      <c r="Y5" s="370" t="s">
        <v>320</v>
      </c>
      <c r="Z5" s="327" t="s">
        <v>320</v>
      </c>
      <c r="AA5" s="327" t="s">
        <v>320</v>
      </c>
      <c r="AB5" s="390"/>
    </row>
    <row r="6" spans="1:28" s="256" customFormat="1" ht="128.25" customHeight="1">
      <c r="A6" s="369">
        <v>5</v>
      </c>
      <c r="B6" s="442" t="str">
        <f>Dashboard!$J$1</f>
        <v>Donor Wave</v>
      </c>
      <c r="C6" s="443">
        <f ca="1">Dashboard!$F$1</f>
        <v>46149</v>
      </c>
      <c r="D6" s="464">
        <f ca="1">Dashboard!$H$1</f>
        <v>46163</v>
      </c>
      <c r="E6" s="257" t="s">
        <v>104</v>
      </c>
      <c r="F6" s="256" t="s">
        <v>448</v>
      </c>
      <c r="G6" s="250" t="s">
        <v>1183</v>
      </c>
      <c r="H6" s="90" t="s">
        <v>1184</v>
      </c>
      <c r="I6" s="474" t="s">
        <v>13</v>
      </c>
      <c r="J6" s="181">
        <v>1</v>
      </c>
      <c r="K6" s="327">
        <v>11.5</v>
      </c>
      <c r="L6" s="327"/>
      <c r="M6" s="229"/>
      <c r="N6" s="329"/>
      <c r="O6" s="327"/>
      <c r="P6" s="229"/>
      <c r="Q6" s="462"/>
      <c r="R6" s="200"/>
      <c r="S6" s="372"/>
      <c r="T6" s="373"/>
      <c r="U6" s="327"/>
      <c r="V6" s="370"/>
      <c r="W6" s="327"/>
      <c r="X6" s="373"/>
      <c r="Y6" s="370"/>
      <c r="Z6" s="327"/>
      <c r="AA6" s="327"/>
      <c r="AB6" s="390"/>
    </row>
    <row r="7" spans="1:28" s="256" customFormat="1" ht="128.25" customHeight="1">
      <c r="A7" s="369">
        <v>6</v>
      </c>
      <c r="B7" s="442" t="str">
        <f>Dashboard!$J$1</f>
        <v>Donor Wave</v>
      </c>
      <c r="C7" s="443">
        <f ca="1">Dashboard!$F$1</f>
        <v>46149</v>
      </c>
      <c r="D7" s="464">
        <f ca="1">Dashboard!$H$1</f>
        <v>46163</v>
      </c>
      <c r="E7" s="257" t="s">
        <v>1185</v>
      </c>
      <c r="F7" s="62" t="s">
        <v>1168</v>
      </c>
      <c r="G7" s="431" t="s">
        <v>1186</v>
      </c>
      <c r="H7" s="478" t="s">
        <v>1187</v>
      </c>
      <c r="I7" s="476" t="s">
        <v>13</v>
      </c>
      <c r="J7" s="228">
        <v>2</v>
      </c>
      <c r="K7" s="369">
        <v>9.25</v>
      </c>
      <c r="L7" s="327"/>
      <c r="M7" s="229" t="s">
        <v>318</v>
      </c>
      <c r="N7" s="329" t="s">
        <v>1029</v>
      </c>
      <c r="O7" s="327" t="s">
        <v>320</v>
      </c>
      <c r="P7" s="250" t="s">
        <v>1022</v>
      </c>
      <c r="Q7" s="370" t="s">
        <v>320</v>
      </c>
      <c r="R7" s="470" t="s">
        <v>1181</v>
      </c>
      <c r="S7" s="372">
        <v>45741</v>
      </c>
      <c r="T7" s="373">
        <v>45742</v>
      </c>
      <c r="U7" s="327" t="s">
        <v>448</v>
      </c>
      <c r="V7" s="370" t="s">
        <v>320</v>
      </c>
      <c r="W7" s="327" t="s">
        <v>1173</v>
      </c>
      <c r="X7" s="373">
        <v>45742</v>
      </c>
      <c r="Y7" s="370" t="s">
        <v>320</v>
      </c>
      <c r="Z7" s="327" t="s">
        <v>320</v>
      </c>
      <c r="AA7" s="327" t="s">
        <v>320</v>
      </c>
      <c r="AB7" s="390"/>
    </row>
    <row r="8" spans="1:28" s="256" customFormat="1" ht="128.25" customHeight="1">
      <c r="A8" s="369">
        <v>7</v>
      </c>
      <c r="B8" s="442" t="str">
        <f>Dashboard!$J$1</f>
        <v>Donor Wave</v>
      </c>
      <c r="C8" s="443">
        <f ca="1">Dashboard!$F$1</f>
        <v>46149</v>
      </c>
      <c r="D8" s="464">
        <f ca="1">Dashboard!$H$1</f>
        <v>46163</v>
      </c>
      <c r="E8" s="257" t="s">
        <v>1185</v>
      </c>
      <c r="F8" s="256" t="s">
        <v>1188</v>
      </c>
      <c r="G8" s="250" t="s">
        <v>1189</v>
      </c>
      <c r="H8" s="376" t="s">
        <v>1190</v>
      </c>
      <c r="I8" s="467" t="s">
        <v>13</v>
      </c>
      <c r="J8" s="181">
        <v>3</v>
      </c>
      <c r="K8" s="327">
        <v>17.5</v>
      </c>
      <c r="L8" s="327"/>
      <c r="M8" s="229" t="s">
        <v>318</v>
      </c>
      <c r="N8" s="329" t="s">
        <v>1029</v>
      </c>
      <c r="O8" s="327" t="s">
        <v>320</v>
      </c>
      <c r="P8" s="250" t="s">
        <v>1035</v>
      </c>
      <c r="Q8" s="352" t="s">
        <v>320</v>
      </c>
      <c r="R8" s="432" t="s">
        <v>1191</v>
      </c>
      <c r="S8" s="373">
        <v>45742</v>
      </c>
      <c r="T8" s="373">
        <v>45743</v>
      </c>
      <c r="U8" s="327" t="s">
        <v>448</v>
      </c>
      <c r="V8" s="370" t="s">
        <v>320</v>
      </c>
      <c r="W8" s="327" t="s">
        <v>323</v>
      </c>
      <c r="X8" s="373">
        <v>45743</v>
      </c>
      <c r="Y8" s="370" t="s">
        <v>320</v>
      </c>
      <c r="Z8" s="327" t="s">
        <v>320</v>
      </c>
      <c r="AA8" s="327" t="s">
        <v>320</v>
      </c>
      <c r="AB8" s="390"/>
    </row>
    <row r="9" spans="1:28" ht="80.25" customHeight="1">
      <c r="A9" s="369">
        <v>8</v>
      </c>
      <c r="B9" s="369" t="str">
        <f>Dashboard!$J$1</f>
        <v>Donor Wave</v>
      </c>
      <c r="C9" s="372">
        <f ca="1">Dashboard!$F$1</f>
        <v>46149</v>
      </c>
      <c r="D9" s="430">
        <f ca="1">Dashboard!$H$1</f>
        <v>46163</v>
      </c>
      <c r="E9" s="203" t="s">
        <v>1185</v>
      </c>
      <c r="F9" s="203" t="s">
        <v>1035</v>
      </c>
      <c r="G9" s="203" t="s">
        <v>1146</v>
      </c>
      <c r="H9" s="268" t="s">
        <v>1147</v>
      </c>
      <c r="I9" s="469" t="s">
        <v>1192</v>
      </c>
      <c r="J9" s="228">
        <v>2</v>
      </c>
      <c r="K9" s="228">
        <v>19.25</v>
      </c>
      <c r="L9" s="369"/>
      <c r="M9" s="229" t="s">
        <v>318</v>
      </c>
      <c r="N9" s="329" t="s">
        <v>1029</v>
      </c>
      <c r="O9" s="327" t="s">
        <v>320</v>
      </c>
      <c r="P9" s="229" t="s">
        <v>1022</v>
      </c>
      <c r="Q9" t="s">
        <v>320</v>
      </c>
      <c r="R9" s="432" t="s">
        <v>1193</v>
      </c>
      <c r="S9" s="373">
        <v>45742</v>
      </c>
      <c r="T9" s="373">
        <v>45743</v>
      </c>
      <c r="U9" s="327" t="s">
        <v>448</v>
      </c>
      <c r="V9" s="370" t="s">
        <v>320</v>
      </c>
      <c r="W9" s="327" t="s">
        <v>323</v>
      </c>
      <c r="X9" s="373">
        <v>45743</v>
      </c>
      <c r="Y9" s="479" t="s">
        <v>1194</v>
      </c>
      <c r="Z9" s="327" t="s">
        <v>320</v>
      </c>
      <c r="AA9" s="327" t="s">
        <v>320</v>
      </c>
      <c r="AB9" s="388" t="s">
        <v>1195</v>
      </c>
    </row>
  </sheetData>
  <hyperlinks>
    <hyperlink ref="R9" r:id="rId1" xr:uid="{6FF5CC50-F5EA-4A3A-BD3B-5F8D7AD99BC2}"/>
    <hyperlink ref="R8" r:id="rId2" xr:uid="{D7EF6F4C-1FC8-452B-8E48-D08CC2A58586}"/>
    <hyperlink ref="R7" r:id="rId3" xr:uid="{9ECFB3B1-FB14-4281-9EE2-89AC0F4C3B45}"/>
    <hyperlink ref="R5" r:id="rId4" xr:uid="{87F3DB6E-58AB-4B2D-B916-A420FC8B9351}"/>
    <hyperlink ref="R4" r:id="rId5" xr:uid="{E1FB5CB4-691C-4764-8355-19ECA8CFC333}"/>
    <hyperlink ref="R3" r:id="rId6" xr:uid="{B7F00500-DB72-4A52-B3B4-928FE6502BB5}"/>
    <hyperlink ref="R2" r:id="rId7" display="https://greatergiving.visualstudio.com/Greater%20Giving/_git/OP/pullrequest/8310" xr:uid="{105B59BE-C424-40CE-B3E8-14ECE68BB423}"/>
  </hyperlinks>
  <pageMargins left="0.7" right="0.7" top="0.75" bottom="0.75" header="0.3" footer="0.3"/>
  <tableParts count="1">
    <tablePart r:id="rId8"/>
  </tableParts>
  <extLst>
    <ext xmlns:x14="http://schemas.microsoft.com/office/spreadsheetml/2009/9/main" uri="{CCE6A557-97BC-4b89-ADB6-D9C93CAAB3DF}">
      <x14:dataValidations xmlns:xm="http://schemas.microsoft.com/office/excel/2006/main" count="1">
        <x14:dataValidation type="list" allowBlank="1" showErrorMessage="1" xr:uid="{DF64EAD9-DA94-44FF-A1C7-EB8010B13234}">
          <x14:formula1>
            <xm:f>Settings!$C$3:$C$20</xm:f>
          </x14:formula1>
          <xm:sqref>I2:I9</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D2E03-B995-4594-A8ED-9CEF551922E8}">
  <sheetPr>
    <outlinePr summaryBelow="0" summaryRight="0"/>
  </sheetPr>
  <dimension ref="A1:AB989"/>
  <sheetViews>
    <sheetView topLeftCell="B3" workbookViewId="0">
      <selection activeCell="G13" sqref="G13"/>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41" customWidth="1"/>
  </cols>
  <sheetData>
    <row r="1" spans="1:28" ht="25.5">
      <c r="A1" s="434" t="s">
        <v>248</v>
      </c>
      <c r="B1" s="1" t="s">
        <v>305</v>
      </c>
      <c r="C1" s="198" t="s">
        <v>306</v>
      </c>
      <c r="D1" s="198" t="s">
        <v>307</v>
      </c>
      <c r="E1" s="1" t="s">
        <v>250</v>
      </c>
      <c r="F1" s="198" t="s">
        <v>308</v>
      </c>
      <c r="G1" s="198" t="s">
        <v>309</v>
      </c>
      <c r="H1" s="1" t="s">
        <v>310</v>
      </c>
      <c r="I1" s="1" t="s">
        <v>311</v>
      </c>
      <c r="J1" s="1" t="s">
        <v>312</v>
      </c>
      <c r="K1" s="1" t="s">
        <v>253</v>
      </c>
      <c r="L1" s="156" t="s">
        <v>313</v>
      </c>
      <c r="M1" s="8" t="s">
        <v>274</v>
      </c>
      <c r="N1" s="35"/>
      <c r="O1" s="35"/>
      <c r="P1" s="35"/>
      <c r="Q1" s="35"/>
      <c r="R1" s="35"/>
      <c r="S1" s="35"/>
      <c r="T1" s="35"/>
      <c r="U1" s="35"/>
      <c r="V1" s="35"/>
      <c r="W1" s="35"/>
      <c r="X1" s="35"/>
      <c r="Y1" s="35"/>
      <c r="Z1" s="35"/>
      <c r="AA1" s="35"/>
      <c r="AB1" s="35"/>
    </row>
    <row r="2" spans="1:28" ht="84" customHeight="1">
      <c r="B2" s="41"/>
      <c r="C2" s="452"/>
      <c r="D2" s="453"/>
      <c r="E2" s="203"/>
      <c r="F2" s="450"/>
      <c r="G2" s="90"/>
      <c r="H2" s="41"/>
      <c r="I2" s="451"/>
      <c r="J2" s="41"/>
      <c r="K2" s="451"/>
      <c r="L2" s="329"/>
      <c r="M2" s="216"/>
    </row>
    <row r="3" spans="1:28" ht="56.25" customHeight="1">
      <c r="B3" s="126"/>
      <c r="C3" s="477"/>
      <c r="D3" s="477"/>
      <c r="E3" s="126"/>
      <c r="F3" s="221"/>
      <c r="G3" s="305"/>
      <c r="H3" s="126"/>
      <c r="I3" s="126"/>
      <c r="J3" s="126"/>
      <c r="K3" s="126"/>
      <c r="L3" s="126"/>
      <c r="M3" s="333"/>
    </row>
    <row r="4" spans="1:28" ht="66.75" customHeight="1">
      <c r="B4" s="126"/>
      <c r="C4" s="477"/>
      <c r="D4" s="477"/>
      <c r="E4" s="126"/>
      <c r="F4" s="221"/>
      <c r="G4" s="305"/>
      <c r="H4" s="126"/>
      <c r="I4" s="126"/>
      <c r="J4" s="126"/>
      <c r="K4" s="126"/>
      <c r="L4" s="126"/>
      <c r="M4" s="333"/>
    </row>
    <row r="5" spans="1:28" ht="15.75" customHeight="1"/>
    <row r="6" spans="1:28" ht="15.75" customHeight="1"/>
    <row r="7" spans="1:28" ht="15.75" customHeight="1">
      <c r="K7" s="144"/>
    </row>
    <row r="8" spans="1:28" ht="15.75" customHeight="1"/>
    <row r="9" spans="1:28" ht="15.75" customHeight="1"/>
    <row r="10" spans="1:28" ht="15.75" customHeight="1"/>
    <row r="11" spans="1:28" ht="15.75" customHeight="1">
      <c r="N11" s="144"/>
    </row>
    <row r="12" spans="1:28" ht="15.75" customHeight="1"/>
    <row r="13" spans="1:28" ht="15.75" customHeight="1"/>
    <row r="14" spans="1:28" ht="15.75" customHeight="1"/>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autoFilter ref="A1:M1" xr:uid="{3A2BB050-11AC-4ED7-A296-96B42C7FCFBA}"/>
  <dataValidations count="7">
    <dataValidation type="list" allowBlank="1" showErrorMessage="1" sqref="J2:J3 J4" xr:uid="{34B4767B-BA34-4FB2-9B77-33D1F6CD6669}">
      <formula1>"Internal,External"</formula1>
    </dataValidation>
    <dataValidation type="list" allowBlank="1" showErrorMessage="1" sqref="K3 K4" xr:uid="{49EFBFF8-FA87-40F7-ACDA-D1F5C8092A9F}">
      <formula1>"Open,Inprogress,Closed"</formula1>
    </dataValidation>
    <dataValidation type="list" allowBlank="1" showErrorMessage="1" sqref="H2:H3 H4" xr:uid="{3CA6CED4-4024-4699-9EFD-1E89F64B305A}">
      <formula1>"Minor,Significant,Major"</formula1>
    </dataValidation>
    <dataValidation type="list" allowBlank="1" showErrorMessage="1" sqref="F3 F4" xr:uid="{C8A67A81-11B6-4031-BAF2-9478D1C42C8D}">
      <formula1>"Bounceback,Defect,None"</formula1>
    </dataValidation>
    <dataValidation type="list" allowBlank="1" showErrorMessage="1" sqref="I2:I3 I4" xr:uid="{A88DAA52-4DFD-4FA6-A7E0-10357C19A478}">
      <formula1>"Manual, Automation"</formula1>
    </dataValidation>
    <dataValidation type="list" allowBlank="1" showErrorMessage="1" sqref="F2" xr:uid="{44B9545D-8BA6-4F53-BB9C-2F47EB28C014}">
      <formula1>"Bounceback/Sub-Defect,Defect,None"</formula1>
    </dataValidation>
    <dataValidation type="list" allowBlank="1" showErrorMessage="1" sqref="K2" xr:uid="{76F95B4F-D071-4698-B795-6E300C6F3C4B}">
      <formula1>"Open,Inprogress,Closed/Rejected"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45620E30-3968-4977-944B-88E610CF03CA}">
          <x14:formula1>
            <xm:f>Details!$A$2:$A$10</xm:f>
          </x14:formula1>
          <xm:sqref>L2:L3 L4</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6148C-A8A6-4AA3-8103-2226AA325326}">
  <dimension ref="A1:AB6"/>
  <sheetViews>
    <sheetView workbookViewId="0">
      <pane xSplit="7" ySplit="1" topLeftCell="H2" activePane="bottomRight" state="frozen"/>
      <selection pane="bottomRight"/>
      <selection pane="bottomLeft"/>
      <selection pane="topRight"/>
    </sheetView>
  </sheetViews>
  <sheetFormatPr defaultRowHeight="12.75"/>
  <cols>
    <col min="2" max="2" width="13.28515625" customWidth="1"/>
    <col min="3" max="3" width="10.7109375" customWidth="1"/>
    <col min="4" max="4" width="12.140625" customWidth="1"/>
    <col min="5" max="5" width="40.7109375" customWidth="1"/>
    <col min="6" max="6" width="21.140625" customWidth="1"/>
    <col min="7" max="7" width="18.85546875" customWidth="1"/>
    <col min="8" max="8" width="41.7109375" style="137" customWidth="1"/>
    <col min="9" max="9" width="16.85546875" customWidth="1"/>
    <col min="10" max="11" width="11.42578125" bestFit="1" customWidth="1"/>
    <col min="12" max="12" width="11.42578125" customWidth="1"/>
    <col min="13" max="13" width="13.140625" customWidth="1"/>
    <col min="14" max="14" width="13.42578125" style="144" customWidth="1"/>
    <col min="15" max="15" width="15.42578125" customWidth="1"/>
    <col min="16" max="16" width="16.42578125" customWidth="1"/>
    <col min="17" max="17" width="14.85546875" customWidth="1"/>
    <col min="18" max="18" width="11.42578125" style="144" bestFit="1" customWidth="1"/>
    <col min="19" max="20" width="12.7109375" bestFit="1" customWidth="1"/>
    <col min="21" max="21" width="11.42578125" bestFit="1" customWidth="1"/>
    <col min="22" max="22" width="11.42578125" style="144" bestFit="1" customWidth="1"/>
    <col min="23" max="23" width="11.42578125" bestFit="1" customWidth="1"/>
    <col min="24" max="24" width="12.7109375" bestFit="1" customWidth="1"/>
    <col min="25" max="27" width="11.42578125" bestFit="1" customWidth="1"/>
    <col min="28" max="28" width="27.42578125" customWidth="1"/>
  </cols>
  <sheetData>
    <row r="1" spans="1:28" ht="47.25">
      <c r="A1" s="379" t="s">
        <v>248</v>
      </c>
      <c r="B1" s="404" t="s">
        <v>4</v>
      </c>
      <c r="C1" s="404" t="s">
        <v>2</v>
      </c>
      <c r="D1" s="404" t="s">
        <v>3</v>
      </c>
      <c r="E1" s="380" t="s">
        <v>249</v>
      </c>
      <c r="F1" s="381" t="s">
        <v>250</v>
      </c>
      <c r="G1" s="382" t="s">
        <v>251</v>
      </c>
      <c r="H1" s="383" t="s">
        <v>252</v>
      </c>
      <c r="I1" s="383" t="s">
        <v>253</v>
      </c>
      <c r="J1" s="384" t="s">
        <v>254</v>
      </c>
      <c r="K1" s="384" t="s">
        <v>255</v>
      </c>
      <c r="L1" s="384" t="s">
        <v>256</v>
      </c>
      <c r="M1" s="385" t="s">
        <v>259</v>
      </c>
      <c r="N1" s="385" t="s">
        <v>260</v>
      </c>
      <c r="O1" s="385" t="s">
        <v>261</v>
      </c>
      <c r="P1" s="385" t="s">
        <v>262</v>
      </c>
      <c r="Q1" s="385" t="s">
        <v>263</v>
      </c>
      <c r="R1" s="385" t="s">
        <v>264</v>
      </c>
      <c r="S1" s="385" t="s">
        <v>265</v>
      </c>
      <c r="T1" s="385" t="s">
        <v>266</v>
      </c>
      <c r="U1" s="385" t="s">
        <v>267</v>
      </c>
      <c r="V1" s="385" t="s">
        <v>268</v>
      </c>
      <c r="W1" s="385" t="s">
        <v>269</v>
      </c>
      <c r="X1" s="385" t="s">
        <v>270</v>
      </c>
      <c r="Y1" s="385" t="s">
        <v>271</v>
      </c>
      <c r="Z1" s="385" t="s">
        <v>272</v>
      </c>
      <c r="AA1" s="385" t="s">
        <v>273</v>
      </c>
      <c r="AB1" s="386" t="s">
        <v>274</v>
      </c>
    </row>
    <row r="2" spans="1:28" s="256" customFormat="1" ht="128.25" customHeight="1">
      <c r="A2" s="369">
        <v>1</v>
      </c>
      <c r="B2" s="444" t="str">
        <f>Dashboard!$J$1</f>
        <v>Donor Wave</v>
      </c>
      <c r="C2" s="445">
        <f ca="1">Dashboard!$F$1</f>
        <v>46149</v>
      </c>
      <c r="D2" s="445">
        <f ca="1">Dashboard!$H$1</f>
        <v>46163</v>
      </c>
      <c r="E2" s="257" t="s">
        <v>101</v>
      </c>
      <c r="F2" s="257" t="s">
        <v>1168</v>
      </c>
      <c r="G2" s="229" t="s">
        <v>1165</v>
      </c>
      <c r="H2" s="305" t="s">
        <v>1166</v>
      </c>
      <c r="I2" s="439" t="s">
        <v>283</v>
      </c>
      <c r="J2" s="327">
        <v>3</v>
      </c>
      <c r="K2" s="327"/>
      <c r="L2" s="327">
        <v>64</v>
      </c>
      <c r="M2" s="229"/>
      <c r="N2" s="329"/>
      <c r="O2" s="370"/>
      <c r="P2" s="229"/>
      <c r="Q2" s="370"/>
      <c r="R2" s="271"/>
      <c r="S2" s="373"/>
      <c r="T2" s="373"/>
      <c r="U2" s="370"/>
      <c r="V2" s="370"/>
      <c r="W2" s="327"/>
      <c r="X2" s="373"/>
      <c r="Y2" s="370"/>
      <c r="Z2" s="327"/>
      <c r="AA2" s="327"/>
      <c r="AB2" s="390" t="s">
        <v>1196</v>
      </c>
    </row>
    <row r="3" spans="1:28" s="256" customFormat="1" ht="128.25" customHeight="1">
      <c r="A3" s="369">
        <v>2</v>
      </c>
      <c r="B3" s="442" t="str">
        <f>Dashboard!$J$1</f>
        <v>Donor Wave</v>
      </c>
      <c r="C3" s="443">
        <f ca="1">Dashboard!$F$1</f>
        <v>46149</v>
      </c>
      <c r="D3" s="464">
        <f ca="1">Dashboard!$H$1</f>
        <v>46163</v>
      </c>
      <c r="E3" s="465" t="s">
        <v>101</v>
      </c>
      <c r="F3" s="62" t="s">
        <v>1035</v>
      </c>
      <c r="G3" s="431" t="s">
        <v>1197</v>
      </c>
      <c r="H3" s="90" t="s">
        <v>1198</v>
      </c>
      <c r="I3" s="467" t="s">
        <v>13</v>
      </c>
      <c r="J3" s="228">
        <v>3</v>
      </c>
      <c r="K3" s="369"/>
      <c r="L3" s="327">
        <v>51.5</v>
      </c>
      <c r="M3" s="229"/>
      <c r="N3" s="329"/>
      <c r="O3" s="327"/>
      <c r="P3" s="250"/>
      <c r="Q3" s="352"/>
      <c r="R3" s="200"/>
      <c r="S3" s="372"/>
      <c r="T3" s="373"/>
      <c r="U3" s="327"/>
      <c r="V3" s="370"/>
      <c r="W3" s="327"/>
      <c r="X3" s="373"/>
      <c r="Y3" s="370"/>
      <c r="Z3" s="327"/>
      <c r="AA3" s="327"/>
      <c r="AB3" s="390" t="s">
        <v>1199</v>
      </c>
    </row>
    <row r="4" spans="1:28" s="256" customFormat="1" ht="128.25" customHeight="1">
      <c r="A4" s="369">
        <v>3</v>
      </c>
      <c r="B4" s="442" t="str">
        <f>Dashboard!$J$1</f>
        <v>Donor Wave</v>
      </c>
      <c r="C4" s="443">
        <f ca="1">Dashboard!$F$1</f>
        <v>46149</v>
      </c>
      <c r="D4" s="464">
        <f ca="1">Dashboard!$H$1</f>
        <v>46163</v>
      </c>
      <c r="E4" s="257" t="s">
        <v>101</v>
      </c>
      <c r="F4" s="256" t="s">
        <v>1022</v>
      </c>
      <c r="G4" s="250" t="s">
        <v>1200</v>
      </c>
      <c r="H4" s="468" t="s">
        <v>1201</v>
      </c>
      <c r="I4" s="463" t="s">
        <v>13</v>
      </c>
      <c r="J4" s="469">
        <v>3</v>
      </c>
      <c r="K4" s="369">
        <v>3</v>
      </c>
      <c r="L4" s="327">
        <v>62</v>
      </c>
      <c r="M4" s="229" t="s">
        <v>318</v>
      </c>
      <c r="N4" s="329" t="s">
        <v>1029</v>
      </c>
      <c r="O4" s="370" t="s">
        <v>1202</v>
      </c>
      <c r="P4" s="250" t="s">
        <v>1035</v>
      </c>
      <c r="Q4" s="401" t="s">
        <v>320</v>
      </c>
      <c r="R4" s="470" t="s">
        <v>1203</v>
      </c>
      <c r="S4" s="360">
        <v>45727</v>
      </c>
      <c r="T4" s="360">
        <v>45728</v>
      </c>
      <c r="U4" s="369" t="s">
        <v>448</v>
      </c>
      <c r="V4" s="370" t="s">
        <v>1204</v>
      </c>
      <c r="W4" s="327" t="s">
        <v>323</v>
      </c>
      <c r="X4" s="373">
        <v>45728</v>
      </c>
      <c r="Y4" s="370" t="s">
        <v>320</v>
      </c>
      <c r="Z4" s="327" t="s">
        <v>320</v>
      </c>
      <c r="AA4" s="327" t="s">
        <v>320</v>
      </c>
      <c r="AB4" s="390"/>
    </row>
    <row r="5" spans="1:28" s="256" customFormat="1" ht="128.25" customHeight="1">
      <c r="A5" s="369">
        <v>4</v>
      </c>
      <c r="B5" s="442" t="str">
        <f>Dashboard!$J$1</f>
        <v>Donor Wave</v>
      </c>
      <c r="C5" s="443">
        <f ca="1">Dashboard!$F$1</f>
        <v>46149</v>
      </c>
      <c r="D5" s="464">
        <f ca="1">Dashboard!$H$1</f>
        <v>46163</v>
      </c>
      <c r="E5" s="257" t="s">
        <v>101</v>
      </c>
      <c r="F5" s="257" t="s">
        <v>1064</v>
      </c>
      <c r="G5" s="247" t="s">
        <v>1205</v>
      </c>
      <c r="H5" s="461" t="s">
        <v>1206</v>
      </c>
      <c r="I5" s="466" t="s">
        <v>13</v>
      </c>
      <c r="J5" s="228">
        <v>2</v>
      </c>
      <c r="K5" s="369"/>
      <c r="L5" s="327">
        <v>24.75</v>
      </c>
      <c r="M5" s="229"/>
      <c r="N5" s="329"/>
      <c r="O5" s="327"/>
      <c r="P5" s="250"/>
      <c r="Q5" s="401"/>
      <c r="R5" s="470"/>
      <c r="S5" s="471"/>
      <c r="T5" s="472"/>
      <c r="U5" s="327"/>
      <c r="V5" s="370"/>
      <c r="W5" s="327"/>
      <c r="X5" s="373"/>
      <c r="Y5" s="370"/>
      <c r="Z5" s="327"/>
      <c r="AA5" s="327"/>
      <c r="AB5" s="390" t="s">
        <v>1207</v>
      </c>
    </row>
    <row r="6" spans="1:28" s="256" customFormat="1" ht="128.25" customHeight="1">
      <c r="A6" s="369">
        <v>5</v>
      </c>
      <c r="B6" s="442" t="str">
        <f>Dashboard!$J$1</f>
        <v>Donor Wave</v>
      </c>
      <c r="C6" s="443">
        <f ca="1">Dashboard!$F$1</f>
        <v>46149</v>
      </c>
      <c r="D6" s="464">
        <f ca="1">Dashboard!$H$1</f>
        <v>46163</v>
      </c>
      <c r="E6" s="62" t="s">
        <v>101</v>
      </c>
      <c r="F6" s="62" t="s">
        <v>1035</v>
      </c>
      <c r="G6" s="247" t="s">
        <v>1208</v>
      </c>
      <c r="H6" s="461" t="s">
        <v>1209</v>
      </c>
      <c r="I6" s="439" t="s">
        <v>13</v>
      </c>
      <c r="J6" s="181">
        <v>3</v>
      </c>
      <c r="K6" s="327">
        <v>3</v>
      </c>
      <c r="L6" s="327">
        <v>39</v>
      </c>
      <c r="M6" s="229" t="s">
        <v>318</v>
      </c>
      <c r="N6" s="329" t="s">
        <v>1029</v>
      </c>
      <c r="O6" s="370" t="s">
        <v>1210</v>
      </c>
      <c r="P6" s="250" t="s">
        <v>1022</v>
      </c>
      <c r="Q6" s="401" t="s">
        <v>320</v>
      </c>
      <c r="R6" s="470" t="s">
        <v>1211</v>
      </c>
      <c r="S6" s="372">
        <v>45726</v>
      </c>
      <c r="T6" s="373">
        <v>45726</v>
      </c>
      <c r="U6" s="327" t="s">
        <v>448</v>
      </c>
      <c r="V6" s="370" t="s">
        <v>320</v>
      </c>
      <c r="W6" s="327" t="s">
        <v>323</v>
      </c>
      <c r="X6" s="373">
        <v>45726</v>
      </c>
      <c r="Y6" s="370" t="s">
        <v>320</v>
      </c>
      <c r="Z6" s="327" t="s">
        <v>320</v>
      </c>
      <c r="AA6" s="327" t="s">
        <v>320</v>
      </c>
      <c r="AB6" s="390"/>
    </row>
  </sheetData>
  <hyperlinks>
    <hyperlink ref="R6" r:id="rId1" xr:uid="{31948AC0-A334-491A-B0F7-58D446DAF9AF}"/>
    <hyperlink ref="R4" r:id="rId2" xr:uid="{42E91997-7323-4492-A89D-55BF3B8932A1}"/>
  </hyperlinks>
  <pageMargins left="0.7" right="0.7" top="0.75" bottom="0.75" header="0.3" footer="0.3"/>
  <tableParts count="1">
    <tablePart r:id="rId3"/>
  </tableParts>
  <extLst>
    <ext xmlns:x14="http://schemas.microsoft.com/office/spreadsheetml/2009/9/main" uri="{CCE6A557-97BC-4b89-ADB6-D9C93CAAB3DF}">
      <x14:dataValidations xmlns:xm="http://schemas.microsoft.com/office/excel/2006/main" count="1">
        <x14:dataValidation type="list" allowBlank="1" showErrorMessage="1" xr:uid="{B1FA1EF1-ADCD-4CC1-ABF1-9FEE8DFCB8CA}">
          <x14:formula1>
            <xm:f>Settings!$C$3:$C$20</xm:f>
          </x14:formula1>
          <xm:sqref>I2:I6</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583A8-4F15-4351-AA3F-CFADFBE75C25}">
  <sheetPr>
    <outlinePr summaryBelow="0" summaryRight="0"/>
  </sheetPr>
  <dimension ref="A1:AB992"/>
  <sheetViews>
    <sheetView topLeftCell="B1" workbookViewId="0">
      <selection activeCell="M2" sqref="M2"/>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29.85546875" customWidth="1"/>
  </cols>
  <sheetData>
    <row r="1" spans="1:28" ht="25.5">
      <c r="A1" s="434" t="s">
        <v>248</v>
      </c>
      <c r="B1" s="1" t="s">
        <v>305</v>
      </c>
      <c r="C1" s="198" t="s">
        <v>306</v>
      </c>
      <c r="D1" s="198" t="s">
        <v>307</v>
      </c>
      <c r="E1" s="1" t="s">
        <v>250</v>
      </c>
      <c r="F1" s="198" t="s">
        <v>308</v>
      </c>
      <c r="G1" s="198" t="s">
        <v>309</v>
      </c>
      <c r="H1" s="1" t="s">
        <v>310</v>
      </c>
      <c r="I1" s="1" t="s">
        <v>311</v>
      </c>
      <c r="J1" s="1" t="s">
        <v>312</v>
      </c>
      <c r="K1" s="1" t="s">
        <v>253</v>
      </c>
      <c r="L1" s="156" t="s">
        <v>313</v>
      </c>
      <c r="M1" s="8" t="s">
        <v>274</v>
      </c>
      <c r="N1" s="35"/>
      <c r="O1" s="35"/>
      <c r="P1" s="35"/>
      <c r="Q1" s="35"/>
      <c r="R1" s="35"/>
      <c r="S1" s="35"/>
      <c r="T1" s="35"/>
      <c r="U1" s="35"/>
      <c r="V1" s="35"/>
      <c r="W1" s="35"/>
      <c r="X1" s="35"/>
      <c r="Y1" s="35"/>
      <c r="Z1" s="35"/>
      <c r="AA1" s="35"/>
      <c r="AB1" s="35"/>
    </row>
    <row r="2" spans="1:28" ht="164.25" customHeight="1">
      <c r="B2" s="41" t="s">
        <v>101</v>
      </c>
      <c r="C2" s="452" t="s">
        <v>1165</v>
      </c>
      <c r="D2" s="475" t="s">
        <v>1212</v>
      </c>
      <c r="E2" s="203" t="s">
        <v>1022</v>
      </c>
      <c r="F2" s="185" t="s">
        <v>553</v>
      </c>
      <c r="G2" s="90" t="s">
        <v>1166</v>
      </c>
      <c r="H2" s="41" t="s">
        <v>560</v>
      </c>
      <c r="I2" s="41" t="s">
        <v>555</v>
      </c>
      <c r="J2" s="41" t="s">
        <v>1159</v>
      </c>
      <c r="K2" s="41" t="s">
        <v>589</v>
      </c>
      <c r="L2" s="329" t="s">
        <v>1213</v>
      </c>
      <c r="M2" s="90" t="s">
        <v>1214</v>
      </c>
    </row>
    <row r="3" spans="1:28" ht="144.75" customHeight="1">
      <c r="B3" s="41" t="s">
        <v>101</v>
      </c>
      <c r="C3" s="452" t="s">
        <v>1208</v>
      </c>
      <c r="D3" s="452" t="s">
        <v>1215</v>
      </c>
      <c r="E3" s="41" t="s">
        <v>1035</v>
      </c>
      <c r="F3" s="185" t="s">
        <v>553</v>
      </c>
      <c r="G3" s="90" t="s">
        <v>1209</v>
      </c>
      <c r="H3" s="41" t="s">
        <v>560</v>
      </c>
      <c r="I3" s="41" t="s">
        <v>555</v>
      </c>
      <c r="J3" s="41" t="s">
        <v>1159</v>
      </c>
      <c r="K3" s="41" t="s">
        <v>557</v>
      </c>
      <c r="L3" s="41" t="s">
        <v>558</v>
      </c>
      <c r="M3" s="316" t="s">
        <v>1216</v>
      </c>
    </row>
    <row r="4" spans="1:28" ht="15.75" customHeight="1">
      <c r="B4" s="41"/>
      <c r="C4" s="452"/>
      <c r="D4" s="452"/>
      <c r="E4" s="41"/>
      <c r="F4" s="185"/>
      <c r="G4" s="90"/>
      <c r="H4" s="41"/>
      <c r="I4" s="41"/>
      <c r="J4" s="41"/>
      <c r="K4" s="41"/>
      <c r="L4" s="41"/>
      <c r="M4" s="216"/>
    </row>
    <row r="5" spans="1:28" ht="56.25" customHeight="1">
      <c r="B5" s="41"/>
      <c r="C5" s="452"/>
      <c r="D5" s="452"/>
      <c r="E5" s="41"/>
      <c r="F5" s="185"/>
      <c r="G5" s="90"/>
      <c r="H5" s="41"/>
      <c r="I5" s="41"/>
      <c r="J5" s="41"/>
      <c r="K5" s="41"/>
      <c r="L5" s="41"/>
      <c r="M5" s="216"/>
    </row>
    <row r="6" spans="1:28" ht="15.75" customHeight="1"/>
    <row r="7" spans="1:28" ht="15.75" customHeight="1">
      <c r="F7" s="144"/>
    </row>
    <row r="8" spans="1:28" ht="15.75" customHeight="1"/>
    <row r="9" spans="1:28" ht="15.75" customHeight="1"/>
    <row r="10" spans="1:28" ht="15.75" customHeight="1">
      <c r="K10" s="144"/>
    </row>
    <row r="11" spans="1:28" ht="15.75" customHeight="1"/>
    <row r="12" spans="1:28" ht="15.75" customHeight="1"/>
    <row r="13" spans="1:28" ht="15.75" customHeight="1"/>
    <row r="14" spans="1:28" ht="15.75" customHeight="1">
      <c r="N14" s="144"/>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7">
    <dataValidation type="list" allowBlank="1" showErrorMessage="1" sqref="K2" xr:uid="{6A7260DF-10B2-4209-851B-D79D787253E6}">
      <formula1>"Open,Inprogress,Closed/Rejected"</formula1>
    </dataValidation>
    <dataValidation type="list" allowBlank="1" showErrorMessage="1" sqref="I2:I5" xr:uid="{059DF5CA-B150-441C-8D26-5DEFECA0EB55}">
      <formula1>"Manual, Automation"</formula1>
    </dataValidation>
    <dataValidation type="list" allowBlank="1" showErrorMessage="1" sqref="F2" xr:uid="{9F1241FD-4003-4D6F-8E4F-F22FBDEEB1DA}">
      <formula1>"Bounceback/Sub-Defect,Defect,None"</formula1>
    </dataValidation>
    <dataValidation type="list" allowBlank="1" showErrorMessage="1" sqref="F3:F5" xr:uid="{2489FBC1-949F-41C1-9ACB-E37A560FF165}">
      <formula1>"Bounceback,Defect,None"</formula1>
    </dataValidation>
    <dataValidation type="list" allowBlank="1" showErrorMessage="1" sqref="H2:H5" xr:uid="{B3BA9C87-458C-4DF8-8264-1A0194087444}">
      <formula1>"Minor,Significant,Major"</formula1>
    </dataValidation>
    <dataValidation type="list" allowBlank="1" showErrorMessage="1" sqref="K3:K5" xr:uid="{CE6F35E9-4446-4DFC-9274-50E1E179D5E2}">
      <formula1>"Open,Inprogress,Closed"</formula1>
    </dataValidation>
    <dataValidation type="list" allowBlank="1" showErrorMessage="1" sqref="J2:J5" xr:uid="{4F8ECCEA-7C38-42D4-A55F-651963A9CFE9}">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40563C5D-E664-4470-A98E-24ECB504645E}">
          <x14:formula1>
            <xm:f>Details!$A$2:$A$10</xm:f>
          </x14:formula1>
          <xm:sqref>L2:L5</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50595-60E7-403B-A611-173E6418A81E}">
  <dimension ref="A1:AB9"/>
  <sheetViews>
    <sheetView workbookViewId="0">
      <pane xSplit="7" ySplit="1" topLeftCell="H5" activePane="bottomRight" state="frozen"/>
      <selection pane="bottomRight"/>
      <selection pane="bottomLeft"/>
      <selection pane="topRight"/>
    </sheetView>
  </sheetViews>
  <sheetFormatPr defaultRowHeight="12.75"/>
  <cols>
    <col min="2" max="2" width="13.28515625" customWidth="1"/>
    <col min="3" max="3" width="10.7109375" customWidth="1"/>
    <col min="4" max="4" width="12.140625" customWidth="1"/>
    <col min="5" max="5" width="40.7109375" customWidth="1"/>
    <col min="6" max="6" width="21.140625" customWidth="1"/>
    <col min="7" max="7" width="18.85546875" customWidth="1"/>
    <col min="8" max="8" width="41.7109375" style="137" customWidth="1"/>
    <col min="9" max="9" width="16.85546875" customWidth="1"/>
    <col min="10" max="11" width="11.42578125" bestFit="1" customWidth="1"/>
    <col min="12" max="12" width="11.42578125" customWidth="1"/>
    <col min="13" max="13" width="13.140625" customWidth="1"/>
    <col min="14" max="14" width="13.42578125" style="144" customWidth="1"/>
    <col min="15" max="15" width="15.42578125" customWidth="1"/>
    <col min="16" max="16" width="16.42578125" customWidth="1"/>
    <col min="17" max="17" width="14.85546875" customWidth="1"/>
    <col min="18" max="18" width="11.42578125" style="144" bestFit="1" customWidth="1"/>
    <col min="19" max="20" width="12.7109375" bestFit="1" customWidth="1"/>
    <col min="21" max="21" width="11.42578125" bestFit="1" customWidth="1"/>
    <col min="22" max="22" width="11.42578125" style="144" bestFit="1" customWidth="1"/>
    <col min="23" max="23" width="11.42578125" bestFit="1" customWidth="1"/>
    <col min="24" max="24" width="12.7109375" bestFit="1" customWidth="1"/>
    <col min="25" max="27" width="11.42578125" bestFit="1" customWidth="1"/>
    <col min="28" max="28" width="27.42578125" customWidth="1"/>
  </cols>
  <sheetData>
    <row r="1" spans="1:28" ht="47.25">
      <c r="A1" s="379" t="s">
        <v>248</v>
      </c>
      <c r="B1" s="404" t="s">
        <v>4</v>
      </c>
      <c r="C1" s="404" t="s">
        <v>2</v>
      </c>
      <c r="D1" s="404" t="s">
        <v>3</v>
      </c>
      <c r="E1" s="380" t="s">
        <v>249</v>
      </c>
      <c r="F1" s="381" t="s">
        <v>250</v>
      </c>
      <c r="G1" s="382" t="s">
        <v>251</v>
      </c>
      <c r="H1" s="383" t="s">
        <v>252</v>
      </c>
      <c r="I1" s="383" t="s">
        <v>253</v>
      </c>
      <c r="J1" s="384" t="s">
        <v>254</v>
      </c>
      <c r="K1" s="384" t="s">
        <v>255</v>
      </c>
      <c r="L1" s="384" t="s">
        <v>256</v>
      </c>
      <c r="M1" s="385" t="s">
        <v>259</v>
      </c>
      <c r="N1" s="385" t="s">
        <v>260</v>
      </c>
      <c r="O1" s="385" t="s">
        <v>261</v>
      </c>
      <c r="P1" s="385" t="s">
        <v>262</v>
      </c>
      <c r="Q1" s="385" t="s">
        <v>263</v>
      </c>
      <c r="R1" s="385" t="s">
        <v>264</v>
      </c>
      <c r="S1" s="385" t="s">
        <v>265</v>
      </c>
      <c r="T1" s="385" t="s">
        <v>266</v>
      </c>
      <c r="U1" s="385" t="s">
        <v>267</v>
      </c>
      <c r="V1" s="385" t="s">
        <v>268</v>
      </c>
      <c r="W1" s="385" t="s">
        <v>269</v>
      </c>
      <c r="X1" s="385" t="s">
        <v>270</v>
      </c>
      <c r="Y1" s="385" t="s">
        <v>271</v>
      </c>
      <c r="Z1" s="385" t="s">
        <v>272</v>
      </c>
      <c r="AA1" s="385" t="s">
        <v>273</v>
      </c>
      <c r="AB1" s="386" t="s">
        <v>274</v>
      </c>
    </row>
    <row r="2" spans="1:28" s="256" customFormat="1" ht="128.25" customHeight="1">
      <c r="A2" s="369">
        <v>1</v>
      </c>
      <c r="B2" s="444" t="str">
        <f>Dashboard!$J$1</f>
        <v>Donor Wave</v>
      </c>
      <c r="C2" s="445">
        <f ca="1">Dashboard!$F$1</f>
        <v>46149</v>
      </c>
      <c r="D2" s="445">
        <f ca="1">Dashboard!$H$1</f>
        <v>46163</v>
      </c>
      <c r="E2" s="257" t="s">
        <v>97</v>
      </c>
      <c r="F2" s="257" t="s">
        <v>1022</v>
      </c>
      <c r="G2" s="229" t="s">
        <v>1217</v>
      </c>
      <c r="H2" s="305" t="s">
        <v>1218</v>
      </c>
      <c r="I2" s="439" t="s">
        <v>13</v>
      </c>
      <c r="J2" s="327">
        <v>2</v>
      </c>
      <c r="K2" s="327">
        <v>5</v>
      </c>
      <c r="L2" s="327">
        <v>19.75</v>
      </c>
      <c r="M2" s="229" t="s">
        <v>318</v>
      </c>
      <c r="N2" s="329" t="s">
        <v>1029</v>
      </c>
      <c r="O2" s="370" t="s">
        <v>320</v>
      </c>
      <c r="P2" s="229" t="s">
        <v>1035</v>
      </c>
      <c r="Q2" s="370" t="s">
        <v>320</v>
      </c>
      <c r="R2" s="271" t="s">
        <v>1219</v>
      </c>
      <c r="S2" s="373">
        <v>45705</v>
      </c>
      <c r="T2" s="373">
        <v>45708</v>
      </c>
      <c r="U2" s="370" t="s">
        <v>322</v>
      </c>
      <c r="V2" s="370" t="s">
        <v>320</v>
      </c>
      <c r="W2" s="327" t="s">
        <v>323</v>
      </c>
      <c r="X2" s="373">
        <v>45708</v>
      </c>
      <c r="Y2" s="370" t="s">
        <v>320</v>
      </c>
      <c r="Z2" s="327" t="s">
        <v>320</v>
      </c>
      <c r="AA2" s="327" t="s">
        <v>320</v>
      </c>
      <c r="AB2" s="390"/>
    </row>
    <row r="3" spans="1:28" ht="93">
      <c r="A3" s="369">
        <v>2</v>
      </c>
      <c r="B3" s="442" t="str">
        <f>Dashboard!$J$1</f>
        <v>Donor Wave</v>
      </c>
      <c r="C3" s="443">
        <f ca="1">Dashboard!$F$1</f>
        <v>46149</v>
      </c>
      <c r="D3" s="443">
        <f ca="1">Dashboard!$H$1</f>
        <v>46163</v>
      </c>
      <c r="E3" s="257" t="s">
        <v>97</v>
      </c>
      <c r="F3" s="257" t="s">
        <v>1035</v>
      </c>
      <c r="G3" s="229" t="s">
        <v>1220</v>
      </c>
      <c r="H3" s="305" t="s">
        <v>1221</v>
      </c>
      <c r="I3" s="439" t="s">
        <v>13</v>
      </c>
      <c r="J3" s="327">
        <v>3</v>
      </c>
      <c r="K3" s="327">
        <v>8</v>
      </c>
      <c r="L3" s="327">
        <v>32</v>
      </c>
      <c r="M3" s="229" t="s">
        <v>318</v>
      </c>
      <c r="N3" s="329" t="s">
        <v>1029</v>
      </c>
      <c r="O3" s="327" t="s">
        <v>320</v>
      </c>
      <c r="P3" s="229" t="s">
        <v>1022</v>
      </c>
      <c r="Q3" s="370" t="s">
        <v>320</v>
      </c>
      <c r="R3" s="271" t="s">
        <v>1222</v>
      </c>
      <c r="S3" s="373">
        <v>45707</v>
      </c>
      <c r="T3" s="373">
        <v>45708</v>
      </c>
      <c r="U3" s="327" t="s">
        <v>322</v>
      </c>
      <c r="V3" s="370" t="s">
        <v>320</v>
      </c>
      <c r="W3" s="327" t="s">
        <v>323</v>
      </c>
      <c r="X3" s="373">
        <v>45708</v>
      </c>
      <c r="Y3" s="370" t="s">
        <v>320</v>
      </c>
      <c r="Z3" s="327" t="s">
        <v>320</v>
      </c>
      <c r="AA3" s="327" t="s">
        <v>320</v>
      </c>
      <c r="AB3" s="390"/>
    </row>
    <row r="4" spans="1:28" ht="24">
      <c r="A4" s="369">
        <v>3</v>
      </c>
      <c r="B4" s="442" t="str">
        <f>Dashboard!$J$1</f>
        <v>Donor Wave</v>
      </c>
      <c r="C4" s="443">
        <f ca="1">Dashboard!$F$1</f>
        <v>46149</v>
      </c>
      <c r="D4" s="443">
        <f ca="1">Dashboard!$H$1</f>
        <v>46163</v>
      </c>
      <c r="E4" s="257" t="s">
        <v>97</v>
      </c>
      <c r="F4" s="257" t="s">
        <v>322</v>
      </c>
      <c r="G4" s="229" t="s">
        <v>1223</v>
      </c>
      <c r="H4" s="305" t="s">
        <v>1224</v>
      </c>
      <c r="I4" s="439" t="s">
        <v>278</v>
      </c>
      <c r="J4" s="327">
        <v>3</v>
      </c>
      <c r="K4" s="327">
        <v>5.5</v>
      </c>
      <c r="L4" s="327">
        <v>22</v>
      </c>
      <c r="M4" s="229"/>
      <c r="N4" s="329"/>
      <c r="O4" s="327"/>
      <c r="P4" s="229"/>
      <c r="Q4" s="370"/>
      <c r="R4" s="271"/>
      <c r="S4" s="373"/>
      <c r="T4" s="373"/>
      <c r="U4" s="327"/>
      <c r="V4" s="370"/>
      <c r="W4" s="327"/>
      <c r="X4" s="373"/>
      <c r="Y4" s="370"/>
      <c r="Z4" s="327"/>
      <c r="AA4" s="327"/>
      <c r="AB4" s="390" t="s">
        <v>1225</v>
      </c>
    </row>
    <row r="5" spans="1:28" ht="46.5">
      <c r="A5" s="369">
        <v>4</v>
      </c>
      <c r="B5" s="442" t="str">
        <f>Dashboard!$J$1</f>
        <v>Donor Wave</v>
      </c>
      <c r="C5" s="443">
        <f ca="1">Dashboard!$F$1</f>
        <v>46149</v>
      </c>
      <c r="D5" s="443">
        <f ca="1">Dashboard!$H$1</f>
        <v>46163</v>
      </c>
      <c r="E5" s="257" t="s">
        <v>1226</v>
      </c>
      <c r="F5" s="257" t="s">
        <v>1227</v>
      </c>
      <c r="G5" s="329" t="s">
        <v>1228</v>
      </c>
      <c r="H5" s="305" t="s">
        <v>1166</v>
      </c>
      <c r="I5" s="439" t="s">
        <v>278</v>
      </c>
      <c r="J5" s="327">
        <v>3</v>
      </c>
      <c r="K5" s="327">
        <v>19.5</v>
      </c>
      <c r="L5" s="327">
        <v>78</v>
      </c>
      <c r="M5" s="229"/>
      <c r="N5" s="329"/>
      <c r="O5" s="327"/>
      <c r="P5" s="229"/>
      <c r="Q5" s="370"/>
      <c r="R5" s="271"/>
      <c r="S5" s="373"/>
      <c r="T5" s="373"/>
      <c r="U5" s="327"/>
      <c r="V5" s="370"/>
      <c r="W5" s="327"/>
      <c r="X5" s="373"/>
      <c r="Y5" s="370"/>
      <c r="Z5" s="327"/>
      <c r="AA5" s="327"/>
      <c r="AB5" s="390" t="s">
        <v>1229</v>
      </c>
    </row>
    <row r="6" spans="1:28" ht="93">
      <c r="A6" s="369">
        <v>5</v>
      </c>
      <c r="B6" s="442" t="str">
        <f>Dashboard!$J$1</f>
        <v>Donor Wave</v>
      </c>
      <c r="C6" s="443">
        <f ca="1">Dashboard!$F$1</f>
        <v>46149</v>
      </c>
      <c r="D6" s="443">
        <f ca="1">Dashboard!$H$1</f>
        <v>46163</v>
      </c>
      <c r="E6" s="257" t="s">
        <v>1226</v>
      </c>
      <c r="F6" s="257" t="s">
        <v>1035</v>
      </c>
      <c r="G6" s="229" t="s">
        <v>1230</v>
      </c>
      <c r="H6" s="305" t="s">
        <v>1231</v>
      </c>
      <c r="I6" s="439" t="s">
        <v>13</v>
      </c>
      <c r="J6" s="327">
        <v>1</v>
      </c>
      <c r="K6" s="327">
        <v>1</v>
      </c>
      <c r="L6" s="327">
        <v>5.5</v>
      </c>
      <c r="M6" s="229" t="s">
        <v>318</v>
      </c>
      <c r="N6" s="329" t="s">
        <v>1022</v>
      </c>
      <c r="O6" s="327" t="s">
        <v>320</v>
      </c>
      <c r="P6" s="229" t="s">
        <v>1022</v>
      </c>
      <c r="Q6" s="370" t="s">
        <v>320</v>
      </c>
      <c r="R6" s="271" t="s">
        <v>1232</v>
      </c>
      <c r="S6" s="373">
        <v>45708</v>
      </c>
      <c r="T6" s="373">
        <v>45708</v>
      </c>
      <c r="U6" s="327" t="s">
        <v>322</v>
      </c>
      <c r="V6" s="370" t="s">
        <v>320</v>
      </c>
      <c r="W6" s="327" t="s">
        <v>323</v>
      </c>
      <c r="X6" s="373">
        <v>45708</v>
      </c>
      <c r="Y6" s="370" t="s">
        <v>350</v>
      </c>
      <c r="Z6" s="327" t="s">
        <v>320</v>
      </c>
      <c r="AA6" s="327" t="s">
        <v>320</v>
      </c>
      <c r="AB6" s="390"/>
    </row>
    <row r="7" spans="1:28" ht="24">
      <c r="A7" s="369">
        <v>6</v>
      </c>
      <c r="B7" s="442" t="str">
        <f>Dashboard!$J$1</f>
        <v>Donor Wave</v>
      </c>
      <c r="C7" s="443">
        <f ca="1">Dashboard!$F$1</f>
        <v>46149</v>
      </c>
      <c r="D7" s="443">
        <f ca="1">Dashboard!$H$1</f>
        <v>46163</v>
      </c>
      <c r="E7" s="257" t="s">
        <v>1226</v>
      </c>
      <c r="F7" s="305" t="s">
        <v>1233</v>
      </c>
      <c r="G7" s="229" t="s">
        <v>1234</v>
      </c>
      <c r="H7" s="305" t="s">
        <v>1235</v>
      </c>
      <c r="I7" s="439" t="s">
        <v>13</v>
      </c>
      <c r="J7" s="327">
        <v>1</v>
      </c>
      <c r="K7" s="327">
        <v>1</v>
      </c>
      <c r="L7" s="327">
        <v>12</v>
      </c>
      <c r="M7" s="229"/>
      <c r="N7" s="329"/>
      <c r="O7" s="327"/>
      <c r="P7" s="229"/>
      <c r="Q7" s="370"/>
      <c r="R7" s="271"/>
      <c r="S7" s="373"/>
      <c r="T7" s="373"/>
      <c r="U7" s="327"/>
      <c r="V7" s="370"/>
      <c r="W7" s="327"/>
      <c r="X7" s="373"/>
      <c r="Y7" s="370"/>
      <c r="Z7" s="327"/>
      <c r="AA7" s="327"/>
      <c r="AB7" s="390"/>
    </row>
    <row r="8" spans="1:28" ht="24">
      <c r="A8" s="369">
        <v>7</v>
      </c>
      <c r="B8" s="442" t="str">
        <f>Dashboard!$J$1</f>
        <v>Donor Wave</v>
      </c>
      <c r="C8" s="443">
        <f ca="1">Dashboard!$F$1</f>
        <v>46149</v>
      </c>
      <c r="D8" s="443">
        <f ca="1">Dashboard!$H$1</f>
        <v>46163</v>
      </c>
      <c r="E8" s="256" t="s">
        <v>97</v>
      </c>
      <c r="F8" s="461" t="s">
        <v>1233</v>
      </c>
      <c r="G8" s="229" t="s">
        <v>1236</v>
      </c>
      <c r="H8" s="461" t="s">
        <v>1237</v>
      </c>
      <c r="I8" s="439" t="s">
        <v>13</v>
      </c>
      <c r="J8" s="181">
        <v>1</v>
      </c>
      <c r="K8" s="327">
        <v>1</v>
      </c>
      <c r="L8" s="327">
        <v>8.25</v>
      </c>
      <c r="M8" s="229"/>
      <c r="N8" s="329"/>
      <c r="O8" s="327"/>
      <c r="P8" s="229"/>
      <c r="Q8" s="462"/>
      <c r="R8" s="432"/>
      <c r="S8" s="373"/>
      <c r="T8" s="373"/>
      <c r="U8" s="327"/>
      <c r="V8" s="370"/>
      <c r="W8" s="327"/>
      <c r="X8" s="373"/>
      <c r="Y8" s="370"/>
      <c r="Z8" s="327"/>
      <c r="AA8" s="327"/>
      <c r="AB8" s="390"/>
    </row>
    <row r="9" spans="1:28">
      <c r="A9" s="369">
        <v>8</v>
      </c>
      <c r="B9" s="442" t="str">
        <f>Dashboard!$J$1</f>
        <v>Donor Wave</v>
      </c>
      <c r="C9" s="443">
        <f ca="1">Dashboard!$F$1</f>
        <v>46149</v>
      </c>
      <c r="D9" s="443">
        <f ca="1">Dashboard!$H$1</f>
        <v>46163</v>
      </c>
      <c r="E9" s="256" t="s">
        <v>1226</v>
      </c>
      <c r="F9" s="461" t="s">
        <v>322</v>
      </c>
      <c r="G9" s="229" t="s">
        <v>1238</v>
      </c>
      <c r="H9" s="461" t="s">
        <v>1184</v>
      </c>
      <c r="I9" s="439" t="s">
        <v>13</v>
      </c>
      <c r="J9" s="181">
        <v>1</v>
      </c>
      <c r="K9" s="327">
        <v>1</v>
      </c>
      <c r="L9" s="327">
        <v>6</v>
      </c>
      <c r="M9" s="229"/>
      <c r="N9" s="329"/>
      <c r="O9" s="327"/>
      <c r="P9" s="229"/>
      <c r="Q9" s="462"/>
      <c r="R9" s="432"/>
      <c r="S9" s="373"/>
      <c r="T9" s="373"/>
      <c r="U9" s="327"/>
      <c r="V9" s="370"/>
      <c r="W9" s="327"/>
      <c r="X9" s="373"/>
      <c r="Y9" s="370"/>
      <c r="Z9" s="327"/>
      <c r="AA9" s="327"/>
      <c r="AB9" s="390"/>
    </row>
  </sheetData>
  <hyperlinks>
    <hyperlink ref="R2" r:id="rId1" xr:uid="{58FA7531-B2B8-4194-A19C-12C7AABFD032}"/>
    <hyperlink ref="R3" r:id="rId2" xr:uid="{87D51682-DCA5-4A0F-8DCF-D0C28377AD7C}"/>
    <hyperlink ref="R6" r:id="rId3" xr:uid="{7A0B3F87-2E23-41E0-8538-9332E01ABAA9}"/>
  </hyperlinks>
  <pageMargins left="0.7" right="0.7" top="0.75" bottom="0.75" header="0.3" footer="0.3"/>
  <tableParts count="1">
    <tablePart r:id="rId4"/>
  </tableParts>
  <extLst>
    <ext xmlns:x14="http://schemas.microsoft.com/office/spreadsheetml/2009/9/main" uri="{CCE6A557-97BC-4b89-ADB6-D9C93CAAB3DF}">
      <x14:dataValidations xmlns:xm="http://schemas.microsoft.com/office/excel/2006/main" count="1">
        <x14:dataValidation type="list" allowBlank="1" showErrorMessage="1" xr:uid="{FB2FA160-5F03-4442-BB61-D22A3C882D03}">
          <x14:formula1>
            <xm:f>Settings!$C$3:$C$20</xm:f>
          </x14:formula1>
          <xm:sqref>I2:I9</xm:sqref>
        </x14:dataValidation>
      </x14:dataValidations>
    </ext>
  </extLs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1C342-1C61-4D22-9BE1-FFB813ACEAF5}">
  <sheetPr>
    <outlinePr summaryBelow="0" summaryRight="0"/>
  </sheetPr>
  <dimension ref="A1:AB992"/>
  <sheetViews>
    <sheetView topLeftCell="B1" workbookViewId="0">
      <selection activeCell="M5" sqref="M5"/>
    </sheetView>
  </sheetViews>
  <sheetFormatPr defaultColWidth="12.5703125" defaultRowHeight="15" customHeight="1"/>
  <cols>
    <col min="1" max="1" width="12.5703125" hidden="1" customWidth="1"/>
    <col min="2" max="2" width="21.42578125" customWidth="1"/>
    <col min="3" max="3" width="23.5703125" customWidth="1"/>
    <col min="4"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14.140625" customWidth="1"/>
  </cols>
  <sheetData>
    <row r="1" spans="1:28" ht="25.5">
      <c r="A1" s="434" t="s">
        <v>248</v>
      </c>
      <c r="B1" s="1" t="s">
        <v>305</v>
      </c>
      <c r="C1" s="198" t="s">
        <v>306</v>
      </c>
      <c r="D1" s="198" t="s">
        <v>307</v>
      </c>
      <c r="E1" s="1" t="s">
        <v>250</v>
      </c>
      <c r="F1" s="198" t="s">
        <v>308</v>
      </c>
      <c r="G1" s="198" t="s">
        <v>309</v>
      </c>
      <c r="H1" s="1" t="s">
        <v>310</v>
      </c>
      <c r="I1" s="1" t="s">
        <v>311</v>
      </c>
      <c r="J1" s="1" t="s">
        <v>312</v>
      </c>
      <c r="K1" s="1" t="s">
        <v>253</v>
      </c>
      <c r="L1" s="156" t="s">
        <v>313</v>
      </c>
      <c r="M1" s="8" t="s">
        <v>274</v>
      </c>
      <c r="N1" s="35"/>
      <c r="O1" s="35"/>
      <c r="P1" s="35"/>
      <c r="Q1" s="35"/>
      <c r="R1" s="35"/>
      <c r="S1" s="35"/>
      <c r="T1" s="35"/>
      <c r="U1" s="35"/>
      <c r="V1" s="35"/>
      <c r="W1" s="35"/>
      <c r="X1" s="35"/>
      <c r="Y1" s="35"/>
      <c r="Z1" s="35"/>
      <c r="AA1" s="35"/>
      <c r="AB1" s="35"/>
    </row>
    <row r="2" spans="1:28" ht="95.25" customHeight="1">
      <c r="B2" s="41" t="s">
        <v>97</v>
      </c>
      <c r="C2" s="452" t="s">
        <v>1220</v>
      </c>
      <c r="D2" s="453" t="s">
        <v>1212</v>
      </c>
      <c r="E2" s="203" t="s">
        <v>1035</v>
      </c>
      <c r="F2" s="450" t="s">
        <v>553</v>
      </c>
      <c r="G2" s="90" t="s">
        <v>1221</v>
      </c>
      <c r="H2" s="41" t="s">
        <v>560</v>
      </c>
      <c r="I2" s="451" t="s">
        <v>555</v>
      </c>
      <c r="J2" s="41" t="s">
        <v>1159</v>
      </c>
      <c r="K2" s="451" t="s">
        <v>1155</v>
      </c>
      <c r="L2" s="329" t="s">
        <v>1239</v>
      </c>
      <c r="M2" s="216" t="s">
        <v>1240</v>
      </c>
    </row>
    <row r="3" spans="1:28" ht="147" customHeight="1">
      <c r="B3" s="41" t="s">
        <v>97</v>
      </c>
      <c r="C3" s="452" t="s">
        <v>1223</v>
      </c>
      <c r="D3" s="452" t="s">
        <v>1212</v>
      </c>
      <c r="E3" s="41" t="s">
        <v>322</v>
      </c>
      <c r="F3" s="185" t="s">
        <v>553</v>
      </c>
      <c r="G3" s="90" t="s">
        <v>1224</v>
      </c>
      <c r="H3" s="41" t="s">
        <v>560</v>
      </c>
      <c r="I3" s="41" t="s">
        <v>555</v>
      </c>
      <c r="J3" s="41" t="s">
        <v>1159</v>
      </c>
      <c r="K3" s="41" t="s">
        <v>589</v>
      </c>
      <c r="L3" s="41"/>
      <c r="M3" s="216" t="s">
        <v>1241</v>
      </c>
    </row>
    <row r="4" spans="1:28" ht="89.25" customHeight="1">
      <c r="B4" s="41" t="s">
        <v>97</v>
      </c>
      <c r="C4" s="452" t="s">
        <v>1242</v>
      </c>
      <c r="D4" s="452" t="s">
        <v>1212</v>
      </c>
      <c r="E4" s="41" t="s">
        <v>1022</v>
      </c>
      <c r="F4" s="185" t="s">
        <v>553</v>
      </c>
      <c r="G4" s="90" t="s">
        <v>1166</v>
      </c>
      <c r="H4" s="41" t="s">
        <v>560</v>
      </c>
      <c r="I4" s="41" t="s">
        <v>555</v>
      </c>
      <c r="J4" s="41" t="s">
        <v>1159</v>
      </c>
      <c r="K4" s="41" t="s">
        <v>589</v>
      </c>
      <c r="L4" s="41"/>
      <c r="M4" s="216" t="s">
        <v>1243</v>
      </c>
    </row>
    <row r="5" spans="1:28" ht="56.25" customHeight="1">
      <c r="B5" s="41" t="s">
        <v>97</v>
      </c>
      <c r="C5" s="452" t="s">
        <v>1230</v>
      </c>
      <c r="D5" s="452"/>
      <c r="E5" s="41" t="s">
        <v>1035</v>
      </c>
      <c r="F5" s="185" t="s">
        <v>553</v>
      </c>
      <c r="G5" s="90" t="s">
        <v>1231</v>
      </c>
      <c r="H5" s="41" t="s">
        <v>560</v>
      </c>
      <c r="I5" s="41" t="s">
        <v>555</v>
      </c>
      <c r="J5" s="41" t="s">
        <v>556</v>
      </c>
      <c r="K5" s="41" t="s">
        <v>557</v>
      </c>
      <c r="L5" s="41"/>
      <c r="M5" s="216" t="s">
        <v>1244</v>
      </c>
    </row>
    <row r="6" spans="1:28" ht="15.75" customHeight="1"/>
    <row r="7" spans="1:28" ht="15.75" customHeight="1">
      <c r="F7" s="144"/>
    </row>
    <row r="8" spans="1:28" ht="15.75" customHeight="1"/>
    <row r="9" spans="1:28" ht="15.75" customHeight="1"/>
    <row r="10" spans="1:28" ht="15.75" customHeight="1">
      <c r="K10" s="144"/>
    </row>
    <row r="11" spans="1:28" ht="15.75" customHeight="1"/>
    <row r="12" spans="1:28" ht="15.75" customHeight="1"/>
    <row r="13" spans="1:28" ht="15.75" customHeight="1"/>
    <row r="14" spans="1:28" ht="15.75" customHeight="1">
      <c r="N14" s="144"/>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7">
    <dataValidation type="list" allowBlank="1" showErrorMessage="1" sqref="J2:J5" xr:uid="{69F3B589-31B3-49EC-AA25-1350BE1A86D0}">
      <formula1>"Internal,External"</formula1>
    </dataValidation>
    <dataValidation type="list" allowBlank="1" showErrorMessage="1" sqref="K3:K5" xr:uid="{EC5AE06B-2A18-40A3-830E-5AEB8305D91E}">
      <formula1>"Open,Inprogress,Closed"</formula1>
    </dataValidation>
    <dataValidation type="list" allowBlank="1" showErrorMessage="1" sqref="H2:H5" xr:uid="{ED5B90E5-2367-4C4F-BE77-01567EE49295}">
      <formula1>"Minor,Significant,Major"</formula1>
    </dataValidation>
    <dataValidation type="list" allowBlank="1" showErrorMessage="1" sqref="F3:F5" xr:uid="{65CA059E-F3F8-4969-98CC-55128B4DB4AE}">
      <formula1>"Bounceback,Defect,None"</formula1>
    </dataValidation>
    <dataValidation type="list" allowBlank="1" showErrorMessage="1" sqref="F2" xr:uid="{1D48DF48-CCF3-47B0-A2C7-822CD2F63D19}">
      <formula1>"Bounceback/Sub-Defect,Defect,None"</formula1>
    </dataValidation>
    <dataValidation type="list" allowBlank="1" showErrorMessage="1" sqref="I2:I5" xr:uid="{B7D3920A-6684-4960-A9E7-E1D26078C6C2}">
      <formula1>"Manual, Automation"</formula1>
    </dataValidation>
    <dataValidation type="list" allowBlank="1" showErrorMessage="1" sqref="K2" xr:uid="{E958A8BB-D9FE-4F56-9DB4-9A1F90C825D1}">
      <formula1>"Open,Inprogress,Closed/Rejected"</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4FB12BFF-4535-423D-906C-CDAF30F334DB}">
          <x14:formula1>
            <xm:f>Details!$A$2:$A$10</xm:f>
          </x14:formula1>
          <xm:sqref>L2:L5</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27570-4654-4ACB-8768-040D017A7212}">
  <dimension ref="A1:AB6"/>
  <sheetViews>
    <sheetView workbookViewId="0">
      <pane xSplit="7" ySplit="1" topLeftCell="H2" activePane="bottomRight" state="frozen"/>
      <selection pane="bottomRight"/>
      <selection pane="bottomLeft"/>
      <selection pane="topRight"/>
    </sheetView>
  </sheetViews>
  <sheetFormatPr defaultRowHeight="12.75"/>
  <cols>
    <col min="2" max="2" width="13.28515625" customWidth="1"/>
    <col min="3" max="3" width="10.7109375" customWidth="1"/>
    <col min="4" max="4" width="12.140625" customWidth="1"/>
    <col min="5" max="5" width="40.7109375" customWidth="1"/>
    <col min="6" max="6" width="26.28515625" customWidth="1"/>
    <col min="7" max="7" width="11.42578125" bestFit="1" customWidth="1"/>
    <col min="8" max="8" width="41.7109375" style="137" customWidth="1"/>
    <col min="9" max="9" width="16.85546875" customWidth="1"/>
    <col min="10" max="11" width="11.42578125" bestFit="1" customWidth="1"/>
    <col min="12" max="12" width="11.42578125" customWidth="1"/>
    <col min="13" max="13" width="13.140625" customWidth="1"/>
    <col min="14" max="14" width="13.42578125" style="144" customWidth="1"/>
    <col min="15" max="15" width="15.42578125" customWidth="1"/>
    <col min="16" max="16" width="16.42578125" customWidth="1"/>
    <col min="17" max="17" width="14.85546875" customWidth="1"/>
    <col min="18" max="18" width="11.42578125" style="144" bestFit="1" customWidth="1"/>
    <col min="19" max="20" width="12.7109375" bestFit="1" customWidth="1"/>
    <col min="21" max="21" width="11.42578125" bestFit="1" customWidth="1"/>
    <col min="22" max="22" width="11.42578125" style="144" bestFit="1" customWidth="1"/>
    <col min="23" max="23" width="11.42578125" bestFit="1" customWidth="1"/>
    <col min="24" max="24" width="12.7109375" bestFit="1" customWidth="1"/>
    <col min="25" max="27" width="11.42578125" bestFit="1" customWidth="1"/>
    <col min="28" max="28" width="27.42578125" customWidth="1"/>
  </cols>
  <sheetData>
    <row r="1" spans="1:28" ht="47.25">
      <c r="A1" s="379" t="s">
        <v>248</v>
      </c>
      <c r="B1" s="404" t="s">
        <v>4</v>
      </c>
      <c r="C1" s="404" t="s">
        <v>2</v>
      </c>
      <c r="D1" s="404" t="s">
        <v>3</v>
      </c>
      <c r="E1" s="380" t="s">
        <v>249</v>
      </c>
      <c r="F1" s="381" t="s">
        <v>250</v>
      </c>
      <c r="G1" s="382" t="s">
        <v>251</v>
      </c>
      <c r="H1" s="383" t="s">
        <v>252</v>
      </c>
      <c r="I1" s="383" t="s">
        <v>253</v>
      </c>
      <c r="J1" s="384" t="s">
        <v>254</v>
      </c>
      <c r="K1" s="384" t="s">
        <v>255</v>
      </c>
      <c r="L1" s="384" t="s">
        <v>256</v>
      </c>
      <c r="M1" s="385" t="s">
        <v>259</v>
      </c>
      <c r="N1" s="385" t="s">
        <v>260</v>
      </c>
      <c r="O1" s="385" t="s">
        <v>261</v>
      </c>
      <c r="P1" s="385" t="s">
        <v>262</v>
      </c>
      <c r="Q1" s="385" t="s">
        <v>263</v>
      </c>
      <c r="R1" s="385" t="s">
        <v>264</v>
      </c>
      <c r="S1" s="385" t="s">
        <v>265</v>
      </c>
      <c r="T1" s="385" t="s">
        <v>266</v>
      </c>
      <c r="U1" s="385" t="s">
        <v>267</v>
      </c>
      <c r="V1" s="385" t="s">
        <v>268</v>
      </c>
      <c r="W1" s="385" t="s">
        <v>269</v>
      </c>
      <c r="X1" s="385" t="s">
        <v>270</v>
      </c>
      <c r="Y1" s="385" t="s">
        <v>271</v>
      </c>
      <c r="Z1" s="385" t="s">
        <v>272</v>
      </c>
      <c r="AA1" s="385" t="s">
        <v>273</v>
      </c>
      <c r="AB1" s="386" t="s">
        <v>274</v>
      </c>
    </row>
    <row r="2" spans="1:28" s="256" customFormat="1" ht="153.75" customHeight="1">
      <c r="A2" s="369">
        <v>1</v>
      </c>
      <c r="B2" s="444" t="str">
        <f>Dashboard!$J$1</f>
        <v>Donor Wave</v>
      </c>
      <c r="C2" s="445">
        <f ca="1">Dashboard!$F$1</f>
        <v>46149</v>
      </c>
      <c r="D2" s="445">
        <f ca="1">Dashboard!$H$1</f>
        <v>46163</v>
      </c>
      <c r="E2" s="257" t="s">
        <v>94</v>
      </c>
      <c r="F2" s="257" t="s">
        <v>1064</v>
      </c>
      <c r="G2" s="229" t="s">
        <v>1245</v>
      </c>
      <c r="H2" s="305" t="s">
        <v>1246</v>
      </c>
      <c r="I2" s="439" t="s">
        <v>13</v>
      </c>
      <c r="J2" s="327">
        <v>5</v>
      </c>
      <c r="K2" s="327">
        <v>11.25</v>
      </c>
      <c r="L2" s="327">
        <v>45</v>
      </c>
      <c r="M2" s="229" t="s">
        <v>318</v>
      </c>
      <c r="N2" s="329" t="s">
        <v>1029</v>
      </c>
      <c r="O2" s="449" t="s">
        <v>1247</v>
      </c>
      <c r="P2" s="229" t="s">
        <v>1132</v>
      </c>
      <c r="Q2" s="370" t="s">
        <v>1248</v>
      </c>
      <c r="R2" s="271" t="s">
        <v>1249</v>
      </c>
      <c r="S2" s="373">
        <v>45695</v>
      </c>
      <c r="T2" s="373">
        <v>45698</v>
      </c>
      <c r="U2" s="370" t="s">
        <v>322</v>
      </c>
      <c r="V2" s="370" t="s">
        <v>1250</v>
      </c>
      <c r="W2" s="327" t="s">
        <v>323</v>
      </c>
      <c r="X2" s="373">
        <v>45698</v>
      </c>
      <c r="Y2" s="370" t="s">
        <v>320</v>
      </c>
      <c r="Z2" s="327" t="s">
        <v>320</v>
      </c>
      <c r="AA2" s="327" t="s">
        <v>320</v>
      </c>
      <c r="AB2" s="390" t="s">
        <v>1251</v>
      </c>
    </row>
    <row r="3" spans="1:28" s="58" customFormat="1" ht="135" customHeight="1">
      <c r="A3" s="228">
        <v>2</v>
      </c>
      <c r="B3" s="228" t="str">
        <f>Dashboard!$J$1</f>
        <v>Donor Wave</v>
      </c>
      <c r="C3" s="360">
        <f ca="1">Dashboard!$F$1</f>
        <v>46149</v>
      </c>
      <c r="D3" s="360">
        <f ca="1">Dashboard!$H$1</f>
        <v>46163</v>
      </c>
      <c r="E3" s="203" t="s">
        <v>94</v>
      </c>
      <c r="F3" s="203" t="s">
        <v>1132</v>
      </c>
      <c r="G3" s="203" t="s">
        <v>1252</v>
      </c>
      <c r="H3" s="203" t="s">
        <v>1253</v>
      </c>
      <c r="I3" s="228" t="s">
        <v>13</v>
      </c>
      <c r="J3" s="228">
        <v>3</v>
      </c>
      <c r="K3" s="228">
        <v>11.25</v>
      </c>
      <c r="L3" s="228">
        <v>45</v>
      </c>
      <c r="M3" s="203" t="s">
        <v>318</v>
      </c>
      <c r="N3" s="316" t="s">
        <v>1029</v>
      </c>
      <c r="O3" s="316" t="s">
        <v>1254</v>
      </c>
      <c r="P3" s="203" t="s">
        <v>1064</v>
      </c>
      <c r="Q3" s="316" t="s">
        <v>1255</v>
      </c>
      <c r="R3" s="200" t="s">
        <v>1256</v>
      </c>
      <c r="S3" s="360">
        <v>45699</v>
      </c>
      <c r="T3" s="360">
        <v>45700</v>
      </c>
      <c r="U3" s="228" t="s">
        <v>322</v>
      </c>
      <c r="V3" s="352" t="s">
        <v>1257</v>
      </c>
      <c r="W3" s="228" t="s">
        <v>323</v>
      </c>
      <c r="X3" s="360">
        <v>45700</v>
      </c>
      <c r="Y3" s="352" t="s">
        <v>320</v>
      </c>
      <c r="Z3" s="228" t="s">
        <v>320</v>
      </c>
      <c r="AA3" s="228" t="s">
        <v>320</v>
      </c>
      <c r="AB3" s="216" t="s">
        <v>1258</v>
      </c>
    </row>
    <row r="4" spans="1:28" ht="35.25">
      <c r="A4" s="369">
        <v>3</v>
      </c>
      <c r="B4" s="369" t="str">
        <f>Dashboard!$J$1</f>
        <v>Donor Wave</v>
      </c>
      <c r="C4" s="372">
        <f ca="1">Dashboard!$F$1</f>
        <v>46149</v>
      </c>
      <c r="D4" s="372">
        <f ca="1">Dashboard!$H$1</f>
        <v>46163</v>
      </c>
      <c r="E4" s="229" t="s">
        <v>94</v>
      </c>
      <c r="F4" s="229" t="s">
        <v>1259</v>
      </c>
      <c r="G4" s="229" t="s">
        <v>1260</v>
      </c>
      <c r="H4" s="229" t="s">
        <v>1224</v>
      </c>
      <c r="I4" s="327" t="s">
        <v>278</v>
      </c>
      <c r="J4" s="327">
        <v>3</v>
      </c>
      <c r="K4" s="327"/>
      <c r="L4" s="327"/>
      <c r="M4" s="229"/>
      <c r="N4" s="329"/>
      <c r="O4" s="327"/>
      <c r="P4" s="229"/>
      <c r="Q4" s="329"/>
      <c r="R4" s="271"/>
      <c r="S4" s="373"/>
      <c r="T4" s="373"/>
      <c r="U4" s="327"/>
      <c r="V4" s="370"/>
      <c r="W4" s="327"/>
      <c r="X4" s="373"/>
      <c r="Y4" s="370"/>
      <c r="Z4" s="327"/>
      <c r="AA4" s="327" t="s">
        <v>320</v>
      </c>
      <c r="AB4" s="388" t="s">
        <v>1261</v>
      </c>
    </row>
    <row r="5" spans="1:28" ht="93">
      <c r="A5" s="369">
        <v>4</v>
      </c>
      <c r="B5" s="369" t="str">
        <f>Dashboard!$J$1</f>
        <v>Donor Wave</v>
      </c>
      <c r="C5" s="372">
        <f ca="1">Dashboard!$F$1</f>
        <v>46149</v>
      </c>
      <c r="D5" s="372">
        <f ca="1">Dashboard!$H$1</f>
        <v>46163</v>
      </c>
      <c r="E5" s="229" t="s">
        <v>94</v>
      </c>
      <c r="F5" s="229" t="s">
        <v>1259</v>
      </c>
      <c r="G5" s="229" t="s">
        <v>1262</v>
      </c>
      <c r="H5" s="229" t="s">
        <v>1263</v>
      </c>
      <c r="I5" s="327" t="s">
        <v>13</v>
      </c>
      <c r="J5" s="327">
        <v>3</v>
      </c>
      <c r="K5" s="327">
        <v>3</v>
      </c>
      <c r="L5" s="327"/>
      <c r="M5" s="229"/>
      <c r="N5" s="329"/>
      <c r="O5" s="327"/>
      <c r="P5" s="229"/>
      <c r="Q5" s="329"/>
      <c r="R5" s="271"/>
      <c r="S5" s="373"/>
      <c r="T5" s="373"/>
      <c r="U5" s="327"/>
      <c r="V5" s="370"/>
      <c r="W5" s="327"/>
      <c r="X5" s="373"/>
      <c r="Y5" s="370"/>
      <c r="Z5" s="327"/>
      <c r="AA5" s="327" t="s">
        <v>320</v>
      </c>
      <c r="AB5" s="388" t="s">
        <v>1264</v>
      </c>
    </row>
    <row r="6" spans="1:28" ht="24">
      <c r="A6" s="369">
        <v>5</v>
      </c>
      <c r="B6" s="369" t="str">
        <f>Dashboard!$J$1</f>
        <v>Donor Wave</v>
      </c>
      <c r="C6" s="372">
        <f ca="1">Dashboard!$F$1</f>
        <v>46149</v>
      </c>
      <c r="D6" s="372">
        <f ca="1">Dashboard!$H$1</f>
        <v>46163</v>
      </c>
      <c r="E6" s="229" t="s">
        <v>1265</v>
      </c>
      <c r="F6" s="229" t="s">
        <v>1266</v>
      </c>
      <c r="G6" s="203" t="s">
        <v>1267</v>
      </c>
      <c r="H6" s="229" t="s">
        <v>1268</v>
      </c>
      <c r="I6" s="327" t="s">
        <v>13</v>
      </c>
      <c r="J6" s="327">
        <v>1</v>
      </c>
      <c r="K6" s="327">
        <v>1</v>
      </c>
      <c r="L6" s="327"/>
      <c r="M6" s="229"/>
      <c r="N6" s="329"/>
      <c r="O6" s="327"/>
      <c r="P6" s="229"/>
      <c r="R6" s="358"/>
      <c r="S6" s="360"/>
      <c r="T6" s="373"/>
      <c r="U6" s="228"/>
      <c r="V6" s="370"/>
      <c r="W6" s="327"/>
      <c r="X6" s="373"/>
      <c r="Y6" s="370"/>
      <c r="Z6" s="327"/>
      <c r="AA6" s="327"/>
      <c r="AB6" s="388" t="s">
        <v>1269</v>
      </c>
    </row>
  </sheetData>
  <hyperlinks>
    <hyperlink ref="R2" r:id="rId1" xr:uid="{278A6077-0EA3-4E4F-822D-A7E780BF728C}"/>
    <hyperlink ref="R3" r:id="rId2" xr:uid="{5FFF508B-70AF-49AA-B86C-AC3DBDB3F353}"/>
  </hyperlinks>
  <pageMargins left="0.7" right="0.7" top="0.75" bottom="0.75" header="0.3" footer="0.3"/>
  <tableParts count="1">
    <tablePart r:id="rId3"/>
  </tableParts>
  <extLst>
    <ext xmlns:x14="http://schemas.microsoft.com/office/spreadsheetml/2009/9/main" uri="{CCE6A557-97BC-4b89-ADB6-D9C93CAAB3DF}">
      <x14:dataValidations xmlns:xm="http://schemas.microsoft.com/office/excel/2006/main" count="1">
        <x14:dataValidation type="list" allowBlank="1" showErrorMessage="1" xr:uid="{36DDC2E7-DC5A-4427-839C-D55D71967B3F}">
          <x14:formula1>
            <xm:f>Settings!$C$3:$C$20</xm:f>
          </x14:formula1>
          <xm:sqref>I2:I6</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85DEC-0AB2-439B-8883-6EAA5328E465}">
  <sheetPr>
    <outlinePr summaryBelow="0" summaryRight="0"/>
  </sheetPr>
  <dimension ref="A1:AB992"/>
  <sheetViews>
    <sheetView topLeftCell="G1" workbookViewId="0">
      <selection activeCell="M3" sqref="M3"/>
    </sheetView>
  </sheetViews>
  <sheetFormatPr defaultColWidth="12.5703125" defaultRowHeight="15" customHeight="1"/>
  <cols>
    <col min="1" max="1" width="12.5703125" hidden="1" customWidth="1"/>
    <col min="2" max="2" width="21.42578125" customWidth="1"/>
    <col min="3"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14.140625" customWidth="1"/>
  </cols>
  <sheetData>
    <row r="1" spans="1:28" ht="25.5">
      <c r="A1" s="434" t="s">
        <v>248</v>
      </c>
      <c r="B1" s="1" t="s">
        <v>305</v>
      </c>
      <c r="C1" s="198" t="s">
        <v>306</v>
      </c>
      <c r="D1" s="198" t="s">
        <v>307</v>
      </c>
      <c r="E1" s="1" t="s">
        <v>250</v>
      </c>
      <c r="F1" s="198" t="s">
        <v>308</v>
      </c>
      <c r="G1" s="198" t="s">
        <v>309</v>
      </c>
      <c r="H1" s="1" t="s">
        <v>310</v>
      </c>
      <c r="I1" s="1" t="s">
        <v>311</v>
      </c>
      <c r="J1" s="1" t="s">
        <v>312</v>
      </c>
      <c r="K1" s="1" t="s">
        <v>253</v>
      </c>
      <c r="L1" s="156" t="s">
        <v>313</v>
      </c>
      <c r="M1" s="8" t="s">
        <v>274</v>
      </c>
      <c r="N1" s="35"/>
      <c r="O1" s="35"/>
      <c r="P1" s="35"/>
      <c r="Q1" s="35"/>
      <c r="R1" s="35"/>
      <c r="S1" s="35"/>
      <c r="T1" s="35"/>
      <c r="U1" s="35"/>
      <c r="V1" s="35"/>
      <c r="W1" s="35"/>
      <c r="X1" s="35"/>
      <c r="Y1" s="35"/>
      <c r="Z1" s="35"/>
      <c r="AA1" s="35"/>
      <c r="AB1" s="35"/>
    </row>
    <row r="2" spans="1:28" ht="95.25" customHeight="1">
      <c r="B2" s="41" t="s">
        <v>94</v>
      </c>
      <c r="C2" s="452" t="s">
        <v>1223</v>
      </c>
      <c r="D2" s="453" t="s">
        <v>1212</v>
      </c>
      <c r="E2" s="203" t="s">
        <v>322</v>
      </c>
      <c r="F2" s="450" t="s">
        <v>553</v>
      </c>
      <c r="G2" s="90" t="s">
        <v>1224</v>
      </c>
      <c r="H2" s="41" t="s">
        <v>560</v>
      </c>
      <c r="I2" s="451" t="s">
        <v>555</v>
      </c>
      <c r="J2" s="41" t="s">
        <v>1159</v>
      </c>
      <c r="K2" s="451" t="s">
        <v>589</v>
      </c>
      <c r="L2" s="329"/>
      <c r="M2" s="216" t="s">
        <v>1270</v>
      </c>
    </row>
    <row r="3" spans="1:28" ht="147" customHeight="1">
      <c r="B3" s="41" t="s">
        <v>94</v>
      </c>
      <c r="C3" s="452" t="s">
        <v>1262</v>
      </c>
      <c r="D3" s="452" t="s">
        <v>1212</v>
      </c>
      <c r="E3" s="41" t="s">
        <v>322</v>
      </c>
      <c r="F3" s="185" t="s">
        <v>553</v>
      </c>
      <c r="G3" s="90" t="s">
        <v>1263</v>
      </c>
      <c r="H3" s="41" t="s">
        <v>560</v>
      </c>
      <c r="I3" s="41" t="s">
        <v>555</v>
      </c>
      <c r="J3" s="41" t="s">
        <v>1159</v>
      </c>
      <c r="K3" s="41" t="s">
        <v>557</v>
      </c>
      <c r="L3" s="41"/>
      <c r="M3" s="216" t="s">
        <v>1271</v>
      </c>
    </row>
    <row r="4" spans="1:28" ht="15.75" customHeight="1"/>
    <row r="5" spans="1:28" ht="15.75" customHeight="1"/>
    <row r="6" spans="1:28" ht="15.75" customHeight="1"/>
    <row r="7" spans="1:28" ht="15.75" customHeight="1">
      <c r="F7" s="144"/>
    </row>
    <row r="8" spans="1:28" ht="15.75" customHeight="1"/>
    <row r="9" spans="1:28" ht="15.75" customHeight="1"/>
    <row r="10" spans="1:28" ht="15.75" customHeight="1">
      <c r="K10" s="144"/>
    </row>
    <row r="11" spans="1:28" ht="15.75" customHeight="1"/>
    <row r="12" spans="1:28" ht="15.75" customHeight="1"/>
    <row r="13" spans="1:28" ht="15.75" customHeight="1"/>
    <row r="14" spans="1:28" ht="15.75" customHeight="1">
      <c r="N14" s="144"/>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7">
    <dataValidation type="list" allowBlank="1" showErrorMessage="1" sqref="K2" xr:uid="{168C4AAA-A412-4609-98A8-A53BB2BA353F}">
      <formula1>"Open,Inprogress,Closed/Rejected"</formula1>
    </dataValidation>
    <dataValidation type="list" allowBlank="1" showErrorMessage="1" sqref="I2:I3" xr:uid="{ED0BFE2E-A0ED-416A-B657-4ED92B1660B1}">
      <formula1>"Manual, Automation"</formula1>
    </dataValidation>
    <dataValidation type="list" allowBlank="1" showErrorMessage="1" sqref="F2" xr:uid="{5FC09061-FEAF-4457-8C47-A00228AC4CF9}">
      <formula1>"Bounceback/Sub-Defect,Defect,None"</formula1>
    </dataValidation>
    <dataValidation type="list" allowBlank="1" showErrorMessage="1" sqref="F3" xr:uid="{7527302D-CC57-46FD-9B37-5B4BEC2EF8AC}">
      <formula1>"Bounceback,Defect,None"</formula1>
    </dataValidation>
    <dataValidation type="list" allowBlank="1" showErrorMessage="1" sqref="H2:H3" xr:uid="{9EDA52DE-EB2C-4B79-9997-58257C47548A}">
      <formula1>"Minor,Significant,Major"</formula1>
    </dataValidation>
    <dataValidation type="list" allowBlank="1" showErrorMessage="1" sqref="K3" xr:uid="{D1C16E2F-9306-4B4D-8B72-7FDAC5D04C2A}">
      <formula1>"Open,Inprogress,Closed"</formula1>
    </dataValidation>
    <dataValidation type="list" allowBlank="1" showErrorMessage="1" sqref="J2:J3" xr:uid="{0555839F-106B-4A4F-A2E3-3AF2CE6561DD}">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7BD296D3-E531-4853-9FBC-3F3477D1D43F}">
          <x14:formula1>
            <xm:f>Details!$A$2:$A$10</xm:f>
          </x14:formula1>
          <xm:sqref>L2:L3</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3765D-890F-4CAD-BDDC-81DF3FCA0CB6}">
  <dimension ref="A1:AB8"/>
  <sheetViews>
    <sheetView workbookViewId="0">
      <pane xSplit="7" ySplit="1" topLeftCell="L2" activePane="bottomRight" state="frozen"/>
      <selection pane="bottomRight"/>
      <selection pane="bottomLeft"/>
      <selection pane="topRight"/>
    </sheetView>
  </sheetViews>
  <sheetFormatPr defaultRowHeight="12.75"/>
  <cols>
    <col min="2" max="2" width="13.28515625" customWidth="1"/>
    <col min="3" max="3" width="10.7109375" customWidth="1"/>
    <col min="4" max="4" width="12.140625" customWidth="1"/>
    <col min="5" max="5" width="40.7109375" customWidth="1"/>
    <col min="6" max="6" width="26.28515625" customWidth="1"/>
    <col min="7" max="7" width="11.42578125" bestFit="1" customWidth="1"/>
    <col min="8" max="8" width="41.7109375" style="137" customWidth="1"/>
    <col min="9" max="9" width="16.85546875" customWidth="1"/>
    <col min="10" max="11" width="11.42578125" bestFit="1" customWidth="1"/>
    <col min="12" max="12" width="11.42578125" customWidth="1"/>
    <col min="13" max="13" width="13.140625" customWidth="1"/>
    <col min="14" max="14" width="13.42578125" style="144" customWidth="1"/>
    <col min="15" max="15" width="15.42578125" customWidth="1"/>
    <col min="16" max="16" width="16.42578125" customWidth="1"/>
    <col min="17" max="17" width="14.85546875" customWidth="1"/>
    <col min="18" max="18" width="11.42578125" style="144" bestFit="1" customWidth="1"/>
    <col min="19" max="20" width="12.7109375" bestFit="1" customWidth="1"/>
    <col min="21" max="21" width="11.42578125" bestFit="1" customWidth="1"/>
    <col min="22" max="22" width="11.42578125" style="144" bestFit="1" customWidth="1"/>
    <col min="23" max="23" width="11.42578125" bestFit="1" customWidth="1"/>
    <col min="24" max="24" width="12.7109375" bestFit="1" customWidth="1"/>
    <col min="25" max="27" width="11.42578125" bestFit="1" customWidth="1"/>
    <col min="28" max="28" width="27.42578125" customWidth="1"/>
  </cols>
  <sheetData>
    <row r="1" spans="1:28" ht="47.25">
      <c r="A1" s="379" t="s">
        <v>248</v>
      </c>
      <c r="B1" s="404" t="s">
        <v>4</v>
      </c>
      <c r="C1" s="404" t="s">
        <v>2</v>
      </c>
      <c r="D1" s="404" t="s">
        <v>3</v>
      </c>
      <c r="E1" s="380" t="s">
        <v>249</v>
      </c>
      <c r="F1" s="381" t="s">
        <v>250</v>
      </c>
      <c r="G1" s="382" t="s">
        <v>251</v>
      </c>
      <c r="H1" s="383" t="s">
        <v>252</v>
      </c>
      <c r="I1" s="383" t="s">
        <v>253</v>
      </c>
      <c r="J1" s="384" t="s">
        <v>254</v>
      </c>
      <c r="K1" s="384" t="s">
        <v>255</v>
      </c>
      <c r="L1" s="384" t="s">
        <v>513</v>
      </c>
      <c r="M1" s="385" t="s">
        <v>259</v>
      </c>
      <c r="N1" s="385" t="s">
        <v>260</v>
      </c>
      <c r="O1" s="385" t="s">
        <v>261</v>
      </c>
      <c r="P1" s="385" t="s">
        <v>262</v>
      </c>
      <c r="Q1" s="385" t="s">
        <v>263</v>
      </c>
      <c r="R1" s="385" t="s">
        <v>264</v>
      </c>
      <c r="S1" s="385" t="s">
        <v>265</v>
      </c>
      <c r="T1" s="385" t="s">
        <v>266</v>
      </c>
      <c r="U1" s="385" t="s">
        <v>267</v>
      </c>
      <c r="V1" s="385" t="s">
        <v>268</v>
      </c>
      <c r="W1" s="385" t="s">
        <v>269</v>
      </c>
      <c r="X1" s="385" t="s">
        <v>270</v>
      </c>
      <c r="Y1" s="385" t="s">
        <v>271</v>
      </c>
      <c r="Z1" s="385" t="s">
        <v>272</v>
      </c>
      <c r="AA1" s="385" t="s">
        <v>273</v>
      </c>
      <c r="AB1" s="386" t="s">
        <v>274</v>
      </c>
    </row>
    <row r="2" spans="1:28" s="256" customFormat="1" ht="38.25" customHeight="1">
      <c r="A2" s="369">
        <v>1</v>
      </c>
      <c r="B2" s="444" t="str">
        <f>Dashboard!$J$1</f>
        <v>Donor Wave</v>
      </c>
      <c r="C2" s="445">
        <f ca="1">Dashboard!$F$1</f>
        <v>46149</v>
      </c>
      <c r="D2" s="445">
        <f ca="1">Dashboard!$H$1</f>
        <v>46163</v>
      </c>
      <c r="E2" s="257" t="s">
        <v>91</v>
      </c>
      <c r="F2" s="257" t="s">
        <v>1064</v>
      </c>
      <c r="G2" s="257" t="s">
        <v>1245</v>
      </c>
      <c r="H2" s="305" t="s">
        <v>1246</v>
      </c>
      <c r="I2" s="446" t="s">
        <v>278</v>
      </c>
      <c r="J2" s="327">
        <v>8</v>
      </c>
      <c r="K2" s="327"/>
      <c r="L2" s="327"/>
      <c r="M2" s="257"/>
      <c r="N2" s="329"/>
      <c r="O2" s="327"/>
      <c r="P2" s="257"/>
      <c r="Q2" s="370"/>
      <c r="R2" s="440"/>
      <c r="S2" s="441"/>
      <c r="T2" s="441"/>
      <c r="U2" s="370"/>
      <c r="V2" s="370"/>
      <c r="W2" s="327"/>
      <c r="X2" s="373"/>
      <c r="Y2" s="327"/>
      <c r="Z2" s="327"/>
      <c r="AA2" s="327"/>
      <c r="AB2" s="390" t="s">
        <v>1272</v>
      </c>
    </row>
    <row r="3" spans="1:28" s="257" customFormat="1" ht="38.25" customHeight="1">
      <c r="A3" s="369">
        <v>2</v>
      </c>
      <c r="B3" s="442" t="str">
        <f>Dashboard!$J$1</f>
        <v>Donor Wave</v>
      </c>
      <c r="C3" s="443">
        <f ca="1">Dashboard!$F$1</f>
        <v>46149</v>
      </c>
      <c r="D3" s="443">
        <f ca="1">Dashboard!$H$1</f>
        <v>46163</v>
      </c>
      <c r="E3" s="257" t="s">
        <v>91</v>
      </c>
      <c r="F3" s="257" t="s">
        <v>1035</v>
      </c>
      <c r="G3" s="229" t="s">
        <v>1252</v>
      </c>
      <c r="H3" s="305" t="s">
        <v>1253</v>
      </c>
      <c r="I3" s="439" t="s">
        <v>13</v>
      </c>
      <c r="J3" s="327">
        <v>3</v>
      </c>
      <c r="K3" s="327">
        <v>3</v>
      </c>
      <c r="L3" s="327"/>
      <c r="M3" s="329" t="s">
        <v>1273</v>
      </c>
      <c r="N3" s="329"/>
      <c r="O3" s="327"/>
      <c r="P3" s="229"/>
      <c r="Q3" s="370"/>
      <c r="R3" s="271"/>
      <c r="S3" s="373"/>
      <c r="T3" s="373"/>
      <c r="U3" s="327"/>
      <c r="V3" s="370"/>
      <c r="W3" s="327"/>
      <c r="X3" s="373"/>
      <c r="Y3" s="370"/>
      <c r="Z3" s="327"/>
      <c r="AA3" s="327"/>
      <c r="AB3" s="390" t="s">
        <v>1274</v>
      </c>
    </row>
    <row r="4" spans="1:28" s="257" customFormat="1" ht="38.25" customHeight="1">
      <c r="A4" s="369">
        <v>3</v>
      </c>
      <c r="B4" s="442" t="str">
        <f>Dashboard!$J$1</f>
        <v>Donor Wave</v>
      </c>
      <c r="C4" s="443">
        <f ca="1">Dashboard!$F$1</f>
        <v>46149</v>
      </c>
      <c r="D4" s="443">
        <f ca="1">Dashboard!$H$1</f>
        <v>46163</v>
      </c>
      <c r="E4" s="257" t="s">
        <v>91</v>
      </c>
      <c r="F4" s="257" t="s">
        <v>322</v>
      </c>
      <c r="G4" s="229" t="s">
        <v>1275</v>
      </c>
      <c r="H4" s="305" t="s">
        <v>1276</v>
      </c>
      <c r="I4" s="439" t="s">
        <v>278</v>
      </c>
      <c r="J4" s="327">
        <v>3</v>
      </c>
      <c r="K4" s="327"/>
      <c r="L4" s="327"/>
      <c r="M4" s="229"/>
      <c r="N4" s="329"/>
      <c r="O4" s="327"/>
      <c r="P4" s="229"/>
      <c r="Q4" s="370"/>
      <c r="R4" s="271"/>
      <c r="S4" s="373"/>
      <c r="T4" s="373"/>
      <c r="U4" s="327"/>
      <c r="V4" s="370"/>
      <c r="W4" s="327"/>
      <c r="X4" s="373"/>
      <c r="Y4" s="370"/>
      <c r="Z4" s="327"/>
      <c r="AA4" s="327"/>
      <c r="AB4" s="390" t="s">
        <v>1277</v>
      </c>
    </row>
    <row r="5" spans="1:28" s="218" customFormat="1" ht="35.25">
      <c r="A5" s="327">
        <v>4</v>
      </c>
      <c r="B5" s="327" t="str">
        <f>Dashboard!$J$1</f>
        <v>Donor Wave</v>
      </c>
      <c r="C5" s="373">
        <f ca="1">Dashboard!$F$1</f>
        <v>46149</v>
      </c>
      <c r="D5" s="373">
        <f ca="1">Dashboard!$H$1</f>
        <v>46163</v>
      </c>
      <c r="E5" s="218" t="s">
        <v>91</v>
      </c>
      <c r="F5" s="218" t="s">
        <v>1278</v>
      </c>
      <c r="G5" s="229" t="s">
        <v>1279</v>
      </c>
      <c r="H5" s="229" t="s">
        <v>1280</v>
      </c>
      <c r="I5" s="327" t="s">
        <v>13</v>
      </c>
      <c r="J5" s="218">
        <v>0.5</v>
      </c>
      <c r="K5" s="327">
        <v>0.5</v>
      </c>
      <c r="L5" s="327"/>
      <c r="M5" s="229" t="s">
        <v>318</v>
      </c>
      <c r="N5" s="329" t="s">
        <v>1029</v>
      </c>
      <c r="O5" s="370"/>
      <c r="P5" s="229" t="s">
        <v>320</v>
      </c>
      <c r="Q5" s="218" t="s">
        <v>320</v>
      </c>
      <c r="R5" s="271" t="s">
        <v>320</v>
      </c>
      <c r="S5" s="373" t="s">
        <v>320</v>
      </c>
      <c r="T5" s="373" t="s">
        <v>320</v>
      </c>
      <c r="U5" s="327" t="s">
        <v>320</v>
      </c>
      <c r="V5" s="370" t="s">
        <v>320</v>
      </c>
      <c r="W5" s="327" t="s">
        <v>320</v>
      </c>
      <c r="X5" s="373"/>
      <c r="Y5" s="370"/>
      <c r="Z5" s="327"/>
      <c r="AA5" s="327"/>
      <c r="AB5" s="333" t="s">
        <v>1281</v>
      </c>
    </row>
    <row r="6" spans="1:28" s="58" customFormat="1" ht="35.25">
      <c r="A6" s="228">
        <v>5</v>
      </c>
      <c r="B6" s="228" t="str">
        <f>Dashboard!$J$1</f>
        <v>Donor Wave</v>
      </c>
      <c r="C6" s="360">
        <f ca="1">Dashboard!$F$1</f>
        <v>46149</v>
      </c>
      <c r="D6" s="360">
        <f ca="1">Dashboard!$H$1</f>
        <v>46163</v>
      </c>
      <c r="E6" s="58" t="s">
        <v>91</v>
      </c>
      <c r="F6" s="58" t="s">
        <v>1278</v>
      </c>
      <c r="G6" s="203" t="s">
        <v>1282</v>
      </c>
      <c r="H6" s="203" t="s">
        <v>1283</v>
      </c>
      <c r="I6" s="228" t="s">
        <v>13</v>
      </c>
      <c r="J6" s="58">
        <v>0.5</v>
      </c>
      <c r="K6" s="228">
        <v>0.5</v>
      </c>
      <c r="L6" s="228"/>
      <c r="M6" s="203" t="s">
        <v>318</v>
      </c>
      <c r="N6" s="316" t="s">
        <v>1029</v>
      </c>
      <c r="O6" s="228"/>
      <c r="P6" s="203" t="s">
        <v>320</v>
      </c>
      <c r="Q6" s="58" t="s">
        <v>320</v>
      </c>
      <c r="R6" s="200" t="s">
        <v>320</v>
      </c>
      <c r="S6" s="360" t="s">
        <v>320</v>
      </c>
      <c r="T6" s="360" t="s">
        <v>320</v>
      </c>
      <c r="U6" s="228" t="s">
        <v>320</v>
      </c>
      <c r="V6" s="352" t="s">
        <v>320</v>
      </c>
      <c r="W6" s="228" t="s">
        <v>320</v>
      </c>
      <c r="X6" s="360"/>
      <c r="Y6" s="352"/>
      <c r="Z6" s="228"/>
      <c r="AA6" s="228"/>
      <c r="AB6" s="216" t="s">
        <v>1281</v>
      </c>
    </row>
    <row r="7" spans="1:28" ht="35.25">
      <c r="A7" s="369">
        <v>6</v>
      </c>
      <c r="B7" s="369" t="str">
        <f>Dashboard!$J$1</f>
        <v>Donor Wave</v>
      </c>
      <c r="C7" s="372">
        <f ca="1">Dashboard!$F$1</f>
        <v>46149</v>
      </c>
      <c r="D7" s="372">
        <f ca="1">Dashboard!$H$1</f>
        <v>46163</v>
      </c>
      <c r="E7" s="58" t="s">
        <v>91</v>
      </c>
      <c r="F7" s="58" t="s">
        <v>1278</v>
      </c>
      <c r="G7" s="229" t="s">
        <v>1284</v>
      </c>
      <c r="H7" s="321" t="s">
        <v>1285</v>
      </c>
      <c r="I7" s="327" t="s">
        <v>13</v>
      </c>
      <c r="J7">
        <v>1</v>
      </c>
      <c r="K7" s="327">
        <v>1</v>
      </c>
      <c r="L7" s="327"/>
      <c r="M7" s="203" t="s">
        <v>318</v>
      </c>
      <c r="N7" s="316" t="s">
        <v>1029</v>
      </c>
      <c r="O7" s="327"/>
      <c r="P7" s="229" t="s">
        <v>320</v>
      </c>
      <c r="Q7" t="s">
        <v>320</v>
      </c>
      <c r="R7" s="432" t="s">
        <v>320</v>
      </c>
      <c r="S7" s="373" t="s">
        <v>320</v>
      </c>
      <c r="T7" s="373" t="s">
        <v>320</v>
      </c>
      <c r="U7" s="327" t="s">
        <v>320</v>
      </c>
      <c r="V7" s="370" t="s">
        <v>320</v>
      </c>
      <c r="W7" s="327" t="s">
        <v>320</v>
      </c>
      <c r="X7" s="373"/>
      <c r="Y7" s="370"/>
      <c r="Z7" s="327"/>
      <c r="AA7" s="327"/>
      <c r="AB7" s="216" t="s">
        <v>1281</v>
      </c>
    </row>
    <row r="8" spans="1:28">
      <c r="A8" s="369">
        <v>7</v>
      </c>
      <c r="B8" s="369" t="str">
        <f>Dashboard!$J$1</f>
        <v>Donor Wave</v>
      </c>
      <c r="C8" s="372">
        <f ca="1">Dashboard!$F$1</f>
        <v>46149</v>
      </c>
      <c r="D8" s="372">
        <f ca="1">Dashboard!$H$1</f>
        <v>46163</v>
      </c>
      <c r="E8" t="s">
        <v>91</v>
      </c>
      <c r="F8" t="s">
        <v>322</v>
      </c>
      <c r="G8" s="229" t="s">
        <v>1286</v>
      </c>
      <c r="H8" s="137" t="s">
        <v>1287</v>
      </c>
      <c r="I8" s="327" t="s">
        <v>13</v>
      </c>
      <c r="J8">
        <v>5</v>
      </c>
      <c r="K8" s="327">
        <v>5</v>
      </c>
      <c r="L8" s="327"/>
      <c r="M8" s="229"/>
      <c r="N8" s="329"/>
      <c r="O8" s="327"/>
      <c r="P8" s="229"/>
      <c r="R8" s="432"/>
      <c r="S8" s="373"/>
      <c r="T8" s="373"/>
      <c r="U8" s="327"/>
      <c r="V8" s="370"/>
      <c r="W8" s="327"/>
      <c r="X8" s="373"/>
      <c r="Y8" s="370"/>
      <c r="Z8" s="327"/>
      <c r="AA8" s="327"/>
      <c r="AB8" s="249"/>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F31346A4-C3C1-410E-855E-8B6BAF80EE35}">
          <x14:formula1>
            <xm:f>Settings!$C$3:$C$20</xm:f>
          </x14:formula1>
          <xm:sqref>I2:I8</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647C-6B13-4153-8B63-51B50A30FAEB}">
  <sheetPr>
    <outlinePr summaryBelow="0" summaryRight="0"/>
  </sheetPr>
  <dimension ref="A1:AB992"/>
  <sheetViews>
    <sheetView topLeftCell="B1" workbookViewId="0">
      <selection activeCell="L2" sqref="L2"/>
    </sheetView>
  </sheetViews>
  <sheetFormatPr defaultColWidth="12.5703125" defaultRowHeight="15" customHeight="1"/>
  <cols>
    <col min="1" max="1" width="12.5703125" hidden="1" customWidth="1"/>
    <col min="2" max="2" width="21.42578125" customWidth="1"/>
    <col min="3"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14.140625" customWidth="1"/>
  </cols>
  <sheetData>
    <row r="1" spans="1:28" ht="25.5">
      <c r="A1" s="434" t="s">
        <v>248</v>
      </c>
      <c r="B1" s="1" t="s">
        <v>11</v>
      </c>
      <c r="C1" s="198" t="s">
        <v>306</v>
      </c>
      <c r="D1" s="198" t="s">
        <v>307</v>
      </c>
      <c r="E1" s="1" t="s">
        <v>250</v>
      </c>
      <c r="F1" s="198" t="s">
        <v>308</v>
      </c>
      <c r="G1" s="198" t="s">
        <v>309</v>
      </c>
      <c r="H1" s="1" t="s">
        <v>310</v>
      </c>
      <c r="I1" s="1" t="s">
        <v>311</v>
      </c>
      <c r="J1" s="1" t="s">
        <v>312</v>
      </c>
      <c r="K1" s="1" t="s">
        <v>253</v>
      </c>
      <c r="L1" s="435" t="s">
        <v>313</v>
      </c>
      <c r="M1" s="8" t="s">
        <v>274</v>
      </c>
      <c r="N1" s="35"/>
      <c r="O1" s="35"/>
      <c r="P1" s="35"/>
      <c r="Q1" s="35"/>
      <c r="R1" s="35"/>
      <c r="S1" s="35"/>
      <c r="T1" s="35"/>
      <c r="U1" s="35"/>
      <c r="V1" s="35"/>
      <c r="W1" s="35"/>
      <c r="X1" s="35"/>
      <c r="Y1" s="35"/>
      <c r="Z1" s="35"/>
      <c r="AA1" s="35"/>
      <c r="AB1" s="35"/>
    </row>
    <row r="2" spans="1:28" ht="70.5" customHeight="1">
      <c r="B2" s="19" t="s">
        <v>91</v>
      </c>
      <c r="C2" s="436" t="s">
        <v>1288</v>
      </c>
      <c r="D2" s="437" t="s">
        <v>1286</v>
      </c>
      <c r="E2" s="58" t="s">
        <v>1289</v>
      </c>
      <c r="F2" s="438" t="s">
        <v>553</v>
      </c>
      <c r="G2" s="186" t="s">
        <v>1290</v>
      </c>
      <c r="H2" s="19" t="s">
        <v>560</v>
      </c>
      <c r="I2" s="438" t="s">
        <v>555</v>
      </c>
      <c r="J2" s="19" t="s">
        <v>556</v>
      </c>
      <c r="K2" s="438" t="s">
        <v>1291</v>
      </c>
      <c r="L2" s="19"/>
      <c r="M2" s="216" t="s">
        <v>1292</v>
      </c>
    </row>
    <row r="3" spans="1:28" ht="33.75" customHeight="1">
      <c r="B3" s="19"/>
      <c r="C3" s="436"/>
      <c r="D3" s="436"/>
      <c r="E3" s="19"/>
      <c r="F3" s="19"/>
      <c r="G3" s="186"/>
      <c r="H3" s="19"/>
      <c r="I3" s="19"/>
      <c r="J3" s="19"/>
      <c r="K3" s="19"/>
      <c r="L3" s="19"/>
      <c r="M3" s="58"/>
    </row>
    <row r="4" spans="1:28" ht="15.75" customHeight="1"/>
    <row r="5" spans="1:28" ht="15.75" customHeight="1"/>
    <row r="6" spans="1:28" ht="15.75" customHeight="1"/>
    <row r="7" spans="1:28" ht="15.75" customHeight="1">
      <c r="F7" s="144"/>
    </row>
    <row r="8" spans="1:28" ht="15.75" customHeight="1"/>
    <row r="9" spans="1:28" ht="15.75" customHeight="1"/>
    <row r="10" spans="1:28" ht="15.75" customHeight="1">
      <c r="K10" s="144"/>
    </row>
    <row r="11" spans="1:28" ht="15.75" customHeight="1"/>
    <row r="12" spans="1:28" ht="15.75" customHeight="1"/>
    <row r="13" spans="1:28" ht="15.75" customHeight="1"/>
    <row r="14" spans="1:28" ht="15.75" customHeight="1">
      <c r="N14" s="144"/>
    </row>
    <row r="15" spans="1:28" ht="15.75" customHeight="1"/>
    <row r="16" spans="1: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autoFilter ref="A1:M2" xr:uid="{3A2BB050-11AC-4ED7-A296-96B42C7FCFBA}"/>
  <dataValidations count="8">
    <dataValidation type="list" allowBlank="1" showErrorMessage="1" sqref="J2:J3" xr:uid="{4E28E08D-2F75-470C-BCFA-06FD322EC0A8}">
      <formula1>"Internal,External"</formula1>
    </dataValidation>
    <dataValidation type="list" allowBlank="1" showErrorMessage="1" sqref="K3" xr:uid="{FADDBF2C-5B59-4603-BDFB-19E624624D3A}">
      <formula1>"Open,Inprogress,Closed"</formula1>
    </dataValidation>
    <dataValidation type="list" allowBlank="1" showErrorMessage="1" sqref="H2:H3" xr:uid="{CC8A92D8-5EB1-4EFF-ADB5-EBD9BE552986}">
      <formula1>"Minor,Significant,Major"</formula1>
    </dataValidation>
    <dataValidation type="list" allowBlank="1" showErrorMessage="1" sqref="F3" xr:uid="{A892F065-C632-499E-8F79-A6042920F41D}">
      <formula1>"Bounceback,Defect,None"</formula1>
    </dataValidation>
    <dataValidation type="list" allowBlank="1" showErrorMessage="1" sqref="F2" xr:uid="{BF8CC4C3-14B9-439F-97F5-99514DBBE4AF}">
      <formula1>"Bounceback/Sub-Defect,Defect,None"</formula1>
    </dataValidation>
    <dataValidation type="list" allowBlank="1" showErrorMessage="1" sqref="I2:I3" xr:uid="{03C11B8A-B19C-426D-80FE-7CB2EE7DE2CE}">
      <formula1>"Manual, Automation"</formula1>
    </dataValidation>
    <dataValidation type="list" allowBlank="1" showErrorMessage="1" sqref="K2" xr:uid="{EA738377-CF75-4120-A9E8-AC490CBDF2C7}">
      <formula1>"Open,Inprogress,Closed/Rejected"</formula1>
    </dataValidation>
    <dataValidation type="list" allowBlank="1" showErrorMessage="1" sqref="L2:L3" xr:uid="{C2619226-EA73-46AE-9D2E-0BF512BD8303}">
      <formula1>$A$2:$A$10</formula1>
    </dataValidation>
  </dataValidations>
  <pageMargins left="0" right="0" top="0" bottom="0" header="0" footer="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6358E-AE22-47E5-A490-FEC9BB149DB2}">
  <dimension ref="A1:AB9"/>
  <sheetViews>
    <sheetView workbookViewId="0">
      <pane xSplit="7" ySplit="1" topLeftCell="L2" activePane="bottomRight" state="frozen"/>
      <selection pane="bottomRight"/>
      <selection pane="bottomLeft"/>
      <selection pane="topRight"/>
    </sheetView>
  </sheetViews>
  <sheetFormatPr defaultRowHeight="12.75"/>
  <cols>
    <col min="2" max="2" width="13.28515625" customWidth="1"/>
    <col min="3" max="3" width="10.7109375" customWidth="1"/>
    <col min="4" max="4" width="12.140625" customWidth="1"/>
    <col min="5" max="5" width="27.5703125" customWidth="1"/>
    <col min="6" max="6" width="20.85546875" customWidth="1"/>
    <col min="7" max="7" width="11.42578125" bestFit="1" customWidth="1"/>
    <col min="8" max="8" width="41.7109375" style="137" customWidth="1"/>
    <col min="9" max="9" width="14.28515625" customWidth="1"/>
    <col min="10" max="11" width="11.42578125" bestFit="1" customWidth="1"/>
    <col min="12" max="12" width="11.42578125" customWidth="1"/>
    <col min="13" max="13" width="13.140625" customWidth="1"/>
    <col min="14" max="14" width="13.42578125" style="144" customWidth="1"/>
    <col min="15" max="15" width="15.42578125" customWidth="1"/>
    <col min="16" max="16" width="16.42578125" customWidth="1"/>
    <col min="17" max="17" width="14.85546875" customWidth="1"/>
    <col min="18" max="18" width="11.42578125" style="144" bestFit="1" customWidth="1"/>
    <col min="19" max="20" width="12.7109375" bestFit="1" customWidth="1"/>
    <col min="21" max="21" width="11.42578125" bestFit="1" customWidth="1"/>
    <col min="22" max="22" width="11.42578125" style="144" bestFit="1" customWidth="1"/>
    <col min="23" max="23" width="11.42578125" bestFit="1" customWidth="1"/>
    <col min="24" max="24" width="12.7109375" bestFit="1" customWidth="1"/>
    <col min="25" max="27" width="11.42578125" bestFit="1" customWidth="1"/>
    <col min="28" max="28" width="27.42578125" customWidth="1"/>
  </cols>
  <sheetData>
    <row r="1" spans="1:28" ht="47.25">
      <c r="A1" s="379" t="s">
        <v>248</v>
      </c>
      <c r="B1" s="404" t="s">
        <v>4</v>
      </c>
      <c r="C1" s="404" t="s">
        <v>2</v>
      </c>
      <c r="D1" s="404" t="s">
        <v>3</v>
      </c>
      <c r="E1" s="380" t="s">
        <v>249</v>
      </c>
      <c r="F1" s="381" t="s">
        <v>250</v>
      </c>
      <c r="G1" s="382" t="s">
        <v>251</v>
      </c>
      <c r="H1" s="383" t="s">
        <v>252</v>
      </c>
      <c r="I1" s="383" t="s">
        <v>253</v>
      </c>
      <c r="J1" s="384" t="s">
        <v>254</v>
      </c>
      <c r="K1" s="384" t="s">
        <v>255</v>
      </c>
      <c r="L1" s="384" t="s">
        <v>513</v>
      </c>
      <c r="M1" s="385" t="s">
        <v>259</v>
      </c>
      <c r="N1" s="385" t="s">
        <v>260</v>
      </c>
      <c r="O1" s="385" t="s">
        <v>261</v>
      </c>
      <c r="P1" s="385" t="s">
        <v>262</v>
      </c>
      <c r="Q1" s="385" t="s">
        <v>263</v>
      </c>
      <c r="R1" s="385" t="s">
        <v>264</v>
      </c>
      <c r="S1" s="385" t="s">
        <v>265</v>
      </c>
      <c r="T1" s="385" t="s">
        <v>266</v>
      </c>
      <c r="U1" s="385" t="s">
        <v>267</v>
      </c>
      <c r="V1" s="385" t="s">
        <v>268</v>
      </c>
      <c r="W1" s="385" t="s">
        <v>269</v>
      </c>
      <c r="X1" s="385" t="s">
        <v>270</v>
      </c>
      <c r="Y1" s="385" t="s">
        <v>271</v>
      </c>
      <c r="Z1" s="385" t="s">
        <v>272</v>
      </c>
      <c r="AA1" s="385" t="s">
        <v>273</v>
      </c>
      <c r="AB1" s="386" t="s">
        <v>274</v>
      </c>
    </row>
    <row r="2" spans="1:28" s="256" customFormat="1" ht="38.25" customHeight="1">
      <c r="A2" s="357">
        <v>1</v>
      </c>
      <c r="B2" s="405" t="str">
        <f>Dashboard!$J$1</f>
        <v>Donor Wave</v>
      </c>
      <c r="C2" s="406">
        <f ca="1">Dashboard!$F$1</f>
        <v>46149</v>
      </c>
      <c r="D2" s="406">
        <f ca="1">Dashboard!$H$1</f>
        <v>46163</v>
      </c>
      <c r="E2" s="62" t="s">
        <v>1293</v>
      </c>
      <c r="F2" s="62" t="s">
        <v>1031</v>
      </c>
      <c r="G2" s="62" t="s">
        <v>1294</v>
      </c>
      <c r="H2" s="90" t="s">
        <v>1295</v>
      </c>
      <c r="I2" s="433" t="s">
        <v>13</v>
      </c>
      <c r="J2" s="228">
        <v>3</v>
      </c>
      <c r="K2" s="228">
        <v>3</v>
      </c>
      <c r="L2" s="228"/>
      <c r="M2" s="62"/>
      <c r="N2" s="316"/>
      <c r="O2" s="228"/>
      <c r="P2" s="62"/>
      <c r="Q2" s="352"/>
      <c r="R2" s="279"/>
      <c r="S2" s="359"/>
      <c r="T2" s="359"/>
      <c r="U2" s="352"/>
      <c r="V2" s="352"/>
      <c r="W2" s="228"/>
      <c r="X2" s="360"/>
      <c r="Y2" s="228"/>
      <c r="Z2" s="327"/>
      <c r="AA2" s="327"/>
      <c r="AB2" s="376" t="s">
        <v>1296</v>
      </c>
    </row>
    <row r="3" spans="1:28" s="218" customFormat="1" ht="39" customHeight="1">
      <c r="A3" s="327">
        <v>2</v>
      </c>
      <c r="B3" s="327" t="str">
        <f>Dashboard!$J$1</f>
        <v>Donor Wave</v>
      </c>
      <c r="C3" s="373">
        <f ca="1">Dashboard!$F$1</f>
        <v>46149</v>
      </c>
      <c r="D3" s="373">
        <f ca="1">Dashboard!$H$1</f>
        <v>46163</v>
      </c>
      <c r="E3" s="203" t="s">
        <v>88</v>
      </c>
      <c r="F3" s="229" t="s">
        <v>1297</v>
      </c>
      <c r="G3" s="229" t="s">
        <v>1298</v>
      </c>
      <c r="H3" s="329" t="s">
        <v>1299</v>
      </c>
      <c r="I3" s="433" t="s">
        <v>278</v>
      </c>
      <c r="J3" s="327">
        <v>3</v>
      </c>
      <c r="K3" s="327"/>
      <c r="L3" s="327"/>
      <c r="M3" s="229"/>
      <c r="N3" s="329"/>
      <c r="O3" s="327"/>
      <c r="P3" s="229"/>
      <c r="Q3" s="374"/>
      <c r="R3" s="271"/>
      <c r="S3" s="373"/>
      <c r="T3" s="373"/>
      <c r="U3" s="327"/>
      <c r="V3" s="370"/>
      <c r="W3" s="327"/>
      <c r="X3" s="373"/>
      <c r="Y3" s="352"/>
      <c r="Z3" s="228"/>
      <c r="AA3" s="228"/>
      <c r="AB3" s="333" t="s">
        <v>1300</v>
      </c>
    </row>
    <row r="4" spans="1:28" ht="40.5" customHeight="1">
      <c r="A4" s="369">
        <v>3</v>
      </c>
      <c r="B4" s="369" t="str">
        <f>Dashboard!$J$1</f>
        <v>Donor Wave</v>
      </c>
      <c r="C4" s="372">
        <f ca="1">Dashboard!$F$1</f>
        <v>46149</v>
      </c>
      <c r="D4" s="372">
        <f ca="1">Dashboard!$H$1</f>
        <v>46163</v>
      </c>
      <c r="E4" s="229" t="s">
        <v>88</v>
      </c>
      <c r="F4" s="229" t="s">
        <v>1031</v>
      </c>
      <c r="G4" s="229" t="s">
        <v>1279</v>
      </c>
      <c r="H4" s="329" t="s">
        <v>1280</v>
      </c>
      <c r="I4" s="433" t="s">
        <v>13</v>
      </c>
      <c r="J4" s="327">
        <v>3</v>
      </c>
      <c r="K4" s="327">
        <v>3</v>
      </c>
      <c r="L4" s="327"/>
      <c r="M4" s="229" t="s">
        <v>318</v>
      </c>
      <c r="N4" s="329" t="s">
        <v>1035</v>
      </c>
      <c r="O4" s="327" t="s">
        <v>320</v>
      </c>
      <c r="P4" s="229" t="s">
        <v>1035</v>
      </c>
      <c r="Q4" s="374" t="s">
        <v>320</v>
      </c>
      <c r="R4" s="271" t="s">
        <v>1301</v>
      </c>
      <c r="S4" s="373">
        <v>45672</v>
      </c>
      <c r="T4" s="373">
        <v>45673</v>
      </c>
      <c r="U4" s="327" t="s">
        <v>448</v>
      </c>
      <c r="V4" s="370" t="s">
        <v>1302</v>
      </c>
      <c r="W4" s="327" t="s">
        <v>323</v>
      </c>
      <c r="X4" s="373">
        <v>45673</v>
      </c>
      <c r="Y4" s="370" t="s">
        <v>320</v>
      </c>
      <c r="Z4" s="327" t="s">
        <v>320</v>
      </c>
      <c r="AA4" s="327" t="s">
        <v>320</v>
      </c>
      <c r="AB4" s="388"/>
    </row>
    <row r="5" spans="1:28" ht="42.75" customHeight="1">
      <c r="A5" s="369">
        <v>4</v>
      </c>
      <c r="B5" s="369" t="str">
        <f>Dashboard!$J$1</f>
        <v>Donor Wave</v>
      </c>
      <c r="C5" s="372">
        <f ca="1">Dashboard!$F$1</f>
        <v>46149</v>
      </c>
      <c r="D5" s="372">
        <f ca="1">Dashboard!$H$1</f>
        <v>46163</v>
      </c>
      <c r="E5" s="229" t="s">
        <v>88</v>
      </c>
      <c r="F5" s="229" t="s">
        <v>1035</v>
      </c>
      <c r="G5" s="229" t="s">
        <v>1282</v>
      </c>
      <c r="H5" s="329" t="s">
        <v>1283</v>
      </c>
      <c r="I5" s="433" t="s">
        <v>13</v>
      </c>
      <c r="J5" s="327">
        <v>2</v>
      </c>
      <c r="K5" s="327">
        <v>2</v>
      </c>
      <c r="L5" s="327"/>
      <c r="M5" s="229" t="s">
        <v>318</v>
      </c>
      <c r="N5" s="329" t="s">
        <v>1022</v>
      </c>
      <c r="O5" s="327" t="s">
        <v>320</v>
      </c>
      <c r="P5" s="229" t="s">
        <v>1022</v>
      </c>
      <c r="Q5" s="374" t="s">
        <v>320</v>
      </c>
      <c r="R5" s="271" t="s">
        <v>1303</v>
      </c>
      <c r="S5" s="373">
        <v>45666</v>
      </c>
      <c r="T5" s="373">
        <v>45667</v>
      </c>
      <c r="U5" s="327" t="s">
        <v>448</v>
      </c>
      <c r="V5" s="370" t="s">
        <v>320</v>
      </c>
      <c r="W5" s="327" t="s">
        <v>323</v>
      </c>
      <c r="X5" s="373">
        <v>45667</v>
      </c>
      <c r="Y5" s="370" t="s">
        <v>320</v>
      </c>
      <c r="Z5" s="327" t="s">
        <v>320</v>
      </c>
      <c r="AA5" s="327" t="s">
        <v>320</v>
      </c>
      <c r="AB5" s="388"/>
    </row>
    <row r="6" spans="1:28" s="58" customFormat="1" ht="36" customHeight="1">
      <c r="A6" s="228">
        <v>5</v>
      </c>
      <c r="B6" s="228" t="str">
        <f>Dashboard!$J$1</f>
        <v>Donor Wave</v>
      </c>
      <c r="C6" s="360">
        <f ca="1">Dashboard!$F$1</f>
        <v>46149</v>
      </c>
      <c r="D6" s="360">
        <f ca="1">Dashboard!$H$1</f>
        <v>46163</v>
      </c>
      <c r="E6" s="257" t="s">
        <v>88</v>
      </c>
      <c r="F6" s="257" t="s">
        <v>1031</v>
      </c>
      <c r="G6" s="203" t="s">
        <v>1304</v>
      </c>
      <c r="H6" s="229" t="s">
        <v>1305</v>
      </c>
      <c r="I6" s="433" t="s">
        <v>13</v>
      </c>
      <c r="J6" s="327">
        <v>1</v>
      </c>
      <c r="K6" s="228">
        <v>1</v>
      </c>
      <c r="L6" s="228"/>
      <c r="M6" s="203" t="s">
        <v>318</v>
      </c>
      <c r="N6" s="316" t="s">
        <v>1035</v>
      </c>
      <c r="O6" s="228" t="s">
        <v>320</v>
      </c>
      <c r="P6" s="203" t="s">
        <v>1035</v>
      </c>
      <c r="Q6" s="327" t="s">
        <v>320</v>
      </c>
      <c r="R6" s="271" t="s">
        <v>1306</v>
      </c>
      <c r="S6" s="360">
        <v>45671</v>
      </c>
      <c r="T6" s="360">
        <v>45671</v>
      </c>
      <c r="U6" s="228" t="s">
        <v>448</v>
      </c>
      <c r="V6" s="352" t="s">
        <v>1307</v>
      </c>
      <c r="W6" s="228" t="s">
        <v>323</v>
      </c>
      <c r="X6" s="360">
        <v>45672</v>
      </c>
      <c r="Y6" s="352" t="s">
        <v>320</v>
      </c>
      <c r="Z6" s="228" t="s">
        <v>320</v>
      </c>
      <c r="AA6" s="228" t="s">
        <v>320</v>
      </c>
      <c r="AB6" s="216"/>
    </row>
    <row r="7" spans="1:28" ht="36" customHeight="1">
      <c r="A7" s="369">
        <v>6</v>
      </c>
      <c r="B7" s="369" t="str">
        <f>Dashboard!$J$1</f>
        <v>Donor Wave</v>
      </c>
      <c r="C7" s="372">
        <f ca="1">Dashboard!$F$1</f>
        <v>46149</v>
      </c>
      <c r="D7" s="430">
        <f ca="1">Dashboard!$H$1</f>
        <v>46163</v>
      </c>
      <c r="E7" s="257" t="s">
        <v>88</v>
      </c>
      <c r="F7" s="257" t="s">
        <v>1026</v>
      </c>
      <c r="G7" s="431" t="s">
        <v>1308</v>
      </c>
      <c r="H7" s="203" t="s">
        <v>1309</v>
      </c>
      <c r="I7" s="433" t="s">
        <v>13</v>
      </c>
      <c r="J7" s="228">
        <v>2</v>
      </c>
      <c r="K7" s="369">
        <v>2</v>
      </c>
      <c r="L7" s="369"/>
      <c r="M7" s="229" t="s">
        <v>318</v>
      </c>
      <c r="N7" s="329" t="s">
        <v>448</v>
      </c>
      <c r="O7" s="327" t="s">
        <v>320</v>
      </c>
      <c r="P7" s="250" t="s">
        <v>448</v>
      </c>
      <c r="Q7" s="228" t="s">
        <v>320</v>
      </c>
      <c r="R7" s="200" t="s">
        <v>1310</v>
      </c>
      <c r="S7" s="372">
        <v>45671</v>
      </c>
      <c r="T7" s="373">
        <v>45672</v>
      </c>
      <c r="U7" s="327" t="s">
        <v>322</v>
      </c>
      <c r="V7" s="370" t="s">
        <v>320</v>
      </c>
      <c r="W7" s="327" t="s">
        <v>323</v>
      </c>
      <c r="X7" s="373">
        <v>45672</v>
      </c>
      <c r="Y7" s="370" t="s">
        <v>320</v>
      </c>
      <c r="Z7" s="327" t="s">
        <v>320</v>
      </c>
      <c r="AA7" s="327" t="s">
        <v>320</v>
      </c>
      <c r="AB7" s="388"/>
    </row>
    <row r="8" spans="1:28" ht="31.5" customHeight="1">
      <c r="A8" s="369">
        <v>7</v>
      </c>
      <c r="B8" s="369" t="str">
        <f>Dashboard!$J$1</f>
        <v>Donor Wave</v>
      </c>
      <c r="C8" s="372">
        <f ca="1">Dashboard!$F$1</f>
        <v>46149</v>
      </c>
      <c r="D8" s="430">
        <f ca="1">Dashboard!$H$1</f>
        <v>46163</v>
      </c>
      <c r="E8" s="62" t="s">
        <v>88</v>
      </c>
      <c r="F8" s="62" t="s">
        <v>1026</v>
      </c>
      <c r="G8" s="247" t="s">
        <v>1311</v>
      </c>
      <c r="H8" s="137" t="s">
        <v>1312</v>
      </c>
      <c r="I8" s="433" t="s">
        <v>13</v>
      </c>
      <c r="J8" s="181">
        <v>2</v>
      </c>
      <c r="K8" s="327">
        <v>2</v>
      </c>
      <c r="L8" s="327"/>
      <c r="M8" s="229" t="s">
        <v>318</v>
      </c>
      <c r="N8" s="329" t="s">
        <v>1022</v>
      </c>
      <c r="O8" s="327" t="s">
        <v>320</v>
      </c>
      <c r="P8" s="250" t="s">
        <v>1022</v>
      </c>
      <c r="Q8" s="228" t="s">
        <v>320</v>
      </c>
      <c r="R8" s="200" t="s">
        <v>1313</v>
      </c>
      <c r="S8" s="372">
        <v>45671</v>
      </c>
      <c r="T8" s="373">
        <v>45672</v>
      </c>
      <c r="U8" s="327" t="s">
        <v>448</v>
      </c>
      <c r="V8" s="370" t="s">
        <v>320</v>
      </c>
      <c r="W8" s="327" t="s">
        <v>323</v>
      </c>
      <c r="X8" s="373">
        <v>45671</v>
      </c>
      <c r="Y8" s="370" t="s">
        <v>320</v>
      </c>
      <c r="Z8" s="327" t="s">
        <v>320</v>
      </c>
      <c r="AA8" s="327" t="s">
        <v>320</v>
      </c>
      <c r="AB8" s="388"/>
    </row>
    <row r="9" spans="1:28">
      <c r="A9" s="369"/>
      <c r="B9" s="369"/>
      <c r="C9" s="372"/>
      <c r="D9" s="372"/>
      <c r="G9" s="229"/>
      <c r="I9" s="327"/>
      <c r="K9" s="327"/>
      <c r="L9" s="327"/>
      <c r="M9" s="229"/>
      <c r="N9" s="329"/>
      <c r="O9" s="327"/>
      <c r="P9" s="229"/>
      <c r="R9" s="432"/>
      <c r="S9" s="373"/>
      <c r="T9" s="373"/>
      <c r="U9" s="327"/>
      <c r="V9" s="370"/>
      <c r="W9" s="327"/>
      <c r="X9" s="373"/>
      <c r="Y9" s="370"/>
      <c r="Z9" s="327"/>
      <c r="AA9" s="327"/>
      <c r="AB9" s="249"/>
    </row>
  </sheetData>
  <dataValidations count="1">
    <dataValidation type="list" allowBlank="1" showErrorMessage="1" sqref="I2:I8" xr:uid="{FA8E1CDE-D4EB-421D-9FCF-B1895038655C}">
      <formula1>"Refinement,Ready,Being Developed,Peer Review,,Verify,Ready for testing,Being Tested,Completed"</formula1>
    </dataValidation>
  </dataValidations>
  <hyperlinks>
    <hyperlink ref="R5" r:id="rId1" xr:uid="{4D232A8B-DAC3-4D59-A6DB-F9CB53EB65EA}"/>
    <hyperlink ref="R6" r:id="rId2" xr:uid="{5019562D-D92D-4771-B2FD-6E0139178E17}"/>
    <hyperlink ref="R7" r:id="rId3" xr:uid="{858CAC83-29CE-42C5-B70A-DC9A23BB250A}"/>
    <hyperlink ref="R8" r:id="rId4" xr:uid="{F07C4771-0E78-4C20-85EF-13F2E1EC4910}"/>
    <hyperlink ref="R4" r:id="rId5" xr:uid="{6774ABEC-B2D1-4B70-8CBF-AE6F022E4523}"/>
  </hyperlinks>
  <pageMargins left="0.7" right="0.7" top="0.75" bottom="0.75" header="0.3" footer="0.3"/>
  <tableParts count="1">
    <tablePart r:id="rId6"/>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2B2B3-D604-4D49-9EE1-7D0A8EF5F0DE}">
  <dimension ref="A1:Z2"/>
  <sheetViews>
    <sheetView workbookViewId="0">
      <selection sqref="A1:K2"/>
    </sheetView>
  </sheetViews>
  <sheetFormatPr defaultRowHeight="12.75"/>
  <cols>
    <col min="1" max="1" width="9.42578125" customWidth="1"/>
    <col min="2" max="2" width="29.7109375" customWidth="1"/>
    <col min="3" max="3" width="17.5703125" customWidth="1"/>
    <col min="4" max="4" width="12.28515625" customWidth="1"/>
    <col min="5" max="5" width="15.5703125" customWidth="1"/>
    <col min="6" max="6" width="54.85546875" customWidth="1"/>
    <col min="7" max="7" width="13.7109375" customWidth="1"/>
    <col min="8" max="8" width="10" customWidth="1"/>
    <col min="9" max="9" width="12" customWidth="1"/>
    <col min="10" max="10" width="14.7109375" customWidth="1"/>
    <col min="11" max="11" width="22.85546875" customWidth="1"/>
  </cols>
  <sheetData>
    <row r="1" spans="1:26" ht="25.5">
      <c r="A1" s="59" t="s">
        <v>248</v>
      </c>
      <c r="B1" s="154" t="s">
        <v>11</v>
      </c>
      <c r="C1" s="155" t="s">
        <v>306</v>
      </c>
      <c r="D1" s="154" t="s">
        <v>250</v>
      </c>
      <c r="E1" s="155" t="s">
        <v>308</v>
      </c>
      <c r="F1" s="155" t="s">
        <v>309</v>
      </c>
      <c r="G1" s="154" t="s">
        <v>310</v>
      </c>
      <c r="H1" s="154" t="s">
        <v>312</v>
      </c>
      <c r="I1" s="154" t="s">
        <v>253</v>
      </c>
      <c r="J1" s="156" t="s">
        <v>313</v>
      </c>
      <c r="K1" s="157" t="s">
        <v>274</v>
      </c>
      <c r="L1" s="35"/>
      <c r="M1" s="35"/>
      <c r="N1" s="35"/>
      <c r="O1" s="35"/>
      <c r="P1" s="35"/>
      <c r="Q1" s="35"/>
      <c r="R1" s="35"/>
      <c r="S1" s="35"/>
      <c r="T1" s="35"/>
      <c r="U1" s="35"/>
      <c r="V1" s="35"/>
      <c r="W1" s="35"/>
      <c r="X1" s="35"/>
      <c r="Y1" s="35"/>
      <c r="Z1" s="35"/>
    </row>
    <row r="2" spans="1:26">
      <c r="A2" s="61"/>
      <c r="B2" s="203"/>
      <c r="C2" s="58"/>
      <c r="D2" s="304"/>
      <c r="E2" s="41"/>
      <c r="F2" s="216"/>
      <c r="G2" s="19"/>
      <c r="H2" s="41"/>
      <c r="I2" s="41"/>
      <c r="J2" s="41"/>
      <c r="K2" s="19"/>
    </row>
  </sheetData>
  <dataValidations count="4">
    <dataValidation type="list" allowBlank="1" showErrorMessage="1" sqref="E2" xr:uid="{F94E3D1C-EB70-4148-A4BE-43C6AA824C01}">
      <formula1>"Bounceback,Defect,None"</formula1>
    </dataValidation>
    <dataValidation type="list" allowBlank="1" showErrorMessage="1" sqref="H2" xr:uid="{90333CEA-C465-464C-A608-09B136A81610}">
      <formula1>"Internal,External"</formula1>
    </dataValidation>
    <dataValidation type="list" allowBlank="1" showErrorMessage="1" sqref="I2" xr:uid="{997C3530-12C6-4FFF-9943-E95C5A66F93C}">
      <formula1>"Open,Inprogress,Closed"</formula1>
    </dataValidation>
    <dataValidation type="list" allowBlank="1" showErrorMessage="1" sqref="G2" xr:uid="{6BFE9D96-84BF-47B8-8A12-029D9FC403DD}">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F3A5DC70-8BAB-4647-AE93-FD265D7AC74C}">
          <x14:formula1>
            <xm:f>Details!$A$2:$A$10</xm:f>
          </x14:formula1>
          <xm:sqref>J2</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802FB-568E-4D25-A27E-F0F7F6A5F3DF}">
  <dimension ref="A1:ABY11"/>
  <sheetViews>
    <sheetView workbookViewId="0">
      <pane xSplit="7" ySplit="1" topLeftCell="H9" activePane="bottomRight" state="frozen"/>
      <selection pane="bottomRight"/>
      <selection pane="bottomLeft"/>
      <selection pane="topRight"/>
    </sheetView>
  </sheetViews>
  <sheetFormatPr defaultRowHeight="12.75"/>
  <cols>
    <col min="2" max="2" width="13.28515625" customWidth="1"/>
    <col min="3" max="3" width="10.7109375" customWidth="1"/>
    <col min="4" max="4" width="12.140625" customWidth="1"/>
    <col min="5" max="5" width="27.5703125" customWidth="1"/>
    <col min="6" max="6" width="14.42578125" customWidth="1"/>
    <col min="7" max="7" width="11.42578125" bestFit="1" customWidth="1"/>
    <col min="8" max="8" width="41.7109375" style="137" customWidth="1"/>
    <col min="9" max="9" width="14.28515625" customWidth="1"/>
    <col min="10" max="11" width="11.42578125" bestFit="1" customWidth="1"/>
    <col min="12" max="12" width="11.42578125" customWidth="1"/>
    <col min="13" max="13" width="13.140625" customWidth="1"/>
    <col min="14" max="14" width="13.42578125" style="144" customWidth="1"/>
    <col min="15" max="15" width="15.42578125" customWidth="1"/>
    <col min="16" max="16" width="16.42578125" customWidth="1"/>
    <col min="17" max="17" width="14.85546875" customWidth="1"/>
    <col min="18" max="18" width="11.42578125" style="144" bestFit="1" customWidth="1"/>
    <col min="19" max="20" width="12.7109375" bestFit="1" customWidth="1"/>
    <col min="21" max="21" width="11.42578125" bestFit="1" customWidth="1"/>
    <col min="22" max="22" width="11.42578125" style="144" bestFit="1" customWidth="1"/>
    <col min="23" max="23" width="11.42578125" bestFit="1" customWidth="1"/>
    <col min="24" max="24" width="12.7109375" bestFit="1" customWidth="1"/>
    <col min="25" max="27" width="11.42578125" bestFit="1" customWidth="1"/>
    <col min="28" max="28" width="27.42578125" customWidth="1"/>
  </cols>
  <sheetData>
    <row r="1" spans="1:753" ht="47.25">
      <c r="A1" s="379" t="s">
        <v>248</v>
      </c>
      <c r="B1" s="404" t="s">
        <v>4</v>
      </c>
      <c r="C1" s="404" t="s">
        <v>2</v>
      </c>
      <c r="D1" s="404" t="s">
        <v>3</v>
      </c>
      <c r="E1" s="380" t="s">
        <v>249</v>
      </c>
      <c r="F1" s="381" t="s">
        <v>250</v>
      </c>
      <c r="G1" s="382" t="s">
        <v>251</v>
      </c>
      <c r="H1" s="383" t="s">
        <v>252</v>
      </c>
      <c r="I1" s="383" t="s">
        <v>253</v>
      </c>
      <c r="J1" s="384" t="s">
        <v>254</v>
      </c>
      <c r="K1" s="384" t="s">
        <v>255</v>
      </c>
      <c r="L1" s="384" t="s">
        <v>513</v>
      </c>
      <c r="M1" s="385" t="s">
        <v>259</v>
      </c>
      <c r="N1" s="385" t="s">
        <v>260</v>
      </c>
      <c r="O1" s="385" t="s">
        <v>261</v>
      </c>
      <c r="P1" s="385" t="s">
        <v>262</v>
      </c>
      <c r="Q1" s="385" t="s">
        <v>263</v>
      </c>
      <c r="R1" s="385" t="s">
        <v>264</v>
      </c>
      <c r="S1" s="385" t="s">
        <v>265</v>
      </c>
      <c r="T1" s="385" t="s">
        <v>266</v>
      </c>
      <c r="U1" s="385" t="s">
        <v>267</v>
      </c>
      <c r="V1" s="385" t="s">
        <v>268</v>
      </c>
      <c r="W1" s="385" t="s">
        <v>269</v>
      </c>
      <c r="X1" s="385" t="s">
        <v>270</v>
      </c>
      <c r="Y1" s="385" t="s">
        <v>271</v>
      </c>
      <c r="Z1" s="385" t="s">
        <v>272</v>
      </c>
      <c r="AA1" s="385" t="s">
        <v>273</v>
      </c>
      <c r="AB1" s="386" t="s">
        <v>274</v>
      </c>
    </row>
    <row r="2" spans="1:753" s="256" customFormat="1" ht="38.25" customHeight="1">
      <c r="A2" s="357">
        <v>1</v>
      </c>
      <c r="B2" s="405" t="str">
        <f>Dashboard!$J$1</f>
        <v>Donor Wave</v>
      </c>
      <c r="C2" s="406">
        <f ca="1">Dashboard!$F$1</f>
        <v>46149</v>
      </c>
      <c r="D2" s="406">
        <f ca="1">Dashboard!$H$1</f>
        <v>46163</v>
      </c>
      <c r="E2" s="62" t="s">
        <v>1314</v>
      </c>
      <c r="F2" s="62" t="s">
        <v>1031</v>
      </c>
      <c r="G2" s="62" t="s">
        <v>1294</v>
      </c>
      <c r="H2" s="90" t="s">
        <v>1295</v>
      </c>
      <c r="I2" s="391" t="s">
        <v>1315</v>
      </c>
      <c r="J2" s="228">
        <v>3</v>
      </c>
      <c r="K2" s="228"/>
      <c r="L2" s="228"/>
      <c r="M2" s="62"/>
      <c r="N2" s="316"/>
      <c r="O2" s="228"/>
      <c r="P2" s="62"/>
      <c r="Q2" s="352"/>
      <c r="R2" s="279"/>
      <c r="S2" s="359"/>
      <c r="T2" s="359"/>
      <c r="U2" s="352"/>
      <c r="V2" s="352"/>
      <c r="W2" s="228"/>
      <c r="X2" s="360"/>
      <c r="Y2" s="228"/>
      <c r="Z2" s="327"/>
      <c r="AA2" s="327"/>
      <c r="AB2" s="376" t="s">
        <v>1316</v>
      </c>
    </row>
    <row r="3" spans="1:753" s="137" customFormat="1" ht="41.25" customHeight="1">
      <c r="A3" s="357">
        <v>2</v>
      </c>
      <c r="B3" s="357" t="str">
        <f>Dashboard!$J$1</f>
        <v>Donor Wave</v>
      </c>
      <c r="C3" s="407">
        <f ca="1">Dashboard!$F$1</f>
        <v>46149</v>
      </c>
      <c r="D3" s="407">
        <f ca="1">Dashboard!$H$1</f>
        <v>46163</v>
      </c>
      <c r="E3" s="62" t="s">
        <v>84</v>
      </c>
      <c r="F3" s="203" t="s">
        <v>1035</v>
      </c>
      <c r="G3" s="229" t="s">
        <v>1317</v>
      </c>
      <c r="H3" s="305" t="s">
        <v>1318</v>
      </c>
      <c r="I3" s="391" t="s">
        <v>13</v>
      </c>
      <c r="J3" s="228">
        <v>2</v>
      </c>
      <c r="K3" s="228">
        <v>2</v>
      </c>
      <c r="L3" s="228"/>
      <c r="M3" s="62" t="s">
        <v>318</v>
      </c>
      <c r="N3" s="335" t="s">
        <v>1022</v>
      </c>
      <c r="O3" s="228" t="s">
        <v>320</v>
      </c>
      <c r="P3" s="62" t="s">
        <v>448</v>
      </c>
      <c r="Q3" s="352" t="s">
        <v>1319</v>
      </c>
      <c r="R3" s="392" t="s">
        <v>1320</v>
      </c>
      <c r="S3" s="360">
        <v>45635</v>
      </c>
      <c r="T3" s="360">
        <v>45635</v>
      </c>
      <c r="U3" s="228" t="s">
        <v>448</v>
      </c>
      <c r="V3" s="352" t="s">
        <v>579</v>
      </c>
      <c r="W3" s="228" t="s">
        <v>1321</v>
      </c>
      <c r="X3" s="360">
        <v>45636</v>
      </c>
      <c r="Y3" s="362" t="s">
        <v>320</v>
      </c>
      <c r="Z3" s="363" t="s">
        <v>320</v>
      </c>
      <c r="AA3" s="363" t="s">
        <v>320</v>
      </c>
      <c r="AB3" s="377"/>
    </row>
    <row r="4" spans="1:753" ht="36.75" customHeight="1">
      <c r="A4" s="357">
        <v>3</v>
      </c>
      <c r="B4" s="357" t="str">
        <f>Dashboard!$J$1</f>
        <v>Donor Wave</v>
      </c>
      <c r="C4" s="407">
        <f ca="1">Dashboard!$F$1</f>
        <v>46149</v>
      </c>
      <c r="D4" s="407">
        <f ca="1">Dashboard!$H$1</f>
        <v>46163</v>
      </c>
      <c r="E4" s="62" t="s">
        <v>84</v>
      </c>
      <c r="F4" s="203" t="s">
        <v>1322</v>
      </c>
      <c r="G4" s="229" t="s">
        <v>1323</v>
      </c>
      <c r="H4" s="305" t="s">
        <v>1324</v>
      </c>
      <c r="I4" s="391" t="s">
        <v>13</v>
      </c>
      <c r="J4" s="228">
        <v>3</v>
      </c>
      <c r="K4" s="228">
        <v>3</v>
      </c>
      <c r="L4" s="327"/>
      <c r="M4" s="229" t="s">
        <v>318</v>
      </c>
      <c r="N4" s="305" t="s">
        <v>1325</v>
      </c>
      <c r="O4" s="327" t="s">
        <v>320</v>
      </c>
      <c r="P4" s="229" t="s">
        <v>1326</v>
      </c>
      <c r="Q4" s="374" t="s">
        <v>320</v>
      </c>
      <c r="R4" s="271" t="s">
        <v>1327</v>
      </c>
      <c r="S4" s="373">
        <v>45635</v>
      </c>
      <c r="T4" s="373">
        <v>45635</v>
      </c>
      <c r="U4" s="327" t="s">
        <v>1326</v>
      </c>
      <c r="V4" s="370" t="s">
        <v>320</v>
      </c>
      <c r="W4" s="327" t="s">
        <v>1173</v>
      </c>
      <c r="X4" s="373">
        <v>45636</v>
      </c>
      <c r="Y4" s="352" t="s">
        <v>320</v>
      </c>
      <c r="Z4" s="228" t="s">
        <v>320</v>
      </c>
      <c r="AA4" s="228" t="s">
        <v>320</v>
      </c>
      <c r="AB4" s="377"/>
      <c r="AC4" s="137"/>
      <c r="AD4" s="137"/>
      <c r="AE4" s="137"/>
      <c r="AF4" s="137"/>
      <c r="AG4" s="137"/>
      <c r="AH4" s="137"/>
      <c r="AI4" s="137"/>
      <c r="AJ4" s="137"/>
      <c r="AK4" s="137"/>
      <c r="AL4" s="137"/>
      <c r="AM4" s="137"/>
      <c r="AN4" s="137"/>
      <c r="AO4" s="137"/>
      <c r="AP4" s="137"/>
      <c r="AQ4" s="137"/>
      <c r="AR4" s="137"/>
      <c r="AS4" s="137"/>
      <c r="AT4" s="137"/>
      <c r="AU4" s="137"/>
      <c r="AV4" s="137"/>
      <c r="AW4" s="137"/>
      <c r="AX4" s="137"/>
      <c r="AY4" s="137"/>
      <c r="AZ4" s="137"/>
      <c r="BA4" s="137"/>
      <c r="BB4" s="137"/>
      <c r="BC4" s="137"/>
      <c r="BD4" s="137"/>
      <c r="BE4" s="137"/>
      <c r="BF4" s="137"/>
      <c r="BG4" s="137"/>
      <c r="BH4" s="137"/>
      <c r="BI4" s="137"/>
      <c r="BJ4" s="137"/>
      <c r="BK4" s="137"/>
      <c r="BL4" s="137"/>
      <c r="BM4" s="137"/>
      <c r="BN4" s="137"/>
      <c r="BO4" s="137"/>
      <c r="BP4" s="137"/>
      <c r="BQ4" s="137"/>
      <c r="BR4" s="137"/>
      <c r="BS4" s="137"/>
      <c r="BT4" s="137"/>
      <c r="BU4" s="137"/>
      <c r="BV4" s="137"/>
      <c r="BW4" s="137"/>
      <c r="BX4" s="137"/>
      <c r="BY4" s="137"/>
      <c r="BZ4" s="137"/>
      <c r="CA4" s="137"/>
      <c r="CB4" s="137"/>
      <c r="CC4" s="137"/>
      <c r="CD4" s="137"/>
      <c r="CE4" s="137"/>
      <c r="CF4" s="137"/>
      <c r="CG4" s="137"/>
      <c r="CH4" s="137"/>
      <c r="CI4" s="137"/>
      <c r="CJ4" s="137"/>
      <c r="CK4" s="137"/>
      <c r="CL4" s="137"/>
      <c r="CM4" s="137"/>
      <c r="CN4" s="137"/>
      <c r="CO4" s="137"/>
      <c r="CP4" s="137"/>
      <c r="CQ4" s="137"/>
      <c r="CR4" s="137"/>
      <c r="CS4" s="137"/>
      <c r="CT4" s="137"/>
      <c r="CU4" s="137"/>
      <c r="CV4" s="137"/>
      <c r="CW4" s="137"/>
      <c r="CX4" s="137"/>
      <c r="CY4" s="137"/>
      <c r="CZ4" s="137"/>
      <c r="DA4" s="137"/>
      <c r="DB4" s="137"/>
      <c r="DC4" s="137"/>
      <c r="DD4" s="137"/>
      <c r="DE4" s="137"/>
      <c r="DF4" s="137"/>
      <c r="DG4" s="137"/>
      <c r="DH4" s="137"/>
      <c r="DI4" s="137"/>
      <c r="DJ4" s="137"/>
      <c r="DK4" s="137"/>
      <c r="DL4" s="137"/>
      <c r="DM4" s="137"/>
      <c r="DN4" s="137"/>
      <c r="DO4" s="137"/>
      <c r="DP4" s="137"/>
      <c r="DQ4" s="137"/>
      <c r="DR4" s="137"/>
      <c r="DS4" s="137"/>
      <c r="DT4" s="137"/>
      <c r="DU4" s="137"/>
      <c r="DV4" s="137"/>
      <c r="DW4" s="137"/>
      <c r="DX4" s="137"/>
      <c r="DY4" s="137"/>
      <c r="DZ4" s="137"/>
      <c r="EA4" s="137"/>
      <c r="EB4" s="137"/>
      <c r="EC4" s="137"/>
      <c r="ED4" s="137"/>
      <c r="EE4" s="137"/>
      <c r="EF4" s="137"/>
      <c r="EG4" s="137"/>
      <c r="EH4" s="137"/>
      <c r="EI4" s="137"/>
      <c r="EJ4" s="137"/>
      <c r="EK4" s="137"/>
      <c r="EL4" s="137"/>
      <c r="EM4" s="137"/>
      <c r="EN4" s="137"/>
      <c r="EO4" s="137"/>
      <c r="EP4" s="137"/>
      <c r="EQ4" s="137"/>
      <c r="ER4" s="137"/>
      <c r="ES4" s="137"/>
      <c r="ET4" s="137"/>
      <c r="EU4" s="137"/>
      <c r="EV4" s="137"/>
      <c r="EW4" s="137"/>
      <c r="EX4" s="137"/>
      <c r="EY4" s="137"/>
      <c r="EZ4" s="137"/>
      <c r="FA4" s="137"/>
      <c r="FB4" s="137"/>
      <c r="FC4" s="137"/>
      <c r="FD4" s="137"/>
      <c r="FE4" s="137"/>
      <c r="FF4" s="137"/>
      <c r="FG4" s="137"/>
      <c r="FH4" s="137"/>
      <c r="FI4" s="137"/>
      <c r="FJ4" s="137"/>
      <c r="FK4" s="137"/>
      <c r="FL4" s="137"/>
      <c r="FM4" s="137"/>
      <c r="FN4" s="137"/>
      <c r="FO4" s="137"/>
      <c r="FP4" s="137"/>
      <c r="FQ4" s="137"/>
      <c r="FR4" s="137"/>
      <c r="FS4" s="137"/>
      <c r="FT4" s="137"/>
      <c r="FU4" s="137"/>
      <c r="FV4" s="137"/>
      <c r="FW4" s="137"/>
      <c r="FX4" s="137"/>
      <c r="FY4" s="137"/>
      <c r="FZ4" s="137"/>
      <c r="GA4" s="137"/>
      <c r="GB4" s="137"/>
      <c r="GC4" s="137"/>
      <c r="GD4" s="137"/>
      <c r="GE4" s="137"/>
      <c r="GF4" s="137"/>
      <c r="GG4" s="137"/>
      <c r="GH4" s="137"/>
      <c r="GI4" s="137"/>
      <c r="GJ4" s="137"/>
      <c r="GK4" s="137"/>
      <c r="GL4" s="137"/>
      <c r="GM4" s="137"/>
      <c r="GN4" s="137"/>
      <c r="GO4" s="137"/>
      <c r="GP4" s="137"/>
      <c r="GQ4" s="137"/>
      <c r="GR4" s="137"/>
      <c r="GS4" s="137"/>
      <c r="GT4" s="137"/>
      <c r="GU4" s="137"/>
      <c r="GV4" s="137"/>
      <c r="GW4" s="137"/>
      <c r="GX4" s="137"/>
      <c r="GY4" s="137"/>
      <c r="GZ4" s="137"/>
      <c r="HA4" s="137"/>
      <c r="HB4" s="137"/>
      <c r="HC4" s="137"/>
      <c r="HD4" s="137"/>
      <c r="HE4" s="137"/>
      <c r="HF4" s="137"/>
      <c r="HG4" s="137"/>
      <c r="HH4" s="137"/>
      <c r="HI4" s="137"/>
      <c r="HJ4" s="137"/>
      <c r="HK4" s="137"/>
      <c r="HL4" s="137"/>
      <c r="HM4" s="137"/>
      <c r="HN4" s="137"/>
      <c r="HO4" s="137"/>
      <c r="HP4" s="137"/>
      <c r="HQ4" s="137"/>
      <c r="HR4" s="137"/>
      <c r="HS4" s="137"/>
      <c r="HT4" s="137"/>
      <c r="HU4" s="137"/>
      <c r="HV4" s="137"/>
      <c r="HW4" s="137"/>
      <c r="HX4" s="137"/>
      <c r="HY4" s="137"/>
      <c r="HZ4" s="137"/>
      <c r="IA4" s="137"/>
      <c r="IB4" s="137"/>
      <c r="IC4" s="137"/>
      <c r="ID4" s="137"/>
      <c r="IE4" s="137"/>
      <c r="IF4" s="137"/>
      <c r="IG4" s="137"/>
      <c r="IH4" s="137"/>
      <c r="II4" s="137"/>
      <c r="IJ4" s="137"/>
      <c r="IK4" s="137"/>
      <c r="IL4" s="137"/>
      <c r="IM4" s="137"/>
      <c r="IN4" s="137"/>
      <c r="IO4" s="137"/>
      <c r="IP4" s="137"/>
      <c r="IQ4" s="137"/>
      <c r="IR4" s="137"/>
      <c r="IS4" s="137"/>
      <c r="IT4" s="137"/>
      <c r="IU4" s="137"/>
      <c r="IV4" s="137"/>
      <c r="IW4" s="137"/>
      <c r="IX4" s="137"/>
      <c r="IY4" s="137"/>
      <c r="IZ4" s="137"/>
      <c r="JA4" s="137"/>
      <c r="JB4" s="137"/>
      <c r="JC4" s="137"/>
      <c r="JD4" s="137"/>
      <c r="JE4" s="137"/>
      <c r="JF4" s="137"/>
      <c r="JG4" s="137"/>
      <c r="JH4" s="137"/>
      <c r="JI4" s="137"/>
      <c r="JJ4" s="137"/>
      <c r="JK4" s="137"/>
      <c r="JL4" s="137"/>
      <c r="JM4" s="137"/>
      <c r="JN4" s="137"/>
      <c r="JO4" s="137"/>
      <c r="JP4" s="137"/>
      <c r="JQ4" s="137"/>
      <c r="JR4" s="137"/>
      <c r="JS4" s="137"/>
      <c r="JT4" s="137"/>
      <c r="JU4" s="137"/>
      <c r="JV4" s="137"/>
      <c r="JW4" s="137"/>
      <c r="JX4" s="137"/>
      <c r="JY4" s="137"/>
      <c r="JZ4" s="137"/>
      <c r="KA4" s="137"/>
      <c r="KB4" s="137"/>
      <c r="KC4" s="137"/>
      <c r="KD4" s="137"/>
      <c r="KE4" s="137"/>
      <c r="KF4" s="137"/>
      <c r="KG4" s="137"/>
      <c r="KH4" s="137"/>
      <c r="KI4" s="137"/>
      <c r="KJ4" s="137"/>
      <c r="KK4" s="137"/>
      <c r="KL4" s="137"/>
      <c r="KM4" s="137"/>
      <c r="KN4" s="137"/>
      <c r="KO4" s="137"/>
      <c r="KP4" s="137"/>
      <c r="KQ4" s="137"/>
      <c r="KR4" s="137"/>
      <c r="KS4" s="137"/>
      <c r="KT4" s="137"/>
      <c r="KU4" s="137"/>
      <c r="KV4" s="137"/>
      <c r="KW4" s="137"/>
      <c r="KX4" s="137"/>
      <c r="KY4" s="137"/>
      <c r="KZ4" s="137"/>
      <c r="LA4" s="137"/>
      <c r="LB4" s="137"/>
      <c r="LC4" s="137"/>
      <c r="LD4" s="137"/>
      <c r="LE4" s="137"/>
      <c r="LF4" s="137"/>
      <c r="LG4" s="137"/>
      <c r="LH4" s="137"/>
      <c r="LI4" s="137"/>
      <c r="LJ4" s="137"/>
      <c r="LK4" s="137"/>
      <c r="LL4" s="137"/>
      <c r="LM4" s="137"/>
      <c r="LN4" s="137"/>
      <c r="LO4" s="137"/>
      <c r="LP4" s="137"/>
      <c r="LQ4" s="137"/>
      <c r="LR4" s="137"/>
      <c r="LS4" s="137"/>
      <c r="LT4" s="137"/>
      <c r="LU4" s="137"/>
      <c r="LV4" s="137"/>
      <c r="LW4" s="137"/>
      <c r="LX4" s="137"/>
      <c r="LY4" s="137"/>
      <c r="LZ4" s="137"/>
      <c r="MA4" s="137"/>
      <c r="MB4" s="137"/>
      <c r="MC4" s="137"/>
      <c r="MD4" s="137"/>
      <c r="ME4" s="137"/>
      <c r="MF4" s="137"/>
      <c r="MG4" s="137"/>
      <c r="MH4" s="137"/>
      <c r="MI4" s="137"/>
      <c r="MJ4" s="137"/>
      <c r="MK4" s="137"/>
      <c r="ML4" s="137"/>
      <c r="MM4" s="137"/>
      <c r="MN4" s="137"/>
      <c r="MO4" s="137"/>
      <c r="MP4" s="137"/>
      <c r="MQ4" s="137"/>
      <c r="MR4" s="137"/>
      <c r="MS4" s="137"/>
      <c r="MT4" s="137"/>
      <c r="MU4" s="137"/>
      <c r="MV4" s="137"/>
      <c r="MW4" s="137"/>
      <c r="MX4" s="137"/>
      <c r="MY4" s="137"/>
      <c r="MZ4" s="137"/>
      <c r="NA4" s="137"/>
      <c r="NB4" s="137"/>
      <c r="NC4" s="137"/>
      <c r="ND4" s="137"/>
      <c r="NE4" s="137"/>
      <c r="NF4" s="137"/>
      <c r="NG4" s="137"/>
      <c r="NH4" s="137"/>
      <c r="NI4" s="137"/>
      <c r="NJ4" s="137"/>
      <c r="NK4" s="137"/>
      <c r="NL4" s="137"/>
      <c r="NM4" s="137"/>
      <c r="NN4" s="137"/>
      <c r="NO4" s="137"/>
      <c r="NP4" s="137"/>
      <c r="NQ4" s="137"/>
      <c r="NR4" s="137"/>
      <c r="NS4" s="137"/>
      <c r="NT4" s="137"/>
      <c r="NU4" s="137"/>
      <c r="NV4" s="137"/>
      <c r="NW4" s="137"/>
      <c r="NX4" s="137"/>
      <c r="NY4" s="137"/>
      <c r="NZ4" s="137"/>
      <c r="OA4" s="137"/>
      <c r="OB4" s="137"/>
      <c r="OC4" s="137"/>
      <c r="OD4" s="137"/>
      <c r="OE4" s="137"/>
      <c r="OF4" s="137"/>
      <c r="OG4" s="137"/>
      <c r="OH4" s="137"/>
      <c r="OI4" s="137"/>
      <c r="OJ4" s="137"/>
      <c r="OK4" s="137"/>
      <c r="OL4" s="137"/>
      <c r="OM4" s="137"/>
      <c r="ON4" s="137"/>
      <c r="OO4" s="137"/>
      <c r="OP4" s="137"/>
      <c r="OQ4" s="137"/>
      <c r="OR4" s="137"/>
      <c r="OS4" s="137"/>
      <c r="OT4" s="137"/>
      <c r="OU4" s="137"/>
      <c r="OV4" s="137"/>
      <c r="OW4" s="137"/>
      <c r="OX4" s="137"/>
      <c r="OY4" s="137"/>
      <c r="OZ4" s="137"/>
      <c r="PA4" s="137"/>
      <c r="PB4" s="137"/>
      <c r="PC4" s="137"/>
      <c r="PD4" s="137"/>
      <c r="PE4" s="137"/>
      <c r="PF4" s="137"/>
      <c r="PG4" s="137"/>
      <c r="PH4" s="137"/>
      <c r="PI4" s="137"/>
      <c r="PJ4" s="137"/>
      <c r="PK4" s="137"/>
      <c r="PL4" s="137"/>
      <c r="PM4" s="137"/>
      <c r="PN4" s="137"/>
      <c r="PO4" s="137"/>
      <c r="PP4" s="137"/>
      <c r="PQ4" s="137"/>
      <c r="PR4" s="137"/>
      <c r="PS4" s="137"/>
      <c r="PT4" s="137"/>
      <c r="PU4" s="137"/>
      <c r="PV4" s="137"/>
      <c r="PW4" s="137"/>
      <c r="PX4" s="137"/>
      <c r="PY4" s="137"/>
      <c r="PZ4" s="137"/>
      <c r="QA4" s="137"/>
      <c r="QB4" s="137"/>
      <c r="QC4" s="137"/>
      <c r="QD4" s="137"/>
      <c r="QE4" s="137"/>
      <c r="QF4" s="137"/>
      <c r="QG4" s="137"/>
      <c r="QH4" s="137"/>
      <c r="QI4" s="137"/>
      <c r="QJ4" s="137"/>
      <c r="QK4" s="137"/>
      <c r="QL4" s="137"/>
      <c r="QM4" s="137"/>
      <c r="QN4" s="137"/>
      <c r="QO4" s="137"/>
      <c r="QP4" s="137"/>
      <c r="QQ4" s="137"/>
      <c r="QR4" s="137"/>
      <c r="QS4" s="137"/>
      <c r="QT4" s="137"/>
      <c r="QU4" s="137"/>
      <c r="QV4" s="137"/>
      <c r="QW4" s="137"/>
      <c r="QX4" s="137"/>
      <c r="QY4" s="137"/>
      <c r="QZ4" s="137"/>
      <c r="RA4" s="137"/>
      <c r="RB4" s="137"/>
      <c r="RC4" s="137"/>
      <c r="RD4" s="137"/>
      <c r="RE4" s="137"/>
      <c r="RF4" s="137"/>
      <c r="RG4" s="137"/>
      <c r="RH4" s="137"/>
      <c r="RI4" s="137"/>
      <c r="RJ4" s="137"/>
      <c r="RK4" s="137"/>
      <c r="RL4" s="137"/>
      <c r="RM4" s="137"/>
      <c r="RN4" s="137"/>
      <c r="RO4" s="137"/>
      <c r="RP4" s="137"/>
      <c r="RQ4" s="137"/>
      <c r="RR4" s="137"/>
      <c r="RS4" s="137"/>
      <c r="RT4" s="137"/>
      <c r="RU4" s="137"/>
      <c r="RV4" s="137"/>
      <c r="RW4" s="137"/>
      <c r="RX4" s="137"/>
      <c r="RY4" s="137"/>
      <c r="RZ4" s="137"/>
      <c r="SA4" s="137"/>
      <c r="SB4" s="137"/>
      <c r="SC4" s="137"/>
      <c r="SD4" s="137"/>
      <c r="SE4" s="137"/>
      <c r="SF4" s="137"/>
      <c r="SG4" s="137"/>
      <c r="SH4" s="137"/>
      <c r="SI4" s="137"/>
      <c r="SJ4" s="137"/>
      <c r="SK4" s="137"/>
      <c r="SL4" s="137"/>
      <c r="SM4" s="137"/>
      <c r="SN4" s="137"/>
      <c r="SO4" s="137"/>
      <c r="SP4" s="137"/>
      <c r="SQ4" s="137"/>
      <c r="SR4" s="137"/>
      <c r="SS4" s="137"/>
      <c r="ST4" s="137"/>
      <c r="SU4" s="137"/>
      <c r="SV4" s="137"/>
      <c r="SW4" s="137"/>
      <c r="SX4" s="137"/>
      <c r="SY4" s="137"/>
      <c r="SZ4" s="137"/>
      <c r="TA4" s="137"/>
      <c r="TB4" s="137"/>
      <c r="TC4" s="137"/>
      <c r="TD4" s="137"/>
      <c r="TE4" s="137"/>
      <c r="TF4" s="137"/>
      <c r="TG4" s="137"/>
      <c r="TH4" s="137"/>
      <c r="TI4" s="137"/>
      <c r="TJ4" s="137"/>
      <c r="TK4" s="137"/>
      <c r="TL4" s="137"/>
      <c r="TM4" s="137"/>
      <c r="TN4" s="137"/>
      <c r="TO4" s="137"/>
      <c r="TP4" s="137"/>
      <c r="TQ4" s="137"/>
      <c r="TR4" s="137"/>
      <c r="TS4" s="137"/>
      <c r="TT4" s="137"/>
      <c r="TU4" s="137"/>
      <c r="TV4" s="137"/>
      <c r="TW4" s="137"/>
      <c r="TX4" s="137"/>
      <c r="TY4" s="137"/>
      <c r="TZ4" s="137"/>
      <c r="UA4" s="137"/>
      <c r="UB4" s="137"/>
      <c r="UC4" s="137"/>
      <c r="UD4" s="137"/>
      <c r="UE4" s="137"/>
      <c r="UF4" s="137"/>
      <c r="UG4" s="137"/>
      <c r="UH4" s="137"/>
      <c r="UI4" s="137"/>
      <c r="UJ4" s="137"/>
      <c r="UK4" s="137"/>
      <c r="UL4" s="137"/>
      <c r="UM4" s="137"/>
      <c r="UN4" s="137"/>
      <c r="UO4" s="137"/>
      <c r="UP4" s="137"/>
      <c r="UQ4" s="137"/>
      <c r="UR4" s="137"/>
      <c r="US4" s="137"/>
      <c r="UT4" s="137"/>
      <c r="UU4" s="137"/>
      <c r="UV4" s="137"/>
      <c r="UW4" s="137"/>
      <c r="UX4" s="137"/>
      <c r="UY4" s="137"/>
      <c r="UZ4" s="137"/>
      <c r="VA4" s="137"/>
      <c r="VB4" s="137"/>
      <c r="VC4" s="137"/>
      <c r="VD4" s="137"/>
      <c r="VE4" s="137"/>
      <c r="VF4" s="137"/>
      <c r="VG4" s="137"/>
      <c r="VH4" s="137"/>
      <c r="VI4" s="137"/>
      <c r="VJ4" s="137"/>
      <c r="VK4" s="137"/>
      <c r="VL4" s="137"/>
      <c r="VM4" s="137"/>
      <c r="VN4" s="137"/>
      <c r="VO4" s="137"/>
      <c r="VP4" s="137"/>
      <c r="VQ4" s="137"/>
      <c r="VR4" s="137"/>
      <c r="VS4" s="137"/>
      <c r="VT4" s="137"/>
      <c r="VU4" s="137"/>
      <c r="VV4" s="137"/>
      <c r="VW4" s="137"/>
      <c r="VX4" s="137"/>
      <c r="VY4" s="137"/>
      <c r="VZ4" s="137"/>
      <c r="WA4" s="137"/>
      <c r="WB4" s="137"/>
      <c r="WC4" s="137"/>
      <c r="WD4" s="137"/>
      <c r="WE4" s="137"/>
      <c r="WF4" s="137"/>
      <c r="WG4" s="137"/>
      <c r="WH4" s="137"/>
      <c r="WI4" s="137"/>
      <c r="WJ4" s="137"/>
      <c r="WK4" s="137"/>
      <c r="WL4" s="137"/>
      <c r="WM4" s="137"/>
      <c r="WN4" s="137"/>
      <c r="WO4" s="137"/>
      <c r="WP4" s="137"/>
      <c r="WQ4" s="137"/>
      <c r="WR4" s="137"/>
      <c r="WS4" s="137"/>
      <c r="WT4" s="137"/>
      <c r="WU4" s="137"/>
      <c r="WV4" s="137"/>
      <c r="WW4" s="137"/>
      <c r="WX4" s="137"/>
      <c r="WY4" s="137"/>
      <c r="WZ4" s="137"/>
      <c r="XA4" s="137"/>
      <c r="XB4" s="137"/>
      <c r="XC4" s="137"/>
      <c r="XD4" s="137"/>
      <c r="XE4" s="137"/>
      <c r="XF4" s="137"/>
      <c r="XG4" s="137"/>
      <c r="XH4" s="137"/>
      <c r="XI4" s="137"/>
      <c r="XJ4" s="137"/>
      <c r="XK4" s="137"/>
      <c r="XL4" s="137"/>
      <c r="XM4" s="137"/>
      <c r="XN4" s="137"/>
      <c r="XO4" s="137"/>
      <c r="XP4" s="137"/>
      <c r="XQ4" s="137"/>
      <c r="XR4" s="137"/>
      <c r="XS4" s="137"/>
      <c r="XT4" s="137"/>
      <c r="XU4" s="137"/>
      <c r="XV4" s="137"/>
      <c r="XW4" s="137"/>
      <c r="XX4" s="137"/>
      <c r="XY4" s="137"/>
      <c r="XZ4" s="137"/>
      <c r="YA4" s="137"/>
      <c r="YB4" s="137"/>
      <c r="YC4" s="137"/>
      <c r="YD4" s="137"/>
      <c r="YE4" s="137"/>
      <c r="YF4" s="137"/>
      <c r="YG4" s="137"/>
      <c r="YH4" s="137"/>
      <c r="YI4" s="137"/>
      <c r="YJ4" s="137"/>
      <c r="YK4" s="137"/>
      <c r="YL4" s="137"/>
      <c r="YM4" s="137"/>
      <c r="YN4" s="137"/>
      <c r="YO4" s="137"/>
      <c r="YP4" s="137"/>
      <c r="YQ4" s="137"/>
      <c r="YR4" s="137"/>
      <c r="YS4" s="137"/>
      <c r="YT4" s="137"/>
      <c r="YU4" s="137"/>
      <c r="YV4" s="137"/>
      <c r="YW4" s="137"/>
      <c r="YX4" s="137"/>
      <c r="YY4" s="137"/>
      <c r="YZ4" s="137"/>
      <c r="ZA4" s="137"/>
      <c r="ZB4" s="137"/>
      <c r="ZC4" s="137"/>
      <c r="ZD4" s="137"/>
      <c r="ZE4" s="137"/>
      <c r="ZF4" s="137"/>
      <c r="ZG4" s="137"/>
      <c r="ZH4" s="137"/>
      <c r="ZI4" s="137"/>
      <c r="ZJ4" s="137"/>
      <c r="ZK4" s="137"/>
      <c r="ZL4" s="137"/>
      <c r="ZM4" s="137"/>
      <c r="ZN4" s="137"/>
      <c r="ZO4" s="137"/>
      <c r="ZP4" s="137"/>
      <c r="ZQ4" s="137"/>
      <c r="ZR4" s="137"/>
      <c r="ZS4" s="137"/>
      <c r="ZT4" s="137"/>
      <c r="ZU4" s="137"/>
      <c r="ZV4" s="137"/>
      <c r="ZW4" s="137"/>
      <c r="ZX4" s="137"/>
      <c r="ZY4" s="137"/>
      <c r="ZZ4" s="137"/>
      <c r="AAA4" s="137"/>
      <c r="AAB4" s="137"/>
      <c r="AAC4" s="137"/>
      <c r="AAD4" s="137"/>
      <c r="AAE4" s="137"/>
      <c r="AAF4" s="137"/>
      <c r="AAG4" s="137"/>
      <c r="AAH4" s="137"/>
      <c r="AAI4" s="137"/>
      <c r="AAJ4" s="137"/>
      <c r="AAK4" s="137"/>
      <c r="AAL4" s="137"/>
      <c r="AAM4" s="137"/>
      <c r="AAN4" s="137"/>
      <c r="AAO4" s="137"/>
      <c r="AAP4" s="137"/>
      <c r="AAQ4" s="137"/>
      <c r="AAR4" s="137"/>
      <c r="AAS4" s="137"/>
      <c r="AAT4" s="137"/>
      <c r="AAU4" s="137"/>
      <c r="AAV4" s="137"/>
      <c r="AAW4" s="137"/>
      <c r="AAX4" s="137"/>
      <c r="AAY4" s="137"/>
      <c r="AAZ4" s="137"/>
      <c r="ABA4" s="137"/>
      <c r="ABB4" s="137"/>
      <c r="ABC4" s="137"/>
      <c r="ABD4" s="137"/>
      <c r="ABE4" s="137"/>
      <c r="ABF4" s="137"/>
      <c r="ABG4" s="137"/>
      <c r="ABH4" s="137"/>
      <c r="ABI4" s="137"/>
      <c r="ABJ4" s="137"/>
      <c r="ABK4" s="137"/>
      <c r="ABL4" s="137"/>
      <c r="ABM4" s="137"/>
      <c r="ABN4" s="137"/>
      <c r="ABO4" s="137"/>
      <c r="ABP4" s="137"/>
      <c r="ABQ4" s="137"/>
      <c r="ABR4" s="137"/>
      <c r="ABS4" s="137"/>
      <c r="ABT4" s="137"/>
      <c r="ABU4" s="137"/>
      <c r="ABV4" s="137"/>
      <c r="ABW4" s="137"/>
      <c r="ABX4" s="137"/>
      <c r="ABY4" s="137"/>
    </row>
    <row r="5" spans="1:753" ht="41.25" customHeight="1">
      <c r="A5" s="357">
        <v>4</v>
      </c>
      <c r="B5" s="357" t="str">
        <f>Dashboard!$J$1</f>
        <v>Donor Wave</v>
      </c>
      <c r="C5" s="407">
        <f ca="1">Dashboard!$F$1</f>
        <v>46149</v>
      </c>
      <c r="D5" s="407">
        <f ca="1">Dashboard!$H$1</f>
        <v>46163</v>
      </c>
      <c r="E5" s="62" t="s">
        <v>84</v>
      </c>
      <c r="F5" s="229" t="s">
        <v>1325</v>
      </c>
      <c r="G5" s="229" t="s">
        <v>1328</v>
      </c>
      <c r="H5" s="305" t="s">
        <v>1329</v>
      </c>
      <c r="I5" s="391" t="s">
        <v>13</v>
      </c>
      <c r="J5" s="181">
        <v>2</v>
      </c>
      <c r="K5" s="228">
        <v>2</v>
      </c>
      <c r="L5" s="228"/>
      <c r="M5" s="203" t="s">
        <v>318</v>
      </c>
      <c r="N5" s="316" t="s">
        <v>1322</v>
      </c>
      <c r="O5" s="228" t="s">
        <v>320</v>
      </c>
      <c r="P5" s="203" t="s">
        <v>1326</v>
      </c>
      <c r="Q5" s="352" t="s">
        <v>320</v>
      </c>
      <c r="R5" s="358" t="s">
        <v>1330</v>
      </c>
      <c r="S5" s="360">
        <v>45635</v>
      </c>
      <c r="T5" s="360">
        <v>45636</v>
      </c>
      <c r="U5" s="362" t="s">
        <v>1326</v>
      </c>
      <c r="V5" s="402" t="s">
        <v>579</v>
      </c>
      <c r="W5" s="357" t="s">
        <v>1173</v>
      </c>
      <c r="X5" s="360">
        <v>45636</v>
      </c>
      <c r="Y5" s="352" t="s">
        <v>320</v>
      </c>
      <c r="Z5" s="228" t="s">
        <v>320</v>
      </c>
      <c r="AA5" s="228" t="s">
        <v>320</v>
      </c>
      <c r="AB5" s="378"/>
    </row>
    <row r="6" spans="1:753" s="58" customFormat="1" ht="30.75" customHeight="1">
      <c r="A6" s="357">
        <v>5</v>
      </c>
      <c r="B6" s="357" t="str">
        <f>Dashboard!$J$1</f>
        <v>Donor Wave</v>
      </c>
      <c r="C6" s="407">
        <f ca="1">Dashboard!$F$1</f>
        <v>46149</v>
      </c>
      <c r="D6" s="407">
        <f ca="1">Dashboard!$H$1</f>
        <v>46163</v>
      </c>
      <c r="E6" s="203" t="s">
        <v>84</v>
      </c>
      <c r="F6" s="246" t="s">
        <v>1022</v>
      </c>
      <c r="G6" s="203" t="s">
        <v>1051</v>
      </c>
      <c r="H6" s="90" t="s">
        <v>1331</v>
      </c>
      <c r="I6" s="352" t="s">
        <v>13</v>
      </c>
      <c r="J6" s="357">
        <v>1</v>
      </c>
      <c r="K6" s="228">
        <v>1</v>
      </c>
      <c r="L6" s="228"/>
      <c r="M6" s="203" t="s">
        <v>318</v>
      </c>
      <c r="N6" s="316" t="s">
        <v>1035</v>
      </c>
      <c r="O6" s="228" t="s">
        <v>320</v>
      </c>
      <c r="P6" s="203" t="s">
        <v>448</v>
      </c>
      <c r="Q6" s="352" t="s">
        <v>1332</v>
      </c>
      <c r="R6" s="358" t="s">
        <v>1333</v>
      </c>
      <c r="S6" s="360">
        <v>45643</v>
      </c>
      <c r="T6" s="360">
        <v>45645</v>
      </c>
      <c r="U6" s="228" t="s">
        <v>448</v>
      </c>
      <c r="V6" s="401" t="s">
        <v>579</v>
      </c>
      <c r="W6" s="228" t="s">
        <v>323</v>
      </c>
      <c r="X6" s="360">
        <v>45645</v>
      </c>
      <c r="Y6" s="352" t="s">
        <v>320</v>
      </c>
      <c r="Z6" s="228" t="s">
        <v>320</v>
      </c>
      <c r="AA6" s="228" t="s">
        <v>320</v>
      </c>
      <c r="AB6" s="245"/>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s="227"/>
    </row>
    <row r="7" spans="1:753" ht="32.25" customHeight="1">
      <c r="A7" s="369">
        <v>6</v>
      </c>
      <c r="B7" s="369" t="str">
        <f>Dashboard!$J$1</f>
        <v>Donor Wave</v>
      </c>
      <c r="C7" s="372">
        <f ca="1">Dashboard!$F$1</f>
        <v>46149</v>
      </c>
      <c r="D7" s="372">
        <f ca="1">Dashboard!$H$1</f>
        <v>46163</v>
      </c>
      <c r="E7" s="203" t="s">
        <v>1334</v>
      </c>
      <c r="F7" s="250" t="s">
        <v>1322</v>
      </c>
      <c r="G7" s="329" t="s">
        <v>1335</v>
      </c>
      <c r="H7" s="329" t="s">
        <v>1336</v>
      </c>
      <c r="I7" s="352" t="s">
        <v>1337</v>
      </c>
      <c r="J7" s="327">
        <v>3</v>
      </c>
      <c r="K7" s="327">
        <v>3</v>
      </c>
      <c r="L7" s="327"/>
      <c r="M7" s="203" t="s">
        <v>318</v>
      </c>
      <c r="N7" s="333" t="s">
        <v>1325</v>
      </c>
      <c r="O7" s="327" t="s">
        <v>320</v>
      </c>
      <c r="P7" s="229" t="s">
        <v>1326</v>
      </c>
      <c r="Q7" s="374" t="s">
        <v>320</v>
      </c>
      <c r="R7" s="271" t="s">
        <v>1338</v>
      </c>
      <c r="S7" s="360">
        <v>45643</v>
      </c>
      <c r="T7" s="373">
        <v>45645</v>
      </c>
      <c r="U7" s="327" t="s">
        <v>1326</v>
      </c>
      <c r="V7" s="370" t="s">
        <v>579</v>
      </c>
      <c r="W7" s="327" t="s">
        <v>323</v>
      </c>
      <c r="X7" s="373">
        <v>45645</v>
      </c>
      <c r="Y7" s="352" t="s">
        <v>320</v>
      </c>
      <c r="Z7" s="228" t="s">
        <v>320</v>
      </c>
      <c r="AA7" s="228" t="s">
        <v>320</v>
      </c>
      <c r="AB7" s="388" t="s">
        <v>1339</v>
      </c>
    </row>
    <row r="8" spans="1:753" ht="39" customHeight="1">
      <c r="A8" s="327">
        <v>7</v>
      </c>
      <c r="B8" s="327" t="str">
        <f>Dashboard!$J$1</f>
        <v>Donor Wave</v>
      </c>
      <c r="C8" s="373">
        <f ca="1">Dashboard!$F$1</f>
        <v>46149</v>
      </c>
      <c r="D8" s="373">
        <f ca="1">Dashboard!$H$1</f>
        <v>46163</v>
      </c>
      <c r="E8" s="203" t="s">
        <v>1334</v>
      </c>
      <c r="F8" s="229" t="s">
        <v>1297</v>
      </c>
      <c r="G8" s="229" t="s">
        <v>1298</v>
      </c>
      <c r="H8" s="329" t="s">
        <v>1299</v>
      </c>
      <c r="I8" s="327" t="s">
        <v>1315</v>
      </c>
      <c r="J8" s="327">
        <v>5</v>
      </c>
      <c r="K8" s="327"/>
      <c r="L8" s="327"/>
      <c r="M8" s="229"/>
      <c r="N8" s="329"/>
      <c r="O8" s="327"/>
      <c r="P8" s="229"/>
      <c r="Q8" s="374"/>
      <c r="R8" s="271"/>
      <c r="S8" s="373"/>
      <c r="T8" s="373"/>
      <c r="U8" s="327"/>
      <c r="V8" s="370"/>
      <c r="W8" s="327"/>
      <c r="X8" s="373"/>
      <c r="Y8" s="352"/>
      <c r="Z8" s="228"/>
      <c r="AA8" s="228"/>
      <c r="AB8" s="388" t="s">
        <v>1340</v>
      </c>
    </row>
    <row r="9" spans="1:753" ht="32.25" customHeight="1">
      <c r="A9" s="228">
        <v>8</v>
      </c>
      <c r="B9" s="228" t="str">
        <f>Dashboard!$J$1</f>
        <v>Donor Wave</v>
      </c>
      <c r="C9" s="360">
        <f ca="1">Dashboard!$F$1</f>
        <v>46149</v>
      </c>
      <c r="D9" s="360">
        <f ca="1">Dashboard!$H$1</f>
        <v>46163</v>
      </c>
      <c r="E9" s="203" t="s">
        <v>1334</v>
      </c>
      <c r="F9" s="58" t="s">
        <v>1322</v>
      </c>
      <c r="G9" s="203" t="s">
        <v>1341</v>
      </c>
      <c r="H9" s="316" t="s">
        <v>1342</v>
      </c>
      <c r="I9" s="327" t="s">
        <v>283</v>
      </c>
      <c r="J9" s="228">
        <v>2</v>
      </c>
      <c r="K9" s="228">
        <v>2</v>
      </c>
      <c r="L9" s="228"/>
      <c r="M9" s="203" t="s">
        <v>318</v>
      </c>
      <c r="N9" s="316" t="s">
        <v>1325</v>
      </c>
      <c r="O9" s="228" t="s">
        <v>320</v>
      </c>
      <c r="P9" s="203" t="s">
        <v>448</v>
      </c>
      <c r="Q9" s="58"/>
      <c r="R9" s="200" t="s">
        <v>1343</v>
      </c>
      <c r="S9" s="360">
        <v>45656</v>
      </c>
      <c r="T9" s="360">
        <v>45657</v>
      </c>
      <c r="U9" s="228" t="s">
        <v>448</v>
      </c>
      <c r="V9" s="393" t="s">
        <v>1344</v>
      </c>
      <c r="W9" s="228" t="s">
        <v>323</v>
      </c>
      <c r="X9" s="360">
        <v>45659</v>
      </c>
      <c r="Y9" s="352" t="s">
        <v>320</v>
      </c>
      <c r="Z9" s="352" t="s">
        <v>320</v>
      </c>
      <c r="AA9" s="352" t="s">
        <v>320</v>
      </c>
      <c r="AB9" s="378" t="s">
        <v>1345</v>
      </c>
    </row>
    <row r="10" spans="1:753" ht="33.75" customHeight="1">
      <c r="A10" s="228">
        <v>9</v>
      </c>
      <c r="B10" s="77" t="str">
        <f>Dashboard!$J$1</f>
        <v>Donor Wave</v>
      </c>
      <c r="C10" s="140">
        <f ca="1">Dashboard!$F$1</f>
        <v>46149</v>
      </c>
      <c r="D10" s="140">
        <f ca="1">Dashboard!$H$1</f>
        <v>46163</v>
      </c>
      <c r="E10" s="203" t="s">
        <v>1334</v>
      </c>
      <c r="F10" s="58" t="s">
        <v>1325</v>
      </c>
      <c r="G10" s="203" t="s">
        <v>1346</v>
      </c>
      <c r="H10" s="316" t="s">
        <v>1347</v>
      </c>
      <c r="I10" s="77" t="s">
        <v>283</v>
      </c>
      <c r="J10" s="228">
        <v>3</v>
      </c>
      <c r="K10" s="228">
        <v>3</v>
      </c>
      <c r="L10" s="228"/>
      <c r="M10" s="83" t="s">
        <v>318</v>
      </c>
      <c r="N10" s="316" t="s">
        <v>1322</v>
      </c>
      <c r="O10" s="228" t="s">
        <v>320</v>
      </c>
      <c r="P10" s="203" t="s">
        <v>448</v>
      </c>
      <c r="Q10" s="58"/>
      <c r="R10" s="200" t="s">
        <v>1348</v>
      </c>
      <c r="S10" s="140">
        <v>45656</v>
      </c>
      <c r="T10" s="140">
        <v>45657</v>
      </c>
      <c r="U10" s="228" t="s">
        <v>448</v>
      </c>
      <c r="V10" s="352"/>
      <c r="W10" s="228" t="s">
        <v>323</v>
      </c>
      <c r="X10" s="140">
        <v>45659</v>
      </c>
      <c r="Y10" s="84" t="s">
        <v>320</v>
      </c>
      <c r="Z10" s="84" t="s">
        <v>320</v>
      </c>
      <c r="AA10" s="84" t="s">
        <v>320</v>
      </c>
      <c r="AB10" s="460" t="s">
        <v>1345</v>
      </c>
    </row>
    <row r="11" spans="1:753" ht="66.75" customHeight="1">
      <c r="A11" s="228">
        <v>10</v>
      </c>
      <c r="B11" s="77" t="str">
        <f>Dashboard!$J$1</f>
        <v>Donor Wave</v>
      </c>
      <c r="C11" s="140">
        <f ca="1">Dashboard!$F$1</f>
        <v>46149</v>
      </c>
      <c r="D11" s="140">
        <f ca="1">Dashboard!$H$1</f>
        <v>46163</v>
      </c>
      <c r="E11" s="203" t="s">
        <v>1334</v>
      </c>
      <c r="F11" s="83" t="s">
        <v>1035</v>
      </c>
      <c r="G11" s="203" t="s">
        <v>1349</v>
      </c>
      <c r="H11" s="316" t="s">
        <v>1350</v>
      </c>
      <c r="I11" s="77" t="s">
        <v>13</v>
      </c>
      <c r="J11" s="228">
        <v>2</v>
      </c>
      <c r="K11" s="228">
        <v>2</v>
      </c>
      <c r="L11" s="228"/>
      <c r="M11" s="83" t="s">
        <v>318</v>
      </c>
      <c r="N11" s="316" t="s">
        <v>1022</v>
      </c>
      <c r="O11" s="228" t="s">
        <v>320</v>
      </c>
      <c r="P11" s="203" t="s">
        <v>448</v>
      </c>
      <c r="Q11" s="58"/>
      <c r="R11" s="200" t="s">
        <v>1351</v>
      </c>
      <c r="S11" s="140">
        <v>45636</v>
      </c>
      <c r="T11" s="140">
        <v>45639</v>
      </c>
      <c r="U11" s="228" t="s">
        <v>448</v>
      </c>
      <c r="V11" s="352"/>
      <c r="W11" s="228" t="s">
        <v>323</v>
      </c>
      <c r="X11" s="140">
        <v>45639</v>
      </c>
      <c r="Y11" s="84" t="s">
        <v>320</v>
      </c>
      <c r="Z11" s="84" t="s">
        <v>320</v>
      </c>
      <c r="AA11" s="84" t="s">
        <v>320</v>
      </c>
      <c r="AB11" s="390" t="s">
        <v>1352</v>
      </c>
    </row>
  </sheetData>
  <hyperlinks>
    <hyperlink ref="R4" r:id="rId1" xr:uid="{7C94F8E7-78FA-4F7B-A2CC-6D74D1E58A61}"/>
    <hyperlink ref="R3" r:id="rId2" xr:uid="{FBB42E3C-831A-428A-A8F3-8E018A01BB7C}"/>
    <hyperlink ref="R5" r:id="rId3" xr:uid="{A1DFCDFE-2DAD-485D-95E0-A683C2319207}"/>
    <hyperlink ref="R6" r:id="rId4" xr:uid="{B38C64B1-C5A9-4DA9-9F51-C44DE46BE6E8}"/>
    <hyperlink ref="R7" r:id="rId5" xr:uid="{FB10C990-B289-471B-9CD3-36D7AD009866}"/>
    <hyperlink ref="R9" r:id="rId6" xr:uid="{472424ED-89EC-487C-A2CC-CF4FEC6D848E}"/>
    <hyperlink ref="R10" r:id="rId7" xr:uid="{227EE646-B322-433F-842E-F3E34D17C182}"/>
    <hyperlink ref="R11" r:id="rId8" xr:uid="{B472B547-C174-43B4-AC18-C1FA5211F129}"/>
  </hyperlinks>
  <pageMargins left="0.7" right="0.7" top="0.75" bottom="0.75" header="0.3" footer="0.3"/>
  <tableParts count="1">
    <tablePart r:id="rId9"/>
  </tablePart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72E79-24D6-4095-9395-6387B7B3F038}">
  <dimension ref="A1:ABU3"/>
  <sheetViews>
    <sheetView workbookViewId="0">
      <selection activeCell="J1" sqref="J1:J1048576"/>
    </sheetView>
  </sheetViews>
  <sheetFormatPr defaultRowHeight="12.75"/>
  <cols>
    <col min="1" max="1" width="9.42578125" customWidth="1"/>
    <col min="2" max="2" width="29.7109375" customWidth="1"/>
    <col min="3" max="3" width="17.5703125" customWidth="1"/>
    <col min="4" max="4" width="12.28515625" customWidth="1"/>
    <col min="5" max="5" width="15.5703125" customWidth="1"/>
    <col min="6" max="6" width="54.85546875" customWidth="1"/>
    <col min="7" max="7" width="13.7109375" customWidth="1"/>
    <col min="8" max="8" width="10" customWidth="1"/>
    <col min="9" max="9" width="12" customWidth="1"/>
    <col min="10" max="10" width="14.7109375" customWidth="1"/>
    <col min="11" max="11" width="22.85546875" customWidth="1"/>
  </cols>
  <sheetData>
    <row r="1" spans="1:749" ht="25.5">
      <c r="A1" s="59" t="s">
        <v>248</v>
      </c>
      <c r="B1" s="154" t="s">
        <v>11</v>
      </c>
      <c r="C1" s="155" t="s">
        <v>306</v>
      </c>
      <c r="D1" s="154" t="s">
        <v>250</v>
      </c>
      <c r="E1" s="155" t="s">
        <v>308</v>
      </c>
      <c r="F1" s="155" t="s">
        <v>309</v>
      </c>
      <c r="G1" s="154" t="s">
        <v>310</v>
      </c>
      <c r="H1" s="154" t="s">
        <v>312</v>
      </c>
      <c r="I1" s="154" t="s">
        <v>253</v>
      </c>
      <c r="J1" s="156" t="s">
        <v>313</v>
      </c>
      <c r="K1" s="157" t="s">
        <v>274</v>
      </c>
      <c r="L1" s="35"/>
      <c r="M1" s="35"/>
      <c r="N1" s="35"/>
      <c r="O1" s="35"/>
      <c r="P1" s="35"/>
      <c r="Q1" s="35"/>
      <c r="R1" s="35"/>
      <c r="S1" s="35"/>
      <c r="T1" s="35"/>
      <c r="U1" s="35"/>
      <c r="V1" s="35"/>
      <c r="W1" s="35"/>
      <c r="X1" s="35"/>
      <c r="Y1" s="35"/>
      <c r="Z1" s="35"/>
    </row>
    <row r="2" spans="1:749">
      <c r="A2" s="369"/>
      <c r="B2" s="203"/>
      <c r="C2" s="250"/>
      <c r="D2" s="329"/>
      <c r="E2" s="305"/>
      <c r="F2" s="90"/>
      <c r="G2" s="369"/>
      <c r="H2" s="327"/>
      <c r="I2" s="229"/>
      <c r="J2" s="329"/>
      <c r="K2" s="390"/>
      <c r="L2" s="316"/>
      <c r="M2" s="403"/>
      <c r="N2" s="271"/>
      <c r="O2" s="372"/>
      <c r="P2" s="373"/>
      <c r="Q2" s="370"/>
      <c r="R2" s="370"/>
      <c r="S2" s="327"/>
      <c r="T2" s="373"/>
      <c r="U2" s="370"/>
      <c r="V2" s="327"/>
      <c r="W2" s="327"/>
      <c r="X2" s="249"/>
      <c r="ABU2" s="242"/>
    </row>
    <row r="3" spans="1:749">
      <c r="A3" s="61"/>
      <c r="B3" s="203"/>
      <c r="C3" s="58"/>
      <c r="D3" s="304"/>
      <c r="E3" s="41"/>
      <c r="F3" s="216"/>
      <c r="G3" s="19"/>
      <c r="H3" s="41"/>
      <c r="I3" s="41"/>
      <c r="J3" s="41"/>
      <c r="K3" s="19"/>
    </row>
  </sheetData>
  <dataValidations count="5">
    <dataValidation type="list" allowBlank="1" showErrorMessage="1" sqref="E3" xr:uid="{270CA56D-CB4B-463C-80A3-FBEB30E7375C}">
      <formula1>"Bounceback,Defect,None"</formula1>
    </dataValidation>
    <dataValidation type="list" allowBlank="1" showErrorMessage="1" sqref="E2" xr:uid="{EB0870B2-D31B-4840-B8BA-E8C1E13E9ACF}">
      <formula1>"Bounceback,Defect,Sub Task,None"</formula1>
    </dataValidation>
    <dataValidation type="list" allowBlank="1" showErrorMessage="1" sqref="G2:G3" xr:uid="{8A873BD7-85B3-4DC4-9664-29D51964F21A}">
      <formula1>"Minor,Significant,Major"</formula1>
    </dataValidation>
    <dataValidation type="list" allowBlank="1" showErrorMessage="1" sqref="I2:I3" xr:uid="{A22E7FA0-41CE-42B8-A4A9-9A53D14A27D4}">
      <formula1>"Open,Inprogress,Closed"</formula1>
    </dataValidation>
    <dataValidation type="list" allowBlank="1" showErrorMessage="1" sqref="H2:H3" xr:uid="{E433CB94-050B-4A59-8B4F-0E47EDEB8652}">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5A1BA021-4F41-483B-8B56-0B7737F74ED9}">
          <x14:formula1>
            <xm:f>Details!$A$2:$A$10</xm:f>
          </x14:formula1>
          <xm:sqref>J2:J3</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CFB8E-367B-4B43-A497-DE53085A1E10}">
  <dimension ref="A1:ABU10"/>
  <sheetViews>
    <sheetView workbookViewId="0">
      <pane xSplit="4" ySplit="1" topLeftCell="F2" activePane="bottomRight" state="frozen"/>
      <selection pane="bottomRight"/>
      <selection pane="bottomLeft"/>
      <selection pane="topRight"/>
    </sheetView>
  </sheetViews>
  <sheetFormatPr defaultRowHeight="12.75"/>
  <cols>
    <col min="2" max="2" width="27.5703125" customWidth="1"/>
    <col min="3" max="3" width="14.42578125" customWidth="1"/>
    <col min="4" max="4" width="11.42578125" bestFit="1" customWidth="1"/>
    <col min="5" max="5" width="41.7109375" style="137" customWidth="1"/>
    <col min="6" max="6" width="14.28515625" customWidth="1"/>
    <col min="7" max="8" width="11.42578125" bestFit="1" customWidth="1"/>
    <col min="9" max="9" width="13.140625" customWidth="1"/>
    <col min="10" max="10" width="13.42578125" style="144" customWidth="1"/>
    <col min="11" max="11" width="15.42578125" customWidth="1"/>
    <col min="12" max="12" width="16.42578125" customWidth="1"/>
    <col min="13" max="13" width="14.85546875" customWidth="1"/>
    <col min="14" max="14" width="11.42578125" style="144" bestFit="1" customWidth="1"/>
    <col min="15" max="16" width="12.7109375" bestFit="1" customWidth="1"/>
    <col min="17" max="17" width="11.42578125" bestFit="1" customWidth="1"/>
    <col min="18" max="18" width="11.42578125" style="144" bestFit="1" customWidth="1"/>
    <col min="19" max="19" width="11.42578125" bestFit="1" customWidth="1"/>
    <col min="20" max="20" width="12.7109375" bestFit="1" customWidth="1"/>
    <col min="21" max="23" width="11.42578125" bestFit="1" customWidth="1"/>
    <col min="24" max="24" width="27.42578125" customWidth="1"/>
  </cols>
  <sheetData>
    <row r="1" spans="1:749" ht="47.25">
      <c r="A1" s="379" t="s">
        <v>248</v>
      </c>
      <c r="B1" s="380" t="s">
        <v>249</v>
      </c>
      <c r="C1" s="381" t="s">
        <v>250</v>
      </c>
      <c r="D1" s="382" t="s">
        <v>251</v>
      </c>
      <c r="E1" s="383" t="s">
        <v>252</v>
      </c>
      <c r="F1" s="383" t="s">
        <v>253</v>
      </c>
      <c r="G1" s="384" t="s">
        <v>254</v>
      </c>
      <c r="H1" s="384" t="s">
        <v>255</v>
      </c>
      <c r="I1" s="385" t="s">
        <v>259</v>
      </c>
      <c r="J1" s="385" t="s">
        <v>260</v>
      </c>
      <c r="K1" s="385" t="s">
        <v>261</v>
      </c>
      <c r="L1" s="385" t="s">
        <v>262</v>
      </c>
      <c r="M1" s="385" t="s">
        <v>263</v>
      </c>
      <c r="N1" s="385" t="s">
        <v>264</v>
      </c>
      <c r="O1" s="385" t="s">
        <v>265</v>
      </c>
      <c r="P1" s="385" t="s">
        <v>266</v>
      </c>
      <c r="Q1" s="385" t="s">
        <v>267</v>
      </c>
      <c r="R1" s="385" t="s">
        <v>268</v>
      </c>
      <c r="S1" s="385" t="s">
        <v>269</v>
      </c>
      <c r="T1" s="385" t="s">
        <v>270</v>
      </c>
      <c r="U1" s="385" t="s">
        <v>271</v>
      </c>
      <c r="V1" s="385" t="s">
        <v>272</v>
      </c>
      <c r="W1" s="385" t="s">
        <v>273</v>
      </c>
      <c r="X1" s="386" t="s">
        <v>274</v>
      </c>
    </row>
    <row r="2" spans="1:749" s="256" customFormat="1" ht="38.25" customHeight="1">
      <c r="A2" s="357">
        <v>1</v>
      </c>
      <c r="B2" s="62" t="s">
        <v>80</v>
      </c>
      <c r="C2" s="62" t="s">
        <v>1022</v>
      </c>
      <c r="D2" s="62" t="s">
        <v>1353</v>
      </c>
      <c r="E2" s="90" t="s">
        <v>1354</v>
      </c>
      <c r="F2" s="391" t="s">
        <v>13</v>
      </c>
      <c r="G2" s="228">
        <v>2</v>
      </c>
      <c r="H2" s="228">
        <v>2</v>
      </c>
      <c r="I2" s="62" t="s">
        <v>318</v>
      </c>
      <c r="J2" s="316" t="s">
        <v>1029</v>
      </c>
      <c r="K2" s="228" t="s">
        <v>320</v>
      </c>
      <c r="L2" s="62" t="s">
        <v>1035</v>
      </c>
      <c r="M2" s="352" t="s">
        <v>320</v>
      </c>
      <c r="N2" s="279" t="s">
        <v>1355</v>
      </c>
      <c r="O2" s="359">
        <v>45622</v>
      </c>
      <c r="P2" s="359">
        <v>45623</v>
      </c>
      <c r="Q2" s="352" t="s">
        <v>448</v>
      </c>
      <c r="R2" s="352" t="s">
        <v>320</v>
      </c>
      <c r="S2" s="228" t="s">
        <v>323</v>
      </c>
      <c r="T2" s="360">
        <v>45623</v>
      </c>
      <c r="U2" s="228" t="s">
        <v>320</v>
      </c>
      <c r="V2" s="327" t="s">
        <v>320</v>
      </c>
      <c r="W2" s="327" t="s">
        <v>320</v>
      </c>
      <c r="X2" s="376"/>
    </row>
    <row r="3" spans="1:749" s="137" customFormat="1" ht="41.25" customHeight="1">
      <c r="A3" s="357">
        <v>2</v>
      </c>
      <c r="B3" s="62" t="s">
        <v>80</v>
      </c>
      <c r="C3" s="203" t="s">
        <v>1035</v>
      </c>
      <c r="D3" s="229" t="s">
        <v>1356</v>
      </c>
      <c r="E3" s="305" t="s">
        <v>1357</v>
      </c>
      <c r="F3" s="391" t="s">
        <v>13</v>
      </c>
      <c r="G3" s="228">
        <v>3</v>
      </c>
      <c r="H3" s="228">
        <v>3</v>
      </c>
      <c r="I3" s="62" t="s">
        <v>318</v>
      </c>
      <c r="J3" s="335" t="s">
        <v>1022</v>
      </c>
      <c r="K3" s="228" t="s">
        <v>320</v>
      </c>
      <c r="L3" s="62" t="s">
        <v>448</v>
      </c>
      <c r="M3" s="352" t="s">
        <v>320</v>
      </c>
      <c r="N3" s="392" t="s">
        <v>1358</v>
      </c>
      <c r="O3" s="360">
        <v>45623</v>
      </c>
      <c r="P3" s="360">
        <v>45624</v>
      </c>
      <c r="Q3" s="228" t="s">
        <v>448</v>
      </c>
      <c r="R3" s="352" t="s">
        <v>320</v>
      </c>
      <c r="S3" s="228" t="s">
        <v>1359</v>
      </c>
      <c r="T3" s="360">
        <v>45624</v>
      </c>
      <c r="U3" s="362" t="s">
        <v>320</v>
      </c>
      <c r="V3" s="363" t="s">
        <v>320</v>
      </c>
      <c r="W3" s="363" t="s">
        <v>320</v>
      </c>
      <c r="X3" s="377"/>
    </row>
    <row r="4" spans="1:749" ht="36.75" customHeight="1">
      <c r="A4" s="357">
        <v>3</v>
      </c>
      <c r="B4" s="62" t="s">
        <v>80</v>
      </c>
      <c r="C4" s="203" t="s">
        <v>1325</v>
      </c>
      <c r="D4" s="229" t="s">
        <v>1360</v>
      </c>
      <c r="E4" s="305" t="s">
        <v>1361</v>
      </c>
      <c r="F4" s="391" t="s">
        <v>13</v>
      </c>
      <c r="G4" s="228">
        <v>5</v>
      </c>
      <c r="H4" s="228">
        <v>5</v>
      </c>
      <c r="I4" s="203" t="s">
        <v>318</v>
      </c>
      <c r="J4" s="316" t="s">
        <v>1029</v>
      </c>
      <c r="K4" s="352" t="s">
        <v>320</v>
      </c>
      <c r="L4" s="203" t="s">
        <v>1326</v>
      </c>
      <c r="M4" s="352" t="s">
        <v>320</v>
      </c>
      <c r="N4" s="358" t="s">
        <v>1362</v>
      </c>
      <c r="O4" s="360">
        <v>45623</v>
      </c>
      <c r="P4" s="360">
        <v>45629</v>
      </c>
      <c r="Q4" s="228" t="s">
        <v>1326</v>
      </c>
      <c r="R4" s="375" t="s">
        <v>320</v>
      </c>
      <c r="S4" s="228" t="s">
        <v>1173</v>
      </c>
      <c r="T4" s="360">
        <v>45629</v>
      </c>
      <c r="U4" s="362" t="s">
        <v>320</v>
      </c>
      <c r="V4" s="363" t="s">
        <v>320</v>
      </c>
      <c r="W4" s="363" t="s">
        <v>320</v>
      </c>
      <c r="X4" s="377"/>
      <c r="Y4" s="137"/>
      <c r="Z4" s="137"/>
      <c r="AA4" s="137"/>
      <c r="AB4" s="137"/>
      <c r="AC4" s="137"/>
      <c r="AD4" s="137"/>
      <c r="AE4" s="137"/>
      <c r="AF4" s="137"/>
      <c r="AG4" s="137"/>
      <c r="AH4" s="137"/>
      <c r="AI4" s="137"/>
      <c r="AJ4" s="137"/>
      <c r="AK4" s="137"/>
      <c r="AL4" s="137"/>
      <c r="AM4" s="137"/>
      <c r="AN4" s="137"/>
      <c r="AO4" s="137"/>
      <c r="AP4" s="137"/>
      <c r="AQ4" s="137"/>
      <c r="AR4" s="137"/>
      <c r="AS4" s="137"/>
      <c r="AT4" s="137"/>
      <c r="AU4" s="137"/>
      <c r="AV4" s="137"/>
      <c r="AW4" s="137"/>
      <c r="AX4" s="137"/>
      <c r="AY4" s="137"/>
      <c r="AZ4" s="137"/>
      <c r="BA4" s="137"/>
      <c r="BB4" s="137"/>
      <c r="BC4" s="137"/>
      <c r="BD4" s="137"/>
      <c r="BE4" s="137"/>
      <c r="BF4" s="137"/>
      <c r="BG4" s="137"/>
      <c r="BH4" s="137"/>
      <c r="BI4" s="137"/>
      <c r="BJ4" s="137"/>
      <c r="BK4" s="137"/>
      <c r="BL4" s="137"/>
      <c r="BM4" s="137"/>
      <c r="BN4" s="137"/>
      <c r="BO4" s="137"/>
      <c r="BP4" s="137"/>
      <c r="BQ4" s="137"/>
      <c r="BR4" s="137"/>
      <c r="BS4" s="137"/>
      <c r="BT4" s="137"/>
      <c r="BU4" s="137"/>
      <c r="BV4" s="137"/>
      <c r="BW4" s="137"/>
      <c r="BX4" s="137"/>
      <c r="BY4" s="137"/>
      <c r="BZ4" s="137"/>
      <c r="CA4" s="137"/>
      <c r="CB4" s="137"/>
      <c r="CC4" s="137"/>
      <c r="CD4" s="137"/>
      <c r="CE4" s="137"/>
      <c r="CF4" s="137"/>
      <c r="CG4" s="137"/>
      <c r="CH4" s="137"/>
      <c r="CI4" s="137"/>
      <c r="CJ4" s="137"/>
      <c r="CK4" s="137"/>
      <c r="CL4" s="137"/>
      <c r="CM4" s="137"/>
      <c r="CN4" s="137"/>
      <c r="CO4" s="137"/>
      <c r="CP4" s="137"/>
      <c r="CQ4" s="137"/>
      <c r="CR4" s="137"/>
      <c r="CS4" s="137"/>
      <c r="CT4" s="137"/>
      <c r="CU4" s="137"/>
      <c r="CV4" s="137"/>
      <c r="CW4" s="137"/>
      <c r="CX4" s="137"/>
      <c r="CY4" s="137"/>
      <c r="CZ4" s="137"/>
      <c r="DA4" s="137"/>
      <c r="DB4" s="137"/>
      <c r="DC4" s="137"/>
      <c r="DD4" s="137"/>
      <c r="DE4" s="137"/>
      <c r="DF4" s="137"/>
      <c r="DG4" s="137"/>
      <c r="DH4" s="137"/>
      <c r="DI4" s="137"/>
      <c r="DJ4" s="137"/>
      <c r="DK4" s="137"/>
      <c r="DL4" s="137"/>
      <c r="DM4" s="137"/>
      <c r="DN4" s="137"/>
      <c r="DO4" s="137"/>
      <c r="DP4" s="137"/>
      <c r="DQ4" s="137"/>
      <c r="DR4" s="137"/>
      <c r="DS4" s="137"/>
      <c r="DT4" s="137"/>
      <c r="DU4" s="137"/>
      <c r="DV4" s="137"/>
      <c r="DW4" s="137"/>
      <c r="DX4" s="137"/>
      <c r="DY4" s="137"/>
      <c r="DZ4" s="137"/>
      <c r="EA4" s="137"/>
      <c r="EB4" s="137"/>
      <c r="EC4" s="137"/>
      <c r="ED4" s="137"/>
      <c r="EE4" s="137"/>
      <c r="EF4" s="137"/>
      <c r="EG4" s="137"/>
      <c r="EH4" s="137"/>
      <c r="EI4" s="137"/>
      <c r="EJ4" s="137"/>
      <c r="EK4" s="137"/>
      <c r="EL4" s="137"/>
      <c r="EM4" s="137"/>
      <c r="EN4" s="137"/>
      <c r="EO4" s="137"/>
      <c r="EP4" s="137"/>
      <c r="EQ4" s="137"/>
      <c r="ER4" s="137"/>
      <c r="ES4" s="137"/>
      <c r="ET4" s="137"/>
      <c r="EU4" s="137"/>
      <c r="EV4" s="137"/>
      <c r="EW4" s="137"/>
      <c r="EX4" s="137"/>
      <c r="EY4" s="137"/>
      <c r="EZ4" s="137"/>
      <c r="FA4" s="137"/>
      <c r="FB4" s="137"/>
      <c r="FC4" s="137"/>
      <c r="FD4" s="137"/>
      <c r="FE4" s="137"/>
      <c r="FF4" s="137"/>
      <c r="FG4" s="137"/>
      <c r="FH4" s="137"/>
      <c r="FI4" s="137"/>
      <c r="FJ4" s="137"/>
      <c r="FK4" s="137"/>
      <c r="FL4" s="137"/>
      <c r="FM4" s="137"/>
      <c r="FN4" s="137"/>
      <c r="FO4" s="137"/>
      <c r="FP4" s="137"/>
      <c r="FQ4" s="137"/>
      <c r="FR4" s="137"/>
      <c r="FS4" s="137"/>
      <c r="FT4" s="137"/>
      <c r="FU4" s="137"/>
      <c r="FV4" s="137"/>
      <c r="FW4" s="137"/>
      <c r="FX4" s="137"/>
      <c r="FY4" s="137"/>
      <c r="FZ4" s="137"/>
      <c r="GA4" s="137"/>
      <c r="GB4" s="137"/>
      <c r="GC4" s="137"/>
      <c r="GD4" s="137"/>
      <c r="GE4" s="137"/>
      <c r="GF4" s="137"/>
      <c r="GG4" s="137"/>
      <c r="GH4" s="137"/>
      <c r="GI4" s="137"/>
      <c r="GJ4" s="137"/>
      <c r="GK4" s="137"/>
      <c r="GL4" s="137"/>
      <c r="GM4" s="137"/>
      <c r="GN4" s="137"/>
      <c r="GO4" s="137"/>
      <c r="GP4" s="137"/>
      <c r="GQ4" s="137"/>
      <c r="GR4" s="137"/>
      <c r="GS4" s="137"/>
      <c r="GT4" s="137"/>
      <c r="GU4" s="137"/>
      <c r="GV4" s="137"/>
      <c r="GW4" s="137"/>
      <c r="GX4" s="137"/>
      <c r="GY4" s="137"/>
      <c r="GZ4" s="137"/>
      <c r="HA4" s="137"/>
      <c r="HB4" s="137"/>
      <c r="HC4" s="137"/>
      <c r="HD4" s="137"/>
      <c r="HE4" s="137"/>
      <c r="HF4" s="137"/>
      <c r="HG4" s="137"/>
      <c r="HH4" s="137"/>
      <c r="HI4" s="137"/>
      <c r="HJ4" s="137"/>
      <c r="HK4" s="137"/>
      <c r="HL4" s="137"/>
      <c r="HM4" s="137"/>
      <c r="HN4" s="137"/>
      <c r="HO4" s="137"/>
      <c r="HP4" s="137"/>
      <c r="HQ4" s="137"/>
      <c r="HR4" s="137"/>
      <c r="HS4" s="137"/>
      <c r="HT4" s="137"/>
      <c r="HU4" s="137"/>
      <c r="HV4" s="137"/>
      <c r="HW4" s="137"/>
      <c r="HX4" s="137"/>
      <c r="HY4" s="137"/>
      <c r="HZ4" s="137"/>
      <c r="IA4" s="137"/>
      <c r="IB4" s="137"/>
      <c r="IC4" s="137"/>
      <c r="ID4" s="137"/>
      <c r="IE4" s="137"/>
      <c r="IF4" s="137"/>
      <c r="IG4" s="137"/>
      <c r="IH4" s="137"/>
      <c r="II4" s="137"/>
      <c r="IJ4" s="137"/>
      <c r="IK4" s="137"/>
      <c r="IL4" s="137"/>
      <c r="IM4" s="137"/>
      <c r="IN4" s="137"/>
      <c r="IO4" s="137"/>
      <c r="IP4" s="137"/>
      <c r="IQ4" s="137"/>
      <c r="IR4" s="137"/>
      <c r="IS4" s="137"/>
      <c r="IT4" s="137"/>
      <c r="IU4" s="137"/>
      <c r="IV4" s="137"/>
      <c r="IW4" s="137"/>
      <c r="IX4" s="137"/>
      <c r="IY4" s="137"/>
      <c r="IZ4" s="137"/>
      <c r="JA4" s="137"/>
      <c r="JB4" s="137"/>
      <c r="JC4" s="137"/>
      <c r="JD4" s="137"/>
      <c r="JE4" s="137"/>
      <c r="JF4" s="137"/>
      <c r="JG4" s="137"/>
      <c r="JH4" s="137"/>
      <c r="JI4" s="137"/>
      <c r="JJ4" s="137"/>
      <c r="JK4" s="137"/>
      <c r="JL4" s="137"/>
      <c r="JM4" s="137"/>
      <c r="JN4" s="137"/>
      <c r="JO4" s="137"/>
      <c r="JP4" s="137"/>
      <c r="JQ4" s="137"/>
      <c r="JR4" s="137"/>
      <c r="JS4" s="137"/>
      <c r="JT4" s="137"/>
      <c r="JU4" s="137"/>
      <c r="JV4" s="137"/>
      <c r="JW4" s="137"/>
      <c r="JX4" s="137"/>
      <c r="JY4" s="137"/>
      <c r="JZ4" s="137"/>
      <c r="KA4" s="137"/>
      <c r="KB4" s="137"/>
      <c r="KC4" s="137"/>
      <c r="KD4" s="137"/>
      <c r="KE4" s="137"/>
      <c r="KF4" s="137"/>
      <c r="KG4" s="137"/>
      <c r="KH4" s="137"/>
      <c r="KI4" s="137"/>
      <c r="KJ4" s="137"/>
      <c r="KK4" s="137"/>
      <c r="KL4" s="137"/>
      <c r="KM4" s="137"/>
      <c r="KN4" s="137"/>
      <c r="KO4" s="137"/>
      <c r="KP4" s="137"/>
      <c r="KQ4" s="137"/>
      <c r="KR4" s="137"/>
      <c r="KS4" s="137"/>
      <c r="KT4" s="137"/>
      <c r="KU4" s="137"/>
      <c r="KV4" s="137"/>
      <c r="KW4" s="137"/>
      <c r="KX4" s="137"/>
      <c r="KY4" s="137"/>
      <c r="KZ4" s="137"/>
      <c r="LA4" s="137"/>
      <c r="LB4" s="137"/>
      <c r="LC4" s="137"/>
      <c r="LD4" s="137"/>
      <c r="LE4" s="137"/>
      <c r="LF4" s="137"/>
      <c r="LG4" s="137"/>
      <c r="LH4" s="137"/>
      <c r="LI4" s="137"/>
      <c r="LJ4" s="137"/>
      <c r="LK4" s="137"/>
      <c r="LL4" s="137"/>
      <c r="LM4" s="137"/>
      <c r="LN4" s="137"/>
      <c r="LO4" s="137"/>
      <c r="LP4" s="137"/>
      <c r="LQ4" s="137"/>
      <c r="LR4" s="137"/>
      <c r="LS4" s="137"/>
      <c r="LT4" s="137"/>
      <c r="LU4" s="137"/>
      <c r="LV4" s="137"/>
      <c r="LW4" s="137"/>
      <c r="LX4" s="137"/>
      <c r="LY4" s="137"/>
      <c r="LZ4" s="137"/>
      <c r="MA4" s="137"/>
      <c r="MB4" s="137"/>
      <c r="MC4" s="137"/>
      <c r="MD4" s="137"/>
      <c r="ME4" s="137"/>
      <c r="MF4" s="137"/>
      <c r="MG4" s="137"/>
      <c r="MH4" s="137"/>
      <c r="MI4" s="137"/>
      <c r="MJ4" s="137"/>
      <c r="MK4" s="137"/>
      <c r="ML4" s="137"/>
      <c r="MM4" s="137"/>
      <c r="MN4" s="137"/>
      <c r="MO4" s="137"/>
      <c r="MP4" s="137"/>
      <c r="MQ4" s="137"/>
      <c r="MR4" s="137"/>
      <c r="MS4" s="137"/>
      <c r="MT4" s="137"/>
      <c r="MU4" s="137"/>
      <c r="MV4" s="137"/>
      <c r="MW4" s="137"/>
      <c r="MX4" s="137"/>
      <c r="MY4" s="137"/>
      <c r="MZ4" s="137"/>
      <c r="NA4" s="137"/>
      <c r="NB4" s="137"/>
      <c r="NC4" s="137"/>
      <c r="ND4" s="137"/>
      <c r="NE4" s="137"/>
      <c r="NF4" s="137"/>
      <c r="NG4" s="137"/>
      <c r="NH4" s="137"/>
      <c r="NI4" s="137"/>
      <c r="NJ4" s="137"/>
      <c r="NK4" s="137"/>
      <c r="NL4" s="137"/>
      <c r="NM4" s="137"/>
      <c r="NN4" s="137"/>
      <c r="NO4" s="137"/>
      <c r="NP4" s="137"/>
      <c r="NQ4" s="137"/>
      <c r="NR4" s="137"/>
      <c r="NS4" s="137"/>
      <c r="NT4" s="137"/>
      <c r="NU4" s="137"/>
      <c r="NV4" s="137"/>
      <c r="NW4" s="137"/>
      <c r="NX4" s="137"/>
      <c r="NY4" s="137"/>
      <c r="NZ4" s="137"/>
      <c r="OA4" s="137"/>
      <c r="OB4" s="137"/>
      <c r="OC4" s="137"/>
      <c r="OD4" s="137"/>
      <c r="OE4" s="137"/>
      <c r="OF4" s="137"/>
      <c r="OG4" s="137"/>
      <c r="OH4" s="137"/>
      <c r="OI4" s="137"/>
      <c r="OJ4" s="137"/>
      <c r="OK4" s="137"/>
      <c r="OL4" s="137"/>
      <c r="OM4" s="137"/>
      <c r="ON4" s="137"/>
      <c r="OO4" s="137"/>
      <c r="OP4" s="137"/>
      <c r="OQ4" s="137"/>
      <c r="OR4" s="137"/>
      <c r="OS4" s="137"/>
      <c r="OT4" s="137"/>
      <c r="OU4" s="137"/>
      <c r="OV4" s="137"/>
      <c r="OW4" s="137"/>
      <c r="OX4" s="137"/>
      <c r="OY4" s="137"/>
      <c r="OZ4" s="137"/>
      <c r="PA4" s="137"/>
      <c r="PB4" s="137"/>
      <c r="PC4" s="137"/>
      <c r="PD4" s="137"/>
      <c r="PE4" s="137"/>
      <c r="PF4" s="137"/>
      <c r="PG4" s="137"/>
      <c r="PH4" s="137"/>
      <c r="PI4" s="137"/>
      <c r="PJ4" s="137"/>
      <c r="PK4" s="137"/>
      <c r="PL4" s="137"/>
      <c r="PM4" s="137"/>
      <c r="PN4" s="137"/>
      <c r="PO4" s="137"/>
      <c r="PP4" s="137"/>
      <c r="PQ4" s="137"/>
      <c r="PR4" s="137"/>
      <c r="PS4" s="137"/>
      <c r="PT4" s="137"/>
      <c r="PU4" s="137"/>
      <c r="PV4" s="137"/>
      <c r="PW4" s="137"/>
      <c r="PX4" s="137"/>
      <c r="PY4" s="137"/>
      <c r="PZ4" s="137"/>
      <c r="QA4" s="137"/>
      <c r="QB4" s="137"/>
      <c r="QC4" s="137"/>
      <c r="QD4" s="137"/>
      <c r="QE4" s="137"/>
      <c r="QF4" s="137"/>
      <c r="QG4" s="137"/>
      <c r="QH4" s="137"/>
      <c r="QI4" s="137"/>
      <c r="QJ4" s="137"/>
      <c r="QK4" s="137"/>
      <c r="QL4" s="137"/>
      <c r="QM4" s="137"/>
      <c r="QN4" s="137"/>
      <c r="QO4" s="137"/>
      <c r="QP4" s="137"/>
      <c r="QQ4" s="137"/>
      <c r="QR4" s="137"/>
      <c r="QS4" s="137"/>
      <c r="QT4" s="137"/>
      <c r="QU4" s="137"/>
      <c r="QV4" s="137"/>
      <c r="QW4" s="137"/>
      <c r="QX4" s="137"/>
      <c r="QY4" s="137"/>
      <c r="QZ4" s="137"/>
      <c r="RA4" s="137"/>
      <c r="RB4" s="137"/>
      <c r="RC4" s="137"/>
      <c r="RD4" s="137"/>
      <c r="RE4" s="137"/>
      <c r="RF4" s="137"/>
      <c r="RG4" s="137"/>
      <c r="RH4" s="137"/>
      <c r="RI4" s="137"/>
      <c r="RJ4" s="137"/>
      <c r="RK4" s="137"/>
      <c r="RL4" s="137"/>
      <c r="RM4" s="137"/>
      <c r="RN4" s="137"/>
      <c r="RO4" s="137"/>
      <c r="RP4" s="137"/>
      <c r="RQ4" s="137"/>
      <c r="RR4" s="137"/>
      <c r="RS4" s="137"/>
      <c r="RT4" s="137"/>
      <c r="RU4" s="137"/>
      <c r="RV4" s="137"/>
      <c r="RW4" s="137"/>
      <c r="RX4" s="137"/>
      <c r="RY4" s="137"/>
      <c r="RZ4" s="137"/>
      <c r="SA4" s="137"/>
      <c r="SB4" s="137"/>
      <c r="SC4" s="137"/>
      <c r="SD4" s="137"/>
      <c r="SE4" s="137"/>
      <c r="SF4" s="137"/>
      <c r="SG4" s="137"/>
      <c r="SH4" s="137"/>
      <c r="SI4" s="137"/>
      <c r="SJ4" s="137"/>
      <c r="SK4" s="137"/>
      <c r="SL4" s="137"/>
      <c r="SM4" s="137"/>
      <c r="SN4" s="137"/>
      <c r="SO4" s="137"/>
      <c r="SP4" s="137"/>
      <c r="SQ4" s="137"/>
      <c r="SR4" s="137"/>
      <c r="SS4" s="137"/>
      <c r="ST4" s="137"/>
      <c r="SU4" s="137"/>
      <c r="SV4" s="137"/>
      <c r="SW4" s="137"/>
      <c r="SX4" s="137"/>
      <c r="SY4" s="137"/>
      <c r="SZ4" s="137"/>
      <c r="TA4" s="137"/>
      <c r="TB4" s="137"/>
      <c r="TC4" s="137"/>
      <c r="TD4" s="137"/>
      <c r="TE4" s="137"/>
      <c r="TF4" s="137"/>
      <c r="TG4" s="137"/>
      <c r="TH4" s="137"/>
      <c r="TI4" s="137"/>
      <c r="TJ4" s="137"/>
      <c r="TK4" s="137"/>
      <c r="TL4" s="137"/>
      <c r="TM4" s="137"/>
      <c r="TN4" s="137"/>
      <c r="TO4" s="137"/>
      <c r="TP4" s="137"/>
      <c r="TQ4" s="137"/>
      <c r="TR4" s="137"/>
      <c r="TS4" s="137"/>
      <c r="TT4" s="137"/>
      <c r="TU4" s="137"/>
      <c r="TV4" s="137"/>
      <c r="TW4" s="137"/>
      <c r="TX4" s="137"/>
      <c r="TY4" s="137"/>
      <c r="TZ4" s="137"/>
      <c r="UA4" s="137"/>
      <c r="UB4" s="137"/>
      <c r="UC4" s="137"/>
      <c r="UD4" s="137"/>
      <c r="UE4" s="137"/>
      <c r="UF4" s="137"/>
      <c r="UG4" s="137"/>
      <c r="UH4" s="137"/>
      <c r="UI4" s="137"/>
      <c r="UJ4" s="137"/>
      <c r="UK4" s="137"/>
      <c r="UL4" s="137"/>
      <c r="UM4" s="137"/>
      <c r="UN4" s="137"/>
      <c r="UO4" s="137"/>
      <c r="UP4" s="137"/>
      <c r="UQ4" s="137"/>
      <c r="UR4" s="137"/>
      <c r="US4" s="137"/>
      <c r="UT4" s="137"/>
      <c r="UU4" s="137"/>
      <c r="UV4" s="137"/>
      <c r="UW4" s="137"/>
      <c r="UX4" s="137"/>
      <c r="UY4" s="137"/>
      <c r="UZ4" s="137"/>
      <c r="VA4" s="137"/>
      <c r="VB4" s="137"/>
      <c r="VC4" s="137"/>
      <c r="VD4" s="137"/>
      <c r="VE4" s="137"/>
      <c r="VF4" s="137"/>
      <c r="VG4" s="137"/>
      <c r="VH4" s="137"/>
      <c r="VI4" s="137"/>
      <c r="VJ4" s="137"/>
      <c r="VK4" s="137"/>
      <c r="VL4" s="137"/>
      <c r="VM4" s="137"/>
      <c r="VN4" s="137"/>
      <c r="VO4" s="137"/>
      <c r="VP4" s="137"/>
      <c r="VQ4" s="137"/>
      <c r="VR4" s="137"/>
      <c r="VS4" s="137"/>
      <c r="VT4" s="137"/>
      <c r="VU4" s="137"/>
      <c r="VV4" s="137"/>
      <c r="VW4" s="137"/>
      <c r="VX4" s="137"/>
      <c r="VY4" s="137"/>
      <c r="VZ4" s="137"/>
      <c r="WA4" s="137"/>
      <c r="WB4" s="137"/>
      <c r="WC4" s="137"/>
      <c r="WD4" s="137"/>
      <c r="WE4" s="137"/>
      <c r="WF4" s="137"/>
      <c r="WG4" s="137"/>
      <c r="WH4" s="137"/>
      <c r="WI4" s="137"/>
      <c r="WJ4" s="137"/>
      <c r="WK4" s="137"/>
      <c r="WL4" s="137"/>
      <c r="WM4" s="137"/>
      <c r="WN4" s="137"/>
      <c r="WO4" s="137"/>
      <c r="WP4" s="137"/>
      <c r="WQ4" s="137"/>
      <c r="WR4" s="137"/>
      <c r="WS4" s="137"/>
      <c r="WT4" s="137"/>
      <c r="WU4" s="137"/>
      <c r="WV4" s="137"/>
      <c r="WW4" s="137"/>
      <c r="WX4" s="137"/>
      <c r="WY4" s="137"/>
      <c r="WZ4" s="137"/>
      <c r="XA4" s="137"/>
      <c r="XB4" s="137"/>
      <c r="XC4" s="137"/>
      <c r="XD4" s="137"/>
      <c r="XE4" s="137"/>
      <c r="XF4" s="137"/>
      <c r="XG4" s="137"/>
      <c r="XH4" s="137"/>
      <c r="XI4" s="137"/>
      <c r="XJ4" s="137"/>
      <c r="XK4" s="137"/>
      <c r="XL4" s="137"/>
      <c r="XM4" s="137"/>
      <c r="XN4" s="137"/>
      <c r="XO4" s="137"/>
      <c r="XP4" s="137"/>
      <c r="XQ4" s="137"/>
      <c r="XR4" s="137"/>
      <c r="XS4" s="137"/>
      <c r="XT4" s="137"/>
      <c r="XU4" s="137"/>
      <c r="XV4" s="137"/>
      <c r="XW4" s="137"/>
      <c r="XX4" s="137"/>
      <c r="XY4" s="137"/>
      <c r="XZ4" s="137"/>
      <c r="YA4" s="137"/>
      <c r="YB4" s="137"/>
      <c r="YC4" s="137"/>
      <c r="YD4" s="137"/>
      <c r="YE4" s="137"/>
      <c r="YF4" s="137"/>
      <c r="YG4" s="137"/>
      <c r="YH4" s="137"/>
      <c r="YI4" s="137"/>
      <c r="YJ4" s="137"/>
      <c r="YK4" s="137"/>
      <c r="YL4" s="137"/>
      <c r="YM4" s="137"/>
      <c r="YN4" s="137"/>
      <c r="YO4" s="137"/>
      <c r="YP4" s="137"/>
      <c r="YQ4" s="137"/>
      <c r="YR4" s="137"/>
      <c r="YS4" s="137"/>
      <c r="YT4" s="137"/>
      <c r="YU4" s="137"/>
      <c r="YV4" s="137"/>
      <c r="YW4" s="137"/>
      <c r="YX4" s="137"/>
      <c r="YY4" s="137"/>
      <c r="YZ4" s="137"/>
      <c r="ZA4" s="137"/>
      <c r="ZB4" s="137"/>
      <c r="ZC4" s="137"/>
      <c r="ZD4" s="137"/>
      <c r="ZE4" s="137"/>
      <c r="ZF4" s="137"/>
      <c r="ZG4" s="137"/>
      <c r="ZH4" s="137"/>
      <c r="ZI4" s="137"/>
      <c r="ZJ4" s="137"/>
      <c r="ZK4" s="137"/>
      <c r="ZL4" s="137"/>
      <c r="ZM4" s="137"/>
      <c r="ZN4" s="137"/>
      <c r="ZO4" s="137"/>
      <c r="ZP4" s="137"/>
      <c r="ZQ4" s="137"/>
      <c r="ZR4" s="137"/>
      <c r="ZS4" s="137"/>
      <c r="ZT4" s="137"/>
      <c r="ZU4" s="137"/>
      <c r="ZV4" s="137"/>
      <c r="ZW4" s="137"/>
      <c r="ZX4" s="137"/>
      <c r="ZY4" s="137"/>
      <c r="ZZ4" s="137"/>
      <c r="AAA4" s="137"/>
      <c r="AAB4" s="137"/>
      <c r="AAC4" s="137"/>
      <c r="AAD4" s="137"/>
      <c r="AAE4" s="137"/>
      <c r="AAF4" s="137"/>
      <c r="AAG4" s="137"/>
      <c r="AAH4" s="137"/>
      <c r="AAI4" s="137"/>
      <c r="AAJ4" s="137"/>
      <c r="AAK4" s="137"/>
      <c r="AAL4" s="137"/>
      <c r="AAM4" s="137"/>
      <c r="AAN4" s="137"/>
      <c r="AAO4" s="137"/>
      <c r="AAP4" s="137"/>
      <c r="AAQ4" s="137"/>
      <c r="AAR4" s="137"/>
      <c r="AAS4" s="137"/>
      <c r="AAT4" s="137"/>
      <c r="AAU4" s="137"/>
      <c r="AAV4" s="137"/>
      <c r="AAW4" s="137"/>
      <c r="AAX4" s="137"/>
      <c r="AAY4" s="137"/>
      <c r="AAZ4" s="137"/>
      <c r="ABA4" s="137"/>
      <c r="ABB4" s="137"/>
      <c r="ABC4" s="137"/>
      <c r="ABD4" s="137"/>
      <c r="ABE4" s="137"/>
      <c r="ABF4" s="137"/>
      <c r="ABG4" s="137"/>
      <c r="ABH4" s="137"/>
      <c r="ABI4" s="137"/>
      <c r="ABJ4" s="137"/>
      <c r="ABK4" s="137"/>
      <c r="ABL4" s="137"/>
      <c r="ABM4" s="137"/>
      <c r="ABN4" s="137"/>
      <c r="ABO4" s="137"/>
      <c r="ABP4" s="137"/>
      <c r="ABQ4" s="137"/>
      <c r="ABR4" s="137"/>
      <c r="ABS4" s="137"/>
      <c r="ABT4" s="137"/>
      <c r="ABU4" s="137"/>
    </row>
    <row r="5" spans="1:749" ht="41.25" customHeight="1">
      <c r="A5" s="357">
        <v>4</v>
      </c>
      <c r="B5" s="62" t="s">
        <v>80</v>
      </c>
      <c r="C5" s="229" t="s">
        <v>1322</v>
      </c>
      <c r="D5" s="229" t="s">
        <v>1363</v>
      </c>
      <c r="E5" s="305" t="s">
        <v>1364</v>
      </c>
      <c r="F5" s="352" t="s">
        <v>13</v>
      </c>
      <c r="G5" s="181">
        <v>3</v>
      </c>
      <c r="H5" s="228">
        <v>3</v>
      </c>
      <c r="I5" s="203" t="s">
        <v>318</v>
      </c>
      <c r="J5" s="316" t="s">
        <v>1325</v>
      </c>
      <c r="K5" s="228" t="s">
        <v>320</v>
      </c>
      <c r="L5" s="203" t="s">
        <v>1325</v>
      </c>
      <c r="M5" s="352" t="s">
        <v>320</v>
      </c>
      <c r="N5" s="358" t="s">
        <v>1365</v>
      </c>
      <c r="O5" s="360">
        <v>45622</v>
      </c>
      <c r="P5" s="360">
        <v>45623</v>
      </c>
      <c r="Q5" s="228" t="s">
        <v>322</v>
      </c>
      <c r="R5" s="393" t="s">
        <v>1366</v>
      </c>
      <c r="S5" s="228" t="s">
        <v>1173</v>
      </c>
      <c r="T5" s="360">
        <v>45623</v>
      </c>
      <c r="U5" s="352" t="s">
        <v>320</v>
      </c>
      <c r="V5" s="228" t="s">
        <v>320</v>
      </c>
      <c r="W5" s="228" t="s">
        <v>320</v>
      </c>
      <c r="X5" s="378"/>
    </row>
    <row r="6" spans="1:749" s="58" customFormat="1" ht="30.75" customHeight="1">
      <c r="A6" s="357">
        <v>5</v>
      </c>
      <c r="B6" s="203" t="s">
        <v>1367</v>
      </c>
      <c r="C6" s="246" t="s">
        <v>1022</v>
      </c>
      <c r="D6" s="203" t="s">
        <v>1368</v>
      </c>
      <c r="E6" s="186" t="s">
        <v>1369</v>
      </c>
      <c r="F6" s="352" t="s">
        <v>13</v>
      </c>
      <c r="G6" s="357">
        <v>2</v>
      </c>
      <c r="H6" s="228">
        <v>2</v>
      </c>
      <c r="I6" s="203" t="s">
        <v>318</v>
      </c>
      <c r="J6" s="316" t="s">
        <v>1029</v>
      </c>
      <c r="K6" s="228" t="s">
        <v>320</v>
      </c>
      <c r="L6" s="203" t="s">
        <v>1035</v>
      </c>
      <c r="M6" s="228" t="s">
        <v>320</v>
      </c>
      <c r="N6" s="358" t="s">
        <v>1370</v>
      </c>
      <c r="O6" s="360">
        <v>45624</v>
      </c>
      <c r="P6" s="360">
        <v>45624</v>
      </c>
      <c r="Q6" s="228" t="s">
        <v>322</v>
      </c>
      <c r="R6" s="352" t="s">
        <v>1366</v>
      </c>
      <c r="S6" s="228" t="s">
        <v>1359</v>
      </c>
      <c r="T6" s="360">
        <v>45624</v>
      </c>
      <c r="U6" s="352" t="s">
        <v>320</v>
      </c>
      <c r="V6" s="228" t="s">
        <v>320</v>
      </c>
      <c r="W6" s="228" t="s">
        <v>320</v>
      </c>
      <c r="X6" s="245"/>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s="227"/>
    </row>
    <row r="7" spans="1:749" s="218" customFormat="1" ht="37.5" customHeight="1">
      <c r="A7" s="369">
        <v>6</v>
      </c>
      <c r="B7" s="229" t="s">
        <v>1371</v>
      </c>
      <c r="C7" s="250" t="s">
        <v>1035</v>
      </c>
      <c r="D7" s="329" t="s">
        <v>1372</v>
      </c>
      <c r="E7" s="305" t="s">
        <v>1373</v>
      </c>
      <c r="F7" s="327" t="s">
        <v>13</v>
      </c>
      <c r="G7" s="369">
        <v>3</v>
      </c>
      <c r="H7" s="327">
        <v>3</v>
      </c>
      <c r="I7" s="229" t="s">
        <v>318</v>
      </c>
      <c r="J7" s="329" t="s">
        <v>1029</v>
      </c>
      <c r="K7" s="327" t="s">
        <v>320</v>
      </c>
      <c r="L7" s="229" t="s">
        <v>1022</v>
      </c>
      <c r="M7" s="374" t="s">
        <v>320</v>
      </c>
      <c r="N7" s="271" t="s">
        <v>1374</v>
      </c>
      <c r="O7" s="372">
        <v>45628</v>
      </c>
      <c r="P7" s="373">
        <v>45630</v>
      </c>
      <c r="Q7" s="370" t="s">
        <v>448</v>
      </c>
      <c r="R7" s="370" t="s">
        <v>320</v>
      </c>
      <c r="S7" s="327" t="s">
        <v>1173</v>
      </c>
      <c r="T7" s="373">
        <v>45630</v>
      </c>
      <c r="U7" s="370" t="s">
        <v>320</v>
      </c>
      <c r="V7" s="327" t="s">
        <v>320</v>
      </c>
      <c r="W7" s="327" t="s">
        <v>320</v>
      </c>
      <c r="X7" s="249"/>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s="242"/>
    </row>
    <row r="8" spans="1:749" ht="51.75" customHeight="1">
      <c r="A8" s="387">
        <v>7</v>
      </c>
      <c r="B8" s="218" t="s">
        <v>1371</v>
      </c>
      <c r="C8" s="218" t="s">
        <v>1325</v>
      </c>
      <c r="D8" s="218" t="s">
        <v>1375</v>
      </c>
      <c r="E8" s="329" t="s">
        <v>1376</v>
      </c>
      <c r="F8" s="327" t="s">
        <v>13</v>
      </c>
      <c r="G8" s="327">
        <v>2</v>
      </c>
      <c r="H8" s="327">
        <v>2</v>
      </c>
      <c r="I8" s="229" t="s">
        <v>318</v>
      </c>
      <c r="J8" s="333" t="s">
        <v>1322</v>
      </c>
      <c r="K8" s="327" t="s">
        <v>320</v>
      </c>
      <c r="L8" s="229" t="s">
        <v>448</v>
      </c>
      <c r="M8" s="374" t="s">
        <v>320</v>
      </c>
      <c r="N8" s="271" t="s">
        <v>1377</v>
      </c>
      <c r="O8" s="373">
        <v>45631</v>
      </c>
      <c r="P8" s="373">
        <v>45631</v>
      </c>
      <c r="Q8" s="327" t="s">
        <v>448</v>
      </c>
      <c r="R8" s="370" t="s">
        <v>320</v>
      </c>
      <c r="S8" s="327" t="s">
        <v>323</v>
      </c>
      <c r="T8" s="373">
        <v>45631</v>
      </c>
      <c r="U8" s="352" t="s">
        <v>320</v>
      </c>
      <c r="V8" s="228" t="s">
        <v>320</v>
      </c>
      <c r="W8" s="228" t="s">
        <v>320</v>
      </c>
      <c r="X8" s="388"/>
    </row>
    <row r="9" spans="1:749" s="218" customFormat="1" ht="39" customHeight="1">
      <c r="A9" s="327">
        <v>8</v>
      </c>
      <c r="B9" s="218" t="s">
        <v>1371</v>
      </c>
      <c r="C9" s="218" t="s">
        <v>1322</v>
      </c>
      <c r="D9" s="229" t="s">
        <v>1378</v>
      </c>
      <c r="E9" s="329" t="s">
        <v>1379</v>
      </c>
      <c r="F9" s="327" t="s">
        <v>13</v>
      </c>
      <c r="G9" s="327">
        <v>1</v>
      </c>
      <c r="H9" s="327">
        <v>1</v>
      </c>
      <c r="I9" s="229" t="s">
        <v>318</v>
      </c>
      <c r="J9" s="329" t="s">
        <v>1325</v>
      </c>
      <c r="K9" s="327" t="s">
        <v>320</v>
      </c>
      <c r="L9" s="229" t="s">
        <v>448</v>
      </c>
      <c r="M9" s="374" t="s">
        <v>320</v>
      </c>
      <c r="N9" s="271" t="s">
        <v>1380</v>
      </c>
      <c r="O9" s="373">
        <v>45631</v>
      </c>
      <c r="P9" s="373">
        <v>45631</v>
      </c>
      <c r="Q9" s="327" t="s">
        <v>448</v>
      </c>
      <c r="R9" s="370" t="s">
        <v>320</v>
      </c>
      <c r="S9" s="327" t="s">
        <v>323</v>
      </c>
      <c r="T9" s="373">
        <v>45631</v>
      </c>
      <c r="U9" s="352" t="s">
        <v>320</v>
      </c>
      <c r="V9" s="228" t="s">
        <v>320</v>
      </c>
      <c r="W9" s="228" t="s">
        <v>320</v>
      </c>
    </row>
    <row r="10" spans="1:749" s="58" customFormat="1" ht="35.25">
      <c r="A10" s="228">
        <v>9</v>
      </c>
      <c r="B10" s="58" t="s">
        <v>1371</v>
      </c>
      <c r="C10" s="58" t="s">
        <v>1132</v>
      </c>
      <c r="D10" s="203" t="s">
        <v>1051</v>
      </c>
      <c r="E10" s="316" t="s">
        <v>1331</v>
      </c>
      <c r="F10" s="228" t="s">
        <v>1381</v>
      </c>
      <c r="G10" s="228">
        <v>2</v>
      </c>
      <c r="H10" s="228"/>
      <c r="I10" s="203"/>
      <c r="J10" s="316"/>
      <c r="K10" s="228"/>
      <c r="L10" s="203"/>
      <c r="N10" s="200"/>
      <c r="O10" s="360"/>
      <c r="P10" s="360"/>
      <c r="Q10" s="228"/>
      <c r="R10" s="352"/>
      <c r="S10" s="228"/>
      <c r="T10" s="360"/>
      <c r="U10" s="352"/>
      <c r="V10" s="228"/>
      <c r="W10" s="228"/>
      <c r="X10" s="216" t="s">
        <v>1382</v>
      </c>
    </row>
  </sheetData>
  <hyperlinks>
    <hyperlink ref="N2" r:id="rId1" xr:uid="{1F6F2BA0-25D6-4094-B720-F3B070C2FCBD}"/>
    <hyperlink ref="N3" r:id="rId2" xr:uid="{DEC5E959-0C67-4B7B-9BB1-61D59B692952}"/>
    <hyperlink ref="N6" r:id="rId3" xr:uid="{7A639382-91CB-4706-9866-0F9B441BE89D}"/>
    <hyperlink ref="N7" r:id="rId4" xr:uid="{3047010D-C257-49F4-B5A4-AD80CA5640ED}"/>
    <hyperlink ref="N9" r:id="rId5" xr:uid="{6417B134-23A7-46D3-998C-81FDF6D1E79C}"/>
    <hyperlink ref="N8" r:id="rId6" xr:uid="{339E0262-600B-42C6-A6F9-F055B39090A8}"/>
    <hyperlink ref="N5" r:id="rId7" xr:uid="{1478E7AC-FA59-4EEB-B481-8A3DE517AA31}"/>
    <hyperlink ref="N4" r:id="rId8" xr:uid="{9A50C299-8BE6-443E-BC0B-FFBCF294FBC7}"/>
  </hyperlinks>
  <pageMargins left="0.7" right="0.7" top="0.75" bottom="0.75" header="0.3" footer="0.3"/>
  <tableParts count="1">
    <tablePart r:id="rId9"/>
  </tablePart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9C359-A068-4D33-BE4E-7BA6AE450968}">
  <dimension ref="A1:Z4"/>
  <sheetViews>
    <sheetView workbookViewId="0">
      <selection activeCell="J2" sqref="J2"/>
    </sheetView>
  </sheetViews>
  <sheetFormatPr defaultRowHeight="12.75"/>
  <cols>
    <col min="1" max="1" width="9.42578125" customWidth="1"/>
    <col min="2" max="2" width="17.140625" customWidth="1"/>
    <col min="3" max="3" width="21.5703125" customWidth="1"/>
    <col min="4" max="4" width="12.28515625" customWidth="1"/>
    <col min="5" max="5" width="15.5703125" customWidth="1"/>
    <col min="6" max="6" width="54.85546875" customWidth="1"/>
    <col min="7" max="7" width="13.7109375" customWidth="1"/>
    <col min="8" max="8" width="10" customWidth="1"/>
    <col min="9" max="9" width="12" customWidth="1"/>
    <col min="10" max="10" width="14.7109375" customWidth="1"/>
    <col min="11" max="11" width="22.85546875" customWidth="1"/>
  </cols>
  <sheetData>
    <row r="1" spans="1:26" ht="25.5">
      <c r="A1" s="59" t="s">
        <v>248</v>
      </c>
      <c r="B1" s="154" t="s">
        <v>11</v>
      </c>
      <c r="C1" s="155" t="s">
        <v>306</v>
      </c>
      <c r="D1" s="154" t="s">
        <v>250</v>
      </c>
      <c r="E1" s="155" t="s">
        <v>308</v>
      </c>
      <c r="F1" s="155" t="s">
        <v>309</v>
      </c>
      <c r="G1" s="154" t="s">
        <v>310</v>
      </c>
      <c r="H1" s="154" t="s">
        <v>312</v>
      </c>
      <c r="I1" s="154" t="s">
        <v>253</v>
      </c>
      <c r="J1" s="156" t="s">
        <v>313</v>
      </c>
      <c r="K1" s="157" t="s">
        <v>274</v>
      </c>
      <c r="L1" s="35"/>
      <c r="M1" s="35"/>
      <c r="N1" s="35"/>
      <c r="O1" s="35"/>
      <c r="P1" s="35"/>
      <c r="Q1" s="35"/>
      <c r="R1" s="35"/>
      <c r="S1" s="35"/>
      <c r="T1" s="35"/>
      <c r="U1" s="35"/>
      <c r="V1" s="35"/>
      <c r="W1" s="35"/>
      <c r="X1" s="35"/>
      <c r="Y1" s="35"/>
      <c r="Z1" s="35"/>
    </row>
    <row r="2" spans="1:26" ht="24">
      <c r="A2" s="46">
        <v>1</v>
      </c>
      <c r="B2" s="203" t="s">
        <v>80</v>
      </c>
      <c r="C2" s="62" t="s">
        <v>1383</v>
      </c>
      <c r="D2" s="304" t="s">
        <v>1322</v>
      </c>
      <c r="E2" s="41" t="s">
        <v>553</v>
      </c>
      <c r="F2" s="11" t="s">
        <v>1384</v>
      </c>
      <c r="G2" s="41" t="s">
        <v>560</v>
      </c>
      <c r="H2" s="41" t="s">
        <v>556</v>
      </c>
      <c r="I2" s="41" t="s">
        <v>557</v>
      </c>
      <c r="J2" s="41" t="s">
        <v>1213</v>
      </c>
      <c r="K2" s="11"/>
      <c r="L2" s="244"/>
      <c r="M2" s="244"/>
      <c r="N2" s="244"/>
      <c r="O2" s="244"/>
      <c r="P2" s="244"/>
      <c r="Q2" s="244"/>
      <c r="R2" s="244"/>
      <c r="S2" s="244"/>
      <c r="T2" s="244"/>
      <c r="U2" s="244"/>
      <c r="V2" s="244"/>
      <c r="W2" s="137"/>
      <c r="X2" s="137"/>
      <c r="Y2" s="137"/>
      <c r="Z2" s="137"/>
    </row>
    <row r="3" spans="1:26">
      <c r="A3" s="62"/>
      <c r="B3" s="203"/>
      <c r="C3" s="62"/>
      <c r="D3" s="304"/>
      <c r="E3" s="41"/>
      <c r="F3" s="316"/>
      <c r="G3" s="41"/>
      <c r="H3" s="41"/>
      <c r="I3" s="41"/>
      <c r="J3" s="41"/>
      <c r="K3" s="11"/>
      <c r="L3" s="137"/>
      <c r="M3" s="137"/>
      <c r="N3" s="137"/>
      <c r="O3" s="137"/>
      <c r="P3" s="137"/>
      <c r="Q3" s="137"/>
      <c r="R3" s="137"/>
      <c r="S3" s="137"/>
      <c r="T3" s="137"/>
      <c r="U3" s="137"/>
      <c r="V3" s="137"/>
      <c r="W3" s="137"/>
      <c r="X3" s="137"/>
      <c r="Y3" s="137"/>
      <c r="Z3" s="137"/>
    </row>
    <row r="4" spans="1:26">
      <c r="A4" s="61"/>
      <c r="B4" s="203"/>
      <c r="C4" s="58"/>
      <c r="D4" s="304"/>
      <c r="E4" s="41"/>
      <c r="F4" s="216"/>
      <c r="G4" s="19"/>
      <c r="H4" s="41"/>
      <c r="I4" s="41"/>
      <c r="J4" s="41"/>
      <c r="K4" s="19"/>
    </row>
  </sheetData>
  <dataValidations count="4">
    <dataValidation type="list" allowBlank="1" showErrorMessage="1" sqref="H2:H4" xr:uid="{C291453F-68BA-4DBD-8681-8B6FA13FAE00}">
      <formula1>"Internal,External"</formula1>
    </dataValidation>
    <dataValidation type="list" allowBlank="1" showErrorMessage="1" sqref="E2:E4" xr:uid="{5E02A401-2D0F-4222-A1D0-FAA61D70F14C}">
      <formula1>"Bounceback,Defect,None"</formula1>
    </dataValidation>
    <dataValidation type="list" allowBlank="1" showErrorMessage="1" sqref="I2:I4" xr:uid="{7EFE2CF0-6F68-44D3-B4A0-CA0218B7BE15}">
      <formula1>"Open,Inprogress,Closed"</formula1>
    </dataValidation>
    <dataValidation type="list" allowBlank="1" showErrorMessage="1" sqref="G2:G4" xr:uid="{BE834365-2207-4CC1-9270-1EB2FBAB3F7F}">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B4C1871E-0191-4F21-BACA-67B76E162386}">
          <x14:formula1>
            <xm:f>Details!$A$2:$A$10</xm:f>
          </x14:formula1>
          <xm:sqref>J2:J4</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0E285-5A73-4A7E-BE6E-A16D6BDCDA83}">
  <dimension ref="A1:ABU8"/>
  <sheetViews>
    <sheetView workbookViewId="0">
      <pane xSplit="4" ySplit="1" topLeftCell="U3" activePane="bottomRight" state="frozen"/>
      <selection pane="bottomRight"/>
      <selection pane="bottomLeft"/>
      <selection pane="topRight"/>
    </sheetView>
  </sheetViews>
  <sheetFormatPr defaultRowHeight="12.75"/>
  <cols>
    <col min="2" max="2" width="27.5703125" customWidth="1"/>
    <col min="3" max="3" width="14.42578125" customWidth="1"/>
    <col min="4" max="4" width="11.42578125" bestFit="1" customWidth="1"/>
    <col min="5" max="5" width="41.7109375" style="137" customWidth="1"/>
    <col min="6" max="7" width="11.42578125" bestFit="1" customWidth="1"/>
    <col min="8" max="8" width="13.140625" customWidth="1"/>
    <col min="9" max="9" width="13.42578125" style="144" customWidth="1"/>
    <col min="10" max="10" width="15.42578125" customWidth="1"/>
    <col min="11" max="11" width="16.42578125" customWidth="1"/>
    <col min="12" max="12" width="14.85546875" customWidth="1"/>
    <col min="13" max="13" width="11.42578125" style="144" bestFit="1" customWidth="1"/>
    <col min="14" max="15" width="12.7109375" bestFit="1" customWidth="1"/>
    <col min="16" max="16" width="11.42578125" bestFit="1" customWidth="1"/>
    <col min="17" max="17" width="11.42578125" style="144" bestFit="1" customWidth="1"/>
    <col min="18" max="18" width="11.42578125" bestFit="1" customWidth="1"/>
    <col min="19" max="19" width="12.7109375" bestFit="1" customWidth="1"/>
    <col min="20" max="22" width="11.42578125" bestFit="1" customWidth="1"/>
    <col min="23" max="23" width="14.28515625" customWidth="1"/>
    <col min="24" max="24" width="27.42578125" customWidth="1"/>
  </cols>
  <sheetData>
    <row r="1" spans="1:749" ht="47.25">
      <c r="A1" s="379" t="s">
        <v>248</v>
      </c>
      <c r="B1" s="380" t="s">
        <v>249</v>
      </c>
      <c r="C1" s="381" t="s">
        <v>250</v>
      </c>
      <c r="D1" s="382" t="s">
        <v>251</v>
      </c>
      <c r="E1" s="383" t="s">
        <v>252</v>
      </c>
      <c r="F1" s="384" t="s">
        <v>254</v>
      </c>
      <c r="G1" s="384" t="s">
        <v>255</v>
      </c>
      <c r="H1" s="385" t="s">
        <v>259</v>
      </c>
      <c r="I1" s="385" t="s">
        <v>260</v>
      </c>
      <c r="J1" s="385" t="s">
        <v>261</v>
      </c>
      <c r="K1" s="385" t="s">
        <v>262</v>
      </c>
      <c r="L1" s="385" t="s">
        <v>263</v>
      </c>
      <c r="M1" s="385" t="s">
        <v>264</v>
      </c>
      <c r="N1" s="385" t="s">
        <v>265</v>
      </c>
      <c r="O1" s="385" t="s">
        <v>266</v>
      </c>
      <c r="P1" s="385" t="s">
        <v>267</v>
      </c>
      <c r="Q1" s="385" t="s">
        <v>268</v>
      </c>
      <c r="R1" s="385" t="s">
        <v>269</v>
      </c>
      <c r="S1" s="385" t="s">
        <v>270</v>
      </c>
      <c r="T1" s="385" t="s">
        <v>271</v>
      </c>
      <c r="U1" s="385" t="s">
        <v>272</v>
      </c>
      <c r="V1" s="385" t="s">
        <v>273</v>
      </c>
      <c r="W1" s="383" t="s">
        <v>253</v>
      </c>
      <c r="X1" s="386" t="s">
        <v>274</v>
      </c>
    </row>
    <row r="2" spans="1:749" s="256" customFormat="1" ht="38.25" customHeight="1">
      <c r="A2" s="357">
        <v>1</v>
      </c>
      <c r="B2" s="62" t="s">
        <v>1385</v>
      </c>
      <c r="C2" s="62" t="s">
        <v>1386</v>
      </c>
      <c r="D2" s="62" t="s">
        <v>1387</v>
      </c>
      <c r="E2" s="90" t="s">
        <v>1388</v>
      </c>
      <c r="F2" s="228">
        <v>3</v>
      </c>
      <c r="G2" s="228">
        <v>3</v>
      </c>
      <c r="H2" s="62" t="s">
        <v>318</v>
      </c>
      <c r="I2" s="316" t="s">
        <v>1035</v>
      </c>
      <c r="J2" s="228" t="s">
        <v>320</v>
      </c>
      <c r="K2" s="62" t="s">
        <v>1035</v>
      </c>
      <c r="L2" s="352" t="s">
        <v>320</v>
      </c>
      <c r="M2" s="176" t="s">
        <v>1389</v>
      </c>
      <c r="N2" s="359">
        <v>45604</v>
      </c>
      <c r="O2" s="359">
        <v>45610</v>
      </c>
      <c r="P2" s="352" t="s">
        <v>448</v>
      </c>
      <c r="Q2" s="352" t="s">
        <v>320</v>
      </c>
      <c r="R2" s="228" t="s">
        <v>323</v>
      </c>
      <c r="S2" s="360">
        <v>45610</v>
      </c>
      <c r="T2" s="228" t="s">
        <v>320</v>
      </c>
      <c r="U2" s="327" t="s">
        <v>320</v>
      </c>
      <c r="V2" s="327" t="s">
        <v>320</v>
      </c>
      <c r="W2" s="357" t="s">
        <v>13</v>
      </c>
      <c r="X2" s="376"/>
    </row>
    <row r="3" spans="1:749" s="137" customFormat="1" ht="41.25" customHeight="1">
      <c r="A3" s="357">
        <v>2</v>
      </c>
      <c r="B3" s="62" t="s">
        <v>1385</v>
      </c>
      <c r="C3" s="203" t="s">
        <v>595</v>
      </c>
      <c r="D3" s="229" t="s">
        <v>1390</v>
      </c>
      <c r="E3" s="305" t="s">
        <v>1391</v>
      </c>
      <c r="F3" s="228">
        <v>2</v>
      </c>
      <c r="G3" s="228">
        <v>2</v>
      </c>
      <c r="H3" s="62" t="s">
        <v>318</v>
      </c>
      <c r="I3" s="335" t="s">
        <v>1022</v>
      </c>
      <c r="J3" s="228" t="s">
        <v>320</v>
      </c>
      <c r="K3" s="62" t="s">
        <v>322</v>
      </c>
      <c r="L3" s="352" t="s">
        <v>320</v>
      </c>
      <c r="M3" s="361" t="s">
        <v>1392</v>
      </c>
      <c r="N3" s="360">
        <v>45604</v>
      </c>
      <c r="O3" s="360">
        <v>45605</v>
      </c>
      <c r="P3" s="228" t="s">
        <v>322</v>
      </c>
      <c r="Q3" s="352" t="s">
        <v>320</v>
      </c>
      <c r="R3" s="228" t="s">
        <v>323</v>
      </c>
      <c r="S3" s="360">
        <v>45608</v>
      </c>
      <c r="T3" s="362" t="s">
        <v>320</v>
      </c>
      <c r="U3" s="363" t="s">
        <v>320</v>
      </c>
      <c r="V3" s="363" t="s">
        <v>320</v>
      </c>
      <c r="W3" s="357" t="s">
        <v>13</v>
      </c>
      <c r="X3" s="377"/>
    </row>
    <row r="4" spans="1:749" ht="36.75" customHeight="1">
      <c r="A4" s="357">
        <v>3</v>
      </c>
      <c r="B4" s="62" t="s">
        <v>1385</v>
      </c>
      <c r="C4" s="203" t="s">
        <v>1322</v>
      </c>
      <c r="D4" s="229" t="s">
        <v>1393</v>
      </c>
      <c r="E4" s="305" t="s">
        <v>1394</v>
      </c>
      <c r="F4" s="228">
        <v>3</v>
      </c>
      <c r="G4" s="228">
        <v>3</v>
      </c>
      <c r="H4" s="203" t="s">
        <v>318</v>
      </c>
      <c r="I4" s="316" t="s">
        <v>1325</v>
      </c>
      <c r="J4" s="228" t="s">
        <v>320</v>
      </c>
      <c r="K4" s="203" t="s">
        <v>1326</v>
      </c>
      <c r="L4" s="352" t="s">
        <v>350</v>
      </c>
      <c r="M4" s="358" t="s">
        <v>1395</v>
      </c>
      <c r="N4" s="360">
        <v>45615</v>
      </c>
      <c r="O4" s="360">
        <v>45615</v>
      </c>
      <c r="P4" s="228" t="s">
        <v>1396</v>
      </c>
      <c r="Q4" s="375" t="s">
        <v>320</v>
      </c>
      <c r="R4" s="228" t="s">
        <v>1173</v>
      </c>
      <c r="S4" s="360">
        <v>45615</v>
      </c>
      <c r="T4" s="371" t="s">
        <v>1397</v>
      </c>
      <c r="U4" s="363" t="s">
        <v>320</v>
      </c>
      <c r="V4" s="363" t="s">
        <v>320</v>
      </c>
      <c r="W4" s="357" t="s">
        <v>13</v>
      </c>
      <c r="X4" s="377"/>
      <c r="Y4" s="137"/>
      <c r="Z4" s="137"/>
      <c r="AA4" s="137"/>
      <c r="AB4" s="137"/>
      <c r="AC4" s="137"/>
      <c r="AD4" s="137"/>
      <c r="AE4" s="137"/>
      <c r="AF4" s="137"/>
      <c r="AG4" s="137"/>
      <c r="AH4" s="137"/>
      <c r="AI4" s="137"/>
      <c r="AJ4" s="137"/>
      <c r="AK4" s="137"/>
      <c r="AL4" s="137"/>
      <c r="AM4" s="137"/>
      <c r="AN4" s="137"/>
      <c r="AO4" s="137"/>
      <c r="AP4" s="137"/>
      <c r="AQ4" s="137"/>
      <c r="AR4" s="137"/>
      <c r="AS4" s="137"/>
      <c r="AT4" s="137"/>
      <c r="AU4" s="137"/>
      <c r="AV4" s="137"/>
      <c r="AW4" s="137"/>
      <c r="AX4" s="137"/>
      <c r="AY4" s="137"/>
      <c r="AZ4" s="137"/>
      <c r="BA4" s="137"/>
      <c r="BB4" s="137"/>
      <c r="BC4" s="137"/>
      <c r="BD4" s="137"/>
      <c r="BE4" s="137"/>
      <c r="BF4" s="137"/>
      <c r="BG4" s="137"/>
      <c r="BH4" s="137"/>
      <c r="BI4" s="137"/>
      <c r="BJ4" s="137"/>
      <c r="BK4" s="137"/>
      <c r="BL4" s="137"/>
      <c r="BM4" s="137"/>
      <c r="BN4" s="137"/>
      <c r="BO4" s="137"/>
      <c r="BP4" s="137"/>
      <c r="BQ4" s="137"/>
      <c r="BR4" s="137"/>
      <c r="BS4" s="137"/>
      <c r="BT4" s="137"/>
      <c r="BU4" s="137"/>
      <c r="BV4" s="137"/>
      <c r="BW4" s="137"/>
      <c r="BX4" s="137"/>
      <c r="BY4" s="137"/>
      <c r="BZ4" s="137"/>
      <c r="CA4" s="137"/>
      <c r="CB4" s="137"/>
      <c r="CC4" s="137"/>
      <c r="CD4" s="137"/>
      <c r="CE4" s="137"/>
      <c r="CF4" s="137"/>
      <c r="CG4" s="137"/>
      <c r="CH4" s="137"/>
      <c r="CI4" s="137"/>
      <c r="CJ4" s="137"/>
      <c r="CK4" s="137"/>
      <c r="CL4" s="137"/>
      <c r="CM4" s="137"/>
      <c r="CN4" s="137"/>
      <c r="CO4" s="137"/>
      <c r="CP4" s="137"/>
      <c r="CQ4" s="137"/>
      <c r="CR4" s="137"/>
      <c r="CS4" s="137"/>
      <c r="CT4" s="137"/>
      <c r="CU4" s="137"/>
      <c r="CV4" s="137"/>
      <c r="CW4" s="137"/>
      <c r="CX4" s="137"/>
      <c r="CY4" s="137"/>
      <c r="CZ4" s="137"/>
      <c r="DA4" s="137"/>
      <c r="DB4" s="137"/>
      <c r="DC4" s="137"/>
      <c r="DD4" s="137"/>
      <c r="DE4" s="137"/>
      <c r="DF4" s="137"/>
      <c r="DG4" s="137"/>
      <c r="DH4" s="137"/>
      <c r="DI4" s="137"/>
      <c r="DJ4" s="137"/>
      <c r="DK4" s="137"/>
      <c r="DL4" s="137"/>
      <c r="DM4" s="137"/>
      <c r="DN4" s="137"/>
      <c r="DO4" s="137"/>
      <c r="DP4" s="137"/>
      <c r="DQ4" s="137"/>
      <c r="DR4" s="137"/>
      <c r="DS4" s="137"/>
      <c r="DT4" s="137"/>
      <c r="DU4" s="137"/>
      <c r="DV4" s="137"/>
      <c r="DW4" s="137"/>
      <c r="DX4" s="137"/>
      <c r="DY4" s="137"/>
      <c r="DZ4" s="137"/>
      <c r="EA4" s="137"/>
      <c r="EB4" s="137"/>
      <c r="EC4" s="137"/>
      <c r="ED4" s="137"/>
      <c r="EE4" s="137"/>
      <c r="EF4" s="137"/>
      <c r="EG4" s="137"/>
      <c r="EH4" s="137"/>
      <c r="EI4" s="137"/>
      <c r="EJ4" s="137"/>
      <c r="EK4" s="137"/>
      <c r="EL4" s="137"/>
      <c r="EM4" s="137"/>
      <c r="EN4" s="137"/>
      <c r="EO4" s="137"/>
      <c r="EP4" s="137"/>
      <c r="EQ4" s="137"/>
      <c r="ER4" s="137"/>
      <c r="ES4" s="137"/>
      <c r="ET4" s="137"/>
      <c r="EU4" s="137"/>
      <c r="EV4" s="137"/>
      <c r="EW4" s="137"/>
      <c r="EX4" s="137"/>
      <c r="EY4" s="137"/>
      <c r="EZ4" s="137"/>
      <c r="FA4" s="137"/>
      <c r="FB4" s="137"/>
      <c r="FC4" s="137"/>
      <c r="FD4" s="137"/>
      <c r="FE4" s="137"/>
      <c r="FF4" s="137"/>
      <c r="FG4" s="137"/>
      <c r="FH4" s="137"/>
      <c r="FI4" s="137"/>
      <c r="FJ4" s="137"/>
      <c r="FK4" s="137"/>
      <c r="FL4" s="137"/>
      <c r="FM4" s="137"/>
      <c r="FN4" s="137"/>
      <c r="FO4" s="137"/>
      <c r="FP4" s="137"/>
      <c r="FQ4" s="137"/>
      <c r="FR4" s="137"/>
      <c r="FS4" s="137"/>
      <c r="FT4" s="137"/>
      <c r="FU4" s="137"/>
      <c r="FV4" s="137"/>
      <c r="FW4" s="137"/>
      <c r="FX4" s="137"/>
      <c r="FY4" s="137"/>
      <c r="FZ4" s="137"/>
      <c r="GA4" s="137"/>
      <c r="GB4" s="137"/>
      <c r="GC4" s="137"/>
      <c r="GD4" s="137"/>
      <c r="GE4" s="137"/>
      <c r="GF4" s="137"/>
      <c r="GG4" s="137"/>
      <c r="GH4" s="137"/>
      <c r="GI4" s="137"/>
      <c r="GJ4" s="137"/>
      <c r="GK4" s="137"/>
      <c r="GL4" s="137"/>
      <c r="GM4" s="137"/>
      <c r="GN4" s="137"/>
      <c r="GO4" s="137"/>
      <c r="GP4" s="137"/>
      <c r="GQ4" s="137"/>
      <c r="GR4" s="137"/>
      <c r="GS4" s="137"/>
      <c r="GT4" s="137"/>
      <c r="GU4" s="137"/>
      <c r="GV4" s="137"/>
      <c r="GW4" s="137"/>
      <c r="GX4" s="137"/>
      <c r="GY4" s="137"/>
      <c r="GZ4" s="137"/>
      <c r="HA4" s="137"/>
      <c r="HB4" s="137"/>
      <c r="HC4" s="137"/>
      <c r="HD4" s="137"/>
      <c r="HE4" s="137"/>
      <c r="HF4" s="137"/>
      <c r="HG4" s="137"/>
      <c r="HH4" s="137"/>
      <c r="HI4" s="137"/>
      <c r="HJ4" s="137"/>
      <c r="HK4" s="137"/>
      <c r="HL4" s="137"/>
      <c r="HM4" s="137"/>
      <c r="HN4" s="137"/>
      <c r="HO4" s="137"/>
      <c r="HP4" s="137"/>
      <c r="HQ4" s="137"/>
      <c r="HR4" s="137"/>
      <c r="HS4" s="137"/>
      <c r="HT4" s="137"/>
      <c r="HU4" s="137"/>
      <c r="HV4" s="137"/>
      <c r="HW4" s="137"/>
      <c r="HX4" s="137"/>
      <c r="HY4" s="137"/>
      <c r="HZ4" s="137"/>
      <c r="IA4" s="137"/>
      <c r="IB4" s="137"/>
      <c r="IC4" s="137"/>
      <c r="ID4" s="137"/>
      <c r="IE4" s="137"/>
      <c r="IF4" s="137"/>
      <c r="IG4" s="137"/>
      <c r="IH4" s="137"/>
      <c r="II4" s="137"/>
      <c r="IJ4" s="137"/>
      <c r="IK4" s="137"/>
      <c r="IL4" s="137"/>
      <c r="IM4" s="137"/>
      <c r="IN4" s="137"/>
      <c r="IO4" s="137"/>
      <c r="IP4" s="137"/>
      <c r="IQ4" s="137"/>
      <c r="IR4" s="137"/>
      <c r="IS4" s="137"/>
      <c r="IT4" s="137"/>
      <c r="IU4" s="137"/>
      <c r="IV4" s="137"/>
      <c r="IW4" s="137"/>
      <c r="IX4" s="137"/>
      <c r="IY4" s="137"/>
      <c r="IZ4" s="137"/>
      <c r="JA4" s="137"/>
      <c r="JB4" s="137"/>
      <c r="JC4" s="137"/>
      <c r="JD4" s="137"/>
      <c r="JE4" s="137"/>
      <c r="JF4" s="137"/>
      <c r="JG4" s="137"/>
      <c r="JH4" s="137"/>
      <c r="JI4" s="137"/>
      <c r="JJ4" s="137"/>
      <c r="JK4" s="137"/>
      <c r="JL4" s="137"/>
      <c r="JM4" s="137"/>
      <c r="JN4" s="137"/>
      <c r="JO4" s="137"/>
      <c r="JP4" s="137"/>
      <c r="JQ4" s="137"/>
      <c r="JR4" s="137"/>
      <c r="JS4" s="137"/>
      <c r="JT4" s="137"/>
      <c r="JU4" s="137"/>
      <c r="JV4" s="137"/>
      <c r="JW4" s="137"/>
      <c r="JX4" s="137"/>
      <c r="JY4" s="137"/>
      <c r="JZ4" s="137"/>
      <c r="KA4" s="137"/>
      <c r="KB4" s="137"/>
      <c r="KC4" s="137"/>
      <c r="KD4" s="137"/>
      <c r="KE4" s="137"/>
      <c r="KF4" s="137"/>
      <c r="KG4" s="137"/>
      <c r="KH4" s="137"/>
      <c r="KI4" s="137"/>
      <c r="KJ4" s="137"/>
      <c r="KK4" s="137"/>
      <c r="KL4" s="137"/>
      <c r="KM4" s="137"/>
      <c r="KN4" s="137"/>
      <c r="KO4" s="137"/>
      <c r="KP4" s="137"/>
      <c r="KQ4" s="137"/>
      <c r="KR4" s="137"/>
      <c r="KS4" s="137"/>
      <c r="KT4" s="137"/>
      <c r="KU4" s="137"/>
      <c r="KV4" s="137"/>
      <c r="KW4" s="137"/>
      <c r="KX4" s="137"/>
      <c r="KY4" s="137"/>
      <c r="KZ4" s="137"/>
      <c r="LA4" s="137"/>
      <c r="LB4" s="137"/>
      <c r="LC4" s="137"/>
      <c r="LD4" s="137"/>
      <c r="LE4" s="137"/>
      <c r="LF4" s="137"/>
      <c r="LG4" s="137"/>
      <c r="LH4" s="137"/>
      <c r="LI4" s="137"/>
      <c r="LJ4" s="137"/>
      <c r="LK4" s="137"/>
      <c r="LL4" s="137"/>
      <c r="LM4" s="137"/>
      <c r="LN4" s="137"/>
      <c r="LO4" s="137"/>
      <c r="LP4" s="137"/>
      <c r="LQ4" s="137"/>
      <c r="LR4" s="137"/>
      <c r="LS4" s="137"/>
      <c r="LT4" s="137"/>
      <c r="LU4" s="137"/>
      <c r="LV4" s="137"/>
      <c r="LW4" s="137"/>
      <c r="LX4" s="137"/>
      <c r="LY4" s="137"/>
      <c r="LZ4" s="137"/>
      <c r="MA4" s="137"/>
      <c r="MB4" s="137"/>
      <c r="MC4" s="137"/>
      <c r="MD4" s="137"/>
      <c r="ME4" s="137"/>
      <c r="MF4" s="137"/>
      <c r="MG4" s="137"/>
      <c r="MH4" s="137"/>
      <c r="MI4" s="137"/>
      <c r="MJ4" s="137"/>
      <c r="MK4" s="137"/>
      <c r="ML4" s="137"/>
      <c r="MM4" s="137"/>
      <c r="MN4" s="137"/>
      <c r="MO4" s="137"/>
      <c r="MP4" s="137"/>
      <c r="MQ4" s="137"/>
      <c r="MR4" s="137"/>
      <c r="MS4" s="137"/>
      <c r="MT4" s="137"/>
      <c r="MU4" s="137"/>
      <c r="MV4" s="137"/>
      <c r="MW4" s="137"/>
      <c r="MX4" s="137"/>
      <c r="MY4" s="137"/>
      <c r="MZ4" s="137"/>
      <c r="NA4" s="137"/>
      <c r="NB4" s="137"/>
      <c r="NC4" s="137"/>
      <c r="ND4" s="137"/>
      <c r="NE4" s="137"/>
      <c r="NF4" s="137"/>
      <c r="NG4" s="137"/>
      <c r="NH4" s="137"/>
      <c r="NI4" s="137"/>
      <c r="NJ4" s="137"/>
      <c r="NK4" s="137"/>
      <c r="NL4" s="137"/>
      <c r="NM4" s="137"/>
      <c r="NN4" s="137"/>
      <c r="NO4" s="137"/>
      <c r="NP4" s="137"/>
      <c r="NQ4" s="137"/>
      <c r="NR4" s="137"/>
      <c r="NS4" s="137"/>
      <c r="NT4" s="137"/>
      <c r="NU4" s="137"/>
      <c r="NV4" s="137"/>
      <c r="NW4" s="137"/>
      <c r="NX4" s="137"/>
      <c r="NY4" s="137"/>
      <c r="NZ4" s="137"/>
      <c r="OA4" s="137"/>
      <c r="OB4" s="137"/>
      <c r="OC4" s="137"/>
      <c r="OD4" s="137"/>
      <c r="OE4" s="137"/>
      <c r="OF4" s="137"/>
      <c r="OG4" s="137"/>
      <c r="OH4" s="137"/>
      <c r="OI4" s="137"/>
      <c r="OJ4" s="137"/>
      <c r="OK4" s="137"/>
      <c r="OL4" s="137"/>
      <c r="OM4" s="137"/>
      <c r="ON4" s="137"/>
      <c r="OO4" s="137"/>
      <c r="OP4" s="137"/>
      <c r="OQ4" s="137"/>
      <c r="OR4" s="137"/>
      <c r="OS4" s="137"/>
      <c r="OT4" s="137"/>
      <c r="OU4" s="137"/>
      <c r="OV4" s="137"/>
      <c r="OW4" s="137"/>
      <c r="OX4" s="137"/>
      <c r="OY4" s="137"/>
      <c r="OZ4" s="137"/>
      <c r="PA4" s="137"/>
      <c r="PB4" s="137"/>
      <c r="PC4" s="137"/>
      <c r="PD4" s="137"/>
      <c r="PE4" s="137"/>
      <c r="PF4" s="137"/>
      <c r="PG4" s="137"/>
      <c r="PH4" s="137"/>
      <c r="PI4" s="137"/>
      <c r="PJ4" s="137"/>
      <c r="PK4" s="137"/>
      <c r="PL4" s="137"/>
      <c r="PM4" s="137"/>
      <c r="PN4" s="137"/>
      <c r="PO4" s="137"/>
      <c r="PP4" s="137"/>
      <c r="PQ4" s="137"/>
      <c r="PR4" s="137"/>
      <c r="PS4" s="137"/>
      <c r="PT4" s="137"/>
      <c r="PU4" s="137"/>
      <c r="PV4" s="137"/>
      <c r="PW4" s="137"/>
      <c r="PX4" s="137"/>
      <c r="PY4" s="137"/>
      <c r="PZ4" s="137"/>
      <c r="QA4" s="137"/>
      <c r="QB4" s="137"/>
      <c r="QC4" s="137"/>
      <c r="QD4" s="137"/>
      <c r="QE4" s="137"/>
      <c r="QF4" s="137"/>
      <c r="QG4" s="137"/>
      <c r="QH4" s="137"/>
      <c r="QI4" s="137"/>
      <c r="QJ4" s="137"/>
      <c r="QK4" s="137"/>
      <c r="QL4" s="137"/>
      <c r="QM4" s="137"/>
      <c r="QN4" s="137"/>
      <c r="QO4" s="137"/>
      <c r="QP4" s="137"/>
      <c r="QQ4" s="137"/>
      <c r="QR4" s="137"/>
      <c r="QS4" s="137"/>
      <c r="QT4" s="137"/>
      <c r="QU4" s="137"/>
      <c r="QV4" s="137"/>
      <c r="QW4" s="137"/>
      <c r="QX4" s="137"/>
      <c r="QY4" s="137"/>
      <c r="QZ4" s="137"/>
      <c r="RA4" s="137"/>
      <c r="RB4" s="137"/>
      <c r="RC4" s="137"/>
      <c r="RD4" s="137"/>
      <c r="RE4" s="137"/>
      <c r="RF4" s="137"/>
      <c r="RG4" s="137"/>
      <c r="RH4" s="137"/>
      <c r="RI4" s="137"/>
      <c r="RJ4" s="137"/>
      <c r="RK4" s="137"/>
      <c r="RL4" s="137"/>
      <c r="RM4" s="137"/>
      <c r="RN4" s="137"/>
      <c r="RO4" s="137"/>
      <c r="RP4" s="137"/>
      <c r="RQ4" s="137"/>
      <c r="RR4" s="137"/>
      <c r="RS4" s="137"/>
      <c r="RT4" s="137"/>
      <c r="RU4" s="137"/>
      <c r="RV4" s="137"/>
      <c r="RW4" s="137"/>
      <c r="RX4" s="137"/>
      <c r="RY4" s="137"/>
      <c r="RZ4" s="137"/>
      <c r="SA4" s="137"/>
      <c r="SB4" s="137"/>
      <c r="SC4" s="137"/>
      <c r="SD4" s="137"/>
      <c r="SE4" s="137"/>
      <c r="SF4" s="137"/>
      <c r="SG4" s="137"/>
      <c r="SH4" s="137"/>
      <c r="SI4" s="137"/>
      <c r="SJ4" s="137"/>
      <c r="SK4" s="137"/>
      <c r="SL4" s="137"/>
      <c r="SM4" s="137"/>
      <c r="SN4" s="137"/>
      <c r="SO4" s="137"/>
      <c r="SP4" s="137"/>
      <c r="SQ4" s="137"/>
      <c r="SR4" s="137"/>
      <c r="SS4" s="137"/>
      <c r="ST4" s="137"/>
      <c r="SU4" s="137"/>
      <c r="SV4" s="137"/>
      <c r="SW4" s="137"/>
      <c r="SX4" s="137"/>
      <c r="SY4" s="137"/>
      <c r="SZ4" s="137"/>
      <c r="TA4" s="137"/>
      <c r="TB4" s="137"/>
      <c r="TC4" s="137"/>
      <c r="TD4" s="137"/>
      <c r="TE4" s="137"/>
      <c r="TF4" s="137"/>
      <c r="TG4" s="137"/>
      <c r="TH4" s="137"/>
      <c r="TI4" s="137"/>
      <c r="TJ4" s="137"/>
      <c r="TK4" s="137"/>
      <c r="TL4" s="137"/>
      <c r="TM4" s="137"/>
      <c r="TN4" s="137"/>
      <c r="TO4" s="137"/>
      <c r="TP4" s="137"/>
      <c r="TQ4" s="137"/>
      <c r="TR4" s="137"/>
      <c r="TS4" s="137"/>
      <c r="TT4" s="137"/>
      <c r="TU4" s="137"/>
      <c r="TV4" s="137"/>
      <c r="TW4" s="137"/>
      <c r="TX4" s="137"/>
      <c r="TY4" s="137"/>
      <c r="TZ4" s="137"/>
      <c r="UA4" s="137"/>
      <c r="UB4" s="137"/>
      <c r="UC4" s="137"/>
      <c r="UD4" s="137"/>
      <c r="UE4" s="137"/>
      <c r="UF4" s="137"/>
      <c r="UG4" s="137"/>
      <c r="UH4" s="137"/>
      <c r="UI4" s="137"/>
      <c r="UJ4" s="137"/>
      <c r="UK4" s="137"/>
      <c r="UL4" s="137"/>
      <c r="UM4" s="137"/>
      <c r="UN4" s="137"/>
      <c r="UO4" s="137"/>
      <c r="UP4" s="137"/>
      <c r="UQ4" s="137"/>
      <c r="UR4" s="137"/>
      <c r="US4" s="137"/>
      <c r="UT4" s="137"/>
      <c r="UU4" s="137"/>
      <c r="UV4" s="137"/>
      <c r="UW4" s="137"/>
      <c r="UX4" s="137"/>
      <c r="UY4" s="137"/>
      <c r="UZ4" s="137"/>
      <c r="VA4" s="137"/>
      <c r="VB4" s="137"/>
      <c r="VC4" s="137"/>
      <c r="VD4" s="137"/>
      <c r="VE4" s="137"/>
      <c r="VF4" s="137"/>
      <c r="VG4" s="137"/>
      <c r="VH4" s="137"/>
      <c r="VI4" s="137"/>
      <c r="VJ4" s="137"/>
      <c r="VK4" s="137"/>
      <c r="VL4" s="137"/>
      <c r="VM4" s="137"/>
      <c r="VN4" s="137"/>
      <c r="VO4" s="137"/>
      <c r="VP4" s="137"/>
      <c r="VQ4" s="137"/>
      <c r="VR4" s="137"/>
      <c r="VS4" s="137"/>
      <c r="VT4" s="137"/>
      <c r="VU4" s="137"/>
      <c r="VV4" s="137"/>
      <c r="VW4" s="137"/>
      <c r="VX4" s="137"/>
      <c r="VY4" s="137"/>
      <c r="VZ4" s="137"/>
      <c r="WA4" s="137"/>
      <c r="WB4" s="137"/>
      <c r="WC4" s="137"/>
      <c r="WD4" s="137"/>
      <c r="WE4" s="137"/>
      <c r="WF4" s="137"/>
      <c r="WG4" s="137"/>
      <c r="WH4" s="137"/>
      <c r="WI4" s="137"/>
      <c r="WJ4" s="137"/>
      <c r="WK4" s="137"/>
      <c r="WL4" s="137"/>
      <c r="WM4" s="137"/>
      <c r="WN4" s="137"/>
      <c r="WO4" s="137"/>
      <c r="WP4" s="137"/>
      <c r="WQ4" s="137"/>
      <c r="WR4" s="137"/>
      <c r="WS4" s="137"/>
      <c r="WT4" s="137"/>
      <c r="WU4" s="137"/>
      <c r="WV4" s="137"/>
      <c r="WW4" s="137"/>
      <c r="WX4" s="137"/>
      <c r="WY4" s="137"/>
      <c r="WZ4" s="137"/>
      <c r="XA4" s="137"/>
      <c r="XB4" s="137"/>
      <c r="XC4" s="137"/>
      <c r="XD4" s="137"/>
      <c r="XE4" s="137"/>
      <c r="XF4" s="137"/>
      <c r="XG4" s="137"/>
      <c r="XH4" s="137"/>
      <c r="XI4" s="137"/>
      <c r="XJ4" s="137"/>
      <c r="XK4" s="137"/>
      <c r="XL4" s="137"/>
      <c r="XM4" s="137"/>
      <c r="XN4" s="137"/>
      <c r="XO4" s="137"/>
      <c r="XP4" s="137"/>
      <c r="XQ4" s="137"/>
      <c r="XR4" s="137"/>
      <c r="XS4" s="137"/>
      <c r="XT4" s="137"/>
      <c r="XU4" s="137"/>
      <c r="XV4" s="137"/>
      <c r="XW4" s="137"/>
      <c r="XX4" s="137"/>
      <c r="XY4" s="137"/>
      <c r="XZ4" s="137"/>
      <c r="YA4" s="137"/>
      <c r="YB4" s="137"/>
      <c r="YC4" s="137"/>
      <c r="YD4" s="137"/>
      <c r="YE4" s="137"/>
      <c r="YF4" s="137"/>
      <c r="YG4" s="137"/>
      <c r="YH4" s="137"/>
      <c r="YI4" s="137"/>
      <c r="YJ4" s="137"/>
      <c r="YK4" s="137"/>
      <c r="YL4" s="137"/>
      <c r="YM4" s="137"/>
      <c r="YN4" s="137"/>
      <c r="YO4" s="137"/>
      <c r="YP4" s="137"/>
      <c r="YQ4" s="137"/>
      <c r="YR4" s="137"/>
      <c r="YS4" s="137"/>
      <c r="YT4" s="137"/>
      <c r="YU4" s="137"/>
      <c r="YV4" s="137"/>
      <c r="YW4" s="137"/>
      <c r="YX4" s="137"/>
      <c r="YY4" s="137"/>
      <c r="YZ4" s="137"/>
      <c r="ZA4" s="137"/>
      <c r="ZB4" s="137"/>
      <c r="ZC4" s="137"/>
      <c r="ZD4" s="137"/>
      <c r="ZE4" s="137"/>
      <c r="ZF4" s="137"/>
      <c r="ZG4" s="137"/>
      <c r="ZH4" s="137"/>
      <c r="ZI4" s="137"/>
      <c r="ZJ4" s="137"/>
      <c r="ZK4" s="137"/>
      <c r="ZL4" s="137"/>
      <c r="ZM4" s="137"/>
      <c r="ZN4" s="137"/>
      <c r="ZO4" s="137"/>
      <c r="ZP4" s="137"/>
      <c r="ZQ4" s="137"/>
      <c r="ZR4" s="137"/>
      <c r="ZS4" s="137"/>
      <c r="ZT4" s="137"/>
      <c r="ZU4" s="137"/>
      <c r="ZV4" s="137"/>
      <c r="ZW4" s="137"/>
      <c r="ZX4" s="137"/>
      <c r="ZY4" s="137"/>
      <c r="ZZ4" s="137"/>
      <c r="AAA4" s="137"/>
      <c r="AAB4" s="137"/>
      <c r="AAC4" s="137"/>
      <c r="AAD4" s="137"/>
      <c r="AAE4" s="137"/>
      <c r="AAF4" s="137"/>
      <c r="AAG4" s="137"/>
      <c r="AAH4" s="137"/>
      <c r="AAI4" s="137"/>
      <c r="AAJ4" s="137"/>
      <c r="AAK4" s="137"/>
      <c r="AAL4" s="137"/>
      <c r="AAM4" s="137"/>
      <c r="AAN4" s="137"/>
      <c r="AAO4" s="137"/>
      <c r="AAP4" s="137"/>
      <c r="AAQ4" s="137"/>
      <c r="AAR4" s="137"/>
      <c r="AAS4" s="137"/>
      <c r="AAT4" s="137"/>
      <c r="AAU4" s="137"/>
      <c r="AAV4" s="137"/>
      <c r="AAW4" s="137"/>
      <c r="AAX4" s="137"/>
      <c r="AAY4" s="137"/>
      <c r="AAZ4" s="137"/>
      <c r="ABA4" s="137"/>
      <c r="ABB4" s="137"/>
      <c r="ABC4" s="137"/>
      <c r="ABD4" s="137"/>
      <c r="ABE4" s="137"/>
      <c r="ABF4" s="137"/>
      <c r="ABG4" s="137"/>
      <c r="ABH4" s="137"/>
      <c r="ABI4" s="137"/>
      <c r="ABJ4" s="137"/>
      <c r="ABK4" s="137"/>
      <c r="ABL4" s="137"/>
      <c r="ABM4" s="137"/>
      <c r="ABN4" s="137"/>
      <c r="ABO4" s="137"/>
      <c r="ABP4" s="137"/>
      <c r="ABQ4" s="137"/>
      <c r="ABR4" s="137"/>
      <c r="ABS4" s="137"/>
      <c r="ABT4" s="137"/>
      <c r="ABU4" s="137"/>
    </row>
    <row r="5" spans="1:749" ht="41.25" customHeight="1">
      <c r="A5" s="357">
        <v>4</v>
      </c>
      <c r="B5" s="62" t="s">
        <v>1385</v>
      </c>
      <c r="C5" s="229" t="s">
        <v>1325</v>
      </c>
      <c r="D5" s="229" t="s">
        <v>1398</v>
      </c>
      <c r="E5" s="305" t="s">
        <v>1399</v>
      </c>
      <c r="F5" s="181">
        <v>1</v>
      </c>
      <c r="G5" s="228">
        <v>1</v>
      </c>
      <c r="H5" s="203" t="s">
        <v>318</v>
      </c>
      <c r="I5" s="316" t="s">
        <v>1322</v>
      </c>
      <c r="J5" s="228" t="s">
        <v>1400</v>
      </c>
      <c r="K5" s="203" t="s">
        <v>1326</v>
      </c>
      <c r="L5" s="352" t="s">
        <v>320</v>
      </c>
      <c r="M5" s="358" t="s">
        <v>1401</v>
      </c>
      <c r="N5" s="360">
        <v>45604</v>
      </c>
      <c r="O5" s="360">
        <v>45604</v>
      </c>
      <c r="P5" s="228" t="s">
        <v>1396</v>
      </c>
      <c r="Q5" s="352" t="s">
        <v>320</v>
      </c>
      <c r="R5" s="228" t="s">
        <v>1173</v>
      </c>
      <c r="S5" s="360">
        <v>45604</v>
      </c>
      <c r="T5" s="352" t="s">
        <v>320</v>
      </c>
      <c r="U5" s="228" t="s">
        <v>320</v>
      </c>
      <c r="V5" s="228" t="s">
        <v>320</v>
      </c>
      <c r="W5" s="228" t="s">
        <v>13</v>
      </c>
      <c r="X5" s="378"/>
    </row>
    <row r="6" spans="1:749" s="58" customFormat="1" ht="30.75" customHeight="1">
      <c r="A6" s="357">
        <v>5</v>
      </c>
      <c r="B6" s="203" t="s">
        <v>1385</v>
      </c>
      <c r="C6" s="246" t="s">
        <v>1022</v>
      </c>
      <c r="D6" s="203" t="s">
        <v>1402</v>
      </c>
      <c r="E6" s="186" t="s">
        <v>1403</v>
      </c>
      <c r="F6" s="357">
        <v>2</v>
      </c>
      <c r="G6" s="228">
        <v>2</v>
      </c>
      <c r="H6" s="203" t="s">
        <v>318</v>
      </c>
      <c r="I6" s="316" t="s">
        <v>448</v>
      </c>
      <c r="J6" s="228" t="s">
        <v>320</v>
      </c>
      <c r="K6" s="203" t="s">
        <v>448</v>
      </c>
      <c r="L6" s="228" t="s">
        <v>320</v>
      </c>
      <c r="M6" s="358" t="s">
        <v>1404</v>
      </c>
      <c r="N6" s="360">
        <v>45614</v>
      </c>
      <c r="O6" s="360">
        <v>45614</v>
      </c>
      <c r="P6" s="228" t="s">
        <v>448</v>
      </c>
      <c r="Q6" s="352" t="s">
        <v>320</v>
      </c>
      <c r="R6" s="228" t="s">
        <v>1173</v>
      </c>
      <c r="S6" s="360">
        <v>45604</v>
      </c>
      <c r="T6" s="352" t="s">
        <v>320</v>
      </c>
      <c r="U6" s="228" t="s">
        <v>320</v>
      </c>
      <c r="V6" s="228" t="s">
        <v>320</v>
      </c>
      <c r="W6" s="352" t="s">
        <v>13</v>
      </c>
      <c r="X6" s="245"/>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s="227"/>
    </row>
    <row r="7" spans="1:749" s="218" customFormat="1" ht="37.5" customHeight="1">
      <c r="A7" s="369">
        <v>6</v>
      </c>
      <c r="B7" s="229" t="s">
        <v>1385</v>
      </c>
      <c r="C7" s="250" t="s">
        <v>1035</v>
      </c>
      <c r="D7" s="329" t="s">
        <v>1405</v>
      </c>
      <c r="E7" s="257" t="s">
        <v>1406</v>
      </c>
      <c r="F7" s="369">
        <v>3</v>
      </c>
      <c r="G7" s="327">
        <v>3</v>
      </c>
      <c r="H7" s="229" t="s">
        <v>318</v>
      </c>
      <c r="I7" s="329" t="s">
        <v>1022</v>
      </c>
      <c r="J7" s="327" t="s">
        <v>320</v>
      </c>
      <c r="K7" s="229" t="s">
        <v>1022</v>
      </c>
      <c r="L7" s="374" t="s">
        <v>320</v>
      </c>
      <c r="M7" s="271" t="s">
        <v>1407</v>
      </c>
      <c r="N7" s="372">
        <v>45615</v>
      </c>
      <c r="O7" s="373">
        <v>45615</v>
      </c>
      <c r="P7" s="370" t="s">
        <v>1173</v>
      </c>
      <c r="Q7" s="370" t="s">
        <v>320</v>
      </c>
      <c r="R7" s="327" t="s">
        <v>1173</v>
      </c>
      <c r="S7" s="373">
        <v>45615</v>
      </c>
      <c r="T7" s="370" t="s">
        <v>320</v>
      </c>
      <c r="U7" s="327" t="s">
        <v>320</v>
      </c>
      <c r="V7" s="327" t="s">
        <v>320</v>
      </c>
      <c r="W7" s="327" t="s">
        <v>13</v>
      </c>
      <c r="X7" s="249"/>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s="242"/>
    </row>
    <row r="8" spans="1:749" ht="58.5">
      <c r="A8" s="387">
        <v>7</v>
      </c>
      <c r="B8" s="218" t="s">
        <v>1385</v>
      </c>
      <c r="C8" s="218" t="s">
        <v>1022</v>
      </c>
      <c r="D8" s="218" t="s">
        <v>1353</v>
      </c>
      <c r="E8" s="329" t="s">
        <v>1354</v>
      </c>
      <c r="F8" s="327">
        <v>3</v>
      </c>
      <c r="G8" s="218"/>
      <c r="H8" s="218"/>
      <c r="I8" s="333"/>
      <c r="J8" s="218"/>
      <c r="K8" s="218"/>
      <c r="L8" s="218"/>
      <c r="M8" s="333"/>
      <c r="N8" s="218"/>
      <c r="O8" s="218"/>
      <c r="P8" s="218"/>
      <c r="Q8" s="333"/>
      <c r="R8" s="218"/>
      <c r="S8" s="218"/>
      <c r="T8" s="218"/>
      <c r="U8" s="218"/>
      <c r="V8" s="218"/>
      <c r="W8" s="327" t="s">
        <v>1381</v>
      </c>
      <c r="X8" s="388" t="s">
        <v>1408</v>
      </c>
    </row>
  </sheetData>
  <hyperlinks>
    <hyperlink ref="M3" r:id="rId1" xr:uid="{9213B1C4-8E5C-4E0B-BF59-53D783F9FEAD}"/>
    <hyperlink ref="M5" r:id="rId2" xr:uid="{00DB84B2-F710-4F64-98C1-BAB66B79B4EA}"/>
    <hyperlink ref="M2" r:id="rId3" xr:uid="{2468714B-FB24-4009-B358-6653AB2608FB}"/>
    <hyperlink ref="M6" r:id="rId4" xr:uid="{8C2D9F2E-2F3F-472D-99DC-2AF8D5CAC509}"/>
    <hyperlink ref="M4" r:id="rId5" xr:uid="{0F5F81CC-0D1F-478A-B73A-AD68476A38EB}"/>
    <hyperlink ref="M7" r:id="rId6" xr:uid="{D0BCDBDC-09FF-49E6-818A-57CE5D08BCA3}"/>
  </hyperlinks>
  <pageMargins left="0.7" right="0.7" top="0.75" bottom="0.75" header="0.3" footer="0.3"/>
  <tableParts count="1">
    <tablePart r:id="rId7"/>
  </tablePart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D6E17-DFFB-4D2C-96E3-C00DB3773ADB}">
  <dimension ref="A1:Z4"/>
  <sheetViews>
    <sheetView workbookViewId="0">
      <selection activeCell="C9" sqref="C9"/>
    </sheetView>
  </sheetViews>
  <sheetFormatPr defaultRowHeight="12.75"/>
  <cols>
    <col min="1" max="1" width="9.42578125" customWidth="1"/>
    <col min="2" max="2" width="17.140625" customWidth="1"/>
    <col min="3" max="3" width="21.5703125" customWidth="1"/>
    <col min="4" max="4" width="12.28515625" customWidth="1"/>
    <col min="5" max="5" width="15.5703125" customWidth="1"/>
    <col min="6" max="6" width="54.85546875" customWidth="1"/>
    <col min="7" max="7" width="13.7109375" customWidth="1"/>
    <col min="8" max="8" width="10" customWidth="1"/>
    <col min="9" max="9" width="12" customWidth="1"/>
    <col min="10" max="10" width="14.7109375" customWidth="1"/>
    <col min="11" max="11" width="22.85546875" customWidth="1"/>
  </cols>
  <sheetData>
    <row r="1" spans="1:26" ht="25.5">
      <c r="A1" s="59" t="s">
        <v>248</v>
      </c>
      <c r="B1" s="154" t="s">
        <v>11</v>
      </c>
      <c r="C1" s="155" t="s">
        <v>306</v>
      </c>
      <c r="D1" s="154" t="s">
        <v>250</v>
      </c>
      <c r="E1" s="155" t="s">
        <v>308</v>
      </c>
      <c r="F1" s="155" t="s">
        <v>309</v>
      </c>
      <c r="G1" s="154" t="s">
        <v>310</v>
      </c>
      <c r="H1" s="154" t="s">
        <v>312</v>
      </c>
      <c r="I1" s="154" t="s">
        <v>253</v>
      </c>
      <c r="J1" s="156" t="s">
        <v>313</v>
      </c>
      <c r="K1" s="157" t="s">
        <v>274</v>
      </c>
      <c r="L1" s="35"/>
      <c r="M1" s="35"/>
      <c r="N1" s="35"/>
      <c r="O1" s="35"/>
      <c r="P1" s="35"/>
      <c r="Q1" s="35"/>
      <c r="R1" s="35"/>
      <c r="S1" s="35"/>
      <c r="T1" s="35"/>
      <c r="U1" s="35"/>
      <c r="V1" s="35"/>
      <c r="W1" s="35"/>
      <c r="X1" s="35"/>
      <c r="Y1" s="35"/>
      <c r="Z1" s="35"/>
    </row>
    <row r="2" spans="1:26" ht="24">
      <c r="A2" s="46">
        <v>1</v>
      </c>
      <c r="B2" s="203" t="s">
        <v>1409</v>
      </c>
      <c r="C2" s="62" t="s">
        <v>1410</v>
      </c>
      <c r="D2" s="304" t="s">
        <v>1411</v>
      </c>
      <c r="E2" s="41" t="s">
        <v>553</v>
      </c>
      <c r="F2" s="11" t="s">
        <v>1412</v>
      </c>
      <c r="G2" s="41" t="s">
        <v>560</v>
      </c>
      <c r="H2" s="41" t="s">
        <v>1159</v>
      </c>
      <c r="I2" s="41" t="s">
        <v>557</v>
      </c>
      <c r="J2" s="41" t="s">
        <v>737</v>
      </c>
      <c r="K2" s="11" t="s">
        <v>1413</v>
      </c>
      <c r="L2" s="244"/>
      <c r="M2" s="244"/>
      <c r="N2" s="244"/>
      <c r="O2" s="244"/>
      <c r="P2" s="244"/>
      <c r="Q2" s="244"/>
      <c r="R2" s="244"/>
      <c r="S2" s="244"/>
      <c r="T2" s="244"/>
      <c r="U2" s="244"/>
      <c r="V2" s="244"/>
      <c r="W2" s="137"/>
      <c r="X2" s="137"/>
      <c r="Y2" s="137"/>
      <c r="Z2" s="137"/>
    </row>
    <row r="3" spans="1:26" ht="58.5">
      <c r="A3" s="62">
        <v>2</v>
      </c>
      <c r="B3" s="203" t="s">
        <v>1409</v>
      </c>
      <c r="C3" s="62" t="s">
        <v>1414</v>
      </c>
      <c r="D3" s="304" t="s">
        <v>1035</v>
      </c>
      <c r="E3" s="41" t="s">
        <v>553</v>
      </c>
      <c r="F3" s="316" t="s">
        <v>1415</v>
      </c>
      <c r="G3" s="41" t="s">
        <v>560</v>
      </c>
      <c r="H3" s="41" t="s">
        <v>556</v>
      </c>
      <c r="I3" s="41" t="s">
        <v>557</v>
      </c>
      <c r="J3" s="41" t="s">
        <v>1213</v>
      </c>
      <c r="K3" s="11" t="s">
        <v>1416</v>
      </c>
      <c r="L3" s="137"/>
      <c r="M3" s="137"/>
      <c r="N3" s="137"/>
      <c r="O3" s="137"/>
      <c r="P3" s="137"/>
      <c r="Q3" s="137"/>
      <c r="R3" s="137"/>
      <c r="S3" s="137"/>
      <c r="T3" s="137"/>
      <c r="U3" s="137"/>
      <c r="V3" s="137"/>
      <c r="W3" s="137"/>
      <c r="X3" s="137"/>
      <c r="Y3" s="137"/>
      <c r="Z3" s="137"/>
    </row>
    <row r="4" spans="1:26" ht="81">
      <c r="A4" s="61">
        <v>3</v>
      </c>
      <c r="B4" s="203" t="s">
        <v>1409</v>
      </c>
      <c r="C4" s="62" t="s">
        <v>1417</v>
      </c>
      <c r="D4" s="304" t="s">
        <v>1035</v>
      </c>
      <c r="E4" s="41" t="s">
        <v>553</v>
      </c>
      <c r="F4" s="216" t="s">
        <v>1418</v>
      </c>
      <c r="G4" s="19" t="s">
        <v>554</v>
      </c>
      <c r="H4" s="41" t="s">
        <v>556</v>
      </c>
      <c r="I4" s="41" t="s">
        <v>557</v>
      </c>
      <c r="J4" s="41" t="s">
        <v>1213</v>
      </c>
      <c r="K4" s="11" t="s">
        <v>1419</v>
      </c>
    </row>
  </sheetData>
  <dataValidations count="4">
    <dataValidation type="list" allowBlank="1" showErrorMessage="1" sqref="G2:G4" xr:uid="{50514E01-8DCC-4AF2-9E56-4C04AD639D81}">
      <formula1>"Minor,Significant,Major"</formula1>
    </dataValidation>
    <dataValidation type="list" allowBlank="1" showErrorMessage="1" sqref="I2:I4" xr:uid="{1ECCC015-84B1-4733-9737-C5D06269527E}">
      <formula1>"Open,Inprogress,Closed"</formula1>
    </dataValidation>
    <dataValidation type="list" allowBlank="1" showErrorMessage="1" sqref="E2:E4" xr:uid="{1EF16ED4-81A7-429B-9B10-042357811294}">
      <formula1>"Bounceback,Defect,None"</formula1>
    </dataValidation>
    <dataValidation type="list" allowBlank="1" showErrorMessage="1" sqref="H2:H4" xr:uid="{35C78128-0405-4FAD-ADEC-0DD12C4485A4}">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FE95D8A9-1332-42CA-B82E-552F5B4212D9}">
          <x14:formula1>
            <xm:f>Details!$A$2:$A$10</xm:f>
          </x14:formula1>
          <xm:sqref>J2:J4</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10283-B132-4A91-8205-3AE1BBE3605F}">
  <dimension ref="A1:ABU8"/>
  <sheetViews>
    <sheetView workbookViewId="0">
      <pane xSplit="4" ySplit="2" topLeftCell="M7" activePane="bottomRight" state="frozen"/>
      <selection pane="bottomRight"/>
      <selection pane="bottomLeft"/>
      <selection pane="topRight"/>
    </sheetView>
  </sheetViews>
  <sheetFormatPr defaultRowHeight="12.75"/>
  <cols>
    <col min="2" max="2" width="27.5703125" customWidth="1"/>
    <col min="3" max="3" width="16" customWidth="1"/>
    <col min="5" max="5" width="41.7109375" style="137" customWidth="1"/>
    <col min="8" max="8" width="10.7109375" customWidth="1"/>
    <col min="9" max="9" width="13.5703125" style="144" customWidth="1"/>
    <col min="10" max="10" width="13.7109375" customWidth="1"/>
    <col min="11" max="11" width="17.28515625" customWidth="1"/>
    <col min="12" max="12" width="17" customWidth="1"/>
    <col min="13" max="13" width="9.140625" style="144"/>
    <col min="14" max="15" width="10.42578125" bestFit="1" customWidth="1"/>
    <col min="17" max="17" width="9.140625" style="144"/>
    <col min="19" max="19" width="10.42578125" bestFit="1" customWidth="1"/>
    <col min="23" max="23" width="14.28515625" customWidth="1"/>
    <col min="24" max="24" width="27.42578125" customWidth="1"/>
  </cols>
  <sheetData>
    <row r="1" spans="1:749" ht="14.25">
      <c r="A1" s="234"/>
      <c r="B1" s="1"/>
      <c r="C1" s="7"/>
      <c r="D1" s="7"/>
      <c r="E1" s="322"/>
      <c r="F1" s="49"/>
      <c r="G1" s="49"/>
      <c r="H1" s="198"/>
      <c r="I1" s="198"/>
      <c r="J1" s="198"/>
      <c r="K1" s="198"/>
      <c r="L1" s="198"/>
      <c r="M1" s="198"/>
      <c r="N1" s="198"/>
      <c r="O1" s="198"/>
      <c r="P1" s="198"/>
      <c r="Q1" s="198"/>
      <c r="R1" s="198"/>
      <c r="S1" s="198"/>
      <c r="T1" s="198"/>
      <c r="U1" s="198"/>
      <c r="V1" s="198"/>
      <c r="W1" s="322"/>
      <c r="X1" s="323"/>
    </row>
    <row r="2" spans="1:749" ht="46.5">
      <c r="A2" s="193" t="s">
        <v>248</v>
      </c>
      <c r="B2" s="59" t="s">
        <v>249</v>
      </c>
      <c r="C2" s="195" t="s">
        <v>250</v>
      </c>
      <c r="D2" s="68" t="s">
        <v>251</v>
      </c>
      <c r="E2" s="189" t="s">
        <v>252</v>
      </c>
      <c r="F2" s="71" t="s">
        <v>254</v>
      </c>
      <c r="G2" s="71" t="s">
        <v>255</v>
      </c>
      <c r="H2" s="199" t="s">
        <v>259</v>
      </c>
      <c r="I2" s="199" t="s">
        <v>260</v>
      </c>
      <c r="J2" s="199" t="s">
        <v>261</v>
      </c>
      <c r="K2" s="199" t="s">
        <v>262</v>
      </c>
      <c r="L2" s="199" t="s">
        <v>263</v>
      </c>
      <c r="M2" s="199" t="s">
        <v>264</v>
      </c>
      <c r="N2" s="199" t="s">
        <v>265</v>
      </c>
      <c r="O2" s="199" t="s">
        <v>266</v>
      </c>
      <c r="P2" s="199" t="s">
        <v>267</v>
      </c>
      <c r="Q2" s="199" t="s">
        <v>268</v>
      </c>
      <c r="R2" s="199" t="s">
        <v>269</v>
      </c>
      <c r="S2" s="199" t="s">
        <v>270</v>
      </c>
      <c r="T2" s="199" t="s">
        <v>268</v>
      </c>
      <c r="U2" s="199" t="s">
        <v>272</v>
      </c>
      <c r="V2" s="199" t="s">
        <v>273</v>
      </c>
      <c r="W2" s="189" t="s">
        <v>253</v>
      </c>
      <c r="X2" s="210" t="s">
        <v>274</v>
      </c>
    </row>
    <row r="3" spans="1:749" s="256" customFormat="1" ht="38.25" customHeight="1">
      <c r="A3" s="62">
        <v>1</v>
      </c>
      <c r="B3" s="62" t="s">
        <v>1420</v>
      </c>
      <c r="C3" s="62" t="s">
        <v>1022</v>
      </c>
      <c r="D3" s="62" t="s">
        <v>1421</v>
      </c>
      <c r="E3" s="90" t="s">
        <v>1422</v>
      </c>
      <c r="F3" s="228">
        <v>3</v>
      </c>
      <c r="G3" s="228">
        <v>3</v>
      </c>
      <c r="H3" s="62" t="s">
        <v>318</v>
      </c>
      <c r="I3" s="90" t="s">
        <v>595</v>
      </c>
      <c r="J3" s="203" t="s">
        <v>1423</v>
      </c>
      <c r="K3" s="62" t="s">
        <v>595</v>
      </c>
      <c r="L3" s="90" t="s">
        <v>1423</v>
      </c>
      <c r="M3" s="176" t="s">
        <v>1424</v>
      </c>
      <c r="N3" s="359">
        <v>45602</v>
      </c>
      <c r="O3" s="359">
        <v>45602</v>
      </c>
      <c r="P3" s="90" t="s">
        <v>595</v>
      </c>
      <c r="Q3" s="90" t="s">
        <v>320</v>
      </c>
      <c r="R3" s="62" t="s">
        <v>323</v>
      </c>
      <c r="S3" s="359">
        <v>45603</v>
      </c>
      <c r="T3" s="62" t="s">
        <v>320</v>
      </c>
      <c r="U3" s="257" t="s">
        <v>320</v>
      </c>
      <c r="V3" s="257" t="s">
        <v>320</v>
      </c>
      <c r="W3" s="90" t="s">
        <v>1425</v>
      </c>
      <c r="X3" s="90" t="s">
        <v>1426</v>
      </c>
    </row>
    <row r="4" spans="1:749" s="137" customFormat="1" ht="41.25" customHeight="1">
      <c r="A4" s="203">
        <v>2</v>
      </c>
      <c r="B4" s="203" t="s">
        <v>1420</v>
      </c>
      <c r="C4" s="203" t="s">
        <v>1035</v>
      </c>
      <c r="D4" s="229" t="s">
        <v>1427</v>
      </c>
      <c r="E4" s="305" t="s">
        <v>1428</v>
      </c>
      <c r="F4" s="228">
        <v>2</v>
      </c>
      <c r="G4" s="228">
        <v>2</v>
      </c>
      <c r="H4" s="203" t="s">
        <v>318</v>
      </c>
      <c r="I4" s="316" t="s">
        <v>1022</v>
      </c>
      <c r="J4" s="203" t="s">
        <v>1423</v>
      </c>
      <c r="K4" s="203" t="s">
        <v>595</v>
      </c>
      <c r="L4" s="90" t="s">
        <v>1423</v>
      </c>
      <c r="M4" s="361" t="s">
        <v>1429</v>
      </c>
      <c r="N4" s="360">
        <v>45590</v>
      </c>
      <c r="O4" s="360">
        <v>45594</v>
      </c>
      <c r="P4" s="228" t="s">
        <v>322</v>
      </c>
      <c r="Q4" s="352" t="s">
        <v>320</v>
      </c>
      <c r="R4" s="228" t="s">
        <v>323</v>
      </c>
      <c r="S4" s="360">
        <v>45594</v>
      </c>
      <c r="T4" s="362" t="s">
        <v>320</v>
      </c>
      <c r="U4" s="363" t="s">
        <v>320</v>
      </c>
      <c r="V4" s="363" t="s">
        <v>320</v>
      </c>
      <c r="W4" s="357" t="s">
        <v>13</v>
      </c>
      <c r="X4" s="316"/>
    </row>
    <row r="5" spans="1:749" ht="36.75" customHeight="1">
      <c r="A5" s="203">
        <v>3</v>
      </c>
      <c r="B5" s="203" t="s">
        <v>1420</v>
      </c>
      <c r="C5" s="203" t="s">
        <v>1325</v>
      </c>
      <c r="D5" s="229" t="s">
        <v>1430</v>
      </c>
      <c r="E5" s="305" t="s">
        <v>1431</v>
      </c>
      <c r="F5" s="228">
        <v>3</v>
      </c>
      <c r="G5" s="228">
        <v>3</v>
      </c>
      <c r="H5" s="203" t="s">
        <v>318</v>
      </c>
      <c r="I5" s="316" t="s">
        <v>1322</v>
      </c>
      <c r="J5" s="203" t="s">
        <v>1423</v>
      </c>
      <c r="K5" s="203" t="s">
        <v>1396</v>
      </c>
      <c r="L5" s="90" t="s">
        <v>1423</v>
      </c>
      <c r="M5" s="361" t="s">
        <v>1432</v>
      </c>
      <c r="N5" s="360">
        <v>45601</v>
      </c>
      <c r="O5" s="360">
        <v>45602</v>
      </c>
      <c r="P5" s="228" t="s">
        <v>322</v>
      </c>
      <c r="Q5" s="352" t="s">
        <v>320</v>
      </c>
      <c r="R5" s="228" t="s">
        <v>323</v>
      </c>
      <c r="S5" s="360">
        <v>45602</v>
      </c>
      <c r="T5" s="362" t="s">
        <v>320</v>
      </c>
      <c r="U5" s="363" t="s">
        <v>320</v>
      </c>
      <c r="V5" s="363" t="s">
        <v>320</v>
      </c>
      <c r="W5" s="357" t="s">
        <v>13</v>
      </c>
      <c r="X5" s="316"/>
      <c r="Y5" s="137"/>
      <c r="Z5" s="137"/>
      <c r="AA5" s="137"/>
      <c r="AB5" s="137"/>
      <c r="AC5" s="137"/>
      <c r="AD5" s="137"/>
      <c r="AE5" s="137"/>
      <c r="AF5" s="137"/>
      <c r="AG5" s="137"/>
      <c r="AH5" s="137"/>
      <c r="AI5" s="137"/>
      <c r="AJ5" s="137"/>
      <c r="AK5" s="137"/>
      <c r="AL5" s="137"/>
      <c r="AM5" s="137"/>
      <c r="AN5" s="137"/>
      <c r="AO5" s="137"/>
      <c r="AP5" s="137"/>
      <c r="AQ5" s="137"/>
      <c r="AR5" s="137"/>
      <c r="AS5" s="137"/>
      <c r="AT5" s="137"/>
      <c r="AU5" s="137"/>
      <c r="AV5" s="137"/>
      <c r="AW5" s="137"/>
      <c r="AX5" s="137"/>
      <c r="AY5" s="137"/>
      <c r="AZ5" s="137"/>
      <c r="BA5" s="137"/>
      <c r="BB5" s="137"/>
      <c r="BC5" s="137"/>
      <c r="BD5" s="137"/>
      <c r="BE5" s="137"/>
      <c r="BF5" s="137"/>
      <c r="BG5" s="137"/>
      <c r="BH5" s="137"/>
      <c r="BI5" s="137"/>
      <c r="BJ5" s="137"/>
      <c r="BK5" s="137"/>
      <c r="BL5" s="137"/>
      <c r="BM5" s="137"/>
      <c r="BN5" s="137"/>
      <c r="BO5" s="137"/>
      <c r="BP5" s="137"/>
      <c r="BQ5" s="137"/>
      <c r="BR5" s="137"/>
      <c r="BS5" s="137"/>
      <c r="BT5" s="137"/>
      <c r="BU5" s="137"/>
      <c r="BV5" s="137"/>
      <c r="BW5" s="137"/>
      <c r="BX5" s="137"/>
      <c r="BY5" s="137"/>
      <c r="BZ5" s="137"/>
      <c r="CA5" s="137"/>
      <c r="CB5" s="137"/>
      <c r="CC5" s="137"/>
      <c r="CD5" s="137"/>
      <c r="CE5" s="137"/>
      <c r="CF5" s="137"/>
      <c r="CG5" s="137"/>
      <c r="CH5" s="137"/>
      <c r="CI5" s="137"/>
      <c r="CJ5" s="137"/>
      <c r="CK5" s="137"/>
      <c r="CL5" s="137"/>
      <c r="CM5" s="137"/>
      <c r="CN5" s="137"/>
      <c r="CO5" s="137"/>
      <c r="CP5" s="137"/>
      <c r="CQ5" s="137"/>
      <c r="CR5" s="137"/>
      <c r="CS5" s="137"/>
      <c r="CT5" s="137"/>
      <c r="CU5" s="137"/>
      <c r="CV5" s="137"/>
      <c r="CW5" s="137"/>
      <c r="CX5" s="137"/>
      <c r="CY5" s="137"/>
      <c r="CZ5" s="137"/>
      <c r="DA5" s="137"/>
      <c r="DB5" s="137"/>
      <c r="DC5" s="137"/>
      <c r="DD5" s="137"/>
      <c r="DE5" s="137"/>
      <c r="DF5" s="137"/>
      <c r="DG5" s="137"/>
      <c r="DH5" s="137"/>
      <c r="DI5" s="137"/>
      <c r="DJ5" s="137"/>
      <c r="DK5" s="137"/>
      <c r="DL5" s="137"/>
      <c r="DM5" s="137"/>
      <c r="DN5" s="137"/>
      <c r="DO5" s="137"/>
      <c r="DP5" s="137"/>
      <c r="DQ5" s="137"/>
      <c r="DR5" s="137"/>
      <c r="DS5" s="137"/>
      <c r="DT5" s="137"/>
      <c r="DU5" s="137"/>
      <c r="DV5" s="137"/>
      <c r="DW5" s="137"/>
      <c r="DX5" s="137"/>
      <c r="DY5" s="137"/>
      <c r="DZ5" s="137"/>
      <c r="EA5" s="137"/>
      <c r="EB5" s="137"/>
      <c r="EC5" s="137"/>
      <c r="ED5" s="137"/>
      <c r="EE5" s="137"/>
      <c r="EF5" s="137"/>
      <c r="EG5" s="137"/>
      <c r="EH5" s="137"/>
      <c r="EI5" s="137"/>
      <c r="EJ5" s="137"/>
      <c r="EK5" s="137"/>
      <c r="EL5" s="137"/>
      <c r="EM5" s="137"/>
      <c r="EN5" s="137"/>
      <c r="EO5" s="137"/>
      <c r="EP5" s="137"/>
      <c r="EQ5" s="137"/>
      <c r="ER5" s="137"/>
      <c r="ES5" s="137"/>
      <c r="ET5" s="137"/>
      <c r="EU5" s="137"/>
      <c r="EV5" s="137"/>
      <c r="EW5" s="137"/>
      <c r="EX5" s="137"/>
      <c r="EY5" s="137"/>
      <c r="EZ5" s="137"/>
      <c r="FA5" s="137"/>
      <c r="FB5" s="137"/>
      <c r="FC5" s="137"/>
      <c r="FD5" s="137"/>
      <c r="FE5" s="137"/>
      <c r="FF5" s="137"/>
      <c r="FG5" s="137"/>
      <c r="FH5" s="137"/>
      <c r="FI5" s="137"/>
      <c r="FJ5" s="137"/>
      <c r="FK5" s="137"/>
      <c r="FL5" s="137"/>
      <c r="FM5" s="137"/>
      <c r="FN5" s="137"/>
      <c r="FO5" s="137"/>
      <c r="FP5" s="137"/>
      <c r="FQ5" s="137"/>
      <c r="FR5" s="137"/>
      <c r="FS5" s="137"/>
      <c r="FT5" s="137"/>
      <c r="FU5" s="137"/>
      <c r="FV5" s="137"/>
      <c r="FW5" s="137"/>
      <c r="FX5" s="137"/>
      <c r="FY5" s="137"/>
      <c r="FZ5" s="137"/>
      <c r="GA5" s="137"/>
      <c r="GB5" s="137"/>
      <c r="GC5" s="137"/>
      <c r="GD5" s="137"/>
      <c r="GE5" s="137"/>
      <c r="GF5" s="137"/>
      <c r="GG5" s="137"/>
      <c r="GH5" s="137"/>
      <c r="GI5" s="137"/>
      <c r="GJ5" s="137"/>
      <c r="GK5" s="137"/>
      <c r="GL5" s="137"/>
      <c r="GM5" s="137"/>
      <c r="GN5" s="137"/>
      <c r="GO5" s="137"/>
      <c r="GP5" s="137"/>
      <c r="GQ5" s="137"/>
      <c r="GR5" s="137"/>
      <c r="GS5" s="137"/>
      <c r="GT5" s="137"/>
      <c r="GU5" s="137"/>
      <c r="GV5" s="137"/>
      <c r="GW5" s="137"/>
      <c r="GX5" s="137"/>
      <c r="GY5" s="137"/>
      <c r="GZ5" s="137"/>
      <c r="HA5" s="137"/>
      <c r="HB5" s="137"/>
      <c r="HC5" s="137"/>
      <c r="HD5" s="137"/>
      <c r="HE5" s="137"/>
      <c r="HF5" s="137"/>
      <c r="HG5" s="137"/>
      <c r="HH5" s="137"/>
      <c r="HI5" s="137"/>
      <c r="HJ5" s="137"/>
      <c r="HK5" s="137"/>
      <c r="HL5" s="137"/>
      <c r="HM5" s="137"/>
      <c r="HN5" s="137"/>
      <c r="HO5" s="137"/>
      <c r="HP5" s="137"/>
      <c r="HQ5" s="137"/>
      <c r="HR5" s="137"/>
      <c r="HS5" s="137"/>
      <c r="HT5" s="137"/>
      <c r="HU5" s="137"/>
      <c r="HV5" s="137"/>
      <c r="HW5" s="137"/>
      <c r="HX5" s="137"/>
      <c r="HY5" s="137"/>
      <c r="HZ5" s="137"/>
      <c r="IA5" s="137"/>
      <c r="IB5" s="137"/>
      <c r="IC5" s="137"/>
      <c r="ID5" s="137"/>
      <c r="IE5" s="137"/>
      <c r="IF5" s="137"/>
      <c r="IG5" s="137"/>
      <c r="IH5" s="137"/>
      <c r="II5" s="137"/>
      <c r="IJ5" s="137"/>
      <c r="IK5" s="137"/>
      <c r="IL5" s="137"/>
      <c r="IM5" s="137"/>
      <c r="IN5" s="137"/>
      <c r="IO5" s="137"/>
      <c r="IP5" s="137"/>
      <c r="IQ5" s="137"/>
      <c r="IR5" s="137"/>
      <c r="IS5" s="137"/>
      <c r="IT5" s="137"/>
      <c r="IU5" s="137"/>
      <c r="IV5" s="137"/>
      <c r="IW5" s="137"/>
      <c r="IX5" s="137"/>
      <c r="IY5" s="137"/>
      <c r="IZ5" s="137"/>
      <c r="JA5" s="137"/>
      <c r="JB5" s="137"/>
      <c r="JC5" s="137"/>
      <c r="JD5" s="137"/>
      <c r="JE5" s="137"/>
      <c r="JF5" s="137"/>
      <c r="JG5" s="137"/>
      <c r="JH5" s="137"/>
      <c r="JI5" s="137"/>
      <c r="JJ5" s="137"/>
      <c r="JK5" s="137"/>
      <c r="JL5" s="137"/>
      <c r="JM5" s="137"/>
      <c r="JN5" s="137"/>
      <c r="JO5" s="137"/>
      <c r="JP5" s="137"/>
      <c r="JQ5" s="137"/>
      <c r="JR5" s="137"/>
      <c r="JS5" s="137"/>
      <c r="JT5" s="137"/>
      <c r="JU5" s="137"/>
      <c r="JV5" s="137"/>
      <c r="JW5" s="137"/>
      <c r="JX5" s="137"/>
      <c r="JY5" s="137"/>
      <c r="JZ5" s="137"/>
      <c r="KA5" s="137"/>
      <c r="KB5" s="137"/>
      <c r="KC5" s="137"/>
      <c r="KD5" s="137"/>
      <c r="KE5" s="137"/>
      <c r="KF5" s="137"/>
      <c r="KG5" s="137"/>
      <c r="KH5" s="137"/>
      <c r="KI5" s="137"/>
      <c r="KJ5" s="137"/>
      <c r="KK5" s="137"/>
      <c r="KL5" s="137"/>
      <c r="KM5" s="137"/>
      <c r="KN5" s="137"/>
      <c r="KO5" s="137"/>
      <c r="KP5" s="137"/>
      <c r="KQ5" s="137"/>
      <c r="KR5" s="137"/>
      <c r="KS5" s="137"/>
      <c r="KT5" s="137"/>
      <c r="KU5" s="137"/>
      <c r="KV5" s="137"/>
      <c r="KW5" s="137"/>
      <c r="KX5" s="137"/>
      <c r="KY5" s="137"/>
      <c r="KZ5" s="137"/>
      <c r="LA5" s="137"/>
      <c r="LB5" s="137"/>
      <c r="LC5" s="137"/>
      <c r="LD5" s="137"/>
      <c r="LE5" s="137"/>
      <c r="LF5" s="137"/>
      <c r="LG5" s="137"/>
      <c r="LH5" s="137"/>
      <c r="LI5" s="137"/>
      <c r="LJ5" s="137"/>
      <c r="LK5" s="137"/>
      <c r="LL5" s="137"/>
      <c r="LM5" s="137"/>
      <c r="LN5" s="137"/>
      <c r="LO5" s="137"/>
      <c r="LP5" s="137"/>
      <c r="LQ5" s="137"/>
      <c r="LR5" s="137"/>
      <c r="LS5" s="137"/>
      <c r="LT5" s="137"/>
      <c r="LU5" s="137"/>
      <c r="LV5" s="137"/>
      <c r="LW5" s="137"/>
      <c r="LX5" s="137"/>
      <c r="LY5" s="137"/>
      <c r="LZ5" s="137"/>
      <c r="MA5" s="137"/>
      <c r="MB5" s="137"/>
      <c r="MC5" s="137"/>
      <c r="MD5" s="137"/>
      <c r="ME5" s="137"/>
      <c r="MF5" s="137"/>
      <c r="MG5" s="137"/>
      <c r="MH5" s="137"/>
      <c r="MI5" s="137"/>
      <c r="MJ5" s="137"/>
      <c r="MK5" s="137"/>
      <c r="ML5" s="137"/>
      <c r="MM5" s="137"/>
      <c r="MN5" s="137"/>
      <c r="MO5" s="137"/>
      <c r="MP5" s="137"/>
      <c r="MQ5" s="137"/>
      <c r="MR5" s="137"/>
      <c r="MS5" s="137"/>
      <c r="MT5" s="137"/>
      <c r="MU5" s="137"/>
      <c r="MV5" s="137"/>
      <c r="MW5" s="137"/>
      <c r="MX5" s="137"/>
      <c r="MY5" s="137"/>
      <c r="MZ5" s="137"/>
      <c r="NA5" s="137"/>
      <c r="NB5" s="137"/>
      <c r="NC5" s="137"/>
      <c r="ND5" s="137"/>
      <c r="NE5" s="137"/>
      <c r="NF5" s="137"/>
      <c r="NG5" s="137"/>
      <c r="NH5" s="137"/>
      <c r="NI5" s="137"/>
      <c r="NJ5" s="137"/>
      <c r="NK5" s="137"/>
      <c r="NL5" s="137"/>
      <c r="NM5" s="137"/>
      <c r="NN5" s="137"/>
      <c r="NO5" s="137"/>
      <c r="NP5" s="137"/>
      <c r="NQ5" s="137"/>
      <c r="NR5" s="137"/>
      <c r="NS5" s="137"/>
      <c r="NT5" s="137"/>
      <c r="NU5" s="137"/>
      <c r="NV5" s="137"/>
      <c r="NW5" s="137"/>
      <c r="NX5" s="137"/>
      <c r="NY5" s="137"/>
      <c r="NZ5" s="137"/>
      <c r="OA5" s="137"/>
      <c r="OB5" s="137"/>
      <c r="OC5" s="137"/>
      <c r="OD5" s="137"/>
      <c r="OE5" s="137"/>
      <c r="OF5" s="137"/>
      <c r="OG5" s="137"/>
      <c r="OH5" s="137"/>
      <c r="OI5" s="137"/>
      <c r="OJ5" s="137"/>
      <c r="OK5" s="137"/>
      <c r="OL5" s="137"/>
      <c r="OM5" s="137"/>
      <c r="ON5" s="137"/>
      <c r="OO5" s="137"/>
      <c r="OP5" s="137"/>
      <c r="OQ5" s="137"/>
      <c r="OR5" s="137"/>
      <c r="OS5" s="137"/>
      <c r="OT5" s="137"/>
      <c r="OU5" s="137"/>
      <c r="OV5" s="137"/>
      <c r="OW5" s="137"/>
      <c r="OX5" s="137"/>
      <c r="OY5" s="137"/>
      <c r="OZ5" s="137"/>
      <c r="PA5" s="137"/>
      <c r="PB5" s="137"/>
      <c r="PC5" s="137"/>
      <c r="PD5" s="137"/>
      <c r="PE5" s="137"/>
      <c r="PF5" s="137"/>
      <c r="PG5" s="137"/>
      <c r="PH5" s="137"/>
      <c r="PI5" s="137"/>
      <c r="PJ5" s="137"/>
      <c r="PK5" s="137"/>
      <c r="PL5" s="137"/>
      <c r="PM5" s="137"/>
      <c r="PN5" s="137"/>
      <c r="PO5" s="137"/>
      <c r="PP5" s="137"/>
      <c r="PQ5" s="137"/>
      <c r="PR5" s="137"/>
      <c r="PS5" s="137"/>
      <c r="PT5" s="137"/>
      <c r="PU5" s="137"/>
      <c r="PV5" s="137"/>
      <c r="PW5" s="137"/>
      <c r="PX5" s="137"/>
      <c r="PY5" s="137"/>
      <c r="PZ5" s="137"/>
      <c r="QA5" s="137"/>
      <c r="QB5" s="137"/>
      <c r="QC5" s="137"/>
      <c r="QD5" s="137"/>
      <c r="QE5" s="137"/>
      <c r="QF5" s="137"/>
      <c r="QG5" s="137"/>
      <c r="QH5" s="137"/>
      <c r="QI5" s="137"/>
      <c r="QJ5" s="137"/>
      <c r="QK5" s="137"/>
      <c r="QL5" s="137"/>
      <c r="QM5" s="137"/>
      <c r="QN5" s="137"/>
      <c r="QO5" s="137"/>
      <c r="QP5" s="137"/>
      <c r="QQ5" s="137"/>
      <c r="QR5" s="137"/>
      <c r="QS5" s="137"/>
      <c r="QT5" s="137"/>
      <c r="QU5" s="137"/>
      <c r="QV5" s="137"/>
      <c r="QW5" s="137"/>
      <c r="QX5" s="137"/>
      <c r="QY5" s="137"/>
      <c r="QZ5" s="137"/>
      <c r="RA5" s="137"/>
      <c r="RB5" s="137"/>
      <c r="RC5" s="137"/>
      <c r="RD5" s="137"/>
      <c r="RE5" s="137"/>
      <c r="RF5" s="137"/>
      <c r="RG5" s="137"/>
      <c r="RH5" s="137"/>
      <c r="RI5" s="137"/>
      <c r="RJ5" s="137"/>
      <c r="RK5" s="137"/>
      <c r="RL5" s="137"/>
      <c r="RM5" s="137"/>
      <c r="RN5" s="137"/>
      <c r="RO5" s="137"/>
      <c r="RP5" s="137"/>
      <c r="RQ5" s="137"/>
      <c r="RR5" s="137"/>
      <c r="RS5" s="137"/>
      <c r="RT5" s="137"/>
      <c r="RU5" s="137"/>
      <c r="RV5" s="137"/>
      <c r="RW5" s="137"/>
      <c r="RX5" s="137"/>
      <c r="RY5" s="137"/>
      <c r="RZ5" s="137"/>
      <c r="SA5" s="137"/>
      <c r="SB5" s="137"/>
      <c r="SC5" s="137"/>
      <c r="SD5" s="137"/>
      <c r="SE5" s="137"/>
      <c r="SF5" s="137"/>
      <c r="SG5" s="137"/>
      <c r="SH5" s="137"/>
      <c r="SI5" s="137"/>
      <c r="SJ5" s="137"/>
      <c r="SK5" s="137"/>
      <c r="SL5" s="137"/>
      <c r="SM5" s="137"/>
      <c r="SN5" s="137"/>
      <c r="SO5" s="137"/>
      <c r="SP5" s="137"/>
      <c r="SQ5" s="137"/>
      <c r="SR5" s="137"/>
      <c r="SS5" s="137"/>
      <c r="ST5" s="137"/>
      <c r="SU5" s="137"/>
      <c r="SV5" s="137"/>
      <c r="SW5" s="137"/>
      <c r="SX5" s="137"/>
      <c r="SY5" s="137"/>
      <c r="SZ5" s="137"/>
      <c r="TA5" s="137"/>
      <c r="TB5" s="137"/>
      <c r="TC5" s="137"/>
      <c r="TD5" s="137"/>
      <c r="TE5" s="137"/>
      <c r="TF5" s="137"/>
      <c r="TG5" s="137"/>
      <c r="TH5" s="137"/>
      <c r="TI5" s="137"/>
      <c r="TJ5" s="137"/>
      <c r="TK5" s="137"/>
      <c r="TL5" s="137"/>
      <c r="TM5" s="137"/>
      <c r="TN5" s="137"/>
      <c r="TO5" s="137"/>
      <c r="TP5" s="137"/>
      <c r="TQ5" s="137"/>
      <c r="TR5" s="137"/>
      <c r="TS5" s="137"/>
      <c r="TT5" s="137"/>
      <c r="TU5" s="137"/>
      <c r="TV5" s="137"/>
      <c r="TW5" s="137"/>
      <c r="TX5" s="137"/>
      <c r="TY5" s="137"/>
      <c r="TZ5" s="137"/>
      <c r="UA5" s="137"/>
      <c r="UB5" s="137"/>
      <c r="UC5" s="137"/>
      <c r="UD5" s="137"/>
      <c r="UE5" s="137"/>
      <c r="UF5" s="137"/>
      <c r="UG5" s="137"/>
      <c r="UH5" s="137"/>
      <c r="UI5" s="137"/>
      <c r="UJ5" s="137"/>
      <c r="UK5" s="137"/>
      <c r="UL5" s="137"/>
      <c r="UM5" s="137"/>
      <c r="UN5" s="137"/>
      <c r="UO5" s="137"/>
      <c r="UP5" s="137"/>
      <c r="UQ5" s="137"/>
      <c r="UR5" s="137"/>
      <c r="US5" s="137"/>
      <c r="UT5" s="137"/>
      <c r="UU5" s="137"/>
      <c r="UV5" s="137"/>
      <c r="UW5" s="137"/>
      <c r="UX5" s="137"/>
      <c r="UY5" s="137"/>
      <c r="UZ5" s="137"/>
      <c r="VA5" s="137"/>
      <c r="VB5" s="137"/>
      <c r="VC5" s="137"/>
      <c r="VD5" s="137"/>
      <c r="VE5" s="137"/>
      <c r="VF5" s="137"/>
      <c r="VG5" s="137"/>
      <c r="VH5" s="137"/>
      <c r="VI5" s="137"/>
      <c r="VJ5" s="137"/>
      <c r="VK5" s="137"/>
      <c r="VL5" s="137"/>
      <c r="VM5" s="137"/>
      <c r="VN5" s="137"/>
      <c r="VO5" s="137"/>
      <c r="VP5" s="137"/>
      <c r="VQ5" s="137"/>
      <c r="VR5" s="137"/>
      <c r="VS5" s="137"/>
      <c r="VT5" s="137"/>
      <c r="VU5" s="137"/>
      <c r="VV5" s="137"/>
      <c r="VW5" s="137"/>
      <c r="VX5" s="137"/>
      <c r="VY5" s="137"/>
      <c r="VZ5" s="137"/>
      <c r="WA5" s="137"/>
      <c r="WB5" s="137"/>
      <c r="WC5" s="137"/>
      <c r="WD5" s="137"/>
      <c r="WE5" s="137"/>
      <c r="WF5" s="137"/>
      <c r="WG5" s="137"/>
      <c r="WH5" s="137"/>
      <c r="WI5" s="137"/>
      <c r="WJ5" s="137"/>
      <c r="WK5" s="137"/>
      <c r="WL5" s="137"/>
      <c r="WM5" s="137"/>
      <c r="WN5" s="137"/>
      <c r="WO5" s="137"/>
      <c r="WP5" s="137"/>
      <c r="WQ5" s="137"/>
      <c r="WR5" s="137"/>
      <c r="WS5" s="137"/>
      <c r="WT5" s="137"/>
      <c r="WU5" s="137"/>
      <c r="WV5" s="137"/>
      <c r="WW5" s="137"/>
      <c r="WX5" s="137"/>
      <c r="WY5" s="137"/>
      <c r="WZ5" s="137"/>
      <c r="XA5" s="137"/>
      <c r="XB5" s="137"/>
      <c r="XC5" s="137"/>
      <c r="XD5" s="137"/>
      <c r="XE5" s="137"/>
      <c r="XF5" s="137"/>
      <c r="XG5" s="137"/>
      <c r="XH5" s="137"/>
      <c r="XI5" s="137"/>
      <c r="XJ5" s="137"/>
      <c r="XK5" s="137"/>
      <c r="XL5" s="137"/>
      <c r="XM5" s="137"/>
      <c r="XN5" s="137"/>
      <c r="XO5" s="137"/>
      <c r="XP5" s="137"/>
      <c r="XQ5" s="137"/>
      <c r="XR5" s="137"/>
      <c r="XS5" s="137"/>
      <c r="XT5" s="137"/>
      <c r="XU5" s="137"/>
      <c r="XV5" s="137"/>
      <c r="XW5" s="137"/>
      <c r="XX5" s="137"/>
      <c r="XY5" s="137"/>
      <c r="XZ5" s="137"/>
      <c r="YA5" s="137"/>
      <c r="YB5" s="137"/>
      <c r="YC5" s="137"/>
      <c r="YD5" s="137"/>
      <c r="YE5" s="137"/>
      <c r="YF5" s="137"/>
      <c r="YG5" s="137"/>
      <c r="YH5" s="137"/>
      <c r="YI5" s="137"/>
      <c r="YJ5" s="137"/>
      <c r="YK5" s="137"/>
      <c r="YL5" s="137"/>
      <c r="YM5" s="137"/>
      <c r="YN5" s="137"/>
      <c r="YO5" s="137"/>
      <c r="YP5" s="137"/>
      <c r="YQ5" s="137"/>
      <c r="YR5" s="137"/>
      <c r="YS5" s="137"/>
      <c r="YT5" s="137"/>
      <c r="YU5" s="137"/>
      <c r="YV5" s="137"/>
      <c r="YW5" s="137"/>
      <c r="YX5" s="137"/>
      <c r="YY5" s="137"/>
      <c r="YZ5" s="137"/>
      <c r="ZA5" s="137"/>
      <c r="ZB5" s="137"/>
      <c r="ZC5" s="137"/>
      <c r="ZD5" s="137"/>
      <c r="ZE5" s="137"/>
      <c r="ZF5" s="137"/>
      <c r="ZG5" s="137"/>
      <c r="ZH5" s="137"/>
      <c r="ZI5" s="137"/>
      <c r="ZJ5" s="137"/>
      <c r="ZK5" s="137"/>
      <c r="ZL5" s="137"/>
      <c r="ZM5" s="137"/>
      <c r="ZN5" s="137"/>
      <c r="ZO5" s="137"/>
      <c r="ZP5" s="137"/>
      <c r="ZQ5" s="137"/>
      <c r="ZR5" s="137"/>
      <c r="ZS5" s="137"/>
      <c r="ZT5" s="137"/>
      <c r="ZU5" s="137"/>
      <c r="ZV5" s="137"/>
      <c r="ZW5" s="137"/>
      <c r="ZX5" s="137"/>
      <c r="ZY5" s="137"/>
      <c r="ZZ5" s="137"/>
      <c r="AAA5" s="137"/>
      <c r="AAB5" s="137"/>
      <c r="AAC5" s="137"/>
      <c r="AAD5" s="137"/>
      <c r="AAE5" s="137"/>
      <c r="AAF5" s="137"/>
      <c r="AAG5" s="137"/>
      <c r="AAH5" s="137"/>
      <c r="AAI5" s="137"/>
      <c r="AAJ5" s="137"/>
      <c r="AAK5" s="137"/>
      <c r="AAL5" s="137"/>
      <c r="AAM5" s="137"/>
      <c r="AAN5" s="137"/>
      <c r="AAO5" s="137"/>
      <c r="AAP5" s="137"/>
      <c r="AAQ5" s="137"/>
      <c r="AAR5" s="137"/>
      <c r="AAS5" s="137"/>
      <c r="AAT5" s="137"/>
      <c r="AAU5" s="137"/>
      <c r="AAV5" s="137"/>
      <c r="AAW5" s="137"/>
      <c r="AAX5" s="137"/>
      <c r="AAY5" s="137"/>
      <c r="AAZ5" s="137"/>
      <c r="ABA5" s="137"/>
      <c r="ABB5" s="137"/>
      <c r="ABC5" s="137"/>
      <c r="ABD5" s="137"/>
      <c r="ABE5" s="137"/>
      <c r="ABF5" s="137"/>
      <c r="ABG5" s="137"/>
      <c r="ABH5" s="137"/>
      <c r="ABI5" s="137"/>
      <c r="ABJ5" s="137"/>
      <c r="ABK5" s="137"/>
      <c r="ABL5" s="137"/>
      <c r="ABM5" s="137"/>
      <c r="ABN5" s="137"/>
      <c r="ABO5" s="137"/>
      <c r="ABP5" s="137"/>
      <c r="ABQ5" s="137"/>
      <c r="ABR5" s="137"/>
      <c r="ABS5" s="137"/>
      <c r="ABT5" s="137"/>
      <c r="ABU5" s="137"/>
    </row>
    <row r="6" spans="1:749" ht="41.25" customHeight="1">
      <c r="A6" s="203">
        <v>4</v>
      </c>
      <c r="B6" s="203" t="s">
        <v>1420</v>
      </c>
      <c r="C6" s="229" t="s">
        <v>1322</v>
      </c>
      <c r="D6" s="229" t="s">
        <v>1433</v>
      </c>
      <c r="E6" s="305" t="s">
        <v>1434</v>
      </c>
      <c r="F6" s="181">
        <v>3</v>
      </c>
      <c r="G6" s="228">
        <v>3</v>
      </c>
      <c r="H6" s="203" t="s">
        <v>318</v>
      </c>
      <c r="I6" s="316" t="s">
        <v>1325</v>
      </c>
      <c r="J6" s="203" t="s">
        <v>1423</v>
      </c>
      <c r="K6" s="203" t="s">
        <v>1396</v>
      </c>
      <c r="L6" s="62" t="s">
        <v>1423</v>
      </c>
      <c r="M6" s="358" t="s">
        <v>1435</v>
      </c>
      <c r="N6" s="360">
        <v>45597</v>
      </c>
      <c r="O6" s="360">
        <v>45600</v>
      </c>
      <c r="P6" s="228" t="s">
        <v>322</v>
      </c>
      <c r="Q6" s="352" t="s">
        <v>320</v>
      </c>
      <c r="R6" s="228" t="s">
        <v>323</v>
      </c>
      <c r="S6" s="360">
        <v>45601</v>
      </c>
      <c r="T6" s="352" t="s">
        <v>320</v>
      </c>
      <c r="U6" s="228" t="s">
        <v>320</v>
      </c>
      <c r="V6" s="228" t="s">
        <v>320</v>
      </c>
      <c r="W6" s="228" t="s">
        <v>13</v>
      </c>
      <c r="X6" s="216"/>
    </row>
    <row r="7" spans="1:749" s="58" customFormat="1" ht="30.75" customHeight="1">
      <c r="A7" s="203"/>
      <c r="B7" s="203"/>
      <c r="C7" s="246"/>
      <c r="D7" s="203"/>
      <c r="E7" s="61"/>
      <c r="F7" s="357"/>
      <c r="G7" s="228"/>
      <c r="H7" s="203"/>
      <c r="I7" s="316"/>
      <c r="J7" s="203"/>
      <c r="K7" s="203"/>
      <c r="L7" s="62"/>
      <c r="M7" s="358"/>
      <c r="N7" s="93"/>
      <c r="O7" s="93"/>
      <c r="Q7" s="216"/>
      <c r="S7" s="93"/>
      <c r="W7" s="216"/>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s="227"/>
    </row>
    <row r="8" spans="1:749" s="58" customFormat="1" ht="37.5" customHeight="1">
      <c r="A8" s="203"/>
      <c r="B8" s="203"/>
      <c r="C8" s="246"/>
      <c r="D8" s="203"/>
      <c r="E8" s="61"/>
      <c r="F8" s="357"/>
      <c r="G8" s="228"/>
      <c r="H8" s="203"/>
      <c r="I8" s="316"/>
      <c r="J8" s="203"/>
      <c r="K8" s="203"/>
      <c r="L8" s="365"/>
      <c r="M8" s="200"/>
      <c r="N8" s="366"/>
      <c r="O8" s="93"/>
      <c r="Q8" s="216"/>
      <c r="S8" s="93"/>
      <c r="T8" s="216"/>
      <c r="W8" s="216"/>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s="227"/>
    </row>
  </sheetData>
  <hyperlinks>
    <hyperlink ref="M4" r:id="rId1" xr:uid="{32EBC01F-05F9-476A-8F93-FEB609EE9B28}"/>
    <hyperlink ref="M6" r:id="rId2" xr:uid="{0A4A5F48-904C-468D-8845-42FED00D8C24}"/>
    <hyperlink ref="M3" r:id="rId3" xr:uid="{71318995-BFCD-45A6-94CD-C416BD913025}"/>
    <hyperlink ref="M5" r:id="rId4" xr:uid="{518B1A91-4065-4573-A9AB-C324F3DEFB27}"/>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56789-50C0-4D95-B638-22BB4E6A59EA}">
  <dimension ref="A1:Z4"/>
  <sheetViews>
    <sheetView workbookViewId="0">
      <selection activeCell="B1" sqref="B1"/>
    </sheetView>
  </sheetViews>
  <sheetFormatPr defaultRowHeight="12.75"/>
  <cols>
    <col min="2" max="2" width="21" customWidth="1"/>
    <col min="3" max="3" width="20" customWidth="1"/>
    <col min="4" max="4" width="12.42578125" customWidth="1"/>
    <col min="5" max="5" width="14.7109375" customWidth="1"/>
    <col min="6" max="6" width="56.85546875" customWidth="1"/>
    <col min="7" max="7" width="12.28515625" customWidth="1"/>
    <col min="10" max="10" width="22.7109375" customWidth="1"/>
    <col min="11" max="11" width="19.140625" customWidth="1"/>
  </cols>
  <sheetData>
    <row r="1" spans="1:26" ht="14.25">
      <c r="A1" s="59" t="s">
        <v>248</v>
      </c>
      <c r="B1" s="154" t="s">
        <v>11</v>
      </c>
      <c r="C1" s="155" t="s">
        <v>306</v>
      </c>
      <c r="D1" s="154" t="s">
        <v>250</v>
      </c>
      <c r="E1" s="155" t="s">
        <v>308</v>
      </c>
      <c r="F1" s="155" t="s">
        <v>309</v>
      </c>
      <c r="G1" s="154" t="s">
        <v>310</v>
      </c>
      <c r="H1" s="154" t="s">
        <v>312</v>
      </c>
      <c r="I1" s="154" t="s">
        <v>253</v>
      </c>
      <c r="J1" s="156" t="s">
        <v>313</v>
      </c>
      <c r="K1" s="157" t="s">
        <v>274</v>
      </c>
      <c r="L1" s="35"/>
      <c r="M1" s="35"/>
      <c r="N1" s="35"/>
      <c r="O1" s="35"/>
      <c r="P1" s="35"/>
      <c r="Q1" s="35"/>
      <c r="R1" s="35"/>
      <c r="S1" s="35"/>
      <c r="T1" s="35"/>
      <c r="U1" s="35"/>
      <c r="V1" s="35"/>
      <c r="W1" s="35"/>
      <c r="X1" s="35"/>
      <c r="Y1" s="35"/>
      <c r="Z1" s="35"/>
    </row>
    <row r="2" spans="1:26" ht="24">
      <c r="A2" s="46">
        <v>1</v>
      </c>
      <c r="B2" s="203" t="s">
        <v>1436</v>
      </c>
      <c r="C2" s="62" t="s">
        <v>1437</v>
      </c>
      <c r="D2" s="304" t="s">
        <v>1022</v>
      </c>
      <c r="E2" s="41" t="s">
        <v>553</v>
      </c>
      <c r="F2" s="11" t="s">
        <v>1438</v>
      </c>
      <c r="G2" s="41" t="s">
        <v>560</v>
      </c>
      <c r="H2" s="41" t="s">
        <v>556</v>
      </c>
      <c r="I2" s="41" t="s">
        <v>557</v>
      </c>
      <c r="J2" s="41" t="s">
        <v>737</v>
      </c>
      <c r="K2" s="41"/>
      <c r="L2" s="244"/>
      <c r="M2" s="244"/>
      <c r="N2" s="244"/>
      <c r="O2" s="244"/>
      <c r="P2" s="244"/>
      <c r="Q2" s="244"/>
      <c r="R2" s="244"/>
      <c r="S2" s="244"/>
      <c r="T2" s="244"/>
      <c r="U2" s="244"/>
      <c r="V2" s="244"/>
      <c r="W2" s="137"/>
      <c r="X2" s="137"/>
      <c r="Y2" s="137"/>
      <c r="Z2" s="137"/>
    </row>
    <row r="3" spans="1:26" ht="35.25">
      <c r="A3" s="62">
        <v>2</v>
      </c>
      <c r="B3" s="203" t="s">
        <v>1436</v>
      </c>
      <c r="C3" s="62" t="s">
        <v>1439</v>
      </c>
      <c r="D3" s="304" t="s">
        <v>1326</v>
      </c>
      <c r="E3" s="41" t="s">
        <v>553</v>
      </c>
      <c r="F3" s="316" t="s">
        <v>1440</v>
      </c>
      <c r="G3" s="41" t="s">
        <v>1441</v>
      </c>
      <c r="H3" s="41" t="s">
        <v>556</v>
      </c>
      <c r="I3" s="41" t="s">
        <v>557</v>
      </c>
      <c r="J3" s="41" t="s">
        <v>1213</v>
      </c>
      <c r="K3" s="11" t="s">
        <v>1442</v>
      </c>
      <c r="L3" s="137"/>
      <c r="M3" s="137"/>
      <c r="N3" s="137"/>
      <c r="O3" s="137"/>
      <c r="P3" s="137"/>
      <c r="Q3" s="137"/>
      <c r="R3" s="137"/>
      <c r="S3" s="137"/>
      <c r="T3" s="137"/>
      <c r="U3" s="137"/>
      <c r="V3" s="137"/>
      <c r="W3" s="137"/>
      <c r="X3" s="137"/>
      <c r="Y3" s="137"/>
      <c r="Z3" s="137"/>
    </row>
    <row r="4" spans="1:26">
      <c r="A4" s="61"/>
      <c r="B4" s="203"/>
      <c r="C4" s="58"/>
      <c r="D4" s="304"/>
      <c r="E4" s="41"/>
      <c r="F4" s="216"/>
      <c r="G4" s="19"/>
      <c r="H4" s="41"/>
      <c r="I4" s="41"/>
      <c r="J4" s="41"/>
      <c r="K4" s="19"/>
    </row>
  </sheetData>
  <dataValidations count="4">
    <dataValidation type="list" allowBlank="1" showErrorMessage="1" sqref="H2:H4" xr:uid="{FAB1783B-98EC-4963-89CB-D0CC89CD2F49}">
      <formula1>"Internal,External"</formula1>
    </dataValidation>
    <dataValidation type="list" allowBlank="1" showErrorMessage="1" sqref="E2:E4" xr:uid="{6CFE1AAB-D832-42EB-AB69-4B1C90FE40BC}">
      <formula1>"Bounceback,Defect,None"</formula1>
    </dataValidation>
    <dataValidation type="list" allowBlank="1" showErrorMessage="1" sqref="I2:I4" xr:uid="{27005ECC-5B0D-4236-9D0E-6536B685A0B5}">
      <formula1>"Open,Inprogress,Closed"</formula1>
    </dataValidation>
    <dataValidation type="list" allowBlank="1" showErrorMessage="1" sqref="G2:G4" xr:uid="{554D95CB-771B-4271-854B-0ADFE30ACBF6}">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B74D051F-99CC-4F5E-B94E-52F42EB5AA38}">
          <x14:formula1>
            <xm:f>Details!$A$2:$A$10</xm:f>
          </x14:formula1>
          <xm:sqref>J2:J4</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69546-2B03-4AD0-BD99-C963998E643F}">
  <dimension ref="A1:ABU8"/>
  <sheetViews>
    <sheetView workbookViewId="0">
      <pane xSplit="4" ySplit="2" topLeftCell="E3" activePane="bottomRight" state="frozen"/>
      <selection pane="bottomRight"/>
      <selection pane="bottomLeft"/>
      <selection pane="topRight"/>
    </sheetView>
  </sheetViews>
  <sheetFormatPr defaultRowHeight="12.75"/>
  <cols>
    <col min="2" max="2" width="6.85546875" customWidth="1"/>
    <col min="3" max="3" width="16" customWidth="1"/>
    <col min="5" max="5" width="27.140625" style="137" customWidth="1"/>
    <col min="8" max="8" width="10.7109375" customWidth="1"/>
    <col min="9" max="9" width="13.5703125" style="144" customWidth="1"/>
    <col min="10" max="10" width="13.7109375" customWidth="1"/>
    <col min="11" max="11" width="17.28515625" customWidth="1"/>
    <col min="12" max="12" width="17" customWidth="1"/>
    <col min="13" max="13" width="9.140625" style="144"/>
    <col min="14" max="15" width="10.42578125" bestFit="1" customWidth="1"/>
    <col min="17" max="17" width="9.140625" style="144"/>
    <col min="19" max="19" width="10.42578125" bestFit="1" customWidth="1"/>
    <col min="23" max="23" width="14.28515625" customWidth="1"/>
    <col min="24" max="24" width="27.42578125" customWidth="1"/>
  </cols>
  <sheetData>
    <row r="1" spans="1:749" ht="14.25">
      <c r="A1" s="234"/>
      <c r="B1" s="1"/>
      <c r="C1" s="7"/>
      <c r="D1" s="7"/>
      <c r="E1" s="322"/>
      <c r="F1" s="49"/>
      <c r="G1" s="49"/>
      <c r="H1" s="198"/>
      <c r="I1" s="198"/>
      <c r="J1" s="198"/>
      <c r="K1" s="198"/>
      <c r="L1" s="198"/>
      <c r="M1" s="198"/>
      <c r="N1" s="198"/>
      <c r="O1" s="198"/>
      <c r="P1" s="198"/>
      <c r="Q1" s="198"/>
      <c r="R1" s="198"/>
      <c r="S1" s="198"/>
      <c r="T1" s="198"/>
      <c r="U1" s="198"/>
      <c r="V1" s="198"/>
      <c r="W1" s="322"/>
      <c r="X1" s="323"/>
    </row>
    <row r="2" spans="1:749" ht="46.5">
      <c r="A2" s="193" t="s">
        <v>248</v>
      </c>
      <c r="B2" s="59" t="s">
        <v>249</v>
      </c>
      <c r="C2" s="195" t="s">
        <v>250</v>
      </c>
      <c r="D2" s="68" t="s">
        <v>251</v>
      </c>
      <c r="E2" s="189" t="s">
        <v>252</v>
      </c>
      <c r="F2" s="71" t="s">
        <v>254</v>
      </c>
      <c r="G2" s="71" t="s">
        <v>255</v>
      </c>
      <c r="H2" s="199" t="s">
        <v>259</v>
      </c>
      <c r="I2" s="199" t="s">
        <v>260</v>
      </c>
      <c r="J2" s="199" t="s">
        <v>261</v>
      </c>
      <c r="K2" s="199" t="s">
        <v>262</v>
      </c>
      <c r="L2" s="199" t="s">
        <v>263</v>
      </c>
      <c r="M2" s="199" t="s">
        <v>264</v>
      </c>
      <c r="N2" s="199" t="s">
        <v>265</v>
      </c>
      <c r="O2" s="199" t="s">
        <v>266</v>
      </c>
      <c r="P2" s="199" t="s">
        <v>267</v>
      </c>
      <c r="Q2" s="199" t="s">
        <v>268</v>
      </c>
      <c r="R2" s="199" t="s">
        <v>269</v>
      </c>
      <c r="S2" s="199" t="s">
        <v>270</v>
      </c>
      <c r="T2" s="199" t="s">
        <v>268</v>
      </c>
      <c r="U2" s="199" t="s">
        <v>272</v>
      </c>
      <c r="V2" s="199" t="s">
        <v>273</v>
      </c>
      <c r="W2" s="189" t="s">
        <v>253</v>
      </c>
      <c r="X2" s="210" t="s">
        <v>274</v>
      </c>
    </row>
    <row r="3" spans="1:749" s="256" customFormat="1" ht="38.25" customHeight="1">
      <c r="A3" s="62">
        <v>1</v>
      </c>
      <c r="B3" s="62" t="s">
        <v>1443</v>
      </c>
      <c r="C3" s="62" t="s">
        <v>1022</v>
      </c>
      <c r="D3" s="62" t="s">
        <v>1444</v>
      </c>
      <c r="E3" s="90" t="s">
        <v>1445</v>
      </c>
      <c r="F3" s="228">
        <v>3</v>
      </c>
      <c r="G3" s="228">
        <v>3</v>
      </c>
      <c r="H3" s="62" t="s">
        <v>318</v>
      </c>
      <c r="I3" s="90" t="s">
        <v>1446</v>
      </c>
      <c r="J3" s="203" t="s">
        <v>1423</v>
      </c>
      <c r="K3" s="62" t="s">
        <v>1447</v>
      </c>
      <c r="L3" s="90" t="s">
        <v>1448</v>
      </c>
      <c r="M3" s="176" t="s">
        <v>1449</v>
      </c>
      <c r="N3" s="359">
        <v>45583</v>
      </c>
      <c r="O3" s="359">
        <v>45584</v>
      </c>
      <c r="P3" s="90" t="s">
        <v>322</v>
      </c>
      <c r="Q3" s="90" t="s">
        <v>1423</v>
      </c>
      <c r="R3" s="62" t="s">
        <v>323</v>
      </c>
      <c r="S3" s="359">
        <v>45584</v>
      </c>
      <c r="T3" s="62" t="s">
        <v>1423</v>
      </c>
      <c r="U3" s="257" t="s">
        <v>1423</v>
      </c>
      <c r="V3" s="257" t="s">
        <v>1423</v>
      </c>
      <c r="W3" s="90" t="s">
        <v>13</v>
      </c>
      <c r="X3" s="90"/>
    </row>
    <row r="4" spans="1:749" s="137" customFormat="1" ht="41.25" customHeight="1">
      <c r="A4" s="203">
        <v>2</v>
      </c>
      <c r="B4" s="203" t="s">
        <v>1443</v>
      </c>
      <c r="C4" s="203" t="s">
        <v>1035</v>
      </c>
      <c r="D4" s="229" t="s">
        <v>1450</v>
      </c>
      <c r="E4" s="305" t="s">
        <v>1451</v>
      </c>
      <c r="F4" s="228">
        <v>2</v>
      </c>
      <c r="G4" s="228">
        <v>2</v>
      </c>
      <c r="H4" s="203" t="s">
        <v>318</v>
      </c>
      <c r="I4" s="316" t="s">
        <v>1022</v>
      </c>
      <c r="J4" s="203" t="s">
        <v>1423</v>
      </c>
      <c r="K4" s="203" t="s">
        <v>595</v>
      </c>
      <c r="L4" s="90" t="s">
        <v>1452</v>
      </c>
      <c r="M4" s="361" t="s">
        <v>1453</v>
      </c>
      <c r="N4" s="360">
        <v>45580</v>
      </c>
      <c r="O4" s="360">
        <v>45581</v>
      </c>
      <c r="P4" s="228" t="s">
        <v>322</v>
      </c>
      <c r="Q4" s="352" t="s">
        <v>1423</v>
      </c>
      <c r="R4" s="228" t="s">
        <v>795</v>
      </c>
      <c r="S4" s="360">
        <v>45582</v>
      </c>
      <c r="T4" s="362" t="s">
        <v>1423</v>
      </c>
      <c r="U4" s="363" t="s">
        <v>1423</v>
      </c>
      <c r="V4" s="363" t="s">
        <v>1423</v>
      </c>
      <c r="W4" s="357" t="s">
        <v>13</v>
      </c>
      <c r="X4" s="316"/>
    </row>
    <row r="5" spans="1:749" ht="36.75" customHeight="1">
      <c r="A5" s="203">
        <v>3</v>
      </c>
      <c r="B5" s="203" t="s">
        <v>1443</v>
      </c>
      <c r="C5" s="246" t="s">
        <v>1325</v>
      </c>
      <c r="D5" s="203" t="s">
        <v>1454</v>
      </c>
      <c r="E5" s="90" t="s">
        <v>1455</v>
      </c>
      <c r="F5" s="357">
        <v>2</v>
      </c>
      <c r="G5" s="228">
        <v>2</v>
      </c>
      <c r="H5" s="203" t="s">
        <v>318</v>
      </c>
      <c r="I5" s="316" t="s">
        <v>1322</v>
      </c>
      <c r="J5" s="350" t="s">
        <v>1423</v>
      </c>
      <c r="K5" s="203" t="s">
        <v>1456</v>
      </c>
      <c r="L5" s="62" t="s">
        <v>1423</v>
      </c>
      <c r="M5" s="364" t="s">
        <v>1457</v>
      </c>
      <c r="N5" s="93">
        <v>45583</v>
      </c>
      <c r="O5" s="93">
        <v>45584</v>
      </c>
      <c r="P5" s="228" t="s">
        <v>1326</v>
      </c>
      <c r="Q5" s="352" t="s">
        <v>1423</v>
      </c>
      <c r="R5" s="228" t="s">
        <v>323</v>
      </c>
      <c r="S5" s="93">
        <v>45584</v>
      </c>
      <c r="T5" s="352" t="s">
        <v>1423</v>
      </c>
      <c r="U5" s="228" t="s">
        <v>320</v>
      </c>
      <c r="V5" s="228" t="s">
        <v>320</v>
      </c>
      <c r="W5" s="228" t="s">
        <v>13</v>
      </c>
      <c r="X5" s="58"/>
    </row>
    <row r="6" spans="1:749" ht="41.25" customHeight="1">
      <c r="A6" s="203">
        <v>4</v>
      </c>
      <c r="B6" s="203" t="s">
        <v>1443</v>
      </c>
      <c r="C6" s="229" t="s">
        <v>1325</v>
      </c>
      <c r="D6" s="229" t="s">
        <v>1458</v>
      </c>
      <c r="E6" s="333" t="s">
        <v>1459</v>
      </c>
      <c r="F6" s="181">
        <v>2</v>
      </c>
      <c r="G6" s="228">
        <v>2</v>
      </c>
      <c r="H6" s="203" t="s">
        <v>318</v>
      </c>
      <c r="I6" s="316" t="s">
        <v>1322</v>
      </c>
      <c r="J6" s="203" t="s">
        <v>1423</v>
      </c>
      <c r="K6" s="203" t="s">
        <v>1456</v>
      </c>
      <c r="L6" s="62" t="s">
        <v>1423</v>
      </c>
      <c r="M6" s="358" t="s">
        <v>1460</v>
      </c>
      <c r="N6" s="360" t="s">
        <v>1461</v>
      </c>
      <c r="O6" s="360" t="s">
        <v>1462</v>
      </c>
      <c r="P6" s="228" t="s">
        <v>1326</v>
      </c>
      <c r="Q6" s="352" t="s">
        <v>1423</v>
      </c>
      <c r="R6" s="228" t="s">
        <v>323</v>
      </c>
      <c r="S6" s="360">
        <v>45581</v>
      </c>
      <c r="T6" s="352" t="s">
        <v>1423</v>
      </c>
      <c r="U6" s="228" t="s">
        <v>320</v>
      </c>
      <c r="V6" s="228" t="s">
        <v>320</v>
      </c>
      <c r="W6" s="228" t="s">
        <v>13</v>
      </c>
      <c r="X6" s="216"/>
    </row>
    <row r="7" spans="1:749" s="58" customFormat="1" ht="30.75" customHeight="1">
      <c r="A7" s="203">
        <v>5</v>
      </c>
      <c r="B7" s="203" t="s">
        <v>1443</v>
      </c>
      <c r="C7" s="246" t="s">
        <v>1322</v>
      </c>
      <c r="D7" s="203" t="s">
        <v>1463</v>
      </c>
      <c r="E7" s="61" t="s">
        <v>1464</v>
      </c>
      <c r="F7" s="357">
        <v>5</v>
      </c>
      <c r="G7" s="228">
        <v>5</v>
      </c>
      <c r="H7" s="203" t="s">
        <v>318</v>
      </c>
      <c r="I7" s="316" t="s">
        <v>1325</v>
      </c>
      <c r="J7" s="203" t="s">
        <v>1423</v>
      </c>
      <c r="K7" s="203" t="s">
        <v>1456</v>
      </c>
      <c r="L7" s="62" t="s">
        <v>1423</v>
      </c>
      <c r="M7" s="358" t="s">
        <v>1465</v>
      </c>
      <c r="N7" s="93">
        <v>45587</v>
      </c>
      <c r="O7" s="93">
        <v>45588</v>
      </c>
      <c r="P7" s="58" t="s">
        <v>322</v>
      </c>
      <c r="Q7" s="216" t="s">
        <v>1423</v>
      </c>
      <c r="R7" s="58" t="s">
        <v>323</v>
      </c>
      <c r="S7" s="93">
        <v>45588</v>
      </c>
      <c r="T7" s="58" t="s">
        <v>1423</v>
      </c>
      <c r="U7" s="58" t="s">
        <v>320</v>
      </c>
      <c r="V7" s="58" t="s">
        <v>320</v>
      </c>
      <c r="W7" s="216" t="s">
        <v>13</v>
      </c>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s="227"/>
    </row>
    <row r="8" spans="1:749" s="58" customFormat="1" ht="37.5" customHeight="1">
      <c r="A8" s="203">
        <v>6</v>
      </c>
      <c r="B8" s="203" t="s">
        <v>1443</v>
      </c>
      <c r="C8" s="246" t="s">
        <v>1322</v>
      </c>
      <c r="D8" s="203" t="s">
        <v>1466</v>
      </c>
      <c r="E8" s="61" t="s">
        <v>1467</v>
      </c>
      <c r="F8" s="357">
        <v>3</v>
      </c>
      <c r="G8" s="228">
        <v>3</v>
      </c>
      <c r="H8" s="203" t="s">
        <v>318</v>
      </c>
      <c r="I8" s="316" t="s">
        <v>1325</v>
      </c>
      <c r="J8" s="203" t="s">
        <v>1423</v>
      </c>
      <c r="K8" s="203" t="s">
        <v>1456</v>
      </c>
      <c r="L8" s="365" t="s">
        <v>1423</v>
      </c>
      <c r="M8" s="200" t="s">
        <v>1468</v>
      </c>
      <c r="N8" s="366">
        <v>45587</v>
      </c>
      <c r="O8" s="93">
        <v>45588</v>
      </c>
      <c r="P8" s="58" t="s">
        <v>322</v>
      </c>
      <c r="Q8" s="216" t="s">
        <v>1423</v>
      </c>
      <c r="R8" s="58" t="s">
        <v>323</v>
      </c>
      <c r="S8" s="93">
        <v>45588</v>
      </c>
      <c r="T8" s="216" t="s">
        <v>1423</v>
      </c>
      <c r="U8" s="58" t="s">
        <v>320</v>
      </c>
      <c r="V8" s="58" t="s">
        <v>320</v>
      </c>
      <c r="W8" s="216" t="s">
        <v>13</v>
      </c>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s="227"/>
    </row>
  </sheetData>
  <hyperlinks>
    <hyperlink ref="M4" r:id="rId1" xr:uid="{6E0E6153-6718-4D2F-AF40-F6EA1420EBA4}"/>
    <hyperlink ref="M6" r:id="rId2" xr:uid="{A6231A47-F310-4B72-A191-AF1DAF45AF5F}"/>
    <hyperlink ref="M3" r:id="rId3" xr:uid="{39D248B1-4CCB-4243-BD65-26231BB5B7C9}"/>
    <hyperlink ref="M5" r:id="rId4" xr:uid="{61CEF97C-AAC3-4F1C-8A16-EF05D0024FFC}"/>
    <hyperlink ref="M8" r:id="rId5" xr:uid="{F4581123-D363-4250-A6EA-3F7CB898D0AB}"/>
    <hyperlink ref="M7" r:id="rId6" xr:uid="{494511F4-C639-4792-AF44-A7733678DBDE}"/>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FA2AA-DA84-498E-9F6E-4D8C947F8505}">
  <dimension ref="A1:Z4"/>
  <sheetViews>
    <sheetView workbookViewId="0">
      <selection activeCell="H2" sqref="H2"/>
    </sheetView>
  </sheetViews>
  <sheetFormatPr defaultRowHeight="12.75"/>
  <cols>
    <col min="2" max="2" width="21" customWidth="1"/>
    <col min="3" max="3" width="20" customWidth="1"/>
    <col min="4" max="4" width="12.42578125" customWidth="1"/>
    <col min="5" max="5" width="14.7109375" customWidth="1"/>
    <col min="6" max="6" width="56.85546875" customWidth="1"/>
    <col min="7" max="7" width="12.28515625" customWidth="1"/>
    <col min="10" max="10" width="22.7109375" customWidth="1"/>
    <col min="11" max="11" width="19.140625" customWidth="1"/>
  </cols>
  <sheetData>
    <row r="1" spans="1:26" ht="14.25">
      <c r="A1" s="59" t="s">
        <v>248</v>
      </c>
      <c r="B1" s="154" t="s">
        <v>11</v>
      </c>
      <c r="C1" s="155" t="s">
        <v>306</v>
      </c>
      <c r="D1" s="154" t="s">
        <v>250</v>
      </c>
      <c r="E1" s="155" t="s">
        <v>308</v>
      </c>
      <c r="F1" s="155" t="s">
        <v>309</v>
      </c>
      <c r="G1" s="154" t="s">
        <v>310</v>
      </c>
      <c r="H1" s="154" t="s">
        <v>312</v>
      </c>
      <c r="I1" s="154" t="s">
        <v>253</v>
      </c>
      <c r="J1" s="156" t="s">
        <v>313</v>
      </c>
      <c r="K1" s="157" t="s">
        <v>274</v>
      </c>
      <c r="L1" s="35"/>
      <c r="M1" s="35"/>
      <c r="N1" s="35"/>
      <c r="O1" s="35"/>
      <c r="P1" s="35"/>
      <c r="Q1" s="35"/>
      <c r="R1" s="35"/>
      <c r="S1" s="35"/>
      <c r="T1" s="35"/>
      <c r="U1" s="35"/>
      <c r="V1" s="35"/>
      <c r="W1" s="35"/>
      <c r="X1" s="35"/>
      <c r="Y1" s="35"/>
      <c r="Z1" s="35"/>
    </row>
    <row r="2" spans="1:26">
      <c r="A2" s="46"/>
      <c r="B2" s="203"/>
      <c r="C2" s="62"/>
      <c r="D2" s="304"/>
      <c r="E2" s="41"/>
      <c r="F2" s="11"/>
      <c r="G2" s="41"/>
      <c r="H2" s="41"/>
      <c r="I2" s="41"/>
      <c r="J2" s="41"/>
      <c r="K2" s="41"/>
      <c r="L2" s="244"/>
      <c r="M2" s="244"/>
      <c r="N2" s="244"/>
      <c r="O2" s="244"/>
      <c r="P2" s="244"/>
      <c r="Q2" s="244"/>
      <c r="R2" s="244"/>
      <c r="S2" s="244"/>
      <c r="T2" s="244"/>
      <c r="U2" s="244"/>
      <c r="V2" s="244"/>
      <c r="W2" s="137"/>
      <c r="X2" s="137"/>
      <c r="Y2" s="137"/>
      <c r="Z2" s="137"/>
    </row>
    <row r="3" spans="1:26">
      <c r="A3" s="62"/>
      <c r="B3" s="203"/>
      <c r="C3" s="62"/>
      <c r="D3" s="304"/>
      <c r="E3" s="41"/>
      <c r="F3" s="316"/>
      <c r="G3" s="41"/>
      <c r="H3" s="41"/>
      <c r="I3" s="41"/>
      <c r="J3" s="41"/>
      <c r="K3" s="11"/>
      <c r="L3" s="137"/>
      <c r="M3" s="137"/>
      <c r="N3" s="137"/>
      <c r="O3" s="137"/>
      <c r="P3" s="137"/>
      <c r="Q3" s="137"/>
      <c r="R3" s="137"/>
      <c r="S3" s="137"/>
      <c r="T3" s="137"/>
      <c r="U3" s="137"/>
      <c r="V3" s="137"/>
      <c r="W3" s="137"/>
      <c r="X3" s="137"/>
      <c r="Y3" s="137"/>
      <c r="Z3" s="137"/>
    </row>
    <row r="4" spans="1:26">
      <c r="A4" s="61"/>
      <c r="B4" s="203"/>
      <c r="C4" s="58"/>
      <c r="D4" s="304"/>
      <c r="E4" s="41"/>
      <c r="F4" s="216"/>
      <c r="G4" s="19"/>
      <c r="H4" s="41"/>
      <c r="I4" s="41"/>
      <c r="J4" s="41"/>
      <c r="K4" s="19"/>
    </row>
  </sheetData>
  <dataValidations count="4">
    <dataValidation type="list" allowBlank="1" showErrorMessage="1" sqref="G2:G4" xr:uid="{90CE0854-1FB4-47A3-8E75-881B1D6D1DD3}">
      <formula1>"Minor,Significant,Major"</formula1>
    </dataValidation>
    <dataValidation type="list" allowBlank="1" showErrorMessage="1" sqref="I2:I4" xr:uid="{0635AB95-26A9-44E3-98A5-680589F48DAC}">
      <formula1>"Open,Inprogress,Closed"</formula1>
    </dataValidation>
    <dataValidation type="list" allowBlank="1" showErrorMessage="1" sqref="E2:E4" xr:uid="{F5EACBB1-6DFF-4D51-A74E-99D46EBAC798}">
      <formula1>"Bounceback,Defect,None"</formula1>
    </dataValidation>
    <dataValidation type="list" allowBlank="1" showErrorMessage="1" sqref="H2:H4" xr:uid="{AA3F6A52-A454-4B10-9AAD-3CC9A0ACA298}">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7FC8F9F5-5A23-4C0E-B99C-C014CC2B3DA4}">
          <x14:formula1>
            <xm:f>Details!$A$2:$A$10</xm:f>
          </x14:formula1>
          <xm:sqref>J2:J4</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7EDFE-B204-4FA0-A823-76E3A1440C45}">
  <dimension ref="A1:ABU8"/>
  <sheetViews>
    <sheetView workbookViewId="0">
      <pane xSplit="4" ySplit="2" topLeftCell="E7" activePane="bottomRight" state="frozen"/>
      <selection pane="bottomRight"/>
      <selection pane="bottomLeft"/>
      <selection pane="topRight"/>
    </sheetView>
  </sheetViews>
  <sheetFormatPr defaultRowHeight="12.75"/>
  <cols>
    <col min="2" max="2" width="5" customWidth="1"/>
    <col min="3" max="3" width="11.140625" customWidth="1"/>
    <col min="5" max="5" width="27" customWidth="1"/>
    <col min="6" max="6" width="5.7109375" customWidth="1"/>
    <col min="7" max="7" width="6" customWidth="1"/>
    <col min="9" max="9" width="5" style="144" customWidth="1"/>
    <col min="10" max="10" width="6.85546875" customWidth="1"/>
    <col min="11" max="11" width="8" customWidth="1"/>
    <col min="12" max="12" width="7" customWidth="1"/>
    <col min="13" max="13" width="9.140625" style="144"/>
    <col min="14" max="15" width="9.42578125" bestFit="1" customWidth="1"/>
    <col min="17" max="17" width="3.140625" style="144" customWidth="1"/>
    <col min="19" max="19" width="9.42578125" bestFit="1" customWidth="1"/>
    <col min="23" max="23" width="14.7109375" customWidth="1"/>
    <col min="24" max="24" width="18.28515625" customWidth="1"/>
  </cols>
  <sheetData>
    <row r="1" spans="1:749" ht="14.25">
      <c r="A1" s="234"/>
      <c r="B1" s="1"/>
      <c r="C1" s="7"/>
      <c r="D1" s="7"/>
      <c r="E1" s="1"/>
      <c r="F1" s="49"/>
      <c r="G1" s="49"/>
      <c r="H1" s="198"/>
      <c r="I1" s="198"/>
      <c r="J1" s="198"/>
      <c r="K1" s="198"/>
      <c r="L1" s="198"/>
      <c r="M1" s="198"/>
      <c r="N1" s="198"/>
      <c r="O1" s="198"/>
      <c r="P1" s="198"/>
      <c r="Q1" s="198"/>
      <c r="R1" s="198"/>
      <c r="S1" s="198"/>
      <c r="T1" s="198"/>
      <c r="U1" s="198"/>
      <c r="V1" s="198"/>
      <c r="W1" s="322"/>
      <c r="X1" s="323"/>
    </row>
    <row r="2" spans="1:749" ht="150.75">
      <c r="A2" s="234" t="s">
        <v>248</v>
      </c>
      <c r="B2" s="1" t="s">
        <v>249</v>
      </c>
      <c r="C2" s="7" t="s">
        <v>250</v>
      </c>
      <c r="D2" s="235" t="s">
        <v>251</v>
      </c>
      <c r="E2" s="236" t="s">
        <v>252</v>
      </c>
      <c r="F2" s="237" t="s">
        <v>254</v>
      </c>
      <c r="G2" s="237" t="s">
        <v>255</v>
      </c>
      <c r="H2" s="238" t="s">
        <v>259</v>
      </c>
      <c r="I2" s="199" t="s">
        <v>260</v>
      </c>
      <c r="J2" s="199" t="s">
        <v>261</v>
      </c>
      <c r="K2" s="238" t="s">
        <v>262</v>
      </c>
      <c r="L2" s="238" t="s">
        <v>263</v>
      </c>
      <c r="M2" s="238" t="s">
        <v>264</v>
      </c>
      <c r="N2" s="238" t="s">
        <v>265</v>
      </c>
      <c r="O2" s="238" t="s">
        <v>266</v>
      </c>
      <c r="P2" s="238" t="s">
        <v>267</v>
      </c>
      <c r="Q2" s="238" t="s">
        <v>268</v>
      </c>
      <c r="R2" s="238" t="s">
        <v>269</v>
      </c>
      <c r="S2" s="238" t="s">
        <v>270</v>
      </c>
      <c r="T2" s="238" t="s">
        <v>268</v>
      </c>
      <c r="U2" s="238" t="s">
        <v>272</v>
      </c>
      <c r="V2" s="238" t="s">
        <v>273</v>
      </c>
      <c r="W2" s="239" t="s">
        <v>253</v>
      </c>
      <c r="X2" s="240" t="s">
        <v>274</v>
      </c>
    </row>
    <row r="3" spans="1:749" ht="85.5" customHeight="1">
      <c r="A3" s="203">
        <v>1</v>
      </c>
      <c r="B3" s="203" t="s">
        <v>1469</v>
      </c>
      <c r="C3" s="203" t="s">
        <v>1386</v>
      </c>
      <c r="D3" s="203" t="s">
        <v>1470</v>
      </c>
      <c r="E3" s="58" t="s">
        <v>1471</v>
      </c>
      <c r="F3" s="228">
        <v>3</v>
      </c>
      <c r="G3" s="228">
        <v>3</v>
      </c>
      <c r="H3" s="246" t="s">
        <v>318</v>
      </c>
      <c r="I3" s="316" t="s">
        <v>1035</v>
      </c>
      <c r="J3" s="58" t="s">
        <v>320</v>
      </c>
      <c r="K3" s="248" t="s">
        <v>1064</v>
      </c>
      <c r="L3" s="327" t="s">
        <v>1472</v>
      </c>
      <c r="M3" s="279" t="s">
        <v>1473</v>
      </c>
      <c r="N3" s="93">
        <v>45572</v>
      </c>
      <c r="O3" s="93">
        <v>45574</v>
      </c>
      <c r="P3" s="216" t="s">
        <v>595</v>
      </c>
      <c r="Q3" s="216" t="s">
        <v>1474</v>
      </c>
      <c r="R3" s="58" t="s">
        <v>323</v>
      </c>
      <c r="S3" s="93">
        <v>45574</v>
      </c>
      <c r="T3" s="58" t="s">
        <v>320</v>
      </c>
      <c r="U3" s="58" t="s">
        <v>320</v>
      </c>
      <c r="V3" s="58" t="s">
        <v>320</v>
      </c>
      <c r="W3" s="58" t="s">
        <v>13</v>
      </c>
      <c r="X3" s="216"/>
    </row>
    <row r="4" spans="1:749" ht="80.25" customHeight="1">
      <c r="A4" s="203">
        <v>2</v>
      </c>
      <c r="B4" s="203" t="s">
        <v>1469</v>
      </c>
      <c r="C4" s="203" t="s">
        <v>1475</v>
      </c>
      <c r="D4" s="203" t="s">
        <v>1476</v>
      </c>
      <c r="E4" s="216" t="s">
        <v>1477</v>
      </c>
      <c r="F4" s="228">
        <v>8</v>
      </c>
      <c r="G4" s="228">
        <v>8</v>
      </c>
      <c r="H4" s="246" t="s">
        <v>318</v>
      </c>
      <c r="I4" s="316" t="s">
        <v>1022</v>
      </c>
      <c r="J4" s="58" t="s">
        <v>320</v>
      </c>
      <c r="K4" s="248" t="s">
        <v>1064</v>
      </c>
      <c r="L4" s="327" t="s">
        <v>1472</v>
      </c>
      <c r="M4" s="279" t="s">
        <v>1473</v>
      </c>
      <c r="N4" s="93">
        <v>45572</v>
      </c>
      <c r="O4" s="93">
        <v>45574</v>
      </c>
      <c r="P4" s="58" t="s">
        <v>595</v>
      </c>
      <c r="Q4" s="216" t="s">
        <v>1478</v>
      </c>
      <c r="R4" s="58" t="s">
        <v>323</v>
      </c>
      <c r="S4" s="93">
        <v>45574</v>
      </c>
      <c r="T4" s="58" t="s">
        <v>320</v>
      </c>
      <c r="U4" s="58" t="s">
        <v>320</v>
      </c>
      <c r="V4" s="58" t="s">
        <v>320</v>
      </c>
      <c r="W4" s="58" t="s">
        <v>13</v>
      </c>
      <c r="X4" s="216"/>
    </row>
    <row r="5" spans="1:749" ht="123.75" customHeight="1">
      <c r="A5" s="203">
        <v>3</v>
      </c>
      <c r="B5" s="203" t="s">
        <v>1443</v>
      </c>
      <c r="C5" s="203" t="s">
        <v>1479</v>
      </c>
      <c r="D5" s="203" t="s">
        <v>1480</v>
      </c>
      <c r="E5" s="216" t="s">
        <v>1481</v>
      </c>
      <c r="F5" s="228">
        <v>3</v>
      </c>
      <c r="G5" s="228">
        <v>3</v>
      </c>
      <c r="H5" s="246" t="s">
        <v>318</v>
      </c>
      <c r="I5" s="316" t="s">
        <v>1482</v>
      </c>
      <c r="J5" s="350" t="s">
        <v>1483</v>
      </c>
      <c r="K5" s="248"/>
      <c r="L5" s="327" t="s">
        <v>1472</v>
      </c>
      <c r="M5" s="183" t="s">
        <v>1484</v>
      </c>
      <c r="N5" s="93">
        <v>45569</v>
      </c>
      <c r="O5" s="93">
        <v>45483</v>
      </c>
      <c r="P5" s="144" t="s">
        <v>1485</v>
      </c>
      <c r="Q5" s="350" t="s">
        <v>1486</v>
      </c>
      <c r="R5" t="s">
        <v>323</v>
      </c>
      <c r="S5" s="93">
        <v>45483</v>
      </c>
      <c r="T5" t="s">
        <v>320</v>
      </c>
      <c r="U5" s="58" t="s">
        <v>320</v>
      </c>
      <c r="V5" s="58" t="s">
        <v>320</v>
      </c>
      <c r="W5" s="58" t="s">
        <v>13</v>
      </c>
      <c r="X5" s="58"/>
    </row>
    <row r="6" spans="1:749" ht="118.5" customHeight="1">
      <c r="A6" s="229">
        <v>4</v>
      </c>
      <c r="B6" s="229" t="s">
        <v>1487</v>
      </c>
      <c r="C6" s="229" t="s">
        <v>1488</v>
      </c>
      <c r="D6" s="229" t="s">
        <v>1458</v>
      </c>
      <c r="E6" s="333" t="s">
        <v>1489</v>
      </c>
      <c r="F6" s="327">
        <v>3</v>
      </c>
      <c r="G6" s="327">
        <v>3</v>
      </c>
      <c r="H6" s="246" t="s">
        <v>318</v>
      </c>
      <c r="I6" s="316" t="s">
        <v>1490</v>
      </c>
      <c r="J6" s="228" t="s">
        <v>1472</v>
      </c>
      <c r="K6" s="247" t="s">
        <v>1491</v>
      </c>
      <c r="L6" s="327" t="s">
        <v>1472</v>
      </c>
      <c r="M6" s="356" t="s">
        <v>1492</v>
      </c>
      <c r="N6" s="349">
        <v>45483</v>
      </c>
      <c r="O6" s="349">
        <v>45483</v>
      </c>
      <c r="P6" s="58" t="s">
        <v>1456</v>
      </c>
      <c r="Q6" s="333" t="s">
        <v>320</v>
      </c>
      <c r="R6" s="218" t="s">
        <v>1493</v>
      </c>
      <c r="S6" s="349">
        <v>45483</v>
      </c>
      <c r="T6" s="144" t="s">
        <v>1494</v>
      </c>
      <c r="U6" s="58" t="s">
        <v>320</v>
      </c>
      <c r="V6" s="58" t="s">
        <v>320</v>
      </c>
      <c r="W6" s="58" t="s">
        <v>636</v>
      </c>
      <c r="X6" s="333" t="s">
        <v>1495</v>
      </c>
    </row>
    <row r="7" spans="1:749" s="58" customFormat="1" ht="30.75" customHeight="1">
      <c r="A7" s="203">
        <v>5</v>
      </c>
      <c r="B7" s="203" t="s">
        <v>1487</v>
      </c>
      <c r="C7" s="203" t="s">
        <v>1322</v>
      </c>
      <c r="D7" s="203" t="s">
        <v>1496</v>
      </c>
      <c r="E7" s="216" t="s">
        <v>1497</v>
      </c>
      <c r="F7" s="228">
        <v>1</v>
      </c>
      <c r="G7" s="228">
        <v>1</v>
      </c>
      <c r="H7" s="246" t="s">
        <v>318</v>
      </c>
      <c r="I7" s="316" t="s">
        <v>1498</v>
      </c>
      <c r="J7" s="228" t="s">
        <v>1472</v>
      </c>
      <c r="K7" s="248" t="s">
        <v>1499</v>
      </c>
      <c r="L7" s="327" t="s">
        <v>1472</v>
      </c>
      <c r="M7" s="356" t="s">
        <v>1500</v>
      </c>
      <c r="N7" s="58" t="s">
        <v>1501</v>
      </c>
      <c r="O7" s="58" t="s">
        <v>1501</v>
      </c>
      <c r="P7" s="58" t="s">
        <v>1456</v>
      </c>
      <c r="Q7" s="216"/>
      <c r="R7" s="58" t="s">
        <v>320</v>
      </c>
      <c r="S7" s="58" t="s">
        <v>1501</v>
      </c>
      <c r="T7" s="58" t="s">
        <v>320</v>
      </c>
      <c r="U7" s="58" t="s">
        <v>320</v>
      </c>
      <c r="V7" s="58" t="s">
        <v>320</v>
      </c>
      <c r="W7" s="216" t="s">
        <v>13</v>
      </c>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s="227"/>
    </row>
    <row r="8" spans="1:749" s="58" customFormat="1" ht="111" customHeight="1">
      <c r="A8" s="203">
        <v>6</v>
      </c>
      <c r="B8" s="203" t="s">
        <v>1487</v>
      </c>
      <c r="C8" s="203" t="s">
        <v>1488</v>
      </c>
      <c r="D8" s="203" t="s">
        <v>1502</v>
      </c>
      <c r="E8" s="216" t="s">
        <v>1503</v>
      </c>
      <c r="F8" s="228">
        <v>2</v>
      </c>
      <c r="G8" s="228">
        <v>2</v>
      </c>
      <c r="H8" s="246" t="s">
        <v>318</v>
      </c>
      <c r="I8" s="316" t="s">
        <v>1490</v>
      </c>
      <c r="J8" s="228" t="s">
        <v>1472</v>
      </c>
      <c r="K8" s="351" t="s">
        <v>1504</v>
      </c>
      <c r="L8" s="228" t="s">
        <v>1472</v>
      </c>
      <c r="M8" s="356" t="s">
        <v>1505</v>
      </c>
      <c r="N8" s="58" t="s">
        <v>1501</v>
      </c>
      <c r="O8" s="58" t="s">
        <v>1506</v>
      </c>
      <c r="P8" s="58" t="s">
        <v>1456</v>
      </c>
      <c r="Q8" s="216"/>
      <c r="R8" s="58" t="s">
        <v>1173</v>
      </c>
      <c r="S8" s="58" t="s">
        <v>1506</v>
      </c>
      <c r="T8" s="144" t="s">
        <v>1507</v>
      </c>
      <c r="U8" s="58" t="s">
        <v>320</v>
      </c>
      <c r="V8" s="58" t="s">
        <v>320</v>
      </c>
      <c r="W8" s="216" t="s">
        <v>13</v>
      </c>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s="227"/>
    </row>
  </sheetData>
  <hyperlinks>
    <hyperlink ref="M3" r:id="rId1" xr:uid="{56188AD4-0E1C-4B1A-9CFE-03013F7E4467}"/>
    <hyperlink ref="M4" r:id="rId2" xr:uid="{60279ED0-76C9-4910-B4EF-3042FF57F4D0}"/>
    <hyperlink ref="M6" r:id="rId3" xr:uid="{0F5ECD34-953F-403C-A423-FCD212563F08}"/>
    <hyperlink ref="M7" r:id="rId4" xr:uid="{5DDAC753-4B0C-48F6-83AC-7AFD5C357450}"/>
    <hyperlink ref="M8" r:id="rId5" xr:uid="{0365960B-FFC6-4E4C-B6FF-B2F6561D3564}"/>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CC30F-03C1-4DAC-A062-9D4C9575B2DA}">
  <dimension ref="A1:Z4"/>
  <sheetViews>
    <sheetView topLeftCell="B1" workbookViewId="0">
      <selection activeCell="J7" sqref="J7"/>
    </sheetView>
  </sheetViews>
  <sheetFormatPr defaultRowHeight="12.75"/>
  <cols>
    <col min="2" max="2" width="21" customWidth="1"/>
    <col min="3" max="3" width="20" customWidth="1"/>
    <col min="4" max="4" width="12.42578125" customWidth="1"/>
    <col min="5" max="5" width="14.7109375" customWidth="1"/>
    <col min="6" max="6" width="56.85546875" customWidth="1"/>
    <col min="7" max="7" width="12.28515625" customWidth="1"/>
    <col min="10" max="10" width="22.7109375" customWidth="1"/>
    <col min="11" max="11" width="19.140625" customWidth="1"/>
  </cols>
  <sheetData>
    <row r="1" spans="1:26" ht="14.25">
      <c r="A1" s="59" t="s">
        <v>248</v>
      </c>
      <c r="B1" s="154" t="s">
        <v>11</v>
      </c>
      <c r="C1" s="155" t="s">
        <v>306</v>
      </c>
      <c r="D1" s="154" t="s">
        <v>250</v>
      </c>
      <c r="E1" s="155" t="s">
        <v>308</v>
      </c>
      <c r="F1" s="155" t="s">
        <v>309</v>
      </c>
      <c r="G1" s="154" t="s">
        <v>310</v>
      </c>
      <c r="H1" s="154" t="s">
        <v>312</v>
      </c>
      <c r="I1" s="154" t="s">
        <v>253</v>
      </c>
      <c r="J1" s="156" t="s">
        <v>313</v>
      </c>
      <c r="K1" s="157" t="s">
        <v>274</v>
      </c>
      <c r="L1" s="35"/>
      <c r="M1" s="35"/>
      <c r="N1" s="35"/>
      <c r="O1" s="35"/>
      <c r="P1" s="35"/>
      <c r="Q1" s="35"/>
      <c r="R1" s="35"/>
      <c r="S1" s="35"/>
      <c r="T1" s="35"/>
      <c r="U1" s="35"/>
      <c r="V1" s="35"/>
      <c r="W1" s="35"/>
      <c r="X1" s="35"/>
      <c r="Y1" s="35"/>
      <c r="Z1" s="35"/>
    </row>
    <row r="2" spans="1:26">
      <c r="A2" s="46">
        <v>1</v>
      </c>
      <c r="B2" s="203" t="s">
        <v>1508</v>
      </c>
      <c r="C2" s="62" t="s">
        <v>1509</v>
      </c>
      <c r="D2" s="304" t="s">
        <v>1322</v>
      </c>
      <c r="E2" s="41" t="s">
        <v>553</v>
      </c>
      <c r="F2" s="11" t="s">
        <v>1510</v>
      </c>
      <c r="G2" s="41" t="s">
        <v>560</v>
      </c>
      <c r="H2" s="41" t="s">
        <v>556</v>
      </c>
      <c r="I2" s="41" t="s">
        <v>557</v>
      </c>
      <c r="J2" s="41" t="s">
        <v>737</v>
      </c>
      <c r="K2" s="41"/>
      <c r="L2" s="244"/>
      <c r="M2" s="244"/>
      <c r="N2" s="244"/>
      <c r="O2" s="244"/>
      <c r="P2" s="244"/>
      <c r="Q2" s="244"/>
      <c r="R2" s="244"/>
      <c r="S2" s="244"/>
      <c r="T2" s="244"/>
      <c r="U2" s="244"/>
      <c r="V2" s="244"/>
      <c r="W2" s="137"/>
      <c r="X2" s="137"/>
      <c r="Y2" s="137"/>
      <c r="Z2" s="137"/>
    </row>
    <row r="3" spans="1:26" ht="46.5">
      <c r="A3" s="62">
        <v>2</v>
      </c>
      <c r="B3" s="203" t="s">
        <v>1508</v>
      </c>
      <c r="C3" s="62" t="s">
        <v>1511</v>
      </c>
      <c r="D3" s="304" t="s">
        <v>1325</v>
      </c>
      <c r="E3" s="41" t="s">
        <v>553</v>
      </c>
      <c r="F3" s="316" t="s">
        <v>1512</v>
      </c>
      <c r="G3" s="41" t="s">
        <v>560</v>
      </c>
      <c r="H3" s="41" t="s">
        <v>556</v>
      </c>
      <c r="I3" s="41" t="s">
        <v>557</v>
      </c>
      <c r="J3" s="41" t="s">
        <v>737</v>
      </c>
      <c r="K3" s="11" t="s">
        <v>1513</v>
      </c>
      <c r="L3" s="137"/>
      <c r="M3" s="137"/>
      <c r="N3" s="137"/>
      <c r="O3" s="137"/>
      <c r="P3" s="137"/>
      <c r="Q3" s="137"/>
      <c r="R3" s="137"/>
      <c r="S3" s="137"/>
      <c r="T3" s="137"/>
      <c r="U3" s="137"/>
      <c r="V3" s="137"/>
      <c r="W3" s="137"/>
      <c r="X3" s="137"/>
      <c r="Y3" s="137"/>
      <c r="Z3" s="137"/>
    </row>
    <row r="4" spans="1:26" ht="78" customHeight="1">
      <c r="A4" s="61">
        <v>3</v>
      </c>
      <c r="B4" s="203" t="s">
        <v>1508</v>
      </c>
      <c r="C4" s="58" t="s">
        <v>1514</v>
      </c>
      <c r="D4" s="304" t="s">
        <v>1325</v>
      </c>
      <c r="E4" s="41" t="s">
        <v>553</v>
      </c>
      <c r="F4" s="216" t="s">
        <v>1515</v>
      </c>
      <c r="G4" s="19" t="s">
        <v>560</v>
      </c>
      <c r="H4" s="41" t="s">
        <v>556</v>
      </c>
      <c r="I4" s="41" t="s">
        <v>557</v>
      </c>
      <c r="J4" s="41" t="s">
        <v>737</v>
      </c>
      <c r="K4" s="18" t="s">
        <v>1516</v>
      </c>
    </row>
  </sheetData>
  <dataValidations count="4">
    <dataValidation type="list" allowBlank="1" showErrorMessage="1" sqref="H2:H4" xr:uid="{FE2AE036-6CAD-427F-B434-102541CE054B}">
      <formula1>"Internal,External"</formula1>
    </dataValidation>
    <dataValidation type="list" allowBlank="1" showErrorMessage="1" sqref="E2:E4" xr:uid="{688DCB0D-096D-477D-8201-E41CF2D45FF2}">
      <formula1>"Bounceback,Defect,None"</formula1>
    </dataValidation>
    <dataValidation type="list" allowBlank="1" showErrorMessage="1" sqref="I2:I4" xr:uid="{2B69D52B-2D00-44A8-9900-8AA09C20E4ED}">
      <formula1>"Open,Inprogress,Closed"</formula1>
    </dataValidation>
    <dataValidation type="list" allowBlank="1" showErrorMessage="1" sqref="G2:G4" xr:uid="{E1643651-65D1-42E9-821D-D965FB8BE577}">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FDC4944C-8A56-49DF-9812-D74FB77FCA40}">
          <x14:formula1>
            <xm:f>Details!$A$2:$A$10</xm:f>
          </x14:formula1>
          <xm:sqref>J2:J4</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B5FB6-15B5-4D0F-92D3-14312B6F45F1}">
  <dimension ref="A1:X962"/>
  <sheetViews>
    <sheetView topLeftCell="I2" workbookViewId="0">
      <selection activeCell="Q13" sqref="Q13"/>
    </sheetView>
  </sheetViews>
  <sheetFormatPr defaultRowHeight="12.75"/>
  <cols>
    <col min="1" max="1" width="8.28515625" style="181" customWidth="1"/>
    <col min="2" max="2" width="20.42578125" customWidth="1"/>
    <col min="3" max="3" width="20" style="47" customWidth="1"/>
    <col min="4" max="4" width="16.28515625" customWidth="1"/>
    <col min="5" max="5" width="39.28515625" customWidth="1"/>
    <col min="6" max="7" width="9.140625" style="53"/>
    <col min="8" max="8" width="10.28515625" customWidth="1"/>
    <col min="9" max="9" width="19.42578125" customWidth="1"/>
    <col min="10" max="10" width="30" customWidth="1"/>
    <col min="12" max="12" width="28" style="144" customWidth="1"/>
    <col min="13" max="13" width="22.7109375" customWidth="1"/>
    <col min="14" max="14" width="10.7109375" bestFit="1" customWidth="1"/>
    <col min="15" max="15" width="10.42578125" customWidth="1"/>
    <col min="17" max="17" width="31.7109375" customWidth="1"/>
    <col min="19" max="19" width="9.42578125" bestFit="1" customWidth="1"/>
    <col min="20" max="20" width="14.7109375" customWidth="1"/>
    <col min="21" max="21" width="15.28515625" customWidth="1"/>
    <col min="22" max="22" width="14.7109375" customWidth="1"/>
    <col min="23" max="23" width="11.5703125" style="137" customWidth="1"/>
    <col min="24" max="24" width="48.28515625" customWidth="1"/>
  </cols>
  <sheetData>
    <row r="1" spans="1:24" ht="14.25">
      <c r="A1" s="234"/>
      <c r="B1" s="59"/>
      <c r="C1" s="195"/>
      <c r="D1" s="195"/>
      <c r="E1" s="59"/>
      <c r="F1" s="346"/>
      <c r="G1" s="346"/>
      <c r="H1" s="243"/>
      <c r="I1" s="243"/>
      <c r="J1" s="243"/>
      <c r="K1" s="243"/>
      <c r="L1" s="243"/>
      <c r="M1" s="243"/>
      <c r="N1" s="243"/>
      <c r="O1" s="243"/>
      <c r="P1" s="243"/>
      <c r="Q1" s="243"/>
      <c r="R1" s="243"/>
      <c r="S1" s="243"/>
      <c r="T1" s="243"/>
      <c r="U1" s="243"/>
      <c r="V1" s="243"/>
      <c r="W1" s="347"/>
      <c r="X1" s="348"/>
    </row>
    <row r="2" spans="1:24" ht="46.5">
      <c r="A2" s="344" t="s">
        <v>248</v>
      </c>
      <c r="B2" s="1" t="s">
        <v>249</v>
      </c>
      <c r="C2" s="7" t="s">
        <v>250</v>
      </c>
      <c r="D2" s="235" t="s">
        <v>251</v>
      </c>
      <c r="E2" s="236" t="s">
        <v>252</v>
      </c>
      <c r="F2" s="237" t="s">
        <v>254</v>
      </c>
      <c r="G2" s="237" t="s">
        <v>255</v>
      </c>
      <c r="H2" s="238" t="s">
        <v>259</v>
      </c>
      <c r="I2" s="238" t="s">
        <v>260</v>
      </c>
      <c r="J2" s="238" t="s">
        <v>261</v>
      </c>
      <c r="K2" s="238" t="s">
        <v>262</v>
      </c>
      <c r="L2" s="238" t="s">
        <v>263</v>
      </c>
      <c r="M2" s="238" t="s">
        <v>264</v>
      </c>
      <c r="N2" s="238" t="s">
        <v>265</v>
      </c>
      <c r="O2" s="238" t="s">
        <v>266</v>
      </c>
      <c r="P2" s="238" t="s">
        <v>267</v>
      </c>
      <c r="Q2" s="238" t="s">
        <v>268</v>
      </c>
      <c r="R2" s="238" t="s">
        <v>269</v>
      </c>
      <c r="S2" s="238" t="s">
        <v>270</v>
      </c>
      <c r="T2" s="238" t="s">
        <v>268</v>
      </c>
      <c r="U2" s="238" t="s">
        <v>272</v>
      </c>
      <c r="V2" s="238" t="s">
        <v>273</v>
      </c>
      <c r="W2" s="239" t="s">
        <v>253</v>
      </c>
      <c r="X2" s="240" t="s">
        <v>274</v>
      </c>
    </row>
    <row r="3" spans="1:24" s="137" customFormat="1" ht="30.75" customHeight="1">
      <c r="A3" s="345">
        <v>1</v>
      </c>
      <c r="B3" s="278" t="s">
        <v>1517</v>
      </c>
      <c r="C3" s="46" t="s">
        <v>1386</v>
      </c>
      <c r="D3" s="62" t="s">
        <v>1518</v>
      </c>
      <c r="E3" s="299" t="s">
        <v>1471</v>
      </c>
      <c r="F3" s="17">
        <v>5</v>
      </c>
      <c r="G3" s="17"/>
      <c r="H3" s="83"/>
      <c r="I3" s="41"/>
      <c r="J3" s="316"/>
      <c r="K3" s="41"/>
      <c r="L3" s="316"/>
      <c r="M3" s="231"/>
      <c r="N3" s="232"/>
      <c r="O3" s="232"/>
      <c r="P3" s="41"/>
      <c r="Q3" s="282"/>
      <c r="R3" s="203"/>
      <c r="S3" s="206"/>
      <c r="T3" s="342"/>
      <c r="U3" s="282"/>
      <c r="V3" s="282"/>
      <c r="W3" s="352" t="s">
        <v>1519</v>
      </c>
      <c r="X3" s="216" t="s">
        <v>1520</v>
      </c>
    </row>
    <row r="4" spans="1:24" s="137" customFormat="1" ht="30" customHeight="1">
      <c r="A4" s="345">
        <v>2</v>
      </c>
      <c r="B4" s="278" t="s">
        <v>1517</v>
      </c>
      <c r="C4" s="46" t="s">
        <v>1521</v>
      </c>
      <c r="D4" s="62" t="s">
        <v>1522</v>
      </c>
      <c r="E4" s="299" t="s">
        <v>1523</v>
      </c>
      <c r="F4" s="17">
        <v>5</v>
      </c>
      <c r="G4" s="17">
        <v>5</v>
      </c>
      <c r="H4" s="77" t="s">
        <v>318</v>
      </c>
      <c r="I4" s="46" t="s">
        <v>1524</v>
      </c>
      <c r="J4" s="350" t="s">
        <v>1525</v>
      </c>
      <c r="K4" s="41" t="s">
        <v>1456</v>
      </c>
      <c r="L4" s="203" t="s">
        <v>1526</v>
      </c>
      <c r="M4" s="231" t="s">
        <v>1527</v>
      </c>
      <c r="N4" s="232">
        <v>45555</v>
      </c>
      <c r="O4" s="232">
        <v>45559</v>
      </c>
      <c r="P4" s="46" t="s">
        <v>1326</v>
      </c>
      <c r="Q4" s="343" t="s">
        <v>1528</v>
      </c>
      <c r="R4" s="203" t="s">
        <v>1529</v>
      </c>
      <c r="S4" s="232">
        <v>45559</v>
      </c>
      <c r="T4" s="282" t="s">
        <v>320</v>
      </c>
      <c r="U4" s="282" t="s">
        <v>320</v>
      </c>
      <c r="V4" s="282" t="s">
        <v>320</v>
      </c>
      <c r="W4" s="228" t="s">
        <v>13</v>
      </c>
      <c r="X4" s="216"/>
    </row>
    <row r="5" spans="1:24" ht="43.5" customHeight="1">
      <c r="A5" s="345">
        <v>4</v>
      </c>
      <c r="B5" s="334" t="s">
        <v>1517</v>
      </c>
      <c r="C5" s="270" t="s">
        <v>1530</v>
      </c>
      <c r="D5" s="257" t="s">
        <v>1531</v>
      </c>
      <c r="E5" s="331" t="s">
        <v>1532</v>
      </c>
      <c r="F5" s="310">
        <v>3</v>
      </c>
      <c r="G5" s="310">
        <v>5</v>
      </c>
      <c r="H5" s="355" t="s">
        <v>318</v>
      </c>
      <c r="I5" s="270" t="s">
        <v>1533</v>
      </c>
      <c r="J5" s="329" t="s">
        <v>1526</v>
      </c>
      <c r="K5" s="126" t="s">
        <v>1325</v>
      </c>
      <c r="L5" s="333" t="s">
        <v>1526</v>
      </c>
      <c r="M5" s="330" t="s">
        <v>1534</v>
      </c>
      <c r="N5" s="306">
        <v>45551</v>
      </c>
      <c r="O5" s="306">
        <v>45555</v>
      </c>
      <c r="P5" s="270" t="s">
        <v>1326</v>
      </c>
      <c r="Q5" s="354" t="s">
        <v>1535</v>
      </c>
      <c r="R5" s="229" t="s">
        <v>1529</v>
      </c>
      <c r="S5" s="306">
        <v>45555</v>
      </c>
      <c r="T5" s="315" t="s">
        <v>320</v>
      </c>
      <c r="U5" s="315" t="s">
        <v>320</v>
      </c>
      <c r="V5" s="315" t="s">
        <v>320</v>
      </c>
      <c r="W5" s="327" t="s">
        <v>13</v>
      </c>
      <c r="X5" s="218"/>
    </row>
    <row r="6" spans="1:24" ht="39.75" customHeight="1">
      <c r="A6" s="228">
        <v>5</v>
      </c>
      <c r="B6" s="17" t="s">
        <v>1517</v>
      </c>
      <c r="C6" s="46" t="s">
        <v>1035</v>
      </c>
      <c r="D6" s="62" t="s">
        <v>1536</v>
      </c>
      <c r="E6" s="225" t="s">
        <v>1537</v>
      </c>
      <c r="F6" s="17">
        <v>3</v>
      </c>
      <c r="G6" s="17">
        <v>3</v>
      </c>
      <c r="H6" s="77" t="s">
        <v>318</v>
      </c>
      <c r="I6" s="46" t="s">
        <v>1029</v>
      </c>
      <c r="J6" s="203" t="s">
        <v>1526</v>
      </c>
      <c r="K6" s="41" t="s">
        <v>595</v>
      </c>
      <c r="L6" s="216" t="s">
        <v>1538</v>
      </c>
      <c r="M6" s="231" t="s">
        <v>1539</v>
      </c>
      <c r="N6" s="232">
        <v>45553</v>
      </c>
      <c r="O6" s="232">
        <v>45555</v>
      </c>
      <c r="P6" s="41" t="s">
        <v>322</v>
      </c>
      <c r="Q6" s="203" t="s">
        <v>1526</v>
      </c>
      <c r="R6" s="203" t="s">
        <v>1529</v>
      </c>
      <c r="S6" s="206">
        <v>45555</v>
      </c>
      <c r="T6" s="203" t="s">
        <v>320</v>
      </c>
      <c r="U6" s="203" t="s">
        <v>320</v>
      </c>
      <c r="V6" s="203" t="s">
        <v>320</v>
      </c>
      <c r="W6" s="203" t="s">
        <v>13</v>
      </c>
      <c r="X6" s="58"/>
    </row>
    <row r="7" spans="1:24" ht="31.5" customHeight="1">
      <c r="A7" s="228">
        <v>6</v>
      </c>
      <c r="B7" s="18" t="s">
        <v>1517</v>
      </c>
      <c r="C7" s="12" t="s">
        <v>595</v>
      </c>
      <c r="D7" s="61" t="s">
        <v>1540</v>
      </c>
      <c r="E7" s="353" t="s">
        <v>1541</v>
      </c>
      <c r="F7" s="17">
        <v>1</v>
      </c>
      <c r="G7" s="17">
        <v>1</v>
      </c>
      <c r="H7" s="77" t="s">
        <v>318</v>
      </c>
      <c r="I7" s="46" t="s">
        <v>595</v>
      </c>
      <c r="J7" s="58"/>
      <c r="K7" s="19"/>
      <c r="L7" s="216"/>
      <c r="M7" s="39"/>
      <c r="N7" s="19"/>
      <c r="O7" s="19"/>
      <c r="P7" s="19"/>
      <c r="Q7" s="58"/>
      <c r="R7" s="58"/>
      <c r="S7" s="58"/>
      <c r="T7" s="58"/>
      <c r="U7" s="58"/>
      <c r="V7" s="58"/>
      <c r="W7" s="203" t="s">
        <v>13</v>
      </c>
      <c r="X7" s="216" t="s">
        <v>1542</v>
      </c>
    </row>
    <row r="8" spans="1:24" ht="30.75" customHeight="1">
      <c r="A8" s="228">
        <v>7</v>
      </c>
      <c r="B8" s="18" t="s">
        <v>1517</v>
      </c>
      <c r="C8" s="12" t="s">
        <v>595</v>
      </c>
      <c r="D8" s="61" t="s">
        <v>1543</v>
      </c>
      <c r="E8" s="225" t="s">
        <v>1544</v>
      </c>
      <c r="F8" s="17">
        <v>3</v>
      </c>
      <c r="G8" s="17">
        <v>3</v>
      </c>
      <c r="H8" s="77" t="s">
        <v>318</v>
      </c>
      <c r="I8" s="46" t="s">
        <v>1029</v>
      </c>
      <c r="J8" s="58" t="s">
        <v>1526</v>
      </c>
      <c r="K8" s="19" t="s">
        <v>322</v>
      </c>
      <c r="L8" s="216" t="s">
        <v>1526</v>
      </c>
      <c r="M8" s="231" t="s">
        <v>1545</v>
      </c>
      <c r="N8" s="254">
        <v>45559</v>
      </c>
      <c r="O8" s="254">
        <v>45559</v>
      </c>
      <c r="P8" s="19" t="s">
        <v>1326</v>
      </c>
      <c r="Q8" s="58" t="s">
        <v>1526</v>
      </c>
      <c r="R8" s="58" t="s">
        <v>1529</v>
      </c>
      <c r="S8" s="93">
        <v>45559</v>
      </c>
      <c r="T8" s="58" t="s">
        <v>320</v>
      </c>
      <c r="U8" s="58" t="s">
        <v>320</v>
      </c>
      <c r="V8" s="58" t="s">
        <v>320</v>
      </c>
      <c r="W8" s="203" t="s">
        <v>13</v>
      </c>
      <c r="X8" s="58"/>
    </row>
    <row r="9" spans="1:24">
      <c r="B9" s="28"/>
      <c r="C9" s="196"/>
      <c r="D9" s="47"/>
      <c r="E9" s="28"/>
      <c r="F9" s="215"/>
      <c r="G9" s="215"/>
      <c r="H9" s="2"/>
      <c r="I9" s="35"/>
      <c r="K9" s="35"/>
      <c r="M9" s="35"/>
      <c r="N9" s="35"/>
      <c r="O9" s="35"/>
      <c r="P9" s="35"/>
    </row>
    <row r="10" spans="1:24">
      <c r="B10" s="28"/>
      <c r="C10" s="196"/>
      <c r="D10" s="47"/>
      <c r="E10" s="28"/>
      <c r="F10" s="215"/>
      <c r="G10" s="215"/>
      <c r="H10" s="2"/>
      <c r="I10" s="35"/>
      <c r="K10" s="35"/>
      <c r="M10" s="35"/>
      <c r="N10" s="35"/>
      <c r="O10" s="35"/>
      <c r="P10" s="35"/>
    </row>
    <row r="11" spans="1:24">
      <c r="B11" s="28"/>
      <c r="C11" s="196"/>
      <c r="D11" s="47"/>
      <c r="E11" s="28"/>
      <c r="F11" s="215"/>
      <c r="G11" s="215"/>
      <c r="H11" s="2"/>
      <c r="I11" s="35"/>
      <c r="K11" s="35"/>
      <c r="M11" s="35"/>
      <c r="N11" s="35"/>
      <c r="O11" s="35"/>
      <c r="P11" s="35"/>
    </row>
    <row r="12" spans="1:24">
      <c r="B12" s="28"/>
      <c r="C12" s="196"/>
      <c r="D12" s="47"/>
      <c r="E12" s="28"/>
      <c r="F12" s="215"/>
      <c r="G12" s="215"/>
      <c r="H12" s="2"/>
      <c r="I12" s="35"/>
      <c r="K12" s="35"/>
      <c r="M12" s="35"/>
      <c r="N12" s="35"/>
      <c r="O12" s="35"/>
      <c r="P12" s="35"/>
    </row>
    <row r="13" spans="1:24">
      <c r="B13" s="28"/>
      <c r="C13" s="196"/>
      <c r="D13" s="47"/>
      <c r="E13" s="28"/>
      <c r="F13" s="215"/>
      <c r="G13" s="215"/>
      <c r="H13" s="2"/>
      <c r="I13" s="35"/>
      <c r="K13" s="35"/>
      <c r="M13" s="35"/>
      <c r="N13" s="35"/>
      <c r="O13" s="35"/>
      <c r="P13" s="35"/>
    </row>
    <row r="14" spans="1:24">
      <c r="B14" s="28"/>
      <c r="C14" s="196"/>
      <c r="D14" s="47"/>
      <c r="E14" s="28"/>
      <c r="F14" s="215"/>
      <c r="G14" s="215"/>
      <c r="H14" s="2"/>
      <c r="I14" s="35"/>
      <c r="K14" s="35"/>
      <c r="M14" s="35"/>
      <c r="N14" s="35"/>
      <c r="O14" s="35"/>
      <c r="P14" s="35"/>
    </row>
    <row r="15" spans="1:24">
      <c r="B15" s="28"/>
      <c r="C15" s="196"/>
      <c r="D15" s="47"/>
      <c r="E15" s="28"/>
      <c r="F15" s="215"/>
      <c r="G15" s="215"/>
      <c r="H15" s="2"/>
      <c r="I15" s="35"/>
      <c r="K15" s="35"/>
      <c r="M15" s="35"/>
      <c r="N15" s="35"/>
      <c r="O15" s="35"/>
      <c r="P15" s="35"/>
    </row>
    <row r="16" spans="1:24">
      <c r="B16" s="28"/>
      <c r="C16" s="196"/>
      <c r="D16" s="47"/>
      <c r="E16" s="28"/>
      <c r="F16" s="215"/>
      <c r="G16" s="215"/>
      <c r="H16" s="2"/>
      <c r="I16" s="35"/>
      <c r="K16" s="35"/>
      <c r="M16" s="35"/>
      <c r="N16" s="35"/>
      <c r="O16" s="35"/>
      <c r="P16" s="35"/>
    </row>
    <row r="17" spans="2:16">
      <c r="B17" s="28"/>
      <c r="C17" s="196"/>
      <c r="D17" s="47"/>
      <c r="E17" s="28"/>
      <c r="F17" s="215"/>
      <c r="G17" s="215"/>
      <c r="H17" s="2"/>
      <c r="I17" s="35"/>
      <c r="K17" s="35"/>
      <c r="M17" s="35"/>
      <c r="N17" s="35"/>
      <c r="O17" s="35"/>
      <c r="P17" s="35"/>
    </row>
    <row r="18" spans="2:16">
      <c r="B18" s="28"/>
      <c r="C18" s="196"/>
      <c r="D18" s="47"/>
      <c r="E18" s="28"/>
      <c r="F18" s="215"/>
      <c r="G18" s="215"/>
      <c r="H18" s="2"/>
      <c r="I18" s="35"/>
      <c r="K18" s="35"/>
      <c r="M18" s="35"/>
      <c r="N18" s="35"/>
      <c r="O18" s="35"/>
      <c r="P18" s="35"/>
    </row>
    <row r="19" spans="2:16">
      <c r="B19" s="28"/>
      <c r="C19" s="196"/>
      <c r="D19" s="47"/>
      <c r="E19" s="28"/>
      <c r="F19" s="215"/>
      <c r="G19" s="215"/>
      <c r="H19" s="2"/>
      <c r="I19" s="35"/>
      <c r="K19" s="35"/>
      <c r="M19" s="35"/>
      <c r="N19" s="35"/>
      <c r="O19" s="35"/>
      <c r="P19" s="35"/>
    </row>
    <row r="20" spans="2:16">
      <c r="B20" s="28"/>
      <c r="C20" s="196"/>
      <c r="D20" s="47"/>
      <c r="E20" s="28"/>
      <c r="F20" s="215"/>
      <c r="G20" s="215"/>
      <c r="H20" s="2"/>
      <c r="I20" s="35"/>
      <c r="K20" s="35"/>
      <c r="M20" s="35"/>
      <c r="N20" s="35"/>
      <c r="O20" s="35"/>
      <c r="P20" s="35"/>
    </row>
    <row r="21" spans="2:16">
      <c r="B21" s="28"/>
      <c r="C21" s="196"/>
      <c r="D21" s="47"/>
      <c r="E21" s="28"/>
      <c r="F21" s="215"/>
      <c r="G21" s="215"/>
      <c r="H21" s="2"/>
      <c r="I21" s="35"/>
      <c r="K21" s="35"/>
      <c r="M21" s="35"/>
      <c r="N21" s="35"/>
      <c r="O21" s="35"/>
      <c r="P21" s="35"/>
    </row>
    <row r="22" spans="2:16">
      <c r="B22" s="28"/>
      <c r="C22" s="196"/>
      <c r="D22" s="47"/>
      <c r="E22" s="28"/>
      <c r="F22" s="215"/>
      <c r="G22" s="215"/>
      <c r="H22" s="2"/>
      <c r="I22" s="35"/>
      <c r="K22" s="35"/>
      <c r="M22" s="35"/>
      <c r="N22" s="35"/>
      <c r="O22" s="35"/>
      <c r="P22" s="35"/>
    </row>
    <row r="23" spans="2:16">
      <c r="B23" s="28"/>
      <c r="C23" s="196"/>
      <c r="D23" s="47"/>
      <c r="E23" s="28"/>
      <c r="F23" s="215"/>
      <c r="G23" s="215"/>
      <c r="H23" s="2"/>
      <c r="I23" s="35"/>
      <c r="K23" s="35"/>
      <c r="M23" s="35"/>
      <c r="N23" s="35"/>
      <c r="O23" s="35"/>
      <c r="P23" s="35"/>
    </row>
    <row r="24" spans="2:16">
      <c r="B24" s="28"/>
      <c r="C24" s="196"/>
      <c r="D24" s="47"/>
      <c r="E24" s="28"/>
      <c r="F24" s="215"/>
      <c r="G24" s="215"/>
      <c r="H24" s="2"/>
      <c r="I24" s="35"/>
      <c r="K24" s="35"/>
      <c r="M24" s="35"/>
      <c r="N24" s="35"/>
      <c r="O24" s="35"/>
      <c r="P24" s="35"/>
    </row>
    <row r="25" spans="2:16">
      <c r="B25" s="28"/>
      <c r="C25" s="196"/>
      <c r="D25" s="47"/>
      <c r="E25" s="28"/>
      <c r="F25" s="215"/>
      <c r="G25" s="215"/>
      <c r="H25" s="2"/>
      <c r="I25" s="35"/>
      <c r="K25" s="35"/>
      <c r="M25" s="35"/>
      <c r="N25" s="35"/>
      <c r="O25" s="35"/>
      <c r="P25" s="35"/>
    </row>
    <row r="26" spans="2:16">
      <c r="B26" s="28"/>
      <c r="C26" s="196"/>
      <c r="D26" s="47"/>
      <c r="E26" s="28"/>
      <c r="F26" s="215"/>
      <c r="G26" s="215"/>
      <c r="H26" s="2"/>
      <c r="I26" s="35"/>
      <c r="K26" s="35"/>
      <c r="M26" s="35"/>
      <c r="N26" s="35"/>
      <c r="O26" s="35"/>
      <c r="P26" s="35"/>
    </row>
    <row r="27" spans="2:16">
      <c r="B27" s="28"/>
      <c r="C27" s="196"/>
      <c r="D27" s="47"/>
      <c r="E27" s="28"/>
      <c r="F27" s="215"/>
      <c r="G27" s="215"/>
      <c r="H27" s="2"/>
      <c r="I27" s="35"/>
      <c r="K27" s="35"/>
      <c r="M27" s="35"/>
      <c r="N27" s="35"/>
      <c r="O27" s="35"/>
      <c r="P27" s="35"/>
    </row>
    <row r="28" spans="2:16">
      <c r="B28" s="28"/>
      <c r="C28" s="196"/>
      <c r="D28" s="47"/>
      <c r="E28" s="28"/>
      <c r="F28" s="215"/>
      <c r="G28" s="215"/>
      <c r="H28" s="2"/>
      <c r="I28" s="35"/>
      <c r="K28" s="35"/>
      <c r="M28" s="35"/>
      <c r="N28" s="35"/>
      <c r="O28" s="35"/>
      <c r="P28" s="35"/>
    </row>
    <row r="29" spans="2:16">
      <c r="B29" s="28"/>
      <c r="C29" s="196"/>
      <c r="D29" s="47"/>
      <c r="E29" s="28"/>
      <c r="F29" s="215"/>
      <c r="G29" s="215"/>
      <c r="H29" s="2"/>
      <c r="I29" s="35"/>
      <c r="K29" s="35"/>
      <c r="M29" s="35"/>
      <c r="N29" s="35"/>
      <c r="O29" s="35"/>
      <c r="P29" s="35"/>
    </row>
    <row r="30" spans="2:16">
      <c r="B30" s="28"/>
      <c r="C30" s="196"/>
      <c r="D30" s="47"/>
      <c r="E30" s="28"/>
      <c r="F30" s="215"/>
      <c r="G30" s="215"/>
      <c r="H30" s="2"/>
      <c r="I30" s="35"/>
      <c r="K30" s="35"/>
      <c r="M30" s="35"/>
      <c r="N30" s="35"/>
      <c r="O30" s="35"/>
      <c r="P30" s="35"/>
    </row>
    <row r="31" spans="2:16">
      <c r="B31" s="28"/>
      <c r="C31" s="196"/>
      <c r="D31" s="47"/>
      <c r="E31" s="28"/>
      <c r="F31" s="215"/>
      <c r="G31" s="215"/>
      <c r="H31" s="2"/>
      <c r="I31" s="35"/>
      <c r="K31" s="35"/>
      <c r="M31" s="35"/>
      <c r="N31" s="35"/>
      <c r="O31" s="35"/>
      <c r="P31" s="35"/>
    </row>
    <row r="32" spans="2:16">
      <c r="B32" s="28"/>
      <c r="C32" s="196"/>
      <c r="D32" s="47"/>
      <c r="E32" s="28"/>
      <c r="F32" s="215"/>
      <c r="G32" s="215"/>
      <c r="H32" s="2"/>
      <c r="I32" s="35"/>
      <c r="K32" s="35"/>
      <c r="M32" s="35"/>
      <c r="N32" s="35"/>
      <c r="O32" s="35"/>
      <c r="P32" s="35"/>
    </row>
    <row r="33" spans="2:16">
      <c r="B33" s="28"/>
      <c r="C33" s="196"/>
      <c r="D33" s="47"/>
      <c r="E33" s="28"/>
      <c r="F33" s="215"/>
      <c r="G33" s="215"/>
      <c r="H33" s="2"/>
      <c r="I33" s="35"/>
      <c r="K33" s="35"/>
      <c r="M33" s="35"/>
      <c r="N33" s="35"/>
      <c r="O33" s="35"/>
      <c r="P33" s="35"/>
    </row>
    <row r="34" spans="2:16">
      <c r="B34" s="28"/>
      <c r="C34" s="196"/>
      <c r="D34" s="47"/>
      <c r="E34" s="28"/>
      <c r="F34" s="215"/>
      <c r="G34" s="215"/>
      <c r="H34" s="2"/>
      <c r="I34" s="35"/>
      <c r="K34" s="35"/>
      <c r="M34" s="35"/>
      <c r="N34" s="35"/>
      <c r="O34" s="35"/>
      <c r="P34" s="35"/>
    </row>
    <row r="35" spans="2:16">
      <c r="B35" s="28"/>
      <c r="C35" s="196"/>
      <c r="D35" s="47"/>
      <c r="E35" s="28"/>
      <c r="F35" s="215"/>
      <c r="G35" s="215"/>
      <c r="H35" s="2"/>
      <c r="I35" s="35"/>
      <c r="K35" s="35"/>
      <c r="M35" s="35"/>
      <c r="N35" s="35"/>
      <c r="O35" s="35"/>
      <c r="P35" s="35"/>
    </row>
    <row r="36" spans="2:16">
      <c r="B36" s="28"/>
      <c r="C36" s="196"/>
      <c r="D36" s="47"/>
      <c r="E36" s="28"/>
      <c r="F36" s="215"/>
      <c r="G36" s="215"/>
      <c r="H36" s="2"/>
      <c r="I36" s="35"/>
      <c r="K36" s="35"/>
      <c r="M36" s="35"/>
      <c r="N36" s="35"/>
      <c r="O36" s="35"/>
      <c r="P36" s="35"/>
    </row>
    <row r="37" spans="2:16">
      <c r="B37" s="28"/>
      <c r="C37" s="196"/>
      <c r="D37" s="47"/>
      <c r="E37" s="28"/>
      <c r="F37" s="215"/>
      <c r="G37" s="215"/>
      <c r="H37" s="2"/>
      <c r="I37" s="35"/>
      <c r="K37" s="35"/>
      <c r="M37" s="35"/>
      <c r="N37" s="35"/>
      <c r="O37" s="35"/>
      <c r="P37" s="35"/>
    </row>
    <row r="38" spans="2:16">
      <c r="B38" s="28"/>
      <c r="C38" s="196"/>
      <c r="D38" s="47"/>
      <c r="E38" s="28"/>
      <c r="F38" s="215"/>
      <c r="G38" s="215"/>
      <c r="H38" s="2"/>
      <c r="I38" s="35"/>
      <c r="K38" s="35"/>
      <c r="M38" s="35"/>
      <c r="N38" s="35"/>
      <c r="O38" s="35"/>
      <c r="P38" s="35"/>
    </row>
    <row r="39" spans="2:16">
      <c r="B39" s="28"/>
      <c r="C39" s="196"/>
      <c r="D39" s="47"/>
      <c r="E39" s="28"/>
      <c r="F39" s="215"/>
      <c r="G39" s="215"/>
      <c r="H39" s="2"/>
      <c r="I39" s="35"/>
      <c r="K39" s="35"/>
      <c r="M39" s="35"/>
      <c r="N39" s="35"/>
      <c r="O39" s="35"/>
      <c r="P39" s="35"/>
    </row>
    <row r="40" spans="2:16">
      <c r="B40" s="28"/>
      <c r="C40" s="196"/>
      <c r="D40" s="47"/>
      <c r="E40" s="28"/>
      <c r="F40" s="215"/>
      <c r="G40" s="215"/>
      <c r="H40" s="2"/>
      <c r="I40" s="35"/>
      <c r="K40" s="35"/>
      <c r="M40" s="35"/>
      <c r="N40" s="35"/>
      <c r="O40" s="35"/>
      <c r="P40" s="35"/>
    </row>
    <row r="41" spans="2:16">
      <c r="B41" s="28"/>
      <c r="C41" s="196"/>
      <c r="D41" s="47"/>
      <c r="E41" s="28"/>
      <c r="F41" s="215"/>
      <c r="G41" s="215"/>
      <c r="H41" s="2"/>
      <c r="I41" s="35"/>
      <c r="K41" s="35"/>
      <c r="M41" s="35"/>
      <c r="N41" s="35"/>
      <c r="O41" s="35"/>
      <c r="P41" s="35"/>
    </row>
    <row r="42" spans="2:16">
      <c r="B42" s="28"/>
      <c r="C42" s="196"/>
      <c r="D42" s="47"/>
      <c r="E42" s="28"/>
      <c r="F42" s="215"/>
      <c r="G42" s="215"/>
      <c r="H42" s="2"/>
      <c r="I42" s="35"/>
      <c r="K42" s="35"/>
      <c r="M42" s="35"/>
      <c r="N42" s="35"/>
      <c r="O42" s="35"/>
      <c r="P42" s="35"/>
    </row>
    <row r="43" spans="2:16">
      <c r="B43" s="28"/>
      <c r="C43" s="196"/>
      <c r="D43" s="47"/>
      <c r="E43" s="28"/>
      <c r="F43" s="215"/>
      <c r="G43" s="215"/>
      <c r="H43" s="2"/>
      <c r="I43" s="35"/>
      <c r="K43" s="35"/>
      <c r="M43" s="35"/>
      <c r="N43" s="35"/>
      <c r="O43" s="35"/>
      <c r="P43" s="35"/>
    </row>
    <row r="44" spans="2:16">
      <c r="B44" s="28"/>
      <c r="C44" s="196"/>
      <c r="D44" s="47"/>
      <c r="E44" s="28"/>
      <c r="F44" s="215"/>
      <c r="G44" s="215"/>
      <c r="H44" s="2"/>
      <c r="I44" s="35"/>
      <c r="K44" s="35"/>
      <c r="M44" s="35"/>
      <c r="N44" s="35"/>
      <c r="O44" s="35"/>
      <c r="P44" s="35"/>
    </row>
    <row r="45" spans="2:16">
      <c r="B45" s="28"/>
      <c r="C45" s="196"/>
      <c r="D45" s="47"/>
      <c r="E45" s="28"/>
      <c r="F45" s="215"/>
      <c r="G45" s="215"/>
      <c r="H45" s="2"/>
      <c r="I45" s="35"/>
      <c r="K45" s="35"/>
      <c r="M45" s="35"/>
      <c r="N45" s="35"/>
      <c r="O45" s="35"/>
      <c r="P45" s="35"/>
    </row>
    <row r="46" spans="2:16">
      <c r="B46" s="28"/>
      <c r="C46" s="196"/>
      <c r="D46" s="47"/>
      <c r="E46" s="28"/>
      <c r="F46" s="215"/>
      <c r="G46" s="215"/>
      <c r="H46" s="2"/>
      <c r="I46" s="35"/>
      <c r="K46" s="35"/>
      <c r="M46" s="35"/>
      <c r="N46" s="35"/>
      <c r="O46" s="35"/>
      <c r="P46" s="35"/>
    </row>
    <row r="47" spans="2:16">
      <c r="B47" s="28"/>
      <c r="C47" s="196"/>
      <c r="D47" s="47"/>
      <c r="E47" s="28"/>
      <c r="F47" s="215"/>
      <c r="G47" s="215"/>
      <c r="H47" s="2"/>
      <c r="I47" s="35"/>
      <c r="K47" s="35"/>
      <c r="M47" s="35"/>
      <c r="N47" s="35"/>
      <c r="O47" s="35"/>
      <c r="P47" s="35"/>
    </row>
    <row r="48" spans="2:16">
      <c r="B48" s="28"/>
      <c r="C48" s="196"/>
      <c r="D48" s="47"/>
      <c r="E48" s="28"/>
      <c r="F48" s="215"/>
      <c r="G48" s="215"/>
      <c r="H48" s="2"/>
      <c r="I48" s="35"/>
      <c r="K48" s="35"/>
      <c r="M48" s="35"/>
      <c r="N48" s="35"/>
      <c r="O48" s="35"/>
      <c r="P48" s="35"/>
    </row>
    <row r="49" spans="2:16">
      <c r="B49" s="28"/>
      <c r="C49" s="196"/>
      <c r="D49" s="47"/>
      <c r="E49" s="28"/>
      <c r="F49" s="215"/>
      <c r="G49" s="215"/>
      <c r="H49" s="2"/>
      <c r="I49" s="35"/>
      <c r="K49" s="35"/>
      <c r="M49" s="35"/>
      <c r="N49" s="35"/>
      <c r="O49" s="35"/>
      <c r="P49" s="35"/>
    </row>
    <row r="50" spans="2:16">
      <c r="B50" s="28"/>
      <c r="C50" s="196"/>
      <c r="D50" s="47"/>
      <c r="E50" s="28"/>
      <c r="F50" s="215"/>
      <c r="G50" s="215"/>
      <c r="H50" s="2"/>
      <c r="I50" s="35"/>
      <c r="K50" s="35"/>
      <c r="M50" s="35"/>
      <c r="N50" s="35"/>
      <c r="O50" s="35"/>
      <c r="P50" s="35"/>
    </row>
    <row r="51" spans="2:16">
      <c r="B51" s="28"/>
      <c r="C51" s="196"/>
      <c r="D51" s="47"/>
      <c r="E51" s="28"/>
      <c r="F51" s="215"/>
      <c r="G51" s="215"/>
      <c r="H51" s="2"/>
      <c r="I51" s="35"/>
      <c r="K51" s="35"/>
      <c r="M51" s="35"/>
      <c r="N51" s="35"/>
      <c r="O51" s="35"/>
      <c r="P51" s="35"/>
    </row>
    <row r="52" spans="2:16">
      <c r="B52" s="28"/>
      <c r="C52" s="196"/>
      <c r="D52" s="47"/>
      <c r="E52" s="28"/>
      <c r="F52" s="215"/>
      <c r="G52" s="215"/>
      <c r="H52" s="2"/>
      <c r="I52" s="35"/>
      <c r="K52" s="35"/>
      <c r="M52" s="35"/>
      <c r="N52" s="35"/>
      <c r="O52" s="35"/>
      <c r="P52" s="35"/>
    </row>
    <row r="53" spans="2:16">
      <c r="B53" s="28"/>
      <c r="C53" s="196"/>
      <c r="D53" s="47"/>
      <c r="E53" s="28"/>
      <c r="F53" s="215"/>
      <c r="G53" s="215"/>
      <c r="H53" s="2"/>
      <c r="I53" s="35"/>
      <c r="K53" s="35"/>
      <c r="M53" s="35"/>
      <c r="N53" s="35"/>
      <c r="O53" s="35"/>
      <c r="P53" s="35"/>
    </row>
    <row r="54" spans="2:16">
      <c r="B54" s="28"/>
      <c r="C54" s="196"/>
      <c r="D54" s="47"/>
      <c r="E54" s="28"/>
      <c r="F54" s="215"/>
      <c r="G54" s="215"/>
      <c r="H54" s="2"/>
      <c r="I54" s="35"/>
      <c r="K54" s="35"/>
      <c r="M54" s="35"/>
      <c r="N54" s="35"/>
      <c r="O54" s="35"/>
      <c r="P54" s="35"/>
    </row>
    <row r="55" spans="2:16">
      <c r="B55" s="28"/>
      <c r="C55" s="196"/>
      <c r="D55" s="47"/>
      <c r="E55" s="28"/>
      <c r="F55" s="215"/>
      <c r="G55" s="215"/>
      <c r="H55" s="2"/>
      <c r="I55" s="35"/>
      <c r="K55" s="35"/>
      <c r="M55" s="35"/>
      <c r="N55" s="35"/>
      <c r="O55" s="35"/>
      <c r="P55" s="35"/>
    </row>
    <row r="56" spans="2:16">
      <c r="B56" s="28"/>
      <c r="C56" s="196"/>
      <c r="D56" s="47"/>
      <c r="E56" s="28"/>
      <c r="F56" s="215"/>
      <c r="G56" s="215"/>
      <c r="H56" s="2"/>
      <c r="I56" s="35"/>
      <c r="K56" s="35"/>
      <c r="M56" s="35"/>
      <c r="N56" s="35"/>
      <c r="O56" s="35"/>
      <c r="P56" s="35"/>
    </row>
    <row r="57" spans="2:16">
      <c r="B57" s="28"/>
      <c r="C57" s="196"/>
      <c r="D57" s="47"/>
      <c r="E57" s="28"/>
      <c r="F57" s="215"/>
      <c r="G57" s="215"/>
      <c r="H57" s="2"/>
      <c r="I57" s="35"/>
      <c r="K57" s="35"/>
      <c r="M57" s="35"/>
      <c r="N57" s="35"/>
      <c r="O57" s="35"/>
      <c r="P57" s="35"/>
    </row>
    <row r="58" spans="2:16">
      <c r="B58" s="28"/>
      <c r="C58" s="196"/>
      <c r="D58" s="47"/>
      <c r="E58" s="28"/>
      <c r="F58" s="215"/>
      <c r="G58" s="215"/>
      <c r="H58" s="2"/>
      <c r="I58" s="35"/>
      <c r="K58" s="35"/>
      <c r="M58" s="35"/>
      <c r="N58" s="35"/>
      <c r="O58" s="35"/>
      <c r="P58" s="35"/>
    </row>
    <row r="59" spans="2:16">
      <c r="B59" s="28"/>
      <c r="C59" s="196"/>
      <c r="D59" s="47"/>
      <c r="E59" s="28"/>
      <c r="F59" s="215"/>
      <c r="G59" s="215"/>
      <c r="H59" s="2"/>
      <c r="I59" s="35"/>
      <c r="K59" s="35"/>
      <c r="M59" s="35"/>
      <c r="N59" s="35"/>
      <c r="O59" s="35"/>
      <c r="P59" s="35"/>
    </row>
    <row r="60" spans="2:16">
      <c r="B60" s="28"/>
      <c r="C60" s="196"/>
      <c r="D60" s="47"/>
      <c r="E60" s="28"/>
      <c r="F60" s="215"/>
      <c r="G60" s="215"/>
      <c r="H60" s="2"/>
      <c r="I60" s="35"/>
      <c r="K60" s="35"/>
      <c r="M60" s="35"/>
      <c r="N60" s="35"/>
      <c r="O60" s="35"/>
      <c r="P60" s="35"/>
    </row>
    <row r="61" spans="2:16">
      <c r="B61" s="28"/>
      <c r="C61" s="196"/>
      <c r="D61" s="47"/>
      <c r="E61" s="28"/>
      <c r="F61" s="215"/>
      <c r="G61" s="215"/>
      <c r="H61" s="2"/>
      <c r="I61" s="35"/>
      <c r="K61" s="35"/>
      <c r="M61" s="35"/>
      <c r="N61" s="35"/>
      <c r="O61" s="35"/>
      <c r="P61" s="35"/>
    </row>
    <row r="62" spans="2:16">
      <c r="B62" s="28"/>
      <c r="C62" s="196"/>
      <c r="D62" s="47"/>
      <c r="E62" s="28"/>
      <c r="F62" s="215"/>
      <c r="G62" s="215"/>
      <c r="H62" s="2"/>
      <c r="I62" s="35"/>
      <c r="K62" s="35"/>
      <c r="M62" s="35"/>
      <c r="N62" s="35"/>
      <c r="O62" s="35"/>
      <c r="P62" s="35"/>
    </row>
    <row r="63" spans="2:16">
      <c r="B63" s="28"/>
      <c r="C63" s="196"/>
      <c r="D63" s="47"/>
      <c r="E63" s="28"/>
      <c r="F63" s="215"/>
      <c r="G63" s="215"/>
      <c r="H63" s="2"/>
      <c r="I63" s="35"/>
      <c r="K63" s="35"/>
      <c r="M63" s="35"/>
      <c r="N63" s="35"/>
      <c r="O63" s="35"/>
      <c r="P63" s="35"/>
    </row>
    <row r="64" spans="2:16">
      <c r="B64" s="28"/>
      <c r="C64" s="196"/>
      <c r="D64" s="47"/>
      <c r="E64" s="28"/>
      <c r="F64" s="215"/>
      <c r="G64" s="215"/>
      <c r="H64" s="2"/>
      <c r="I64" s="35"/>
      <c r="K64" s="35"/>
      <c r="M64" s="35"/>
      <c r="N64" s="35"/>
      <c r="O64" s="35"/>
      <c r="P64" s="35"/>
    </row>
    <row r="65" spans="2:16">
      <c r="B65" s="28"/>
      <c r="C65" s="196"/>
      <c r="D65" s="47"/>
      <c r="E65" s="28"/>
      <c r="F65" s="215"/>
      <c r="G65" s="215"/>
      <c r="H65" s="2"/>
      <c r="I65" s="35"/>
      <c r="K65" s="35"/>
      <c r="M65" s="35"/>
      <c r="N65" s="35"/>
      <c r="O65" s="35"/>
      <c r="P65" s="35"/>
    </row>
    <row r="66" spans="2:16">
      <c r="B66" s="28"/>
      <c r="C66" s="196"/>
      <c r="D66" s="47"/>
      <c r="E66" s="28"/>
      <c r="F66" s="215"/>
      <c r="G66" s="215"/>
      <c r="H66" s="2"/>
      <c r="I66" s="35"/>
      <c r="K66" s="35"/>
      <c r="M66" s="35"/>
      <c r="N66" s="35"/>
      <c r="O66" s="35"/>
      <c r="P66" s="35"/>
    </row>
    <row r="67" spans="2:16">
      <c r="B67" s="28"/>
      <c r="C67" s="196"/>
      <c r="D67" s="47"/>
      <c r="E67" s="28"/>
      <c r="F67" s="215"/>
      <c r="G67" s="215"/>
      <c r="H67" s="2"/>
      <c r="I67" s="35"/>
      <c r="K67" s="35"/>
      <c r="M67" s="35"/>
      <c r="N67" s="35"/>
      <c r="O67" s="35"/>
      <c r="P67" s="35"/>
    </row>
    <row r="68" spans="2:16">
      <c r="B68" s="28"/>
      <c r="C68" s="196"/>
      <c r="D68" s="47"/>
      <c r="E68" s="28"/>
      <c r="F68" s="215"/>
      <c r="G68" s="215"/>
      <c r="H68" s="2"/>
      <c r="I68" s="35"/>
      <c r="K68" s="35"/>
      <c r="M68" s="35"/>
      <c r="N68" s="35"/>
      <c r="O68" s="35"/>
      <c r="P68" s="35"/>
    </row>
    <row r="69" spans="2:16">
      <c r="B69" s="28"/>
      <c r="C69" s="196"/>
      <c r="D69" s="47"/>
      <c r="E69" s="28"/>
      <c r="F69" s="215"/>
      <c r="G69" s="215"/>
      <c r="H69" s="2"/>
      <c r="I69" s="35"/>
      <c r="K69" s="35"/>
      <c r="M69" s="35"/>
      <c r="N69" s="35"/>
      <c r="O69" s="35"/>
      <c r="P69" s="35"/>
    </row>
    <row r="70" spans="2:16">
      <c r="B70" s="28"/>
      <c r="C70" s="196"/>
      <c r="D70" s="47"/>
      <c r="E70" s="28"/>
      <c r="F70" s="215"/>
      <c r="G70" s="215"/>
      <c r="H70" s="2"/>
      <c r="I70" s="35"/>
      <c r="K70" s="35"/>
      <c r="M70" s="35"/>
      <c r="N70" s="35"/>
      <c r="O70" s="35"/>
      <c r="P70" s="35"/>
    </row>
    <row r="71" spans="2:16">
      <c r="B71" s="28"/>
      <c r="C71" s="196"/>
      <c r="D71" s="47"/>
      <c r="E71" s="28"/>
      <c r="F71" s="215"/>
      <c r="G71" s="215"/>
      <c r="H71" s="2"/>
      <c r="I71" s="107"/>
      <c r="K71" s="35"/>
      <c r="M71" s="35"/>
      <c r="N71" s="35"/>
      <c r="O71" s="35"/>
      <c r="P71" s="35"/>
    </row>
    <row r="72" spans="2:16">
      <c r="B72" s="28"/>
      <c r="C72" s="196"/>
      <c r="D72" s="47"/>
      <c r="E72" s="28"/>
      <c r="F72" s="215"/>
      <c r="G72" s="215"/>
      <c r="H72" s="2"/>
      <c r="I72" s="19"/>
      <c r="K72" s="35"/>
      <c r="M72" s="35"/>
      <c r="N72" s="35"/>
      <c r="O72" s="35"/>
      <c r="P72" s="35"/>
    </row>
    <row r="73" spans="2:16">
      <c r="B73" s="28"/>
      <c r="C73" s="196"/>
      <c r="D73" s="47"/>
      <c r="E73" s="28"/>
      <c r="F73" s="215"/>
      <c r="G73" s="215"/>
      <c r="H73" s="2"/>
      <c r="I73" s="19"/>
      <c r="K73" s="35"/>
      <c r="M73" s="35"/>
      <c r="N73" s="35"/>
      <c r="O73" s="35"/>
      <c r="P73" s="35"/>
    </row>
    <row r="74" spans="2:16">
      <c r="B74" s="28"/>
      <c r="C74" s="196"/>
      <c r="D74" s="47"/>
      <c r="E74" s="28"/>
      <c r="F74" s="215"/>
      <c r="G74" s="215"/>
      <c r="H74" s="2"/>
      <c r="I74" s="19"/>
      <c r="K74" s="35"/>
      <c r="M74" s="35"/>
      <c r="N74" s="35"/>
      <c r="O74" s="35"/>
      <c r="P74" s="35"/>
    </row>
    <row r="75" spans="2:16">
      <c r="B75" s="28"/>
      <c r="C75" s="196"/>
      <c r="D75" s="47"/>
      <c r="E75" s="28"/>
      <c r="F75" s="215"/>
      <c r="G75" s="215"/>
      <c r="H75" s="2"/>
      <c r="I75" s="19"/>
      <c r="K75" s="35"/>
      <c r="M75" s="35"/>
      <c r="N75" s="35"/>
      <c r="O75" s="35"/>
      <c r="P75" s="35"/>
    </row>
    <row r="76" spans="2:16">
      <c r="B76" s="28"/>
      <c r="C76" s="196"/>
      <c r="D76" s="47"/>
      <c r="E76" s="28"/>
      <c r="F76" s="215"/>
      <c r="G76" s="215"/>
      <c r="H76" s="2"/>
      <c r="I76" s="19"/>
      <c r="K76" s="35"/>
      <c r="M76" s="35"/>
      <c r="N76" s="35"/>
      <c r="O76" s="35"/>
      <c r="P76" s="35"/>
    </row>
    <row r="77" spans="2:16">
      <c r="B77" s="28"/>
      <c r="C77" s="196"/>
      <c r="D77" s="47"/>
      <c r="E77" s="28"/>
      <c r="F77" s="215"/>
      <c r="G77" s="215"/>
      <c r="H77" s="2"/>
      <c r="I77" s="19"/>
      <c r="K77" s="35"/>
      <c r="M77" s="35"/>
      <c r="N77" s="35"/>
      <c r="O77" s="35"/>
      <c r="P77" s="35"/>
    </row>
    <row r="78" spans="2:16">
      <c r="B78" s="28"/>
      <c r="C78" s="196"/>
      <c r="D78" s="47"/>
      <c r="E78" s="28"/>
      <c r="F78" s="215"/>
      <c r="G78" s="215"/>
      <c r="H78" s="2"/>
      <c r="I78" s="19"/>
      <c r="K78" s="35"/>
      <c r="M78" s="35"/>
      <c r="N78" s="35"/>
      <c r="O78" s="35"/>
      <c r="P78" s="35"/>
    </row>
    <row r="79" spans="2:16">
      <c r="B79" s="28"/>
      <c r="C79" s="196"/>
      <c r="D79" s="47"/>
      <c r="E79" s="28"/>
      <c r="F79" s="215"/>
      <c r="G79" s="215"/>
      <c r="H79" s="2"/>
      <c r="I79" s="19"/>
      <c r="K79" s="35"/>
      <c r="M79" s="35"/>
      <c r="N79" s="35"/>
      <c r="O79" s="35"/>
      <c r="P79" s="35"/>
    </row>
    <row r="80" spans="2:16">
      <c r="B80" s="28"/>
      <c r="C80" s="196"/>
      <c r="D80" s="47"/>
      <c r="E80" s="28"/>
      <c r="F80" s="215"/>
      <c r="G80" s="215"/>
      <c r="H80" s="2"/>
      <c r="I80" s="19"/>
      <c r="K80" s="35"/>
      <c r="M80" s="35"/>
      <c r="N80" s="35"/>
      <c r="O80" s="35"/>
      <c r="P80" s="35"/>
    </row>
    <row r="81" spans="2:16">
      <c r="B81" s="28"/>
      <c r="C81" s="196"/>
      <c r="D81" s="47"/>
      <c r="E81" s="28"/>
      <c r="F81" s="215"/>
      <c r="G81" s="215"/>
      <c r="H81" s="2"/>
      <c r="I81" s="19"/>
      <c r="K81" s="35"/>
      <c r="M81" s="35"/>
      <c r="N81" s="35"/>
      <c r="O81" s="35"/>
      <c r="P81" s="35"/>
    </row>
    <row r="82" spans="2:16">
      <c r="B82" s="28"/>
      <c r="C82" s="196"/>
      <c r="D82" s="47"/>
      <c r="E82" s="28"/>
      <c r="F82" s="215"/>
      <c r="G82" s="215"/>
      <c r="H82" s="2"/>
      <c r="I82" s="19"/>
      <c r="K82" s="35"/>
      <c r="M82" s="35"/>
      <c r="N82" s="35"/>
      <c r="O82" s="35"/>
      <c r="P82" s="35"/>
    </row>
    <row r="83" spans="2:16">
      <c r="B83" s="28"/>
      <c r="C83" s="196"/>
      <c r="D83" s="47"/>
      <c r="E83" s="28"/>
      <c r="F83" s="215"/>
      <c r="G83" s="215"/>
      <c r="H83" s="2"/>
      <c r="I83" s="19"/>
      <c r="K83" s="35"/>
      <c r="M83" s="35"/>
      <c r="N83" s="35"/>
      <c r="O83" s="35"/>
      <c r="P83" s="35"/>
    </row>
    <row r="84" spans="2:16">
      <c r="B84" s="28"/>
      <c r="C84" s="196"/>
      <c r="D84" s="47"/>
      <c r="E84" s="28"/>
      <c r="F84" s="215"/>
      <c r="G84" s="215"/>
      <c r="H84" s="2"/>
      <c r="I84" s="19"/>
      <c r="K84" s="35"/>
      <c r="M84" s="35"/>
      <c r="N84" s="35"/>
      <c r="O84" s="35"/>
      <c r="P84" s="35"/>
    </row>
    <row r="85" spans="2:16">
      <c r="B85" s="28"/>
      <c r="C85" s="196"/>
      <c r="D85" s="47"/>
      <c r="E85" s="28"/>
      <c r="F85" s="215"/>
      <c r="G85" s="215"/>
      <c r="H85" s="2"/>
      <c r="I85" s="19"/>
      <c r="K85" s="35"/>
      <c r="M85" s="35"/>
      <c r="N85" s="35"/>
      <c r="O85" s="35"/>
      <c r="P85" s="35"/>
    </row>
    <row r="86" spans="2:16">
      <c r="B86" s="28"/>
      <c r="C86" s="196"/>
      <c r="D86" s="47"/>
      <c r="E86" s="28"/>
      <c r="F86" s="215"/>
      <c r="G86" s="215"/>
      <c r="H86" s="2"/>
      <c r="I86" s="19"/>
      <c r="K86" s="35"/>
      <c r="M86" s="35"/>
      <c r="N86" s="35"/>
      <c r="O86" s="35"/>
      <c r="P86" s="35"/>
    </row>
    <row r="87" spans="2:16">
      <c r="B87" s="28"/>
      <c r="C87" s="196"/>
      <c r="D87" s="47"/>
      <c r="E87" s="28"/>
      <c r="F87" s="215"/>
      <c r="G87" s="215"/>
      <c r="H87" s="2"/>
      <c r="I87" s="19"/>
      <c r="K87" s="35"/>
      <c r="M87" s="35"/>
      <c r="N87" s="35"/>
      <c r="O87" s="35"/>
      <c r="P87" s="35"/>
    </row>
    <row r="88" spans="2:16">
      <c r="B88" s="28"/>
      <c r="C88" s="196"/>
      <c r="D88" s="47"/>
      <c r="E88" s="28"/>
      <c r="F88" s="215"/>
      <c r="G88" s="215"/>
      <c r="H88" s="2"/>
      <c r="I88" s="19"/>
      <c r="K88" s="35"/>
      <c r="M88" s="35"/>
      <c r="N88" s="35"/>
      <c r="O88" s="35"/>
      <c r="P88" s="35"/>
    </row>
    <row r="89" spans="2:16">
      <c r="B89" s="28"/>
      <c r="C89" s="196"/>
      <c r="D89" s="47"/>
      <c r="E89" s="28"/>
      <c r="F89" s="215"/>
      <c r="G89" s="215"/>
      <c r="H89" s="2"/>
      <c r="I89" s="19"/>
      <c r="K89" s="35"/>
      <c r="M89" s="35"/>
      <c r="N89" s="35"/>
      <c r="O89" s="35"/>
      <c r="P89" s="35"/>
    </row>
    <row r="90" spans="2:16">
      <c r="B90" s="28"/>
      <c r="C90" s="196"/>
      <c r="D90" s="47"/>
      <c r="E90" s="28"/>
      <c r="F90" s="215"/>
      <c r="G90" s="215"/>
      <c r="H90" s="2"/>
      <c r="I90" s="19"/>
      <c r="K90" s="35"/>
      <c r="M90" s="35"/>
      <c r="N90" s="35"/>
      <c r="O90" s="35"/>
      <c r="P90" s="35"/>
    </row>
    <row r="91" spans="2:16">
      <c r="B91" s="28"/>
      <c r="C91" s="196"/>
      <c r="D91" s="47"/>
      <c r="E91" s="28"/>
      <c r="F91" s="215"/>
      <c r="G91" s="215"/>
      <c r="H91" s="2"/>
      <c r="I91" s="19"/>
      <c r="K91" s="35"/>
      <c r="M91" s="35"/>
      <c r="N91" s="35"/>
      <c r="O91" s="35"/>
      <c r="P91" s="35"/>
    </row>
    <row r="92" spans="2:16">
      <c r="B92" s="28"/>
      <c r="C92" s="196"/>
      <c r="D92" s="47"/>
      <c r="E92" s="28"/>
      <c r="F92" s="215"/>
      <c r="G92" s="215"/>
      <c r="H92" s="2"/>
      <c r="I92" s="19"/>
      <c r="K92" s="35"/>
      <c r="M92" s="35"/>
      <c r="N92" s="35"/>
      <c r="O92" s="35"/>
      <c r="P92" s="35"/>
    </row>
    <row r="93" spans="2:16">
      <c r="B93" s="28"/>
      <c r="C93" s="196"/>
      <c r="D93" s="47"/>
      <c r="E93" s="28"/>
      <c r="F93" s="215"/>
      <c r="G93" s="215"/>
      <c r="H93" s="2"/>
      <c r="I93" s="19"/>
      <c r="K93" s="35"/>
      <c r="M93" s="35"/>
      <c r="N93" s="35"/>
      <c r="O93" s="35"/>
      <c r="P93" s="35"/>
    </row>
    <row r="94" spans="2:16">
      <c r="B94" s="28"/>
      <c r="C94" s="196"/>
      <c r="D94" s="47"/>
      <c r="E94" s="28"/>
      <c r="F94" s="215"/>
      <c r="G94" s="215"/>
      <c r="H94" s="2"/>
      <c r="I94" s="19"/>
      <c r="K94" s="35"/>
      <c r="M94" s="35"/>
      <c r="N94" s="35"/>
      <c r="O94" s="35"/>
      <c r="P94" s="35"/>
    </row>
    <row r="95" spans="2:16">
      <c r="B95" s="28"/>
      <c r="C95" s="196"/>
      <c r="D95" s="47"/>
      <c r="E95" s="28"/>
      <c r="F95" s="215"/>
      <c r="G95" s="215"/>
      <c r="H95" s="2"/>
      <c r="I95" s="19"/>
      <c r="K95" s="35"/>
      <c r="M95" s="35"/>
      <c r="N95" s="35"/>
      <c r="O95" s="35"/>
      <c r="P95" s="35"/>
    </row>
    <row r="96" spans="2:16">
      <c r="B96" s="28"/>
      <c r="C96" s="196"/>
      <c r="D96" s="47"/>
      <c r="E96" s="28"/>
      <c r="F96" s="215"/>
      <c r="G96" s="215"/>
      <c r="H96" s="2"/>
      <c r="I96" s="19"/>
      <c r="K96" s="35"/>
      <c r="M96" s="35"/>
      <c r="N96" s="35"/>
      <c r="O96" s="35"/>
      <c r="P96" s="35"/>
    </row>
    <row r="97" spans="2:16">
      <c r="B97" s="28"/>
      <c r="C97" s="196"/>
      <c r="D97" s="47"/>
      <c r="E97" s="28"/>
      <c r="F97" s="215"/>
      <c r="G97" s="215"/>
      <c r="H97" s="2"/>
      <c r="I97" s="19"/>
      <c r="K97" s="35"/>
      <c r="M97" s="35"/>
      <c r="N97" s="35"/>
      <c r="O97" s="35"/>
      <c r="P97" s="35"/>
    </row>
    <row r="98" spans="2:16">
      <c r="B98" s="28"/>
      <c r="C98" s="196"/>
      <c r="D98" s="47"/>
      <c r="E98" s="28"/>
      <c r="F98" s="215"/>
      <c r="G98" s="215"/>
      <c r="H98" s="2"/>
      <c r="I98" s="19"/>
      <c r="K98" s="35"/>
      <c r="M98" s="35"/>
      <c r="N98" s="35"/>
      <c r="O98" s="35"/>
      <c r="P98" s="35"/>
    </row>
    <row r="99" spans="2:16">
      <c r="B99" s="28"/>
      <c r="C99" s="196"/>
      <c r="D99" s="47"/>
      <c r="E99" s="28"/>
      <c r="F99" s="215"/>
      <c r="G99" s="215"/>
      <c r="H99" s="2"/>
      <c r="I99" s="19"/>
      <c r="K99" s="35"/>
      <c r="M99" s="35"/>
      <c r="N99" s="35"/>
      <c r="O99" s="35"/>
      <c r="P99" s="35"/>
    </row>
    <row r="100" spans="2:16">
      <c r="B100" s="28"/>
      <c r="C100" s="196"/>
      <c r="D100" s="47"/>
      <c r="E100" s="28"/>
      <c r="F100" s="215"/>
      <c r="G100" s="215"/>
      <c r="H100" s="2"/>
      <c r="I100" s="19"/>
      <c r="K100" s="35"/>
      <c r="M100" s="35"/>
      <c r="N100" s="35"/>
      <c r="O100" s="35"/>
      <c r="P100" s="35"/>
    </row>
    <row r="101" spans="2:16">
      <c r="B101" s="28"/>
      <c r="C101" s="196"/>
      <c r="D101" s="47"/>
      <c r="E101" s="28"/>
      <c r="F101" s="215"/>
      <c r="G101" s="215"/>
      <c r="H101" s="2"/>
      <c r="I101" s="19"/>
      <c r="K101" s="35"/>
      <c r="M101" s="35"/>
      <c r="N101" s="35"/>
      <c r="O101" s="35"/>
      <c r="P101" s="35"/>
    </row>
    <row r="102" spans="2:16">
      <c r="B102" s="28"/>
      <c r="C102" s="196"/>
      <c r="D102" s="47"/>
      <c r="E102" s="28"/>
      <c r="F102" s="215"/>
      <c r="G102" s="215"/>
      <c r="H102" s="2"/>
      <c r="I102" s="19"/>
      <c r="K102" s="35"/>
      <c r="M102" s="35"/>
      <c r="N102" s="35"/>
      <c r="O102" s="35"/>
      <c r="P102" s="35"/>
    </row>
    <row r="103" spans="2:16">
      <c r="B103" s="28"/>
      <c r="C103" s="196"/>
      <c r="D103" s="47"/>
      <c r="E103" s="28"/>
      <c r="F103" s="215"/>
      <c r="G103" s="215"/>
      <c r="H103" s="2"/>
      <c r="I103" s="19"/>
      <c r="K103" s="35"/>
      <c r="M103" s="35"/>
      <c r="N103" s="35"/>
      <c r="O103" s="35"/>
      <c r="P103" s="35"/>
    </row>
    <row r="104" spans="2:16">
      <c r="B104" s="28"/>
      <c r="C104" s="196"/>
      <c r="D104" s="47"/>
      <c r="E104" s="28"/>
      <c r="F104" s="215"/>
      <c r="G104" s="215"/>
      <c r="H104" s="2"/>
      <c r="I104" s="19"/>
      <c r="K104" s="35"/>
      <c r="M104" s="35"/>
      <c r="N104" s="35"/>
      <c r="O104" s="35"/>
      <c r="P104" s="35"/>
    </row>
    <row r="105" spans="2:16">
      <c r="B105" s="28"/>
      <c r="C105" s="196"/>
      <c r="D105" s="47"/>
      <c r="E105" s="28"/>
      <c r="F105" s="215"/>
      <c r="G105" s="215"/>
      <c r="H105" s="2"/>
      <c r="I105" s="19"/>
      <c r="K105" s="35"/>
      <c r="M105" s="35"/>
      <c r="N105" s="35"/>
      <c r="O105" s="35"/>
      <c r="P105" s="35"/>
    </row>
    <row r="106" spans="2:16">
      <c r="B106" s="28"/>
      <c r="C106" s="196"/>
      <c r="D106" s="47"/>
      <c r="E106" s="28"/>
      <c r="F106" s="215"/>
      <c r="G106" s="215"/>
      <c r="H106" s="2"/>
      <c r="I106" s="19"/>
      <c r="K106" s="35"/>
      <c r="M106" s="35"/>
      <c r="N106" s="35"/>
      <c r="O106" s="35"/>
      <c r="P106" s="35"/>
    </row>
    <row r="107" spans="2:16">
      <c r="B107" s="28"/>
      <c r="C107" s="196"/>
      <c r="D107" s="47"/>
      <c r="E107" s="28"/>
      <c r="F107" s="215"/>
      <c r="G107" s="215"/>
      <c r="H107" s="2"/>
      <c r="I107" s="19"/>
      <c r="K107" s="35"/>
      <c r="M107" s="35"/>
      <c r="N107" s="35"/>
      <c r="O107" s="35"/>
      <c r="P107" s="35"/>
    </row>
    <row r="108" spans="2:16">
      <c r="B108" s="28"/>
      <c r="C108" s="196"/>
      <c r="D108" s="47"/>
      <c r="E108" s="28"/>
      <c r="F108" s="215"/>
      <c r="G108" s="215"/>
      <c r="H108" s="2"/>
      <c r="I108" s="19"/>
      <c r="K108" s="35"/>
      <c r="M108" s="35"/>
      <c r="N108" s="35"/>
      <c r="O108" s="35"/>
      <c r="P108" s="35"/>
    </row>
    <row r="109" spans="2:16">
      <c r="B109" s="28"/>
      <c r="C109" s="196"/>
      <c r="D109" s="47"/>
      <c r="E109" s="28"/>
      <c r="F109" s="215"/>
      <c r="G109" s="215"/>
      <c r="H109" s="2"/>
      <c r="I109" s="19"/>
      <c r="K109" s="35"/>
      <c r="M109" s="35"/>
      <c r="N109" s="35"/>
      <c r="O109" s="35"/>
      <c r="P109" s="35"/>
    </row>
    <row r="110" spans="2:16">
      <c r="B110" s="28"/>
      <c r="C110" s="196"/>
      <c r="D110" s="47"/>
      <c r="E110" s="28"/>
      <c r="F110" s="215"/>
      <c r="G110" s="215"/>
      <c r="H110" s="2"/>
      <c r="I110" s="19"/>
      <c r="K110" s="35"/>
      <c r="M110" s="35"/>
      <c r="N110" s="35"/>
      <c r="O110" s="35"/>
      <c r="P110" s="35"/>
    </row>
    <row r="111" spans="2:16">
      <c r="B111" s="28"/>
      <c r="C111" s="196"/>
      <c r="D111" s="47"/>
      <c r="E111" s="28"/>
      <c r="F111" s="215"/>
      <c r="G111" s="215"/>
      <c r="H111" s="2"/>
      <c r="I111" s="19"/>
      <c r="K111" s="35"/>
      <c r="M111" s="35"/>
      <c r="N111" s="35"/>
      <c r="O111" s="35"/>
      <c r="P111" s="35"/>
    </row>
    <row r="112" spans="2:16">
      <c r="B112" s="28"/>
      <c r="C112" s="196"/>
      <c r="D112" s="47"/>
      <c r="E112" s="28"/>
      <c r="F112" s="215"/>
      <c r="G112" s="215"/>
      <c r="H112" s="2"/>
      <c r="I112" s="19"/>
      <c r="K112" s="35"/>
      <c r="M112" s="35"/>
      <c r="N112" s="35"/>
      <c r="O112" s="35"/>
      <c r="P112" s="35"/>
    </row>
    <row r="113" spans="2:16">
      <c r="B113" s="28"/>
      <c r="C113" s="196"/>
      <c r="D113" s="47"/>
      <c r="E113" s="28"/>
      <c r="F113" s="215"/>
      <c r="G113" s="215"/>
      <c r="H113" s="2"/>
      <c r="I113" s="19"/>
      <c r="K113" s="35"/>
      <c r="M113" s="35"/>
      <c r="N113" s="35"/>
      <c r="O113" s="35"/>
      <c r="P113" s="35"/>
    </row>
    <row r="114" spans="2:16">
      <c r="B114" s="28"/>
      <c r="C114" s="196"/>
      <c r="D114" s="47"/>
      <c r="E114" s="28"/>
      <c r="F114" s="215"/>
      <c r="G114" s="215"/>
      <c r="H114" s="2"/>
      <c r="I114" s="19"/>
      <c r="K114" s="35"/>
      <c r="M114" s="35"/>
      <c r="N114" s="35"/>
      <c r="O114" s="35"/>
      <c r="P114" s="35"/>
    </row>
    <row r="115" spans="2:16">
      <c r="B115" s="28"/>
      <c r="C115" s="196"/>
      <c r="D115" s="47"/>
      <c r="E115" s="28"/>
      <c r="F115" s="215"/>
      <c r="G115" s="215"/>
      <c r="H115" s="2"/>
      <c r="I115" s="19"/>
      <c r="K115" s="35"/>
      <c r="M115" s="35"/>
      <c r="N115" s="35"/>
      <c r="O115" s="35"/>
      <c r="P115" s="35"/>
    </row>
    <row r="116" spans="2:16">
      <c r="B116" s="28"/>
      <c r="C116" s="196"/>
      <c r="D116" s="47"/>
      <c r="E116" s="28"/>
      <c r="F116" s="215"/>
      <c r="G116" s="215"/>
      <c r="H116" s="2"/>
      <c r="I116" s="19"/>
      <c r="K116" s="35"/>
      <c r="M116" s="35"/>
      <c r="N116" s="35"/>
      <c r="O116" s="35"/>
      <c r="P116" s="35"/>
    </row>
    <row r="117" spans="2:16">
      <c r="B117" s="28"/>
      <c r="C117" s="196"/>
      <c r="D117" s="47"/>
      <c r="E117" s="28"/>
      <c r="F117" s="215"/>
      <c r="G117" s="215"/>
      <c r="H117" s="2"/>
      <c r="I117" s="19"/>
      <c r="K117" s="35"/>
      <c r="M117" s="35"/>
      <c r="N117" s="35"/>
      <c r="O117" s="35"/>
      <c r="P117" s="35"/>
    </row>
    <row r="118" spans="2:16">
      <c r="B118" s="28"/>
      <c r="C118" s="196"/>
      <c r="D118" s="47"/>
      <c r="E118" s="28"/>
      <c r="F118" s="215"/>
      <c r="G118" s="215"/>
      <c r="H118" s="2"/>
      <c r="I118" s="19"/>
      <c r="K118" s="35"/>
      <c r="M118" s="35"/>
      <c r="N118" s="35"/>
      <c r="O118" s="35"/>
      <c r="P118" s="35"/>
    </row>
    <row r="119" spans="2:16">
      <c r="B119" s="28"/>
      <c r="C119" s="196"/>
      <c r="D119" s="47"/>
      <c r="E119" s="28"/>
      <c r="F119" s="215"/>
      <c r="G119" s="215"/>
      <c r="H119" s="2"/>
      <c r="I119" s="19"/>
      <c r="K119" s="35"/>
      <c r="M119" s="35"/>
      <c r="N119" s="35"/>
      <c r="O119" s="35"/>
      <c r="P119" s="35"/>
    </row>
    <row r="120" spans="2:16">
      <c r="B120" s="28"/>
      <c r="C120" s="196"/>
      <c r="D120" s="47"/>
      <c r="E120" s="28"/>
      <c r="F120" s="215"/>
      <c r="G120" s="215"/>
      <c r="H120" s="2"/>
      <c r="I120" s="19"/>
      <c r="K120" s="35"/>
      <c r="M120" s="35"/>
      <c r="N120" s="35"/>
      <c r="O120" s="35"/>
      <c r="P120" s="35"/>
    </row>
    <row r="121" spans="2:16">
      <c r="B121" s="28"/>
      <c r="C121" s="196"/>
      <c r="D121" s="47"/>
      <c r="E121" s="28"/>
      <c r="F121" s="215"/>
      <c r="G121" s="215"/>
      <c r="H121" s="2"/>
      <c r="I121" s="19"/>
      <c r="K121" s="35"/>
      <c r="M121" s="35"/>
      <c r="N121" s="35"/>
      <c r="O121" s="35"/>
      <c r="P121" s="35"/>
    </row>
    <row r="122" spans="2:16">
      <c r="B122" s="28"/>
      <c r="C122" s="196"/>
      <c r="D122" s="47"/>
      <c r="E122" s="28"/>
      <c r="F122" s="215"/>
      <c r="G122" s="215"/>
      <c r="H122" s="2"/>
      <c r="I122" s="19"/>
      <c r="K122" s="35"/>
      <c r="M122" s="35"/>
      <c r="N122" s="35"/>
      <c r="O122" s="35"/>
      <c r="P122" s="35"/>
    </row>
    <row r="123" spans="2:16">
      <c r="B123" s="28"/>
      <c r="C123" s="196"/>
      <c r="D123" s="47"/>
      <c r="E123" s="28"/>
      <c r="F123" s="215"/>
      <c r="G123" s="215"/>
      <c r="H123" s="2"/>
      <c r="I123" s="19"/>
      <c r="K123" s="35"/>
      <c r="M123" s="35"/>
      <c r="N123" s="35"/>
      <c r="O123" s="35"/>
      <c r="P123" s="35"/>
    </row>
    <row r="124" spans="2:16">
      <c r="B124" s="28"/>
      <c r="C124" s="196"/>
      <c r="D124" s="47"/>
      <c r="E124" s="28"/>
      <c r="F124" s="215"/>
      <c r="G124" s="215"/>
      <c r="H124" s="2"/>
      <c r="I124" s="19"/>
      <c r="K124" s="35"/>
      <c r="M124" s="35"/>
      <c r="N124" s="35"/>
      <c r="O124" s="35"/>
      <c r="P124" s="35"/>
    </row>
    <row r="125" spans="2:16">
      <c r="B125" s="28"/>
      <c r="C125" s="196"/>
      <c r="D125" s="47"/>
      <c r="E125" s="28"/>
      <c r="F125" s="215"/>
      <c r="G125" s="215"/>
      <c r="H125" s="2"/>
      <c r="I125" s="19"/>
      <c r="K125" s="35"/>
      <c r="M125" s="35"/>
      <c r="N125" s="35"/>
      <c r="O125" s="35"/>
      <c r="P125" s="35"/>
    </row>
    <row r="126" spans="2:16">
      <c r="B126" s="28"/>
      <c r="C126" s="196"/>
      <c r="D126" s="47"/>
      <c r="E126" s="28"/>
      <c r="F126" s="215"/>
      <c r="G126" s="215"/>
      <c r="H126" s="2"/>
      <c r="I126" s="19"/>
      <c r="K126" s="35"/>
      <c r="M126" s="35"/>
      <c r="N126" s="35"/>
      <c r="O126" s="35"/>
      <c r="P126" s="35"/>
    </row>
    <row r="127" spans="2:16">
      <c r="B127" s="28"/>
      <c r="C127" s="196"/>
      <c r="D127" s="47"/>
      <c r="E127" s="28"/>
      <c r="F127" s="215"/>
      <c r="G127" s="215"/>
      <c r="H127" s="2"/>
      <c r="I127" s="19"/>
      <c r="K127" s="35"/>
      <c r="M127" s="35"/>
      <c r="N127" s="35"/>
      <c r="O127" s="35"/>
      <c r="P127" s="35"/>
    </row>
    <row r="128" spans="2:16">
      <c r="B128" s="28"/>
      <c r="C128" s="196"/>
      <c r="D128" s="47"/>
      <c r="E128" s="28"/>
      <c r="F128" s="215"/>
      <c r="G128" s="215"/>
      <c r="H128" s="2"/>
      <c r="I128" s="19"/>
      <c r="K128" s="35"/>
      <c r="M128" s="35"/>
      <c r="N128" s="35"/>
      <c r="O128" s="35"/>
      <c r="P128" s="35"/>
    </row>
    <row r="129" spans="2:16">
      <c r="B129" s="28"/>
      <c r="C129" s="196"/>
      <c r="D129" s="47"/>
      <c r="E129" s="28"/>
      <c r="F129" s="215"/>
      <c r="G129" s="215"/>
      <c r="H129" s="2"/>
      <c r="I129" s="19"/>
      <c r="K129" s="35"/>
      <c r="M129" s="35"/>
      <c r="N129" s="35"/>
      <c r="O129" s="35"/>
      <c r="P129" s="35"/>
    </row>
    <row r="130" spans="2:16">
      <c r="B130" s="28"/>
      <c r="C130" s="196"/>
      <c r="D130" s="47"/>
      <c r="E130" s="28"/>
      <c r="F130" s="215"/>
      <c r="G130" s="215"/>
      <c r="H130" s="2"/>
      <c r="I130" s="19"/>
      <c r="K130" s="35"/>
      <c r="M130" s="35"/>
      <c r="N130" s="35"/>
      <c r="O130" s="35"/>
      <c r="P130" s="35"/>
    </row>
    <row r="131" spans="2:16">
      <c r="B131" s="28"/>
      <c r="C131" s="196"/>
      <c r="D131" s="47"/>
      <c r="E131" s="28"/>
      <c r="F131" s="215"/>
      <c r="G131" s="215"/>
      <c r="H131" s="2"/>
      <c r="I131" s="19"/>
      <c r="K131" s="35"/>
      <c r="M131" s="35"/>
      <c r="N131" s="35"/>
      <c r="O131" s="35"/>
      <c r="P131" s="35"/>
    </row>
    <row r="132" spans="2:16">
      <c r="B132" s="28"/>
      <c r="C132" s="196"/>
      <c r="D132" s="47"/>
      <c r="E132" s="28"/>
      <c r="F132" s="215"/>
      <c r="G132" s="215"/>
      <c r="H132" s="2"/>
      <c r="I132" s="19"/>
      <c r="K132" s="35"/>
      <c r="M132" s="35"/>
      <c r="N132" s="35"/>
      <c r="O132" s="35"/>
      <c r="P132" s="35"/>
    </row>
    <row r="133" spans="2:16">
      <c r="B133" s="28"/>
      <c r="C133" s="196"/>
      <c r="D133" s="47"/>
      <c r="E133" s="28"/>
      <c r="F133" s="215"/>
      <c r="G133" s="215"/>
      <c r="H133" s="2"/>
      <c r="I133" s="19"/>
      <c r="K133" s="35"/>
      <c r="M133" s="35"/>
      <c r="N133" s="35"/>
      <c r="O133" s="35"/>
      <c r="P133" s="35"/>
    </row>
    <row r="134" spans="2:16">
      <c r="B134" s="28"/>
      <c r="C134" s="196"/>
      <c r="D134" s="47"/>
      <c r="E134" s="28"/>
      <c r="F134" s="215"/>
      <c r="G134" s="215"/>
      <c r="H134" s="2"/>
      <c r="I134" s="19"/>
      <c r="K134" s="35"/>
      <c r="M134" s="35"/>
      <c r="N134" s="35"/>
      <c r="O134" s="35"/>
      <c r="P134" s="35"/>
    </row>
    <row r="135" spans="2:16">
      <c r="B135" s="28"/>
      <c r="C135" s="196"/>
      <c r="D135" s="47"/>
      <c r="E135" s="28"/>
      <c r="F135" s="215"/>
      <c r="G135" s="215"/>
      <c r="H135" s="2"/>
      <c r="I135" s="19"/>
      <c r="K135" s="35"/>
      <c r="M135" s="35"/>
      <c r="N135" s="35"/>
      <c r="O135" s="35"/>
      <c r="P135" s="35"/>
    </row>
    <row r="136" spans="2:16">
      <c r="B136" s="28"/>
      <c r="C136" s="196"/>
      <c r="D136" s="47"/>
      <c r="E136" s="28"/>
      <c r="F136" s="215"/>
      <c r="G136" s="215"/>
      <c r="H136" s="2"/>
      <c r="I136" s="19"/>
      <c r="K136" s="35"/>
      <c r="M136" s="35"/>
      <c r="N136" s="35"/>
      <c r="O136" s="35"/>
      <c r="P136" s="35"/>
    </row>
    <row r="137" spans="2:16">
      <c r="B137" s="28"/>
      <c r="C137" s="196"/>
      <c r="D137" s="47"/>
      <c r="E137" s="28"/>
      <c r="F137" s="215"/>
      <c r="G137" s="215"/>
      <c r="H137" s="2"/>
      <c r="I137" s="19"/>
      <c r="K137" s="35"/>
      <c r="M137" s="35"/>
      <c r="N137" s="35"/>
      <c r="O137" s="35"/>
      <c r="P137" s="35"/>
    </row>
    <row r="138" spans="2:16">
      <c r="B138" s="28"/>
      <c r="C138" s="196"/>
      <c r="D138" s="47"/>
      <c r="E138" s="28"/>
      <c r="F138" s="215"/>
      <c r="G138" s="215"/>
      <c r="H138" s="2"/>
      <c r="I138" s="19"/>
      <c r="K138" s="35"/>
      <c r="M138" s="35"/>
      <c r="N138" s="35"/>
      <c r="O138" s="35"/>
      <c r="P138" s="35"/>
    </row>
    <row r="139" spans="2:16">
      <c r="B139" s="28"/>
      <c r="C139" s="196"/>
      <c r="D139" s="47"/>
      <c r="E139" s="28"/>
      <c r="F139" s="215"/>
      <c r="G139" s="215"/>
      <c r="H139" s="2"/>
      <c r="I139" s="19"/>
      <c r="K139" s="35"/>
      <c r="M139" s="35"/>
      <c r="N139" s="35"/>
      <c r="O139" s="35"/>
      <c r="P139" s="35"/>
    </row>
    <row r="140" spans="2:16">
      <c r="B140" s="28"/>
      <c r="C140" s="196"/>
      <c r="D140" s="47"/>
      <c r="E140" s="28"/>
      <c r="F140" s="215"/>
      <c r="G140" s="215"/>
      <c r="H140" s="2"/>
      <c r="I140" s="19"/>
      <c r="K140" s="35"/>
      <c r="M140" s="35"/>
      <c r="N140" s="35"/>
      <c r="O140" s="35"/>
      <c r="P140" s="35"/>
    </row>
    <row r="141" spans="2:16">
      <c r="B141" s="28"/>
      <c r="C141" s="196"/>
      <c r="D141" s="47"/>
      <c r="E141" s="28"/>
      <c r="F141" s="215"/>
      <c r="G141" s="215"/>
      <c r="H141" s="2"/>
      <c r="I141" s="19"/>
      <c r="K141" s="35"/>
      <c r="M141" s="35"/>
      <c r="N141" s="35"/>
      <c r="O141" s="35"/>
      <c r="P141" s="35"/>
    </row>
    <row r="142" spans="2:16">
      <c r="B142" s="28"/>
      <c r="C142" s="196"/>
      <c r="D142" s="47"/>
      <c r="E142" s="28"/>
      <c r="F142" s="215"/>
      <c r="G142" s="215"/>
      <c r="H142" s="2"/>
      <c r="I142" s="19"/>
      <c r="K142" s="35"/>
      <c r="M142" s="35"/>
      <c r="N142" s="35"/>
      <c r="O142" s="35"/>
      <c r="P142" s="35"/>
    </row>
    <row r="143" spans="2:16">
      <c r="B143" s="28"/>
      <c r="C143" s="196"/>
      <c r="D143" s="47"/>
      <c r="E143" s="28"/>
      <c r="F143" s="215"/>
      <c r="G143" s="215"/>
      <c r="H143" s="2"/>
      <c r="I143" s="19"/>
      <c r="K143" s="35"/>
      <c r="M143" s="35"/>
      <c r="N143" s="35"/>
      <c r="O143" s="35"/>
      <c r="P143" s="35"/>
    </row>
    <row r="144" spans="2:16">
      <c r="B144" s="28"/>
      <c r="C144" s="196"/>
      <c r="D144" s="47"/>
      <c r="E144" s="28"/>
      <c r="F144" s="215"/>
      <c r="G144" s="215"/>
      <c r="H144" s="2"/>
      <c r="I144" s="19"/>
      <c r="K144" s="35"/>
      <c r="M144" s="35"/>
      <c r="N144" s="35"/>
      <c r="O144" s="35"/>
      <c r="P144" s="35"/>
    </row>
    <row r="145" spans="2:16">
      <c r="B145" s="28"/>
      <c r="C145" s="196"/>
      <c r="D145" s="47"/>
      <c r="E145" s="28"/>
      <c r="F145" s="215"/>
      <c r="G145" s="215"/>
      <c r="H145" s="2"/>
      <c r="I145" s="19"/>
      <c r="K145" s="35"/>
      <c r="M145" s="35"/>
      <c r="N145" s="35"/>
      <c r="O145" s="35"/>
      <c r="P145" s="35"/>
    </row>
    <row r="146" spans="2:16">
      <c r="B146" s="28"/>
      <c r="C146" s="196"/>
      <c r="D146" s="47"/>
      <c r="E146" s="28"/>
      <c r="F146" s="215"/>
      <c r="G146" s="215"/>
      <c r="H146" s="2"/>
      <c r="I146" s="19"/>
      <c r="K146" s="35"/>
      <c r="M146" s="35"/>
      <c r="N146" s="35"/>
      <c r="O146" s="35"/>
      <c r="P146" s="35"/>
    </row>
    <row r="147" spans="2:16">
      <c r="B147" s="28"/>
      <c r="C147" s="196"/>
      <c r="D147" s="47"/>
      <c r="E147" s="28"/>
      <c r="F147" s="215"/>
      <c r="G147" s="215"/>
      <c r="H147" s="2"/>
      <c r="I147" s="19"/>
      <c r="K147" s="35"/>
      <c r="M147" s="35"/>
      <c r="N147" s="35"/>
      <c r="O147" s="35"/>
      <c r="P147" s="35"/>
    </row>
    <row r="148" spans="2:16">
      <c r="B148" s="28"/>
      <c r="C148" s="196"/>
      <c r="D148" s="47"/>
      <c r="E148" s="28"/>
      <c r="F148" s="215"/>
      <c r="G148" s="215"/>
      <c r="H148" s="2"/>
      <c r="I148" s="19"/>
      <c r="K148" s="35"/>
      <c r="M148" s="35"/>
      <c r="N148" s="35"/>
      <c r="O148" s="35"/>
      <c r="P148" s="35"/>
    </row>
    <row r="149" spans="2:16">
      <c r="B149" s="28"/>
      <c r="C149" s="196"/>
      <c r="D149" s="47"/>
      <c r="E149" s="28"/>
      <c r="F149" s="215"/>
      <c r="G149" s="215"/>
      <c r="H149" s="2"/>
      <c r="I149" s="19"/>
      <c r="K149" s="35"/>
      <c r="M149" s="35"/>
      <c r="N149" s="35"/>
      <c r="O149" s="35"/>
      <c r="P149" s="35"/>
    </row>
    <row r="150" spans="2:16">
      <c r="B150" s="28"/>
      <c r="C150" s="196"/>
      <c r="D150" s="47"/>
      <c r="E150" s="28"/>
      <c r="F150" s="215"/>
      <c r="G150" s="215"/>
      <c r="H150" s="2"/>
      <c r="I150" s="19"/>
      <c r="K150" s="35"/>
      <c r="M150" s="35"/>
      <c r="N150" s="35"/>
      <c r="O150" s="35"/>
      <c r="P150" s="35"/>
    </row>
    <row r="151" spans="2:16">
      <c r="B151" s="28"/>
      <c r="C151" s="196"/>
      <c r="D151" s="47"/>
      <c r="E151" s="28"/>
      <c r="F151" s="215"/>
      <c r="G151" s="215"/>
      <c r="H151" s="2"/>
      <c r="I151" s="19"/>
      <c r="K151" s="35"/>
      <c r="M151" s="35"/>
      <c r="N151" s="35"/>
      <c r="O151" s="35"/>
      <c r="P151" s="35"/>
    </row>
    <row r="152" spans="2:16">
      <c r="B152" s="28"/>
      <c r="C152" s="196"/>
      <c r="D152" s="47"/>
      <c r="E152" s="28"/>
      <c r="F152" s="215"/>
      <c r="G152" s="215"/>
      <c r="H152" s="2"/>
      <c r="I152" s="19"/>
      <c r="K152" s="35"/>
      <c r="M152" s="35"/>
      <c r="N152" s="35"/>
      <c r="O152" s="35"/>
      <c r="P152" s="35"/>
    </row>
    <row r="153" spans="2:16">
      <c r="B153" s="28"/>
      <c r="C153" s="196"/>
      <c r="D153" s="47"/>
      <c r="E153" s="28"/>
      <c r="F153" s="215"/>
      <c r="G153" s="215"/>
      <c r="H153" s="2"/>
      <c r="I153" s="19"/>
      <c r="K153" s="35"/>
      <c r="M153" s="35"/>
      <c r="N153" s="35"/>
      <c r="O153" s="35"/>
      <c r="P153" s="35"/>
    </row>
    <row r="154" spans="2:16">
      <c r="B154" s="28"/>
      <c r="C154" s="196"/>
      <c r="D154" s="47"/>
      <c r="E154" s="28"/>
      <c r="F154" s="215"/>
      <c r="G154" s="215"/>
      <c r="H154" s="2"/>
      <c r="I154" s="19"/>
      <c r="K154" s="35"/>
      <c r="M154" s="35"/>
      <c r="N154" s="35"/>
      <c r="O154" s="35"/>
      <c r="P154" s="35"/>
    </row>
    <row r="155" spans="2:16">
      <c r="B155" s="28"/>
      <c r="C155" s="196"/>
      <c r="D155" s="47"/>
      <c r="E155" s="28"/>
      <c r="F155" s="215"/>
      <c r="G155" s="215"/>
      <c r="H155" s="2"/>
      <c r="I155" s="19"/>
      <c r="K155" s="35"/>
      <c r="M155" s="35"/>
      <c r="N155" s="35"/>
      <c r="O155" s="35"/>
      <c r="P155" s="35"/>
    </row>
    <row r="156" spans="2:16">
      <c r="B156" s="28"/>
      <c r="C156" s="196"/>
      <c r="D156" s="47"/>
      <c r="E156" s="28"/>
      <c r="F156" s="215"/>
      <c r="G156" s="215"/>
      <c r="H156" s="2"/>
      <c r="I156" s="19"/>
      <c r="K156" s="35"/>
      <c r="M156" s="35"/>
      <c r="N156" s="35"/>
      <c r="O156" s="35"/>
      <c r="P156" s="35"/>
    </row>
    <row r="157" spans="2:16">
      <c r="B157" s="28"/>
      <c r="C157" s="196"/>
      <c r="D157" s="47"/>
      <c r="E157" s="28"/>
      <c r="F157" s="215"/>
      <c r="G157" s="215"/>
      <c r="H157" s="2"/>
      <c r="I157" s="19"/>
      <c r="K157" s="35"/>
      <c r="M157" s="35"/>
      <c r="N157" s="35"/>
      <c r="O157" s="35"/>
      <c r="P157" s="35"/>
    </row>
    <row r="158" spans="2:16">
      <c r="B158" s="28"/>
      <c r="C158" s="196"/>
      <c r="D158" s="47"/>
      <c r="E158" s="28"/>
      <c r="F158" s="215"/>
      <c r="G158" s="215"/>
      <c r="H158" s="2"/>
      <c r="I158" s="19"/>
      <c r="K158" s="35"/>
      <c r="M158" s="35"/>
      <c r="N158" s="35"/>
      <c r="O158" s="35"/>
      <c r="P158" s="35"/>
    </row>
    <row r="159" spans="2:16">
      <c r="B159" s="28"/>
      <c r="C159" s="196"/>
      <c r="D159" s="47"/>
      <c r="E159" s="28"/>
      <c r="F159" s="215"/>
      <c r="G159" s="215"/>
      <c r="H159" s="2"/>
      <c r="I159" s="19"/>
      <c r="K159" s="35"/>
      <c r="M159" s="35"/>
      <c r="N159" s="35"/>
      <c r="O159" s="35"/>
      <c r="P159" s="35"/>
    </row>
    <row r="160" spans="2:16">
      <c r="B160" s="28"/>
      <c r="C160" s="196"/>
      <c r="D160" s="47"/>
      <c r="E160" s="28"/>
      <c r="F160" s="215"/>
      <c r="G160" s="215"/>
      <c r="H160" s="2"/>
      <c r="I160" s="19"/>
      <c r="K160" s="35"/>
      <c r="M160" s="35"/>
      <c r="N160" s="35"/>
      <c r="O160" s="35"/>
      <c r="P160" s="35"/>
    </row>
    <row r="161" spans="4:9">
      <c r="D161" s="47"/>
      <c r="E161" s="143"/>
      <c r="H161" s="2"/>
      <c r="I161" s="30"/>
    </row>
    <row r="162" spans="4:9">
      <c r="D162" s="47"/>
      <c r="E162" s="143"/>
      <c r="H162" s="2"/>
      <c r="I162" s="30"/>
    </row>
    <row r="163" spans="4:9">
      <c r="D163" s="47"/>
      <c r="E163" s="143"/>
      <c r="H163" s="2"/>
      <c r="I163" s="30"/>
    </row>
    <row r="164" spans="4:9">
      <c r="D164" s="47"/>
      <c r="E164" s="143"/>
      <c r="H164" s="2"/>
      <c r="I164" s="30"/>
    </row>
    <row r="165" spans="4:9">
      <c r="D165" s="47"/>
      <c r="E165" s="143"/>
      <c r="H165" s="2"/>
      <c r="I165" s="30"/>
    </row>
    <row r="166" spans="4:9">
      <c r="D166" s="47"/>
      <c r="E166" s="143"/>
      <c r="H166" s="2"/>
      <c r="I166" s="30"/>
    </row>
    <row r="167" spans="4:9">
      <c r="D167" s="47"/>
      <c r="E167" s="143"/>
      <c r="H167" s="2"/>
      <c r="I167" s="30"/>
    </row>
    <row r="168" spans="4:9">
      <c r="D168" s="47"/>
      <c r="E168" s="143"/>
      <c r="H168" s="2"/>
      <c r="I168" s="30"/>
    </row>
    <row r="169" spans="4:9">
      <c r="D169" s="47"/>
      <c r="E169" s="143"/>
      <c r="H169" s="2"/>
      <c r="I169" s="30"/>
    </row>
    <row r="170" spans="4:9">
      <c r="D170" s="47"/>
      <c r="E170" s="143"/>
      <c r="H170" s="2"/>
      <c r="I170" s="30"/>
    </row>
    <row r="171" spans="4:9">
      <c r="D171" s="47"/>
      <c r="E171" s="143"/>
      <c r="H171" s="2"/>
      <c r="I171" s="30"/>
    </row>
    <row r="172" spans="4:9">
      <c r="D172" s="47"/>
      <c r="E172" s="143"/>
      <c r="H172" s="2"/>
      <c r="I172" s="30"/>
    </row>
    <row r="173" spans="4:9">
      <c r="D173" s="47"/>
      <c r="E173" s="143"/>
      <c r="H173" s="2"/>
      <c r="I173" s="30"/>
    </row>
    <row r="174" spans="4:9">
      <c r="D174" s="47"/>
      <c r="E174" s="143"/>
      <c r="H174" s="2"/>
      <c r="I174" s="30"/>
    </row>
    <row r="175" spans="4:9">
      <c r="D175" s="47"/>
      <c r="E175" s="143"/>
      <c r="H175" s="2"/>
      <c r="I175" s="30"/>
    </row>
    <row r="176" spans="4:9">
      <c r="D176" s="47"/>
      <c r="E176" s="143"/>
      <c r="H176" s="2"/>
      <c r="I176" s="30"/>
    </row>
    <row r="177" spans="4:9">
      <c r="D177" s="47"/>
      <c r="E177" s="143"/>
      <c r="H177" s="2"/>
      <c r="I177" s="30"/>
    </row>
    <row r="178" spans="4:9">
      <c r="D178" s="47"/>
      <c r="E178" s="143"/>
      <c r="H178" s="2"/>
      <c r="I178" s="30"/>
    </row>
    <row r="179" spans="4:9">
      <c r="D179" s="47"/>
      <c r="E179" s="143"/>
      <c r="H179" s="2"/>
      <c r="I179" s="30"/>
    </row>
    <row r="180" spans="4:9">
      <c r="D180" s="47"/>
      <c r="E180" s="143"/>
      <c r="H180" s="2"/>
      <c r="I180" s="30"/>
    </row>
    <row r="181" spans="4:9">
      <c r="D181" s="47"/>
      <c r="E181" s="143"/>
      <c r="H181" s="2"/>
      <c r="I181" s="30"/>
    </row>
    <row r="182" spans="4:9">
      <c r="D182" s="47"/>
      <c r="E182" s="143"/>
      <c r="H182" s="2"/>
      <c r="I182" s="30"/>
    </row>
    <row r="183" spans="4:9">
      <c r="D183" s="47"/>
      <c r="E183" s="143"/>
      <c r="H183" s="2"/>
      <c r="I183" s="30"/>
    </row>
    <row r="184" spans="4:9">
      <c r="D184" s="47"/>
      <c r="E184" s="143"/>
      <c r="H184" s="2"/>
      <c r="I184" s="30"/>
    </row>
    <row r="185" spans="4:9">
      <c r="D185" s="47"/>
      <c r="E185" s="143"/>
      <c r="H185" s="2"/>
      <c r="I185" s="30"/>
    </row>
    <row r="186" spans="4:9">
      <c r="D186" s="47"/>
      <c r="E186" s="143"/>
      <c r="H186" s="2"/>
      <c r="I186" s="30"/>
    </row>
    <row r="187" spans="4:9">
      <c r="D187" s="47"/>
      <c r="E187" s="143"/>
      <c r="H187" s="2"/>
      <c r="I187" s="30"/>
    </row>
    <row r="188" spans="4:9">
      <c r="D188" s="47"/>
      <c r="E188" s="143"/>
      <c r="H188" s="2"/>
      <c r="I188" s="30"/>
    </row>
    <row r="189" spans="4:9">
      <c r="D189" s="47"/>
      <c r="E189" s="143"/>
      <c r="H189" s="2"/>
      <c r="I189" s="30"/>
    </row>
    <row r="190" spans="4:9">
      <c r="D190" s="47"/>
      <c r="E190" s="143"/>
      <c r="H190" s="2"/>
      <c r="I190" s="30"/>
    </row>
    <row r="191" spans="4:9">
      <c r="D191" s="47"/>
      <c r="E191" s="143"/>
      <c r="H191" s="2"/>
      <c r="I191" s="30"/>
    </row>
    <row r="192" spans="4:9">
      <c r="D192" s="47"/>
      <c r="E192" s="143"/>
      <c r="H192" s="2"/>
      <c r="I192" s="30"/>
    </row>
    <row r="193" spans="4:9">
      <c r="D193" s="47"/>
      <c r="E193" s="143"/>
      <c r="H193" s="2"/>
      <c r="I193" s="30"/>
    </row>
    <row r="194" spans="4:9">
      <c r="D194" s="47"/>
      <c r="E194" s="143"/>
      <c r="H194" s="2"/>
      <c r="I194" s="30"/>
    </row>
    <row r="195" spans="4:9">
      <c r="D195" s="47"/>
      <c r="E195" s="143"/>
      <c r="H195" s="2"/>
      <c r="I195" s="30"/>
    </row>
    <row r="196" spans="4:9">
      <c r="D196" s="47"/>
      <c r="E196" s="143"/>
      <c r="H196" s="2"/>
      <c r="I196" s="30"/>
    </row>
    <row r="197" spans="4:9">
      <c r="D197" s="47"/>
      <c r="E197" s="143"/>
      <c r="H197" s="2"/>
      <c r="I197" s="30"/>
    </row>
    <row r="198" spans="4:9">
      <c r="D198" s="47"/>
      <c r="E198" s="143"/>
      <c r="H198" s="2"/>
      <c r="I198" s="30"/>
    </row>
    <row r="199" spans="4:9">
      <c r="D199" s="47"/>
      <c r="E199" s="143"/>
      <c r="H199" s="2"/>
      <c r="I199" s="30"/>
    </row>
    <row r="200" spans="4:9">
      <c r="D200" s="47"/>
      <c r="E200" s="143"/>
      <c r="H200" s="2"/>
      <c r="I200" s="30"/>
    </row>
    <row r="201" spans="4:9">
      <c r="D201" s="47"/>
      <c r="E201" s="143"/>
      <c r="H201" s="2"/>
      <c r="I201" s="30"/>
    </row>
    <row r="202" spans="4:9">
      <c r="D202" s="47"/>
      <c r="E202" s="143"/>
      <c r="H202" s="2"/>
      <c r="I202" s="30"/>
    </row>
    <row r="203" spans="4:9">
      <c r="D203" s="47"/>
      <c r="E203" s="143"/>
      <c r="H203" s="2"/>
      <c r="I203" s="30"/>
    </row>
    <row r="204" spans="4:9">
      <c r="D204" s="47"/>
      <c r="E204" s="143"/>
      <c r="H204" s="2"/>
      <c r="I204" s="30"/>
    </row>
    <row r="205" spans="4:9">
      <c r="D205" s="47"/>
      <c r="E205" s="143"/>
      <c r="H205" s="2"/>
      <c r="I205" s="30"/>
    </row>
    <row r="206" spans="4:9">
      <c r="D206" s="47"/>
      <c r="E206" s="143"/>
      <c r="H206" s="2"/>
      <c r="I206" s="30"/>
    </row>
    <row r="207" spans="4:9">
      <c r="D207" s="47"/>
      <c r="E207" s="143"/>
      <c r="H207" s="2"/>
      <c r="I207" s="30"/>
    </row>
    <row r="208" spans="4:9">
      <c r="D208" s="47"/>
      <c r="E208" s="143"/>
      <c r="H208" s="2"/>
      <c r="I208" s="30"/>
    </row>
    <row r="209" spans="4:9">
      <c r="D209" s="47"/>
      <c r="E209" s="143"/>
      <c r="H209" s="2"/>
      <c r="I209" s="30"/>
    </row>
    <row r="210" spans="4:9">
      <c r="D210" s="47"/>
      <c r="E210" s="143"/>
      <c r="H210" s="2"/>
      <c r="I210" s="30"/>
    </row>
    <row r="211" spans="4:9">
      <c r="D211" s="47"/>
      <c r="E211" s="143"/>
      <c r="H211" s="2"/>
      <c r="I211" s="30"/>
    </row>
    <row r="212" spans="4:9">
      <c r="D212" s="47"/>
      <c r="E212" s="143"/>
      <c r="H212" s="2"/>
      <c r="I212" s="30"/>
    </row>
    <row r="213" spans="4:9">
      <c r="D213" s="47"/>
      <c r="E213" s="143"/>
      <c r="H213" s="2"/>
      <c r="I213" s="30"/>
    </row>
    <row r="214" spans="4:9">
      <c r="D214" s="47"/>
      <c r="E214" s="143"/>
      <c r="H214" s="2"/>
      <c r="I214" s="30"/>
    </row>
    <row r="215" spans="4:9">
      <c r="D215" s="47"/>
      <c r="E215" s="143"/>
      <c r="H215" s="2"/>
      <c r="I215" s="30"/>
    </row>
    <row r="216" spans="4:9">
      <c r="D216" s="47"/>
      <c r="E216" s="143"/>
      <c r="H216" s="2"/>
      <c r="I216" s="30"/>
    </row>
    <row r="217" spans="4:9">
      <c r="D217" s="47"/>
      <c r="E217" s="143"/>
      <c r="H217" s="2"/>
      <c r="I217" s="30"/>
    </row>
    <row r="218" spans="4:9">
      <c r="D218" s="47"/>
      <c r="E218" s="143"/>
      <c r="H218" s="2"/>
      <c r="I218" s="30"/>
    </row>
    <row r="219" spans="4:9">
      <c r="D219" s="47"/>
      <c r="E219" s="143"/>
      <c r="H219" s="2"/>
      <c r="I219" s="30"/>
    </row>
    <row r="220" spans="4:9">
      <c r="D220" s="47"/>
      <c r="E220" s="143"/>
      <c r="H220" s="2"/>
      <c r="I220" s="30"/>
    </row>
    <row r="221" spans="4:9">
      <c r="D221" s="47"/>
      <c r="E221" s="143"/>
      <c r="H221" s="2"/>
      <c r="I221" s="30"/>
    </row>
    <row r="222" spans="4:9">
      <c r="D222" s="47"/>
      <c r="E222" s="143"/>
      <c r="H222" s="2"/>
      <c r="I222" s="30"/>
    </row>
    <row r="223" spans="4:9">
      <c r="D223" s="47"/>
      <c r="E223" s="143"/>
      <c r="H223" s="2"/>
      <c r="I223" s="30"/>
    </row>
    <row r="224" spans="4:9">
      <c r="D224" s="47"/>
      <c r="E224" s="143"/>
      <c r="H224" s="2"/>
      <c r="I224" s="30"/>
    </row>
    <row r="225" spans="4:9">
      <c r="D225" s="47"/>
      <c r="E225" s="143"/>
      <c r="H225" s="2"/>
      <c r="I225" s="30"/>
    </row>
    <row r="226" spans="4:9">
      <c r="D226" s="47"/>
      <c r="E226" s="143"/>
      <c r="H226" s="2"/>
      <c r="I226" s="30"/>
    </row>
    <row r="227" spans="4:9">
      <c r="D227" s="47"/>
      <c r="E227" s="143"/>
      <c r="H227" s="2"/>
      <c r="I227" s="30"/>
    </row>
    <row r="228" spans="4:9">
      <c r="D228" s="47"/>
      <c r="E228" s="143"/>
      <c r="H228" s="2"/>
      <c r="I228" s="30"/>
    </row>
    <row r="229" spans="4:9">
      <c r="D229" s="47"/>
      <c r="E229" s="143"/>
      <c r="H229" s="2"/>
      <c r="I229" s="30"/>
    </row>
    <row r="230" spans="4:9">
      <c r="D230" s="47"/>
      <c r="E230" s="143"/>
      <c r="H230" s="2"/>
      <c r="I230" s="30"/>
    </row>
    <row r="231" spans="4:9">
      <c r="D231" s="47"/>
      <c r="E231" s="143"/>
      <c r="H231" s="2"/>
      <c r="I231" s="30"/>
    </row>
    <row r="232" spans="4:9">
      <c r="D232" s="47"/>
      <c r="E232" s="143"/>
      <c r="H232" s="2"/>
      <c r="I232" s="30"/>
    </row>
    <row r="233" spans="4:9">
      <c r="D233" s="47"/>
      <c r="E233" s="143"/>
      <c r="H233" s="2"/>
      <c r="I233" s="30"/>
    </row>
    <row r="234" spans="4:9">
      <c r="D234" s="47"/>
      <c r="E234" s="143"/>
      <c r="H234" s="2"/>
      <c r="I234" s="30"/>
    </row>
    <row r="235" spans="4:9">
      <c r="D235" s="47"/>
      <c r="E235" s="143"/>
      <c r="H235" s="2"/>
      <c r="I235" s="30"/>
    </row>
    <row r="236" spans="4:9">
      <c r="D236" s="47"/>
      <c r="E236" s="143"/>
      <c r="H236" s="2"/>
      <c r="I236" s="30"/>
    </row>
    <row r="237" spans="4:9">
      <c r="D237" s="47"/>
      <c r="E237" s="143"/>
      <c r="H237" s="2"/>
      <c r="I237" s="30"/>
    </row>
    <row r="238" spans="4:9">
      <c r="D238" s="47"/>
      <c r="E238" s="143"/>
      <c r="H238" s="2"/>
      <c r="I238" s="30"/>
    </row>
    <row r="239" spans="4:9">
      <c r="D239" s="47"/>
      <c r="E239" s="143"/>
      <c r="H239" s="2"/>
      <c r="I239" s="30"/>
    </row>
    <row r="240" spans="4:9">
      <c r="D240" s="47"/>
      <c r="E240" s="143"/>
      <c r="H240" s="2"/>
      <c r="I240" s="30"/>
    </row>
    <row r="241" spans="4:9">
      <c r="D241" s="47"/>
      <c r="E241" s="143"/>
      <c r="H241" s="2"/>
      <c r="I241" s="30"/>
    </row>
    <row r="242" spans="4:9">
      <c r="D242" s="47"/>
      <c r="E242" s="143"/>
      <c r="H242" s="2"/>
      <c r="I242" s="30"/>
    </row>
    <row r="243" spans="4:9">
      <c r="D243" s="47"/>
      <c r="E243" s="143"/>
      <c r="H243" s="2"/>
      <c r="I243" s="30"/>
    </row>
    <row r="244" spans="4:9">
      <c r="D244" s="47"/>
      <c r="E244" s="143"/>
      <c r="H244" s="2"/>
      <c r="I244" s="30"/>
    </row>
    <row r="245" spans="4:9">
      <c r="D245" s="47"/>
      <c r="E245" s="143"/>
      <c r="H245" s="2"/>
      <c r="I245" s="30"/>
    </row>
    <row r="246" spans="4:9">
      <c r="D246" s="47"/>
      <c r="E246" s="143"/>
      <c r="H246" s="2"/>
      <c r="I246" s="30"/>
    </row>
    <row r="247" spans="4:9">
      <c r="D247" s="47"/>
      <c r="E247" s="143"/>
      <c r="H247" s="2"/>
      <c r="I247" s="30"/>
    </row>
    <row r="248" spans="4:9">
      <c r="D248" s="47"/>
      <c r="E248" s="143"/>
      <c r="H248" s="2"/>
      <c r="I248" s="30"/>
    </row>
    <row r="249" spans="4:9">
      <c r="D249" s="47"/>
      <c r="E249" s="143"/>
      <c r="H249" s="2"/>
      <c r="I249" s="30"/>
    </row>
    <row r="250" spans="4:9">
      <c r="D250" s="47"/>
      <c r="E250" s="143"/>
      <c r="H250" s="2"/>
      <c r="I250" s="30"/>
    </row>
    <row r="251" spans="4:9">
      <c r="D251" s="47"/>
      <c r="E251" s="143"/>
      <c r="H251" s="2"/>
      <c r="I251" s="30"/>
    </row>
    <row r="252" spans="4:9">
      <c r="D252" s="47"/>
      <c r="E252" s="143"/>
      <c r="H252" s="2"/>
      <c r="I252" s="30"/>
    </row>
    <row r="253" spans="4:9">
      <c r="D253" s="47"/>
      <c r="E253" s="143"/>
      <c r="H253" s="2"/>
      <c r="I253" s="30"/>
    </row>
    <row r="254" spans="4:9">
      <c r="D254" s="47"/>
      <c r="E254" s="143"/>
      <c r="H254" s="2"/>
      <c r="I254" s="30"/>
    </row>
    <row r="255" spans="4:9">
      <c r="D255" s="47"/>
      <c r="E255" s="143"/>
      <c r="H255" s="2"/>
      <c r="I255" s="30"/>
    </row>
    <row r="256" spans="4:9">
      <c r="D256" s="47"/>
      <c r="E256" s="143"/>
      <c r="H256" s="2"/>
      <c r="I256" s="30"/>
    </row>
    <row r="257" spans="4:9">
      <c r="D257" s="47"/>
      <c r="E257" s="143"/>
      <c r="H257" s="2"/>
      <c r="I257" s="30"/>
    </row>
    <row r="258" spans="4:9">
      <c r="D258" s="47"/>
      <c r="E258" s="143"/>
      <c r="H258" s="2"/>
      <c r="I258" s="30"/>
    </row>
    <row r="259" spans="4:9">
      <c r="D259" s="47"/>
      <c r="E259" s="143"/>
      <c r="H259" s="2"/>
      <c r="I259" s="30"/>
    </row>
    <row r="260" spans="4:9">
      <c r="D260" s="47"/>
      <c r="E260" s="143"/>
      <c r="H260" s="2"/>
      <c r="I260" s="30"/>
    </row>
    <row r="261" spans="4:9">
      <c r="D261" s="47"/>
      <c r="E261" s="143"/>
      <c r="H261" s="2"/>
      <c r="I261" s="30"/>
    </row>
    <row r="262" spans="4:9">
      <c r="D262" s="47"/>
      <c r="E262" s="143"/>
      <c r="H262" s="2"/>
      <c r="I262" s="30"/>
    </row>
    <row r="263" spans="4:9">
      <c r="D263" s="47"/>
      <c r="E263" s="143"/>
      <c r="H263" s="2"/>
      <c r="I263" s="30"/>
    </row>
    <row r="264" spans="4:9">
      <c r="D264" s="47"/>
      <c r="E264" s="143"/>
      <c r="H264" s="2"/>
      <c r="I264" s="30"/>
    </row>
    <row r="265" spans="4:9">
      <c r="D265" s="47"/>
      <c r="E265" s="143"/>
      <c r="H265" s="2"/>
      <c r="I265" s="30"/>
    </row>
    <row r="266" spans="4:9">
      <c r="D266" s="47"/>
      <c r="E266" s="143"/>
      <c r="H266" s="2"/>
      <c r="I266" s="30"/>
    </row>
    <row r="267" spans="4:9">
      <c r="D267" s="47"/>
      <c r="E267" s="143"/>
      <c r="H267" s="2"/>
      <c r="I267" s="30"/>
    </row>
    <row r="268" spans="4:9">
      <c r="D268" s="47"/>
      <c r="E268" s="143"/>
      <c r="H268" s="2"/>
      <c r="I268" s="30"/>
    </row>
    <row r="269" spans="4:9">
      <c r="D269" s="47"/>
      <c r="E269" s="143"/>
      <c r="H269" s="2"/>
      <c r="I269" s="30"/>
    </row>
    <row r="270" spans="4:9">
      <c r="D270" s="47"/>
      <c r="E270" s="143"/>
      <c r="H270" s="2"/>
      <c r="I270" s="30"/>
    </row>
    <row r="271" spans="4:9">
      <c r="D271" s="47"/>
      <c r="E271" s="143"/>
      <c r="H271" s="2"/>
      <c r="I271" s="30"/>
    </row>
    <row r="272" spans="4:9">
      <c r="D272" s="47"/>
      <c r="E272" s="143"/>
      <c r="H272" s="2"/>
      <c r="I272" s="30"/>
    </row>
    <row r="273" spans="4:9">
      <c r="D273" s="47"/>
      <c r="E273" s="143"/>
      <c r="H273" s="2"/>
      <c r="I273" s="30"/>
    </row>
    <row r="274" spans="4:9">
      <c r="D274" s="47"/>
      <c r="E274" s="143"/>
      <c r="H274" s="2"/>
      <c r="I274" s="30"/>
    </row>
    <row r="275" spans="4:9">
      <c r="D275" s="47"/>
      <c r="E275" s="143"/>
      <c r="H275" s="2"/>
      <c r="I275" s="30"/>
    </row>
    <row r="276" spans="4:9">
      <c r="D276" s="47"/>
      <c r="E276" s="143"/>
      <c r="H276" s="2"/>
      <c r="I276" s="30"/>
    </row>
    <row r="277" spans="4:9">
      <c r="D277" s="47"/>
      <c r="E277" s="143"/>
      <c r="H277" s="2"/>
      <c r="I277" s="30"/>
    </row>
    <row r="278" spans="4:9">
      <c r="D278" s="47"/>
      <c r="E278" s="143"/>
      <c r="H278" s="2"/>
      <c r="I278" s="30"/>
    </row>
    <row r="279" spans="4:9">
      <c r="D279" s="47"/>
      <c r="E279" s="143"/>
      <c r="H279" s="2"/>
      <c r="I279" s="30"/>
    </row>
    <row r="280" spans="4:9">
      <c r="D280" s="47"/>
      <c r="E280" s="143"/>
      <c r="H280" s="2"/>
      <c r="I280" s="30"/>
    </row>
    <row r="281" spans="4:9">
      <c r="D281" s="47"/>
      <c r="E281" s="143"/>
      <c r="H281" s="2"/>
      <c r="I281" s="30"/>
    </row>
    <row r="282" spans="4:9">
      <c r="D282" s="47"/>
      <c r="E282" s="143"/>
      <c r="H282" s="2"/>
      <c r="I282" s="30"/>
    </row>
    <row r="283" spans="4:9">
      <c r="D283" s="47"/>
      <c r="E283" s="143"/>
      <c r="H283" s="2"/>
      <c r="I283" s="30"/>
    </row>
    <row r="284" spans="4:9">
      <c r="D284" s="47"/>
      <c r="E284" s="143"/>
      <c r="H284" s="2"/>
      <c r="I284" s="30"/>
    </row>
    <row r="285" spans="4:9">
      <c r="D285" s="47"/>
      <c r="E285" s="143"/>
      <c r="H285" s="2"/>
      <c r="I285" s="30"/>
    </row>
    <row r="286" spans="4:9">
      <c r="D286" s="47"/>
      <c r="E286" s="143"/>
      <c r="H286" s="2"/>
      <c r="I286" s="30"/>
    </row>
    <row r="287" spans="4:9">
      <c r="D287" s="47"/>
      <c r="E287" s="143"/>
      <c r="H287" s="2"/>
      <c r="I287" s="30"/>
    </row>
    <row r="288" spans="4:9">
      <c r="D288" s="47"/>
      <c r="E288" s="143"/>
      <c r="H288" s="2"/>
      <c r="I288" s="30"/>
    </row>
    <row r="289" spans="4:9">
      <c r="D289" s="47"/>
      <c r="E289" s="143"/>
      <c r="H289" s="2"/>
      <c r="I289" s="30"/>
    </row>
    <row r="290" spans="4:9">
      <c r="D290" s="47"/>
      <c r="E290" s="143"/>
      <c r="H290" s="2"/>
      <c r="I290" s="30"/>
    </row>
    <row r="291" spans="4:9">
      <c r="D291" s="47"/>
      <c r="E291" s="143"/>
      <c r="H291" s="2"/>
      <c r="I291" s="30"/>
    </row>
    <row r="292" spans="4:9">
      <c r="D292" s="47"/>
      <c r="E292" s="143"/>
      <c r="H292" s="2"/>
      <c r="I292" s="30"/>
    </row>
    <row r="293" spans="4:9">
      <c r="D293" s="47"/>
      <c r="E293" s="143"/>
      <c r="H293" s="2"/>
      <c r="I293" s="30"/>
    </row>
    <row r="294" spans="4:9">
      <c r="D294" s="47"/>
      <c r="E294" s="143"/>
      <c r="H294" s="2"/>
      <c r="I294" s="30"/>
    </row>
    <row r="295" spans="4:9">
      <c r="D295" s="47"/>
      <c r="E295" s="143"/>
      <c r="H295" s="2"/>
      <c r="I295" s="30"/>
    </row>
    <row r="296" spans="4:9">
      <c r="D296" s="47"/>
      <c r="E296" s="143"/>
      <c r="H296" s="2"/>
      <c r="I296" s="30"/>
    </row>
    <row r="297" spans="4:9">
      <c r="D297" s="47"/>
      <c r="E297" s="143"/>
      <c r="H297" s="2"/>
      <c r="I297" s="30"/>
    </row>
    <row r="298" spans="4:9">
      <c r="D298" s="47"/>
      <c r="E298" s="143"/>
      <c r="H298" s="2"/>
      <c r="I298" s="30"/>
    </row>
    <row r="299" spans="4:9">
      <c r="D299" s="47"/>
      <c r="E299" s="143"/>
      <c r="H299" s="2"/>
      <c r="I299" s="30"/>
    </row>
    <row r="300" spans="4:9">
      <c r="D300" s="47"/>
      <c r="E300" s="143"/>
      <c r="H300" s="2"/>
      <c r="I300" s="30"/>
    </row>
    <row r="301" spans="4:9">
      <c r="D301" s="47"/>
      <c r="E301" s="143"/>
      <c r="H301" s="2"/>
      <c r="I301" s="30"/>
    </row>
    <row r="302" spans="4:9">
      <c r="D302" s="47"/>
      <c r="E302" s="143"/>
      <c r="H302" s="2"/>
      <c r="I302" s="30"/>
    </row>
    <row r="303" spans="4:9">
      <c r="D303" s="47"/>
      <c r="E303" s="143"/>
      <c r="H303" s="2"/>
      <c r="I303" s="30"/>
    </row>
    <row r="304" spans="4:9">
      <c r="D304" s="47"/>
      <c r="E304" s="143"/>
      <c r="H304" s="2"/>
      <c r="I304" s="30"/>
    </row>
    <row r="305" spans="4:9">
      <c r="D305" s="47"/>
      <c r="E305" s="143"/>
      <c r="H305" s="2"/>
      <c r="I305" s="30"/>
    </row>
    <row r="306" spans="4:9">
      <c r="D306" s="47"/>
      <c r="E306" s="143"/>
      <c r="H306" s="2"/>
      <c r="I306" s="30"/>
    </row>
    <row r="307" spans="4:9">
      <c r="D307" s="47"/>
      <c r="E307" s="143"/>
      <c r="H307" s="2"/>
      <c r="I307" s="30"/>
    </row>
    <row r="308" spans="4:9">
      <c r="D308" s="47"/>
      <c r="E308" s="143"/>
      <c r="H308" s="2"/>
      <c r="I308" s="30"/>
    </row>
    <row r="309" spans="4:9">
      <c r="D309" s="47"/>
      <c r="E309" s="143"/>
      <c r="H309" s="2"/>
      <c r="I309" s="30"/>
    </row>
    <row r="310" spans="4:9">
      <c r="D310" s="47"/>
      <c r="E310" s="143"/>
      <c r="H310" s="2"/>
      <c r="I310" s="30"/>
    </row>
    <row r="311" spans="4:9">
      <c r="D311" s="47"/>
      <c r="E311" s="143"/>
      <c r="H311" s="2"/>
      <c r="I311" s="30"/>
    </row>
    <row r="312" spans="4:9">
      <c r="D312" s="47"/>
      <c r="E312" s="143"/>
      <c r="H312" s="2"/>
      <c r="I312" s="30"/>
    </row>
    <row r="313" spans="4:9">
      <c r="D313" s="47"/>
      <c r="E313" s="143"/>
      <c r="H313" s="2"/>
      <c r="I313" s="30"/>
    </row>
    <row r="314" spans="4:9">
      <c r="D314" s="47"/>
      <c r="E314" s="143"/>
      <c r="H314" s="2"/>
      <c r="I314" s="30"/>
    </row>
    <row r="315" spans="4:9">
      <c r="D315" s="47"/>
      <c r="E315" s="143"/>
      <c r="H315" s="2"/>
      <c r="I315" s="30"/>
    </row>
    <row r="316" spans="4:9">
      <c r="D316" s="47"/>
      <c r="E316" s="143"/>
      <c r="H316" s="2"/>
      <c r="I316" s="30"/>
    </row>
    <row r="317" spans="4:9">
      <c r="D317" s="47"/>
      <c r="E317" s="143"/>
      <c r="H317" s="2"/>
      <c r="I317" s="30"/>
    </row>
    <row r="318" spans="4:9">
      <c r="D318" s="47"/>
      <c r="E318" s="143"/>
      <c r="H318" s="2"/>
      <c r="I318" s="30"/>
    </row>
    <row r="319" spans="4:9">
      <c r="D319" s="47"/>
      <c r="E319" s="143"/>
      <c r="H319" s="2"/>
      <c r="I319" s="30"/>
    </row>
    <row r="320" spans="4:9">
      <c r="D320" s="47"/>
      <c r="E320" s="143"/>
      <c r="H320" s="2"/>
      <c r="I320" s="30"/>
    </row>
    <row r="321" spans="4:9">
      <c r="D321" s="47"/>
      <c r="E321" s="143"/>
      <c r="H321" s="2"/>
      <c r="I321" s="30"/>
    </row>
    <row r="322" spans="4:9">
      <c r="D322" s="47"/>
      <c r="E322" s="143"/>
      <c r="H322" s="2"/>
      <c r="I322" s="30"/>
    </row>
    <row r="323" spans="4:9">
      <c r="D323" s="47"/>
      <c r="E323" s="143"/>
      <c r="H323" s="2"/>
      <c r="I323" s="30"/>
    </row>
    <row r="324" spans="4:9">
      <c r="D324" s="47"/>
      <c r="E324" s="143"/>
      <c r="H324" s="2"/>
      <c r="I324" s="30"/>
    </row>
    <row r="325" spans="4:9">
      <c r="D325" s="47"/>
      <c r="E325" s="143"/>
      <c r="H325" s="2"/>
      <c r="I325" s="30"/>
    </row>
    <row r="326" spans="4:9">
      <c r="D326" s="47"/>
      <c r="E326" s="143"/>
      <c r="H326" s="2"/>
      <c r="I326" s="30"/>
    </row>
    <row r="327" spans="4:9">
      <c r="D327" s="47"/>
      <c r="E327" s="143"/>
      <c r="H327" s="2"/>
      <c r="I327" s="30"/>
    </row>
    <row r="328" spans="4:9">
      <c r="D328" s="47"/>
      <c r="E328" s="143"/>
      <c r="H328" s="2"/>
      <c r="I328" s="30"/>
    </row>
    <row r="329" spans="4:9">
      <c r="D329" s="47"/>
      <c r="E329" s="143"/>
      <c r="H329" s="2"/>
      <c r="I329" s="30"/>
    </row>
    <row r="330" spans="4:9">
      <c r="D330" s="47"/>
      <c r="E330" s="143"/>
      <c r="H330" s="2"/>
      <c r="I330" s="30"/>
    </row>
    <row r="331" spans="4:9">
      <c r="D331" s="47"/>
      <c r="E331" s="143"/>
      <c r="H331" s="2"/>
      <c r="I331" s="30"/>
    </row>
    <row r="332" spans="4:9">
      <c r="D332" s="47"/>
      <c r="E332" s="143"/>
      <c r="H332" s="2"/>
      <c r="I332" s="30"/>
    </row>
    <row r="333" spans="4:9">
      <c r="D333" s="47"/>
      <c r="E333" s="143"/>
      <c r="H333" s="2"/>
      <c r="I333" s="30"/>
    </row>
    <row r="334" spans="4:9">
      <c r="D334" s="47"/>
      <c r="E334" s="143"/>
      <c r="H334" s="2"/>
      <c r="I334" s="30"/>
    </row>
    <row r="335" spans="4:9">
      <c r="D335" s="47"/>
      <c r="E335" s="143"/>
      <c r="H335" s="2"/>
      <c r="I335" s="30"/>
    </row>
    <row r="336" spans="4:9">
      <c r="D336" s="47"/>
      <c r="E336" s="143"/>
      <c r="H336" s="2"/>
      <c r="I336" s="30"/>
    </row>
    <row r="337" spans="4:9">
      <c r="D337" s="47"/>
      <c r="E337" s="143"/>
      <c r="H337" s="2"/>
      <c r="I337" s="30"/>
    </row>
    <row r="338" spans="4:9">
      <c r="D338" s="47"/>
      <c r="E338" s="143"/>
      <c r="H338" s="2"/>
      <c r="I338" s="30"/>
    </row>
    <row r="339" spans="4:9">
      <c r="D339" s="47"/>
      <c r="E339" s="143"/>
      <c r="H339" s="2"/>
      <c r="I339" s="30"/>
    </row>
    <row r="340" spans="4:9">
      <c r="D340" s="47"/>
      <c r="E340" s="143"/>
      <c r="H340" s="2"/>
      <c r="I340" s="30"/>
    </row>
    <row r="341" spans="4:9">
      <c r="D341" s="47"/>
      <c r="E341" s="143"/>
      <c r="H341" s="2"/>
      <c r="I341" s="30"/>
    </row>
    <row r="342" spans="4:9">
      <c r="D342" s="47"/>
      <c r="E342" s="143"/>
      <c r="H342" s="2"/>
      <c r="I342" s="30"/>
    </row>
    <row r="343" spans="4:9">
      <c r="D343" s="47"/>
      <c r="E343" s="143"/>
      <c r="H343" s="2"/>
      <c r="I343" s="30"/>
    </row>
    <row r="344" spans="4:9">
      <c r="D344" s="47"/>
      <c r="E344" s="143"/>
      <c r="H344" s="2"/>
      <c r="I344" s="30"/>
    </row>
    <row r="345" spans="4:9">
      <c r="D345" s="47"/>
      <c r="E345" s="143"/>
      <c r="H345" s="2"/>
      <c r="I345" s="30"/>
    </row>
    <row r="346" spans="4:9">
      <c r="D346" s="47"/>
      <c r="E346" s="143"/>
      <c r="H346" s="2"/>
      <c r="I346" s="30"/>
    </row>
    <row r="347" spans="4:9">
      <c r="D347" s="47"/>
      <c r="E347" s="143"/>
      <c r="H347" s="2"/>
      <c r="I347" s="30"/>
    </row>
    <row r="348" spans="4:9">
      <c r="D348" s="47"/>
      <c r="E348" s="143"/>
      <c r="H348" s="2"/>
      <c r="I348" s="30"/>
    </row>
    <row r="349" spans="4:9">
      <c r="D349" s="47"/>
      <c r="E349" s="143"/>
      <c r="H349" s="2"/>
      <c r="I349" s="30"/>
    </row>
    <row r="350" spans="4:9">
      <c r="D350" s="47"/>
      <c r="E350" s="143"/>
      <c r="H350" s="2"/>
      <c r="I350" s="30"/>
    </row>
    <row r="351" spans="4:9">
      <c r="D351" s="47"/>
      <c r="E351" s="143"/>
      <c r="H351" s="2"/>
      <c r="I351" s="30"/>
    </row>
    <row r="352" spans="4:9">
      <c r="D352" s="47"/>
      <c r="E352" s="143"/>
      <c r="H352" s="2"/>
      <c r="I352" s="30"/>
    </row>
    <row r="353" spans="4:9">
      <c r="D353" s="47"/>
      <c r="E353" s="143"/>
      <c r="H353" s="2"/>
      <c r="I353" s="30"/>
    </row>
    <row r="354" spans="4:9">
      <c r="D354" s="47"/>
      <c r="E354" s="143"/>
      <c r="H354" s="2"/>
      <c r="I354" s="30"/>
    </row>
    <row r="355" spans="4:9">
      <c r="D355" s="47"/>
      <c r="E355" s="143"/>
      <c r="H355" s="2"/>
      <c r="I355" s="30"/>
    </row>
    <row r="356" spans="4:9">
      <c r="D356" s="47"/>
      <c r="E356" s="143"/>
      <c r="H356" s="2"/>
      <c r="I356" s="30"/>
    </row>
    <row r="357" spans="4:9">
      <c r="D357" s="47"/>
      <c r="E357" s="143"/>
      <c r="H357" s="2"/>
      <c r="I357" s="30"/>
    </row>
    <row r="358" spans="4:9">
      <c r="D358" s="47"/>
      <c r="E358" s="143"/>
      <c r="H358" s="2"/>
      <c r="I358" s="30"/>
    </row>
    <row r="359" spans="4:9">
      <c r="D359" s="47"/>
      <c r="E359" s="143"/>
      <c r="H359" s="2"/>
      <c r="I359" s="30"/>
    </row>
    <row r="360" spans="4:9">
      <c r="D360" s="47"/>
      <c r="E360" s="143"/>
      <c r="H360" s="2"/>
      <c r="I360" s="30"/>
    </row>
    <row r="361" spans="4:9">
      <c r="D361" s="47"/>
      <c r="E361" s="143"/>
      <c r="H361" s="2"/>
      <c r="I361" s="30"/>
    </row>
    <row r="362" spans="4:9">
      <c r="D362" s="47"/>
      <c r="E362" s="143"/>
      <c r="H362" s="2"/>
      <c r="I362" s="30"/>
    </row>
    <row r="363" spans="4:9">
      <c r="D363" s="47"/>
      <c r="E363" s="143"/>
      <c r="H363" s="2"/>
      <c r="I363" s="30"/>
    </row>
    <row r="364" spans="4:9">
      <c r="D364" s="47"/>
      <c r="E364" s="143"/>
      <c r="H364" s="2"/>
      <c r="I364" s="30"/>
    </row>
    <row r="365" spans="4:9">
      <c r="D365" s="47"/>
      <c r="E365" s="143"/>
      <c r="H365" s="2"/>
      <c r="I365" s="30"/>
    </row>
    <row r="366" spans="4:9">
      <c r="D366" s="47"/>
      <c r="E366" s="143"/>
      <c r="H366" s="2"/>
      <c r="I366" s="30"/>
    </row>
    <row r="367" spans="4:9">
      <c r="D367" s="47"/>
      <c r="E367" s="143"/>
      <c r="H367" s="2"/>
      <c r="I367" s="30"/>
    </row>
    <row r="368" spans="4:9">
      <c r="D368" s="47"/>
      <c r="E368" s="143"/>
      <c r="H368" s="2"/>
      <c r="I368" s="30"/>
    </row>
    <row r="369" spans="4:9">
      <c r="D369" s="47"/>
      <c r="E369" s="143"/>
      <c r="H369" s="2"/>
      <c r="I369" s="30"/>
    </row>
    <row r="370" spans="4:9">
      <c r="D370" s="47"/>
      <c r="E370" s="143"/>
      <c r="H370" s="2"/>
      <c r="I370" s="30"/>
    </row>
    <row r="371" spans="4:9">
      <c r="D371" s="47"/>
      <c r="E371" s="143"/>
      <c r="H371" s="2"/>
      <c r="I371" s="30"/>
    </row>
    <row r="372" spans="4:9">
      <c r="D372" s="47"/>
      <c r="E372" s="143"/>
      <c r="H372" s="2"/>
      <c r="I372" s="30"/>
    </row>
    <row r="373" spans="4:9">
      <c r="D373" s="47"/>
      <c r="E373" s="143"/>
      <c r="H373" s="2"/>
      <c r="I373" s="30"/>
    </row>
    <row r="374" spans="4:9">
      <c r="D374" s="47"/>
      <c r="E374" s="143"/>
      <c r="H374" s="2"/>
      <c r="I374" s="30"/>
    </row>
    <row r="375" spans="4:9">
      <c r="D375" s="47"/>
      <c r="E375" s="143"/>
      <c r="H375" s="2"/>
      <c r="I375" s="30"/>
    </row>
    <row r="376" spans="4:9">
      <c r="D376" s="47"/>
      <c r="E376" s="143"/>
      <c r="H376" s="2"/>
      <c r="I376" s="30"/>
    </row>
    <row r="377" spans="4:9">
      <c r="D377" s="47"/>
      <c r="E377" s="143"/>
      <c r="H377" s="2"/>
      <c r="I377" s="30"/>
    </row>
    <row r="378" spans="4:9">
      <c r="D378" s="47"/>
      <c r="E378" s="143"/>
      <c r="H378" s="2"/>
      <c r="I378" s="30"/>
    </row>
    <row r="379" spans="4:9">
      <c r="D379" s="47"/>
      <c r="E379" s="143"/>
      <c r="H379" s="2"/>
      <c r="I379" s="30"/>
    </row>
    <row r="380" spans="4:9">
      <c r="D380" s="47"/>
      <c r="E380" s="143"/>
      <c r="H380" s="2"/>
      <c r="I380" s="30"/>
    </row>
    <row r="381" spans="4:9">
      <c r="D381" s="47"/>
      <c r="E381" s="143"/>
      <c r="H381" s="2"/>
      <c r="I381" s="30"/>
    </row>
    <row r="382" spans="4:9">
      <c r="D382" s="47"/>
      <c r="E382" s="143"/>
      <c r="H382" s="2"/>
      <c r="I382" s="30"/>
    </row>
    <row r="383" spans="4:9">
      <c r="D383" s="47"/>
      <c r="E383" s="143"/>
      <c r="H383" s="2"/>
      <c r="I383" s="30"/>
    </row>
    <row r="384" spans="4:9">
      <c r="D384" s="47"/>
      <c r="E384" s="143"/>
      <c r="H384" s="2"/>
      <c r="I384" s="30"/>
    </row>
    <row r="385" spans="4:9">
      <c r="D385" s="47"/>
      <c r="E385" s="143"/>
      <c r="H385" s="2"/>
      <c r="I385" s="30"/>
    </row>
    <row r="386" spans="4:9">
      <c r="D386" s="47"/>
      <c r="E386" s="143"/>
      <c r="H386" s="2"/>
      <c r="I386" s="30"/>
    </row>
    <row r="387" spans="4:9">
      <c r="D387" s="47"/>
      <c r="E387" s="143"/>
      <c r="H387" s="2"/>
      <c r="I387" s="30"/>
    </row>
    <row r="388" spans="4:9">
      <c r="D388" s="47"/>
      <c r="E388" s="143"/>
      <c r="H388" s="2"/>
      <c r="I388" s="30"/>
    </row>
    <row r="389" spans="4:9">
      <c r="D389" s="47"/>
      <c r="E389" s="143"/>
      <c r="H389" s="2"/>
      <c r="I389" s="30"/>
    </row>
    <row r="390" spans="4:9">
      <c r="D390" s="47"/>
      <c r="E390" s="143"/>
      <c r="H390" s="2"/>
      <c r="I390" s="30"/>
    </row>
    <row r="391" spans="4:9">
      <c r="D391" s="47"/>
      <c r="E391" s="143"/>
      <c r="H391" s="2"/>
      <c r="I391" s="30"/>
    </row>
    <row r="392" spans="4:9">
      <c r="D392" s="47"/>
      <c r="E392" s="143"/>
      <c r="H392" s="2"/>
      <c r="I392" s="30"/>
    </row>
    <row r="393" spans="4:9">
      <c r="D393" s="47"/>
      <c r="E393" s="143"/>
      <c r="H393" s="2"/>
      <c r="I393" s="30"/>
    </row>
    <row r="394" spans="4:9">
      <c r="D394" s="47"/>
      <c r="E394" s="143"/>
      <c r="H394" s="2"/>
      <c r="I394" s="30"/>
    </row>
    <row r="395" spans="4:9">
      <c r="D395" s="47"/>
      <c r="E395" s="143"/>
      <c r="H395" s="2"/>
      <c r="I395" s="30"/>
    </row>
    <row r="396" spans="4:9">
      <c r="D396" s="47"/>
      <c r="E396" s="143"/>
      <c r="H396" s="2"/>
      <c r="I396" s="30"/>
    </row>
    <row r="397" spans="4:9">
      <c r="D397" s="47"/>
      <c r="E397" s="143"/>
      <c r="H397" s="2"/>
      <c r="I397" s="30"/>
    </row>
    <row r="398" spans="4:9">
      <c r="D398" s="47"/>
      <c r="E398" s="143"/>
      <c r="H398" s="2"/>
      <c r="I398" s="30"/>
    </row>
    <row r="399" spans="4:9">
      <c r="D399" s="47"/>
      <c r="E399" s="143"/>
      <c r="H399" s="2"/>
      <c r="I399" s="30"/>
    </row>
    <row r="400" spans="4:9">
      <c r="D400" s="47"/>
      <c r="E400" s="143"/>
      <c r="H400" s="2"/>
      <c r="I400" s="30"/>
    </row>
    <row r="401" spans="4:9">
      <c r="D401" s="47"/>
      <c r="E401" s="143"/>
      <c r="H401" s="2"/>
      <c r="I401" s="30"/>
    </row>
    <row r="402" spans="4:9">
      <c r="D402" s="47"/>
      <c r="E402" s="143"/>
      <c r="H402" s="2"/>
      <c r="I402" s="30"/>
    </row>
    <row r="403" spans="4:9">
      <c r="D403" s="47"/>
      <c r="E403" s="143"/>
      <c r="H403" s="2"/>
      <c r="I403" s="30"/>
    </row>
    <row r="404" spans="4:9">
      <c r="D404" s="47"/>
      <c r="E404" s="143"/>
      <c r="H404" s="2"/>
      <c r="I404" s="30"/>
    </row>
    <row r="405" spans="4:9">
      <c r="D405" s="47"/>
      <c r="E405" s="143"/>
      <c r="H405" s="2"/>
      <c r="I405" s="30"/>
    </row>
    <row r="406" spans="4:9">
      <c r="D406" s="47"/>
      <c r="E406" s="143"/>
      <c r="H406" s="2"/>
      <c r="I406" s="30"/>
    </row>
    <row r="407" spans="4:9">
      <c r="D407" s="47"/>
      <c r="E407" s="143"/>
      <c r="H407" s="2"/>
      <c r="I407" s="30"/>
    </row>
    <row r="408" spans="4:9">
      <c r="D408" s="47"/>
      <c r="E408" s="143"/>
      <c r="H408" s="2"/>
      <c r="I408" s="30"/>
    </row>
    <row r="409" spans="4:9">
      <c r="D409" s="47"/>
      <c r="E409" s="143"/>
      <c r="H409" s="2"/>
      <c r="I409" s="30"/>
    </row>
    <row r="410" spans="4:9">
      <c r="D410" s="47"/>
      <c r="E410" s="143"/>
      <c r="H410" s="2"/>
      <c r="I410" s="30"/>
    </row>
    <row r="411" spans="4:9">
      <c r="D411" s="47"/>
      <c r="E411" s="143"/>
      <c r="H411" s="2"/>
      <c r="I411" s="30"/>
    </row>
    <row r="412" spans="4:9">
      <c r="D412" s="47"/>
      <c r="E412" s="143"/>
      <c r="H412" s="2"/>
      <c r="I412" s="30"/>
    </row>
    <row r="413" spans="4:9">
      <c r="D413" s="47"/>
      <c r="E413" s="143"/>
      <c r="H413" s="2"/>
      <c r="I413" s="30"/>
    </row>
    <row r="414" spans="4:9">
      <c r="D414" s="47"/>
      <c r="E414" s="143"/>
      <c r="H414" s="2"/>
      <c r="I414" s="30"/>
    </row>
    <row r="415" spans="4:9">
      <c r="D415" s="47"/>
      <c r="E415" s="143"/>
      <c r="H415" s="2"/>
      <c r="I415" s="30"/>
    </row>
    <row r="416" spans="4:9">
      <c r="D416" s="47"/>
      <c r="E416" s="143"/>
      <c r="H416" s="2"/>
      <c r="I416" s="30"/>
    </row>
    <row r="417" spans="4:9">
      <c r="D417" s="47"/>
      <c r="E417" s="143"/>
      <c r="H417" s="2"/>
      <c r="I417" s="30"/>
    </row>
    <row r="418" spans="4:9">
      <c r="D418" s="47"/>
      <c r="E418" s="143"/>
      <c r="H418" s="2"/>
      <c r="I418" s="30"/>
    </row>
    <row r="419" spans="4:9">
      <c r="D419" s="47"/>
      <c r="E419" s="143"/>
      <c r="H419" s="2"/>
      <c r="I419" s="30"/>
    </row>
    <row r="420" spans="4:9">
      <c r="D420" s="47"/>
      <c r="E420" s="143"/>
      <c r="H420" s="2"/>
      <c r="I420" s="30"/>
    </row>
    <row r="421" spans="4:9">
      <c r="D421" s="47"/>
      <c r="E421" s="143"/>
      <c r="H421" s="2"/>
      <c r="I421" s="30"/>
    </row>
    <row r="422" spans="4:9">
      <c r="D422" s="47"/>
      <c r="E422" s="143"/>
      <c r="H422" s="2"/>
      <c r="I422" s="30"/>
    </row>
    <row r="423" spans="4:9">
      <c r="D423" s="47"/>
      <c r="E423" s="143"/>
      <c r="H423" s="2"/>
      <c r="I423" s="30"/>
    </row>
    <row r="424" spans="4:9">
      <c r="D424" s="47"/>
      <c r="E424" s="143"/>
      <c r="H424" s="2"/>
      <c r="I424" s="30"/>
    </row>
    <row r="425" spans="4:9">
      <c r="D425" s="47"/>
      <c r="E425" s="143"/>
      <c r="H425" s="2"/>
      <c r="I425" s="30"/>
    </row>
    <row r="426" spans="4:9">
      <c r="D426" s="47"/>
      <c r="E426" s="143"/>
      <c r="H426" s="2"/>
      <c r="I426" s="30"/>
    </row>
    <row r="427" spans="4:9">
      <c r="D427" s="47"/>
      <c r="E427" s="143"/>
      <c r="H427" s="2"/>
      <c r="I427" s="30"/>
    </row>
    <row r="428" spans="4:9">
      <c r="D428" s="47"/>
      <c r="E428" s="143"/>
      <c r="H428" s="2"/>
      <c r="I428" s="30"/>
    </row>
    <row r="429" spans="4:9">
      <c r="D429" s="47"/>
      <c r="E429" s="143"/>
      <c r="H429" s="2"/>
      <c r="I429" s="30"/>
    </row>
    <row r="430" spans="4:9">
      <c r="D430" s="47"/>
      <c r="E430" s="143"/>
      <c r="H430" s="2"/>
      <c r="I430" s="30"/>
    </row>
    <row r="431" spans="4:9">
      <c r="D431" s="47"/>
      <c r="E431" s="143"/>
      <c r="H431" s="2"/>
      <c r="I431" s="30"/>
    </row>
    <row r="432" spans="4:9">
      <c r="D432" s="47"/>
      <c r="E432" s="143"/>
      <c r="H432" s="2"/>
      <c r="I432" s="30"/>
    </row>
    <row r="433" spans="4:9">
      <c r="D433" s="47"/>
      <c r="E433" s="143"/>
      <c r="H433" s="2"/>
      <c r="I433" s="30"/>
    </row>
    <row r="434" spans="4:9">
      <c r="D434" s="47"/>
      <c r="E434" s="143"/>
      <c r="H434" s="2"/>
      <c r="I434" s="30"/>
    </row>
    <row r="435" spans="4:9">
      <c r="D435" s="47"/>
      <c r="E435" s="143"/>
      <c r="H435" s="2"/>
      <c r="I435" s="30"/>
    </row>
    <row r="436" spans="4:9">
      <c r="D436" s="47"/>
      <c r="E436" s="143"/>
      <c r="H436" s="2"/>
      <c r="I436" s="30"/>
    </row>
    <row r="437" spans="4:9">
      <c r="D437" s="47"/>
      <c r="E437" s="143"/>
      <c r="H437" s="2"/>
      <c r="I437" s="30"/>
    </row>
    <row r="438" spans="4:9">
      <c r="D438" s="47"/>
      <c r="E438" s="143"/>
      <c r="H438" s="2"/>
      <c r="I438" s="30"/>
    </row>
    <row r="439" spans="4:9">
      <c r="D439" s="47"/>
      <c r="E439" s="143"/>
      <c r="H439" s="2"/>
      <c r="I439" s="30"/>
    </row>
    <row r="440" spans="4:9">
      <c r="D440" s="47"/>
      <c r="E440" s="143"/>
      <c r="H440" s="2"/>
      <c r="I440" s="30"/>
    </row>
    <row r="441" spans="4:9">
      <c r="D441" s="47"/>
      <c r="E441" s="143"/>
      <c r="H441" s="2"/>
      <c r="I441" s="30"/>
    </row>
    <row r="442" spans="4:9">
      <c r="D442" s="47"/>
      <c r="E442" s="143"/>
      <c r="H442" s="2"/>
      <c r="I442" s="30"/>
    </row>
    <row r="443" spans="4:9">
      <c r="D443" s="47"/>
      <c r="E443" s="143"/>
      <c r="H443" s="2"/>
      <c r="I443" s="30"/>
    </row>
    <row r="444" spans="4:9">
      <c r="D444" s="47"/>
      <c r="E444" s="143"/>
      <c r="H444" s="2"/>
      <c r="I444" s="30"/>
    </row>
    <row r="445" spans="4:9">
      <c r="D445" s="47"/>
      <c r="E445" s="143"/>
      <c r="H445" s="2"/>
      <c r="I445" s="30"/>
    </row>
    <row r="446" spans="4:9">
      <c r="D446" s="47"/>
      <c r="E446" s="143"/>
      <c r="H446" s="2"/>
      <c r="I446" s="30"/>
    </row>
    <row r="447" spans="4:9">
      <c r="D447" s="47"/>
      <c r="E447" s="143"/>
      <c r="H447" s="2"/>
      <c r="I447" s="30"/>
    </row>
    <row r="448" spans="4:9">
      <c r="D448" s="47"/>
      <c r="E448" s="143"/>
      <c r="H448" s="2"/>
      <c r="I448" s="30"/>
    </row>
    <row r="449" spans="4:9">
      <c r="D449" s="47"/>
      <c r="E449" s="143"/>
      <c r="H449" s="2"/>
      <c r="I449" s="30"/>
    </row>
    <row r="450" spans="4:9">
      <c r="D450" s="47"/>
      <c r="E450" s="143"/>
      <c r="H450" s="2"/>
      <c r="I450" s="30"/>
    </row>
    <row r="451" spans="4:9">
      <c r="D451" s="47"/>
      <c r="E451" s="143"/>
      <c r="H451" s="2"/>
      <c r="I451" s="30"/>
    </row>
    <row r="452" spans="4:9">
      <c r="D452" s="47"/>
      <c r="E452" s="143"/>
      <c r="H452" s="2"/>
      <c r="I452" s="30"/>
    </row>
    <row r="453" spans="4:9">
      <c r="D453" s="47"/>
      <c r="E453" s="143"/>
      <c r="H453" s="2"/>
      <c r="I453" s="30"/>
    </row>
    <row r="454" spans="4:9">
      <c r="D454" s="47"/>
      <c r="E454" s="143"/>
      <c r="H454" s="2"/>
      <c r="I454" s="30"/>
    </row>
    <row r="455" spans="4:9">
      <c r="D455" s="47"/>
      <c r="E455" s="143"/>
      <c r="H455" s="2"/>
      <c r="I455" s="30"/>
    </row>
    <row r="456" spans="4:9">
      <c r="D456" s="47"/>
      <c r="E456" s="143"/>
      <c r="H456" s="2"/>
      <c r="I456" s="30"/>
    </row>
    <row r="457" spans="4:9">
      <c r="D457" s="47"/>
      <c r="E457" s="143"/>
      <c r="H457" s="2"/>
      <c r="I457" s="30"/>
    </row>
    <row r="458" spans="4:9">
      <c r="D458" s="47"/>
      <c r="E458" s="143"/>
      <c r="H458" s="2"/>
      <c r="I458" s="30"/>
    </row>
    <row r="459" spans="4:9">
      <c r="D459" s="47"/>
      <c r="E459" s="143"/>
      <c r="H459" s="2"/>
      <c r="I459" s="30"/>
    </row>
    <row r="460" spans="4:9">
      <c r="D460" s="47"/>
      <c r="E460" s="143"/>
      <c r="H460" s="2"/>
      <c r="I460" s="30"/>
    </row>
    <row r="461" spans="4:9">
      <c r="D461" s="47"/>
      <c r="E461" s="143"/>
      <c r="H461" s="2"/>
      <c r="I461" s="30"/>
    </row>
    <row r="462" spans="4:9">
      <c r="D462" s="47"/>
      <c r="E462" s="143"/>
      <c r="H462" s="2"/>
      <c r="I462" s="30"/>
    </row>
    <row r="463" spans="4:9">
      <c r="D463" s="47"/>
      <c r="E463" s="143"/>
      <c r="H463" s="2"/>
      <c r="I463" s="30"/>
    </row>
    <row r="464" spans="4:9">
      <c r="D464" s="47"/>
      <c r="E464" s="143"/>
      <c r="H464" s="2"/>
      <c r="I464" s="30"/>
    </row>
    <row r="465" spans="4:9">
      <c r="D465" s="47"/>
      <c r="E465" s="143"/>
      <c r="H465" s="2"/>
      <c r="I465" s="30"/>
    </row>
    <row r="466" spans="4:9">
      <c r="D466" s="47"/>
      <c r="E466" s="143"/>
      <c r="H466" s="2"/>
      <c r="I466" s="30"/>
    </row>
    <row r="467" spans="4:9">
      <c r="D467" s="47"/>
      <c r="E467" s="143"/>
      <c r="H467" s="2"/>
      <c r="I467" s="30"/>
    </row>
    <row r="468" spans="4:9">
      <c r="D468" s="47"/>
      <c r="E468" s="143"/>
      <c r="H468" s="2"/>
      <c r="I468" s="30"/>
    </row>
    <row r="469" spans="4:9">
      <c r="D469" s="47"/>
      <c r="E469" s="143"/>
      <c r="H469" s="2"/>
      <c r="I469" s="30"/>
    </row>
    <row r="470" spans="4:9">
      <c r="D470" s="47"/>
      <c r="E470" s="143"/>
      <c r="H470" s="2"/>
      <c r="I470" s="30"/>
    </row>
    <row r="471" spans="4:9">
      <c r="D471" s="47"/>
      <c r="E471" s="143"/>
      <c r="H471" s="2"/>
      <c r="I471" s="30"/>
    </row>
    <row r="472" spans="4:9">
      <c r="D472" s="47"/>
      <c r="E472" s="143"/>
      <c r="H472" s="2"/>
      <c r="I472" s="30"/>
    </row>
    <row r="473" spans="4:9">
      <c r="D473" s="47"/>
      <c r="E473" s="143"/>
      <c r="H473" s="2"/>
      <c r="I473" s="30"/>
    </row>
    <row r="474" spans="4:9">
      <c r="D474" s="47"/>
      <c r="E474" s="143"/>
      <c r="H474" s="2"/>
      <c r="I474" s="30"/>
    </row>
    <row r="475" spans="4:9">
      <c r="D475" s="47"/>
      <c r="E475" s="143"/>
      <c r="H475" s="2"/>
      <c r="I475" s="30"/>
    </row>
    <row r="476" spans="4:9">
      <c r="D476" s="47"/>
      <c r="E476" s="143"/>
      <c r="H476" s="2"/>
      <c r="I476" s="30"/>
    </row>
    <row r="477" spans="4:9">
      <c r="D477" s="47"/>
      <c r="E477" s="143"/>
      <c r="H477" s="2"/>
      <c r="I477" s="30"/>
    </row>
    <row r="478" spans="4:9">
      <c r="D478" s="47"/>
      <c r="E478" s="143"/>
      <c r="H478" s="2"/>
      <c r="I478" s="30"/>
    </row>
    <row r="479" spans="4:9">
      <c r="D479" s="47"/>
      <c r="E479" s="143"/>
      <c r="H479" s="2"/>
      <c r="I479" s="30"/>
    </row>
    <row r="480" spans="4:9">
      <c r="D480" s="47"/>
      <c r="E480" s="143"/>
      <c r="H480" s="2"/>
      <c r="I480" s="30"/>
    </row>
    <row r="481" spans="4:9">
      <c r="D481" s="47"/>
      <c r="E481" s="143"/>
      <c r="H481" s="2"/>
      <c r="I481" s="30"/>
    </row>
    <row r="482" spans="4:9">
      <c r="D482" s="47"/>
      <c r="E482" s="143"/>
      <c r="H482" s="2"/>
      <c r="I482" s="30"/>
    </row>
    <row r="483" spans="4:9">
      <c r="D483" s="47"/>
      <c r="E483" s="143"/>
      <c r="H483" s="2"/>
      <c r="I483" s="30"/>
    </row>
    <row r="484" spans="4:9">
      <c r="D484" s="47"/>
      <c r="E484" s="143"/>
      <c r="H484" s="2"/>
      <c r="I484" s="30"/>
    </row>
    <row r="485" spans="4:9">
      <c r="D485" s="47"/>
      <c r="E485" s="143"/>
      <c r="H485" s="2"/>
      <c r="I485" s="30"/>
    </row>
    <row r="486" spans="4:9">
      <c r="D486" s="47"/>
      <c r="E486" s="143"/>
      <c r="H486" s="2"/>
      <c r="I486" s="30"/>
    </row>
    <row r="487" spans="4:9">
      <c r="D487" s="47"/>
      <c r="E487" s="143"/>
      <c r="H487" s="2"/>
      <c r="I487" s="30"/>
    </row>
    <row r="488" spans="4:9">
      <c r="D488" s="47"/>
      <c r="E488" s="143"/>
      <c r="H488" s="2"/>
      <c r="I488" s="30"/>
    </row>
    <row r="489" spans="4:9">
      <c r="D489" s="47"/>
      <c r="E489" s="143"/>
      <c r="H489" s="2"/>
      <c r="I489" s="30"/>
    </row>
    <row r="490" spans="4:9">
      <c r="D490" s="47"/>
      <c r="E490" s="143"/>
      <c r="H490" s="2"/>
      <c r="I490" s="30"/>
    </row>
    <row r="491" spans="4:9">
      <c r="D491" s="47"/>
      <c r="E491" s="143"/>
      <c r="H491" s="2"/>
      <c r="I491" s="30"/>
    </row>
    <row r="492" spans="4:9">
      <c r="D492" s="47"/>
      <c r="E492" s="143"/>
      <c r="H492" s="2"/>
      <c r="I492" s="30"/>
    </row>
    <row r="493" spans="4:9">
      <c r="D493" s="47"/>
      <c r="E493" s="143"/>
      <c r="H493" s="2"/>
      <c r="I493" s="30"/>
    </row>
    <row r="494" spans="4:9">
      <c r="D494" s="47"/>
      <c r="E494" s="143"/>
      <c r="H494" s="2"/>
      <c r="I494" s="30"/>
    </row>
    <row r="495" spans="4:9">
      <c r="D495" s="47"/>
      <c r="E495" s="143"/>
      <c r="H495" s="2"/>
      <c r="I495" s="30"/>
    </row>
    <row r="496" spans="4:9">
      <c r="D496" s="47"/>
      <c r="E496" s="143"/>
      <c r="H496" s="2"/>
      <c r="I496" s="30"/>
    </row>
    <row r="497" spans="4:9">
      <c r="D497" s="47"/>
      <c r="E497" s="143"/>
      <c r="H497" s="2"/>
      <c r="I497" s="30"/>
    </row>
    <row r="498" spans="4:9">
      <c r="D498" s="47"/>
      <c r="E498" s="143"/>
      <c r="H498" s="2"/>
      <c r="I498" s="30"/>
    </row>
    <row r="499" spans="4:9">
      <c r="D499" s="47"/>
      <c r="E499" s="143"/>
      <c r="H499" s="2"/>
      <c r="I499" s="30"/>
    </row>
    <row r="500" spans="4:9">
      <c r="D500" s="47"/>
      <c r="E500" s="143"/>
      <c r="H500" s="2"/>
      <c r="I500" s="30"/>
    </row>
    <row r="501" spans="4:9">
      <c r="D501" s="47"/>
      <c r="E501" s="143"/>
      <c r="H501" s="2"/>
      <c r="I501" s="30"/>
    </row>
    <row r="502" spans="4:9">
      <c r="D502" s="47"/>
      <c r="E502" s="143"/>
      <c r="H502" s="2"/>
      <c r="I502" s="30"/>
    </row>
    <row r="503" spans="4:9">
      <c r="D503" s="47"/>
      <c r="E503" s="143"/>
      <c r="H503" s="2"/>
      <c r="I503" s="30"/>
    </row>
    <row r="504" spans="4:9">
      <c r="D504" s="47"/>
      <c r="E504" s="143"/>
      <c r="H504" s="2"/>
      <c r="I504" s="30"/>
    </row>
    <row r="505" spans="4:9">
      <c r="D505" s="47"/>
      <c r="E505" s="143"/>
      <c r="H505" s="2"/>
      <c r="I505" s="30"/>
    </row>
    <row r="506" spans="4:9">
      <c r="D506" s="47"/>
      <c r="E506" s="143"/>
      <c r="H506" s="2"/>
      <c r="I506" s="30"/>
    </row>
    <row r="507" spans="4:9">
      <c r="D507" s="47"/>
      <c r="E507" s="143"/>
      <c r="H507" s="2"/>
      <c r="I507" s="30"/>
    </row>
    <row r="508" spans="4:9">
      <c r="D508" s="47"/>
      <c r="E508" s="143"/>
      <c r="H508" s="2"/>
      <c r="I508" s="30"/>
    </row>
    <row r="509" spans="4:9">
      <c r="D509" s="47"/>
      <c r="E509" s="143"/>
      <c r="H509" s="2"/>
      <c r="I509" s="30"/>
    </row>
    <row r="510" spans="4:9">
      <c r="D510" s="47"/>
      <c r="E510" s="143"/>
      <c r="H510" s="2"/>
      <c r="I510" s="30"/>
    </row>
    <row r="511" spans="4:9">
      <c r="D511" s="47"/>
      <c r="E511" s="143"/>
      <c r="H511" s="2"/>
      <c r="I511" s="30"/>
    </row>
    <row r="512" spans="4:9">
      <c r="D512" s="47"/>
      <c r="E512" s="143"/>
      <c r="H512" s="2"/>
      <c r="I512" s="30"/>
    </row>
    <row r="513" spans="4:9">
      <c r="D513" s="47"/>
      <c r="E513" s="143"/>
      <c r="H513" s="2"/>
      <c r="I513" s="30"/>
    </row>
    <row r="514" spans="4:9">
      <c r="D514" s="47"/>
      <c r="E514" s="143"/>
      <c r="H514" s="2"/>
      <c r="I514" s="30"/>
    </row>
    <row r="515" spans="4:9">
      <c r="D515" s="47"/>
      <c r="E515" s="143"/>
      <c r="H515" s="2"/>
      <c r="I515" s="30"/>
    </row>
    <row r="516" spans="4:9">
      <c r="D516" s="47"/>
      <c r="E516" s="143"/>
      <c r="H516" s="2"/>
      <c r="I516" s="30"/>
    </row>
    <row r="517" spans="4:9">
      <c r="D517" s="47"/>
      <c r="E517" s="143"/>
      <c r="H517" s="2"/>
      <c r="I517" s="30"/>
    </row>
    <row r="518" spans="4:9">
      <c r="D518" s="47"/>
      <c r="E518" s="143"/>
      <c r="H518" s="2"/>
      <c r="I518" s="30"/>
    </row>
    <row r="519" spans="4:9">
      <c r="D519" s="47"/>
      <c r="E519" s="143"/>
      <c r="H519" s="2"/>
      <c r="I519" s="30"/>
    </row>
    <row r="520" spans="4:9">
      <c r="D520" s="47"/>
      <c r="E520" s="143"/>
      <c r="H520" s="2"/>
      <c r="I520" s="30"/>
    </row>
    <row r="521" spans="4:9">
      <c r="D521" s="47"/>
      <c r="E521" s="143"/>
      <c r="H521" s="2"/>
      <c r="I521" s="30"/>
    </row>
    <row r="522" spans="4:9">
      <c r="D522" s="47"/>
      <c r="E522" s="143"/>
      <c r="H522" s="2"/>
      <c r="I522" s="30"/>
    </row>
    <row r="523" spans="4:9">
      <c r="D523" s="47"/>
      <c r="E523" s="143"/>
      <c r="H523" s="2"/>
      <c r="I523" s="30"/>
    </row>
    <row r="524" spans="4:9">
      <c r="D524" s="47"/>
      <c r="E524" s="143"/>
      <c r="H524" s="2"/>
      <c r="I524" s="30"/>
    </row>
    <row r="525" spans="4:9">
      <c r="D525" s="47"/>
      <c r="E525" s="143"/>
      <c r="H525" s="2"/>
      <c r="I525" s="30"/>
    </row>
    <row r="526" spans="4:9">
      <c r="D526" s="47"/>
      <c r="E526" s="143"/>
      <c r="H526" s="2"/>
      <c r="I526" s="30"/>
    </row>
    <row r="527" spans="4:9">
      <c r="D527" s="47"/>
      <c r="E527" s="143"/>
      <c r="H527" s="2"/>
      <c r="I527" s="30"/>
    </row>
    <row r="528" spans="4:9">
      <c r="D528" s="47"/>
      <c r="E528" s="143"/>
      <c r="H528" s="2"/>
      <c r="I528" s="30"/>
    </row>
    <row r="529" spans="4:9">
      <c r="D529" s="47"/>
      <c r="E529" s="143"/>
      <c r="H529" s="2"/>
      <c r="I529" s="30"/>
    </row>
    <row r="530" spans="4:9">
      <c r="D530" s="47"/>
      <c r="E530" s="143"/>
      <c r="H530" s="2"/>
      <c r="I530" s="30"/>
    </row>
    <row r="531" spans="4:9">
      <c r="D531" s="47"/>
      <c r="E531" s="143"/>
      <c r="H531" s="2"/>
      <c r="I531" s="30"/>
    </row>
    <row r="532" spans="4:9">
      <c r="D532" s="47"/>
      <c r="E532" s="143"/>
      <c r="H532" s="2"/>
      <c r="I532" s="30"/>
    </row>
    <row r="533" spans="4:9">
      <c r="D533" s="47"/>
      <c r="E533" s="143"/>
      <c r="H533" s="2"/>
      <c r="I533" s="30"/>
    </row>
    <row r="534" spans="4:9">
      <c r="D534" s="47"/>
      <c r="E534" s="143"/>
      <c r="H534" s="2"/>
      <c r="I534" s="30"/>
    </row>
    <row r="535" spans="4:9">
      <c r="D535" s="47"/>
      <c r="E535" s="143"/>
      <c r="H535" s="2"/>
      <c r="I535" s="30"/>
    </row>
    <row r="536" spans="4:9">
      <c r="D536" s="47"/>
      <c r="E536" s="143"/>
      <c r="H536" s="2"/>
      <c r="I536" s="30"/>
    </row>
    <row r="537" spans="4:9">
      <c r="D537" s="47"/>
      <c r="E537" s="143"/>
      <c r="H537" s="2"/>
      <c r="I537" s="30"/>
    </row>
    <row r="538" spans="4:9">
      <c r="D538" s="47"/>
      <c r="E538" s="143"/>
      <c r="H538" s="2"/>
      <c r="I538" s="30"/>
    </row>
    <row r="539" spans="4:9">
      <c r="D539" s="47"/>
      <c r="E539" s="143"/>
      <c r="H539" s="2"/>
      <c r="I539" s="30"/>
    </row>
    <row r="540" spans="4:9">
      <c r="D540" s="47"/>
      <c r="E540" s="143"/>
      <c r="H540" s="2"/>
      <c r="I540" s="30"/>
    </row>
    <row r="541" spans="4:9">
      <c r="D541" s="47"/>
      <c r="E541" s="143"/>
      <c r="H541" s="2"/>
      <c r="I541" s="30"/>
    </row>
    <row r="542" spans="4:9">
      <c r="D542" s="47"/>
      <c r="E542" s="143"/>
      <c r="H542" s="2"/>
      <c r="I542" s="30"/>
    </row>
    <row r="543" spans="4:9">
      <c r="D543" s="47"/>
      <c r="E543" s="143"/>
      <c r="H543" s="2"/>
      <c r="I543" s="30"/>
    </row>
    <row r="544" spans="4:9">
      <c r="D544" s="47"/>
      <c r="E544" s="143"/>
      <c r="H544" s="2"/>
      <c r="I544" s="30"/>
    </row>
    <row r="545" spans="4:9">
      <c r="D545" s="47"/>
      <c r="E545" s="143"/>
      <c r="H545" s="2"/>
      <c r="I545" s="30"/>
    </row>
    <row r="546" spans="4:9">
      <c r="D546" s="47"/>
      <c r="E546" s="143"/>
      <c r="H546" s="2"/>
      <c r="I546" s="30"/>
    </row>
    <row r="547" spans="4:9">
      <c r="D547" s="47"/>
      <c r="E547" s="143"/>
      <c r="H547" s="2"/>
      <c r="I547" s="30"/>
    </row>
    <row r="548" spans="4:9">
      <c r="D548" s="47"/>
      <c r="E548" s="143"/>
      <c r="H548" s="2"/>
      <c r="I548" s="30"/>
    </row>
    <row r="549" spans="4:9">
      <c r="D549" s="47"/>
      <c r="E549" s="143"/>
      <c r="H549" s="2"/>
      <c r="I549" s="30"/>
    </row>
    <row r="550" spans="4:9">
      <c r="D550" s="47"/>
      <c r="E550" s="143"/>
      <c r="H550" s="2"/>
      <c r="I550" s="30"/>
    </row>
    <row r="551" spans="4:9">
      <c r="D551" s="47"/>
      <c r="E551" s="143"/>
      <c r="H551" s="2"/>
      <c r="I551" s="30"/>
    </row>
    <row r="552" spans="4:9">
      <c r="D552" s="47"/>
      <c r="E552" s="143"/>
      <c r="H552" s="2"/>
      <c r="I552" s="30"/>
    </row>
    <row r="553" spans="4:9">
      <c r="D553" s="47"/>
      <c r="E553" s="143"/>
      <c r="H553" s="2"/>
      <c r="I553" s="30"/>
    </row>
    <row r="554" spans="4:9">
      <c r="D554" s="47"/>
      <c r="E554" s="143"/>
      <c r="H554" s="2"/>
      <c r="I554" s="30"/>
    </row>
    <row r="555" spans="4:9">
      <c r="D555" s="47"/>
      <c r="E555" s="143"/>
      <c r="H555" s="2"/>
      <c r="I555" s="30"/>
    </row>
    <row r="556" spans="4:9">
      <c r="D556" s="47"/>
      <c r="E556" s="143"/>
      <c r="H556" s="2"/>
      <c r="I556" s="30"/>
    </row>
    <row r="557" spans="4:9">
      <c r="D557" s="47"/>
      <c r="E557" s="143"/>
      <c r="H557" s="2"/>
      <c r="I557" s="30"/>
    </row>
    <row r="558" spans="4:9">
      <c r="D558" s="47"/>
      <c r="E558" s="143"/>
      <c r="H558" s="2"/>
      <c r="I558" s="30"/>
    </row>
    <row r="559" spans="4:9">
      <c r="D559" s="47"/>
      <c r="E559" s="143"/>
      <c r="H559" s="2"/>
      <c r="I559" s="30"/>
    </row>
    <row r="560" spans="4:9">
      <c r="D560" s="47"/>
      <c r="E560" s="143"/>
      <c r="H560" s="2"/>
      <c r="I560" s="30"/>
    </row>
    <row r="561" spans="4:9">
      <c r="D561" s="47"/>
      <c r="E561" s="143"/>
      <c r="H561" s="2"/>
      <c r="I561" s="30"/>
    </row>
    <row r="562" spans="4:9">
      <c r="D562" s="47"/>
      <c r="E562" s="143"/>
      <c r="H562" s="2"/>
      <c r="I562" s="30"/>
    </row>
    <row r="563" spans="4:9">
      <c r="D563" s="47"/>
      <c r="E563" s="143"/>
      <c r="H563" s="2"/>
      <c r="I563" s="30"/>
    </row>
    <row r="564" spans="4:9">
      <c r="D564" s="47"/>
      <c r="E564" s="143"/>
      <c r="H564" s="2"/>
      <c r="I564" s="30"/>
    </row>
    <row r="565" spans="4:9">
      <c r="D565" s="47"/>
      <c r="E565" s="143"/>
      <c r="H565" s="2"/>
      <c r="I565" s="30"/>
    </row>
    <row r="566" spans="4:9">
      <c r="D566" s="47"/>
      <c r="E566" s="143"/>
      <c r="H566" s="2"/>
      <c r="I566" s="30"/>
    </row>
    <row r="567" spans="4:9">
      <c r="D567" s="47"/>
      <c r="E567" s="143"/>
      <c r="H567" s="2"/>
      <c r="I567" s="30"/>
    </row>
    <row r="568" spans="4:9">
      <c r="D568" s="47"/>
      <c r="E568" s="143"/>
      <c r="H568" s="2"/>
      <c r="I568" s="30"/>
    </row>
    <row r="569" spans="4:9">
      <c r="D569" s="47"/>
      <c r="E569" s="143"/>
      <c r="H569" s="2"/>
      <c r="I569" s="30"/>
    </row>
    <row r="570" spans="4:9">
      <c r="D570" s="47"/>
      <c r="E570" s="143"/>
      <c r="H570" s="2"/>
      <c r="I570" s="30"/>
    </row>
    <row r="571" spans="4:9">
      <c r="D571" s="47"/>
      <c r="E571" s="143"/>
      <c r="H571" s="2"/>
      <c r="I571" s="30"/>
    </row>
    <row r="572" spans="4:9">
      <c r="D572" s="47"/>
      <c r="E572" s="143"/>
      <c r="H572" s="2"/>
      <c r="I572" s="30"/>
    </row>
    <row r="573" spans="4:9">
      <c r="D573" s="47"/>
      <c r="E573" s="143"/>
      <c r="H573" s="2"/>
      <c r="I573" s="30"/>
    </row>
    <row r="574" spans="4:9">
      <c r="D574" s="47"/>
      <c r="E574" s="143"/>
      <c r="H574" s="2"/>
      <c r="I574" s="30"/>
    </row>
    <row r="575" spans="4:9">
      <c r="D575" s="47"/>
      <c r="E575" s="143"/>
      <c r="H575" s="2"/>
      <c r="I575" s="30"/>
    </row>
    <row r="576" spans="4:9">
      <c r="D576" s="47"/>
      <c r="E576" s="143"/>
      <c r="H576" s="2"/>
      <c r="I576" s="30"/>
    </row>
    <row r="577" spans="4:9">
      <c r="D577" s="47"/>
      <c r="E577" s="143"/>
      <c r="H577" s="2"/>
      <c r="I577" s="30"/>
    </row>
    <row r="578" spans="4:9">
      <c r="D578" s="47"/>
      <c r="E578" s="143"/>
      <c r="H578" s="2"/>
      <c r="I578" s="30"/>
    </row>
    <row r="579" spans="4:9">
      <c r="D579" s="47"/>
      <c r="E579" s="143"/>
      <c r="H579" s="2"/>
      <c r="I579" s="30"/>
    </row>
    <row r="580" spans="4:9">
      <c r="D580" s="47"/>
      <c r="E580" s="143"/>
      <c r="H580" s="2"/>
      <c r="I580" s="30"/>
    </row>
    <row r="581" spans="4:9">
      <c r="D581" s="47"/>
      <c r="E581" s="143"/>
      <c r="H581" s="2"/>
      <c r="I581" s="30"/>
    </row>
    <row r="582" spans="4:9">
      <c r="D582" s="47"/>
      <c r="E582" s="143"/>
      <c r="H582" s="2"/>
      <c r="I582" s="30"/>
    </row>
    <row r="583" spans="4:9">
      <c r="D583" s="47"/>
      <c r="E583" s="143"/>
      <c r="H583" s="2"/>
      <c r="I583" s="30"/>
    </row>
    <row r="584" spans="4:9">
      <c r="D584" s="47"/>
      <c r="E584" s="143"/>
      <c r="H584" s="2"/>
      <c r="I584" s="30"/>
    </row>
    <row r="585" spans="4:9">
      <c r="D585" s="47"/>
      <c r="E585" s="143"/>
      <c r="H585" s="2"/>
      <c r="I585" s="30"/>
    </row>
    <row r="586" spans="4:9">
      <c r="D586" s="47"/>
      <c r="E586" s="143"/>
      <c r="H586" s="2"/>
      <c r="I586" s="30"/>
    </row>
    <row r="587" spans="4:9">
      <c r="D587" s="47"/>
      <c r="E587" s="143"/>
      <c r="H587" s="2"/>
      <c r="I587" s="30"/>
    </row>
    <row r="588" spans="4:9">
      <c r="D588" s="47"/>
      <c r="E588" s="143"/>
      <c r="H588" s="2"/>
      <c r="I588" s="30"/>
    </row>
    <row r="589" spans="4:9">
      <c r="D589" s="47"/>
      <c r="E589" s="143"/>
      <c r="H589" s="2"/>
      <c r="I589" s="30"/>
    </row>
    <row r="590" spans="4:9">
      <c r="D590" s="47"/>
      <c r="E590" s="143"/>
      <c r="H590" s="2"/>
      <c r="I590" s="30"/>
    </row>
    <row r="591" spans="4:9">
      <c r="D591" s="47"/>
      <c r="E591" s="143"/>
      <c r="H591" s="2"/>
      <c r="I591" s="30"/>
    </row>
    <row r="592" spans="4:9">
      <c r="D592" s="47"/>
      <c r="E592" s="143"/>
      <c r="H592" s="2"/>
      <c r="I592" s="30"/>
    </row>
    <row r="593" spans="4:9">
      <c r="D593" s="47"/>
      <c r="E593" s="143"/>
      <c r="H593" s="2"/>
      <c r="I593" s="30"/>
    </row>
    <row r="594" spans="4:9">
      <c r="D594" s="47"/>
      <c r="E594" s="143"/>
      <c r="H594" s="2"/>
      <c r="I594" s="30"/>
    </row>
    <row r="595" spans="4:9">
      <c r="D595" s="47"/>
      <c r="E595" s="143"/>
      <c r="H595" s="2"/>
      <c r="I595" s="30"/>
    </row>
    <row r="596" spans="4:9">
      <c r="D596" s="47"/>
      <c r="E596" s="143"/>
      <c r="H596" s="2"/>
      <c r="I596" s="30"/>
    </row>
    <row r="597" spans="4:9">
      <c r="D597" s="47"/>
      <c r="E597" s="143"/>
      <c r="H597" s="2"/>
      <c r="I597" s="30"/>
    </row>
    <row r="598" spans="4:9">
      <c r="D598" s="47"/>
      <c r="E598" s="143"/>
      <c r="H598" s="2"/>
      <c r="I598" s="30"/>
    </row>
    <row r="599" spans="4:9">
      <c r="D599" s="47"/>
      <c r="E599" s="143"/>
      <c r="H599" s="2"/>
      <c r="I599" s="30"/>
    </row>
    <row r="600" spans="4:9">
      <c r="D600" s="47"/>
      <c r="E600" s="143"/>
      <c r="H600" s="2"/>
      <c r="I600" s="30"/>
    </row>
    <row r="601" spans="4:9">
      <c r="D601" s="47"/>
      <c r="E601" s="143"/>
      <c r="H601" s="2"/>
      <c r="I601" s="30"/>
    </row>
    <row r="602" spans="4:9">
      <c r="D602" s="47"/>
      <c r="E602" s="143"/>
      <c r="H602" s="2"/>
      <c r="I602" s="30"/>
    </row>
    <row r="603" spans="4:9">
      <c r="D603" s="47"/>
      <c r="E603" s="143"/>
      <c r="H603" s="2"/>
      <c r="I603" s="30"/>
    </row>
    <row r="604" spans="4:9">
      <c r="D604" s="47"/>
      <c r="E604" s="143"/>
      <c r="H604" s="2"/>
      <c r="I604" s="30"/>
    </row>
    <row r="605" spans="4:9">
      <c r="D605" s="47"/>
      <c r="E605" s="143"/>
      <c r="H605" s="2"/>
      <c r="I605" s="30"/>
    </row>
    <row r="606" spans="4:9">
      <c r="D606" s="47"/>
      <c r="E606" s="143"/>
      <c r="H606" s="2"/>
      <c r="I606" s="30"/>
    </row>
    <row r="607" spans="4:9">
      <c r="D607" s="47"/>
      <c r="E607" s="143"/>
      <c r="H607" s="2"/>
      <c r="I607" s="30"/>
    </row>
    <row r="608" spans="4:9">
      <c r="D608" s="47"/>
      <c r="E608" s="143"/>
      <c r="H608" s="2"/>
      <c r="I608" s="30"/>
    </row>
    <row r="609" spans="4:9">
      <c r="D609" s="47"/>
      <c r="E609" s="143"/>
      <c r="H609" s="2"/>
      <c r="I609" s="30"/>
    </row>
    <row r="610" spans="4:9">
      <c r="D610" s="47"/>
      <c r="E610" s="143"/>
      <c r="H610" s="2"/>
      <c r="I610" s="30"/>
    </row>
    <row r="611" spans="4:9">
      <c r="D611" s="47"/>
      <c r="E611" s="143"/>
      <c r="H611" s="2"/>
      <c r="I611" s="30"/>
    </row>
    <row r="612" spans="4:9">
      <c r="D612" s="47"/>
      <c r="E612" s="143"/>
      <c r="H612" s="2"/>
      <c r="I612" s="30"/>
    </row>
    <row r="613" spans="4:9">
      <c r="D613" s="47"/>
      <c r="E613" s="143"/>
      <c r="H613" s="2"/>
      <c r="I613" s="30"/>
    </row>
    <row r="614" spans="4:9">
      <c r="D614" s="47"/>
      <c r="E614" s="143"/>
      <c r="H614" s="2"/>
      <c r="I614" s="30"/>
    </row>
    <row r="615" spans="4:9">
      <c r="D615" s="47"/>
      <c r="E615" s="143"/>
      <c r="H615" s="2"/>
      <c r="I615" s="30"/>
    </row>
    <row r="616" spans="4:9">
      <c r="D616" s="47"/>
      <c r="E616" s="143"/>
      <c r="H616" s="2"/>
      <c r="I616" s="30"/>
    </row>
    <row r="617" spans="4:9">
      <c r="D617" s="47"/>
      <c r="E617" s="143"/>
      <c r="H617" s="2"/>
      <c r="I617" s="30"/>
    </row>
    <row r="618" spans="4:9">
      <c r="D618" s="47"/>
      <c r="E618" s="143"/>
      <c r="H618" s="2"/>
      <c r="I618" s="30"/>
    </row>
    <row r="619" spans="4:9">
      <c r="D619" s="47"/>
      <c r="E619" s="143"/>
      <c r="H619" s="2"/>
      <c r="I619" s="30"/>
    </row>
    <row r="620" spans="4:9">
      <c r="D620" s="47"/>
      <c r="E620" s="143"/>
      <c r="H620" s="2"/>
      <c r="I620" s="30"/>
    </row>
    <row r="621" spans="4:9">
      <c r="D621" s="47"/>
      <c r="E621" s="143"/>
      <c r="H621" s="2"/>
      <c r="I621" s="30"/>
    </row>
    <row r="622" spans="4:9">
      <c r="D622" s="47"/>
      <c r="E622" s="143"/>
      <c r="H622" s="2"/>
      <c r="I622" s="30"/>
    </row>
    <row r="623" spans="4:9">
      <c r="D623" s="47"/>
      <c r="E623" s="143"/>
      <c r="H623" s="2"/>
      <c r="I623" s="30"/>
    </row>
    <row r="624" spans="4:9">
      <c r="D624" s="47"/>
      <c r="E624" s="143"/>
      <c r="H624" s="2"/>
      <c r="I624" s="30"/>
    </row>
    <row r="625" spans="4:9">
      <c r="D625" s="47"/>
      <c r="E625" s="143"/>
      <c r="H625" s="2"/>
      <c r="I625" s="30"/>
    </row>
    <row r="626" spans="4:9">
      <c r="D626" s="47"/>
      <c r="E626" s="143"/>
      <c r="H626" s="2"/>
      <c r="I626" s="30"/>
    </row>
    <row r="627" spans="4:9">
      <c r="D627" s="47"/>
      <c r="E627" s="143"/>
      <c r="H627" s="2"/>
      <c r="I627" s="30"/>
    </row>
    <row r="628" spans="4:9">
      <c r="D628" s="47"/>
      <c r="E628" s="143"/>
      <c r="H628" s="2"/>
      <c r="I628" s="30"/>
    </row>
    <row r="629" spans="4:9">
      <c r="D629" s="47"/>
      <c r="E629" s="143"/>
      <c r="H629" s="2"/>
      <c r="I629" s="30"/>
    </row>
    <row r="630" spans="4:9">
      <c r="D630" s="47"/>
      <c r="E630" s="143"/>
      <c r="H630" s="2"/>
      <c r="I630" s="30"/>
    </row>
    <row r="631" spans="4:9">
      <c r="D631" s="47"/>
      <c r="E631" s="143"/>
      <c r="H631" s="2"/>
      <c r="I631" s="30"/>
    </row>
    <row r="632" spans="4:9">
      <c r="D632" s="47"/>
      <c r="E632" s="143"/>
      <c r="H632" s="2"/>
      <c r="I632" s="30"/>
    </row>
    <row r="633" spans="4:9">
      <c r="D633" s="47"/>
      <c r="E633" s="143"/>
      <c r="H633" s="2"/>
      <c r="I633" s="30"/>
    </row>
    <row r="634" spans="4:9">
      <c r="D634" s="47"/>
      <c r="E634" s="143"/>
      <c r="H634" s="2"/>
      <c r="I634" s="30"/>
    </row>
    <row r="635" spans="4:9">
      <c r="D635" s="47"/>
      <c r="E635" s="143"/>
      <c r="H635" s="2"/>
      <c r="I635" s="30"/>
    </row>
    <row r="636" spans="4:9">
      <c r="D636" s="47"/>
      <c r="E636" s="143"/>
      <c r="H636" s="2"/>
      <c r="I636" s="30"/>
    </row>
    <row r="637" spans="4:9">
      <c r="D637" s="47"/>
      <c r="E637" s="143"/>
      <c r="H637" s="2"/>
      <c r="I637" s="30"/>
    </row>
    <row r="638" spans="4:9">
      <c r="D638" s="47"/>
      <c r="E638" s="143"/>
      <c r="H638" s="2"/>
      <c r="I638" s="30"/>
    </row>
    <row r="639" spans="4:9">
      <c r="D639" s="47"/>
      <c r="E639" s="143"/>
      <c r="H639" s="2"/>
      <c r="I639" s="30"/>
    </row>
    <row r="640" spans="4:9">
      <c r="D640" s="47"/>
      <c r="E640" s="143"/>
      <c r="H640" s="2"/>
      <c r="I640" s="30"/>
    </row>
    <row r="641" spans="4:9">
      <c r="D641" s="47"/>
      <c r="E641" s="143"/>
      <c r="H641" s="2"/>
      <c r="I641" s="30"/>
    </row>
    <row r="642" spans="4:9">
      <c r="D642" s="47"/>
      <c r="E642" s="143"/>
      <c r="H642" s="2"/>
      <c r="I642" s="30"/>
    </row>
    <row r="643" spans="4:9">
      <c r="D643" s="47"/>
      <c r="E643" s="143"/>
      <c r="H643" s="2"/>
      <c r="I643" s="30"/>
    </row>
    <row r="644" spans="4:9">
      <c r="D644" s="47"/>
      <c r="E644" s="143"/>
      <c r="H644" s="2"/>
      <c r="I644" s="30"/>
    </row>
    <row r="645" spans="4:9">
      <c r="D645" s="47"/>
      <c r="E645" s="143"/>
      <c r="H645" s="2"/>
      <c r="I645" s="30"/>
    </row>
    <row r="646" spans="4:9">
      <c r="D646" s="47"/>
      <c r="E646" s="143"/>
      <c r="H646" s="2"/>
      <c r="I646" s="30"/>
    </row>
    <row r="647" spans="4:9">
      <c r="D647" s="47"/>
      <c r="E647" s="143"/>
      <c r="H647" s="2"/>
      <c r="I647" s="30"/>
    </row>
    <row r="648" spans="4:9">
      <c r="D648" s="47"/>
      <c r="E648" s="143"/>
      <c r="H648" s="2"/>
      <c r="I648" s="30"/>
    </row>
    <row r="649" spans="4:9">
      <c r="D649" s="47"/>
      <c r="E649" s="143"/>
      <c r="H649" s="2"/>
      <c r="I649" s="30"/>
    </row>
    <row r="650" spans="4:9">
      <c r="D650" s="47"/>
      <c r="E650" s="143"/>
      <c r="H650" s="2"/>
      <c r="I650" s="30"/>
    </row>
    <row r="651" spans="4:9">
      <c r="D651" s="47"/>
      <c r="E651" s="143"/>
      <c r="H651" s="2"/>
      <c r="I651" s="30"/>
    </row>
    <row r="652" spans="4:9">
      <c r="D652" s="47"/>
      <c r="E652" s="143"/>
      <c r="H652" s="2"/>
      <c r="I652" s="30"/>
    </row>
    <row r="653" spans="4:9">
      <c r="D653" s="47"/>
      <c r="E653" s="143"/>
      <c r="H653" s="2"/>
      <c r="I653" s="30"/>
    </row>
    <row r="654" spans="4:9">
      <c r="D654" s="47"/>
      <c r="E654" s="143"/>
      <c r="H654" s="2"/>
      <c r="I654" s="30"/>
    </row>
    <row r="655" spans="4:9">
      <c r="D655" s="47"/>
      <c r="E655" s="143"/>
      <c r="H655" s="2"/>
      <c r="I655" s="30"/>
    </row>
    <row r="656" spans="4:9">
      <c r="D656" s="47"/>
      <c r="E656" s="143"/>
      <c r="H656" s="2"/>
      <c r="I656" s="30"/>
    </row>
    <row r="657" spans="4:9">
      <c r="D657" s="47"/>
      <c r="E657" s="143"/>
      <c r="H657" s="2"/>
      <c r="I657" s="30"/>
    </row>
    <row r="658" spans="4:9">
      <c r="D658" s="47"/>
      <c r="E658" s="143"/>
      <c r="H658" s="2"/>
      <c r="I658" s="30"/>
    </row>
    <row r="659" spans="4:9">
      <c r="D659" s="47"/>
      <c r="E659" s="143"/>
      <c r="H659" s="2"/>
      <c r="I659" s="30"/>
    </row>
    <row r="660" spans="4:9">
      <c r="D660" s="47"/>
      <c r="E660" s="143"/>
      <c r="H660" s="2"/>
      <c r="I660" s="30"/>
    </row>
    <row r="661" spans="4:9">
      <c r="D661" s="47"/>
      <c r="E661" s="143"/>
      <c r="H661" s="2"/>
      <c r="I661" s="30"/>
    </row>
    <row r="662" spans="4:9">
      <c r="D662" s="47"/>
      <c r="E662" s="143"/>
      <c r="H662" s="2"/>
      <c r="I662" s="30"/>
    </row>
    <row r="663" spans="4:9">
      <c r="D663" s="47"/>
      <c r="E663" s="143"/>
      <c r="H663" s="2"/>
      <c r="I663" s="30"/>
    </row>
    <row r="664" spans="4:9">
      <c r="D664" s="47"/>
      <c r="E664" s="143"/>
      <c r="H664" s="2"/>
      <c r="I664" s="30"/>
    </row>
    <row r="665" spans="4:9">
      <c r="D665" s="47"/>
      <c r="E665" s="143"/>
      <c r="H665" s="2"/>
      <c r="I665" s="30"/>
    </row>
    <row r="666" spans="4:9">
      <c r="D666" s="47"/>
      <c r="E666" s="143"/>
      <c r="H666" s="2"/>
      <c r="I666" s="30"/>
    </row>
    <row r="667" spans="4:9">
      <c r="D667" s="47"/>
      <c r="E667" s="143"/>
      <c r="H667" s="2"/>
      <c r="I667" s="30"/>
    </row>
    <row r="668" spans="4:9">
      <c r="D668" s="47"/>
      <c r="E668" s="143"/>
      <c r="H668" s="2"/>
      <c r="I668" s="30"/>
    </row>
    <row r="669" spans="4:9">
      <c r="D669" s="47"/>
      <c r="E669" s="143"/>
      <c r="H669" s="2"/>
      <c r="I669" s="30"/>
    </row>
    <row r="670" spans="4:9">
      <c r="D670" s="47"/>
      <c r="E670" s="143"/>
      <c r="H670" s="2"/>
      <c r="I670" s="30"/>
    </row>
    <row r="671" spans="4:9">
      <c r="D671" s="47"/>
      <c r="E671" s="143"/>
      <c r="H671" s="2"/>
      <c r="I671" s="30"/>
    </row>
    <row r="672" spans="4:9">
      <c r="D672" s="47"/>
      <c r="E672" s="143"/>
      <c r="H672" s="2"/>
      <c r="I672" s="30"/>
    </row>
    <row r="673" spans="4:9">
      <c r="D673" s="47"/>
      <c r="E673" s="143"/>
      <c r="H673" s="2"/>
      <c r="I673" s="30"/>
    </row>
    <row r="674" spans="4:9">
      <c r="D674" s="47"/>
      <c r="E674" s="143"/>
      <c r="H674" s="2"/>
      <c r="I674" s="30"/>
    </row>
    <row r="675" spans="4:9">
      <c r="D675" s="47"/>
      <c r="E675" s="143"/>
      <c r="H675" s="2"/>
      <c r="I675" s="30"/>
    </row>
    <row r="676" spans="4:9">
      <c r="D676" s="47"/>
      <c r="E676" s="143"/>
      <c r="H676" s="2"/>
      <c r="I676" s="30"/>
    </row>
    <row r="677" spans="4:9">
      <c r="D677" s="47"/>
      <c r="E677" s="143"/>
      <c r="H677" s="2"/>
      <c r="I677" s="30"/>
    </row>
    <row r="678" spans="4:9">
      <c r="D678" s="47"/>
      <c r="E678" s="143"/>
      <c r="H678" s="2"/>
      <c r="I678" s="30"/>
    </row>
    <row r="679" spans="4:9">
      <c r="D679" s="47"/>
      <c r="E679" s="143"/>
      <c r="H679" s="2"/>
      <c r="I679" s="30"/>
    </row>
    <row r="680" spans="4:9">
      <c r="D680" s="47"/>
      <c r="E680" s="143"/>
      <c r="H680" s="2"/>
      <c r="I680" s="30"/>
    </row>
    <row r="681" spans="4:9">
      <c r="D681" s="47"/>
      <c r="E681" s="143"/>
      <c r="H681" s="2"/>
      <c r="I681" s="30"/>
    </row>
    <row r="682" spans="4:9">
      <c r="D682" s="47"/>
      <c r="E682" s="143"/>
      <c r="H682" s="2"/>
      <c r="I682" s="30"/>
    </row>
    <row r="683" spans="4:9">
      <c r="D683" s="47"/>
      <c r="E683" s="143"/>
      <c r="H683" s="2"/>
      <c r="I683" s="30"/>
    </row>
    <row r="684" spans="4:9">
      <c r="D684" s="47"/>
      <c r="E684" s="143"/>
      <c r="H684" s="2"/>
      <c r="I684" s="30"/>
    </row>
    <row r="685" spans="4:9">
      <c r="D685" s="47"/>
      <c r="E685" s="143"/>
      <c r="H685" s="2"/>
      <c r="I685" s="30"/>
    </row>
    <row r="686" spans="4:9">
      <c r="D686" s="47"/>
      <c r="E686" s="143"/>
      <c r="H686" s="2"/>
      <c r="I686" s="30"/>
    </row>
    <row r="687" spans="4:9">
      <c r="D687" s="47"/>
      <c r="E687" s="143"/>
      <c r="H687" s="2"/>
      <c r="I687" s="30"/>
    </row>
    <row r="688" spans="4:9">
      <c r="D688" s="47"/>
      <c r="E688" s="143"/>
      <c r="H688" s="2"/>
      <c r="I688" s="30"/>
    </row>
    <row r="689" spans="4:9">
      <c r="D689" s="47"/>
      <c r="E689" s="143"/>
      <c r="H689" s="2"/>
      <c r="I689" s="30"/>
    </row>
    <row r="690" spans="4:9">
      <c r="D690" s="47"/>
      <c r="E690" s="143"/>
      <c r="H690" s="2"/>
      <c r="I690" s="30"/>
    </row>
    <row r="691" spans="4:9">
      <c r="D691" s="47"/>
      <c r="E691" s="143"/>
      <c r="H691" s="2"/>
      <c r="I691" s="30"/>
    </row>
    <row r="692" spans="4:9">
      <c r="D692" s="47"/>
      <c r="E692" s="143"/>
      <c r="H692" s="2"/>
      <c r="I692" s="30"/>
    </row>
    <row r="693" spans="4:9">
      <c r="D693" s="47"/>
      <c r="E693" s="143"/>
      <c r="H693" s="2"/>
      <c r="I693" s="30"/>
    </row>
    <row r="694" spans="4:9">
      <c r="D694" s="47"/>
      <c r="E694" s="143"/>
      <c r="H694" s="2"/>
      <c r="I694" s="30"/>
    </row>
    <row r="695" spans="4:9">
      <c r="D695" s="47"/>
      <c r="E695" s="143"/>
      <c r="H695" s="2"/>
      <c r="I695" s="30"/>
    </row>
    <row r="696" spans="4:9">
      <c r="D696" s="47"/>
      <c r="E696" s="143"/>
      <c r="H696" s="2"/>
      <c r="I696" s="30"/>
    </row>
    <row r="697" spans="4:9">
      <c r="D697" s="47"/>
      <c r="E697" s="143"/>
      <c r="H697" s="2"/>
      <c r="I697" s="30"/>
    </row>
    <row r="698" spans="4:9">
      <c r="D698" s="47"/>
      <c r="E698" s="143"/>
      <c r="H698" s="2"/>
      <c r="I698" s="30"/>
    </row>
    <row r="699" spans="4:9">
      <c r="D699" s="47"/>
      <c r="E699" s="143"/>
      <c r="H699" s="2"/>
      <c r="I699" s="30"/>
    </row>
    <row r="700" spans="4:9">
      <c r="D700" s="47"/>
      <c r="E700" s="143"/>
      <c r="H700" s="2"/>
      <c r="I700" s="30"/>
    </row>
    <row r="701" spans="4:9">
      <c r="D701" s="47"/>
      <c r="E701" s="143"/>
      <c r="H701" s="2"/>
      <c r="I701" s="30"/>
    </row>
    <row r="702" spans="4:9">
      <c r="D702" s="47"/>
      <c r="E702" s="143"/>
      <c r="H702" s="2"/>
      <c r="I702" s="30"/>
    </row>
    <row r="703" spans="4:9">
      <c r="D703" s="47"/>
      <c r="E703" s="143"/>
      <c r="H703" s="2"/>
      <c r="I703" s="30"/>
    </row>
    <row r="704" spans="4:9">
      <c r="D704" s="47"/>
      <c r="E704" s="143"/>
      <c r="H704" s="2"/>
      <c r="I704" s="30"/>
    </row>
    <row r="705" spans="4:9">
      <c r="D705" s="47"/>
      <c r="E705" s="143"/>
      <c r="H705" s="2"/>
      <c r="I705" s="30"/>
    </row>
    <row r="706" spans="4:9">
      <c r="D706" s="47"/>
      <c r="E706" s="143"/>
      <c r="H706" s="2"/>
      <c r="I706" s="30"/>
    </row>
    <row r="707" spans="4:9">
      <c r="D707" s="47"/>
      <c r="E707" s="143"/>
      <c r="H707" s="2"/>
      <c r="I707" s="30"/>
    </row>
    <row r="708" spans="4:9">
      <c r="D708" s="47"/>
      <c r="E708" s="143"/>
      <c r="H708" s="2"/>
      <c r="I708" s="30"/>
    </row>
    <row r="709" spans="4:9">
      <c r="D709" s="47"/>
      <c r="E709" s="143"/>
      <c r="H709" s="2"/>
      <c r="I709" s="30"/>
    </row>
    <row r="710" spans="4:9">
      <c r="D710" s="47"/>
      <c r="E710" s="143"/>
      <c r="H710" s="2"/>
      <c r="I710" s="30"/>
    </row>
    <row r="711" spans="4:9">
      <c r="D711" s="47"/>
      <c r="E711" s="143"/>
      <c r="H711" s="2"/>
      <c r="I711" s="30"/>
    </row>
    <row r="712" spans="4:9">
      <c r="D712" s="47"/>
      <c r="E712" s="143"/>
      <c r="H712" s="2"/>
      <c r="I712" s="30"/>
    </row>
    <row r="713" spans="4:9">
      <c r="D713" s="47"/>
      <c r="E713" s="143"/>
      <c r="H713" s="2"/>
      <c r="I713" s="30"/>
    </row>
    <row r="714" spans="4:9">
      <c r="D714" s="47"/>
      <c r="E714" s="143"/>
      <c r="H714" s="2"/>
      <c r="I714" s="30"/>
    </row>
    <row r="715" spans="4:9">
      <c r="D715" s="47"/>
      <c r="E715" s="143"/>
      <c r="H715" s="2"/>
      <c r="I715" s="30"/>
    </row>
    <row r="716" spans="4:9">
      <c r="D716" s="47"/>
      <c r="E716" s="143"/>
      <c r="H716" s="2"/>
      <c r="I716" s="30"/>
    </row>
    <row r="717" spans="4:9">
      <c r="D717" s="47"/>
      <c r="E717" s="143"/>
      <c r="H717" s="2"/>
      <c r="I717" s="30"/>
    </row>
    <row r="718" spans="4:9">
      <c r="D718" s="47"/>
      <c r="E718" s="143"/>
      <c r="H718" s="2"/>
      <c r="I718" s="30"/>
    </row>
    <row r="719" spans="4:9">
      <c r="D719" s="47"/>
      <c r="E719" s="143"/>
      <c r="H719" s="2"/>
      <c r="I719" s="30"/>
    </row>
    <row r="720" spans="4:9">
      <c r="D720" s="47"/>
      <c r="E720" s="143"/>
      <c r="H720" s="2"/>
      <c r="I720" s="30"/>
    </row>
    <row r="721" spans="4:9">
      <c r="D721" s="47"/>
      <c r="E721" s="143"/>
      <c r="H721" s="2"/>
      <c r="I721" s="30"/>
    </row>
    <row r="722" spans="4:9">
      <c r="D722" s="47"/>
      <c r="E722" s="143"/>
      <c r="H722" s="2"/>
      <c r="I722" s="30"/>
    </row>
    <row r="723" spans="4:9">
      <c r="D723" s="47"/>
      <c r="E723" s="143"/>
      <c r="H723" s="2"/>
      <c r="I723" s="30"/>
    </row>
    <row r="724" spans="4:9">
      <c r="D724" s="47"/>
      <c r="E724" s="143"/>
      <c r="H724" s="2"/>
      <c r="I724" s="30"/>
    </row>
    <row r="725" spans="4:9">
      <c r="D725" s="47"/>
      <c r="E725" s="143"/>
      <c r="H725" s="2"/>
      <c r="I725" s="30"/>
    </row>
    <row r="726" spans="4:9">
      <c r="D726" s="47"/>
      <c r="E726" s="143"/>
      <c r="H726" s="2"/>
      <c r="I726" s="30"/>
    </row>
    <row r="727" spans="4:9">
      <c r="D727" s="47"/>
      <c r="E727" s="143"/>
      <c r="H727" s="2"/>
      <c r="I727" s="30"/>
    </row>
    <row r="728" spans="4:9">
      <c r="D728" s="47"/>
      <c r="E728" s="143"/>
      <c r="H728" s="2"/>
      <c r="I728" s="30"/>
    </row>
    <row r="729" spans="4:9">
      <c r="D729" s="47"/>
      <c r="E729" s="143"/>
      <c r="H729" s="2"/>
      <c r="I729" s="30"/>
    </row>
    <row r="730" spans="4:9">
      <c r="D730" s="47"/>
      <c r="E730" s="143"/>
      <c r="H730" s="2"/>
      <c r="I730" s="30"/>
    </row>
    <row r="731" spans="4:9">
      <c r="D731" s="47"/>
      <c r="E731" s="143"/>
      <c r="H731" s="2"/>
      <c r="I731" s="30"/>
    </row>
    <row r="732" spans="4:9">
      <c r="D732" s="47"/>
      <c r="E732" s="143"/>
      <c r="H732" s="2"/>
      <c r="I732" s="30"/>
    </row>
    <row r="733" spans="4:9">
      <c r="D733" s="47"/>
      <c r="E733" s="143"/>
      <c r="H733" s="2"/>
      <c r="I733" s="30"/>
    </row>
    <row r="734" spans="4:9">
      <c r="D734" s="47"/>
      <c r="E734" s="143"/>
      <c r="H734" s="2"/>
      <c r="I734" s="30"/>
    </row>
    <row r="735" spans="4:9">
      <c r="D735" s="47"/>
      <c r="E735" s="143"/>
      <c r="H735" s="2"/>
      <c r="I735" s="30"/>
    </row>
    <row r="736" spans="4:9">
      <c r="D736" s="47"/>
      <c r="E736" s="143"/>
      <c r="H736" s="2"/>
      <c r="I736" s="30"/>
    </row>
    <row r="737" spans="4:9">
      <c r="D737" s="47"/>
      <c r="E737" s="143"/>
      <c r="H737" s="2"/>
      <c r="I737" s="30"/>
    </row>
    <row r="738" spans="4:9">
      <c r="D738" s="47"/>
      <c r="E738" s="143"/>
      <c r="H738" s="2"/>
      <c r="I738" s="30"/>
    </row>
    <row r="739" spans="4:9">
      <c r="D739" s="47"/>
      <c r="E739" s="143"/>
      <c r="H739" s="2"/>
      <c r="I739" s="30"/>
    </row>
    <row r="740" spans="4:9">
      <c r="D740" s="47"/>
      <c r="E740" s="143"/>
      <c r="H740" s="2"/>
      <c r="I740" s="30"/>
    </row>
    <row r="741" spans="4:9">
      <c r="D741" s="47"/>
      <c r="E741" s="143"/>
      <c r="H741" s="2"/>
      <c r="I741" s="30"/>
    </row>
    <row r="742" spans="4:9">
      <c r="D742" s="47"/>
      <c r="E742" s="143"/>
      <c r="H742" s="2"/>
      <c r="I742" s="30"/>
    </row>
    <row r="743" spans="4:9">
      <c r="D743" s="47"/>
      <c r="E743" s="143"/>
      <c r="H743" s="2"/>
      <c r="I743" s="30"/>
    </row>
    <row r="744" spans="4:9">
      <c r="D744" s="47"/>
      <c r="E744" s="143"/>
      <c r="H744" s="2"/>
      <c r="I744" s="30"/>
    </row>
    <row r="745" spans="4:9">
      <c r="D745" s="47"/>
      <c r="E745" s="143"/>
      <c r="H745" s="2"/>
      <c r="I745" s="30"/>
    </row>
    <row r="746" spans="4:9">
      <c r="D746" s="47"/>
      <c r="E746" s="143"/>
      <c r="H746" s="2"/>
      <c r="I746" s="30"/>
    </row>
    <row r="747" spans="4:9">
      <c r="D747" s="47"/>
      <c r="E747" s="143"/>
      <c r="H747" s="2"/>
      <c r="I747" s="30"/>
    </row>
    <row r="748" spans="4:9">
      <c r="D748" s="47"/>
      <c r="E748" s="143"/>
      <c r="H748" s="2"/>
      <c r="I748" s="30"/>
    </row>
    <row r="749" spans="4:9">
      <c r="D749" s="47"/>
      <c r="E749" s="143"/>
      <c r="H749" s="2"/>
      <c r="I749" s="30"/>
    </row>
    <row r="750" spans="4:9">
      <c r="D750" s="47"/>
      <c r="E750" s="143"/>
      <c r="H750" s="2"/>
      <c r="I750" s="30"/>
    </row>
    <row r="751" spans="4:9">
      <c r="D751" s="47"/>
      <c r="E751" s="143"/>
      <c r="H751" s="2"/>
      <c r="I751" s="30"/>
    </row>
    <row r="752" spans="4:9">
      <c r="D752" s="47"/>
      <c r="E752" s="143"/>
      <c r="H752" s="2"/>
      <c r="I752" s="30"/>
    </row>
    <row r="753" spans="4:9">
      <c r="D753" s="47"/>
      <c r="E753" s="143"/>
      <c r="H753" s="2"/>
      <c r="I753" s="30"/>
    </row>
    <row r="754" spans="4:9">
      <c r="D754" s="47"/>
      <c r="E754" s="143"/>
      <c r="H754" s="2"/>
      <c r="I754" s="30"/>
    </row>
    <row r="755" spans="4:9">
      <c r="D755" s="47"/>
      <c r="E755" s="143"/>
      <c r="H755" s="2"/>
      <c r="I755" s="30"/>
    </row>
    <row r="756" spans="4:9">
      <c r="D756" s="47"/>
      <c r="E756" s="143"/>
      <c r="H756" s="2"/>
      <c r="I756" s="30"/>
    </row>
    <row r="757" spans="4:9">
      <c r="D757" s="47"/>
      <c r="E757" s="143"/>
      <c r="H757" s="2"/>
      <c r="I757" s="30"/>
    </row>
    <row r="758" spans="4:9">
      <c r="D758" s="47"/>
      <c r="E758" s="143"/>
      <c r="H758" s="2"/>
      <c r="I758" s="30"/>
    </row>
    <row r="759" spans="4:9">
      <c r="D759" s="47"/>
      <c r="E759" s="143"/>
      <c r="H759" s="2"/>
      <c r="I759" s="30"/>
    </row>
    <row r="760" spans="4:9">
      <c r="D760" s="47"/>
      <c r="E760" s="143"/>
      <c r="H760" s="2"/>
      <c r="I760" s="30"/>
    </row>
    <row r="761" spans="4:9">
      <c r="D761" s="47"/>
      <c r="E761" s="143"/>
      <c r="H761" s="2"/>
      <c r="I761" s="30"/>
    </row>
    <row r="762" spans="4:9">
      <c r="D762" s="47"/>
      <c r="E762" s="143"/>
      <c r="H762" s="2"/>
      <c r="I762" s="30"/>
    </row>
    <row r="763" spans="4:9">
      <c r="D763" s="47"/>
      <c r="E763" s="143"/>
      <c r="H763" s="2"/>
      <c r="I763" s="30"/>
    </row>
    <row r="764" spans="4:9">
      <c r="D764" s="47"/>
      <c r="E764" s="143"/>
      <c r="H764" s="2"/>
      <c r="I764" s="30"/>
    </row>
    <row r="765" spans="4:9">
      <c r="D765" s="47"/>
      <c r="E765" s="143"/>
      <c r="H765" s="2"/>
      <c r="I765" s="30"/>
    </row>
    <row r="766" spans="4:9">
      <c r="D766" s="47"/>
      <c r="E766" s="143"/>
      <c r="H766" s="2"/>
      <c r="I766" s="30"/>
    </row>
    <row r="767" spans="4:9">
      <c r="D767" s="47"/>
      <c r="E767" s="143"/>
      <c r="H767" s="2"/>
      <c r="I767" s="30"/>
    </row>
    <row r="768" spans="4:9">
      <c r="D768" s="47"/>
      <c r="E768" s="143"/>
      <c r="H768" s="2"/>
      <c r="I768" s="30"/>
    </row>
    <row r="769" spans="4:9">
      <c r="D769" s="47"/>
      <c r="E769" s="143"/>
      <c r="H769" s="2"/>
      <c r="I769" s="30"/>
    </row>
    <row r="770" spans="4:9">
      <c r="D770" s="47"/>
      <c r="E770" s="143"/>
      <c r="H770" s="2"/>
      <c r="I770" s="30"/>
    </row>
    <row r="771" spans="4:9">
      <c r="D771" s="47"/>
      <c r="E771" s="143"/>
      <c r="H771" s="2"/>
      <c r="I771" s="30"/>
    </row>
    <row r="772" spans="4:9">
      <c r="D772" s="47"/>
      <c r="E772" s="143"/>
      <c r="H772" s="2"/>
      <c r="I772" s="30"/>
    </row>
    <row r="773" spans="4:9">
      <c r="D773" s="47"/>
      <c r="E773" s="143"/>
      <c r="H773" s="2"/>
      <c r="I773" s="30"/>
    </row>
    <row r="774" spans="4:9">
      <c r="D774" s="47"/>
      <c r="E774" s="143"/>
      <c r="H774" s="2"/>
      <c r="I774" s="30"/>
    </row>
    <row r="775" spans="4:9">
      <c r="D775" s="47"/>
      <c r="E775" s="143"/>
      <c r="H775" s="2"/>
      <c r="I775" s="30"/>
    </row>
    <row r="776" spans="4:9">
      <c r="D776" s="47"/>
      <c r="E776" s="143"/>
      <c r="H776" s="2"/>
      <c r="I776" s="30"/>
    </row>
    <row r="777" spans="4:9">
      <c r="D777" s="47"/>
      <c r="E777" s="143"/>
      <c r="H777" s="2"/>
      <c r="I777" s="30"/>
    </row>
    <row r="778" spans="4:9">
      <c r="D778" s="47"/>
      <c r="E778" s="143"/>
      <c r="H778" s="2"/>
      <c r="I778" s="30"/>
    </row>
    <row r="779" spans="4:9">
      <c r="D779" s="47"/>
      <c r="E779" s="143"/>
      <c r="H779" s="2"/>
      <c r="I779" s="30"/>
    </row>
    <row r="780" spans="4:9">
      <c r="D780" s="47"/>
      <c r="E780" s="143"/>
      <c r="H780" s="2"/>
      <c r="I780" s="30"/>
    </row>
    <row r="781" spans="4:9">
      <c r="D781" s="47"/>
      <c r="E781" s="143"/>
      <c r="H781" s="2"/>
      <c r="I781" s="30"/>
    </row>
    <row r="782" spans="4:9">
      <c r="D782" s="47"/>
      <c r="E782" s="143"/>
      <c r="H782" s="2"/>
      <c r="I782" s="30"/>
    </row>
    <row r="783" spans="4:9">
      <c r="D783" s="47"/>
      <c r="E783" s="143"/>
      <c r="H783" s="2"/>
      <c r="I783" s="30"/>
    </row>
    <row r="784" spans="4:9">
      <c r="D784" s="47"/>
      <c r="E784" s="143"/>
      <c r="H784" s="2"/>
      <c r="I784" s="30"/>
    </row>
    <row r="785" spans="4:9">
      <c r="D785" s="47"/>
      <c r="E785" s="143"/>
      <c r="H785" s="2"/>
      <c r="I785" s="30"/>
    </row>
    <row r="786" spans="4:9">
      <c r="D786" s="47"/>
      <c r="E786" s="143"/>
      <c r="H786" s="2"/>
      <c r="I786" s="30"/>
    </row>
    <row r="787" spans="4:9">
      <c r="D787" s="47"/>
      <c r="E787" s="143"/>
      <c r="H787" s="2"/>
      <c r="I787" s="30"/>
    </row>
    <row r="788" spans="4:9">
      <c r="D788" s="47"/>
      <c r="E788" s="143"/>
      <c r="H788" s="2"/>
      <c r="I788" s="30"/>
    </row>
    <row r="789" spans="4:9">
      <c r="D789" s="47"/>
      <c r="E789" s="143"/>
      <c r="H789" s="2"/>
      <c r="I789" s="30"/>
    </row>
    <row r="790" spans="4:9">
      <c r="D790" s="47"/>
      <c r="E790" s="143"/>
      <c r="H790" s="2"/>
      <c r="I790" s="30"/>
    </row>
    <row r="791" spans="4:9">
      <c r="D791" s="47"/>
      <c r="E791" s="143"/>
      <c r="H791" s="2"/>
      <c r="I791" s="30"/>
    </row>
    <row r="792" spans="4:9">
      <c r="D792" s="47"/>
      <c r="E792" s="143"/>
      <c r="H792" s="2"/>
      <c r="I792" s="30"/>
    </row>
    <row r="793" spans="4:9">
      <c r="D793" s="47"/>
      <c r="E793" s="143"/>
      <c r="H793" s="2"/>
      <c r="I793" s="30"/>
    </row>
    <row r="794" spans="4:9">
      <c r="D794" s="47"/>
      <c r="E794" s="143"/>
      <c r="H794" s="2"/>
      <c r="I794" s="30"/>
    </row>
    <row r="795" spans="4:9">
      <c r="D795" s="47"/>
      <c r="E795" s="143"/>
      <c r="H795" s="2"/>
      <c r="I795" s="30"/>
    </row>
    <row r="796" spans="4:9">
      <c r="D796" s="47"/>
      <c r="E796" s="143"/>
      <c r="H796" s="2"/>
      <c r="I796" s="30"/>
    </row>
    <row r="797" spans="4:9">
      <c r="D797" s="47"/>
      <c r="E797" s="143"/>
      <c r="H797" s="2"/>
      <c r="I797" s="30"/>
    </row>
    <row r="798" spans="4:9">
      <c r="D798" s="47"/>
      <c r="E798" s="143"/>
      <c r="H798" s="2"/>
      <c r="I798" s="30"/>
    </row>
    <row r="799" spans="4:9">
      <c r="D799" s="47"/>
      <c r="E799" s="143"/>
      <c r="H799" s="2"/>
      <c r="I799" s="30"/>
    </row>
    <row r="800" spans="4:9">
      <c r="D800" s="47"/>
      <c r="E800" s="143"/>
      <c r="H800" s="2"/>
      <c r="I800" s="30"/>
    </row>
    <row r="801" spans="4:9">
      <c r="D801" s="47"/>
      <c r="E801" s="143"/>
      <c r="H801" s="2"/>
      <c r="I801" s="30"/>
    </row>
    <row r="802" spans="4:9">
      <c r="D802" s="47"/>
      <c r="E802" s="143"/>
      <c r="H802" s="2"/>
      <c r="I802" s="30"/>
    </row>
    <row r="803" spans="4:9">
      <c r="D803" s="47"/>
      <c r="E803" s="143"/>
      <c r="H803" s="2"/>
      <c r="I803" s="30"/>
    </row>
    <row r="804" spans="4:9">
      <c r="D804" s="47"/>
      <c r="E804" s="143"/>
      <c r="H804" s="2"/>
      <c r="I804" s="30"/>
    </row>
    <row r="805" spans="4:9">
      <c r="D805" s="47"/>
      <c r="E805" s="143"/>
      <c r="H805" s="2"/>
      <c r="I805" s="30"/>
    </row>
    <row r="806" spans="4:9">
      <c r="D806" s="47"/>
      <c r="E806" s="143"/>
      <c r="H806" s="2"/>
      <c r="I806" s="30"/>
    </row>
    <row r="807" spans="4:9">
      <c r="D807" s="47"/>
      <c r="E807" s="143"/>
      <c r="H807" s="2"/>
      <c r="I807" s="30"/>
    </row>
    <row r="808" spans="4:9">
      <c r="D808" s="47"/>
      <c r="E808" s="143"/>
      <c r="H808" s="2"/>
      <c r="I808" s="30"/>
    </row>
    <row r="809" spans="4:9">
      <c r="D809" s="47"/>
      <c r="E809" s="143"/>
      <c r="H809" s="2"/>
      <c r="I809" s="30"/>
    </row>
    <row r="810" spans="4:9">
      <c r="D810" s="47"/>
      <c r="E810" s="143"/>
      <c r="H810" s="2"/>
      <c r="I810" s="30"/>
    </row>
    <row r="811" spans="4:9">
      <c r="D811" s="47"/>
      <c r="E811" s="143"/>
      <c r="H811" s="2"/>
      <c r="I811" s="30"/>
    </row>
    <row r="812" spans="4:9">
      <c r="D812" s="47"/>
      <c r="E812" s="143"/>
      <c r="H812" s="2"/>
      <c r="I812" s="30"/>
    </row>
    <row r="813" spans="4:9">
      <c r="D813" s="47"/>
      <c r="E813" s="143"/>
      <c r="H813" s="2"/>
      <c r="I813" s="30"/>
    </row>
    <row r="814" spans="4:9">
      <c r="D814" s="47"/>
      <c r="E814" s="143"/>
      <c r="H814" s="2"/>
      <c r="I814" s="30"/>
    </row>
    <row r="815" spans="4:9">
      <c r="D815" s="47"/>
      <c r="E815" s="143"/>
      <c r="H815" s="2"/>
      <c r="I815" s="30"/>
    </row>
    <row r="816" spans="4:9">
      <c r="D816" s="47"/>
      <c r="E816" s="143"/>
      <c r="H816" s="2"/>
      <c r="I816" s="30"/>
    </row>
    <row r="817" spans="4:9">
      <c r="D817" s="47"/>
      <c r="E817" s="143"/>
      <c r="H817" s="2"/>
      <c r="I817" s="30"/>
    </row>
    <row r="818" spans="4:9">
      <c r="D818" s="47"/>
      <c r="E818" s="143"/>
      <c r="H818" s="2"/>
      <c r="I818" s="30"/>
    </row>
    <row r="819" spans="4:9">
      <c r="D819" s="47"/>
      <c r="E819" s="143"/>
      <c r="H819" s="2"/>
      <c r="I819" s="30"/>
    </row>
    <row r="820" spans="4:9">
      <c r="D820" s="47"/>
      <c r="E820" s="143"/>
      <c r="H820" s="2"/>
      <c r="I820" s="30"/>
    </row>
    <row r="821" spans="4:9">
      <c r="D821" s="47"/>
      <c r="E821" s="143"/>
      <c r="H821" s="2"/>
      <c r="I821" s="30"/>
    </row>
    <row r="822" spans="4:9">
      <c r="D822" s="47"/>
      <c r="E822" s="143"/>
      <c r="H822" s="2"/>
      <c r="I822" s="30"/>
    </row>
    <row r="823" spans="4:9">
      <c r="D823" s="47"/>
      <c r="E823" s="143"/>
      <c r="H823" s="2"/>
      <c r="I823" s="30"/>
    </row>
    <row r="824" spans="4:9">
      <c r="D824" s="47"/>
      <c r="E824" s="143"/>
      <c r="H824" s="2"/>
      <c r="I824" s="30"/>
    </row>
    <row r="825" spans="4:9">
      <c r="D825" s="47"/>
      <c r="E825" s="143"/>
      <c r="H825" s="2"/>
      <c r="I825" s="30"/>
    </row>
    <row r="826" spans="4:9">
      <c r="D826" s="47"/>
      <c r="E826" s="143"/>
      <c r="H826" s="2"/>
      <c r="I826" s="30"/>
    </row>
    <row r="827" spans="4:9">
      <c r="D827" s="47"/>
      <c r="E827" s="143"/>
      <c r="H827" s="2"/>
      <c r="I827" s="30"/>
    </row>
    <row r="828" spans="4:9">
      <c r="D828" s="47"/>
      <c r="E828" s="143"/>
      <c r="H828" s="2"/>
      <c r="I828" s="30"/>
    </row>
    <row r="829" spans="4:9">
      <c r="D829" s="47"/>
      <c r="E829" s="143"/>
      <c r="H829" s="2"/>
      <c r="I829" s="30"/>
    </row>
    <row r="830" spans="4:9">
      <c r="D830" s="47"/>
      <c r="E830" s="143"/>
      <c r="H830" s="2"/>
      <c r="I830" s="30"/>
    </row>
    <row r="831" spans="4:9">
      <c r="D831" s="47"/>
      <c r="E831" s="143"/>
      <c r="H831" s="2"/>
      <c r="I831" s="30"/>
    </row>
    <row r="832" spans="4:9">
      <c r="D832" s="47"/>
      <c r="E832" s="143"/>
      <c r="H832" s="2"/>
      <c r="I832" s="30"/>
    </row>
    <row r="833" spans="4:9">
      <c r="D833" s="47"/>
      <c r="E833" s="143"/>
      <c r="H833" s="2"/>
      <c r="I833" s="30"/>
    </row>
    <row r="834" spans="4:9">
      <c r="D834" s="47"/>
      <c r="E834" s="143"/>
      <c r="H834" s="2"/>
      <c r="I834" s="30"/>
    </row>
    <row r="835" spans="4:9">
      <c r="D835" s="47"/>
      <c r="E835" s="143"/>
      <c r="H835" s="2"/>
      <c r="I835" s="30"/>
    </row>
    <row r="836" spans="4:9">
      <c r="D836" s="47"/>
      <c r="E836" s="143"/>
      <c r="H836" s="2"/>
      <c r="I836" s="30"/>
    </row>
    <row r="837" spans="4:9">
      <c r="D837" s="47"/>
      <c r="E837" s="143"/>
      <c r="H837" s="2"/>
      <c r="I837" s="30"/>
    </row>
    <row r="838" spans="4:9">
      <c r="D838" s="47"/>
      <c r="E838" s="143"/>
      <c r="H838" s="2"/>
      <c r="I838" s="30"/>
    </row>
    <row r="839" spans="4:9">
      <c r="D839" s="47"/>
      <c r="E839" s="143"/>
      <c r="H839" s="2"/>
      <c r="I839" s="30"/>
    </row>
    <row r="840" spans="4:9">
      <c r="D840" s="47"/>
      <c r="E840" s="143"/>
      <c r="H840" s="2"/>
      <c r="I840" s="30"/>
    </row>
    <row r="841" spans="4:9">
      <c r="D841" s="47"/>
      <c r="E841" s="143"/>
      <c r="H841" s="2"/>
      <c r="I841" s="30"/>
    </row>
    <row r="842" spans="4:9">
      <c r="D842" s="47"/>
      <c r="E842" s="143"/>
      <c r="H842" s="2"/>
      <c r="I842" s="30"/>
    </row>
    <row r="843" spans="4:9">
      <c r="D843" s="47"/>
      <c r="E843" s="143"/>
      <c r="H843" s="2"/>
      <c r="I843" s="30"/>
    </row>
    <row r="844" spans="4:9">
      <c r="D844" s="47"/>
      <c r="E844" s="143"/>
      <c r="H844" s="2"/>
      <c r="I844" s="30"/>
    </row>
    <row r="845" spans="4:9">
      <c r="D845" s="47"/>
      <c r="E845" s="143"/>
      <c r="H845" s="2"/>
      <c r="I845" s="30"/>
    </row>
    <row r="846" spans="4:9">
      <c r="D846" s="47"/>
      <c r="E846" s="143"/>
      <c r="H846" s="2"/>
      <c r="I846" s="30"/>
    </row>
    <row r="847" spans="4:9">
      <c r="D847" s="47"/>
      <c r="E847" s="143"/>
      <c r="H847" s="2"/>
      <c r="I847" s="30"/>
    </row>
    <row r="848" spans="4:9">
      <c r="D848" s="47"/>
      <c r="E848" s="143"/>
      <c r="H848" s="2"/>
      <c r="I848" s="30"/>
    </row>
    <row r="849" spans="4:9">
      <c r="D849" s="47"/>
      <c r="E849" s="143"/>
      <c r="H849" s="2"/>
      <c r="I849" s="30"/>
    </row>
    <row r="850" spans="4:9">
      <c r="D850" s="47"/>
      <c r="E850" s="143"/>
      <c r="H850" s="2"/>
      <c r="I850" s="30"/>
    </row>
    <row r="851" spans="4:9">
      <c r="D851" s="47"/>
      <c r="E851" s="143"/>
      <c r="H851" s="2"/>
      <c r="I851" s="30"/>
    </row>
    <row r="852" spans="4:9">
      <c r="D852" s="47"/>
      <c r="E852" s="143"/>
      <c r="H852" s="2"/>
      <c r="I852" s="30"/>
    </row>
    <row r="853" spans="4:9">
      <c r="D853" s="47"/>
      <c r="E853" s="143"/>
      <c r="H853" s="2"/>
      <c r="I853" s="30"/>
    </row>
    <row r="854" spans="4:9">
      <c r="D854" s="47"/>
      <c r="E854" s="143"/>
      <c r="H854" s="2"/>
      <c r="I854" s="30"/>
    </row>
    <row r="855" spans="4:9">
      <c r="D855" s="47"/>
      <c r="E855" s="143"/>
      <c r="H855" s="2"/>
      <c r="I855" s="30"/>
    </row>
    <row r="856" spans="4:9">
      <c r="D856" s="47"/>
      <c r="E856" s="143"/>
      <c r="H856" s="2"/>
      <c r="I856" s="30"/>
    </row>
    <row r="857" spans="4:9">
      <c r="D857" s="47"/>
      <c r="E857" s="143"/>
      <c r="H857" s="2"/>
      <c r="I857" s="30"/>
    </row>
    <row r="858" spans="4:9">
      <c r="D858" s="47"/>
      <c r="E858" s="143"/>
      <c r="H858" s="2"/>
      <c r="I858" s="30"/>
    </row>
    <row r="859" spans="4:9">
      <c r="D859" s="47"/>
      <c r="E859" s="143"/>
      <c r="H859" s="2"/>
      <c r="I859" s="30"/>
    </row>
    <row r="860" spans="4:9">
      <c r="D860" s="47"/>
      <c r="E860" s="143"/>
      <c r="H860" s="2"/>
      <c r="I860" s="30"/>
    </row>
    <row r="861" spans="4:9">
      <c r="D861" s="47"/>
      <c r="E861" s="143"/>
      <c r="H861" s="2"/>
      <c r="I861" s="30"/>
    </row>
    <row r="862" spans="4:9">
      <c r="D862" s="47"/>
      <c r="E862" s="143"/>
      <c r="H862" s="2"/>
      <c r="I862" s="30"/>
    </row>
    <row r="863" spans="4:9">
      <c r="D863" s="47"/>
      <c r="E863" s="143"/>
      <c r="H863" s="2"/>
      <c r="I863" s="30"/>
    </row>
    <row r="864" spans="4:9">
      <c r="D864" s="47"/>
      <c r="E864" s="143"/>
      <c r="H864" s="2"/>
      <c r="I864" s="30"/>
    </row>
    <row r="865" spans="4:9">
      <c r="D865" s="47"/>
      <c r="E865" s="143"/>
      <c r="H865" s="2"/>
      <c r="I865" s="30"/>
    </row>
    <row r="866" spans="4:9">
      <c r="D866" s="47"/>
      <c r="E866" s="143"/>
      <c r="H866" s="2"/>
      <c r="I866" s="30"/>
    </row>
    <row r="867" spans="4:9">
      <c r="D867" s="47"/>
      <c r="E867" s="143"/>
      <c r="H867" s="2"/>
      <c r="I867" s="30"/>
    </row>
    <row r="868" spans="4:9">
      <c r="D868" s="47"/>
      <c r="E868" s="143"/>
      <c r="H868" s="2"/>
      <c r="I868" s="30"/>
    </row>
    <row r="869" spans="4:9">
      <c r="D869" s="47"/>
      <c r="E869" s="143"/>
      <c r="H869" s="2"/>
      <c r="I869" s="30"/>
    </row>
    <row r="870" spans="4:9">
      <c r="D870" s="47"/>
      <c r="E870" s="143"/>
      <c r="H870" s="2"/>
      <c r="I870" s="30"/>
    </row>
    <row r="871" spans="4:9">
      <c r="D871" s="47"/>
      <c r="E871" s="143"/>
      <c r="H871" s="2"/>
      <c r="I871" s="30"/>
    </row>
    <row r="872" spans="4:9">
      <c r="D872" s="47"/>
      <c r="E872" s="143"/>
      <c r="H872" s="2"/>
      <c r="I872" s="30"/>
    </row>
    <row r="873" spans="4:9">
      <c r="D873" s="47"/>
      <c r="E873" s="143"/>
      <c r="H873" s="2"/>
      <c r="I873" s="30"/>
    </row>
    <row r="874" spans="4:9">
      <c r="D874" s="47"/>
      <c r="E874" s="143"/>
      <c r="H874" s="2"/>
      <c r="I874" s="30"/>
    </row>
    <row r="875" spans="4:9">
      <c r="D875" s="47"/>
      <c r="E875" s="143"/>
      <c r="H875" s="2"/>
      <c r="I875" s="30"/>
    </row>
    <row r="876" spans="4:9">
      <c r="D876" s="47"/>
      <c r="E876" s="143"/>
      <c r="H876" s="2"/>
      <c r="I876" s="30"/>
    </row>
    <row r="877" spans="4:9">
      <c r="D877" s="47"/>
      <c r="E877" s="143"/>
      <c r="H877" s="2"/>
      <c r="I877" s="30"/>
    </row>
    <row r="878" spans="4:9">
      <c r="D878" s="47"/>
      <c r="E878" s="143"/>
      <c r="H878" s="2"/>
      <c r="I878" s="30"/>
    </row>
    <row r="879" spans="4:9">
      <c r="D879" s="47"/>
      <c r="E879" s="143"/>
      <c r="H879" s="2"/>
      <c r="I879" s="30"/>
    </row>
    <row r="880" spans="4:9">
      <c r="D880" s="47"/>
      <c r="E880" s="143"/>
      <c r="H880" s="2"/>
      <c r="I880" s="30"/>
    </row>
    <row r="881" spans="4:9">
      <c r="D881" s="47"/>
      <c r="E881" s="143"/>
      <c r="H881" s="2"/>
      <c r="I881" s="30"/>
    </row>
    <row r="882" spans="4:9">
      <c r="D882" s="47"/>
      <c r="E882" s="143"/>
      <c r="H882" s="2"/>
      <c r="I882" s="30"/>
    </row>
    <row r="883" spans="4:9">
      <c r="D883" s="47"/>
      <c r="E883" s="143"/>
      <c r="H883" s="2"/>
      <c r="I883" s="30"/>
    </row>
    <row r="884" spans="4:9">
      <c r="D884" s="47"/>
      <c r="E884" s="143"/>
      <c r="H884" s="2"/>
      <c r="I884" s="30"/>
    </row>
    <row r="885" spans="4:9">
      <c r="D885" s="47"/>
      <c r="E885" s="143"/>
      <c r="H885" s="2"/>
      <c r="I885" s="30"/>
    </row>
    <row r="886" spans="4:9">
      <c r="D886" s="47"/>
      <c r="E886" s="143"/>
      <c r="H886" s="2"/>
      <c r="I886" s="30"/>
    </row>
    <row r="887" spans="4:9">
      <c r="D887" s="47"/>
      <c r="E887" s="143"/>
      <c r="H887" s="2"/>
      <c r="I887" s="30"/>
    </row>
    <row r="888" spans="4:9">
      <c r="D888" s="47"/>
      <c r="E888" s="143"/>
      <c r="H888" s="2"/>
      <c r="I888" s="30"/>
    </row>
    <row r="889" spans="4:9">
      <c r="D889" s="47"/>
      <c r="E889" s="143"/>
      <c r="H889" s="2"/>
      <c r="I889" s="30"/>
    </row>
    <row r="890" spans="4:9">
      <c r="D890" s="47"/>
      <c r="E890" s="143"/>
      <c r="H890" s="2"/>
      <c r="I890" s="30"/>
    </row>
    <row r="891" spans="4:9">
      <c r="D891" s="47"/>
      <c r="E891" s="143"/>
      <c r="H891" s="2"/>
      <c r="I891" s="30"/>
    </row>
    <row r="892" spans="4:9">
      <c r="D892" s="47"/>
      <c r="E892" s="143"/>
      <c r="H892" s="2"/>
      <c r="I892" s="30"/>
    </row>
    <row r="893" spans="4:9">
      <c r="D893" s="47"/>
      <c r="E893" s="143"/>
      <c r="H893" s="2"/>
      <c r="I893" s="30"/>
    </row>
    <row r="894" spans="4:9">
      <c r="D894" s="47"/>
      <c r="E894" s="143"/>
      <c r="H894" s="2"/>
      <c r="I894" s="30"/>
    </row>
    <row r="895" spans="4:9">
      <c r="D895" s="47"/>
      <c r="E895" s="143"/>
      <c r="H895" s="2"/>
      <c r="I895" s="30"/>
    </row>
    <row r="896" spans="4:9">
      <c r="D896" s="47"/>
      <c r="E896" s="143"/>
      <c r="H896" s="2"/>
      <c r="I896" s="30"/>
    </row>
    <row r="897" spans="4:9">
      <c r="D897" s="47"/>
      <c r="E897" s="143"/>
      <c r="H897" s="2"/>
      <c r="I897" s="30"/>
    </row>
    <row r="898" spans="4:9">
      <c r="D898" s="47"/>
      <c r="E898" s="143"/>
      <c r="H898" s="2"/>
      <c r="I898" s="30"/>
    </row>
    <row r="899" spans="4:9">
      <c r="D899" s="47"/>
      <c r="E899" s="143"/>
      <c r="H899" s="2"/>
      <c r="I899" s="30"/>
    </row>
    <row r="900" spans="4:9">
      <c r="D900" s="47"/>
      <c r="E900" s="143"/>
      <c r="H900" s="2"/>
      <c r="I900" s="30"/>
    </row>
    <row r="901" spans="4:9">
      <c r="D901" s="47"/>
      <c r="E901" s="143"/>
      <c r="H901" s="2"/>
      <c r="I901" s="30"/>
    </row>
    <row r="902" spans="4:9">
      <c r="D902" s="47"/>
      <c r="E902" s="143"/>
      <c r="H902" s="2"/>
      <c r="I902" s="30"/>
    </row>
    <row r="903" spans="4:9">
      <c r="D903" s="47"/>
      <c r="E903" s="143"/>
      <c r="H903" s="2"/>
      <c r="I903" s="30"/>
    </row>
    <row r="904" spans="4:9">
      <c r="D904" s="47"/>
      <c r="E904" s="143"/>
      <c r="H904" s="2"/>
      <c r="I904" s="30"/>
    </row>
    <row r="905" spans="4:9">
      <c r="D905" s="47"/>
      <c r="E905" s="143"/>
      <c r="H905" s="2"/>
      <c r="I905" s="30"/>
    </row>
    <row r="906" spans="4:9">
      <c r="D906" s="47"/>
      <c r="E906" s="143"/>
      <c r="H906" s="2"/>
      <c r="I906" s="30"/>
    </row>
    <row r="907" spans="4:9">
      <c r="D907" s="47"/>
      <c r="E907" s="143"/>
      <c r="H907" s="2"/>
      <c r="I907" s="30"/>
    </row>
    <row r="908" spans="4:9">
      <c r="D908" s="47"/>
      <c r="E908" s="143"/>
      <c r="H908" s="2"/>
      <c r="I908" s="30"/>
    </row>
    <row r="909" spans="4:9">
      <c r="D909" s="47"/>
      <c r="E909" s="143"/>
      <c r="H909" s="2"/>
      <c r="I909" s="30"/>
    </row>
    <row r="910" spans="4:9">
      <c r="D910" s="47"/>
      <c r="E910" s="143"/>
      <c r="H910" s="2"/>
      <c r="I910" s="30"/>
    </row>
    <row r="911" spans="4:9">
      <c r="D911" s="47"/>
      <c r="E911" s="143"/>
      <c r="H911" s="2"/>
      <c r="I911" s="30"/>
    </row>
    <row r="912" spans="4:9">
      <c r="D912" s="47"/>
      <c r="E912" s="143"/>
      <c r="H912" s="2"/>
      <c r="I912" s="30"/>
    </row>
    <row r="913" spans="4:9">
      <c r="D913" s="47"/>
      <c r="E913" s="143"/>
      <c r="H913" s="2"/>
      <c r="I913" s="30"/>
    </row>
    <row r="914" spans="4:9">
      <c r="D914" s="47"/>
      <c r="E914" s="143"/>
      <c r="H914" s="2"/>
      <c r="I914" s="30"/>
    </row>
    <row r="915" spans="4:9">
      <c r="D915" s="47"/>
      <c r="E915" s="143"/>
      <c r="H915" s="2"/>
      <c r="I915" s="30"/>
    </row>
    <row r="916" spans="4:9">
      <c r="D916" s="47"/>
      <c r="E916" s="143"/>
      <c r="H916" s="2"/>
      <c r="I916" s="30"/>
    </row>
    <row r="917" spans="4:9">
      <c r="D917" s="47"/>
      <c r="E917" s="143"/>
      <c r="H917" s="2"/>
      <c r="I917" s="30"/>
    </row>
    <row r="918" spans="4:9">
      <c r="D918" s="47"/>
      <c r="E918" s="143"/>
      <c r="H918" s="2"/>
      <c r="I918" s="30"/>
    </row>
    <row r="919" spans="4:9">
      <c r="D919" s="47"/>
      <c r="E919" s="143"/>
      <c r="H919" s="2"/>
      <c r="I919" s="30"/>
    </row>
    <row r="920" spans="4:9">
      <c r="D920" s="47"/>
      <c r="E920" s="143"/>
      <c r="H920" s="2"/>
      <c r="I920" s="30"/>
    </row>
    <row r="921" spans="4:9">
      <c r="D921" s="47"/>
      <c r="E921" s="143"/>
      <c r="H921" s="2"/>
      <c r="I921" s="30"/>
    </row>
    <row r="922" spans="4:9">
      <c r="D922" s="47"/>
      <c r="E922" s="143"/>
      <c r="H922" s="2"/>
      <c r="I922" s="30"/>
    </row>
    <row r="923" spans="4:9">
      <c r="D923" s="47"/>
      <c r="E923" s="143"/>
      <c r="H923" s="2"/>
      <c r="I923" s="30"/>
    </row>
    <row r="924" spans="4:9">
      <c r="D924" s="47"/>
      <c r="E924" s="143"/>
      <c r="H924" s="2"/>
      <c r="I924" s="30"/>
    </row>
    <row r="925" spans="4:9">
      <c r="D925" s="47"/>
      <c r="E925" s="143"/>
      <c r="H925" s="2"/>
      <c r="I925" s="30"/>
    </row>
    <row r="926" spans="4:9">
      <c r="D926" s="47"/>
      <c r="E926" s="143"/>
      <c r="H926" s="2"/>
      <c r="I926" s="30"/>
    </row>
    <row r="927" spans="4:9">
      <c r="D927" s="47"/>
      <c r="E927" s="143"/>
      <c r="H927" s="2"/>
      <c r="I927" s="30"/>
    </row>
    <row r="928" spans="4:9">
      <c r="D928" s="47"/>
      <c r="E928" s="143"/>
      <c r="H928" s="2"/>
      <c r="I928" s="30"/>
    </row>
    <row r="929" spans="4:15">
      <c r="D929" s="47"/>
      <c r="E929" s="143"/>
      <c r="H929" s="2"/>
      <c r="I929" s="30"/>
    </row>
    <row r="930" spans="4:15">
      <c r="D930" s="47"/>
      <c r="E930" s="143"/>
      <c r="H930" s="2"/>
      <c r="I930" s="30"/>
    </row>
    <row r="931" spans="4:15">
      <c r="D931" s="47"/>
      <c r="E931" s="143"/>
      <c r="H931" s="2"/>
      <c r="I931" s="30"/>
    </row>
    <row r="932" spans="4:15">
      <c r="D932" s="47"/>
      <c r="E932" s="143"/>
      <c r="H932" s="2"/>
      <c r="I932" s="30"/>
    </row>
    <row r="933" spans="4:15">
      <c r="D933" s="47"/>
      <c r="E933" s="143"/>
      <c r="H933" s="2"/>
      <c r="I933" s="30"/>
    </row>
    <row r="934" spans="4:15">
      <c r="D934" s="47"/>
      <c r="E934" s="143"/>
      <c r="H934" s="2"/>
      <c r="I934" s="30"/>
    </row>
    <row r="935" spans="4:15">
      <c r="D935" s="47"/>
      <c r="E935" s="143"/>
      <c r="H935" s="2"/>
      <c r="I935" s="30"/>
    </row>
    <row r="936" spans="4:15">
      <c r="D936" s="47"/>
      <c r="E936" s="143"/>
      <c r="H936" s="2"/>
      <c r="I936" s="30"/>
    </row>
    <row r="937" spans="4:15">
      <c r="D937" s="47"/>
      <c r="E937" s="143"/>
      <c r="H937" s="2"/>
      <c r="I937" s="30"/>
    </row>
    <row r="938" spans="4:15">
      <c r="D938" s="47"/>
      <c r="E938" s="143"/>
      <c r="H938" s="2"/>
      <c r="I938" s="30"/>
    </row>
    <row r="939" spans="4:15">
      <c r="D939" s="47"/>
      <c r="E939" s="143"/>
      <c r="H939" s="2"/>
      <c r="I939" s="30"/>
    </row>
    <row r="940" spans="4:15">
      <c r="D940" s="47"/>
      <c r="E940" s="143"/>
      <c r="H940" s="2"/>
      <c r="I940" s="30"/>
    </row>
    <row r="941" spans="4:15">
      <c r="K941" s="143"/>
      <c r="N941" s="2"/>
      <c r="O941" s="30"/>
    </row>
    <row r="942" spans="4:15">
      <c r="K942" s="143"/>
      <c r="N942" s="2"/>
      <c r="O942" s="30"/>
    </row>
    <row r="943" spans="4:15">
      <c r="K943" s="143"/>
      <c r="N943" s="2"/>
      <c r="O943" s="30"/>
    </row>
    <row r="944" spans="4:15">
      <c r="K944" s="143"/>
      <c r="N944" s="2"/>
      <c r="O944" s="30"/>
    </row>
    <row r="945" spans="11:15">
      <c r="K945" s="143"/>
      <c r="N945" s="2"/>
      <c r="O945" s="30"/>
    </row>
    <row r="946" spans="11:15">
      <c r="K946" s="143"/>
      <c r="N946" s="2"/>
      <c r="O946" s="30"/>
    </row>
    <row r="947" spans="11:15">
      <c r="K947" s="143"/>
      <c r="N947" s="2"/>
      <c r="O947" s="30"/>
    </row>
    <row r="948" spans="11:15">
      <c r="K948" s="143"/>
      <c r="N948" s="2"/>
      <c r="O948" s="30"/>
    </row>
    <row r="949" spans="11:15">
      <c r="K949" s="143"/>
      <c r="N949" s="2"/>
      <c r="O949" s="30"/>
    </row>
    <row r="950" spans="11:15">
      <c r="K950" s="143"/>
      <c r="N950" s="2"/>
      <c r="O950" s="30"/>
    </row>
    <row r="951" spans="11:15">
      <c r="K951" s="143"/>
      <c r="N951" s="2"/>
      <c r="O951" s="30"/>
    </row>
    <row r="952" spans="11:15">
      <c r="K952" s="143"/>
      <c r="N952" s="2"/>
      <c r="O952" s="30"/>
    </row>
    <row r="953" spans="11:15">
      <c r="K953" s="143"/>
      <c r="N953" s="2"/>
      <c r="O953" s="30"/>
    </row>
    <row r="954" spans="11:15">
      <c r="K954" s="143"/>
      <c r="N954" s="2"/>
      <c r="O954" s="30"/>
    </row>
    <row r="955" spans="11:15">
      <c r="K955" s="143"/>
      <c r="N955" s="2"/>
      <c r="O955" s="30"/>
    </row>
    <row r="956" spans="11:15">
      <c r="K956" s="143"/>
      <c r="N956" s="2"/>
      <c r="O956" s="30"/>
    </row>
    <row r="957" spans="11:15">
      <c r="K957" s="143"/>
      <c r="N957" s="2"/>
      <c r="O957" s="30"/>
    </row>
    <row r="958" spans="11:15">
      <c r="K958" s="143"/>
      <c r="N958" s="2"/>
      <c r="O958" s="30"/>
    </row>
    <row r="959" spans="11:15">
      <c r="K959" s="143"/>
      <c r="N959" s="2"/>
      <c r="O959" s="30"/>
    </row>
    <row r="960" spans="11:15">
      <c r="K960" s="143"/>
      <c r="N960" s="2"/>
      <c r="O960" s="30"/>
    </row>
    <row r="961" spans="11:15">
      <c r="K961" s="143"/>
      <c r="N961" s="2"/>
      <c r="O961" s="30"/>
    </row>
    <row r="962" spans="11:15">
      <c r="K962" s="143"/>
      <c r="N962" s="2"/>
      <c r="O962" s="30"/>
    </row>
  </sheetData>
  <hyperlinks>
    <hyperlink ref="M5" r:id="rId1" xr:uid="{4D6AABEC-BA37-4250-B99C-EC163784A4B7}"/>
    <hyperlink ref="M6" r:id="rId2" xr:uid="{8462FB97-A106-49C5-8E0F-97B19C0C3B98}"/>
    <hyperlink ref="J4" r:id="rId3" display="This story works only for the Existing Projects not for the new projects created. So added this under OP-2604: Cannot add New Invoice Page in New ProjectReady for Testing" xr:uid="{CB82DA71-84E2-45B1-9CF9-329D66CD817A}"/>
    <hyperlink ref="M4" r:id="rId4" xr:uid="{54C62B31-6043-47E8-AF98-3E321D6D7D4F}"/>
    <hyperlink ref="M8" r:id="rId5" xr:uid="{557F3CC0-3FE2-49A5-950C-C3B0DC2AAFA3}"/>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684DC-79DE-4B11-9C3D-59CE12E472BA}">
  <dimension ref="A1:Z4"/>
  <sheetViews>
    <sheetView workbookViewId="0">
      <selection activeCell="N18" sqref="N18"/>
    </sheetView>
  </sheetViews>
  <sheetFormatPr defaultRowHeight="12.75"/>
  <cols>
    <col min="2" max="2" width="19" customWidth="1"/>
    <col min="3" max="3" width="12.42578125" customWidth="1"/>
    <col min="4" max="4" width="18.28515625" customWidth="1"/>
    <col min="5" max="5" width="17" customWidth="1"/>
    <col min="6" max="6" width="46.85546875" customWidth="1"/>
    <col min="7" max="7" width="12.140625" customWidth="1"/>
    <col min="8" max="8" width="14.28515625" customWidth="1"/>
    <col min="9" max="9" width="17.140625" customWidth="1"/>
    <col min="10" max="10" width="13.85546875" customWidth="1"/>
    <col min="11" max="11" width="21.85546875" customWidth="1"/>
  </cols>
  <sheetData>
    <row r="1" spans="1:26" ht="25.5">
      <c r="A1" s="59" t="s">
        <v>248</v>
      </c>
      <c r="B1" s="154" t="s">
        <v>11</v>
      </c>
      <c r="C1" s="155" t="s">
        <v>306</v>
      </c>
      <c r="D1" s="154" t="s">
        <v>250</v>
      </c>
      <c r="E1" s="155" t="s">
        <v>308</v>
      </c>
      <c r="F1" s="155" t="s">
        <v>309</v>
      </c>
      <c r="G1" s="154" t="s">
        <v>310</v>
      </c>
      <c r="H1" s="154" t="s">
        <v>312</v>
      </c>
      <c r="I1" s="154" t="s">
        <v>253</v>
      </c>
      <c r="J1" s="156" t="s">
        <v>313</v>
      </c>
      <c r="K1" s="157" t="s">
        <v>274</v>
      </c>
      <c r="L1" s="35"/>
      <c r="M1" s="35"/>
      <c r="N1" s="35"/>
      <c r="O1" s="35"/>
      <c r="P1" s="35"/>
      <c r="Q1" s="35"/>
      <c r="R1" s="35"/>
      <c r="S1" s="35"/>
      <c r="T1" s="35"/>
      <c r="U1" s="35"/>
      <c r="V1" s="35"/>
      <c r="W1" s="35"/>
      <c r="X1" s="35"/>
      <c r="Y1" s="35"/>
      <c r="Z1" s="35"/>
    </row>
    <row r="2" spans="1:26">
      <c r="A2" s="46">
        <v>1</v>
      </c>
      <c r="B2" s="298" t="s">
        <v>1546</v>
      </c>
      <c r="C2" s="62" t="s">
        <v>1547</v>
      </c>
      <c r="D2" s="304" t="s">
        <v>1548</v>
      </c>
      <c r="E2" s="41" t="s">
        <v>553</v>
      </c>
      <c r="F2" s="11" t="s">
        <v>1549</v>
      </c>
      <c r="G2" s="41" t="s">
        <v>560</v>
      </c>
      <c r="H2" s="41" t="s">
        <v>556</v>
      </c>
      <c r="I2" s="41" t="s">
        <v>557</v>
      </c>
      <c r="J2" s="41" t="s">
        <v>737</v>
      </c>
      <c r="K2" s="41"/>
      <c r="L2" s="244"/>
      <c r="M2" s="244"/>
      <c r="N2" s="244"/>
      <c r="O2" s="244"/>
      <c r="P2" s="244"/>
      <c r="Q2" s="244"/>
      <c r="R2" s="244"/>
      <c r="S2" s="244"/>
      <c r="T2" s="244"/>
      <c r="U2" s="244"/>
      <c r="V2" s="244"/>
      <c r="W2" s="137"/>
      <c r="X2" s="137"/>
      <c r="Y2" s="137"/>
      <c r="Z2" s="137"/>
    </row>
    <row r="3" spans="1:26" ht="46.5">
      <c r="A3" s="46">
        <v>2</v>
      </c>
      <c r="B3" s="298" t="s">
        <v>1546</v>
      </c>
      <c r="C3" s="62" t="s">
        <v>1550</v>
      </c>
      <c r="D3" s="304" t="s">
        <v>1548</v>
      </c>
      <c r="E3" s="41" t="s">
        <v>553</v>
      </c>
      <c r="F3" s="11" t="s">
        <v>1551</v>
      </c>
      <c r="G3" s="41" t="s">
        <v>560</v>
      </c>
      <c r="H3" s="41" t="s">
        <v>556</v>
      </c>
      <c r="I3" s="41" t="s">
        <v>557</v>
      </c>
      <c r="J3" s="41"/>
      <c r="K3" s="11" t="s">
        <v>1552</v>
      </c>
      <c r="L3" s="244"/>
      <c r="M3" s="244"/>
      <c r="N3" s="244"/>
      <c r="O3" s="244"/>
      <c r="P3" s="244"/>
      <c r="Q3" s="244"/>
      <c r="R3" s="244"/>
      <c r="S3" s="244"/>
      <c r="T3" s="244"/>
      <c r="U3" s="244"/>
      <c r="V3" s="244"/>
      <c r="W3" s="137"/>
      <c r="X3" s="137"/>
      <c r="Y3" s="137"/>
      <c r="Z3" s="137"/>
    </row>
    <row r="4" spans="1:26">
      <c r="B4" s="3"/>
      <c r="D4" s="35"/>
      <c r="E4" s="35"/>
      <c r="F4" s="144"/>
      <c r="G4" s="35"/>
      <c r="H4" s="35"/>
      <c r="I4" s="35"/>
      <c r="J4" s="35"/>
      <c r="K4" s="35"/>
    </row>
  </sheetData>
  <dataValidations count="4">
    <dataValidation type="list" allowBlank="1" showErrorMessage="1" sqref="G2:G4" xr:uid="{634D486E-8C25-483C-AC07-072EF6147136}">
      <formula1>"Minor,Significant,Major"</formula1>
    </dataValidation>
    <dataValidation type="list" allowBlank="1" showErrorMessage="1" sqref="I2:I4" xr:uid="{09E594E9-21B1-4160-B547-0D81C47B3642}">
      <formula1>"Open,Inprogress,Closed"</formula1>
    </dataValidation>
    <dataValidation type="list" allowBlank="1" showErrorMessage="1" sqref="E2:E4" xr:uid="{68952446-1436-4B68-93FD-796FA3B6EA22}">
      <formula1>"Bounceback,Defect,None"</formula1>
    </dataValidation>
    <dataValidation type="list" allowBlank="1" showErrorMessage="1" sqref="H2:H4" xr:uid="{D769C3FA-10C3-4847-A8E2-BB1332797327}">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CAF06E80-8BA4-493C-A2B7-5BCE2569349D}">
          <x14:formula1>
            <xm:f>Details!$A$2:$A$10</xm:f>
          </x14:formula1>
          <xm:sqref>J2:J4</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1B827-2ECB-46DC-8772-68D450DC6A51}">
  <dimension ref="A1:X963"/>
  <sheetViews>
    <sheetView topLeftCell="H1" workbookViewId="0">
      <selection activeCell="R2" sqref="R2"/>
    </sheetView>
  </sheetViews>
  <sheetFormatPr defaultRowHeight="12.75"/>
  <cols>
    <col min="1" max="1" width="8.28515625" style="181" customWidth="1"/>
    <col min="2" max="2" width="20.42578125" customWidth="1"/>
    <col min="3" max="3" width="18.42578125" style="47" customWidth="1"/>
    <col min="4" max="4" width="16.28515625" customWidth="1"/>
    <col min="5" max="5" width="39.28515625" customWidth="1"/>
    <col min="6" max="7" width="9.140625" style="53"/>
    <col min="8" max="8" width="10.28515625" customWidth="1"/>
    <col min="12" max="12" width="15.42578125" customWidth="1"/>
    <col min="13" max="13" width="22.7109375" customWidth="1"/>
    <col min="14" max="14" width="10.7109375" bestFit="1" customWidth="1"/>
    <col min="15" max="15" width="10.42578125" customWidth="1"/>
    <col min="17" max="17" width="13.28515625" customWidth="1"/>
    <col min="19" max="19" width="9.42578125" bestFit="1" customWidth="1"/>
    <col min="20" max="20" width="14.7109375" customWidth="1"/>
    <col min="21" max="21" width="15.28515625" customWidth="1"/>
    <col min="22" max="22" width="14.7109375" customWidth="1"/>
    <col min="23" max="23" width="11.5703125" style="137" customWidth="1"/>
    <col min="24" max="24" width="48.28515625" customWidth="1"/>
  </cols>
  <sheetData>
    <row r="1" spans="1:24" ht="14.25">
      <c r="A1" s="234"/>
      <c r="B1" s="1"/>
      <c r="C1" s="7"/>
      <c r="D1" s="7"/>
      <c r="E1" s="1"/>
      <c r="F1" s="49"/>
      <c r="G1" s="49"/>
      <c r="H1" s="198"/>
      <c r="I1" s="198"/>
      <c r="J1" s="198"/>
      <c r="K1" s="198"/>
      <c r="L1" s="198"/>
      <c r="M1" s="198"/>
      <c r="N1" s="198"/>
      <c r="O1" s="198"/>
      <c r="P1" s="198"/>
      <c r="Q1" s="198"/>
      <c r="R1" s="198"/>
      <c r="S1" s="198"/>
      <c r="T1" s="198"/>
      <c r="U1" s="198"/>
      <c r="V1" s="198"/>
      <c r="W1" s="322"/>
      <c r="X1" s="323"/>
    </row>
    <row r="2" spans="1:24" ht="46.5">
      <c r="A2" s="234" t="s">
        <v>248</v>
      </c>
      <c r="B2" s="1" t="s">
        <v>249</v>
      </c>
      <c r="C2" s="7" t="s">
        <v>250</v>
      </c>
      <c r="D2" s="235" t="s">
        <v>251</v>
      </c>
      <c r="E2" s="236" t="s">
        <v>252</v>
      </c>
      <c r="F2" s="237" t="s">
        <v>254</v>
      </c>
      <c r="G2" s="237" t="s">
        <v>255</v>
      </c>
      <c r="H2" s="238" t="s">
        <v>259</v>
      </c>
      <c r="I2" s="238" t="s">
        <v>260</v>
      </c>
      <c r="J2" s="238" t="s">
        <v>261</v>
      </c>
      <c r="K2" s="238" t="s">
        <v>262</v>
      </c>
      <c r="L2" s="238" t="s">
        <v>263</v>
      </c>
      <c r="M2" s="238" t="s">
        <v>264</v>
      </c>
      <c r="N2" s="238" t="s">
        <v>265</v>
      </c>
      <c r="O2" s="238" t="s">
        <v>266</v>
      </c>
      <c r="P2" s="238" t="s">
        <v>267</v>
      </c>
      <c r="Q2" s="238" t="s">
        <v>268</v>
      </c>
      <c r="R2" s="238" t="s">
        <v>269</v>
      </c>
      <c r="S2" s="238" t="s">
        <v>270</v>
      </c>
      <c r="T2" s="238" t="s">
        <v>268</v>
      </c>
      <c r="U2" s="238" t="s">
        <v>272</v>
      </c>
      <c r="V2" s="238" t="s">
        <v>273</v>
      </c>
      <c r="W2" s="239" t="s">
        <v>253</v>
      </c>
      <c r="X2" s="240" t="s">
        <v>274</v>
      </c>
    </row>
    <row r="3" spans="1:24" s="137" customFormat="1" ht="30.75" customHeight="1">
      <c r="A3" s="317">
        <v>1</v>
      </c>
      <c r="B3" s="334" t="s">
        <v>1553</v>
      </c>
      <c r="C3" s="270" t="s">
        <v>1035</v>
      </c>
      <c r="D3" s="257" t="s">
        <v>1554</v>
      </c>
      <c r="E3" s="331" t="s">
        <v>1555</v>
      </c>
      <c r="F3" s="310">
        <v>3</v>
      </c>
      <c r="G3" s="310">
        <v>3</v>
      </c>
      <c r="H3" s="313" t="s">
        <v>318</v>
      </c>
      <c r="I3" s="126" t="s">
        <v>1022</v>
      </c>
      <c r="J3" s="329" t="s">
        <v>1556</v>
      </c>
      <c r="K3" s="126" t="s">
        <v>595</v>
      </c>
      <c r="L3" s="229" t="s">
        <v>1557</v>
      </c>
      <c r="M3" s="330" t="s">
        <v>1558</v>
      </c>
      <c r="N3" s="306">
        <v>45538</v>
      </c>
      <c r="O3" s="306">
        <v>45539</v>
      </c>
      <c r="P3" s="126" t="s">
        <v>323</v>
      </c>
      <c r="Q3" s="315" t="s">
        <v>1557</v>
      </c>
      <c r="R3" s="229" t="s">
        <v>1559</v>
      </c>
      <c r="S3" s="307">
        <v>45540</v>
      </c>
      <c r="T3" s="332" t="s">
        <v>1560</v>
      </c>
      <c r="U3" s="315" t="s">
        <v>1557</v>
      </c>
      <c r="V3" s="315" t="s">
        <v>1557</v>
      </c>
      <c r="W3" s="327" t="s">
        <v>13</v>
      </c>
      <c r="X3" s="333"/>
    </row>
    <row r="4" spans="1:24" s="137" customFormat="1" ht="30.75" customHeight="1">
      <c r="A4" s="302">
        <v>2</v>
      </c>
      <c r="B4" s="278" t="s">
        <v>1553</v>
      </c>
      <c r="C4" s="46" t="s">
        <v>1035</v>
      </c>
      <c r="D4" s="283" t="s">
        <v>1561</v>
      </c>
      <c r="E4" s="11" t="s">
        <v>1562</v>
      </c>
      <c r="F4" s="310">
        <v>3</v>
      </c>
      <c r="G4" s="310">
        <v>3</v>
      </c>
      <c r="H4" s="83" t="s">
        <v>318</v>
      </c>
      <c r="I4" s="41" t="s">
        <v>1022</v>
      </c>
      <c r="J4" s="316" t="s">
        <v>1556</v>
      </c>
      <c r="K4" s="41" t="s">
        <v>595</v>
      </c>
      <c r="L4" s="203" t="s">
        <v>1557</v>
      </c>
      <c r="M4" s="231" t="s">
        <v>1563</v>
      </c>
      <c r="N4" s="232">
        <v>45541</v>
      </c>
      <c r="O4" s="232">
        <v>45541</v>
      </c>
      <c r="P4" s="41" t="s">
        <v>323</v>
      </c>
      <c r="Q4" s="282" t="s">
        <v>1557</v>
      </c>
      <c r="R4" s="203" t="s">
        <v>1529</v>
      </c>
      <c r="S4" s="206">
        <v>45541</v>
      </c>
      <c r="T4" s="315" t="s">
        <v>1557</v>
      </c>
      <c r="U4" s="315" t="s">
        <v>1557</v>
      </c>
      <c r="V4" s="315" t="s">
        <v>1557</v>
      </c>
      <c r="W4" s="327" t="s">
        <v>13</v>
      </c>
      <c r="X4" s="216"/>
    </row>
    <row r="5" spans="1:24" s="137" customFormat="1" ht="30.75" customHeight="1">
      <c r="A5" s="228">
        <v>4</v>
      </c>
      <c r="B5" s="11" t="s">
        <v>1553</v>
      </c>
      <c r="C5" s="46" t="s">
        <v>1022</v>
      </c>
      <c r="D5" s="62" t="s">
        <v>1564</v>
      </c>
      <c r="E5" s="11" t="s">
        <v>1565</v>
      </c>
      <c r="F5" s="17">
        <v>3</v>
      </c>
      <c r="G5" s="17">
        <v>3</v>
      </c>
      <c r="H5" s="335" t="s">
        <v>318</v>
      </c>
      <c r="I5" s="41" t="s">
        <v>1035</v>
      </c>
      <c r="J5" s="316" t="s">
        <v>1556</v>
      </c>
      <c r="K5" s="41" t="s">
        <v>595</v>
      </c>
      <c r="L5" s="203" t="s">
        <v>1557</v>
      </c>
      <c r="M5" s="231" t="s">
        <v>1566</v>
      </c>
      <c r="N5" s="232">
        <v>45546</v>
      </c>
      <c r="O5" s="336">
        <v>45546</v>
      </c>
      <c r="P5" s="187" t="s">
        <v>1529</v>
      </c>
      <c r="Q5" s="337" t="s">
        <v>1557</v>
      </c>
      <c r="R5" s="248" t="s">
        <v>322</v>
      </c>
      <c r="S5" s="232">
        <v>45546</v>
      </c>
      <c r="T5" s="282" t="s">
        <v>1557</v>
      </c>
      <c r="U5" s="315" t="s">
        <v>1557</v>
      </c>
      <c r="V5" s="315" t="s">
        <v>1557</v>
      </c>
      <c r="W5" s="327" t="s">
        <v>13</v>
      </c>
      <c r="X5" s="203"/>
    </row>
    <row r="6" spans="1:24" ht="31.5" customHeight="1">
      <c r="A6" s="228">
        <v>5</v>
      </c>
      <c r="B6" s="11" t="s">
        <v>1553</v>
      </c>
      <c r="C6" s="46" t="s">
        <v>1035</v>
      </c>
      <c r="D6" s="62" t="s">
        <v>1567</v>
      </c>
      <c r="E6" s="18" t="s">
        <v>1568</v>
      </c>
      <c r="F6" s="17">
        <v>3</v>
      </c>
      <c r="G6" s="17">
        <v>3</v>
      </c>
      <c r="H6" s="83" t="s">
        <v>318</v>
      </c>
      <c r="I6" s="41" t="s">
        <v>1022</v>
      </c>
      <c r="J6" s="316" t="s">
        <v>1556</v>
      </c>
      <c r="K6" s="41" t="s">
        <v>595</v>
      </c>
      <c r="L6" s="203" t="s">
        <v>1557</v>
      </c>
      <c r="M6" s="231" t="s">
        <v>1569</v>
      </c>
      <c r="N6" s="232">
        <v>45544</v>
      </c>
      <c r="O6" s="336">
        <v>45546</v>
      </c>
      <c r="P6" s="187" t="s">
        <v>1529</v>
      </c>
      <c r="Q6" s="337" t="s">
        <v>1557</v>
      </c>
      <c r="R6" s="248" t="s">
        <v>322</v>
      </c>
      <c r="S6" s="232">
        <v>45546</v>
      </c>
      <c r="T6" s="325" t="s">
        <v>1557</v>
      </c>
      <c r="U6" s="282" t="s">
        <v>1557</v>
      </c>
      <c r="V6" s="282" t="s">
        <v>1557</v>
      </c>
      <c r="W6" s="228" t="s">
        <v>13</v>
      </c>
      <c r="X6" s="227"/>
    </row>
    <row r="7" spans="1:24">
      <c r="B7" s="28"/>
      <c r="C7" s="196"/>
      <c r="D7" s="47"/>
      <c r="E7" s="28"/>
      <c r="F7" s="215"/>
      <c r="G7" s="215"/>
      <c r="H7" s="2"/>
      <c r="I7" s="35"/>
      <c r="K7" s="35"/>
      <c r="M7" s="35"/>
      <c r="N7" s="35"/>
      <c r="O7" s="35"/>
      <c r="P7" s="35"/>
    </row>
    <row r="8" spans="1:24">
      <c r="B8" s="28"/>
      <c r="C8" s="196"/>
      <c r="D8" s="47"/>
      <c r="E8" s="28"/>
      <c r="F8" s="215"/>
      <c r="G8" s="215"/>
      <c r="H8" s="2"/>
      <c r="I8" s="35"/>
      <c r="K8" s="35"/>
      <c r="M8" s="35"/>
      <c r="N8" s="35"/>
      <c r="O8" s="35"/>
      <c r="P8" s="35"/>
    </row>
    <row r="9" spans="1:24">
      <c r="B9" s="28"/>
      <c r="C9" s="196"/>
      <c r="D9" s="47"/>
      <c r="E9" s="28"/>
      <c r="F9" s="215"/>
      <c r="G9" s="215"/>
      <c r="H9" s="2"/>
      <c r="I9" s="35"/>
      <c r="K9" s="35"/>
      <c r="M9" s="35"/>
      <c r="N9" s="35"/>
      <c r="O9" s="35"/>
      <c r="P9" s="35"/>
    </row>
    <row r="10" spans="1:24">
      <c r="B10" s="28"/>
      <c r="C10" s="196"/>
      <c r="D10" s="47"/>
      <c r="E10" s="28"/>
      <c r="F10" s="215"/>
      <c r="G10" s="215"/>
      <c r="H10" s="2"/>
      <c r="I10" s="35"/>
      <c r="K10" s="35"/>
      <c r="M10" s="35"/>
      <c r="N10" s="35"/>
      <c r="O10" s="35"/>
      <c r="P10" s="35"/>
    </row>
    <row r="11" spans="1:24">
      <c r="B11" s="28"/>
      <c r="C11" s="196"/>
      <c r="D11" s="47"/>
      <c r="E11" s="28"/>
      <c r="F11" s="215"/>
      <c r="G11" s="215"/>
      <c r="H11" s="2"/>
      <c r="I11" s="35"/>
      <c r="K11" s="35"/>
      <c r="M11" s="35"/>
      <c r="N11" s="35"/>
      <c r="O11" s="35"/>
      <c r="P11" s="35"/>
    </row>
    <row r="12" spans="1:24">
      <c r="B12" s="28"/>
      <c r="C12" s="196"/>
      <c r="D12" s="47"/>
      <c r="E12" s="28"/>
      <c r="F12" s="215"/>
      <c r="G12" s="215"/>
      <c r="H12" s="2"/>
      <c r="I12" s="35"/>
      <c r="K12" s="35"/>
      <c r="M12" s="35"/>
      <c r="N12" s="35"/>
      <c r="O12" s="35"/>
      <c r="P12" s="35"/>
    </row>
    <row r="13" spans="1:24">
      <c r="B13" s="28"/>
      <c r="C13" s="196"/>
      <c r="D13" s="47"/>
      <c r="E13" s="28"/>
      <c r="F13" s="215"/>
      <c r="G13" s="215"/>
      <c r="H13" s="2"/>
      <c r="I13" s="35"/>
      <c r="K13" s="35"/>
      <c r="M13" s="35"/>
      <c r="N13" s="35"/>
      <c r="O13" s="35"/>
      <c r="P13" s="35"/>
    </row>
    <row r="14" spans="1:24">
      <c r="B14" s="28"/>
      <c r="C14" s="196"/>
      <c r="D14" s="47"/>
      <c r="E14" s="28"/>
      <c r="F14" s="215"/>
      <c r="G14" s="215"/>
      <c r="H14" s="2"/>
      <c r="I14" s="35"/>
      <c r="K14" s="35"/>
      <c r="M14" s="35"/>
      <c r="N14" s="35"/>
      <c r="O14" s="35"/>
      <c r="P14" s="35"/>
    </row>
    <row r="15" spans="1:24">
      <c r="B15" s="28"/>
      <c r="C15" s="196"/>
      <c r="D15" s="47"/>
      <c r="E15" s="28"/>
      <c r="F15" s="215"/>
      <c r="G15" s="215"/>
      <c r="H15" s="2"/>
      <c r="I15" s="35"/>
      <c r="K15" s="35"/>
      <c r="M15" s="35"/>
      <c r="N15" s="35"/>
      <c r="O15" s="35"/>
      <c r="P15" s="35"/>
    </row>
    <row r="16" spans="1:24">
      <c r="B16" s="28"/>
      <c r="C16" s="196"/>
      <c r="D16" s="47"/>
      <c r="E16" s="28"/>
      <c r="F16" s="215"/>
      <c r="G16" s="215"/>
      <c r="H16" s="2"/>
      <c r="I16" s="35"/>
      <c r="K16" s="35"/>
      <c r="M16" s="35"/>
      <c r="N16" s="35"/>
      <c r="O16" s="35"/>
      <c r="P16" s="35"/>
    </row>
    <row r="17" spans="2:16">
      <c r="B17" s="28"/>
      <c r="C17" s="196"/>
      <c r="D17" s="47"/>
      <c r="E17" s="28"/>
      <c r="F17" s="215"/>
      <c r="G17" s="215"/>
      <c r="H17" s="2"/>
      <c r="I17" s="35"/>
      <c r="K17" s="35"/>
      <c r="M17" s="35"/>
      <c r="N17" s="35"/>
      <c r="O17" s="35"/>
      <c r="P17" s="35"/>
    </row>
    <row r="18" spans="2:16">
      <c r="B18" s="28"/>
      <c r="C18" s="196"/>
      <c r="D18" s="47"/>
      <c r="E18" s="28"/>
      <c r="F18" s="215"/>
      <c r="G18" s="215"/>
      <c r="H18" s="2"/>
      <c r="I18" s="35"/>
      <c r="K18" s="35"/>
      <c r="M18" s="35"/>
      <c r="N18" s="35"/>
      <c r="O18" s="35"/>
      <c r="P18" s="35"/>
    </row>
    <row r="19" spans="2:16">
      <c r="B19" s="28"/>
      <c r="C19" s="196"/>
      <c r="D19" s="47"/>
      <c r="E19" s="28"/>
      <c r="F19" s="215"/>
      <c r="G19" s="215"/>
      <c r="H19" s="2"/>
      <c r="I19" s="35"/>
      <c r="K19" s="35"/>
      <c r="M19" s="35"/>
      <c r="N19" s="35"/>
      <c r="O19" s="35"/>
      <c r="P19" s="35"/>
    </row>
    <row r="20" spans="2:16">
      <c r="B20" s="28"/>
      <c r="C20" s="196"/>
      <c r="D20" s="47"/>
      <c r="E20" s="28"/>
      <c r="F20" s="215"/>
      <c r="G20" s="215"/>
      <c r="H20" s="2"/>
      <c r="I20" s="35"/>
      <c r="K20" s="35"/>
      <c r="M20" s="35"/>
      <c r="N20" s="35"/>
      <c r="O20" s="35"/>
      <c r="P20" s="35"/>
    </row>
    <row r="21" spans="2:16">
      <c r="B21" s="28"/>
      <c r="C21" s="196"/>
      <c r="D21" s="47"/>
      <c r="E21" s="28"/>
      <c r="F21" s="215"/>
      <c r="G21" s="215"/>
      <c r="H21" s="2"/>
      <c r="I21" s="35"/>
      <c r="K21" s="35"/>
      <c r="M21" s="35"/>
      <c r="N21" s="35"/>
      <c r="O21" s="35"/>
      <c r="P21" s="35"/>
    </row>
    <row r="22" spans="2:16">
      <c r="B22" s="28"/>
      <c r="C22" s="196"/>
      <c r="D22" s="47"/>
      <c r="E22" s="28"/>
      <c r="F22" s="215"/>
      <c r="G22" s="215"/>
      <c r="H22" s="2"/>
      <c r="I22" s="35"/>
      <c r="K22" s="35"/>
      <c r="M22" s="35"/>
      <c r="N22" s="35"/>
      <c r="O22" s="35"/>
      <c r="P22" s="35"/>
    </row>
    <row r="23" spans="2:16">
      <c r="B23" s="28"/>
      <c r="C23" s="196"/>
      <c r="D23" s="47"/>
      <c r="E23" s="28"/>
      <c r="F23" s="215"/>
      <c r="G23" s="215"/>
      <c r="H23" s="2"/>
      <c r="I23" s="35"/>
      <c r="K23" s="35"/>
      <c r="M23" s="35"/>
      <c r="N23" s="35"/>
      <c r="O23" s="35"/>
      <c r="P23" s="35"/>
    </row>
    <row r="24" spans="2:16">
      <c r="B24" s="28"/>
      <c r="C24" s="196"/>
      <c r="D24" s="47"/>
      <c r="E24" s="28"/>
      <c r="F24" s="215"/>
      <c r="G24" s="215"/>
      <c r="H24" s="2"/>
      <c r="I24" s="35"/>
      <c r="K24" s="35"/>
      <c r="M24" s="35"/>
      <c r="N24" s="35"/>
      <c r="O24" s="35"/>
      <c r="P24" s="35"/>
    </row>
    <row r="25" spans="2:16">
      <c r="B25" s="28"/>
      <c r="C25" s="196"/>
      <c r="D25" s="47"/>
      <c r="E25" s="28"/>
      <c r="F25" s="215"/>
      <c r="G25" s="215"/>
      <c r="H25" s="2"/>
      <c r="I25" s="35"/>
      <c r="K25" s="35"/>
      <c r="M25" s="35"/>
      <c r="N25" s="35"/>
      <c r="O25" s="35"/>
      <c r="P25" s="35"/>
    </row>
    <row r="26" spans="2:16">
      <c r="B26" s="28"/>
      <c r="C26" s="196"/>
      <c r="D26" s="47"/>
      <c r="E26" s="28"/>
      <c r="F26" s="215"/>
      <c r="G26" s="215"/>
      <c r="H26" s="2"/>
      <c r="I26" s="35"/>
      <c r="K26" s="35"/>
      <c r="M26" s="35"/>
      <c r="N26" s="35"/>
      <c r="O26" s="35"/>
      <c r="P26" s="35"/>
    </row>
    <row r="27" spans="2:16">
      <c r="B27" s="28"/>
      <c r="C27" s="196"/>
      <c r="D27" s="47"/>
      <c r="E27" s="28"/>
      <c r="F27" s="215"/>
      <c r="G27" s="215"/>
      <c r="H27" s="2"/>
      <c r="I27" s="35"/>
      <c r="K27" s="35"/>
      <c r="M27" s="35"/>
      <c r="N27" s="35"/>
      <c r="O27" s="35"/>
      <c r="P27" s="35"/>
    </row>
    <row r="28" spans="2:16">
      <c r="B28" s="28"/>
      <c r="C28" s="196"/>
      <c r="D28" s="47"/>
      <c r="E28" s="28"/>
      <c r="F28" s="215"/>
      <c r="G28" s="215"/>
      <c r="H28" s="2"/>
      <c r="I28" s="35"/>
      <c r="K28" s="35"/>
      <c r="M28" s="35"/>
      <c r="N28" s="35"/>
      <c r="O28" s="35"/>
      <c r="P28" s="35"/>
    </row>
    <row r="29" spans="2:16">
      <c r="B29" s="28"/>
      <c r="C29" s="196"/>
      <c r="D29" s="47"/>
      <c r="E29" s="28"/>
      <c r="F29" s="215"/>
      <c r="G29" s="215"/>
      <c r="H29" s="2"/>
      <c r="I29" s="35"/>
      <c r="K29" s="35"/>
      <c r="M29" s="35"/>
      <c r="N29" s="35"/>
      <c r="O29" s="35"/>
      <c r="P29" s="35"/>
    </row>
    <row r="30" spans="2:16">
      <c r="B30" s="28"/>
      <c r="C30" s="196"/>
      <c r="D30" s="47"/>
      <c r="E30" s="28"/>
      <c r="F30" s="215"/>
      <c r="G30" s="215"/>
      <c r="H30" s="2"/>
      <c r="I30" s="35"/>
      <c r="K30" s="35"/>
      <c r="M30" s="35"/>
      <c r="N30" s="35"/>
      <c r="O30" s="35"/>
      <c r="P30" s="35"/>
    </row>
    <row r="31" spans="2:16">
      <c r="B31" s="28"/>
      <c r="C31" s="196"/>
      <c r="D31" s="47"/>
      <c r="E31" s="28"/>
      <c r="F31" s="215"/>
      <c r="G31" s="215"/>
      <c r="H31" s="2"/>
      <c r="I31" s="35"/>
      <c r="K31" s="35"/>
      <c r="M31" s="35"/>
      <c r="N31" s="35"/>
      <c r="O31" s="35"/>
      <c r="P31" s="35"/>
    </row>
    <row r="32" spans="2:16">
      <c r="B32" s="28"/>
      <c r="C32" s="196"/>
      <c r="D32" s="47"/>
      <c r="E32" s="28"/>
      <c r="F32" s="215"/>
      <c r="G32" s="215"/>
      <c r="H32" s="2"/>
      <c r="I32" s="35"/>
      <c r="K32" s="35"/>
      <c r="M32" s="35"/>
      <c r="N32" s="35"/>
      <c r="O32" s="35"/>
      <c r="P32" s="35"/>
    </row>
    <row r="33" spans="2:16">
      <c r="B33" s="28"/>
      <c r="C33" s="196"/>
      <c r="D33" s="47"/>
      <c r="E33" s="28"/>
      <c r="F33" s="215"/>
      <c r="G33" s="215"/>
      <c r="H33" s="2"/>
      <c r="I33" s="35"/>
      <c r="K33" s="35"/>
      <c r="M33" s="35"/>
      <c r="N33" s="35"/>
      <c r="O33" s="35"/>
      <c r="P33" s="35"/>
    </row>
    <row r="34" spans="2:16">
      <c r="B34" s="28"/>
      <c r="C34" s="196"/>
      <c r="D34" s="47"/>
      <c r="E34" s="28"/>
      <c r="F34" s="215"/>
      <c r="G34" s="215"/>
      <c r="H34" s="2"/>
      <c r="I34" s="35"/>
      <c r="K34" s="35"/>
      <c r="M34" s="35"/>
      <c r="N34" s="35"/>
      <c r="O34" s="35"/>
      <c r="P34" s="35"/>
    </row>
    <row r="35" spans="2:16">
      <c r="B35" s="28"/>
      <c r="C35" s="196"/>
      <c r="D35" s="47"/>
      <c r="E35" s="28"/>
      <c r="F35" s="215"/>
      <c r="G35" s="215"/>
      <c r="H35" s="2"/>
      <c r="I35" s="35"/>
      <c r="K35" s="35"/>
      <c r="M35" s="35"/>
      <c r="N35" s="35"/>
      <c r="O35" s="35"/>
      <c r="P35" s="35"/>
    </row>
    <row r="36" spans="2:16">
      <c r="B36" s="28"/>
      <c r="C36" s="196"/>
      <c r="D36" s="47"/>
      <c r="E36" s="28"/>
      <c r="F36" s="215"/>
      <c r="G36" s="215"/>
      <c r="H36" s="2"/>
      <c r="I36" s="35"/>
      <c r="K36" s="35"/>
      <c r="M36" s="35"/>
      <c r="N36" s="35"/>
      <c r="O36" s="35"/>
      <c r="P36" s="35"/>
    </row>
    <row r="37" spans="2:16">
      <c r="B37" s="28"/>
      <c r="C37" s="196"/>
      <c r="D37" s="47"/>
      <c r="E37" s="28"/>
      <c r="F37" s="215"/>
      <c r="G37" s="215"/>
      <c r="H37" s="2"/>
      <c r="I37" s="35"/>
      <c r="K37" s="35"/>
      <c r="M37" s="35"/>
      <c r="N37" s="35"/>
      <c r="O37" s="35"/>
      <c r="P37" s="35"/>
    </row>
    <row r="38" spans="2:16">
      <c r="B38" s="28"/>
      <c r="C38" s="196"/>
      <c r="D38" s="47"/>
      <c r="E38" s="28"/>
      <c r="F38" s="215"/>
      <c r="G38" s="215"/>
      <c r="H38" s="2"/>
      <c r="I38" s="35"/>
      <c r="K38" s="35"/>
      <c r="M38" s="35"/>
      <c r="N38" s="35"/>
      <c r="O38" s="35"/>
      <c r="P38" s="35"/>
    </row>
    <row r="39" spans="2:16">
      <c r="B39" s="28"/>
      <c r="C39" s="196"/>
      <c r="D39" s="47"/>
      <c r="E39" s="28"/>
      <c r="F39" s="215"/>
      <c r="G39" s="215"/>
      <c r="H39" s="2"/>
      <c r="I39" s="35"/>
      <c r="K39" s="35"/>
      <c r="M39" s="35"/>
      <c r="N39" s="35"/>
      <c r="O39" s="35"/>
      <c r="P39" s="35"/>
    </row>
    <row r="40" spans="2:16">
      <c r="B40" s="28"/>
      <c r="C40" s="196"/>
      <c r="D40" s="47"/>
      <c r="E40" s="28"/>
      <c r="F40" s="215"/>
      <c r="G40" s="215"/>
      <c r="H40" s="2"/>
      <c r="I40" s="35"/>
      <c r="K40" s="35"/>
      <c r="M40" s="35"/>
      <c r="N40" s="35"/>
      <c r="O40" s="35"/>
      <c r="P40" s="35"/>
    </row>
    <row r="41" spans="2:16">
      <c r="B41" s="28"/>
      <c r="C41" s="196"/>
      <c r="D41" s="47"/>
      <c r="E41" s="28"/>
      <c r="F41" s="215"/>
      <c r="G41" s="215"/>
      <c r="H41" s="2"/>
      <c r="I41" s="35"/>
      <c r="K41" s="35"/>
      <c r="M41" s="35"/>
      <c r="N41" s="35"/>
      <c r="O41" s="35"/>
      <c r="P41" s="35"/>
    </row>
    <row r="42" spans="2:16">
      <c r="B42" s="28"/>
      <c r="C42" s="196"/>
      <c r="D42" s="47"/>
      <c r="E42" s="28"/>
      <c r="F42" s="215"/>
      <c r="G42" s="215"/>
      <c r="H42" s="2"/>
      <c r="I42" s="35"/>
      <c r="K42" s="35"/>
      <c r="M42" s="35"/>
      <c r="N42" s="35"/>
      <c r="O42" s="35"/>
      <c r="P42" s="35"/>
    </row>
    <row r="43" spans="2:16">
      <c r="B43" s="28"/>
      <c r="C43" s="196"/>
      <c r="D43" s="47"/>
      <c r="E43" s="28"/>
      <c r="F43" s="215"/>
      <c r="G43" s="215"/>
      <c r="H43" s="2"/>
      <c r="I43" s="35"/>
      <c r="K43" s="35"/>
      <c r="M43" s="35"/>
      <c r="N43" s="35"/>
      <c r="O43" s="35"/>
      <c r="P43" s="35"/>
    </row>
    <row r="44" spans="2:16">
      <c r="B44" s="28"/>
      <c r="C44" s="196"/>
      <c r="D44" s="47"/>
      <c r="E44" s="28"/>
      <c r="F44" s="215"/>
      <c r="G44" s="215"/>
      <c r="H44" s="2"/>
      <c r="I44" s="35"/>
      <c r="K44" s="35"/>
      <c r="M44" s="35"/>
      <c r="N44" s="35"/>
      <c r="O44" s="35"/>
      <c r="P44" s="35"/>
    </row>
    <row r="45" spans="2:16">
      <c r="B45" s="28"/>
      <c r="C45" s="196"/>
      <c r="D45" s="47"/>
      <c r="E45" s="28"/>
      <c r="F45" s="215"/>
      <c r="G45" s="215"/>
      <c r="H45" s="2"/>
      <c r="I45" s="35"/>
      <c r="K45" s="35"/>
      <c r="M45" s="35"/>
      <c r="N45" s="35"/>
      <c r="O45" s="35"/>
      <c r="P45" s="35"/>
    </row>
    <row r="46" spans="2:16">
      <c r="B46" s="28"/>
      <c r="C46" s="196"/>
      <c r="D46" s="47"/>
      <c r="E46" s="28"/>
      <c r="F46" s="215"/>
      <c r="G46" s="215"/>
      <c r="H46" s="2"/>
      <c r="I46" s="35"/>
      <c r="K46" s="35"/>
      <c r="M46" s="35"/>
      <c r="N46" s="35"/>
      <c r="O46" s="35"/>
      <c r="P46" s="35"/>
    </row>
    <row r="47" spans="2:16">
      <c r="B47" s="28"/>
      <c r="C47" s="196"/>
      <c r="D47" s="47"/>
      <c r="E47" s="28"/>
      <c r="F47" s="215"/>
      <c r="G47" s="215"/>
      <c r="H47" s="2"/>
      <c r="I47" s="35"/>
      <c r="K47" s="35"/>
      <c r="M47" s="35"/>
      <c r="N47" s="35"/>
      <c r="O47" s="35"/>
      <c r="P47" s="35"/>
    </row>
    <row r="48" spans="2:16">
      <c r="B48" s="28"/>
      <c r="C48" s="196"/>
      <c r="D48" s="47"/>
      <c r="E48" s="28"/>
      <c r="F48" s="215"/>
      <c r="G48" s="215"/>
      <c r="H48" s="2"/>
      <c r="I48" s="35"/>
      <c r="K48" s="35"/>
      <c r="M48" s="35"/>
      <c r="N48" s="35"/>
      <c r="O48" s="35"/>
      <c r="P48" s="35"/>
    </row>
    <row r="49" spans="2:16">
      <c r="B49" s="28"/>
      <c r="C49" s="196"/>
      <c r="D49" s="47"/>
      <c r="E49" s="28"/>
      <c r="F49" s="215"/>
      <c r="G49" s="215"/>
      <c r="H49" s="2"/>
      <c r="I49" s="35"/>
      <c r="K49" s="35"/>
      <c r="M49" s="35"/>
      <c r="N49" s="35"/>
      <c r="O49" s="35"/>
      <c r="P49" s="35"/>
    </row>
    <row r="50" spans="2:16">
      <c r="B50" s="28"/>
      <c r="C50" s="196"/>
      <c r="D50" s="47"/>
      <c r="E50" s="28"/>
      <c r="F50" s="215"/>
      <c r="G50" s="215"/>
      <c r="H50" s="2"/>
      <c r="I50" s="35"/>
      <c r="K50" s="35"/>
      <c r="M50" s="35"/>
      <c r="N50" s="35"/>
      <c r="O50" s="35"/>
      <c r="P50" s="35"/>
    </row>
    <row r="51" spans="2:16">
      <c r="B51" s="28"/>
      <c r="C51" s="196"/>
      <c r="D51" s="47"/>
      <c r="E51" s="28"/>
      <c r="F51" s="215"/>
      <c r="G51" s="215"/>
      <c r="H51" s="2"/>
      <c r="I51" s="35"/>
      <c r="K51" s="35"/>
      <c r="M51" s="35"/>
      <c r="N51" s="35"/>
      <c r="O51" s="35"/>
      <c r="P51" s="35"/>
    </row>
    <row r="52" spans="2:16">
      <c r="B52" s="28"/>
      <c r="C52" s="196"/>
      <c r="D52" s="47"/>
      <c r="E52" s="28"/>
      <c r="F52" s="215"/>
      <c r="G52" s="215"/>
      <c r="H52" s="2"/>
      <c r="I52" s="35"/>
      <c r="K52" s="35"/>
      <c r="M52" s="35"/>
      <c r="N52" s="35"/>
      <c r="O52" s="35"/>
      <c r="P52" s="35"/>
    </row>
    <row r="53" spans="2:16">
      <c r="B53" s="28"/>
      <c r="C53" s="196"/>
      <c r="D53" s="47"/>
      <c r="E53" s="28"/>
      <c r="F53" s="215"/>
      <c r="G53" s="215"/>
      <c r="H53" s="2"/>
      <c r="I53" s="35"/>
      <c r="K53" s="35"/>
      <c r="M53" s="35"/>
      <c r="N53" s="35"/>
      <c r="O53" s="35"/>
      <c r="P53" s="35"/>
    </row>
    <row r="54" spans="2:16">
      <c r="B54" s="28"/>
      <c r="C54" s="196"/>
      <c r="D54" s="47"/>
      <c r="E54" s="28"/>
      <c r="F54" s="215"/>
      <c r="G54" s="215"/>
      <c r="H54" s="2"/>
      <c r="I54" s="35"/>
      <c r="K54" s="35"/>
      <c r="M54" s="35"/>
      <c r="N54" s="35"/>
      <c r="O54" s="35"/>
      <c r="P54" s="35"/>
    </row>
    <row r="55" spans="2:16">
      <c r="B55" s="28"/>
      <c r="C55" s="196"/>
      <c r="D55" s="47"/>
      <c r="E55" s="28"/>
      <c r="F55" s="215"/>
      <c r="G55" s="215"/>
      <c r="H55" s="2"/>
      <c r="I55" s="35"/>
      <c r="K55" s="35"/>
      <c r="M55" s="35"/>
      <c r="N55" s="35"/>
      <c r="O55" s="35"/>
      <c r="P55" s="35"/>
    </row>
    <row r="56" spans="2:16">
      <c r="B56" s="28"/>
      <c r="C56" s="196"/>
      <c r="D56" s="47"/>
      <c r="E56" s="28"/>
      <c r="F56" s="215"/>
      <c r="G56" s="215"/>
      <c r="H56" s="2"/>
      <c r="I56" s="35"/>
      <c r="K56" s="35"/>
      <c r="M56" s="35"/>
      <c r="N56" s="35"/>
      <c r="O56" s="35"/>
      <c r="P56" s="35"/>
    </row>
    <row r="57" spans="2:16">
      <c r="B57" s="28"/>
      <c r="C57" s="196"/>
      <c r="D57" s="47"/>
      <c r="E57" s="28"/>
      <c r="F57" s="215"/>
      <c r="G57" s="215"/>
      <c r="H57" s="2"/>
      <c r="I57" s="35"/>
      <c r="K57" s="35"/>
      <c r="M57" s="35"/>
      <c r="N57" s="35"/>
      <c r="O57" s="35"/>
      <c r="P57" s="35"/>
    </row>
    <row r="58" spans="2:16">
      <c r="B58" s="28"/>
      <c r="C58" s="196"/>
      <c r="D58" s="47"/>
      <c r="E58" s="28"/>
      <c r="F58" s="215"/>
      <c r="G58" s="215"/>
      <c r="H58" s="2"/>
      <c r="I58" s="35"/>
      <c r="K58" s="35"/>
      <c r="M58" s="35"/>
      <c r="N58" s="35"/>
      <c r="O58" s="35"/>
      <c r="P58" s="35"/>
    </row>
    <row r="59" spans="2:16">
      <c r="B59" s="28"/>
      <c r="C59" s="196"/>
      <c r="D59" s="47"/>
      <c r="E59" s="28"/>
      <c r="F59" s="215"/>
      <c r="G59" s="215"/>
      <c r="H59" s="2"/>
      <c r="I59" s="35"/>
      <c r="K59" s="35"/>
      <c r="M59" s="35"/>
      <c r="N59" s="35"/>
      <c r="O59" s="35"/>
      <c r="P59" s="35"/>
    </row>
    <row r="60" spans="2:16">
      <c r="B60" s="28"/>
      <c r="C60" s="196"/>
      <c r="D60" s="47"/>
      <c r="E60" s="28"/>
      <c r="F60" s="215"/>
      <c r="G60" s="215"/>
      <c r="H60" s="2"/>
      <c r="I60" s="35"/>
      <c r="K60" s="35"/>
      <c r="M60" s="35"/>
      <c r="N60" s="35"/>
      <c r="O60" s="35"/>
      <c r="P60" s="35"/>
    </row>
    <row r="61" spans="2:16">
      <c r="B61" s="28"/>
      <c r="C61" s="196"/>
      <c r="D61" s="47"/>
      <c r="E61" s="28"/>
      <c r="F61" s="215"/>
      <c r="G61" s="215"/>
      <c r="H61" s="2"/>
      <c r="I61" s="35"/>
      <c r="K61" s="35"/>
      <c r="M61" s="35"/>
      <c r="N61" s="35"/>
      <c r="O61" s="35"/>
      <c r="P61" s="35"/>
    </row>
    <row r="62" spans="2:16">
      <c r="B62" s="28"/>
      <c r="C62" s="196"/>
      <c r="D62" s="47"/>
      <c r="E62" s="28"/>
      <c r="F62" s="215"/>
      <c r="G62" s="215"/>
      <c r="H62" s="2"/>
      <c r="I62" s="35"/>
      <c r="K62" s="35"/>
      <c r="M62" s="35"/>
      <c r="N62" s="35"/>
      <c r="O62" s="35"/>
      <c r="P62" s="35"/>
    </row>
    <row r="63" spans="2:16">
      <c r="B63" s="28"/>
      <c r="C63" s="196"/>
      <c r="D63" s="47"/>
      <c r="E63" s="28"/>
      <c r="F63" s="215"/>
      <c r="G63" s="215"/>
      <c r="H63" s="2"/>
      <c r="I63" s="35"/>
      <c r="K63" s="35"/>
      <c r="M63" s="35"/>
      <c r="N63" s="35"/>
      <c r="O63" s="35"/>
      <c r="P63" s="35"/>
    </row>
    <row r="64" spans="2:16">
      <c r="B64" s="28"/>
      <c r="C64" s="196"/>
      <c r="D64" s="47"/>
      <c r="E64" s="28"/>
      <c r="F64" s="215"/>
      <c r="G64" s="215"/>
      <c r="H64" s="2"/>
      <c r="I64" s="35"/>
      <c r="K64" s="35"/>
      <c r="M64" s="35"/>
      <c r="N64" s="35"/>
      <c r="O64" s="35"/>
      <c r="P64" s="35"/>
    </row>
    <row r="65" spans="2:16">
      <c r="B65" s="28"/>
      <c r="C65" s="196"/>
      <c r="D65" s="47"/>
      <c r="E65" s="28"/>
      <c r="F65" s="215"/>
      <c r="G65" s="215"/>
      <c r="H65" s="2"/>
      <c r="I65" s="35"/>
      <c r="K65" s="35"/>
      <c r="M65" s="35"/>
      <c r="N65" s="35"/>
      <c r="O65" s="35"/>
      <c r="P65" s="35"/>
    </row>
    <row r="66" spans="2:16">
      <c r="B66" s="28"/>
      <c r="C66" s="196"/>
      <c r="D66" s="47"/>
      <c r="E66" s="28"/>
      <c r="F66" s="215"/>
      <c r="G66" s="215"/>
      <c r="H66" s="2"/>
      <c r="I66" s="35"/>
      <c r="K66" s="35"/>
      <c r="M66" s="35"/>
      <c r="N66" s="35"/>
      <c r="O66" s="35"/>
      <c r="P66" s="35"/>
    </row>
    <row r="67" spans="2:16">
      <c r="B67" s="28"/>
      <c r="C67" s="196"/>
      <c r="D67" s="47"/>
      <c r="E67" s="28"/>
      <c r="F67" s="215"/>
      <c r="G67" s="215"/>
      <c r="H67" s="2"/>
      <c r="I67" s="35"/>
      <c r="K67" s="35"/>
      <c r="M67" s="35"/>
      <c r="N67" s="35"/>
      <c r="O67" s="35"/>
      <c r="P67" s="35"/>
    </row>
    <row r="68" spans="2:16">
      <c r="B68" s="28"/>
      <c r="C68" s="196"/>
      <c r="D68" s="47"/>
      <c r="E68" s="28"/>
      <c r="F68" s="215"/>
      <c r="G68" s="215"/>
      <c r="H68" s="2"/>
      <c r="I68" s="35"/>
      <c r="K68" s="35"/>
      <c r="M68" s="35"/>
      <c r="N68" s="35"/>
      <c r="O68" s="35"/>
      <c r="P68" s="35"/>
    </row>
    <row r="69" spans="2:16">
      <c r="B69" s="28"/>
      <c r="C69" s="196"/>
      <c r="D69" s="47"/>
      <c r="E69" s="28"/>
      <c r="F69" s="215"/>
      <c r="G69" s="215"/>
      <c r="H69" s="2"/>
      <c r="I69" s="35"/>
      <c r="K69" s="35"/>
      <c r="M69" s="35"/>
      <c r="N69" s="35"/>
      <c r="O69" s="35"/>
      <c r="P69" s="35"/>
    </row>
    <row r="70" spans="2:16">
      <c r="B70" s="28"/>
      <c r="C70" s="196"/>
      <c r="D70" s="47"/>
      <c r="E70" s="28"/>
      <c r="F70" s="215"/>
      <c r="G70" s="215"/>
      <c r="H70" s="2"/>
      <c r="I70" s="35"/>
      <c r="K70" s="35"/>
      <c r="M70" s="35"/>
      <c r="N70" s="35"/>
      <c r="O70" s="35"/>
      <c r="P70" s="35"/>
    </row>
    <row r="71" spans="2:16">
      <c r="B71" s="28"/>
      <c r="C71" s="196"/>
      <c r="D71" s="47"/>
      <c r="E71" s="28"/>
      <c r="F71" s="215"/>
      <c r="G71" s="215"/>
      <c r="H71" s="2"/>
      <c r="I71" s="35"/>
      <c r="K71" s="35"/>
      <c r="M71" s="35"/>
      <c r="N71" s="35"/>
      <c r="O71" s="35"/>
      <c r="P71" s="35"/>
    </row>
    <row r="72" spans="2:16">
      <c r="B72" s="28"/>
      <c r="C72" s="196"/>
      <c r="D72" s="47"/>
      <c r="E72" s="28"/>
      <c r="F72" s="215"/>
      <c r="G72" s="215"/>
      <c r="H72" s="2"/>
      <c r="I72" s="107"/>
      <c r="K72" s="35"/>
      <c r="M72" s="35"/>
      <c r="N72" s="35"/>
      <c r="O72" s="35"/>
      <c r="P72" s="35"/>
    </row>
    <row r="73" spans="2:16">
      <c r="B73" s="28"/>
      <c r="C73" s="196"/>
      <c r="D73" s="47"/>
      <c r="E73" s="28"/>
      <c r="F73" s="215"/>
      <c r="G73" s="215"/>
      <c r="H73" s="2"/>
      <c r="I73" s="19"/>
      <c r="K73" s="35"/>
      <c r="M73" s="35"/>
      <c r="N73" s="35"/>
      <c r="O73" s="35"/>
      <c r="P73" s="35"/>
    </row>
    <row r="74" spans="2:16">
      <c r="B74" s="28"/>
      <c r="C74" s="196"/>
      <c r="D74" s="47"/>
      <c r="E74" s="28"/>
      <c r="F74" s="215"/>
      <c r="G74" s="215"/>
      <c r="H74" s="2"/>
      <c r="I74" s="19"/>
      <c r="K74" s="35"/>
      <c r="M74" s="35"/>
      <c r="N74" s="35"/>
      <c r="O74" s="35"/>
      <c r="P74" s="35"/>
    </row>
    <row r="75" spans="2:16">
      <c r="B75" s="28"/>
      <c r="C75" s="196"/>
      <c r="D75" s="47"/>
      <c r="E75" s="28"/>
      <c r="F75" s="215"/>
      <c r="G75" s="215"/>
      <c r="H75" s="2"/>
      <c r="I75" s="19"/>
      <c r="K75" s="35"/>
      <c r="M75" s="35"/>
      <c r="N75" s="35"/>
      <c r="O75" s="35"/>
      <c r="P75" s="35"/>
    </row>
    <row r="76" spans="2:16">
      <c r="B76" s="28"/>
      <c r="C76" s="196"/>
      <c r="D76" s="47"/>
      <c r="E76" s="28"/>
      <c r="F76" s="215"/>
      <c r="G76" s="215"/>
      <c r="H76" s="2"/>
      <c r="I76" s="19"/>
      <c r="K76" s="35"/>
      <c r="M76" s="35"/>
      <c r="N76" s="35"/>
      <c r="O76" s="35"/>
      <c r="P76" s="35"/>
    </row>
    <row r="77" spans="2:16">
      <c r="B77" s="28"/>
      <c r="C77" s="196"/>
      <c r="D77" s="47"/>
      <c r="E77" s="28"/>
      <c r="F77" s="215"/>
      <c r="G77" s="215"/>
      <c r="H77" s="2"/>
      <c r="I77" s="19"/>
      <c r="K77" s="35"/>
      <c r="M77" s="35"/>
      <c r="N77" s="35"/>
      <c r="O77" s="35"/>
      <c r="P77" s="35"/>
    </row>
    <row r="78" spans="2:16">
      <c r="B78" s="28"/>
      <c r="C78" s="196"/>
      <c r="D78" s="47"/>
      <c r="E78" s="28"/>
      <c r="F78" s="215"/>
      <c r="G78" s="215"/>
      <c r="H78" s="2"/>
      <c r="I78" s="19"/>
      <c r="K78" s="35"/>
      <c r="M78" s="35"/>
      <c r="N78" s="35"/>
      <c r="O78" s="35"/>
      <c r="P78" s="35"/>
    </row>
    <row r="79" spans="2:16">
      <c r="B79" s="28"/>
      <c r="C79" s="196"/>
      <c r="D79" s="47"/>
      <c r="E79" s="28"/>
      <c r="F79" s="215"/>
      <c r="G79" s="215"/>
      <c r="H79" s="2"/>
      <c r="I79" s="19"/>
      <c r="K79" s="35"/>
      <c r="M79" s="35"/>
      <c r="N79" s="35"/>
      <c r="O79" s="35"/>
      <c r="P79" s="35"/>
    </row>
    <row r="80" spans="2:16">
      <c r="B80" s="28"/>
      <c r="C80" s="196"/>
      <c r="D80" s="47"/>
      <c r="E80" s="28"/>
      <c r="F80" s="215"/>
      <c r="G80" s="215"/>
      <c r="H80" s="2"/>
      <c r="I80" s="19"/>
      <c r="K80" s="35"/>
      <c r="M80" s="35"/>
      <c r="N80" s="35"/>
      <c r="O80" s="35"/>
      <c r="P80" s="35"/>
    </row>
    <row r="81" spans="2:16">
      <c r="B81" s="28"/>
      <c r="C81" s="196"/>
      <c r="D81" s="47"/>
      <c r="E81" s="28"/>
      <c r="F81" s="215"/>
      <c r="G81" s="215"/>
      <c r="H81" s="2"/>
      <c r="I81" s="19"/>
      <c r="K81" s="35"/>
      <c r="M81" s="35"/>
      <c r="N81" s="35"/>
      <c r="O81" s="35"/>
      <c r="P81" s="35"/>
    </row>
    <row r="82" spans="2:16">
      <c r="B82" s="28"/>
      <c r="C82" s="196"/>
      <c r="D82" s="47"/>
      <c r="E82" s="28"/>
      <c r="F82" s="215"/>
      <c r="G82" s="215"/>
      <c r="H82" s="2"/>
      <c r="I82" s="19"/>
      <c r="K82" s="35"/>
      <c r="M82" s="35"/>
      <c r="N82" s="35"/>
      <c r="O82" s="35"/>
      <c r="P82" s="35"/>
    </row>
    <row r="83" spans="2:16">
      <c r="B83" s="28"/>
      <c r="C83" s="196"/>
      <c r="D83" s="47"/>
      <c r="E83" s="28"/>
      <c r="F83" s="215"/>
      <c r="G83" s="215"/>
      <c r="H83" s="2"/>
      <c r="I83" s="19"/>
      <c r="K83" s="35"/>
      <c r="M83" s="35"/>
      <c r="N83" s="35"/>
      <c r="O83" s="35"/>
      <c r="P83" s="35"/>
    </row>
    <row r="84" spans="2:16">
      <c r="B84" s="28"/>
      <c r="C84" s="196"/>
      <c r="D84" s="47"/>
      <c r="E84" s="28"/>
      <c r="F84" s="215"/>
      <c r="G84" s="215"/>
      <c r="H84" s="2"/>
      <c r="I84" s="19"/>
      <c r="K84" s="35"/>
      <c r="M84" s="35"/>
      <c r="N84" s="35"/>
      <c r="O84" s="35"/>
      <c r="P84" s="35"/>
    </row>
    <row r="85" spans="2:16">
      <c r="B85" s="28"/>
      <c r="C85" s="196"/>
      <c r="D85" s="47"/>
      <c r="E85" s="28"/>
      <c r="F85" s="215"/>
      <c r="G85" s="215"/>
      <c r="H85" s="2"/>
      <c r="I85" s="19"/>
      <c r="K85" s="35"/>
      <c r="M85" s="35"/>
      <c r="N85" s="35"/>
      <c r="O85" s="35"/>
      <c r="P85" s="35"/>
    </row>
    <row r="86" spans="2:16">
      <c r="B86" s="28"/>
      <c r="C86" s="196"/>
      <c r="D86" s="47"/>
      <c r="E86" s="28"/>
      <c r="F86" s="215"/>
      <c r="G86" s="215"/>
      <c r="H86" s="2"/>
      <c r="I86" s="19"/>
      <c r="K86" s="35"/>
      <c r="M86" s="35"/>
      <c r="N86" s="35"/>
      <c r="O86" s="35"/>
      <c r="P86" s="35"/>
    </row>
    <row r="87" spans="2:16">
      <c r="B87" s="28"/>
      <c r="C87" s="196"/>
      <c r="D87" s="47"/>
      <c r="E87" s="28"/>
      <c r="F87" s="215"/>
      <c r="G87" s="215"/>
      <c r="H87" s="2"/>
      <c r="I87" s="19"/>
      <c r="K87" s="35"/>
      <c r="M87" s="35"/>
      <c r="N87" s="35"/>
      <c r="O87" s="35"/>
      <c r="P87" s="35"/>
    </row>
    <row r="88" spans="2:16">
      <c r="B88" s="28"/>
      <c r="C88" s="196"/>
      <c r="D88" s="47"/>
      <c r="E88" s="28"/>
      <c r="F88" s="215"/>
      <c r="G88" s="215"/>
      <c r="H88" s="2"/>
      <c r="I88" s="19"/>
      <c r="K88" s="35"/>
      <c r="M88" s="35"/>
      <c r="N88" s="35"/>
      <c r="O88" s="35"/>
      <c r="P88" s="35"/>
    </row>
    <row r="89" spans="2:16">
      <c r="B89" s="28"/>
      <c r="C89" s="196"/>
      <c r="D89" s="47"/>
      <c r="E89" s="28"/>
      <c r="F89" s="215"/>
      <c r="G89" s="215"/>
      <c r="H89" s="2"/>
      <c r="I89" s="19"/>
      <c r="K89" s="35"/>
      <c r="M89" s="35"/>
      <c r="N89" s="35"/>
      <c r="O89" s="35"/>
      <c r="P89" s="35"/>
    </row>
    <row r="90" spans="2:16">
      <c r="B90" s="28"/>
      <c r="C90" s="196"/>
      <c r="D90" s="47"/>
      <c r="E90" s="28"/>
      <c r="F90" s="215"/>
      <c r="G90" s="215"/>
      <c r="H90" s="2"/>
      <c r="I90" s="19"/>
      <c r="K90" s="35"/>
      <c r="M90" s="35"/>
      <c r="N90" s="35"/>
      <c r="O90" s="35"/>
      <c r="P90" s="35"/>
    </row>
    <row r="91" spans="2:16">
      <c r="B91" s="28"/>
      <c r="C91" s="196"/>
      <c r="D91" s="47"/>
      <c r="E91" s="28"/>
      <c r="F91" s="215"/>
      <c r="G91" s="215"/>
      <c r="H91" s="2"/>
      <c r="I91" s="19"/>
      <c r="K91" s="35"/>
      <c r="M91" s="35"/>
      <c r="N91" s="35"/>
      <c r="O91" s="35"/>
      <c r="P91" s="35"/>
    </row>
    <row r="92" spans="2:16">
      <c r="B92" s="28"/>
      <c r="C92" s="196"/>
      <c r="D92" s="47"/>
      <c r="E92" s="28"/>
      <c r="F92" s="215"/>
      <c r="G92" s="215"/>
      <c r="H92" s="2"/>
      <c r="I92" s="19"/>
      <c r="K92" s="35"/>
      <c r="M92" s="35"/>
      <c r="N92" s="35"/>
      <c r="O92" s="35"/>
      <c r="P92" s="35"/>
    </row>
    <row r="93" spans="2:16">
      <c r="B93" s="28"/>
      <c r="C93" s="196"/>
      <c r="D93" s="47"/>
      <c r="E93" s="28"/>
      <c r="F93" s="215"/>
      <c r="G93" s="215"/>
      <c r="H93" s="2"/>
      <c r="I93" s="19"/>
      <c r="K93" s="35"/>
      <c r="M93" s="35"/>
      <c r="N93" s="35"/>
      <c r="O93" s="35"/>
      <c r="P93" s="35"/>
    </row>
    <row r="94" spans="2:16">
      <c r="B94" s="28"/>
      <c r="C94" s="196"/>
      <c r="D94" s="47"/>
      <c r="E94" s="28"/>
      <c r="F94" s="215"/>
      <c r="G94" s="215"/>
      <c r="H94" s="2"/>
      <c r="I94" s="19"/>
      <c r="K94" s="35"/>
      <c r="M94" s="35"/>
      <c r="N94" s="35"/>
      <c r="O94" s="35"/>
      <c r="P94" s="35"/>
    </row>
    <row r="95" spans="2:16">
      <c r="B95" s="28"/>
      <c r="C95" s="196"/>
      <c r="D95" s="47"/>
      <c r="E95" s="28"/>
      <c r="F95" s="215"/>
      <c r="G95" s="215"/>
      <c r="H95" s="2"/>
      <c r="I95" s="19"/>
      <c r="K95" s="35"/>
      <c r="M95" s="35"/>
      <c r="N95" s="35"/>
      <c r="O95" s="35"/>
      <c r="P95" s="35"/>
    </row>
    <row r="96" spans="2:16">
      <c r="B96" s="28"/>
      <c r="C96" s="196"/>
      <c r="D96" s="47"/>
      <c r="E96" s="28"/>
      <c r="F96" s="215"/>
      <c r="G96" s="215"/>
      <c r="H96" s="2"/>
      <c r="I96" s="19"/>
      <c r="K96" s="35"/>
      <c r="M96" s="35"/>
      <c r="N96" s="35"/>
      <c r="O96" s="35"/>
      <c r="P96" s="35"/>
    </row>
    <row r="97" spans="2:16">
      <c r="B97" s="28"/>
      <c r="C97" s="196"/>
      <c r="D97" s="47"/>
      <c r="E97" s="28"/>
      <c r="F97" s="215"/>
      <c r="G97" s="215"/>
      <c r="H97" s="2"/>
      <c r="I97" s="19"/>
      <c r="K97" s="35"/>
      <c r="M97" s="35"/>
      <c r="N97" s="35"/>
      <c r="O97" s="35"/>
      <c r="P97" s="35"/>
    </row>
    <row r="98" spans="2:16">
      <c r="B98" s="28"/>
      <c r="C98" s="196"/>
      <c r="D98" s="47"/>
      <c r="E98" s="28"/>
      <c r="F98" s="215"/>
      <c r="G98" s="215"/>
      <c r="H98" s="2"/>
      <c r="I98" s="19"/>
      <c r="K98" s="35"/>
      <c r="M98" s="35"/>
      <c r="N98" s="35"/>
      <c r="O98" s="35"/>
      <c r="P98" s="35"/>
    </row>
    <row r="99" spans="2:16">
      <c r="B99" s="28"/>
      <c r="C99" s="196"/>
      <c r="D99" s="47"/>
      <c r="E99" s="28"/>
      <c r="F99" s="215"/>
      <c r="G99" s="215"/>
      <c r="H99" s="2"/>
      <c r="I99" s="19"/>
      <c r="K99" s="35"/>
      <c r="M99" s="35"/>
      <c r="N99" s="35"/>
      <c r="O99" s="35"/>
      <c r="P99" s="35"/>
    </row>
    <row r="100" spans="2:16">
      <c r="B100" s="28"/>
      <c r="C100" s="196"/>
      <c r="D100" s="47"/>
      <c r="E100" s="28"/>
      <c r="F100" s="215"/>
      <c r="G100" s="215"/>
      <c r="H100" s="2"/>
      <c r="I100" s="19"/>
      <c r="K100" s="35"/>
      <c r="M100" s="35"/>
      <c r="N100" s="35"/>
      <c r="O100" s="35"/>
      <c r="P100" s="35"/>
    </row>
    <row r="101" spans="2:16">
      <c r="B101" s="28"/>
      <c r="C101" s="196"/>
      <c r="D101" s="47"/>
      <c r="E101" s="28"/>
      <c r="F101" s="215"/>
      <c r="G101" s="215"/>
      <c r="H101" s="2"/>
      <c r="I101" s="19"/>
      <c r="K101" s="35"/>
      <c r="M101" s="35"/>
      <c r="N101" s="35"/>
      <c r="O101" s="35"/>
      <c r="P101" s="35"/>
    </row>
    <row r="102" spans="2:16">
      <c r="B102" s="28"/>
      <c r="C102" s="196"/>
      <c r="D102" s="47"/>
      <c r="E102" s="28"/>
      <c r="F102" s="215"/>
      <c r="G102" s="215"/>
      <c r="H102" s="2"/>
      <c r="I102" s="19"/>
      <c r="K102" s="35"/>
      <c r="M102" s="35"/>
      <c r="N102" s="35"/>
      <c r="O102" s="35"/>
      <c r="P102" s="35"/>
    </row>
    <row r="103" spans="2:16">
      <c r="B103" s="28"/>
      <c r="C103" s="196"/>
      <c r="D103" s="47"/>
      <c r="E103" s="28"/>
      <c r="F103" s="215"/>
      <c r="G103" s="215"/>
      <c r="H103" s="2"/>
      <c r="I103" s="19"/>
      <c r="K103" s="35"/>
      <c r="M103" s="35"/>
      <c r="N103" s="35"/>
      <c r="O103" s="35"/>
      <c r="P103" s="35"/>
    </row>
    <row r="104" spans="2:16">
      <c r="B104" s="28"/>
      <c r="C104" s="196"/>
      <c r="D104" s="47"/>
      <c r="E104" s="28"/>
      <c r="F104" s="215"/>
      <c r="G104" s="215"/>
      <c r="H104" s="2"/>
      <c r="I104" s="19"/>
      <c r="K104" s="35"/>
      <c r="M104" s="35"/>
      <c r="N104" s="35"/>
      <c r="O104" s="35"/>
      <c r="P104" s="35"/>
    </row>
    <row r="105" spans="2:16">
      <c r="B105" s="28"/>
      <c r="C105" s="196"/>
      <c r="D105" s="47"/>
      <c r="E105" s="28"/>
      <c r="F105" s="215"/>
      <c r="G105" s="215"/>
      <c r="H105" s="2"/>
      <c r="I105" s="19"/>
      <c r="K105" s="35"/>
      <c r="M105" s="35"/>
      <c r="N105" s="35"/>
      <c r="O105" s="35"/>
      <c r="P105" s="35"/>
    </row>
    <row r="106" spans="2:16">
      <c r="B106" s="28"/>
      <c r="C106" s="196"/>
      <c r="D106" s="47"/>
      <c r="E106" s="28"/>
      <c r="F106" s="215"/>
      <c r="G106" s="215"/>
      <c r="H106" s="2"/>
      <c r="I106" s="19"/>
      <c r="K106" s="35"/>
      <c r="M106" s="35"/>
      <c r="N106" s="35"/>
      <c r="O106" s="35"/>
      <c r="P106" s="35"/>
    </row>
    <row r="107" spans="2:16">
      <c r="B107" s="28"/>
      <c r="C107" s="196"/>
      <c r="D107" s="47"/>
      <c r="E107" s="28"/>
      <c r="F107" s="215"/>
      <c r="G107" s="215"/>
      <c r="H107" s="2"/>
      <c r="I107" s="19"/>
      <c r="K107" s="35"/>
      <c r="M107" s="35"/>
      <c r="N107" s="35"/>
      <c r="O107" s="35"/>
      <c r="P107" s="35"/>
    </row>
    <row r="108" spans="2:16">
      <c r="B108" s="28"/>
      <c r="C108" s="196"/>
      <c r="D108" s="47"/>
      <c r="E108" s="28"/>
      <c r="F108" s="215"/>
      <c r="G108" s="215"/>
      <c r="H108" s="2"/>
      <c r="I108" s="19"/>
      <c r="K108" s="35"/>
      <c r="M108" s="35"/>
      <c r="N108" s="35"/>
      <c r="O108" s="35"/>
      <c r="P108" s="35"/>
    </row>
    <row r="109" spans="2:16">
      <c r="B109" s="28"/>
      <c r="C109" s="196"/>
      <c r="D109" s="47"/>
      <c r="E109" s="28"/>
      <c r="F109" s="215"/>
      <c r="G109" s="215"/>
      <c r="H109" s="2"/>
      <c r="I109" s="19"/>
      <c r="K109" s="35"/>
      <c r="M109" s="35"/>
      <c r="N109" s="35"/>
      <c r="O109" s="35"/>
      <c r="P109" s="35"/>
    </row>
    <row r="110" spans="2:16">
      <c r="B110" s="28"/>
      <c r="C110" s="196"/>
      <c r="D110" s="47"/>
      <c r="E110" s="28"/>
      <c r="F110" s="215"/>
      <c r="G110" s="215"/>
      <c r="H110" s="2"/>
      <c r="I110" s="19"/>
      <c r="K110" s="35"/>
      <c r="M110" s="35"/>
      <c r="N110" s="35"/>
      <c r="O110" s="35"/>
      <c r="P110" s="35"/>
    </row>
    <row r="111" spans="2:16">
      <c r="B111" s="28"/>
      <c r="C111" s="196"/>
      <c r="D111" s="47"/>
      <c r="E111" s="28"/>
      <c r="F111" s="215"/>
      <c r="G111" s="215"/>
      <c r="H111" s="2"/>
      <c r="I111" s="19"/>
      <c r="K111" s="35"/>
      <c r="M111" s="35"/>
      <c r="N111" s="35"/>
      <c r="O111" s="35"/>
      <c r="P111" s="35"/>
    </row>
    <row r="112" spans="2:16">
      <c r="B112" s="28"/>
      <c r="C112" s="196"/>
      <c r="D112" s="47"/>
      <c r="E112" s="28"/>
      <c r="F112" s="215"/>
      <c r="G112" s="215"/>
      <c r="H112" s="2"/>
      <c r="I112" s="19"/>
      <c r="K112" s="35"/>
      <c r="M112" s="35"/>
      <c r="N112" s="35"/>
      <c r="O112" s="35"/>
      <c r="P112" s="35"/>
    </row>
    <row r="113" spans="2:16">
      <c r="B113" s="28"/>
      <c r="C113" s="196"/>
      <c r="D113" s="47"/>
      <c r="E113" s="28"/>
      <c r="F113" s="215"/>
      <c r="G113" s="215"/>
      <c r="H113" s="2"/>
      <c r="I113" s="19"/>
      <c r="K113" s="35"/>
      <c r="M113" s="35"/>
      <c r="N113" s="35"/>
      <c r="O113" s="35"/>
      <c r="P113" s="35"/>
    </row>
    <row r="114" spans="2:16">
      <c r="B114" s="28"/>
      <c r="C114" s="196"/>
      <c r="D114" s="47"/>
      <c r="E114" s="28"/>
      <c r="F114" s="215"/>
      <c r="G114" s="215"/>
      <c r="H114" s="2"/>
      <c r="I114" s="19"/>
      <c r="K114" s="35"/>
      <c r="M114" s="35"/>
      <c r="N114" s="35"/>
      <c r="O114" s="35"/>
      <c r="P114" s="35"/>
    </row>
    <row r="115" spans="2:16">
      <c r="B115" s="28"/>
      <c r="C115" s="196"/>
      <c r="D115" s="47"/>
      <c r="E115" s="28"/>
      <c r="F115" s="215"/>
      <c r="G115" s="215"/>
      <c r="H115" s="2"/>
      <c r="I115" s="19"/>
      <c r="K115" s="35"/>
      <c r="M115" s="35"/>
      <c r="N115" s="35"/>
      <c r="O115" s="35"/>
      <c r="P115" s="35"/>
    </row>
    <row r="116" spans="2:16">
      <c r="B116" s="28"/>
      <c r="C116" s="196"/>
      <c r="D116" s="47"/>
      <c r="E116" s="28"/>
      <c r="F116" s="215"/>
      <c r="G116" s="215"/>
      <c r="H116" s="2"/>
      <c r="I116" s="19"/>
      <c r="K116" s="35"/>
      <c r="M116" s="35"/>
      <c r="N116" s="35"/>
      <c r="O116" s="35"/>
      <c r="P116" s="35"/>
    </row>
    <row r="117" spans="2:16">
      <c r="B117" s="28"/>
      <c r="C117" s="196"/>
      <c r="D117" s="47"/>
      <c r="E117" s="28"/>
      <c r="F117" s="215"/>
      <c r="G117" s="215"/>
      <c r="H117" s="2"/>
      <c r="I117" s="19"/>
      <c r="K117" s="35"/>
      <c r="M117" s="35"/>
      <c r="N117" s="35"/>
      <c r="O117" s="35"/>
      <c r="P117" s="35"/>
    </row>
    <row r="118" spans="2:16">
      <c r="B118" s="28"/>
      <c r="C118" s="196"/>
      <c r="D118" s="47"/>
      <c r="E118" s="28"/>
      <c r="F118" s="215"/>
      <c r="G118" s="215"/>
      <c r="H118" s="2"/>
      <c r="I118" s="19"/>
      <c r="K118" s="35"/>
      <c r="M118" s="35"/>
      <c r="N118" s="35"/>
      <c r="O118" s="35"/>
      <c r="P118" s="35"/>
    </row>
    <row r="119" spans="2:16">
      <c r="B119" s="28"/>
      <c r="C119" s="196"/>
      <c r="D119" s="47"/>
      <c r="E119" s="28"/>
      <c r="F119" s="215"/>
      <c r="G119" s="215"/>
      <c r="H119" s="2"/>
      <c r="I119" s="19"/>
      <c r="K119" s="35"/>
      <c r="M119" s="35"/>
      <c r="N119" s="35"/>
      <c r="O119" s="35"/>
      <c r="P119" s="35"/>
    </row>
    <row r="120" spans="2:16">
      <c r="B120" s="28"/>
      <c r="C120" s="196"/>
      <c r="D120" s="47"/>
      <c r="E120" s="28"/>
      <c r="F120" s="215"/>
      <c r="G120" s="215"/>
      <c r="H120" s="2"/>
      <c r="I120" s="19"/>
      <c r="K120" s="35"/>
      <c r="M120" s="35"/>
      <c r="N120" s="35"/>
      <c r="O120" s="35"/>
      <c r="P120" s="35"/>
    </row>
    <row r="121" spans="2:16">
      <c r="B121" s="28"/>
      <c r="C121" s="196"/>
      <c r="D121" s="47"/>
      <c r="E121" s="28"/>
      <c r="F121" s="215"/>
      <c r="G121" s="215"/>
      <c r="H121" s="2"/>
      <c r="I121" s="19"/>
      <c r="K121" s="35"/>
      <c r="M121" s="35"/>
      <c r="N121" s="35"/>
      <c r="O121" s="35"/>
      <c r="P121" s="35"/>
    </row>
    <row r="122" spans="2:16">
      <c r="B122" s="28"/>
      <c r="C122" s="196"/>
      <c r="D122" s="47"/>
      <c r="E122" s="28"/>
      <c r="F122" s="215"/>
      <c r="G122" s="215"/>
      <c r="H122" s="2"/>
      <c r="I122" s="19"/>
      <c r="K122" s="35"/>
      <c r="M122" s="35"/>
      <c r="N122" s="35"/>
      <c r="O122" s="35"/>
      <c r="P122" s="35"/>
    </row>
    <row r="123" spans="2:16">
      <c r="B123" s="28"/>
      <c r="C123" s="196"/>
      <c r="D123" s="47"/>
      <c r="E123" s="28"/>
      <c r="F123" s="215"/>
      <c r="G123" s="215"/>
      <c r="H123" s="2"/>
      <c r="I123" s="19"/>
      <c r="K123" s="35"/>
      <c r="M123" s="35"/>
      <c r="N123" s="35"/>
      <c r="O123" s="35"/>
      <c r="P123" s="35"/>
    </row>
    <row r="124" spans="2:16">
      <c r="B124" s="28"/>
      <c r="C124" s="196"/>
      <c r="D124" s="47"/>
      <c r="E124" s="28"/>
      <c r="F124" s="215"/>
      <c r="G124" s="215"/>
      <c r="H124" s="2"/>
      <c r="I124" s="19"/>
      <c r="K124" s="35"/>
      <c r="M124" s="35"/>
      <c r="N124" s="35"/>
      <c r="O124" s="35"/>
      <c r="P124" s="35"/>
    </row>
    <row r="125" spans="2:16">
      <c r="B125" s="28"/>
      <c r="C125" s="196"/>
      <c r="D125" s="47"/>
      <c r="E125" s="28"/>
      <c r="F125" s="215"/>
      <c r="G125" s="215"/>
      <c r="H125" s="2"/>
      <c r="I125" s="19"/>
      <c r="K125" s="35"/>
      <c r="M125" s="35"/>
      <c r="N125" s="35"/>
      <c r="O125" s="35"/>
      <c r="P125" s="35"/>
    </row>
    <row r="126" spans="2:16">
      <c r="B126" s="28"/>
      <c r="C126" s="196"/>
      <c r="D126" s="47"/>
      <c r="E126" s="28"/>
      <c r="F126" s="215"/>
      <c r="G126" s="215"/>
      <c r="H126" s="2"/>
      <c r="I126" s="19"/>
      <c r="K126" s="35"/>
      <c r="M126" s="35"/>
      <c r="N126" s="35"/>
      <c r="O126" s="35"/>
      <c r="P126" s="35"/>
    </row>
    <row r="127" spans="2:16">
      <c r="B127" s="28"/>
      <c r="C127" s="196"/>
      <c r="D127" s="47"/>
      <c r="E127" s="28"/>
      <c r="F127" s="215"/>
      <c r="G127" s="215"/>
      <c r="H127" s="2"/>
      <c r="I127" s="19"/>
      <c r="K127" s="35"/>
      <c r="M127" s="35"/>
      <c r="N127" s="35"/>
      <c r="O127" s="35"/>
      <c r="P127" s="35"/>
    </row>
    <row r="128" spans="2:16">
      <c r="B128" s="28"/>
      <c r="C128" s="196"/>
      <c r="D128" s="47"/>
      <c r="E128" s="28"/>
      <c r="F128" s="215"/>
      <c r="G128" s="215"/>
      <c r="H128" s="2"/>
      <c r="I128" s="19"/>
      <c r="K128" s="35"/>
      <c r="M128" s="35"/>
      <c r="N128" s="35"/>
      <c r="O128" s="35"/>
      <c r="P128" s="35"/>
    </row>
    <row r="129" spans="2:16">
      <c r="B129" s="28"/>
      <c r="C129" s="196"/>
      <c r="D129" s="47"/>
      <c r="E129" s="28"/>
      <c r="F129" s="215"/>
      <c r="G129" s="215"/>
      <c r="H129" s="2"/>
      <c r="I129" s="19"/>
      <c r="K129" s="35"/>
      <c r="M129" s="35"/>
      <c r="N129" s="35"/>
      <c r="O129" s="35"/>
      <c r="P129" s="35"/>
    </row>
    <row r="130" spans="2:16">
      <c r="B130" s="28"/>
      <c r="C130" s="196"/>
      <c r="D130" s="47"/>
      <c r="E130" s="28"/>
      <c r="F130" s="215"/>
      <c r="G130" s="215"/>
      <c r="H130" s="2"/>
      <c r="I130" s="19"/>
      <c r="K130" s="35"/>
      <c r="M130" s="35"/>
      <c r="N130" s="35"/>
      <c r="O130" s="35"/>
      <c r="P130" s="35"/>
    </row>
    <row r="131" spans="2:16">
      <c r="B131" s="28"/>
      <c r="C131" s="196"/>
      <c r="D131" s="47"/>
      <c r="E131" s="28"/>
      <c r="F131" s="215"/>
      <c r="G131" s="215"/>
      <c r="H131" s="2"/>
      <c r="I131" s="19"/>
      <c r="K131" s="35"/>
      <c r="M131" s="35"/>
      <c r="N131" s="35"/>
      <c r="O131" s="35"/>
      <c r="P131" s="35"/>
    </row>
    <row r="132" spans="2:16">
      <c r="B132" s="28"/>
      <c r="C132" s="196"/>
      <c r="D132" s="47"/>
      <c r="E132" s="28"/>
      <c r="F132" s="215"/>
      <c r="G132" s="215"/>
      <c r="H132" s="2"/>
      <c r="I132" s="19"/>
      <c r="K132" s="35"/>
      <c r="M132" s="35"/>
      <c r="N132" s="35"/>
      <c r="O132" s="35"/>
      <c r="P132" s="35"/>
    </row>
    <row r="133" spans="2:16">
      <c r="B133" s="28"/>
      <c r="C133" s="196"/>
      <c r="D133" s="47"/>
      <c r="E133" s="28"/>
      <c r="F133" s="215"/>
      <c r="G133" s="215"/>
      <c r="H133" s="2"/>
      <c r="I133" s="19"/>
      <c r="K133" s="35"/>
      <c r="M133" s="35"/>
      <c r="N133" s="35"/>
      <c r="O133" s="35"/>
      <c r="P133" s="35"/>
    </row>
    <row r="134" spans="2:16">
      <c r="B134" s="28"/>
      <c r="C134" s="196"/>
      <c r="D134" s="47"/>
      <c r="E134" s="28"/>
      <c r="F134" s="215"/>
      <c r="G134" s="215"/>
      <c r="H134" s="2"/>
      <c r="I134" s="19"/>
      <c r="K134" s="35"/>
      <c r="M134" s="35"/>
      <c r="N134" s="35"/>
      <c r="O134" s="35"/>
      <c r="P134" s="35"/>
    </row>
    <row r="135" spans="2:16">
      <c r="B135" s="28"/>
      <c r="C135" s="196"/>
      <c r="D135" s="47"/>
      <c r="E135" s="28"/>
      <c r="F135" s="215"/>
      <c r="G135" s="215"/>
      <c r="H135" s="2"/>
      <c r="I135" s="19"/>
      <c r="K135" s="35"/>
      <c r="M135" s="35"/>
      <c r="N135" s="35"/>
      <c r="O135" s="35"/>
      <c r="P135" s="35"/>
    </row>
    <row r="136" spans="2:16">
      <c r="B136" s="28"/>
      <c r="C136" s="196"/>
      <c r="D136" s="47"/>
      <c r="E136" s="28"/>
      <c r="F136" s="215"/>
      <c r="G136" s="215"/>
      <c r="H136" s="2"/>
      <c r="I136" s="19"/>
      <c r="K136" s="35"/>
      <c r="M136" s="35"/>
      <c r="N136" s="35"/>
      <c r="O136" s="35"/>
      <c r="P136" s="35"/>
    </row>
    <row r="137" spans="2:16">
      <c r="B137" s="28"/>
      <c r="C137" s="196"/>
      <c r="D137" s="47"/>
      <c r="E137" s="28"/>
      <c r="F137" s="215"/>
      <c r="G137" s="215"/>
      <c r="H137" s="2"/>
      <c r="I137" s="19"/>
      <c r="K137" s="35"/>
      <c r="M137" s="35"/>
      <c r="N137" s="35"/>
      <c r="O137" s="35"/>
      <c r="P137" s="35"/>
    </row>
    <row r="138" spans="2:16">
      <c r="B138" s="28"/>
      <c r="C138" s="196"/>
      <c r="D138" s="47"/>
      <c r="E138" s="28"/>
      <c r="F138" s="215"/>
      <c r="G138" s="215"/>
      <c r="H138" s="2"/>
      <c r="I138" s="19"/>
      <c r="K138" s="35"/>
      <c r="M138" s="35"/>
      <c r="N138" s="35"/>
      <c r="O138" s="35"/>
      <c r="P138" s="35"/>
    </row>
    <row r="139" spans="2:16">
      <c r="B139" s="28"/>
      <c r="C139" s="196"/>
      <c r="D139" s="47"/>
      <c r="E139" s="28"/>
      <c r="F139" s="215"/>
      <c r="G139" s="215"/>
      <c r="H139" s="2"/>
      <c r="I139" s="19"/>
      <c r="K139" s="35"/>
      <c r="M139" s="35"/>
      <c r="N139" s="35"/>
      <c r="O139" s="35"/>
      <c r="P139" s="35"/>
    </row>
    <row r="140" spans="2:16">
      <c r="B140" s="28"/>
      <c r="C140" s="196"/>
      <c r="D140" s="47"/>
      <c r="E140" s="28"/>
      <c r="F140" s="215"/>
      <c r="G140" s="215"/>
      <c r="H140" s="2"/>
      <c r="I140" s="19"/>
      <c r="K140" s="35"/>
      <c r="M140" s="35"/>
      <c r="N140" s="35"/>
      <c r="O140" s="35"/>
      <c r="P140" s="35"/>
    </row>
    <row r="141" spans="2:16">
      <c r="B141" s="28"/>
      <c r="C141" s="196"/>
      <c r="D141" s="47"/>
      <c r="E141" s="28"/>
      <c r="F141" s="215"/>
      <c r="G141" s="215"/>
      <c r="H141" s="2"/>
      <c r="I141" s="19"/>
      <c r="K141" s="35"/>
      <c r="M141" s="35"/>
      <c r="N141" s="35"/>
      <c r="O141" s="35"/>
      <c r="P141" s="35"/>
    </row>
    <row r="142" spans="2:16">
      <c r="B142" s="28"/>
      <c r="C142" s="196"/>
      <c r="D142" s="47"/>
      <c r="E142" s="28"/>
      <c r="F142" s="215"/>
      <c r="G142" s="215"/>
      <c r="H142" s="2"/>
      <c r="I142" s="19"/>
      <c r="K142" s="35"/>
      <c r="M142" s="35"/>
      <c r="N142" s="35"/>
      <c r="O142" s="35"/>
      <c r="P142" s="35"/>
    </row>
    <row r="143" spans="2:16">
      <c r="B143" s="28"/>
      <c r="C143" s="196"/>
      <c r="D143" s="47"/>
      <c r="E143" s="28"/>
      <c r="F143" s="215"/>
      <c r="G143" s="215"/>
      <c r="H143" s="2"/>
      <c r="I143" s="19"/>
      <c r="K143" s="35"/>
      <c r="M143" s="35"/>
      <c r="N143" s="35"/>
      <c r="O143" s="35"/>
      <c r="P143" s="35"/>
    </row>
    <row r="144" spans="2:16">
      <c r="B144" s="28"/>
      <c r="C144" s="196"/>
      <c r="D144" s="47"/>
      <c r="E144" s="28"/>
      <c r="F144" s="215"/>
      <c r="G144" s="215"/>
      <c r="H144" s="2"/>
      <c r="I144" s="19"/>
      <c r="K144" s="35"/>
      <c r="M144" s="35"/>
      <c r="N144" s="35"/>
      <c r="O144" s="35"/>
      <c r="P144" s="35"/>
    </row>
    <row r="145" spans="2:16">
      <c r="B145" s="28"/>
      <c r="C145" s="196"/>
      <c r="D145" s="47"/>
      <c r="E145" s="28"/>
      <c r="F145" s="215"/>
      <c r="G145" s="215"/>
      <c r="H145" s="2"/>
      <c r="I145" s="19"/>
      <c r="K145" s="35"/>
      <c r="M145" s="35"/>
      <c r="N145" s="35"/>
      <c r="O145" s="35"/>
      <c r="P145" s="35"/>
    </row>
    <row r="146" spans="2:16">
      <c r="B146" s="28"/>
      <c r="C146" s="196"/>
      <c r="D146" s="47"/>
      <c r="E146" s="28"/>
      <c r="F146" s="215"/>
      <c r="G146" s="215"/>
      <c r="H146" s="2"/>
      <c r="I146" s="19"/>
      <c r="K146" s="35"/>
      <c r="M146" s="35"/>
      <c r="N146" s="35"/>
      <c r="O146" s="35"/>
      <c r="P146" s="35"/>
    </row>
    <row r="147" spans="2:16">
      <c r="B147" s="28"/>
      <c r="C147" s="196"/>
      <c r="D147" s="47"/>
      <c r="E147" s="28"/>
      <c r="F147" s="215"/>
      <c r="G147" s="215"/>
      <c r="H147" s="2"/>
      <c r="I147" s="19"/>
      <c r="K147" s="35"/>
      <c r="M147" s="35"/>
      <c r="N147" s="35"/>
      <c r="O147" s="35"/>
      <c r="P147" s="35"/>
    </row>
    <row r="148" spans="2:16">
      <c r="B148" s="28"/>
      <c r="C148" s="196"/>
      <c r="D148" s="47"/>
      <c r="E148" s="28"/>
      <c r="F148" s="215"/>
      <c r="G148" s="215"/>
      <c r="H148" s="2"/>
      <c r="I148" s="19"/>
      <c r="K148" s="35"/>
      <c r="M148" s="35"/>
      <c r="N148" s="35"/>
      <c r="O148" s="35"/>
      <c r="P148" s="35"/>
    </row>
    <row r="149" spans="2:16">
      <c r="B149" s="28"/>
      <c r="C149" s="196"/>
      <c r="D149" s="47"/>
      <c r="E149" s="28"/>
      <c r="F149" s="215"/>
      <c r="G149" s="215"/>
      <c r="H149" s="2"/>
      <c r="I149" s="19"/>
      <c r="K149" s="35"/>
      <c r="M149" s="35"/>
      <c r="N149" s="35"/>
      <c r="O149" s="35"/>
      <c r="P149" s="35"/>
    </row>
    <row r="150" spans="2:16">
      <c r="B150" s="28"/>
      <c r="C150" s="196"/>
      <c r="D150" s="47"/>
      <c r="E150" s="28"/>
      <c r="F150" s="215"/>
      <c r="G150" s="215"/>
      <c r="H150" s="2"/>
      <c r="I150" s="19"/>
      <c r="K150" s="35"/>
      <c r="M150" s="35"/>
      <c r="N150" s="35"/>
      <c r="O150" s="35"/>
      <c r="P150" s="35"/>
    </row>
    <row r="151" spans="2:16">
      <c r="B151" s="28"/>
      <c r="C151" s="196"/>
      <c r="D151" s="47"/>
      <c r="E151" s="28"/>
      <c r="F151" s="215"/>
      <c r="G151" s="215"/>
      <c r="H151" s="2"/>
      <c r="I151" s="19"/>
      <c r="K151" s="35"/>
      <c r="M151" s="35"/>
      <c r="N151" s="35"/>
      <c r="O151" s="35"/>
      <c r="P151" s="35"/>
    </row>
    <row r="152" spans="2:16">
      <c r="B152" s="28"/>
      <c r="C152" s="196"/>
      <c r="D152" s="47"/>
      <c r="E152" s="28"/>
      <c r="F152" s="215"/>
      <c r="G152" s="215"/>
      <c r="H152" s="2"/>
      <c r="I152" s="19"/>
      <c r="K152" s="35"/>
      <c r="M152" s="35"/>
      <c r="N152" s="35"/>
      <c r="O152" s="35"/>
      <c r="P152" s="35"/>
    </row>
    <row r="153" spans="2:16">
      <c r="B153" s="28"/>
      <c r="C153" s="196"/>
      <c r="D153" s="47"/>
      <c r="E153" s="28"/>
      <c r="F153" s="215"/>
      <c r="G153" s="215"/>
      <c r="H153" s="2"/>
      <c r="I153" s="19"/>
      <c r="K153" s="35"/>
      <c r="M153" s="35"/>
      <c r="N153" s="35"/>
      <c r="O153" s="35"/>
      <c r="P153" s="35"/>
    </row>
    <row r="154" spans="2:16">
      <c r="B154" s="28"/>
      <c r="C154" s="196"/>
      <c r="D154" s="47"/>
      <c r="E154" s="28"/>
      <c r="F154" s="215"/>
      <c r="G154" s="215"/>
      <c r="H154" s="2"/>
      <c r="I154" s="19"/>
      <c r="K154" s="35"/>
      <c r="M154" s="35"/>
      <c r="N154" s="35"/>
      <c r="O154" s="35"/>
      <c r="P154" s="35"/>
    </row>
    <row r="155" spans="2:16">
      <c r="B155" s="28"/>
      <c r="C155" s="196"/>
      <c r="D155" s="47"/>
      <c r="E155" s="28"/>
      <c r="F155" s="215"/>
      <c r="G155" s="215"/>
      <c r="H155" s="2"/>
      <c r="I155" s="19"/>
      <c r="K155" s="35"/>
      <c r="M155" s="35"/>
      <c r="N155" s="35"/>
      <c r="O155" s="35"/>
      <c r="P155" s="35"/>
    </row>
    <row r="156" spans="2:16">
      <c r="B156" s="28"/>
      <c r="C156" s="196"/>
      <c r="D156" s="47"/>
      <c r="E156" s="28"/>
      <c r="F156" s="215"/>
      <c r="G156" s="215"/>
      <c r="H156" s="2"/>
      <c r="I156" s="19"/>
      <c r="K156" s="35"/>
      <c r="M156" s="35"/>
      <c r="N156" s="35"/>
      <c r="O156" s="35"/>
      <c r="P156" s="35"/>
    </row>
    <row r="157" spans="2:16">
      <c r="B157" s="28"/>
      <c r="C157" s="196"/>
      <c r="D157" s="47"/>
      <c r="E157" s="28"/>
      <c r="F157" s="215"/>
      <c r="G157" s="215"/>
      <c r="H157" s="2"/>
      <c r="I157" s="19"/>
      <c r="K157" s="35"/>
      <c r="M157" s="35"/>
      <c r="N157" s="35"/>
      <c r="O157" s="35"/>
      <c r="P157" s="35"/>
    </row>
    <row r="158" spans="2:16">
      <c r="B158" s="28"/>
      <c r="C158" s="196"/>
      <c r="D158" s="47"/>
      <c r="E158" s="28"/>
      <c r="F158" s="215"/>
      <c r="G158" s="215"/>
      <c r="H158" s="2"/>
      <c r="I158" s="19"/>
      <c r="K158" s="35"/>
      <c r="M158" s="35"/>
      <c r="N158" s="35"/>
      <c r="O158" s="35"/>
      <c r="P158" s="35"/>
    </row>
    <row r="159" spans="2:16">
      <c r="B159" s="28"/>
      <c r="C159" s="196"/>
      <c r="D159" s="47"/>
      <c r="E159" s="28"/>
      <c r="F159" s="215"/>
      <c r="G159" s="215"/>
      <c r="H159" s="2"/>
      <c r="I159" s="19"/>
      <c r="K159" s="35"/>
      <c r="M159" s="35"/>
      <c r="N159" s="35"/>
      <c r="O159" s="35"/>
      <c r="P159" s="35"/>
    </row>
    <row r="160" spans="2:16">
      <c r="B160" s="28"/>
      <c r="C160" s="196"/>
      <c r="D160" s="47"/>
      <c r="E160" s="28"/>
      <c r="F160" s="215"/>
      <c r="G160" s="215"/>
      <c r="H160" s="2"/>
      <c r="I160" s="19"/>
      <c r="K160" s="35"/>
      <c r="M160" s="35"/>
      <c r="N160" s="35"/>
      <c r="O160" s="35"/>
      <c r="P160" s="35"/>
    </row>
    <row r="161" spans="2:16">
      <c r="B161" s="28"/>
      <c r="C161" s="196"/>
      <c r="D161" s="47"/>
      <c r="E161" s="28"/>
      <c r="F161" s="215"/>
      <c r="G161" s="215"/>
      <c r="H161" s="2"/>
      <c r="I161" s="19"/>
      <c r="K161" s="35"/>
      <c r="M161" s="35"/>
      <c r="N161" s="35"/>
      <c r="O161" s="35"/>
      <c r="P161" s="35"/>
    </row>
    <row r="162" spans="2:16">
      <c r="D162" s="47"/>
      <c r="E162" s="143"/>
      <c r="H162" s="2"/>
      <c r="I162" s="30"/>
    </row>
    <row r="163" spans="2:16">
      <c r="D163" s="47"/>
      <c r="E163" s="143"/>
      <c r="H163" s="2"/>
      <c r="I163" s="30"/>
    </row>
    <row r="164" spans="2:16">
      <c r="D164" s="47"/>
      <c r="E164" s="143"/>
      <c r="H164" s="2"/>
      <c r="I164" s="30"/>
    </row>
    <row r="165" spans="2:16">
      <c r="D165" s="47"/>
      <c r="E165" s="143"/>
      <c r="H165" s="2"/>
      <c r="I165" s="30"/>
    </row>
    <row r="166" spans="2:16">
      <c r="D166" s="47"/>
      <c r="E166" s="143"/>
      <c r="H166" s="2"/>
      <c r="I166" s="30"/>
    </row>
    <row r="167" spans="2:16">
      <c r="D167" s="47"/>
      <c r="E167" s="143"/>
      <c r="H167" s="2"/>
      <c r="I167" s="30"/>
    </row>
    <row r="168" spans="2:16">
      <c r="D168" s="47"/>
      <c r="E168" s="143"/>
      <c r="H168" s="2"/>
      <c r="I168" s="30"/>
    </row>
    <row r="169" spans="2:16">
      <c r="D169" s="47"/>
      <c r="E169" s="143"/>
      <c r="H169" s="2"/>
      <c r="I169" s="30"/>
    </row>
    <row r="170" spans="2:16">
      <c r="D170" s="47"/>
      <c r="E170" s="143"/>
      <c r="H170" s="2"/>
      <c r="I170" s="30"/>
    </row>
    <row r="171" spans="2:16">
      <c r="D171" s="47"/>
      <c r="E171" s="143"/>
      <c r="H171" s="2"/>
      <c r="I171" s="30"/>
    </row>
    <row r="172" spans="2:16">
      <c r="D172" s="47"/>
      <c r="E172" s="143"/>
      <c r="H172" s="2"/>
      <c r="I172" s="30"/>
    </row>
    <row r="173" spans="2:16">
      <c r="D173" s="47"/>
      <c r="E173" s="143"/>
      <c r="H173" s="2"/>
      <c r="I173" s="30"/>
    </row>
    <row r="174" spans="2:16">
      <c r="D174" s="47"/>
      <c r="E174" s="143"/>
      <c r="H174" s="2"/>
      <c r="I174" s="30"/>
    </row>
    <row r="175" spans="2:16">
      <c r="D175" s="47"/>
      <c r="E175" s="143"/>
      <c r="H175" s="2"/>
      <c r="I175" s="30"/>
    </row>
    <row r="176" spans="2:16">
      <c r="D176" s="47"/>
      <c r="E176" s="143"/>
      <c r="H176" s="2"/>
      <c r="I176" s="30"/>
    </row>
    <row r="177" spans="4:9">
      <c r="D177" s="47"/>
      <c r="E177" s="143"/>
      <c r="H177" s="2"/>
      <c r="I177" s="30"/>
    </row>
    <row r="178" spans="4:9">
      <c r="D178" s="47"/>
      <c r="E178" s="143"/>
      <c r="H178" s="2"/>
      <c r="I178" s="30"/>
    </row>
    <row r="179" spans="4:9">
      <c r="D179" s="47"/>
      <c r="E179" s="143"/>
      <c r="H179" s="2"/>
      <c r="I179" s="30"/>
    </row>
    <row r="180" spans="4:9">
      <c r="D180" s="47"/>
      <c r="E180" s="143"/>
      <c r="H180" s="2"/>
      <c r="I180" s="30"/>
    </row>
    <row r="181" spans="4:9">
      <c r="D181" s="47"/>
      <c r="E181" s="143"/>
      <c r="H181" s="2"/>
      <c r="I181" s="30"/>
    </row>
    <row r="182" spans="4:9">
      <c r="D182" s="47"/>
      <c r="E182" s="143"/>
      <c r="H182" s="2"/>
      <c r="I182" s="30"/>
    </row>
    <row r="183" spans="4:9">
      <c r="D183" s="47"/>
      <c r="E183" s="143"/>
      <c r="H183" s="2"/>
      <c r="I183" s="30"/>
    </row>
    <row r="184" spans="4:9">
      <c r="D184" s="47"/>
      <c r="E184" s="143"/>
      <c r="H184" s="2"/>
      <c r="I184" s="30"/>
    </row>
    <row r="185" spans="4:9">
      <c r="D185" s="47"/>
      <c r="E185" s="143"/>
      <c r="H185" s="2"/>
      <c r="I185" s="30"/>
    </row>
    <row r="186" spans="4:9">
      <c r="D186" s="47"/>
      <c r="E186" s="143"/>
      <c r="H186" s="2"/>
      <c r="I186" s="30"/>
    </row>
    <row r="187" spans="4:9">
      <c r="D187" s="47"/>
      <c r="E187" s="143"/>
      <c r="H187" s="2"/>
      <c r="I187" s="30"/>
    </row>
    <row r="188" spans="4:9">
      <c r="D188" s="47"/>
      <c r="E188" s="143"/>
      <c r="H188" s="2"/>
      <c r="I188" s="30"/>
    </row>
    <row r="189" spans="4:9">
      <c r="D189" s="47"/>
      <c r="E189" s="143"/>
      <c r="H189" s="2"/>
      <c r="I189" s="30"/>
    </row>
    <row r="190" spans="4:9">
      <c r="D190" s="47"/>
      <c r="E190" s="143"/>
      <c r="H190" s="2"/>
      <c r="I190" s="30"/>
    </row>
    <row r="191" spans="4:9">
      <c r="D191" s="47"/>
      <c r="E191" s="143"/>
      <c r="H191" s="2"/>
      <c r="I191" s="30"/>
    </row>
    <row r="192" spans="4:9">
      <c r="D192" s="47"/>
      <c r="E192" s="143"/>
      <c r="H192" s="2"/>
      <c r="I192" s="30"/>
    </row>
    <row r="193" spans="4:9">
      <c r="D193" s="47"/>
      <c r="E193" s="143"/>
      <c r="H193" s="2"/>
      <c r="I193" s="30"/>
    </row>
    <row r="194" spans="4:9">
      <c r="D194" s="47"/>
      <c r="E194" s="143"/>
      <c r="H194" s="2"/>
      <c r="I194" s="30"/>
    </row>
    <row r="195" spans="4:9">
      <c r="D195" s="47"/>
      <c r="E195" s="143"/>
      <c r="H195" s="2"/>
      <c r="I195" s="30"/>
    </row>
    <row r="196" spans="4:9">
      <c r="D196" s="47"/>
      <c r="E196" s="143"/>
      <c r="H196" s="2"/>
      <c r="I196" s="30"/>
    </row>
    <row r="197" spans="4:9">
      <c r="D197" s="47"/>
      <c r="E197" s="143"/>
      <c r="H197" s="2"/>
      <c r="I197" s="30"/>
    </row>
    <row r="198" spans="4:9">
      <c r="D198" s="47"/>
      <c r="E198" s="143"/>
      <c r="H198" s="2"/>
      <c r="I198" s="30"/>
    </row>
    <row r="199" spans="4:9">
      <c r="D199" s="47"/>
      <c r="E199" s="143"/>
      <c r="H199" s="2"/>
      <c r="I199" s="30"/>
    </row>
    <row r="200" spans="4:9">
      <c r="D200" s="47"/>
      <c r="E200" s="143"/>
      <c r="H200" s="2"/>
      <c r="I200" s="30"/>
    </row>
    <row r="201" spans="4:9">
      <c r="D201" s="47"/>
      <c r="E201" s="143"/>
      <c r="H201" s="2"/>
      <c r="I201" s="30"/>
    </row>
    <row r="202" spans="4:9">
      <c r="D202" s="47"/>
      <c r="E202" s="143"/>
      <c r="H202" s="2"/>
      <c r="I202" s="30"/>
    </row>
    <row r="203" spans="4:9">
      <c r="D203" s="47"/>
      <c r="E203" s="143"/>
      <c r="H203" s="2"/>
      <c r="I203" s="30"/>
    </row>
    <row r="204" spans="4:9">
      <c r="D204" s="47"/>
      <c r="E204" s="143"/>
      <c r="H204" s="2"/>
      <c r="I204" s="30"/>
    </row>
    <row r="205" spans="4:9">
      <c r="D205" s="47"/>
      <c r="E205" s="143"/>
      <c r="H205" s="2"/>
      <c r="I205" s="30"/>
    </row>
    <row r="206" spans="4:9">
      <c r="D206" s="47"/>
      <c r="E206" s="143"/>
      <c r="H206" s="2"/>
      <c r="I206" s="30"/>
    </row>
    <row r="207" spans="4:9">
      <c r="D207" s="47"/>
      <c r="E207" s="143"/>
      <c r="H207" s="2"/>
      <c r="I207" s="30"/>
    </row>
    <row r="208" spans="4:9">
      <c r="D208" s="47"/>
      <c r="E208" s="143"/>
      <c r="H208" s="2"/>
      <c r="I208" s="30"/>
    </row>
    <row r="209" spans="4:9">
      <c r="D209" s="47"/>
      <c r="E209" s="143"/>
      <c r="H209" s="2"/>
      <c r="I209" s="30"/>
    </row>
    <row r="210" spans="4:9">
      <c r="D210" s="47"/>
      <c r="E210" s="143"/>
      <c r="H210" s="2"/>
      <c r="I210" s="30"/>
    </row>
    <row r="211" spans="4:9">
      <c r="D211" s="47"/>
      <c r="E211" s="143"/>
      <c r="H211" s="2"/>
      <c r="I211" s="30"/>
    </row>
    <row r="212" spans="4:9">
      <c r="D212" s="47"/>
      <c r="E212" s="143"/>
      <c r="H212" s="2"/>
      <c r="I212" s="30"/>
    </row>
    <row r="213" spans="4:9">
      <c r="D213" s="47"/>
      <c r="E213" s="143"/>
      <c r="H213" s="2"/>
      <c r="I213" s="30"/>
    </row>
    <row r="214" spans="4:9">
      <c r="D214" s="47"/>
      <c r="E214" s="143"/>
      <c r="H214" s="2"/>
      <c r="I214" s="30"/>
    </row>
    <row r="215" spans="4:9">
      <c r="D215" s="47"/>
      <c r="E215" s="143"/>
      <c r="H215" s="2"/>
      <c r="I215" s="30"/>
    </row>
    <row r="216" spans="4:9">
      <c r="D216" s="47"/>
      <c r="E216" s="143"/>
      <c r="H216" s="2"/>
      <c r="I216" s="30"/>
    </row>
    <row r="217" spans="4:9">
      <c r="D217" s="47"/>
      <c r="E217" s="143"/>
      <c r="H217" s="2"/>
      <c r="I217" s="30"/>
    </row>
    <row r="218" spans="4:9">
      <c r="D218" s="47"/>
      <c r="E218" s="143"/>
      <c r="H218" s="2"/>
      <c r="I218" s="30"/>
    </row>
    <row r="219" spans="4:9">
      <c r="D219" s="47"/>
      <c r="E219" s="143"/>
      <c r="H219" s="2"/>
      <c r="I219" s="30"/>
    </row>
    <row r="220" spans="4:9">
      <c r="D220" s="47"/>
      <c r="E220" s="143"/>
      <c r="H220" s="2"/>
      <c r="I220" s="30"/>
    </row>
    <row r="221" spans="4:9">
      <c r="D221" s="47"/>
      <c r="E221" s="143"/>
      <c r="H221" s="2"/>
      <c r="I221" s="30"/>
    </row>
    <row r="222" spans="4:9">
      <c r="D222" s="47"/>
      <c r="E222" s="143"/>
      <c r="H222" s="2"/>
      <c r="I222" s="30"/>
    </row>
    <row r="223" spans="4:9">
      <c r="D223" s="47"/>
      <c r="E223" s="143"/>
      <c r="H223" s="2"/>
      <c r="I223" s="30"/>
    </row>
    <row r="224" spans="4:9">
      <c r="D224" s="47"/>
      <c r="E224" s="143"/>
      <c r="H224" s="2"/>
      <c r="I224" s="30"/>
    </row>
    <row r="225" spans="4:9">
      <c r="D225" s="47"/>
      <c r="E225" s="143"/>
      <c r="H225" s="2"/>
      <c r="I225" s="30"/>
    </row>
    <row r="226" spans="4:9">
      <c r="D226" s="47"/>
      <c r="E226" s="143"/>
      <c r="H226" s="2"/>
      <c r="I226" s="30"/>
    </row>
    <row r="227" spans="4:9">
      <c r="D227" s="47"/>
      <c r="E227" s="143"/>
      <c r="H227" s="2"/>
      <c r="I227" s="30"/>
    </row>
    <row r="228" spans="4:9">
      <c r="D228" s="47"/>
      <c r="E228" s="143"/>
      <c r="H228" s="2"/>
      <c r="I228" s="30"/>
    </row>
    <row r="229" spans="4:9">
      <c r="D229" s="47"/>
      <c r="E229" s="143"/>
      <c r="H229" s="2"/>
      <c r="I229" s="30"/>
    </row>
    <row r="230" spans="4:9">
      <c r="D230" s="47"/>
      <c r="E230" s="143"/>
      <c r="H230" s="2"/>
      <c r="I230" s="30"/>
    </row>
    <row r="231" spans="4:9">
      <c r="D231" s="47"/>
      <c r="E231" s="143"/>
      <c r="H231" s="2"/>
      <c r="I231" s="30"/>
    </row>
    <row r="232" spans="4:9">
      <c r="D232" s="47"/>
      <c r="E232" s="143"/>
      <c r="H232" s="2"/>
      <c r="I232" s="30"/>
    </row>
    <row r="233" spans="4:9">
      <c r="D233" s="47"/>
      <c r="E233" s="143"/>
      <c r="H233" s="2"/>
      <c r="I233" s="30"/>
    </row>
    <row r="234" spans="4:9">
      <c r="D234" s="47"/>
      <c r="E234" s="143"/>
      <c r="H234" s="2"/>
      <c r="I234" s="30"/>
    </row>
    <row r="235" spans="4:9">
      <c r="D235" s="47"/>
      <c r="E235" s="143"/>
      <c r="H235" s="2"/>
      <c r="I235" s="30"/>
    </row>
    <row r="236" spans="4:9">
      <c r="D236" s="47"/>
      <c r="E236" s="143"/>
      <c r="H236" s="2"/>
      <c r="I236" s="30"/>
    </row>
    <row r="237" spans="4:9">
      <c r="D237" s="47"/>
      <c r="E237" s="143"/>
      <c r="H237" s="2"/>
      <c r="I237" s="30"/>
    </row>
    <row r="238" spans="4:9">
      <c r="D238" s="47"/>
      <c r="E238" s="143"/>
      <c r="H238" s="2"/>
      <c r="I238" s="30"/>
    </row>
    <row r="239" spans="4:9">
      <c r="D239" s="47"/>
      <c r="E239" s="143"/>
      <c r="H239" s="2"/>
      <c r="I239" s="30"/>
    </row>
    <row r="240" spans="4:9">
      <c r="D240" s="47"/>
      <c r="E240" s="143"/>
      <c r="H240" s="2"/>
      <c r="I240" s="30"/>
    </row>
    <row r="241" spans="4:9">
      <c r="D241" s="47"/>
      <c r="E241" s="143"/>
      <c r="H241" s="2"/>
      <c r="I241" s="30"/>
    </row>
    <row r="242" spans="4:9">
      <c r="D242" s="47"/>
      <c r="E242" s="143"/>
      <c r="H242" s="2"/>
      <c r="I242" s="30"/>
    </row>
    <row r="243" spans="4:9">
      <c r="D243" s="47"/>
      <c r="E243" s="143"/>
      <c r="H243" s="2"/>
      <c r="I243" s="30"/>
    </row>
    <row r="244" spans="4:9">
      <c r="D244" s="47"/>
      <c r="E244" s="143"/>
      <c r="H244" s="2"/>
      <c r="I244" s="30"/>
    </row>
    <row r="245" spans="4:9">
      <c r="D245" s="47"/>
      <c r="E245" s="143"/>
      <c r="H245" s="2"/>
      <c r="I245" s="30"/>
    </row>
    <row r="246" spans="4:9">
      <c r="D246" s="47"/>
      <c r="E246" s="143"/>
      <c r="H246" s="2"/>
      <c r="I246" s="30"/>
    </row>
    <row r="247" spans="4:9">
      <c r="D247" s="47"/>
      <c r="E247" s="143"/>
      <c r="H247" s="2"/>
      <c r="I247" s="30"/>
    </row>
    <row r="248" spans="4:9">
      <c r="D248" s="47"/>
      <c r="E248" s="143"/>
      <c r="H248" s="2"/>
      <c r="I248" s="30"/>
    </row>
    <row r="249" spans="4:9">
      <c r="D249" s="47"/>
      <c r="E249" s="143"/>
      <c r="H249" s="2"/>
      <c r="I249" s="30"/>
    </row>
    <row r="250" spans="4:9">
      <c r="D250" s="47"/>
      <c r="E250" s="143"/>
      <c r="H250" s="2"/>
      <c r="I250" s="30"/>
    </row>
    <row r="251" spans="4:9">
      <c r="D251" s="47"/>
      <c r="E251" s="143"/>
      <c r="H251" s="2"/>
      <c r="I251" s="30"/>
    </row>
    <row r="252" spans="4:9">
      <c r="D252" s="47"/>
      <c r="E252" s="143"/>
      <c r="H252" s="2"/>
      <c r="I252" s="30"/>
    </row>
    <row r="253" spans="4:9">
      <c r="D253" s="47"/>
      <c r="E253" s="143"/>
      <c r="H253" s="2"/>
      <c r="I253" s="30"/>
    </row>
    <row r="254" spans="4:9">
      <c r="D254" s="47"/>
      <c r="E254" s="143"/>
      <c r="H254" s="2"/>
      <c r="I254" s="30"/>
    </row>
    <row r="255" spans="4:9">
      <c r="D255" s="47"/>
      <c r="E255" s="143"/>
      <c r="H255" s="2"/>
      <c r="I255" s="30"/>
    </row>
    <row r="256" spans="4:9">
      <c r="D256" s="47"/>
      <c r="E256" s="143"/>
      <c r="H256" s="2"/>
      <c r="I256" s="30"/>
    </row>
    <row r="257" spans="4:9">
      <c r="D257" s="47"/>
      <c r="E257" s="143"/>
      <c r="H257" s="2"/>
      <c r="I257" s="30"/>
    </row>
    <row r="258" spans="4:9">
      <c r="D258" s="47"/>
      <c r="E258" s="143"/>
      <c r="H258" s="2"/>
      <c r="I258" s="30"/>
    </row>
    <row r="259" spans="4:9">
      <c r="D259" s="47"/>
      <c r="E259" s="143"/>
      <c r="H259" s="2"/>
      <c r="I259" s="30"/>
    </row>
    <row r="260" spans="4:9">
      <c r="D260" s="47"/>
      <c r="E260" s="143"/>
      <c r="H260" s="2"/>
      <c r="I260" s="30"/>
    </row>
    <row r="261" spans="4:9">
      <c r="D261" s="47"/>
      <c r="E261" s="143"/>
      <c r="H261" s="2"/>
      <c r="I261" s="30"/>
    </row>
    <row r="262" spans="4:9">
      <c r="D262" s="47"/>
      <c r="E262" s="143"/>
      <c r="H262" s="2"/>
      <c r="I262" s="30"/>
    </row>
    <row r="263" spans="4:9">
      <c r="D263" s="47"/>
      <c r="E263" s="143"/>
      <c r="H263" s="2"/>
      <c r="I263" s="30"/>
    </row>
    <row r="264" spans="4:9">
      <c r="D264" s="47"/>
      <c r="E264" s="143"/>
      <c r="H264" s="2"/>
      <c r="I264" s="30"/>
    </row>
    <row r="265" spans="4:9">
      <c r="D265" s="47"/>
      <c r="E265" s="143"/>
      <c r="H265" s="2"/>
      <c r="I265" s="30"/>
    </row>
    <row r="266" spans="4:9">
      <c r="D266" s="47"/>
      <c r="E266" s="143"/>
      <c r="H266" s="2"/>
      <c r="I266" s="30"/>
    </row>
    <row r="267" spans="4:9">
      <c r="D267" s="47"/>
      <c r="E267" s="143"/>
      <c r="H267" s="2"/>
      <c r="I267" s="30"/>
    </row>
    <row r="268" spans="4:9">
      <c r="D268" s="47"/>
      <c r="E268" s="143"/>
      <c r="H268" s="2"/>
      <c r="I268" s="30"/>
    </row>
    <row r="269" spans="4:9">
      <c r="D269" s="47"/>
      <c r="E269" s="143"/>
      <c r="H269" s="2"/>
      <c r="I269" s="30"/>
    </row>
    <row r="270" spans="4:9">
      <c r="D270" s="47"/>
      <c r="E270" s="143"/>
      <c r="H270" s="2"/>
      <c r="I270" s="30"/>
    </row>
    <row r="271" spans="4:9">
      <c r="D271" s="47"/>
      <c r="E271" s="143"/>
      <c r="H271" s="2"/>
      <c r="I271" s="30"/>
    </row>
    <row r="272" spans="4:9">
      <c r="D272" s="47"/>
      <c r="E272" s="143"/>
      <c r="H272" s="2"/>
      <c r="I272" s="30"/>
    </row>
    <row r="273" spans="4:9">
      <c r="D273" s="47"/>
      <c r="E273" s="143"/>
      <c r="H273" s="2"/>
      <c r="I273" s="30"/>
    </row>
    <row r="274" spans="4:9">
      <c r="D274" s="47"/>
      <c r="E274" s="143"/>
      <c r="H274" s="2"/>
      <c r="I274" s="30"/>
    </row>
    <row r="275" spans="4:9">
      <c r="D275" s="47"/>
      <c r="E275" s="143"/>
      <c r="H275" s="2"/>
      <c r="I275" s="30"/>
    </row>
    <row r="276" spans="4:9">
      <c r="D276" s="47"/>
      <c r="E276" s="143"/>
      <c r="H276" s="2"/>
      <c r="I276" s="30"/>
    </row>
    <row r="277" spans="4:9">
      <c r="D277" s="47"/>
      <c r="E277" s="143"/>
      <c r="H277" s="2"/>
      <c r="I277" s="30"/>
    </row>
    <row r="278" spans="4:9">
      <c r="D278" s="47"/>
      <c r="E278" s="143"/>
      <c r="H278" s="2"/>
      <c r="I278" s="30"/>
    </row>
    <row r="279" spans="4:9">
      <c r="D279" s="47"/>
      <c r="E279" s="143"/>
      <c r="H279" s="2"/>
      <c r="I279" s="30"/>
    </row>
    <row r="280" spans="4:9">
      <c r="D280" s="47"/>
      <c r="E280" s="143"/>
      <c r="H280" s="2"/>
      <c r="I280" s="30"/>
    </row>
    <row r="281" spans="4:9">
      <c r="D281" s="47"/>
      <c r="E281" s="143"/>
      <c r="H281" s="2"/>
      <c r="I281" s="30"/>
    </row>
    <row r="282" spans="4:9">
      <c r="D282" s="47"/>
      <c r="E282" s="143"/>
      <c r="H282" s="2"/>
      <c r="I282" s="30"/>
    </row>
    <row r="283" spans="4:9">
      <c r="D283" s="47"/>
      <c r="E283" s="143"/>
      <c r="H283" s="2"/>
      <c r="I283" s="30"/>
    </row>
    <row r="284" spans="4:9">
      <c r="D284" s="47"/>
      <c r="E284" s="143"/>
      <c r="H284" s="2"/>
      <c r="I284" s="30"/>
    </row>
    <row r="285" spans="4:9">
      <c r="D285" s="47"/>
      <c r="E285" s="143"/>
      <c r="H285" s="2"/>
      <c r="I285" s="30"/>
    </row>
    <row r="286" spans="4:9">
      <c r="D286" s="47"/>
      <c r="E286" s="143"/>
      <c r="H286" s="2"/>
      <c r="I286" s="30"/>
    </row>
    <row r="287" spans="4:9">
      <c r="D287" s="47"/>
      <c r="E287" s="143"/>
      <c r="H287" s="2"/>
      <c r="I287" s="30"/>
    </row>
    <row r="288" spans="4:9">
      <c r="D288" s="47"/>
      <c r="E288" s="143"/>
      <c r="H288" s="2"/>
      <c r="I288" s="30"/>
    </row>
    <row r="289" spans="4:9">
      <c r="D289" s="47"/>
      <c r="E289" s="143"/>
      <c r="H289" s="2"/>
      <c r="I289" s="30"/>
    </row>
    <row r="290" spans="4:9">
      <c r="D290" s="47"/>
      <c r="E290" s="143"/>
      <c r="H290" s="2"/>
      <c r="I290" s="30"/>
    </row>
    <row r="291" spans="4:9">
      <c r="D291" s="47"/>
      <c r="E291" s="143"/>
      <c r="H291" s="2"/>
      <c r="I291" s="30"/>
    </row>
    <row r="292" spans="4:9">
      <c r="D292" s="47"/>
      <c r="E292" s="143"/>
      <c r="H292" s="2"/>
      <c r="I292" s="30"/>
    </row>
    <row r="293" spans="4:9">
      <c r="D293" s="47"/>
      <c r="E293" s="143"/>
      <c r="H293" s="2"/>
      <c r="I293" s="30"/>
    </row>
    <row r="294" spans="4:9">
      <c r="D294" s="47"/>
      <c r="E294" s="143"/>
      <c r="H294" s="2"/>
      <c r="I294" s="30"/>
    </row>
    <row r="295" spans="4:9">
      <c r="D295" s="47"/>
      <c r="E295" s="143"/>
      <c r="H295" s="2"/>
      <c r="I295" s="30"/>
    </row>
    <row r="296" spans="4:9">
      <c r="D296" s="47"/>
      <c r="E296" s="143"/>
      <c r="H296" s="2"/>
      <c r="I296" s="30"/>
    </row>
    <row r="297" spans="4:9">
      <c r="D297" s="47"/>
      <c r="E297" s="143"/>
      <c r="H297" s="2"/>
      <c r="I297" s="30"/>
    </row>
    <row r="298" spans="4:9">
      <c r="D298" s="47"/>
      <c r="E298" s="143"/>
      <c r="H298" s="2"/>
      <c r="I298" s="30"/>
    </row>
    <row r="299" spans="4:9">
      <c r="D299" s="47"/>
      <c r="E299" s="143"/>
      <c r="H299" s="2"/>
      <c r="I299" s="30"/>
    </row>
    <row r="300" spans="4:9">
      <c r="D300" s="47"/>
      <c r="E300" s="143"/>
      <c r="H300" s="2"/>
      <c r="I300" s="30"/>
    </row>
    <row r="301" spans="4:9">
      <c r="D301" s="47"/>
      <c r="E301" s="143"/>
      <c r="H301" s="2"/>
      <c r="I301" s="30"/>
    </row>
    <row r="302" spans="4:9">
      <c r="D302" s="47"/>
      <c r="E302" s="143"/>
      <c r="H302" s="2"/>
      <c r="I302" s="30"/>
    </row>
    <row r="303" spans="4:9">
      <c r="D303" s="47"/>
      <c r="E303" s="143"/>
      <c r="H303" s="2"/>
      <c r="I303" s="30"/>
    </row>
    <row r="304" spans="4:9">
      <c r="D304" s="47"/>
      <c r="E304" s="143"/>
      <c r="H304" s="2"/>
      <c r="I304" s="30"/>
    </row>
    <row r="305" spans="4:9">
      <c r="D305" s="47"/>
      <c r="E305" s="143"/>
      <c r="H305" s="2"/>
      <c r="I305" s="30"/>
    </row>
    <row r="306" spans="4:9">
      <c r="D306" s="47"/>
      <c r="E306" s="143"/>
      <c r="H306" s="2"/>
      <c r="I306" s="30"/>
    </row>
    <row r="307" spans="4:9">
      <c r="D307" s="47"/>
      <c r="E307" s="143"/>
      <c r="H307" s="2"/>
      <c r="I307" s="30"/>
    </row>
    <row r="308" spans="4:9">
      <c r="D308" s="47"/>
      <c r="E308" s="143"/>
      <c r="H308" s="2"/>
      <c r="I308" s="30"/>
    </row>
    <row r="309" spans="4:9">
      <c r="D309" s="47"/>
      <c r="E309" s="143"/>
      <c r="H309" s="2"/>
      <c r="I309" s="30"/>
    </row>
    <row r="310" spans="4:9">
      <c r="D310" s="47"/>
      <c r="E310" s="143"/>
      <c r="H310" s="2"/>
      <c r="I310" s="30"/>
    </row>
    <row r="311" spans="4:9">
      <c r="D311" s="47"/>
      <c r="E311" s="143"/>
      <c r="H311" s="2"/>
      <c r="I311" s="30"/>
    </row>
    <row r="312" spans="4:9">
      <c r="D312" s="47"/>
      <c r="E312" s="143"/>
      <c r="H312" s="2"/>
      <c r="I312" s="30"/>
    </row>
    <row r="313" spans="4:9">
      <c r="D313" s="47"/>
      <c r="E313" s="143"/>
      <c r="H313" s="2"/>
      <c r="I313" s="30"/>
    </row>
    <row r="314" spans="4:9">
      <c r="D314" s="47"/>
      <c r="E314" s="143"/>
      <c r="H314" s="2"/>
      <c r="I314" s="30"/>
    </row>
    <row r="315" spans="4:9">
      <c r="D315" s="47"/>
      <c r="E315" s="143"/>
      <c r="H315" s="2"/>
      <c r="I315" s="30"/>
    </row>
    <row r="316" spans="4:9">
      <c r="D316" s="47"/>
      <c r="E316" s="143"/>
      <c r="H316" s="2"/>
      <c r="I316" s="30"/>
    </row>
    <row r="317" spans="4:9">
      <c r="D317" s="47"/>
      <c r="E317" s="143"/>
      <c r="H317" s="2"/>
      <c r="I317" s="30"/>
    </row>
    <row r="318" spans="4:9">
      <c r="D318" s="47"/>
      <c r="E318" s="143"/>
      <c r="H318" s="2"/>
      <c r="I318" s="30"/>
    </row>
    <row r="319" spans="4:9">
      <c r="D319" s="47"/>
      <c r="E319" s="143"/>
      <c r="H319" s="2"/>
      <c r="I319" s="30"/>
    </row>
    <row r="320" spans="4:9">
      <c r="D320" s="47"/>
      <c r="E320" s="143"/>
      <c r="H320" s="2"/>
      <c r="I320" s="30"/>
    </row>
    <row r="321" spans="4:9">
      <c r="D321" s="47"/>
      <c r="E321" s="143"/>
      <c r="H321" s="2"/>
      <c r="I321" s="30"/>
    </row>
    <row r="322" spans="4:9">
      <c r="D322" s="47"/>
      <c r="E322" s="143"/>
      <c r="H322" s="2"/>
      <c r="I322" s="30"/>
    </row>
    <row r="323" spans="4:9">
      <c r="D323" s="47"/>
      <c r="E323" s="143"/>
      <c r="H323" s="2"/>
      <c r="I323" s="30"/>
    </row>
    <row r="324" spans="4:9">
      <c r="D324" s="47"/>
      <c r="E324" s="143"/>
      <c r="H324" s="2"/>
      <c r="I324" s="30"/>
    </row>
    <row r="325" spans="4:9">
      <c r="D325" s="47"/>
      <c r="E325" s="143"/>
      <c r="H325" s="2"/>
      <c r="I325" s="30"/>
    </row>
    <row r="326" spans="4:9">
      <c r="D326" s="47"/>
      <c r="E326" s="143"/>
      <c r="H326" s="2"/>
      <c r="I326" s="30"/>
    </row>
    <row r="327" spans="4:9">
      <c r="D327" s="47"/>
      <c r="E327" s="143"/>
      <c r="H327" s="2"/>
      <c r="I327" s="30"/>
    </row>
    <row r="328" spans="4:9">
      <c r="D328" s="47"/>
      <c r="E328" s="143"/>
      <c r="H328" s="2"/>
      <c r="I328" s="30"/>
    </row>
    <row r="329" spans="4:9">
      <c r="D329" s="47"/>
      <c r="E329" s="143"/>
      <c r="H329" s="2"/>
      <c r="I329" s="30"/>
    </row>
    <row r="330" spans="4:9">
      <c r="D330" s="47"/>
      <c r="E330" s="143"/>
      <c r="H330" s="2"/>
      <c r="I330" s="30"/>
    </row>
    <row r="331" spans="4:9">
      <c r="D331" s="47"/>
      <c r="E331" s="143"/>
      <c r="H331" s="2"/>
      <c r="I331" s="30"/>
    </row>
    <row r="332" spans="4:9">
      <c r="D332" s="47"/>
      <c r="E332" s="143"/>
      <c r="H332" s="2"/>
      <c r="I332" s="30"/>
    </row>
    <row r="333" spans="4:9">
      <c r="D333" s="47"/>
      <c r="E333" s="143"/>
      <c r="H333" s="2"/>
      <c r="I333" s="30"/>
    </row>
    <row r="334" spans="4:9">
      <c r="D334" s="47"/>
      <c r="E334" s="143"/>
      <c r="H334" s="2"/>
      <c r="I334" s="30"/>
    </row>
    <row r="335" spans="4:9">
      <c r="D335" s="47"/>
      <c r="E335" s="143"/>
      <c r="H335" s="2"/>
      <c r="I335" s="30"/>
    </row>
    <row r="336" spans="4:9">
      <c r="D336" s="47"/>
      <c r="E336" s="143"/>
      <c r="H336" s="2"/>
      <c r="I336" s="30"/>
    </row>
    <row r="337" spans="4:9">
      <c r="D337" s="47"/>
      <c r="E337" s="143"/>
      <c r="H337" s="2"/>
      <c r="I337" s="30"/>
    </row>
    <row r="338" spans="4:9">
      <c r="D338" s="47"/>
      <c r="E338" s="143"/>
      <c r="H338" s="2"/>
      <c r="I338" s="30"/>
    </row>
    <row r="339" spans="4:9">
      <c r="D339" s="47"/>
      <c r="E339" s="143"/>
      <c r="H339" s="2"/>
      <c r="I339" s="30"/>
    </row>
    <row r="340" spans="4:9">
      <c r="D340" s="47"/>
      <c r="E340" s="143"/>
      <c r="H340" s="2"/>
      <c r="I340" s="30"/>
    </row>
    <row r="341" spans="4:9">
      <c r="D341" s="47"/>
      <c r="E341" s="143"/>
      <c r="H341" s="2"/>
      <c r="I341" s="30"/>
    </row>
    <row r="342" spans="4:9">
      <c r="D342" s="47"/>
      <c r="E342" s="143"/>
      <c r="H342" s="2"/>
      <c r="I342" s="30"/>
    </row>
    <row r="343" spans="4:9">
      <c r="D343" s="47"/>
      <c r="E343" s="143"/>
      <c r="H343" s="2"/>
      <c r="I343" s="30"/>
    </row>
    <row r="344" spans="4:9">
      <c r="D344" s="47"/>
      <c r="E344" s="143"/>
      <c r="H344" s="2"/>
      <c r="I344" s="30"/>
    </row>
    <row r="345" spans="4:9">
      <c r="D345" s="47"/>
      <c r="E345" s="143"/>
      <c r="H345" s="2"/>
      <c r="I345" s="30"/>
    </row>
    <row r="346" spans="4:9">
      <c r="D346" s="47"/>
      <c r="E346" s="143"/>
      <c r="H346" s="2"/>
      <c r="I346" s="30"/>
    </row>
    <row r="347" spans="4:9">
      <c r="D347" s="47"/>
      <c r="E347" s="143"/>
      <c r="H347" s="2"/>
      <c r="I347" s="30"/>
    </row>
    <row r="348" spans="4:9">
      <c r="D348" s="47"/>
      <c r="E348" s="143"/>
      <c r="H348" s="2"/>
      <c r="I348" s="30"/>
    </row>
    <row r="349" spans="4:9">
      <c r="D349" s="47"/>
      <c r="E349" s="143"/>
      <c r="H349" s="2"/>
      <c r="I349" s="30"/>
    </row>
    <row r="350" spans="4:9">
      <c r="D350" s="47"/>
      <c r="E350" s="143"/>
      <c r="H350" s="2"/>
      <c r="I350" s="30"/>
    </row>
    <row r="351" spans="4:9">
      <c r="D351" s="47"/>
      <c r="E351" s="143"/>
      <c r="H351" s="2"/>
      <c r="I351" s="30"/>
    </row>
    <row r="352" spans="4:9">
      <c r="D352" s="47"/>
      <c r="E352" s="143"/>
      <c r="H352" s="2"/>
      <c r="I352" s="30"/>
    </row>
    <row r="353" spans="4:9">
      <c r="D353" s="47"/>
      <c r="E353" s="143"/>
      <c r="H353" s="2"/>
      <c r="I353" s="30"/>
    </row>
    <row r="354" spans="4:9">
      <c r="D354" s="47"/>
      <c r="E354" s="143"/>
      <c r="H354" s="2"/>
      <c r="I354" s="30"/>
    </row>
    <row r="355" spans="4:9">
      <c r="D355" s="47"/>
      <c r="E355" s="143"/>
      <c r="H355" s="2"/>
      <c r="I355" s="30"/>
    </row>
    <row r="356" spans="4:9">
      <c r="D356" s="47"/>
      <c r="E356" s="143"/>
      <c r="H356" s="2"/>
      <c r="I356" s="30"/>
    </row>
    <row r="357" spans="4:9">
      <c r="D357" s="47"/>
      <c r="E357" s="143"/>
      <c r="H357" s="2"/>
      <c r="I357" s="30"/>
    </row>
    <row r="358" spans="4:9">
      <c r="D358" s="47"/>
      <c r="E358" s="143"/>
      <c r="H358" s="2"/>
      <c r="I358" s="30"/>
    </row>
    <row r="359" spans="4:9">
      <c r="D359" s="47"/>
      <c r="E359" s="143"/>
      <c r="H359" s="2"/>
      <c r="I359" s="30"/>
    </row>
    <row r="360" spans="4:9">
      <c r="D360" s="47"/>
      <c r="E360" s="143"/>
      <c r="H360" s="2"/>
      <c r="I360" s="30"/>
    </row>
    <row r="361" spans="4:9">
      <c r="D361" s="47"/>
      <c r="E361" s="143"/>
      <c r="H361" s="2"/>
      <c r="I361" s="30"/>
    </row>
    <row r="362" spans="4:9">
      <c r="D362" s="47"/>
      <c r="E362" s="143"/>
      <c r="H362" s="2"/>
      <c r="I362" s="30"/>
    </row>
    <row r="363" spans="4:9">
      <c r="D363" s="47"/>
      <c r="E363" s="143"/>
      <c r="H363" s="2"/>
      <c r="I363" s="30"/>
    </row>
    <row r="364" spans="4:9">
      <c r="D364" s="47"/>
      <c r="E364" s="143"/>
      <c r="H364" s="2"/>
      <c r="I364" s="30"/>
    </row>
    <row r="365" spans="4:9">
      <c r="D365" s="47"/>
      <c r="E365" s="143"/>
      <c r="H365" s="2"/>
      <c r="I365" s="30"/>
    </row>
    <row r="366" spans="4:9">
      <c r="D366" s="47"/>
      <c r="E366" s="143"/>
      <c r="H366" s="2"/>
      <c r="I366" s="30"/>
    </row>
    <row r="367" spans="4:9">
      <c r="D367" s="47"/>
      <c r="E367" s="143"/>
      <c r="H367" s="2"/>
      <c r="I367" s="30"/>
    </row>
    <row r="368" spans="4:9">
      <c r="D368" s="47"/>
      <c r="E368" s="143"/>
      <c r="H368" s="2"/>
      <c r="I368" s="30"/>
    </row>
    <row r="369" spans="4:9">
      <c r="D369" s="47"/>
      <c r="E369" s="143"/>
      <c r="H369" s="2"/>
      <c r="I369" s="30"/>
    </row>
    <row r="370" spans="4:9">
      <c r="D370" s="47"/>
      <c r="E370" s="143"/>
      <c r="H370" s="2"/>
      <c r="I370" s="30"/>
    </row>
    <row r="371" spans="4:9">
      <c r="D371" s="47"/>
      <c r="E371" s="143"/>
      <c r="H371" s="2"/>
      <c r="I371" s="30"/>
    </row>
    <row r="372" spans="4:9">
      <c r="D372" s="47"/>
      <c r="E372" s="143"/>
      <c r="H372" s="2"/>
      <c r="I372" s="30"/>
    </row>
    <row r="373" spans="4:9">
      <c r="D373" s="47"/>
      <c r="E373" s="143"/>
      <c r="H373" s="2"/>
      <c r="I373" s="30"/>
    </row>
    <row r="374" spans="4:9">
      <c r="D374" s="47"/>
      <c r="E374" s="143"/>
      <c r="H374" s="2"/>
      <c r="I374" s="30"/>
    </row>
    <row r="375" spans="4:9">
      <c r="D375" s="47"/>
      <c r="E375" s="143"/>
      <c r="H375" s="2"/>
      <c r="I375" s="30"/>
    </row>
    <row r="376" spans="4:9">
      <c r="D376" s="47"/>
      <c r="E376" s="143"/>
      <c r="H376" s="2"/>
      <c r="I376" s="30"/>
    </row>
    <row r="377" spans="4:9">
      <c r="D377" s="47"/>
      <c r="E377" s="143"/>
      <c r="H377" s="2"/>
      <c r="I377" s="30"/>
    </row>
    <row r="378" spans="4:9">
      <c r="D378" s="47"/>
      <c r="E378" s="143"/>
      <c r="H378" s="2"/>
      <c r="I378" s="30"/>
    </row>
    <row r="379" spans="4:9">
      <c r="D379" s="47"/>
      <c r="E379" s="143"/>
      <c r="H379" s="2"/>
      <c r="I379" s="30"/>
    </row>
    <row r="380" spans="4:9">
      <c r="D380" s="47"/>
      <c r="E380" s="143"/>
      <c r="H380" s="2"/>
      <c r="I380" s="30"/>
    </row>
    <row r="381" spans="4:9">
      <c r="D381" s="47"/>
      <c r="E381" s="143"/>
      <c r="H381" s="2"/>
      <c r="I381" s="30"/>
    </row>
    <row r="382" spans="4:9">
      <c r="D382" s="47"/>
      <c r="E382" s="143"/>
      <c r="H382" s="2"/>
      <c r="I382" s="30"/>
    </row>
    <row r="383" spans="4:9">
      <c r="D383" s="47"/>
      <c r="E383" s="143"/>
      <c r="H383" s="2"/>
      <c r="I383" s="30"/>
    </row>
    <row r="384" spans="4:9">
      <c r="D384" s="47"/>
      <c r="E384" s="143"/>
      <c r="H384" s="2"/>
      <c r="I384" s="30"/>
    </row>
    <row r="385" spans="4:9">
      <c r="D385" s="47"/>
      <c r="E385" s="143"/>
      <c r="H385" s="2"/>
      <c r="I385" s="30"/>
    </row>
    <row r="386" spans="4:9">
      <c r="D386" s="47"/>
      <c r="E386" s="143"/>
      <c r="H386" s="2"/>
      <c r="I386" s="30"/>
    </row>
    <row r="387" spans="4:9">
      <c r="D387" s="47"/>
      <c r="E387" s="143"/>
      <c r="H387" s="2"/>
      <c r="I387" s="30"/>
    </row>
    <row r="388" spans="4:9">
      <c r="D388" s="47"/>
      <c r="E388" s="143"/>
      <c r="H388" s="2"/>
      <c r="I388" s="30"/>
    </row>
    <row r="389" spans="4:9">
      <c r="D389" s="47"/>
      <c r="E389" s="143"/>
      <c r="H389" s="2"/>
      <c r="I389" s="30"/>
    </row>
    <row r="390" spans="4:9">
      <c r="D390" s="47"/>
      <c r="E390" s="143"/>
      <c r="H390" s="2"/>
      <c r="I390" s="30"/>
    </row>
    <row r="391" spans="4:9">
      <c r="D391" s="47"/>
      <c r="E391" s="143"/>
      <c r="H391" s="2"/>
      <c r="I391" s="30"/>
    </row>
    <row r="392" spans="4:9">
      <c r="D392" s="47"/>
      <c r="E392" s="143"/>
      <c r="H392" s="2"/>
      <c r="I392" s="30"/>
    </row>
    <row r="393" spans="4:9">
      <c r="D393" s="47"/>
      <c r="E393" s="143"/>
      <c r="H393" s="2"/>
      <c r="I393" s="30"/>
    </row>
    <row r="394" spans="4:9">
      <c r="D394" s="47"/>
      <c r="E394" s="143"/>
      <c r="H394" s="2"/>
      <c r="I394" s="30"/>
    </row>
    <row r="395" spans="4:9">
      <c r="D395" s="47"/>
      <c r="E395" s="143"/>
      <c r="H395" s="2"/>
      <c r="I395" s="30"/>
    </row>
    <row r="396" spans="4:9">
      <c r="D396" s="47"/>
      <c r="E396" s="143"/>
      <c r="H396" s="2"/>
      <c r="I396" s="30"/>
    </row>
    <row r="397" spans="4:9">
      <c r="D397" s="47"/>
      <c r="E397" s="143"/>
      <c r="H397" s="2"/>
      <c r="I397" s="30"/>
    </row>
    <row r="398" spans="4:9">
      <c r="D398" s="47"/>
      <c r="E398" s="143"/>
      <c r="H398" s="2"/>
      <c r="I398" s="30"/>
    </row>
    <row r="399" spans="4:9">
      <c r="D399" s="47"/>
      <c r="E399" s="143"/>
      <c r="H399" s="2"/>
      <c r="I399" s="30"/>
    </row>
    <row r="400" spans="4:9">
      <c r="D400" s="47"/>
      <c r="E400" s="143"/>
      <c r="H400" s="2"/>
      <c r="I400" s="30"/>
    </row>
    <row r="401" spans="4:9">
      <c r="D401" s="47"/>
      <c r="E401" s="143"/>
      <c r="H401" s="2"/>
      <c r="I401" s="30"/>
    </row>
    <row r="402" spans="4:9">
      <c r="D402" s="47"/>
      <c r="E402" s="143"/>
      <c r="H402" s="2"/>
      <c r="I402" s="30"/>
    </row>
    <row r="403" spans="4:9">
      <c r="D403" s="47"/>
      <c r="E403" s="143"/>
      <c r="H403" s="2"/>
      <c r="I403" s="30"/>
    </row>
    <row r="404" spans="4:9">
      <c r="D404" s="47"/>
      <c r="E404" s="143"/>
      <c r="H404" s="2"/>
      <c r="I404" s="30"/>
    </row>
    <row r="405" spans="4:9">
      <c r="D405" s="47"/>
      <c r="E405" s="143"/>
      <c r="H405" s="2"/>
      <c r="I405" s="30"/>
    </row>
    <row r="406" spans="4:9">
      <c r="D406" s="47"/>
      <c r="E406" s="143"/>
      <c r="H406" s="2"/>
      <c r="I406" s="30"/>
    </row>
    <row r="407" spans="4:9">
      <c r="D407" s="47"/>
      <c r="E407" s="143"/>
      <c r="H407" s="2"/>
      <c r="I407" s="30"/>
    </row>
    <row r="408" spans="4:9">
      <c r="D408" s="47"/>
      <c r="E408" s="143"/>
      <c r="H408" s="2"/>
      <c r="I408" s="30"/>
    </row>
    <row r="409" spans="4:9">
      <c r="D409" s="47"/>
      <c r="E409" s="143"/>
      <c r="H409" s="2"/>
      <c r="I409" s="30"/>
    </row>
    <row r="410" spans="4:9">
      <c r="D410" s="47"/>
      <c r="E410" s="143"/>
      <c r="H410" s="2"/>
      <c r="I410" s="30"/>
    </row>
    <row r="411" spans="4:9">
      <c r="D411" s="47"/>
      <c r="E411" s="143"/>
      <c r="H411" s="2"/>
      <c r="I411" s="30"/>
    </row>
    <row r="412" spans="4:9">
      <c r="D412" s="47"/>
      <c r="E412" s="143"/>
      <c r="H412" s="2"/>
      <c r="I412" s="30"/>
    </row>
    <row r="413" spans="4:9">
      <c r="D413" s="47"/>
      <c r="E413" s="143"/>
      <c r="H413" s="2"/>
      <c r="I413" s="30"/>
    </row>
    <row r="414" spans="4:9">
      <c r="D414" s="47"/>
      <c r="E414" s="143"/>
      <c r="H414" s="2"/>
      <c r="I414" s="30"/>
    </row>
    <row r="415" spans="4:9">
      <c r="D415" s="47"/>
      <c r="E415" s="143"/>
      <c r="H415" s="2"/>
      <c r="I415" s="30"/>
    </row>
    <row r="416" spans="4:9">
      <c r="D416" s="47"/>
      <c r="E416" s="143"/>
      <c r="H416" s="2"/>
      <c r="I416" s="30"/>
    </row>
    <row r="417" spans="4:9">
      <c r="D417" s="47"/>
      <c r="E417" s="143"/>
      <c r="H417" s="2"/>
      <c r="I417" s="30"/>
    </row>
    <row r="418" spans="4:9">
      <c r="D418" s="47"/>
      <c r="E418" s="143"/>
      <c r="H418" s="2"/>
      <c r="I418" s="30"/>
    </row>
    <row r="419" spans="4:9">
      <c r="D419" s="47"/>
      <c r="E419" s="143"/>
      <c r="H419" s="2"/>
      <c r="I419" s="30"/>
    </row>
    <row r="420" spans="4:9">
      <c r="D420" s="47"/>
      <c r="E420" s="143"/>
      <c r="H420" s="2"/>
      <c r="I420" s="30"/>
    </row>
    <row r="421" spans="4:9">
      <c r="D421" s="47"/>
      <c r="E421" s="143"/>
      <c r="H421" s="2"/>
      <c r="I421" s="30"/>
    </row>
    <row r="422" spans="4:9">
      <c r="D422" s="47"/>
      <c r="E422" s="143"/>
      <c r="H422" s="2"/>
      <c r="I422" s="30"/>
    </row>
    <row r="423" spans="4:9">
      <c r="D423" s="47"/>
      <c r="E423" s="143"/>
      <c r="H423" s="2"/>
      <c r="I423" s="30"/>
    </row>
    <row r="424" spans="4:9">
      <c r="D424" s="47"/>
      <c r="E424" s="143"/>
      <c r="H424" s="2"/>
      <c r="I424" s="30"/>
    </row>
    <row r="425" spans="4:9">
      <c r="D425" s="47"/>
      <c r="E425" s="143"/>
      <c r="H425" s="2"/>
      <c r="I425" s="30"/>
    </row>
    <row r="426" spans="4:9">
      <c r="D426" s="47"/>
      <c r="E426" s="143"/>
      <c r="H426" s="2"/>
      <c r="I426" s="30"/>
    </row>
    <row r="427" spans="4:9">
      <c r="D427" s="47"/>
      <c r="E427" s="143"/>
      <c r="H427" s="2"/>
      <c r="I427" s="30"/>
    </row>
    <row r="428" spans="4:9">
      <c r="D428" s="47"/>
      <c r="E428" s="143"/>
      <c r="H428" s="2"/>
      <c r="I428" s="30"/>
    </row>
    <row r="429" spans="4:9">
      <c r="D429" s="47"/>
      <c r="E429" s="143"/>
      <c r="H429" s="2"/>
      <c r="I429" s="30"/>
    </row>
    <row r="430" spans="4:9">
      <c r="D430" s="47"/>
      <c r="E430" s="143"/>
      <c r="H430" s="2"/>
      <c r="I430" s="30"/>
    </row>
    <row r="431" spans="4:9">
      <c r="D431" s="47"/>
      <c r="E431" s="143"/>
      <c r="H431" s="2"/>
      <c r="I431" s="30"/>
    </row>
    <row r="432" spans="4:9">
      <c r="D432" s="47"/>
      <c r="E432" s="143"/>
      <c r="H432" s="2"/>
      <c r="I432" s="30"/>
    </row>
    <row r="433" spans="4:9">
      <c r="D433" s="47"/>
      <c r="E433" s="143"/>
      <c r="H433" s="2"/>
      <c r="I433" s="30"/>
    </row>
    <row r="434" spans="4:9">
      <c r="D434" s="47"/>
      <c r="E434" s="143"/>
      <c r="H434" s="2"/>
      <c r="I434" s="30"/>
    </row>
    <row r="435" spans="4:9">
      <c r="D435" s="47"/>
      <c r="E435" s="143"/>
      <c r="H435" s="2"/>
      <c r="I435" s="30"/>
    </row>
    <row r="436" spans="4:9">
      <c r="D436" s="47"/>
      <c r="E436" s="143"/>
      <c r="H436" s="2"/>
      <c r="I436" s="30"/>
    </row>
    <row r="437" spans="4:9">
      <c r="D437" s="47"/>
      <c r="E437" s="143"/>
      <c r="H437" s="2"/>
      <c r="I437" s="30"/>
    </row>
    <row r="438" spans="4:9">
      <c r="D438" s="47"/>
      <c r="E438" s="143"/>
      <c r="H438" s="2"/>
      <c r="I438" s="30"/>
    </row>
    <row r="439" spans="4:9">
      <c r="D439" s="47"/>
      <c r="E439" s="143"/>
      <c r="H439" s="2"/>
      <c r="I439" s="30"/>
    </row>
    <row r="440" spans="4:9">
      <c r="D440" s="47"/>
      <c r="E440" s="143"/>
      <c r="H440" s="2"/>
      <c r="I440" s="30"/>
    </row>
    <row r="441" spans="4:9">
      <c r="D441" s="47"/>
      <c r="E441" s="143"/>
      <c r="H441" s="2"/>
      <c r="I441" s="30"/>
    </row>
    <row r="442" spans="4:9">
      <c r="D442" s="47"/>
      <c r="E442" s="143"/>
      <c r="H442" s="2"/>
      <c r="I442" s="30"/>
    </row>
    <row r="443" spans="4:9">
      <c r="D443" s="47"/>
      <c r="E443" s="143"/>
      <c r="H443" s="2"/>
      <c r="I443" s="30"/>
    </row>
    <row r="444" spans="4:9">
      <c r="D444" s="47"/>
      <c r="E444" s="143"/>
      <c r="H444" s="2"/>
      <c r="I444" s="30"/>
    </row>
    <row r="445" spans="4:9">
      <c r="D445" s="47"/>
      <c r="E445" s="143"/>
      <c r="H445" s="2"/>
      <c r="I445" s="30"/>
    </row>
    <row r="446" spans="4:9">
      <c r="D446" s="47"/>
      <c r="E446" s="143"/>
      <c r="H446" s="2"/>
      <c r="I446" s="30"/>
    </row>
    <row r="447" spans="4:9">
      <c r="D447" s="47"/>
      <c r="E447" s="143"/>
      <c r="H447" s="2"/>
      <c r="I447" s="30"/>
    </row>
    <row r="448" spans="4:9">
      <c r="D448" s="47"/>
      <c r="E448" s="143"/>
      <c r="H448" s="2"/>
      <c r="I448" s="30"/>
    </row>
    <row r="449" spans="4:9">
      <c r="D449" s="47"/>
      <c r="E449" s="143"/>
      <c r="H449" s="2"/>
      <c r="I449" s="30"/>
    </row>
    <row r="450" spans="4:9">
      <c r="D450" s="47"/>
      <c r="E450" s="143"/>
      <c r="H450" s="2"/>
      <c r="I450" s="30"/>
    </row>
    <row r="451" spans="4:9">
      <c r="D451" s="47"/>
      <c r="E451" s="143"/>
      <c r="H451" s="2"/>
      <c r="I451" s="30"/>
    </row>
    <row r="452" spans="4:9">
      <c r="D452" s="47"/>
      <c r="E452" s="143"/>
      <c r="H452" s="2"/>
      <c r="I452" s="30"/>
    </row>
    <row r="453" spans="4:9">
      <c r="D453" s="47"/>
      <c r="E453" s="143"/>
      <c r="H453" s="2"/>
      <c r="I453" s="30"/>
    </row>
    <row r="454" spans="4:9">
      <c r="D454" s="47"/>
      <c r="E454" s="143"/>
      <c r="H454" s="2"/>
      <c r="I454" s="30"/>
    </row>
    <row r="455" spans="4:9">
      <c r="D455" s="47"/>
      <c r="E455" s="143"/>
      <c r="H455" s="2"/>
      <c r="I455" s="30"/>
    </row>
    <row r="456" spans="4:9">
      <c r="D456" s="47"/>
      <c r="E456" s="143"/>
      <c r="H456" s="2"/>
      <c r="I456" s="30"/>
    </row>
    <row r="457" spans="4:9">
      <c r="D457" s="47"/>
      <c r="E457" s="143"/>
      <c r="H457" s="2"/>
      <c r="I457" s="30"/>
    </row>
    <row r="458" spans="4:9">
      <c r="D458" s="47"/>
      <c r="E458" s="143"/>
      <c r="H458" s="2"/>
      <c r="I458" s="30"/>
    </row>
    <row r="459" spans="4:9">
      <c r="D459" s="47"/>
      <c r="E459" s="143"/>
      <c r="H459" s="2"/>
      <c r="I459" s="30"/>
    </row>
    <row r="460" spans="4:9">
      <c r="D460" s="47"/>
      <c r="E460" s="143"/>
      <c r="H460" s="2"/>
      <c r="I460" s="30"/>
    </row>
    <row r="461" spans="4:9">
      <c r="D461" s="47"/>
      <c r="E461" s="143"/>
      <c r="H461" s="2"/>
      <c r="I461" s="30"/>
    </row>
    <row r="462" spans="4:9">
      <c r="D462" s="47"/>
      <c r="E462" s="143"/>
      <c r="H462" s="2"/>
      <c r="I462" s="30"/>
    </row>
    <row r="463" spans="4:9">
      <c r="D463" s="47"/>
      <c r="E463" s="143"/>
      <c r="H463" s="2"/>
      <c r="I463" s="30"/>
    </row>
    <row r="464" spans="4:9">
      <c r="D464" s="47"/>
      <c r="E464" s="143"/>
      <c r="H464" s="2"/>
      <c r="I464" s="30"/>
    </row>
    <row r="465" spans="4:9">
      <c r="D465" s="47"/>
      <c r="E465" s="143"/>
      <c r="H465" s="2"/>
      <c r="I465" s="30"/>
    </row>
    <row r="466" spans="4:9">
      <c r="D466" s="47"/>
      <c r="E466" s="143"/>
      <c r="H466" s="2"/>
      <c r="I466" s="30"/>
    </row>
    <row r="467" spans="4:9">
      <c r="D467" s="47"/>
      <c r="E467" s="143"/>
      <c r="H467" s="2"/>
      <c r="I467" s="30"/>
    </row>
    <row r="468" spans="4:9">
      <c r="D468" s="47"/>
      <c r="E468" s="143"/>
      <c r="H468" s="2"/>
      <c r="I468" s="30"/>
    </row>
    <row r="469" spans="4:9">
      <c r="D469" s="47"/>
      <c r="E469" s="143"/>
      <c r="H469" s="2"/>
      <c r="I469" s="30"/>
    </row>
    <row r="470" spans="4:9">
      <c r="D470" s="47"/>
      <c r="E470" s="143"/>
      <c r="H470" s="2"/>
      <c r="I470" s="30"/>
    </row>
    <row r="471" spans="4:9">
      <c r="D471" s="47"/>
      <c r="E471" s="143"/>
      <c r="H471" s="2"/>
      <c r="I471" s="30"/>
    </row>
    <row r="472" spans="4:9">
      <c r="D472" s="47"/>
      <c r="E472" s="143"/>
      <c r="H472" s="2"/>
      <c r="I472" s="30"/>
    </row>
    <row r="473" spans="4:9">
      <c r="D473" s="47"/>
      <c r="E473" s="143"/>
      <c r="H473" s="2"/>
      <c r="I473" s="30"/>
    </row>
    <row r="474" spans="4:9">
      <c r="D474" s="47"/>
      <c r="E474" s="143"/>
      <c r="H474" s="2"/>
      <c r="I474" s="30"/>
    </row>
    <row r="475" spans="4:9">
      <c r="D475" s="47"/>
      <c r="E475" s="143"/>
      <c r="H475" s="2"/>
      <c r="I475" s="30"/>
    </row>
    <row r="476" spans="4:9">
      <c r="D476" s="47"/>
      <c r="E476" s="143"/>
      <c r="H476" s="2"/>
      <c r="I476" s="30"/>
    </row>
    <row r="477" spans="4:9">
      <c r="D477" s="47"/>
      <c r="E477" s="143"/>
      <c r="H477" s="2"/>
      <c r="I477" s="30"/>
    </row>
    <row r="478" spans="4:9">
      <c r="D478" s="47"/>
      <c r="E478" s="143"/>
      <c r="H478" s="2"/>
      <c r="I478" s="30"/>
    </row>
    <row r="479" spans="4:9">
      <c r="D479" s="47"/>
      <c r="E479" s="143"/>
      <c r="H479" s="2"/>
      <c r="I479" s="30"/>
    </row>
    <row r="480" spans="4:9">
      <c r="D480" s="47"/>
      <c r="E480" s="143"/>
      <c r="H480" s="2"/>
      <c r="I480" s="30"/>
    </row>
    <row r="481" spans="4:9">
      <c r="D481" s="47"/>
      <c r="E481" s="143"/>
      <c r="H481" s="2"/>
      <c r="I481" s="30"/>
    </row>
    <row r="482" spans="4:9">
      <c r="D482" s="47"/>
      <c r="E482" s="143"/>
      <c r="H482" s="2"/>
      <c r="I482" s="30"/>
    </row>
    <row r="483" spans="4:9">
      <c r="D483" s="47"/>
      <c r="E483" s="143"/>
      <c r="H483" s="2"/>
      <c r="I483" s="30"/>
    </row>
    <row r="484" spans="4:9">
      <c r="D484" s="47"/>
      <c r="E484" s="143"/>
      <c r="H484" s="2"/>
      <c r="I484" s="30"/>
    </row>
    <row r="485" spans="4:9">
      <c r="D485" s="47"/>
      <c r="E485" s="143"/>
      <c r="H485" s="2"/>
      <c r="I485" s="30"/>
    </row>
    <row r="486" spans="4:9">
      <c r="D486" s="47"/>
      <c r="E486" s="143"/>
      <c r="H486" s="2"/>
      <c r="I486" s="30"/>
    </row>
    <row r="487" spans="4:9">
      <c r="D487" s="47"/>
      <c r="E487" s="143"/>
      <c r="H487" s="2"/>
      <c r="I487" s="30"/>
    </row>
    <row r="488" spans="4:9">
      <c r="D488" s="47"/>
      <c r="E488" s="143"/>
      <c r="H488" s="2"/>
      <c r="I488" s="30"/>
    </row>
    <row r="489" spans="4:9">
      <c r="D489" s="47"/>
      <c r="E489" s="143"/>
      <c r="H489" s="2"/>
      <c r="I489" s="30"/>
    </row>
    <row r="490" spans="4:9">
      <c r="D490" s="47"/>
      <c r="E490" s="143"/>
      <c r="H490" s="2"/>
      <c r="I490" s="30"/>
    </row>
    <row r="491" spans="4:9">
      <c r="D491" s="47"/>
      <c r="E491" s="143"/>
      <c r="H491" s="2"/>
      <c r="I491" s="30"/>
    </row>
    <row r="492" spans="4:9">
      <c r="D492" s="47"/>
      <c r="E492" s="143"/>
      <c r="H492" s="2"/>
      <c r="I492" s="30"/>
    </row>
    <row r="493" spans="4:9">
      <c r="D493" s="47"/>
      <c r="E493" s="143"/>
      <c r="H493" s="2"/>
      <c r="I493" s="30"/>
    </row>
    <row r="494" spans="4:9">
      <c r="D494" s="47"/>
      <c r="E494" s="143"/>
      <c r="H494" s="2"/>
      <c r="I494" s="30"/>
    </row>
    <row r="495" spans="4:9">
      <c r="D495" s="47"/>
      <c r="E495" s="143"/>
      <c r="H495" s="2"/>
      <c r="I495" s="30"/>
    </row>
    <row r="496" spans="4:9">
      <c r="D496" s="47"/>
      <c r="E496" s="143"/>
      <c r="H496" s="2"/>
      <c r="I496" s="30"/>
    </row>
    <row r="497" spans="4:9">
      <c r="D497" s="47"/>
      <c r="E497" s="143"/>
      <c r="H497" s="2"/>
      <c r="I497" s="30"/>
    </row>
    <row r="498" spans="4:9">
      <c r="D498" s="47"/>
      <c r="E498" s="143"/>
      <c r="H498" s="2"/>
      <c r="I498" s="30"/>
    </row>
    <row r="499" spans="4:9">
      <c r="D499" s="47"/>
      <c r="E499" s="143"/>
      <c r="H499" s="2"/>
      <c r="I499" s="30"/>
    </row>
    <row r="500" spans="4:9">
      <c r="D500" s="47"/>
      <c r="E500" s="143"/>
      <c r="H500" s="2"/>
      <c r="I500" s="30"/>
    </row>
    <row r="501" spans="4:9">
      <c r="D501" s="47"/>
      <c r="E501" s="143"/>
      <c r="H501" s="2"/>
      <c r="I501" s="30"/>
    </row>
    <row r="502" spans="4:9">
      <c r="D502" s="47"/>
      <c r="E502" s="143"/>
      <c r="H502" s="2"/>
      <c r="I502" s="30"/>
    </row>
    <row r="503" spans="4:9">
      <c r="D503" s="47"/>
      <c r="E503" s="143"/>
      <c r="H503" s="2"/>
      <c r="I503" s="30"/>
    </row>
    <row r="504" spans="4:9">
      <c r="D504" s="47"/>
      <c r="E504" s="143"/>
      <c r="H504" s="2"/>
      <c r="I504" s="30"/>
    </row>
    <row r="505" spans="4:9">
      <c r="D505" s="47"/>
      <c r="E505" s="143"/>
      <c r="H505" s="2"/>
      <c r="I505" s="30"/>
    </row>
    <row r="506" spans="4:9">
      <c r="D506" s="47"/>
      <c r="E506" s="143"/>
      <c r="H506" s="2"/>
      <c r="I506" s="30"/>
    </row>
    <row r="507" spans="4:9">
      <c r="D507" s="47"/>
      <c r="E507" s="143"/>
      <c r="H507" s="2"/>
      <c r="I507" s="30"/>
    </row>
    <row r="508" spans="4:9">
      <c r="D508" s="47"/>
      <c r="E508" s="143"/>
      <c r="H508" s="2"/>
      <c r="I508" s="30"/>
    </row>
    <row r="509" spans="4:9">
      <c r="D509" s="47"/>
      <c r="E509" s="143"/>
      <c r="H509" s="2"/>
      <c r="I509" s="30"/>
    </row>
    <row r="510" spans="4:9">
      <c r="D510" s="47"/>
      <c r="E510" s="143"/>
      <c r="H510" s="2"/>
      <c r="I510" s="30"/>
    </row>
    <row r="511" spans="4:9">
      <c r="D511" s="47"/>
      <c r="E511" s="143"/>
      <c r="H511" s="2"/>
      <c r="I511" s="30"/>
    </row>
    <row r="512" spans="4:9">
      <c r="D512" s="47"/>
      <c r="E512" s="143"/>
      <c r="H512" s="2"/>
      <c r="I512" s="30"/>
    </row>
    <row r="513" spans="4:9">
      <c r="D513" s="47"/>
      <c r="E513" s="143"/>
      <c r="H513" s="2"/>
      <c r="I513" s="30"/>
    </row>
    <row r="514" spans="4:9">
      <c r="D514" s="47"/>
      <c r="E514" s="143"/>
      <c r="H514" s="2"/>
      <c r="I514" s="30"/>
    </row>
    <row r="515" spans="4:9">
      <c r="D515" s="47"/>
      <c r="E515" s="143"/>
      <c r="H515" s="2"/>
      <c r="I515" s="30"/>
    </row>
    <row r="516" spans="4:9">
      <c r="D516" s="47"/>
      <c r="E516" s="143"/>
      <c r="H516" s="2"/>
      <c r="I516" s="30"/>
    </row>
    <row r="517" spans="4:9">
      <c r="D517" s="47"/>
      <c r="E517" s="143"/>
      <c r="H517" s="2"/>
      <c r="I517" s="30"/>
    </row>
    <row r="518" spans="4:9">
      <c r="D518" s="47"/>
      <c r="E518" s="143"/>
      <c r="H518" s="2"/>
      <c r="I518" s="30"/>
    </row>
    <row r="519" spans="4:9">
      <c r="D519" s="47"/>
      <c r="E519" s="143"/>
      <c r="H519" s="2"/>
      <c r="I519" s="30"/>
    </row>
    <row r="520" spans="4:9">
      <c r="D520" s="47"/>
      <c r="E520" s="143"/>
      <c r="H520" s="2"/>
      <c r="I520" s="30"/>
    </row>
    <row r="521" spans="4:9">
      <c r="D521" s="47"/>
      <c r="E521" s="143"/>
      <c r="H521" s="2"/>
      <c r="I521" s="30"/>
    </row>
    <row r="522" spans="4:9">
      <c r="D522" s="47"/>
      <c r="E522" s="143"/>
      <c r="H522" s="2"/>
      <c r="I522" s="30"/>
    </row>
    <row r="523" spans="4:9">
      <c r="D523" s="47"/>
      <c r="E523" s="143"/>
      <c r="H523" s="2"/>
      <c r="I523" s="30"/>
    </row>
    <row r="524" spans="4:9">
      <c r="D524" s="47"/>
      <c r="E524" s="143"/>
      <c r="H524" s="2"/>
      <c r="I524" s="30"/>
    </row>
    <row r="525" spans="4:9">
      <c r="D525" s="47"/>
      <c r="E525" s="143"/>
      <c r="H525" s="2"/>
      <c r="I525" s="30"/>
    </row>
    <row r="526" spans="4:9">
      <c r="D526" s="47"/>
      <c r="E526" s="143"/>
      <c r="H526" s="2"/>
      <c r="I526" s="30"/>
    </row>
    <row r="527" spans="4:9">
      <c r="D527" s="47"/>
      <c r="E527" s="143"/>
      <c r="H527" s="2"/>
      <c r="I527" s="30"/>
    </row>
    <row r="528" spans="4:9">
      <c r="D528" s="47"/>
      <c r="E528" s="143"/>
      <c r="H528" s="2"/>
      <c r="I528" s="30"/>
    </row>
    <row r="529" spans="4:9">
      <c r="D529" s="47"/>
      <c r="E529" s="143"/>
      <c r="H529" s="2"/>
      <c r="I529" s="30"/>
    </row>
    <row r="530" spans="4:9">
      <c r="D530" s="47"/>
      <c r="E530" s="143"/>
      <c r="H530" s="2"/>
      <c r="I530" s="30"/>
    </row>
    <row r="531" spans="4:9">
      <c r="D531" s="47"/>
      <c r="E531" s="143"/>
      <c r="H531" s="2"/>
      <c r="I531" s="30"/>
    </row>
    <row r="532" spans="4:9">
      <c r="D532" s="47"/>
      <c r="E532" s="143"/>
      <c r="H532" s="2"/>
      <c r="I532" s="30"/>
    </row>
    <row r="533" spans="4:9">
      <c r="D533" s="47"/>
      <c r="E533" s="143"/>
      <c r="H533" s="2"/>
      <c r="I533" s="30"/>
    </row>
    <row r="534" spans="4:9">
      <c r="D534" s="47"/>
      <c r="E534" s="143"/>
      <c r="H534" s="2"/>
      <c r="I534" s="30"/>
    </row>
    <row r="535" spans="4:9">
      <c r="D535" s="47"/>
      <c r="E535" s="143"/>
      <c r="H535" s="2"/>
      <c r="I535" s="30"/>
    </row>
    <row r="536" spans="4:9">
      <c r="D536" s="47"/>
      <c r="E536" s="143"/>
      <c r="H536" s="2"/>
      <c r="I536" s="30"/>
    </row>
    <row r="537" spans="4:9">
      <c r="D537" s="47"/>
      <c r="E537" s="143"/>
      <c r="H537" s="2"/>
      <c r="I537" s="30"/>
    </row>
    <row r="538" spans="4:9">
      <c r="D538" s="47"/>
      <c r="E538" s="143"/>
      <c r="H538" s="2"/>
      <c r="I538" s="30"/>
    </row>
    <row r="539" spans="4:9">
      <c r="D539" s="47"/>
      <c r="E539" s="143"/>
      <c r="H539" s="2"/>
      <c r="I539" s="30"/>
    </row>
    <row r="540" spans="4:9">
      <c r="D540" s="47"/>
      <c r="E540" s="143"/>
      <c r="H540" s="2"/>
      <c r="I540" s="30"/>
    </row>
    <row r="541" spans="4:9">
      <c r="D541" s="47"/>
      <c r="E541" s="143"/>
      <c r="H541" s="2"/>
      <c r="I541" s="30"/>
    </row>
    <row r="542" spans="4:9">
      <c r="D542" s="47"/>
      <c r="E542" s="143"/>
      <c r="H542" s="2"/>
      <c r="I542" s="30"/>
    </row>
    <row r="543" spans="4:9">
      <c r="D543" s="47"/>
      <c r="E543" s="143"/>
      <c r="H543" s="2"/>
      <c r="I543" s="30"/>
    </row>
    <row r="544" spans="4:9">
      <c r="D544" s="47"/>
      <c r="E544" s="143"/>
      <c r="H544" s="2"/>
      <c r="I544" s="30"/>
    </row>
    <row r="545" spans="4:9">
      <c r="D545" s="47"/>
      <c r="E545" s="143"/>
      <c r="H545" s="2"/>
      <c r="I545" s="30"/>
    </row>
    <row r="546" spans="4:9">
      <c r="D546" s="47"/>
      <c r="E546" s="143"/>
      <c r="H546" s="2"/>
      <c r="I546" s="30"/>
    </row>
    <row r="547" spans="4:9">
      <c r="D547" s="47"/>
      <c r="E547" s="143"/>
      <c r="H547" s="2"/>
      <c r="I547" s="30"/>
    </row>
    <row r="548" spans="4:9">
      <c r="D548" s="47"/>
      <c r="E548" s="143"/>
      <c r="H548" s="2"/>
      <c r="I548" s="30"/>
    </row>
    <row r="549" spans="4:9">
      <c r="D549" s="47"/>
      <c r="E549" s="143"/>
      <c r="H549" s="2"/>
      <c r="I549" s="30"/>
    </row>
    <row r="550" spans="4:9">
      <c r="D550" s="47"/>
      <c r="E550" s="143"/>
      <c r="H550" s="2"/>
      <c r="I550" s="30"/>
    </row>
    <row r="551" spans="4:9">
      <c r="D551" s="47"/>
      <c r="E551" s="143"/>
      <c r="H551" s="2"/>
      <c r="I551" s="30"/>
    </row>
    <row r="552" spans="4:9">
      <c r="D552" s="47"/>
      <c r="E552" s="143"/>
      <c r="H552" s="2"/>
      <c r="I552" s="30"/>
    </row>
    <row r="553" spans="4:9">
      <c r="D553" s="47"/>
      <c r="E553" s="143"/>
      <c r="H553" s="2"/>
      <c r="I553" s="30"/>
    </row>
    <row r="554" spans="4:9">
      <c r="D554" s="47"/>
      <c r="E554" s="143"/>
      <c r="H554" s="2"/>
      <c r="I554" s="30"/>
    </row>
    <row r="555" spans="4:9">
      <c r="D555" s="47"/>
      <c r="E555" s="143"/>
      <c r="H555" s="2"/>
      <c r="I555" s="30"/>
    </row>
    <row r="556" spans="4:9">
      <c r="D556" s="47"/>
      <c r="E556" s="143"/>
      <c r="H556" s="2"/>
      <c r="I556" s="30"/>
    </row>
    <row r="557" spans="4:9">
      <c r="D557" s="47"/>
      <c r="E557" s="143"/>
      <c r="H557" s="2"/>
      <c r="I557" s="30"/>
    </row>
    <row r="558" spans="4:9">
      <c r="D558" s="47"/>
      <c r="E558" s="143"/>
      <c r="H558" s="2"/>
      <c r="I558" s="30"/>
    </row>
    <row r="559" spans="4:9">
      <c r="D559" s="47"/>
      <c r="E559" s="143"/>
      <c r="H559" s="2"/>
      <c r="I559" s="30"/>
    </row>
    <row r="560" spans="4:9">
      <c r="D560" s="47"/>
      <c r="E560" s="143"/>
      <c r="H560" s="2"/>
      <c r="I560" s="30"/>
    </row>
    <row r="561" spans="4:9">
      <c r="D561" s="47"/>
      <c r="E561" s="143"/>
      <c r="H561" s="2"/>
      <c r="I561" s="30"/>
    </row>
    <row r="562" spans="4:9">
      <c r="D562" s="47"/>
      <c r="E562" s="143"/>
      <c r="H562" s="2"/>
      <c r="I562" s="30"/>
    </row>
    <row r="563" spans="4:9">
      <c r="D563" s="47"/>
      <c r="E563" s="143"/>
      <c r="H563" s="2"/>
      <c r="I563" s="30"/>
    </row>
    <row r="564" spans="4:9">
      <c r="D564" s="47"/>
      <c r="E564" s="143"/>
      <c r="H564" s="2"/>
      <c r="I564" s="30"/>
    </row>
    <row r="565" spans="4:9">
      <c r="D565" s="47"/>
      <c r="E565" s="143"/>
      <c r="H565" s="2"/>
      <c r="I565" s="30"/>
    </row>
    <row r="566" spans="4:9">
      <c r="D566" s="47"/>
      <c r="E566" s="143"/>
      <c r="H566" s="2"/>
      <c r="I566" s="30"/>
    </row>
    <row r="567" spans="4:9">
      <c r="D567" s="47"/>
      <c r="E567" s="143"/>
      <c r="H567" s="2"/>
      <c r="I567" s="30"/>
    </row>
    <row r="568" spans="4:9">
      <c r="D568" s="47"/>
      <c r="E568" s="143"/>
      <c r="H568" s="2"/>
      <c r="I568" s="30"/>
    </row>
    <row r="569" spans="4:9">
      <c r="D569" s="47"/>
      <c r="E569" s="143"/>
      <c r="H569" s="2"/>
      <c r="I569" s="30"/>
    </row>
    <row r="570" spans="4:9">
      <c r="D570" s="47"/>
      <c r="E570" s="143"/>
      <c r="H570" s="2"/>
      <c r="I570" s="30"/>
    </row>
    <row r="571" spans="4:9">
      <c r="D571" s="47"/>
      <c r="E571" s="143"/>
      <c r="H571" s="2"/>
      <c r="I571" s="30"/>
    </row>
    <row r="572" spans="4:9">
      <c r="D572" s="47"/>
      <c r="E572" s="143"/>
      <c r="H572" s="2"/>
      <c r="I572" s="30"/>
    </row>
    <row r="573" spans="4:9">
      <c r="D573" s="47"/>
      <c r="E573" s="143"/>
      <c r="H573" s="2"/>
      <c r="I573" s="30"/>
    </row>
    <row r="574" spans="4:9">
      <c r="D574" s="47"/>
      <c r="E574" s="143"/>
      <c r="H574" s="2"/>
      <c r="I574" s="30"/>
    </row>
    <row r="575" spans="4:9">
      <c r="D575" s="47"/>
      <c r="E575" s="143"/>
      <c r="H575" s="2"/>
      <c r="I575" s="30"/>
    </row>
    <row r="576" spans="4:9">
      <c r="D576" s="47"/>
      <c r="E576" s="143"/>
      <c r="H576" s="2"/>
      <c r="I576" s="30"/>
    </row>
    <row r="577" spans="4:9">
      <c r="D577" s="47"/>
      <c r="E577" s="143"/>
      <c r="H577" s="2"/>
      <c r="I577" s="30"/>
    </row>
    <row r="578" spans="4:9">
      <c r="D578" s="47"/>
      <c r="E578" s="143"/>
      <c r="H578" s="2"/>
      <c r="I578" s="30"/>
    </row>
    <row r="579" spans="4:9">
      <c r="D579" s="47"/>
      <c r="E579" s="143"/>
      <c r="H579" s="2"/>
      <c r="I579" s="30"/>
    </row>
    <row r="580" spans="4:9">
      <c r="D580" s="47"/>
      <c r="E580" s="143"/>
      <c r="H580" s="2"/>
      <c r="I580" s="30"/>
    </row>
    <row r="581" spans="4:9">
      <c r="D581" s="47"/>
      <c r="E581" s="143"/>
      <c r="H581" s="2"/>
      <c r="I581" s="30"/>
    </row>
    <row r="582" spans="4:9">
      <c r="D582" s="47"/>
      <c r="E582" s="143"/>
      <c r="H582" s="2"/>
      <c r="I582" s="30"/>
    </row>
    <row r="583" spans="4:9">
      <c r="D583" s="47"/>
      <c r="E583" s="143"/>
      <c r="H583" s="2"/>
      <c r="I583" s="30"/>
    </row>
    <row r="584" spans="4:9">
      <c r="D584" s="47"/>
      <c r="E584" s="143"/>
      <c r="H584" s="2"/>
      <c r="I584" s="30"/>
    </row>
    <row r="585" spans="4:9">
      <c r="D585" s="47"/>
      <c r="E585" s="143"/>
      <c r="H585" s="2"/>
      <c r="I585" s="30"/>
    </row>
    <row r="586" spans="4:9">
      <c r="D586" s="47"/>
      <c r="E586" s="143"/>
      <c r="H586" s="2"/>
      <c r="I586" s="30"/>
    </row>
    <row r="587" spans="4:9">
      <c r="D587" s="47"/>
      <c r="E587" s="143"/>
      <c r="H587" s="2"/>
      <c r="I587" s="30"/>
    </row>
    <row r="588" spans="4:9">
      <c r="D588" s="47"/>
      <c r="E588" s="143"/>
      <c r="H588" s="2"/>
      <c r="I588" s="30"/>
    </row>
    <row r="589" spans="4:9">
      <c r="D589" s="47"/>
      <c r="E589" s="143"/>
      <c r="H589" s="2"/>
      <c r="I589" s="30"/>
    </row>
    <row r="590" spans="4:9">
      <c r="D590" s="47"/>
      <c r="E590" s="143"/>
      <c r="H590" s="2"/>
      <c r="I590" s="30"/>
    </row>
    <row r="591" spans="4:9">
      <c r="D591" s="47"/>
      <c r="E591" s="143"/>
      <c r="H591" s="2"/>
      <c r="I591" s="30"/>
    </row>
    <row r="592" spans="4:9">
      <c r="D592" s="47"/>
      <c r="E592" s="143"/>
      <c r="H592" s="2"/>
      <c r="I592" s="30"/>
    </row>
    <row r="593" spans="4:9">
      <c r="D593" s="47"/>
      <c r="E593" s="143"/>
      <c r="H593" s="2"/>
      <c r="I593" s="30"/>
    </row>
    <row r="594" spans="4:9">
      <c r="D594" s="47"/>
      <c r="E594" s="143"/>
      <c r="H594" s="2"/>
      <c r="I594" s="30"/>
    </row>
    <row r="595" spans="4:9">
      <c r="D595" s="47"/>
      <c r="E595" s="143"/>
      <c r="H595" s="2"/>
      <c r="I595" s="30"/>
    </row>
    <row r="596" spans="4:9">
      <c r="D596" s="47"/>
      <c r="E596" s="143"/>
      <c r="H596" s="2"/>
      <c r="I596" s="30"/>
    </row>
    <row r="597" spans="4:9">
      <c r="D597" s="47"/>
      <c r="E597" s="143"/>
      <c r="H597" s="2"/>
      <c r="I597" s="30"/>
    </row>
    <row r="598" spans="4:9">
      <c r="D598" s="47"/>
      <c r="E598" s="143"/>
      <c r="H598" s="2"/>
      <c r="I598" s="30"/>
    </row>
    <row r="599" spans="4:9">
      <c r="D599" s="47"/>
      <c r="E599" s="143"/>
      <c r="H599" s="2"/>
      <c r="I599" s="30"/>
    </row>
    <row r="600" spans="4:9">
      <c r="D600" s="47"/>
      <c r="E600" s="143"/>
      <c r="H600" s="2"/>
      <c r="I600" s="30"/>
    </row>
    <row r="601" spans="4:9">
      <c r="D601" s="47"/>
      <c r="E601" s="143"/>
      <c r="H601" s="2"/>
      <c r="I601" s="30"/>
    </row>
    <row r="602" spans="4:9">
      <c r="D602" s="47"/>
      <c r="E602" s="143"/>
      <c r="H602" s="2"/>
      <c r="I602" s="30"/>
    </row>
    <row r="603" spans="4:9">
      <c r="D603" s="47"/>
      <c r="E603" s="143"/>
      <c r="H603" s="2"/>
      <c r="I603" s="30"/>
    </row>
    <row r="604" spans="4:9">
      <c r="D604" s="47"/>
      <c r="E604" s="143"/>
      <c r="H604" s="2"/>
      <c r="I604" s="30"/>
    </row>
    <row r="605" spans="4:9">
      <c r="D605" s="47"/>
      <c r="E605" s="143"/>
      <c r="H605" s="2"/>
      <c r="I605" s="30"/>
    </row>
    <row r="606" spans="4:9">
      <c r="D606" s="47"/>
      <c r="E606" s="143"/>
      <c r="H606" s="2"/>
      <c r="I606" s="30"/>
    </row>
    <row r="607" spans="4:9">
      <c r="D607" s="47"/>
      <c r="E607" s="143"/>
      <c r="H607" s="2"/>
      <c r="I607" s="30"/>
    </row>
    <row r="608" spans="4:9">
      <c r="D608" s="47"/>
      <c r="E608" s="143"/>
      <c r="H608" s="2"/>
      <c r="I608" s="30"/>
    </row>
    <row r="609" spans="4:9">
      <c r="D609" s="47"/>
      <c r="E609" s="143"/>
      <c r="H609" s="2"/>
      <c r="I609" s="30"/>
    </row>
    <row r="610" spans="4:9">
      <c r="D610" s="47"/>
      <c r="E610" s="143"/>
      <c r="H610" s="2"/>
      <c r="I610" s="30"/>
    </row>
    <row r="611" spans="4:9">
      <c r="D611" s="47"/>
      <c r="E611" s="143"/>
      <c r="H611" s="2"/>
      <c r="I611" s="30"/>
    </row>
    <row r="612" spans="4:9">
      <c r="D612" s="47"/>
      <c r="E612" s="143"/>
      <c r="H612" s="2"/>
      <c r="I612" s="30"/>
    </row>
    <row r="613" spans="4:9">
      <c r="D613" s="47"/>
      <c r="E613" s="143"/>
      <c r="H613" s="2"/>
      <c r="I613" s="30"/>
    </row>
    <row r="614" spans="4:9">
      <c r="D614" s="47"/>
      <c r="E614" s="143"/>
      <c r="H614" s="2"/>
      <c r="I614" s="30"/>
    </row>
    <row r="615" spans="4:9">
      <c r="D615" s="47"/>
      <c r="E615" s="143"/>
      <c r="H615" s="2"/>
      <c r="I615" s="30"/>
    </row>
    <row r="616" spans="4:9">
      <c r="D616" s="47"/>
      <c r="E616" s="143"/>
      <c r="H616" s="2"/>
      <c r="I616" s="30"/>
    </row>
    <row r="617" spans="4:9">
      <c r="D617" s="47"/>
      <c r="E617" s="143"/>
      <c r="H617" s="2"/>
      <c r="I617" s="30"/>
    </row>
    <row r="618" spans="4:9">
      <c r="D618" s="47"/>
      <c r="E618" s="143"/>
      <c r="H618" s="2"/>
      <c r="I618" s="30"/>
    </row>
    <row r="619" spans="4:9">
      <c r="D619" s="47"/>
      <c r="E619" s="143"/>
      <c r="H619" s="2"/>
      <c r="I619" s="30"/>
    </row>
    <row r="620" spans="4:9">
      <c r="D620" s="47"/>
      <c r="E620" s="143"/>
      <c r="H620" s="2"/>
      <c r="I620" s="30"/>
    </row>
    <row r="621" spans="4:9">
      <c r="D621" s="47"/>
      <c r="E621" s="143"/>
      <c r="H621" s="2"/>
      <c r="I621" s="30"/>
    </row>
    <row r="622" spans="4:9">
      <c r="D622" s="47"/>
      <c r="E622" s="143"/>
      <c r="H622" s="2"/>
      <c r="I622" s="30"/>
    </row>
    <row r="623" spans="4:9">
      <c r="D623" s="47"/>
      <c r="E623" s="143"/>
      <c r="H623" s="2"/>
      <c r="I623" s="30"/>
    </row>
    <row r="624" spans="4:9">
      <c r="D624" s="47"/>
      <c r="E624" s="143"/>
      <c r="H624" s="2"/>
      <c r="I624" s="30"/>
    </row>
    <row r="625" spans="4:9">
      <c r="D625" s="47"/>
      <c r="E625" s="143"/>
      <c r="H625" s="2"/>
      <c r="I625" s="30"/>
    </row>
    <row r="626" spans="4:9">
      <c r="D626" s="47"/>
      <c r="E626" s="143"/>
      <c r="H626" s="2"/>
      <c r="I626" s="30"/>
    </row>
    <row r="627" spans="4:9">
      <c r="D627" s="47"/>
      <c r="E627" s="143"/>
      <c r="H627" s="2"/>
      <c r="I627" s="30"/>
    </row>
    <row r="628" spans="4:9">
      <c r="D628" s="47"/>
      <c r="E628" s="143"/>
      <c r="H628" s="2"/>
      <c r="I628" s="30"/>
    </row>
    <row r="629" spans="4:9">
      <c r="D629" s="47"/>
      <c r="E629" s="143"/>
      <c r="H629" s="2"/>
      <c r="I629" s="30"/>
    </row>
    <row r="630" spans="4:9">
      <c r="D630" s="47"/>
      <c r="E630" s="143"/>
      <c r="H630" s="2"/>
      <c r="I630" s="30"/>
    </row>
    <row r="631" spans="4:9">
      <c r="D631" s="47"/>
      <c r="E631" s="143"/>
      <c r="H631" s="2"/>
      <c r="I631" s="30"/>
    </row>
    <row r="632" spans="4:9">
      <c r="D632" s="47"/>
      <c r="E632" s="143"/>
      <c r="H632" s="2"/>
      <c r="I632" s="30"/>
    </row>
    <row r="633" spans="4:9">
      <c r="D633" s="47"/>
      <c r="E633" s="143"/>
      <c r="H633" s="2"/>
      <c r="I633" s="30"/>
    </row>
    <row r="634" spans="4:9">
      <c r="D634" s="47"/>
      <c r="E634" s="143"/>
      <c r="H634" s="2"/>
      <c r="I634" s="30"/>
    </row>
    <row r="635" spans="4:9">
      <c r="D635" s="47"/>
      <c r="E635" s="143"/>
      <c r="H635" s="2"/>
      <c r="I635" s="30"/>
    </row>
    <row r="636" spans="4:9">
      <c r="D636" s="47"/>
      <c r="E636" s="143"/>
      <c r="H636" s="2"/>
      <c r="I636" s="30"/>
    </row>
    <row r="637" spans="4:9">
      <c r="D637" s="47"/>
      <c r="E637" s="143"/>
      <c r="H637" s="2"/>
      <c r="I637" s="30"/>
    </row>
    <row r="638" spans="4:9">
      <c r="D638" s="47"/>
      <c r="E638" s="143"/>
      <c r="H638" s="2"/>
      <c r="I638" s="30"/>
    </row>
    <row r="639" spans="4:9">
      <c r="D639" s="47"/>
      <c r="E639" s="143"/>
      <c r="H639" s="2"/>
      <c r="I639" s="30"/>
    </row>
    <row r="640" spans="4:9">
      <c r="D640" s="47"/>
      <c r="E640" s="143"/>
      <c r="H640" s="2"/>
      <c r="I640" s="30"/>
    </row>
    <row r="641" spans="4:9">
      <c r="D641" s="47"/>
      <c r="E641" s="143"/>
      <c r="H641" s="2"/>
      <c r="I641" s="30"/>
    </row>
    <row r="642" spans="4:9">
      <c r="D642" s="47"/>
      <c r="E642" s="143"/>
      <c r="H642" s="2"/>
      <c r="I642" s="30"/>
    </row>
    <row r="643" spans="4:9">
      <c r="D643" s="47"/>
      <c r="E643" s="143"/>
      <c r="H643" s="2"/>
      <c r="I643" s="30"/>
    </row>
    <row r="644" spans="4:9">
      <c r="D644" s="47"/>
      <c r="E644" s="143"/>
      <c r="H644" s="2"/>
      <c r="I644" s="30"/>
    </row>
    <row r="645" spans="4:9">
      <c r="D645" s="47"/>
      <c r="E645" s="143"/>
      <c r="H645" s="2"/>
      <c r="I645" s="30"/>
    </row>
    <row r="646" spans="4:9">
      <c r="D646" s="47"/>
      <c r="E646" s="143"/>
      <c r="H646" s="2"/>
      <c r="I646" s="30"/>
    </row>
    <row r="647" spans="4:9">
      <c r="D647" s="47"/>
      <c r="E647" s="143"/>
      <c r="H647" s="2"/>
      <c r="I647" s="30"/>
    </row>
    <row r="648" spans="4:9">
      <c r="D648" s="47"/>
      <c r="E648" s="143"/>
      <c r="H648" s="2"/>
      <c r="I648" s="30"/>
    </row>
    <row r="649" spans="4:9">
      <c r="D649" s="47"/>
      <c r="E649" s="143"/>
      <c r="H649" s="2"/>
      <c r="I649" s="30"/>
    </row>
    <row r="650" spans="4:9">
      <c r="D650" s="47"/>
      <c r="E650" s="143"/>
      <c r="H650" s="2"/>
      <c r="I650" s="30"/>
    </row>
    <row r="651" spans="4:9">
      <c r="D651" s="47"/>
      <c r="E651" s="143"/>
      <c r="H651" s="2"/>
      <c r="I651" s="30"/>
    </row>
    <row r="652" spans="4:9">
      <c r="D652" s="47"/>
      <c r="E652" s="143"/>
      <c r="H652" s="2"/>
      <c r="I652" s="30"/>
    </row>
    <row r="653" spans="4:9">
      <c r="D653" s="47"/>
      <c r="E653" s="143"/>
      <c r="H653" s="2"/>
      <c r="I653" s="30"/>
    </row>
    <row r="654" spans="4:9">
      <c r="D654" s="47"/>
      <c r="E654" s="143"/>
      <c r="H654" s="2"/>
      <c r="I654" s="30"/>
    </row>
    <row r="655" spans="4:9">
      <c r="D655" s="47"/>
      <c r="E655" s="143"/>
      <c r="H655" s="2"/>
      <c r="I655" s="30"/>
    </row>
    <row r="656" spans="4:9">
      <c r="D656" s="47"/>
      <c r="E656" s="143"/>
      <c r="H656" s="2"/>
      <c r="I656" s="30"/>
    </row>
    <row r="657" spans="4:9">
      <c r="D657" s="47"/>
      <c r="E657" s="143"/>
      <c r="H657" s="2"/>
      <c r="I657" s="30"/>
    </row>
    <row r="658" spans="4:9">
      <c r="D658" s="47"/>
      <c r="E658" s="143"/>
      <c r="H658" s="2"/>
      <c r="I658" s="30"/>
    </row>
    <row r="659" spans="4:9">
      <c r="D659" s="47"/>
      <c r="E659" s="143"/>
      <c r="H659" s="2"/>
      <c r="I659" s="30"/>
    </row>
    <row r="660" spans="4:9">
      <c r="D660" s="47"/>
      <c r="E660" s="143"/>
      <c r="H660" s="2"/>
      <c r="I660" s="30"/>
    </row>
    <row r="661" spans="4:9">
      <c r="D661" s="47"/>
      <c r="E661" s="143"/>
      <c r="H661" s="2"/>
      <c r="I661" s="30"/>
    </row>
    <row r="662" spans="4:9">
      <c r="D662" s="47"/>
      <c r="E662" s="143"/>
      <c r="H662" s="2"/>
      <c r="I662" s="30"/>
    </row>
    <row r="663" spans="4:9">
      <c r="D663" s="47"/>
      <c r="E663" s="143"/>
      <c r="H663" s="2"/>
      <c r="I663" s="30"/>
    </row>
    <row r="664" spans="4:9">
      <c r="D664" s="47"/>
      <c r="E664" s="143"/>
      <c r="H664" s="2"/>
      <c r="I664" s="30"/>
    </row>
    <row r="665" spans="4:9">
      <c r="D665" s="47"/>
      <c r="E665" s="143"/>
      <c r="H665" s="2"/>
      <c r="I665" s="30"/>
    </row>
    <row r="666" spans="4:9">
      <c r="D666" s="47"/>
      <c r="E666" s="143"/>
      <c r="H666" s="2"/>
      <c r="I666" s="30"/>
    </row>
    <row r="667" spans="4:9">
      <c r="D667" s="47"/>
      <c r="E667" s="143"/>
      <c r="H667" s="2"/>
      <c r="I667" s="30"/>
    </row>
    <row r="668" spans="4:9">
      <c r="D668" s="47"/>
      <c r="E668" s="143"/>
      <c r="H668" s="2"/>
      <c r="I668" s="30"/>
    </row>
    <row r="669" spans="4:9">
      <c r="D669" s="47"/>
      <c r="E669" s="143"/>
      <c r="H669" s="2"/>
      <c r="I669" s="30"/>
    </row>
    <row r="670" spans="4:9">
      <c r="D670" s="47"/>
      <c r="E670" s="143"/>
      <c r="H670" s="2"/>
      <c r="I670" s="30"/>
    </row>
    <row r="671" spans="4:9">
      <c r="D671" s="47"/>
      <c r="E671" s="143"/>
      <c r="H671" s="2"/>
      <c r="I671" s="30"/>
    </row>
    <row r="672" spans="4:9">
      <c r="D672" s="47"/>
      <c r="E672" s="143"/>
      <c r="H672" s="2"/>
      <c r="I672" s="30"/>
    </row>
    <row r="673" spans="4:9">
      <c r="D673" s="47"/>
      <c r="E673" s="143"/>
      <c r="H673" s="2"/>
      <c r="I673" s="30"/>
    </row>
    <row r="674" spans="4:9">
      <c r="D674" s="47"/>
      <c r="E674" s="143"/>
      <c r="H674" s="2"/>
      <c r="I674" s="30"/>
    </row>
    <row r="675" spans="4:9">
      <c r="D675" s="47"/>
      <c r="E675" s="143"/>
      <c r="H675" s="2"/>
      <c r="I675" s="30"/>
    </row>
    <row r="676" spans="4:9">
      <c r="D676" s="47"/>
      <c r="E676" s="143"/>
      <c r="H676" s="2"/>
      <c r="I676" s="30"/>
    </row>
    <row r="677" spans="4:9">
      <c r="D677" s="47"/>
      <c r="E677" s="143"/>
      <c r="H677" s="2"/>
      <c r="I677" s="30"/>
    </row>
    <row r="678" spans="4:9">
      <c r="D678" s="47"/>
      <c r="E678" s="143"/>
      <c r="H678" s="2"/>
      <c r="I678" s="30"/>
    </row>
    <row r="679" spans="4:9">
      <c r="D679" s="47"/>
      <c r="E679" s="143"/>
      <c r="H679" s="2"/>
      <c r="I679" s="30"/>
    </row>
    <row r="680" spans="4:9">
      <c r="D680" s="47"/>
      <c r="E680" s="143"/>
      <c r="H680" s="2"/>
      <c r="I680" s="30"/>
    </row>
    <row r="681" spans="4:9">
      <c r="D681" s="47"/>
      <c r="E681" s="143"/>
      <c r="H681" s="2"/>
      <c r="I681" s="30"/>
    </row>
    <row r="682" spans="4:9">
      <c r="D682" s="47"/>
      <c r="E682" s="143"/>
      <c r="H682" s="2"/>
      <c r="I682" s="30"/>
    </row>
    <row r="683" spans="4:9">
      <c r="D683" s="47"/>
      <c r="E683" s="143"/>
      <c r="H683" s="2"/>
      <c r="I683" s="30"/>
    </row>
    <row r="684" spans="4:9">
      <c r="D684" s="47"/>
      <c r="E684" s="143"/>
      <c r="H684" s="2"/>
      <c r="I684" s="30"/>
    </row>
    <row r="685" spans="4:9">
      <c r="D685" s="47"/>
      <c r="E685" s="143"/>
      <c r="H685" s="2"/>
      <c r="I685" s="30"/>
    </row>
    <row r="686" spans="4:9">
      <c r="D686" s="47"/>
      <c r="E686" s="143"/>
      <c r="H686" s="2"/>
      <c r="I686" s="30"/>
    </row>
    <row r="687" spans="4:9">
      <c r="D687" s="47"/>
      <c r="E687" s="143"/>
      <c r="H687" s="2"/>
      <c r="I687" s="30"/>
    </row>
    <row r="688" spans="4:9">
      <c r="D688" s="47"/>
      <c r="E688" s="143"/>
      <c r="H688" s="2"/>
      <c r="I688" s="30"/>
    </row>
    <row r="689" spans="4:9">
      <c r="D689" s="47"/>
      <c r="E689" s="143"/>
      <c r="H689" s="2"/>
      <c r="I689" s="30"/>
    </row>
    <row r="690" spans="4:9">
      <c r="D690" s="47"/>
      <c r="E690" s="143"/>
      <c r="H690" s="2"/>
      <c r="I690" s="30"/>
    </row>
    <row r="691" spans="4:9">
      <c r="D691" s="47"/>
      <c r="E691" s="143"/>
      <c r="H691" s="2"/>
      <c r="I691" s="30"/>
    </row>
    <row r="692" spans="4:9">
      <c r="D692" s="47"/>
      <c r="E692" s="143"/>
      <c r="H692" s="2"/>
      <c r="I692" s="30"/>
    </row>
    <row r="693" spans="4:9">
      <c r="D693" s="47"/>
      <c r="E693" s="143"/>
      <c r="H693" s="2"/>
      <c r="I693" s="30"/>
    </row>
    <row r="694" spans="4:9">
      <c r="D694" s="47"/>
      <c r="E694" s="143"/>
      <c r="H694" s="2"/>
      <c r="I694" s="30"/>
    </row>
    <row r="695" spans="4:9">
      <c r="D695" s="47"/>
      <c r="E695" s="143"/>
      <c r="H695" s="2"/>
      <c r="I695" s="30"/>
    </row>
    <row r="696" spans="4:9">
      <c r="D696" s="47"/>
      <c r="E696" s="143"/>
      <c r="H696" s="2"/>
      <c r="I696" s="30"/>
    </row>
    <row r="697" spans="4:9">
      <c r="D697" s="47"/>
      <c r="E697" s="143"/>
      <c r="H697" s="2"/>
      <c r="I697" s="30"/>
    </row>
    <row r="698" spans="4:9">
      <c r="D698" s="47"/>
      <c r="E698" s="143"/>
      <c r="H698" s="2"/>
      <c r="I698" s="30"/>
    </row>
    <row r="699" spans="4:9">
      <c r="D699" s="47"/>
      <c r="E699" s="143"/>
      <c r="H699" s="2"/>
      <c r="I699" s="30"/>
    </row>
    <row r="700" spans="4:9">
      <c r="D700" s="47"/>
      <c r="E700" s="143"/>
      <c r="H700" s="2"/>
      <c r="I700" s="30"/>
    </row>
    <row r="701" spans="4:9">
      <c r="D701" s="47"/>
      <c r="E701" s="143"/>
      <c r="H701" s="2"/>
      <c r="I701" s="30"/>
    </row>
    <row r="702" spans="4:9">
      <c r="D702" s="47"/>
      <c r="E702" s="143"/>
      <c r="H702" s="2"/>
      <c r="I702" s="30"/>
    </row>
    <row r="703" spans="4:9">
      <c r="D703" s="47"/>
      <c r="E703" s="143"/>
      <c r="H703" s="2"/>
      <c r="I703" s="30"/>
    </row>
    <row r="704" spans="4:9">
      <c r="D704" s="47"/>
      <c r="E704" s="143"/>
      <c r="H704" s="2"/>
      <c r="I704" s="30"/>
    </row>
    <row r="705" spans="4:9">
      <c r="D705" s="47"/>
      <c r="E705" s="143"/>
      <c r="H705" s="2"/>
      <c r="I705" s="30"/>
    </row>
    <row r="706" spans="4:9">
      <c r="D706" s="47"/>
      <c r="E706" s="143"/>
      <c r="H706" s="2"/>
      <c r="I706" s="30"/>
    </row>
    <row r="707" spans="4:9">
      <c r="D707" s="47"/>
      <c r="E707" s="143"/>
      <c r="H707" s="2"/>
      <c r="I707" s="30"/>
    </row>
    <row r="708" spans="4:9">
      <c r="D708" s="47"/>
      <c r="E708" s="143"/>
      <c r="H708" s="2"/>
      <c r="I708" s="30"/>
    </row>
    <row r="709" spans="4:9">
      <c r="D709" s="47"/>
      <c r="E709" s="143"/>
      <c r="H709" s="2"/>
      <c r="I709" s="30"/>
    </row>
    <row r="710" spans="4:9">
      <c r="D710" s="47"/>
      <c r="E710" s="143"/>
      <c r="H710" s="2"/>
      <c r="I710" s="30"/>
    </row>
    <row r="711" spans="4:9">
      <c r="D711" s="47"/>
      <c r="E711" s="143"/>
      <c r="H711" s="2"/>
      <c r="I711" s="30"/>
    </row>
    <row r="712" spans="4:9">
      <c r="D712" s="47"/>
      <c r="E712" s="143"/>
      <c r="H712" s="2"/>
      <c r="I712" s="30"/>
    </row>
    <row r="713" spans="4:9">
      <c r="D713" s="47"/>
      <c r="E713" s="143"/>
      <c r="H713" s="2"/>
      <c r="I713" s="30"/>
    </row>
    <row r="714" spans="4:9">
      <c r="D714" s="47"/>
      <c r="E714" s="143"/>
      <c r="H714" s="2"/>
      <c r="I714" s="30"/>
    </row>
    <row r="715" spans="4:9">
      <c r="D715" s="47"/>
      <c r="E715" s="143"/>
      <c r="H715" s="2"/>
      <c r="I715" s="30"/>
    </row>
    <row r="716" spans="4:9">
      <c r="D716" s="47"/>
      <c r="E716" s="143"/>
      <c r="H716" s="2"/>
      <c r="I716" s="30"/>
    </row>
    <row r="717" spans="4:9">
      <c r="D717" s="47"/>
      <c r="E717" s="143"/>
      <c r="H717" s="2"/>
      <c r="I717" s="30"/>
    </row>
    <row r="718" spans="4:9">
      <c r="D718" s="47"/>
      <c r="E718" s="143"/>
      <c r="H718" s="2"/>
      <c r="I718" s="30"/>
    </row>
    <row r="719" spans="4:9">
      <c r="D719" s="47"/>
      <c r="E719" s="143"/>
      <c r="H719" s="2"/>
      <c r="I719" s="30"/>
    </row>
    <row r="720" spans="4:9">
      <c r="D720" s="47"/>
      <c r="E720" s="143"/>
      <c r="H720" s="2"/>
      <c r="I720" s="30"/>
    </row>
    <row r="721" spans="4:9">
      <c r="D721" s="47"/>
      <c r="E721" s="143"/>
      <c r="H721" s="2"/>
      <c r="I721" s="30"/>
    </row>
    <row r="722" spans="4:9">
      <c r="D722" s="47"/>
      <c r="E722" s="143"/>
      <c r="H722" s="2"/>
      <c r="I722" s="30"/>
    </row>
    <row r="723" spans="4:9">
      <c r="D723" s="47"/>
      <c r="E723" s="143"/>
      <c r="H723" s="2"/>
      <c r="I723" s="30"/>
    </row>
    <row r="724" spans="4:9">
      <c r="D724" s="47"/>
      <c r="E724" s="143"/>
      <c r="H724" s="2"/>
      <c r="I724" s="30"/>
    </row>
    <row r="725" spans="4:9">
      <c r="D725" s="47"/>
      <c r="E725" s="143"/>
      <c r="H725" s="2"/>
      <c r="I725" s="30"/>
    </row>
    <row r="726" spans="4:9">
      <c r="D726" s="47"/>
      <c r="E726" s="143"/>
      <c r="H726" s="2"/>
      <c r="I726" s="30"/>
    </row>
    <row r="727" spans="4:9">
      <c r="D727" s="47"/>
      <c r="E727" s="143"/>
      <c r="H727" s="2"/>
      <c r="I727" s="30"/>
    </row>
    <row r="728" spans="4:9">
      <c r="D728" s="47"/>
      <c r="E728" s="143"/>
      <c r="H728" s="2"/>
      <c r="I728" s="30"/>
    </row>
    <row r="729" spans="4:9">
      <c r="D729" s="47"/>
      <c r="E729" s="143"/>
      <c r="H729" s="2"/>
      <c r="I729" s="30"/>
    </row>
    <row r="730" spans="4:9">
      <c r="D730" s="47"/>
      <c r="E730" s="143"/>
      <c r="H730" s="2"/>
      <c r="I730" s="30"/>
    </row>
    <row r="731" spans="4:9">
      <c r="D731" s="47"/>
      <c r="E731" s="143"/>
      <c r="H731" s="2"/>
      <c r="I731" s="30"/>
    </row>
    <row r="732" spans="4:9">
      <c r="D732" s="47"/>
      <c r="E732" s="143"/>
      <c r="H732" s="2"/>
      <c r="I732" s="30"/>
    </row>
    <row r="733" spans="4:9">
      <c r="D733" s="47"/>
      <c r="E733" s="143"/>
      <c r="H733" s="2"/>
      <c r="I733" s="30"/>
    </row>
    <row r="734" spans="4:9">
      <c r="D734" s="47"/>
      <c r="E734" s="143"/>
      <c r="H734" s="2"/>
      <c r="I734" s="30"/>
    </row>
    <row r="735" spans="4:9">
      <c r="D735" s="47"/>
      <c r="E735" s="143"/>
      <c r="H735" s="2"/>
      <c r="I735" s="30"/>
    </row>
    <row r="736" spans="4:9">
      <c r="D736" s="47"/>
      <c r="E736" s="143"/>
      <c r="H736" s="2"/>
      <c r="I736" s="30"/>
    </row>
    <row r="737" spans="4:9">
      <c r="D737" s="47"/>
      <c r="E737" s="143"/>
      <c r="H737" s="2"/>
      <c r="I737" s="30"/>
    </row>
    <row r="738" spans="4:9">
      <c r="D738" s="47"/>
      <c r="E738" s="143"/>
      <c r="H738" s="2"/>
      <c r="I738" s="30"/>
    </row>
    <row r="739" spans="4:9">
      <c r="D739" s="47"/>
      <c r="E739" s="143"/>
      <c r="H739" s="2"/>
      <c r="I739" s="30"/>
    </row>
    <row r="740" spans="4:9">
      <c r="D740" s="47"/>
      <c r="E740" s="143"/>
      <c r="H740" s="2"/>
      <c r="I740" s="30"/>
    </row>
    <row r="741" spans="4:9">
      <c r="D741" s="47"/>
      <c r="E741" s="143"/>
      <c r="H741" s="2"/>
      <c r="I741" s="30"/>
    </row>
    <row r="742" spans="4:9">
      <c r="D742" s="47"/>
      <c r="E742" s="143"/>
      <c r="H742" s="2"/>
      <c r="I742" s="30"/>
    </row>
    <row r="743" spans="4:9">
      <c r="D743" s="47"/>
      <c r="E743" s="143"/>
      <c r="H743" s="2"/>
      <c r="I743" s="30"/>
    </row>
    <row r="744" spans="4:9">
      <c r="D744" s="47"/>
      <c r="E744" s="143"/>
      <c r="H744" s="2"/>
      <c r="I744" s="30"/>
    </row>
    <row r="745" spans="4:9">
      <c r="D745" s="47"/>
      <c r="E745" s="143"/>
      <c r="H745" s="2"/>
      <c r="I745" s="30"/>
    </row>
    <row r="746" spans="4:9">
      <c r="D746" s="47"/>
      <c r="E746" s="143"/>
      <c r="H746" s="2"/>
      <c r="I746" s="30"/>
    </row>
    <row r="747" spans="4:9">
      <c r="D747" s="47"/>
      <c r="E747" s="143"/>
      <c r="H747" s="2"/>
      <c r="I747" s="30"/>
    </row>
    <row r="748" spans="4:9">
      <c r="D748" s="47"/>
      <c r="E748" s="143"/>
      <c r="H748" s="2"/>
      <c r="I748" s="30"/>
    </row>
    <row r="749" spans="4:9">
      <c r="D749" s="47"/>
      <c r="E749" s="143"/>
      <c r="H749" s="2"/>
      <c r="I749" s="30"/>
    </row>
    <row r="750" spans="4:9">
      <c r="D750" s="47"/>
      <c r="E750" s="143"/>
      <c r="H750" s="2"/>
      <c r="I750" s="30"/>
    </row>
    <row r="751" spans="4:9">
      <c r="D751" s="47"/>
      <c r="E751" s="143"/>
      <c r="H751" s="2"/>
      <c r="I751" s="30"/>
    </row>
    <row r="752" spans="4:9">
      <c r="D752" s="47"/>
      <c r="E752" s="143"/>
      <c r="H752" s="2"/>
      <c r="I752" s="30"/>
    </row>
    <row r="753" spans="4:9">
      <c r="D753" s="47"/>
      <c r="E753" s="143"/>
      <c r="H753" s="2"/>
      <c r="I753" s="30"/>
    </row>
    <row r="754" spans="4:9">
      <c r="D754" s="47"/>
      <c r="E754" s="143"/>
      <c r="H754" s="2"/>
      <c r="I754" s="30"/>
    </row>
    <row r="755" spans="4:9">
      <c r="D755" s="47"/>
      <c r="E755" s="143"/>
      <c r="H755" s="2"/>
      <c r="I755" s="30"/>
    </row>
    <row r="756" spans="4:9">
      <c r="D756" s="47"/>
      <c r="E756" s="143"/>
      <c r="H756" s="2"/>
      <c r="I756" s="30"/>
    </row>
    <row r="757" spans="4:9">
      <c r="D757" s="47"/>
      <c r="E757" s="143"/>
      <c r="H757" s="2"/>
      <c r="I757" s="30"/>
    </row>
    <row r="758" spans="4:9">
      <c r="D758" s="47"/>
      <c r="E758" s="143"/>
      <c r="H758" s="2"/>
      <c r="I758" s="30"/>
    </row>
    <row r="759" spans="4:9">
      <c r="D759" s="47"/>
      <c r="E759" s="143"/>
      <c r="H759" s="2"/>
      <c r="I759" s="30"/>
    </row>
    <row r="760" spans="4:9">
      <c r="D760" s="47"/>
      <c r="E760" s="143"/>
      <c r="H760" s="2"/>
      <c r="I760" s="30"/>
    </row>
    <row r="761" spans="4:9">
      <c r="D761" s="47"/>
      <c r="E761" s="143"/>
      <c r="H761" s="2"/>
      <c r="I761" s="30"/>
    </row>
    <row r="762" spans="4:9">
      <c r="D762" s="47"/>
      <c r="E762" s="143"/>
      <c r="H762" s="2"/>
      <c r="I762" s="30"/>
    </row>
    <row r="763" spans="4:9">
      <c r="D763" s="47"/>
      <c r="E763" s="143"/>
      <c r="H763" s="2"/>
      <c r="I763" s="30"/>
    </row>
    <row r="764" spans="4:9">
      <c r="D764" s="47"/>
      <c r="E764" s="143"/>
      <c r="H764" s="2"/>
      <c r="I764" s="30"/>
    </row>
    <row r="765" spans="4:9">
      <c r="D765" s="47"/>
      <c r="E765" s="143"/>
      <c r="H765" s="2"/>
      <c r="I765" s="30"/>
    </row>
    <row r="766" spans="4:9">
      <c r="D766" s="47"/>
      <c r="E766" s="143"/>
      <c r="H766" s="2"/>
      <c r="I766" s="30"/>
    </row>
    <row r="767" spans="4:9">
      <c r="D767" s="47"/>
      <c r="E767" s="143"/>
      <c r="H767" s="2"/>
      <c r="I767" s="30"/>
    </row>
    <row r="768" spans="4:9">
      <c r="D768" s="47"/>
      <c r="E768" s="143"/>
      <c r="H768" s="2"/>
      <c r="I768" s="30"/>
    </row>
    <row r="769" spans="4:9">
      <c r="D769" s="47"/>
      <c r="E769" s="143"/>
      <c r="H769" s="2"/>
      <c r="I769" s="30"/>
    </row>
    <row r="770" spans="4:9">
      <c r="D770" s="47"/>
      <c r="E770" s="143"/>
      <c r="H770" s="2"/>
      <c r="I770" s="30"/>
    </row>
    <row r="771" spans="4:9">
      <c r="D771" s="47"/>
      <c r="E771" s="143"/>
      <c r="H771" s="2"/>
      <c r="I771" s="30"/>
    </row>
    <row r="772" spans="4:9">
      <c r="D772" s="47"/>
      <c r="E772" s="143"/>
      <c r="H772" s="2"/>
      <c r="I772" s="30"/>
    </row>
    <row r="773" spans="4:9">
      <c r="D773" s="47"/>
      <c r="E773" s="143"/>
      <c r="H773" s="2"/>
      <c r="I773" s="30"/>
    </row>
    <row r="774" spans="4:9">
      <c r="D774" s="47"/>
      <c r="E774" s="143"/>
      <c r="H774" s="2"/>
      <c r="I774" s="30"/>
    </row>
    <row r="775" spans="4:9">
      <c r="D775" s="47"/>
      <c r="E775" s="143"/>
      <c r="H775" s="2"/>
      <c r="I775" s="30"/>
    </row>
    <row r="776" spans="4:9">
      <c r="D776" s="47"/>
      <c r="E776" s="143"/>
      <c r="H776" s="2"/>
      <c r="I776" s="30"/>
    </row>
    <row r="777" spans="4:9">
      <c r="D777" s="47"/>
      <c r="E777" s="143"/>
      <c r="H777" s="2"/>
      <c r="I777" s="30"/>
    </row>
    <row r="778" spans="4:9">
      <c r="D778" s="47"/>
      <c r="E778" s="143"/>
      <c r="H778" s="2"/>
      <c r="I778" s="30"/>
    </row>
    <row r="779" spans="4:9">
      <c r="D779" s="47"/>
      <c r="E779" s="143"/>
      <c r="H779" s="2"/>
      <c r="I779" s="30"/>
    </row>
    <row r="780" spans="4:9">
      <c r="D780" s="47"/>
      <c r="E780" s="143"/>
      <c r="H780" s="2"/>
      <c r="I780" s="30"/>
    </row>
    <row r="781" spans="4:9">
      <c r="D781" s="47"/>
      <c r="E781" s="143"/>
      <c r="H781" s="2"/>
      <c r="I781" s="30"/>
    </row>
    <row r="782" spans="4:9">
      <c r="D782" s="47"/>
      <c r="E782" s="143"/>
      <c r="H782" s="2"/>
      <c r="I782" s="30"/>
    </row>
    <row r="783" spans="4:9">
      <c r="D783" s="47"/>
      <c r="E783" s="143"/>
      <c r="H783" s="2"/>
      <c r="I783" s="30"/>
    </row>
    <row r="784" spans="4:9">
      <c r="D784" s="47"/>
      <c r="E784" s="143"/>
      <c r="H784" s="2"/>
      <c r="I784" s="30"/>
    </row>
    <row r="785" spans="4:9">
      <c r="D785" s="47"/>
      <c r="E785" s="143"/>
      <c r="H785" s="2"/>
      <c r="I785" s="30"/>
    </row>
    <row r="786" spans="4:9">
      <c r="D786" s="47"/>
      <c r="E786" s="143"/>
      <c r="H786" s="2"/>
      <c r="I786" s="30"/>
    </row>
    <row r="787" spans="4:9">
      <c r="D787" s="47"/>
      <c r="E787" s="143"/>
      <c r="H787" s="2"/>
      <c r="I787" s="30"/>
    </row>
    <row r="788" spans="4:9">
      <c r="D788" s="47"/>
      <c r="E788" s="143"/>
      <c r="H788" s="2"/>
      <c r="I788" s="30"/>
    </row>
    <row r="789" spans="4:9">
      <c r="D789" s="47"/>
      <c r="E789" s="143"/>
      <c r="H789" s="2"/>
      <c r="I789" s="30"/>
    </row>
    <row r="790" spans="4:9">
      <c r="D790" s="47"/>
      <c r="E790" s="143"/>
      <c r="H790" s="2"/>
      <c r="I790" s="30"/>
    </row>
    <row r="791" spans="4:9">
      <c r="D791" s="47"/>
      <c r="E791" s="143"/>
      <c r="H791" s="2"/>
      <c r="I791" s="30"/>
    </row>
    <row r="792" spans="4:9">
      <c r="D792" s="47"/>
      <c r="E792" s="143"/>
      <c r="H792" s="2"/>
      <c r="I792" s="30"/>
    </row>
    <row r="793" spans="4:9">
      <c r="D793" s="47"/>
      <c r="E793" s="143"/>
      <c r="H793" s="2"/>
      <c r="I793" s="30"/>
    </row>
    <row r="794" spans="4:9">
      <c r="D794" s="47"/>
      <c r="E794" s="143"/>
      <c r="H794" s="2"/>
      <c r="I794" s="30"/>
    </row>
    <row r="795" spans="4:9">
      <c r="D795" s="47"/>
      <c r="E795" s="143"/>
      <c r="H795" s="2"/>
      <c r="I795" s="30"/>
    </row>
    <row r="796" spans="4:9">
      <c r="D796" s="47"/>
      <c r="E796" s="143"/>
      <c r="H796" s="2"/>
      <c r="I796" s="30"/>
    </row>
    <row r="797" spans="4:9">
      <c r="D797" s="47"/>
      <c r="E797" s="143"/>
      <c r="H797" s="2"/>
      <c r="I797" s="30"/>
    </row>
    <row r="798" spans="4:9">
      <c r="D798" s="47"/>
      <c r="E798" s="143"/>
      <c r="H798" s="2"/>
      <c r="I798" s="30"/>
    </row>
    <row r="799" spans="4:9">
      <c r="D799" s="47"/>
      <c r="E799" s="143"/>
      <c r="H799" s="2"/>
      <c r="I799" s="30"/>
    </row>
    <row r="800" spans="4:9">
      <c r="D800" s="47"/>
      <c r="E800" s="143"/>
      <c r="H800" s="2"/>
      <c r="I800" s="30"/>
    </row>
    <row r="801" spans="4:9">
      <c r="D801" s="47"/>
      <c r="E801" s="143"/>
      <c r="H801" s="2"/>
      <c r="I801" s="30"/>
    </row>
    <row r="802" spans="4:9">
      <c r="D802" s="47"/>
      <c r="E802" s="143"/>
      <c r="H802" s="2"/>
      <c r="I802" s="30"/>
    </row>
    <row r="803" spans="4:9">
      <c r="D803" s="47"/>
      <c r="E803" s="143"/>
      <c r="H803" s="2"/>
      <c r="I803" s="30"/>
    </row>
    <row r="804" spans="4:9">
      <c r="D804" s="47"/>
      <c r="E804" s="143"/>
      <c r="H804" s="2"/>
      <c r="I804" s="30"/>
    </row>
    <row r="805" spans="4:9">
      <c r="D805" s="47"/>
      <c r="E805" s="143"/>
      <c r="H805" s="2"/>
      <c r="I805" s="30"/>
    </row>
    <row r="806" spans="4:9">
      <c r="D806" s="47"/>
      <c r="E806" s="143"/>
      <c r="H806" s="2"/>
      <c r="I806" s="30"/>
    </row>
    <row r="807" spans="4:9">
      <c r="D807" s="47"/>
      <c r="E807" s="143"/>
      <c r="H807" s="2"/>
      <c r="I807" s="30"/>
    </row>
    <row r="808" spans="4:9">
      <c r="D808" s="47"/>
      <c r="E808" s="143"/>
      <c r="H808" s="2"/>
      <c r="I808" s="30"/>
    </row>
    <row r="809" spans="4:9">
      <c r="D809" s="47"/>
      <c r="E809" s="143"/>
      <c r="H809" s="2"/>
      <c r="I809" s="30"/>
    </row>
    <row r="810" spans="4:9">
      <c r="D810" s="47"/>
      <c r="E810" s="143"/>
      <c r="H810" s="2"/>
      <c r="I810" s="30"/>
    </row>
    <row r="811" spans="4:9">
      <c r="D811" s="47"/>
      <c r="E811" s="143"/>
      <c r="H811" s="2"/>
      <c r="I811" s="30"/>
    </row>
    <row r="812" spans="4:9">
      <c r="D812" s="47"/>
      <c r="E812" s="143"/>
      <c r="H812" s="2"/>
      <c r="I812" s="30"/>
    </row>
    <row r="813" spans="4:9">
      <c r="D813" s="47"/>
      <c r="E813" s="143"/>
      <c r="H813" s="2"/>
      <c r="I813" s="30"/>
    </row>
    <row r="814" spans="4:9">
      <c r="D814" s="47"/>
      <c r="E814" s="143"/>
      <c r="H814" s="2"/>
      <c r="I814" s="30"/>
    </row>
    <row r="815" spans="4:9">
      <c r="D815" s="47"/>
      <c r="E815" s="143"/>
      <c r="H815" s="2"/>
      <c r="I815" s="30"/>
    </row>
    <row r="816" spans="4:9">
      <c r="D816" s="47"/>
      <c r="E816" s="143"/>
      <c r="H816" s="2"/>
      <c r="I816" s="30"/>
    </row>
    <row r="817" spans="4:9">
      <c r="D817" s="47"/>
      <c r="E817" s="143"/>
      <c r="H817" s="2"/>
      <c r="I817" s="30"/>
    </row>
    <row r="818" spans="4:9">
      <c r="D818" s="47"/>
      <c r="E818" s="143"/>
      <c r="H818" s="2"/>
      <c r="I818" s="30"/>
    </row>
    <row r="819" spans="4:9">
      <c r="D819" s="47"/>
      <c r="E819" s="143"/>
      <c r="H819" s="2"/>
      <c r="I819" s="30"/>
    </row>
    <row r="820" spans="4:9">
      <c r="D820" s="47"/>
      <c r="E820" s="143"/>
      <c r="H820" s="2"/>
      <c r="I820" s="30"/>
    </row>
    <row r="821" spans="4:9">
      <c r="D821" s="47"/>
      <c r="E821" s="143"/>
      <c r="H821" s="2"/>
      <c r="I821" s="30"/>
    </row>
    <row r="822" spans="4:9">
      <c r="D822" s="47"/>
      <c r="E822" s="143"/>
      <c r="H822" s="2"/>
      <c r="I822" s="30"/>
    </row>
    <row r="823" spans="4:9">
      <c r="D823" s="47"/>
      <c r="E823" s="143"/>
      <c r="H823" s="2"/>
      <c r="I823" s="30"/>
    </row>
    <row r="824" spans="4:9">
      <c r="D824" s="47"/>
      <c r="E824" s="143"/>
      <c r="H824" s="2"/>
      <c r="I824" s="30"/>
    </row>
    <row r="825" spans="4:9">
      <c r="D825" s="47"/>
      <c r="E825" s="143"/>
      <c r="H825" s="2"/>
      <c r="I825" s="30"/>
    </row>
    <row r="826" spans="4:9">
      <c r="D826" s="47"/>
      <c r="E826" s="143"/>
      <c r="H826" s="2"/>
      <c r="I826" s="30"/>
    </row>
    <row r="827" spans="4:9">
      <c r="D827" s="47"/>
      <c r="E827" s="143"/>
      <c r="H827" s="2"/>
      <c r="I827" s="30"/>
    </row>
    <row r="828" spans="4:9">
      <c r="D828" s="47"/>
      <c r="E828" s="143"/>
      <c r="H828" s="2"/>
      <c r="I828" s="30"/>
    </row>
    <row r="829" spans="4:9">
      <c r="D829" s="47"/>
      <c r="E829" s="143"/>
      <c r="H829" s="2"/>
      <c r="I829" s="30"/>
    </row>
    <row r="830" spans="4:9">
      <c r="D830" s="47"/>
      <c r="E830" s="143"/>
      <c r="H830" s="2"/>
      <c r="I830" s="30"/>
    </row>
    <row r="831" spans="4:9">
      <c r="D831" s="47"/>
      <c r="E831" s="143"/>
      <c r="H831" s="2"/>
      <c r="I831" s="30"/>
    </row>
    <row r="832" spans="4:9">
      <c r="D832" s="47"/>
      <c r="E832" s="143"/>
      <c r="H832" s="2"/>
      <c r="I832" s="30"/>
    </row>
    <row r="833" spans="4:9">
      <c r="D833" s="47"/>
      <c r="E833" s="143"/>
      <c r="H833" s="2"/>
      <c r="I833" s="30"/>
    </row>
    <row r="834" spans="4:9">
      <c r="D834" s="47"/>
      <c r="E834" s="143"/>
      <c r="H834" s="2"/>
      <c r="I834" s="30"/>
    </row>
    <row r="835" spans="4:9">
      <c r="D835" s="47"/>
      <c r="E835" s="143"/>
      <c r="H835" s="2"/>
      <c r="I835" s="30"/>
    </row>
    <row r="836" spans="4:9">
      <c r="D836" s="47"/>
      <c r="E836" s="143"/>
      <c r="H836" s="2"/>
      <c r="I836" s="30"/>
    </row>
    <row r="837" spans="4:9">
      <c r="D837" s="47"/>
      <c r="E837" s="143"/>
      <c r="H837" s="2"/>
      <c r="I837" s="30"/>
    </row>
    <row r="838" spans="4:9">
      <c r="D838" s="47"/>
      <c r="E838" s="143"/>
      <c r="H838" s="2"/>
      <c r="I838" s="30"/>
    </row>
    <row r="839" spans="4:9">
      <c r="D839" s="47"/>
      <c r="E839" s="143"/>
      <c r="H839" s="2"/>
      <c r="I839" s="30"/>
    </row>
    <row r="840" spans="4:9">
      <c r="D840" s="47"/>
      <c r="E840" s="143"/>
      <c r="H840" s="2"/>
      <c r="I840" s="30"/>
    </row>
    <row r="841" spans="4:9">
      <c r="D841" s="47"/>
      <c r="E841" s="143"/>
      <c r="H841" s="2"/>
      <c r="I841" s="30"/>
    </row>
    <row r="842" spans="4:9">
      <c r="D842" s="47"/>
      <c r="E842" s="143"/>
      <c r="H842" s="2"/>
      <c r="I842" s="30"/>
    </row>
    <row r="843" spans="4:9">
      <c r="D843" s="47"/>
      <c r="E843" s="143"/>
      <c r="H843" s="2"/>
      <c r="I843" s="30"/>
    </row>
    <row r="844" spans="4:9">
      <c r="D844" s="47"/>
      <c r="E844" s="143"/>
      <c r="H844" s="2"/>
      <c r="I844" s="30"/>
    </row>
    <row r="845" spans="4:9">
      <c r="D845" s="47"/>
      <c r="E845" s="143"/>
      <c r="H845" s="2"/>
      <c r="I845" s="30"/>
    </row>
    <row r="846" spans="4:9">
      <c r="D846" s="47"/>
      <c r="E846" s="143"/>
      <c r="H846" s="2"/>
      <c r="I846" s="30"/>
    </row>
    <row r="847" spans="4:9">
      <c r="D847" s="47"/>
      <c r="E847" s="143"/>
      <c r="H847" s="2"/>
      <c r="I847" s="30"/>
    </row>
    <row r="848" spans="4:9">
      <c r="D848" s="47"/>
      <c r="E848" s="143"/>
      <c r="H848" s="2"/>
      <c r="I848" s="30"/>
    </row>
    <row r="849" spans="4:9">
      <c r="D849" s="47"/>
      <c r="E849" s="143"/>
      <c r="H849" s="2"/>
      <c r="I849" s="30"/>
    </row>
    <row r="850" spans="4:9">
      <c r="D850" s="47"/>
      <c r="E850" s="143"/>
      <c r="H850" s="2"/>
      <c r="I850" s="30"/>
    </row>
    <row r="851" spans="4:9">
      <c r="D851" s="47"/>
      <c r="E851" s="143"/>
      <c r="H851" s="2"/>
      <c r="I851" s="30"/>
    </row>
    <row r="852" spans="4:9">
      <c r="D852" s="47"/>
      <c r="E852" s="143"/>
      <c r="H852" s="2"/>
      <c r="I852" s="30"/>
    </row>
    <row r="853" spans="4:9">
      <c r="D853" s="47"/>
      <c r="E853" s="143"/>
      <c r="H853" s="2"/>
      <c r="I853" s="30"/>
    </row>
    <row r="854" spans="4:9">
      <c r="D854" s="47"/>
      <c r="E854" s="143"/>
      <c r="H854" s="2"/>
      <c r="I854" s="30"/>
    </row>
    <row r="855" spans="4:9">
      <c r="D855" s="47"/>
      <c r="E855" s="143"/>
      <c r="H855" s="2"/>
      <c r="I855" s="30"/>
    </row>
    <row r="856" spans="4:9">
      <c r="D856" s="47"/>
      <c r="E856" s="143"/>
      <c r="H856" s="2"/>
      <c r="I856" s="30"/>
    </row>
    <row r="857" spans="4:9">
      <c r="D857" s="47"/>
      <c r="E857" s="143"/>
      <c r="H857" s="2"/>
      <c r="I857" s="30"/>
    </row>
    <row r="858" spans="4:9">
      <c r="D858" s="47"/>
      <c r="E858" s="143"/>
      <c r="H858" s="2"/>
      <c r="I858" s="30"/>
    </row>
    <row r="859" spans="4:9">
      <c r="D859" s="47"/>
      <c r="E859" s="143"/>
      <c r="H859" s="2"/>
      <c r="I859" s="30"/>
    </row>
    <row r="860" spans="4:9">
      <c r="D860" s="47"/>
      <c r="E860" s="143"/>
      <c r="H860" s="2"/>
      <c r="I860" s="30"/>
    </row>
    <row r="861" spans="4:9">
      <c r="D861" s="47"/>
      <c r="E861" s="143"/>
      <c r="H861" s="2"/>
      <c r="I861" s="30"/>
    </row>
    <row r="862" spans="4:9">
      <c r="D862" s="47"/>
      <c r="E862" s="143"/>
      <c r="H862" s="2"/>
      <c r="I862" s="30"/>
    </row>
    <row r="863" spans="4:9">
      <c r="D863" s="47"/>
      <c r="E863" s="143"/>
      <c r="H863" s="2"/>
      <c r="I863" s="30"/>
    </row>
    <row r="864" spans="4:9">
      <c r="D864" s="47"/>
      <c r="E864" s="143"/>
      <c r="H864" s="2"/>
      <c r="I864" s="30"/>
    </row>
    <row r="865" spans="4:9">
      <c r="D865" s="47"/>
      <c r="E865" s="143"/>
      <c r="H865" s="2"/>
      <c r="I865" s="30"/>
    </row>
    <row r="866" spans="4:9">
      <c r="D866" s="47"/>
      <c r="E866" s="143"/>
      <c r="H866" s="2"/>
      <c r="I866" s="30"/>
    </row>
    <row r="867" spans="4:9">
      <c r="D867" s="47"/>
      <c r="E867" s="143"/>
      <c r="H867" s="2"/>
      <c r="I867" s="30"/>
    </row>
    <row r="868" spans="4:9">
      <c r="D868" s="47"/>
      <c r="E868" s="143"/>
      <c r="H868" s="2"/>
      <c r="I868" s="30"/>
    </row>
    <row r="869" spans="4:9">
      <c r="D869" s="47"/>
      <c r="E869" s="143"/>
      <c r="H869" s="2"/>
      <c r="I869" s="30"/>
    </row>
    <row r="870" spans="4:9">
      <c r="D870" s="47"/>
      <c r="E870" s="143"/>
      <c r="H870" s="2"/>
      <c r="I870" s="30"/>
    </row>
    <row r="871" spans="4:9">
      <c r="D871" s="47"/>
      <c r="E871" s="143"/>
      <c r="H871" s="2"/>
      <c r="I871" s="30"/>
    </row>
    <row r="872" spans="4:9">
      <c r="D872" s="47"/>
      <c r="E872" s="143"/>
      <c r="H872" s="2"/>
      <c r="I872" s="30"/>
    </row>
    <row r="873" spans="4:9">
      <c r="D873" s="47"/>
      <c r="E873" s="143"/>
      <c r="H873" s="2"/>
      <c r="I873" s="30"/>
    </row>
    <row r="874" spans="4:9">
      <c r="D874" s="47"/>
      <c r="E874" s="143"/>
      <c r="H874" s="2"/>
      <c r="I874" s="30"/>
    </row>
    <row r="875" spans="4:9">
      <c r="D875" s="47"/>
      <c r="E875" s="143"/>
      <c r="H875" s="2"/>
      <c r="I875" s="30"/>
    </row>
    <row r="876" spans="4:9">
      <c r="D876" s="47"/>
      <c r="E876" s="143"/>
      <c r="H876" s="2"/>
      <c r="I876" s="30"/>
    </row>
    <row r="877" spans="4:9">
      <c r="D877" s="47"/>
      <c r="E877" s="143"/>
      <c r="H877" s="2"/>
      <c r="I877" s="30"/>
    </row>
    <row r="878" spans="4:9">
      <c r="D878" s="47"/>
      <c r="E878" s="143"/>
      <c r="H878" s="2"/>
      <c r="I878" s="30"/>
    </row>
    <row r="879" spans="4:9">
      <c r="D879" s="47"/>
      <c r="E879" s="143"/>
      <c r="H879" s="2"/>
      <c r="I879" s="30"/>
    </row>
    <row r="880" spans="4:9">
      <c r="D880" s="47"/>
      <c r="E880" s="143"/>
      <c r="H880" s="2"/>
      <c r="I880" s="30"/>
    </row>
    <row r="881" spans="4:9">
      <c r="D881" s="47"/>
      <c r="E881" s="143"/>
      <c r="H881" s="2"/>
      <c r="I881" s="30"/>
    </row>
    <row r="882" spans="4:9">
      <c r="D882" s="47"/>
      <c r="E882" s="143"/>
      <c r="H882" s="2"/>
      <c r="I882" s="30"/>
    </row>
    <row r="883" spans="4:9">
      <c r="D883" s="47"/>
      <c r="E883" s="143"/>
      <c r="H883" s="2"/>
      <c r="I883" s="30"/>
    </row>
    <row r="884" spans="4:9">
      <c r="D884" s="47"/>
      <c r="E884" s="143"/>
      <c r="H884" s="2"/>
      <c r="I884" s="30"/>
    </row>
    <row r="885" spans="4:9">
      <c r="D885" s="47"/>
      <c r="E885" s="143"/>
      <c r="H885" s="2"/>
      <c r="I885" s="30"/>
    </row>
    <row r="886" spans="4:9">
      <c r="D886" s="47"/>
      <c r="E886" s="143"/>
      <c r="H886" s="2"/>
      <c r="I886" s="30"/>
    </row>
    <row r="887" spans="4:9">
      <c r="D887" s="47"/>
      <c r="E887" s="143"/>
      <c r="H887" s="2"/>
      <c r="I887" s="30"/>
    </row>
    <row r="888" spans="4:9">
      <c r="D888" s="47"/>
      <c r="E888" s="143"/>
      <c r="H888" s="2"/>
      <c r="I888" s="30"/>
    </row>
    <row r="889" spans="4:9">
      <c r="D889" s="47"/>
      <c r="E889" s="143"/>
      <c r="H889" s="2"/>
      <c r="I889" s="30"/>
    </row>
    <row r="890" spans="4:9">
      <c r="D890" s="47"/>
      <c r="E890" s="143"/>
      <c r="H890" s="2"/>
      <c r="I890" s="30"/>
    </row>
    <row r="891" spans="4:9">
      <c r="D891" s="47"/>
      <c r="E891" s="143"/>
      <c r="H891" s="2"/>
      <c r="I891" s="30"/>
    </row>
    <row r="892" spans="4:9">
      <c r="D892" s="47"/>
      <c r="E892" s="143"/>
      <c r="H892" s="2"/>
      <c r="I892" s="30"/>
    </row>
    <row r="893" spans="4:9">
      <c r="D893" s="47"/>
      <c r="E893" s="143"/>
      <c r="H893" s="2"/>
      <c r="I893" s="30"/>
    </row>
    <row r="894" spans="4:9">
      <c r="D894" s="47"/>
      <c r="E894" s="143"/>
      <c r="H894" s="2"/>
      <c r="I894" s="30"/>
    </row>
    <row r="895" spans="4:9">
      <c r="D895" s="47"/>
      <c r="E895" s="143"/>
      <c r="H895" s="2"/>
      <c r="I895" s="30"/>
    </row>
    <row r="896" spans="4:9">
      <c r="D896" s="47"/>
      <c r="E896" s="143"/>
      <c r="H896" s="2"/>
      <c r="I896" s="30"/>
    </row>
    <row r="897" spans="4:9">
      <c r="D897" s="47"/>
      <c r="E897" s="143"/>
      <c r="H897" s="2"/>
      <c r="I897" s="30"/>
    </row>
    <row r="898" spans="4:9">
      <c r="D898" s="47"/>
      <c r="E898" s="143"/>
      <c r="H898" s="2"/>
      <c r="I898" s="30"/>
    </row>
    <row r="899" spans="4:9">
      <c r="D899" s="47"/>
      <c r="E899" s="143"/>
      <c r="H899" s="2"/>
      <c r="I899" s="30"/>
    </row>
    <row r="900" spans="4:9">
      <c r="D900" s="47"/>
      <c r="E900" s="143"/>
      <c r="H900" s="2"/>
      <c r="I900" s="30"/>
    </row>
    <row r="901" spans="4:9">
      <c r="D901" s="47"/>
      <c r="E901" s="143"/>
      <c r="H901" s="2"/>
      <c r="I901" s="30"/>
    </row>
    <row r="902" spans="4:9">
      <c r="D902" s="47"/>
      <c r="E902" s="143"/>
      <c r="H902" s="2"/>
      <c r="I902" s="30"/>
    </row>
    <row r="903" spans="4:9">
      <c r="D903" s="47"/>
      <c r="E903" s="143"/>
      <c r="H903" s="2"/>
      <c r="I903" s="30"/>
    </row>
    <row r="904" spans="4:9">
      <c r="D904" s="47"/>
      <c r="E904" s="143"/>
      <c r="H904" s="2"/>
      <c r="I904" s="30"/>
    </row>
    <row r="905" spans="4:9">
      <c r="D905" s="47"/>
      <c r="E905" s="143"/>
      <c r="H905" s="2"/>
      <c r="I905" s="30"/>
    </row>
    <row r="906" spans="4:9">
      <c r="D906" s="47"/>
      <c r="E906" s="143"/>
      <c r="H906" s="2"/>
      <c r="I906" s="30"/>
    </row>
    <row r="907" spans="4:9">
      <c r="D907" s="47"/>
      <c r="E907" s="143"/>
      <c r="H907" s="2"/>
      <c r="I907" s="30"/>
    </row>
    <row r="908" spans="4:9">
      <c r="D908" s="47"/>
      <c r="E908" s="143"/>
      <c r="H908" s="2"/>
      <c r="I908" s="30"/>
    </row>
    <row r="909" spans="4:9">
      <c r="D909" s="47"/>
      <c r="E909" s="143"/>
      <c r="H909" s="2"/>
      <c r="I909" s="30"/>
    </row>
    <row r="910" spans="4:9">
      <c r="D910" s="47"/>
      <c r="E910" s="143"/>
      <c r="H910" s="2"/>
      <c r="I910" s="30"/>
    </row>
    <row r="911" spans="4:9">
      <c r="D911" s="47"/>
      <c r="E911" s="143"/>
      <c r="H911" s="2"/>
      <c r="I911" s="30"/>
    </row>
    <row r="912" spans="4:9">
      <c r="D912" s="47"/>
      <c r="E912" s="143"/>
      <c r="H912" s="2"/>
      <c r="I912" s="30"/>
    </row>
    <row r="913" spans="4:9">
      <c r="D913" s="47"/>
      <c r="E913" s="143"/>
      <c r="H913" s="2"/>
      <c r="I913" s="30"/>
    </row>
    <row r="914" spans="4:9">
      <c r="D914" s="47"/>
      <c r="E914" s="143"/>
      <c r="H914" s="2"/>
      <c r="I914" s="30"/>
    </row>
    <row r="915" spans="4:9">
      <c r="D915" s="47"/>
      <c r="E915" s="143"/>
      <c r="H915" s="2"/>
      <c r="I915" s="30"/>
    </row>
    <row r="916" spans="4:9">
      <c r="D916" s="47"/>
      <c r="E916" s="143"/>
      <c r="H916" s="2"/>
      <c r="I916" s="30"/>
    </row>
    <row r="917" spans="4:9">
      <c r="D917" s="47"/>
      <c r="E917" s="143"/>
      <c r="H917" s="2"/>
      <c r="I917" s="30"/>
    </row>
    <row r="918" spans="4:9">
      <c r="D918" s="47"/>
      <c r="E918" s="143"/>
      <c r="H918" s="2"/>
      <c r="I918" s="30"/>
    </row>
    <row r="919" spans="4:9">
      <c r="D919" s="47"/>
      <c r="E919" s="143"/>
      <c r="H919" s="2"/>
      <c r="I919" s="30"/>
    </row>
    <row r="920" spans="4:9">
      <c r="D920" s="47"/>
      <c r="E920" s="143"/>
      <c r="H920" s="2"/>
      <c r="I920" s="30"/>
    </row>
    <row r="921" spans="4:9">
      <c r="D921" s="47"/>
      <c r="E921" s="143"/>
      <c r="H921" s="2"/>
      <c r="I921" s="30"/>
    </row>
    <row r="922" spans="4:9">
      <c r="D922" s="47"/>
      <c r="E922" s="143"/>
      <c r="H922" s="2"/>
      <c r="I922" s="30"/>
    </row>
    <row r="923" spans="4:9">
      <c r="D923" s="47"/>
      <c r="E923" s="143"/>
      <c r="H923" s="2"/>
      <c r="I923" s="30"/>
    </row>
    <row r="924" spans="4:9">
      <c r="D924" s="47"/>
      <c r="E924" s="143"/>
      <c r="H924" s="2"/>
      <c r="I924" s="30"/>
    </row>
    <row r="925" spans="4:9">
      <c r="D925" s="47"/>
      <c r="E925" s="143"/>
      <c r="H925" s="2"/>
      <c r="I925" s="30"/>
    </row>
    <row r="926" spans="4:9">
      <c r="D926" s="47"/>
      <c r="E926" s="143"/>
      <c r="H926" s="2"/>
      <c r="I926" s="30"/>
    </row>
    <row r="927" spans="4:9">
      <c r="D927" s="47"/>
      <c r="E927" s="143"/>
      <c r="H927" s="2"/>
      <c r="I927" s="30"/>
    </row>
    <row r="928" spans="4:9">
      <c r="D928" s="47"/>
      <c r="E928" s="143"/>
      <c r="H928" s="2"/>
      <c r="I928" s="30"/>
    </row>
    <row r="929" spans="4:15">
      <c r="D929" s="47"/>
      <c r="E929" s="143"/>
      <c r="H929" s="2"/>
      <c r="I929" s="30"/>
    </row>
    <row r="930" spans="4:15">
      <c r="D930" s="47"/>
      <c r="E930" s="143"/>
      <c r="H930" s="2"/>
      <c r="I930" s="30"/>
    </row>
    <row r="931" spans="4:15">
      <c r="D931" s="47"/>
      <c r="E931" s="143"/>
      <c r="H931" s="2"/>
      <c r="I931" s="30"/>
    </row>
    <row r="932" spans="4:15">
      <c r="D932" s="47"/>
      <c r="E932" s="143"/>
      <c r="H932" s="2"/>
      <c r="I932" s="30"/>
    </row>
    <row r="933" spans="4:15">
      <c r="D933" s="47"/>
      <c r="E933" s="143"/>
      <c r="H933" s="2"/>
      <c r="I933" s="30"/>
    </row>
    <row r="934" spans="4:15">
      <c r="D934" s="47"/>
      <c r="E934" s="143"/>
      <c r="H934" s="2"/>
      <c r="I934" s="30"/>
    </row>
    <row r="935" spans="4:15">
      <c r="D935" s="47"/>
      <c r="E935" s="143"/>
      <c r="H935" s="2"/>
      <c r="I935" s="30"/>
    </row>
    <row r="936" spans="4:15">
      <c r="D936" s="47"/>
      <c r="E936" s="143"/>
      <c r="H936" s="2"/>
      <c r="I936" s="30"/>
    </row>
    <row r="937" spans="4:15">
      <c r="D937" s="47"/>
      <c r="E937" s="143"/>
      <c r="H937" s="2"/>
      <c r="I937" s="30"/>
    </row>
    <row r="938" spans="4:15">
      <c r="D938" s="47"/>
      <c r="E938" s="143"/>
      <c r="H938" s="2"/>
      <c r="I938" s="30"/>
    </row>
    <row r="939" spans="4:15">
      <c r="D939" s="47"/>
      <c r="E939" s="143"/>
      <c r="H939" s="2"/>
      <c r="I939" s="30"/>
    </row>
    <row r="940" spans="4:15">
      <c r="D940" s="47"/>
      <c r="E940" s="143"/>
      <c r="H940" s="2"/>
      <c r="I940" s="30"/>
    </row>
    <row r="941" spans="4:15">
      <c r="D941" s="47"/>
      <c r="E941" s="143"/>
      <c r="H941" s="2"/>
      <c r="I941" s="30"/>
    </row>
    <row r="942" spans="4:15">
      <c r="K942" s="143"/>
      <c r="N942" s="2"/>
      <c r="O942" s="30"/>
    </row>
    <row r="943" spans="4:15">
      <c r="K943" s="143"/>
      <c r="N943" s="2"/>
      <c r="O943" s="30"/>
    </row>
    <row r="944" spans="4:15">
      <c r="K944" s="143"/>
      <c r="N944" s="2"/>
      <c r="O944" s="30"/>
    </row>
    <row r="945" spans="11:15">
      <c r="K945" s="143"/>
      <c r="N945" s="2"/>
      <c r="O945" s="30"/>
    </row>
    <row r="946" spans="11:15">
      <c r="K946" s="143"/>
      <c r="N946" s="2"/>
      <c r="O946" s="30"/>
    </row>
    <row r="947" spans="11:15">
      <c r="K947" s="143"/>
      <c r="N947" s="2"/>
      <c r="O947" s="30"/>
    </row>
    <row r="948" spans="11:15">
      <c r="K948" s="143"/>
      <c r="N948" s="2"/>
      <c r="O948" s="30"/>
    </row>
    <row r="949" spans="11:15">
      <c r="K949" s="143"/>
      <c r="N949" s="2"/>
      <c r="O949" s="30"/>
    </row>
    <row r="950" spans="11:15">
      <c r="K950" s="143"/>
      <c r="N950" s="2"/>
      <c r="O950" s="30"/>
    </row>
    <row r="951" spans="11:15">
      <c r="K951" s="143"/>
      <c r="N951" s="2"/>
      <c r="O951" s="30"/>
    </row>
    <row r="952" spans="11:15">
      <c r="K952" s="143"/>
      <c r="N952" s="2"/>
      <c r="O952" s="30"/>
    </row>
    <row r="953" spans="11:15">
      <c r="K953" s="143"/>
      <c r="N953" s="2"/>
      <c r="O953" s="30"/>
    </row>
    <row r="954" spans="11:15">
      <c r="K954" s="143"/>
      <c r="N954" s="2"/>
      <c r="O954" s="30"/>
    </row>
    <row r="955" spans="11:15">
      <c r="K955" s="143"/>
      <c r="N955" s="2"/>
      <c r="O955" s="30"/>
    </row>
    <row r="956" spans="11:15">
      <c r="K956" s="143"/>
      <c r="N956" s="2"/>
      <c r="O956" s="30"/>
    </row>
    <row r="957" spans="11:15">
      <c r="K957" s="143"/>
      <c r="N957" s="2"/>
      <c r="O957" s="30"/>
    </row>
    <row r="958" spans="11:15">
      <c r="K958" s="143"/>
      <c r="N958" s="2"/>
      <c r="O958" s="30"/>
    </row>
    <row r="959" spans="11:15">
      <c r="K959" s="143"/>
      <c r="N959" s="2"/>
      <c r="O959" s="30"/>
    </row>
    <row r="960" spans="11:15">
      <c r="K960" s="143"/>
      <c r="N960" s="2"/>
      <c r="O960" s="30"/>
    </row>
    <row r="961" spans="11:15">
      <c r="K961" s="143"/>
      <c r="N961" s="2"/>
      <c r="O961" s="30"/>
    </row>
    <row r="962" spans="11:15">
      <c r="K962" s="143"/>
      <c r="N962" s="2"/>
      <c r="O962" s="30"/>
    </row>
    <row r="963" spans="11:15">
      <c r="K963" s="143"/>
      <c r="N963" s="2"/>
      <c r="O963" s="30"/>
    </row>
  </sheetData>
  <hyperlinks>
    <hyperlink ref="M3" r:id="rId1" xr:uid="{E0C17666-36E3-4B6B-80DC-DE8F3348B921}"/>
    <hyperlink ref="M4" r:id="rId2" xr:uid="{5FF8661C-0943-4887-811F-9D9BAFBFACA1}"/>
    <hyperlink ref="M6" r:id="rId3" xr:uid="{4126B162-766E-48FE-9F12-5AABAA33B0C6}"/>
    <hyperlink ref="M5" r:id="rId4" xr:uid="{66876D58-7489-4BE0-BAB4-C95848070A37}"/>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2C6CF-0FB1-47F2-82ED-2770F4EDF03B}">
  <dimension ref="A1:Z4"/>
  <sheetViews>
    <sheetView workbookViewId="0">
      <selection activeCell="J2" sqref="J2"/>
    </sheetView>
  </sheetViews>
  <sheetFormatPr defaultRowHeight="12.75"/>
  <cols>
    <col min="2" max="2" width="19" customWidth="1"/>
    <col min="3" max="3" width="12.42578125" customWidth="1"/>
    <col min="4" max="4" width="18.28515625" customWidth="1"/>
    <col min="5" max="5" width="17" customWidth="1"/>
    <col min="6" max="6" width="46.85546875" customWidth="1"/>
    <col min="7" max="7" width="12.140625" customWidth="1"/>
    <col min="8" max="8" width="14.28515625" customWidth="1"/>
    <col min="9" max="9" width="17.140625" customWidth="1"/>
    <col min="10" max="10" width="13.85546875" customWidth="1"/>
    <col min="11" max="11" width="21.85546875" customWidth="1"/>
  </cols>
  <sheetData>
    <row r="1" spans="1:26" ht="25.5">
      <c r="A1" s="59" t="s">
        <v>248</v>
      </c>
      <c r="B1" s="154" t="s">
        <v>11</v>
      </c>
      <c r="C1" s="155" t="s">
        <v>306</v>
      </c>
      <c r="D1" s="154" t="s">
        <v>250</v>
      </c>
      <c r="E1" s="155" t="s">
        <v>308</v>
      </c>
      <c r="F1" s="155" t="s">
        <v>309</v>
      </c>
      <c r="G1" s="154" t="s">
        <v>310</v>
      </c>
      <c r="H1" s="154" t="s">
        <v>312</v>
      </c>
      <c r="I1" s="154" t="s">
        <v>253</v>
      </c>
      <c r="J1" s="156" t="s">
        <v>313</v>
      </c>
      <c r="K1" s="157" t="s">
        <v>274</v>
      </c>
      <c r="L1" s="35"/>
      <c r="M1" s="35"/>
      <c r="N1" s="35"/>
      <c r="O1" s="35"/>
      <c r="P1" s="35"/>
      <c r="Q1" s="35"/>
      <c r="R1" s="35"/>
      <c r="S1" s="35"/>
      <c r="T1" s="35"/>
      <c r="U1" s="35"/>
      <c r="V1" s="35"/>
      <c r="W1" s="35"/>
      <c r="X1" s="35"/>
      <c r="Y1" s="35"/>
      <c r="Z1" s="35"/>
    </row>
    <row r="2" spans="1:26">
      <c r="A2" s="318"/>
      <c r="B2" s="319"/>
      <c r="C2" s="256"/>
      <c r="D2" s="288"/>
      <c r="E2" s="244"/>
      <c r="F2" s="320"/>
      <c r="G2" s="244"/>
      <c r="H2" s="244"/>
      <c r="I2" s="244"/>
      <c r="J2" s="244"/>
      <c r="K2" s="244"/>
      <c r="L2" s="244"/>
      <c r="M2" s="244"/>
      <c r="N2" s="244"/>
      <c r="O2" s="244"/>
      <c r="P2" s="244"/>
      <c r="Q2" s="244"/>
      <c r="R2" s="244"/>
      <c r="S2" s="244"/>
      <c r="T2" s="244"/>
      <c r="U2" s="244"/>
      <c r="V2" s="244"/>
      <c r="W2" s="137"/>
      <c r="X2" s="137"/>
      <c r="Y2" s="137"/>
      <c r="Z2" s="137"/>
    </row>
    <row r="3" spans="1:26">
      <c r="A3" s="256"/>
      <c r="B3" s="319"/>
      <c r="C3" s="256"/>
      <c r="D3" s="288"/>
      <c r="E3" s="244"/>
      <c r="F3" s="321"/>
      <c r="G3" s="244"/>
      <c r="H3" s="244"/>
      <c r="I3" s="244"/>
      <c r="J3" s="244"/>
      <c r="K3" s="244"/>
      <c r="L3" s="137"/>
      <c r="M3" s="137"/>
      <c r="N3" s="137"/>
      <c r="O3" s="137"/>
      <c r="P3" s="137"/>
      <c r="Q3" s="137"/>
      <c r="R3" s="137"/>
      <c r="S3" s="137"/>
      <c r="T3" s="137"/>
      <c r="U3" s="137"/>
      <c r="V3" s="137"/>
      <c r="W3" s="137"/>
      <c r="X3" s="137"/>
      <c r="Y3" s="137"/>
      <c r="Z3" s="137"/>
    </row>
    <row r="4" spans="1:26">
      <c r="B4" s="3"/>
      <c r="D4" s="35"/>
      <c r="E4" s="35"/>
      <c r="F4" s="144"/>
      <c r="G4" s="35"/>
      <c r="H4" s="35"/>
      <c r="I4" s="35"/>
      <c r="J4" s="35"/>
      <c r="K4" s="35"/>
    </row>
  </sheetData>
  <dataValidations count="4">
    <dataValidation type="list" allowBlank="1" showErrorMessage="1" sqref="H2:H4" xr:uid="{DA6E8777-30E7-4474-8530-3C1025B0DB7E}">
      <formula1>"Internal,External"</formula1>
    </dataValidation>
    <dataValidation type="list" allowBlank="1" showErrorMessage="1" sqref="E2:E4" xr:uid="{000AFA25-17F5-4607-B9B5-B230DD78F318}">
      <formula1>"Bounceback,Defect,None"</formula1>
    </dataValidation>
    <dataValidation type="list" allowBlank="1" showErrorMessage="1" sqref="I2:I4" xr:uid="{E2CCE679-B4E7-463B-8ADC-B2BD32AA382C}">
      <formula1>"Open,Inprogress,Closed"</formula1>
    </dataValidation>
    <dataValidation type="list" allowBlank="1" showErrorMessage="1" sqref="G2:G4" xr:uid="{C80B4B17-4158-48E5-BD7B-71A731D1CD18}">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8E80D9EC-C42F-4BF7-A1FD-9B0CC194E549}">
          <x14:formula1>
            <xm:f>Details!$A$2:$A$10</xm:f>
          </x14:formula1>
          <xm:sqref>J2:J4</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107A7-A2A5-47A1-AAFD-CDE0DF9B7F2E}">
  <dimension ref="A1:Z4"/>
  <sheetViews>
    <sheetView workbookViewId="0"/>
  </sheetViews>
  <sheetFormatPr defaultRowHeight="12.75"/>
  <cols>
    <col min="1" max="1" width="7.5703125" customWidth="1"/>
    <col min="2" max="2" width="20" customWidth="1"/>
    <col min="3" max="3" width="17.7109375" customWidth="1"/>
    <col min="4" max="4" width="16.140625" customWidth="1"/>
    <col min="5" max="5" width="14.7109375" customWidth="1"/>
    <col min="6" max="6" width="53.85546875" customWidth="1"/>
    <col min="7" max="7" width="14.140625" customWidth="1"/>
    <col min="8" max="8" width="16.5703125" customWidth="1"/>
    <col min="9" max="9" width="19" customWidth="1"/>
    <col min="10" max="10" width="18.140625" customWidth="1"/>
    <col min="11" max="11" width="15.28515625" customWidth="1"/>
  </cols>
  <sheetData>
    <row r="1" spans="1:26" ht="14.25">
      <c r="A1" s="59" t="s">
        <v>248</v>
      </c>
      <c r="B1" s="154" t="s">
        <v>11</v>
      </c>
      <c r="C1" s="155" t="s">
        <v>306</v>
      </c>
      <c r="D1" s="154" t="s">
        <v>250</v>
      </c>
      <c r="E1" s="155" t="s">
        <v>308</v>
      </c>
      <c r="F1" s="155" t="s">
        <v>309</v>
      </c>
      <c r="G1" s="154" t="s">
        <v>310</v>
      </c>
      <c r="H1" s="154" t="s">
        <v>312</v>
      </c>
      <c r="I1" s="154" t="s">
        <v>253</v>
      </c>
      <c r="J1" s="156" t="s">
        <v>313</v>
      </c>
      <c r="K1" s="157" t="s">
        <v>274</v>
      </c>
      <c r="L1" s="35"/>
      <c r="M1" s="35"/>
      <c r="N1" s="35"/>
      <c r="O1" s="35"/>
      <c r="P1" s="35"/>
      <c r="Q1" s="35"/>
      <c r="R1" s="35"/>
      <c r="S1" s="35"/>
      <c r="T1" s="35"/>
      <c r="U1" s="35"/>
      <c r="V1" s="35"/>
      <c r="W1" s="35"/>
      <c r="X1" s="35"/>
      <c r="Y1" s="35"/>
      <c r="Z1" s="35"/>
    </row>
    <row r="2" spans="1:26" s="137" customFormat="1">
      <c r="A2" s="318" t="s">
        <v>1570</v>
      </c>
      <c r="B2" s="319"/>
      <c r="C2" s="256"/>
      <c r="D2" s="288"/>
      <c r="E2" s="244"/>
      <c r="F2" s="320"/>
      <c r="G2" s="244"/>
      <c r="H2" s="244"/>
      <c r="I2" s="244"/>
      <c r="J2" s="244"/>
      <c r="K2" s="244"/>
      <c r="L2" s="244"/>
      <c r="M2" s="244"/>
      <c r="N2" s="244"/>
      <c r="O2" s="244"/>
      <c r="P2" s="244"/>
      <c r="Q2" s="244"/>
      <c r="R2" s="244"/>
      <c r="S2" s="244"/>
      <c r="T2" s="244"/>
      <c r="U2" s="244"/>
      <c r="V2" s="244"/>
    </row>
    <row r="3" spans="1:26" s="137" customFormat="1">
      <c r="A3" s="256"/>
      <c r="B3" s="319"/>
      <c r="C3" s="256"/>
      <c r="D3" s="288"/>
      <c r="E3" s="244"/>
      <c r="F3" s="321"/>
      <c r="G3" s="244"/>
      <c r="H3" s="244"/>
      <c r="I3" s="244"/>
      <c r="J3" s="244"/>
      <c r="K3" s="244"/>
    </row>
    <row r="4" spans="1:26">
      <c r="B4" s="3"/>
      <c r="D4" s="35"/>
      <c r="E4" s="35"/>
      <c r="F4" s="144"/>
      <c r="G4" s="35"/>
      <c r="H4" s="35"/>
      <c r="I4" s="35"/>
      <c r="J4" s="35"/>
      <c r="K4" s="35"/>
    </row>
  </sheetData>
  <dataValidations count="4">
    <dataValidation type="list" allowBlank="1" showErrorMessage="1" sqref="G2:G4" xr:uid="{CCECBE4A-42A7-4F19-B66F-5ACC79A894D1}">
      <formula1>"Minor,Significant,Major"</formula1>
    </dataValidation>
    <dataValidation type="list" allowBlank="1" showErrorMessage="1" sqref="I2:I4" xr:uid="{D3A4A2D6-8E97-41CC-A955-D25001E22EF4}">
      <formula1>"Open,Inprogress,Closed"</formula1>
    </dataValidation>
    <dataValidation type="list" allowBlank="1" showErrorMessage="1" sqref="E2:E4" xr:uid="{03AD1BE5-ADD7-43E9-AB4C-F29E62139DCB}">
      <formula1>"Bounceback,Defect,None"</formula1>
    </dataValidation>
    <dataValidation type="list" allowBlank="1" showErrorMessage="1" sqref="H2:H4" xr:uid="{88DE3390-FBF6-4988-A06E-FA8CDF8AD6BE}">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F8ED3BF9-9322-4A28-B054-8610E0808405}">
          <x14:formula1>
            <xm:f>Details!$A$2:$A$10</xm:f>
          </x14:formula1>
          <xm:sqref>J2:J4</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55917-DB69-428E-AA80-FF45A9694615}">
  <dimension ref="A1:X967"/>
  <sheetViews>
    <sheetView workbookViewId="0">
      <selection activeCell="E3" sqref="E3"/>
    </sheetView>
  </sheetViews>
  <sheetFormatPr defaultRowHeight="12.75"/>
  <cols>
    <col min="1" max="1" width="8.28515625" style="181" customWidth="1"/>
    <col min="2" max="2" width="20.42578125" customWidth="1"/>
    <col min="3" max="3" width="20.7109375" style="47" customWidth="1"/>
    <col min="4" max="4" width="16.85546875" customWidth="1"/>
    <col min="5" max="5" width="40" customWidth="1"/>
    <col min="6" max="7" width="9.140625" style="53"/>
    <col min="12" max="12" width="33.140625" customWidth="1"/>
    <col min="13" max="13" width="22.7109375" customWidth="1"/>
    <col min="14" max="14" width="10.7109375" bestFit="1" customWidth="1"/>
    <col min="15" max="15" width="10.42578125" customWidth="1"/>
    <col min="17" max="17" width="13.28515625" customWidth="1"/>
    <col min="19" max="19" width="9.42578125" bestFit="1" customWidth="1"/>
    <col min="20" max="20" width="14.7109375" customWidth="1"/>
    <col min="21" max="21" width="15.28515625" customWidth="1"/>
    <col min="22" max="22" width="14.7109375" customWidth="1"/>
    <col min="23" max="23" width="11.5703125" style="137" customWidth="1"/>
    <col min="24" max="24" width="48.28515625" customWidth="1"/>
  </cols>
  <sheetData>
    <row r="1" spans="1:24" ht="14.25">
      <c r="A1" s="234"/>
      <c r="B1" s="1"/>
      <c r="C1" s="7"/>
      <c r="D1" s="7"/>
      <c r="E1" s="1"/>
      <c r="F1" s="49"/>
      <c r="G1" s="49"/>
      <c r="H1" s="198"/>
      <c r="I1" s="198"/>
      <c r="J1" s="198"/>
      <c r="K1" s="198"/>
      <c r="L1" s="198"/>
      <c r="M1" s="198"/>
      <c r="N1" s="198"/>
      <c r="O1" s="198"/>
      <c r="P1" s="198"/>
      <c r="Q1" s="198"/>
      <c r="R1" s="198"/>
      <c r="S1" s="198"/>
      <c r="T1" s="198"/>
      <c r="U1" s="198"/>
      <c r="V1" s="198"/>
      <c r="W1" s="322"/>
      <c r="X1" s="323"/>
    </row>
    <row r="2" spans="1:24" ht="46.5">
      <c r="A2" s="234" t="s">
        <v>248</v>
      </c>
      <c r="B2" s="1" t="s">
        <v>249</v>
      </c>
      <c r="C2" s="7" t="s">
        <v>250</v>
      </c>
      <c r="D2" s="235" t="s">
        <v>251</v>
      </c>
      <c r="E2" s="236" t="s">
        <v>252</v>
      </c>
      <c r="F2" s="237" t="s">
        <v>254</v>
      </c>
      <c r="G2" s="237" t="s">
        <v>255</v>
      </c>
      <c r="H2" s="238" t="s">
        <v>259</v>
      </c>
      <c r="I2" s="238" t="s">
        <v>260</v>
      </c>
      <c r="J2" s="238" t="s">
        <v>261</v>
      </c>
      <c r="K2" s="238" t="s">
        <v>262</v>
      </c>
      <c r="L2" s="238" t="s">
        <v>263</v>
      </c>
      <c r="M2" s="238" t="s">
        <v>264</v>
      </c>
      <c r="N2" s="238" t="s">
        <v>265</v>
      </c>
      <c r="O2" s="238" t="s">
        <v>266</v>
      </c>
      <c r="P2" s="238" t="s">
        <v>1571</v>
      </c>
      <c r="Q2" s="238" t="s">
        <v>268</v>
      </c>
      <c r="R2" s="238" t="s">
        <v>1572</v>
      </c>
      <c r="S2" s="238" t="s">
        <v>270</v>
      </c>
      <c r="T2" s="238" t="s">
        <v>268</v>
      </c>
      <c r="U2" s="238" t="s">
        <v>272</v>
      </c>
      <c r="V2" s="238" t="s">
        <v>273</v>
      </c>
      <c r="W2" s="239" t="s">
        <v>253</v>
      </c>
      <c r="X2" s="240" t="s">
        <v>274</v>
      </c>
    </row>
    <row r="3" spans="1:24" s="137" customFormat="1" ht="30.75" customHeight="1">
      <c r="A3" s="302">
        <v>1</v>
      </c>
      <c r="B3" s="298" t="s">
        <v>1573</v>
      </c>
      <c r="C3" s="46" t="s">
        <v>1574</v>
      </c>
      <c r="D3" s="62" t="s">
        <v>1575</v>
      </c>
      <c r="E3" s="225" t="s">
        <v>1576</v>
      </c>
      <c r="F3" s="17">
        <v>5</v>
      </c>
      <c r="G3" s="17">
        <v>3</v>
      </c>
      <c r="H3" s="83" t="s">
        <v>318</v>
      </c>
      <c r="I3" s="41" t="s">
        <v>1577</v>
      </c>
      <c r="J3" s="203" t="s">
        <v>1526</v>
      </c>
      <c r="K3" s="41" t="s">
        <v>595</v>
      </c>
      <c r="L3" s="203" t="s">
        <v>1557</v>
      </c>
      <c r="M3" s="231" t="s">
        <v>1578</v>
      </c>
      <c r="N3" s="232">
        <v>45517</v>
      </c>
      <c r="O3" s="232">
        <v>45517</v>
      </c>
      <c r="P3" s="41" t="s">
        <v>595</v>
      </c>
      <c r="Q3" s="282" t="s">
        <v>1557</v>
      </c>
      <c r="R3" s="203" t="s">
        <v>1579</v>
      </c>
      <c r="S3" s="206">
        <v>45518</v>
      </c>
      <c r="T3" s="282" t="s">
        <v>1557</v>
      </c>
      <c r="U3" s="282"/>
      <c r="V3" s="282"/>
      <c r="W3" s="203" t="s">
        <v>589</v>
      </c>
      <c r="X3" s="216" t="s">
        <v>1580</v>
      </c>
    </row>
    <row r="4" spans="1:24" s="137" customFormat="1" ht="30.75" customHeight="1">
      <c r="A4" s="302">
        <v>2</v>
      </c>
      <c r="B4" s="298" t="s">
        <v>1573</v>
      </c>
      <c r="C4" s="46" t="s">
        <v>1574</v>
      </c>
      <c r="D4" s="62" t="s">
        <v>1581</v>
      </c>
      <c r="E4" s="11" t="s">
        <v>1582</v>
      </c>
      <c r="F4" s="17">
        <v>5</v>
      </c>
      <c r="G4" s="17">
        <v>4</v>
      </c>
      <c r="H4" s="83" t="s">
        <v>318</v>
      </c>
      <c r="I4" s="41" t="s">
        <v>1577</v>
      </c>
      <c r="J4" s="203" t="s">
        <v>1526</v>
      </c>
      <c r="K4" s="41" t="s">
        <v>595</v>
      </c>
      <c r="L4" s="203" t="s">
        <v>1557</v>
      </c>
      <c r="M4" s="231" t="s">
        <v>1578</v>
      </c>
      <c r="N4" s="232">
        <v>45517</v>
      </c>
      <c r="O4" s="232">
        <v>45517</v>
      </c>
      <c r="P4" s="41" t="s">
        <v>595</v>
      </c>
      <c r="Q4" s="282" t="s">
        <v>1557</v>
      </c>
      <c r="R4" s="203" t="s">
        <v>1579</v>
      </c>
      <c r="S4" s="206">
        <v>45518</v>
      </c>
      <c r="T4" s="282" t="s">
        <v>1557</v>
      </c>
      <c r="U4" s="282"/>
      <c r="V4" s="282"/>
      <c r="W4" s="138" t="s">
        <v>589</v>
      </c>
      <c r="X4" s="216" t="s">
        <v>1580</v>
      </c>
    </row>
    <row r="5" spans="1:24" ht="24.75" customHeight="1">
      <c r="A5" s="228">
        <v>3</v>
      </c>
      <c r="B5" s="298" t="s">
        <v>1573</v>
      </c>
      <c r="C5" s="46" t="s">
        <v>1574</v>
      </c>
      <c r="D5" s="283" t="s">
        <v>1583</v>
      </c>
      <c r="E5" s="11" t="s">
        <v>1584</v>
      </c>
      <c r="F5" s="17">
        <v>1</v>
      </c>
      <c r="G5" s="17">
        <v>1</v>
      </c>
      <c r="H5" s="83" t="s">
        <v>318</v>
      </c>
      <c r="I5" s="41" t="s">
        <v>1577</v>
      </c>
      <c r="J5" s="203" t="s">
        <v>1526</v>
      </c>
      <c r="K5" s="41" t="s">
        <v>595</v>
      </c>
      <c r="L5" s="203" t="s">
        <v>1557</v>
      </c>
      <c r="M5" s="231" t="s">
        <v>1578</v>
      </c>
      <c r="N5" s="232">
        <v>45517</v>
      </c>
      <c r="O5" s="232">
        <v>45517</v>
      </c>
      <c r="P5" s="41" t="s">
        <v>595</v>
      </c>
      <c r="Q5" s="282" t="s">
        <v>1557</v>
      </c>
      <c r="R5" s="203" t="s">
        <v>1579</v>
      </c>
      <c r="S5" s="206">
        <v>45518</v>
      </c>
      <c r="T5" s="282" t="s">
        <v>1557</v>
      </c>
      <c r="U5" s="282"/>
      <c r="V5" s="282"/>
      <c r="W5" s="138" t="s">
        <v>589</v>
      </c>
      <c r="X5" s="216" t="s">
        <v>1580</v>
      </c>
    </row>
    <row r="6" spans="1:24">
      <c r="B6" s="28"/>
      <c r="C6" s="196"/>
      <c r="D6" s="47"/>
      <c r="E6" s="28"/>
      <c r="F6" s="215"/>
      <c r="G6" s="215"/>
      <c r="H6" s="2"/>
      <c r="I6" s="35"/>
      <c r="K6" s="35"/>
      <c r="M6" s="35"/>
      <c r="N6" s="35"/>
      <c r="O6" s="35"/>
      <c r="P6" s="35"/>
    </row>
    <row r="7" spans="1:24">
      <c r="B7" s="28"/>
      <c r="C7" s="196"/>
      <c r="D7" s="47"/>
      <c r="E7" s="28"/>
      <c r="F7" s="215"/>
      <c r="G7" s="215"/>
      <c r="H7" s="2"/>
      <c r="I7" s="35"/>
      <c r="K7" s="35"/>
      <c r="M7" s="35"/>
      <c r="N7" s="35"/>
      <c r="O7" s="35"/>
      <c r="P7" s="35"/>
    </row>
    <row r="8" spans="1:24">
      <c r="B8" s="28"/>
      <c r="C8" s="196"/>
      <c r="D8" s="47"/>
      <c r="E8" s="28"/>
      <c r="F8" s="215"/>
      <c r="G8" s="215"/>
      <c r="H8" s="2"/>
      <c r="I8" s="35"/>
      <c r="K8" s="35"/>
      <c r="M8" s="35"/>
      <c r="N8" s="35"/>
      <c r="O8" s="35"/>
      <c r="P8" s="35"/>
    </row>
    <row r="9" spans="1:24">
      <c r="B9" s="28"/>
      <c r="C9" s="196"/>
      <c r="D9" s="47"/>
      <c r="E9" s="28"/>
      <c r="F9" s="215"/>
      <c r="G9" s="215"/>
      <c r="H9" s="2"/>
      <c r="I9" s="35"/>
      <c r="K9" s="35"/>
      <c r="M9" s="35"/>
      <c r="N9" s="35"/>
      <c r="O9" s="35"/>
      <c r="P9" s="35"/>
    </row>
    <row r="10" spans="1:24">
      <c r="B10" s="28"/>
      <c r="C10" s="196"/>
      <c r="D10" s="47"/>
      <c r="E10" s="28"/>
      <c r="F10" s="215"/>
      <c r="G10" s="215"/>
      <c r="H10" s="2"/>
      <c r="I10" s="35"/>
      <c r="K10" s="35"/>
      <c r="M10" s="35"/>
      <c r="N10" s="35"/>
      <c r="O10" s="35"/>
      <c r="P10" s="35"/>
    </row>
    <row r="11" spans="1:24">
      <c r="B11" s="28"/>
      <c r="C11" s="196"/>
      <c r="D11" s="47"/>
      <c r="E11" s="28"/>
      <c r="F11" s="215"/>
      <c r="G11" s="215"/>
      <c r="H11" s="2"/>
      <c r="I11" s="35"/>
      <c r="K11" s="35"/>
      <c r="M11" s="35"/>
      <c r="N11" s="35"/>
      <c r="O11" s="35"/>
      <c r="P11" s="35"/>
    </row>
    <row r="12" spans="1:24">
      <c r="B12" s="28"/>
      <c r="C12" s="196"/>
      <c r="D12" s="47"/>
      <c r="E12" s="28"/>
      <c r="F12" s="215"/>
      <c r="G12" s="215"/>
      <c r="H12" s="2"/>
      <c r="I12" s="35"/>
      <c r="K12" s="35"/>
      <c r="M12" s="35"/>
      <c r="N12" s="35"/>
      <c r="O12" s="35"/>
      <c r="P12" s="35"/>
    </row>
    <row r="13" spans="1:24">
      <c r="B13" s="28"/>
      <c r="C13" s="196"/>
      <c r="D13" s="47"/>
      <c r="E13" s="28"/>
      <c r="F13" s="215"/>
      <c r="G13" s="215"/>
      <c r="H13" s="2"/>
      <c r="I13" s="35"/>
      <c r="K13" s="35"/>
      <c r="M13" s="35"/>
      <c r="N13" s="35"/>
      <c r="O13" s="35"/>
      <c r="P13" s="35"/>
    </row>
    <row r="14" spans="1:24">
      <c r="B14" s="28"/>
      <c r="C14" s="196"/>
      <c r="D14" s="47"/>
      <c r="E14" s="28"/>
      <c r="F14" s="215"/>
      <c r="G14" s="215"/>
      <c r="H14" s="2"/>
      <c r="I14" s="35"/>
      <c r="K14" s="35"/>
      <c r="M14" s="35"/>
      <c r="N14" s="35"/>
      <c r="O14" s="35"/>
      <c r="P14" s="35"/>
    </row>
    <row r="15" spans="1:24">
      <c r="B15" s="28"/>
      <c r="C15" s="196"/>
      <c r="D15" s="47"/>
      <c r="E15" s="28"/>
      <c r="F15" s="215"/>
      <c r="G15" s="215"/>
      <c r="H15" s="2"/>
      <c r="I15" s="35"/>
      <c r="K15" s="35"/>
      <c r="M15" s="35"/>
      <c r="N15" s="35"/>
      <c r="O15" s="35"/>
      <c r="P15" s="35"/>
    </row>
    <row r="16" spans="1:24">
      <c r="B16" s="28"/>
      <c r="C16" s="196"/>
      <c r="D16" s="47"/>
      <c r="E16" s="28"/>
      <c r="F16" s="215"/>
      <c r="G16" s="215"/>
      <c r="H16" s="2"/>
      <c r="I16" s="35"/>
      <c r="K16" s="35"/>
      <c r="M16" s="35"/>
      <c r="N16" s="35"/>
      <c r="O16" s="35"/>
      <c r="P16" s="35"/>
    </row>
    <row r="17" spans="2:16">
      <c r="B17" s="28"/>
      <c r="C17" s="196"/>
      <c r="D17" s="47"/>
      <c r="E17" s="28"/>
      <c r="F17" s="215"/>
      <c r="G17" s="215"/>
      <c r="H17" s="2"/>
      <c r="I17" s="35"/>
      <c r="K17" s="35"/>
      <c r="M17" s="35"/>
      <c r="N17" s="35"/>
      <c r="O17" s="35"/>
      <c r="P17" s="35"/>
    </row>
    <row r="18" spans="2:16">
      <c r="B18" s="28"/>
      <c r="C18" s="196"/>
      <c r="D18" s="47"/>
      <c r="E18" s="28"/>
      <c r="F18" s="215"/>
      <c r="G18" s="215"/>
      <c r="H18" s="2"/>
      <c r="I18" s="35"/>
      <c r="K18" s="35"/>
      <c r="M18" s="35"/>
      <c r="N18" s="35"/>
      <c r="O18" s="35"/>
      <c r="P18" s="35"/>
    </row>
    <row r="19" spans="2:16">
      <c r="B19" s="28"/>
      <c r="C19" s="196"/>
      <c r="D19" s="47"/>
      <c r="E19" s="28"/>
      <c r="F19" s="215"/>
      <c r="G19" s="215"/>
      <c r="H19" s="2"/>
      <c r="I19" s="35"/>
      <c r="K19" s="35"/>
      <c r="M19" s="35"/>
      <c r="N19" s="35"/>
      <c r="O19" s="35"/>
      <c r="P19" s="35"/>
    </row>
    <row r="20" spans="2:16">
      <c r="B20" s="28"/>
      <c r="C20" s="196"/>
      <c r="D20" s="47"/>
      <c r="E20" s="28"/>
      <c r="F20" s="215"/>
      <c r="G20" s="215"/>
      <c r="H20" s="2"/>
      <c r="I20" s="35"/>
      <c r="K20" s="35"/>
      <c r="M20" s="35"/>
      <c r="N20" s="35"/>
      <c r="O20" s="35"/>
      <c r="P20" s="35"/>
    </row>
    <row r="21" spans="2:16">
      <c r="B21" s="28"/>
      <c r="C21" s="196"/>
      <c r="D21" s="47"/>
      <c r="E21" s="28"/>
      <c r="F21" s="215"/>
      <c r="G21" s="215"/>
      <c r="H21" s="2"/>
      <c r="I21" s="35"/>
      <c r="K21" s="35"/>
      <c r="M21" s="35"/>
      <c r="N21" s="35"/>
      <c r="O21" s="35"/>
      <c r="P21" s="35"/>
    </row>
    <row r="22" spans="2:16">
      <c r="B22" s="28"/>
      <c r="C22" s="196"/>
      <c r="D22" s="47"/>
      <c r="E22" s="28"/>
      <c r="F22" s="215"/>
      <c r="G22" s="215"/>
      <c r="H22" s="2"/>
      <c r="I22" s="35"/>
      <c r="K22" s="35"/>
      <c r="M22" s="35"/>
      <c r="N22" s="35"/>
      <c r="O22" s="35"/>
      <c r="P22" s="35"/>
    </row>
    <row r="23" spans="2:16">
      <c r="B23" s="28"/>
      <c r="C23" s="196"/>
      <c r="D23" s="47"/>
      <c r="E23" s="28"/>
      <c r="F23" s="215"/>
      <c r="G23" s="215"/>
      <c r="H23" s="2"/>
      <c r="I23" s="35"/>
      <c r="K23" s="35"/>
      <c r="M23" s="35"/>
      <c r="N23" s="35"/>
      <c r="O23" s="35"/>
      <c r="P23" s="35"/>
    </row>
    <row r="24" spans="2:16">
      <c r="B24" s="28"/>
      <c r="C24" s="196"/>
      <c r="D24" s="47"/>
      <c r="E24" s="28"/>
      <c r="F24" s="215"/>
      <c r="G24" s="215"/>
      <c r="H24" s="2"/>
      <c r="I24" s="35"/>
      <c r="K24" s="35"/>
      <c r="M24" s="35"/>
      <c r="N24" s="35"/>
      <c r="O24" s="35"/>
      <c r="P24" s="35"/>
    </row>
    <row r="25" spans="2:16">
      <c r="B25" s="28"/>
      <c r="C25" s="196"/>
      <c r="D25" s="47"/>
      <c r="E25" s="28"/>
      <c r="F25" s="215"/>
      <c r="G25" s="215"/>
      <c r="H25" s="2"/>
      <c r="I25" s="35"/>
      <c r="K25" s="35"/>
      <c r="M25" s="35"/>
      <c r="N25" s="35"/>
      <c r="O25" s="35"/>
      <c r="P25" s="35"/>
    </row>
    <row r="26" spans="2:16">
      <c r="B26" s="28"/>
      <c r="C26" s="196"/>
      <c r="D26" s="47"/>
      <c r="E26" s="28"/>
      <c r="F26" s="215"/>
      <c r="G26" s="215"/>
      <c r="H26" s="2"/>
      <c r="I26" s="35"/>
      <c r="K26" s="35"/>
      <c r="M26" s="35"/>
      <c r="N26" s="35"/>
      <c r="O26" s="35"/>
      <c r="P26" s="35"/>
    </row>
    <row r="27" spans="2:16">
      <c r="B27" s="28"/>
      <c r="C27" s="196"/>
      <c r="D27" s="47"/>
      <c r="E27" s="28"/>
      <c r="F27" s="215"/>
      <c r="G27" s="215"/>
      <c r="H27" s="2"/>
      <c r="I27" s="35"/>
      <c r="K27" s="35"/>
      <c r="M27" s="35"/>
      <c r="N27" s="35"/>
      <c r="O27" s="35"/>
      <c r="P27" s="35"/>
    </row>
    <row r="28" spans="2:16">
      <c r="B28" s="28"/>
      <c r="C28" s="196"/>
      <c r="D28" s="47"/>
      <c r="E28" s="28"/>
      <c r="F28" s="215"/>
      <c r="G28" s="215"/>
      <c r="H28" s="2"/>
      <c r="I28" s="35"/>
      <c r="K28" s="35"/>
      <c r="M28" s="35"/>
      <c r="N28" s="35"/>
      <c r="O28" s="35"/>
      <c r="P28" s="35"/>
    </row>
    <row r="29" spans="2:16">
      <c r="B29" s="28"/>
      <c r="C29" s="196"/>
      <c r="D29" s="47"/>
      <c r="E29" s="28"/>
      <c r="F29" s="215"/>
      <c r="G29" s="215"/>
      <c r="H29" s="2"/>
      <c r="I29" s="35"/>
      <c r="K29" s="35"/>
      <c r="M29" s="35"/>
      <c r="N29" s="35"/>
      <c r="O29" s="35"/>
      <c r="P29" s="35"/>
    </row>
    <row r="30" spans="2:16">
      <c r="B30" s="28"/>
      <c r="C30" s="196"/>
      <c r="D30" s="47"/>
      <c r="E30" s="28"/>
      <c r="F30" s="215"/>
      <c r="G30" s="215"/>
      <c r="H30" s="2"/>
      <c r="I30" s="35"/>
      <c r="K30" s="35"/>
      <c r="M30" s="35"/>
      <c r="N30" s="35"/>
      <c r="O30" s="35"/>
      <c r="P30" s="35"/>
    </row>
    <row r="31" spans="2:16">
      <c r="B31" s="28"/>
      <c r="C31" s="196"/>
      <c r="D31" s="47"/>
      <c r="E31" s="28"/>
      <c r="F31" s="215"/>
      <c r="G31" s="215"/>
      <c r="H31" s="2"/>
      <c r="I31" s="35"/>
      <c r="K31" s="35"/>
      <c r="M31" s="35"/>
      <c r="N31" s="35"/>
      <c r="O31" s="35"/>
      <c r="P31" s="35"/>
    </row>
    <row r="32" spans="2:16">
      <c r="B32" s="28"/>
      <c r="C32" s="196"/>
      <c r="D32" s="47"/>
      <c r="E32" s="28"/>
      <c r="F32" s="215"/>
      <c r="G32" s="215"/>
      <c r="H32" s="2"/>
      <c r="I32" s="35"/>
      <c r="K32" s="35"/>
      <c r="M32" s="35"/>
      <c r="N32" s="35"/>
      <c r="O32" s="35"/>
      <c r="P32" s="35"/>
    </row>
    <row r="33" spans="2:16">
      <c r="B33" s="28"/>
      <c r="C33" s="196"/>
      <c r="D33" s="47"/>
      <c r="E33" s="28"/>
      <c r="F33" s="215"/>
      <c r="G33" s="215"/>
      <c r="H33" s="2"/>
      <c r="I33" s="35"/>
      <c r="K33" s="35"/>
      <c r="M33" s="35"/>
      <c r="N33" s="35"/>
      <c r="O33" s="35"/>
      <c r="P33" s="35"/>
    </row>
    <row r="34" spans="2:16">
      <c r="B34" s="28"/>
      <c r="C34" s="196"/>
      <c r="D34" s="47"/>
      <c r="E34" s="28"/>
      <c r="F34" s="215"/>
      <c r="G34" s="215"/>
      <c r="H34" s="2"/>
      <c r="I34" s="35"/>
      <c r="K34" s="35"/>
      <c r="M34" s="35"/>
      <c r="N34" s="35"/>
      <c r="O34" s="35"/>
      <c r="P34" s="35"/>
    </row>
    <row r="35" spans="2:16">
      <c r="B35" s="28"/>
      <c r="C35" s="196"/>
      <c r="D35" s="47"/>
      <c r="E35" s="28"/>
      <c r="F35" s="215"/>
      <c r="G35" s="215"/>
      <c r="H35" s="2"/>
      <c r="I35" s="35"/>
      <c r="K35" s="35"/>
      <c r="M35" s="35"/>
      <c r="N35" s="35"/>
      <c r="O35" s="35"/>
      <c r="P35" s="35"/>
    </row>
    <row r="36" spans="2:16">
      <c r="B36" s="28"/>
      <c r="C36" s="196"/>
      <c r="D36" s="47"/>
      <c r="E36" s="28"/>
      <c r="F36" s="215"/>
      <c r="G36" s="215"/>
      <c r="H36" s="2"/>
      <c r="I36" s="35"/>
      <c r="K36" s="35"/>
      <c r="M36" s="35"/>
      <c r="N36" s="35"/>
      <c r="O36" s="35"/>
      <c r="P36" s="35"/>
    </row>
    <row r="37" spans="2:16">
      <c r="B37" s="28"/>
      <c r="C37" s="196"/>
      <c r="D37" s="47"/>
      <c r="E37" s="28"/>
      <c r="F37" s="215"/>
      <c r="G37" s="215"/>
      <c r="H37" s="2"/>
      <c r="I37" s="35"/>
      <c r="K37" s="35"/>
      <c r="M37" s="35"/>
      <c r="N37" s="35"/>
      <c r="O37" s="35"/>
      <c r="P37" s="35"/>
    </row>
    <row r="38" spans="2:16">
      <c r="B38" s="28"/>
      <c r="C38" s="196"/>
      <c r="D38" s="47"/>
      <c r="E38" s="28"/>
      <c r="F38" s="215"/>
      <c r="G38" s="215"/>
      <c r="H38" s="2"/>
      <c r="I38" s="35"/>
      <c r="K38" s="35"/>
      <c r="M38" s="35"/>
      <c r="N38" s="35"/>
      <c r="O38" s="35"/>
      <c r="P38" s="35"/>
    </row>
    <row r="39" spans="2:16">
      <c r="B39" s="28"/>
      <c r="C39" s="196"/>
      <c r="D39" s="47"/>
      <c r="E39" s="28"/>
      <c r="F39" s="215"/>
      <c r="G39" s="215"/>
      <c r="H39" s="2"/>
      <c r="I39" s="35"/>
      <c r="K39" s="35"/>
      <c r="M39" s="35"/>
      <c r="N39" s="35"/>
      <c r="O39" s="35"/>
      <c r="P39" s="35"/>
    </row>
    <row r="40" spans="2:16">
      <c r="B40" s="28"/>
      <c r="C40" s="196"/>
      <c r="D40" s="47"/>
      <c r="E40" s="28"/>
      <c r="F40" s="215"/>
      <c r="G40" s="215"/>
      <c r="H40" s="2"/>
      <c r="I40" s="35"/>
      <c r="K40" s="35"/>
      <c r="M40" s="35"/>
      <c r="N40" s="35"/>
      <c r="O40" s="35"/>
      <c r="P40" s="35"/>
    </row>
    <row r="41" spans="2:16">
      <c r="B41" s="28"/>
      <c r="C41" s="196"/>
      <c r="D41" s="47"/>
      <c r="E41" s="28"/>
      <c r="F41" s="215"/>
      <c r="G41" s="215"/>
      <c r="H41" s="2"/>
      <c r="I41" s="35"/>
      <c r="K41" s="35"/>
      <c r="M41" s="35"/>
      <c r="N41" s="35"/>
      <c r="O41" s="35"/>
      <c r="P41" s="35"/>
    </row>
    <row r="42" spans="2:16">
      <c r="B42" s="28"/>
      <c r="C42" s="196"/>
      <c r="D42" s="47"/>
      <c r="E42" s="28"/>
      <c r="F42" s="215"/>
      <c r="G42" s="215"/>
      <c r="H42" s="2"/>
      <c r="I42" s="35"/>
      <c r="K42" s="35"/>
      <c r="M42" s="35"/>
      <c r="N42" s="35"/>
      <c r="O42" s="35"/>
      <c r="P42" s="35"/>
    </row>
    <row r="43" spans="2:16">
      <c r="B43" s="28"/>
      <c r="C43" s="196"/>
      <c r="D43" s="47"/>
      <c r="E43" s="28"/>
      <c r="F43" s="215"/>
      <c r="G43" s="215"/>
      <c r="H43" s="2"/>
      <c r="I43" s="35"/>
      <c r="K43" s="35"/>
      <c r="M43" s="35"/>
      <c r="N43" s="35"/>
      <c r="O43" s="35"/>
      <c r="P43" s="35"/>
    </row>
    <row r="44" spans="2:16">
      <c r="B44" s="28"/>
      <c r="C44" s="196"/>
      <c r="D44" s="47"/>
      <c r="E44" s="28"/>
      <c r="F44" s="215"/>
      <c r="G44" s="215"/>
      <c r="H44" s="2"/>
      <c r="I44" s="35"/>
      <c r="K44" s="35"/>
      <c r="M44" s="35"/>
      <c r="N44" s="35"/>
      <c r="O44" s="35"/>
      <c r="P44" s="35"/>
    </row>
    <row r="45" spans="2:16">
      <c r="B45" s="28"/>
      <c r="C45" s="196"/>
      <c r="D45" s="47"/>
      <c r="E45" s="28"/>
      <c r="F45" s="215"/>
      <c r="G45" s="215"/>
      <c r="H45" s="2"/>
      <c r="I45" s="35"/>
      <c r="K45" s="35"/>
      <c r="M45" s="35"/>
      <c r="N45" s="35"/>
      <c r="O45" s="35"/>
      <c r="P45" s="35"/>
    </row>
    <row r="46" spans="2:16">
      <c r="B46" s="28"/>
      <c r="C46" s="196"/>
      <c r="D46" s="47"/>
      <c r="E46" s="28"/>
      <c r="F46" s="215"/>
      <c r="G46" s="215"/>
      <c r="H46" s="2"/>
      <c r="I46" s="35"/>
      <c r="K46" s="35"/>
      <c r="M46" s="35"/>
      <c r="N46" s="35"/>
      <c r="O46" s="35"/>
      <c r="P46" s="35"/>
    </row>
    <row r="47" spans="2:16">
      <c r="B47" s="28"/>
      <c r="C47" s="196"/>
      <c r="D47" s="47"/>
      <c r="E47" s="28"/>
      <c r="F47" s="215"/>
      <c r="G47" s="215"/>
      <c r="H47" s="2"/>
      <c r="I47" s="35"/>
      <c r="K47" s="35"/>
      <c r="M47" s="35"/>
      <c r="N47" s="35"/>
      <c r="O47" s="35"/>
      <c r="P47" s="35"/>
    </row>
    <row r="48" spans="2:16">
      <c r="B48" s="28"/>
      <c r="C48" s="196"/>
      <c r="D48" s="47"/>
      <c r="E48" s="28"/>
      <c r="F48" s="215"/>
      <c r="G48" s="215"/>
      <c r="H48" s="2"/>
      <c r="I48" s="35"/>
      <c r="K48" s="35"/>
      <c r="M48" s="35"/>
      <c r="N48" s="35"/>
      <c r="O48" s="35"/>
      <c r="P48" s="35"/>
    </row>
    <row r="49" spans="2:16">
      <c r="B49" s="28"/>
      <c r="C49" s="196"/>
      <c r="D49" s="47"/>
      <c r="E49" s="28"/>
      <c r="F49" s="215"/>
      <c r="G49" s="215"/>
      <c r="H49" s="2"/>
      <c r="I49" s="35"/>
      <c r="K49" s="35"/>
      <c r="M49" s="35"/>
      <c r="N49" s="35"/>
      <c r="O49" s="35"/>
      <c r="P49" s="35"/>
    </row>
    <row r="50" spans="2:16">
      <c r="B50" s="28"/>
      <c r="C50" s="196"/>
      <c r="D50" s="47"/>
      <c r="E50" s="28"/>
      <c r="F50" s="215"/>
      <c r="G50" s="215"/>
      <c r="H50" s="2"/>
      <c r="I50" s="35"/>
      <c r="K50" s="35"/>
      <c r="M50" s="35"/>
      <c r="N50" s="35"/>
      <c r="O50" s="35"/>
      <c r="P50" s="35"/>
    </row>
    <row r="51" spans="2:16">
      <c r="B51" s="28"/>
      <c r="C51" s="196"/>
      <c r="D51" s="47"/>
      <c r="E51" s="28"/>
      <c r="F51" s="215"/>
      <c r="G51" s="215"/>
      <c r="H51" s="2"/>
      <c r="I51" s="35"/>
      <c r="K51" s="35"/>
      <c r="M51" s="35"/>
      <c r="N51" s="35"/>
      <c r="O51" s="35"/>
      <c r="P51" s="35"/>
    </row>
    <row r="52" spans="2:16">
      <c r="B52" s="28"/>
      <c r="C52" s="196"/>
      <c r="D52" s="47"/>
      <c r="E52" s="28"/>
      <c r="F52" s="215"/>
      <c r="G52" s="215"/>
      <c r="H52" s="2"/>
      <c r="I52" s="35"/>
      <c r="K52" s="35"/>
      <c r="M52" s="35"/>
      <c r="N52" s="35"/>
      <c r="O52" s="35"/>
      <c r="P52" s="35"/>
    </row>
    <row r="53" spans="2:16">
      <c r="B53" s="28"/>
      <c r="C53" s="196"/>
      <c r="D53" s="47"/>
      <c r="E53" s="28"/>
      <c r="F53" s="215"/>
      <c r="G53" s="215"/>
      <c r="H53" s="2"/>
      <c r="I53" s="35"/>
      <c r="K53" s="35"/>
      <c r="M53" s="35"/>
      <c r="N53" s="35"/>
      <c r="O53" s="35"/>
      <c r="P53" s="35"/>
    </row>
    <row r="54" spans="2:16">
      <c r="B54" s="28"/>
      <c r="C54" s="196"/>
      <c r="D54" s="47"/>
      <c r="E54" s="28"/>
      <c r="F54" s="215"/>
      <c r="G54" s="215"/>
      <c r="H54" s="2"/>
      <c r="I54" s="35"/>
      <c r="K54" s="35"/>
      <c r="M54" s="35"/>
      <c r="N54" s="35"/>
      <c r="O54" s="35"/>
      <c r="P54" s="35"/>
    </row>
    <row r="55" spans="2:16">
      <c r="B55" s="28"/>
      <c r="C55" s="196"/>
      <c r="D55" s="47"/>
      <c r="E55" s="28"/>
      <c r="F55" s="215"/>
      <c r="G55" s="215"/>
      <c r="H55" s="2"/>
      <c r="I55" s="35"/>
      <c r="K55" s="35"/>
      <c r="M55" s="35"/>
      <c r="N55" s="35"/>
      <c r="O55" s="35"/>
      <c r="P55" s="35"/>
    </row>
    <row r="56" spans="2:16">
      <c r="B56" s="28"/>
      <c r="C56" s="196"/>
      <c r="D56" s="47"/>
      <c r="E56" s="28"/>
      <c r="F56" s="215"/>
      <c r="G56" s="215"/>
      <c r="H56" s="2"/>
      <c r="I56" s="35"/>
      <c r="K56" s="35"/>
      <c r="M56" s="35"/>
      <c r="N56" s="35"/>
      <c r="O56" s="35"/>
      <c r="P56" s="35"/>
    </row>
    <row r="57" spans="2:16">
      <c r="B57" s="28"/>
      <c r="C57" s="196"/>
      <c r="D57" s="47"/>
      <c r="E57" s="28"/>
      <c r="F57" s="215"/>
      <c r="G57" s="215"/>
      <c r="H57" s="2"/>
      <c r="I57" s="35"/>
      <c r="K57" s="35"/>
      <c r="M57" s="35"/>
      <c r="N57" s="35"/>
      <c r="O57" s="35"/>
      <c r="P57" s="35"/>
    </row>
    <row r="58" spans="2:16">
      <c r="B58" s="28"/>
      <c r="C58" s="196"/>
      <c r="D58" s="47"/>
      <c r="E58" s="28"/>
      <c r="F58" s="215"/>
      <c r="G58" s="215"/>
      <c r="H58" s="2"/>
      <c r="I58" s="35"/>
      <c r="K58" s="35"/>
      <c r="M58" s="35"/>
      <c r="N58" s="35"/>
      <c r="O58" s="35"/>
      <c r="P58" s="35"/>
    </row>
    <row r="59" spans="2:16">
      <c r="B59" s="28"/>
      <c r="C59" s="196"/>
      <c r="D59" s="47"/>
      <c r="E59" s="28"/>
      <c r="F59" s="215"/>
      <c r="G59" s="215"/>
      <c r="H59" s="2"/>
      <c r="I59" s="35"/>
      <c r="K59" s="35"/>
      <c r="M59" s="35"/>
      <c r="N59" s="35"/>
      <c r="O59" s="35"/>
      <c r="P59" s="35"/>
    </row>
    <row r="60" spans="2:16">
      <c r="B60" s="28"/>
      <c r="C60" s="196"/>
      <c r="D60" s="47"/>
      <c r="E60" s="28"/>
      <c r="F60" s="215"/>
      <c r="G60" s="215"/>
      <c r="H60" s="2"/>
      <c r="I60" s="35"/>
      <c r="K60" s="35"/>
      <c r="M60" s="35"/>
      <c r="N60" s="35"/>
      <c r="O60" s="35"/>
      <c r="P60" s="35"/>
    </row>
    <row r="61" spans="2:16">
      <c r="B61" s="28"/>
      <c r="C61" s="196"/>
      <c r="D61" s="47"/>
      <c r="E61" s="28"/>
      <c r="F61" s="215"/>
      <c r="G61" s="215"/>
      <c r="H61" s="2"/>
      <c r="I61" s="35"/>
      <c r="K61" s="35"/>
      <c r="M61" s="35"/>
      <c r="N61" s="35"/>
      <c r="O61" s="35"/>
      <c r="P61" s="35"/>
    </row>
    <row r="62" spans="2:16">
      <c r="B62" s="28"/>
      <c r="C62" s="196"/>
      <c r="D62" s="47"/>
      <c r="E62" s="28"/>
      <c r="F62" s="215"/>
      <c r="G62" s="215"/>
      <c r="H62" s="2"/>
      <c r="I62" s="35"/>
      <c r="K62" s="35"/>
      <c r="M62" s="35"/>
      <c r="N62" s="35"/>
      <c r="O62" s="35"/>
      <c r="P62" s="35"/>
    </row>
    <row r="63" spans="2:16">
      <c r="B63" s="28"/>
      <c r="C63" s="196"/>
      <c r="D63" s="47"/>
      <c r="E63" s="28"/>
      <c r="F63" s="215"/>
      <c r="G63" s="215"/>
      <c r="H63" s="2"/>
      <c r="I63" s="35"/>
      <c r="K63" s="35"/>
      <c r="M63" s="35"/>
      <c r="N63" s="35"/>
      <c r="O63" s="35"/>
      <c r="P63" s="35"/>
    </row>
    <row r="64" spans="2:16">
      <c r="B64" s="28"/>
      <c r="C64" s="196"/>
      <c r="D64" s="47"/>
      <c r="E64" s="28"/>
      <c r="F64" s="215"/>
      <c r="G64" s="215"/>
      <c r="H64" s="2"/>
      <c r="I64" s="35"/>
      <c r="K64" s="35"/>
      <c r="M64" s="35"/>
      <c r="N64" s="35"/>
      <c r="O64" s="35"/>
      <c r="P64" s="35"/>
    </row>
    <row r="65" spans="2:16">
      <c r="B65" s="28"/>
      <c r="C65" s="196"/>
      <c r="D65" s="47"/>
      <c r="E65" s="28"/>
      <c r="F65" s="215"/>
      <c r="G65" s="215"/>
      <c r="H65" s="2"/>
      <c r="I65" s="35"/>
      <c r="K65" s="35"/>
      <c r="M65" s="35"/>
      <c r="N65" s="35"/>
      <c r="O65" s="35"/>
      <c r="P65" s="35"/>
    </row>
    <row r="66" spans="2:16">
      <c r="B66" s="28"/>
      <c r="C66" s="196"/>
      <c r="D66" s="47"/>
      <c r="E66" s="28"/>
      <c r="F66" s="215"/>
      <c r="G66" s="215"/>
      <c r="H66" s="2"/>
      <c r="I66" s="35"/>
      <c r="K66" s="35"/>
      <c r="M66" s="35"/>
      <c r="N66" s="35"/>
      <c r="O66" s="35"/>
      <c r="P66" s="35"/>
    </row>
    <row r="67" spans="2:16">
      <c r="B67" s="28"/>
      <c r="C67" s="196"/>
      <c r="D67" s="47"/>
      <c r="E67" s="28"/>
      <c r="F67" s="215"/>
      <c r="G67" s="215"/>
      <c r="H67" s="2"/>
      <c r="I67" s="35"/>
      <c r="K67" s="35"/>
      <c r="M67" s="35"/>
      <c r="N67" s="35"/>
      <c r="O67" s="35"/>
      <c r="P67" s="35"/>
    </row>
    <row r="68" spans="2:16">
      <c r="B68" s="28"/>
      <c r="C68" s="196"/>
      <c r="D68" s="47"/>
      <c r="E68" s="28"/>
      <c r="F68" s="215"/>
      <c r="G68" s="215"/>
      <c r="H68" s="2"/>
      <c r="I68" s="35"/>
      <c r="K68" s="35"/>
      <c r="M68" s="35"/>
      <c r="N68" s="35"/>
      <c r="O68" s="35"/>
      <c r="P68" s="35"/>
    </row>
    <row r="69" spans="2:16">
      <c r="B69" s="28"/>
      <c r="C69" s="196"/>
      <c r="D69" s="47"/>
      <c r="E69" s="28"/>
      <c r="F69" s="215"/>
      <c r="G69" s="215"/>
      <c r="H69" s="2"/>
      <c r="I69" s="35"/>
      <c r="K69" s="35"/>
      <c r="M69" s="35"/>
      <c r="N69" s="35"/>
      <c r="O69" s="35"/>
      <c r="P69" s="35"/>
    </row>
    <row r="70" spans="2:16">
      <c r="B70" s="28"/>
      <c r="C70" s="196"/>
      <c r="D70" s="47"/>
      <c r="E70" s="28"/>
      <c r="F70" s="215"/>
      <c r="G70" s="215"/>
      <c r="H70" s="2"/>
      <c r="I70" s="35"/>
      <c r="K70" s="35"/>
      <c r="M70" s="35"/>
      <c r="N70" s="35"/>
      <c r="O70" s="35"/>
      <c r="P70" s="35"/>
    </row>
    <row r="71" spans="2:16">
      <c r="B71" s="28"/>
      <c r="C71" s="196"/>
      <c r="D71" s="47"/>
      <c r="E71" s="28"/>
      <c r="F71" s="215"/>
      <c r="G71" s="215"/>
      <c r="H71" s="2"/>
      <c r="I71" s="35"/>
      <c r="K71" s="35"/>
      <c r="M71" s="35"/>
      <c r="N71" s="35"/>
      <c r="O71" s="35"/>
      <c r="P71" s="35"/>
    </row>
    <row r="72" spans="2:16">
      <c r="B72" s="28"/>
      <c r="C72" s="196"/>
      <c r="D72" s="47"/>
      <c r="E72" s="28"/>
      <c r="F72" s="215"/>
      <c r="G72" s="215"/>
      <c r="H72" s="2"/>
      <c r="I72" s="35"/>
      <c r="K72" s="35"/>
      <c r="M72" s="35"/>
      <c r="N72" s="35"/>
      <c r="O72" s="35"/>
      <c r="P72" s="35"/>
    </row>
    <row r="73" spans="2:16">
      <c r="B73" s="28"/>
      <c r="C73" s="196"/>
      <c r="D73" s="47"/>
      <c r="E73" s="28"/>
      <c r="F73" s="215"/>
      <c r="G73" s="215"/>
      <c r="H73" s="2"/>
      <c r="I73" s="35"/>
      <c r="K73" s="35"/>
      <c r="M73" s="35"/>
      <c r="N73" s="35"/>
      <c r="O73" s="35"/>
      <c r="P73" s="35"/>
    </row>
    <row r="74" spans="2:16">
      <c r="B74" s="28"/>
      <c r="C74" s="196"/>
      <c r="D74" s="47"/>
      <c r="E74" s="28"/>
      <c r="F74" s="215"/>
      <c r="G74" s="215"/>
      <c r="H74" s="2"/>
      <c r="I74" s="35"/>
      <c r="K74" s="35"/>
      <c r="M74" s="35"/>
      <c r="N74" s="35"/>
      <c r="O74" s="35"/>
      <c r="P74" s="35"/>
    </row>
    <row r="75" spans="2:16">
      <c r="B75" s="28"/>
      <c r="C75" s="196"/>
      <c r="D75" s="47"/>
      <c r="E75" s="28"/>
      <c r="F75" s="215"/>
      <c r="G75" s="215"/>
      <c r="H75" s="2"/>
      <c r="I75" s="35"/>
      <c r="K75" s="35"/>
      <c r="M75" s="35"/>
      <c r="N75" s="35"/>
      <c r="O75" s="35"/>
      <c r="P75" s="35"/>
    </row>
    <row r="76" spans="2:16">
      <c r="B76" s="28"/>
      <c r="C76" s="196"/>
      <c r="D76" s="47"/>
      <c r="E76" s="28"/>
      <c r="F76" s="215"/>
      <c r="G76" s="215"/>
      <c r="H76" s="2"/>
      <c r="I76" s="107"/>
      <c r="K76" s="35"/>
      <c r="M76" s="35"/>
      <c r="N76" s="35"/>
      <c r="O76" s="35"/>
      <c r="P76" s="35"/>
    </row>
    <row r="77" spans="2:16">
      <c r="B77" s="28"/>
      <c r="C77" s="196"/>
      <c r="D77" s="47"/>
      <c r="E77" s="28"/>
      <c r="F77" s="215"/>
      <c r="G77" s="215"/>
      <c r="H77" s="2"/>
      <c r="I77" s="19"/>
      <c r="K77" s="35"/>
      <c r="M77" s="35"/>
      <c r="N77" s="35"/>
      <c r="O77" s="35"/>
      <c r="P77" s="35"/>
    </row>
    <row r="78" spans="2:16">
      <c r="B78" s="28"/>
      <c r="C78" s="196"/>
      <c r="D78" s="47"/>
      <c r="E78" s="28"/>
      <c r="F78" s="215"/>
      <c r="G78" s="215"/>
      <c r="H78" s="2"/>
      <c r="I78" s="19"/>
      <c r="K78" s="35"/>
      <c r="M78" s="35"/>
      <c r="N78" s="35"/>
      <c r="O78" s="35"/>
      <c r="P78" s="35"/>
    </row>
    <row r="79" spans="2:16">
      <c r="B79" s="28"/>
      <c r="C79" s="196"/>
      <c r="D79" s="47"/>
      <c r="E79" s="28"/>
      <c r="F79" s="215"/>
      <c r="G79" s="215"/>
      <c r="H79" s="2"/>
      <c r="I79" s="19"/>
      <c r="K79" s="35"/>
      <c r="M79" s="35"/>
      <c r="N79" s="35"/>
      <c r="O79" s="35"/>
      <c r="P79" s="35"/>
    </row>
    <row r="80" spans="2:16">
      <c r="B80" s="28"/>
      <c r="C80" s="196"/>
      <c r="D80" s="47"/>
      <c r="E80" s="28"/>
      <c r="F80" s="215"/>
      <c r="G80" s="215"/>
      <c r="H80" s="2"/>
      <c r="I80" s="19"/>
      <c r="K80" s="35"/>
      <c r="M80" s="35"/>
      <c r="N80" s="35"/>
      <c r="O80" s="35"/>
      <c r="P80" s="35"/>
    </row>
    <row r="81" spans="2:16">
      <c r="B81" s="28"/>
      <c r="C81" s="196"/>
      <c r="D81" s="47"/>
      <c r="E81" s="28"/>
      <c r="F81" s="215"/>
      <c r="G81" s="215"/>
      <c r="H81" s="2"/>
      <c r="I81" s="19"/>
      <c r="K81" s="35"/>
      <c r="M81" s="35"/>
      <c r="N81" s="35"/>
      <c r="O81" s="35"/>
      <c r="P81" s="35"/>
    </row>
    <row r="82" spans="2:16">
      <c r="B82" s="28"/>
      <c r="C82" s="196"/>
      <c r="D82" s="47"/>
      <c r="E82" s="28"/>
      <c r="F82" s="215"/>
      <c r="G82" s="215"/>
      <c r="H82" s="2"/>
      <c r="I82" s="19"/>
      <c r="K82" s="35"/>
      <c r="M82" s="35"/>
      <c r="N82" s="35"/>
      <c r="O82" s="35"/>
      <c r="P82" s="35"/>
    </row>
    <row r="83" spans="2:16">
      <c r="B83" s="28"/>
      <c r="C83" s="196"/>
      <c r="D83" s="47"/>
      <c r="E83" s="28"/>
      <c r="F83" s="215"/>
      <c r="G83" s="215"/>
      <c r="H83" s="2"/>
      <c r="I83" s="19"/>
      <c r="K83" s="35"/>
      <c r="M83" s="35"/>
      <c r="N83" s="35"/>
      <c r="O83" s="35"/>
      <c r="P83" s="35"/>
    </row>
    <row r="84" spans="2:16">
      <c r="B84" s="28"/>
      <c r="C84" s="196"/>
      <c r="D84" s="47"/>
      <c r="E84" s="28"/>
      <c r="F84" s="215"/>
      <c r="G84" s="215"/>
      <c r="H84" s="2"/>
      <c r="I84" s="19"/>
      <c r="K84" s="35"/>
      <c r="M84" s="35"/>
      <c r="N84" s="35"/>
      <c r="O84" s="35"/>
      <c r="P84" s="35"/>
    </row>
    <row r="85" spans="2:16">
      <c r="B85" s="28"/>
      <c r="C85" s="196"/>
      <c r="D85" s="47"/>
      <c r="E85" s="28"/>
      <c r="F85" s="215"/>
      <c r="G85" s="215"/>
      <c r="H85" s="2"/>
      <c r="I85" s="19"/>
      <c r="K85" s="35"/>
      <c r="M85" s="35"/>
      <c r="N85" s="35"/>
      <c r="O85" s="35"/>
      <c r="P85" s="35"/>
    </row>
    <row r="86" spans="2:16">
      <c r="B86" s="28"/>
      <c r="C86" s="196"/>
      <c r="D86" s="47"/>
      <c r="E86" s="28"/>
      <c r="F86" s="215"/>
      <c r="G86" s="215"/>
      <c r="H86" s="2"/>
      <c r="I86" s="19"/>
      <c r="K86" s="35"/>
      <c r="M86" s="35"/>
      <c r="N86" s="35"/>
      <c r="O86" s="35"/>
      <c r="P86" s="35"/>
    </row>
    <row r="87" spans="2:16">
      <c r="B87" s="28"/>
      <c r="C87" s="196"/>
      <c r="D87" s="47"/>
      <c r="E87" s="28"/>
      <c r="F87" s="215"/>
      <c r="G87" s="215"/>
      <c r="H87" s="2"/>
      <c r="I87" s="19"/>
      <c r="K87" s="35"/>
      <c r="M87" s="35"/>
      <c r="N87" s="35"/>
      <c r="O87" s="35"/>
      <c r="P87" s="35"/>
    </row>
    <row r="88" spans="2:16">
      <c r="B88" s="28"/>
      <c r="C88" s="196"/>
      <c r="D88" s="47"/>
      <c r="E88" s="28"/>
      <c r="F88" s="215"/>
      <c r="G88" s="215"/>
      <c r="H88" s="2"/>
      <c r="I88" s="19"/>
      <c r="K88" s="35"/>
      <c r="M88" s="35"/>
      <c r="N88" s="35"/>
      <c r="O88" s="35"/>
      <c r="P88" s="35"/>
    </row>
    <row r="89" spans="2:16">
      <c r="B89" s="28"/>
      <c r="C89" s="196"/>
      <c r="D89" s="47"/>
      <c r="E89" s="28"/>
      <c r="F89" s="215"/>
      <c r="G89" s="215"/>
      <c r="H89" s="2"/>
      <c r="I89" s="19"/>
      <c r="K89" s="35"/>
      <c r="M89" s="35"/>
      <c r="N89" s="35"/>
      <c r="O89" s="35"/>
      <c r="P89" s="35"/>
    </row>
    <row r="90" spans="2:16">
      <c r="B90" s="28"/>
      <c r="C90" s="196"/>
      <c r="D90" s="47"/>
      <c r="E90" s="28"/>
      <c r="F90" s="215"/>
      <c r="G90" s="215"/>
      <c r="H90" s="2"/>
      <c r="I90" s="19"/>
      <c r="K90" s="35"/>
      <c r="M90" s="35"/>
      <c r="N90" s="35"/>
      <c r="O90" s="35"/>
      <c r="P90" s="35"/>
    </row>
    <row r="91" spans="2:16">
      <c r="B91" s="28"/>
      <c r="C91" s="196"/>
      <c r="D91" s="47"/>
      <c r="E91" s="28"/>
      <c r="F91" s="215"/>
      <c r="G91" s="215"/>
      <c r="H91" s="2"/>
      <c r="I91" s="19"/>
      <c r="K91" s="35"/>
      <c r="M91" s="35"/>
      <c r="N91" s="35"/>
      <c r="O91" s="35"/>
      <c r="P91" s="35"/>
    </row>
    <row r="92" spans="2:16">
      <c r="B92" s="28"/>
      <c r="C92" s="196"/>
      <c r="D92" s="47"/>
      <c r="E92" s="28"/>
      <c r="F92" s="215"/>
      <c r="G92" s="215"/>
      <c r="H92" s="2"/>
      <c r="I92" s="19"/>
      <c r="K92" s="35"/>
      <c r="M92" s="35"/>
      <c r="N92" s="35"/>
      <c r="O92" s="35"/>
      <c r="P92" s="35"/>
    </row>
    <row r="93" spans="2:16">
      <c r="B93" s="28"/>
      <c r="C93" s="196"/>
      <c r="D93" s="47"/>
      <c r="E93" s="28"/>
      <c r="F93" s="215"/>
      <c r="G93" s="215"/>
      <c r="H93" s="2"/>
      <c r="I93" s="19"/>
      <c r="K93" s="35"/>
      <c r="M93" s="35"/>
      <c r="N93" s="35"/>
      <c r="O93" s="35"/>
      <c r="P93" s="35"/>
    </row>
    <row r="94" spans="2:16">
      <c r="B94" s="28"/>
      <c r="C94" s="196"/>
      <c r="D94" s="47"/>
      <c r="E94" s="28"/>
      <c r="F94" s="215"/>
      <c r="G94" s="215"/>
      <c r="H94" s="2"/>
      <c r="I94" s="19"/>
      <c r="K94" s="35"/>
      <c r="M94" s="35"/>
      <c r="N94" s="35"/>
      <c r="O94" s="35"/>
      <c r="P94" s="35"/>
    </row>
    <row r="95" spans="2:16">
      <c r="B95" s="28"/>
      <c r="C95" s="196"/>
      <c r="D95" s="47"/>
      <c r="E95" s="28"/>
      <c r="F95" s="215"/>
      <c r="G95" s="215"/>
      <c r="H95" s="2"/>
      <c r="I95" s="19"/>
      <c r="K95" s="35"/>
      <c r="M95" s="35"/>
      <c r="N95" s="35"/>
      <c r="O95" s="35"/>
      <c r="P95" s="35"/>
    </row>
    <row r="96" spans="2:16">
      <c r="B96" s="28"/>
      <c r="C96" s="196"/>
      <c r="D96" s="47"/>
      <c r="E96" s="28"/>
      <c r="F96" s="215"/>
      <c r="G96" s="215"/>
      <c r="H96" s="2"/>
      <c r="I96" s="19"/>
      <c r="K96" s="35"/>
      <c r="M96" s="35"/>
      <c r="N96" s="35"/>
      <c r="O96" s="35"/>
      <c r="P96" s="35"/>
    </row>
    <row r="97" spans="2:16">
      <c r="B97" s="28"/>
      <c r="C97" s="196"/>
      <c r="D97" s="47"/>
      <c r="E97" s="28"/>
      <c r="F97" s="215"/>
      <c r="G97" s="215"/>
      <c r="H97" s="2"/>
      <c r="I97" s="19"/>
      <c r="K97" s="35"/>
      <c r="M97" s="35"/>
      <c r="N97" s="35"/>
      <c r="O97" s="35"/>
      <c r="P97" s="35"/>
    </row>
    <row r="98" spans="2:16">
      <c r="B98" s="28"/>
      <c r="C98" s="196"/>
      <c r="D98" s="47"/>
      <c r="E98" s="28"/>
      <c r="F98" s="215"/>
      <c r="G98" s="215"/>
      <c r="H98" s="2"/>
      <c r="I98" s="19"/>
      <c r="K98" s="35"/>
      <c r="M98" s="35"/>
      <c r="N98" s="35"/>
      <c r="O98" s="35"/>
      <c r="P98" s="35"/>
    </row>
    <row r="99" spans="2:16">
      <c r="B99" s="28"/>
      <c r="C99" s="196"/>
      <c r="D99" s="47"/>
      <c r="E99" s="28"/>
      <c r="F99" s="215"/>
      <c r="G99" s="215"/>
      <c r="H99" s="2"/>
      <c r="I99" s="19"/>
      <c r="K99" s="35"/>
      <c r="M99" s="35"/>
      <c r="N99" s="35"/>
      <c r="O99" s="35"/>
      <c r="P99" s="35"/>
    </row>
    <row r="100" spans="2:16">
      <c r="B100" s="28"/>
      <c r="C100" s="196"/>
      <c r="D100" s="47"/>
      <c r="E100" s="28"/>
      <c r="F100" s="215"/>
      <c r="G100" s="215"/>
      <c r="H100" s="2"/>
      <c r="I100" s="19"/>
      <c r="K100" s="35"/>
      <c r="M100" s="35"/>
      <c r="N100" s="35"/>
      <c r="O100" s="35"/>
      <c r="P100" s="35"/>
    </row>
    <row r="101" spans="2:16">
      <c r="B101" s="28"/>
      <c r="C101" s="196"/>
      <c r="D101" s="47"/>
      <c r="E101" s="28"/>
      <c r="F101" s="215"/>
      <c r="G101" s="215"/>
      <c r="H101" s="2"/>
      <c r="I101" s="19"/>
      <c r="K101" s="35"/>
      <c r="M101" s="35"/>
      <c r="N101" s="35"/>
      <c r="O101" s="35"/>
      <c r="P101" s="35"/>
    </row>
    <row r="102" spans="2:16">
      <c r="B102" s="28"/>
      <c r="C102" s="196"/>
      <c r="D102" s="47"/>
      <c r="E102" s="28"/>
      <c r="F102" s="215"/>
      <c r="G102" s="215"/>
      <c r="H102" s="2"/>
      <c r="I102" s="19"/>
      <c r="K102" s="35"/>
      <c r="M102" s="35"/>
      <c r="N102" s="35"/>
      <c r="O102" s="35"/>
      <c r="P102" s="35"/>
    </row>
    <row r="103" spans="2:16">
      <c r="B103" s="28"/>
      <c r="C103" s="196"/>
      <c r="D103" s="47"/>
      <c r="E103" s="28"/>
      <c r="F103" s="215"/>
      <c r="G103" s="215"/>
      <c r="H103" s="2"/>
      <c r="I103" s="19"/>
      <c r="K103" s="35"/>
      <c r="M103" s="35"/>
      <c r="N103" s="35"/>
      <c r="O103" s="35"/>
      <c r="P103" s="35"/>
    </row>
    <row r="104" spans="2:16">
      <c r="B104" s="28"/>
      <c r="C104" s="196"/>
      <c r="D104" s="47"/>
      <c r="E104" s="28"/>
      <c r="F104" s="215"/>
      <c r="G104" s="215"/>
      <c r="H104" s="2"/>
      <c r="I104" s="19"/>
      <c r="K104" s="35"/>
      <c r="M104" s="35"/>
      <c r="N104" s="35"/>
      <c r="O104" s="35"/>
      <c r="P104" s="35"/>
    </row>
    <row r="105" spans="2:16">
      <c r="B105" s="28"/>
      <c r="C105" s="196"/>
      <c r="D105" s="47"/>
      <c r="E105" s="28"/>
      <c r="F105" s="215"/>
      <c r="G105" s="215"/>
      <c r="H105" s="2"/>
      <c r="I105" s="19"/>
      <c r="K105" s="35"/>
      <c r="M105" s="35"/>
      <c r="N105" s="35"/>
      <c r="O105" s="35"/>
      <c r="P105" s="35"/>
    </row>
    <row r="106" spans="2:16">
      <c r="B106" s="28"/>
      <c r="C106" s="196"/>
      <c r="D106" s="47"/>
      <c r="E106" s="28"/>
      <c r="F106" s="215"/>
      <c r="G106" s="215"/>
      <c r="H106" s="2"/>
      <c r="I106" s="19"/>
      <c r="K106" s="35"/>
      <c r="M106" s="35"/>
      <c r="N106" s="35"/>
      <c r="O106" s="35"/>
      <c r="P106" s="35"/>
    </row>
    <row r="107" spans="2:16">
      <c r="B107" s="28"/>
      <c r="C107" s="196"/>
      <c r="D107" s="47"/>
      <c r="E107" s="28"/>
      <c r="F107" s="215"/>
      <c r="G107" s="215"/>
      <c r="H107" s="2"/>
      <c r="I107" s="19"/>
      <c r="K107" s="35"/>
      <c r="M107" s="35"/>
      <c r="N107" s="35"/>
      <c r="O107" s="35"/>
      <c r="P107" s="35"/>
    </row>
    <row r="108" spans="2:16">
      <c r="B108" s="28"/>
      <c r="C108" s="196"/>
      <c r="D108" s="47"/>
      <c r="E108" s="28"/>
      <c r="F108" s="215"/>
      <c r="G108" s="215"/>
      <c r="H108" s="2"/>
      <c r="I108" s="19"/>
      <c r="K108" s="35"/>
      <c r="M108" s="35"/>
      <c r="N108" s="35"/>
      <c r="O108" s="35"/>
      <c r="P108" s="35"/>
    </row>
    <row r="109" spans="2:16">
      <c r="B109" s="28"/>
      <c r="C109" s="196"/>
      <c r="D109" s="47"/>
      <c r="E109" s="28"/>
      <c r="F109" s="215"/>
      <c r="G109" s="215"/>
      <c r="H109" s="2"/>
      <c r="I109" s="19"/>
      <c r="K109" s="35"/>
      <c r="M109" s="35"/>
      <c r="N109" s="35"/>
      <c r="O109" s="35"/>
      <c r="P109" s="35"/>
    </row>
    <row r="110" spans="2:16">
      <c r="B110" s="28"/>
      <c r="C110" s="196"/>
      <c r="D110" s="47"/>
      <c r="E110" s="28"/>
      <c r="F110" s="215"/>
      <c r="G110" s="215"/>
      <c r="H110" s="2"/>
      <c r="I110" s="19"/>
      <c r="K110" s="35"/>
      <c r="M110" s="35"/>
      <c r="N110" s="35"/>
      <c r="O110" s="35"/>
      <c r="P110" s="35"/>
    </row>
    <row r="111" spans="2:16">
      <c r="B111" s="28"/>
      <c r="C111" s="196"/>
      <c r="D111" s="47"/>
      <c r="E111" s="28"/>
      <c r="F111" s="215"/>
      <c r="G111" s="215"/>
      <c r="H111" s="2"/>
      <c r="I111" s="19"/>
      <c r="K111" s="35"/>
      <c r="M111" s="35"/>
      <c r="N111" s="35"/>
      <c r="O111" s="35"/>
      <c r="P111" s="35"/>
    </row>
    <row r="112" spans="2:16">
      <c r="B112" s="28"/>
      <c r="C112" s="196"/>
      <c r="D112" s="47"/>
      <c r="E112" s="28"/>
      <c r="F112" s="215"/>
      <c r="G112" s="215"/>
      <c r="H112" s="2"/>
      <c r="I112" s="19"/>
      <c r="K112" s="35"/>
      <c r="M112" s="35"/>
      <c r="N112" s="35"/>
      <c r="O112" s="35"/>
      <c r="P112" s="35"/>
    </row>
    <row r="113" spans="2:16">
      <c r="B113" s="28"/>
      <c r="C113" s="196"/>
      <c r="D113" s="47"/>
      <c r="E113" s="28"/>
      <c r="F113" s="215"/>
      <c r="G113" s="215"/>
      <c r="H113" s="2"/>
      <c r="I113" s="19"/>
      <c r="K113" s="35"/>
      <c r="M113" s="35"/>
      <c r="N113" s="35"/>
      <c r="O113" s="35"/>
      <c r="P113" s="35"/>
    </row>
    <row r="114" spans="2:16">
      <c r="B114" s="28"/>
      <c r="C114" s="196"/>
      <c r="D114" s="47"/>
      <c r="E114" s="28"/>
      <c r="F114" s="215"/>
      <c r="G114" s="215"/>
      <c r="H114" s="2"/>
      <c r="I114" s="19"/>
      <c r="K114" s="35"/>
      <c r="M114" s="35"/>
      <c r="N114" s="35"/>
      <c r="O114" s="35"/>
      <c r="P114" s="35"/>
    </row>
    <row r="115" spans="2:16">
      <c r="B115" s="28"/>
      <c r="C115" s="196"/>
      <c r="D115" s="47"/>
      <c r="E115" s="28"/>
      <c r="F115" s="215"/>
      <c r="G115" s="215"/>
      <c r="H115" s="2"/>
      <c r="I115" s="19"/>
      <c r="K115" s="35"/>
      <c r="M115" s="35"/>
      <c r="N115" s="35"/>
      <c r="O115" s="35"/>
      <c r="P115" s="35"/>
    </row>
    <row r="116" spans="2:16">
      <c r="B116" s="28"/>
      <c r="C116" s="196"/>
      <c r="D116" s="47"/>
      <c r="E116" s="28"/>
      <c r="F116" s="215"/>
      <c r="G116" s="215"/>
      <c r="H116" s="2"/>
      <c r="I116" s="19"/>
      <c r="K116" s="35"/>
      <c r="M116" s="35"/>
      <c r="N116" s="35"/>
      <c r="O116" s="35"/>
      <c r="P116" s="35"/>
    </row>
    <row r="117" spans="2:16">
      <c r="B117" s="28"/>
      <c r="C117" s="196"/>
      <c r="D117" s="47"/>
      <c r="E117" s="28"/>
      <c r="F117" s="215"/>
      <c r="G117" s="215"/>
      <c r="H117" s="2"/>
      <c r="I117" s="19"/>
      <c r="K117" s="35"/>
      <c r="M117" s="35"/>
      <c r="N117" s="35"/>
      <c r="O117" s="35"/>
      <c r="P117" s="35"/>
    </row>
    <row r="118" spans="2:16">
      <c r="B118" s="28"/>
      <c r="C118" s="196"/>
      <c r="D118" s="47"/>
      <c r="E118" s="28"/>
      <c r="F118" s="215"/>
      <c r="G118" s="215"/>
      <c r="H118" s="2"/>
      <c r="I118" s="19"/>
      <c r="K118" s="35"/>
      <c r="M118" s="35"/>
      <c r="N118" s="35"/>
      <c r="O118" s="35"/>
      <c r="P118" s="35"/>
    </row>
    <row r="119" spans="2:16">
      <c r="B119" s="28"/>
      <c r="C119" s="196"/>
      <c r="D119" s="47"/>
      <c r="E119" s="28"/>
      <c r="F119" s="215"/>
      <c r="G119" s="215"/>
      <c r="H119" s="2"/>
      <c r="I119" s="19"/>
      <c r="K119" s="35"/>
      <c r="M119" s="35"/>
      <c r="N119" s="35"/>
      <c r="O119" s="35"/>
      <c r="P119" s="35"/>
    </row>
    <row r="120" spans="2:16">
      <c r="B120" s="28"/>
      <c r="C120" s="196"/>
      <c r="D120" s="47"/>
      <c r="E120" s="28"/>
      <c r="F120" s="215"/>
      <c r="G120" s="215"/>
      <c r="H120" s="2"/>
      <c r="I120" s="19"/>
      <c r="K120" s="35"/>
      <c r="M120" s="35"/>
      <c r="N120" s="35"/>
      <c r="O120" s="35"/>
      <c r="P120" s="35"/>
    </row>
    <row r="121" spans="2:16">
      <c r="B121" s="28"/>
      <c r="C121" s="196"/>
      <c r="D121" s="47"/>
      <c r="E121" s="28"/>
      <c r="F121" s="215"/>
      <c r="G121" s="215"/>
      <c r="H121" s="2"/>
      <c r="I121" s="19"/>
      <c r="K121" s="35"/>
      <c r="M121" s="35"/>
      <c r="N121" s="35"/>
      <c r="O121" s="35"/>
      <c r="P121" s="35"/>
    </row>
    <row r="122" spans="2:16">
      <c r="B122" s="28"/>
      <c r="C122" s="196"/>
      <c r="D122" s="47"/>
      <c r="E122" s="28"/>
      <c r="F122" s="215"/>
      <c r="G122" s="215"/>
      <c r="H122" s="2"/>
      <c r="I122" s="19"/>
      <c r="K122" s="35"/>
      <c r="M122" s="35"/>
      <c r="N122" s="35"/>
      <c r="O122" s="35"/>
      <c r="P122" s="35"/>
    </row>
    <row r="123" spans="2:16">
      <c r="B123" s="28"/>
      <c r="C123" s="196"/>
      <c r="D123" s="47"/>
      <c r="E123" s="28"/>
      <c r="F123" s="215"/>
      <c r="G123" s="215"/>
      <c r="H123" s="2"/>
      <c r="I123" s="19"/>
      <c r="K123" s="35"/>
      <c r="M123" s="35"/>
      <c r="N123" s="35"/>
      <c r="O123" s="35"/>
      <c r="P123" s="35"/>
    </row>
    <row r="124" spans="2:16">
      <c r="B124" s="28"/>
      <c r="C124" s="196"/>
      <c r="D124" s="47"/>
      <c r="E124" s="28"/>
      <c r="F124" s="215"/>
      <c r="G124" s="215"/>
      <c r="H124" s="2"/>
      <c r="I124" s="19"/>
      <c r="K124" s="35"/>
      <c r="M124" s="35"/>
      <c r="N124" s="35"/>
      <c r="O124" s="35"/>
      <c r="P124" s="35"/>
    </row>
    <row r="125" spans="2:16">
      <c r="B125" s="28"/>
      <c r="C125" s="196"/>
      <c r="D125" s="47"/>
      <c r="E125" s="28"/>
      <c r="F125" s="215"/>
      <c r="G125" s="215"/>
      <c r="H125" s="2"/>
      <c r="I125" s="19"/>
      <c r="K125" s="35"/>
      <c r="M125" s="35"/>
      <c r="N125" s="35"/>
      <c r="O125" s="35"/>
      <c r="P125" s="35"/>
    </row>
    <row r="126" spans="2:16">
      <c r="B126" s="28"/>
      <c r="C126" s="196"/>
      <c r="D126" s="47"/>
      <c r="E126" s="28"/>
      <c r="F126" s="215"/>
      <c r="G126" s="215"/>
      <c r="H126" s="2"/>
      <c r="I126" s="19"/>
      <c r="K126" s="35"/>
      <c r="M126" s="35"/>
      <c r="N126" s="35"/>
      <c r="O126" s="35"/>
      <c r="P126" s="35"/>
    </row>
    <row r="127" spans="2:16">
      <c r="B127" s="28"/>
      <c r="C127" s="196"/>
      <c r="D127" s="47"/>
      <c r="E127" s="28"/>
      <c r="F127" s="215"/>
      <c r="G127" s="215"/>
      <c r="H127" s="2"/>
      <c r="I127" s="19"/>
      <c r="K127" s="35"/>
      <c r="M127" s="35"/>
      <c r="N127" s="35"/>
      <c r="O127" s="35"/>
      <c r="P127" s="35"/>
    </row>
    <row r="128" spans="2:16">
      <c r="B128" s="28"/>
      <c r="C128" s="196"/>
      <c r="D128" s="47"/>
      <c r="E128" s="28"/>
      <c r="F128" s="215"/>
      <c r="G128" s="215"/>
      <c r="H128" s="2"/>
      <c r="I128" s="19"/>
      <c r="K128" s="35"/>
      <c r="M128" s="35"/>
      <c r="N128" s="35"/>
      <c r="O128" s="35"/>
      <c r="P128" s="35"/>
    </row>
    <row r="129" spans="2:16">
      <c r="B129" s="28"/>
      <c r="C129" s="196"/>
      <c r="D129" s="47"/>
      <c r="E129" s="28"/>
      <c r="F129" s="215"/>
      <c r="G129" s="215"/>
      <c r="H129" s="2"/>
      <c r="I129" s="19"/>
      <c r="K129" s="35"/>
      <c r="M129" s="35"/>
      <c r="N129" s="35"/>
      <c r="O129" s="35"/>
      <c r="P129" s="35"/>
    </row>
    <row r="130" spans="2:16">
      <c r="B130" s="28"/>
      <c r="C130" s="196"/>
      <c r="D130" s="47"/>
      <c r="E130" s="28"/>
      <c r="F130" s="215"/>
      <c r="G130" s="215"/>
      <c r="H130" s="2"/>
      <c r="I130" s="19"/>
      <c r="K130" s="35"/>
      <c r="M130" s="35"/>
      <c r="N130" s="35"/>
      <c r="O130" s="35"/>
      <c r="P130" s="35"/>
    </row>
    <row r="131" spans="2:16">
      <c r="B131" s="28"/>
      <c r="C131" s="196"/>
      <c r="D131" s="47"/>
      <c r="E131" s="28"/>
      <c r="F131" s="215"/>
      <c r="G131" s="215"/>
      <c r="H131" s="2"/>
      <c r="I131" s="19"/>
      <c r="K131" s="35"/>
      <c r="M131" s="35"/>
      <c r="N131" s="35"/>
      <c r="O131" s="35"/>
      <c r="P131" s="35"/>
    </row>
    <row r="132" spans="2:16">
      <c r="B132" s="28"/>
      <c r="C132" s="196"/>
      <c r="D132" s="47"/>
      <c r="E132" s="28"/>
      <c r="F132" s="215"/>
      <c r="G132" s="215"/>
      <c r="H132" s="2"/>
      <c r="I132" s="19"/>
      <c r="K132" s="35"/>
      <c r="M132" s="35"/>
      <c r="N132" s="35"/>
      <c r="O132" s="35"/>
      <c r="P132" s="35"/>
    </row>
    <row r="133" spans="2:16">
      <c r="B133" s="28"/>
      <c r="C133" s="196"/>
      <c r="D133" s="47"/>
      <c r="E133" s="28"/>
      <c r="F133" s="215"/>
      <c r="G133" s="215"/>
      <c r="H133" s="2"/>
      <c r="I133" s="19"/>
      <c r="K133" s="35"/>
      <c r="M133" s="35"/>
      <c r="N133" s="35"/>
      <c r="O133" s="35"/>
      <c r="P133" s="35"/>
    </row>
    <row r="134" spans="2:16">
      <c r="B134" s="28"/>
      <c r="C134" s="196"/>
      <c r="D134" s="47"/>
      <c r="E134" s="28"/>
      <c r="F134" s="215"/>
      <c r="G134" s="215"/>
      <c r="H134" s="2"/>
      <c r="I134" s="19"/>
      <c r="K134" s="35"/>
      <c r="M134" s="35"/>
      <c r="N134" s="35"/>
      <c r="O134" s="35"/>
      <c r="P134" s="35"/>
    </row>
    <row r="135" spans="2:16">
      <c r="B135" s="28"/>
      <c r="C135" s="196"/>
      <c r="D135" s="47"/>
      <c r="E135" s="28"/>
      <c r="F135" s="215"/>
      <c r="G135" s="215"/>
      <c r="H135" s="2"/>
      <c r="I135" s="19"/>
      <c r="K135" s="35"/>
      <c r="M135" s="35"/>
      <c r="N135" s="35"/>
      <c r="O135" s="35"/>
      <c r="P135" s="35"/>
    </row>
    <row r="136" spans="2:16">
      <c r="B136" s="28"/>
      <c r="C136" s="196"/>
      <c r="D136" s="47"/>
      <c r="E136" s="28"/>
      <c r="F136" s="215"/>
      <c r="G136" s="215"/>
      <c r="H136" s="2"/>
      <c r="I136" s="19"/>
      <c r="K136" s="35"/>
      <c r="M136" s="35"/>
      <c r="N136" s="35"/>
      <c r="O136" s="35"/>
      <c r="P136" s="35"/>
    </row>
    <row r="137" spans="2:16">
      <c r="B137" s="28"/>
      <c r="C137" s="196"/>
      <c r="D137" s="47"/>
      <c r="E137" s="28"/>
      <c r="F137" s="215"/>
      <c r="G137" s="215"/>
      <c r="H137" s="2"/>
      <c r="I137" s="19"/>
      <c r="K137" s="35"/>
      <c r="M137" s="35"/>
      <c r="N137" s="35"/>
      <c r="O137" s="35"/>
      <c r="P137" s="35"/>
    </row>
    <row r="138" spans="2:16">
      <c r="B138" s="28"/>
      <c r="C138" s="196"/>
      <c r="D138" s="47"/>
      <c r="E138" s="28"/>
      <c r="F138" s="215"/>
      <c r="G138" s="215"/>
      <c r="H138" s="2"/>
      <c r="I138" s="19"/>
      <c r="K138" s="35"/>
      <c r="M138" s="35"/>
      <c r="N138" s="35"/>
      <c r="O138" s="35"/>
      <c r="P138" s="35"/>
    </row>
    <row r="139" spans="2:16">
      <c r="B139" s="28"/>
      <c r="C139" s="196"/>
      <c r="D139" s="47"/>
      <c r="E139" s="28"/>
      <c r="F139" s="215"/>
      <c r="G139" s="215"/>
      <c r="H139" s="2"/>
      <c r="I139" s="19"/>
      <c r="K139" s="35"/>
      <c r="M139" s="35"/>
      <c r="N139" s="35"/>
      <c r="O139" s="35"/>
      <c r="P139" s="35"/>
    </row>
    <row r="140" spans="2:16">
      <c r="B140" s="28"/>
      <c r="C140" s="196"/>
      <c r="D140" s="47"/>
      <c r="E140" s="28"/>
      <c r="F140" s="215"/>
      <c r="G140" s="215"/>
      <c r="H140" s="2"/>
      <c r="I140" s="19"/>
      <c r="K140" s="35"/>
      <c r="M140" s="35"/>
      <c r="N140" s="35"/>
      <c r="O140" s="35"/>
      <c r="P140" s="35"/>
    </row>
    <row r="141" spans="2:16">
      <c r="B141" s="28"/>
      <c r="C141" s="196"/>
      <c r="D141" s="47"/>
      <c r="E141" s="28"/>
      <c r="F141" s="215"/>
      <c r="G141" s="215"/>
      <c r="H141" s="2"/>
      <c r="I141" s="19"/>
      <c r="K141" s="35"/>
      <c r="M141" s="35"/>
      <c r="N141" s="35"/>
      <c r="O141" s="35"/>
      <c r="P141" s="35"/>
    </row>
    <row r="142" spans="2:16">
      <c r="B142" s="28"/>
      <c r="C142" s="196"/>
      <c r="D142" s="47"/>
      <c r="E142" s="28"/>
      <c r="F142" s="215"/>
      <c r="G142" s="215"/>
      <c r="H142" s="2"/>
      <c r="I142" s="19"/>
      <c r="K142" s="35"/>
      <c r="M142" s="35"/>
      <c r="N142" s="35"/>
      <c r="O142" s="35"/>
      <c r="P142" s="35"/>
    </row>
    <row r="143" spans="2:16">
      <c r="B143" s="28"/>
      <c r="C143" s="196"/>
      <c r="D143" s="47"/>
      <c r="E143" s="28"/>
      <c r="F143" s="215"/>
      <c r="G143" s="215"/>
      <c r="H143" s="2"/>
      <c r="I143" s="19"/>
      <c r="K143" s="35"/>
      <c r="M143" s="35"/>
      <c r="N143" s="35"/>
      <c r="O143" s="35"/>
      <c r="P143" s="35"/>
    </row>
    <row r="144" spans="2:16">
      <c r="B144" s="28"/>
      <c r="C144" s="196"/>
      <c r="D144" s="47"/>
      <c r="E144" s="28"/>
      <c r="F144" s="215"/>
      <c r="G144" s="215"/>
      <c r="H144" s="2"/>
      <c r="I144" s="19"/>
      <c r="K144" s="35"/>
      <c r="M144" s="35"/>
      <c r="N144" s="35"/>
      <c r="O144" s="35"/>
      <c r="P144" s="35"/>
    </row>
    <row r="145" spans="2:16">
      <c r="B145" s="28"/>
      <c r="C145" s="196"/>
      <c r="D145" s="47"/>
      <c r="E145" s="28"/>
      <c r="F145" s="215"/>
      <c r="G145" s="215"/>
      <c r="H145" s="2"/>
      <c r="I145" s="19"/>
      <c r="K145" s="35"/>
      <c r="M145" s="35"/>
      <c r="N145" s="35"/>
      <c r="O145" s="35"/>
      <c r="P145" s="35"/>
    </row>
    <row r="146" spans="2:16">
      <c r="B146" s="28"/>
      <c r="C146" s="196"/>
      <c r="D146" s="47"/>
      <c r="E146" s="28"/>
      <c r="F146" s="215"/>
      <c r="G146" s="215"/>
      <c r="H146" s="2"/>
      <c r="I146" s="19"/>
      <c r="K146" s="35"/>
      <c r="M146" s="35"/>
      <c r="N146" s="35"/>
      <c r="O146" s="35"/>
      <c r="P146" s="35"/>
    </row>
    <row r="147" spans="2:16">
      <c r="B147" s="28"/>
      <c r="C147" s="196"/>
      <c r="D147" s="47"/>
      <c r="E147" s="28"/>
      <c r="F147" s="215"/>
      <c r="G147" s="215"/>
      <c r="H147" s="2"/>
      <c r="I147" s="19"/>
      <c r="K147" s="35"/>
      <c r="M147" s="35"/>
      <c r="N147" s="35"/>
      <c r="O147" s="35"/>
      <c r="P147" s="35"/>
    </row>
    <row r="148" spans="2:16">
      <c r="B148" s="28"/>
      <c r="C148" s="196"/>
      <c r="D148" s="47"/>
      <c r="E148" s="28"/>
      <c r="F148" s="215"/>
      <c r="G148" s="215"/>
      <c r="H148" s="2"/>
      <c r="I148" s="19"/>
      <c r="K148" s="35"/>
      <c r="M148" s="35"/>
      <c r="N148" s="35"/>
      <c r="O148" s="35"/>
      <c r="P148" s="35"/>
    </row>
    <row r="149" spans="2:16">
      <c r="B149" s="28"/>
      <c r="C149" s="196"/>
      <c r="D149" s="47"/>
      <c r="E149" s="28"/>
      <c r="F149" s="215"/>
      <c r="G149" s="215"/>
      <c r="H149" s="2"/>
      <c r="I149" s="19"/>
      <c r="K149" s="35"/>
      <c r="M149" s="35"/>
      <c r="N149" s="35"/>
      <c r="O149" s="35"/>
      <c r="P149" s="35"/>
    </row>
    <row r="150" spans="2:16">
      <c r="B150" s="28"/>
      <c r="C150" s="196"/>
      <c r="D150" s="47"/>
      <c r="E150" s="28"/>
      <c r="F150" s="215"/>
      <c r="G150" s="215"/>
      <c r="H150" s="2"/>
      <c r="I150" s="19"/>
      <c r="K150" s="35"/>
      <c r="M150" s="35"/>
      <c r="N150" s="35"/>
      <c r="O150" s="35"/>
      <c r="P150" s="35"/>
    </row>
    <row r="151" spans="2:16">
      <c r="B151" s="28"/>
      <c r="C151" s="196"/>
      <c r="D151" s="47"/>
      <c r="E151" s="28"/>
      <c r="F151" s="215"/>
      <c r="G151" s="215"/>
      <c r="H151" s="2"/>
      <c r="I151" s="19"/>
      <c r="K151" s="35"/>
      <c r="M151" s="35"/>
      <c r="N151" s="35"/>
      <c r="O151" s="35"/>
      <c r="P151" s="35"/>
    </row>
    <row r="152" spans="2:16">
      <c r="B152" s="28"/>
      <c r="C152" s="196"/>
      <c r="D152" s="47"/>
      <c r="E152" s="28"/>
      <c r="F152" s="215"/>
      <c r="G152" s="215"/>
      <c r="H152" s="2"/>
      <c r="I152" s="19"/>
      <c r="K152" s="35"/>
      <c r="M152" s="35"/>
      <c r="N152" s="35"/>
      <c r="O152" s="35"/>
      <c r="P152" s="35"/>
    </row>
    <row r="153" spans="2:16">
      <c r="B153" s="28"/>
      <c r="C153" s="196"/>
      <c r="D153" s="47"/>
      <c r="E153" s="28"/>
      <c r="F153" s="215"/>
      <c r="G153" s="215"/>
      <c r="H153" s="2"/>
      <c r="I153" s="19"/>
      <c r="K153" s="35"/>
      <c r="M153" s="35"/>
      <c r="N153" s="35"/>
      <c r="O153" s="35"/>
      <c r="P153" s="35"/>
    </row>
    <row r="154" spans="2:16">
      <c r="B154" s="28"/>
      <c r="C154" s="196"/>
      <c r="D154" s="47"/>
      <c r="E154" s="28"/>
      <c r="F154" s="215"/>
      <c r="G154" s="215"/>
      <c r="H154" s="2"/>
      <c r="I154" s="19"/>
      <c r="K154" s="35"/>
      <c r="M154" s="35"/>
      <c r="N154" s="35"/>
      <c r="O154" s="35"/>
      <c r="P154" s="35"/>
    </row>
    <row r="155" spans="2:16">
      <c r="B155" s="28"/>
      <c r="C155" s="196"/>
      <c r="D155" s="47"/>
      <c r="E155" s="28"/>
      <c r="F155" s="215"/>
      <c r="G155" s="215"/>
      <c r="H155" s="2"/>
      <c r="I155" s="19"/>
      <c r="K155" s="35"/>
      <c r="M155" s="35"/>
      <c r="N155" s="35"/>
      <c r="O155" s="35"/>
      <c r="P155" s="35"/>
    </row>
    <row r="156" spans="2:16">
      <c r="B156" s="28"/>
      <c r="C156" s="196"/>
      <c r="D156" s="47"/>
      <c r="E156" s="28"/>
      <c r="F156" s="215"/>
      <c r="G156" s="215"/>
      <c r="H156" s="2"/>
      <c r="I156" s="19"/>
      <c r="K156" s="35"/>
      <c r="M156" s="35"/>
      <c r="N156" s="35"/>
      <c r="O156" s="35"/>
      <c r="P156" s="35"/>
    </row>
    <row r="157" spans="2:16">
      <c r="B157" s="28"/>
      <c r="C157" s="196"/>
      <c r="D157" s="47"/>
      <c r="E157" s="28"/>
      <c r="F157" s="215"/>
      <c r="G157" s="215"/>
      <c r="H157" s="2"/>
      <c r="I157" s="19"/>
      <c r="K157" s="35"/>
      <c r="M157" s="35"/>
      <c r="N157" s="35"/>
      <c r="O157" s="35"/>
      <c r="P157" s="35"/>
    </row>
    <row r="158" spans="2:16">
      <c r="B158" s="28"/>
      <c r="C158" s="196"/>
      <c r="D158" s="47"/>
      <c r="E158" s="28"/>
      <c r="F158" s="215"/>
      <c r="G158" s="215"/>
      <c r="H158" s="2"/>
      <c r="I158" s="19"/>
      <c r="K158" s="35"/>
      <c r="M158" s="35"/>
      <c r="N158" s="35"/>
      <c r="O158" s="35"/>
      <c r="P158" s="35"/>
    </row>
    <row r="159" spans="2:16">
      <c r="B159" s="28"/>
      <c r="C159" s="196"/>
      <c r="D159" s="47"/>
      <c r="E159" s="28"/>
      <c r="F159" s="215"/>
      <c r="G159" s="215"/>
      <c r="H159" s="2"/>
      <c r="I159" s="19"/>
      <c r="K159" s="35"/>
      <c r="M159" s="35"/>
      <c r="N159" s="35"/>
      <c r="O159" s="35"/>
      <c r="P159" s="35"/>
    </row>
    <row r="160" spans="2:16">
      <c r="B160" s="28"/>
      <c r="C160" s="196"/>
      <c r="D160" s="47"/>
      <c r="E160" s="28"/>
      <c r="F160" s="215"/>
      <c r="G160" s="215"/>
      <c r="H160" s="2"/>
      <c r="I160" s="19"/>
      <c r="K160" s="35"/>
      <c r="M160" s="35"/>
      <c r="N160" s="35"/>
      <c r="O160" s="35"/>
      <c r="P160" s="35"/>
    </row>
    <row r="161" spans="2:16">
      <c r="B161" s="28"/>
      <c r="C161" s="196"/>
      <c r="D161" s="47"/>
      <c r="E161" s="28"/>
      <c r="F161" s="215"/>
      <c r="G161" s="215"/>
      <c r="H161" s="2"/>
      <c r="I161" s="19"/>
      <c r="K161" s="35"/>
      <c r="M161" s="35"/>
      <c r="N161" s="35"/>
      <c r="O161" s="35"/>
      <c r="P161" s="35"/>
    </row>
    <row r="162" spans="2:16">
      <c r="B162" s="28"/>
      <c r="C162" s="196"/>
      <c r="D162" s="47"/>
      <c r="E162" s="28"/>
      <c r="F162" s="215"/>
      <c r="G162" s="215"/>
      <c r="H162" s="2"/>
      <c r="I162" s="19"/>
      <c r="K162" s="35"/>
      <c r="M162" s="35"/>
      <c r="N162" s="35"/>
      <c r="O162" s="35"/>
      <c r="P162" s="35"/>
    </row>
    <row r="163" spans="2:16">
      <c r="B163" s="28"/>
      <c r="C163" s="196"/>
      <c r="D163" s="47"/>
      <c r="E163" s="28"/>
      <c r="F163" s="215"/>
      <c r="G163" s="215"/>
      <c r="H163" s="2"/>
      <c r="I163" s="19"/>
      <c r="K163" s="35"/>
      <c r="M163" s="35"/>
      <c r="N163" s="35"/>
      <c r="O163" s="35"/>
      <c r="P163" s="35"/>
    </row>
    <row r="164" spans="2:16">
      <c r="B164" s="28"/>
      <c r="C164" s="196"/>
      <c r="D164" s="47"/>
      <c r="E164" s="28"/>
      <c r="F164" s="215"/>
      <c r="G164" s="215"/>
      <c r="H164" s="2"/>
      <c r="I164" s="19"/>
      <c r="K164" s="35"/>
      <c r="M164" s="35"/>
      <c r="N164" s="35"/>
      <c r="O164" s="35"/>
      <c r="P164" s="35"/>
    </row>
    <row r="165" spans="2:16">
      <c r="B165" s="28"/>
      <c r="C165" s="196"/>
      <c r="D165" s="47"/>
      <c r="E165" s="28"/>
      <c r="F165" s="215"/>
      <c r="G165" s="215"/>
      <c r="H165" s="2"/>
      <c r="I165" s="19"/>
      <c r="K165" s="35"/>
      <c r="M165" s="35"/>
      <c r="N165" s="35"/>
      <c r="O165" s="35"/>
      <c r="P165" s="35"/>
    </row>
    <row r="166" spans="2:16">
      <c r="D166" s="47"/>
      <c r="E166" s="143"/>
      <c r="H166" s="2"/>
      <c r="I166" s="30"/>
    </row>
    <row r="167" spans="2:16">
      <c r="D167" s="47"/>
      <c r="E167" s="143"/>
      <c r="H167" s="2"/>
      <c r="I167" s="30"/>
    </row>
    <row r="168" spans="2:16">
      <c r="D168" s="47"/>
      <c r="E168" s="143"/>
      <c r="H168" s="2"/>
      <c r="I168" s="30"/>
    </row>
    <row r="169" spans="2:16">
      <c r="D169" s="47"/>
      <c r="E169" s="143"/>
      <c r="H169" s="2"/>
      <c r="I169" s="30"/>
    </row>
    <row r="170" spans="2:16">
      <c r="D170" s="47"/>
      <c r="E170" s="143"/>
      <c r="H170" s="2"/>
      <c r="I170" s="30"/>
    </row>
    <row r="171" spans="2:16">
      <c r="D171" s="47"/>
      <c r="E171" s="143"/>
      <c r="H171" s="2"/>
      <c r="I171" s="30"/>
    </row>
    <row r="172" spans="2:16">
      <c r="D172" s="47"/>
      <c r="E172" s="143"/>
      <c r="H172" s="2"/>
      <c r="I172" s="30"/>
    </row>
    <row r="173" spans="2:16">
      <c r="D173" s="47"/>
      <c r="E173" s="143"/>
      <c r="H173" s="2"/>
      <c r="I173" s="30"/>
    </row>
    <row r="174" spans="2:16">
      <c r="D174" s="47"/>
      <c r="E174" s="143"/>
      <c r="H174" s="2"/>
      <c r="I174" s="30"/>
    </row>
    <row r="175" spans="2:16">
      <c r="D175" s="47"/>
      <c r="E175" s="143"/>
      <c r="H175" s="2"/>
      <c r="I175" s="30"/>
    </row>
    <row r="176" spans="2:16">
      <c r="D176" s="47"/>
      <c r="E176" s="143"/>
      <c r="H176" s="2"/>
      <c r="I176" s="30"/>
    </row>
    <row r="177" spans="4:9">
      <c r="D177" s="47"/>
      <c r="E177" s="143"/>
      <c r="H177" s="2"/>
      <c r="I177" s="30"/>
    </row>
    <row r="178" spans="4:9">
      <c r="D178" s="47"/>
      <c r="E178" s="143"/>
      <c r="H178" s="2"/>
      <c r="I178" s="30"/>
    </row>
    <row r="179" spans="4:9">
      <c r="D179" s="47"/>
      <c r="E179" s="143"/>
      <c r="H179" s="2"/>
      <c r="I179" s="30"/>
    </row>
    <row r="180" spans="4:9">
      <c r="D180" s="47"/>
      <c r="E180" s="143"/>
      <c r="H180" s="2"/>
      <c r="I180" s="30"/>
    </row>
    <row r="181" spans="4:9">
      <c r="D181" s="47"/>
      <c r="E181" s="143"/>
      <c r="H181" s="2"/>
      <c r="I181" s="30"/>
    </row>
    <row r="182" spans="4:9">
      <c r="D182" s="47"/>
      <c r="E182" s="143"/>
      <c r="H182" s="2"/>
      <c r="I182" s="30"/>
    </row>
    <row r="183" spans="4:9">
      <c r="D183" s="47"/>
      <c r="E183" s="143"/>
      <c r="H183" s="2"/>
      <c r="I183" s="30"/>
    </row>
    <row r="184" spans="4:9">
      <c r="D184" s="47"/>
      <c r="E184" s="143"/>
      <c r="H184" s="2"/>
      <c r="I184" s="30"/>
    </row>
    <row r="185" spans="4:9">
      <c r="D185" s="47"/>
      <c r="E185" s="143"/>
      <c r="H185" s="2"/>
      <c r="I185" s="30"/>
    </row>
    <row r="186" spans="4:9">
      <c r="D186" s="47"/>
      <c r="E186" s="143"/>
      <c r="H186" s="2"/>
      <c r="I186" s="30"/>
    </row>
    <row r="187" spans="4:9">
      <c r="D187" s="47"/>
      <c r="E187" s="143"/>
      <c r="H187" s="2"/>
      <c r="I187" s="30"/>
    </row>
    <row r="188" spans="4:9">
      <c r="D188" s="47"/>
      <c r="E188" s="143"/>
      <c r="H188" s="2"/>
      <c r="I188" s="30"/>
    </row>
    <row r="189" spans="4:9">
      <c r="D189" s="47"/>
      <c r="E189" s="143"/>
      <c r="H189" s="2"/>
      <c r="I189" s="30"/>
    </row>
    <row r="190" spans="4:9">
      <c r="D190" s="47"/>
      <c r="E190" s="143"/>
      <c r="H190" s="2"/>
      <c r="I190" s="30"/>
    </row>
    <row r="191" spans="4:9">
      <c r="D191" s="47"/>
      <c r="E191" s="143"/>
      <c r="H191" s="2"/>
      <c r="I191" s="30"/>
    </row>
    <row r="192" spans="4:9">
      <c r="D192" s="47"/>
      <c r="E192" s="143"/>
      <c r="H192" s="2"/>
      <c r="I192" s="30"/>
    </row>
    <row r="193" spans="4:9">
      <c r="D193" s="47"/>
      <c r="E193" s="143"/>
      <c r="H193" s="2"/>
      <c r="I193" s="30"/>
    </row>
    <row r="194" spans="4:9">
      <c r="D194" s="47"/>
      <c r="E194" s="143"/>
      <c r="H194" s="2"/>
      <c r="I194" s="30"/>
    </row>
    <row r="195" spans="4:9">
      <c r="D195" s="47"/>
      <c r="E195" s="143"/>
      <c r="H195" s="2"/>
      <c r="I195" s="30"/>
    </row>
    <row r="196" spans="4:9">
      <c r="D196" s="47"/>
      <c r="E196" s="143"/>
      <c r="H196" s="2"/>
      <c r="I196" s="30"/>
    </row>
    <row r="197" spans="4:9">
      <c r="D197" s="47"/>
      <c r="E197" s="143"/>
      <c r="H197" s="2"/>
      <c r="I197" s="30"/>
    </row>
    <row r="198" spans="4:9">
      <c r="D198" s="47"/>
      <c r="E198" s="143"/>
      <c r="H198" s="2"/>
      <c r="I198" s="30"/>
    </row>
    <row r="199" spans="4:9">
      <c r="D199" s="47"/>
      <c r="E199" s="143"/>
      <c r="H199" s="2"/>
      <c r="I199" s="30"/>
    </row>
    <row r="200" spans="4:9">
      <c r="D200" s="47"/>
      <c r="E200" s="143"/>
      <c r="H200" s="2"/>
      <c r="I200" s="30"/>
    </row>
    <row r="201" spans="4:9">
      <c r="D201" s="47"/>
      <c r="E201" s="143"/>
      <c r="H201" s="2"/>
      <c r="I201" s="30"/>
    </row>
    <row r="202" spans="4:9">
      <c r="D202" s="47"/>
      <c r="E202" s="143"/>
      <c r="H202" s="2"/>
      <c r="I202" s="30"/>
    </row>
    <row r="203" spans="4:9">
      <c r="D203" s="47"/>
      <c r="E203" s="143"/>
      <c r="H203" s="2"/>
      <c r="I203" s="30"/>
    </row>
    <row r="204" spans="4:9">
      <c r="D204" s="47"/>
      <c r="E204" s="143"/>
      <c r="H204" s="2"/>
      <c r="I204" s="30"/>
    </row>
    <row r="205" spans="4:9">
      <c r="D205" s="47"/>
      <c r="E205" s="143"/>
      <c r="H205" s="2"/>
      <c r="I205" s="30"/>
    </row>
    <row r="206" spans="4:9">
      <c r="D206" s="47"/>
      <c r="E206" s="143"/>
      <c r="H206" s="2"/>
      <c r="I206" s="30"/>
    </row>
    <row r="207" spans="4:9">
      <c r="D207" s="47"/>
      <c r="E207" s="143"/>
      <c r="H207" s="2"/>
      <c r="I207" s="30"/>
    </row>
    <row r="208" spans="4:9">
      <c r="D208" s="47"/>
      <c r="E208" s="143"/>
      <c r="H208" s="2"/>
      <c r="I208" s="30"/>
    </row>
    <row r="209" spans="4:9">
      <c r="D209" s="47"/>
      <c r="E209" s="143"/>
      <c r="H209" s="2"/>
      <c r="I209" s="30"/>
    </row>
    <row r="210" spans="4:9">
      <c r="D210" s="47"/>
      <c r="E210" s="143"/>
      <c r="H210" s="2"/>
      <c r="I210" s="30"/>
    </row>
    <row r="211" spans="4:9">
      <c r="D211" s="47"/>
      <c r="E211" s="143"/>
      <c r="H211" s="2"/>
      <c r="I211" s="30"/>
    </row>
    <row r="212" spans="4:9">
      <c r="D212" s="47"/>
      <c r="E212" s="143"/>
      <c r="H212" s="2"/>
      <c r="I212" s="30"/>
    </row>
    <row r="213" spans="4:9">
      <c r="D213" s="47"/>
      <c r="E213" s="143"/>
      <c r="H213" s="2"/>
      <c r="I213" s="30"/>
    </row>
    <row r="214" spans="4:9">
      <c r="D214" s="47"/>
      <c r="E214" s="143"/>
      <c r="H214" s="2"/>
      <c r="I214" s="30"/>
    </row>
    <row r="215" spans="4:9">
      <c r="D215" s="47"/>
      <c r="E215" s="143"/>
      <c r="H215" s="2"/>
      <c r="I215" s="30"/>
    </row>
    <row r="216" spans="4:9">
      <c r="D216" s="47"/>
      <c r="E216" s="143"/>
      <c r="H216" s="2"/>
      <c r="I216" s="30"/>
    </row>
    <row r="217" spans="4:9">
      <c r="D217" s="47"/>
      <c r="E217" s="143"/>
      <c r="H217" s="2"/>
      <c r="I217" s="30"/>
    </row>
    <row r="218" spans="4:9">
      <c r="D218" s="47"/>
      <c r="E218" s="143"/>
      <c r="H218" s="2"/>
      <c r="I218" s="30"/>
    </row>
    <row r="219" spans="4:9">
      <c r="D219" s="47"/>
      <c r="E219" s="143"/>
      <c r="H219" s="2"/>
      <c r="I219" s="30"/>
    </row>
    <row r="220" spans="4:9">
      <c r="D220" s="47"/>
      <c r="E220" s="143"/>
      <c r="H220" s="2"/>
      <c r="I220" s="30"/>
    </row>
    <row r="221" spans="4:9">
      <c r="D221" s="47"/>
      <c r="E221" s="143"/>
      <c r="H221" s="2"/>
      <c r="I221" s="30"/>
    </row>
    <row r="222" spans="4:9">
      <c r="D222" s="47"/>
      <c r="E222" s="143"/>
      <c r="H222" s="2"/>
      <c r="I222" s="30"/>
    </row>
    <row r="223" spans="4:9">
      <c r="D223" s="47"/>
      <c r="E223" s="143"/>
      <c r="H223" s="2"/>
      <c r="I223" s="30"/>
    </row>
    <row r="224" spans="4:9">
      <c r="D224" s="47"/>
      <c r="E224" s="143"/>
      <c r="H224" s="2"/>
      <c r="I224" s="30"/>
    </row>
    <row r="225" spans="4:9">
      <c r="D225" s="47"/>
      <c r="E225" s="143"/>
      <c r="H225" s="2"/>
      <c r="I225" s="30"/>
    </row>
    <row r="226" spans="4:9">
      <c r="D226" s="47"/>
      <c r="E226" s="143"/>
      <c r="H226" s="2"/>
      <c r="I226" s="30"/>
    </row>
    <row r="227" spans="4:9">
      <c r="D227" s="47"/>
      <c r="E227" s="143"/>
      <c r="H227" s="2"/>
      <c r="I227" s="30"/>
    </row>
    <row r="228" spans="4:9">
      <c r="D228" s="47"/>
      <c r="E228" s="143"/>
      <c r="H228" s="2"/>
      <c r="I228" s="30"/>
    </row>
    <row r="229" spans="4:9">
      <c r="D229" s="47"/>
      <c r="E229" s="143"/>
      <c r="H229" s="2"/>
      <c r="I229" s="30"/>
    </row>
    <row r="230" spans="4:9">
      <c r="D230" s="47"/>
      <c r="E230" s="143"/>
      <c r="H230" s="2"/>
      <c r="I230" s="30"/>
    </row>
    <row r="231" spans="4:9">
      <c r="D231" s="47"/>
      <c r="E231" s="143"/>
      <c r="H231" s="2"/>
      <c r="I231" s="30"/>
    </row>
    <row r="232" spans="4:9">
      <c r="D232" s="47"/>
      <c r="E232" s="143"/>
      <c r="H232" s="2"/>
      <c r="I232" s="30"/>
    </row>
    <row r="233" spans="4:9">
      <c r="D233" s="47"/>
      <c r="E233" s="143"/>
      <c r="H233" s="2"/>
      <c r="I233" s="30"/>
    </row>
    <row r="234" spans="4:9">
      <c r="D234" s="47"/>
      <c r="E234" s="143"/>
      <c r="H234" s="2"/>
      <c r="I234" s="30"/>
    </row>
    <row r="235" spans="4:9">
      <c r="D235" s="47"/>
      <c r="E235" s="143"/>
      <c r="H235" s="2"/>
      <c r="I235" s="30"/>
    </row>
    <row r="236" spans="4:9">
      <c r="D236" s="47"/>
      <c r="E236" s="143"/>
      <c r="H236" s="2"/>
      <c r="I236" s="30"/>
    </row>
    <row r="237" spans="4:9">
      <c r="D237" s="47"/>
      <c r="E237" s="143"/>
      <c r="H237" s="2"/>
      <c r="I237" s="30"/>
    </row>
    <row r="238" spans="4:9">
      <c r="D238" s="47"/>
      <c r="E238" s="143"/>
      <c r="H238" s="2"/>
      <c r="I238" s="30"/>
    </row>
    <row r="239" spans="4:9">
      <c r="D239" s="47"/>
      <c r="E239" s="143"/>
      <c r="H239" s="2"/>
      <c r="I239" s="30"/>
    </row>
    <row r="240" spans="4:9">
      <c r="D240" s="47"/>
      <c r="E240" s="143"/>
      <c r="H240" s="2"/>
      <c r="I240" s="30"/>
    </row>
    <row r="241" spans="4:9">
      <c r="D241" s="47"/>
      <c r="E241" s="143"/>
      <c r="H241" s="2"/>
      <c r="I241" s="30"/>
    </row>
    <row r="242" spans="4:9">
      <c r="D242" s="47"/>
      <c r="E242" s="143"/>
      <c r="H242" s="2"/>
      <c r="I242" s="30"/>
    </row>
    <row r="243" spans="4:9">
      <c r="D243" s="47"/>
      <c r="E243" s="143"/>
      <c r="H243" s="2"/>
      <c r="I243" s="30"/>
    </row>
    <row r="244" spans="4:9">
      <c r="D244" s="47"/>
      <c r="E244" s="143"/>
      <c r="H244" s="2"/>
      <c r="I244" s="30"/>
    </row>
    <row r="245" spans="4:9">
      <c r="D245" s="47"/>
      <c r="E245" s="143"/>
      <c r="H245" s="2"/>
      <c r="I245" s="30"/>
    </row>
    <row r="246" spans="4:9">
      <c r="D246" s="47"/>
      <c r="E246" s="143"/>
      <c r="H246" s="2"/>
      <c r="I246" s="30"/>
    </row>
    <row r="247" spans="4:9">
      <c r="D247" s="47"/>
      <c r="E247" s="143"/>
      <c r="H247" s="2"/>
      <c r="I247" s="30"/>
    </row>
    <row r="248" spans="4:9">
      <c r="D248" s="47"/>
      <c r="E248" s="143"/>
      <c r="H248" s="2"/>
      <c r="I248" s="30"/>
    </row>
    <row r="249" spans="4:9">
      <c r="D249" s="47"/>
      <c r="E249" s="143"/>
      <c r="H249" s="2"/>
      <c r="I249" s="30"/>
    </row>
    <row r="250" spans="4:9">
      <c r="D250" s="47"/>
      <c r="E250" s="143"/>
      <c r="H250" s="2"/>
      <c r="I250" s="30"/>
    </row>
    <row r="251" spans="4:9">
      <c r="D251" s="47"/>
      <c r="E251" s="143"/>
      <c r="H251" s="2"/>
      <c r="I251" s="30"/>
    </row>
    <row r="252" spans="4:9">
      <c r="D252" s="47"/>
      <c r="E252" s="143"/>
      <c r="H252" s="2"/>
      <c r="I252" s="30"/>
    </row>
    <row r="253" spans="4:9">
      <c r="D253" s="47"/>
      <c r="E253" s="143"/>
      <c r="H253" s="2"/>
      <c r="I253" s="30"/>
    </row>
    <row r="254" spans="4:9">
      <c r="D254" s="47"/>
      <c r="E254" s="143"/>
      <c r="H254" s="2"/>
      <c r="I254" s="30"/>
    </row>
    <row r="255" spans="4:9">
      <c r="D255" s="47"/>
      <c r="E255" s="143"/>
      <c r="H255" s="2"/>
      <c r="I255" s="30"/>
    </row>
    <row r="256" spans="4:9">
      <c r="D256" s="47"/>
      <c r="E256" s="143"/>
      <c r="H256" s="2"/>
      <c r="I256" s="30"/>
    </row>
    <row r="257" spans="4:9">
      <c r="D257" s="47"/>
      <c r="E257" s="143"/>
      <c r="H257" s="2"/>
      <c r="I257" s="30"/>
    </row>
    <row r="258" spans="4:9">
      <c r="D258" s="47"/>
      <c r="E258" s="143"/>
      <c r="H258" s="2"/>
      <c r="I258" s="30"/>
    </row>
    <row r="259" spans="4:9">
      <c r="D259" s="47"/>
      <c r="E259" s="143"/>
      <c r="H259" s="2"/>
      <c r="I259" s="30"/>
    </row>
    <row r="260" spans="4:9">
      <c r="D260" s="47"/>
      <c r="E260" s="143"/>
      <c r="H260" s="2"/>
      <c r="I260" s="30"/>
    </row>
    <row r="261" spans="4:9">
      <c r="D261" s="47"/>
      <c r="E261" s="143"/>
      <c r="H261" s="2"/>
      <c r="I261" s="30"/>
    </row>
    <row r="262" spans="4:9">
      <c r="D262" s="47"/>
      <c r="E262" s="143"/>
      <c r="H262" s="2"/>
      <c r="I262" s="30"/>
    </row>
    <row r="263" spans="4:9">
      <c r="D263" s="47"/>
      <c r="E263" s="143"/>
      <c r="H263" s="2"/>
      <c r="I263" s="30"/>
    </row>
    <row r="264" spans="4:9">
      <c r="D264" s="47"/>
      <c r="E264" s="143"/>
      <c r="H264" s="2"/>
      <c r="I264" s="30"/>
    </row>
    <row r="265" spans="4:9">
      <c r="D265" s="47"/>
      <c r="E265" s="143"/>
      <c r="H265" s="2"/>
      <c r="I265" s="30"/>
    </row>
    <row r="266" spans="4:9">
      <c r="D266" s="47"/>
      <c r="E266" s="143"/>
      <c r="H266" s="2"/>
      <c r="I266" s="30"/>
    </row>
    <row r="267" spans="4:9">
      <c r="D267" s="47"/>
      <c r="E267" s="143"/>
      <c r="H267" s="2"/>
      <c r="I267" s="30"/>
    </row>
    <row r="268" spans="4:9">
      <c r="D268" s="47"/>
      <c r="E268" s="143"/>
      <c r="H268" s="2"/>
      <c r="I268" s="30"/>
    </row>
    <row r="269" spans="4:9">
      <c r="D269" s="47"/>
      <c r="E269" s="143"/>
      <c r="H269" s="2"/>
      <c r="I269" s="30"/>
    </row>
    <row r="270" spans="4:9">
      <c r="D270" s="47"/>
      <c r="E270" s="143"/>
      <c r="H270" s="2"/>
      <c r="I270" s="30"/>
    </row>
    <row r="271" spans="4:9">
      <c r="D271" s="47"/>
      <c r="E271" s="143"/>
      <c r="H271" s="2"/>
      <c r="I271" s="30"/>
    </row>
    <row r="272" spans="4:9">
      <c r="D272" s="47"/>
      <c r="E272" s="143"/>
      <c r="H272" s="2"/>
      <c r="I272" s="30"/>
    </row>
    <row r="273" spans="4:9">
      <c r="D273" s="47"/>
      <c r="E273" s="143"/>
      <c r="H273" s="2"/>
      <c r="I273" s="30"/>
    </row>
    <row r="274" spans="4:9">
      <c r="D274" s="47"/>
      <c r="E274" s="143"/>
      <c r="H274" s="2"/>
      <c r="I274" s="30"/>
    </row>
    <row r="275" spans="4:9">
      <c r="D275" s="47"/>
      <c r="E275" s="143"/>
      <c r="H275" s="2"/>
      <c r="I275" s="30"/>
    </row>
    <row r="276" spans="4:9">
      <c r="D276" s="47"/>
      <c r="E276" s="143"/>
      <c r="H276" s="2"/>
      <c r="I276" s="30"/>
    </row>
    <row r="277" spans="4:9">
      <c r="D277" s="47"/>
      <c r="E277" s="143"/>
      <c r="H277" s="2"/>
      <c r="I277" s="30"/>
    </row>
    <row r="278" spans="4:9">
      <c r="D278" s="47"/>
      <c r="E278" s="143"/>
      <c r="H278" s="2"/>
      <c r="I278" s="30"/>
    </row>
    <row r="279" spans="4:9">
      <c r="D279" s="47"/>
      <c r="E279" s="143"/>
      <c r="H279" s="2"/>
      <c r="I279" s="30"/>
    </row>
    <row r="280" spans="4:9">
      <c r="D280" s="47"/>
      <c r="E280" s="143"/>
      <c r="H280" s="2"/>
      <c r="I280" s="30"/>
    </row>
    <row r="281" spans="4:9">
      <c r="D281" s="47"/>
      <c r="E281" s="143"/>
      <c r="H281" s="2"/>
      <c r="I281" s="30"/>
    </row>
    <row r="282" spans="4:9">
      <c r="D282" s="47"/>
      <c r="E282" s="143"/>
      <c r="H282" s="2"/>
      <c r="I282" s="30"/>
    </row>
    <row r="283" spans="4:9">
      <c r="D283" s="47"/>
      <c r="E283" s="143"/>
      <c r="H283" s="2"/>
      <c r="I283" s="30"/>
    </row>
    <row r="284" spans="4:9">
      <c r="D284" s="47"/>
      <c r="E284" s="143"/>
      <c r="H284" s="2"/>
      <c r="I284" s="30"/>
    </row>
    <row r="285" spans="4:9">
      <c r="D285" s="47"/>
      <c r="E285" s="143"/>
      <c r="H285" s="2"/>
      <c r="I285" s="30"/>
    </row>
    <row r="286" spans="4:9">
      <c r="D286" s="47"/>
      <c r="E286" s="143"/>
      <c r="H286" s="2"/>
      <c r="I286" s="30"/>
    </row>
    <row r="287" spans="4:9">
      <c r="D287" s="47"/>
      <c r="E287" s="143"/>
      <c r="H287" s="2"/>
      <c r="I287" s="30"/>
    </row>
    <row r="288" spans="4:9">
      <c r="D288" s="47"/>
      <c r="E288" s="143"/>
      <c r="H288" s="2"/>
      <c r="I288" s="30"/>
    </row>
    <row r="289" spans="4:9">
      <c r="D289" s="47"/>
      <c r="E289" s="143"/>
      <c r="H289" s="2"/>
      <c r="I289" s="30"/>
    </row>
    <row r="290" spans="4:9">
      <c r="D290" s="47"/>
      <c r="E290" s="143"/>
      <c r="H290" s="2"/>
      <c r="I290" s="30"/>
    </row>
    <row r="291" spans="4:9">
      <c r="D291" s="47"/>
      <c r="E291" s="143"/>
      <c r="H291" s="2"/>
      <c r="I291" s="30"/>
    </row>
    <row r="292" spans="4:9">
      <c r="D292" s="47"/>
      <c r="E292" s="143"/>
      <c r="H292" s="2"/>
      <c r="I292" s="30"/>
    </row>
    <row r="293" spans="4:9">
      <c r="D293" s="47"/>
      <c r="E293" s="143"/>
      <c r="H293" s="2"/>
      <c r="I293" s="30"/>
    </row>
    <row r="294" spans="4:9">
      <c r="D294" s="47"/>
      <c r="E294" s="143"/>
      <c r="H294" s="2"/>
      <c r="I294" s="30"/>
    </row>
    <row r="295" spans="4:9">
      <c r="D295" s="47"/>
      <c r="E295" s="143"/>
      <c r="H295" s="2"/>
      <c r="I295" s="30"/>
    </row>
    <row r="296" spans="4:9">
      <c r="D296" s="47"/>
      <c r="E296" s="143"/>
      <c r="H296" s="2"/>
      <c r="I296" s="30"/>
    </row>
    <row r="297" spans="4:9">
      <c r="D297" s="47"/>
      <c r="E297" s="143"/>
      <c r="H297" s="2"/>
      <c r="I297" s="30"/>
    </row>
    <row r="298" spans="4:9">
      <c r="D298" s="47"/>
      <c r="E298" s="143"/>
      <c r="H298" s="2"/>
      <c r="I298" s="30"/>
    </row>
    <row r="299" spans="4:9">
      <c r="D299" s="47"/>
      <c r="E299" s="143"/>
      <c r="H299" s="2"/>
      <c r="I299" s="30"/>
    </row>
    <row r="300" spans="4:9">
      <c r="D300" s="47"/>
      <c r="E300" s="143"/>
      <c r="H300" s="2"/>
      <c r="I300" s="30"/>
    </row>
    <row r="301" spans="4:9">
      <c r="D301" s="47"/>
      <c r="E301" s="143"/>
      <c r="H301" s="2"/>
      <c r="I301" s="30"/>
    </row>
    <row r="302" spans="4:9">
      <c r="D302" s="47"/>
      <c r="E302" s="143"/>
      <c r="H302" s="2"/>
      <c r="I302" s="30"/>
    </row>
    <row r="303" spans="4:9">
      <c r="D303" s="47"/>
      <c r="E303" s="143"/>
      <c r="H303" s="2"/>
      <c r="I303" s="30"/>
    </row>
    <row r="304" spans="4:9">
      <c r="D304" s="47"/>
      <c r="E304" s="143"/>
      <c r="H304" s="2"/>
      <c r="I304" s="30"/>
    </row>
    <row r="305" spans="4:9">
      <c r="D305" s="47"/>
      <c r="E305" s="143"/>
      <c r="H305" s="2"/>
      <c r="I305" s="30"/>
    </row>
    <row r="306" spans="4:9">
      <c r="D306" s="47"/>
      <c r="E306" s="143"/>
      <c r="H306" s="2"/>
      <c r="I306" s="30"/>
    </row>
    <row r="307" spans="4:9">
      <c r="D307" s="47"/>
      <c r="E307" s="143"/>
      <c r="H307" s="2"/>
      <c r="I307" s="30"/>
    </row>
    <row r="308" spans="4:9">
      <c r="D308" s="47"/>
      <c r="E308" s="143"/>
      <c r="H308" s="2"/>
      <c r="I308" s="30"/>
    </row>
    <row r="309" spans="4:9">
      <c r="D309" s="47"/>
      <c r="E309" s="143"/>
      <c r="H309" s="2"/>
      <c r="I309" s="30"/>
    </row>
    <row r="310" spans="4:9">
      <c r="D310" s="47"/>
      <c r="E310" s="143"/>
      <c r="H310" s="2"/>
      <c r="I310" s="30"/>
    </row>
    <row r="311" spans="4:9">
      <c r="D311" s="47"/>
      <c r="E311" s="143"/>
      <c r="H311" s="2"/>
      <c r="I311" s="30"/>
    </row>
    <row r="312" spans="4:9">
      <c r="D312" s="47"/>
      <c r="E312" s="143"/>
      <c r="H312" s="2"/>
      <c r="I312" s="30"/>
    </row>
    <row r="313" spans="4:9">
      <c r="D313" s="47"/>
      <c r="E313" s="143"/>
      <c r="H313" s="2"/>
      <c r="I313" s="30"/>
    </row>
    <row r="314" spans="4:9">
      <c r="D314" s="47"/>
      <c r="E314" s="143"/>
      <c r="H314" s="2"/>
      <c r="I314" s="30"/>
    </row>
    <row r="315" spans="4:9">
      <c r="D315" s="47"/>
      <c r="E315" s="143"/>
      <c r="H315" s="2"/>
      <c r="I315" s="30"/>
    </row>
    <row r="316" spans="4:9">
      <c r="D316" s="47"/>
      <c r="E316" s="143"/>
      <c r="H316" s="2"/>
      <c r="I316" s="30"/>
    </row>
    <row r="317" spans="4:9">
      <c r="D317" s="47"/>
      <c r="E317" s="143"/>
      <c r="H317" s="2"/>
      <c r="I317" s="30"/>
    </row>
    <row r="318" spans="4:9">
      <c r="D318" s="47"/>
      <c r="E318" s="143"/>
      <c r="H318" s="2"/>
      <c r="I318" s="30"/>
    </row>
    <row r="319" spans="4:9">
      <c r="D319" s="47"/>
      <c r="E319" s="143"/>
      <c r="H319" s="2"/>
      <c r="I319" s="30"/>
    </row>
    <row r="320" spans="4:9">
      <c r="D320" s="47"/>
      <c r="E320" s="143"/>
      <c r="H320" s="2"/>
      <c r="I320" s="30"/>
    </row>
    <row r="321" spans="4:9">
      <c r="D321" s="47"/>
      <c r="E321" s="143"/>
      <c r="H321" s="2"/>
      <c r="I321" s="30"/>
    </row>
    <row r="322" spans="4:9">
      <c r="D322" s="47"/>
      <c r="E322" s="143"/>
      <c r="H322" s="2"/>
      <c r="I322" s="30"/>
    </row>
    <row r="323" spans="4:9">
      <c r="D323" s="47"/>
      <c r="E323" s="143"/>
      <c r="H323" s="2"/>
      <c r="I323" s="30"/>
    </row>
    <row r="324" spans="4:9">
      <c r="D324" s="47"/>
      <c r="E324" s="143"/>
      <c r="H324" s="2"/>
      <c r="I324" s="30"/>
    </row>
    <row r="325" spans="4:9">
      <c r="D325" s="47"/>
      <c r="E325" s="143"/>
      <c r="H325" s="2"/>
      <c r="I325" s="30"/>
    </row>
    <row r="326" spans="4:9">
      <c r="D326" s="47"/>
      <c r="E326" s="143"/>
      <c r="H326" s="2"/>
      <c r="I326" s="30"/>
    </row>
    <row r="327" spans="4:9">
      <c r="D327" s="47"/>
      <c r="E327" s="143"/>
      <c r="H327" s="2"/>
      <c r="I327" s="30"/>
    </row>
    <row r="328" spans="4:9">
      <c r="D328" s="47"/>
      <c r="E328" s="143"/>
      <c r="H328" s="2"/>
      <c r="I328" s="30"/>
    </row>
    <row r="329" spans="4:9">
      <c r="D329" s="47"/>
      <c r="E329" s="143"/>
      <c r="H329" s="2"/>
      <c r="I329" s="30"/>
    </row>
    <row r="330" spans="4:9">
      <c r="D330" s="47"/>
      <c r="E330" s="143"/>
      <c r="H330" s="2"/>
      <c r="I330" s="30"/>
    </row>
    <row r="331" spans="4:9">
      <c r="D331" s="47"/>
      <c r="E331" s="143"/>
      <c r="H331" s="2"/>
      <c r="I331" s="30"/>
    </row>
    <row r="332" spans="4:9">
      <c r="D332" s="47"/>
      <c r="E332" s="143"/>
      <c r="H332" s="2"/>
      <c r="I332" s="30"/>
    </row>
    <row r="333" spans="4:9">
      <c r="D333" s="47"/>
      <c r="E333" s="143"/>
      <c r="H333" s="2"/>
      <c r="I333" s="30"/>
    </row>
    <row r="334" spans="4:9">
      <c r="D334" s="47"/>
      <c r="E334" s="143"/>
      <c r="H334" s="2"/>
      <c r="I334" s="30"/>
    </row>
    <row r="335" spans="4:9">
      <c r="D335" s="47"/>
      <c r="E335" s="143"/>
      <c r="H335" s="2"/>
      <c r="I335" s="30"/>
    </row>
    <row r="336" spans="4:9">
      <c r="D336" s="47"/>
      <c r="E336" s="143"/>
      <c r="H336" s="2"/>
      <c r="I336" s="30"/>
    </row>
    <row r="337" spans="4:9">
      <c r="D337" s="47"/>
      <c r="E337" s="143"/>
      <c r="H337" s="2"/>
      <c r="I337" s="30"/>
    </row>
    <row r="338" spans="4:9">
      <c r="D338" s="47"/>
      <c r="E338" s="143"/>
      <c r="H338" s="2"/>
      <c r="I338" s="30"/>
    </row>
    <row r="339" spans="4:9">
      <c r="D339" s="47"/>
      <c r="E339" s="143"/>
      <c r="H339" s="2"/>
      <c r="I339" s="30"/>
    </row>
    <row r="340" spans="4:9">
      <c r="D340" s="47"/>
      <c r="E340" s="143"/>
      <c r="H340" s="2"/>
      <c r="I340" s="30"/>
    </row>
    <row r="341" spans="4:9">
      <c r="D341" s="47"/>
      <c r="E341" s="143"/>
      <c r="H341" s="2"/>
      <c r="I341" s="30"/>
    </row>
    <row r="342" spans="4:9">
      <c r="D342" s="47"/>
      <c r="E342" s="143"/>
      <c r="H342" s="2"/>
      <c r="I342" s="30"/>
    </row>
    <row r="343" spans="4:9">
      <c r="D343" s="47"/>
      <c r="E343" s="143"/>
      <c r="H343" s="2"/>
      <c r="I343" s="30"/>
    </row>
    <row r="344" spans="4:9">
      <c r="D344" s="47"/>
      <c r="E344" s="143"/>
      <c r="H344" s="2"/>
      <c r="I344" s="30"/>
    </row>
    <row r="345" spans="4:9">
      <c r="D345" s="47"/>
      <c r="E345" s="143"/>
      <c r="H345" s="2"/>
      <c r="I345" s="30"/>
    </row>
    <row r="346" spans="4:9">
      <c r="D346" s="47"/>
      <c r="E346" s="143"/>
      <c r="H346" s="2"/>
      <c r="I346" s="30"/>
    </row>
    <row r="347" spans="4:9">
      <c r="D347" s="47"/>
      <c r="E347" s="143"/>
      <c r="H347" s="2"/>
      <c r="I347" s="30"/>
    </row>
    <row r="348" spans="4:9">
      <c r="D348" s="47"/>
      <c r="E348" s="143"/>
      <c r="H348" s="2"/>
      <c r="I348" s="30"/>
    </row>
    <row r="349" spans="4:9">
      <c r="D349" s="47"/>
      <c r="E349" s="143"/>
      <c r="H349" s="2"/>
      <c r="I349" s="30"/>
    </row>
    <row r="350" spans="4:9">
      <c r="D350" s="47"/>
      <c r="E350" s="143"/>
      <c r="H350" s="2"/>
      <c r="I350" s="30"/>
    </row>
    <row r="351" spans="4:9">
      <c r="D351" s="47"/>
      <c r="E351" s="143"/>
      <c r="H351" s="2"/>
      <c r="I351" s="30"/>
    </row>
    <row r="352" spans="4:9">
      <c r="D352" s="47"/>
      <c r="E352" s="143"/>
      <c r="H352" s="2"/>
      <c r="I352" s="30"/>
    </row>
    <row r="353" spans="4:9">
      <c r="D353" s="47"/>
      <c r="E353" s="143"/>
      <c r="H353" s="2"/>
      <c r="I353" s="30"/>
    </row>
    <row r="354" spans="4:9">
      <c r="D354" s="47"/>
      <c r="E354" s="143"/>
      <c r="H354" s="2"/>
      <c r="I354" s="30"/>
    </row>
    <row r="355" spans="4:9">
      <c r="D355" s="47"/>
      <c r="E355" s="143"/>
      <c r="H355" s="2"/>
      <c r="I355" s="30"/>
    </row>
    <row r="356" spans="4:9">
      <c r="D356" s="47"/>
      <c r="E356" s="143"/>
      <c r="H356" s="2"/>
      <c r="I356" s="30"/>
    </row>
    <row r="357" spans="4:9">
      <c r="D357" s="47"/>
      <c r="E357" s="143"/>
      <c r="H357" s="2"/>
      <c r="I357" s="30"/>
    </row>
    <row r="358" spans="4:9">
      <c r="D358" s="47"/>
      <c r="E358" s="143"/>
      <c r="H358" s="2"/>
      <c r="I358" s="30"/>
    </row>
    <row r="359" spans="4:9">
      <c r="D359" s="47"/>
      <c r="E359" s="143"/>
      <c r="H359" s="2"/>
      <c r="I359" s="30"/>
    </row>
    <row r="360" spans="4:9">
      <c r="D360" s="47"/>
      <c r="E360" s="143"/>
      <c r="H360" s="2"/>
      <c r="I360" s="30"/>
    </row>
    <row r="361" spans="4:9">
      <c r="D361" s="47"/>
      <c r="E361" s="143"/>
      <c r="H361" s="2"/>
      <c r="I361" s="30"/>
    </row>
    <row r="362" spans="4:9">
      <c r="D362" s="47"/>
      <c r="E362" s="143"/>
      <c r="H362" s="2"/>
      <c r="I362" s="30"/>
    </row>
    <row r="363" spans="4:9">
      <c r="D363" s="47"/>
      <c r="E363" s="143"/>
      <c r="H363" s="2"/>
      <c r="I363" s="30"/>
    </row>
    <row r="364" spans="4:9">
      <c r="D364" s="47"/>
      <c r="E364" s="143"/>
      <c r="H364" s="2"/>
      <c r="I364" s="30"/>
    </row>
    <row r="365" spans="4:9">
      <c r="D365" s="47"/>
      <c r="E365" s="143"/>
      <c r="H365" s="2"/>
      <c r="I365" s="30"/>
    </row>
    <row r="366" spans="4:9">
      <c r="D366" s="47"/>
      <c r="E366" s="143"/>
      <c r="H366" s="2"/>
      <c r="I366" s="30"/>
    </row>
    <row r="367" spans="4:9">
      <c r="D367" s="47"/>
      <c r="E367" s="143"/>
      <c r="H367" s="2"/>
      <c r="I367" s="30"/>
    </row>
    <row r="368" spans="4:9">
      <c r="D368" s="47"/>
      <c r="E368" s="143"/>
      <c r="H368" s="2"/>
      <c r="I368" s="30"/>
    </row>
    <row r="369" spans="4:9">
      <c r="D369" s="47"/>
      <c r="E369" s="143"/>
      <c r="H369" s="2"/>
      <c r="I369" s="30"/>
    </row>
    <row r="370" spans="4:9">
      <c r="D370" s="47"/>
      <c r="E370" s="143"/>
      <c r="H370" s="2"/>
      <c r="I370" s="30"/>
    </row>
    <row r="371" spans="4:9">
      <c r="D371" s="47"/>
      <c r="E371" s="143"/>
      <c r="H371" s="2"/>
      <c r="I371" s="30"/>
    </row>
    <row r="372" spans="4:9">
      <c r="D372" s="47"/>
      <c r="E372" s="143"/>
      <c r="H372" s="2"/>
      <c r="I372" s="30"/>
    </row>
    <row r="373" spans="4:9">
      <c r="D373" s="47"/>
      <c r="E373" s="143"/>
      <c r="H373" s="2"/>
      <c r="I373" s="30"/>
    </row>
    <row r="374" spans="4:9">
      <c r="D374" s="47"/>
      <c r="E374" s="143"/>
      <c r="H374" s="2"/>
      <c r="I374" s="30"/>
    </row>
    <row r="375" spans="4:9">
      <c r="D375" s="47"/>
      <c r="E375" s="143"/>
      <c r="H375" s="2"/>
      <c r="I375" s="30"/>
    </row>
    <row r="376" spans="4:9">
      <c r="D376" s="47"/>
      <c r="E376" s="143"/>
      <c r="H376" s="2"/>
      <c r="I376" s="30"/>
    </row>
    <row r="377" spans="4:9">
      <c r="D377" s="47"/>
      <c r="E377" s="143"/>
      <c r="H377" s="2"/>
      <c r="I377" s="30"/>
    </row>
    <row r="378" spans="4:9">
      <c r="D378" s="47"/>
      <c r="E378" s="143"/>
      <c r="H378" s="2"/>
      <c r="I378" s="30"/>
    </row>
    <row r="379" spans="4:9">
      <c r="D379" s="47"/>
      <c r="E379" s="143"/>
      <c r="H379" s="2"/>
      <c r="I379" s="30"/>
    </row>
    <row r="380" spans="4:9">
      <c r="D380" s="47"/>
      <c r="E380" s="143"/>
      <c r="H380" s="2"/>
      <c r="I380" s="30"/>
    </row>
    <row r="381" spans="4:9">
      <c r="D381" s="47"/>
      <c r="E381" s="143"/>
      <c r="H381" s="2"/>
      <c r="I381" s="30"/>
    </row>
    <row r="382" spans="4:9">
      <c r="D382" s="47"/>
      <c r="E382" s="143"/>
      <c r="H382" s="2"/>
      <c r="I382" s="30"/>
    </row>
    <row r="383" spans="4:9">
      <c r="D383" s="47"/>
      <c r="E383" s="143"/>
      <c r="H383" s="2"/>
      <c r="I383" s="30"/>
    </row>
    <row r="384" spans="4:9">
      <c r="D384" s="47"/>
      <c r="E384" s="143"/>
      <c r="H384" s="2"/>
      <c r="I384" s="30"/>
    </row>
    <row r="385" spans="4:9">
      <c r="D385" s="47"/>
      <c r="E385" s="143"/>
      <c r="H385" s="2"/>
      <c r="I385" s="30"/>
    </row>
    <row r="386" spans="4:9">
      <c r="D386" s="47"/>
      <c r="E386" s="143"/>
      <c r="H386" s="2"/>
      <c r="I386" s="30"/>
    </row>
    <row r="387" spans="4:9">
      <c r="D387" s="47"/>
      <c r="E387" s="143"/>
      <c r="H387" s="2"/>
      <c r="I387" s="30"/>
    </row>
    <row r="388" spans="4:9">
      <c r="D388" s="47"/>
      <c r="E388" s="143"/>
      <c r="H388" s="2"/>
      <c r="I388" s="30"/>
    </row>
    <row r="389" spans="4:9">
      <c r="D389" s="47"/>
      <c r="E389" s="143"/>
      <c r="H389" s="2"/>
      <c r="I389" s="30"/>
    </row>
    <row r="390" spans="4:9">
      <c r="D390" s="47"/>
      <c r="E390" s="143"/>
      <c r="H390" s="2"/>
      <c r="I390" s="30"/>
    </row>
    <row r="391" spans="4:9">
      <c r="D391" s="47"/>
      <c r="E391" s="143"/>
      <c r="H391" s="2"/>
      <c r="I391" s="30"/>
    </row>
    <row r="392" spans="4:9">
      <c r="D392" s="47"/>
      <c r="E392" s="143"/>
      <c r="H392" s="2"/>
      <c r="I392" s="30"/>
    </row>
    <row r="393" spans="4:9">
      <c r="D393" s="47"/>
      <c r="E393" s="143"/>
      <c r="H393" s="2"/>
      <c r="I393" s="30"/>
    </row>
    <row r="394" spans="4:9">
      <c r="D394" s="47"/>
      <c r="E394" s="143"/>
      <c r="H394" s="2"/>
      <c r="I394" s="30"/>
    </row>
    <row r="395" spans="4:9">
      <c r="D395" s="47"/>
      <c r="E395" s="143"/>
      <c r="H395" s="2"/>
      <c r="I395" s="30"/>
    </row>
    <row r="396" spans="4:9">
      <c r="D396" s="47"/>
      <c r="E396" s="143"/>
      <c r="H396" s="2"/>
      <c r="I396" s="30"/>
    </row>
    <row r="397" spans="4:9">
      <c r="D397" s="47"/>
      <c r="E397" s="143"/>
      <c r="H397" s="2"/>
      <c r="I397" s="30"/>
    </row>
    <row r="398" spans="4:9">
      <c r="D398" s="47"/>
      <c r="E398" s="143"/>
      <c r="H398" s="2"/>
      <c r="I398" s="30"/>
    </row>
    <row r="399" spans="4:9">
      <c r="D399" s="47"/>
      <c r="E399" s="143"/>
      <c r="H399" s="2"/>
      <c r="I399" s="30"/>
    </row>
    <row r="400" spans="4:9">
      <c r="D400" s="47"/>
      <c r="E400" s="143"/>
      <c r="H400" s="2"/>
      <c r="I400" s="30"/>
    </row>
    <row r="401" spans="4:9">
      <c r="D401" s="47"/>
      <c r="E401" s="143"/>
      <c r="H401" s="2"/>
      <c r="I401" s="30"/>
    </row>
    <row r="402" spans="4:9">
      <c r="D402" s="47"/>
      <c r="E402" s="143"/>
      <c r="H402" s="2"/>
      <c r="I402" s="30"/>
    </row>
    <row r="403" spans="4:9">
      <c r="D403" s="47"/>
      <c r="E403" s="143"/>
      <c r="H403" s="2"/>
      <c r="I403" s="30"/>
    </row>
    <row r="404" spans="4:9">
      <c r="D404" s="47"/>
      <c r="E404" s="143"/>
      <c r="H404" s="2"/>
      <c r="I404" s="30"/>
    </row>
    <row r="405" spans="4:9">
      <c r="D405" s="47"/>
      <c r="E405" s="143"/>
      <c r="H405" s="2"/>
      <c r="I405" s="30"/>
    </row>
    <row r="406" spans="4:9">
      <c r="D406" s="47"/>
      <c r="E406" s="143"/>
      <c r="H406" s="2"/>
      <c r="I406" s="30"/>
    </row>
    <row r="407" spans="4:9">
      <c r="D407" s="47"/>
      <c r="E407" s="143"/>
      <c r="H407" s="2"/>
      <c r="I407" s="30"/>
    </row>
    <row r="408" spans="4:9">
      <c r="D408" s="47"/>
      <c r="E408" s="143"/>
      <c r="H408" s="2"/>
      <c r="I408" s="30"/>
    </row>
    <row r="409" spans="4:9">
      <c r="D409" s="47"/>
      <c r="E409" s="143"/>
      <c r="H409" s="2"/>
      <c r="I409" s="30"/>
    </row>
    <row r="410" spans="4:9">
      <c r="D410" s="47"/>
      <c r="E410" s="143"/>
      <c r="H410" s="2"/>
      <c r="I410" s="30"/>
    </row>
    <row r="411" spans="4:9">
      <c r="D411" s="47"/>
      <c r="E411" s="143"/>
      <c r="H411" s="2"/>
      <c r="I411" s="30"/>
    </row>
    <row r="412" spans="4:9">
      <c r="D412" s="47"/>
      <c r="E412" s="143"/>
      <c r="H412" s="2"/>
      <c r="I412" s="30"/>
    </row>
    <row r="413" spans="4:9">
      <c r="D413" s="47"/>
      <c r="E413" s="143"/>
      <c r="H413" s="2"/>
      <c r="I413" s="30"/>
    </row>
    <row r="414" spans="4:9">
      <c r="D414" s="47"/>
      <c r="E414" s="143"/>
      <c r="H414" s="2"/>
      <c r="I414" s="30"/>
    </row>
    <row r="415" spans="4:9">
      <c r="D415" s="47"/>
      <c r="E415" s="143"/>
      <c r="H415" s="2"/>
      <c r="I415" s="30"/>
    </row>
    <row r="416" spans="4:9">
      <c r="D416" s="47"/>
      <c r="E416" s="143"/>
      <c r="H416" s="2"/>
      <c r="I416" s="30"/>
    </row>
    <row r="417" spans="4:9">
      <c r="D417" s="47"/>
      <c r="E417" s="143"/>
      <c r="H417" s="2"/>
      <c r="I417" s="30"/>
    </row>
    <row r="418" spans="4:9">
      <c r="D418" s="47"/>
      <c r="E418" s="143"/>
      <c r="H418" s="2"/>
      <c r="I418" s="30"/>
    </row>
    <row r="419" spans="4:9">
      <c r="D419" s="47"/>
      <c r="E419" s="143"/>
      <c r="H419" s="2"/>
      <c r="I419" s="30"/>
    </row>
    <row r="420" spans="4:9">
      <c r="D420" s="47"/>
      <c r="E420" s="143"/>
      <c r="H420" s="2"/>
      <c r="I420" s="30"/>
    </row>
    <row r="421" spans="4:9">
      <c r="D421" s="47"/>
      <c r="E421" s="143"/>
      <c r="H421" s="2"/>
      <c r="I421" s="30"/>
    </row>
    <row r="422" spans="4:9">
      <c r="D422" s="47"/>
      <c r="E422" s="143"/>
      <c r="H422" s="2"/>
      <c r="I422" s="30"/>
    </row>
    <row r="423" spans="4:9">
      <c r="D423" s="47"/>
      <c r="E423" s="143"/>
      <c r="H423" s="2"/>
      <c r="I423" s="30"/>
    </row>
    <row r="424" spans="4:9">
      <c r="D424" s="47"/>
      <c r="E424" s="143"/>
      <c r="H424" s="2"/>
      <c r="I424" s="30"/>
    </row>
    <row r="425" spans="4:9">
      <c r="D425" s="47"/>
      <c r="E425" s="143"/>
      <c r="H425" s="2"/>
      <c r="I425" s="30"/>
    </row>
    <row r="426" spans="4:9">
      <c r="D426" s="47"/>
      <c r="E426" s="143"/>
      <c r="H426" s="2"/>
      <c r="I426" s="30"/>
    </row>
    <row r="427" spans="4:9">
      <c r="D427" s="47"/>
      <c r="E427" s="143"/>
      <c r="H427" s="2"/>
      <c r="I427" s="30"/>
    </row>
    <row r="428" spans="4:9">
      <c r="D428" s="47"/>
      <c r="E428" s="143"/>
      <c r="H428" s="2"/>
      <c r="I428" s="30"/>
    </row>
    <row r="429" spans="4:9">
      <c r="D429" s="47"/>
      <c r="E429" s="143"/>
      <c r="H429" s="2"/>
      <c r="I429" s="30"/>
    </row>
    <row r="430" spans="4:9">
      <c r="D430" s="47"/>
      <c r="E430" s="143"/>
      <c r="H430" s="2"/>
      <c r="I430" s="30"/>
    </row>
    <row r="431" spans="4:9">
      <c r="D431" s="47"/>
      <c r="E431" s="143"/>
      <c r="H431" s="2"/>
      <c r="I431" s="30"/>
    </row>
    <row r="432" spans="4:9">
      <c r="D432" s="47"/>
      <c r="E432" s="143"/>
      <c r="H432" s="2"/>
      <c r="I432" s="30"/>
    </row>
    <row r="433" spans="4:9">
      <c r="D433" s="47"/>
      <c r="E433" s="143"/>
      <c r="H433" s="2"/>
      <c r="I433" s="30"/>
    </row>
    <row r="434" spans="4:9">
      <c r="D434" s="47"/>
      <c r="E434" s="143"/>
      <c r="H434" s="2"/>
      <c r="I434" s="30"/>
    </row>
    <row r="435" spans="4:9">
      <c r="D435" s="47"/>
      <c r="E435" s="143"/>
      <c r="H435" s="2"/>
      <c r="I435" s="30"/>
    </row>
    <row r="436" spans="4:9">
      <c r="D436" s="47"/>
      <c r="E436" s="143"/>
      <c r="H436" s="2"/>
      <c r="I436" s="30"/>
    </row>
    <row r="437" spans="4:9">
      <c r="D437" s="47"/>
      <c r="E437" s="143"/>
      <c r="H437" s="2"/>
      <c r="I437" s="30"/>
    </row>
    <row r="438" spans="4:9">
      <c r="D438" s="47"/>
      <c r="E438" s="143"/>
      <c r="H438" s="2"/>
      <c r="I438" s="30"/>
    </row>
    <row r="439" spans="4:9">
      <c r="D439" s="47"/>
      <c r="E439" s="143"/>
      <c r="H439" s="2"/>
      <c r="I439" s="30"/>
    </row>
    <row r="440" spans="4:9">
      <c r="D440" s="47"/>
      <c r="E440" s="143"/>
      <c r="H440" s="2"/>
      <c r="I440" s="30"/>
    </row>
    <row r="441" spans="4:9">
      <c r="D441" s="47"/>
      <c r="E441" s="143"/>
      <c r="H441" s="2"/>
      <c r="I441" s="30"/>
    </row>
    <row r="442" spans="4:9">
      <c r="D442" s="47"/>
      <c r="E442" s="143"/>
      <c r="H442" s="2"/>
      <c r="I442" s="30"/>
    </row>
    <row r="443" spans="4:9">
      <c r="D443" s="47"/>
      <c r="E443" s="143"/>
      <c r="H443" s="2"/>
      <c r="I443" s="30"/>
    </row>
    <row r="444" spans="4:9">
      <c r="D444" s="47"/>
      <c r="E444" s="143"/>
      <c r="H444" s="2"/>
      <c r="I444" s="30"/>
    </row>
    <row r="445" spans="4:9">
      <c r="D445" s="47"/>
      <c r="E445" s="143"/>
      <c r="H445" s="2"/>
      <c r="I445" s="30"/>
    </row>
    <row r="446" spans="4:9">
      <c r="D446" s="47"/>
      <c r="E446" s="143"/>
      <c r="H446" s="2"/>
      <c r="I446" s="30"/>
    </row>
    <row r="447" spans="4:9">
      <c r="D447" s="47"/>
      <c r="E447" s="143"/>
      <c r="H447" s="2"/>
      <c r="I447" s="30"/>
    </row>
    <row r="448" spans="4:9">
      <c r="D448" s="47"/>
      <c r="E448" s="143"/>
      <c r="H448" s="2"/>
      <c r="I448" s="30"/>
    </row>
    <row r="449" spans="4:9">
      <c r="D449" s="47"/>
      <c r="E449" s="143"/>
      <c r="H449" s="2"/>
      <c r="I449" s="30"/>
    </row>
    <row r="450" spans="4:9">
      <c r="D450" s="47"/>
      <c r="E450" s="143"/>
      <c r="H450" s="2"/>
      <c r="I450" s="30"/>
    </row>
    <row r="451" spans="4:9">
      <c r="D451" s="47"/>
      <c r="E451" s="143"/>
      <c r="H451" s="2"/>
      <c r="I451" s="30"/>
    </row>
    <row r="452" spans="4:9">
      <c r="D452" s="47"/>
      <c r="E452" s="143"/>
      <c r="H452" s="2"/>
      <c r="I452" s="30"/>
    </row>
    <row r="453" spans="4:9">
      <c r="D453" s="47"/>
      <c r="E453" s="143"/>
      <c r="H453" s="2"/>
      <c r="I453" s="30"/>
    </row>
    <row r="454" spans="4:9">
      <c r="D454" s="47"/>
      <c r="E454" s="143"/>
      <c r="H454" s="2"/>
      <c r="I454" s="30"/>
    </row>
    <row r="455" spans="4:9">
      <c r="D455" s="47"/>
      <c r="E455" s="143"/>
      <c r="H455" s="2"/>
      <c r="I455" s="30"/>
    </row>
    <row r="456" spans="4:9">
      <c r="D456" s="47"/>
      <c r="E456" s="143"/>
      <c r="H456" s="2"/>
      <c r="I456" s="30"/>
    </row>
    <row r="457" spans="4:9">
      <c r="D457" s="47"/>
      <c r="E457" s="143"/>
      <c r="H457" s="2"/>
      <c r="I457" s="30"/>
    </row>
    <row r="458" spans="4:9">
      <c r="D458" s="47"/>
      <c r="E458" s="143"/>
      <c r="H458" s="2"/>
      <c r="I458" s="30"/>
    </row>
    <row r="459" spans="4:9">
      <c r="D459" s="47"/>
      <c r="E459" s="143"/>
      <c r="H459" s="2"/>
      <c r="I459" s="30"/>
    </row>
    <row r="460" spans="4:9">
      <c r="D460" s="47"/>
      <c r="E460" s="143"/>
      <c r="H460" s="2"/>
      <c r="I460" s="30"/>
    </row>
    <row r="461" spans="4:9">
      <c r="D461" s="47"/>
      <c r="E461" s="143"/>
      <c r="H461" s="2"/>
      <c r="I461" s="30"/>
    </row>
    <row r="462" spans="4:9">
      <c r="D462" s="47"/>
      <c r="E462" s="143"/>
      <c r="H462" s="2"/>
      <c r="I462" s="30"/>
    </row>
    <row r="463" spans="4:9">
      <c r="D463" s="47"/>
      <c r="E463" s="143"/>
      <c r="H463" s="2"/>
      <c r="I463" s="30"/>
    </row>
    <row r="464" spans="4:9">
      <c r="D464" s="47"/>
      <c r="E464" s="143"/>
      <c r="H464" s="2"/>
      <c r="I464" s="30"/>
    </row>
    <row r="465" spans="4:9">
      <c r="D465" s="47"/>
      <c r="E465" s="143"/>
      <c r="H465" s="2"/>
      <c r="I465" s="30"/>
    </row>
    <row r="466" spans="4:9">
      <c r="D466" s="47"/>
      <c r="E466" s="143"/>
      <c r="H466" s="2"/>
      <c r="I466" s="30"/>
    </row>
    <row r="467" spans="4:9">
      <c r="D467" s="47"/>
      <c r="E467" s="143"/>
      <c r="H467" s="2"/>
      <c r="I467" s="30"/>
    </row>
    <row r="468" spans="4:9">
      <c r="D468" s="47"/>
      <c r="E468" s="143"/>
      <c r="H468" s="2"/>
      <c r="I468" s="30"/>
    </row>
    <row r="469" spans="4:9">
      <c r="D469" s="47"/>
      <c r="E469" s="143"/>
      <c r="H469" s="2"/>
      <c r="I469" s="30"/>
    </row>
    <row r="470" spans="4:9">
      <c r="D470" s="47"/>
      <c r="E470" s="143"/>
      <c r="H470" s="2"/>
      <c r="I470" s="30"/>
    </row>
    <row r="471" spans="4:9">
      <c r="D471" s="47"/>
      <c r="E471" s="143"/>
      <c r="H471" s="2"/>
      <c r="I471" s="30"/>
    </row>
    <row r="472" spans="4:9">
      <c r="D472" s="47"/>
      <c r="E472" s="143"/>
      <c r="H472" s="2"/>
      <c r="I472" s="30"/>
    </row>
    <row r="473" spans="4:9">
      <c r="D473" s="47"/>
      <c r="E473" s="143"/>
      <c r="H473" s="2"/>
      <c r="I473" s="30"/>
    </row>
    <row r="474" spans="4:9">
      <c r="D474" s="47"/>
      <c r="E474" s="143"/>
      <c r="H474" s="2"/>
      <c r="I474" s="30"/>
    </row>
    <row r="475" spans="4:9">
      <c r="D475" s="47"/>
      <c r="E475" s="143"/>
      <c r="H475" s="2"/>
      <c r="I475" s="30"/>
    </row>
    <row r="476" spans="4:9">
      <c r="D476" s="47"/>
      <c r="E476" s="143"/>
      <c r="H476" s="2"/>
      <c r="I476" s="30"/>
    </row>
    <row r="477" spans="4:9">
      <c r="D477" s="47"/>
      <c r="E477" s="143"/>
      <c r="H477" s="2"/>
      <c r="I477" s="30"/>
    </row>
    <row r="478" spans="4:9">
      <c r="D478" s="47"/>
      <c r="E478" s="143"/>
      <c r="H478" s="2"/>
      <c r="I478" s="30"/>
    </row>
    <row r="479" spans="4:9">
      <c r="D479" s="47"/>
      <c r="E479" s="143"/>
      <c r="H479" s="2"/>
      <c r="I479" s="30"/>
    </row>
    <row r="480" spans="4:9">
      <c r="D480" s="47"/>
      <c r="E480" s="143"/>
      <c r="H480" s="2"/>
      <c r="I480" s="30"/>
    </row>
    <row r="481" spans="4:9">
      <c r="D481" s="47"/>
      <c r="E481" s="143"/>
      <c r="H481" s="2"/>
      <c r="I481" s="30"/>
    </row>
    <row r="482" spans="4:9">
      <c r="D482" s="47"/>
      <c r="E482" s="143"/>
      <c r="H482" s="2"/>
      <c r="I482" s="30"/>
    </row>
    <row r="483" spans="4:9">
      <c r="D483" s="47"/>
      <c r="E483" s="143"/>
      <c r="H483" s="2"/>
      <c r="I483" s="30"/>
    </row>
    <row r="484" spans="4:9">
      <c r="D484" s="47"/>
      <c r="E484" s="143"/>
      <c r="H484" s="2"/>
      <c r="I484" s="30"/>
    </row>
    <row r="485" spans="4:9">
      <c r="D485" s="47"/>
      <c r="E485" s="143"/>
      <c r="H485" s="2"/>
      <c r="I485" s="30"/>
    </row>
    <row r="486" spans="4:9">
      <c r="D486" s="47"/>
      <c r="E486" s="143"/>
      <c r="H486" s="2"/>
      <c r="I486" s="30"/>
    </row>
    <row r="487" spans="4:9">
      <c r="D487" s="47"/>
      <c r="E487" s="143"/>
      <c r="H487" s="2"/>
      <c r="I487" s="30"/>
    </row>
    <row r="488" spans="4:9">
      <c r="D488" s="47"/>
      <c r="E488" s="143"/>
      <c r="H488" s="2"/>
      <c r="I488" s="30"/>
    </row>
    <row r="489" spans="4:9">
      <c r="D489" s="47"/>
      <c r="E489" s="143"/>
      <c r="H489" s="2"/>
      <c r="I489" s="30"/>
    </row>
    <row r="490" spans="4:9">
      <c r="D490" s="47"/>
      <c r="E490" s="143"/>
      <c r="H490" s="2"/>
      <c r="I490" s="30"/>
    </row>
    <row r="491" spans="4:9">
      <c r="D491" s="47"/>
      <c r="E491" s="143"/>
      <c r="H491" s="2"/>
      <c r="I491" s="30"/>
    </row>
    <row r="492" spans="4:9">
      <c r="D492" s="47"/>
      <c r="E492" s="143"/>
      <c r="H492" s="2"/>
      <c r="I492" s="30"/>
    </row>
    <row r="493" spans="4:9">
      <c r="D493" s="47"/>
      <c r="E493" s="143"/>
      <c r="H493" s="2"/>
      <c r="I493" s="30"/>
    </row>
    <row r="494" spans="4:9">
      <c r="D494" s="47"/>
      <c r="E494" s="143"/>
      <c r="H494" s="2"/>
      <c r="I494" s="30"/>
    </row>
    <row r="495" spans="4:9">
      <c r="D495" s="47"/>
      <c r="E495" s="143"/>
      <c r="H495" s="2"/>
      <c r="I495" s="30"/>
    </row>
    <row r="496" spans="4:9">
      <c r="D496" s="47"/>
      <c r="E496" s="143"/>
      <c r="H496" s="2"/>
      <c r="I496" s="30"/>
    </row>
    <row r="497" spans="4:9">
      <c r="D497" s="47"/>
      <c r="E497" s="143"/>
      <c r="H497" s="2"/>
      <c r="I497" s="30"/>
    </row>
    <row r="498" spans="4:9">
      <c r="D498" s="47"/>
      <c r="E498" s="143"/>
      <c r="H498" s="2"/>
      <c r="I498" s="30"/>
    </row>
    <row r="499" spans="4:9">
      <c r="D499" s="47"/>
      <c r="E499" s="143"/>
      <c r="H499" s="2"/>
      <c r="I499" s="30"/>
    </row>
    <row r="500" spans="4:9">
      <c r="D500" s="47"/>
      <c r="E500" s="143"/>
      <c r="H500" s="2"/>
      <c r="I500" s="30"/>
    </row>
    <row r="501" spans="4:9">
      <c r="D501" s="47"/>
      <c r="E501" s="143"/>
      <c r="H501" s="2"/>
      <c r="I501" s="30"/>
    </row>
    <row r="502" spans="4:9">
      <c r="D502" s="47"/>
      <c r="E502" s="143"/>
      <c r="H502" s="2"/>
      <c r="I502" s="30"/>
    </row>
    <row r="503" spans="4:9">
      <c r="D503" s="47"/>
      <c r="E503" s="143"/>
      <c r="H503" s="2"/>
      <c r="I503" s="30"/>
    </row>
    <row r="504" spans="4:9">
      <c r="D504" s="47"/>
      <c r="E504" s="143"/>
      <c r="H504" s="2"/>
      <c r="I504" s="30"/>
    </row>
    <row r="505" spans="4:9">
      <c r="D505" s="47"/>
      <c r="E505" s="143"/>
      <c r="H505" s="2"/>
      <c r="I505" s="30"/>
    </row>
    <row r="506" spans="4:9">
      <c r="D506" s="47"/>
      <c r="E506" s="143"/>
      <c r="H506" s="2"/>
      <c r="I506" s="30"/>
    </row>
    <row r="507" spans="4:9">
      <c r="D507" s="47"/>
      <c r="E507" s="143"/>
      <c r="H507" s="2"/>
      <c r="I507" s="30"/>
    </row>
    <row r="508" spans="4:9">
      <c r="D508" s="47"/>
      <c r="E508" s="143"/>
      <c r="H508" s="2"/>
      <c r="I508" s="30"/>
    </row>
    <row r="509" spans="4:9">
      <c r="D509" s="47"/>
      <c r="E509" s="143"/>
      <c r="H509" s="2"/>
      <c r="I509" s="30"/>
    </row>
    <row r="510" spans="4:9">
      <c r="D510" s="47"/>
      <c r="E510" s="143"/>
      <c r="H510" s="2"/>
      <c r="I510" s="30"/>
    </row>
    <row r="511" spans="4:9">
      <c r="D511" s="47"/>
      <c r="E511" s="143"/>
      <c r="H511" s="2"/>
      <c r="I511" s="30"/>
    </row>
    <row r="512" spans="4:9">
      <c r="D512" s="47"/>
      <c r="E512" s="143"/>
      <c r="H512" s="2"/>
      <c r="I512" s="30"/>
    </row>
    <row r="513" spans="4:9">
      <c r="D513" s="47"/>
      <c r="E513" s="143"/>
      <c r="H513" s="2"/>
      <c r="I513" s="30"/>
    </row>
    <row r="514" spans="4:9">
      <c r="D514" s="47"/>
      <c r="E514" s="143"/>
      <c r="H514" s="2"/>
      <c r="I514" s="30"/>
    </row>
    <row r="515" spans="4:9">
      <c r="D515" s="47"/>
      <c r="E515" s="143"/>
      <c r="H515" s="2"/>
      <c r="I515" s="30"/>
    </row>
    <row r="516" spans="4:9">
      <c r="D516" s="47"/>
      <c r="E516" s="143"/>
      <c r="H516" s="2"/>
      <c r="I516" s="30"/>
    </row>
    <row r="517" spans="4:9">
      <c r="D517" s="47"/>
      <c r="E517" s="143"/>
      <c r="H517" s="2"/>
      <c r="I517" s="30"/>
    </row>
    <row r="518" spans="4:9">
      <c r="D518" s="47"/>
      <c r="E518" s="143"/>
      <c r="H518" s="2"/>
      <c r="I518" s="30"/>
    </row>
    <row r="519" spans="4:9">
      <c r="D519" s="47"/>
      <c r="E519" s="143"/>
      <c r="H519" s="2"/>
      <c r="I519" s="30"/>
    </row>
    <row r="520" spans="4:9">
      <c r="D520" s="47"/>
      <c r="E520" s="143"/>
      <c r="H520" s="2"/>
      <c r="I520" s="30"/>
    </row>
    <row r="521" spans="4:9">
      <c r="D521" s="47"/>
      <c r="E521" s="143"/>
      <c r="H521" s="2"/>
      <c r="I521" s="30"/>
    </row>
    <row r="522" spans="4:9">
      <c r="D522" s="47"/>
      <c r="E522" s="143"/>
      <c r="H522" s="2"/>
      <c r="I522" s="30"/>
    </row>
    <row r="523" spans="4:9">
      <c r="D523" s="47"/>
      <c r="E523" s="143"/>
      <c r="H523" s="2"/>
      <c r="I523" s="30"/>
    </row>
    <row r="524" spans="4:9">
      <c r="D524" s="47"/>
      <c r="E524" s="143"/>
      <c r="H524" s="2"/>
      <c r="I524" s="30"/>
    </row>
    <row r="525" spans="4:9">
      <c r="D525" s="47"/>
      <c r="E525" s="143"/>
      <c r="H525" s="2"/>
      <c r="I525" s="30"/>
    </row>
    <row r="526" spans="4:9">
      <c r="D526" s="47"/>
      <c r="E526" s="143"/>
      <c r="H526" s="2"/>
      <c r="I526" s="30"/>
    </row>
    <row r="527" spans="4:9">
      <c r="D527" s="47"/>
      <c r="E527" s="143"/>
      <c r="H527" s="2"/>
      <c r="I527" s="30"/>
    </row>
    <row r="528" spans="4:9">
      <c r="D528" s="47"/>
      <c r="E528" s="143"/>
      <c r="H528" s="2"/>
      <c r="I528" s="30"/>
    </row>
    <row r="529" spans="4:9">
      <c r="D529" s="47"/>
      <c r="E529" s="143"/>
      <c r="H529" s="2"/>
      <c r="I529" s="30"/>
    </row>
    <row r="530" spans="4:9">
      <c r="D530" s="47"/>
      <c r="E530" s="143"/>
      <c r="H530" s="2"/>
      <c r="I530" s="30"/>
    </row>
    <row r="531" spans="4:9">
      <c r="D531" s="47"/>
      <c r="E531" s="143"/>
      <c r="H531" s="2"/>
      <c r="I531" s="30"/>
    </row>
    <row r="532" spans="4:9">
      <c r="D532" s="47"/>
      <c r="E532" s="143"/>
      <c r="H532" s="2"/>
      <c r="I532" s="30"/>
    </row>
    <row r="533" spans="4:9">
      <c r="D533" s="47"/>
      <c r="E533" s="143"/>
      <c r="H533" s="2"/>
      <c r="I533" s="30"/>
    </row>
    <row r="534" spans="4:9">
      <c r="D534" s="47"/>
      <c r="E534" s="143"/>
      <c r="H534" s="2"/>
      <c r="I534" s="30"/>
    </row>
    <row r="535" spans="4:9">
      <c r="D535" s="47"/>
      <c r="E535" s="143"/>
      <c r="H535" s="2"/>
      <c r="I535" s="30"/>
    </row>
    <row r="536" spans="4:9">
      <c r="D536" s="47"/>
      <c r="E536" s="143"/>
      <c r="H536" s="2"/>
      <c r="I536" s="30"/>
    </row>
    <row r="537" spans="4:9">
      <c r="D537" s="47"/>
      <c r="E537" s="143"/>
      <c r="H537" s="2"/>
      <c r="I537" s="30"/>
    </row>
    <row r="538" spans="4:9">
      <c r="D538" s="47"/>
      <c r="E538" s="143"/>
      <c r="H538" s="2"/>
      <c r="I538" s="30"/>
    </row>
    <row r="539" spans="4:9">
      <c r="D539" s="47"/>
      <c r="E539" s="143"/>
      <c r="H539" s="2"/>
      <c r="I539" s="30"/>
    </row>
    <row r="540" spans="4:9">
      <c r="D540" s="47"/>
      <c r="E540" s="143"/>
      <c r="H540" s="2"/>
      <c r="I540" s="30"/>
    </row>
    <row r="541" spans="4:9">
      <c r="D541" s="47"/>
      <c r="E541" s="143"/>
      <c r="H541" s="2"/>
      <c r="I541" s="30"/>
    </row>
    <row r="542" spans="4:9">
      <c r="D542" s="47"/>
      <c r="E542" s="143"/>
      <c r="H542" s="2"/>
      <c r="I542" s="30"/>
    </row>
    <row r="543" spans="4:9">
      <c r="D543" s="47"/>
      <c r="E543" s="143"/>
      <c r="H543" s="2"/>
      <c r="I543" s="30"/>
    </row>
    <row r="544" spans="4:9">
      <c r="D544" s="47"/>
      <c r="E544" s="143"/>
      <c r="H544" s="2"/>
      <c r="I544" s="30"/>
    </row>
    <row r="545" spans="4:9">
      <c r="D545" s="47"/>
      <c r="E545" s="143"/>
      <c r="H545" s="2"/>
      <c r="I545" s="30"/>
    </row>
    <row r="546" spans="4:9">
      <c r="D546" s="47"/>
      <c r="E546" s="143"/>
      <c r="H546" s="2"/>
      <c r="I546" s="30"/>
    </row>
    <row r="547" spans="4:9">
      <c r="D547" s="47"/>
      <c r="E547" s="143"/>
      <c r="H547" s="2"/>
      <c r="I547" s="30"/>
    </row>
    <row r="548" spans="4:9">
      <c r="D548" s="47"/>
      <c r="E548" s="143"/>
      <c r="H548" s="2"/>
      <c r="I548" s="30"/>
    </row>
    <row r="549" spans="4:9">
      <c r="D549" s="47"/>
      <c r="E549" s="143"/>
      <c r="H549" s="2"/>
      <c r="I549" s="30"/>
    </row>
    <row r="550" spans="4:9">
      <c r="D550" s="47"/>
      <c r="E550" s="143"/>
      <c r="H550" s="2"/>
      <c r="I550" s="30"/>
    </row>
    <row r="551" spans="4:9">
      <c r="D551" s="47"/>
      <c r="E551" s="143"/>
      <c r="H551" s="2"/>
      <c r="I551" s="30"/>
    </row>
    <row r="552" spans="4:9">
      <c r="D552" s="47"/>
      <c r="E552" s="143"/>
      <c r="H552" s="2"/>
      <c r="I552" s="30"/>
    </row>
    <row r="553" spans="4:9">
      <c r="D553" s="47"/>
      <c r="E553" s="143"/>
      <c r="H553" s="2"/>
      <c r="I553" s="30"/>
    </row>
    <row r="554" spans="4:9">
      <c r="D554" s="47"/>
      <c r="E554" s="143"/>
      <c r="H554" s="2"/>
      <c r="I554" s="30"/>
    </row>
    <row r="555" spans="4:9">
      <c r="D555" s="47"/>
      <c r="E555" s="143"/>
      <c r="H555" s="2"/>
      <c r="I555" s="30"/>
    </row>
    <row r="556" spans="4:9">
      <c r="D556" s="47"/>
      <c r="E556" s="143"/>
      <c r="H556" s="2"/>
      <c r="I556" s="30"/>
    </row>
    <row r="557" spans="4:9">
      <c r="D557" s="47"/>
      <c r="E557" s="143"/>
      <c r="H557" s="2"/>
      <c r="I557" s="30"/>
    </row>
    <row r="558" spans="4:9">
      <c r="D558" s="47"/>
      <c r="E558" s="143"/>
      <c r="H558" s="2"/>
      <c r="I558" s="30"/>
    </row>
    <row r="559" spans="4:9">
      <c r="D559" s="47"/>
      <c r="E559" s="143"/>
      <c r="H559" s="2"/>
      <c r="I559" s="30"/>
    </row>
    <row r="560" spans="4:9">
      <c r="D560" s="47"/>
      <c r="E560" s="143"/>
      <c r="H560" s="2"/>
      <c r="I560" s="30"/>
    </row>
    <row r="561" spans="4:9">
      <c r="D561" s="47"/>
      <c r="E561" s="143"/>
      <c r="H561" s="2"/>
      <c r="I561" s="30"/>
    </row>
    <row r="562" spans="4:9">
      <c r="D562" s="47"/>
      <c r="E562" s="143"/>
      <c r="H562" s="2"/>
      <c r="I562" s="30"/>
    </row>
    <row r="563" spans="4:9">
      <c r="D563" s="47"/>
      <c r="E563" s="143"/>
      <c r="H563" s="2"/>
      <c r="I563" s="30"/>
    </row>
    <row r="564" spans="4:9">
      <c r="D564" s="47"/>
      <c r="E564" s="143"/>
      <c r="H564" s="2"/>
      <c r="I564" s="30"/>
    </row>
    <row r="565" spans="4:9">
      <c r="D565" s="47"/>
      <c r="E565" s="143"/>
      <c r="H565" s="2"/>
      <c r="I565" s="30"/>
    </row>
    <row r="566" spans="4:9">
      <c r="D566" s="47"/>
      <c r="E566" s="143"/>
      <c r="H566" s="2"/>
      <c r="I566" s="30"/>
    </row>
    <row r="567" spans="4:9">
      <c r="D567" s="47"/>
      <c r="E567" s="143"/>
      <c r="H567" s="2"/>
      <c r="I567" s="30"/>
    </row>
    <row r="568" spans="4:9">
      <c r="D568" s="47"/>
      <c r="E568" s="143"/>
      <c r="H568" s="2"/>
      <c r="I568" s="30"/>
    </row>
    <row r="569" spans="4:9">
      <c r="D569" s="47"/>
      <c r="E569" s="143"/>
      <c r="H569" s="2"/>
      <c r="I569" s="30"/>
    </row>
    <row r="570" spans="4:9">
      <c r="D570" s="47"/>
      <c r="E570" s="143"/>
      <c r="H570" s="2"/>
      <c r="I570" s="30"/>
    </row>
    <row r="571" spans="4:9">
      <c r="D571" s="47"/>
      <c r="E571" s="143"/>
      <c r="H571" s="2"/>
      <c r="I571" s="30"/>
    </row>
    <row r="572" spans="4:9">
      <c r="D572" s="47"/>
      <c r="E572" s="143"/>
      <c r="H572" s="2"/>
      <c r="I572" s="30"/>
    </row>
    <row r="573" spans="4:9">
      <c r="D573" s="47"/>
      <c r="E573" s="143"/>
      <c r="H573" s="2"/>
      <c r="I573" s="30"/>
    </row>
    <row r="574" spans="4:9">
      <c r="D574" s="47"/>
      <c r="E574" s="143"/>
      <c r="H574" s="2"/>
      <c r="I574" s="30"/>
    </row>
    <row r="575" spans="4:9">
      <c r="D575" s="47"/>
      <c r="E575" s="143"/>
      <c r="H575" s="2"/>
      <c r="I575" s="30"/>
    </row>
    <row r="576" spans="4:9">
      <c r="D576" s="47"/>
      <c r="E576" s="143"/>
      <c r="H576" s="2"/>
      <c r="I576" s="30"/>
    </row>
    <row r="577" spans="4:9">
      <c r="D577" s="47"/>
      <c r="E577" s="143"/>
      <c r="H577" s="2"/>
      <c r="I577" s="30"/>
    </row>
    <row r="578" spans="4:9">
      <c r="D578" s="47"/>
      <c r="E578" s="143"/>
      <c r="H578" s="2"/>
      <c r="I578" s="30"/>
    </row>
    <row r="579" spans="4:9">
      <c r="D579" s="47"/>
      <c r="E579" s="143"/>
      <c r="H579" s="2"/>
      <c r="I579" s="30"/>
    </row>
    <row r="580" spans="4:9">
      <c r="D580" s="47"/>
      <c r="E580" s="143"/>
      <c r="H580" s="2"/>
      <c r="I580" s="30"/>
    </row>
    <row r="581" spans="4:9">
      <c r="D581" s="47"/>
      <c r="E581" s="143"/>
      <c r="H581" s="2"/>
      <c r="I581" s="30"/>
    </row>
    <row r="582" spans="4:9">
      <c r="D582" s="47"/>
      <c r="E582" s="143"/>
      <c r="H582" s="2"/>
      <c r="I582" s="30"/>
    </row>
    <row r="583" spans="4:9">
      <c r="D583" s="47"/>
      <c r="E583" s="143"/>
      <c r="H583" s="2"/>
      <c r="I583" s="30"/>
    </row>
    <row r="584" spans="4:9">
      <c r="D584" s="47"/>
      <c r="E584" s="143"/>
      <c r="H584" s="2"/>
      <c r="I584" s="30"/>
    </row>
    <row r="585" spans="4:9">
      <c r="D585" s="47"/>
      <c r="E585" s="143"/>
      <c r="H585" s="2"/>
      <c r="I585" s="30"/>
    </row>
    <row r="586" spans="4:9">
      <c r="D586" s="47"/>
      <c r="E586" s="143"/>
      <c r="H586" s="2"/>
      <c r="I586" s="30"/>
    </row>
    <row r="587" spans="4:9">
      <c r="D587" s="47"/>
      <c r="E587" s="143"/>
      <c r="H587" s="2"/>
      <c r="I587" s="30"/>
    </row>
    <row r="588" spans="4:9">
      <c r="D588" s="47"/>
      <c r="E588" s="143"/>
      <c r="H588" s="2"/>
      <c r="I588" s="30"/>
    </row>
    <row r="589" spans="4:9">
      <c r="D589" s="47"/>
      <c r="E589" s="143"/>
      <c r="H589" s="2"/>
      <c r="I589" s="30"/>
    </row>
    <row r="590" spans="4:9">
      <c r="D590" s="47"/>
      <c r="E590" s="143"/>
      <c r="H590" s="2"/>
      <c r="I590" s="30"/>
    </row>
    <row r="591" spans="4:9">
      <c r="D591" s="47"/>
      <c r="E591" s="143"/>
      <c r="H591" s="2"/>
      <c r="I591" s="30"/>
    </row>
    <row r="592" spans="4:9">
      <c r="D592" s="47"/>
      <c r="E592" s="143"/>
      <c r="H592" s="2"/>
      <c r="I592" s="30"/>
    </row>
    <row r="593" spans="4:9">
      <c r="D593" s="47"/>
      <c r="E593" s="143"/>
      <c r="H593" s="2"/>
      <c r="I593" s="30"/>
    </row>
    <row r="594" spans="4:9">
      <c r="D594" s="47"/>
      <c r="E594" s="143"/>
      <c r="H594" s="2"/>
      <c r="I594" s="30"/>
    </row>
    <row r="595" spans="4:9">
      <c r="D595" s="47"/>
      <c r="E595" s="143"/>
      <c r="H595" s="2"/>
      <c r="I595" s="30"/>
    </row>
    <row r="596" spans="4:9">
      <c r="D596" s="47"/>
      <c r="E596" s="143"/>
      <c r="H596" s="2"/>
      <c r="I596" s="30"/>
    </row>
    <row r="597" spans="4:9">
      <c r="D597" s="47"/>
      <c r="E597" s="143"/>
      <c r="H597" s="2"/>
      <c r="I597" s="30"/>
    </row>
    <row r="598" spans="4:9">
      <c r="D598" s="47"/>
      <c r="E598" s="143"/>
      <c r="H598" s="2"/>
      <c r="I598" s="30"/>
    </row>
    <row r="599" spans="4:9">
      <c r="D599" s="47"/>
      <c r="E599" s="143"/>
      <c r="H599" s="2"/>
      <c r="I599" s="30"/>
    </row>
    <row r="600" spans="4:9">
      <c r="D600" s="47"/>
      <c r="E600" s="143"/>
      <c r="H600" s="2"/>
      <c r="I600" s="30"/>
    </row>
    <row r="601" spans="4:9">
      <c r="D601" s="47"/>
      <c r="E601" s="143"/>
      <c r="H601" s="2"/>
      <c r="I601" s="30"/>
    </row>
    <row r="602" spans="4:9">
      <c r="D602" s="47"/>
      <c r="E602" s="143"/>
      <c r="H602" s="2"/>
      <c r="I602" s="30"/>
    </row>
    <row r="603" spans="4:9">
      <c r="D603" s="47"/>
      <c r="E603" s="143"/>
      <c r="H603" s="2"/>
      <c r="I603" s="30"/>
    </row>
    <row r="604" spans="4:9">
      <c r="D604" s="47"/>
      <c r="E604" s="143"/>
      <c r="H604" s="2"/>
      <c r="I604" s="30"/>
    </row>
    <row r="605" spans="4:9">
      <c r="D605" s="47"/>
      <c r="E605" s="143"/>
      <c r="H605" s="2"/>
      <c r="I605" s="30"/>
    </row>
    <row r="606" spans="4:9">
      <c r="D606" s="47"/>
      <c r="E606" s="143"/>
      <c r="H606" s="2"/>
      <c r="I606" s="30"/>
    </row>
    <row r="607" spans="4:9">
      <c r="D607" s="47"/>
      <c r="E607" s="143"/>
      <c r="H607" s="2"/>
      <c r="I607" s="30"/>
    </row>
    <row r="608" spans="4:9">
      <c r="D608" s="47"/>
      <c r="E608" s="143"/>
      <c r="H608" s="2"/>
      <c r="I608" s="30"/>
    </row>
    <row r="609" spans="4:9">
      <c r="D609" s="47"/>
      <c r="E609" s="143"/>
      <c r="H609" s="2"/>
      <c r="I609" s="30"/>
    </row>
    <row r="610" spans="4:9">
      <c r="D610" s="47"/>
      <c r="E610" s="143"/>
      <c r="H610" s="2"/>
      <c r="I610" s="30"/>
    </row>
    <row r="611" spans="4:9">
      <c r="D611" s="47"/>
      <c r="E611" s="143"/>
      <c r="H611" s="2"/>
      <c r="I611" s="30"/>
    </row>
    <row r="612" spans="4:9">
      <c r="D612" s="47"/>
      <c r="E612" s="143"/>
      <c r="H612" s="2"/>
      <c r="I612" s="30"/>
    </row>
    <row r="613" spans="4:9">
      <c r="D613" s="47"/>
      <c r="E613" s="143"/>
      <c r="H613" s="2"/>
      <c r="I613" s="30"/>
    </row>
    <row r="614" spans="4:9">
      <c r="D614" s="47"/>
      <c r="E614" s="143"/>
      <c r="H614" s="2"/>
      <c r="I614" s="30"/>
    </row>
    <row r="615" spans="4:9">
      <c r="D615" s="47"/>
      <c r="E615" s="143"/>
      <c r="H615" s="2"/>
      <c r="I615" s="30"/>
    </row>
    <row r="616" spans="4:9">
      <c r="D616" s="47"/>
      <c r="E616" s="143"/>
      <c r="H616" s="2"/>
      <c r="I616" s="30"/>
    </row>
    <row r="617" spans="4:9">
      <c r="D617" s="47"/>
      <c r="E617" s="143"/>
      <c r="H617" s="2"/>
      <c r="I617" s="30"/>
    </row>
    <row r="618" spans="4:9">
      <c r="D618" s="47"/>
      <c r="E618" s="143"/>
      <c r="H618" s="2"/>
      <c r="I618" s="30"/>
    </row>
    <row r="619" spans="4:9">
      <c r="D619" s="47"/>
      <c r="E619" s="143"/>
      <c r="H619" s="2"/>
      <c r="I619" s="30"/>
    </row>
    <row r="620" spans="4:9">
      <c r="D620" s="47"/>
      <c r="E620" s="143"/>
      <c r="H620" s="2"/>
      <c r="I620" s="30"/>
    </row>
    <row r="621" spans="4:9">
      <c r="D621" s="47"/>
      <c r="E621" s="143"/>
      <c r="H621" s="2"/>
      <c r="I621" s="30"/>
    </row>
    <row r="622" spans="4:9">
      <c r="D622" s="47"/>
      <c r="E622" s="143"/>
      <c r="H622" s="2"/>
      <c r="I622" s="30"/>
    </row>
    <row r="623" spans="4:9">
      <c r="D623" s="47"/>
      <c r="E623" s="143"/>
      <c r="H623" s="2"/>
      <c r="I623" s="30"/>
    </row>
    <row r="624" spans="4:9">
      <c r="D624" s="47"/>
      <c r="E624" s="143"/>
      <c r="H624" s="2"/>
      <c r="I624" s="30"/>
    </row>
    <row r="625" spans="4:9">
      <c r="D625" s="47"/>
      <c r="E625" s="143"/>
      <c r="H625" s="2"/>
      <c r="I625" s="30"/>
    </row>
    <row r="626" spans="4:9">
      <c r="D626" s="47"/>
      <c r="E626" s="143"/>
      <c r="H626" s="2"/>
      <c r="I626" s="30"/>
    </row>
    <row r="627" spans="4:9">
      <c r="D627" s="47"/>
      <c r="E627" s="143"/>
      <c r="H627" s="2"/>
      <c r="I627" s="30"/>
    </row>
    <row r="628" spans="4:9">
      <c r="D628" s="47"/>
      <c r="E628" s="143"/>
      <c r="H628" s="2"/>
      <c r="I628" s="30"/>
    </row>
    <row r="629" spans="4:9">
      <c r="D629" s="47"/>
      <c r="E629" s="143"/>
      <c r="H629" s="2"/>
      <c r="I629" s="30"/>
    </row>
    <row r="630" spans="4:9">
      <c r="D630" s="47"/>
      <c r="E630" s="143"/>
      <c r="H630" s="2"/>
      <c r="I630" s="30"/>
    </row>
    <row r="631" spans="4:9">
      <c r="D631" s="47"/>
      <c r="E631" s="143"/>
      <c r="H631" s="2"/>
      <c r="I631" s="30"/>
    </row>
    <row r="632" spans="4:9">
      <c r="D632" s="47"/>
      <c r="E632" s="143"/>
      <c r="H632" s="2"/>
      <c r="I632" s="30"/>
    </row>
    <row r="633" spans="4:9">
      <c r="D633" s="47"/>
      <c r="E633" s="143"/>
      <c r="H633" s="2"/>
      <c r="I633" s="30"/>
    </row>
    <row r="634" spans="4:9">
      <c r="D634" s="47"/>
      <c r="E634" s="143"/>
      <c r="H634" s="2"/>
      <c r="I634" s="30"/>
    </row>
    <row r="635" spans="4:9">
      <c r="D635" s="47"/>
      <c r="E635" s="143"/>
      <c r="H635" s="2"/>
      <c r="I635" s="30"/>
    </row>
    <row r="636" spans="4:9">
      <c r="D636" s="47"/>
      <c r="E636" s="143"/>
      <c r="H636" s="2"/>
      <c r="I636" s="30"/>
    </row>
    <row r="637" spans="4:9">
      <c r="D637" s="47"/>
      <c r="E637" s="143"/>
      <c r="H637" s="2"/>
      <c r="I637" s="30"/>
    </row>
    <row r="638" spans="4:9">
      <c r="D638" s="47"/>
      <c r="E638" s="143"/>
      <c r="H638" s="2"/>
      <c r="I638" s="30"/>
    </row>
    <row r="639" spans="4:9">
      <c r="D639" s="47"/>
      <c r="E639" s="143"/>
      <c r="H639" s="2"/>
      <c r="I639" s="30"/>
    </row>
    <row r="640" spans="4:9">
      <c r="D640" s="47"/>
      <c r="E640" s="143"/>
      <c r="H640" s="2"/>
      <c r="I640" s="30"/>
    </row>
    <row r="641" spans="4:9">
      <c r="D641" s="47"/>
      <c r="E641" s="143"/>
      <c r="H641" s="2"/>
      <c r="I641" s="30"/>
    </row>
    <row r="642" spans="4:9">
      <c r="D642" s="47"/>
      <c r="E642" s="143"/>
      <c r="H642" s="2"/>
      <c r="I642" s="30"/>
    </row>
    <row r="643" spans="4:9">
      <c r="D643" s="47"/>
      <c r="E643" s="143"/>
      <c r="H643" s="2"/>
      <c r="I643" s="30"/>
    </row>
    <row r="644" spans="4:9">
      <c r="D644" s="47"/>
      <c r="E644" s="143"/>
      <c r="H644" s="2"/>
      <c r="I644" s="30"/>
    </row>
    <row r="645" spans="4:9">
      <c r="D645" s="47"/>
      <c r="E645" s="143"/>
      <c r="H645" s="2"/>
      <c r="I645" s="30"/>
    </row>
    <row r="646" spans="4:9">
      <c r="D646" s="47"/>
      <c r="E646" s="143"/>
      <c r="H646" s="2"/>
      <c r="I646" s="30"/>
    </row>
    <row r="647" spans="4:9">
      <c r="D647" s="47"/>
      <c r="E647" s="143"/>
      <c r="H647" s="2"/>
      <c r="I647" s="30"/>
    </row>
    <row r="648" spans="4:9">
      <c r="D648" s="47"/>
      <c r="E648" s="143"/>
      <c r="H648" s="2"/>
      <c r="I648" s="30"/>
    </row>
    <row r="649" spans="4:9">
      <c r="D649" s="47"/>
      <c r="E649" s="143"/>
      <c r="H649" s="2"/>
      <c r="I649" s="30"/>
    </row>
    <row r="650" spans="4:9">
      <c r="D650" s="47"/>
      <c r="E650" s="143"/>
      <c r="H650" s="2"/>
      <c r="I650" s="30"/>
    </row>
    <row r="651" spans="4:9">
      <c r="D651" s="47"/>
      <c r="E651" s="143"/>
      <c r="H651" s="2"/>
      <c r="I651" s="30"/>
    </row>
    <row r="652" spans="4:9">
      <c r="D652" s="47"/>
      <c r="E652" s="143"/>
      <c r="H652" s="2"/>
      <c r="I652" s="30"/>
    </row>
    <row r="653" spans="4:9">
      <c r="D653" s="47"/>
      <c r="E653" s="143"/>
      <c r="H653" s="2"/>
      <c r="I653" s="30"/>
    </row>
    <row r="654" spans="4:9">
      <c r="D654" s="47"/>
      <c r="E654" s="143"/>
      <c r="H654" s="2"/>
      <c r="I654" s="30"/>
    </row>
    <row r="655" spans="4:9">
      <c r="D655" s="47"/>
      <c r="E655" s="143"/>
      <c r="H655" s="2"/>
      <c r="I655" s="30"/>
    </row>
    <row r="656" spans="4:9">
      <c r="D656" s="47"/>
      <c r="E656" s="143"/>
      <c r="H656" s="2"/>
      <c r="I656" s="30"/>
    </row>
    <row r="657" spans="4:9">
      <c r="D657" s="47"/>
      <c r="E657" s="143"/>
      <c r="H657" s="2"/>
      <c r="I657" s="30"/>
    </row>
    <row r="658" spans="4:9">
      <c r="D658" s="47"/>
      <c r="E658" s="143"/>
      <c r="H658" s="2"/>
      <c r="I658" s="30"/>
    </row>
    <row r="659" spans="4:9">
      <c r="D659" s="47"/>
      <c r="E659" s="143"/>
      <c r="H659" s="2"/>
      <c r="I659" s="30"/>
    </row>
    <row r="660" spans="4:9">
      <c r="D660" s="47"/>
      <c r="E660" s="143"/>
      <c r="H660" s="2"/>
      <c r="I660" s="30"/>
    </row>
    <row r="661" spans="4:9">
      <c r="D661" s="47"/>
      <c r="E661" s="143"/>
      <c r="H661" s="2"/>
      <c r="I661" s="30"/>
    </row>
    <row r="662" spans="4:9">
      <c r="D662" s="47"/>
      <c r="E662" s="143"/>
      <c r="H662" s="2"/>
      <c r="I662" s="30"/>
    </row>
    <row r="663" spans="4:9">
      <c r="D663" s="47"/>
      <c r="E663" s="143"/>
      <c r="H663" s="2"/>
      <c r="I663" s="30"/>
    </row>
    <row r="664" spans="4:9">
      <c r="D664" s="47"/>
      <c r="E664" s="143"/>
      <c r="H664" s="2"/>
      <c r="I664" s="30"/>
    </row>
    <row r="665" spans="4:9">
      <c r="D665" s="47"/>
      <c r="E665" s="143"/>
      <c r="H665" s="2"/>
      <c r="I665" s="30"/>
    </row>
    <row r="666" spans="4:9">
      <c r="D666" s="47"/>
      <c r="E666" s="143"/>
      <c r="H666" s="2"/>
      <c r="I666" s="30"/>
    </row>
    <row r="667" spans="4:9">
      <c r="D667" s="47"/>
      <c r="E667" s="143"/>
      <c r="H667" s="2"/>
      <c r="I667" s="30"/>
    </row>
    <row r="668" spans="4:9">
      <c r="D668" s="47"/>
      <c r="E668" s="143"/>
      <c r="H668" s="2"/>
      <c r="I668" s="30"/>
    </row>
    <row r="669" spans="4:9">
      <c r="D669" s="47"/>
      <c r="E669" s="143"/>
      <c r="H669" s="2"/>
      <c r="I669" s="30"/>
    </row>
    <row r="670" spans="4:9">
      <c r="D670" s="47"/>
      <c r="E670" s="143"/>
      <c r="H670" s="2"/>
      <c r="I670" s="30"/>
    </row>
    <row r="671" spans="4:9">
      <c r="D671" s="47"/>
      <c r="E671" s="143"/>
      <c r="H671" s="2"/>
      <c r="I671" s="30"/>
    </row>
    <row r="672" spans="4:9">
      <c r="D672" s="47"/>
      <c r="E672" s="143"/>
      <c r="H672" s="2"/>
      <c r="I672" s="30"/>
    </row>
    <row r="673" spans="4:9">
      <c r="D673" s="47"/>
      <c r="E673" s="143"/>
      <c r="H673" s="2"/>
      <c r="I673" s="30"/>
    </row>
    <row r="674" spans="4:9">
      <c r="D674" s="47"/>
      <c r="E674" s="143"/>
      <c r="H674" s="2"/>
      <c r="I674" s="30"/>
    </row>
    <row r="675" spans="4:9">
      <c r="D675" s="47"/>
      <c r="E675" s="143"/>
      <c r="H675" s="2"/>
      <c r="I675" s="30"/>
    </row>
    <row r="676" spans="4:9">
      <c r="D676" s="47"/>
      <c r="E676" s="143"/>
      <c r="H676" s="2"/>
      <c r="I676" s="30"/>
    </row>
    <row r="677" spans="4:9">
      <c r="D677" s="47"/>
      <c r="E677" s="143"/>
      <c r="H677" s="2"/>
      <c r="I677" s="30"/>
    </row>
    <row r="678" spans="4:9">
      <c r="D678" s="47"/>
      <c r="E678" s="143"/>
      <c r="H678" s="2"/>
      <c r="I678" s="30"/>
    </row>
    <row r="679" spans="4:9">
      <c r="D679" s="47"/>
      <c r="E679" s="143"/>
      <c r="H679" s="2"/>
      <c r="I679" s="30"/>
    </row>
    <row r="680" spans="4:9">
      <c r="D680" s="47"/>
      <c r="E680" s="143"/>
      <c r="H680" s="2"/>
      <c r="I680" s="30"/>
    </row>
    <row r="681" spans="4:9">
      <c r="D681" s="47"/>
      <c r="E681" s="143"/>
      <c r="H681" s="2"/>
      <c r="I681" s="30"/>
    </row>
    <row r="682" spans="4:9">
      <c r="D682" s="47"/>
      <c r="E682" s="143"/>
      <c r="H682" s="2"/>
      <c r="I682" s="30"/>
    </row>
    <row r="683" spans="4:9">
      <c r="D683" s="47"/>
      <c r="E683" s="143"/>
      <c r="H683" s="2"/>
      <c r="I683" s="30"/>
    </row>
    <row r="684" spans="4:9">
      <c r="D684" s="47"/>
      <c r="E684" s="143"/>
      <c r="H684" s="2"/>
      <c r="I684" s="30"/>
    </row>
    <row r="685" spans="4:9">
      <c r="D685" s="47"/>
      <c r="E685" s="143"/>
      <c r="H685" s="2"/>
      <c r="I685" s="30"/>
    </row>
    <row r="686" spans="4:9">
      <c r="D686" s="47"/>
      <c r="E686" s="143"/>
      <c r="H686" s="2"/>
      <c r="I686" s="30"/>
    </row>
    <row r="687" spans="4:9">
      <c r="D687" s="47"/>
      <c r="E687" s="143"/>
      <c r="H687" s="2"/>
      <c r="I687" s="30"/>
    </row>
    <row r="688" spans="4:9">
      <c r="D688" s="47"/>
      <c r="E688" s="143"/>
      <c r="H688" s="2"/>
      <c r="I688" s="30"/>
    </row>
    <row r="689" spans="4:9">
      <c r="D689" s="47"/>
      <c r="E689" s="143"/>
      <c r="H689" s="2"/>
      <c r="I689" s="30"/>
    </row>
    <row r="690" spans="4:9">
      <c r="D690" s="47"/>
      <c r="E690" s="143"/>
      <c r="H690" s="2"/>
      <c r="I690" s="30"/>
    </row>
    <row r="691" spans="4:9">
      <c r="D691" s="47"/>
      <c r="E691" s="143"/>
      <c r="H691" s="2"/>
      <c r="I691" s="30"/>
    </row>
    <row r="692" spans="4:9">
      <c r="D692" s="47"/>
      <c r="E692" s="143"/>
      <c r="H692" s="2"/>
      <c r="I692" s="30"/>
    </row>
    <row r="693" spans="4:9">
      <c r="D693" s="47"/>
      <c r="E693" s="143"/>
      <c r="H693" s="2"/>
      <c r="I693" s="30"/>
    </row>
    <row r="694" spans="4:9">
      <c r="D694" s="47"/>
      <c r="E694" s="143"/>
      <c r="H694" s="2"/>
      <c r="I694" s="30"/>
    </row>
    <row r="695" spans="4:9">
      <c r="D695" s="47"/>
      <c r="E695" s="143"/>
      <c r="H695" s="2"/>
      <c r="I695" s="30"/>
    </row>
    <row r="696" spans="4:9">
      <c r="D696" s="47"/>
      <c r="E696" s="143"/>
      <c r="H696" s="2"/>
      <c r="I696" s="30"/>
    </row>
    <row r="697" spans="4:9">
      <c r="D697" s="47"/>
      <c r="E697" s="143"/>
      <c r="H697" s="2"/>
      <c r="I697" s="30"/>
    </row>
    <row r="698" spans="4:9">
      <c r="D698" s="47"/>
      <c r="E698" s="143"/>
      <c r="H698" s="2"/>
      <c r="I698" s="30"/>
    </row>
    <row r="699" spans="4:9">
      <c r="D699" s="47"/>
      <c r="E699" s="143"/>
      <c r="H699" s="2"/>
      <c r="I699" s="30"/>
    </row>
    <row r="700" spans="4:9">
      <c r="D700" s="47"/>
      <c r="E700" s="143"/>
      <c r="H700" s="2"/>
      <c r="I700" s="30"/>
    </row>
    <row r="701" spans="4:9">
      <c r="D701" s="47"/>
      <c r="E701" s="143"/>
      <c r="H701" s="2"/>
      <c r="I701" s="30"/>
    </row>
    <row r="702" spans="4:9">
      <c r="D702" s="47"/>
      <c r="E702" s="143"/>
      <c r="H702" s="2"/>
      <c r="I702" s="30"/>
    </row>
    <row r="703" spans="4:9">
      <c r="D703" s="47"/>
      <c r="E703" s="143"/>
      <c r="H703" s="2"/>
      <c r="I703" s="30"/>
    </row>
    <row r="704" spans="4:9">
      <c r="D704" s="47"/>
      <c r="E704" s="143"/>
      <c r="H704" s="2"/>
      <c r="I704" s="30"/>
    </row>
    <row r="705" spans="4:9">
      <c r="D705" s="47"/>
      <c r="E705" s="143"/>
      <c r="H705" s="2"/>
      <c r="I705" s="30"/>
    </row>
    <row r="706" spans="4:9">
      <c r="D706" s="47"/>
      <c r="E706" s="143"/>
      <c r="H706" s="2"/>
      <c r="I706" s="30"/>
    </row>
    <row r="707" spans="4:9">
      <c r="D707" s="47"/>
      <c r="E707" s="143"/>
      <c r="H707" s="2"/>
      <c r="I707" s="30"/>
    </row>
    <row r="708" spans="4:9">
      <c r="D708" s="47"/>
      <c r="E708" s="143"/>
      <c r="H708" s="2"/>
      <c r="I708" s="30"/>
    </row>
    <row r="709" spans="4:9">
      <c r="D709" s="47"/>
      <c r="E709" s="143"/>
      <c r="H709" s="2"/>
      <c r="I709" s="30"/>
    </row>
    <row r="710" spans="4:9">
      <c r="D710" s="47"/>
      <c r="E710" s="143"/>
      <c r="H710" s="2"/>
      <c r="I710" s="30"/>
    </row>
    <row r="711" spans="4:9">
      <c r="D711" s="47"/>
      <c r="E711" s="143"/>
      <c r="H711" s="2"/>
      <c r="I711" s="30"/>
    </row>
    <row r="712" spans="4:9">
      <c r="D712" s="47"/>
      <c r="E712" s="143"/>
      <c r="H712" s="2"/>
      <c r="I712" s="30"/>
    </row>
    <row r="713" spans="4:9">
      <c r="D713" s="47"/>
      <c r="E713" s="143"/>
      <c r="H713" s="2"/>
      <c r="I713" s="30"/>
    </row>
    <row r="714" spans="4:9">
      <c r="D714" s="47"/>
      <c r="E714" s="143"/>
      <c r="H714" s="2"/>
      <c r="I714" s="30"/>
    </row>
    <row r="715" spans="4:9">
      <c r="D715" s="47"/>
      <c r="E715" s="143"/>
      <c r="H715" s="2"/>
      <c r="I715" s="30"/>
    </row>
    <row r="716" spans="4:9">
      <c r="D716" s="47"/>
      <c r="E716" s="143"/>
      <c r="H716" s="2"/>
      <c r="I716" s="30"/>
    </row>
    <row r="717" spans="4:9">
      <c r="D717" s="47"/>
      <c r="E717" s="143"/>
      <c r="H717" s="2"/>
      <c r="I717" s="30"/>
    </row>
    <row r="718" spans="4:9">
      <c r="D718" s="47"/>
      <c r="E718" s="143"/>
      <c r="H718" s="2"/>
      <c r="I718" s="30"/>
    </row>
    <row r="719" spans="4:9">
      <c r="D719" s="47"/>
      <c r="E719" s="143"/>
      <c r="H719" s="2"/>
      <c r="I719" s="30"/>
    </row>
    <row r="720" spans="4:9">
      <c r="D720" s="47"/>
      <c r="E720" s="143"/>
      <c r="H720" s="2"/>
      <c r="I720" s="30"/>
    </row>
    <row r="721" spans="4:9">
      <c r="D721" s="47"/>
      <c r="E721" s="143"/>
      <c r="H721" s="2"/>
      <c r="I721" s="30"/>
    </row>
    <row r="722" spans="4:9">
      <c r="D722" s="47"/>
      <c r="E722" s="143"/>
      <c r="H722" s="2"/>
      <c r="I722" s="30"/>
    </row>
    <row r="723" spans="4:9">
      <c r="D723" s="47"/>
      <c r="E723" s="143"/>
      <c r="H723" s="2"/>
      <c r="I723" s="30"/>
    </row>
    <row r="724" spans="4:9">
      <c r="D724" s="47"/>
      <c r="E724" s="143"/>
      <c r="H724" s="2"/>
      <c r="I724" s="30"/>
    </row>
    <row r="725" spans="4:9">
      <c r="D725" s="47"/>
      <c r="E725" s="143"/>
      <c r="H725" s="2"/>
      <c r="I725" s="30"/>
    </row>
    <row r="726" spans="4:9">
      <c r="D726" s="47"/>
      <c r="E726" s="143"/>
      <c r="H726" s="2"/>
      <c r="I726" s="30"/>
    </row>
    <row r="727" spans="4:9">
      <c r="D727" s="47"/>
      <c r="E727" s="143"/>
      <c r="H727" s="2"/>
      <c r="I727" s="30"/>
    </row>
    <row r="728" spans="4:9">
      <c r="D728" s="47"/>
      <c r="E728" s="143"/>
      <c r="H728" s="2"/>
      <c r="I728" s="30"/>
    </row>
    <row r="729" spans="4:9">
      <c r="D729" s="47"/>
      <c r="E729" s="143"/>
      <c r="H729" s="2"/>
      <c r="I729" s="30"/>
    </row>
    <row r="730" spans="4:9">
      <c r="D730" s="47"/>
      <c r="E730" s="143"/>
      <c r="H730" s="2"/>
      <c r="I730" s="30"/>
    </row>
    <row r="731" spans="4:9">
      <c r="D731" s="47"/>
      <c r="E731" s="143"/>
      <c r="H731" s="2"/>
      <c r="I731" s="30"/>
    </row>
    <row r="732" spans="4:9">
      <c r="D732" s="47"/>
      <c r="E732" s="143"/>
      <c r="H732" s="2"/>
      <c r="I732" s="30"/>
    </row>
    <row r="733" spans="4:9">
      <c r="D733" s="47"/>
      <c r="E733" s="143"/>
      <c r="H733" s="2"/>
      <c r="I733" s="30"/>
    </row>
    <row r="734" spans="4:9">
      <c r="D734" s="47"/>
      <c r="E734" s="143"/>
      <c r="H734" s="2"/>
      <c r="I734" s="30"/>
    </row>
    <row r="735" spans="4:9">
      <c r="D735" s="47"/>
      <c r="E735" s="143"/>
      <c r="H735" s="2"/>
      <c r="I735" s="30"/>
    </row>
    <row r="736" spans="4:9">
      <c r="D736" s="47"/>
      <c r="E736" s="143"/>
      <c r="H736" s="2"/>
      <c r="I736" s="30"/>
    </row>
    <row r="737" spans="4:9">
      <c r="D737" s="47"/>
      <c r="E737" s="143"/>
      <c r="H737" s="2"/>
      <c r="I737" s="30"/>
    </row>
    <row r="738" spans="4:9">
      <c r="D738" s="47"/>
      <c r="E738" s="143"/>
      <c r="H738" s="2"/>
      <c r="I738" s="30"/>
    </row>
    <row r="739" spans="4:9">
      <c r="D739" s="47"/>
      <c r="E739" s="143"/>
      <c r="H739" s="2"/>
      <c r="I739" s="30"/>
    </row>
    <row r="740" spans="4:9">
      <c r="D740" s="47"/>
      <c r="E740" s="143"/>
      <c r="H740" s="2"/>
      <c r="I740" s="30"/>
    </row>
    <row r="741" spans="4:9">
      <c r="D741" s="47"/>
      <c r="E741" s="143"/>
      <c r="H741" s="2"/>
      <c r="I741" s="30"/>
    </row>
    <row r="742" spans="4:9">
      <c r="D742" s="47"/>
      <c r="E742" s="143"/>
      <c r="H742" s="2"/>
      <c r="I742" s="30"/>
    </row>
    <row r="743" spans="4:9">
      <c r="D743" s="47"/>
      <c r="E743" s="143"/>
      <c r="H743" s="2"/>
      <c r="I743" s="30"/>
    </row>
    <row r="744" spans="4:9">
      <c r="D744" s="47"/>
      <c r="E744" s="143"/>
      <c r="H744" s="2"/>
      <c r="I744" s="30"/>
    </row>
    <row r="745" spans="4:9">
      <c r="D745" s="47"/>
      <c r="E745" s="143"/>
      <c r="H745" s="2"/>
      <c r="I745" s="30"/>
    </row>
    <row r="746" spans="4:9">
      <c r="D746" s="47"/>
      <c r="E746" s="143"/>
      <c r="H746" s="2"/>
      <c r="I746" s="30"/>
    </row>
    <row r="747" spans="4:9">
      <c r="D747" s="47"/>
      <c r="E747" s="143"/>
      <c r="H747" s="2"/>
      <c r="I747" s="30"/>
    </row>
    <row r="748" spans="4:9">
      <c r="D748" s="47"/>
      <c r="E748" s="143"/>
      <c r="H748" s="2"/>
      <c r="I748" s="30"/>
    </row>
    <row r="749" spans="4:9">
      <c r="D749" s="47"/>
      <c r="E749" s="143"/>
      <c r="H749" s="2"/>
      <c r="I749" s="30"/>
    </row>
    <row r="750" spans="4:9">
      <c r="D750" s="47"/>
      <c r="E750" s="143"/>
      <c r="H750" s="2"/>
      <c r="I750" s="30"/>
    </row>
    <row r="751" spans="4:9">
      <c r="D751" s="47"/>
      <c r="E751" s="143"/>
      <c r="H751" s="2"/>
      <c r="I751" s="30"/>
    </row>
    <row r="752" spans="4:9">
      <c r="D752" s="47"/>
      <c r="E752" s="143"/>
      <c r="H752" s="2"/>
      <c r="I752" s="30"/>
    </row>
    <row r="753" spans="4:9">
      <c r="D753" s="47"/>
      <c r="E753" s="143"/>
      <c r="H753" s="2"/>
      <c r="I753" s="30"/>
    </row>
    <row r="754" spans="4:9">
      <c r="D754" s="47"/>
      <c r="E754" s="143"/>
      <c r="H754" s="2"/>
      <c r="I754" s="30"/>
    </row>
    <row r="755" spans="4:9">
      <c r="D755" s="47"/>
      <c r="E755" s="143"/>
      <c r="H755" s="2"/>
      <c r="I755" s="30"/>
    </row>
    <row r="756" spans="4:9">
      <c r="D756" s="47"/>
      <c r="E756" s="143"/>
      <c r="H756" s="2"/>
      <c r="I756" s="30"/>
    </row>
    <row r="757" spans="4:9">
      <c r="D757" s="47"/>
      <c r="E757" s="143"/>
      <c r="H757" s="2"/>
      <c r="I757" s="30"/>
    </row>
    <row r="758" spans="4:9">
      <c r="D758" s="47"/>
      <c r="E758" s="143"/>
      <c r="H758" s="2"/>
      <c r="I758" s="30"/>
    </row>
    <row r="759" spans="4:9">
      <c r="D759" s="47"/>
      <c r="E759" s="143"/>
      <c r="H759" s="2"/>
      <c r="I759" s="30"/>
    </row>
    <row r="760" spans="4:9">
      <c r="D760" s="47"/>
      <c r="E760" s="143"/>
      <c r="H760" s="2"/>
      <c r="I760" s="30"/>
    </row>
    <row r="761" spans="4:9">
      <c r="D761" s="47"/>
      <c r="E761" s="143"/>
      <c r="H761" s="2"/>
      <c r="I761" s="30"/>
    </row>
    <row r="762" spans="4:9">
      <c r="D762" s="47"/>
      <c r="E762" s="143"/>
      <c r="H762" s="2"/>
      <c r="I762" s="30"/>
    </row>
    <row r="763" spans="4:9">
      <c r="D763" s="47"/>
      <c r="E763" s="143"/>
      <c r="H763" s="2"/>
      <c r="I763" s="30"/>
    </row>
    <row r="764" spans="4:9">
      <c r="D764" s="47"/>
      <c r="E764" s="143"/>
      <c r="H764" s="2"/>
      <c r="I764" s="30"/>
    </row>
    <row r="765" spans="4:9">
      <c r="D765" s="47"/>
      <c r="E765" s="143"/>
      <c r="H765" s="2"/>
      <c r="I765" s="30"/>
    </row>
    <row r="766" spans="4:9">
      <c r="D766" s="47"/>
      <c r="E766" s="143"/>
      <c r="H766" s="2"/>
      <c r="I766" s="30"/>
    </row>
    <row r="767" spans="4:9">
      <c r="D767" s="47"/>
      <c r="E767" s="143"/>
      <c r="H767" s="2"/>
      <c r="I767" s="30"/>
    </row>
    <row r="768" spans="4:9">
      <c r="D768" s="47"/>
      <c r="E768" s="143"/>
      <c r="H768" s="2"/>
      <c r="I768" s="30"/>
    </row>
    <row r="769" spans="4:9">
      <c r="D769" s="47"/>
      <c r="E769" s="143"/>
      <c r="H769" s="2"/>
      <c r="I769" s="30"/>
    </row>
    <row r="770" spans="4:9">
      <c r="D770" s="47"/>
      <c r="E770" s="143"/>
      <c r="H770" s="2"/>
      <c r="I770" s="30"/>
    </row>
    <row r="771" spans="4:9">
      <c r="D771" s="47"/>
      <c r="E771" s="143"/>
      <c r="H771" s="2"/>
      <c r="I771" s="30"/>
    </row>
    <row r="772" spans="4:9">
      <c r="D772" s="47"/>
      <c r="E772" s="143"/>
      <c r="H772" s="2"/>
      <c r="I772" s="30"/>
    </row>
    <row r="773" spans="4:9">
      <c r="D773" s="47"/>
      <c r="E773" s="143"/>
      <c r="H773" s="2"/>
      <c r="I773" s="30"/>
    </row>
    <row r="774" spans="4:9">
      <c r="D774" s="47"/>
      <c r="E774" s="143"/>
      <c r="H774" s="2"/>
      <c r="I774" s="30"/>
    </row>
    <row r="775" spans="4:9">
      <c r="D775" s="47"/>
      <c r="E775" s="143"/>
      <c r="H775" s="2"/>
      <c r="I775" s="30"/>
    </row>
    <row r="776" spans="4:9">
      <c r="D776" s="47"/>
      <c r="E776" s="143"/>
      <c r="H776" s="2"/>
      <c r="I776" s="30"/>
    </row>
    <row r="777" spans="4:9">
      <c r="D777" s="47"/>
      <c r="E777" s="143"/>
      <c r="H777" s="2"/>
      <c r="I777" s="30"/>
    </row>
    <row r="778" spans="4:9">
      <c r="D778" s="47"/>
      <c r="E778" s="143"/>
      <c r="H778" s="2"/>
      <c r="I778" s="30"/>
    </row>
    <row r="779" spans="4:9">
      <c r="D779" s="47"/>
      <c r="E779" s="143"/>
      <c r="H779" s="2"/>
      <c r="I779" s="30"/>
    </row>
    <row r="780" spans="4:9">
      <c r="D780" s="47"/>
      <c r="E780" s="143"/>
      <c r="H780" s="2"/>
      <c r="I780" s="30"/>
    </row>
    <row r="781" spans="4:9">
      <c r="D781" s="47"/>
      <c r="E781" s="143"/>
      <c r="H781" s="2"/>
      <c r="I781" s="30"/>
    </row>
    <row r="782" spans="4:9">
      <c r="D782" s="47"/>
      <c r="E782" s="143"/>
      <c r="H782" s="2"/>
      <c r="I782" s="30"/>
    </row>
    <row r="783" spans="4:9">
      <c r="D783" s="47"/>
      <c r="E783" s="143"/>
      <c r="H783" s="2"/>
      <c r="I783" s="30"/>
    </row>
    <row r="784" spans="4:9">
      <c r="D784" s="47"/>
      <c r="E784" s="143"/>
      <c r="H784" s="2"/>
      <c r="I784" s="30"/>
    </row>
    <row r="785" spans="4:9">
      <c r="D785" s="47"/>
      <c r="E785" s="143"/>
      <c r="H785" s="2"/>
      <c r="I785" s="30"/>
    </row>
    <row r="786" spans="4:9">
      <c r="D786" s="47"/>
      <c r="E786" s="143"/>
      <c r="H786" s="2"/>
      <c r="I786" s="30"/>
    </row>
    <row r="787" spans="4:9">
      <c r="D787" s="47"/>
      <c r="E787" s="143"/>
      <c r="H787" s="2"/>
      <c r="I787" s="30"/>
    </row>
    <row r="788" spans="4:9">
      <c r="D788" s="47"/>
      <c r="E788" s="143"/>
      <c r="H788" s="2"/>
      <c r="I788" s="30"/>
    </row>
    <row r="789" spans="4:9">
      <c r="D789" s="47"/>
      <c r="E789" s="143"/>
      <c r="H789" s="2"/>
      <c r="I789" s="30"/>
    </row>
    <row r="790" spans="4:9">
      <c r="D790" s="47"/>
      <c r="E790" s="143"/>
      <c r="H790" s="2"/>
      <c r="I790" s="30"/>
    </row>
    <row r="791" spans="4:9">
      <c r="D791" s="47"/>
      <c r="E791" s="143"/>
      <c r="H791" s="2"/>
      <c r="I791" s="30"/>
    </row>
    <row r="792" spans="4:9">
      <c r="D792" s="47"/>
      <c r="E792" s="143"/>
      <c r="H792" s="2"/>
      <c r="I792" s="30"/>
    </row>
    <row r="793" spans="4:9">
      <c r="D793" s="47"/>
      <c r="E793" s="143"/>
      <c r="H793" s="2"/>
      <c r="I793" s="30"/>
    </row>
    <row r="794" spans="4:9">
      <c r="D794" s="47"/>
      <c r="E794" s="143"/>
      <c r="H794" s="2"/>
      <c r="I794" s="30"/>
    </row>
    <row r="795" spans="4:9">
      <c r="D795" s="47"/>
      <c r="E795" s="143"/>
      <c r="H795" s="2"/>
      <c r="I795" s="30"/>
    </row>
    <row r="796" spans="4:9">
      <c r="D796" s="47"/>
      <c r="E796" s="143"/>
      <c r="H796" s="2"/>
      <c r="I796" s="30"/>
    </row>
    <row r="797" spans="4:9">
      <c r="D797" s="47"/>
      <c r="E797" s="143"/>
      <c r="H797" s="2"/>
      <c r="I797" s="30"/>
    </row>
    <row r="798" spans="4:9">
      <c r="D798" s="47"/>
      <c r="E798" s="143"/>
      <c r="H798" s="2"/>
      <c r="I798" s="30"/>
    </row>
    <row r="799" spans="4:9">
      <c r="D799" s="47"/>
      <c r="E799" s="143"/>
      <c r="H799" s="2"/>
      <c r="I799" s="30"/>
    </row>
    <row r="800" spans="4:9">
      <c r="D800" s="47"/>
      <c r="E800" s="143"/>
      <c r="H800" s="2"/>
      <c r="I800" s="30"/>
    </row>
    <row r="801" spans="4:9">
      <c r="D801" s="47"/>
      <c r="E801" s="143"/>
      <c r="H801" s="2"/>
      <c r="I801" s="30"/>
    </row>
    <row r="802" spans="4:9">
      <c r="D802" s="47"/>
      <c r="E802" s="143"/>
      <c r="H802" s="2"/>
      <c r="I802" s="30"/>
    </row>
    <row r="803" spans="4:9">
      <c r="D803" s="47"/>
      <c r="E803" s="143"/>
      <c r="H803" s="2"/>
      <c r="I803" s="30"/>
    </row>
    <row r="804" spans="4:9">
      <c r="D804" s="47"/>
      <c r="E804" s="143"/>
      <c r="H804" s="2"/>
      <c r="I804" s="30"/>
    </row>
    <row r="805" spans="4:9">
      <c r="D805" s="47"/>
      <c r="E805" s="143"/>
      <c r="H805" s="2"/>
      <c r="I805" s="30"/>
    </row>
    <row r="806" spans="4:9">
      <c r="D806" s="47"/>
      <c r="E806" s="143"/>
      <c r="H806" s="2"/>
      <c r="I806" s="30"/>
    </row>
    <row r="807" spans="4:9">
      <c r="D807" s="47"/>
      <c r="E807" s="143"/>
      <c r="H807" s="2"/>
      <c r="I807" s="30"/>
    </row>
    <row r="808" spans="4:9">
      <c r="D808" s="47"/>
      <c r="E808" s="143"/>
      <c r="H808" s="2"/>
      <c r="I808" s="30"/>
    </row>
    <row r="809" spans="4:9">
      <c r="D809" s="47"/>
      <c r="E809" s="143"/>
      <c r="H809" s="2"/>
      <c r="I809" s="30"/>
    </row>
    <row r="810" spans="4:9">
      <c r="D810" s="47"/>
      <c r="E810" s="143"/>
      <c r="H810" s="2"/>
      <c r="I810" s="30"/>
    </row>
    <row r="811" spans="4:9">
      <c r="D811" s="47"/>
      <c r="E811" s="143"/>
      <c r="H811" s="2"/>
      <c r="I811" s="30"/>
    </row>
    <row r="812" spans="4:9">
      <c r="D812" s="47"/>
      <c r="E812" s="143"/>
      <c r="H812" s="2"/>
      <c r="I812" s="30"/>
    </row>
    <row r="813" spans="4:9">
      <c r="D813" s="47"/>
      <c r="E813" s="143"/>
      <c r="H813" s="2"/>
      <c r="I813" s="30"/>
    </row>
    <row r="814" spans="4:9">
      <c r="D814" s="47"/>
      <c r="E814" s="143"/>
      <c r="H814" s="2"/>
      <c r="I814" s="30"/>
    </row>
    <row r="815" spans="4:9">
      <c r="D815" s="47"/>
      <c r="E815" s="143"/>
      <c r="H815" s="2"/>
      <c r="I815" s="30"/>
    </row>
    <row r="816" spans="4:9">
      <c r="D816" s="47"/>
      <c r="E816" s="143"/>
      <c r="H816" s="2"/>
      <c r="I816" s="30"/>
    </row>
    <row r="817" spans="4:9">
      <c r="D817" s="47"/>
      <c r="E817" s="143"/>
      <c r="H817" s="2"/>
      <c r="I817" s="30"/>
    </row>
    <row r="818" spans="4:9">
      <c r="D818" s="47"/>
      <c r="E818" s="143"/>
      <c r="H818" s="2"/>
      <c r="I818" s="30"/>
    </row>
    <row r="819" spans="4:9">
      <c r="D819" s="47"/>
      <c r="E819" s="143"/>
      <c r="H819" s="2"/>
      <c r="I819" s="30"/>
    </row>
    <row r="820" spans="4:9">
      <c r="D820" s="47"/>
      <c r="E820" s="143"/>
      <c r="H820" s="2"/>
      <c r="I820" s="30"/>
    </row>
    <row r="821" spans="4:9">
      <c r="D821" s="47"/>
      <c r="E821" s="143"/>
      <c r="H821" s="2"/>
      <c r="I821" s="30"/>
    </row>
    <row r="822" spans="4:9">
      <c r="D822" s="47"/>
      <c r="E822" s="143"/>
      <c r="H822" s="2"/>
      <c r="I822" s="30"/>
    </row>
    <row r="823" spans="4:9">
      <c r="D823" s="47"/>
      <c r="E823" s="143"/>
      <c r="H823" s="2"/>
      <c r="I823" s="30"/>
    </row>
    <row r="824" spans="4:9">
      <c r="D824" s="47"/>
      <c r="E824" s="143"/>
      <c r="H824" s="2"/>
      <c r="I824" s="30"/>
    </row>
    <row r="825" spans="4:9">
      <c r="D825" s="47"/>
      <c r="E825" s="143"/>
      <c r="H825" s="2"/>
      <c r="I825" s="30"/>
    </row>
    <row r="826" spans="4:9">
      <c r="D826" s="47"/>
      <c r="E826" s="143"/>
      <c r="H826" s="2"/>
      <c r="I826" s="30"/>
    </row>
    <row r="827" spans="4:9">
      <c r="D827" s="47"/>
      <c r="E827" s="143"/>
      <c r="H827" s="2"/>
      <c r="I827" s="30"/>
    </row>
    <row r="828" spans="4:9">
      <c r="D828" s="47"/>
      <c r="E828" s="143"/>
      <c r="H828" s="2"/>
      <c r="I828" s="30"/>
    </row>
    <row r="829" spans="4:9">
      <c r="D829" s="47"/>
      <c r="E829" s="143"/>
      <c r="H829" s="2"/>
      <c r="I829" s="30"/>
    </row>
    <row r="830" spans="4:9">
      <c r="D830" s="47"/>
      <c r="E830" s="143"/>
      <c r="H830" s="2"/>
      <c r="I830" s="30"/>
    </row>
    <row r="831" spans="4:9">
      <c r="D831" s="47"/>
      <c r="E831" s="143"/>
      <c r="H831" s="2"/>
      <c r="I831" s="30"/>
    </row>
    <row r="832" spans="4:9">
      <c r="D832" s="47"/>
      <c r="E832" s="143"/>
      <c r="H832" s="2"/>
      <c r="I832" s="30"/>
    </row>
    <row r="833" spans="4:9">
      <c r="D833" s="47"/>
      <c r="E833" s="143"/>
      <c r="H833" s="2"/>
      <c r="I833" s="30"/>
    </row>
    <row r="834" spans="4:9">
      <c r="D834" s="47"/>
      <c r="E834" s="143"/>
      <c r="H834" s="2"/>
      <c r="I834" s="30"/>
    </row>
    <row r="835" spans="4:9">
      <c r="D835" s="47"/>
      <c r="E835" s="143"/>
      <c r="H835" s="2"/>
      <c r="I835" s="30"/>
    </row>
    <row r="836" spans="4:9">
      <c r="D836" s="47"/>
      <c r="E836" s="143"/>
      <c r="H836" s="2"/>
      <c r="I836" s="30"/>
    </row>
    <row r="837" spans="4:9">
      <c r="D837" s="47"/>
      <c r="E837" s="143"/>
      <c r="H837" s="2"/>
      <c r="I837" s="30"/>
    </row>
    <row r="838" spans="4:9">
      <c r="D838" s="47"/>
      <c r="E838" s="143"/>
      <c r="H838" s="2"/>
      <c r="I838" s="30"/>
    </row>
    <row r="839" spans="4:9">
      <c r="D839" s="47"/>
      <c r="E839" s="143"/>
      <c r="H839" s="2"/>
      <c r="I839" s="30"/>
    </row>
    <row r="840" spans="4:9">
      <c r="D840" s="47"/>
      <c r="E840" s="143"/>
      <c r="H840" s="2"/>
      <c r="I840" s="30"/>
    </row>
    <row r="841" spans="4:9">
      <c r="D841" s="47"/>
      <c r="E841" s="143"/>
      <c r="H841" s="2"/>
      <c r="I841" s="30"/>
    </row>
    <row r="842" spans="4:9">
      <c r="D842" s="47"/>
      <c r="E842" s="143"/>
      <c r="H842" s="2"/>
      <c r="I842" s="30"/>
    </row>
    <row r="843" spans="4:9">
      <c r="D843" s="47"/>
      <c r="E843" s="143"/>
      <c r="H843" s="2"/>
      <c r="I843" s="30"/>
    </row>
    <row r="844" spans="4:9">
      <c r="D844" s="47"/>
      <c r="E844" s="143"/>
      <c r="H844" s="2"/>
      <c r="I844" s="30"/>
    </row>
    <row r="845" spans="4:9">
      <c r="D845" s="47"/>
      <c r="E845" s="143"/>
      <c r="H845" s="2"/>
      <c r="I845" s="30"/>
    </row>
    <row r="846" spans="4:9">
      <c r="D846" s="47"/>
      <c r="E846" s="143"/>
      <c r="H846" s="2"/>
      <c r="I846" s="30"/>
    </row>
    <row r="847" spans="4:9">
      <c r="D847" s="47"/>
      <c r="E847" s="143"/>
      <c r="H847" s="2"/>
      <c r="I847" s="30"/>
    </row>
    <row r="848" spans="4:9">
      <c r="D848" s="47"/>
      <c r="E848" s="143"/>
      <c r="H848" s="2"/>
      <c r="I848" s="30"/>
    </row>
    <row r="849" spans="4:9">
      <c r="D849" s="47"/>
      <c r="E849" s="143"/>
      <c r="H849" s="2"/>
      <c r="I849" s="30"/>
    </row>
    <row r="850" spans="4:9">
      <c r="D850" s="47"/>
      <c r="E850" s="143"/>
      <c r="H850" s="2"/>
      <c r="I850" s="30"/>
    </row>
    <row r="851" spans="4:9">
      <c r="D851" s="47"/>
      <c r="E851" s="143"/>
      <c r="H851" s="2"/>
      <c r="I851" s="30"/>
    </row>
    <row r="852" spans="4:9">
      <c r="D852" s="47"/>
      <c r="E852" s="143"/>
      <c r="H852" s="2"/>
      <c r="I852" s="30"/>
    </row>
    <row r="853" spans="4:9">
      <c r="D853" s="47"/>
      <c r="E853" s="143"/>
      <c r="H853" s="2"/>
      <c r="I853" s="30"/>
    </row>
    <row r="854" spans="4:9">
      <c r="D854" s="47"/>
      <c r="E854" s="143"/>
      <c r="H854" s="2"/>
      <c r="I854" s="30"/>
    </row>
    <row r="855" spans="4:9">
      <c r="D855" s="47"/>
      <c r="E855" s="143"/>
      <c r="H855" s="2"/>
      <c r="I855" s="30"/>
    </row>
    <row r="856" spans="4:9">
      <c r="D856" s="47"/>
      <c r="E856" s="143"/>
      <c r="H856" s="2"/>
      <c r="I856" s="30"/>
    </row>
    <row r="857" spans="4:9">
      <c r="D857" s="47"/>
      <c r="E857" s="143"/>
      <c r="H857" s="2"/>
      <c r="I857" s="30"/>
    </row>
    <row r="858" spans="4:9">
      <c r="D858" s="47"/>
      <c r="E858" s="143"/>
      <c r="H858" s="2"/>
      <c r="I858" s="30"/>
    </row>
    <row r="859" spans="4:9">
      <c r="D859" s="47"/>
      <c r="E859" s="143"/>
      <c r="H859" s="2"/>
      <c r="I859" s="30"/>
    </row>
    <row r="860" spans="4:9">
      <c r="D860" s="47"/>
      <c r="E860" s="143"/>
      <c r="H860" s="2"/>
      <c r="I860" s="30"/>
    </row>
    <row r="861" spans="4:9">
      <c r="D861" s="47"/>
      <c r="E861" s="143"/>
      <c r="H861" s="2"/>
      <c r="I861" s="30"/>
    </row>
    <row r="862" spans="4:9">
      <c r="D862" s="47"/>
      <c r="E862" s="143"/>
      <c r="H862" s="2"/>
      <c r="I862" s="30"/>
    </row>
    <row r="863" spans="4:9">
      <c r="D863" s="47"/>
      <c r="E863" s="143"/>
      <c r="H863" s="2"/>
      <c r="I863" s="30"/>
    </row>
    <row r="864" spans="4:9">
      <c r="D864" s="47"/>
      <c r="E864" s="143"/>
      <c r="H864" s="2"/>
      <c r="I864" s="30"/>
    </row>
    <row r="865" spans="4:9">
      <c r="D865" s="47"/>
      <c r="E865" s="143"/>
      <c r="H865" s="2"/>
      <c r="I865" s="30"/>
    </row>
    <row r="866" spans="4:9">
      <c r="D866" s="47"/>
      <c r="E866" s="143"/>
      <c r="H866" s="2"/>
      <c r="I866" s="30"/>
    </row>
    <row r="867" spans="4:9">
      <c r="D867" s="47"/>
      <c r="E867" s="143"/>
      <c r="H867" s="2"/>
      <c r="I867" s="30"/>
    </row>
    <row r="868" spans="4:9">
      <c r="D868" s="47"/>
      <c r="E868" s="143"/>
      <c r="H868" s="2"/>
      <c r="I868" s="30"/>
    </row>
    <row r="869" spans="4:9">
      <c r="D869" s="47"/>
      <c r="E869" s="143"/>
      <c r="H869" s="2"/>
      <c r="I869" s="30"/>
    </row>
    <row r="870" spans="4:9">
      <c r="D870" s="47"/>
      <c r="E870" s="143"/>
      <c r="H870" s="2"/>
      <c r="I870" s="30"/>
    </row>
    <row r="871" spans="4:9">
      <c r="D871" s="47"/>
      <c r="E871" s="143"/>
      <c r="H871" s="2"/>
      <c r="I871" s="30"/>
    </row>
    <row r="872" spans="4:9">
      <c r="D872" s="47"/>
      <c r="E872" s="143"/>
      <c r="H872" s="2"/>
      <c r="I872" s="30"/>
    </row>
    <row r="873" spans="4:9">
      <c r="D873" s="47"/>
      <c r="E873" s="143"/>
      <c r="H873" s="2"/>
      <c r="I873" s="30"/>
    </row>
    <row r="874" spans="4:9">
      <c r="D874" s="47"/>
      <c r="E874" s="143"/>
      <c r="H874" s="2"/>
      <c r="I874" s="30"/>
    </row>
    <row r="875" spans="4:9">
      <c r="D875" s="47"/>
      <c r="E875" s="143"/>
      <c r="H875" s="2"/>
      <c r="I875" s="30"/>
    </row>
    <row r="876" spans="4:9">
      <c r="D876" s="47"/>
      <c r="E876" s="143"/>
      <c r="H876" s="2"/>
      <c r="I876" s="30"/>
    </row>
    <row r="877" spans="4:9">
      <c r="D877" s="47"/>
      <c r="E877" s="143"/>
      <c r="H877" s="2"/>
      <c r="I877" s="30"/>
    </row>
    <row r="878" spans="4:9">
      <c r="D878" s="47"/>
      <c r="E878" s="143"/>
      <c r="H878" s="2"/>
      <c r="I878" s="30"/>
    </row>
    <row r="879" spans="4:9">
      <c r="D879" s="47"/>
      <c r="E879" s="143"/>
      <c r="H879" s="2"/>
      <c r="I879" s="30"/>
    </row>
    <row r="880" spans="4:9">
      <c r="D880" s="47"/>
      <c r="E880" s="143"/>
      <c r="H880" s="2"/>
      <c r="I880" s="30"/>
    </row>
    <row r="881" spans="4:9">
      <c r="D881" s="47"/>
      <c r="E881" s="143"/>
      <c r="H881" s="2"/>
      <c r="I881" s="30"/>
    </row>
    <row r="882" spans="4:9">
      <c r="D882" s="47"/>
      <c r="E882" s="143"/>
      <c r="H882" s="2"/>
      <c r="I882" s="30"/>
    </row>
    <row r="883" spans="4:9">
      <c r="D883" s="47"/>
      <c r="E883" s="143"/>
      <c r="H883" s="2"/>
      <c r="I883" s="30"/>
    </row>
    <row r="884" spans="4:9">
      <c r="D884" s="47"/>
      <c r="E884" s="143"/>
      <c r="H884" s="2"/>
      <c r="I884" s="30"/>
    </row>
    <row r="885" spans="4:9">
      <c r="D885" s="47"/>
      <c r="E885" s="143"/>
      <c r="H885" s="2"/>
      <c r="I885" s="30"/>
    </row>
    <row r="886" spans="4:9">
      <c r="D886" s="47"/>
      <c r="E886" s="143"/>
      <c r="H886" s="2"/>
      <c r="I886" s="30"/>
    </row>
    <row r="887" spans="4:9">
      <c r="D887" s="47"/>
      <c r="E887" s="143"/>
      <c r="H887" s="2"/>
      <c r="I887" s="30"/>
    </row>
    <row r="888" spans="4:9">
      <c r="D888" s="47"/>
      <c r="E888" s="143"/>
      <c r="H888" s="2"/>
      <c r="I888" s="30"/>
    </row>
    <row r="889" spans="4:9">
      <c r="D889" s="47"/>
      <c r="E889" s="143"/>
      <c r="H889" s="2"/>
      <c r="I889" s="30"/>
    </row>
    <row r="890" spans="4:9">
      <c r="D890" s="47"/>
      <c r="E890" s="143"/>
      <c r="H890" s="2"/>
      <c r="I890" s="30"/>
    </row>
    <row r="891" spans="4:9">
      <c r="D891" s="47"/>
      <c r="E891" s="143"/>
      <c r="H891" s="2"/>
      <c r="I891" s="30"/>
    </row>
    <row r="892" spans="4:9">
      <c r="D892" s="47"/>
      <c r="E892" s="143"/>
      <c r="H892" s="2"/>
      <c r="I892" s="30"/>
    </row>
    <row r="893" spans="4:9">
      <c r="D893" s="47"/>
      <c r="E893" s="143"/>
      <c r="H893" s="2"/>
      <c r="I893" s="30"/>
    </row>
    <row r="894" spans="4:9">
      <c r="D894" s="47"/>
      <c r="E894" s="143"/>
      <c r="H894" s="2"/>
      <c r="I894" s="30"/>
    </row>
    <row r="895" spans="4:9">
      <c r="D895" s="47"/>
      <c r="E895" s="143"/>
      <c r="H895" s="2"/>
      <c r="I895" s="30"/>
    </row>
    <row r="896" spans="4:9">
      <c r="D896" s="47"/>
      <c r="E896" s="143"/>
      <c r="H896" s="2"/>
      <c r="I896" s="30"/>
    </row>
    <row r="897" spans="4:9">
      <c r="D897" s="47"/>
      <c r="E897" s="143"/>
      <c r="H897" s="2"/>
      <c r="I897" s="30"/>
    </row>
    <row r="898" spans="4:9">
      <c r="D898" s="47"/>
      <c r="E898" s="143"/>
      <c r="H898" s="2"/>
      <c r="I898" s="30"/>
    </row>
    <row r="899" spans="4:9">
      <c r="D899" s="47"/>
      <c r="E899" s="143"/>
      <c r="H899" s="2"/>
      <c r="I899" s="30"/>
    </row>
    <row r="900" spans="4:9">
      <c r="D900" s="47"/>
      <c r="E900" s="143"/>
      <c r="H900" s="2"/>
      <c r="I900" s="30"/>
    </row>
    <row r="901" spans="4:9">
      <c r="D901" s="47"/>
      <c r="E901" s="143"/>
      <c r="H901" s="2"/>
      <c r="I901" s="30"/>
    </row>
    <row r="902" spans="4:9">
      <c r="D902" s="47"/>
      <c r="E902" s="143"/>
      <c r="H902" s="2"/>
      <c r="I902" s="30"/>
    </row>
    <row r="903" spans="4:9">
      <c r="D903" s="47"/>
      <c r="E903" s="143"/>
      <c r="H903" s="2"/>
      <c r="I903" s="30"/>
    </row>
    <row r="904" spans="4:9">
      <c r="D904" s="47"/>
      <c r="E904" s="143"/>
      <c r="H904" s="2"/>
      <c r="I904" s="30"/>
    </row>
    <row r="905" spans="4:9">
      <c r="D905" s="47"/>
      <c r="E905" s="143"/>
      <c r="H905" s="2"/>
      <c r="I905" s="30"/>
    </row>
    <row r="906" spans="4:9">
      <c r="D906" s="47"/>
      <c r="E906" s="143"/>
      <c r="H906" s="2"/>
      <c r="I906" s="30"/>
    </row>
    <row r="907" spans="4:9">
      <c r="D907" s="47"/>
      <c r="E907" s="143"/>
      <c r="H907" s="2"/>
      <c r="I907" s="30"/>
    </row>
    <row r="908" spans="4:9">
      <c r="D908" s="47"/>
      <c r="E908" s="143"/>
      <c r="H908" s="2"/>
      <c r="I908" s="30"/>
    </row>
    <row r="909" spans="4:9">
      <c r="D909" s="47"/>
      <c r="E909" s="143"/>
      <c r="H909" s="2"/>
      <c r="I909" s="30"/>
    </row>
    <row r="910" spans="4:9">
      <c r="D910" s="47"/>
      <c r="E910" s="143"/>
      <c r="H910" s="2"/>
      <c r="I910" s="30"/>
    </row>
    <row r="911" spans="4:9">
      <c r="D911" s="47"/>
      <c r="E911" s="143"/>
      <c r="H911" s="2"/>
      <c r="I911" s="30"/>
    </row>
    <row r="912" spans="4:9">
      <c r="D912" s="47"/>
      <c r="E912" s="143"/>
      <c r="H912" s="2"/>
      <c r="I912" s="30"/>
    </row>
    <row r="913" spans="4:9">
      <c r="D913" s="47"/>
      <c r="E913" s="143"/>
      <c r="H913" s="2"/>
      <c r="I913" s="30"/>
    </row>
    <row r="914" spans="4:9">
      <c r="D914" s="47"/>
      <c r="E914" s="143"/>
      <c r="H914" s="2"/>
      <c r="I914" s="30"/>
    </row>
    <row r="915" spans="4:9">
      <c r="D915" s="47"/>
      <c r="E915" s="143"/>
      <c r="H915" s="2"/>
      <c r="I915" s="30"/>
    </row>
    <row r="916" spans="4:9">
      <c r="D916" s="47"/>
      <c r="E916" s="143"/>
      <c r="H916" s="2"/>
      <c r="I916" s="30"/>
    </row>
    <row r="917" spans="4:9">
      <c r="D917" s="47"/>
      <c r="E917" s="143"/>
      <c r="H917" s="2"/>
      <c r="I917" s="30"/>
    </row>
    <row r="918" spans="4:9">
      <c r="D918" s="47"/>
      <c r="E918" s="143"/>
      <c r="H918" s="2"/>
      <c r="I918" s="30"/>
    </row>
    <row r="919" spans="4:9">
      <c r="D919" s="47"/>
      <c r="E919" s="143"/>
      <c r="H919" s="2"/>
      <c r="I919" s="30"/>
    </row>
    <row r="920" spans="4:9">
      <c r="D920" s="47"/>
      <c r="E920" s="143"/>
      <c r="H920" s="2"/>
      <c r="I920" s="30"/>
    </row>
    <row r="921" spans="4:9">
      <c r="D921" s="47"/>
      <c r="E921" s="143"/>
      <c r="H921" s="2"/>
      <c r="I921" s="30"/>
    </row>
    <row r="922" spans="4:9">
      <c r="D922" s="47"/>
      <c r="E922" s="143"/>
      <c r="H922" s="2"/>
      <c r="I922" s="30"/>
    </row>
    <row r="923" spans="4:9">
      <c r="D923" s="47"/>
      <c r="E923" s="143"/>
      <c r="H923" s="2"/>
      <c r="I923" s="30"/>
    </row>
    <row r="924" spans="4:9">
      <c r="D924" s="47"/>
      <c r="E924" s="143"/>
      <c r="H924" s="2"/>
      <c r="I924" s="30"/>
    </row>
    <row r="925" spans="4:9">
      <c r="D925" s="47"/>
      <c r="E925" s="143"/>
      <c r="H925" s="2"/>
      <c r="I925" s="30"/>
    </row>
    <row r="926" spans="4:9">
      <c r="D926" s="47"/>
      <c r="E926" s="143"/>
      <c r="H926" s="2"/>
      <c r="I926" s="30"/>
    </row>
    <row r="927" spans="4:9">
      <c r="D927" s="47"/>
      <c r="E927" s="143"/>
      <c r="H927" s="2"/>
      <c r="I927" s="30"/>
    </row>
    <row r="928" spans="4:9">
      <c r="D928" s="47"/>
      <c r="E928" s="143"/>
      <c r="H928" s="2"/>
      <c r="I928" s="30"/>
    </row>
    <row r="929" spans="4:9">
      <c r="D929" s="47"/>
      <c r="E929" s="143"/>
      <c r="H929" s="2"/>
      <c r="I929" s="30"/>
    </row>
    <row r="930" spans="4:9">
      <c r="D930" s="47"/>
      <c r="E930" s="143"/>
      <c r="H930" s="2"/>
      <c r="I930" s="30"/>
    </row>
    <row r="931" spans="4:9">
      <c r="D931" s="47"/>
      <c r="E931" s="143"/>
      <c r="H931" s="2"/>
      <c r="I931" s="30"/>
    </row>
    <row r="932" spans="4:9">
      <c r="D932" s="47"/>
      <c r="E932" s="143"/>
      <c r="H932" s="2"/>
      <c r="I932" s="30"/>
    </row>
    <row r="933" spans="4:9">
      <c r="D933" s="47"/>
      <c r="E933" s="143"/>
      <c r="H933" s="2"/>
      <c r="I933" s="30"/>
    </row>
    <row r="934" spans="4:9">
      <c r="D934" s="47"/>
      <c r="E934" s="143"/>
      <c r="H934" s="2"/>
      <c r="I934" s="30"/>
    </row>
    <row r="935" spans="4:9">
      <c r="D935" s="47"/>
      <c r="E935" s="143"/>
      <c r="H935" s="2"/>
      <c r="I935" s="30"/>
    </row>
    <row r="936" spans="4:9">
      <c r="D936" s="47"/>
      <c r="E936" s="143"/>
      <c r="H936" s="2"/>
      <c r="I936" s="30"/>
    </row>
    <row r="937" spans="4:9">
      <c r="D937" s="47"/>
      <c r="E937" s="143"/>
      <c r="H937" s="2"/>
      <c r="I937" s="30"/>
    </row>
    <row r="938" spans="4:9">
      <c r="D938" s="47"/>
      <c r="E938" s="143"/>
      <c r="H938" s="2"/>
      <c r="I938" s="30"/>
    </row>
    <row r="939" spans="4:9">
      <c r="D939" s="47"/>
      <c r="E939" s="143"/>
      <c r="H939" s="2"/>
      <c r="I939" s="30"/>
    </row>
    <row r="940" spans="4:9">
      <c r="D940" s="47"/>
      <c r="E940" s="143"/>
      <c r="H940" s="2"/>
      <c r="I940" s="30"/>
    </row>
    <row r="941" spans="4:9">
      <c r="D941" s="47"/>
      <c r="E941" s="143"/>
      <c r="H941" s="2"/>
      <c r="I941" s="30"/>
    </row>
    <row r="942" spans="4:9">
      <c r="D942" s="47"/>
      <c r="E942" s="143"/>
      <c r="H942" s="2"/>
      <c r="I942" s="30"/>
    </row>
    <row r="943" spans="4:9">
      <c r="D943" s="47"/>
      <c r="E943" s="143"/>
      <c r="H943" s="2"/>
      <c r="I943" s="30"/>
    </row>
    <row r="944" spans="4:9">
      <c r="D944" s="47"/>
      <c r="E944" s="143"/>
      <c r="H944" s="2"/>
      <c r="I944" s="30"/>
    </row>
    <row r="945" spans="4:15">
      <c r="D945" s="47"/>
      <c r="E945" s="143"/>
      <c r="H945" s="2"/>
      <c r="I945" s="30"/>
    </row>
    <row r="946" spans="4:15">
      <c r="K946" s="143"/>
      <c r="N946" s="2"/>
      <c r="O946" s="30"/>
    </row>
    <row r="947" spans="4:15">
      <c r="K947" s="143"/>
      <c r="N947" s="2"/>
      <c r="O947" s="30"/>
    </row>
    <row r="948" spans="4:15">
      <c r="K948" s="143"/>
      <c r="N948" s="2"/>
      <c r="O948" s="30"/>
    </row>
    <row r="949" spans="4:15">
      <c r="K949" s="143"/>
      <c r="N949" s="2"/>
      <c r="O949" s="30"/>
    </row>
    <row r="950" spans="4:15">
      <c r="K950" s="143"/>
      <c r="N950" s="2"/>
      <c r="O950" s="30"/>
    </row>
    <row r="951" spans="4:15">
      <c r="K951" s="143"/>
      <c r="N951" s="2"/>
      <c r="O951" s="30"/>
    </row>
    <row r="952" spans="4:15">
      <c r="K952" s="143"/>
      <c r="N952" s="2"/>
      <c r="O952" s="30"/>
    </row>
    <row r="953" spans="4:15">
      <c r="K953" s="143"/>
      <c r="N953" s="2"/>
      <c r="O953" s="30"/>
    </row>
    <row r="954" spans="4:15">
      <c r="K954" s="143"/>
      <c r="N954" s="2"/>
      <c r="O954" s="30"/>
    </row>
    <row r="955" spans="4:15">
      <c r="K955" s="143"/>
      <c r="N955" s="2"/>
      <c r="O955" s="30"/>
    </row>
    <row r="956" spans="4:15">
      <c r="K956" s="143"/>
      <c r="N956" s="2"/>
      <c r="O956" s="30"/>
    </row>
    <row r="957" spans="4:15">
      <c r="K957" s="143"/>
      <c r="N957" s="2"/>
      <c r="O957" s="30"/>
    </row>
    <row r="958" spans="4:15">
      <c r="K958" s="143"/>
      <c r="N958" s="2"/>
      <c r="O958" s="30"/>
    </row>
    <row r="959" spans="4:15">
      <c r="K959" s="143"/>
      <c r="N959" s="2"/>
      <c r="O959" s="30"/>
    </row>
    <row r="960" spans="4:15">
      <c r="K960" s="143"/>
      <c r="N960" s="2"/>
      <c r="O960" s="30"/>
    </row>
    <row r="961" spans="11:15">
      <c r="K961" s="143"/>
      <c r="N961" s="2"/>
      <c r="O961" s="30"/>
    </row>
    <row r="962" spans="11:15">
      <c r="K962" s="143"/>
      <c r="N962" s="2"/>
      <c r="O962" s="30"/>
    </row>
    <row r="963" spans="11:15">
      <c r="K963" s="143"/>
      <c r="N963" s="2"/>
      <c r="O963" s="30"/>
    </row>
    <row r="964" spans="11:15">
      <c r="K964" s="143"/>
      <c r="N964" s="2"/>
      <c r="O964" s="30"/>
    </row>
    <row r="965" spans="11:15">
      <c r="K965" s="143"/>
      <c r="N965" s="2"/>
      <c r="O965" s="30"/>
    </row>
    <row r="966" spans="11:15">
      <c r="K966" s="143"/>
      <c r="N966" s="2"/>
      <c r="O966" s="30"/>
    </row>
    <row r="967" spans="11:15">
      <c r="K967" s="143"/>
      <c r="N967" s="2"/>
      <c r="O967" s="30"/>
    </row>
  </sheetData>
  <hyperlinks>
    <hyperlink ref="M3" r:id="rId1" xr:uid="{9CCE30CC-6B39-4B2A-9057-0628FB9D1EFE}"/>
    <hyperlink ref="M4" r:id="rId2" xr:uid="{4E6EB90D-13C8-40C6-9C83-DEA4598AB27A}"/>
    <hyperlink ref="M5" r:id="rId3" xr:uid="{CD6F15CE-417D-4740-8C8D-88B65565E126}"/>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D0472-B5F3-4E03-9F11-2CDD71603A44}">
  <dimension ref="A1:X966"/>
  <sheetViews>
    <sheetView topLeftCell="A2" workbookViewId="0">
      <selection activeCell="B8" sqref="B8"/>
    </sheetView>
  </sheetViews>
  <sheetFormatPr defaultRowHeight="12.75"/>
  <cols>
    <col min="1" max="1" width="8.28515625" style="181" customWidth="1"/>
    <col min="2" max="2" width="20.42578125" customWidth="1"/>
    <col min="3" max="3" width="22.28515625" style="47" customWidth="1"/>
    <col min="4" max="4" width="16.28515625" customWidth="1"/>
    <col min="5" max="5" width="40" customWidth="1"/>
    <col min="6" max="7" width="9.140625" style="53"/>
    <col min="8" max="8" width="10.28515625" customWidth="1"/>
    <col min="12" max="12" width="33.140625" customWidth="1"/>
    <col min="13" max="13" width="22.7109375" customWidth="1"/>
    <col min="14" max="14" width="10.7109375" bestFit="1" customWidth="1"/>
    <col min="15" max="15" width="10.42578125" customWidth="1"/>
    <col min="17" max="17" width="13.28515625" customWidth="1"/>
    <col min="19" max="19" width="9.42578125" bestFit="1" customWidth="1"/>
    <col min="20" max="20" width="14.7109375" customWidth="1"/>
    <col min="21" max="21" width="15.28515625" customWidth="1"/>
    <col min="22" max="22" width="14.7109375" customWidth="1"/>
    <col min="23" max="23" width="11.5703125" style="137" customWidth="1"/>
    <col min="24" max="24" width="48.28515625" customWidth="1"/>
  </cols>
  <sheetData>
    <row r="1" spans="1:24" ht="14.25">
      <c r="A1" s="234"/>
      <c r="B1" s="1"/>
      <c r="C1" s="7"/>
      <c r="D1" s="7"/>
      <c r="E1" s="1"/>
      <c r="F1" s="49"/>
      <c r="G1" s="49"/>
      <c r="H1" s="198"/>
      <c r="I1" s="198"/>
      <c r="J1" s="198"/>
      <c r="K1" s="198"/>
      <c r="L1" s="198"/>
      <c r="M1" s="198"/>
      <c r="N1" s="198"/>
      <c r="O1" s="198"/>
      <c r="P1" s="198"/>
      <c r="Q1" s="198"/>
      <c r="R1" s="198"/>
      <c r="S1" s="198"/>
      <c r="T1" s="198"/>
      <c r="U1" s="198"/>
      <c r="V1" s="198"/>
      <c r="W1" s="322"/>
      <c r="X1" s="323"/>
    </row>
    <row r="2" spans="1:24" ht="46.5">
      <c r="A2" s="234" t="s">
        <v>248</v>
      </c>
      <c r="B2" s="1" t="s">
        <v>249</v>
      </c>
      <c r="C2" s="7" t="s">
        <v>250</v>
      </c>
      <c r="D2" s="235" t="s">
        <v>251</v>
      </c>
      <c r="E2" s="236" t="s">
        <v>252</v>
      </c>
      <c r="F2" s="237" t="s">
        <v>254</v>
      </c>
      <c r="G2" s="237" t="s">
        <v>255</v>
      </c>
      <c r="H2" s="238" t="s">
        <v>259</v>
      </c>
      <c r="I2" s="238" t="s">
        <v>260</v>
      </c>
      <c r="J2" s="238" t="s">
        <v>261</v>
      </c>
      <c r="K2" s="238" t="s">
        <v>262</v>
      </c>
      <c r="L2" s="238" t="s">
        <v>263</v>
      </c>
      <c r="M2" s="238" t="s">
        <v>264</v>
      </c>
      <c r="N2" s="238" t="s">
        <v>265</v>
      </c>
      <c r="O2" s="238" t="s">
        <v>266</v>
      </c>
      <c r="P2" s="238" t="s">
        <v>1571</v>
      </c>
      <c r="Q2" s="238" t="s">
        <v>268</v>
      </c>
      <c r="R2" s="238" t="s">
        <v>1572</v>
      </c>
      <c r="S2" s="238" t="s">
        <v>270</v>
      </c>
      <c r="T2" s="238" t="s">
        <v>268</v>
      </c>
      <c r="U2" s="238" t="s">
        <v>272</v>
      </c>
      <c r="V2" s="238" t="s">
        <v>273</v>
      </c>
      <c r="W2" s="239" t="s">
        <v>253</v>
      </c>
      <c r="X2" s="240" t="s">
        <v>274</v>
      </c>
    </row>
    <row r="3" spans="1:24" s="137" customFormat="1" ht="30.75" customHeight="1">
      <c r="A3" s="302">
        <v>1</v>
      </c>
      <c r="B3" s="298" t="s">
        <v>1585</v>
      </c>
      <c r="C3" s="46" t="s">
        <v>1586</v>
      </c>
      <c r="D3" s="62" t="s">
        <v>1575</v>
      </c>
      <c r="E3" s="225" t="s">
        <v>1576</v>
      </c>
      <c r="F3" s="17">
        <v>1</v>
      </c>
      <c r="G3" s="17">
        <v>1</v>
      </c>
      <c r="H3" s="83" t="s">
        <v>318</v>
      </c>
      <c r="I3" s="41" t="s">
        <v>1577</v>
      </c>
      <c r="J3" s="203" t="s">
        <v>1526</v>
      </c>
      <c r="K3" s="41" t="s">
        <v>595</v>
      </c>
      <c r="L3" s="203" t="s">
        <v>1557</v>
      </c>
      <c r="M3" s="231" t="s">
        <v>1578</v>
      </c>
      <c r="N3" s="232">
        <v>45517</v>
      </c>
      <c r="O3" s="232">
        <v>45517</v>
      </c>
      <c r="P3" s="41" t="s">
        <v>595</v>
      </c>
      <c r="Q3" s="282" t="s">
        <v>1557</v>
      </c>
      <c r="R3" s="203" t="s">
        <v>795</v>
      </c>
      <c r="S3" s="206">
        <v>45518</v>
      </c>
      <c r="T3" s="282" t="s">
        <v>1557</v>
      </c>
      <c r="U3" s="282" t="s">
        <v>1557</v>
      </c>
      <c r="V3" s="282" t="s">
        <v>1557</v>
      </c>
      <c r="W3" s="327" t="s">
        <v>13</v>
      </c>
      <c r="X3" s="216"/>
    </row>
    <row r="4" spans="1:24" s="137" customFormat="1" ht="30.75" customHeight="1">
      <c r="A4" s="302">
        <v>2</v>
      </c>
      <c r="B4" s="298" t="s">
        <v>1585</v>
      </c>
      <c r="C4" s="46" t="s">
        <v>1587</v>
      </c>
      <c r="D4" s="62" t="s">
        <v>1581</v>
      </c>
      <c r="E4" s="11" t="s">
        <v>1582</v>
      </c>
      <c r="F4" s="17">
        <v>3</v>
      </c>
      <c r="G4" s="17">
        <v>3</v>
      </c>
      <c r="H4" s="83" t="s">
        <v>318</v>
      </c>
      <c r="I4" s="41" t="s">
        <v>1577</v>
      </c>
      <c r="J4" s="203" t="s">
        <v>1526</v>
      </c>
      <c r="K4" s="41" t="s">
        <v>595</v>
      </c>
      <c r="L4" s="203" t="s">
        <v>1557</v>
      </c>
      <c r="M4" s="231" t="s">
        <v>1588</v>
      </c>
      <c r="N4" s="232">
        <v>45524</v>
      </c>
      <c r="O4" s="232">
        <v>45524</v>
      </c>
      <c r="P4" s="41" t="s">
        <v>595</v>
      </c>
      <c r="Q4" s="282" t="s">
        <v>1557</v>
      </c>
      <c r="R4" s="203" t="s">
        <v>795</v>
      </c>
      <c r="S4" s="206">
        <v>45524</v>
      </c>
      <c r="T4" s="282" t="s">
        <v>1557</v>
      </c>
      <c r="U4" s="282" t="s">
        <v>1557</v>
      </c>
      <c r="V4" s="282" t="s">
        <v>1557</v>
      </c>
      <c r="W4" s="327" t="s">
        <v>13</v>
      </c>
      <c r="X4" s="326"/>
    </row>
    <row r="5" spans="1:24" ht="26.25" customHeight="1">
      <c r="A5" s="302">
        <v>3</v>
      </c>
      <c r="B5" s="298" t="s">
        <v>1585</v>
      </c>
      <c r="C5" s="46" t="s">
        <v>1586</v>
      </c>
      <c r="D5" s="90" t="s">
        <v>1589</v>
      </c>
      <c r="E5" s="328" t="s">
        <v>1590</v>
      </c>
      <c r="F5" s="903">
        <v>3</v>
      </c>
      <c r="G5" s="903">
        <v>3</v>
      </c>
      <c r="H5" s="83" t="s">
        <v>1591</v>
      </c>
      <c r="I5" s="83" t="s">
        <v>1591</v>
      </c>
      <c r="J5" s="83" t="s">
        <v>1591</v>
      </c>
      <c r="K5" s="83" t="s">
        <v>1591</v>
      </c>
      <c r="L5" s="83" t="s">
        <v>1591</v>
      </c>
      <c r="M5" s="83" t="s">
        <v>1591</v>
      </c>
      <c r="N5" s="83" t="s">
        <v>1591</v>
      </c>
      <c r="O5" s="83" t="s">
        <v>1591</v>
      </c>
      <c r="P5" s="83" t="s">
        <v>1591</v>
      </c>
      <c r="Q5" s="83" t="s">
        <v>1591</v>
      </c>
      <c r="R5" s="83" t="s">
        <v>1591</v>
      </c>
      <c r="S5" s="83" t="s">
        <v>1591</v>
      </c>
      <c r="T5" s="83" t="s">
        <v>1591</v>
      </c>
      <c r="U5" s="83" t="s">
        <v>1591</v>
      </c>
      <c r="V5" s="83" t="s">
        <v>1591</v>
      </c>
      <c r="W5" s="327" t="s">
        <v>13</v>
      </c>
      <c r="X5" s="326"/>
    </row>
    <row r="6" spans="1:24" ht="27" customHeight="1">
      <c r="A6" s="302">
        <v>4</v>
      </c>
      <c r="B6" s="298" t="s">
        <v>1585</v>
      </c>
      <c r="C6" s="46" t="s">
        <v>1586</v>
      </c>
      <c r="D6" s="90" t="s">
        <v>1592</v>
      </c>
      <c r="E6" s="328" t="s">
        <v>1593</v>
      </c>
      <c r="F6" s="904"/>
      <c r="G6" s="904"/>
      <c r="H6" s="83" t="s">
        <v>318</v>
      </c>
      <c r="I6" s="41" t="s">
        <v>1035</v>
      </c>
      <c r="J6" s="203" t="s">
        <v>1526</v>
      </c>
      <c r="K6" s="41" t="s">
        <v>595</v>
      </c>
      <c r="L6" s="203" t="s">
        <v>1557</v>
      </c>
      <c r="M6" s="231" t="s">
        <v>1594</v>
      </c>
      <c r="N6" s="232">
        <v>45530</v>
      </c>
      <c r="O6" s="232">
        <v>45531</v>
      </c>
      <c r="P6" s="41" t="s">
        <v>323</v>
      </c>
      <c r="Q6" s="282" t="s">
        <v>1557</v>
      </c>
      <c r="R6" s="203" t="s">
        <v>322</v>
      </c>
      <c r="S6" s="206">
        <v>45531</v>
      </c>
      <c r="T6" s="282" t="s">
        <v>1557</v>
      </c>
      <c r="U6" s="282" t="s">
        <v>1557</v>
      </c>
      <c r="V6" s="282" t="s">
        <v>1557</v>
      </c>
      <c r="W6" s="327" t="s">
        <v>13</v>
      </c>
      <c r="X6" s="326"/>
    </row>
    <row r="7" spans="1:24" ht="30.75" customHeight="1">
      <c r="A7" s="302">
        <v>5</v>
      </c>
      <c r="B7" s="298" t="s">
        <v>1585</v>
      </c>
      <c r="C7" s="46" t="s">
        <v>1586</v>
      </c>
      <c r="D7" s="62" t="s">
        <v>1595</v>
      </c>
      <c r="E7" s="11" t="s">
        <v>1541</v>
      </c>
      <c r="F7" s="17">
        <v>0</v>
      </c>
      <c r="G7" s="17">
        <v>3</v>
      </c>
      <c r="H7" s="83" t="s">
        <v>589</v>
      </c>
      <c r="I7" s="41"/>
      <c r="J7" s="203"/>
      <c r="K7" s="41"/>
      <c r="L7" s="203"/>
      <c r="M7" s="231"/>
      <c r="N7" s="232"/>
      <c r="O7" s="232"/>
      <c r="P7" s="41"/>
      <c r="Q7" s="282"/>
      <c r="R7" s="203"/>
      <c r="S7" s="206"/>
      <c r="T7" s="282"/>
      <c r="U7" s="282"/>
      <c r="V7" s="325"/>
      <c r="W7" s="228" t="s">
        <v>13</v>
      </c>
      <c r="X7" s="326" t="s">
        <v>1596</v>
      </c>
    </row>
    <row r="8" spans="1:24">
      <c r="B8" s="28"/>
      <c r="C8" s="196"/>
      <c r="D8" s="47"/>
      <c r="E8" s="28"/>
      <c r="F8" s="215"/>
      <c r="G8" s="215"/>
      <c r="H8" s="2"/>
      <c r="I8" s="35"/>
      <c r="K8" s="35"/>
      <c r="M8" s="35"/>
      <c r="N8" s="35"/>
      <c r="O8" s="35"/>
      <c r="P8" s="35"/>
    </row>
    <row r="9" spans="1:24">
      <c r="B9" s="28"/>
      <c r="C9" s="196"/>
      <c r="D9" s="47"/>
      <c r="E9" s="28"/>
      <c r="F9" s="215"/>
      <c r="G9" s="215"/>
      <c r="H9" s="2"/>
      <c r="I9" s="35"/>
      <c r="K9" s="35"/>
      <c r="M9" s="35"/>
      <c r="N9" s="35"/>
      <c r="O9" s="35"/>
      <c r="P9" s="35"/>
    </row>
    <row r="10" spans="1:24">
      <c r="B10" s="28"/>
      <c r="C10" s="196"/>
      <c r="D10" s="47"/>
      <c r="E10" s="28"/>
      <c r="F10" s="215"/>
      <c r="G10" s="215"/>
      <c r="H10" s="2"/>
      <c r="I10" s="35"/>
      <c r="K10" s="35"/>
      <c r="M10" s="35"/>
      <c r="N10" s="35"/>
      <c r="O10" s="35"/>
      <c r="P10" s="35"/>
    </row>
    <row r="11" spans="1:24">
      <c r="B11" s="28"/>
      <c r="C11" s="196"/>
      <c r="D11" s="47"/>
      <c r="E11" s="28"/>
      <c r="F11" s="215"/>
      <c r="G11" s="215"/>
      <c r="H11" s="2"/>
      <c r="I11" s="35"/>
      <c r="K11" s="35"/>
      <c r="M11" s="35"/>
      <c r="N11" s="35"/>
      <c r="O11" s="35"/>
      <c r="P11" s="35"/>
    </row>
    <row r="12" spans="1:24">
      <c r="B12" s="28"/>
      <c r="C12" s="196"/>
      <c r="D12" s="47"/>
      <c r="E12" s="28"/>
      <c r="F12" s="215"/>
      <c r="G12" s="215"/>
      <c r="H12" s="2"/>
      <c r="I12" s="35"/>
      <c r="K12" s="35"/>
      <c r="M12" s="35"/>
      <c r="N12" s="35"/>
      <c r="O12" s="35"/>
      <c r="P12" s="35"/>
    </row>
    <row r="13" spans="1:24">
      <c r="B13" s="28"/>
      <c r="C13" s="196"/>
      <c r="D13" s="47"/>
      <c r="E13" s="28"/>
      <c r="F13" s="215"/>
      <c r="G13" s="215"/>
      <c r="H13" s="2"/>
      <c r="I13" s="35"/>
      <c r="K13" s="35"/>
      <c r="M13" s="35"/>
      <c r="N13" s="35"/>
      <c r="O13" s="35"/>
      <c r="P13" s="35"/>
    </row>
    <row r="14" spans="1:24">
      <c r="B14" s="28"/>
      <c r="C14" s="196"/>
      <c r="D14" s="47"/>
      <c r="E14" s="28"/>
      <c r="F14" s="215"/>
      <c r="G14" s="215"/>
      <c r="H14" s="2"/>
      <c r="I14" s="35"/>
      <c r="K14" s="35"/>
      <c r="M14" s="35"/>
      <c r="N14" s="35"/>
      <c r="O14" s="35"/>
      <c r="P14" s="35"/>
    </row>
    <row r="15" spans="1:24">
      <c r="B15" s="28"/>
      <c r="C15" s="196"/>
      <c r="D15" s="47"/>
      <c r="E15" s="28"/>
      <c r="F15" s="215"/>
      <c r="G15" s="215"/>
      <c r="H15" s="2"/>
      <c r="I15" s="35"/>
      <c r="K15" s="35"/>
      <c r="M15" s="35"/>
      <c r="N15" s="35"/>
      <c r="O15" s="35"/>
      <c r="P15" s="35"/>
    </row>
    <row r="16" spans="1:24">
      <c r="B16" s="28"/>
      <c r="C16" s="196"/>
      <c r="D16" s="47"/>
      <c r="E16" s="28"/>
      <c r="F16" s="215"/>
      <c r="G16" s="215"/>
      <c r="H16" s="2"/>
      <c r="I16" s="35"/>
      <c r="K16" s="35"/>
      <c r="M16" s="35"/>
      <c r="N16" s="35"/>
      <c r="O16" s="35"/>
      <c r="P16" s="35"/>
    </row>
    <row r="17" spans="2:16">
      <c r="B17" s="28"/>
      <c r="C17" s="196"/>
      <c r="D17" s="47"/>
      <c r="E17" s="28"/>
      <c r="F17" s="215"/>
      <c r="G17" s="215"/>
      <c r="H17" s="2"/>
      <c r="I17" s="35"/>
      <c r="K17" s="35"/>
      <c r="M17" s="35"/>
      <c r="N17" s="35"/>
      <c r="O17" s="35"/>
      <c r="P17" s="35"/>
    </row>
    <row r="18" spans="2:16">
      <c r="B18" s="28"/>
      <c r="C18" s="196"/>
      <c r="D18" s="47"/>
      <c r="E18" s="28"/>
      <c r="F18" s="215"/>
      <c r="G18" s="215"/>
      <c r="H18" s="2"/>
      <c r="I18" s="35"/>
      <c r="K18" s="35"/>
      <c r="M18" s="35"/>
      <c r="N18" s="35"/>
      <c r="O18" s="35"/>
      <c r="P18" s="35"/>
    </row>
    <row r="19" spans="2:16">
      <c r="B19" s="28"/>
      <c r="C19" s="196"/>
      <c r="D19" s="47"/>
      <c r="E19" s="28"/>
      <c r="F19" s="215"/>
      <c r="G19" s="215"/>
      <c r="H19" s="2"/>
      <c r="I19" s="35"/>
      <c r="K19" s="35"/>
      <c r="M19" s="35"/>
      <c r="N19" s="35"/>
      <c r="O19" s="35"/>
      <c r="P19" s="35"/>
    </row>
    <row r="20" spans="2:16">
      <c r="B20" s="28"/>
      <c r="C20" s="196"/>
      <c r="D20" s="47"/>
      <c r="E20" s="28"/>
      <c r="F20" s="215"/>
      <c r="G20" s="215"/>
      <c r="H20" s="2"/>
      <c r="I20" s="35"/>
      <c r="K20" s="35"/>
      <c r="M20" s="35"/>
      <c r="N20" s="35"/>
      <c r="O20" s="35"/>
      <c r="P20" s="35"/>
    </row>
    <row r="21" spans="2:16">
      <c r="B21" s="28"/>
      <c r="C21" s="196"/>
      <c r="D21" s="47"/>
      <c r="E21" s="28"/>
      <c r="F21" s="215"/>
      <c r="G21" s="215"/>
      <c r="H21" s="2"/>
      <c r="I21" s="35"/>
      <c r="K21" s="35"/>
      <c r="M21" s="35"/>
      <c r="N21" s="35"/>
      <c r="O21" s="35"/>
      <c r="P21" s="35"/>
    </row>
    <row r="22" spans="2:16">
      <c r="B22" s="28"/>
      <c r="C22" s="196"/>
      <c r="D22" s="47"/>
      <c r="E22" s="28"/>
      <c r="F22" s="215"/>
      <c r="G22" s="215"/>
      <c r="H22" s="2"/>
      <c r="I22" s="35"/>
      <c r="K22" s="35"/>
      <c r="M22" s="35"/>
      <c r="N22" s="35"/>
      <c r="O22" s="35"/>
      <c r="P22" s="35"/>
    </row>
    <row r="23" spans="2:16">
      <c r="B23" s="28"/>
      <c r="C23" s="196"/>
      <c r="D23" s="47"/>
      <c r="E23" s="28"/>
      <c r="F23" s="215"/>
      <c r="G23" s="215"/>
      <c r="H23" s="2"/>
      <c r="I23" s="35"/>
      <c r="K23" s="35"/>
      <c r="M23" s="35"/>
      <c r="N23" s="35"/>
      <c r="O23" s="35"/>
      <c r="P23" s="35"/>
    </row>
    <row r="24" spans="2:16">
      <c r="B24" s="28"/>
      <c r="C24" s="196"/>
      <c r="D24" s="47"/>
      <c r="E24" s="28"/>
      <c r="F24" s="215"/>
      <c r="G24" s="215"/>
      <c r="H24" s="2"/>
      <c r="I24" s="35"/>
      <c r="K24" s="35"/>
      <c r="M24" s="35"/>
      <c r="N24" s="35"/>
      <c r="O24" s="35"/>
      <c r="P24" s="35"/>
    </row>
    <row r="25" spans="2:16">
      <c r="B25" s="28"/>
      <c r="C25" s="196"/>
      <c r="D25" s="47"/>
      <c r="E25" s="28"/>
      <c r="F25" s="215"/>
      <c r="G25" s="215"/>
      <c r="H25" s="2"/>
      <c r="I25" s="35"/>
      <c r="K25" s="35"/>
      <c r="M25" s="35"/>
      <c r="N25" s="35"/>
      <c r="O25" s="35"/>
      <c r="P25" s="35"/>
    </row>
    <row r="26" spans="2:16">
      <c r="B26" s="28"/>
      <c r="C26" s="196"/>
      <c r="D26" s="47"/>
      <c r="E26" s="28"/>
      <c r="F26" s="215"/>
      <c r="G26" s="215"/>
      <c r="H26" s="2"/>
      <c r="I26" s="35"/>
      <c r="K26" s="35"/>
      <c r="M26" s="35"/>
      <c r="N26" s="35"/>
      <c r="O26" s="35"/>
      <c r="P26" s="35"/>
    </row>
    <row r="27" spans="2:16">
      <c r="B27" s="28"/>
      <c r="C27" s="196"/>
      <c r="D27" s="47"/>
      <c r="E27" s="28"/>
      <c r="F27" s="215"/>
      <c r="G27" s="215"/>
      <c r="H27" s="2"/>
      <c r="I27" s="35"/>
      <c r="K27" s="35"/>
      <c r="M27" s="35"/>
      <c r="N27" s="35"/>
      <c r="O27" s="35"/>
      <c r="P27" s="35"/>
    </row>
    <row r="28" spans="2:16">
      <c r="B28" s="28"/>
      <c r="C28" s="196"/>
      <c r="D28" s="47"/>
      <c r="E28" s="28"/>
      <c r="F28" s="215"/>
      <c r="G28" s="215"/>
      <c r="H28" s="2"/>
      <c r="I28" s="35"/>
      <c r="K28" s="35"/>
      <c r="M28" s="35"/>
      <c r="N28" s="35"/>
      <c r="O28" s="35"/>
      <c r="P28" s="35"/>
    </row>
    <row r="29" spans="2:16">
      <c r="B29" s="28"/>
      <c r="C29" s="196"/>
      <c r="D29" s="47"/>
      <c r="E29" s="28"/>
      <c r="F29" s="215"/>
      <c r="G29" s="215"/>
      <c r="H29" s="2"/>
      <c r="I29" s="35"/>
      <c r="K29" s="35"/>
      <c r="M29" s="35"/>
      <c r="N29" s="35"/>
      <c r="O29" s="35"/>
      <c r="P29" s="35"/>
    </row>
    <row r="30" spans="2:16">
      <c r="B30" s="28"/>
      <c r="C30" s="196"/>
      <c r="D30" s="47"/>
      <c r="E30" s="28"/>
      <c r="F30" s="215"/>
      <c r="G30" s="215"/>
      <c r="H30" s="2"/>
      <c r="I30" s="35"/>
      <c r="K30" s="35"/>
      <c r="M30" s="35"/>
      <c r="N30" s="35"/>
      <c r="O30" s="35"/>
      <c r="P30" s="35"/>
    </row>
    <row r="31" spans="2:16">
      <c r="B31" s="28"/>
      <c r="C31" s="196"/>
      <c r="D31" s="47"/>
      <c r="E31" s="28"/>
      <c r="F31" s="215"/>
      <c r="G31" s="215"/>
      <c r="H31" s="2"/>
      <c r="I31" s="35"/>
      <c r="K31" s="35"/>
      <c r="M31" s="35"/>
      <c r="N31" s="35"/>
      <c r="O31" s="35"/>
      <c r="P31" s="35"/>
    </row>
    <row r="32" spans="2:16">
      <c r="B32" s="28"/>
      <c r="C32" s="196"/>
      <c r="D32" s="47"/>
      <c r="E32" s="28"/>
      <c r="F32" s="215"/>
      <c r="G32" s="215"/>
      <c r="H32" s="2"/>
      <c r="I32" s="35"/>
      <c r="K32" s="35"/>
      <c r="M32" s="35"/>
      <c r="N32" s="35"/>
      <c r="O32" s="35"/>
      <c r="P32" s="35"/>
    </row>
    <row r="33" spans="2:16">
      <c r="B33" s="28"/>
      <c r="C33" s="196"/>
      <c r="D33" s="47"/>
      <c r="E33" s="28"/>
      <c r="F33" s="215"/>
      <c r="G33" s="215"/>
      <c r="H33" s="2"/>
      <c r="I33" s="35"/>
      <c r="K33" s="35"/>
      <c r="M33" s="35"/>
      <c r="N33" s="35"/>
      <c r="O33" s="35"/>
      <c r="P33" s="35"/>
    </row>
    <row r="34" spans="2:16">
      <c r="B34" s="28"/>
      <c r="C34" s="196"/>
      <c r="D34" s="47"/>
      <c r="E34" s="28"/>
      <c r="F34" s="215"/>
      <c r="G34" s="215"/>
      <c r="H34" s="2"/>
      <c r="I34" s="35"/>
      <c r="K34" s="35"/>
      <c r="M34" s="35"/>
      <c r="N34" s="35"/>
      <c r="O34" s="35"/>
      <c r="P34" s="35"/>
    </row>
    <row r="35" spans="2:16">
      <c r="B35" s="28"/>
      <c r="C35" s="196"/>
      <c r="D35" s="47"/>
      <c r="E35" s="28"/>
      <c r="F35" s="215"/>
      <c r="G35" s="215"/>
      <c r="H35" s="2"/>
      <c r="I35" s="35"/>
      <c r="K35" s="35"/>
      <c r="M35" s="35"/>
      <c r="N35" s="35"/>
      <c r="O35" s="35"/>
      <c r="P35" s="35"/>
    </row>
    <row r="36" spans="2:16">
      <c r="B36" s="28"/>
      <c r="C36" s="196"/>
      <c r="D36" s="47"/>
      <c r="E36" s="28"/>
      <c r="F36" s="215"/>
      <c r="G36" s="215"/>
      <c r="H36" s="2"/>
      <c r="I36" s="35"/>
      <c r="K36" s="35"/>
      <c r="M36" s="35"/>
      <c r="N36" s="35"/>
      <c r="O36" s="35"/>
      <c r="P36" s="35"/>
    </row>
    <row r="37" spans="2:16">
      <c r="B37" s="28"/>
      <c r="C37" s="196"/>
      <c r="D37" s="47"/>
      <c r="E37" s="28"/>
      <c r="F37" s="215"/>
      <c r="G37" s="215"/>
      <c r="H37" s="2"/>
      <c r="I37" s="35"/>
      <c r="K37" s="35"/>
      <c r="M37" s="35"/>
      <c r="N37" s="35"/>
      <c r="O37" s="35"/>
      <c r="P37" s="35"/>
    </row>
    <row r="38" spans="2:16">
      <c r="B38" s="28"/>
      <c r="C38" s="196"/>
      <c r="D38" s="47"/>
      <c r="E38" s="28"/>
      <c r="F38" s="215"/>
      <c r="G38" s="215"/>
      <c r="H38" s="2"/>
      <c r="I38" s="35"/>
      <c r="K38" s="35"/>
      <c r="M38" s="35"/>
      <c r="N38" s="35"/>
      <c r="O38" s="35"/>
      <c r="P38" s="35"/>
    </row>
    <row r="39" spans="2:16">
      <c r="B39" s="28"/>
      <c r="C39" s="196"/>
      <c r="D39" s="47"/>
      <c r="E39" s="28"/>
      <c r="F39" s="215"/>
      <c r="G39" s="215"/>
      <c r="H39" s="2"/>
      <c r="I39" s="35"/>
      <c r="K39" s="35"/>
      <c r="M39" s="35"/>
      <c r="N39" s="35"/>
      <c r="O39" s="35"/>
      <c r="P39" s="35"/>
    </row>
    <row r="40" spans="2:16">
      <c r="B40" s="28"/>
      <c r="C40" s="196"/>
      <c r="D40" s="47"/>
      <c r="E40" s="28"/>
      <c r="F40" s="215"/>
      <c r="G40" s="215"/>
      <c r="H40" s="2"/>
      <c r="I40" s="35"/>
      <c r="K40" s="35"/>
      <c r="M40" s="35"/>
      <c r="N40" s="35"/>
      <c r="O40" s="35"/>
      <c r="P40" s="35"/>
    </row>
    <row r="41" spans="2:16">
      <c r="B41" s="28"/>
      <c r="C41" s="196"/>
      <c r="D41" s="47"/>
      <c r="E41" s="28"/>
      <c r="F41" s="215"/>
      <c r="G41" s="215"/>
      <c r="H41" s="2"/>
      <c r="I41" s="35"/>
      <c r="K41" s="35"/>
      <c r="M41" s="35"/>
      <c r="N41" s="35"/>
      <c r="O41" s="35"/>
      <c r="P41" s="35"/>
    </row>
    <row r="42" spans="2:16">
      <c r="B42" s="28"/>
      <c r="C42" s="196"/>
      <c r="D42" s="47"/>
      <c r="E42" s="28"/>
      <c r="F42" s="215"/>
      <c r="G42" s="215"/>
      <c r="H42" s="2"/>
      <c r="I42" s="35"/>
      <c r="K42" s="35"/>
      <c r="M42" s="35"/>
      <c r="N42" s="35"/>
      <c r="O42" s="35"/>
      <c r="P42" s="35"/>
    </row>
    <row r="43" spans="2:16">
      <c r="B43" s="28"/>
      <c r="C43" s="196"/>
      <c r="D43" s="47"/>
      <c r="E43" s="28"/>
      <c r="F43" s="215"/>
      <c r="G43" s="215"/>
      <c r="H43" s="2"/>
      <c r="I43" s="35"/>
      <c r="K43" s="35"/>
      <c r="M43" s="35"/>
      <c r="N43" s="35"/>
      <c r="O43" s="35"/>
      <c r="P43" s="35"/>
    </row>
    <row r="44" spans="2:16">
      <c r="B44" s="28"/>
      <c r="C44" s="196"/>
      <c r="D44" s="47"/>
      <c r="E44" s="28"/>
      <c r="F44" s="215"/>
      <c r="G44" s="215"/>
      <c r="H44" s="2"/>
      <c r="I44" s="35"/>
      <c r="K44" s="35"/>
      <c r="M44" s="35"/>
      <c r="N44" s="35"/>
      <c r="O44" s="35"/>
      <c r="P44" s="35"/>
    </row>
    <row r="45" spans="2:16">
      <c r="B45" s="28"/>
      <c r="C45" s="196"/>
      <c r="D45" s="47"/>
      <c r="E45" s="28"/>
      <c r="F45" s="215"/>
      <c r="G45" s="215"/>
      <c r="H45" s="2"/>
      <c r="I45" s="35"/>
      <c r="K45" s="35"/>
      <c r="M45" s="35"/>
      <c r="N45" s="35"/>
      <c r="O45" s="35"/>
      <c r="P45" s="35"/>
    </row>
    <row r="46" spans="2:16">
      <c r="B46" s="28"/>
      <c r="C46" s="196"/>
      <c r="D46" s="47"/>
      <c r="E46" s="28"/>
      <c r="F46" s="215"/>
      <c r="G46" s="215"/>
      <c r="H46" s="2"/>
      <c r="I46" s="35"/>
      <c r="K46" s="35"/>
      <c r="M46" s="35"/>
      <c r="N46" s="35"/>
      <c r="O46" s="35"/>
      <c r="P46" s="35"/>
    </row>
    <row r="47" spans="2:16">
      <c r="B47" s="28"/>
      <c r="C47" s="196"/>
      <c r="D47" s="47"/>
      <c r="E47" s="28"/>
      <c r="F47" s="215"/>
      <c r="G47" s="215"/>
      <c r="H47" s="2"/>
      <c r="I47" s="35"/>
      <c r="K47" s="35"/>
      <c r="M47" s="35"/>
      <c r="N47" s="35"/>
      <c r="O47" s="35"/>
      <c r="P47" s="35"/>
    </row>
    <row r="48" spans="2:16">
      <c r="B48" s="28"/>
      <c r="C48" s="196"/>
      <c r="D48" s="47"/>
      <c r="E48" s="28"/>
      <c r="F48" s="215"/>
      <c r="G48" s="215"/>
      <c r="H48" s="2"/>
      <c r="I48" s="35"/>
      <c r="K48" s="35"/>
      <c r="M48" s="35"/>
      <c r="N48" s="35"/>
      <c r="O48" s="35"/>
      <c r="P48" s="35"/>
    </row>
    <row r="49" spans="2:16">
      <c r="B49" s="28"/>
      <c r="C49" s="196"/>
      <c r="D49" s="47"/>
      <c r="E49" s="28"/>
      <c r="F49" s="215"/>
      <c r="G49" s="215"/>
      <c r="H49" s="2"/>
      <c r="I49" s="35"/>
      <c r="K49" s="35"/>
      <c r="M49" s="35"/>
      <c r="N49" s="35"/>
      <c r="O49" s="35"/>
      <c r="P49" s="35"/>
    </row>
    <row r="50" spans="2:16">
      <c r="B50" s="28"/>
      <c r="C50" s="196"/>
      <c r="D50" s="47"/>
      <c r="E50" s="28"/>
      <c r="F50" s="215"/>
      <c r="G50" s="215"/>
      <c r="H50" s="2"/>
      <c r="I50" s="35"/>
      <c r="K50" s="35"/>
      <c r="M50" s="35"/>
      <c r="N50" s="35"/>
      <c r="O50" s="35"/>
      <c r="P50" s="35"/>
    </row>
    <row r="51" spans="2:16">
      <c r="B51" s="28"/>
      <c r="C51" s="196"/>
      <c r="D51" s="47"/>
      <c r="E51" s="28"/>
      <c r="F51" s="215"/>
      <c r="G51" s="215"/>
      <c r="H51" s="2"/>
      <c r="I51" s="35"/>
      <c r="K51" s="35"/>
      <c r="M51" s="35"/>
      <c r="N51" s="35"/>
      <c r="O51" s="35"/>
      <c r="P51" s="35"/>
    </row>
    <row r="52" spans="2:16">
      <c r="B52" s="28"/>
      <c r="C52" s="196"/>
      <c r="D52" s="47"/>
      <c r="E52" s="28"/>
      <c r="F52" s="215"/>
      <c r="G52" s="215"/>
      <c r="H52" s="2"/>
      <c r="I52" s="35"/>
      <c r="K52" s="35"/>
      <c r="M52" s="35"/>
      <c r="N52" s="35"/>
      <c r="O52" s="35"/>
      <c r="P52" s="35"/>
    </row>
    <row r="53" spans="2:16">
      <c r="B53" s="28"/>
      <c r="C53" s="196"/>
      <c r="D53" s="47"/>
      <c r="E53" s="28"/>
      <c r="F53" s="215"/>
      <c r="G53" s="215"/>
      <c r="H53" s="2"/>
      <c r="I53" s="35"/>
      <c r="K53" s="35"/>
      <c r="M53" s="35"/>
      <c r="N53" s="35"/>
      <c r="O53" s="35"/>
      <c r="P53" s="35"/>
    </row>
    <row r="54" spans="2:16">
      <c r="B54" s="28"/>
      <c r="C54" s="196"/>
      <c r="D54" s="47"/>
      <c r="E54" s="28"/>
      <c r="F54" s="215"/>
      <c r="G54" s="215"/>
      <c r="H54" s="2"/>
      <c r="I54" s="35"/>
      <c r="K54" s="35"/>
      <c r="M54" s="35"/>
      <c r="N54" s="35"/>
      <c r="O54" s="35"/>
      <c r="P54" s="35"/>
    </row>
    <row r="55" spans="2:16">
      <c r="B55" s="28"/>
      <c r="C55" s="196"/>
      <c r="D55" s="47"/>
      <c r="E55" s="28"/>
      <c r="F55" s="215"/>
      <c r="G55" s="215"/>
      <c r="H55" s="2"/>
      <c r="I55" s="35"/>
      <c r="K55" s="35"/>
      <c r="M55" s="35"/>
      <c r="N55" s="35"/>
      <c r="O55" s="35"/>
      <c r="P55" s="35"/>
    </row>
    <row r="56" spans="2:16">
      <c r="B56" s="28"/>
      <c r="C56" s="196"/>
      <c r="D56" s="47"/>
      <c r="E56" s="28"/>
      <c r="F56" s="215"/>
      <c r="G56" s="215"/>
      <c r="H56" s="2"/>
      <c r="I56" s="35"/>
      <c r="K56" s="35"/>
      <c r="M56" s="35"/>
      <c r="N56" s="35"/>
      <c r="O56" s="35"/>
      <c r="P56" s="35"/>
    </row>
    <row r="57" spans="2:16">
      <c r="B57" s="28"/>
      <c r="C57" s="196"/>
      <c r="D57" s="47"/>
      <c r="E57" s="28"/>
      <c r="F57" s="215"/>
      <c r="G57" s="215"/>
      <c r="H57" s="2"/>
      <c r="I57" s="35"/>
      <c r="K57" s="35"/>
      <c r="M57" s="35"/>
      <c r="N57" s="35"/>
      <c r="O57" s="35"/>
      <c r="P57" s="35"/>
    </row>
    <row r="58" spans="2:16">
      <c r="B58" s="28"/>
      <c r="C58" s="196"/>
      <c r="D58" s="47"/>
      <c r="E58" s="28"/>
      <c r="F58" s="215"/>
      <c r="G58" s="215"/>
      <c r="H58" s="2"/>
      <c r="I58" s="35"/>
      <c r="K58" s="35"/>
      <c r="M58" s="35"/>
      <c r="N58" s="35"/>
      <c r="O58" s="35"/>
      <c r="P58" s="35"/>
    </row>
    <row r="59" spans="2:16">
      <c r="B59" s="28"/>
      <c r="C59" s="196"/>
      <c r="D59" s="47"/>
      <c r="E59" s="28"/>
      <c r="F59" s="215"/>
      <c r="G59" s="215"/>
      <c r="H59" s="2"/>
      <c r="I59" s="35"/>
      <c r="K59" s="35"/>
      <c r="M59" s="35"/>
      <c r="N59" s="35"/>
      <c r="O59" s="35"/>
      <c r="P59" s="35"/>
    </row>
    <row r="60" spans="2:16">
      <c r="B60" s="28"/>
      <c r="C60" s="196"/>
      <c r="D60" s="47"/>
      <c r="E60" s="28"/>
      <c r="F60" s="215"/>
      <c r="G60" s="215"/>
      <c r="H60" s="2"/>
      <c r="I60" s="35"/>
      <c r="K60" s="35"/>
      <c r="M60" s="35"/>
      <c r="N60" s="35"/>
      <c r="O60" s="35"/>
      <c r="P60" s="35"/>
    </row>
    <row r="61" spans="2:16">
      <c r="B61" s="28"/>
      <c r="C61" s="196"/>
      <c r="D61" s="47"/>
      <c r="E61" s="28"/>
      <c r="F61" s="215"/>
      <c r="G61" s="215"/>
      <c r="H61" s="2"/>
      <c r="I61" s="35"/>
      <c r="K61" s="35"/>
      <c r="M61" s="35"/>
      <c r="N61" s="35"/>
      <c r="O61" s="35"/>
      <c r="P61" s="35"/>
    </row>
    <row r="62" spans="2:16">
      <c r="B62" s="28"/>
      <c r="C62" s="196"/>
      <c r="D62" s="47"/>
      <c r="E62" s="28"/>
      <c r="F62" s="215"/>
      <c r="G62" s="215"/>
      <c r="H62" s="2"/>
      <c r="I62" s="35"/>
      <c r="K62" s="35"/>
      <c r="M62" s="35"/>
      <c r="N62" s="35"/>
      <c r="O62" s="35"/>
      <c r="P62" s="35"/>
    </row>
    <row r="63" spans="2:16">
      <c r="B63" s="28"/>
      <c r="C63" s="196"/>
      <c r="D63" s="47"/>
      <c r="E63" s="28"/>
      <c r="F63" s="215"/>
      <c r="G63" s="215"/>
      <c r="H63" s="2"/>
      <c r="I63" s="35"/>
      <c r="K63" s="35"/>
      <c r="M63" s="35"/>
      <c r="N63" s="35"/>
      <c r="O63" s="35"/>
      <c r="P63" s="35"/>
    </row>
    <row r="64" spans="2:16">
      <c r="B64" s="28"/>
      <c r="C64" s="196"/>
      <c r="D64" s="47"/>
      <c r="E64" s="28"/>
      <c r="F64" s="215"/>
      <c r="G64" s="215"/>
      <c r="H64" s="2"/>
      <c r="I64" s="35"/>
      <c r="K64" s="35"/>
      <c r="M64" s="35"/>
      <c r="N64" s="35"/>
      <c r="O64" s="35"/>
      <c r="P64" s="35"/>
    </row>
    <row r="65" spans="2:16">
      <c r="B65" s="28"/>
      <c r="C65" s="196"/>
      <c r="D65" s="47"/>
      <c r="E65" s="28"/>
      <c r="F65" s="215"/>
      <c r="G65" s="215"/>
      <c r="H65" s="2"/>
      <c r="I65" s="35"/>
      <c r="K65" s="35"/>
      <c r="M65" s="35"/>
      <c r="N65" s="35"/>
      <c r="O65" s="35"/>
      <c r="P65" s="35"/>
    </row>
    <row r="66" spans="2:16">
      <c r="B66" s="28"/>
      <c r="C66" s="196"/>
      <c r="D66" s="47"/>
      <c r="E66" s="28"/>
      <c r="F66" s="215"/>
      <c r="G66" s="215"/>
      <c r="H66" s="2"/>
      <c r="I66" s="35"/>
      <c r="K66" s="35"/>
      <c r="M66" s="35"/>
      <c r="N66" s="35"/>
      <c r="O66" s="35"/>
      <c r="P66" s="35"/>
    </row>
    <row r="67" spans="2:16">
      <c r="B67" s="28"/>
      <c r="C67" s="196"/>
      <c r="D67" s="47"/>
      <c r="E67" s="28"/>
      <c r="F67" s="215"/>
      <c r="G67" s="215"/>
      <c r="H67" s="2"/>
      <c r="I67" s="35"/>
      <c r="K67" s="35"/>
      <c r="M67" s="35"/>
      <c r="N67" s="35"/>
      <c r="O67" s="35"/>
      <c r="P67" s="35"/>
    </row>
    <row r="68" spans="2:16">
      <c r="B68" s="28"/>
      <c r="C68" s="196"/>
      <c r="D68" s="47"/>
      <c r="E68" s="28"/>
      <c r="F68" s="215"/>
      <c r="G68" s="215"/>
      <c r="H68" s="2"/>
      <c r="I68" s="35"/>
      <c r="K68" s="35"/>
      <c r="M68" s="35"/>
      <c r="N68" s="35"/>
      <c r="O68" s="35"/>
      <c r="P68" s="35"/>
    </row>
    <row r="69" spans="2:16">
      <c r="B69" s="28"/>
      <c r="C69" s="196"/>
      <c r="D69" s="47"/>
      <c r="E69" s="28"/>
      <c r="F69" s="215"/>
      <c r="G69" s="215"/>
      <c r="H69" s="2"/>
      <c r="I69" s="35"/>
      <c r="K69" s="35"/>
      <c r="M69" s="35"/>
      <c r="N69" s="35"/>
      <c r="O69" s="35"/>
      <c r="P69" s="35"/>
    </row>
    <row r="70" spans="2:16">
      <c r="B70" s="28"/>
      <c r="C70" s="196"/>
      <c r="D70" s="47"/>
      <c r="E70" s="28"/>
      <c r="F70" s="215"/>
      <c r="G70" s="215"/>
      <c r="H70" s="2"/>
      <c r="I70" s="35"/>
      <c r="K70" s="35"/>
      <c r="M70" s="35"/>
      <c r="N70" s="35"/>
      <c r="O70" s="35"/>
      <c r="P70" s="35"/>
    </row>
    <row r="71" spans="2:16">
      <c r="B71" s="28"/>
      <c r="C71" s="196"/>
      <c r="D71" s="47"/>
      <c r="E71" s="28"/>
      <c r="F71" s="215"/>
      <c r="G71" s="215"/>
      <c r="H71" s="2"/>
      <c r="I71" s="35"/>
      <c r="K71" s="35"/>
      <c r="M71" s="35"/>
      <c r="N71" s="35"/>
      <c r="O71" s="35"/>
      <c r="P71" s="35"/>
    </row>
    <row r="72" spans="2:16">
      <c r="B72" s="28"/>
      <c r="C72" s="196"/>
      <c r="D72" s="47"/>
      <c r="E72" s="28"/>
      <c r="F72" s="215"/>
      <c r="G72" s="215"/>
      <c r="H72" s="2"/>
      <c r="I72" s="35"/>
      <c r="K72" s="35"/>
      <c r="M72" s="35"/>
      <c r="N72" s="35"/>
      <c r="O72" s="35"/>
      <c r="P72" s="35"/>
    </row>
    <row r="73" spans="2:16">
      <c r="B73" s="28"/>
      <c r="C73" s="196"/>
      <c r="D73" s="47"/>
      <c r="E73" s="28"/>
      <c r="F73" s="215"/>
      <c r="G73" s="215"/>
      <c r="H73" s="2"/>
      <c r="I73" s="35"/>
      <c r="K73" s="35"/>
      <c r="M73" s="35"/>
      <c r="N73" s="35"/>
      <c r="O73" s="35"/>
      <c r="P73" s="35"/>
    </row>
    <row r="74" spans="2:16">
      <c r="B74" s="28"/>
      <c r="C74" s="196"/>
      <c r="D74" s="47"/>
      <c r="E74" s="28"/>
      <c r="F74" s="215"/>
      <c r="G74" s="215"/>
      <c r="H74" s="2"/>
      <c r="I74" s="35"/>
      <c r="K74" s="35"/>
      <c r="M74" s="35"/>
      <c r="N74" s="35"/>
      <c r="O74" s="35"/>
      <c r="P74" s="35"/>
    </row>
    <row r="75" spans="2:16">
      <c r="B75" s="28"/>
      <c r="C75" s="196"/>
      <c r="D75" s="47"/>
      <c r="E75" s="28"/>
      <c r="F75" s="215"/>
      <c r="G75" s="215"/>
      <c r="H75" s="2"/>
      <c r="I75" s="107"/>
      <c r="K75" s="35"/>
      <c r="M75" s="35"/>
      <c r="N75" s="35"/>
      <c r="O75" s="35"/>
      <c r="P75" s="35"/>
    </row>
    <row r="76" spans="2:16">
      <c r="B76" s="28"/>
      <c r="C76" s="196"/>
      <c r="D76" s="47"/>
      <c r="E76" s="28"/>
      <c r="F76" s="215"/>
      <c r="G76" s="215"/>
      <c r="H76" s="2"/>
      <c r="I76" s="19"/>
      <c r="K76" s="35"/>
      <c r="M76" s="35"/>
      <c r="N76" s="35"/>
      <c r="O76" s="35"/>
      <c r="P76" s="35"/>
    </row>
    <row r="77" spans="2:16">
      <c r="B77" s="28"/>
      <c r="C77" s="196"/>
      <c r="D77" s="47"/>
      <c r="E77" s="28"/>
      <c r="F77" s="215"/>
      <c r="G77" s="215"/>
      <c r="H77" s="2"/>
      <c r="I77" s="19"/>
      <c r="K77" s="35"/>
      <c r="M77" s="35"/>
      <c r="N77" s="35"/>
      <c r="O77" s="35"/>
      <c r="P77" s="35"/>
    </row>
    <row r="78" spans="2:16">
      <c r="B78" s="28"/>
      <c r="C78" s="196"/>
      <c r="D78" s="47"/>
      <c r="E78" s="28"/>
      <c r="F78" s="215"/>
      <c r="G78" s="215"/>
      <c r="H78" s="2"/>
      <c r="I78" s="19"/>
      <c r="K78" s="35"/>
      <c r="M78" s="35"/>
      <c r="N78" s="35"/>
      <c r="O78" s="35"/>
      <c r="P78" s="35"/>
    </row>
    <row r="79" spans="2:16">
      <c r="B79" s="28"/>
      <c r="C79" s="196"/>
      <c r="D79" s="47"/>
      <c r="E79" s="28"/>
      <c r="F79" s="215"/>
      <c r="G79" s="215"/>
      <c r="H79" s="2"/>
      <c r="I79" s="19"/>
      <c r="K79" s="35"/>
      <c r="M79" s="35"/>
      <c r="N79" s="35"/>
      <c r="O79" s="35"/>
      <c r="P79" s="35"/>
    </row>
    <row r="80" spans="2:16">
      <c r="B80" s="28"/>
      <c r="C80" s="196"/>
      <c r="D80" s="47"/>
      <c r="E80" s="28"/>
      <c r="F80" s="215"/>
      <c r="G80" s="215"/>
      <c r="H80" s="2"/>
      <c r="I80" s="19"/>
      <c r="K80" s="35"/>
      <c r="M80" s="35"/>
      <c r="N80" s="35"/>
      <c r="O80" s="35"/>
      <c r="P80" s="35"/>
    </row>
    <row r="81" spans="2:16">
      <c r="B81" s="28"/>
      <c r="C81" s="196"/>
      <c r="D81" s="47"/>
      <c r="E81" s="28"/>
      <c r="F81" s="215"/>
      <c r="G81" s="215"/>
      <c r="H81" s="2"/>
      <c r="I81" s="19"/>
      <c r="K81" s="35"/>
      <c r="M81" s="35"/>
      <c r="N81" s="35"/>
      <c r="O81" s="35"/>
      <c r="P81" s="35"/>
    </row>
    <row r="82" spans="2:16">
      <c r="B82" s="28"/>
      <c r="C82" s="196"/>
      <c r="D82" s="47"/>
      <c r="E82" s="28"/>
      <c r="F82" s="215"/>
      <c r="G82" s="215"/>
      <c r="H82" s="2"/>
      <c r="I82" s="19"/>
      <c r="K82" s="35"/>
      <c r="M82" s="35"/>
      <c r="N82" s="35"/>
      <c r="O82" s="35"/>
      <c r="P82" s="35"/>
    </row>
    <row r="83" spans="2:16">
      <c r="B83" s="28"/>
      <c r="C83" s="196"/>
      <c r="D83" s="47"/>
      <c r="E83" s="28"/>
      <c r="F83" s="215"/>
      <c r="G83" s="215"/>
      <c r="H83" s="2"/>
      <c r="I83" s="19"/>
      <c r="K83" s="35"/>
      <c r="M83" s="35"/>
      <c r="N83" s="35"/>
      <c r="O83" s="35"/>
      <c r="P83" s="35"/>
    </row>
    <row r="84" spans="2:16">
      <c r="B84" s="28"/>
      <c r="C84" s="196"/>
      <c r="D84" s="47"/>
      <c r="E84" s="28"/>
      <c r="F84" s="215"/>
      <c r="G84" s="215"/>
      <c r="H84" s="2"/>
      <c r="I84" s="19"/>
      <c r="K84" s="35"/>
      <c r="M84" s="35"/>
      <c r="N84" s="35"/>
      <c r="O84" s="35"/>
      <c r="P84" s="35"/>
    </row>
    <row r="85" spans="2:16">
      <c r="B85" s="28"/>
      <c r="C85" s="196"/>
      <c r="D85" s="47"/>
      <c r="E85" s="28"/>
      <c r="F85" s="215"/>
      <c r="G85" s="215"/>
      <c r="H85" s="2"/>
      <c r="I85" s="19"/>
      <c r="K85" s="35"/>
      <c r="M85" s="35"/>
      <c r="N85" s="35"/>
      <c r="O85" s="35"/>
      <c r="P85" s="35"/>
    </row>
    <row r="86" spans="2:16">
      <c r="B86" s="28"/>
      <c r="C86" s="196"/>
      <c r="D86" s="47"/>
      <c r="E86" s="28"/>
      <c r="F86" s="215"/>
      <c r="G86" s="215"/>
      <c r="H86" s="2"/>
      <c r="I86" s="19"/>
      <c r="K86" s="35"/>
      <c r="M86" s="35"/>
      <c r="N86" s="35"/>
      <c r="O86" s="35"/>
      <c r="P86" s="35"/>
    </row>
    <row r="87" spans="2:16">
      <c r="B87" s="28"/>
      <c r="C87" s="196"/>
      <c r="D87" s="47"/>
      <c r="E87" s="28"/>
      <c r="F87" s="215"/>
      <c r="G87" s="215"/>
      <c r="H87" s="2"/>
      <c r="I87" s="19"/>
      <c r="K87" s="35"/>
      <c r="M87" s="35"/>
      <c r="N87" s="35"/>
      <c r="O87" s="35"/>
      <c r="P87" s="35"/>
    </row>
    <row r="88" spans="2:16">
      <c r="B88" s="28"/>
      <c r="C88" s="196"/>
      <c r="D88" s="47"/>
      <c r="E88" s="28"/>
      <c r="F88" s="215"/>
      <c r="G88" s="215"/>
      <c r="H88" s="2"/>
      <c r="I88" s="19"/>
      <c r="K88" s="35"/>
      <c r="M88" s="35"/>
      <c r="N88" s="35"/>
      <c r="O88" s="35"/>
      <c r="P88" s="35"/>
    </row>
    <row r="89" spans="2:16">
      <c r="B89" s="28"/>
      <c r="C89" s="196"/>
      <c r="D89" s="47"/>
      <c r="E89" s="28"/>
      <c r="F89" s="215"/>
      <c r="G89" s="215"/>
      <c r="H89" s="2"/>
      <c r="I89" s="19"/>
      <c r="K89" s="35"/>
      <c r="M89" s="35"/>
      <c r="N89" s="35"/>
      <c r="O89" s="35"/>
      <c r="P89" s="35"/>
    </row>
    <row r="90" spans="2:16">
      <c r="B90" s="28"/>
      <c r="C90" s="196"/>
      <c r="D90" s="47"/>
      <c r="E90" s="28"/>
      <c r="F90" s="215"/>
      <c r="G90" s="215"/>
      <c r="H90" s="2"/>
      <c r="I90" s="19"/>
      <c r="K90" s="35"/>
      <c r="M90" s="35"/>
      <c r="N90" s="35"/>
      <c r="O90" s="35"/>
      <c r="P90" s="35"/>
    </row>
    <row r="91" spans="2:16">
      <c r="B91" s="28"/>
      <c r="C91" s="196"/>
      <c r="D91" s="47"/>
      <c r="E91" s="28"/>
      <c r="F91" s="215"/>
      <c r="G91" s="215"/>
      <c r="H91" s="2"/>
      <c r="I91" s="19"/>
      <c r="K91" s="35"/>
      <c r="M91" s="35"/>
      <c r="N91" s="35"/>
      <c r="O91" s="35"/>
      <c r="P91" s="35"/>
    </row>
    <row r="92" spans="2:16">
      <c r="B92" s="28"/>
      <c r="C92" s="196"/>
      <c r="D92" s="47"/>
      <c r="E92" s="28"/>
      <c r="F92" s="215"/>
      <c r="G92" s="215"/>
      <c r="H92" s="2"/>
      <c r="I92" s="19"/>
      <c r="K92" s="35"/>
      <c r="M92" s="35"/>
      <c r="N92" s="35"/>
      <c r="O92" s="35"/>
      <c r="P92" s="35"/>
    </row>
    <row r="93" spans="2:16">
      <c r="B93" s="28"/>
      <c r="C93" s="196"/>
      <c r="D93" s="47"/>
      <c r="E93" s="28"/>
      <c r="F93" s="215"/>
      <c r="G93" s="215"/>
      <c r="H93" s="2"/>
      <c r="I93" s="19"/>
      <c r="K93" s="35"/>
      <c r="M93" s="35"/>
      <c r="N93" s="35"/>
      <c r="O93" s="35"/>
      <c r="P93" s="35"/>
    </row>
    <row r="94" spans="2:16">
      <c r="B94" s="28"/>
      <c r="C94" s="196"/>
      <c r="D94" s="47"/>
      <c r="E94" s="28"/>
      <c r="F94" s="215"/>
      <c r="G94" s="215"/>
      <c r="H94" s="2"/>
      <c r="I94" s="19"/>
      <c r="K94" s="35"/>
      <c r="M94" s="35"/>
      <c r="N94" s="35"/>
      <c r="O94" s="35"/>
      <c r="P94" s="35"/>
    </row>
    <row r="95" spans="2:16">
      <c r="B95" s="28"/>
      <c r="C95" s="196"/>
      <c r="D95" s="47"/>
      <c r="E95" s="28"/>
      <c r="F95" s="215"/>
      <c r="G95" s="215"/>
      <c r="H95" s="2"/>
      <c r="I95" s="19"/>
      <c r="K95" s="35"/>
      <c r="M95" s="35"/>
      <c r="N95" s="35"/>
      <c r="O95" s="35"/>
      <c r="P95" s="35"/>
    </row>
    <row r="96" spans="2:16">
      <c r="B96" s="28"/>
      <c r="C96" s="196"/>
      <c r="D96" s="47"/>
      <c r="E96" s="28"/>
      <c r="F96" s="215"/>
      <c r="G96" s="215"/>
      <c r="H96" s="2"/>
      <c r="I96" s="19"/>
      <c r="K96" s="35"/>
      <c r="M96" s="35"/>
      <c r="N96" s="35"/>
      <c r="O96" s="35"/>
      <c r="P96" s="35"/>
    </row>
    <row r="97" spans="2:16">
      <c r="B97" s="28"/>
      <c r="C97" s="196"/>
      <c r="D97" s="47"/>
      <c r="E97" s="28"/>
      <c r="F97" s="215"/>
      <c r="G97" s="215"/>
      <c r="H97" s="2"/>
      <c r="I97" s="19"/>
      <c r="K97" s="35"/>
      <c r="M97" s="35"/>
      <c r="N97" s="35"/>
      <c r="O97" s="35"/>
      <c r="P97" s="35"/>
    </row>
    <row r="98" spans="2:16">
      <c r="B98" s="28"/>
      <c r="C98" s="196"/>
      <c r="D98" s="47"/>
      <c r="E98" s="28"/>
      <c r="F98" s="215"/>
      <c r="G98" s="215"/>
      <c r="H98" s="2"/>
      <c r="I98" s="19"/>
      <c r="K98" s="35"/>
      <c r="M98" s="35"/>
      <c r="N98" s="35"/>
      <c r="O98" s="35"/>
      <c r="P98" s="35"/>
    </row>
    <row r="99" spans="2:16">
      <c r="B99" s="28"/>
      <c r="C99" s="196"/>
      <c r="D99" s="47"/>
      <c r="E99" s="28"/>
      <c r="F99" s="215"/>
      <c r="G99" s="215"/>
      <c r="H99" s="2"/>
      <c r="I99" s="19"/>
      <c r="K99" s="35"/>
      <c r="M99" s="35"/>
      <c r="N99" s="35"/>
      <c r="O99" s="35"/>
      <c r="P99" s="35"/>
    </row>
    <row r="100" spans="2:16">
      <c r="B100" s="28"/>
      <c r="C100" s="196"/>
      <c r="D100" s="47"/>
      <c r="E100" s="28"/>
      <c r="F100" s="215"/>
      <c r="G100" s="215"/>
      <c r="H100" s="2"/>
      <c r="I100" s="19"/>
      <c r="K100" s="35"/>
      <c r="M100" s="35"/>
      <c r="N100" s="35"/>
      <c r="O100" s="35"/>
      <c r="P100" s="35"/>
    </row>
    <row r="101" spans="2:16">
      <c r="B101" s="28"/>
      <c r="C101" s="196"/>
      <c r="D101" s="47"/>
      <c r="E101" s="28"/>
      <c r="F101" s="215"/>
      <c r="G101" s="215"/>
      <c r="H101" s="2"/>
      <c r="I101" s="19"/>
      <c r="K101" s="35"/>
      <c r="M101" s="35"/>
      <c r="N101" s="35"/>
      <c r="O101" s="35"/>
      <c r="P101" s="35"/>
    </row>
    <row r="102" spans="2:16">
      <c r="B102" s="28"/>
      <c r="C102" s="196"/>
      <c r="D102" s="47"/>
      <c r="E102" s="28"/>
      <c r="F102" s="215"/>
      <c r="G102" s="215"/>
      <c r="H102" s="2"/>
      <c r="I102" s="19"/>
      <c r="K102" s="35"/>
      <c r="M102" s="35"/>
      <c r="N102" s="35"/>
      <c r="O102" s="35"/>
      <c r="P102" s="35"/>
    </row>
    <row r="103" spans="2:16">
      <c r="B103" s="28"/>
      <c r="C103" s="196"/>
      <c r="D103" s="47"/>
      <c r="E103" s="28"/>
      <c r="F103" s="215"/>
      <c r="G103" s="215"/>
      <c r="H103" s="2"/>
      <c r="I103" s="19"/>
      <c r="K103" s="35"/>
      <c r="M103" s="35"/>
      <c r="N103" s="35"/>
      <c r="O103" s="35"/>
      <c r="P103" s="35"/>
    </row>
    <row r="104" spans="2:16">
      <c r="B104" s="28"/>
      <c r="C104" s="196"/>
      <c r="D104" s="47"/>
      <c r="E104" s="28"/>
      <c r="F104" s="215"/>
      <c r="G104" s="215"/>
      <c r="H104" s="2"/>
      <c r="I104" s="19"/>
      <c r="K104" s="35"/>
      <c r="M104" s="35"/>
      <c r="N104" s="35"/>
      <c r="O104" s="35"/>
      <c r="P104" s="35"/>
    </row>
    <row r="105" spans="2:16">
      <c r="B105" s="28"/>
      <c r="C105" s="196"/>
      <c r="D105" s="47"/>
      <c r="E105" s="28"/>
      <c r="F105" s="215"/>
      <c r="G105" s="215"/>
      <c r="H105" s="2"/>
      <c r="I105" s="19"/>
      <c r="K105" s="35"/>
      <c r="M105" s="35"/>
      <c r="N105" s="35"/>
      <c r="O105" s="35"/>
      <c r="P105" s="35"/>
    </row>
    <row r="106" spans="2:16">
      <c r="B106" s="28"/>
      <c r="C106" s="196"/>
      <c r="D106" s="47"/>
      <c r="E106" s="28"/>
      <c r="F106" s="215"/>
      <c r="G106" s="215"/>
      <c r="H106" s="2"/>
      <c r="I106" s="19"/>
      <c r="K106" s="35"/>
      <c r="M106" s="35"/>
      <c r="N106" s="35"/>
      <c r="O106" s="35"/>
      <c r="P106" s="35"/>
    </row>
    <row r="107" spans="2:16">
      <c r="B107" s="28"/>
      <c r="C107" s="196"/>
      <c r="D107" s="47"/>
      <c r="E107" s="28"/>
      <c r="F107" s="215"/>
      <c r="G107" s="215"/>
      <c r="H107" s="2"/>
      <c r="I107" s="19"/>
      <c r="K107" s="35"/>
      <c r="M107" s="35"/>
      <c r="N107" s="35"/>
      <c r="O107" s="35"/>
      <c r="P107" s="35"/>
    </row>
    <row r="108" spans="2:16">
      <c r="B108" s="28"/>
      <c r="C108" s="196"/>
      <c r="D108" s="47"/>
      <c r="E108" s="28"/>
      <c r="F108" s="215"/>
      <c r="G108" s="215"/>
      <c r="H108" s="2"/>
      <c r="I108" s="19"/>
      <c r="K108" s="35"/>
      <c r="M108" s="35"/>
      <c r="N108" s="35"/>
      <c r="O108" s="35"/>
      <c r="P108" s="35"/>
    </row>
    <row r="109" spans="2:16">
      <c r="B109" s="28"/>
      <c r="C109" s="196"/>
      <c r="D109" s="47"/>
      <c r="E109" s="28"/>
      <c r="F109" s="215"/>
      <c r="G109" s="215"/>
      <c r="H109" s="2"/>
      <c r="I109" s="19"/>
      <c r="K109" s="35"/>
      <c r="M109" s="35"/>
      <c r="N109" s="35"/>
      <c r="O109" s="35"/>
      <c r="P109" s="35"/>
    </row>
    <row r="110" spans="2:16">
      <c r="B110" s="28"/>
      <c r="C110" s="196"/>
      <c r="D110" s="47"/>
      <c r="E110" s="28"/>
      <c r="F110" s="215"/>
      <c r="G110" s="215"/>
      <c r="H110" s="2"/>
      <c r="I110" s="19"/>
      <c r="K110" s="35"/>
      <c r="M110" s="35"/>
      <c r="N110" s="35"/>
      <c r="O110" s="35"/>
      <c r="P110" s="35"/>
    </row>
    <row r="111" spans="2:16">
      <c r="B111" s="28"/>
      <c r="C111" s="196"/>
      <c r="D111" s="47"/>
      <c r="E111" s="28"/>
      <c r="F111" s="215"/>
      <c r="G111" s="215"/>
      <c r="H111" s="2"/>
      <c r="I111" s="19"/>
      <c r="K111" s="35"/>
      <c r="M111" s="35"/>
      <c r="N111" s="35"/>
      <c r="O111" s="35"/>
      <c r="P111" s="35"/>
    </row>
    <row r="112" spans="2:16">
      <c r="B112" s="28"/>
      <c r="C112" s="196"/>
      <c r="D112" s="47"/>
      <c r="E112" s="28"/>
      <c r="F112" s="215"/>
      <c r="G112" s="215"/>
      <c r="H112" s="2"/>
      <c r="I112" s="19"/>
      <c r="K112" s="35"/>
      <c r="M112" s="35"/>
      <c r="N112" s="35"/>
      <c r="O112" s="35"/>
      <c r="P112" s="35"/>
    </row>
    <row r="113" spans="2:16">
      <c r="B113" s="28"/>
      <c r="C113" s="196"/>
      <c r="D113" s="47"/>
      <c r="E113" s="28"/>
      <c r="F113" s="215"/>
      <c r="G113" s="215"/>
      <c r="H113" s="2"/>
      <c r="I113" s="19"/>
      <c r="K113" s="35"/>
      <c r="M113" s="35"/>
      <c r="N113" s="35"/>
      <c r="O113" s="35"/>
      <c r="P113" s="35"/>
    </row>
    <row r="114" spans="2:16">
      <c r="B114" s="28"/>
      <c r="C114" s="196"/>
      <c r="D114" s="47"/>
      <c r="E114" s="28"/>
      <c r="F114" s="215"/>
      <c r="G114" s="215"/>
      <c r="H114" s="2"/>
      <c r="I114" s="19"/>
      <c r="K114" s="35"/>
      <c r="M114" s="35"/>
      <c r="N114" s="35"/>
      <c r="O114" s="35"/>
      <c r="P114" s="35"/>
    </row>
    <row r="115" spans="2:16">
      <c r="B115" s="28"/>
      <c r="C115" s="196"/>
      <c r="D115" s="47"/>
      <c r="E115" s="28"/>
      <c r="F115" s="215"/>
      <c r="G115" s="215"/>
      <c r="H115" s="2"/>
      <c r="I115" s="19"/>
      <c r="K115" s="35"/>
      <c r="M115" s="35"/>
      <c r="N115" s="35"/>
      <c r="O115" s="35"/>
      <c r="P115" s="35"/>
    </row>
    <row r="116" spans="2:16">
      <c r="B116" s="28"/>
      <c r="C116" s="196"/>
      <c r="D116" s="47"/>
      <c r="E116" s="28"/>
      <c r="F116" s="215"/>
      <c r="G116" s="215"/>
      <c r="H116" s="2"/>
      <c r="I116" s="19"/>
      <c r="K116" s="35"/>
      <c r="M116" s="35"/>
      <c r="N116" s="35"/>
      <c r="O116" s="35"/>
      <c r="P116" s="35"/>
    </row>
    <row r="117" spans="2:16">
      <c r="B117" s="28"/>
      <c r="C117" s="196"/>
      <c r="D117" s="47"/>
      <c r="E117" s="28"/>
      <c r="F117" s="215"/>
      <c r="G117" s="215"/>
      <c r="H117" s="2"/>
      <c r="I117" s="19"/>
      <c r="K117" s="35"/>
      <c r="M117" s="35"/>
      <c r="N117" s="35"/>
      <c r="O117" s="35"/>
      <c r="P117" s="35"/>
    </row>
    <row r="118" spans="2:16">
      <c r="B118" s="28"/>
      <c r="C118" s="196"/>
      <c r="D118" s="47"/>
      <c r="E118" s="28"/>
      <c r="F118" s="215"/>
      <c r="G118" s="215"/>
      <c r="H118" s="2"/>
      <c r="I118" s="19"/>
      <c r="K118" s="35"/>
      <c r="M118" s="35"/>
      <c r="N118" s="35"/>
      <c r="O118" s="35"/>
      <c r="P118" s="35"/>
    </row>
    <row r="119" spans="2:16">
      <c r="B119" s="28"/>
      <c r="C119" s="196"/>
      <c r="D119" s="47"/>
      <c r="E119" s="28"/>
      <c r="F119" s="215"/>
      <c r="G119" s="215"/>
      <c r="H119" s="2"/>
      <c r="I119" s="19"/>
      <c r="K119" s="35"/>
      <c r="M119" s="35"/>
      <c r="N119" s="35"/>
      <c r="O119" s="35"/>
      <c r="P119" s="35"/>
    </row>
    <row r="120" spans="2:16">
      <c r="B120" s="28"/>
      <c r="C120" s="196"/>
      <c r="D120" s="47"/>
      <c r="E120" s="28"/>
      <c r="F120" s="215"/>
      <c r="G120" s="215"/>
      <c r="H120" s="2"/>
      <c r="I120" s="19"/>
      <c r="K120" s="35"/>
      <c r="M120" s="35"/>
      <c r="N120" s="35"/>
      <c r="O120" s="35"/>
      <c r="P120" s="35"/>
    </row>
    <row r="121" spans="2:16">
      <c r="B121" s="28"/>
      <c r="C121" s="196"/>
      <c r="D121" s="47"/>
      <c r="E121" s="28"/>
      <c r="F121" s="215"/>
      <c r="G121" s="215"/>
      <c r="H121" s="2"/>
      <c r="I121" s="19"/>
      <c r="K121" s="35"/>
      <c r="M121" s="35"/>
      <c r="N121" s="35"/>
      <c r="O121" s="35"/>
      <c r="P121" s="35"/>
    </row>
    <row r="122" spans="2:16">
      <c r="B122" s="28"/>
      <c r="C122" s="196"/>
      <c r="D122" s="47"/>
      <c r="E122" s="28"/>
      <c r="F122" s="215"/>
      <c r="G122" s="215"/>
      <c r="H122" s="2"/>
      <c r="I122" s="19"/>
      <c r="K122" s="35"/>
      <c r="M122" s="35"/>
      <c r="N122" s="35"/>
      <c r="O122" s="35"/>
      <c r="P122" s="35"/>
    </row>
    <row r="123" spans="2:16">
      <c r="B123" s="28"/>
      <c r="C123" s="196"/>
      <c r="D123" s="47"/>
      <c r="E123" s="28"/>
      <c r="F123" s="215"/>
      <c r="G123" s="215"/>
      <c r="H123" s="2"/>
      <c r="I123" s="19"/>
      <c r="K123" s="35"/>
      <c r="M123" s="35"/>
      <c r="N123" s="35"/>
      <c r="O123" s="35"/>
      <c r="P123" s="35"/>
    </row>
    <row r="124" spans="2:16">
      <c r="B124" s="28"/>
      <c r="C124" s="196"/>
      <c r="D124" s="47"/>
      <c r="E124" s="28"/>
      <c r="F124" s="215"/>
      <c r="G124" s="215"/>
      <c r="H124" s="2"/>
      <c r="I124" s="19"/>
      <c r="K124" s="35"/>
      <c r="M124" s="35"/>
      <c r="N124" s="35"/>
      <c r="O124" s="35"/>
      <c r="P124" s="35"/>
    </row>
    <row r="125" spans="2:16">
      <c r="B125" s="28"/>
      <c r="C125" s="196"/>
      <c r="D125" s="47"/>
      <c r="E125" s="28"/>
      <c r="F125" s="215"/>
      <c r="G125" s="215"/>
      <c r="H125" s="2"/>
      <c r="I125" s="19"/>
      <c r="K125" s="35"/>
      <c r="M125" s="35"/>
      <c r="N125" s="35"/>
      <c r="O125" s="35"/>
      <c r="P125" s="35"/>
    </row>
    <row r="126" spans="2:16">
      <c r="B126" s="28"/>
      <c r="C126" s="196"/>
      <c r="D126" s="47"/>
      <c r="E126" s="28"/>
      <c r="F126" s="215"/>
      <c r="G126" s="215"/>
      <c r="H126" s="2"/>
      <c r="I126" s="19"/>
      <c r="K126" s="35"/>
      <c r="M126" s="35"/>
      <c r="N126" s="35"/>
      <c r="O126" s="35"/>
      <c r="P126" s="35"/>
    </row>
    <row r="127" spans="2:16">
      <c r="B127" s="28"/>
      <c r="C127" s="196"/>
      <c r="D127" s="47"/>
      <c r="E127" s="28"/>
      <c r="F127" s="215"/>
      <c r="G127" s="215"/>
      <c r="H127" s="2"/>
      <c r="I127" s="19"/>
      <c r="K127" s="35"/>
      <c r="M127" s="35"/>
      <c r="N127" s="35"/>
      <c r="O127" s="35"/>
      <c r="P127" s="35"/>
    </row>
    <row r="128" spans="2:16">
      <c r="B128" s="28"/>
      <c r="C128" s="196"/>
      <c r="D128" s="47"/>
      <c r="E128" s="28"/>
      <c r="F128" s="215"/>
      <c r="G128" s="215"/>
      <c r="H128" s="2"/>
      <c r="I128" s="19"/>
      <c r="K128" s="35"/>
      <c r="M128" s="35"/>
      <c r="N128" s="35"/>
      <c r="O128" s="35"/>
      <c r="P128" s="35"/>
    </row>
    <row r="129" spans="2:16">
      <c r="B129" s="28"/>
      <c r="C129" s="196"/>
      <c r="D129" s="47"/>
      <c r="E129" s="28"/>
      <c r="F129" s="215"/>
      <c r="G129" s="215"/>
      <c r="H129" s="2"/>
      <c r="I129" s="19"/>
      <c r="K129" s="35"/>
      <c r="M129" s="35"/>
      <c r="N129" s="35"/>
      <c r="O129" s="35"/>
      <c r="P129" s="35"/>
    </row>
    <row r="130" spans="2:16">
      <c r="B130" s="28"/>
      <c r="C130" s="196"/>
      <c r="D130" s="47"/>
      <c r="E130" s="28"/>
      <c r="F130" s="215"/>
      <c r="G130" s="215"/>
      <c r="H130" s="2"/>
      <c r="I130" s="19"/>
      <c r="K130" s="35"/>
      <c r="M130" s="35"/>
      <c r="N130" s="35"/>
      <c r="O130" s="35"/>
      <c r="P130" s="35"/>
    </row>
    <row r="131" spans="2:16">
      <c r="B131" s="28"/>
      <c r="C131" s="196"/>
      <c r="D131" s="47"/>
      <c r="E131" s="28"/>
      <c r="F131" s="215"/>
      <c r="G131" s="215"/>
      <c r="H131" s="2"/>
      <c r="I131" s="19"/>
      <c r="K131" s="35"/>
      <c r="M131" s="35"/>
      <c r="N131" s="35"/>
      <c r="O131" s="35"/>
      <c r="P131" s="35"/>
    </row>
    <row r="132" spans="2:16">
      <c r="B132" s="28"/>
      <c r="C132" s="196"/>
      <c r="D132" s="47"/>
      <c r="E132" s="28"/>
      <c r="F132" s="215"/>
      <c r="G132" s="215"/>
      <c r="H132" s="2"/>
      <c r="I132" s="19"/>
      <c r="K132" s="35"/>
      <c r="M132" s="35"/>
      <c r="N132" s="35"/>
      <c r="O132" s="35"/>
      <c r="P132" s="35"/>
    </row>
    <row r="133" spans="2:16">
      <c r="B133" s="28"/>
      <c r="C133" s="196"/>
      <c r="D133" s="47"/>
      <c r="E133" s="28"/>
      <c r="F133" s="215"/>
      <c r="G133" s="215"/>
      <c r="H133" s="2"/>
      <c r="I133" s="19"/>
      <c r="K133" s="35"/>
      <c r="M133" s="35"/>
      <c r="N133" s="35"/>
      <c r="O133" s="35"/>
      <c r="P133" s="35"/>
    </row>
    <row r="134" spans="2:16">
      <c r="B134" s="28"/>
      <c r="C134" s="196"/>
      <c r="D134" s="47"/>
      <c r="E134" s="28"/>
      <c r="F134" s="215"/>
      <c r="G134" s="215"/>
      <c r="H134" s="2"/>
      <c r="I134" s="19"/>
      <c r="K134" s="35"/>
      <c r="M134" s="35"/>
      <c r="N134" s="35"/>
      <c r="O134" s="35"/>
      <c r="P134" s="35"/>
    </row>
    <row r="135" spans="2:16">
      <c r="B135" s="28"/>
      <c r="C135" s="196"/>
      <c r="D135" s="47"/>
      <c r="E135" s="28"/>
      <c r="F135" s="215"/>
      <c r="G135" s="215"/>
      <c r="H135" s="2"/>
      <c r="I135" s="19"/>
      <c r="K135" s="35"/>
      <c r="M135" s="35"/>
      <c r="N135" s="35"/>
      <c r="O135" s="35"/>
      <c r="P135" s="35"/>
    </row>
    <row r="136" spans="2:16">
      <c r="B136" s="28"/>
      <c r="C136" s="196"/>
      <c r="D136" s="47"/>
      <c r="E136" s="28"/>
      <c r="F136" s="215"/>
      <c r="G136" s="215"/>
      <c r="H136" s="2"/>
      <c r="I136" s="19"/>
      <c r="K136" s="35"/>
      <c r="M136" s="35"/>
      <c r="N136" s="35"/>
      <c r="O136" s="35"/>
      <c r="P136" s="35"/>
    </row>
    <row r="137" spans="2:16">
      <c r="B137" s="28"/>
      <c r="C137" s="196"/>
      <c r="D137" s="47"/>
      <c r="E137" s="28"/>
      <c r="F137" s="215"/>
      <c r="G137" s="215"/>
      <c r="H137" s="2"/>
      <c r="I137" s="19"/>
      <c r="K137" s="35"/>
      <c r="M137" s="35"/>
      <c r="N137" s="35"/>
      <c r="O137" s="35"/>
      <c r="P137" s="35"/>
    </row>
    <row r="138" spans="2:16">
      <c r="B138" s="28"/>
      <c r="C138" s="196"/>
      <c r="D138" s="47"/>
      <c r="E138" s="28"/>
      <c r="F138" s="215"/>
      <c r="G138" s="215"/>
      <c r="H138" s="2"/>
      <c r="I138" s="19"/>
      <c r="K138" s="35"/>
      <c r="M138" s="35"/>
      <c r="N138" s="35"/>
      <c r="O138" s="35"/>
      <c r="P138" s="35"/>
    </row>
    <row r="139" spans="2:16">
      <c r="B139" s="28"/>
      <c r="C139" s="196"/>
      <c r="D139" s="47"/>
      <c r="E139" s="28"/>
      <c r="F139" s="215"/>
      <c r="G139" s="215"/>
      <c r="H139" s="2"/>
      <c r="I139" s="19"/>
      <c r="K139" s="35"/>
      <c r="M139" s="35"/>
      <c r="N139" s="35"/>
      <c r="O139" s="35"/>
      <c r="P139" s="35"/>
    </row>
    <row r="140" spans="2:16">
      <c r="B140" s="28"/>
      <c r="C140" s="196"/>
      <c r="D140" s="47"/>
      <c r="E140" s="28"/>
      <c r="F140" s="215"/>
      <c r="G140" s="215"/>
      <c r="H140" s="2"/>
      <c r="I140" s="19"/>
      <c r="K140" s="35"/>
      <c r="M140" s="35"/>
      <c r="N140" s="35"/>
      <c r="O140" s="35"/>
      <c r="P140" s="35"/>
    </row>
    <row r="141" spans="2:16">
      <c r="B141" s="28"/>
      <c r="C141" s="196"/>
      <c r="D141" s="47"/>
      <c r="E141" s="28"/>
      <c r="F141" s="215"/>
      <c r="G141" s="215"/>
      <c r="H141" s="2"/>
      <c r="I141" s="19"/>
      <c r="K141" s="35"/>
      <c r="M141" s="35"/>
      <c r="N141" s="35"/>
      <c r="O141" s="35"/>
      <c r="P141" s="35"/>
    </row>
    <row r="142" spans="2:16">
      <c r="B142" s="28"/>
      <c r="C142" s="196"/>
      <c r="D142" s="47"/>
      <c r="E142" s="28"/>
      <c r="F142" s="215"/>
      <c r="G142" s="215"/>
      <c r="H142" s="2"/>
      <c r="I142" s="19"/>
      <c r="K142" s="35"/>
      <c r="M142" s="35"/>
      <c r="N142" s="35"/>
      <c r="O142" s="35"/>
      <c r="P142" s="35"/>
    </row>
    <row r="143" spans="2:16">
      <c r="B143" s="28"/>
      <c r="C143" s="196"/>
      <c r="D143" s="47"/>
      <c r="E143" s="28"/>
      <c r="F143" s="215"/>
      <c r="G143" s="215"/>
      <c r="H143" s="2"/>
      <c r="I143" s="19"/>
      <c r="K143" s="35"/>
      <c r="M143" s="35"/>
      <c r="N143" s="35"/>
      <c r="O143" s="35"/>
      <c r="P143" s="35"/>
    </row>
    <row r="144" spans="2:16">
      <c r="B144" s="28"/>
      <c r="C144" s="196"/>
      <c r="D144" s="47"/>
      <c r="E144" s="28"/>
      <c r="F144" s="215"/>
      <c r="G144" s="215"/>
      <c r="H144" s="2"/>
      <c r="I144" s="19"/>
      <c r="K144" s="35"/>
      <c r="M144" s="35"/>
      <c r="N144" s="35"/>
      <c r="O144" s="35"/>
      <c r="P144" s="35"/>
    </row>
    <row r="145" spans="2:16">
      <c r="B145" s="28"/>
      <c r="C145" s="196"/>
      <c r="D145" s="47"/>
      <c r="E145" s="28"/>
      <c r="F145" s="215"/>
      <c r="G145" s="215"/>
      <c r="H145" s="2"/>
      <c r="I145" s="19"/>
      <c r="K145" s="35"/>
      <c r="M145" s="35"/>
      <c r="N145" s="35"/>
      <c r="O145" s="35"/>
      <c r="P145" s="35"/>
    </row>
    <row r="146" spans="2:16">
      <c r="B146" s="28"/>
      <c r="C146" s="196"/>
      <c r="D146" s="47"/>
      <c r="E146" s="28"/>
      <c r="F146" s="215"/>
      <c r="G146" s="215"/>
      <c r="H146" s="2"/>
      <c r="I146" s="19"/>
      <c r="K146" s="35"/>
      <c r="M146" s="35"/>
      <c r="N146" s="35"/>
      <c r="O146" s="35"/>
      <c r="P146" s="35"/>
    </row>
    <row r="147" spans="2:16">
      <c r="B147" s="28"/>
      <c r="C147" s="196"/>
      <c r="D147" s="47"/>
      <c r="E147" s="28"/>
      <c r="F147" s="215"/>
      <c r="G147" s="215"/>
      <c r="H147" s="2"/>
      <c r="I147" s="19"/>
      <c r="K147" s="35"/>
      <c r="M147" s="35"/>
      <c r="N147" s="35"/>
      <c r="O147" s="35"/>
      <c r="P147" s="35"/>
    </row>
    <row r="148" spans="2:16">
      <c r="B148" s="28"/>
      <c r="C148" s="196"/>
      <c r="D148" s="47"/>
      <c r="E148" s="28"/>
      <c r="F148" s="215"/>
      <c r="G148" s="215"/>
      <c r="H148" s="2"/>
      <c r="I148" s="19"/>
      <c r="K148" s="35"/>
      <c r="M148" s="35"/>
      <c r="N148" s="35"/>
      <c r="O148" s="35"/>
      <c r="P148" s="35"/>
    </row>
    <row r="149" spans="2:16">
      <c r="B149" s="28"/>
      <c r="C149" s="196"/>
      <c r="D149" s="47"/>
      <c r="E149" s="28"/>
      <c r="F149" s="215"/>
      <c r="G149" s="215"/>
      <c r="H149" s="2"/>
      <c r="I149" s="19"/>
      <c r="K149" s="35"/>
      <c r="M149" s="35"/>
      <c r="N149" s="35"/>
      <c r="O149" s="35"/>
      <c r="P149" s="35"/>
    </row>
    <row r="150" spans="2:16">
      <c r="B150" s="28"/>
      <c r="C150" s="196"/>
      <c r="D150" s="47"/>
      <c r="E150" s="28"/>
      <c r="F150" s="215"/>
      <c r="G150" s="215"/>
      <c r="H150" s="2"/>
      <c r="I150" s="19"/>
      <c r="K150" s="35"/>
      <c r="M150" s="35"/>
      <c r="N150" s="35"/>
      <c r="O150" s="35"/>
      <c r="P150" s="35"/>
    </row>
    <row r="151" spans="2:16">
      <c r="B151" s="28"/>
      <c r="C151" s="196"/>
      <c r="D151" s="47"/>
      <c r="E151" s="28"/>
      <c r="F151" s="215"/>
      <c r="G151" s="215"/>
      <c r="H151" s="2"/>
      <c r="I151" s="19"/>
      <c r="K151" s="35"/>
      <c r="M151" s="35"/>
      <c r="N151" s="35"/>
      <c r="O151" s="35"/>
      <c r="P151" s="35"/>
    </row>
    <row r="152" spans="2:16">
      <c r="B152" s="28"/>
      <c r="C152" s="196"/>
      <c r="D152" s="47"/>
      <c r="E152" s="28"/>
      <c r="F152" s="215"/>
      <c r="G152" s="215"/>
      <c r="H152" s="2"/>
      <c r="I152" s="19"/>
      <c r="K152" s="35"/>
      <c r="M152" s="35"/>
      <c r="N152" s="35"/>
      <c r="O152" s="35"/>
      <c r="P152" s="35"/>
    </row>
    <row r="153" spans="2:16">
      <c r="B153" s="28"/>
      <c r="C153" s="196"/>
      <c r="D153" s="47"/>
      <c r="E153" s="28"/>
      <c r="F153" s="215"/>
      <c r="G153" s="215"/>
      <c r="H153" s="2"/>
      <c r="I153" s="19"/>
      <c r="K153" s="35"/>
      <c r="M153" s="35"/>
      <c r="N153" s="35"/>
      <c r="O153" s="35"/>
      <c r="P153" s="35"/>
    </row>
    <row r="154" spans="2:16">
      <c r="B154" s="28"/>
      <c r="C154" s="196"/>
      <c r="D154" s="47"/>
      <c r="E154" s="28"/>
      <c r="F154" s="215"/>
      <c r="G154" s="215"/>
      <c r="H154" s="2"/>
      <c r="I154" s="19"/>
      <c r="K154" s="35"/>
      <c r="M154" s="35"/>
      <c r="N154" s="35"/>
      <c r="O154" s="35"/>
      <c r="P154" s="35"/>
    </row>
    <row r="155" spans="2:16">
      <c r="B155" s="28"/>
      <c r="C155" s="196"/>
      <c r="D155" s="47"/>
      <c r="E155" s="28"/>
      <c r="F155" s="215"/>
      <c r="G155" s="215"/>
      <c r="H155" s="2"/>
      <c r="I155" s="19"/>
      <c r="K155" s="35"/>
      <c r="M155" s="35"/>
      <c r="N155" s="35"/>
      <c r="O155" s="35"/>
      <c r="P155" s="35"/>
    </row>
    <row r="156" spans="2:16">
      <c r="B156" s="28"/>
      <c r="C156" s="196"/>
      <c r="D156" s="47"/>
      <c r="E156" s="28"/>
      <c r="F156" s="215"/>
      <c r="G156" s="215"/>
      <c r="H156" s="2"/>
      <c r="I156" s="19"/>
      <c r="K156" s="35"/>
      <c r="M156" s="35"/>
      <c r="N156" s="35"/>
      <c r="O156" s="35"/>
      <c r="P156" s="35"/>
    </row>
    <row r="157" spans="2:16">
      <c r="B157" s="28"/>
      <c r="C157" s="196"/>
      <c r="D157" s="47"/>
      <c r="E157" s="28"/>
      <c r="F157" s="215"/>
      <c r="G157" s="215"/>
      <c r="H157" s="2"/>
      <c r="I157" s="19"/>
      <c r="K157" s="35"/>
      <c r="M157" s="35"/>
      <c r="N157" s="35"/>
      <c r="O157" s="35"/>
      <c r="P157" s="35"/>
    </row>
    <row r="158" spans="2:16">
      <c r="B158" s="28"/>
      <c r="C158" s="196"/>
      <c r="D158" s="47"/>
      <c r="E158" s="28"/>
      <c r="F158" s="215"/>
      <c r="G158" s="215"/>
      <c r="H158" s="2"/>
      <c r="I158" s="19"/>
      <c r="K158" s="35"/>
      <c r="M158" s="35"/>
      <c r="N158" s="35"/>
      <c r="O158" s="35"/>
      <c r="P158" s="35"/>
    </row>
    <row r="159" spans="2:16">
      <c r="B159" s="28"/>
      <c r="C159" s="196"/>
      <c r="D159" s="47"/>
      <c r="E159" s="28"/>
      <c r="F159" s="215"/>
      <c r="G159" s="215"/>
      <c r="H159" s="2"/>
      <c r="I159" s="19"/>
      <c r="K159" s="35"/>
      <c r="M159" s="35"/>
      <c r="N159" s="35"/>
      <c r="O159" s="35"/>
      <c r="P159" s="35"/>
    </row>
    <row r="160" spans="2:16">
      <c r="B160" s="28"/>
      <c r="C160" s="196"/>
      <c r="D160" s="47"/>
      <c r="E160" s="28"/>
      <c r="F160" s="215"/>
      <c r="G160" s="215"/>
      <c r="H160" s="2"/>
      <c r="I160" s="19"/>
      <c r="K160" s="35"/>
      <c r="M160" s="35"/>
      <c r="N160" s="35"/>
      <c r="O160" s="35"/>
      <c r="P160" s="35"/>
    </row>
    <row r="161" spans="2:16">
      <c r="B161" s="28"/>
      <c r="C161" s="196"/>
      <c r="D161" s="47"/>
      <c r="E161" s="28"/>
      <c r="F161" s="215"/>
      <c r="G161" s="215"/>
      <c r="H161" s="2"/>
      <c r="I161" s="19"/>
      <c r="K161" s="35"/>
      <c r="M161" s="35"/>
      <c r="N161" s="35"/>
      <c r="O161" s="35"/>
      <c r="P161" s="35"/>
    </row>
    <row r="162" spans="2:16">
      <c r="B162" s="28"/>
      <c r="C162" s="196"/>
      <c r="D162" s="47"/>
      <c r="E162" s="28"/>
      <c r="F162" s="215"/>
      <c r="G162" s="215"/>
      <c r="H162" s="2"/>
      <c r="I162" s="19"/>
      <c r="K162" s="35"/>
      <c r="M162" s="35"/>
      <c r="N162" s="35"/>
      <c r="O162" s="35"/>
      <c r="P162" s="35"/>
    </row>
    <row r="163" spans="2:16">
      <c r="B163" s="28"/>
      <c r="C163" s="196"/>
      <c r="D163" s="47"/>
      <c r="E163" s="28"/>
      <c r="F163" s="215"/>
      <c r="G163" s="215"/>
      <c r="H163" s="2"/>
      <c r="I163" s="19"/>
      <c r="K163" s="35"/>
      <c r="M163" s="35"/>
      <c r="N163" s="35"/>
      <c r="O163" s="35"/>
      <c r="P163" s="35"/>
    </row>
    <row r="164" spans="2:16">
      <c r="B164" s="28"/>
      <c r="C164" s="196"/>
      <c r="D164" s="47"/>
      <c r="E164" s="28"/>
      <c r="F164" s="215"/>
      <c r="G164" s="215"/>
      <c r="H164" s="2"/>
      <c r="I164" s="19"/>
      <c r="K164" s="35"/>
      <c r="M164" s="35"/>
      <c r="N164" s="35"/>
      <c r="O164" s="35"/>
      <c r="P164" s="35"/>
    </row>
    <row r="165" spans="2:16">
      <c r="D165" s="47"/>
      <c r="E165" s="143"/>
      <c r="H165" s="2"/>
      <c r="I165" s="30"/>
    </row>
    <row r="166" spans="2:16">
      <c r="D166" s="47"/>
      <c r="E166" s="143"/>
      <c r="H166" s="2"/>
      <c r="I166" s="30"/>
    </row>
    <row r="167" spans="2:16">
      <c r="D167" s="47"/>
      <c r="E167" s="143"/>
      <c r="H167" s="2"/>
      <c r="I167" s="30"/>
    </row>
    <row r="168" spans="2:16">
      <c r="D168" s="47"/>
      <c r="E168" s="143"/>
      <c r="H168" s="2"/>
      <c r="I168" s="30"/>
    </row>
    <row r="169" spans="2:16">
      <c r="D169" s="47"/>
      <c r="E169" s="143"/>
      <c r="H169" s="2"/>
      <c r="I169" s="30"/>
    </row>
    <row r="170" spans="2:16">
      <c r="D170" s="47"/>
      <c r="E170" s="143"/>
      <c r="H170" s="2"/>
      <c r="I170" s="30"/>
    </row>
    <row r="171" spans="2:16">
      <c r="D171" s="47"/>
      <c r="E171" s="143"/>
      <c r="H171" s="2"/>
      <c r="I171" s="30"/>
    </row>
    <row r="172" spans="2:16">
      <c r="D172" s="47"/>
      <c r="E172" s="143"/>
      <c r="H172" s="2"/>
      <c r="I172" s="30"/>
    </row>
    <row r="173" spans="2:16">
      <c r="D173" s="47"/>
      <c r="E173" s="143"/>
      <c r="H173" s="2"/>
      <c r="I173" s="30"/>
    </row>
    <row r="174" spans="2:16">
      <c r="D174" s="47"/>
      <c r="E174" s="143"/>
      <c r="H174" s="2"/>
      <c r="I174" s="30"/>
    </row>
    <row r="175" spans="2:16">
      <c r="D175" s="47"/>
      <c r="E175" s="143"/>
      <c r="H175" s="2"/>
      <c r="I175" s="30"/>
    </row>
    <row r="176" spans="2:16">
      <c r="D176" s="47"/>
      <c r="E176" s="143"/>
      <c r="H176" s="2"/>
      <c r="I176" s="30"/>
    </row>
    <row r="177" spans="4:9">
      <c r="D177" s="47"/>
      <c r="E177" s="143"/>
      <c r="H177" s="2"/>
      <c r="I177" s="30"/>
    </row>
    <row r="178" spans="4:9">
      <c r="D178" s="47"/>
      <c r="E178" s="143"/>
      <c r="H178" s="2"/>
      <c r="I178" s="30"/>
    </row>
    <row r="179" spans="4:9">
      <c r="D179" s="47"/>
      <c r="E179" s="143"/>
      <c r="H179" s="2"/>
      <c r="I179" s="30"/>
    </row>
    <row r="180" spans="4:9">
      <c r="D180" s="47"/>
      <c r="E180" s="143"/>
      <c r="H180" s="2"/>
      <c r="I180" s="30"/>
    </row>
    <row r="181" spans="4:9">
      <c r="D181" s="47"/>
      <c r="E181" s="143"/>
      <c r="H181" s="2"/>
      <c r="I181" s="30"/>
    </row>
    <row r="182" spans="4:9">
      <c r="D182" s="47"/>
      <c r="E182" s="143"/>
      <c r="H182" s="2"/>
      <c r="I182" s="30"/>
    </row>
    <row r="183" spans="4:9">
      <c r="D183" s="47"/>
      <c r="E183" s="143"/>
      <c r="H183" s="2"/>
      <c r="I183" s="30"/>
    </row>
    <row r="184" spans="4:9">
      <c r="D184" s="47"/>
      <c r="E184" s="143"/>
      <c r="H184" s="2"/>
      <c r="I184" s="30"/>
    </row>
    <row r="185" spans="4:9">
      <c r="D185" s="47"/>
      <c r="E185" s="143"/>
      <c r="H185" s="2"/>
      <c r="I185" s="30"/>
    </row>
    <row r="186" spans="4:9">
      <c r="D186" s="47"/>
      <c r="E186" s="143"/>
      <c r="H186" s="2"/>
      <c r="I186" s="30"/>
    </row>
    <row r="187" spans="4:9">
      <c r="D187" s="47"/>
      <c r="E187" s="143"/>
      <c r="H187" s="2"/>
      <c r="I187" s="30"/>
    </row>
    <row r="188" spans="4:9">
      <c r="D188" s="47"/>
      <c r="E188" s="143"/>
      <c r="H188" s="2"/>
      <c r="I188" s="30"/>
    </row>
    <row r="189" spans="4:9">
      <c r="D189" s="47"/>
      <c r="E189" s="143"/>
      <c r="H189" s="2"/>
      <c r="I189" s="30"/>
    </row>
    <row r="190" spans="4:9">
      <c r="D190" s="47"/>
      <c r="E190" s="143"/>
      <c r="H190" s="2"/>
      <c r="I190" s="30"/>
    </row>
    <row r="191" spans="4:9">
      <c r="D191" s="47"/>
      <c r="E191" s="143"/>
      <c r="H191" s="2"/>
      <c r="I191" s="30"/>
    </row>
    <row r="192" spans="4:9">
      <c r="D192" s="47"/>
      <c r="E192" s="143"/>
      <c r="H192" s="2"/>
      <c r="I192" s="30"/>
    </row>
    <row r="193" spans="4:9">
      <c r="D193" s="47"/>
      <c r="E193" s="143"/>
      <c r="H193" s="2"/>
      <c r="I193" s="30"/>
    </row>
    <row r="194" spans="4:9">
      <c r="D194" s="47"/>
      <c r="E194" s="143"/>
      <c r="H194" s="2"/>
      <c r="I194" s="30"/>
    </row>
    <row r="195" spans="4:9">
      <c r="D195" s="47"/>
      <c r="E195" s="143"/>
      <c r="H195" s="2"/>
      <c r="I195" s="30"/>
    </row>
    <row r="196" spans="4:9">
      <c r="D196" s="47"/>
      <c r="E196" s="143"/>
      <c r="H196" s="2"/>
      <c r="I196" s="30"/>
    </row>
    <row r="197" spans="4:9">
      <c r="D197" s="47"/>
      <c r="E197" s="143"/>
      <c r="H197" s="2"/>
      <c r="I197" s="30"/>
    </row>
    <row r="198" spans="4:9">
      <c r="D198" s="47"/>
      <c r="E198" s="143"/>
      <c r="H198" s="2"/>
      <c r="I198" s="30"/>
    </row>
    <row r="199" spans="4:9">
      <c r="D199" s="47"/>
      <c r="E199" s="143"/>
      <c r="H199" s="2"/>
      <c r="I199" s="30"/>
    </row>
    <row r="200" spans="4:9">
      <c r="D200" s="47"/>
      <c r="E200" s="143"/>
      <c r="H200" s="2"/>
      <c r="I200" s="30"/>
    </row>
    <row r="201" spans="4:9">
      <c r="D201" s="47"/>
      <c r="E201" s="143"/>
      <c r="H201" s="2"/>
      <c r="I201" s="30"/>
    </row>
    <row r="202" spans="4:9">
      <c r="D202" s="47"/>
      <c r="E202" s="143"/>
      <c r="H202" s="2"/>
      <c r="I202" s="30"/>
    </row>
    <row r="203" spans="4:9">
      <c r="D203" s="47"/>
      <c r="E203" s="143"/>
      <c r="H203" s="2"/>
      <c r="I203" s="30"/>
    </row>
    <row r="204" spans="4:9">
      <c r="D204" s="47"/>
      <c r="E204" s="143"/>
      <c r="H204" s="2"/>
      <c r="I204" s="30"/>
    </row>
    <row r="205" spans="4:9">
      <c r="D205" s="47"/>
      <c r="E205" s="143"/>
      <c r="H205" s="2"/>
      <c r="I205" s="30"/>
    </row>
    <row r="206" spans="4:9">
      <c r="D206" s="47"/>
      <c r="E206" s="143"/>
      <c r="H206" s="2"/>
      <c r="I206" s="30"/>
    </row>
    <row r="207" spans="4:9">
      <c r="D207" s="47"/>
      <c r="E207" s="143"/>
      <c r="H207" s="2"/>
      <c r="I207" s="30"/>
    </row>
    <row r="208" spans="4:9">
      <c r="D208" s="47"/>
      <c r="E208" s="143"/>
      <c r="H208" s="2"/>
      <c r="I208" s="30"/>
    </row>
    <row r="209" spans="4:9">
      <c r="D209" s="47"/>
      <c r="E209" s="143"/>
      <c r="H209" s="2"/>
      <c r="I209" s="30"/>
    </row>
    <row r="210" spans="4:9">
      <c r="D210" s="47"/>
      <c r="E210" s="143"/>
      <c r="H210" s="2"/>
      <c r="I210" s="30"/>
    </row>
    <row r="211" spans="4:9">
      <c r="D211" s="47"/>
      <c r="E211" s="143"/>
      <c r="H211" s="2"/>
      <c r="I211" s="30"/>
    </row>
    <row r="212" spans="4:9">
      <c r="D212" s="47"/>
      <c r="E212" s="143"/>
      <c r="H212" s="2"/>
      <c r="I212" s="30"/>
    </row>
    <row r="213" spans="4:9">
      <c r="D213" s="47"/>
      <c r="E213" s="143"/>
      <c r="H213" s="2"/>
      <c r="I213" s="30"/>
    </row>
    <row r="214" spans="4:9">
      <c r="D214" s="47"/>
      <c r="E214" s="143"/>
      <c r="H214" s="2"/>
      <c r="I214" s="30"/>
    </row>
    <row r="215" spans="4:9">
      <c r="D215" s="47"/>
      <c r="E215" s="143"/>
      <c r="H215" s="2"/>
      <c r="I215" s="30"/>
    </row>
    <row r="216" spans="4:9">
      <c r="D216" s="47"/>
      <c r="E216" s="143"/>
      <c r="H216" s="2"/>
      <c r="I216" s="30"/>
    </row>
    <row r="217" spans="4:9">
      <c r="D217" s="47"/>
      <c r="E217" s="143"/>
      <c r="H217" s="2"/>
      <c r="I217" s="30"/>
    </row>
    <row r="218" spans="4:9">
      <c r="D218" s="47"/>
      <c r="E218" s="143"/>
      <c r="H218" s="2"/>
      <c r="I218" s="30"/>
    </row>
    <row r="219" spans="4:9">
      <c r="D219" s="47"/>
      <c r="E219" s="143"/>
      <c r="H219" s="2"/>
      <c r="I219" s="30"/>
    </row>
    <row r="220" spans="4:9">
      <c r="D220" s="47"/>
      <c r="E220" s="143"/>
      <c r="H220" s="2"/>
      <c r="I220" s="30"/>
    </row>
    <row r="221" spans="4:9">
      <c r="D221" s="47"/>
      <c r="E221" s="143"/>
      <c r="H221" s="2"/>
      <c r="I221" s="30"/>
    </row>
    <row r="222" spans="4:9">
      <c r="D222" s="47"/>
      <c r="E222" s="143"/>
      <c r="H222" s="2"/>
      <c r="I222" s="30"/>
    </row>
    <row r="223" spans="4:9">
      <c r="D223" s="47"/>
      <c r="E223" s="143"/>
      <c r="H223" s="2"/>
      <c r="I223" s="30"/>
    </row>
    <row r="224" spans="4:9">
      <c r="D224" s="47"/>
      <c r="E224" s="143"/>
      <c r="H224" s="2"/>
      <c r="I224" s="30"/>
    </row>
    <row r="225" spans="4:9">
      <c r="D225" s="47"/>
      <c r="E225" s="143"/>
      <c r="H225" s="2"/>
      <c r="I225" s="30"/>
    </row>
    <row r="226" spans="4:9">
      <c r="D226" s="47"/>
      <c r="E226" s="143"/>
      <c r="H226" s="2"/>
      <c r="I226" s="30"/>
    </row>
    <row r="227" spans="4:9">
      <c r="D227" s="47"/>
      <c r="E227" s="143"/>
      <c r="H227" s="2"/>
      <c r="I227" s="30"/>
    </row>
    <row r="228" spans="4:9">
      <c r="D228" s="47"/>
      <c r="E228" s="143"/>
      <c r="H228" s="2"/>
      <c r="I228" s="30"/>
    </row>
    <row r="229" spans="4:9">
      <c r="D229" s="47"/>
      <c r="E229" s="143"/>
      <c r="H229" s="2"/>
      <c r="I229" s="30"/>
    </row>
    <row r="230" spans="4:9">
      <c r="D230" s="47"/>
      <c r="E230" s="143"/>
      <c r="H230" s="2"/>
      <c r="I230" s="30"/>
    </row>
    <row r="231" spans="4:9">
      <c r="D231" s="47"/>
      <c r="E231" s="143"/>
      <c r="H231" s="2"/>
      <c r="I231" s="30"/>
    </row>
    <row r="232" spans="4:9">
      <c r="D232" s="47"/>
      <c r="E232" s="143"/>
      <c r="H232" s="2"/>
      <c r="I232" s="30"/>
    </row>
    <row r="233" spans="4:9">
      <c r="D233" s="47"/>
      <c r="E233" s="143"/>
      <c r="H233" s="2"/>
      <c r="I233" s="30"/>
    </row>
    <row r="234" spans="4:9">
      <c r="D234" s="47"/>
      <c r="E234" s="143"/>
      <c r="H234" s="2"/>
      <c r="I234" s="30"/>
    </row>
    <row r="235" spans="4:9">
      <c r="D235" s="47"/>
      <c r="E235" s="143"/>
      <c r="H235" s="2"/>
      <c r="I235" s="30"/>
    </row>
    <row r="236" spans="4:9">
      <c r="D236" s="47"/>
      <c r="E236" s="143"/>
      <c r="H236" s="2"/>
      <c r="I236" s="30"/>
    </row>
    <row r="237" spans="4:9">
      <c r="D237" s="47"/>
      <c r="E237" s="143"/>
      <c r="H237" s="2"/>
      <c r="I237" s="30"/>
    </row>
    <row r="238" spans="4:9">
      <c r="D238" s="47"/>
      <c r="E238" s="143"/>
      <c r="H238" s="2"/>
      <c r="I238" s="30"/>
    </row>
    <row r="239" spans="4:9">
      <c r="D239" s="47"/>
      <c r="E239" s="143"/>
      <c r="H239" s="2"/>
      <c r="I239" s="30"/>
    </row>
    <row r="240" spans="4:9">
      <c r="D240" s="47"/>
      <c r="E240" s="143"/>
      <c r="H240" s="2"/>
      <c r="I240" s="30"/>
    </row>
    <row r="241" spans="4:9">
      <c r="D241" s="47"/>
      <c r="E241" s="143"/>
      <c r="H241" s="2"/>
      <c r="I241" s="30"/>
    </row>
    <row r="242" spans="4:9">
      <c r="D242" s="47"/>
      <c r="E242" s="143"/>
      <c r="H242" s="2"/>
      <c r="I242" s="30"/>
    </row>
    <row r="243" spans="4:9">
      <c r="D243" s="47"/>
      <c r="E243" s="143"/>
      <c r="H243" s="2"/>
      <c r="I243" s="30"/>
    </row>
    <row r="244" spans="4:9">
      <c r="D244" s="47"/>
      <c r="E244" s="143"/>
      <c r="H244" s="2"/>
      <c r="I244" s="30"/>
    </row>
    <row r="245" spans="4:9">
      <c r="D245" s="47"/>
      <c r="E245" s="143"/>
      <c r="H245" s="2"/>
      <c r="I245" s="30"/>
    </row>
    <row r="246" spans="4:9">
      <c r="D246" s="47"/>
      <c r="E246" s="143"/>
      <c r="H246" s="2"/>
      <c r="I246" s="30"/>
    </row>
    <row r="247" spans="4:9">
      <c r="D247" s="47"/>
      <c r="E247" s="143"/>
      <c r="H247" s="2"/>
      <c r="I247" s="30"/>
    </row>
    <row r="248" spans="4:9">
      <c r="D248" s="47"/>
      <c r="E248" s="143"/>
      <c r="H248" s="2"/>
      <c r="I248" s="30"/>
    </row>
    <row r="249" spans="4:9">
      <c r="D249" s="47"/>
      <c r="E249" s="143"/>
      <c r="H249" s="2"/>
      <c r="I249" s="30"/>
    </row>
    <row r="250" spans="4:9">
      <c r="D250" s="47"/>
      <c r="E250" s="143"/>
      <c r="H250" s="2"/>
      <c r="I250" s="30"/>
    </row>
    <row r="251" spans="4:9">
      <c r="D251" s="47"/>
      <c r="E251" s="143"/>
      <c r="H251" s="2"/>
      <c r="I251" s="30"/>
    </row>
    <row r="252" spans="4:9">
      <c r="D252" s="47"/>
      <c r="E252" s="143"/>
      <c r="H252" s="2"/>
      <c r="I252" s="30"/>
    </row>
    <row r="253" spans="4:9">
      <c r="D253" s="47"/>
      <c r="E253" s="143"/>
      <c r="H253" s="2"/>
      <c r="I253" s="30"/>
    </row>
    <row r="254" spans="4:9">
      <c r="D254" s="47"/>
      <c r="E254" s="143"/>
      <c r="H254" s="2"/>
      <c r="I254" s="30"/>
    </row>
    <row r="255" spans="4:9">
      <c r="D255" s="47"/>
      <c r="E255" s="143"/>
      <c r="H255" s="2"/>
      <c r="I255" s="30"/>
    </row>
    <row r="256" spans="4:9">
      <c r="D256" s="47"/>
      <c r="E256" s="143"/>
      <c r="H256" s="2"/>
      <c r="I256" s="30"/>
    </row>
    <row r="257" spans="4:9">
      <c r="D257" s="47"/>
      <c r="E257" s="143"/>
      <c r="H257" s="2"/>
      <c r="I257" s="30"/>
    </row>
    <row r="258" spans="4:9">
      <c r="D258" s="47"/>
      <c r="E258" s="143"/>
      <c r="H258" s="2"/>
      <c r="I258" s="30"/>
    </row>
    <row r="259" spans="4:9">
      <c r="D259" s="47"/>
      <c r="E259" s="143"/>
      <c r="H259" s="2"/>
      <c r="I259" s="30"/>
    </row>
    <row r="260" spans="4:9">
      <c r="D260" s="47"/>
      <c r="E260" s="143"/>
      <c r="H260" s="2"/>
      <c r="I260" s="30"/>
    </row>
    <row r="261" spans="4:9">
      <c r="D261" s="47"/>
      <c r="E261" s="143"/>
      <c r="H261" s="2"/>
      <c r="I261" s="30"/>
    </row>
    <row r="262" spans="4:9">
      <c r="D262" s="47"/>
      <c r="E262" s="143"/>
      <c r="H262" s="2"/>
      <c r="I262" s="30"/>
    </row>
    <row r="263" spans="4:9">
      <c r="D263" s="47"/>
      <c r="E263" s="143"/>
      <c r="H263" s="2"/>
      <c r="I263" s="30"/>
    </row>
    <row r="264" spans="4:9">
      <c r="D264" s="47"/>
      <c r="E264" s="143"/>
      <c r="H264" s="2"/>
      <c r="I264" s="30"/>
    </row>
    <row r="265" spans="4:9">
      <c r="D265" s="47"/>
      <c r="E265" s="143"/>
      <c r="H265" s="2"/>
      <c r="I265" s="30"/>
    </row>
    <row r="266" spans="4:9">
      <c r="D266" s="47"/>
      <c r="E266" s="143"/>
      <c r="H266" s="2"/>
      <c r="I266" s="30"/>
    </row>
    <row r="267" spans="4:9">
      <c r="D267" s="47"/>
      <c r="E267" s="143"/>
      <c r="H267" s="2"/>
      <c r="I267" s="30"/>
    </row>
    <row r="268" spans="4:9">
      <c r="D268" s="47"/>
      <c r="E268" s="143"/>
      <c r="H268" s="2"/>
      <c r="I268" s="30"/>
    </row>
    <row r="269" spans="4:9">
      <c r="D269" s="47"/>
      <c r="E269" s="143"/>
      <c r="H269" s="2"/>
      <c r="I269" s="30"/>
    </row>
    <row r="270" spans="4:9">
      <c r="D270" s="47"/>
      <c r="E270" s="143"/>
      <c r="H270" s="2"/>
      <c r="I270" s="30"/>
    </row>
    <row r="271" spans="4:9">
      <c r="D271" s="47"/>
      <c r="E271" s="143"/>
      <c r="H271" s="2"/>
      <c r="I271" s="30"/>
    </row>
    <row r="272" spans="4:9">
      <c r="D272" s="47"/>
      <c r="E272" s="143"/>
      <c r="H272" s="2"/>
      <c r="I272" s="30"/>
    </row>
    <row r="273" spans="4:9">
      <c r="D273" s="47"/>
      <c r="E273" s="143"/>
      <c r="H273" s="2"/>
      <c r="I273" s="30"/>
    </row>
    <row r="274" spans="4:9">
      <c r="D274" s="47"/>
      <c r="E274" s="143"/>
      <c r="H274" s="2"/>
      <c r="I274" s="30"/>
    </row>
    <row r="275" spans="4:9">
      <c r="D275" s="47"/>
      <c r="E275" s="143"/>
      <c r="H275" s="2"/>
      <c r="I275" s="30"/>
    </row>
    <row r="276" spans="4:9">
      <c r="D276" s="47"/>
      <c r="E276" s="143"/>
      <c r="H276" s="2"/>
      <c r="I276" s="30"/>
    </row>
    <row r="277" spans="4:9">
      <c r="D277" s="47"/>
      <c r="E277" s="143"/>
      <c r="H277" s="2"/>
      <c r="I277" s="30"/>
    </row>
    <row r="278" spans="4:9">
      <c r="D278" s="47"/>
      <c r="E278" s="143"/>
      <c r="H278" s="2"/>
      <c r="I278" s="30"/>
    </row>
    <row r="279" spans="4:9">
      <c r="D279" s="47"/>
      <c r="E279" s="143"/>
      <c r="H279" s="2"/>
      <c r="I279" s="30"/>
    </row>
    <row r="280" spans="4:9">
      <c r="D280" s="47"/>
      <c r="E280" s="143"/>
      <c r="H280" s="2"/>
      <c r="I280" s="30"/>
    </row>
    <row r="281" spans="4:9">
      <c r="D281" s="47"/>
      <c r="E281" s="143"/>
      <c r="H281" s="2"/>
      <c r="I281" s="30"/>
    </row>
    <row r="282" spans="4:9">
      <c r="D282" s="47"/>
      <c r="E282" s="143"/>
      <c r="H282" s="2"/>
      <c r="I282" s="30"/>
    </row>
    <row r="283" spans="4:9">
      <c r="D283" s="47"/>
      <c r="E283" s="143"/>
      <c r="H283" s="2"/>
      <c r="I283" s="30"/>
    </row>
    <row r="284" spans="4:9">
      <c r="D284" s="47"/>
      <c r="E284" s="143"/>
      <c r="H284" s="2"/>
      <c r="I284" s="30"/>
    </row>
    <row r="285" spans="4:9">
      <c r="D285" s="47"/>
      <c r="E285" s="143"/>
      <c r="H285" s="2"/>
      <c r="I285" s="30"/>
    </row>
    <row r="286" spans="4:9">
      <c r="D286" s="47"/>
      <c r="E286" s="143"/>
      <c r="H286" s="2"/>
      <c r="I286" s="30"/>
    </row>
    <row r="287" spans="4:9">
      <c r="D287" s="47"/>
      <c r="E287" s="143"/>
      <c r="H287" s="2"/>
      <c r="I287" s="30"/>
    </row>
    <row r="288" spans="4:9">
      <c r="D288" s="47"/>
      <c r="E288" s="143"/>
      <c r="H288" s="2"/>
      <c r="I288" s="30"/>
    </row>
    <row r="289" spans="4:9">
      <c r="D289" s="47"/>
      <c r="E289" s="143"/>
      <c r="H289" s="2"/>
      <c r="I289" s="30"/>
    </row>
    <row r="290" spans="4:9">
      <c r="D290" s="47"/>
      <c r="E290" s="143"/>
      <c r="H290" s="2"/>
      <c r="I290" s="30"/>
    </row>
    <row r="291" spans="4:9">
      <c r="D291" s="47"/>
      <c r="E291" s="143"/>
      <c r="H291" s="2"/>
      <c r="I291" s="30"/>
    </row>
    <row r="292" spans="4:9">
      <c r="D292" s="47"/>
      <c r="E292" s="143"/>
      <c r="H292" s="2"/>
      <c r="I292" s="30"/>
    </row>
    <row r="293" spans="4:9">
      <c r="D293" s="47"/>
      <c r="E293" s="143"/>
      <c r="H293" s="2"/>
      <c r="I293" s="30"/>
    </row>
    <row r="294" spans="4:9">
      <c r="D294" s="47"/>
      <c r="E294" s="143"/>
      <c r="H294" s="2"/>
      <c r="I294" s="30"/>
    </row>
    <row r="295" spans="4:9">
      <c r="D295" s="47"/>
      <c r="E295" s="143"/>
      <c r="H295" s="2"/>
      <c r="I295" s="30"/>
    </row>
    <row r="296" spans="4:9">
      <c r="D296" s="47"/>
      <c r="E296" s="143"/>
      <c r="H296" s="2"/>
      <c r="I296" s="30"/>
    </row>
    <row r="297" spans="4:9">
      <c r="D297" s="47"/>
      <c r="E297" s="143"/>
      <c r="H297" s="2"/>
      <c r="I297" s="30"/>
    </row>
    <row r="298" spans="4:9">
      <c r="D298" s="47"/>
      <c r="E298" s="143"/>
      <c r="H298" s="2"/>
      <c r="I298" s="30"/>
    </row>
    <row r="299" spans="4:9">
      <c r="D299" s="47"/>
      <c r="E299" s="143"/>
      <c r="H299" s="2"/>
      <c r="I299" s="30"/>
    </row>
    <row r="300" spans="4:9">
      <c r="D300" s="47"/>
      <c r="E300" s="143"/>
      <c r="H300" s="2"/>
      <c r="I300" s="30"/>
    </row>
    <row r="301" spans="4:9">
      <c r="D301" s="47"/>
      <c r="E301" s="143"/>
      <c r="H301" s="2"/>
      <c r="I301" s="30"/>
    </row>
    <row r="302" spans="4:9">
      <c r="D302" s="47"/>
      <c r="E302" s="143"/>
      <c r="H302" s="2"/>
      <c r="I302" s="30"/>
    </row>
    <row r="303" spans="4:9">
      <c r="D303" s="47"/>
      <c r="E303" s="143"/>
      <c r="H303" s="2"/>
      <c r="I303" s="30"/>
    </row>
    <row r="304" spans="4:9">
      <c r="D304" s="47"/>
      <c r="E304" s="143"/>
      <c r="H304" s="2"/>
      <c r="I304" s="30"/>
    </row>
    <row r="305" spans="4:9">
      <c r="D305" s="47"/>
      <c r="E305" s="143"/>
      <c r="H305" s="2"/>
      <c r="I305" s="30"/>
    </row>
    <row r="306" spans="4:9">
      <c r="D306" s="47"/>
      <c r="E306" s="143"/>
      <c r="H306" s="2"/>
      <c r="I306" s="30"/>
    </row>
    <row r="307" spans="4:9">
      <c r="D307" s="47"/>
      <c r="E307" s="143"/>
      <c r="H307" s="2"/>
      <c r="I307" s="30"/>
    </row>
    <row r="308" spans="4:9">
      <c r="D308" s="47"/>
      <c r="E308" s="143"/>
      <c r="H308" s="2"/>
      <c r="I308" s="30"/>
    </row>
    <row r="309" spans="4:9">
      <c r="D309" s="47"/>
      <c r="E309" s="143"/>
      <c r="H309" s="2"/>
      <c r="I309" s="30"/>
    </row>
    <row r="310" spans="4:9">
      <c r="D310" s="47"/>
      <c r="E310" s="143"/>
      <c r="H310" s="2"/>
      <c r="I310" s="30"/>
    </row>
    <row r="311" spans="4:9">
      <c r="D311" s="47"/>
      <c r="E311" s="143"/>
      <c r="H311" s="2"/>
      <c r="I311" s="30"/>
    </row>
    <row r="312" spans="4:9">
      <c r="D312" s="47"/>
      <c r="E312" s="143"/>
      <c r="H312" s="2"/>
      <c r="I312" s="30"/>
    </row>
    <row r="313" spans="4:9">
      <c r="D313" s="47"/>
      <c r="E313" s="143"/>
      <c r="H313" s="2"/>
      <c r="I313" s="30"/>
    </row>
    <row r="314" spans="4:9">
      <c r="D314" s="47"/>
      <c r="E314" s="143"/>
      <c r="H314" s="2"/>
      <c r="I314" s="30"/>
    </row>
    <row r="315" spans="4:9">
      <c r="D315" s="47"/>
      <c r="E315" s="143"/>
      <c r="H315" s="2"/>
      <c r="I315" s="30"/>
    </row>
    <row r="316" spans="4:9">
      <c r="D316" s="47"/>
      <c r="E316" s="143"/>
      <c r="H316" s="2"/>
      <c r="I316" s="30"/>
    </row>
    <row r="317" spans="4:9">
      <c r="D317" s="47"/>
      <c r="E317" s="143"/>
      <c r="H317" s="2"/>
      <c r="I317" s="30"/>
    </row>
    <row r="318" spans="4:9">
      <c r="D318" s="47"/>
      <c r="E318" s="143"/>
      <c r="H318" s="2"/>
      <c r="I318" s="30"/>
    </row>
    <row r="319" spans="4:9">
      <c r="D319" s="47"/>
      <c r="E319" s="143"/>
      <c r="H319" s="2"/>
      <c r="I319" s="30"/>
    </row>
    <row r="320" spans="4:9">
      <c r="D320" s="47"/>
      <c r="E320" s="143"/>
      <c r="H320" s="2"/>
      <c r="I320" s="30"/>
    </row>
    <row r="321" spans="4:9">
      <c r="D321" s="47"/>
      <c r="E321" s="143"/>
      <c r="H321" s="2"/>
      <c r="I321" s="30"/>
    </row>
    <row r="322" spans="4:9">
      <c r="D322" s="47"/>
      <c r="E322" s="143"/>
      <c r="H322" s="2"/>
      <c r="I322" s="30"/>
    </row>
    <row r="323" spans="4:9">
      <c r="D323" s="47"/>
      <c r="E323" s="143"/>
      <c r="H323" s="2"/>
      <c r="I323" s="30"/>
    </row>
    <row r="324" spans="4:9">
      <c r="D324" s="47"/>
      <c r="E324" s="143"/>
      <c r="H324" s="2"/>
      <c r="I324" s="30"/>
    </row>
    <row r="325" spans="4:9">
      <c r="D325" s="47"/>
      <c r="E325" s="143"/>
      <c r="H325" s="2"/>
      <c r="I325" s="30"/>
    </row>
    <row r="326" spans="4:9">
      <c r="D326" s="47"/>
      <c r="E326" s="143"/>
      <c r="H326" s="2"/>
      <c r="I326" s="30"/>
    </row>
    <row r="327" spans="4:9">
      <c r="D327" s="47"/>
      <c r="E327" s="143"/>
      <c r="H327" s="2"/>
      <c r="I327" s="30"/>
    </row>
    <row r="328" spans="4:9">
      <c r="D328" s="47"/>
      <c r="E328" s="143"/>
      <c r="H328" s="2"/>
      <c r="I328" s="30"/>
    </row>
    <row r="329" spans="4:9">
      <c r="D329" s="47"/>
      <c r="E329" s="143"/>
      <c r="H329" s="2"/>
      <c r="I329" s="30"/>
    </row>
    <row r="330" spans="4:9">
      <c r="D330" s="47"/>
      <c r="E330" s="143"/>
      <c r="H330" s="2"/>
      <c r="I330" s="30"/>
    </row>
    <row r="331" spans="4:9">
      <c r="D331" s="47"/>
      <c r="E331" s="143"/>
      <c r="H331" s="2"/>
      <c r="I331" s="30"/>
    </row>
    <row r="332" spans="4:9">
      <c r="D332" s="47"/>
      <c r="E332" s="143"/>
      <c r="H332" s="2"/>
      <c r="I332" s="30"/>
    </row>
    <row r="333" spans="4:9">
      <c r="D333" s="47"/>
      <c r="E333" s="143"/>
      <c r="H333" s="2"/>
      <c r="I333" s="30"/>
    </row>
    <row r="334" spans="4:9">
      <c r="D334" s="47"/>
      <c r="E334" s="143"/>
      <c r="H334" s="2"/>
      <c r="I334" s="30"/>
    </row>
    <row r="335" spans="4:9">
      <c r="D335" s="47"/>
      <c r="E335" s="143"/>
      <c r="H335" s="2"/>
      <c r="I335" s="30"/>
    </row>
    <row r="336" spans="4:9">
      <c r="D336" s="47"/>
      <c r="E336" s="143"/>
      <c r="H336" s="2"/>
      <c r="I336" s="30"/>
    </row>
    <row r="337" spans="4:9">
      <c r="D337" s="47"/>
      <c r="E337" s="143"/>
      <c r="H337" s="2"/>
      <c r="I337" s="30"/>
    </row>
    <row r="338" spans="4:9">
      <c r="D338" s="47"/>
      <c r="E338" s="143"/>
      <c r="H338" s="2"/>
      <c r="I338" s="30"/>
    </row>
    <row r="339" spans="4:9">
      <c r="D339" s="47"/>
      <c r="E339" s="143"/>
      <c r="H339" s="2"/>
      <c r="I339" s="30"/>
    </row>
    <row r="340" spans="4:9">
      <c r="D340" s="47"/>
      <c r="E340" s="143"/>
      <c r="H340" s="2"/>
      <c r="I340" s="30"/>
    </row>
    <row r="341" spans="4:9">
      <c r="D341" s="47"/>
      <c r="E341" s="143"/>
      <c r="H341" s="2"/>
      <c r="I341" s="30"/>
    </row>
    <row r="342" spans="4:9">
      <c r="D342" s="47"/>
      <c r="E342" s="143"/>
      <c r="H342" s="2"/>
      <c r="I342" s="30"/>
    </row>
    <row r="343" spans="4:9">
      <c r="D343" s="47"/>
      <c r="E343" s="143"/>
      <c r="H343" s="2"/>
      <c r="I343" s="30"/>
    </row>
    <row r="344" spans="4:9">
      <c r="D344" s="47"/>
      <c r="E344" s="143"/>
      <c r="H344" s="2"/>
      <c r="I344" s="30"/>
    </row>
    <row r="345" spans="4:9">
      <c r="D345" s="47"/>
      <c r="E345" s="143"/>
      <c r="H345" s="2"/>
      <c r="I345" s="30"/>
    </row>
    <row r="346" spans="4:9">
      <c r="D346" s="47"/>
      <c r="E346" s="143"/>
      <c r="H346" s="2"/>
      <c r="I346" s="30"/>
    </row>
    <row r="347" spans="4:9">
      <c r="D347" s="47"/>
      <c r="E347" s="143"/>
      <c r="H347" s="2"/>
      <c r="I347" s="30"/>
    </row>
    <row r="348" spans="4:9">
      <c r="D348" s="47"/>
      <c r="E348" s="143"/>
      <c r="H348" s="2"/>
      <c r="I348" s="30"/>
    </row>
    <row r="349" spans="4:9">
      <c r="D349" s="47"/>
      <c r="E349" s="143"/>
      <c r="H349" s="2"/>
      <c r="I349" s="30"/>
    </row>
    <row r="350" spans="4:9">
      <c r="D350" s="47"/>
      <c r="E350" s="143"/>
      <c r="H350" s="2"/>
      <c r="I350" s="30"/>
    </row>
    <row r="351" spans="4:9">
      <c r="D351" s="47"/>
      <c r="E351" s="143"/>
      <c r="H351" s="2"/>
      <c r="I351" s="30"/>
    </row>
    <row r="352" spans="4:9">
      <c r="D352" s="47"/>
      <c r="E352" s="143"/>
      <c r="H352" s="2"/>
      <c r="I352" s="30"/>
    </row>
    <row r="353" spans="4:9">
      <c r="D353" s="47"/>
      <c r="E353" s="143"/>
      <c r="H353" s="2"/>
      <c r="I353" s="30"/>
    </row>
    <row r="354" spans="4:9">
      <c r="D354" s="47"/>
      <c r="E354" s="143"/>
      <c r="H354" s="2"/>
      <c r="I354" s="30"/>
    </row>
    <row r="355" spans="4:9">
      <c r="D355" s="47"/>
      <c r="E355" s="143"/>
      <c r="H355" s="2"/>
      <c r="I355" s="30"/>
    </row>
    <row r="356" spans="4:9">
      <c r="D356" s="47"/>
      <c r="E356" s="143"/>
      <c r="H356" s="2"/>
      <c r="I356" s="30"/>
    </row>
    <row r="357" spans="4:9">
      <c r="D357" s="47"/>
      <c r="E357" s="143"/>
      <c r="H357" s="2"/>
      <c r="I357" s="30"/>
    </row>
    <row r="358" spans="4:9">
      <c r="D358" s="47"/>
      <c r="E358" s="143"/>
      <c r="H358" s="2"/>
      <c r="I358" s="30"/>
    </row>
    <row r="359" spans="4:9">
      <c r="D359" s="47"/>
      <c r="E359" s="143"/>
      <c r="H359" s="2"/>
      <c r="I359" s="30"/>
    </row>
    <row r="360" spans="4:9">
      <c r="D360" s="47"/>
      <c r="E360" s="143"/>
      <c r="H360" s="2"/>
      <c r="I360" s="30"/>
    </row>
    <row r="361" spans="4:9">
      <c r="D361" s="47"/>
      <c r="E361" s="143"/>
      <c r="H361" s="2"/>
      <c r="I361" s="30"/>
    </row>
    <row r="362" spans="4:9">
      <c r="D362" s="47"/>
      <c r="E362" s="143"/>
      <c r="H362" s="2"/>
      <c r="I362" s="30"/>
    </row>
    <row r="363" spans="4:9">
      <c r="D363" s="47"/>
      <c r="E363" s="143"/>
      <c r="H363" s="2"/>
      <c r="I363" s="30"/>
    </row>
    <row r="364" spans="4:9">
      <c r="D364" s="47"/>
      <c r="E364" s="143"/>
      <c r="H364" s="2"/>
      <c r="I364" s="30"/>
    </row>
    <row r="365" spans="4:9">
      <c r="D365" s="47"/>
      <c r="E365" s="143"/>
      <c r="H365" s="2"/>
      <c r="I365" s="30"/>
    </row>
    <row r="366" spans="4:9">
      <c r="D366" s="47"/>
      <c r="E366" s="143"/>
      <c r="H366" s="2"/>
      <c r="I366" s="30"/>
    </row>
    <row r="367" spans="4:9">
      <c r="D367" s="47"/>
      <c r="E367" s="143"/>
      <c r="H367" s="2"/>
      <c r="I367" s="30"/>
    </row>
    <row r="368" spans="4:9">
      <c r="D368" s="47"/>
      <c r="E368" s="143"/>
      <c r="H368" s="2"/>
      <c r="I368" s="30"/>
    </row>
    <row r="369" spans="4:9">
      <c r="D369" s="47"/>
      <c r="E369" s="143"/>
      <c r="H369" s="2"/>
      <c r="I369" s="30"/>
    </row>
    <row r="370" spans="4:9">
      <c r="D370" s="47"/>
      <c r="E370" s="143"/>
      <c r="H370" s="2"/>
      <c r="I370" s="30"/>
    </row>
    <row r="371" spans="4:9">
      <c r="D371" s="47"/>
      <c r="E371" s="143"/>
      <c r="H371" s="2"/>
      <c r="I371" s="30"/>
    </row>
    <row r="372" spans="4:9">
      <c r="D372" s="47"/>
      <c r="E372" s="143"/>
      <c r="H372" s="2"/>
      <c r="I372" s="30"/>
    </row>
    <row r="373" spans="4:9">
      <c r="D373" s="47"/>
      <c r="E373" s="143"/>
      <c r="H373" s="2"/>
      <c r="I373" s="30"/>
    </row>
    <row r="374" spans="4:9">
      <c r="D374" s="47"/>
      <c r="E374" s="143"/>
      <c r="H374" s="2"/>
      <c r="I374" s="30"/>
    </row>
    <row r="375" spans="4:9">
      <c r="D375" s="47"/>
      <c r="E375" s="143"/>
      <c r="H375" s="2"/>
      <c r="I375" s="30"/>
    </row>
    <row r="376" spans="4:9">
      <c r="D376" s="47"/>
      <c r="E376" s="143"/>
      <c r="H376" s="2"/>
      <c r="I376" s="30"/>
    </row>
    <row r="377" spans="4:9">
      <c r="D377" s="47"/>
      <c r="E377" s="143"/>
      <c r="H377" s="2"/>
      <c r="I377" s="30"/>
    </row>
    <row r="378" spans="4:9">
      <c r="D378" s="47"/>
      <c r="E378" s="143"/>
      <c r="H378" s="2"/>
      <c r="I378" s="30"/>
    </row>
    <row r="379" spans="4:9">
      <c r="D379" s="47"/>
      <c r="E379" s="143"/>
      <c r="H379" s="2"/>
      <c r="I379" s="30"/>
    </row>
    <row r="380" spans="4:9">
      <c r="D380" s="47"/>
      <c r="E380" s="143"/>
      <c r="H380" s="2"/>
      <c r="I380" s="30"/>
    </row>
    <row r="381" spans="4:9">
      <c r="D381" s="47"/>
      <c r="E381" s="143"/>
      <c r="H381" s="2"/>
      <c r="I381" s="30"/>
    </row>
    <row r="382" spans="4:9">
      <c r="D382" s="47"/>
      <c r="E382" s="143"/>
      <c r="H382" s="2"/>
      <c r="I382" s="30"/>
    </row>
    <row r="383" spans="4:9">
      <c r="D383" s="47"/>
      <c r="E383" s="143"/>
      <c r="H383" s="2"/>
      <c r="I383" s="30"/>
    </row>
    <row r="384" spans="4:9">
      <c r="D384" s="47"/>
      <c r="E384" s="143"/>
      <c r="H384" s="2"/>
      <c r="I384" s="30"/>
    </row>
    <row r="385" spans="4:9">
      <c r="D385" s="47"/>
      <c r="E385" s="143"/>
      <c r="H385" s="2"/>
      <c r="I385" s="30"/>
    </row>
    <row r="386" spans="4:9">
      <c r="D386" s="47"/>
      <c r="E386" s="143"/>
      <c r="H386" s="2"/>
      <c r="I386" s="30"/>
    </row>
    <row r="387" spans="4:9">
      <c r="D387" s="47"/>
      <c r="E387" s="143"/>
      <c r="H387" s="2"/>
      <c r="I387" s="30"/>
    </row>
    <row r="388" spans="4:9">
      <c r="D388" s="47"/>
      <c r="E388" s="143"/>
      <c r="H388" s="2"/>
      <c r="I388" s="30"/>
    </row>
    <row r="389" spans="4:9">
      <c r="D389" s="47"/>
      <c r="E389" s="143"/>
      <c r="H389" s="2"/>
      <c r="I389" s="30"/>
    </row>
    <row r="390" spans="4:9">
      <c r="D390" s="47"/>
      <c r="E390" s="143"/>
      <c r="H390" s="2"/>
      <c r="I390" s="30"/>
    </row>
    <row r="391" spans="4:9">
      <c r="D391" s="47"/>
      <c r="E391" s="143"/>
      <c r="H391" s="2"/>
      <c r="I391" s="30"/>
    </row>
    <row r="392" spans="4:9">
      <c r="D392" s="47"/>
      <c r="E392" s="143"/>
      <c r="H392" s="2"/>
      <c r="I392" s="30"/>
    </row>
    <row r="393" spans="4:9">
      <c r="D393" s="47"/>
      <c r="E393" s="143"/>
      <c r="H393" s="2"/>
      <c r="I393" s="30"/>
    </row>
    <row r="394" spans="4:9">
      <c r="D394" s="47"/>
      <c r="E394" s="143"/>
      <c r="H394" s="2"/>
      <c r="I394" s="30"/>
    </row>
    <row r="395" spans="4:9">
      <c r="D395" s="47"/>
      <c r="E395" s="143"/>
      <c r="H395" s="2"/>
      <c r="I395" s="30"/>
    </row>
    <row r="396" spans="4:9">
      <c r="D396" s="47"/>
      <c r="E396" s="143"/>
      <c r="H396" s="2"/>
      <c r="I396" s="30"/>
    </row>
    <row r="397" spans="4:9">
      <c r="D397" s="47"/>
      <c r="E397" s="143"/>
      <c r="H397" s="2"/>
      <c r="I397" s="30"/>
    </row>
    <row r="398" spans="4:9">
      <c r="D398" s="47"/>
      <c r="E398" s="143"/>
      <c r="H398" s="2"/>
      <c r="I398" s="30"/>
    </row>
    <row r="399" spans="4:9">
      <c r="D399" s="47"/>
      <c r="E399" s="143"/>
      <c r="H399" s="2"/>
      <c r="I399" s="30"/>
    </row>
    <row r="400" spans="4:9">
      <c r="D400" s="47"/>
      <c r="E400" s="143"/>
      <c r="H400" s="2"/>
      <c r="I400" s="30"/>
    </row>
    <row r="401" spans="4:9">
      <c r="D401" s="47"/>
      <c r="E401" s="143"/>
      <c r="H401" s="2"/>
      <c r="I401" s="30"/>
    </row>
    <row r="402" spans="4:9">
      <c r="D402" s="47"/>
      <c r="E402" s="143"/>
      <c r="H402" s="2"/>
      <c r="I402" s="30"/>
    </row>
    <row r="403" spans="4:9">
      <c r="D403" s="47"/>
      <c r="E403" s="143"/>
      <c r="H403" s="2"/>
      <c r="I403" s="30"/>
    </row>
    <row r="404" spans="4:9">
      <c r="D404" s="47"/>
      <c r="E404" s="143"/>
      <c r="H404" s="2"/>
      <c r="I404" s="30"/>
    </row>
    <row r="405" spans="4:9">
      <c r="D405" s="47"/>
      <c r="E405" s="143"/>
      <c r="H405" s="2"/>
      <c r="I405" s="30"/>
    </row>
    <row r="406" spans="4:9">
      <c r="D406" s="47"/>
      <c r="E406" s="143"/>
      <c r="H406" s="2"/>
      <c r="I406" s="30"/>
    </row>
    <row r="407" spans="4:9">
      <c r="D407" s="47"/>
      <c r="E407" s="143"/>
      <c r="H407" s="2"/>
      <c r="I407" s="30"/>
    </row>
    <row r="408" spans="4:9">
      <c r="D408" s="47"/>
      <c r="E408" s="143"/>
      <c r="H408" s="2"/>
      <c r="I408" s="30"/>
    </row>
    <row r="409" spans="4:9">
      <c r="D409" s="47"/>
      <c r="E409" s="143"/>
      <c r="H409" s="2"/>
      <c r="I409" s="30"/>
    </row>
    <row r="410" spans="4:9">
      <c r="D410" s="47"/>
      <c r="E410" s="143"/>
      <c r="H410" s="2"/>
      <c r="I410" s="30"/>
    </row>
    <row r="411" spans="4:9">
      <c r="D411" s="47"/>
      <c r="E411" s="143"/>
      <c r="H411" s="2"/>
      <c r="I411" s="30"/>
    </row>
    <row r="412" spans="4:9">
      <c r="D412" s="47"/>
      <c r="E412" s="143"/>
      <c r="H412" s="2"/>
      <c r="I412" s="30"/>
    </row>
    <row r="413" spans="4:9">
      <c r="D413" s="47"/>
      <c r="E413" s="143"/>
      <c r="H413" s="2"/>
      <c r="I413" s="30"/>
    </row>
    <row r="414" spans="4:9">
      <c r="D414" s="47"/>
      <c r="E414" s="143"/>
      <c r="H414" s="2"/>
      <c r="I414" s="30"/>
    </row>
    <row r="415" spans="4:9">
      <c r="D415" s="47"/>
      <c r="E415" s="143"/>
      <c r="H415" s="2"/>
      <c r="I415" s="30"/>
    </row>
    <row r="416" spans="4:9">
      <c r="D416" s="47"/>
      <c r="E416" s="143"/>
      <c r="H416" s="2"/>
      <c r="I416" s="30"/>
    </row>
    <row r="417" spans="4:9">
      <c r="D417" s="47"/>
      <c r="E417" s="143"/>
      <c r="H417" s="2"/>
      <c r="I417" s="30"/>
    </row>
    <row r="418" spans="4:9">
      <c r="D418" s="47"/>
      <c r="E418" s="143"/>
      <c r="H418" s="2"/>
      <c r="I418" s="30"/>
    </row>
    <row r="419" spans="4:9">
      <c r="D419" s="47"/>
      <c r="E419" s="143"/>
      <c r="H419" s="2"/>
      <c r="I419" s="30"/>
    </row>
    <row r="420" spans="4:9">
      <c r="D420" s="47"/>
      <c r="E420" s="143"/>
      <c r="H420" s="2"/>
      <c r="I420" s="30"/>
    </row>
    <row r="421" spans="4:9">
      <c r="D421" s="47"/>
      <c r="E421" s="143"/>
      <c r="H421" s="2"/>
      <c r="I421" s="30"/>
    </row>
    <row r="422" spans="4:9">
      <c r="D422" s="47"/>
      <c r="E422" s="143"/>
      <c r="H422" s="2"/>
      <c r="I422" s="30"/>
    </row>
    <row r="423" spans="4:9">
      <c r="D423" s="47"/>
      <c r="E423" s="143"/>
      <c r="H423" s="2"/>
      <c r="I423" s="30"/>
    </row>
    <row r="424" spans="4:9">
      <c r="D424" s="47"/>
      <c r="E424" s="143"/>
      <c r="H424" s="2"/>
      <c r="I424" s="30"/>
    </row>
    <row r="425" spans="4:9">
      <c r="D425" s="47"/>
      <c r="E425" s="143"/>
      <c r="H425" s="2"/>
      <c r="I425" s="30"/>
    </row>
    <row r="426" spans="4:9">
      <c r="D426" s="47"/>
      <c r="E426" s="143"/>
      <c r="H426" s="2"/>
      <c r="I426" s="30"/>
    </row>
    <row r="427" spans="4:9">
      <c r="D427" s="47"/>
      <c r="E427" s="143"/>
      <c r="H427" s="2"/>
      <c r="I427" s="30"/>
    </row>
    <row r="428" spans="4:9">
      <c r="D428" s="47"/>
      <c r="E428" s="143"/>
      <c r="H428" s="2"/>
      <c r="I428" s="30"/>
    </row>
    <row r="429" spans="4:9">
      <c r="D429" s="47"/>
      <c r="E429" s="143"/>
      <c r="H429" s="2"/>
      <c r="I429" s="30"/>
    </row>
    <row r="430" spans="4:9">
      <c r="D430" s="47"/>
      <c r="E430" s="143"/>
      <c r="H430" s="2"/>
      <c r="I430" s="30"/>
    </row>
    <row r="431" spans="4:9">
      <c r="D431" s="47"/>
      <c r="E431" s="143"/>
      <c r="H431" s="2"/>
      <c r="I431" s="30"/>
    </row>
    <row r="432" spans="4:9">
      <c r="D432" s="47"/>
      <c r="E432" s="143"/>
      <c r="H432" s="2"/>
      <c r="I432" s="30"/>
    </row>
    <row r="433" spans="4:9">
      <c r="D433" s="47"/>
      <c r="E433" s="143"/>
      <c r="H433" s="2"/>
      <c r="I433" s="30"/>
    </row>
    <row r="434" spans="4:9">
      <c r="D434" s="47"/>
      <c r="E434" s="143"/>
      <c r="H434" s="2"/>
      <c r="I434" s="30"/>
    </row>
    <row r="435" spans="4:9">
      <c r="D435" s="47"/>
      <c r="E435" s="143"/>
      <c r="H435" s="2"/>
      <c r="I435" s="30"/>
    </row>
    <row r="436" spans="4:9">
      <c r="D436" s="47"/>
      <c r="E436" s="143"/>
      <c r="H436" s="2"/>
      <c r="I436" s="30"/>
    </row>
    <row r="437" spans="4:9">
      <c r="D437" s="47"/>
      <c r="E437" s="143"/>
      <c r="H437" s="2"/>
      <c r="I437" s="30"/>
    </row>
    <row r="438" spans="4:9">
      <c r="D438" s="47"/>
      <c r="E438" s="143"/>
      <c r="H438" s="2"/>
      <c r="I438" s="30"/>
    </row>
    <row r="439" spans="4:9">
      <c r="D439" s="47"/>
      <c r="E439" s="143"/>
      <c r="H439" s="2"/>
      <c r="I439" s="30"/>
    </row>
    <row r="440" spans="4:9">
      <c r="D440" s="47"/>
      <c r="E440" s="143"/>
      <c r="H440" s="2"/>
      <c r="I440" s="30"/>
    </row>
    <row r="441" spans="4:9">
      <c r="D441" s="47"/>
      <c r="E441" s="143"/>
      <c r="H441" s="2"/>
      <c r="I441" s="30"/>
    </row>
    <row r="442" spans="4:9">
      <c r="D442" s="47"/>
      <c r="E442" s="143"/>
      <c r="H442" s="2"/>
      <c r="I442" s="30"/>
    </row>
    <row r="443" spans="4:9">
      <c r="D443" s="47"/>
      <c r="E443" s="143"/>
      <c r="H443" s="2"/>
      <c r="I443" s="30"/>
    </row>
    <row r="444" spans="4:9">
      <c r="D444" s="47"/>
      <c r="E444" s="143"/>
      <c r="H444" s="2"/>
      <c r="I444" s="30"/>
    </row>
    <row r="445" spans="4:9">
      <c r="D445" s="47"/>
      <c r="E445" s="143"/>
      <c r="H445" s="2"/>
      <c r="I445" s="30"/>
    </row>
    <row r="446" spans="4:9">
      <c r="D446" s="47"/>
      <c r="E446" s="143"/>
      <c r="H446" s="2"/>
      <c r="I446" s="30"/>
    </row>
    <row r="447" spans="4:9">
      <c r="D447" s="47"/>
      <c r="E447" s="143"/>
      <c r="H447" s="2"/>
      <c r="I447" s="30"/>
    </row>
    <row r="448" spans="4:9">
      <c r="D448" s="47"/>
      <c r="E448" s="143"/>
      <c r="H448" s="2"/>
      <c r="I448" s="30"/>
    </row>
    <row r="449" spans="4:9">
      <c r="D449" s="47"/>
      <c r="E449" s="143"/>
      <c r="H449" s="2"/>
      <c r="I449" s="30"/>
    </row>
    <row r="450" spans="4:9">
      <c r="D450" s="47"/>
      <c r="E450" s="143"/>
      <c r="H450" s="2"/>
      <c r="I450" s="30"/>
    </row>
    <row r="451" spans="4:9">
      <c r="D451" s="47"/>
      <c r="E451" s="143"/>
      <c r="H451" s="2"/>
      <c r="I451" s="30"/>
    </row>
    <row r="452" spans="4:9">
      <c r="D452" s="47"/>
      <c r="E452" s="143"/>
      <c r="H452" s="2"/>
      <c r="I452" s="30"/>
    </row>
    <row r="453" spans="4:9">
      <c r="D453" s="47"/>
      <c r="E453" s="143"/>
      <c r="H453" s="2"/>
      <c r="I453" s="30"/>
    </row>
    <row r="454" spans="4:9">
      <c r="D454" s="47"/>
      <c r="E454" s="143"/>
      <c r="H454" s="2"/>
      <c r="I454" s="30"/>
    </row>
    <row r="455" spans="4:9">
      <c r="D455" s="47"/>
      <c r="E455" s="143"/>
      <c r="H455" s="2"/>
      <c r="I455" s="30"/>
    </row>
    <row r="456" spans="4:9">
      <c r="D456" s="47"/>
      <c r="E456" s="143"/>
      <c r="H456" s="2"/>
      <c r="I456" s="30"/>
    </row>
    <row r="457" spans="4:9">
      <c r="D457" s="47"/>
      <c r="E457" s="143"/>
      <c r="H457" s="2"/>
      <c r="I457" s="30"/>
    </row>
    <row r="458" spans="4:9">
      <c r="D458" s="47"/>
      <c r="E458" s="143"/>
      <c r="H458" s="2"/>
      <c r="I458" s="30"/>
    </row>
    <row r="459" spans="4:9">
      <c r="D459" s="47"/>
      <c r="E459" s="143"/>
      <c r="H459" s="2"/>
      <c r="I459" s="30"/>
    </row>
    <row r="460" spans="4:9">
      <c r="D460" s="47"/>
      <c r="E460" s="143"/>
      <c r="H460" s="2"/>
      <c r="I460" s="30"/>
    </row>
    <row r="461" spans="4:9">
      <c r="D461" s="47"/>
      <c r="E461" s="143"/>
      <c r="H461" s="2"/>
      <c r="I461" s="30"/>
    </row>
    <row r="462" spans="4:9">
      <c r="D462" s="47"/>
      <c r="E462" s="143"/>
      <c r="H462" s="2"/>
      <c r="I462" s="30"/>
    </row>
    <row r="463" spans="4:9">
      <c r="D463" s="47"/>
      <c r="E463" s="143"/>
      <c r="H463" s="2"/>
      <c r="I463" s="30"/>
    </row>
    <row r="464" spans="4:9">
      <c r="D464" s="47"/>
      <c r="E464" s="143"/>
      <c r="H464" s="2"/>
      <c r="I464" s="30"/>
    </row>
    <row r="465" spans="4:9">
      <c r="D465" s="47"/>
      <c r="E465" s="143"/>
      <c r="H465" s="2"/>
      <c r="I465" s="30"/>
    </row>
    <row r="466" spans="4:9">
      <c r="D466" s="47"/>
      <c r="E466" s="143"/>
      <c r="H466" s="2"/>
      <c r="I466" s="30"/>
    </row>
    <row r="467" spans="4:9">
      <c r="D467" s="47"/>
      <c r="E467" s="143"/>
      <c r="H467" s="2"/>
      <c r="I467" s="30"/>
    </row>
    <row r="468" spans="4:9">
      <c r="D468" s="47"/>
      <c r="E468" s="143"/>
      <c r="H468" s="2"/>
      <c r="I468" s="30"/>
    </row>
    <row r="469" spans="4:9">
      <c r="D469" s="47"/>
      <c r="E469" s="143"/>
      <c r="H469" s="2"/>
      <c r="I469" s="30"/>
    </row>
    <row r="470" spans="4:9">
      <c r="D470" s="47"/>
      <c r="E470" s="143"/>
      <c r="H470" s="2"/>
      <c r="I470" s="30"/>
    </row>
    <row r="471" spans="4:9">
      <c r="D471" s="47"/>
      <c r="E471" s="143"/>
      <c r="H471" s="2"/>
      <c r="I471" s="30"/>
    </row>
    <row r="472" spans="4:9">
      <c r="D472" s="47"/>
      <c r="E472" s="143"/>
      <c r="H472" s="2"/>
      <c r="I472" s="30"/>
    </row>
    <row r="473" spans="4:9">
      <c r="D473" s="47"/>
      <c r="E473" s="143"/>
      <c r="H473" s="2"/>
      <c r="I473" s="30"/>
    </row>
    <row r="474" spans="4:9">
      <c r="D474" s="47"/>
      <c r="E474" s="143"/>
      <c r="H474" s="2"/>
      <c r="I474" s="30"/>
    </row>
    <row r="475" spans="4:9">
      <c r="D475" s="47"/>
      <c r="E475" s="143"/>
      <c r="H475" s="2"/>
      <c r="I475" s="30"/>
    </row>
    <row r="476" spans="4:9">
      <c r="D476" s="47"/>
      <c r="E476" s="143"/>
      <c r="H476" s="2"/>
      <c r="I476" s="30"/>
    </row>
    <row r="477" spans="4:9">
      <c r="D477" s="47"/>
      <c r="E477" s="143"/>
      <c r="H477" s="2"/>
      <c r="I477" s="30"/>
    </row>
    <row r="478" spans="4:9">
      <c r="D478" s="47"/>
      <c r="E478" s="143"/>
      <c r="H478" s="2"/>
      <c r="I478" s="30"/>
    </row>
    <row r="479" spans="4:9">
      <c r="D479" s="47"/>
      <c r="E479" s="143"/>
      <c r="H479" s="2"/>
      <c r="I479" s="30"/>
    </row>
    <row r="480" spans="4:9">
      <c r="D480" s="47"/>
      <c r="E480" s="143"/>
      <c r="H480" s="2"/>
      <c r="I480" s="30"/>
    </row>
    <row r="481" spans="4:9">
      <c r="D481" s="47"/>
      <c r="E481" s="143"/>
      <c r="H481" s="2"/>
      <c r="I481" s="30"/>
    </row>
    <row r="482" spans="4:9">
      <c r="D482" s="47"/>
      <c r="E482" s="143"/>
      <c r="H482" s="2"/>
      <c r="I482" s="30"/>
    </row>
    <row r="483" spans="4:9">
      <c r="D483" s="47"/>
      <c r="E483" s="143"/>
      <c r="H483" s="2"/>
      <c r="I483" s="30"/>
    </row>
    <row r="484" spans="4:9">
      <c r="D484" s="47"/>
      <c r="E484" s="143"/>
      <c r="H484" s="2"/>
      <c r="I484" s="30"/>
    </row>
    <row r="485" spans="4:9">
      <c r="D485" s="47"/>
      <c r="E485" s="143"/>
      <c r="H485" s="2"/>
      <c r="I485" s="30"/>
    </row>
    <row r="486" spans="4:9">
      <c r="D486" s="47"/>
      <c r="E486" s="143"/>
      <c r="H486" s="2"/>
      <c r="I486" s="30"/>
    </row>
    <row r="487" spans="4:9">
      <c r="D487" s="47"/>
      <c r="E487" s="143"/>
      <c r="H487" s="2"/>
      <c r="I487" s="30"/>
    </row>
    <row r="488" spans="4:9">
      <c r="D488" s="47"/>
      <c r="E488" s="143"/>
      <c r="H488" s="2"/>
      <c r="I488" s="30"/>
    </row>
    <row r="489" spans="4:9">
      <c r="D489" s="47"/>
      <c r="E489" s="143"/>
      <c r="H489" s="2"/>
      <c r="I489" s="30"/>
    </row>
    <row r="490" spans="4:9">
      <c r="D490" s="47"/>
      <c r="E490" s="143"/>
      <c r="H490" s="2"/>
      <c r="I490" s="30"/>
    </row>
    <row r="491" spans="4:9">
      <c r="D491" s="47"/>
      <c r="E491" s="143"/>
      <c r="H491" s="2"/>
      <c r="I491" s="30"/>
    </row>
    <row r="492" spans="4:9">
      <c r="D492" s="47"/>
      <c r="E492" s="143"/>
      <c r="H492" s="2"/>
      <c r="I492" s="30"/>
    </row>
    <row r="493" spans="4:9">
      <c r="D493" s="47"/>
      <c r="E493" s="143"/>
      <c r="H493" s="2"/>
      <c r="I493" s="30"/>
    </row>
    <row r="494" spans="4:9">
      <c r="D494" s="47"/>
      <c r="E494" s="143"/>
      <c r="H494" s="2"/>
      <c r="I494" s="30"/>
    </row>
    <row r="495" spans="4:9">
      <c r="D495" s="47"/>
      <c r="E495" s="143"/>
      <c r="H495" s="2"/>
      <c r="I495" s="30"/>
    </row>
    <row r="496" spans="4:9">
      <c r="D496" s="47"/>
      <c r="E496" s="143"/>
      <c r="H496" s="2"/>
      <c r="I496" s="30"/>
    </row>
    <row r="497" spans="4:9">
      <c r="D497" s="47"/>
      <c r="E497" s="143"/>
      <c r="H497" s="2"/>
      <c r="I497" s="30"/>
    </row>
    <row r="498" spans="4:9">
      <c r="D498" s="47"/>
      <c r="E498" s="143"/>
      <c r="H498" s="2"/>
      <c r="I498" s="30"/>
    </row>
    <row r="499" spans="4:9">
      <c r="D499" s="47"/>
      <c r="E499" s="143"/>
      <c r="H499" s="2"/>
      <c r="I499" s="30"/>
    </row>
    <row r="500" spans="4:9">
      <c r="D500" s="47"/>
      <c r="E500" s="143"/>
      <c r="H500" s="2"/>
      <c r="I500" s="30"/>
    </row>
    <row r="501" spans="4:9">
      <c r="D501" s="47"/>
      <c r="E501" s="143"/>
      <c r="H501" s="2"/>
      <c r="I501" s="30"/>
    </row>
    <row r="502" spans="4:9">
      <c r="D502" s="47"/>
      <c r="E502" s="143"/>
      <c r="H502" s="2"/>
      <c r="I502" s="30"/>
    </row>
    <row r="503" spans="4:9">
      <c r="D503" s="47"/>
      <c r="E503" s="143"/>
      <c r="H503" s="2"/>
      <c r="I503" s="30"/>
    </row>
    <row r="504" spans="4:9">
      <c r="D504" s="47"/>
      <c r="E504" s="143"/>
      <c r="H504" s="2"/>
      <c r="I504" s="30"/>
    </row>
    <row r="505" spans="4:9">
      <c r="D505" s="47"/>
      <c r="E505" s="143"/>
      <c r="H505" s="2"/>
      <c r="I505" s="30"/>
    </row>
    <row r="506" spans="4:9">
      <c r="D506" s="47"/>
      <c r="E506" s="143"/>
      <c r="H506" s="2"/>
      <c r="I506" s="30"/>
    </row>
    <row r="507" spans="4:9">
      <c r="D507" s="47"/>
      <c r="E507" s="143"/>
      <c r="H507" s="2"/>
      <c r="I507" s="30"/>
    </row>
    <row r="508" spans="4:9">
      <c r="D508" s="47"/>
      <c r="E508" s="143"/>
      <c r="H508" s="2"/>
      <c r="I508" s="30"/>
    </row>
    <row r="509" spans="4:9">
      <c r="D509" s="47"/>
      <c r="E509" s="143"/>
      <c r="H509" s="2"/>
      <c r="I509" s="30"/>
    </row>
    <row r="510" spans="4:9">
      <c r="D510" s="47"/>
      <c r="E510" s="143"/>
      <c r="H510" s="2"/>
      <c r="I510" s="30"/>
    </row>
    <row r="511" spans="4:9">
      <c r="D511" s="47"/>
      <c r="E511" s="143"/>
      <c r="H511" s="2"/>
      <c r="I511" s="30"/>
    </row>
    <row r="512" spans="4:9">
      <c r="D512" s="47"/>
      <c r="E512" s="143"/>
      <c r="H512" s="2"/>
      <c r="I512" s="30"/>
    </row>
    <row r="513" spans="4:9">
      <c r="D513" s="47"/>
      <c r="E513" s="143"/>
      <c r="H513" s="2"/>
      <c r="I513" s="30"/>
    </row>
    <row r="514" spans="4:9">
      <c r="D514" s="47"/>
      <c r="E514" s="143"/>
      <c r="H514" s="2"/>
      <c r="I514" s="30"/>
    </row>
    <row r="515" spans="4:9">
      <c r="D515" s="47"/>
      <c r="E515" s="143"/>
      <c r="H515" s="2"/>
      <c r="I515" s="30"/>
    </row>
    <row r="516" spans="4:9">
      <c r="D516" s="47"/>
      <c r="E516" s="143"/>
      <c r="H516" s="2"/>
      <c r="I516" s="30"/>
    </row>
    <row r="517" spans="4:9">
      <c r="D517" s="47"/>
      <c r="E517" s="143"/>
      <c r="H517" s="2"/>
      <c r="I517" s="30"/>
    </row>
    <row r="518" spans="4:9">
      <c r="D518" s="47"/>
      <c r="E518" s="143"/>
      <c r="H518" s="2"/>
      <c r="I518" s="30"/>
    </row>
    <row r="519" spans="4:9">
      <c r="D519" s="47"/>
      <c r="E519" s="143"/>
      <c r="H519" s="2"/>
      <c r="I519" s="30"/>
    </row>
    <row r="520" spans="4:9">
      <c r="D520" s="47"/>
      <c r="E520" s="143"/>
      <c r="H520" s="2"/>
      <c r="I520" s="30"/>
    </row>
    <row r="521" spans="4:9">
      <c r="D521" s="47"/>
      <c r="E521" s="143"/>
      <c r="H521" s="2"/>
      <c r="I521" s="30"/>
    </row>
    <row r="522" spans="4:9">
      <c r="D522" s="47"/>
      <c r="E522" s="143"/>
      <c r="H522" s="2"/>
      <c r="I522" s="30"/>
    </row>
    <row r="523" spans="4:9">
      <c r="D523" s="47"/>
      <c r="E523" s="143"/>
      <c r="H523" s="2"/>
      <c r="I523" s="30"/>
    </row>
    <row r="524" spans="4:9">
      <c r="D524" s="47"/>
      <c r="E524" s="143"/>
      <c r="H524" s="2"/>
      <c r="I524" s="30"/>
    </row>
    <row r="525" spans="4:9">
      <c r="D525" s="47"/>
      <c r="E525" s="143"/>
      <c r="H525" s="2"/>
      <c r="I525" s="30"/>
    </row>
    <row r="526" spans="4:9">
      <c r="D526" s="47"/>
      <c r="E526" s="143"/>
      <c r="H526" s="2"/>
      <c r="I526" s="30"/>
    </row>
    <row r="527" spans="4:9">
      <c r="D527" s="47"/>
      <c r="E527" s="143"/>
      <c r="H527" s="2"/>
      <c r="I527" s="30"/>
    </row>
    <row r="528" spans="4:9">
      <c r="D528" s="47"/>
      <c r="E528" s="143"/>
      <c r="H528" s="2"/>
      <c r="I528" s="30"/>
    </row>
    <row r="529" spans="4:9">
      <c r="D529" s="47"/>
      <c r="E529" s="143"/>
      <c r="H529" s="2"/>
      <c r="I529" s="30"/>
    </row>
    <row r="530" spans="4:9">
      <c r="D530" s="47"/>
      <c r="E530" s="143"/>
      <c r="H530" s="2"/>
      <c r="I530" s="30"/>
    </row>
    <row r="531" spans="4:9">
      <c r="D531" s="47"/>
      <c r="E531" s="143"/>
      <c r="H531" s="2"/>
      <c r="I531" s="30"/>
    </row>
    <row r="532" spans="4:9">
      <c r="D532" s="47"/>
      <c r="E532" s="143"/>
      <c r="H532" s="2"/>
      <c r="I532" s="30"/>
    </row>
    <row r="533" spans="4:9">
      <c r="D533" s="47"/>
      <c r="E533" s="143"/>
      <c r="H533" s="2"/>
      <c r="I533" s="30"/>
    </row>
    <row r="534" spans="4:9">
      <c r="D534" s="47"/>
      <c r="E534" s="143"/>
      <c r="H534" s="2"/>
      <c r="I534" s="30"/>
    </row>
    <row r="535" spans="4:9">
      <c r="D535" s="47"/>
      <c r="E535" s="143"/>
      <c r="H535" s="2"/>
      <c r="I535" s="30"/>
    </row>
    <row r="536" spans="4:9">
      <c r="D536" s="47"/>
      <c r="E536" s="143"/>
      <c r="H536" s="2"/>
      <c r="I536" s="30"/>
    </row>
    <row r="537" spans="4:9">
      <c r="D537" s="47"/>
      <c r="E537" s="143"/>
      <c r="H537" s="2"/>
      <c r="I537" s="30"/>
    </row>
    <row r="538" spans="4:9">
      <c r="D538" s="47"/>
      <c r="E538" s="143"/>
      <c r="H538" s="2"/>
      <c r="I538" s="30"/>
    </row>
    <row r="539" spans="4:9">
      <c r="D539" s="47"/>
      <c r="E539" s="143"/>
      <c r="H539" s="2"/>
      <c r="I539" s="30"/>
    </row>
    <row r="540" spans="4:9">
      <c r="D540" s="47"/>
      <c r="E540" s="143"/>
      <c r="H540" s="2"/>
      <c r="I540" s="30"/>
    </row>
    <row r="541" spans="4:9">
      <c r="D541" s="47"/>
      <c r="E541" s="143"/>
      <c r="H541" s="2"/>
      <c r="I541" s="30"/>
    </row>
    <row r="542" spans="4:9">
      <c r="D542" s="47"/>
      <c r="E542" s="143"/>
      <c r="H542" s="2"/>
      <c r="I542" s="30"/>
    </row>
    <row r="543" spans="4:9">
      <c r="D543" s="47"/>
      <c r="E543" s="143"/>
      <c r="H543" s="2"/>
      <c r="I543" s="30"/>
    </row>
    <row r="544" spans="4:9">
      <c r="D544" s="47"/>
      <c r="E544" s="143"/>
      <c r="H544" s="2"/>
      <c r="I544" s="30"/>
    </row>
    <row r="545" spans="4:9">
      <c r="D545" s="47"/>
      <c r="E545" s="143"/>
      <c r="H545" s="2"/>
      <c r="I545" s="30"/>
    </row>
    <row r="546" spans="4:9">
      <c r="D546" s="47"/>
      <c r="E546" s="143"/>
      <c r="H546" s="2"/>
      <c r="I546" s="30"/>
    </row>
    <row r="547" spans="4:9">
      <c r="D547" s="47"/>
      <c r="E547" s="143"/>
      <c r="H547" s="2"/>
      <c r="I547" s="30"/>
    </row>
    <row r="548" spans="4:9">
      <c r="D548" s="47"/>
      <c r="E548" s="143"/>
      <c r="H548" s="2"/>
      <c r="I548" s="30"/>
    </row>
    <row r="549" spans="4:9">
      <c r="D549" s="47"/>
      <c r="E549" s="143"/>
      <c r="H549" s="2"/>
      <c r="I549" s="30"/>
    </row>
    <row r="550" spans="4:9">
      <c r="D550" s="47"/>
      <c r="E550" s="143"/>
      <c r="H550" s="2"/>
      <c r="I550" s="30"/>
    </row>
    <row r="551" spans="4:9">
      <c r="D551" s="47"/>
      <c r="E551" s="143"/>
      <c r="H551" s="2"/>
      <c r="I551" s="30"/>
    </row>
    <row r="552" spans="4:9">
      <c r="D552" s="47"/>
      <c r="E552" s="143"/>
      <c r="H552" s="2"/>
      <c r="I552" s="30"/>
    </row>
    <row r="553" spans="4:9">
      <c r="D553" s="47"/>
      <c r="E553" s="143"/>
      <c r="H553" s="2"/>
      <c r="I553" s="30"/>
    </row>
    <row r="554" spans="4:9">
      <c r="D554" s="47"/>
      <c r="E554" s="143"/>
      <c r="H554" s="2"/>
      <c r="I554" s="30"/>
    </row>
    <row r="555" spans="4:9">
      <c r="D555" s="47"/>
      <c r="E555" s="143"/>
      <c r="H555" s="2"/>
      <c r="I555" s="30"/>
    </row>
    <row r="556" spans="4:9">
      <c r="D556" s="47"/>
      <c r="E556" s="143"/>
      <c r="H556" s="2"/>
      <c r="I556" s="30"/>
    </row>
    <row r="557" spans="4:9">
      <c r="D557" s="47"/>
      <c r="E557" s="143"/>
      <c r="H557" s="2"/>
      <c r="I557" s="30"/>
    </row>
    <row r="558" spans="4:9">
      <c r="D558" s="47"/>
      <c r="E558" s="143"/>
      <c r="H558" s="2"/>
      <c r="I558" s="30"/>
    </row>
    <row r="559" spans="4:9">
      <c r="D559" s="47"/>
      <c r="E559" s="143"/>
      <c r="H559" s="2"/>
      <c r="I559" s="30"/>
    </row>
    <row r="560" spans="4:9">
      <c r="D560" s="47"/>
      <c r="E560" s="143"/>
      <c r="H560" s="2"/>
      <c r="I560" s="30"/>
    </row>
    <row r="561" spans="4:9">
      <c r="D561" s="47"/>
      <c r="E561" s="143"/>
      <c r="H561" s="2"/>
      <c r="I561" s="30"/>
    </row>
    <row r="562" spans="4:9">
      <c r="D562" s="47"/>
      <c r="E562" s="143"/>
      <c r="H562" s="2"/>
      <c r="I562" s="30"/>
    </row>
    <row r="563" spans="4:9">
      <c r="D563" s="47"/>
      <c r="E563" s="143"/>
      <c r="H563" s="2"/>
      <c r="I563" s="30"/>
    </row>
    <row r="564" spans="4:9">
      <c r="D564" s="47"/>
      <c r="E564" s="143"/>
      <c r="H564" s="2"/>
      <c r="I564" s="30"/>
    </row>
    <row r="565" spans="4:9">
      <c r="D565" s="47"/>
      <c r="E565" s="143"/>
      <c r="H565" s="2"/>
      <c r="I565" s="30"/>
    </row>
    <row r="566" spans="4:9">
      <c r="D566" s="47"/>
      <c r="E566" s="143"/>
      <c r="H566" s="2"/>
      <c r="I566" s="30"/>
    </row>
    <row r="567" spans="4:9">
      <c r="D567" s="47"/>
      <c r="E567" s="143"/>
      <c r="H567" s="2"/>
      <c r="I567" s="30"/>
    </row>
    <row r="568" spans="4:9">
      <c r="D568" s="47"/>
      <c r="E568" s="143"/>
      <c r="H568" s="2"/>
      <c r="I568" s="30"/>
    </row>
    <row r="569" spans="4:9">
      <c r="D569" s="47"/>
      <c r="E569" s="143"/>
      <c r="H569" s="2"/>
      <c r="I569" s="30"/>
    </row>
    <row r="570" spans="4:9">
      <c r="D570" s="47"/>
      <c r="E570" s="143"/>
      <c r="H570" s="2"/>
      <c r="I570" s="30"/>
    </row>
    <row r="571" spans="4:9">
      <c r="D571" s="47"/>
      <c r="E571" s="143"/>
      <c r="H571" s="2"/>
      <c r="I571" s="30"/>
    </row>
    <row r="572" spans="4:9">
      <c r="D572" s="47"/>
      <c r="E572" s="143"/>
      <c r="H572" s="2"/>
      <c r="I572" s="30"/>
    </row>
    <row r="573" spans="4:9">
      <c r="D573" s="47"/>
      <c r="E573" s="143"/>
      <c r="H573" s="2"/>
      <c r="I573" s="30"/>
    </row>
    <row r="574" spans="4:9">
      <c r="D574" s="47"/>
      <c r="E574" s="143"/>
      <c r="H574" s="2"/>
      <c r="I574" s="30"/>
    </row>
    <row r="575" spans="4:9">
      <c r="D575" s="47"/>
      <c r="E575" s="143"/>
      <c r="H575" s="2"/>
      <c r="I575" s="30"/>
    </row>
    <row r="576" spans="4:9">
      <c r="D576" s="47"/>
      <c r="E576" s="143"/>
      <c r="H576" s="2"/>
      <c r="I576" s="30"/>
    </row>
    <row r="577" spans="4:9">
      <c r="D577" s="47"/>
      <c r="E577" s="143"/>
      <c r="H577" s="2"/>
      <c r="I577" s="30"/>
    </row>
    <row r="578" spans="4:9">
      <c r="D578" s="47"/>
      <c r="E578" s="143"/>
      <c r="H578" s="2"/>
      <c r="I578" s="30"/>
    </row>
    <row r="579" spans="4:9">
      <c r="D579" s="47"/>
      <c r="E579" s="143"/>
      <c r="H579" s="2"/>
      <c r="I579" s="30"/>
    </row>
    <row r="580" spans="4:9">
      <c r="D580" s="47"/>
      <c r="E580" s="143"/>
      <c r="H580" s="2"/>
      <c r="I580" s="30"/>
    </row>
    <row r="581" spans="4:9">
      <c r="D581" s="47"/>
      <c r="E581" s="143"/>
      <c r="H581" s="2"/>
      <c r="I581" s="30"/>
    </row>
    <row r="582" spans="4:9">
      <c r="D582" s="47"/>
      <c r="E582" s="143"/>
      <c r="H582" s="2"/>
      <c r="I582" s="30"/>
    </row>
    <row r="583" spans="4:9">
      <c r="D583" s="47"/>
      <c r="E583" s="143"/>
      <c r="H583" s="2"/>
      <c r="I583" s="30"/>
    </row>
    <row r="584" spans="4:9">
      <c r="D584" s="47"/>
      <c r="E584" s="143"/>
      <c r="H584" s="2"/>
      <c r="I584" s="30"/>
    </row>
    <row r="585" spans="4:9">
      <c r="D585" s="47"/>
      <c r="E585" s="143"/>
      <c r="H585" s="2"/>
      <c r="I585" s="30"/>
    </row>
    <row r="586" spans="4:9">
      <c r="D586" s="47"/>
      <c r="E586" s="143"/>
      <c r="H586" s="2"/>
      <c r="I586" s="30"/>
    </row>
    <row r="587" spans="4:9">
      <c r="D587" s="47"/>
      <c r="E587" s="143"/>
      <c r="H587" s="2"/>
      <c r="I587" s="30"/>
    </row>
    <row r="588" spans="4:9">
      <c r="D588" s="47"/>
      <c r="E588" s="143"/>
      <c r="H588" s="2"/>
      <c r="I588" s="30"/>
    </row>
    <row r="589" spans="4:9">
      <c r="D589" s="47"/>
      <c r="E589" s="143"/>
      <c r="H589" s="2"/>
      <c r="I589" s="30"/>
    </row>
    <row r="590" spans="4:9">
      <c r="D590" s="47"/>
      <c r="E590" s="143"/>
      <c r="H590" s="2"/>
      <c r="I590" s="30"/>
    </row>
    <row r="591" spans="4:9">
      <c r="D591" s="47"/>
      <c r="E591" s="143"/>
      <c r="H591" s="2"/>
      <c r="I591" s="30"/>
    </row>
    <row r="592" spans="4:9">
      <c r="D592" s="47"/>
      <c r="E592" s="143"/>
      <c r="H592" s="2"/>
      <c r="I592" s="30"/>
    </row>
    <row r="593" spans="4:9">
      <c r="D593" s="47"/>
      <c r="E593" s="143"/>
      <c r="H593" s="2"/>
      <c r="I593" s="30"/>
    </row>
    <row r="594" spans="4:9">
      <c r="D594" s="47"/>
      <c r="E594" s="143"/>
      <c r="H594" s="2"/>
      <c r="I594" s="30"/>
    </row>
    <row r="595" spans="4:9">
      <c r="D595" s="47"/>
      <c r="E595" s="143"/>
      <c r="H595" s="2"/>
      <c r="I595" s="30"/>
    </row>
    <row r="596" spans="4:9">
      <c r="D596" s="47"/>
      <c r="E596" s="143"/>
      <c r="H596" s="2"/>
      <c r="I596" s="30"/>
    </row>
    <row r="597" spans="4:9">
      <c r="D597" s="47"/>
      <c r="E597" s="143"/>
      <c r="H597" s="2"/>
      <c r="I597" s="30"/>
    </row>
    <row r="598" spans="4:9">
      <c r="D598" s="47"/>
      <c r="E598" s="143"/>
      <c r="H598" s="2"/>
      <c r="I598" s="30"/>
    </row>
    <row r="599" spans="4:9">
      <c r="D599" s="47"/>
      <c r="E599" s="143"/>
      <c r="H599" s="2"/>
      <c r="I599" s="30"/>
    </row>
    <row r="600" spans="4:9">
      <c r="D600" s="47"/>
      <c r="E600" s="143"/>
      <c r="H600" s="2"/>
      <c r="I600" s="30"/>
    </row>
    <row r="601" spans="4:9">
      <c r="D601" s="47"/>
      <c r="E601" s="143"/>
      <c r="H601" s="2"/>
      <c r="I601" s="30"/>
    </row>
    <row r="602" spans="4:9">
      <c r="D602" s="47"/>
      <c r="E602" s="143"/>
      <c r="H602" s="2"/>
      <c r="I602" s="30"/>
    </row>
    <row r="603" spans="4:9">
      <c r="D603" s="47"/>
      <c r="E603" s="143"/>
      <c r="H603" s="2"/>
      <c r="I603" s="30"/>
    </row>
    <row r="604" spans="4:9">
      <c r="D604" s="47"/>
      <c r="E604" s="143"/>
      <c r="H604" s="2"/>
      <c r="I604" s="30"/>
    </row>
    <row r="605" spans="4:9">
      <c r="D605" s="47"/>
      <c r="E605" s="143"/>
      <c r="H605" s="2"/>
      <c r="I605" s="30"/>
    </row>
    <row r="606" spans="4:9">
      <c r="D606" s="47"/>
      <c r="E606" s="143"/>
      <c r="H606" s="2"/>
      <c r="I606" s="30"/>
    </row>
    <row r="607" spans="4:9">
      <c r="D607" s="47"/>
      <c r="E607" s="143"/>
      <c r="H607" s="2"/>
      <c r="I607" s="30"/>
    </row>
    <row r="608" spans="4:9">
      <c r="D608" s="47"/>
      <c r="E608" s="143"/>
      <c r="H608" s="2"/>
      <c r="I608" s="30"/>
    </row>
    <row r="609" spans="4:9">
      <c r="D609" s="47"/>
      <c r="E609" s="143"/>
      <c r="H609" s="2"/>
      <c r="I609" s="30"/>
    </row>
    <row r="610" spans="4:9">
      <c r="D610" s="47"/>
      <c r="E610" s="143"/>
      <c r="H610" s="2"/>
      <c r="I610" s="30"/>
    </row>
    <row r="611" spans="4:9">
      <c r="D611" s="47"/>
      <c r="E611" s="143"/>
      <c r="H611" s="2"/>
      <c r="I611" s="30"/>
    </row>
    <row r="612" spans="4:9">
      <c r="D612" s="47"/>
      <c r="E612" s="143"/>
      <c r="H612" s="2"/>
      <c r="I612" s="30"/>
    </row>
    <row r="613" spans="4:9">
      <c r="D613" s="47"/>
      <c r="E613" s="143"/>
      <c r="H613" s="2"/>
      <c r="I613" s="30"/>
    </row>
    <row r="614" spans="4:9">
      <c r="D614" s="47"/>
      <c r="E614" s="143"/>
      <c r="H614" s="2"/>
      <c r="I614" s="30"/>
    </row>
    <row r="615" spans="4:9">
      <c r="D615" s="47"/>
      <c r="E615" s="143"/>
      <c r="H615" s="2"/>
      <c r="I615" s="30"/>
    </row>
    <row r="616" spans="4:9">
      <c r="D616" s="47"/>
      <c r="E616" s="143"/>
      <c r="H616" s="2"/>
      <c r="I616" s="30"/>
    </row>
    <row r="617" spans="4:9">
      <c r="D617" s="47"/>
      <c r="E617" s="143"/>
      <c r="H617" s="2"/>
      <c r="I617" s="30"/>
    </row>
    <row r="618" spans="4:9">
      <c r="D618" s="47"/>
      <c r="E618" s="143"/>
      <c r="H618" s="2"/>
      <c r="I618" s="30"/>
    </row>
    <row r="619" spans="4:9">
      <c r="D619" s="47"/>
      <c r="E619" s="143"/>
      <c r="H619" s="2"/>
      <c r="I619" s="30"/>
    </row>
    <row r="620" spans="4:9">
      <c r="D620" s="47"/>
      <c r="E620" s="143"/>
      <c r="H620" s="2"/>
      <c r="I620" s="30"/>
    </row>
    <row r="621" spans="4:9">
      <c r="D621" s="47"/>
      <c r="E621" s="143"/>
      <c r="H621" s="2"/>
      <c r="I621" s="30"/>
    </row>
    <row r="622" spans="4:9">
      <c r="D622" s="47"/>
      <c r="E622" s="143"/>
      <c r="H622" s="2"/>
      <c r="I622" s="30"/>
    </row>
    <row r="623" spans="4:9">
      <c r="D623" s="47"/>
      <c r="E623" s="143"/>
      <c r="H623" s="2"/>
      <c r="I623" s="30"/>
    </row>
    <row r="624" spans="4:9">
      <c r="D624" s="47"/>
      <c r="E624" s="143"/>
      <c r="H624" s="2"/>
      <c r="I624" s="30"/>
    </row>
    <row r="625" spans="4:9">
      <c r="D625" s="47"/>
      <c r="E625" s="143"/>
      <c r="H625" s="2"/>
      <c r="I625" s="30"/>
    </row>
    <row r="626" spans="4:9">
      <c r="D626" s="47"/>
      <c r="E626" s="143"/>
      <c r="H626" s="2"/>
      <c r="I626" s="30"/>
    </row>
    <row r="627" spans="4:9">
      <c r="D627" s="47"/>
      <c r="E627" s="143"/>
      <c r="H627" s="2"/>
      <c r="I627" s="30"/>
    </row>
    <row r="628" spans="4:9">
      <c r="D628" s="47"/>
      <c r="E628" s="143"/>
      <c r="H628" s="2"/>
      <c r="I628" s="30"/>
    </row>
    <row r="629" spans="4:9">
      <c r="D629" s="47"/>
      <c r="E629" s="143"/>
      <c r="H629" s="2"/>
      <c r="I629" s="30"/>
    </row>
    <row r="630" spans="4:9">
      <c r="D630" s="47"/>
      <c r="E630" s="143"/>
      <c r="H630" s="2"/>
      <c r="I630" s="30"/>
    </row>
    <row r="631" spans="4:9">
      <c r="D631" s="47"/>
      <c r="E631" s="143"/>
      <c r="H631" s="2"/>
      <c r="I631" s="30"/>
    </row>
    <row r="632" spans="4:9">
      <c r="D632" s="47"/>
      <c r="E632" s="143"/>
      <c r="H632" s="2"/>
      <c r="I632" s="30"/>
    </row>
    <row r="633" spans="4:9">
      <c r="D633" s="47"/>
      <c r="E633" s="143"/>
      <c r="H633" s="2"/>
      <c r="I633" s="30"/>
    </row>
    <row r="634" spans="4:9">
      <c r="D634" s="47"/>
      <c r="E634" s="143"/>
      <c r="H634" s="2"/>
      <c r="I634" s="30"/>
    </row>
    <row r="635" spans="4:9">
      <c r="D635" s="47"/>
      <c r="E635" s="143"/>
      <c r="H635" s="2"/>
      <c r="I635" s="30"/>
    </row>
    <row r="636" spans="4:9">
      <c r="D636" s="47"/>
      <c r="E636" s="143"/>
      <c r="H636" s="2"/>
      <c r="I636" s="30"/>
    </row>
    <row r="637" spans="4:9">
      <c r="D637" s="47"/>
      <c r="E637" s="143"/>
      <c r="H637" s="2"/>
      <c r="I637" s="30"/>
    </row>
    <row r="638" spans="4:9">
      <c r="D638" s="47"/>
      <c r="E638" s="143"/>
      <c r="H638" s="2"/>
      <c r="I638" s="30"/>
    </row>
    <row r="639" spans="4:9">
      <c r="D639" s="47"/>
      <c r="E639" s="143"/>
      <c r="H639" s="2"/>
      <c r="I639" s="30"/>
    </row>
    <row r="640" spans="4:9">
      <c r="D640" s="47"/>
      <c r="E640" s="143"/>
      <c r="H640" s="2"/>
      <c r="I640" s="30"/>
    </row>
    <row r="641" spans="4:9">
      <c r="D641" s="47"/>
      <c r="E641" s="143"/>
      <c r="H641" s="2"/>
      <c r="I641" s="30"/>
    </row>
    <row r="642" spans="4:9">
      <c r="D642" s="47"/>
      <c r="E642" s="143"/>
      <c r="H642" s="2"/>
      <c r="I642" s="30"/>
    </row>
    <row r="643" spans="4:9">
      <c r="D643" s="47"/>
      <c r="E643" s="143"/>
      <c r="H643" s="2"/>
      <c r="I643" s="30"/>
    </row>
    <row r="644" spans="4:9">
      <c r="D644" s="47"/>
      <c r="E644" s="143"/>
      <c r="H644" s="2"/>
      <c r="I644" s="30"/>
    </row>
    <row r="645" spans="4:9">
      <c r="D645" s="47"/>
      <c r="E645" s="143"/>
      <c r="H645" s="2"/>
      <c r="I645" s="30"/>
    </row>
    <row r="646" spans="4:9">
      <c r="D646" s="47"/>
      <c r="E646" s="143"/>
      <c r="H646" s="2"/>
      <c r="I646" s="30"/>
    </row>
    <row r="647" spans="4:9">
      <c r="D647" s="47"/>
      <c r="E647" s="143"/>
      <c r="H647" s="2"/>
      <c r="I647" s="30"/>
    </row>
    <row r="648" spans="4:9">
      <c r="D648" s="47"/>
      <c r="E648" s="143"/>
      <c r="H648" s="2"/>
      <c r="I648" s="30"/>
    </row>
    <row r="649" spans="4:9">
      <c r="D649" s="47"/>
      <c r="E649" s="143"/>
      <c r="H649" s="2"/>
      <c r="I649" s="30"/>
    </row>
    <row r="650" spans="4:9">
      <c r="D650" s="47"/>
      <c r="E650" s="143"/>
      <c r="H650" s="2"/>
      <c r="I650" s="30"/>
    </row>
    <row r="651" spans="4:9">
      <c r="D651" s="47"/>
      <c r="E651" s="143"/>
      <c r="H651" s="2"/>
      <c r="I651" s="30"/>
    </row>
    <row r="652" spans="4:9">
      <c r="D652" s="47"/>
      <c r="E652" s="143"/>
      <c r="H652" s="2"/>
      <c r="I652" s="30"/>
    </row>
    <row r="653" spans="4:9">
      <c r="D653" s="47"/>
      <c r="E653" s="143"/>
      <c r="H653" s="2"/>
      <c r="I653" s="30"/>
    </row>
    <row r="654" spans="4:9">
      <c r="D654" s="47"/>
      <c r="E654" s="143"/>
      <c r="H654" s="2"/>
      <c r="I654" s="30"/>
    </row>
    <row r="655" spans="4:9">
      <c r="D655" s="47"/>
      <c r="E655" s="143"/>
      <c r="H655" s="2"/>
      <c r="I655" s="30"/>
    </row>
    <row r="656" spans="4:9">
      <c r="D656" s="47"/>
      <c r="E656" s="143"/>
      <c r="H656" s="2"/>
      <c r="I656" s="30"/>
    </row>
    <row r="657" spans="4:9">
      <c r="D657" s="47"/>
      <c r="E657" s="143"/>
      <c r="H657" s="2"/>
      <c r="I657" s="30"/>
    </row>
    <row r="658" spans="4:9">
      <c r="D658" s="47"/>
      <c r="E658" s="143"/>
      <c r="H658" s="2"/>
      <c r="I658" s="30"/>
    </row>
    <row r="659" spans="4:9">
      <c r="D659" s="47"/>
      <c r="E659" s="143"/>
      <c r="H659" s="2"/>
      <c r="I659" s="30"/>
    </row>
    <row r="660" spans="4:9">
      <c r="D660" s="47"/>
      <c r="E660" s="143"/>
      <c r="H660" s="2"/>
      <c r="I660" s="30"/>
    </row>
    <row r="661" spans="4:9">
      <c r="D661" s="47"/>
      <c r="E661" s="143"/>
      <c r="H661" s="2"/>
      <c r="I661" s="30"/>
    </row>
    <row r="662" spans="4:9">
      <c r="D662" s="47"/>
      <c r="E662" s="143"/>
      <c r="H662" s="2"/>
      <c r="I662" s="30"/>
    </row>
    <row r="663" spans="4:9">
      <c r="D663" s="47"/>
      <c r="E663" s="143"/>
      <c r="H663" s="2"/>
      <c r="I663" s="30"/>
    </row>
    <row r="664" spans="4:9">
      <c r="D664" s="47"/>
      <c r="E664" s="143"/>
      <c r="H664" s="2"/>
      <c r="I664" s="30"/>
    </row>
    <row r="665" spans="4:9">
      <c r="D665" s="47"/>
      <c r="E665" s="143"/>
      <c r="H665" s="2"/>
      <c r="I665" s="30"/>
    </row>
    <row r="666" spans="4:9">
      <c r="D666" s="47"/>
      <c r="E666" s="143"/>
      <c r="H666" s="2"/>
      <c r="I666" s="30"/>
    </row>
    <row r="667" spans="4:9">
      <c r="D667" s="47"/>
      <c r="E667" s="143"/>
      <c r="H667" s="2"/>
      <c r="I667" s="30"/>
    </row>
    <row r="668" spans="4:9">
      <c r="D668" s="47"/>
      <c r="E668" s="143"/>
      <c r="H668" s="2"/>
      <c r="I668" s="30"/>
    </row>
    <row r="669" spans="4:9">
      <c r="D669" s="47"/>
      <c r="E669" s="143"/>
      <c r="H669" s="2"/>
      <c r="I669" s="30"/>
    </row>
    <row r="670" spans="4:9">
      <c r="D670" s="47"/>
      <c r="E670" s="143"/>
      <c r="H670" s="2"/>
      <c r="I670" s="30"/>
    </row>
    <row r="671" spans="4:9">
      <c r="D671" s="47"/>
      <c r="E671" s="143"/>
      <c r="H671" s="2"/>
      <c r="I671" s="30"/>
    </row>
    <row r="672" spans="4:9">
      <c r="D672" s="47"/>
      <c r="E672" s="143"/>
      <c r="H672" s="2"/>
      <c r="I672" s="30"/>
    </row>
    <row r="673" spans="4:9">
      <c r="D673" s="47"/>
      <c r="E673" s="143"/>
      <c r="H673" s="2"/>
      <c r="I673" s="30"/>
    </row>
    <row r="674" spans="4:9">
      <c r="D674" s="47"/>
      <c r="E674" s="143"/>
      <c r="H674" s="2"/>
      <c r="I674" s="30"/>
    </row>
    <row r="675" spans="4:9">
      <c r="D675" s="47"/>
      <c r="E675" s="143"/>
      <c r="H675" s="2"/>
      <c r="I675" s="30"/>
    </row>
    <row r="676" spans="4:9">
      <c r="D676" s="47"/>
      <c r="E676" s="143"/>
      <c r="H676" s="2"/>
      <c r="I676" s="30"/>
    </row>
    <row r="677" spans="4:9">
      <c r="D677" s="47"/>
      <c r="E677" s="143"/>
      <c r="H677" s="2"/>
      <c r="I677" s="30"/>
    </row>
    <row r="678" spans="4:9">
      <c r="D678" s="47"/>
      <c r="E678" s="143"/>
      <c r="H678" s="2"/>
      <c r="I678" s="30"/>
    </row>
    <row r="679" spans="4:9">
      <c r="D679" s="47"/>
      <c r="E679" s="143"/>
      <c r="H679" s="2"/>
      <c r="I679" s="30"/>
    </row>
    <row r="680" spans="4:9">
      <c r="D680" s="47"/>
      <c r="E680" s="143"/>
      <c r="H680" s="2"/>
      <c r="I680" s="30"/>
    </row>
    <row r="681" spans="4:9">
      <c r="D681" s="47"/>
      <c r="E681" s="143"/>
      <c r="H681" s="2"/>
      <c r="I681" s="30"/>
    </row>
    <row r="682" spans="4:9">
      <c r="D682" s="47"/>
      <c r="E682" s="143"/>
      <c r="H682" s="2"/>
      <c r="I682" s="30"/>
    </row>
    <row r="683" spans="4:9">
      <c r="D683" s="47"/>
      <c r="E683" s="143"/>
      <c r="H683" s="2"/>
      <c r="I683" s="30"/>
    </row>
    <row r="684" spans="4:9">
      <c r="D684" s="47"/>
      <c r="E684" s="143"/>
      <c r="H684" s="2"/>
      <c r="I684" s="30"/>
    </row>
    <row r="685" spans="4:9">
      <c r="D685" s="47"/>
      <c r="E685" s="143"/>
      <c r="H685" s="2"/>
      <c r="I685" s="30"/>
    </row>
    <row r="686" spans="4:9">
      <c r="D686" s="47"/>
      <c r="E686" s="143"/>
      <c r="H686" s="2"/>
      <c r="I686" s="30"/>
    </row>
    <row r="687" spans="4:9">
      <c r="D687" s="47"/>
      <c r="E687" s="143"/>
      <c r="H687" s="2"/>
      <c r="I687" s="30"/>
    </row>
    <row r="688" spans="4:9">
      <c r="D688" s="47"/>
      <c r="E688" s="143"/>
      <c r="H688" s="2"/>
      <c r="I688" s="30"/>
    </row>
    <row r="689" spans="4:9">
      <c r="D689" s="47"/>
      <c r="E689" s="143"/>
      <c r="H689" s="2"/>
      <c r="I689" s="30"/>
    </row>
    <row r="690" spans="4:9">
      <c r="D690" s="47"/>
      <c r="E690" s="143"/>
      <c r="H690" s="2"/>
      <c r="I690" s="30"/>
    </row>
    <row r="691" spans="4:9">
      <c r="D691" s="47"/>
      <c r="E691" s="143"/>
      <c r="H691" s="2"/>
      <c r="I691" s="30"/>
    </row>
    <row r="692" spans="4:9">
      <c r="D692" s="47"/>
      <c r="E692" s="143"/>
      <c r="H692" s="2"/>
      <c r="I692" s="30"/>
    </row>
    <row r="693" spans="4:9">
      <c r="D693" s="47"/>
      <c r="E693" s="143"/>
      <c r="H693" s="2"/>
      <c r="I693" s="30"/>
    </row>
    <row r="694" spans="4:9">
      <c r="D694" s="47"/>
      <c r="E694" s="143"/>
      <c r="H694" s="2"/>
      <c r="I694" s="30"/>
    </row>
    <row r="695" spans="4:9">
      <c r="D695" s="47"/>
      <c r="E695" s="143"/>
      <c r="H695" s="2"/>
      <c r="I695" s="30"/>
    </row>
    <row r="696" spans="4:9">
      <c r="D696" s="47"/>
      <c r="E696" s="143"/>
      <c r="H696" s="2"/>
      <c r="I696" s="30"/>
    </row>
    <row r="697" spans="4:9">
      <c r="D697" s="47"/>
      <c r="E697" s="143"/>
      <c r="H697" s="2"/>
      <c r="I697" s="30"/>
    </row>
    <row r="698" spans="4:9">
      <c r="D698" s="47"/>
      <c r="E698" s="143"/>
      <c r="H698" s="2"/>
      <c r="I698" s="30"/>
    </row>
    <row r="699" spans="4:9">
      <c r="D699" s="47"/>
      <c r="E699" s="143"/>
      <c r="H699" s="2"/>
      <c r="I699" s="30"/>
    </row>
    <row r="700" spans="4:9">
      <c r="D700" s="47"/>
      <c r="E700" s="143"/>
      <c r="H700" s="2"/>
      <c r="I700" s="30"/>
    </row>
    <row r="701" spans="4:9">
      <c r="D701" s="47"/>
      <c r="E701" s="143"/>
      <c r="H701" s="2"/>
      <c r="I701" s="30"/>
    </row>
    <row r="702" spans="4:9">
      <c r="D702" s="47"/>
      <c r="E702" s="143"/>
      <c r="H702" s="2"/>
      <c r="I702" s="30"/>
    </row>
    <row r="703" spans="4:9">
      <c r="D703" s="47"/>
      <c r="E703" s="143"/>
      <c r="H703" s="2"/>
      <c r="I703" s="30"/>
    </row>
    <row r="704" spans="4:9">
      <c r="D704" s="47"/>
      <c r="E704" s="143"/>
      <c r="H704" s="2"/>
      <c r="I704" s="30"/>
    </row>
    <row r="705" spans="4:9">
      <c r="D705" s="47"/>
      <c r="E705" s="143"/>
      <c r="H705" s="2"/>
      <c r="I705" s="30"/>
    </row>
    <row r="706" spans="4:9">
      <c r="D706" s="47"/>
      <c r="E706" s="143"/>
      <c r="H706" s="2"/>
      <c r="I706" s="30"/>
    </row>
    <row r="707" spans="4:9">
      <c r="D707" s="47"/>
      <c r="E707" s="143"/>
      <c r="H707" s="2"/>
      <c r="I707" s="30"/>
    </row>
    <row r="708" spans="4:9">
      <c r="D708" s="47"/>
      <c r="E708" s="143"/>
      <c r="H708" s="2"/>
      <c r="I708" s="30"/>
    </row>
    <row r="709" spans="4:9">
      <c r="D709" s="47"/>
      <c r="E709" s="143"/>
      <c r="H709" s="2"/>
      <c r="I709" s="30"/>
    </row>
    <row r="710" spans="4:9">
      <c r="D710" s="47"/>
      <c r="E710" s="143"/>
      <c r="H710" s="2"/>
      <c r="I710" s="30"/>
    </row>
    <row r="711" spans="4:9">
      <c r="D711" s="47"/>
      <c r="E711" s="143"/>
      <c r="H711" s="2"/>
      <c r="I711" s="30"/>
    </row>
    <row r="712" spans="4:9">
      <c r="D712" s="47"/>
      <c r="E712" s="143"/>
      <c r="H712" s="2"/>
      <c r="I712" s="30"/>
    </row>
    <row r="713" spans="4:9">
      <c r="D713" s="47"/>
      <c r="E713" s="143"/>
      <c r="H713" s="2"/>
      <c r="I713" s="30"/>
    </row>
    <row r="714" spans="4:9">
      <c r="D714" s="47"/>
      <c r="E714" s="143"/>
      <c r="H714" s="2"/>
      <c r="I714" s="30"/>
    </row>
    <row r="715" spans="4:9">
      <c r="D715" s="47"/>
      <c r="E715" s="143"/>
      <c r="H715" s="2"/>
      <c r="I715" s="30"/>
    </row>
    <row r="716" spans="4:9">
      <c r="D716" s="47"/>
      <c r="E716" s="143"/>
      <c r="H716" s="2"/>
      <c r="I716" s="30"/>
    </row>
    <row r="717" spans="4:9">
      <c r="D717" s="47"/>
      <c r="E717" s="143"/>
      <c r="H717" s="2"/>
      <c r="I717" s="30"/>
    </row>
    <row r="718" spans="4:9">
      <c r="D718" s="47"/>
      <c r="E718" s="143"/>
      <c r="H718" s="2"/>
      <c r="I718" s="30"/>
    </row>
    <row r="719" spans="4:9">
      <c r="D719" s="47"/>
      <c r="E719" s="143"/>
      <c r="H719" s="2"/>
      <c r="I719" s="30"/>
    </row>
    <row r="720" spans="4:9">
      <c r="D720" s="47"/>
      <c r="E720" s="143"/>
      <c r="H720" s="2"/>
      <c r="I720" s="30"/>
    </row>
    <row r="721" spans="4:9">
      <c r="D721" s="47"/>
      <c r="E721" s="143"/>
      <c r="H721" s="2"/>
      <c r="I721" s="30"/>
    </row>
    <row r="722" spans="4:9">
      <c r="D722" s="47"/>
      <c r="E722" s="143"/>
      <c r="H722" s="2"/>
      <c r="I722" s="30"/>
    </row>
    <row r="723" spans="4:9">
      <c r="D723" s="47"/>
      <c r="E723" s="143"/>
      <c r="H723" s="2"/>
      <c r="I723" s="30"/>
    </row>
    <row r="724" spans="4:9">
      <c r="D724" s="47"/>
      <c r="E724" s="143"/>
      <c r="H724" s="2"/>
      <c r="I724" s="30"/>
    </row>
    <row r="725" spans="4:9">
      <c r="D725" s="47"/>
      <c r="E725" s="143"/>
      <c r="H725" s="2"/>
      <c r="I725" s="30"/>
    </row>
    <row r="726" spans="4:9">
      <c r="D726" s="47"/>
      <c r="E726" s="143"/>
      <c r="H726" s="2"/>
      <c r="I726" s="30"/>
    </row>
    <row r="727" spans="4:9">
      <c r="D727" s="47"/>
      <c r="E727" s="143"/>
      <c r="H727" s="2"/>
      <c r="I727" s="30"/>
    </row>
    <row r="728" spans="4:9">
      <c r="D728" s="47"/>
      <c r="E728" s="143"/>
      <c r="H728" s="2"/>
      <c r="I728" s="30"/>
    </row>
    <row r="729" spans="4:9">
      <c r="D729" s="47"/>
      <c r="E729" s="143"/>
      <c r="H729" s="2"/>
      <c r="I729" s="30"/>
    </row>
    <row r="730" spans="4:9">
      <c r="D730" s="47"/>
      <c r="E730" s="143"/>
      <c r="H730" s="2"/>
      <c r="I730" s="30"/>
    </row>
    <row r="731" spans="4:9">
      <c r="D731" s="47"/>
      <c r="E731" s="143"/>
      <c r="H731" s="2"/>
      <c r="I731" s="30"/>
    </row>
    <row r="732" spans="4:9">
      <c r="D732" s="47"/>
      <c r="E732" s="143"/>
      <c r="H732" s="2"/>
      <c r="I732" s="30"/>
    </row>
    <row r="733" spans="4:9">
      <c r="D733" s="47"/>
      <c r="E733" s="143"/>
      <c r="H733" s="2"/>
      <c r="I733" s="30"/>
    </row>
    <row r="734" spans="4:9">
      <c r="D734" s="47"/>
      <c r="E734" s="143"/>
      <c r="H734" s="2"/>
      <c r="I734" s="30"/>
    </row>
    <row r="735" spans="4:9">
      <c r="D735" s="47"/>
      <c r="E735" s="143"/>
      <c r="H735" s="2"/>
      <c r="I735" s="30"/>
    </row>
    <row r="736" spans="4:9">
      <c r="D736" s="47"/>
      <c r="E736" s="143"/>
      <c r="H736" s="2"/>
      <c r="I736" s="30"/>
    </row>
    <row r="737" spans="4:9">
      <c r="D737" s="47"/>
      <c r="E737" s="143"/>
      <c r="H737" s="2"/>
      <c r="I737" s="30"/>
    </row>
    <row r="738" spans="4:9">
      <c r="D738" s="47"/>
      <c r="E738" s="143"/>
      <c r="H738" s="2"/>
      <c r="I738" s="30"/>
    </row>
    <row r="739" spans="4:9">
      <c r="D739" s="47"/>
      <c r="E739" s="143"/>
      <c r="H739" s="2"/>
      <c r="I739" s="30"/>
    </row>
    <row r="740" spans="4:9">
      <c r="D740" s="47"/>
      <c r="E740" s="143"/>
      <c r="H740" s="2"/>
      <c r="I740" s="30"/>
    </row>
    <row r="741" spans="4:9">
      <c r="D741" s="47"/>
      <c r="E741" s="143"/>
      <c r="H741" s="2"/>
      <c r="I741" s="30"/>
    </row>
    <row r="742" spans="4:9">
      <c r="D742" s="47"/>
      <c r="E742" s="143"/>
      <c r="H742" s="2"/>
      <c r="I742" s="30"/>
    </row>
    <row r="743" spans="4:9">
      <c r="D743" s="47"/>
      <c r="E743" s="143"/>
      <c r="H743" s="2"/>
      <c r="I743" s="30"/>
    </row>
    <row r="744" spans="4:9">
      <c r="D744" s="47"/>
      <c r="E744" s="143"/>
      <c r="H744" s="2"/>
      <c r="I744" s="30"/>
    </row>
    <row r="745" spans="4:9">
      <c r="D745" s="47"/>
      <c r="E745" s="143"/>
      <c r="H745" s="2"/>
      <c r="I745" s="30"/>
    </row>
    <row r="746" spans="4:9">
      <c r="D746" s="47"/>
      <c r="E746" s="143"/>
      <c r="H746" s="2"/>
      <c r="I746" s="30"/>
    </row>
    <row r="747" spans="4:9">
      <c r="D747" s="47"/>
      <c r="E747" s="143"/>
      <c r="H747" s="2"/>
      <c r="I747" s="30"/>
    </row>
    <row r="748" spans="4:9">
      <c r="D748" s="47"/>
      <c r="E748" s="143"/>
      <c r="H748" s="2"/>
      <c r="I748" s="30"/>
    </row>
    <row r="749" spans="4:9">
      <c r="D749" s="47"/>
      <c r="E749" s="143"/>
      <c r="H749" s="2"/>
      <c r="I749" s="30"/>
    </row>
    <row r="750" spans="4:9">
      <c r="D750" s="47"/>
      <c r="E750" s="143"/>
      <c r="H750" s="2"/>
      <c r="I750" s="30"/>
    </row>
    <row r="751" spans="4:9">
      <c r="D751" s="47"/>
      <c r="E751" s="143"/>
      <c r="H751" s="2"/>
      <c r="I751" s="30"/>
    </row>
    <row r="752" spans="4:9">
      <c r="D752" s="47"/>
      <c r="E752" s="143"/>
      <c r="H752" s="2"/>
      <c r="I752" s="30"/>
    </row>
    <row r="753" spans="4:9">
      <c r="D753" s="47"/>
      <c r="E753" s="143"/>
      <c r="H753" s="2"/>
      <c r="I753" s="30"/>
    </row>
    <row r="754" spans="4:9">
      <c r="D754" s="47"/>
      <c r="E754" s="143"/>
      <c r="H754" s="2"/>
      <c r="I754" s="30"/>
    </row>
    <row r="755" spans="4:9">
      <c r="D755" s="47"/>
      <c r="E755" s="143"/>
      <c r="H755" s="2"/>
      <c r="I755" s="30"/>
    </row>
    <row r="756" spans="4:9">
      <c r="D756" s="47"/>
      <c r="E756" s="143"/>
      <c r="H756" s="2"/>
      <c r="I756" s="30"/>
    </row>
    <row r="757" spans="4:9">
      <c r="D757" s="47"/>
      <c r="E757" s="143"/>
      <c r="H757" s="2"/>
      <c r="I757" s="30"/>
    </row>
    <row r="758" spans="4:9">
      <c r="D758" s="47"/>
      <c r="E758" s="143"/>
      <c r="H758" s="2"/>
      <c r="I758" s="30"/>
    </row>
    <row r="759" spans="4:9">
      <c r="D759" s="47"/>
      <c r="E759" s="143"/>
      <c r="H759" s="2"/>
      <c r="I759" s="30"/>
    </row>
    <row r="760" spans="4:9">
      <c r="D760" s="47"/>
      <c r="E760" s="143"/>
      <c r="H760" s="2"/>
      <c r="I760" s="30"/>
    </row>
    <row r="761" spans="4:9">
      <c r="D761" s="47"/>
      <c r="E761" s="143"/>
      <c r="H761" s="2"/>
      <c r="I761" s="30"/>
    </row>
    <row r="762" spans="4:9">
      <c r="D762" s="47"/>
      <c r="E762" s="143"/>
      <c r="H762" s="2"/>
      <c r="I762" s="30"/>
    </row>
    <row r="763" spans="4:9">
      <c r="D763" s="47"/>
      <c r="E763" s="143"/>
      <c r="H763" s="2"/>
      <c r="I763" s="30"/>
    </row>
    <row r="764" spans="4:9">
      <c r="D764" s="47"/>
      <c r="E764" s="143"/>
      <c r="H764" s="2"/>
      <c r="I764" s="30"/>
    </row>
    <row r="765" spans="4:9">
      <c r="D765" s="47"/>
      <c r="E765" s="143"/>
      <c r="H765" s="2"/>
      <c r="I765" s="30"/>
    </row>
    <row r="766" spans="4:9">
      <c r="D766" s="47"/>
      <c r="E766" s="143"/>
      <c r="H766" s="2"/>
      <c r="I766" s="30"/>
    </row>
    <row r="767" spans="4:9">
      <c r="D767" s="47"/>
      <c r="E767" s="143"/>
      <c r="H767" s="2"/>
      <c r="I767" s="30"/>
    </row>
    <row r="768" spans="4:9">
      <c r="D768" s="47"/>
      <c r="E768" s="143"/>
      <c r="H768" s="2"/>
      <c r="I768" s="30"/>
    </row>
    <row r="769" spans="4:9">
      <c r="D769" s="47"/>
      <c r="E769" s="143"/>
      <c r="H769" s="2"/>
      <c r="I769" s="30"/>
    </row>
    <row r="770" spans="4:9">
      <c r="D770" s="47"/>
      <c r="E770" s="143"/>
      <c r="H770" s="2"/>
      <c r="I770" s="30"/>
    </row>
    <row r="771" spans="4:9">
      <c r="D771" s="47"/>
      <c r="E771" s="143"/>
      <c r="H771" s="2"/>
      <c r="I771" s="30"/>
    </row>
    <row r="772" spans="4:9">
      <c r="D772" s="47"/>
      <c r="E772" s="143"/>
      <c r="H772" s="2"/>
      <c r="I772" s="30"/>
    </row>
    <row r="773" spans="4:9">
      <c r="D773" s="47"/>
      <c r="E773" s="143"/>
      <c r="H773" s="2"/>
      <c r="I773" s="30"/>
    </row>
    <row r="774" spans="4:9">
      <c r="D774" s="47"/>
      <c r="E774" s="143"/>
      <c r="H774" s="2"/>
      <c r="I774" s="30"/>
    </row>
    <row r="775" spans="4:9">
      <c r="D775" s="47"/>
      <c r="E775" s="143"/>
      <c r="H775" s="2"/>
      <c r="I775" s="30"/>
    </row>
    <row r="776" spans="4:9">
      <c r="D776" s="47"/>
      <c r="E776" s="143"/>
      <c r="H776" s="2"/>
      <c r="I776" s="30"/>
    </row>
    <row r="777" spans="4:9">
      <c r="D777" s="47"/>
      <c r="E777" s="143"/>
      <c r="H777" s="2"/>
      <c r="I777" s="30"/>
    </row>
    <row r="778" spans="4:9">
      <c r="D778" s="47"/>
      <c r="E778" s="143"/>
      <c r="H778" s="2"/>
      <c r="I778" s="30"/>
    </row>
    <row r="779" spans="4:9">
      <c r="D779" s="47"/>
      <c r="E779" s="143"/>
      <c r="H779" s="2"/>
      <c r="I779" s="30"/>
    </row>
    <row r="780" spans="4:9">
      <c r="D780" s="47"/>
      <c r="E780" s="143"/>
      <c r="H780" s="2"/>
      <c r="I780" s="30"/>
    </row>
    <row r="781" spans="4:9">
      <c r="D781" s="47"/>
      <c r="E781" s="143"/>
      <c r="H781" s="2"/>
      <c r="I781" s="30"/>
    </row>
    <row r="782" spans="4:9">
      <c r="D782" s="47"/>
      <c r="E782" s="143"/>
      <c r="H782" s="2"/>
      <c r="I782" s="30"/>
    </row>
    <row r="783" spans="4:9">
      <c r="D783" s="47"/>
      <c r="E783" s="143"/>
      <c r="H783" s="2"/>
      <c r="I783" s="30"/>
    </row>
    <row r="784" spans="4:9">
      <c r="D784" s="47"/>
      <c r="E784" s="143"/>
      <c r="H784" s="2"/>
      <c r="I784" s="30"/>
    </row>
    <row r="785" spans="4:9">
      <c r="D785" s="47"/>
      <c r="E785" s="143"/>
      <c r="H785" s="2"/>
      <c r="I785" s="30"/>
    </row>
    <row r="786" spans="4:9">
      <c r="D786" s="47"/>
      <c r="E786" s="143"/>
      <c r="H786" s="2"/>
      <c r="I786" s="30"/>
    </row>
    <row r="787" spans="4:9">
      <c r="D787" s="47"/>
      <c r="E787" s="143"/>
      <c r="H787" s="2"/>
      <c r="I787" s="30"/>
    </row>
    <row r="788" spans="4:9">
      <c r="D788" s="47"/>
      <c r="E788" s="143"/>
      <c r="H788" s="2"/>
      <c r="I788" s="30"/>
    </row>
    <row r="789" spans="4:9">
      <c r="D789" s="47"/>
      <c r="E789" s="143"/>
      <c r="H789" s="2"/>
      <c r="I789" s="30"/>
    </row>
    <row r="790" spans="4:9">
      <c r="D790" s="47"/>
      <c r="E790" s="143"/>
      <c r="H790" s="2"/>
      <c r="I790" s="30"/>
    </row>
    <row r="791" spans="4:9">
      <c r="D791" s="47"/>
      <c r="E791" s="143"/>
      <c r="H791" s="2"/>
      <c r="I791" s="30"/>
    </row>
    <row r="792" spans="4:9">
      <c r="D792" s="47"/>
      <c r="E792" s="143"/>
      <c r="H792" s="2"/>
      <c r="I792" s="30"/>
    </row>
    <row r="793" spans="4:9">
      <c r="D793" s="47"/>
      <c r="E793" s="143"/>
      <c r="H793" s="2"/>
      <c r="I793" s="30"/>
    </row>
    <row r="794" spans="4:9">
      <c r="D794" s="47"/>
      <c r="E794" s="143"/>
      <c r="H794" s="2"/>
      <c r="I794" s="30"/>
    </row>
    <row r="795" spans="4:9">
      <c r="D795" s="47"/>
      <c r="E795" s="143"/>
      <c r="H795" s="2"/>
      <c r="I795" s="30"/>
    </row>
    <row r="796" spans="4:9">
      <c r="D796" s="47"/>
      <c r="E796" s="143"/>
      <c r="H796" s="2"/>
      <c r="I796" s="30"/>
    </row>
    <row r="797" spans="4:9">
      <c r="D797" s="47"/>
      <c r="E797" s="143"/>
      <c r="H797" s="2"/>
      <c r="I797" s="30"/>
    </row>
    <row r="798" spans="4:9">
      <c r="D798" s="47"/>
      <c r="E798" s="143"/>
      <c r="H798" s="2"/>
      <c r="I798" s="30"/>
    </row>
    <row r="799" spans="4:9">
      <c r="D799" s="47"/>
      <c r="E799" s="143"/>
      <c r="H799" s="2"/>
      <c r="I799" s="30"/>
    </row>
    <row r="800" spans="4:9">
      <c r="D800" s="47"/>
      <c r="E800" s="143"/>
      <c r="H800" s="2"/>
      <c r="I800" s="30"/>
    </row>
    <row r="801" spans="4:9">
      <c r="D801" s="47"/>
      <c r="E801" s="143"/>
      <c r="H801" s="2"/>
      <c r="I801" s="30"/>
    </row>
    <row r="802" spans="4:9">
      <c r="D802" s="47"/>
      <c r="E802" s="143"/>
      <c r="H802" s="2"/>
      <c r="I802" s="30"/>
    </row>
    <row r="803" spans="4:9">
      <c r="D803" s="47"/>
      <c r="E803" s="143"/>
      <c r="H803" s="2"/>
      <c r="I803" s="30"/>
    </row>
    <row r="804" spans="4:9">
      <c r="D804" s="47"/>
      <c r="E804" s="143"/>
      <c r="H804" s="2"/>
      <c r="I804" s="30"/>
    </row>
    <row r="805" spans="4:9">
      <c r="D805" s="47"/>
      <c r="E805" s="143"/>
      <c r="H805" s="2"/>
      <c r="I805" s="30"/>
    </row>
    <row r="806" spans="4:9">
      <c r="D806" s="47"/>
      <c r="E806" s="143"/>
      <c r="H806" s="2"/>
      <c r="I806" s="30"/>
    </row>
    <row r="807" spans="4:9">
      <c r="D807" s="47"/>
      <c r="E807" s="143"/>
      <c r="H807" s="2"/>
      <c r="I807" s="30"/>
    </row>
    <row r="808" spans="4:9">
      <c r="D808" s="47"/>
      <c r="E808" s="143"/>
      <c r="H808" s="2"/>
      <c r="I808" s="30"/>
    </row>
    <row r="809" spans="4:9">
      <c r="D809" s="47"/>
      <c r="E809" s="143"/>
      <c r="H809" s="2"/>
      <c r="I809" s="30"/>
    </row>
    <row r="810" spans="4:9">
      <c r="D810" s="47"/>
      <c r="E810" s="143"/>
      <c r="H810" s="2"/>
      <c r="I810" s="30"/>
    </row>
    <row r="811" spans="4:9">
      <c r="D811" s="47"/>
      <c r="E811" s="143"/>
      <c r="H811" s="2"/>
      <c r="I811" s="30"/>
    </row>
    <row r="812" spans="4:9">
      <c r="D812" s="47"/>
      <c r="E812" s="143"/>
      <c r="H812" s="2"/>
      <c r="I812" s="30"/>
    </row>
    <row r="813" spans="4:9">
      <c r="D813" s="47"/>
      <c r="E813" s="143"/>
      <c r="H813" s="2"/>
      <c r="I813" s="30"/>
    </row>
    <row r="814" spans="4:9">
      <c r="D814" s="47"/>
      <c r="E814" s="143"/>
      <c r="H814" s="2"/>
      <c r="I814" s="30"/>
    </row>
    <row r="815" spans="4:9">
      <c r="D815" s="47"/>
      <c r="E815" s="143"/>
      <c r="H815" s="2"/>
      <c r="I815" s="30"/>
    </row>
    <row r="816" spans="4:9">
      <c r="D816" s="47"/>
      <c r="E816" s="143"/>
      <c r="H816" s="2"/>
      <c r="I816" s="30"/>
    </row>
    <row r="817" spans="4:9">
      <c r="D817" s="47"/>
      <c r="E817" s="143"/>
      <c r="H817" s="2"/>
      <c r="I817" s="30"/>
    </row>
    <row r="818" spans="4:9">
      <c r="D818" s="47"/>
      <c r="E818" s="143"/>
      <c r="H818" s="2"/>
      <c r="I818" s="30"/>
    </row>
    <row r="819" spans="4:9">
      <c r="D819" s="47"/>
      <c r="E819" s="143"/>
      <c r="H819" s="2"/>
      <c r="I819" s="30"/>
    </row>
    <row r="820" spans="4:9">
      <c r="D820" s="47"/>
      <c r="E820" s="143"/>
      <c r="H820" s="2"/>
      <c r="I820" s="30"/>
    </row>
    <row r="821" spans="4:9">
      <c r="D821" s="47"/>
      <c r="E821" s="143"/>
      <c r="H821" s="2"/>
      <c r="I821" s="30"/>
    </row>
    <row r="822" spans="4:9">
      <c r="D822" s="47"/>
      <c r="E822" s="143"/>
      <c r="H822" s="2"/>
      <c r="I822" s="30"/>
    </row>
    <row r="823" spans="4:9">
      <c r="D823" s="47"/>
      <c r="E823" s="143"/>
      <c r="H823" s="2"/>
      <c r="I823" s="30"/>
    </row>
    <row r="824" spans="4:9">
      <c r="D824" s="47"/>
      <c r="E824" s="143"/>
      <c r="H824" s="2"/>
      <c r="I824" s="30"/>
    </row>
    <row r="825" spans="4:9">
      <c r="D825" s="47"/>
      <c r="E825" s="143"/>
      <c r="H825" s="2"/>
      <c r="I825" s="30"/>
    </row>
    <row r="826" spans="4:9">
      <c r="D826" s="47"/>
      <c r="E826" s="143"/>
      <c r="H826" s="2"/>
      <c r="I826" s="30"/>
    </row>
    <row r="827" spans="4:9">
      <c r="D827" s="47"/>
      <c r="E827" s="143"/>
      <c r="H827" s="2"/>
      <c r="I827" s="30"/>
    </row>
    <row r="828" spans="4:9">
      <c r="D828" s="47"/>
      <c r="E828" s="143"/>
      <c r="H828" s="2"/>
      <c r="I828" s="30"/>
    </row>
    <row r="829" spans="4:9">
      <c r="D829" s="47"/>
      <c r="E829" s="143"/>
      <c r="H829" s="2"/>
      <c r="I829" s="30"/>
    </row>
    <row r="830" spans="4:9">
      <c r="D830" s="47"/>
      <c r="E830" s="143"/>
      <c r="H830" s="2"/>
      <c r="I830" s="30"/>
    </row>
    <row r="831" spans="4:9">
      <c r="D831" s="47"/>
      <c r="E831" s="143"/>
      <c r="H831" s="2"/>
      <c r="I831" s="30"/>
    </row>
    <row r="832" spans="4:9">
      <c r="D832" s="47"/>
      <c r="E832" s="143"/>
      <c r="H832" s="2"/>
      <c r="I832" s="30"/>
    </row>
    <row r="833" spans="4:9">
      <c r="D833" s="47"/>
      <c r="E833" s="143"/>
      <c r="H833" s="2"/>
      <c r="I833" s="30"/>
    </row>
    <row r="834" spans="4:9">
      <c r="D834" s="47"/>
      <c r="E834" s="143"/>
      <c r="H834" s="2"/>
      <c r="I834" s="30"/>
    </row>
    <row r="835" spans="4:9">
      <c r="D835" s="47"/>
      <c r="E835" s="143"/>
      <c r="H835" s="2"/>
      <c r="I835" s="30"/>
    </row>
    <row r="836" spans="4:9">
      <c r="D836" s="47"/>
      <c r="E836" s="143"/>
      <c r="H836" s="2"/>
      <c r="I836" s="30"/>
    </row>
    <row r="837" spans="4:9">
      <c r="D837" s="47"/>
      <c r="E837" s="143"/>
      <c r="H837" s="2"/>
      <c r="I837" s="30"/>
    </row>
    <row r="838" spans="4:9">
      <c r="D838" s="47"/>
      <c r="E838" s="143"/>
      <c r="H838" s="2"/>
      <c r="I838" s="30"/>
    </row>
    <row r="839" spans="4:9">
      <c r="D839" s="47"/>
      <c r="E839" s="143"/>
      <c r="H839" s="2"/>
      <c r="I839" s="30"/>
    </row>
    <row r="840" spans="4:9">
      <c r="D840" s="47"/>
      <c r="E840" s="143"/>
      <c r="H840" s="2"/>
      <c r="I840" s="30"/>
    </row>
    <row r="841" spans="4:9">
      <c r="D841" s="47"/>
      <c r="E841" s="143"/>
      <c r="H841" s="2"/>
      <c r="I841" s="30"/>
    </row>
    <row r="842" spans="4:9">
      <c r="D842" s="47"/>
      <c r="E842" s="143"/>
      <c r="H842" s="2"/>
      <c r="I842" s="30"/>
    </row>
    <row r="843" spans="4:9">
      <c r="D843" s="47"/>
      <c r="E843" s="143"/>
      <c r="H843" s="2"/>
      <c r="I843" s="30"/>
    </row>
    <row r="844" spans="4:9">
      <c r="D844" s="47"/>
      <c r="E844" s="143"/>
      <c r="H844" s="2"/>
      <c r="I844" s="30"/>
    </row>
    <row r="845" spans="4:9">
      <c r="D845" s="47"/>
      <c r="E845" s="143"/>
      <c r="H845" s="2"/>
      <c r="I845" s="30"/>
    </row>
    <row r="846" spans="4:9">
      <c r="D846" s="47"/>
      <c r="E846" s="143"/>
      <c r="H846" s="2"/>
      <c r="I846" s="30"/>
    </row>
    <row r="847" spans="4:9">
      <c r="D847" s="47"/>
      <c r="E847" s="143"/>
      <c r="H847" s="2"/>
      <c r="I847" s="30"/>
    </row>
    <row r="848" spans="4:9">
      <c r="D848" s="47"/>
      <c r="E848" s="143"/>
      <c r="H848" s="2"/>
      <c r="I848" s="30"/>
    </row>
    <row r="849" spans="4:9">
      <c r="D849" s="47"/>
      <c r="E849" s="143"/>
      <c r="H849" s="2"/>
      <c r="I849" s="30"/>
    </row>
    <row r="850" spans="4:9">
      <c r="D850" s="47"/>
      <c r="E850" s="143"/>
      <c r="H850" s="2"/>
      <c r="I850" s="30"/>
    </row>
    <row r="851" spans="4:9">
      <c r="D851" s="47"/>
      <c r="E851" s="143"/>
      <c r="H851" s="2"/>
      <c r="I851" s="30"/>
    </row>
    <row r="852" spans="4:9">
      <c r="D852" s="47"/>
      <c r="E852" s="143"/>
      <c r="H852" s="2"/>
      <c r="I852" s="30"/>
    </row>
    <row r="853" spans="4:9">
      <c r="D853" s="47"/>
      <c r="E853" s="143"/>
      <c r="H853" s="2"/>
      <c r="I853" s="30"/>
    </row>
    <row r="854" spans="4:9">
      <c r="D854" s="47"/>
      <c r="E854" s="143"/>
      <c r="H854" s="2"/>
      <c r="I854" s="30"/>
    </row>
    <row r="855" spans="4:9">
      <c r="D855" s="47"/>
      <c r="E855" s="143"/>
      <c r="H855" s="2"/>
      <c r="I855" s="30"/>
    </row>
    <row r="856" spans="4:9">
      <c r="D856" s="47"/>
      <c r="E856" s="143"/>
      <c r="H856" s="2"/>
      <c r="I856" s="30"/>
    </row>
    <row r="857" spans="4:9">
      <c r="D857" s="47"/>
      <c r="E857" s="143"/>
      <c r="H857" s="2"/>
      <c r="I857" s="30"/>
    </row>
    <row r="858" spans="4:9">
      <c r="D858" s="47"/>
      <c r="E858" s="143"/>
      <c r="H858" s="2"/>
      <c r="I858" s="30"/>
    </row>
    <row r="859" spans="4:9">
      <c r="D859" s="47"/>
      <c r="E859" s="143"/>
      <c r="H859" s="2"/>
      <c r="I859" s="30"/>
    </row>
    <row r="860" spans="4:9">
      <c r="D860" s="47"/>
      <c r="E860" s="143"/>
      <c r="H860" s="2"/>
      <c r="I860" s="30"/>
    </row>
    <row r="861" spans="4:9">
      <c r="D861" s="47"/>
      <c r="E861" s="143"/>
      <c r="H861" s="2"/>
      <c r="I861" s="30"/>
    </row>
    <row r="862" spans="4:9">
      <c r="D862" s="47"/>
      <c r="E862" s="143"/>
      <c r="H862" s="2"/>
      <c r="I862" s="30"/>
    </row>
    <row r="863" spans="4:9">
      <c r="D863" s="47"/>
      <c r="E863" s="143"/>
      <c r="H863" s="2"/>
      <c r="I863" s="30"/>
    </row>
    <row r="864" spans="4:9">
      <c r="D864" s="47"/>
      <c r="E864" s="143"/>
      <c r="H864" s="2"/>
      <c r="I864" s="30"/>
    </row>
    <row r="865" spans="4:9">
      <c r="D865" s="47"/>
      <c r="E865" s="143"/>
      <c r="H865" s="2"/>
      <c r="I865" s="30"/>
    </row>
    <row r="866" spans="4:9">
      <c r="D866" s="47"/>
      <c r="E866" s="143"/>
      <c r="H866" s="2"/>
      <c r="I866" s="30"/>
    </row>
    <row r="867" spans="4:9">
      <c r="D867" s="47"/>
      <c r="E867" s="143"/>
      <c r="H867" s="2"/>
      <c r="I867" s="30"/>
    </row>
    <row r="868" spans="4:9">
      <c r="D868" s="47"/>
      <c r="E868" s="143"/>
      <c r="H868" s="2"/>
      <c r="I868" s="30"/>
    </row>
    <row r="869" spans="4:9">
      <c r="D869" s="47"/>
      <c r="E869" s="143"/>
      <c r="H869" s="2"/>
      <c r="I869" s="30"/>
    </row>
    <row r="870" spans="4:9">
      <c r="D870" s="47"/>
      <c r="E870" s="143"/>
      <c r="H870" s="2"/>
      <c r="I870" s="30"/>
    </row>
    <row r="871" spans="4:9">
      <c r="D871" s="47"/>
      <c r="E871" s="143"/>
      <c r="H871" s="2"/>
      <c r="I871" s="30"/>
    </row>
    <row r="872" spans="4:9">
      <c r="D872" s="47"/>
      <c r="E872" s="143"/>
      <c r="H872" s="2"/>
      <c r="I872" s="30"/>
    </row>
    <row r="873" spans="4:9">
      <c r="D873" s="47"/>
      <c r="E873" s="143"/>
      <c r="H873" s="2"/>
      <c r="I873" s="30"/>
    </row>
    <row r="874" spans="4:9">
      <c r="D874" s="47"/>
      <c r="E874" s="143"/>
      <c r="H874" s="2"/>
      <c r="I874" s="30"/>
    </row>
    <row r="875" spans="4:9">
      <c r="D875" s="47"/>
      <c r="E875" s="143"/>
      <c r="H875" s="2"/>
      <c r="I875" s="30"/>
    </row>
    <row r="876" spans="4:9">
      <c r="D876" s="47"/>
      <c r="E876" s="143"/>
      <c r="H876" s="2"/>
      <c r="I876" s="30"/>
    </row>
    <row r="877" spans="4:9">
      <c r="D877" s="47"/>
      <c r="E877" s="143"/>
      <c r="H877" s="2"/>
      <c r="I877" s="30"/>
    </row>
    <row r="878" spans="4:9">
      <c r="D878" s="47"/>
      <c r="E878" s="143"/>
      <c r="H878" s="2"/>
      <c r="I878" s="30"/>
    </row>
    <row r="879" spans="4:9">
      <c r="D879" s="47"/>
      <c r="E879" s="143"/>
      <c r="H879" s="2"/>
      <c r="I879" s="30"/>
    </row>
    <row r="880" spans="4:9">
      <c r="D880" s="47"/>
      <c r="E880" s="143"/>
      <c r="H880" s="2"/>
      <c r="I880" s="30"/>
    </row>
    <row r="881" spans="4:9">
      <c r="D881" s="47"/>
      <c r="E881" s="143"/>
      <c r="H881" s="2"/>
      <c r="I881" s="30"/>
    </row>
    <row r="882" spans="4:9">
      <c r="D882" s="47"/>
      <c r="E882" s="143"/>
      <c r="H882" s="2"/>
      <c r="I882" s="30"/>
    </row>
    <row r="883" spans="4:9">
      <c r="D883" s="47"/>
      <c r="E883" s="143"/>
      <c r="H883" s="2"/>
      <c r="I883" s="30"/>
    </row>
    <row r="884" spans="4:9">
      <c r="D884" s="47"/>
      <c r="E884" s="143"/>
      <c r="H884" s="2"/>
      <c r="I884" s="30"/>
    </row>
    <row r="885" spans="4:9">
      <c r="D885" s="47"/>
      <c r="E885" s="143"/>
      <c r="H885" s="2"/>
      <c r="I885" s="30"/>
    </row>
    <row r="886" spans="4:9">
      <c r="D886" s="47"/>
      <c r="E886" s="143"/>
      <c r="H886" s="2"/>
      <c r="I886" s="30"/>
    </row>
    <row r="887" spans="4:9">
      <c r="D887" s="47"/>
      <c r="E887" s="143"/>
      <c r="H887" s="2"/>
      <c r="I887" s="30"/>
    </row>
    <row r="888" spans="4:9">
      <c r="D888" s="47"/>
      <c r="E888" s="143"/>
      <c r="H888" s="2"/>
      <c r="I888" s="30"/>
    </row>
    <row r="889" spans="4:9">
      <c r="D889" s="47"/>
      <c r="E889" s="143"/>
      <c r="H889" s="2"/>
      <c r="I889" s="30"/>
    </row>
    <row r="890" spans="4:9">
      <c r="D890" s="47"/>
      <c r="E890" s="143"/>
      <c r="H890" s="2"/>
      <c r="I890" s="30"/>
    </row>
    <row r="891" spans="4:9">
      <c r="D891" s="47"/>
      <c r="E891" s="143"/>
      <c r="H891" s="2"/>
      <c r="I891" s="30"/>
    </row>
    <row r="892" spans="4:9">
      <c r="D892" s="47"/>
      <c r="E892" s="143"/>
      <c r="H892" s="2"/>
      <c r="I892" s="30"/>
    </row>
    <row r="893" spans="4:9">
      <c r="D893" s="47"/>
      <c r="E893" s="143"/>
      <c r="H893" s="2"/>
      <c r="I893" s="30"/>
    </row>
    <row r="894" spans="4:9">
      <c r="D894" s="47"/>
      <c r="E894" s="143"/>
      <c r="H894" s="2"/>
      <c r="I894" s="30"/>
    </row>
    <row r="895" spans="4:9">
      <c r="D895" s="47"/>
      <c r="E895" s="143"/>
      <c r="H895" s="2"/>
      <c r="I895" s="30"/>
    </row>
    <row r="896" spans="4:9">
      <c r="D896" s="47"/>
      <c r="E896" s="143"/>
      <c r="H896" s="2"/>
      <c r="I896" s="30"/>
    </row>
    <row r="897" spans="4:9">
      <c r="D897" s="47"/>
      <c r="E897" s="143"/>
      <c r="H897" s="2"/>
      <c r="I897" s="30"/>
    </row>
    <row r="898" spans="4:9">
      <c r="D898" s="47"/>
      <c r="E898" s="143"/>
      <c r="H898" s="2"/>
      <c r="I898" s="30"/>
    </row>
    <row r="899" spans="4:9">
      <c r="D899" s="47"/>
      <c r="E899" s="143"/>
      <c r="H899" s="2"/>
      <c r="I899" s="30"/>
    </row>
    <row r="900" spans="4:9">
      <c r="D900" s="47"/>
      <c r="E900" s="143"/>
      <c r="H900" s="2"/>
      <c r="I900" s="30"/>
    </row>
    <row r="901" spans="4:9">
      <c r="D901" s="47"/>
      <c r="E901" s="143"/>
      <c r="H901" s="2"/>
      <c r="I901" s="30"/>
    </row>
    <row r="902" spans="4:9">
      <c r="D902" s="47"/>
      <c r="E902" s="143"/>
      <c r="H902" s="2"/>
      <c r="I902" s="30"/>
    </row>
    <row r="903" spans="4:9">
      <c r="D903" s="47"/>
      <c r="E903" s="143"/>
      <c r="H903" s="2"/>
      <c r="I903" s="30"/>
    </row>
    <row r="904" spans="4:9">
      <c r="D904" s="47"/>
      <c r="E904" s="143"/>
      <c r="H904" s="2"/>
      <c r="I904" s="30"/>
    </row>
    <row r="905" spans="4:9">
      <c r="D905" s="47"/>
      <c r="E905" s="143"/>
      <c r="H905" s="2"/>
      <c r="I905" s="30"/>
    </row>
    <row r="906" spans="4:9">
      <c r="D906" s="47"/>
      <c r="E906" s="143"/>
      <c r="H906" s="2"/>
      <c r="I906" s="30"/>
    </row>
    <row r="907" spans="4:9">
      <c r="D907" s="47"/>
      <c r="E907" s="143"/>
      <c r="H907" s="2"/>
      <c r="I907" s="30"/>
    </row>
    <row r="908" spans="4:9">
      <c r="D908" s="47"/>
      <c r="E908" s="143"/>
      <c r="H908" s="2"/>
      <c r="I908" s="30"/>
    </row>
    <row r="909" spans="4:9">
      <c r="D909" s="47"/>
      <c r="E909" s="143"/>
      <c r="H909" s="2"/>
      <c r="I909" s="30"/>
    </row>
    <row r="910" spans="4:9">
      <c r="D910" s="47"/>
      <c r="E910" s="143"/>
      <c r="H910" s="2"/>
      <c r="I910" s="30"/>
    </row>
    <row r="911" spans="4:9">
      <c r="D911" s="47"/>
      <c r="E911" s="143"/>
      <c r="H911" s="2"/>
      <c r="I911" s="30"/>
    </row>
    <row r="912" spans="4:9">
      <c r="D912" s="47"/>
      <c r="E912" s="143"/>
      <c r="H912" s="2"/>
      <c r="I912" s="30"/>
    </row>
    <row r="913" spans="4:9">
      <c r="D913" s="47"/>
      <c r="E913" s="143"/>
      <c r="H913" s="2"/>
      <c r="I913" s="30"/>
    </row>
    <row r="914" spans="4:9">
      <c r="D914" s="47"/>
      <c r="E914" s="143"/>
      <c r="H914" s="2"/>
      <c r="I914" s="30"/>
    </row>
    <row r="915" spans="4:9">
      <c r="D915" s="47"/>
      <c r="E915" s="143"/>
      <c r="H915" s="2"/>
      <c r="I915" s="30"/>
    </row>
    <row r="916" spans="4:9">
      <c r="D916" s="47"/>
      <c r="E916" s="143"/>
      <c r="H916" s="2"/>
      <c r="I916" s="30"/>
    </row>
    <row r="917" spans="4:9">
      <c r="D917" s="47"/>
      <c r="E917" s="143"/>
      <c r="H917" s="2"/>
      <c r="I917" s="30"/>
    </row>
    <row r="918" spans="4:9">
      <c r="D918" s="47"/>
      <c r="E918" s="143"/>
      <c r="H918" s="2"/>
      <c r="I918" s="30"/>
    </row>
    <row r="919" spans="4:9">
      <c r="D919" s="47"/>
      <c r="E919" s="143"/>
      <c r="H919" s="2"/>
      <c r="I919" s="30"/>
    </row>
    <row r="920" spans="4:9">
      <c r="D920" s="47"/>
      <c r="E920" s="143"/>
      <c r="H920" s="2"/>
      <c r="I920" s="30"/>
    </row>
    <row r="921" spans="4:9">
      <c r="D921" s="47"/>
      <c r="E921" s="143"/>
      <c r="H921" s="2"/>
      <c r="I921" s="30"/>
    </row>
    <row r="922" spans="4:9">
      <c r="D922" s="47"/>
      <c r="E922" s="143"/>
      <c r="H922" s="2"/>
      <c r="I922" s="30"/>
    </row>
    <row r="923" spans="4:9">
      <c r="D923" s="47"/>
      <c r="E923" s="143"/>
      <c r="H923" s="2"/>
      <c r="I923" s="30"/>
    </row>
    <row r="924" spans="4:9">
      <c r="D924" s="47"/>
      <c r="E924" s="143"/>
      <c r="H924" s="2"/>
      <c r="I924" s="30"/>
    </row>
    <row r="925" spans="4:9">
      <c r="D925" s="47"/>
      <c r="E925" s="143"/>
      <c r="H925" s="2"/>
      <c r="I925" s="30"/>
    </row>
    <row r="926" spans="4:9">
      <c r="D926" s="47"/>
      <c r="E926" s="143"/>
      <c r="H926" s="2"/>
      <c r="I926" s="30"/>
    </row>
    <row r="927" spans="4:9">
      <c r="D927" s="47"/>
      <c r="E927" s="143"/>
      <c r="H927" s="2"/>
      <c r="I927" s="30"/>
    </row>
    <row r="928" spans="4:9">
      <c r="D928" s="47"/>
      <c r="E928" s="143"/>
      <c r="H928" s="2"/>
      <c r="I928" s="30"/>
    </row>
    <row r="929" spans="4:9">
      <c r="D929" s="47"/>
      <c r="E929" s="143"/>
      <c r="H929" s="2"/>
      <c r="I929" s="30"/>
    </row>
    <row r="930" spans="4:9">
      <c r="D930" s="47"/>
      <c r="E930" s="143"/>
      <c r="H930" s="2"/>
      <c r="I930" s="30"/>
    </row>
    <row r="931" spans="4:9">
      <c r="D931" s="47"/>
      <c r="E931" s="143"/>
      <c r="H931" s="2"/>
      <c r="I931" s="30"/>
    </row>
    <row r="932" spans="4:9">
      <c r="D932" s="47"/>
      <c r="E932" s="143"/>
      <c r="H932" s="2"/>
      <c r="I932" s="30"/>
    </row>
    <row r="933" spans="4:9">
      <c r="D933" s="47"/>
      <c r="E933" s="143"/>
      <c r="H933" s="2"/>
      <c r="I933" s="30"/>
    </row>
    <row r="934" spans="4:9">
      <c r="D934" s="47"/>
      <c r="E934" s="143"/>
      <c r="H934" s="2"/>
      <c r="I934" s="30"/>
    </row>
    <row r="935" spans="4:9">
      <c r="D935" s="47"/>
      <c r="E935" s="143"/>
      <c r="H935" s="2"/>
      <c r="I935" s="30"/>
    </row>
    <row r="936" spans="4:9">
      <c r="D936" s="47"/>
      <c r="E936" s="143"/>
      <c r="H936" s="2"/>
      <c r="I936" s="30"/>
    </row>
    <row r="937" spans="4:9">
      <c r="D937" s="47"/>
      <c r="E937" s="143"/>
      <c r="H937" s="2"/>
      <c r="I937" s="30"/>
    </row>
    <row r="938" spans="4:9">
      <c r="D938" s="47"/>
      <c r="E938" s="143"/>
      <c r="H938" s="2"/>
      <c r="I938" s="30"/>
    </row>
    <row r="939" spans="4:9">
      <c r="D939" s="47"/>
      <c r="E939" s="143"/>
      <c r="H939" s="2"/>
      <c r="I939" s="30"/>
    </row>
    <row r="940" spans="4:9">
      <c r="D940" s="47"/>
      <c r="E940" s="143"/>
      <c r="H940" s="2"/>
      <c r="I940" s="30"/>
    </row>
    <row r="941" spans="4:9">
      <c r="D941" s="47"/>
      <c r="E941" s="143"/>
      <c r="H941" s="2"/>
      <c r="I941" s="30"/>
    </row>
    <row r="942" spans="4:9">
      <c r="D942" s="47"/>
      <c r="E942" s="143"/>
      <c r="H942" s="2"/>
      <c r="I942" s="30"/>
    </row>
    <row r="943" spans="4:9">
      <c r="D943" s="47"/>
      <c r="E943" s="143"/>
      <c r="H943" s="2"/>
      <c r="I943" s="30"/>
    </row>
    <row r="944" spans="4:9">
      <c r="D944" s="47"/>
      <c r="E944" s="143"/>
      <c r="H944" s="2"/>
      <c r="I944" s="30"/>
    </row>
    <row r="945" spans="11:15">
      <c r="K945" s="143"/>
      <c r="N945" s="2"/>
      <c r="O945" s="30"/>
    </row>
    <row r="946" spans="11:15">
      <c r="K946" s="143"/>
      <c r="N946" s="2"/>
      <c r="O946" s="30"/>
    </row>
    <row r="947" spans="11:15">
      <c r="K947" s="143"/>
      <c r="N947" s="2"/>
      <c r="O947" s="30"/>
    </row>
    <row r="948" spans="11:15">
      <c r="K948" s="143"/>
      <c r="N948" s="2"/>
      <c r="O948" s="30"/>
    </row>
    <row r="949" spans="11:15">
      <c r="K949" s="143"/>
      <c r="N949" s="2"/>
      <c r="O949" s="30"/>
    </row>
    <row r="950" spans="11:15">
      <c r="K950" s="143"/>
      <c r="N950" s="2"/>
      <c r="O950" s="30"/>
    </row>
    <row r="951" spans="11:15">
      <c r="K951" s="143"/>
      <c r="N951" s="2"/>
      <c r="O951" s="30"/>
    </row>
    <row r="952" spans="11:15">
      <c r="K952" s="143"/>
      <c r="N952" s="2"/>
      <c r="O952" s="30"/>
    </row>
    <row r="953" spans="11:15">
      <c r="K953" s="143"/>
      <c r="N953" s="2"/>
      <c r="O953" s="30"/>
    </row>
    <row r="954" spans="11:15">
      <c r="K954" s="143"/>
      <c r="N954" s="2"/>
      <c r="O954" s="30"/>
    </row>
    <row r="955" spans="11:15">
      <c r="K955" s="143"/>
      <c r="N955" s="2"/>
      <c r="O955" s="30"/>
    </row>
    <row r="956" spans="11:15">
      <c r="K956" s="143"/>
      <c r="N956" s="2"/>
      <c r="O956" s="30"/>
    </row>
    <row r="957" spans="11:15">
      <c r="K957" s="143"/>
      <c r="N957" s="2"/>
      <c r="O957" s="30"/>
    </row>
    <row r="958" spans="11:15">
      <c r="K958" s="143"/>
      <c r="N958" s="2"/>
      <c r="O958" s="30"/>
    </row>
    <row r="959" spans="11:15">
      <c r="K959" s="143"/>
      <c r="N959" s="2"/>
      <c r="O959" s="30"/>
    </row>
    <row r="960" spans="11:15">
      <c r="K960" s="143"/>
      <c r="N960" s="2"/>
      <c r="O960" s="30"/>
    </row>
    <row r="961" spans="11:15">
      <c r="K961" s="143"/>
      <c r="N961" s="2"/>
      <c r="O961" s="30"/>
    </row>
    <row r="962" spans="11:15">
      <c r="K962" s="143"/>
      <c r="N962" s="2"/>
      <c r="O962" s="30"/>
    </row>
    <row r="963" spans="11:15">
      <c r="K963" s="143"/>
      <c r="N963" s="2"/>
      <c r="O963" s="30"/>
    </row>
    <row r="964" spans="11:15">
      <c r="K964" s="143"/>
      <c r="N964" s="2"/>
      <c r="O964" s="30"/>
    </row>
    <row r="965" spans="11:15">
      <c r="K965" s="143"/>
      <c r="N965" s="2"/>
      <c r="O965" s="30"/>
    </row>
    <row r="966" spans="11:15">
      <c r="K966" s="143"/>
      <c r="N966" s="2"/>
      <c r="O966" s="30"/>
    </row>
  </sheetData>
  <mergeCells count="2">
    <mergeCell ref="F5:F6"/>
    <mergeCell ref="G5:G6"/>
  </mergeCells>
  <hyperlinks>
    <hyperlink ref="M3" r:id="rId1" xr:uid="{9A802B09-0F1B-4E33-922E-56C02F67DC01}"/>
    <hyperlink ref="M4" r:id="rId2" xr:uid="{7F262B4D-B29F-4189-979F-85ADE675C819}"/>
    <hyperlink ref="M6" r:id="rId3" xr:uid="{B2598144-B6ED-441E-BD52-F739AC81D268}"/>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C1DD9-FBBD-4D56-9323-B58E521F77C7}">
  <dimension ref="A1:Z4"/>
  <sheetViews>
    <sheetView workbookViewId="0">
      <selection activeCell="A3" sqref="A3"/>
    </sheetView>
  </sheetViews>
  <sheetFormatPr defaultRowHeight="12.75"/>
  <cols>
    <col min="1" max="1" width="7.5703125" customWidth="1"/>
    <col min="2" max="2" width="20" customWidth="1"/>
    <col min="3" max="3" width="17.7109375" customWidth="1"/>
    <col min="4" max="4" width="16.140625" customWidth="1"/>
    <col min="5" max="5" width="14.7109375" customWidth="1"/>
    <col min="6" max="6" width="53.85546875" customWidth="1"/>
    <col min="7" max="7" width="14.140625" customWidth="1"/>
    <col min="8" max="8" width="16.5703125" customWidth="1"/>
    <col min="9" max="9" width="19" customWidth="1"/>
    <col min="10" max="10" width="18.140625" customWidth="1"/>
    <col min="11" max="11" width="15.28515625" customWidth="1"/>
  </cols>
  <sheetData>
    <row r="1" spans="1:26" ht="14.25">
      <c r="A1" s="59" t="s">
        <v>248</v>
      </c>
      <c r="B1" s="154" t="s">
        <v>11</v>
      </c>
      <c r="C1" s="155" t="s">
        <v>306</v>
      </c>
      <c r="D1" s="154" t="s">
        <v>250</v>
      </c>
      <c r="E1" s="155" t="s">
        <v>308</v>
      </c>
      <c r="F1" s="155" t="s">
        <v>309</v>
      </c>
      <c r="G1" s="154" t="s">
        <v>310</v>
      </c>
      <c r="H1" s="154" t="s">
        <v>312</v>
      </c>
      <c r="I1" s="154" t="s">
        <v>253</v>
      </c>
      <c r="J1" s="156" t="s">
        <v>313</v>
      </c>
      <c r="K1" s="157" t="s">
        <v>274</v>
      </c>
      <c r="L1" s="35"/>
      <c r="M1" s="35"/>
      <c r="N1" s="35"/>
      <c r="O1" s="35"/>
      <c r="P1" s="35"/>
      <c r="Q1" s="35"/>
      <c r="R1" s="35"/>
      <c r="S1" s="35"/>
      <c r="T1" s="35"/>
      <c r="U1" s="35"/>
      <c r="V1" s="35"/>
      <c r="W1" s="35"/>
      <c r="X1" s="35"/>
      <c r="Y1" s="35"/>
      <c r="Z1" s="35"/>
    </row>
    <row r="2" spans="1:26" s="137" customFormat="1">
      <c r="A2" s="318" t="s">
        <v>1597</v>
      </c>
      <c r="B2" s="319"/>
      <c r="C2" s="256"/>
      <c r="D2" s="288"/>
      <c r="E2" s="244"/>
      <c r="F2" s="320"/>
      <c r="G2" s="244"/>
      <c r="H2" s="244"/>
      <c r="I2" s="244"/>
      <c r="J2" s="244"/>
      <c r="K2" s="244"/>
      <c r="L2" s="244"/>
      <c r="M2" s="244"/>
      <c r="N2" s="244"/>
      <c r="O2" s="244"/>
      <c r="P2" s="244"/>
      <c r="Q2" s="244"/>
      <c r="R2" s="244"/>
      <c r="S2" s="244"/>
      <c r="T2" s="244"/>
      <c r="U2" s="244"/>
      <c r="V2" s="244"/>
    </row>
    <row r="3" spans="1:26" s="137" customFormat="1">
      <c r="A3" s="256"/>
      <c r="B3" s="319"/>
      <c r="C3" s="256"/>
      <c r="D3" s="288"/>
      <c r="E3" s="244"/>
      <c r="F3" s="321"/>
      <c r="G3" s="244"/>
      <c r="H3" s="244"/>
      <c r="I3" s="244"/>
      <c r="J3" s="244"/>
      <c r="K3" s="244"/>
    </row>
    <row r="4" spans="1:26">
      <c r="B4" s="3"/>
      <c r="D4" s="35"/>
      <c r="E4" s="35"/>
      <c r="F4" s="144"/>
      <c r="G4" s="35"/>
      <c r="H4" s="35"/>
      <c r="I4" s="35"/>
      <c r="J4" s="35"/>
      <c r="K4" s="35"/>
    </row>
  </sheetData>
  <dataValidations count="4">
    <dataValidation type="list" allowBlank="1" showErrorMessage="1" sqref="H2:H4" xr:uid="{BBEB7880-A866-432F-B21D-967836F4CC9C}">
      <formula1>"Internal,External"</formula1>
    </dataValidation>
    <dataValidation type="list" allowBlank="1" showErrorMessage="1" sqref="E2:E4" xr:uid="{67E2EB71-39BC-4F70-B1FA-01778DD50E12}">
      <formula1>"Bounceback,Defect,None"</formula1>
    </dataValidation>
    <dataValidation type="list" allowBlank="1" showErrorMessage="1" sqref="I2:I4" xr:uid="{82C3F1B3-DACC-4144-936E-06CCA28455FA}">
      <formula1>"Open,Inprogress,Closed"</formula1>
    </dataValidation>
    <dataValidation type="list" allowBlank="1" showErrorMessage="1" sqref="G2:G4" xr:uid="{41DBDD45-321A-4F7C-8C25-9AFB846D3256}">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D0778261-CCB5-4ADB-AA33-A8A3E73595D7}">
          <x14:formula1>
            <xm:f>Details!$A$2:$A$10</xm:f>
          </x14:formula1>
          <xm:sqref>J2:J4</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209C2-5342-42EA-91E8-B349BE4F5AA5}">
  <dimension ref="A1:X972"/>
  <sheetViews>
    <sheetView topLeftCell="F1" workbookViewId="0">
      <selection activeCell="F8" sqref="F8"/>
    </sheetView>
  </sheetViews>
  <sheetFormatPr defaultRowHeight="12.75"/>
  <cols>
    <col min="1" max="1" width="8.28515625" style="181" customWidth="1"/>
    <col min="2" max="2" width="20.42578125" customWidth="1"/>
    <col min="3" max="3" width="20.7109375" style="47" customWidth="1"/>
    <col min="4" max="4" width="16.85546875" customWidth="1"/>
    <col min="5" max="5" width="42" customWidth="1"/>
    <col min="6" max="7" width="9.140625" style="53"/>
    <col min="12" max="12" width="33.140625" customWidth="1"/>
    <col min="13" max="13" width="22.7109375" customWidth="1"/>
    <col min="14" max="14" width="10.7109375" bestFit="1" customWidth="1"/>
    <col min="15" max="15" width="10.42578125" customWidth="1"/>
    <col min="17" max="17" width="13.28515625" customWidth="1"/>
    <col min="19" max="19" width="9.42578125" bestFit="1" customWidth="1"/>
    <col min="20" max="20" width="14.7109375" customWidth="1"/>
    <col min="21" max="21" width="15.28515625" customWidth="1"/>
    <col min="22" max="22" width="14.7109375" customWidth="1"/>
    <col min="23" max="23" width="11.5703125" style="137" customWidth="1"/>
    <col min="24" max="24" width="48.28515625" customWidth="1"/>
  </cols>
  <sheetData>
    <row r="1" spans="1:24" ht="14.25">
      <c r="A1" s="184"/>
      <c r="B1" s="4"/>
      <c r="C1" s="5"/>
      <c r="D1" s="5"/>
      <c r="E1" s="4"/>
      <c r="F1" s="48"/>
      <c r="G1" s="48"/>
      <c r="H1" s="197"/>
      <c r="I1" s="243"/>
      <c r="J1" s="197"/>
      <c r="K1" s="197"/>
      <c r="L1" s="197"/>
      <c r="M1" s="197"/>
      <c r="N1" s="197"/>
      <c r="O1" s="197"/>
      <c r="P1" s="197"/>
      <c r="Q1" s="197"/>
      <c r="R1" s="197"/>
      <c r="S1" s="197"/>
      <c r="T1" s="197"/>
      <c r="U1" s="197"/>
      <c r="V1" s="197"/>
      <c r="W1" s="188"/>
      <c r="X1" s="209"/>
    </row>
    <row r="2" spans="1:24" ht="46.5">
      <c r="A2" s="193" t="s">
        <v>248</v>
      </c>
      <c r="B2" s="59" t="s">
        <v>249</v>
      </c>
      <c r="C2" s="195" t="s">
        <v>250</v>
      </c>
      <c r="D2" s="68" t="s">
        <v>251</v>
      </c>
      <c r="E2" s="70" t="s">
        <v>252</v>
      </c>
      <c r="F2" s="71" t="s">
        <v>254</v>
      </c>
      <c r="G2" s="71" t="s">
        <v>255</v>
      </c>
      <c r="H2" s="199" t="s">
        <v>259</v>
      </c>
      <c r="I2" s="199" t="s">
        <v>260</v>
      </c>
      <c r="J2" s="199" t="s">
        <v>261</v>
      </c>
      <c r="K2" s="199" t="s">
        <v>262</v>
      </c>
      <c r="L2" s="199" t="s">
        <v>263</v>
      </c>
      <c r="M2" s="199" t="s">
        <v>264</v>
      </c>
      <c r="N2" s="199" t="s">
        <v>265</v>
      </c>
      <c r="O2" s="199" t="s">
        <v>266</v>
      </c>
      <c r="P2" s="199" t="s">
        <v>1571</v>
      </c>
      <c r="Q2" s="199" t="s">
        <v>268</v>
      </c>
      <c r="R2" s="199" t="s">
        <v>1572</v>
      </c>
      <c r="S2" s="199" t="s">
        <v>270</v>
      </c>
      <c r="T2" s="199" t="s">
        <v>268</v>
      </c>
      <c r="U2" s="199" t="s">
        <v>272</v>
      </c>
      <c r="V2" s="199" t="s">
        <v>273</v>
      </c>
      <c r="W2" s="189" t="s">
        <v>253</v>
      </c>
      <c r="X2" s="210" t="s">
        <v>274</v>
      </c>
    </row>
    <row r="3" spans="1:24" s="137" customFormat="1" ht="28.5" customHeight="1">
      <c r="A3" s="302">
        <v>1</v>
      </c>
      <c r="B3" s="298" t="s">
        <v>1598</v>
      </c>
      <c r="C3" s="304" t="s">
        <v>1599</v>
      </c>
      <c r="D3" s="62" t="s">
        <v>1600</v>
      </c>
      <c r="E3" s="225" t="s">
        <v>1601</v>
      </c>
      <c r="F3" s="903">
        <v>3</v>
      </c>
      <c r="G3" s="903">
        <v>3</v>
      </c>
      <c r="H3" s="83" t="s">
        <v>318</v>
      </c>
      <c r="I3" s="41" t="s">
        <v>1035</v>
      </c>
      <c r="J3" s="203" t="s">
        <v>1526</v>
      </c>
      <c r="K3" s="41" t="s">
        <v>595</v>
      </c>
      <c r="L3" s="203" t="s">
        <v>1557</v>
      </c>
      <c r="M3" s="231" t="s">
        <v>1602</v>
      </c>
      <c r="N3" s="232">
        <v>45496</v>
      </c>
      <c r="O3" s="232">
        <v>45499</v>
      </c>
      <c r="P3" s="41" t="s">
        <v>795</v>
      </c>
      <c r="Q3" s="282" t="s">
        <v>1557</v>
      </c>
      <c r="R3" s="203" t="s">
        <v>595</v>
      </c>
      <c r="S3" s="206">
        <v>45499</v>
      </c>
      <c r="T3" s="282" t="s">
        <v>1557</v>
      </c>
      <c r="U3" s="282" t="s">
        <v>1557</v>
      </c>
      <c r="V3" s="282" t="s">
        <v>1557</v>
      </c>
      <c r="W3" s="203" t="s">
        <v>13</v>
      </c>
      <c r="X3" s="203"/>
    </row>
    <row r="4" spans="1:24" s="137" customFormat="1" ht="28.5" customHeight="1">
      <c r="A4" s="302">
        <v>2</v>
      </c>
      <c r="B4" s="298" t="s">
        <v>1598</v>
      </c>
      <c r="C4" s="304" t="s">
        <v>1035</v>
      </c>
      <c r="D4" s="62" t="s">
        <v>1603</v>
      </c>
      <c r="E4" s="225" t="s">
        <v>1604</v>
      </c>
      <c r="F4" s="913"/>
      <c r="G4" s="913"/>
      <c r="H4" s="83" t="s">
        <v>318</v>
      </c>
      <c r="I4" s="41" t="s">
        <v>1577</v>
      </c>
      <c r="J4" s="203" t="s">
        <v>1526</v>
      </c>
      <c r="K4" s="41" t="s">
        <v>595</v>
      </c>
      <c r="L4" s="203" t="s">
        <v>1557</v>
      </c>
      <c r="M4" s="231" t="s">
        <v>1605</v>
      </c>
      <c r="N4" s="232">
        <v>45499</v>
      </c>
      <c r="O4" s="232">
        <v>45502</v>
      </c>
      <c r="P4" s="41" t="s">
        <v>795</v>
      </c>
      <c r="Q4" s="282" t="s">
        <v>1557</v>
      </c>
      <c r="R4" s="203" t="s">
        <v>595</v>
      </c>
      <c r="S4" s="206">
        <v>45502</v>
      </c>
      <c r="T4" s="282" t="s">
        <v>1557</v>
      </c>
      <c r="U4" s="282" t="s">
        <v>1557</v>
      </c>
      <c r="V4" s="282" t="s">
        <v>1557</v>
      </c>
      <c r="W4" s="203" t="s">
        <v>13</v>
      </c>
      <c r="X4" s="203"/>
    </row>
    <row r="5" spans="1:24" s="137" customFormat="1" ht="28.5" customHeight="1">
      <c r="A5" s="302">
        <v>3</v>
      </c>
      <c r="B5" s="298" t="s">
        <v>1598</v>
      </c>
      <c r="C5" s="304" t="s">
        <v>1599</v>
      </c>
      <c r="D5" s="62" t="s">
        <v>1606</v>
      </c>
      <c r="E5" s="225" t="s">
        <v>1607</v>
      </c>
      <c r="F5" s="904"/>
      <c r="G5" s="904"/>
      <c r="H5" s="83" t="s">
        <v>318</v>
      </c>
      <c r="I5" s="41" t="s">
        <v>1577</v>
      </c>
      <c r="J5" s="203" t="s">
        <v>1526</v>
      </c>
      <c r="K5" s="41" t="s">
        <v>595</v>
      </c>
      <c r="L5" s="203" t="s">
        <v>1557</v>
      </c>
      <c r="M5" s="231" t="s">
        <v>1608</v>
      </c>
      <c r="N5" s="232">
        <v>45496</v>
      </c>
      <c r="O5" s="232">
        <v>45499</v>
      </c>
      <c r="P5" s="41" t="s">
        <v>795</v>
      </c>
      <c r="Q5" s="282" t="s">
        <v>1557</v>
      </c>
      <c r="R5" s="203" t="s">
        <v>595</v>
      </c>
      <c r="S5" s="206">
        <v>45499</v>
      </c>
      <c r="T5" s="282" t="s">
        <v>1557</v>
      </c>
      <c r="U5" s="282" t="s">
        <v>1557</v>
      </c>
      <c r="V5" s="282" t="s">
        <v>1557</v>
      </c>
      <c r="W5" s="203" t="s">
        <v>13</v>
      </c>
      <c r="X5" s="203"/>
    </row>
    <row r="6" spans="1:24" s="137" customFormat="1" ht="30.75" customHeight="1">
      <c r="A6" s="302">
        <v>4</v>
      </c>
      <c r="B6" s="298" t="s">
        <v>1598</v>
      </c>
      <c r="C6" s="304" t="s">
        <v>1599</v>
      </c>
      <c r="D6" s="62" t="s">
        <v>1609</v>
      </c>
      <c r="E6" s="225" t="s">
        <v>1610</v>
      </c>
      <c r="F6" s="17">
        <v>3</v>
      </c>
      <c r="G6" s="17">
        <v>3</v>
      </c>
      <c r="H6" s="83" t="s">
        <v>318</v>
      </c>
      <c r="I6" s="41" t="s">
        <v>1577</v>
      </c>
      <c r="J6" s="203" t="s">
        <v>1526</v>
      </c>
      <c r="K6" s="41" t="s">
        <v>595</v>
      </c>
      <c r="L6" s="203" t="s">
        <v>1557</v>
      </c>
      <c r="M6" s="311" t="s">
        <v>1611</v>
      </c>
      <c r="N6" s="232">
        <v>45502</v>
      </c>
      <c r="O6" s="232">
        <v>45503</v>
      </c>
      <c r="P6" s="41" t="s">
        <v>795</v>
      </c>
      <c r="Q6" s="282" t="s">
        <v>1557</v>
      </c>
      <c r="R6" s="203" t="s">
        <v>595</v>
      </c>
      <c r="S6" s="206">
        <v>45503</v>
      </c>
      <c r="T6" s="282" t="s">
        <v>1557</v>
      </c>
      <c r="U6" s="282" t="s">
        <v>1557</v>
      </c>
      <c r="V6" s="282" t="s">
        <v>1557</v>
      </c>
      <c r="W6" s="203" t="s">
        <v>13</v>
      </c>
      <c r="X6" s="203"/>
    </row>
    <row r="7" spans="1:24" s="137" customFormat="1" ht="31.5" customHeight="1">
      <c r="A7" s="317">
        <v>5</v>
      </c>
      <c r="B7" s="303" t="s">
        <v>1598</v>
      </c>
      <c r="C7" s="309" t="s">
        <v>1612</v>
      </c>
      <c r="D7" s="257" t="s">
        <v>1613</v>
      </c>
      <c r="E7" s="314" t="s">
        <v>1614</v>
      </c>
      <c r="F7" s="310">
        <v>3</v>
      </c>
      <c r="G7" s="310">
        <v>3</v>
      </c>
      <c r="H7" s="313" t="s">
        <v>318</v>
      </c>
      <c r="I7" s="126" t="s">
        <v>1035</v>
      </c>
      <c r="J7" s="229" t="s">
        <v>1526</v>
      </c>
      <c r="K7" s="126" t="s">
        <v>595</v>
      </c>
      <c r="L7" s="229" t="s">
        <v>1557</v>
      </c>
      <c r="M7" s="312" t="s">
        <v>1611</v>
      </c>
      <c r="N7" s="306">
        <v>45502</v>
      </c>
      <c r="O7" s="306">
        <v>45503</v>
      </c>
      <c r="P7" s="126" t="s">
        <v>795</v>
      </c>
      <c r="Q7" s="315" t="s">
        <v>1557</v>
      </c>
      <c r="R7" s="229" t="s">
        <v>595</v>
      </c>
      <c r="S7" s="307">
        <v>45503</v>
      </c>
      <c r="T7" s="315" t="s">
        <v>1557</v>
      </c>
      <c r="U7" s="315" t="s">
        <v>1557</v>
      </c>
      <c r="V7" s="315" t="s">
        <v>1557</v>
      </c>
      <c r="W7" s="229" t="s">
        <v>13</v>
      </c>
      <c r="X7" s="229"/>
    </row>
    <row r="8" spans="1:24" s="137" customFormat="1" ht="27" customHeight="1">
      <c r="A8" s="905">
        <v>6</v>
      </c>
      <c r="B8" s="914" t="s">
        <v>1598</v>
      </c>
      <c r="C8" s="915" t="s">
        <v>1599</v>
      </c>
      <c r="D8" s="906" t="s">
        <v>1583</v>
      </c>
      <c r="E8" s="907" t="s">
        <v>1615</v>
      </c>
      <c r="F8" s="908">
        <v>3</v>
      </c>
      <c r="G8" s="908">
        <v>2</v>
      </c>
      <c r="H8" s="83" t="s">
        <v>318</v>
      </c>
      <c r="I8" s="41" t="s">
        <v>1577</v>
      </c>
      <c r="J8" s="203" t="s">
        <v>1526</v>
      </c>
      <c r="K8" s="41" t="s">
        <v>595</v>
      </c>
      <c r="L8" s="203" t="s">
        <v>1557</v>
      </c>
      <c r="M8" s="231" t="s">
        <v>1616</v>
      </c>
      <c r="N8" s="232">
        <v>45504</v>
      </c>
      <c r="O8" s="232">
        <v>45505</v>
      </c>
      <c r="P8" s="41" t="s">
        <v>795</v>
      </c>
      <c r="Q8" s="282" t="s">
        <v>1557</v>
      </c>
      <c r="R8" s="203" t="s">
        <v>595</v>
      </c>
      <c r="S8" s="206">
        <v>45505</v>
      </c>
      <c r="T8" s="282" t="s">
        <v>1557</v>
      </c>
      <c r="U8" s="282" t="s">
        <v>1557</v>
      </c>
      <c r="V8" s="282" t="s">
        <v>1557</v>
      </c>
      <c r="W8" s="909" t="s">
        <v>13</v>
      </c>
      <c r="X8" s="911" t="s">
        <v>1617</v>
      </c>
    </row>
    <row r="9" spans="1:24" ht="24.75" customHeight="1">
      <c r="A9" s="905"/>
      <c r="B9" s="914"/>
      <c r="C9" s="915"/>
      <c r="D9" s="906"/>
      <c r="E9" s="907"/>
      <c r="F9" s="908"/>
      <c r="G9" s="908"/>
      <c r="H9" s="83" t="s">
        <v>318</v>
      </c>
      <c r="I9" s="41" t="s">
        <v>1035</v>
      </c>
      <c r="J9" s="203" t="s">
        <v>1526</v>
      </c>
      <c r="K9" s="41" t="s">
        <v>595</v>
      </c>
      <c r="L9" s="203" t="s">
        <v>1557</v>
      </c>
      <c r="M9" s="231" t="s">
        <v>1618</v>
      </c>
      <c r="N9" s="206">
        <v>45505</v>
      </c>
      <c r="O9" s="206">
        <v>45505</v>
      </c>
      <c r="P9" s="41" t="s">
        <v>795</v>
      </c>
      <c r="Q9" s="282" t="s">
        <v>1557</v>
      </c>
      <c r="R9" s="203" t="s">
        <v>595</v>
      </c>
      <c r="S9" s="206">
        <v>45505</v>
      </c>
      <c r="T9" s="282" t="s">
        <v>1557</v>
      </c>
      <c r="U9" s="282" t="s">
        <v>1557</v>
      </c>
      <c r="V9" s="282" t="s">
        <v>1557</v>
      </c>
      <c r="W9" s="910"/>
      <c r="X9" s="912"/>
    </row>
    <row r="10" spans="1:24">
      <c r="B10" s="28"/>
      <c r="C10" s="196"/>
      <c r="D10" s="47"/>
      <c r="E10" s="28"/>
      <c r="F10" s="215"/>
      <c r="G10" s="215"/>
      <c r="H10" s="2"/>
      <c r="I10" s="35"/>
      <c r="K10" s="35"/>
      <c r="M10" s="35"/>
      <c r="N10" s="35"/>
      <c r="O10" s="35"/>
      <c r="P10" s="35"/>
    </row>
    <row r="11" spans="1:24">
      <c r="B11" s="28"/>
      <c r="C11" s="196"/>
      <c r="D11" s="47"/>
      <c r="E11" s="28"/>
      <c r="F11" s="215"/>
      <c r="G11" s="215"/>
      <c r="H11" s="2"/>
      <c r="I11" s="35"/>
      <c r="K11" s="35"/>
      <c r="M11" s="35"/>
      <c r="N11" s="35"/>
      <c r="O11" s="35"/>
      <c r="P11" s="35"/>
    </row>
    <row r="12" spans="1:24">
      <c r="B12" s="28"/>
      <c r="C12" s="196"/>
      <c r="D12" s="47"/>
      <c r="E12" s="28"/>
      <c r="F12" s="215"/>
      <c r="G12" s="215"/>
      <c r="H12" s="2"/>
      <c r="I12" s="35"/>
      <c r="K12" s="35"/>
      <c r="M12" s="35"/>
      <c r="N12" s="35"/>
      <c r="O12" s="35"/>
      <c r="P12" s="35"/>
    </row>
    <row r="13" spans="1:24">
      <c r="B13" s="28"/>
      <c r="C13" s="196"/>
      <c r="D13" s="47"/>
      <c r="E13" s="28"/>
      <c r="F13" s="215"/>
      <c r="G13" s="215"/>
      <c r="H13" s="2"/>
      <c r="I13" s="35"/>
      <c r="K13" s="35"/>
      <c r="M13" s="35"/>
      <c r="N13" s="35"/>
      <c r="O13" s="35"/>
      <c r="P13" s="35"/>
    </row>
    <row r="14" spans="1:24">
      <c r="B14" s="28"/>
      <c r="C14" s="196"/>
      <c r="D14" s="47"/>
      <c r="E14" s="28"/>
      <c r="F14" s="215"/>
      <c r="G14" s="215"/>
      <c r="H14" s="2"/>
      <c r="I14" s="35"/>
      <c r="K14" s="35"/>
      <c r="M14" s="35"/>
      <c r="N14" s="35"/>
      <c r="O14" s="35"/>
      <c r="P14" s="35"/>
    </row>
    <row r="15" spans="1:24">
      <c r="B15" s="28"/>
      <c r="C15" s="196"/>
      <c r="D15" s="47"/>
      <c r="E15" s="28"/>
      <c r="F15" s="215"/>
      <c r="G15" s="215"/>
      <c r="H15" s="2"/>
      <c r="I15" s="35"/>
      <c r="K15" s="35"/>
      <c r="M15" s="35"/>
      <c r="N15" s="35"/>
      <c r="O15" s="35"/>
      <c r="P15" s="35"/>
    </row>
    <row r="16" spans="1:24">
      <c r="B16" s="28"/>
      <c r="C16" s="196"/>
      <c r="D16" s="47"/>
      <c r="E16" s="28"/>
      <c r="F16" s="215"/>
      <c r="G16" s="215"/>
      <c r="H16" s="2"/>
      <c r="I16" s="35"/>
      <c r="K16" s="35"/>
      <c r="M16" s="35"/>
      <c r="N16" s="35"/>
      <c r="O16" s="35"/>
      <c r="P16" s="35"/>
    </row>
    <row r="17" spans="2:16">
      <c r="B17" s="28"/>
      <c r="C17" s="196"/>
      <c r="D17" s="47"/>
      <c r="E17" s="28"/>
      <c r="F17" s="215"/>
      <c r="G17" s="215"/>
      <c r="H17" s="2"/>
      <c r="I17" s="35"/>
      <c r="K17" s="35"/>
      <c r="M17" s="35"/>
      <c r="N17" s="35"/>
      <c r="O17" s="35"/>
      <c r="P17" s="35"/>
    </row>
    <row r="18" spans="2:16">
      <c r="B18" s="28"/>
      <c r="C18" s="196"/>
      <c r="D18" s="47"/>
      <c r="E18" s="28"/>
      <c r="F18" s="215"/>
      <c r="G18" s="215"/>
      <c r="H18" s="2"/>
      <c r="I18" s="35"/>
      <c r="K18" s="35"/>
      <c r="M18" s="35"/>
      <c r="N18" s="35"/>
      <c r="O18" s="35"/>
      <c r="P18" s="35"/>
    </row>
    <row r="19" spans="2:16">
      <c r="B19" s="28"/>
      <c r="C19" s="196"/>
      <c r="D19" s="47"/>
      <c r="E19" s="28"/>
      <c r="F19" s="215"/>
      <c r="G19" s="215"/>
      <c r="H19" s="2"/>
      <c r="I19" s="35"/>
      <c r="K19" s="35"/>
      <c r="M19" s="35"/>
      <c r="N19" s="35"/>
      <c r="O19" s="35"/>
      <c r="P19" s="35"/>
    </row>
    <row r="20" spans="2:16">
      <c r="B20" s="28"/>
      <c r="C20" s="196"/>
      <c r="D20" s="47"/>
      <c r="E20" s="28"/>
      <c r="F20" s="215"/>
      <c r="G20" s="215"/>
      <c r="H20" s="2"/>
      <c r="I20" s="35"/>
      <c r="K20" s="35"/>
      <c r="M20" s="35"/>
      <c r="N20" s="35"/>
      <c r="O20" s="35"/>
      <c r="P20" s="35"/>
    </row>
    <row r="21" spans="2:16">
      <c r="B21" s="28"/>
      <c r="C21" s="196"/>
      <c r="D21" s="47"/>
      <c r="E21" s="28"/>
      <c r="F21" s="215"/>
      <c r="G21" s="215"/>
      <c r="H21" s="2"/>
      <c r="I21" s="35"/>
      <c r="K21" s="35"/>
      <c r="M21" s="35"/>
      <c r="N21" s="35"/>
      <c r="O21" s="35"/>
      <c r="P21" s="35"/>
    </row>
    <row r="22" spans="2:16">
      <c r="B22" s="28"/>
      <c r="C22" s="196"/>
      <c r="D22" s="47"/>
      <c r="E22" s="28"/>
      <c r="F22" s="215"/>
      <c r="G22" s="215"/>
      <c r="H22" s="2"/>
      <c r="I22" s="35"/>
      <c r="K22" s="35"/>
      <c r="M22" s="35"/>
      <c r="N22" s="35"/>
      <c r="O22" s="35"/>
      <c r="P22" s="35"/>
    </row>
    <row r="23" spans="2:16">
      <c r="B23" s="28"/>
      <c r="C23" s="196"/>
      <c r="D23" s="47"/>
      <c r="E23" s="28"/>
      <c r="F23" s="215"/>
      <c r="G23" s="215"/>
      <c r="H23" s="2"/>
      <c r="I23" s="35"/>
      <c r="K23" s="35"/>
      <c r="M23" s="35"/>
      <c r="N23" s="35"/>
      <c r="O23" s="35"/>
      <c r="P23" s="35"/>
    </row>
    <row r="24" spans="2:16">
      <c r="B24" s="28"/>
      <c r="C24" s="196"/>
      <c r="D24" s="47"/>
      <c r="E24" s="28"/>
      <c r="F24" s="215"/>
      <c r="G24" s="215"/>
      <c r="H24" s="2"/>
      <c r="I24" s="35"/>
      <c r="K24" s="35"/>
      <c r="M24" s="35"/>
      <c r="N24" s="35"/>
      <c r="O24" s="35"/>
      <c r="P24" s="35"/>
    </row>
    <row r="25" spans="2:16">
      <c r="B25" s="28"/>
      <c r="C25" s="196"/>
      <c r="D25" s="47"/>
      <c r="E25" s="28"/>
      <c r="F25" s="215"/>
      <c r="G25" s="215"/>
      <c r="H25" s="2"/>
      <c r="I25" s="35"/>
      <c r="K25" s="35"/>
      <c r="M25" s="35"/>
      <c r="N25" s="35"/>
      <c r="O25" s="35"/>
      <c r="P25" s="35"/>
    </row>
    <row r="26" spans="2:16">
      <c r="B26" s="28"/>
      <c r="C26" s="196"/>
      <c r="D26" s="47"/>
      <c r="E26" s="28"/>
      <c r="F26" s="215"/>
      <c r="G26" s="215"/>
      <c r="H26" s="2"/>
      <c r="I26" s="35"/>
      <c r="K26" s="35"/>
      <c r="M26" s="35"/>
      <c r="N26" s="35"/>
      <c r="O26" s="35"/>
      <c r="P26" s="35"/>
    </row>
    <row r="27" spans="2:16">
      <c r="B27" s="28"/>
      <c r="C27" s="196"/>
      <c r="D27" s="47"/>
      <c r="E27" s="28"/>
      <c r="F27" s="215"/>
      <c r="G27" s="215"/>
      <c r="H27" s="2"/>
      <c r="I27" s="35"/>
      <c r="K27" s="35"/>
      <c r="M27" s="35"/>
      <c r="N27" s="35"/>
      <c r="O27" s="35"/>
      <c r="P27" s="35"/>
    </row>
    <row r="28" spans="2:16">
      <c r="B28" s="28"/>
      <c r="C28" s="196"/>
      <c r="D28" s="47"/>
      <c r="E28" s="28"/>
      <c r="F28" s="215"/>
      <c r="G28" s="215"/>
      <c r="H28" s="2"/>
      <c r="I28" s="35"/>
      <c r="K28" s="35"/>
      <c r="M28" s="35"/>
      <c r="N28" s="35"/>
      <c r="O28" s="35"/>
      <c r="P28" s="35"/>
    </row>
    <row r="29" spans="2:16">
      <c r="B29" s="28"/>
      <c r="C29" s="196"/>
      <c r="D29" s="47"/>
      <c r="E29" s="28"/>
      <c r="F29" s="215"/>
      <c r="G29" s="215"/>
      <c r="H29" s="2"/>
      <c r="I29" s="35"/>
      <c r="K29" s="35"/>
      <c r="M29" s="35"/>
      <c r="N29" s="35"/>
      <c r="O29" s="35"/>
      <c r="P29" s="35"/>
    </row>
    <row r="30" spans="2:16">
      <c r="B30" s="28"/>
      <c r="C30" s="196"/>
      <c r="D30" s="47"/>
      <c r="E30" s="28"/>
      <c r="F30" s="215"/>
      <c r="G30" s="215"/>
      <c r="H30" s="2"/>
      <c r="I30" s="35"/>
      <c r="K30" s="35"/>
      <c r="M30" s="35"/>
      <c r="N30" s="35"/>
      <c r="O30" s="35"/>
      <c r="P30" s="35"/>
    </row>
    <row r="31" spans="2:16">
      <c r="B31" s="28"/>
      <c r="C31" s="196"/>
      <c r="D31" s="47"/>
      <c r="E31" s="28"/>
      <c r="F31" s="215"/>
      <c r="G31" s="215"/>
      <c r="H31" s="2"/>
      <c r="I31" s="35"/>
      <c r="K31" s="35"/>
      <c r="M31" s="35"/>
      <c r="N31" s="35"/>
      <c r="O31" s="35"/>
      <c r="P31" s="35"/>
    </row>
    <row r="32" spans="2:16">
      <c r="B32" s="28"/>
      <c r="C32" s="196"/>
      <c r="D32" s="47"/>
      <c r="E32" s="28"/>
      <c r="F32" s="215"/>
      <c r="G32" s="215"/>
      <c r="H32" s="2"/>
      <c r="I32" s="35"/>
      <c r="K32" s="35"/>
      <c r="M32" s="35"/>
      <c r="N32" s="35"/>
      <c r="O32" s="35"/>
      <c r="P32" s="35"/>
    </row>
    <row r="33" spans="2:16">
      <c r="B33" s="28"/>
      <c r="C33" s="196"/>
      <c r="D33" s="47"/>
      <c r="E33" s="28"/>
      <c r="F33" s="215"/>
      <c r="G33" s="215"/>
      <c r="H33" s="2"/>
      <c r="I33" s="35"/>
      <c r="K33" s="35"/>
      <c r="M33" s="35"/>
      <c r="N33" s="35"/>
      <c r="O33" s="35"/>
      <c r="P33" s="35"/>
    </row>
    <row r="34" spans="2:16">
      <c r="B34" s="28"/>
      <c r="C34" s="196"/>
      <c r="D34" s="47"/>
      <c r="E34" s="28"/>
      <c r="F34" s="215"/>
      <c r="G34" s="215"/>
      <c r="H34" s="2"/>
      <c r="I34" s="35"/>
      <c r="K34" s="35"/>
      <c r="M34" s="35"/>
      <c r="N34" s="35"/>
      <c r="O34" s="35"/>
      <c r="P34" s="35"/>
    </row>
    <row r="35" spans="2:16">
      <c r="B35" s="28"/>
      <c r="C35" s="196"/>
      <c r="D35" s="47"/>
      <c r="E35" s="28"/>
      <c r="F35" s="215"/>
      <c r="G35" s="215"/>
      <c r="H35" s="2"/>
      <c r="I35" s="35"/>
      <c r="K35" s="35"/>
      <c r="M35" s="35"/>
      <c r="N35" s="35"/>
      <c r="O35" s="35"/>
      <c r="P35" s="35"/>
    </row>
    <row r="36" spans="2:16">
      <c r="B36" s="28"/>
      <c r="C36" s="196"/>
      <c r="D36" s="47"/>
      <c r="E36" s="28"/>
      <c r="F36" s="215"/>
      <c r="G36" s="215"/>
      <c r="H36" s="2"/>
      <c r="I36" s="35"/>
      <c r="K36" s="35"/>
      <c r="M36" s="35"/>
      <c r="N36" s="35"/>
      <c r="O36" s="35"/>
      <c r="P36" s="35"/>
    </row>
    <row r="37" spans="2:16">
      <c r="B37" s="28"/>
      <c r="C37" s="196"/>
      <c r="D37" s="47"/>
      <c r="E37" s="28"/>
      <c r="F37" s="215"/>
      <c r="G37" s="215"/>
      <c r="H37" s="2"/>
      <c r="I37" s="35"/>
      <c r="K37" s="35"/>
      <c r="M37" s="35"/>
      <c r="N37" s="35"/>
      <c r="O37" s="35"/>
      <c r="P37" s="35"/>
    </row>
    <row r="38" spans="2:16">
      <c r="B38" s="28"/>
      <c r="C38" s="196"/>
      <c r="D38" s="47"/>
      <c r="E38" s="28"/>
      <c r="F38" s="215"/>
      <c r="G38" s="215"/>
      <c r="H38" s="2"/>
      <c r="I38" s="35"/>
      <c r="K38" s="35"/>
      <c r="M38" s="35"/>
      <c r="N38" s="35"/>
      <c r="O38" s="35"/>
      <c r="P38" s="35"/>
    </row>
    <row r="39" spans="2:16">
      <c r="B39" s="28"/>
      <c r="C39" s="196"/>
      <c r="D39" s="47"/>
      <c r="E39" s="28"/>
      <c r="F39" s="215"/>
      <c r="G39" s="215"/>
      <c r="H39" s="2"/>
      <c r="I39" s="35"/>
      <c r="K39" s="35"/>
      <c r="M39" s="35"/>
      <c r="N39" s="35"/>
      <c r="O39" s="35"/>
      <c r="P39" s="35"/>
    </row>
    <row r="40" spans="2:16">
      <c r="B40" s="28"/>
      <c r="C40" s="196"/>
      <c r="D40" s="47"/>
      <c r="E40" s="28"/>
      <c r="F40" s="215"/>
      <c r="G40" s="215"/>
      <c r="H40" s="2"/>
      <c r="I40" s="35"/>
      <c r="K40" s="35"/>
      <c r="M40" s="35"/>
      <c r="N40" s="35"/>
      <c r="O40" s="35"/>
      <c r="P40" s="35"/>
    </row>
    <row r="41" spans="2:16">
      <c r="B41" s="28"/>
      <c r="C41" s="196"/>
      <c r="D41" s="47"/>
      <c r="E41" s="28"/>
      <c r="F41" s="215"/>
      <c r="G41" s="215"/>
      <c r="H41" s="2"/>
      <c r="I41" s="35"/>
      <c r="K41" s="35"/>
      <c r="M41" s="35"/>
      <c r="N41" s="35"/>
      <c r="O41" s="35"/>
      <c r="P41" s="35"/>
    </row>
    <row r="42" spans="2:16">
      <c r="B42" s="28"/>
      <c r="C42" s="196"/>
      <c r="D42" s="47"/>
      <c r="E42" s="28"/>
      <c r="F42" s="215"/>
      <c r="G42" s="215"/>
      <c r="H42" s="2"/>
      <c r="I42" s="35"/>
      <c r="K42" s="35"/>
      <c r="M42" s="35"/>
      <c r="N42" s="35"/>
      <c r="O42" s="35"/>
      <c r="P42" s="35"/>
    </row>
    <row r="43" spans="2:16">
      <c r="B43" s="28"/>
      <c r="C43" s="196"/>
      <c r="D43" s="47"/>
      <c r="E43" s="28"/>
      <c r="F43" s="215"/>
      <c r="G43" s="215"/>
      <c r="H43" s="2"/>
      <c r="I43" s="35"/>
      <c r="K43" s="35"/>
      <c r="M43" s="35"/>
      <c r="N43" s="35"/>
      <c r="O43" s="35"/>
      <c r="P43" s="35"/>
    </row>
    <row r="44" spans="2:16">
      <c r="B44" s="28"/>
      <c r="C44" s="196"/>
      <c r="D44" s="47"/>
      <c r="E44" s="28"/>
      <c r="F44" s="215"/>
      <c r="G44" s="215"/>
      <c r="H44" s="2"/>
      <c r="I44" s="35"/>
      <c r="K44" s="35"/>
      <c r="M44" s="35"/>
      <c r="N44" s="35"/>
      <c r="O44" s="35"/>
      <c r="P44" s="35"/>
    </row>
    <row r="45" spans="2:16">
      <c r="B45" s="28"/>
      <c r="C45" s="196"/>
      <c r="D45" s="47"/>
      <c r="E45" s="28"/>
      <c r="F45" s="215"/>
      <c r="G45" s="215"/>
      <c r="H45" s="2"/>
      <c r="I45" s="35"/>
      <c r="K45" s="35"/>
      <c r="M45" s="35"/>
      <c r="N45" s="35"/>
      <c r="O45" s="35"/>
      <c r="P45" s="35"/>
    </row>
    <row r="46" spans="2:16">
      <c r="B46" s="28"/>
      <c r="C46" s="196"/>
      <c r="D46" s="47"/>
      <c r="E46" s="28"/>
      <c r="F46" s="215"/>
      <c r="G46" s="215"/>
      <c r="H46" s="2"/>
      <c r="I46" s="35"/>
      <c r="K46" s="35"/>
      <c r="M46" s="35"/>
      <c r="N46" s="35"/>
      <c r="O46" s="35"/>
      <c r="P46" s="35"/>
    </row>
    <row r="47" spans="2:16">
      <c r="B47" s="28"/>
      <c r="C47" s="196"/>
      <c r="D47" s="47"/>
      <c r="E47" s="28"/>
      <c r="F47" s="215"/>
      <c r="G47" s="215"/>
      <c r="H47" s="2"/>
      <c r="I47" s="35"/>
      <c r="K47" s="35"/>
      <c r="M47" s="35"/>
      <c r="N47" s="35"/>
      <c r="O47" s="35"/>
      <c r="P47" s="35"/>
    </row>
    <row r="48" spans="2:16">
      <c r="B48" s="28"/>
      <c r="C48" s="196"/>
      <c r="D48" s="47"/>
      <c r="E48" s="28"/>
      <c r="F48" s="215"/>
      <c r="G48" s="215"/>
      <c r="H48" s="2"/>
      <c r="I48" s="35"/>
      <c r="K48" s="35"/>
      <c r="M48" s="35"/>
      <c r="N48" s="35"/>
      <c r="O48" s="35"/>
      <c r="P48" s="35"/>
    </row>
    <row r="49" spans="2:16">
      <c r="B49" s="28"/>
      <c r="C49" s="196"/>
      <c r="D49" s="47"/>
      <c r="E49" s="28"/>
      <c r="F49" s="215"/>
      <c r="G49" s="215"/>
      <c r="H49" s="2"/>
      <c r="I49" s="35"/>
      <c r="K49" s="35"/>
      <c r="M49" s="35"/>
      <c r="N49" s="35"/>
      <c r="O49" s="35"/>
      <c r="P49" s="35"/>
    </row>
    <row r="50" spans="2:16">
      <c r="B50" s="28"/>
      <c r="C50" s="196"/>
      <c r="D50" s="47"/>
      <c r="E50" s="28"/>
      <c r="F50" s="215"/>
      <c r="G50" s="215"/>
      <c r="H50" s="2"/>
      <c r="I50" s="35"/>
      <c r="K50" s="35"/>
      <c r="M50" s="35"/>
      <c r="N50" s="35"/>
      <c r="O50" s="35"/>
      <c r="P50" s="35"/>
    </row>
    <row r="51" spans="2:16">
      <c r="B51" s="28"/>
      <c r="C51" s="196"/>
      <c r="D51" s="47"/>
      <c r="E51" s="28"/>
      <c r="F51" s="215"/>
      <c r="G51" s="215"/>
      <c r="H51" s="2"/>
      <c r="I51" s="35"/>
      <c r="K51" s="35"/>
      <c r="M51" s="35"/>
      <c r="N51" s="35"/>
      <c r="O51" s="35"/>
      <c r="P51" s="35"/>
    </row>
    <row r="52" spans="2:16">
      <c r="B52" s="28"/>
      <c r="C52" s="196"/>
      <c r="D52" s="47"/>
      <c r="E52" s="28"/>
      <c r="F52" s="215"/>
      <c r="G52" s="215"/>
      <c r="H52" s="2"/>
      <c r="I52" s="35"/>
      <c r="K52" s="35"/>
      <c r="M52" s="35"/>
      <c r="N52" s="35"/>
      <c r="O52" s="35"/>
      <c r="P52" s="35"/>
    </row>
    <row r="53" spans="2:16">
      <c r="B53" s="28"/>
      <c r="C53" s="196"/>
      <c r="D53" s="47"/>
      <c r="E53" s="28"/>
      <c r="F53" s="215"/>
      <c r="G53" s="215"/>
      <c r="H53" s="2"/>
      <c r="I53" s="35"/>
      <c r="K53" s="35"/>
      <c r="M53" s="35"/>
      <c r="N53" s="35"/>
      <c r="O53" s="35"/>
      <c r="P53" s="35"/>
    </row>
    <row r="54" spans="2:16">
      <c r="B54" s="28"/>
      <c r="C54" s="196"/>
      <c r="D54" s="47"/>
      <c r="E54" s="28"/>
      <c r="F54" s="215"/>
      <c r="G54" s="215"/>
      <c r="H54" s="2"/>
      <c r="I54" s="35"/>
      <c r="K54" s="35"/>
      <c r="M54" s="35"/>
      <c r="N54" s="35"/>
      <c r="O54" s="35"/>
      <c r="P54" s="35"/>
    </row>
    <row r="55" spans="2:16">
      <c r="B55" s="28"/>
      <c r="C55" s="196"/>
      <c r="D55" s="47"/>
      <c r="E55" s="28"/>
      <c r="F55" s="215"/>
      <c r="G55" s="215"/>
      <c r="H55" s="2"/>
      <c r="I55" s="35"/>
      <c r="K55" s="35"/>
      <c r="M55" s="35"/>
      <c r="N55" s="35"/>
      <c r="O55" s="35"/>
      <c r="P55" s="35"/>
    </row>
    <row r="56" spans="2:16">
      <c r="B56" s="28"/>
      <c r="C56" s="196"/>
      <c r="D56" s="47"/>
      <c r="E56" s="28"/>
      <c r="F56" s="215"/>
      <c r="G56" s="215"/>
      <c r="H56" s="2"/>
      <c r="I56" s="35"/>
      <c r="K56" s="35"/>
      <c r="M56" s="35"/>
      <c r="N56" s="35"/>
      <c r="O56" s="35"/>
      <c r="P56" s="35"/>
    </row>
    <row r="57" spans="2:16">
      <c r="B57" s="28"/>
      <c r="C57" s="196"/>
      <c r="D57" s="47"/>
      <c r="E57" s="28"/>
      <c r="F57" s="215"/>
      <c r="G57" s="215"/>
      <c r="H57" s="2"/>
      <c r="I57" s="35"/>
      <c r="K57" s="35"/>
      <c r="M57" s="35"/>
      <c r="N57" s="35"/>
      <c r="O57" s="35"/>
      <c r="P57" s="35"/>
    </row>
    <row r="58" spans="2:16">
      <c r="B58" s="28"/>
      <c r="C58" s="196"/>
      <c r="D58" s="47"/>
      <c r="E58" s="28"/>
      <c r="F58" s="215"/>
      <c r="G58" s="215"/>
      <c r="H58" s="2"/>
      <c r="I58" s="35"/>
      <c r="K58" s="35"/>
      <c r="M58" s="35"/>
      <c r="N58" s="35"/>
      <c r="O58" s="35"/>
      <c r="P58" s="35"/>
    </row>
    <row r="59" spans="2:16">
      <c r="B59" s="28"/>
      <c r="C59" s="196"/>
      <c r="D59" s="47"/>
      <c r="E59" s="28"/>
      <c r="F59" s="215"/>
      <c r="G59" s="215"/>
      <c r="H59" s="2"/>
      <c r="I59" s="35"/>
      <c r="K59" s="35"/>
      <c r="M59" s="35"/>
      <c r="N59" s="35"/>
      <c r="O59" s="35"/>
      <c r="P59" s="35"/>
    </row>
    <row r="60" spans="2:16">
      <c r="B60" s="28"/>
      <c r="C60" s="196"/>
      <c r="D60" s="47"/>
      <c r="E60" s="28"/>
      <c r="F60" s="215"/>
      <c r="G60" s="215"/>
      <c r="H60" s="2"/>
      <c r="I60" s="35"/>
      <c r="K60" s="35"/>
      <c r="M60" s="35"/>
      <c r="N60" s="35"/>
      <c r="O60" s="35"/>
      <c r="P60" s="35"/>
    </row>
    <row r="61" spans="2:16">
      <c r="B61" s="28"/>
      <c r="C61" s="196"/>
      <c r="D61" s="47"/>
      <c r="E61" s="28"/>
      <c r="F61" s="215"/>
      <c r="G61" s="215"/>
      <c r="H61" s="2"/>
      <c r="I61" s="35"/>
      <c r="K61" s="35"/>
      <c r="M61" s="35"/>
      <c r="N61" s="35"/>
      <c r="O61" s="35"/>
      <c r="P61" s="35"/>
    </row>
    <row r="62" spans="2:16">
      <c r="B62" s="28"/>
      <c r="C62" s="196"/>
      <c r="D62" s="47"/>
      <c r="E62" s="28"/>
      <c r="F62" s="215"/>
      <c r="G62" s="215"/>
      <c r="H62" s="2"/>
      <c r="I62" s="35"/>
      <c r="K62" s="35"/>
      <c r="M62" s="35"/>
      <c r="N62" s="35"/>
      <c r="O62" s="35"/>
      <c r="P62" s="35"/>
    </row>
    <row r="63" spans="2:16">
      <c r="B63" s="28"/>
      <c r="C63" s="196"/>
      <c r="D63" s="47"/>
      <c r="E63" s="28"/>
      <c r="F63" s="215"/>
      <c r="G63" s="215"/>
      <c r="H63" s="2"/>
      <c r="I63" s="35"/>
      <c r="K63" s="35"/>
      <c r="M63" s="35"/>
      <c r="N63" s="35"/>
      <c r="O63" s="35"/>
      <c r="P63" s="35"/>
    </row>
    <row r="64" spans="2:16">
      <c r="B64" s="28"/>
      <c r="C64" s="196"/>
      <c r="D64" s="47"/>
      <c r="E64" s="28"/>
      <c r="F64" s="215"/>
      <c r="G64" s="215"/>
      <c r="H64" s="2"/>
      <c r="I64" s="35"/>
      <c r="K64" s="35"/>
      <c r="M64" s="35"/>
      <c r="N64" s="35"/>
      <c r="O64" s="35"/>
      <c r="P64" s="35"/>
    </row>
    <row r="65" spans="2:16">
      <c r="B65" s="28"/>
      <c r="C65" s="196"/>
      <c r="D65" s="47"/>
      <c r="E65" s="28"/>
      <c r="F65" s="215"/>
      <c r="G65" s="215"/>
      <c r="H65" s="2"/>
      <c r="I65" s="35"/>
      <c r="K65" s="35"/>
      <c r="M65" s="35"/>
      <c r="N65" s="35"/>
      <c r="O65" s="35"/>
      <c r="P65" s="35"/>
    </row>
    <row r="66" spans="2:16">
      <c r="B66" s="28"/>
      <c r="C66" s="196"/>
      <c r="D66" s="47"/>
      <c r="E66" s="28"/>
      <c r="F66" s="215"/>
      <c r="G66" s="215"/>
      <c r="H66" s="2"/>
      <c r="I66" s="35"/>
      <c r="K66" s="35"/>
      <c r="M66" s="35"/>
      <c r="N66" s="35"/>
      <c r="O66" s="35"/>
      <c r="P66" s="35"/>
    </row>
    <row r="67" spans="2:16">
      <c r="B67" s="28"/>
      <c r="C67" s="196"/>
      <c r="D67" s="47"/>
      <c r="E67" s="28"/>
      <c r="F67" s="215"/>
      <c r="G67" s="215"/>
      <c r="H67" s="2"/>
      <c r="I67" s="35"/>
      <c r="K67" s="35"/>
      <c r="M67" s="35"/>
      <c r="N67" s="35"/>
      <c r="O67" s="35"/>
      <c r="P67" s="35"/>
    </row>
    <row r="68" spans="2:16">
      <c r="B68" s="28"/>
      <c r="C68" s="196"/>
      <c r="D68" s="47"/>
      <c r="E68" s="28"/>
      <c r="F68" s="215"/>
      <c r="G68" s="215"/>
      <c r="H68" s="2"/>
      <c r="I68" s="35"/>
      <c r="K68" s="35"/>
      <c r="M68" s="35"/>
      <c r="N68" s="35"/>
      <c r="O68" s="35"/>
      <c r="P68" s="35"/>
    </row>
    <row r="69" spans="2:16">
      <c r="B69" s="28"/>
      <c r="C69" s="196"/>
      <c r="D69" s="47"/>
      <c r="E69" s="28"/>
      <c r="F69" s="215"/>
      <c r="G69" s="215"/>
      <c r="H69" s="2"/>
      <c r="I69" s="35"/>
      <c r="K69" s="35"/>
      <c r="M69" s="35"/>
      <c r="N69" s="35"/>
      <c r="O69" s="35"/>
      <c r="P69" s="35"/>
    </row>
    <row r="70" spans="2:16">
      <c r="B70" s="28"/>
      <c r="C70" s="196"/>
      <c r="D70" s="47"/>
      <c r="E70" s="28"/>
      <c r="F70" s="215"/>
      <c r="G70" s="215"/>
      <c r="H70" s="2"/>
      <c r="I70" s="35"/>
      <c r="K70" s="35"/>
      <c r="M70" s="35"/>
      <c r="N70" s="35"/>
      <c r="O70" s="35"/>
      <c r="P70" s="35"/>
    </row>
    <row r="71" spans="2:16">
      <c r="B71" s="28"/>
      <c r="C71" s="196"/>
      <c r="D71" s="47"/>
      <c r="E71" s="28"/>
      <c r="F71" s="215"/>
      <c r="G71" s="215"/>
      <c r="H71" s="2"/>
      <c r="I71" s="35"/>
      <c r="K71" s="35"/>
      <c r="M71" s="35"/>
      <c r="N71" s="35"/>
      <c r="O71" s="35"/>
      <c r="P71" s="35"/>
    </row>
    <row r="72" spans="2:16">
      <c r="B72" s="28"/>
      <c r="C72" s="196"/>
      <c r="D72" s="47"/>
      <c r="E72" s="28"/>
      <c r="F72" s="215"/>
      <c r="G72" s="215"/>
      <c r="H72" s="2"/>
      <c r="I72" s="35"/>
      <c r="K72" s="35"/>
      <c r="M72" s="35"/>
      <c r="N72" s="35"/>
      <c r="O72" s="35"/>
      <c r="P72" s="35"/>
    </row>
    <row r="73" spans="2:16">
      <c r="B73" s="28"/>
      <c r="C73" s="196"/>
      <c r="D73" s="47"/>
      <c r="E73" s="28"/>
      <c r="F73" s="215"/>
      <c r="G73" s="215"/>
      <c r="H73" s="2"/>
      <c r="I73" s="35"/>
      <c r="K73" s="35"/>
      <c r="M73" s="35"/>
      <c r="N73" s="35"/>
      <c r="O73" s="35"/>
      <c r="P73" s="35"/>
    </row>
    <row r="74" spans="2:16">
      <c r="B74" s="28"/>
      <c r="C74" s="196"/>
      <c r="D74" s="47"/>
      <c r="E74" s="28"/>
      <c r="F74" s="215"/>
      <c r="G74" s="215"/>
      <c r="H74" s="2"/>
      <c r="I74" s="35"/>
      <c r="K74" s="35"/>
      <c r="M74" s="35"/>
      <c r="N74" s="35"/>
      <c r="O74" s="35"/>
      <c r="P74" s="35"/>
    </row>
    <row r="75" spans="2:16">
      <c r="B75" s="28"/>
      <c r="C75" s="196"/>
      <c r="D75" s="47"/>
      <c r="E75" s="28"/>
      <c r="F75" s="215"/>
      <c r="G75" s="215"/>
      <c r="H75" s="2"/>
      <c r="I75" s="35"/>
      <c r="K75" s="35"/>
      <c r="M75" s="35"/>
      <c r="N75" s="35"/>
      <c r="O75" s="35"/>
      <c r="P75" s="35"/>
    </row>
    <row r="76" spans="2:16">
      <c r="B76" s="28"/>
      <c r="C76" s="196"/>
      <c r="D76" s="47"/>
      <c r="E76" s="28"/>
      <c r="F76" s="215"/>
      <c r="G76" s="215"/>
      <c r="H76" s="2"/>
      <c r="I76" s="35"/>
      <c r="K76" s="35"/>
      <c r="M76" s="35"/>
      <c r="N76" s="35"/>
      <c r="O76" s="35"/>
      <c r="P76" s="35"/>
    </row>
    <row r="77" spans="2:16">
      <c r="B77" s="28"/>
      <c r="C77" s="196"/>
      <c r="D77" s="47"/>
      <c r="E77" s="28"/>
      <c r="F77" s="215"/>
      <c r="G77" s="215"/>
      <c r="H77" s="2"/>
      <c r="I77" s="35"/>
      <c r="K77" s="35"/>
      <c r="M77" s="35"/>
      <c r="N77" s="35"/>
      <c r="O77" s="35"/>
      <c r="P77" s="35"/>
    </row>
    <row r="78" spans="2:16">
      <c r="B78" s="28"/>
      <c r="C78" s="196"/>
      <c r="D78" s="47"/>
      <c r="E78" s="28"/>
      <c r="F78" s="215"/>
      <c r="G78" s="215"/>
      <c r="H78" s="2"/>
      <c r="I78" s="35"/>
      <c r="K78" s="35"/>
      <c r="M78" s="35"/>
      <c r="N78" s="35"/>
      <c r="O78" s="35"/>
      <c r="P78" s="35"/>
    </row>
    <row r="79" spans="2:16">
      <c r="B79" s="28"/>
      <c r="C79" s="196"/>
      <c r="D79" s="47"/>
      <c r="E79" s="28"/>
      <c r="F79" s="215"/>
      <c r="G79" s="215"/>
      <c r="H79" s="2"/>
      <c r="I79" s="35"/>
      <c r="K79" s="35"/>
      <c r="M79" s="35"/>
      <c r="N79" s="35"/>
      <c r="O79" s="35"/>
      <c r="P79" s="35"/>
    </row>
    <row r="80" spans="2:16">
      <c r="B80" s="28"/>
      <c r="C80" s="196"/>
      <c r="D80" s="47"/>
      <c r="E80" s="28"/>
      <c r="F80" s="215"/>
      <c r="G80" s="215"/>
      <c r="H80" s="2"/>
      <c r="I80" s="35"/>
      <c r="K80" s="35"/>
      <c r="M80" s="35"/>
      <c r="N80" s="35"/>
      <c r="O80" s="35"/>
      <c r="P80" s="35"/>
    </row>
    <row r="81" spans="2:16">
      <c r="B81" s="28"/>
      <c r="C81" s="196"/>
      <c r="D81" s="47"/>
      <c r="E81" s="28"/>
      <c r="F81" s="215"/>
      <c r="G81" s="215"/>
      <c r="H81" s="2"/>
      <c r="I81" s="107"/>
      <c r="K81" s="35"/>
      <c r="M81" s="35"/>
      <c r="N81" s="35"/>
      <c r="O81" s="35"/>
      <c r="P81" s="35"/>
    </row>
    <row r="82" spans="2:16">
      <c r="B82" s="28"/>
      <c r="C82" s="196"/>
      <c r="D82" s="47"/>
      <c r="E82" s="28"/>
      <c r="F82" s="215"/>
      <c r="G82" s="215"/>
      <c r="H82" s="2"/>
      <c r="I82" s="19"/>
      <c r="K82" s="35"/>
      <c r="M82" s="35"/>
      <c r="N82" s="35"/>
      <c r="O82" s="35"/>
      <c r="P82" s="35"/>
    </row>
    <row r="83" spans="2:16">
      <c r="B83" s="28"/>
      <c r="C83" s="196"/>
      <c r="D83" s="47"/>
      <c r="E83" s="28"/>
      <c r="F83" s="215"/>
      <c r="G83" s="215"/>
      <c r="H83" s="2"/>
      <c r="I83" s="19"/>
      <c r="K83" s="35"/>
      <c r="M83" s="35"/>
      <c r="N83" s="35"/>
      <c r="O83" s="35"/>
      <c r="P83" s="35"/>
    </row>
    <row r="84" spans="2:16">
      <c r="B84" s="28"/>
      <c r="C84" s="196"/>
      <c r="D84" s="47"/>
      <c r="E84" s="28"/>
      <c r="F84" s="215"/>
      <c r="G84" s="215"/>
      <c r="H84" s="2"/>
      <c r="I84" s="19"/>
      <c r="K84" s="35"/>
      <c r="M84" s="35"/>
      <c r="N84" s="35"/>
      <c r="O84" s="35"/>
      <c r="P84" s="35"/>
    </row>
    <row r="85" spans="2:16">
      <c r="B85" s="28"/>
      <c r="C85" s="196"/>
      <c r="D85" s="47"/>
      <c r="E85" s="28"/>
      <c r="F85" s="215"/>
      <c r="G85" s="215"/>
      <c r="H85" s="2"/>
      <c r="I85" s="19"/>
      <c r="K85" s="35"/>
      <c r="M85" s="35"/>
      <c r="N85" s="35"/>
      <c r="O85" s="35"/>
      <c r="P85" s="35"/>
    </row>
    <row r="86" spans="2:16">
      <c r="B86" s="28"/>
      <c r="C86" s="196"/>
      <c r="D86" s="47"/>
      <c r="E86" s="28"/>
      <c r="F86" s="215"/>
      <c r="G86" s="215"/>
      <c r="H86" s="2"/>
      <c r="I86" s="19"/>
      <c r="K86" s="35"/>
      <c r="M86" s="35"/>
      <c r="N86" s="35"/>
      <c r="O86" s="35"/>
      <c r="P86" s="35"/>
    </row>
    <row r="87" spans="2:16">
      <c r="B87" s="28"/>
      <c r="C87" s="196"/>
      <c r="D87" s="47"/>
      <c r="E87" s="28"/>
      <c r="F87" s="215"/>
      <c r="G87" s="215"/>
      <c r="H87" s="2"/>
      <c r="I87" s="19"/>
      <c r="K87" s="35"/>
      <c r="M87" s="35"/>
      <c r="N87" s="35"/>
      <c r="O87" s="35"/>
      <c r="P87" s="35"/>
    </row>
    <row r="88" spans="2:16">
      <c r="B88" s="28"/>
      <c r="C88" s="196"/>
      <c r="D88" s="47"/>
      <c r="E88" s="28"/>
      <c r="F88" s="215"/>
      <c r="G88" s="215"/>
      <c r="H88" s="2"/>
      <c r="I88" s="19"/>
      <c r="K88" s="35"/>
      <c r="M88" s="35"/>
      <c r="N88" s="35"/>
      <c r="O88" s="35"/>
      <c r="P88" s="35"/>
    </row>
    <row r="89" spans="2:16">
      <c r="B89" s="28"/>
      <c r="C89" s="196"/>
      <c r="D89" s="47"/>
      <c r="E89" s="28"/>
      <c r="F89" s="215"/>
      <c r="G89" s="215"/>
      <c r="H89" s="2"/>
      <c r="I89" s="19"/>
      <c r="K89" s="35"/>
      <c r="M89" s="35"/>
      <c r="N89" s="35"/>
      <c r="O89" s="35"/>
      <c r="P89" s="35"/>
    </row>
    <row r="90" spans="2:16">
      <c r="B90" s="28"/>
      <c r="C90" s="196"/>
      <c r="D90" s="47"/>
      <c r="E90" s="28"/>
      <c r="F90" s="215"/>
      <c r="G90" s="215"/>
      <c r="H90" s="2"/>
      <c r="I90" s="19"/>
      <c r="K90" s="35"/>
      <c r="M90" s="35"/>
      <c r="N90" s="35"/>
      <c r="O90" s="35"/>
      <c r="P90" s="35"/>
    </row>
    <row r="91" spans="2:16">
      <c r="B91" s="28"/>
      <c r="C91" s="196"/>
      <c r="D91" s="47"/>
      <c r="E91" s="28"/>
      <c r="F91" s="215"/>
      <c r="G91" s="215"/>
      <c r="H91" s="2"/>
      <c r="I91" s="19"/>
      <c r="K91" s="35"/>
      <c r="M91" s="35"/>
      <c r="N91" s="35"/>
      <c r="O91" s="35"/>
      <c r="P91" s="35"/>
    </row>
    <row r="92" spans="2:16">
      <c r="B92" s="28"/>
      <c r="C92" s="196"/>
      <c r="D92" s="47"/>
      <c r="E92" s="28"/>
      <c r="F92" s="215"/>
      <c r="G92" s="215"/>
      <c r="H92" s="2"/>
      <c r="I92" s="19"/>
      <c r="K92" s="35"/>
      <c r="M92" s="35"/>
      <c r="N92" s="35"/>
      <c r="O92" s="35"/>
      <c r="P92" s="35"/>
    </row>
    <row r="93" spans="2:16">
      <c r="B93" s="28"/>
      <c r="C93" s="196"/>
      <c r="D93" s="47"/>
      <c r="E93" s="28"/>
      <c r="F93" s="215"/>
      <c r="G93" s="215"/>
      <c r="H93" s="2"/>
      <c r="I93" s="19"/>
      <c r="K93" s="35"/>
      <c r="M93" s="35"/>
      <c r="N93" s="35"/>
      <c r="O93" s="35"/>
      <c r="P93" s="35"/>
    </row>
    <row r="94" spans="2:16">
      <c r="B94" s="28"/>
      <c r="C94" s="196"/>
      <c r="D94" s="47"/>
      <c r="E94" s="28"/>
      <c r="F94" s="215"/>
      <c r="G94" s="215"/>
      <c r="H94" s="2"/>
      <c r="I94" s="19"/>
      <c r="K94" s="35"/>
      <c r="M94" s="35"/>
      <c r="N94" s="35"/>
      <c r="O94" s="35"/>
      <c r="P94" s="35"/>
    </row>
    <row r="95" spans="2:16">
      <c r="B95" s="28"/>
      <c r="C95" s="196"/>
      <c r="D95" s="47"/>
      <c r="E95" s="28"/>
      <c r="F95" s="215"/>
      <c r="G95" s="215"/>
      <c r="H95" s="2"/>
      <c r="I95" s="19"/>
      <c r="K95" s="35"/>
      <c r="M95" s="35"/>
      <c r="N95" s="35"/>
      <c r="O95" s="35"/>
      <c r="P95" s="35"/>
    </row>
    <row r="96" spans="2:16">
      <c r="B96" s="28"/>
      <c r="C96" s="196"/>
      <c r="D96" s="47"/>
      <c r="E96" s="28"/>
      <c r="F96" s="215"/>
      <c r="G96" s="215"/>
      <c r="H96" s="2"/>
      <c r="I96" s="19"/>
      <c r="K96" s="35"/>
      <c r="M96" s="35"/>
      <c r="N96" s="35"/>
      <c r="O96" s="35"/>
      <c r="P96" s="35"/>
    </row>
    <row r="97" spans="2:16">
      <c r="B97" s="28"/>
      <c r="C97" s="196"/>
      <c r="D97" s="47"/>
      <c r="E97" s="28"/>
      <c r="F97" s="215"/>
      <c r="G97" s="215"/>
      <c r="H97" s="2"/>
      <c r="I97" s="19"/>
      <c r="K97" s="35"/>
      <c r="M97" s="35"/>
      <c r="N97" s="35"/>
      <c r="O97" s="35"/>
      <c r="P97" s="35"/>
    </row>
    <row r="98" spans="2:16">
      <c r="B98" s="28"/>
      <c r="C98" s="196"/>
      <c r="D98" s="47"/>
      <c r="E98" s="28"/>
      <c r="F98" s="215"/>
      <c r="G98" s="215"/>
      <c r="H98" s="2"/>
      <c r="I98" s="19"/>
      <c r="K98" s="35"/>
      <c r="M98" s="35"/>
      <c r="N98" s="35"/>
      <c r="O98" s="35"/>
      <c r="P98" s="35"/>
    </row>
    <row r="99" spans="2:16">
      <c r="B99" s="28"/>
      <c r="C99" s="196"/>
      <c r="D99" s="47"/>
      <c r="E99" s="28"/>
      <c r="F99" s="215"/>
      <c r="G99" s="215"/>
      <c r="H99" s="2"/>
      <c r="I99" s="19"/>
      <c r="K99" s="35"/>
      <c r="M99" s="35"/>
      <c r="N99" s="35"/>
      <c r="O99" s="35"/>
      <c r="P99" s="35"/>
    </row>
    <row r="100" spans="2:16">
      <c r="B100" s="28"/>
      <c r="C100" s="196"/>
      <c r="D100" s="47"/>
      <c r="E100" s="28"/>
      <c r="F100" s="215"/>
      <c r="G100" s="215"/>
      <c r="H100" s="2"/>
      <c r="I100" s="19"/>
      <c r="K100" s="35"/>
      <c r="M100" s="35"/>
      <c r="N100" s="35"/>
      <c r="O100" s="35"/>
      <c r="P100" s="35"/>
    </row>
    <row r="101" spans="2:16">
      <c r="B101" s="28"/>
      <c r="C101" s="196"/>
      <c r="D101" s="47"/>
      <c r="E101" s="28"/>
      <c r="F101" s="215"/>
      <c r="G101" s="215"/>
      <c r="H101" s="2"/>
      <c r="I101" s="19"/>
      <c r="K101" s="35"/>
      <c r="M101" s="35"/>
      <c r="N101" s="35"/>
      <c r="O101" s="35"/>
      <c r="P101" s="35"/>
    </row>
    <row r="102" spans="2:16">
      <c r="B102" s="28"/>
      <c r="C102" s="196"/>
      <c r="D102" s="47"/>
      <c r="E102" s="28"/>
      <c r="F102" s="215"/>
      <c r="G102" s="215"/>
      <c r="H102" s="2"/>
      <c r="I102" s="19"/>
      <c r="K102" s="35"/>
      <c r="M102" s="35"/>
      <c r="N102" s="35"/>
      <c r="O102" s="35"/>
      <c r="P102" s="35"/>
    </row>
    <row r="103" spans="2:16">
      <c r="B103" s="28"/>
      <c r="C103" s="196"/>
      <c r="D103" s="47"/>
      <c r="E103" s="28"/>
      <c r="F103" s="215"/>
      <c r="G103" s="215"/>
      <c r="H103" s="2"/>
      <c r="I103" s="19"/>
      <c r="K103" s="35"/>
      <c r="M103" s="35"/>
      <c r="N103" s="35"/>
      <c r="O103" s="35"/>
      <c r="P103" s="35"/>
    </row>
    <row r="104" spans="2:16">
      <c r="B104" s="28"/>
      <c r="C104" s="196"/>
      <c r="D104" s="47"/>
      <c r="E104" s="28"/>
      <c r="F104" s="215"/>
      <c r="G104" s="215"/>
      <c r="H104" s="2"/>
      <c r="I104" s="19"/>
      <c r="K104" s="35"/>
      <c r="M104" s="35"/>
      <c r="N104" s="35"/>
      <c r="O104" s="35"/>
      <c r="P104" s="35"/>
    </row>
    <row r="105" spans="2:16">
      <c r="B105" s="28"/>
      <c r="C105" s="196"/>
      <c r="D105" s="47"/>
      <c r="E105" s="28"/>
      <c r="F105" s="215"/>
      <c r="G105" s="215"/>
      <c r="H105" s="2"/>
      <c r="I105" s="19"/>
      <c r="K105" s="35"/>
      <c r="M105" s="35"/>
      <c r="N105" s="35"/>
      <c r="O105" s="35"/>
      <c r="P105" s="35"/>
    </row>
    <row r="106" spans="2:16">
      <c r="B106" s="28"/>
      <c r="C106" s="196"/>
      <c r="D106" s="47"/>
      <c r="E106" s="28"/>
      <c r="F106" s="215"/>
      <c r="G106" s="215"/>
      <c r="H106" s="2"/>
      <c r="I106" s="19"/>
      <c r="K106" s="35"/>
      <c r="M106" s="35"/>
      <c r="N106" s="35"/>
      <c r="O106" s="35"/>
      <c r="P106" s="35"/>
    </row>
    <row r="107" spans="2:16">
      <c r="B107" s="28"/>
      <c r="C107" s="196"/>
      <c r="D107" s="47"/>
      <c r="E107" s="28"/>
      <c r="F107" s="215"/>
      <c r="G107" s="215"/>
      <c r="H107" s="2"/>
      <c r="I107" s="19"/>
      <c r="K107" s="35"/>
      <c r="M107" s="35"/>
      <c r="N107" s="35"/>
      <c r="O107" s="35"/>
      <c r="P107" s="35"/>
    </row>
    <row r="108" spans="2:16">
      <c r="B108" s="28"/>
      <c r="C108" s="196"/>
      <c r="D108" s="47"/>
      <c r="E108" s="28"/>
      <c r="F108" s="215"/>
      <c r="G108" s="215"/>
      <c r="H108" s="2"/>
      <c r="I108" s="19"/>
      <c r="K108" s="35"/>
      <c r="M108" s="35"/>
      <c r="N108" s="35"/>
      <c r="O108" s="35"/>
      <c r="P108" s="35"/>
    </row>
    <row r="109" spans="2:16">
      <c r="B109" s="28"/>
      <c r="C109" s="196"/>
      <c r="D109" s="47"/>
      <c r="E109" s="28"/>
      <c r="F109" s="215"/>
      <c r="G109" s="215"/>
      <c r="H109" s="2"/>
      <c r="I109" s="19"/>
      <c r="K109" s="35"/>
      <c r="M109" s="35"/>
      <c r="N109" s="35"/>
      <c r="O109" s="35"/>
      <c r="P109" s="35"/>
    </row>
    <row r="110" spans="2:16">
      <c r="B110" s="28"/>
      <c r="C110" s="196"/>
      <c r="D110" s="47"/>
      <c r="E110" s="28"/>
      <c r="F110" s="215"/>
      <c r="G110" s="215"/>
      <c r="H110" s="2"/>
      <c r="I110" s="19"/>
      <c r="K110" s="35"/>
      <c r="M110" s="35"/>
      <c r="N110" s="35"/>
      <c r="O110" s="35"/>
      <c r="P110" s="35"/>
    </row>
    <row r="111" spans="2:16">
      <c r="B111" s="28"/>
      <c r="C111" s="196"/>
      <c r="D111" s="47"/>
      <c r="E111" s="28"/>
      <c r="F111" s="215"/>
      <c r="G111" s="215"/>
      <c r="H111" s="2"/>
      <c r="I111" s="19"/>
      <c r="K111" s="35"/>
      <c r="M111" s="35"/>
      <c r="N111" s="35"/>
      <c r="O111" s="35"/>
      <c r="P111" s="35"/>
    </row>
    <row r="112" spans="2:16">
      <c r="B112" s="28"/>
      <c r="C112" s="196"/>
      <c r="D112" s="47"/>
      <c r="E112" s="28"/>
      <c r="F112" s="215"/>
      <c r="G112" s="215"/>
      <c r="H112" s="2"/>
      <c r="I112" s="19"/>
      <c r="K112" s="35"/>
      <c r="M112" s="35"/>
      <c r="N112" s="35"/>
      <c r="O112" s="35"/>
      <c r="P112" s="35"/>
    </row>
    <row r="113" spans="2:16">
      <c r="B113" s="28"/>
      <c r="C113" s="196"/>
      <c r="D113" s="47"/>
      <c r="E113" s="28"/>
      <c r="F113" s="215"/>
      <c r="G113" s="215"/>
      <c r="H113" s="2"/>
      <c r="I113" s="19"/>
      <c r="K113" s="35"/>
      <c r="M113" s="35"/>
      <c r="N113" s="35"/>
      <c r="O113" s="35"/>
      <c r="P113" s="35"/>
    </row>
    <row r="114" spans="2:16">
      <c r="B114" s="28"/>
      <c r="C114" s="196"/>
      <c r="D114" s="47"/>
      <c r="E114" s="28"/>
      <c r="F114" s="215"/>
      <c r="G114" s="215"/>
      <c r="H114" s="2"/>
      <c r="I114" s="19"/>
      <c r="K114" s="35"/>
      <c r="M114" s="35"/>
      <c r="N114" s="35"/>
      <c r="O114" s="35"/>
      <c r="P114" s="35"/>
    </row>
    <row r="115" spans="2:16">
      <c r="B115" s="28"/>
      <c r="C115" s="196"/>
      <c r="D115" s="47"/>
      <c r="E115" s="28"/>
      <c r="F115" s="215"/>
      <c r="G115" s="215"/>
      <c r="H115" s="2"/>
      <c r="I115" s="19"/>
      <c r="K115" s="35"/>
      <c r="M115" s="35"/>
      <c r="N115" s="35"/>
      <c r="O115" s="35"/>
      <c r="P115" s="35"/>
    </row>
    <row r="116" spans="2:16">
      <c r="B116" s="28"/>
      <c r="C116" s="196"/>
      <c r="D116" s="47"/>
      <c r="E116" s="28"/>
      <c r="F116" s="215"/>
      <c r="G116" s="215"/>
      <c r="H116" s="2"/>
      <c r="I116" s="19"/>
      <c r="K116" s="35"/>
      <c r="M116" s="35"/>
      <c r="N116" s="35"/>
      <c r="O116" s="35"/>
      <c r="P116" s="35"/>
    </row>
    <row r="117" spans="2:16">
      <c r="B117" s="28"/>
      <c r="C117" s="196"/>
      <c r="D117" s="47"/>
      <c r="E117" s="28"/>
      <c r="F117" s="215"/>
      <c r="G117" s="215"/>
      <c r="H117" s="2"/>
      <c r="I117" s="19"/>
      <c r="K117" s="35"/>
      <c r="M117" s="35"/>
      <c r="N117" s="35"/>
      <c r="O117" s="35"/>
      <c r="P117" s="35"/>
    </row>
    <row r="118" spans="2:16">
      <c r="B118" s="28"/>
      <c r="C118" s="196"/>
      <c r="D118" s="47"/>
      <c r="E118" s="28"/>
      <c r="F118" s="215"/>
      <c r="G118" s="215"/>
      <c r="H118" s="2"/>
      <c r="I118" s="19"/>
      <c r="K118" s="35"/>
      <c r="M118" s="35"/>
      <c r="N118" s="35"/>
      <c r="O118" s="35"/>
      <c r="P118" s="35"/>
    </row>
    <row r="119" spans="2:16">
      <c r="B119" s="28"/>
      <c r="C119" s="196"/>
      <c r="D119" s="47"/>
      <c r="E119" s="28"/>
      <c r="F119" s="215"/>
      <c r="G119" s="215"/>
      <c r="H119" s="2"/>
      <c r="I119" s="19"/>
      <c r="K119" s="35"/>
      <c r="M119" s="35"/>
      <c r="N119" s="35"/>
      <c r="O119" s="35"/>
      <c r="P119" s="35"/>
    </row>
    <row r="120" spans="2:16">
      <c r="B120" s="28"/>
      <c r="C120" s="196"/>
      <c r="D120" s="47"/>
      <c r="E120" s="28"/>
      <c r="F120" s="215"/>
      <c r="G120" s="215"/>
      <c r="H120" s="2"/>
      <c r="I120" s="19"/>
      <c r="K120" s="35"/>
      <c r="M120" s="35"/>
      <c r="N120" s="35"/>
      <c r="O120" s="35"/>
      <c r="P120" s="35"/>
    </row>
    <row r="121" spans="2:16">
      <c r="B121" s="28"/>
      <c r="C121" s="196"/>
      <c r="D121" s="47"/>
      <c r="E121" s="28"/>
      <c r="F121" s="215"/>
      <c r="G121" s="215"/>
      <c r="H121" s="2"/>
      <c r="I121" s="19"/>
      <c r="K121" s="35"/>
      <c r="M121" s="35"/>
      <c r="N121" s="35"/>
      <c r="O121" s="35"/>
      <c r="P121" s="35"/>
    </row>
    <row r="122" spans="2:16">
      <c r="B122" s="28"/>
      <c r="C122" s="196"/>
      <c r="D122" s="47"/>
      <c r="E122" s="28"/>
      <c r="F122" s="215"/>
      <c r="G122" s="215"/>
      <c r="H122" s="2"/>
      <c r="I122" s="19"/>
      <c r="K122" s="35"/>
      <c r="M122" s="35"/>
      <c r="N122" s="35"/>
      <c r="O122" s="35"/>
      <c r="P122" s="35"/>
    </row>
    <row r="123" spans="2:16">
      <c r="B123" s="28"/>
      <c r="C123" s="196"/>
      <c r="D123" s="47"/>
      <c r="E123" s="28"/>
      <c r="F123" s="215"/>
      <c r="G123" s="215"/>
      <c r="H123" s="2"/>
      <c r="I123" s="19"/>
      <c r="K123" s="35"/>
      <c r="M123" s="35"/>
      <c r="N123" s="35"/>
      <c r="O123" s="35"/>
      <c r="P123" s="35"/>
    </row>
    <row r="124" spans="2:16">
      <c r="B124" s="28"/>
      <c r="C124" s="196"/>
      <c r="D124" s="47"/>
      <c r="E124" s="28"/>
      <c r="F124" s="215"/>
      <c r="G124" s="215"/>
      <c r="H124" s="2"/>
      <c r="I124" s="19"/>
      <c r="K124" s="35"/>
      <c r="M124" s="35"/>
      <c r="N124" s="35"/>
      <c r="O124" s="35"/>
      <c r="P124" s="35"/>
    </row>
    <row r="125" spans="2:16">
      <c r="B125" s="28"/>
      <c r="C125" s="196"/>
      <c r="D125" s="47"/>
      <c r="E125" s="28"/>
      <c r="F125" s="215"/>
      <c r="G125" s="215"/>
      <c r="H125" s="2"/>
      <c r="I125" s="19"/>
      <c r="K125" s="35"/>
      <c r="M125" s="35"/>
      <c r="N125" s="35"/>
      <c r="O125" s="35"/>
      <c r="P125" s="35"/>
    </row>
    <row r="126" spans="2:16">
      <c r="B126" s="28"/>
      <c r="C126" s="196"/>
      <c r="D126" s="47"/>
      <c r="E126" s="28"/>
      <c r="F126" s="215"/>
      <c r="G126" s="215"/>
      <c r="H126" s="2"/>
      <c r="I126" s="19"/>
      <c r="K126" s="35"/>
      <c r="M126" s="35"/>
      <c r="N126" s="35"/>
      <c r="O126" s="35"/>
      <c r="P126" s="35"/>
    </row>
    <row r="127" spans="2:16">
      <c r="B127" s="28"/>
      <c r="C127" s="196"/>
      <c r="D127" s="47"/>
      <c r="E127" s="28"/>
      <c r="F127" s="215"/>
      <c r="G127" s="215"/>
      <c r="H127" s="2"/>
      <c r="I127" s="19"/>
      <c r="K127" s="35"/>
      <c r="M127" s="35"/>
      <c r="N127" s="35"/>
      <c r="O127" s="35"/>
      <c r="P127" s="35"/>
    </row>
    <row r="128" spans="2:16">
      <c r="B128" s="28"/>
      <c r="C128" s="196"/>
      <c r="D128" s="47"/>
      <c r="E128" s="28"/>
      <c r="F128" s="215"/>
      <c r="G128" s="215"/>
      <c r="H128" s="2"/>
      <c r="I128" s="19"/>
      <c r="K128" s="35"/>
      <c r="M128" s="35"/>
      <c r="N128" s="35"/>
      <c r="O128" s="35"/>
      <c r="P128" s="35"/>
    </row>
    <row r="129" spans="2:16">
      <c r="B129" s="28"/>
      <c r="C129" s="196"/>
      <c r="D129" s="47"/>
      <c r="E129" s="28"/>
      <c r="F129" s="215"/>
      <c r="G129" s="215"/>
      <c r="H129" s="2"/>
      <c r="I129" s="19"/>
      <c r="K129" s="35"/>
      <c r="M129" s="35"/>
      <c r="N129" s="35"/>
      <c r="O129" s="35"/>
      <c r="P129" s="35"/>
    </row>
    <row r="130" spans="2:16">
      <c r="B130" s="28"/>
      <c r="C130" s="196"/>
      <c r="D130" s="47"/>
      <c r="E130" s="28"/>
      <c r="F130" s="215"/>
      <c r="G130" s="215"/>
      <c r="H130" s="2"/>
      <c r="I130" s="19"/>
      <c r="K130" s="35"/>
      <c r="M130" s="35"/>
      <c r="N130" s="35"/>
      <c r="O130" s="35"/>
      <c r="P130" s="35"/>
    </row>
    <row r="131" spans="2:16">
      <c r="B131" s="28"/>
      <c r="C131" s="196"/>
      <c r="D131" s="47"/>
      <c r="E131" s="28"/>
      <c r="F131" s="215"/>
      <c r="G131" s="215"/>
      <c r="H131" s="2"/>
      <c r="I131" s="19"/>
      <c r="K131" s="35"/>
      <c r="M131" s="35"/>
      <c r="N131" s="35"/>
      <c r="O131" s="35"/>
      <c r="P131" s="35"/>
    </row>
    <row r="132" spans="2:16">
      <c r="B132" s="28"/>
      <c r="C132" s="196"/>
      <c r="D132" s="47"/>
      <c r="E132" s="28"/>
      <c r="F132" s="215"/>
      <c r="G132" s="215"/>
      <c r="H132" s="2"/>
      <c r="I132" s="19"/>
      <c r="K132" s="35"/>
      <c r="M132" s="35"/>
      <c r="N132" s="35"/>
      <c r="O132" s="35"/>
      <c r="P132" s="35"/>
    </row>
    <row r="133" spans="2:16">
      <c r="B133" s="28"/>
      <c r="C133" s="196"/>
      <c r="D133" s="47"/>
      <c r="E133" s="28"/>
      <c r="F133" s="215"/>
      <c r="G133" s="215"/>
      <c r="H133" s="2"/>
      <c r="I133" s="19"/>
      <c r="K133" s="35"/>
      <c r="M133" s="35"/>
      <c r="N133" s="35"/>
      <c r="O133" s="35"/>
      <c r="P133" s="35"/>
    </row>
    <row r="134" spans="2:16">
      <c r="B134" s="28"/>
      <c r="C134" s="196"/>
      <c r="D134" s="47"/>
      <c r="E134" s="28"/>
      <c r="F134" s="215"/>
      <c r="G134" s="215"/>
      <c r="H134" s="2"/>
      <c r="I134" s="19"/>
      <c r="K134" s="35"/>
      <c r="M134" s="35"/>
      <c r="N134" s="35"/>
      <c r="O134" s="35"/>
      <c r="P134" s="35"/>
    </row>
    <row r="135" spans="2:16">
      <c r="B135" s="28"/>
      <c r="C135" s="196"/>
      <c r="D135" s="47"/>
      <c r="E135" s="28"/>
      <c r="F135" s="215"/>
      <c r="G135" s="215"/>
      <c r="H135" s="2"/>
      <c r="I135" s="19"/>
      <c r="K135" s="35"/>
      <c r="M135" s="35"/>
      <c r="N135" s="35"/>
      <c r="O135" s="35"/>
      <c r="P135" s="35"/>
    </row>
    <row r="136" spans="2:16">
      <c r="B136" s="28"/>
      <c r="C136" s="196"/>
      <c r="D136" s="47"/>
      <c r="E136" s="28"/>
      <c r="F136" s="215"/>
      <c r="G136" s="215"/>
      <c r="H136" s="2"/>
      <c r="I136" s="19"/>
      <c r="K136" s="35"/>
      <c r="M136" s="35"/>
      <c r="N136" s="35"/>
      <c r="O136" s="35"/>
      <c r="P136" s="35"/>
    </row>
    <row r="137" spans="2:16">
      <c r="B137" s="28"/>
      <c r="C137" s="196"/>
      <c r="D137" s="47"/>
      <c r="E137" s="28"/>
      <c r="F137" s="215"/>
      <c r="G137" s="215"/>
      <c r="H137" s="2"/>
      <c r="I137" s="19"/>
      <c r="K137" s="35"/>
      <c r="M137" s="35"/>
      <c r="N137" s="35"/>
      <c r="O137" s="35"/>
      <c r="P137" s="35"/>
    </row>
    <row r="138" spans="2:16">
      <c r="B138" s="28"/>
      <c r="C138" s="196"/>
      <c r="D138" s="47"/>
      <c r="E138" s="28"/>
      <c r="F138" s="215"/>
      <c r="G138" s="215"/>
      <c r="H138" s="2"/>
      <c r="I138" s="19"/>
      <c r="K138" s="35"/>
      <c r="M138" s="35"/>
      <c r="N138" s="35"/>
      <c r="O138" s="35"/>
      <c r="P138" s="35"/>
    </row>
    <row r="139" spans="2:16">
      <c r="B139" s="28"/>
      <c r="C139" s="196"/>
      <c r="D139" s="47"/>
      <c r="E139" s="28"/>
      <c r="F139" s="215"/>
      <c r="G139" s="215"/>
      <c r="H139" s="2"/>
      <c r="I139" s="19"/>
      <c r="K139" s="35"/>
      <c r="M139" s="35"/>
      <c r="N139" s="35"/>
      <c r="O139" s="35"/>
      <c r="P139" s="35"/>
    </row>
    <row r="140" spans="2:16">
      <c r="B140" s="28"/>
      <c r="C140" s="196"/>
      <c r="D140" s="47"/>
      <c r="E140" s="28"/>
      <c r="F140" s="215"/>
      <c r="G140" s="215"/>
      <c r="H140" s="2"/>
      <c r="I140" s="19"/>
      <c r="K140" s="35"/>
      <c r="M140" s="35"/>
      <c r="N140" s="35"/>
      <c r="O140" s="35"/>
      <c r="P140" s="35"/>
    </row>
    <row r="141" spans="2:16">
      <c r="B141" s="28"/>
      <c r="C141" s="196"/>
      <c r="D141" s="47"/>
      <c r="E141" s="28"/>
      <c r="F141" s="215"/>
      <c r="G141" s="215"/>
      <c r="H141" s="2"/>
      <c r="I141" s="19"/>
      <c r="K141" s="35"/>
      <c r="M141" s="35"/>
      <c r="N141" s="35"/>
      <c r="O141" s="35"/>
      <c r="P141" s="35"/>
    </row>
    <row r="142" spans="2:16">
      <c r="B142" s="28"/>
      <c r="C142" s="196"/>
      <c r="D142" s="47"/>
      <c r="E142" s="28"/>
      <c r="F142" s="215"/>
      <c r="G142" s="215"/>
      <c r="H142" s="2"/>
      <c r="I142" s="19"/>
      <c r="K142" s="35"/>
      <c r="M142" s="35"/>
      <c r="N142" s="35"/>
      <c r="O142" s="35"/>
      <c r="P142" s="35"/>
    </row>
    <row r="143" spans="2:16">
      <c r="B143" s="28"/>
      <c r="C143" s="196"/>
      <c r="D143" s="47"/>
      <c r="E143" s="28"/>
      <c r="F143" s="215"/>
      <c r="G143" s="215"/>
      <c r="H143" s="2"/>
      <c r="I143" s="19"/>
      <c r="K143" s="35"/>
      <c r="M143" s="35"/>
      <c r="N143" s="35"/>
      <c r="O143" s="35"/>
      <c r="P143" s="35"/>
    </row>
    <row r="144" spans="2:16">
      <c r="B144" s="28"/>
      <c r="C144" s="196"/>
      <c r="D144" s="47"/>
      <c r="E144" s="28"/>
      <c r="F144" s="215"/>
      <c r="G144" s="215"/>
      <c r="H144" s="2"/>
      <c r="I144" s="19"/>
      <c r="K144" s="35"/>
      <c r="M144" s="35"/>
      <c r="N144" s="35"/>
      <c r="O144" s="35"/>
      <c r="P144" s="35"/>
    </row>
    <row r="145" spans="2:16">
      <c r="B145" s="28"/>
      <c r="C145" s="196"/>
      <c r="D145" s="47"/>
      <c r="E145" s="28"/>
      <c r="F145" s="215"/>
      <c r="G145" s="215"/>
      <c r="H145" s="2"/>
      <c r="I145" s="19"/>
      <c r="K145" s="35"/>
      <c r="M145" s="35"/>
      <c r="N145" s="35"/>
      <c r="O145" s="35"/>
      <c r="P145" s="35"/>
    </row>
    <row r="146" spans="2:16">
      <c r="B146" s="28"/>
      <c r="C146" s="196"/>
      <c r="D146" s="47"/>
      <c r="E146" s="28"/>
      <c r="F146" s="215"/>
      <c r="G146" s="215"/>
      <c r="H146" s="2"/>
      <c r="I146" s="19"/>
      <c r="K146" s="35"/>
      <c r="M146" s="35"/>
      <c r="N146" s="35"/>
      <c r="O146" s="35"/>
      <c r="P146" s="35"/>
    </row>
    <row r="147" spans="2:16">
      <c r="B147" s="28"/>
      <c r="C147" s="196"/>
      <c r="D147" s="47"/>
      <c r="E147" s="28"/>
      <c r="F147" s="215"/>
      <c r="G147" s="215"/>
      <c r="H147" s="2"/>
      <c r="I147" s="19"/>
      <c r="K147" s="35"/>
      <c r="M147" s="35"/>
      <c r="N147" s="35"/>
      <c r="O147" s="35"/>
      <c r="P147" s="35"/>
    </row>
    <row r="148" spans="2:16">
      <c r="B148" s="28"/>
      <c r="C148" s="196"/>
      <c r="D148" s="47"/>
      <c r="E148" s="28"/>
      <c r="F148" s="215"/>
      <c r="G148" s="215"/>
      <c r="H148" s="2"/>
      <c r="I148" s="19"/>
      <c r="K148" s="35"/>
      <c r="M148" s="35"/>
      <c r="N148" s="35"/>
      <c r="O148" s="35"/>
      <c r="P148" s="35"/>
    </row>
    <row r="149" spans="2:16">
      <c r="B149" s="28"/>
      <c r="C149" s="196"/>
      <c r="D149" s="47"/>
      <c r="E149" s="28"/>
      <c r="F149" s="215"/>
      <c r="G149" s="215"/>
      <c r="H149" s="2"/>
      <c r="I149" s="19"/>
      <c r="K149" s="35"/>
      <c r="M149" s="35"/>
      <c r="N149" s="35"/>
      <c r="O149" s="35"/>
      <c r="P149" s="35"/>
    </row>
    <row r="150" spans="2:16">
      <c r="B150" s="28"/>
      <c r="C150" s="196"/>
      <c r="D150" s="47"/>
      <c r="E150" s="28"/>
      <c r="F150" s="215"/>
      <c r="G150" s="215"/>
      <c r="H150" s="2"/>
      <c r="I150" s="19"/>
      <c r="K150" s="35"/>
      <c r="M150" s="35"/>
      <c r="N150" s="35"/>
      <c r="O150" s="35"/>
      <c r="P150" s="35"/>
    </row>
    <row r="151" spans="2:16">
      <c r="B151" s="28"/>
      <c r="C151" s="196"/>
      <c r="D151" s="47"/>
      <c r="E151" s="28"/>
      <c r="F151" s="215"/>
      <c r="G151" s="215"/>
      <c r="H151" s="2"/>
      <c r="I151" s="19"/>
      <c r="K151" s="35"/>
      <c r="M151" s="35"/>
      <c r="N151" s="35"/>
      <c r="O151" s="35"/>
      <c r="P151" s="35"/>
    </row>
    <row r="152" spans="2:16">
      <c r="B152" s="28"/>
      <c r="C152" s="196"/>
      <c r="D152" s="47"/>
      <c r="E152" s="28"/>
      <c r="F152" s="215"/>
      <c r="G152" s="215"/>
      <c r="H152" s="2"/>
      <c r="I152" s="19"/>
      <c r="K152" s="35"/>
      <c r="M152" s="35"/>
      <c r="N152" s="35"/>
      <c r="O152" s="35"/>
      <c r="P152" s="35"/>
    </row>
    <row r="153" spans="2:16">
      <c r="B153" s="28"/>
      <c r="C153" s="196"/>
      <c r="D153" s="47"/>
      <c r="E153" s="28"/>
      <c r="F153" s="215"/>
      <c r="G153" s="215"/>
      <c r="H153" s="2"/>
      <c r="I153" s="19"/>
      <c r="K153" s="35"/>
      <c r="M153" s="35"/>
      <c r="N153" s="35"/>
      <c r="O153" s="35"/>
      <c r="P153" s="35"/>
    </row>
    <row r="154" spans="2:16">
      <c r="B154" s="28"/>
      <c r="C154" s="196"/>
      <c r="D154" s="47"/>
      <c r="E154" s="28"/>
      <c r="F154" s="215"/>
      <c r="G154" s="215"/>
      <c r="H154" s="2"/>
      <c r="I154" s="19"/>
      <c r="K154" s="35"/>
      <c r="M154" s="35"/>
      <c r="N154" s="35"/>
      <c r="O154" s="35"/>
      <c r="P154" s="35"/>
    </row>
    <row r="155" spans="2:16">
      <c r="B155" s="28"/>
      <c r="C155" s="196"/>
      <c r="D155" s="47"/>
      <c r="E155" s="28"/>
      <c r="F155" s="215"/>
      <c r="G155" s="215"/>
      <c r="H155" s="2"/>
      <c r="I155" s="19"/>
      <c r="K155" s="35"/>
      <c r="M155" s="35"/>
      <c r="N155" s="35"/>
      <c r="O155" s="35"/>
      <c r="P155" s="35"/>
    </row>
    <row r="156" spans="2:16">
      <c r="B156" s="28"/>
      <c r="C156" s="196"/>
      <c r="D156" s="47"/>
      <c r="E156" s="28"/>
      <c r="F156" s="215"/>
      <c r="G156" s="215"/>
      <c r="H156" s="2"/>
      <c r="I156" s="19"/>
      <c r="K156" s="35"/>
      <c r="M156" s="35"/>
      <c r="N156" s="35"/>
      <c r="O156" s="35"/>
      <c r="P156" s="35"/>
    </row>
    <row r="157" spans="2:16">
      <c r="B157" s="28"/>
      <c r="C157" s="196"/>
      <c r="D157" s="47"/>
      <c r="E157" s="28"/>
      <c r="F157" s="215"/>
      <c r="G157" s="215"/>
      <c r="H157" s="2"/>
      <c r="I157" s="19"/>
      <c r="K157" s="35"/>
      <c r="M157" s="35"/>
      <c r="N157" s="35"/>
      <c r="O157" s="35"/>
      <c r="P157" s="35"/>
    </row>
    <row r="158" spans="2:16">
      <c r="B158" s="28"/>
      <c r="C158" s="196"/>
      <c r="D158" s="47"/>
      <c r="E158" s="28"/>
      <c r="F158" s="215"/>
      <c r="G158" s="215"/>
      <c r="H158" s="2"/>
      <c r="I158" s="19"/>
      <c r="K158" s="35"/>
      <c r="M158" s="35"/>
      <c r="N158" s="35"/>
      <c r="O158" s="35"/>
      <c r="P158" s="35"/>
    </row>
    <row r="159" spans="2:16">
      <c r="B159" s="28"/>
      <c r="C159" s="196"/>
      <c r="D159" s="47"/>
      <c r="E159" s="28"/>
      <c r="F159" s="215"/>
      <c r="G159" s="215"/>
      <c r="H159" s="2"/>
      <c r="I159" s="19"/>
      <c r="K159" s="35"/>
      <c r="M159" s="35"/>
      <c r="N159" s="35"/>
      <c r="O159" s="35"/>
      <c r="P159" s="35"/>
    </row>
    <row r="160" spans="2:16">
      <c r="B160" s="28"/>
      <c r="C160" s="196"/>
      <c r="D160" s="47"/>
      <c r="E160" s="28"/>
      <c r="F160" s="215"/>
      <c r="G160" s="215"/>
      <c r="H160" s="2"/>
      <c r="I160" s="19"/>
      <c r="K160" s="35"/>
      <c r="M160" s="35"/>
      <c r="N160" s="35"/>
      <c r="O160" s="35"/>
      <c r="P160" s="35"/>
    </row>
    <row r="161" spans="2:16">
      <c r="B161" s="28"/>
      <c r="C161" s="196"/>
      <c r="D161" s="47"/>
      <c r="E161" s="28"/>
      <c r="F161" s="215"/>
      <c r="G161" s="215"/>
      <c r="H161" s="2"/>
      <c r="I161" s="19"/>
      <c r="K161" s="35"/>
      <c r="M161" s="35"/>
      <c r="N161" s="35"/>
      <c r="O161" s="35"/>
      <c r="P161" s="35"/>
    </row>
    <row r="162" spans="2:16">
      <c r="B162" s="28"/>
      <c r="C162" s="196"/>
      <c r="D162" s="47"/>
      <c r="E162" s="28"/>
      <c r="F162" s="215"/>
      <c r="G162" s="215"/>
      <c r="H162" s="2"/>
      <c r="I162" s="19"/>
      <c r="K162" s="35"/>
      <c r="M162" s="35"/>
      <c r="N162" s="35"/>
      <c r="O162" s="35"/>
      <c r="P162" s="35"/>
    </row>
    <row r="163" spans="2:16">
      <c r="B163" s="28"/>
      <c r="C163" s="196"/>
      <c r="D163" s="47"/>
      <c r="E163" s="28"/>
      <c r="F163" s="215"/>
      <c r="G163" s="215"/>
      <c r="H163" s="2"/>
      <c r="I163" s="19"/>
      <c r="K163" s="35"/>
      <c r="M163" s="35"/>
      <c r="N163" s="35"/>
      <c r="O163" s="35"/>
      <c r="P163" s="35"/>
    </row>
    <row r="164" spans="2:16">
      <c r="B164" s="28"/>
      <c r="C164" s="196"/>
      <c r="D164" s="47"/>
      <c r="E164" s="28"/>
      <c r="F164" s="215"/>
      <c r="G164" s="215"/>
      <c r="H164" s="2"/>
      <c r="I164" s="19"/>
      <c r="K164" s="35"/>
      <c r="M164" s="35"/>
      <c r="N164" s="35"/>
      <c r="O164" s="35"/>
      <c r="P164" s="35"/>
    </row>
    <row r="165" spans="2:16">
      <c r="B165" s="28"/>
      <c r="C165" s="196"/>
      <c r="D165" s="47"/>
      <c r="E165" s="28"/>
      <c r="F165" s="215"/>
      <c r="G165" s="215"/>
      <c r="H165" s="2"/>
      <c r="I165" s="19"/>
      <c r="K165" s="35"/>
      <c r="M165" s="35"/>
      <c r="N165" s="35"/>
      <c r="O165" s="35"/>
      <c r="P165" s="35"/>
    </row>
    <row r="166" spans="2:16">
      <c r="B166" s="28"/>
      <c r="C166" s="196"/>
      <c r="D166" s="47"/>
      <c r="E166" s="28"/>
      <c r="F166" s="215"/>
      <c r="G166" s="215"/>
      <c r="H166" s="2"/>
      <c r="I166" s="19"/>
      <c r="K166" s="35"/>
      <c r="M166" s="35"/>
      <c r="N166" s="35"/>
      <c r="O166" s="35"/>
      <c r="P166" s="35"/>
    </row>
    <row r="167" spans="2:16">
      <c r="B167" s="28"/>
      <c r="C167" s="196"/>
      <c r="D167" s="47"/>
      <c r="E167" s="28"/>
      <c r="F167" s="215"/>
      <c r="G167" s="215"/>
      <c r="H167" s="2"/>
      <c r="I167" s="19"/>
      <c r="K167" s="35"/>
      <c r="M167" s="35"/>
      <c r="N167" s="35"/>
      <c r="O167" s="35"/>
      <c r="P167" s="35"/>
    </row>
    <row r="168" spans="2:16">
      <c r="B168" s="28"/>
      <c r="C168" s="196"/>
      <c r="D168" s="47"/>
      <c r="E168" s="28"/>
      <c r="F168" s="215"/>
      <c r="G168" s="215"/>
      <c r="H168" s="2"/>
      <c r="I168" s="19"/>
      <c r="K168" s="35"/>
      <c r="M168" s="35"/>
      <c r="N168" s="35"/>
      <c r="O168" s="35"/>
      <c r="P168" s="35"/>
    </row>
    <row r="169" spans="2:16">
      <c r="B169" s="28"/>
      <c r="C169" s="196"/>
      <c r="D169" s="47"/>
      <c r="E169" s="28"/>
      <c r="F169" s="215"/>
      <c r="G169" s="215"/>
      <c r="H169" s="2"/>
      <c r="I169" s="19"/>
      <c r="K169" s="35"/>
      <c r="M169" s="35"/>
      <c r="N169" s="35"/>
      <c r="O169" s="35"/>
      <c r="P169" s="35"/>
    </row>
    <row r="170" spans="2:16">
      <c r="B170" s="28"/>
      <c r="C170" s="196"/>
      <c r="D170" s="47"/>
      <c r="E170" s="28"/>
      <c r="F170" s="215"/>
      <c r="G170" s="215"/>
      <c r="H170" s="2"/>
      <c r="I170" s="19"/>
      <c r="K170" s="35"/>
      <c r="M170" s="35"/>
      <c r="N170" s="35"/>
      <c r="O170" s="35"/>
      <c r="P170" s="35"/>
    </row>
    <row r="171" spans="2:16">
      <c r="D171" s="47"/>
      <c r="E171" s="143"/>
      <c r="H171" s="2"/>
      <c r="I171" s="30"/>
    </row>
    <row r="172" spans="2:16">
      <c r="D172" s="47"/>
      <c r="E172" s="143"/>
      <c r="H172" s="2"/>
      <c r="I172" s="30"/>
    </row>
    <row r="173" spans="2:16">
      <c r="D173" s="47"/>
      <c r="E173" s="143"/>
      <c r="H173" s="2"/>
      <c r="I173" s="30"/>
    </row>
    <row r="174" spans="2:16">
      <c r="D174" s="47"/>
      <c r="E174" s="143"/>
      <c r="H174" s="2"/>
      <c r="I174" s="30"/>
    </row>
    <row r="175" spans="2:16">
      <c r="D175" s="47"/>
      <c r="E175" s="143"/>
      <c r="H175" s="2"/>
      <c r="I175" s="30"/>
    </row>
    <row r="176" spans="2:16">
      <c r="D176" s="47"/>
      <c r="E176" s="143"/>
      <c r="H176" s="2"/>
      <c r="I176" s="30"/>
    </row>
    <row r="177" spans="4:9">
      <c r="D177" s="47"/>
      <c r="E177" s="143"/>
      <c r="H177" s="2"/>
      <c r="I177" s="30"/>
    </row>
    <row r="178" spans="4:9">
      <c r="D178" s="47"/>
      <c r="E178" s="143"/>
      <c r="H178" s="2"/>
      <c r="I178" s="30"/>
    </row>
    <row r="179" spans="4:9">
      <c r="D179" s="47"/>
      <c r="E179" s="143"/>
      <c r="H179" s="2"/>
      <c r="I179" s="30"/>
    </row>
    <row r="180" spans="4:9">
      <c r="D180" s="47"/>
      <c r="E180" s="143"/>
      <c r="H180" s="2"/>
      <c r="I180" s="30"/>
    </row>
    <row r="181" spans="4:9">
      <c r="D181" s="47"/>
      <c r="E181" s="143"/>
      <c r="H181" s="2"/>
      <c r="I181" s="30"/>
    </row>
    <row r="182" spans="4:9">
      <c r="D182" s="47"/>
      <c r="E182" s="143"/>
      <c r="H182" s="2"/>
      <c r="I182" s="30"/>
    </row>
    <row r="183" spans="4:9">
      <c r="D183" s="47"/>
      <c r="E183" s="143"/>
      <c r="H183" s="2"/>
      <c r="I183" s="30"/>
    </row>
    <row r="184" spans="4:9">
      <c r="D184" s="47"/>
      <c r="E184" s="143"/>
      <c r="H184" s="2"/>
      <c r="I184" s="30"/>
    </row>
    <row r="185" spans="4:9">
      <c r="D185" s="47"/>
      <c r="E185" s="143"/>
      <c r="H185" s="2"/>
      <c r="I185" s="30"/>
    </row>
    <row r="186" spans="4:9">
      <c r="D186" s="47"/>
      <c r="E186" s="143"/>
      <c r="H186" s="2"/>
      <c r="I186" s="30"/>
    </row>
    <row r="187" spans="4:9">
      <c r="D187" s="47"/>
      <c r="E187" s="143"/>
      <c r="H187" s="2"/>
      <c r="I187" s="30"/>
    </row>
    <row r="188" spans="4:9">
      <c r="D188" s="47"/>
      <c r="E188" s="143"/>
      <c r="H188" s="2"/>
      <c r="I188" s="30"/>
    </row>
    <row r="189" spans="4:9">
      <c r="D189" s="47"/>
      <c r="E189" s="143"/>
      <c r="H189" s="2"/>
      <c r="I189" s="30"/>
    </row>
    <row r="190" spans="4:9">
      <c r="D190" s="47"/>
      <c r="E190" s="143"/>
      <c r="H190" s="2"/>
      <c r="I190" s="30"/>
    </row>
    <row r="191" spans="4:9">
      <c r="D191" s="47"/>
      <c r="E191" s="143"/>
      <c r="H191" s="2"/>
      <c r="I191" s="30"/>
    </row>
    <row r="192" spans="4:9">
      <c r="D192" s="47"/>
      <c r="E192" s="143"/>
      <c r="H192" s="2"/>
      <c r="I192" s="30"/>
    </row>
    <row r="193" spans="4:9">
      <c r="D193" s="47"/>
      <c r="E193" s="143"/>
      <c r="H193" s="2"/>
      <c r="I193" s="30"/>
    </row>
    <row r="194" spans="4:9">
      <c r="D194" s="47"/>
      <c r="E194" s="143"/>
      <c r="H194" s="2"/>
      <c r="I194" s="30"/>
    </row>
    <row r="195" spans="4:9">
      <c r="D195" s="47"/>
      <c r="E195" s="143"/>
      <c r="H195" s="2"/>
      <c r="I195" s="30"/>
    </row>
    <row r="196" spans="4:9">
      <c r="D196" s="47"/>
      <c r="E196" s="143"/>
      <c r="H196" s="2"/>
      <c r="I196" s="30"/>
    </row>
    <row r="197" spans="4:9">
      <c r="D197" s="47"/>
      <c r="E197" s="143"/>
      <c r="H197" s="2"/>
      <c r="I197" s="30"/>
    </row>
    <row r="198" spans="4:9">
      <c r="D198" s="47"/>
      <c r="E198" s="143"/>
      <c r="H198" s="2"/>
      <c r="I198" s="30"/>
    </row>
    <row r="199" spans="4:9">
      <c r="D199" s="47"/>
      <c r="E199" s="143"/>
      <c r="H199" s="2"/>
      <c r="I199" s="30"/>
    </row>
    <row r="200" spans="4:9">
      <c r="D200" s="47"/>
      <c r="E200" s="143"/>
      <c r="H200" s="2"/>
      <c r="I200" s="30"/>
    </row>
    <row r="201" spans="4:9">
      <c r="D201" s="47"/>
      <c r="E201" s="143"/>
      <c r="H201" s="2"/>
      <c r="I201" s="30"/>
    </row>
    <row r="202" spans="4:9">
      <c r="D202" s="47"/>
      <c r="E202" s="143"/>
      <c r="H202" s="2"/>
      <c r="I202" s="30"/>
    </row>
    <row r="203" spans="4:9">
      <c r="D203" s="47"/>
      <c r="E203" s="143"/>
      <c r="H203" s="2"/>
      <c r="I203" s="30"/>
    </row>
    <row r="204" spans="4:9">
      <c r="D204" s="47"/>
      <c r="E204" s="143"/>
      <c r="H204" s="2"/>
      <c r="I204" s="30"/>
    </row>
    <row r="205" spans="4:9">
      <c r="D205" s="47"/>
      <c r="E205" s="143"/>
      <c r="H205" s="2"/>
      <c r="I205" s="30"/>
    </row>
    <row r="206" spans="4:9">
      <c r="D206" s="47"/>
      <c r="E206" s="143"/>
      <c r="H206" s="2"/>
      <c r="I206" s="30"/>
    </row>
    <row r="207" spans="4:9">
      <c r="D207" s="47"/>
      <c r="E207" s="143"/>
      <c r="H207" s="2"/>
      <c r="I207" s="30"/>
    </row>
    <row r="208" spans="4:9">
      <c r="D208" s="47"/>
      <c r="E208" s="143"/>
      <c r="H208" s="2"/>
      <c r="I208" s="30"/>
    </row>
    <row r="209" spans="4:9">
      <c r="D209" s="47"/>
      <c r="E209" s="143"/>
      <c r="H209" s="2"/>
      <c r="I209" s="30"/>
    </row>
    <row r="210" spans="4:9">
      <c r="D210" s="47"/>
      <c r="E210" s="143"/>
      <c r="H210" s="2"/>
      <c r="I210" s="30"/>
    </row>
    <row r="211" spans="4:9">
      <c r="D211" s="47"/>
      <c r="E211" s="143"/>
      <c r="H211" s="2"/>
      <c r="I211" s="30"/>
    </row>
    <row r="212" spans="4:9">
      <c r="D212" s="47"/>
      <c r="E212" s="143"/>
      <c r="H212" s="2"/>
      <c r="I212" s="30"/>
    </row>
    <row r="213" spans="4:9">
      <c r="D213" s="47"/>
      <c r="E213" s="143"/>
      <c r="H213" s="2"/>
      <c r="I213" s="30"/>
    </row>
    <row r="214" spans="4:9">
      <c r="D214" s="47"/>
      <c r="E214" s="143"/>
      <c r="H214" s="2"/>
      <c r="I214" s="30"/>
    </row>
    <row r="215" spans="4:9">
      <c r="D215" s="47"/>
      <c r="E215" s="143"/>
      <c r="H215" s="2"/>
      <c r="I215" s="30"/>
    </row>
    <row r="216" spans="4:9">
      <c r="D216" s="47"/>
      <c r="E216" s="143"/>
      <c r="H216" s="2"/>
      <c r="I216" s="30"/>
    </row>
    <row r="217" spans="4:9">
      <c r="D217" s="47"/>
      <c r="E217" s="143"/>
      <c r="H217" s="2"/>
      <c r="I217" s="30"/>
    </row>
    <row r="218" spans="4:9">
      <c r="D218" s="47"/>
      <c r="E218" s="143"/>
      <c r="H218" s="2"/>
      <c r="I218" s="30"/>
    </row>
    <row r="219" spans="4:9">
      <c r="D219" s="47"/>
      <c r="E219" s="143"/>
      <c r="H219" s="2"/>
      <c r="I219" s="30"/>
    </row>
    <row r="220" spans="4:9">
      <c r="D220" s="47"/>
      <c r="E220" s="143"/>
      <c r="H220" s="2"/>
      <c r="I220" s="30"/>
    </row>
    <row r="221" spans="4:9">
      <c r="D221" s="47"/>
      <c r="E221" s="143"/>
      <c r="H221" s="2"/>
      <c r="I221" s="30"/>
    </row>
    <row r="222" spans="4:9">
      <c r="D222" s="47"/>
      <c r="E222" s="143"/>
      <c r="H222" s="2"/>
      <c r="I222" s="30"/>
    </row>
    <row r="223" spans="4:9">
      <c r="D223" s="47"/>
      <c r="E223" s="143"/>
      <c r="H223" s="2"/>
      <c r="I223" s="30"/>
    </row>
    <row r="224" spans="4:9">
      <c r="D224" s="47"/>
      <c r="E224" s="143"/>
      <c r="H224" s="2"/>
      <c r="I224" s="30"/>
    </row>
    <row r="225" spans="4:9">
      <c r="D225" s="47"/>
      <c r="E225" s="143"/>
      <c r="H225" s="2"/>
      <c r="I225" s="30"/>
    </row>
    <row r="226" spans="4:9">
      <c r="D226" s="47"/>
      <c r="E226" s="143"/>
      <c r="H226" s="2"/>
      <c r="I226" s="30"/>
    </row>
    <row r="227" spans="4:9">
      <c r="D227" s="47"/>
      <c r="E227" s="143"/>
      <c r="H227" s="2"/>
      <c r="I227" s="30"/>
    </row>
    <row r="228" spans="4:9">
      <c r="D228" s="47"/>
      <c r="E228" s="143"/>
      <c r="H228" s="2"/>
      <c r="I228" s="30"/>
    </row>
    <row r="229" spans="4:9">
      <c r="D229" s="47"/>
      <c r="E229" s="143"/>
      <c r="H229" s="2"/>
      <c r="I229" s="30"/>
    </row>
    <row r="230" spans="4:9">
      <c r="D230" s="47"/>
      <c r="E230" s="143"/>
      <c r="H230" s="2"/>
      <c r="I230" s="30"/>
    </row>
    <row r="231" spans="4:9">
      <c r="D231" s="47"/>
      <c r="E231" s="143"/>
      <c r="H231" s="2"/>
      <c r="I231" s="30"/>
    </row>
    <row r="232" spans="4:9">
      <c r="D232" s="47"/>
      <c r="E232" s="143"/>
      <c r="H232" s="2"/>
      <c r="I232" s="30"/>
    </row>
    <row r="233" spans="4:9">
      <c r="D233" s="47"/>
      <c r="E233" s="143"/>
      <c r="H233" s="2"/>
      <c r="I233" s="30"/>
    </row>
    <row r="234" spans="4:9">
      <c r="D234" s="47"/>
      <c r="E234" s="143"/>
      <c r="H234" s="2"/>
      <c r="I234" s="30"/>
    </row>
    <row r="235" spans="4:9">
      <c r="D235" s="47"/>
      <c r="E235" s="143"/>
      <c r="H235" s="2"/>
      <c r="I235" s="30"/>
    </row>
    <row r="236" spans="4:9">
      <c r="D236" s="47"/>
      <c r="E236" s="143"/>
      <c r="H236" s="2"/>
      <c r="I236" s="30"/>
    </row>
    <row r="237" spans="4:9">
      <c r="D237" s="47"/>
      <c r="E237" s="143"/>
      <c r="H237" s="2"/>
      <c r="I237" s="30"/>
    </row>
    <row r="238" spans="4:9">
      <c r="D238" s="47"/>
      <c r="E238" s="143"/>
      <c r="H238" s="2"/>
      <c r="I238" s="30"/>
    </row>
    <row r="239" spans="4:9">
      <c r="D239" s="47"/>
      <c r="E239" s="143"/>
      <c r="H239" s="2"/>
      <c r="I239" s="30"/>
    </row>
    <row r="240" spans="4:9">
      <c r="D240" s="47"/>
      <c r="E240" s="143"/>
      <c r="H240" s="2"/>
      <c r="I240" s="30"/>
    </row>
    <row r="241" spans="4:9">
      <c r="D241" s="47"/>
      <c r="E241" s="143"/>
      <c r="H241" s="2"/>
      <c r="I241" s="30"/>
    </row>
    <row r="242" spans="4:9">
      <c r="D242" s="47"/>
      <c r="E242" s="143"/>
      <c r="H242" s="2"/>
      <c r="I242" s="30"/>
    </row>
    <row r="243" spans="4:9">
      <c r="D243" s="47"/>
      <c r="E243" s="143"/>
      <c r="H243" s="2"/>
      <c r="I243" s="30"/>
    </row>
    <row r="244" spans="4:9">
      <c r="D244" s="47"/>
      <c r="E244" s="143"/>
      <c r="H244" s="2"/>
      <c r="I244" s="30"/>
    </row>
    <row r="245" spans="4:9">
      <c r="D245" s="47"/>
      <c r="E245" s="143"/>
      <c r="H245" s="2"/>
      <c r="I245" s="30"/>
    </row>
    <row r="246" spans="4:9">
      <c r="D246" s="47"/>
      <c r="E246" s="143"/>
      <c r="H246" s="2"/>
      <c r="I246" s="30"/>
    </row>
    <row r="247" spans="4:9">
      <c r="D247" s="47"/>
      <c r="E247" s="143"/>
      <c r="H247" s="2"/>
      <c r="I247" s="30"/>
    </row>
    <row r="248" spans="4:9">
      <c r="D248" s="47"/>
      <c r="E248" s="143"/>
      <c r="H248" s="2"/>
      <c r="I248" s="30"/>
    </row>
    <row r="249" spans="4:9">
      <c r="D249" s="47"/>
      <c r="E249" s="143"/>
      <c r="H249" s="2"/>
      <c r="I249" s="30"/>
    </row>
    <row r="250" spans="4:9">
      <c r="D250" s="47"/>
      <c r="E250" s="143"/>
      <c r="H250" s="2"/>
      <c r="I250" s="30"/>
    </row>
    <row r="251" spans="4:9">
      <c r="D251" s="47"/>
      <c r="E251" s="143"/>
      <c r="H251" s="2"/>
      <c r="I251" s="30"/>
    </row>
    <row r="252" spans="4:9">
      <c r="D252" s="47"/>
      <c r="E252" s="143"/>
      <c r="H252" s="2"/>
      <c r="I252" s="30"/>
    </row>
    <row r="253" spans="4:9">
      <c r="D253" s="47"/>
      <c r="E253" s="143"/>
      <c r="H253" s="2"/>
      <c r="I253" s="30"/>
    </row>
    <row r="254" spans="4:9">
      <c r="D254" s="47"/>
      <c r="E254" s="143"/>
      <c r="H254" s="2"/>
      <c r="I254" s="30"/>
    </row>
    <row r="255" spans="4:9">
      <c r="D255" s="47"/>
      <c r="E255" s="143"/>
      <c r="H255" s="2"/>
      <c r="I255" s="30"/>
    </row>
    <row r="256" spans="4:9">
      <c r="D256" s="47"/>
      <c r="E256" s="143"/>
      <c r="H256" s="2"/>
      <c r="I256" s="30"/>
    </row>
    <row r="257" spans="4:9">
      <c r="D257" s="47"/>
      <c r="E257" s="143"/>
      <c r="H257" s="2"/>
      <c r="I257" s="30"/>
    </row>
    <row r="258" spans="4:9">
      <c r="D258" s="47"/>
      <c r="E258" s="143"/>
      <c r="H258" s="2"/>
      <c r="I258" s="30"/>
    </row>
    <row r="259" spans="4:9">
      <c r="D259" s="47"/>
      <c r="E259" s="143"/>
      <c r="H259" s="2"/>
      <c r="I259" s="30"/>
    </row>
    <row r="260" spans="4:9">
      <c r="D260" s="47"/>
      <c r="E260" s="143"/>
      <c r="H260" s="2"/>
      <c r="I260" s="30"/>
    </row>
    <row r="261" spans="4:9">
      <c r="D261" s="47"/>
      <c r="E261" s="143"/>
      <c r="H261" s="2"/>
      <c r="I261" s="30"/>
    </row>
    <row r="262" spans="4:9">
      <c r="D262" s="47"/>
      <c r="E262" s="143"/>
      <c r="H262" s="2"/>
      <c r="I262" s="30"/>
    </row>
    <row r="263" spans="4:9">
      <c r="D263" s="47"/>
      <c r="E263" s="143"/>
      <c r="H263" s="2"/>
      <c r="I263" s="30"/>
    </row>
    <row r="264" spans="4:9">
      <c r="D264" s="47"/>
      <c r="E264" s="143"/>
      <c r="H264" s="2"/>
      <c r="I264" s="30"/>
    </row>
    <row r="265" spans="4:9">
      <c r="D265" s="47"/>
      <c r="E265" s="143"/>
      <c r="H265" s="2"/>
      <c r="I265" s="30"/>
    </row>
    <row r="266" spans="4:9">
      <c r="D266" s="47"/>
      <c r="E266" s="143"/>
      <c r="H266" s="2"/>
      <c r="I266" s="30"/>
    </row>
    <row r="267" spans="4:9">
      <c r="D267" s="47"/>
      <c r="E267" s="143"/>
      <c r="H267" s="2"/>
      <c r="I267" s="30"/>
    </row>
    <row r="268" spans="4:9">
      <c r="D268" s="47"/>
      <c r="E268" s="143"/>
      <c r="H268" s="2"/>
      <c r="I268" s="30"/>
    </row>
    <row r="269" spans="4:9">
      <c r="D269" s="47"/>
      <c r="E269" s="143"/>
      <c r="H269" s="2"/>
      <c r="I269" s="30"/>
    </row>
    <row r="270" spans="4:9">
      <c r="D270" s="47"/>
      <c r="E270" s="143"/>
      <c r="H270" s="2"/>
      <c r="I270" s="30"/>
    </row>
    <row r="271" spans="4:9">
      <c r="D271" s="47"/>
      <c r="E271" s="143"/>
      <c r="H271" s="2"/>
      <c r="I271" s="30"/>
    </row>
    <row r="272" spans="4:9">
      <c r="D272" s="47"/>
      <c r="E272" s="143"/>
      <c r="H272" s="2"/>
      <c r="I272" s="30"/>
    </row>
    <row r="273" spans="4:9">
      <c r="D273" s="47"/>
      <c r="E273" s="143"/>
      <c r="H273" s="2"/>
      <c r="I273" s="30"/>
    </row>
    <row r="274" spans="4:9">
      <c r="D274" s="47"/>
      <c r="E274" s="143"/>
      <c r="H274" s="2"/>
      <c r="I274" s="30"/>
    </row>
    <row r="275" spans="4:9">
      <c r="D275" s="47"/>
      <c r="E275" s="143"/>
      <c r="H275" s="2"/>
      <c r="I275" s="30"/>
    </row>
    <row r="276" spans="4:9">
      <c r="D276" s="47"/>
      <c r="E276" s="143"/>
      <c r="H276" s="2"/>
      <c r="I276" s="30"/>
    </row>
    <row r="277" spans="4:9">
      <c r="D277" s="47"/>
      <c r="E277" s="143"/>
      <c r="H277" s="2"/>
      <c r="I277" s="30"/>
    </row>
    <row r="278" spans="4:9">
      <c r="D278" s="47"/>
      <c r="E278" s="143"/>
      <c r="H278" s="2"/>
      <c r="I278" s="30"/>
    </row>
    <row r="279" spans="4:9">
      <c r="D279" s="47"/>
      <c r="E279" s="143"/>
      <c r="H279" s="2"/>
      <c r="I279" s="30"/>
    </row>
    <row r="280" spans="4:9">
      <c r="D280" s="47"/>
      <c r="E280" s="143"/>
      <c r="H280" s="2"/>
      <c r="I280" s="30"/>
    </row>
    <row r="281" spans="4:9">
      <c r="D281" s="47"/>
      <c r="E281" s="143"/>
      <c r="H281" s="2"/>
      <c r="I281" s="30"/>
    </row>
    <row r="282" spans="4:9">
      <c r="D282" s="47"/>
      <c r="E282" s="143"/>
      <c r="H282" s="2"/>
      <c r="I282" s="30"/>
    </row>
    <row r="283" spans="4:9">
      <c r="D283" s="47"/>
      <c r="E283" s="143"/>
      <c r="H283" s="2"/>
      <c r="I283" s="30"/>
    </row>
    <row r="284" spans="4:9">
      <c r="D284" s="47"/>
      <c r="E284" s="143"/>
      <c r="H284" s="2"/>
      <c r="I284" s="30"/>
    </row>
    <row r="285" spans="4:9">
      <c r="D285" s="47"/>
      <c r="E285" s="143"/>
      <c r="H285" s="2"/>
      <c r="I285" s="30"/>
    </row>
    <row r="286" spans="4:9">
      <c r="D286" s="47"/>
      <c r="E286" s="143"/>
      <c r="H286" s="2"/>
      <c r="I286" s="30"/>
    </row>
    <row r="287" spans="4:9">
      <c r="D287" s="47"/>
      <c r="E287" s="143"/>
      <c r="H287" s="2"/>
      <c r="I287" s="30"/>
    </row>
    <row r="288" spans="4:9">
      <c r="D288" s="47"/>
      <c r="E288" s="143"/>
      <c r="H288" s="2"/>
      <c r="I288" s="30"/>
    </row>
    <row r="289" spans="4:9">
      <c r="D289" s="47"/>
      <c r="E289" s="143"/>
      <c r="H289" s="2"/>
      <c r="I289" s="30"/>
    </row>
    <row r="290" spans="4:9">
      <c r="D290" s="47"/>
      <c r="E290" s="143"/>
      <c r="H290" s="2"/>
      <c r="I290" s="30"/>
    </row>
    <row r="291" spans="4:9">
      <c r="D291" s="47"/>
      <c r="E291" s="143"/>
      <c r="H291" s="2"/>
      <c r="I291" s="30"/>
    </row>
    <row r="292" spans="4:9">
      <c r="D292" s="47"/>
      <c r="E292" s="143"/>
      <c r="H292" s="2"/>
      <c r="I292" s="30"/>
    </row>
    <row r="293" spans="4:9">
      <c r="D293" s="47"/>
      <c r="E293" s="143"/>
      <c r="H293" s="2"/>
      <c r="I293" s="30"/>
    </row>
    <row r="294" spans="4:9">
      <c r="D294" s="47"/>
      <c r="E294" s="143"/>
      <c r="H294" s="2"/>
      <c r="I294" s="30"/>
    </row>
    <row r="295" spans="4:9">
      <c r="D295" s="47"/>
      <c r="E295" s="143"/>
      <c r="H295" s="2"/>
      <c r="I295" s="30"/>
    </row>
    <row r="296" spans="4:9">
      <c r="D296" s="47"/>
      <c r="E296" s="143"/>
      <c r="H296" s="2"/>
      <c r="I296" s="30"/>
    </row>
    <row r="297" spans="4:9">
      <c r="D297" s="47"/>
      <c r="E297" s="143"/>
      <c r="H297" s="2"/>
      <c r="I297" s="30"/>
    </row>
    <row r="298" spans="4:9">
      <c r="D298" s="47"/>
      <c r="E298" s="143"/>
      <c r="H298" s="2"/>
      <c r="I298" s="30"/>
    </row>
    <row r="299" spans="4:9">
      <c r="D299" s="47"/>
      <c r="E299" s="143"/>
      <c r="H299" s="2"/>
      <c r="I299" s="30"/>
    </row>
    <row r="300" spans="4:9">
      <c r="D300" s="47"/>
      <c r="E300" s="143"/>
      <c r="H300" s="2"/>
      <c r="I300" s="30"/>
    </row>
    <row r="301" spans="4:9">
      <c r="D301" s="47"/>
      <c r="E301" s="143"/>
      <c r="H301" s="2"/>
      <c r="I301" s="30"/>
    </row>
    <row r="302" spans="4:9">
      <c r="D302" s="47"/>
      <c r="E302" s="143"/>
      <c r="H302" s="2"/>
      <c r="I302" s="30"/>
    </row>
    <row r="303" spans="4:9">
      <c r="D303" s="47"/>
      <c r="E303" s="143"/>
      <c r="H303" s="2"/>
      <c r="I303" s="30"/>
    </row>
    <row r="304" spans="4:9">
      <c r="D304" s="47"/>
      <c r="E304" s="143"/>
      <c r="H304" s="2"/>
      <c r="I304" s="30"/>
    </row>
    <row r="305" spans="4:9">
      <c r="D305" s="47"/>
      <c r="E305" s="143"/>
      <c r="H305" s="2"/>
      <c r="I305" s="30"/>
    </row>
    <row r="306" spans="4:9">
      <c r="D306" s="47"/>
      <c r="E306" s="143"/>
      <c r="H306" s="2"/>
      <c r="I306" s="30"/>
    </row>
    <row r="307" spans="4:9">
      <c r="D307" s="47"/>
      <c r="E307" s="143"/>
      <c r="H307" s="2"/>
      <c r="I307" s="30"/>
    </row>
    <row r="308" spans="4:9">
      <c r="D308" s="47"/>
      <c r="E308" s="143"/>
      <c r="H308" s="2"/>
      <c r="I308" s="30"/>
    </row>
    <row r="309" spans="4:9">
      <c r="D309" s="47"/>
      <c r="E309" s="143"/>
      <c r="H309" s="2"/>
      <c r="I309" s="30"/>
    </row>
    <row r="310" spans="4:9">
      <c r="D310" s="47"/>
      <c r="E310" s="143"/>
      <c r="H310" s="2"/>
      <c r="I310" s="30"/>
    </row>
    <row r="311" spans="4:9">
      <c r="D311" s="47"/>
      <c r="E311" s="143"/>
      <c r="H311" s="2"/>
      <c r="I311" s="30"/>
    </row>
    <row r="312" spans="4:9">
      <c r="D312" s="47"/>
      <c r="E312" s="143"/>
      <c r="H312" s="2"/>
      <c r="I312" s="30"/>
    </row>
    <row r="313" spans="4:9">
      <c r="D313" s="47"/>
      <c r="E313" s="143"/>
      <c r="H313" s="2"/>
      <c r="I313" s="30"/>
    </row>
    <row r="314" spans="4:9">
      <c r="D314" s="47"/>
      <c r="E314" s="143"/>
      <c r="H314" s="2"/>
      <c r="I314" s="30"/>
    </row>
    <row r="315" spans="4:9">
      <c r="D315" s="47"/>
      <c r="E315" s="143"/>
      <c r="H315" s="2"/>
      <c r="I315" s="30"/>
    </row>
    <row r="316" spans="4:9">
      <c r="D316" s="47"/>
      <c r="E316" s="143"/>
      <c r="H316" s="2"/>
      <c r="I316" s="30"/>
    </row>
    <row r="317" spans="4:9">
      <c r="D317" s="47"/>
      <c r="E317" s="143"/>
      <c r="H317" s="2"/>
      <c r="I317" s="30"/>
    </row>
    <row r="318" spans="4:9">
      <c r="D318" s="47"/>
      <c r="E318" s="143"/>
      <c r="H318" s="2"/>
      <c r="I318" s="30"/>
    </row>
    <row r="319" spans="4:9">
      <c r="D319" s="47"/>
      <c r="E319" s="143"/>
      <c r="H319" s="2"/>
      <c r="I319" s="30"/>
    </row>
    <row r="320" spans="4:9">
      <c r="D320" s="47"/>
      <c r="E320" s="143"/>
      <c r="H320" s="2"/>
      <c r="I320" s="30"/>
    </row>
    <row r="321" spans="4:9">
      <c r="D321" s="47"/>
      <c r="E321" s="143"/>
      <c r="H321" s="2"/>
      <c r="I321" s="30"/>
    </row>
    <row r="322" spans="4:9">
      <c r="D322" s="47"/>
      <c r="E322" s="143"/>
      <c r="H322" s="2"/>
      <c r="I322" s="30"/>
    </row>
    <row r="323" spans="4:9">
      <c r="D323" s="47"/>
      <c r="E323" s="143"/>
      <c r="H323" s="2"/>
      <c r="I323" s="30"/>
    </row>
    <row r="324" spans="4:9">
      <c r="D324" s="47"/>
      <c r="E324" s="143"/>
      <c r="H324" s="2"/>
      <c r="I324" s="30"/>
    </row>
    <row r="325" spans="4:9">
      <c r="D325" s="47"/>
      <c r="E325" s="143"/>
      <c r="H325" s="2"/>
      <c r="I325" s="30"/>
    </row>
    <row r="326" spans="4:9">
      <c r="D326" s="47"/>
      <c r="E326" s="143"/>
      <c r="H326" s="2"/>
      <c r="I326" s="30"/>
    </row>
    <row r="327" spans="4:9">
      <c r="D327" s="47"/>
      <c r="E327" s="143"/>
      <c r="H327" s="2"/>
      <c r="I327" s="30"/>
    </row>
    <row r="328" spans="4:9">
      <c r="D328" s="47"/>
      <c r="E328" s="143"/>
      <c r="H328" s="2"/>
      <c r="I328" s="30"/>
    </row>
    <row r="329" spans="4:9">
      <c r="D329" s="47"/>
      <c r="E329" s="143"/>
      <c r="H329" s="2"/>
      <c r="I329" s="30"/>
    </row>
    <row r="330" spans="4:9">
      <c r="D330" s="47"/>
      <c r="E330" s="143"/>
      <c r="H330" s="2"/>
      <c r="I330" s="30"/>
    </row>
    <row r="331" spans="4:9">
      <c r="D331" s="47"/>
      <c r="E331" s="143"/>
      <c r="H331" s="2"/>
      <c r="I331" s="30"/>
    </row>
    <row r="332" spans="4:9">
      <c r="D332" s="47"/>
      <c r="E332" s="143"/>
      <c r="H332" s="2"/>
      <c r="I332" s="30"/>
    </row>
    <row r="333" spans="4:9">
      <c r="D333" s="47"/>
      <c r="E333" s="143"/>
      <c r="H333" s="2"/>
      <c r="I333" s="30"/>
    </row>
    <row r="334" spans="4:9">
      <c r="D334" s="47"/>
      <c r="E334" s="143"/>
      <c r="H334" s="2"/>
      <c r="I334" s="30"/>
    </row>
    <row r="335" spans="4:9">
      <c r="D335" s="47"/>
      <c r="E335" s="143"/>
      <c r="H335" s="2"/>
      <c r="I335" s="30"/>
    </row>
    <row r="336" spans="4:9">
      <c r="D336" s="47"/>
      <c r="E336" s="143"/>
      <c r="H336" s="2"/>
      <c r="I336" s="30"/>
    </row>
    <row r="337" spans="4:9">
      <c r="D337" s="47"/>
      <c r="E337" s="143"/>
      <c r="H337" s="2"/>
      <c r="I337" s="30"/>
    </row>
    <row r="338" spans="4:9">
      <c r="D338" s="47"/>
      <c r="E338" s="143"/>
      <c r="H338" s="2"/>
      <c r="I338" s="30"/>
    </row>
    <row r="339" spans="4:9">
      <c r="D339" s="47"/>
      <c r="E339" s="143"/>
      <c r="H339" s="2"/>
      <c r="I339" s="30"/>
    </row>
    <row r="340" spans="4:9">
      <c r="D340" s="47"/>
      <c r="E340" s="143"/>
      <c r="H340" s="2"/>
      <c r="I340" s="30"/>
    </row>
    <row r="341" spans="4:9">
      <c r="D341" s="47"/>
      <c r="E341" s="143"/>
      <c r="H341" s="2"/>
      <c r="I341" s="30"/>
    </row>
    <row r="342" spans="4:9">
      <c r="D342" s="47"/>
      <c r="E342" s="143"/>
      <c r="H342" s="2"/>
      <c r="I342" s="30"/>
    </row>
    <row r="343" spans="4:9">
      <c r="D343" s="47"/>
      <c r="E343" s="143"/>
      <c r="H343" s="2"/>
      <c r="I343" s="30"/>
    </row>
    <row r="344" spans="4:9">
      <c r="D344" s="47"/>
      <c r="E344" s="143"/>
      <c r="H344" s="2"/>
      <c r="I344" s="30"/>
    </row>
    <row r="345" spans="4:9">
      <c r="D345" s="47"/>
      <c r="E345" s="143"/>
      <c r="H345" s="2"/>
      <c r="I345" s="30"/>
    </row>
    <row r="346" spans="4:9">
      <c r="D346" s="47"/>
      <c r="E346" s="143"/>
      <c r="H346" s="2"/>
      <c r="I346" s="30"/>
    </row>
    <row r="347" spans="4:9">
      <c r="D347" s="47"/>
      <c r="E347" s="143"/>
      <c r="H347" s="2"/>
      <c r="I347" s="30"/>
    </row>
    <row r="348" spans="4:9">
      <c r="D348" s="47"/>
      <c r="E348" s="143"/>
      <c r="H348" s="2"/>
      <c r="I348" s="30"/>
    </row>
    <row r="349" spans="4:9">
      <c r="D349" s="47"/>
      <c r="E349" s="143"/>
      <c r="H349" s="2"/>
      <c r="I349" s="30"/>
    </row>
    <row r="350" spans="4:9">
      <c r="D350" s="47"/>
      <c r="E350" s="143"/>
      <c r="H350" s="2"/>
      <c r="I350" s="30"/>
    </row>
    <row r="351" spans="4:9">
      <c r="D351" s="47"/>
      <c r="E351" s="143"/>
      <c r="H351" s="2"/>
      <c r="I351" s="30"/>
    </row>
    <row r="352" spans="4:9">
      <c r="D352" s="47"/>
      <c r="E352" s="143"/>
      <c r="H352" s="2"/>
      <c r="I352" s="30"/>
    </row>
    <row r="353" spans="4:9">
      <c r="D353" s="47"/>
      <c r="E353" s="143"/>
      <c r="H353" s="2"/>
      <c r="I353" s="30"/>
    </row>
    <row r="354" spans="4:9">
      <c r="D354" s="47"/>
      <c r="E354" s="143"/>
      <c r="H354" s="2"/>
      <c r="I354" s="30"/>
    </row>
    <row r="355" spans="4:9">
      <c r="D355" s="47"/>
      <c r="E355" s="143"/>
      <c r="H355" s="2"/>
      <c r="I355" s="30"/>
    </row>
    <row r="356" spans="4:9">
      <c r="D356" s="47"/>
      <c r="E356" s="143"/>
      <c r="H356" s="2"/>
      <c r="I356" s="30"/>
    </row>
    <row r="357" spans="4:9">
      <c r="D357" s="47"/>
      <c r="E357" s="143"/>
      <c r="H357" s="2"/>
      <c r="I357" s="30"/>
    </row>
    <row r="358" spans="4:9">
      <c r="D358" s="47"/>
      <c r="E358" s="143"/>
      <c r="H358" s="2"/>
      <c r="I358" s="30"/>
    </row>
    <row r="359" spans="4:9">
      <c r="D359" s="47"/>
      <c r="E359" s="143"/>
      <c r="H359" s="2"/>
      <c r="I359" s="30"/>
    </row>
    <row r="360" spans="4:9">
      <c r="D360" s="47"/>
      <c r="E360" s="143"/>
      <c r="H360" s="2"/>
      <c r="I360" s="30"/>
    </row>
    <row r="361" spans="4:9">
      <c r="D361" s="47"/>
      <c r="E361" s="143"/>
      <c r="H361" s="2"/>
      <c r="I361" s="30"/>
    </row>
    <row r="362" spans="4:9">
      <c r="D362" s="47"/>
      <c r="E362" s="143"/>
      <c r="H362" s="2"/>
      <c r="I362" s="30"/>
    </row>
    <row r="363" spans="4:9">
      <c r="D363" s="47"/>
      <c r="E363" s="143"/>
      <c r="H363" s="2"/>
      <c r="I363" s="30"/>
    </row>
    <row r="364" spans="4:9">
      <c r="D364" s="47"/>
      <c r="E364" s="143"/>
      <c r="H364" s="2"/>
      <c r="I364" s="30"/>
    </row>
    <row r="365" spans="4:9">
      <c r="D365" s="47"/>
      <c r="E365" s="143"/>
      <c r="H365" s="2"/>
      <c r="I365" s="30"/>
    </row>
    <row r="366" spans="4:9">
      <c r="D366" s="47"/>
      <c r="E366" s="143"/>
      <c r="H366" s="2"/>
      <c r="I366" s="30"/>
    </row>
    <row r="367" spans="4:9">
      <c r="D367" s="47"/>
      <c r="E367" s="143"/>
      <c r="H367" s="2"/>
      <c r="I367" s="30"/>
    </row>
    <row r="368" spans="4:9">
      <c r="D368" s="47"/>
      <c r="E368" s="143"/>
      <c r="H368" s="2"/>
      <c r="I368" s="30"/>
    </row>
    <row r="369" spans="4:9">
      <c r="D369" s="47"/>
      <c r="E369" s="143"/>
      <c r="H369" s="2"/>
      <c r="I369" s="30"/>
    </row>
    <row r="370" spans="4:9">
      <c r="D370" s="47"/>
      <c r="E370" s="143"/>
      <c r="H370" s="2"/>
      <c r="I370" s="30"/>
    </row>
    <row r="371" spans="4:9">
      <c r="D371" s="47"/>
      <c r="E371" s="143"/>
      <c r="H371" s="2"/>
      <c r="I371" s="30"/>
    </row>
    <row r="372" spans="4:9">
      <c r="D372" s="47"/>
      <c r="E372" s="143"/>
      <c r="H372" s="2"/>
      <c r="I372" s="30"/>
    </row>
    <row r="373" spans="4:9">
      <c r="D373" s="47"/>
      <c r="E373" s="143"/>
      <c r="H373" s="2"/>
      <c r="I373" s="30"/>
    </row>
    <row r="374" spans="4:9">
      <c r="D374" s="47"/>
      <c r="E374" s="143"/>
      <c r="H374" s="2"/>
      <c r="I374" s="30"/>
    </row>
    <row r="375" spans="4:9">
      <c r="D375" s="47"/>
      <c r="E375" s="143"/>
      <c r="H375" s="2"/>
      <c r="I375" s="30"/>
    </row>
    <row r="376" spans="4:9">
      <c r="D376" s="47"/>
      <c r="E376" s="143"/>
      <c r="H376" s="2"/>
      <c r="I376" s="30"/>
    </row>
    <row r="377" spans="4:9">
      <c r="D377" s="47"/>
      <c r="E377" s="143"/>
      <c r="H377" s="2"/>
      <c r="I377" s="30"/>
    </row>
    <row r="378" spans="4:9">
      <c r="D378" s="47"/>
      <c r="E378" s="143"/>
      <c r="H378" s="2"/>
      <c r="I378" s="30"/>
    </row>
    <row r="379" spans="4:9">
      <c r="D379" s="47"/>
      <c r="E379" s="143"/>
      <c r="H379" s="2"/>
      <c r="I379" s="30"/>
    </row>
    <row r="380" spans="4:9">
      <c r="D380" s="47"/>
      <c r="E380" s="143"/>
      <c r="H380" s="2"/>
      <c r="I380" s="30"/>
    </row>
    <row r="381" spans="4:9">
      <c r="D381" s="47"/>
      <c r="E381" s="143"/>
      <c r="H381" s="2"/>
      <c r="I381" s="30"/>
    </row>
    <row r="382" spans="4:9">
      <c r="D382" s="47"/>
      <c r="E382" s="143"/>
      <c r="H382" s="2"/>
      <c r="I382" s="30"/>
    </row>
    <row r="383" spans="4:9">
      <c r="D383" s="47"/>
      <c r="E383" s="143"/>
      <c r="H383" s="2"/>
      <c r="I383" s="30"/>
    </row>
    <row r="384" spans="4:9">
      <c r="D384" s="47"/>
      <c r="E384" s="143"/>
      <c r="H384" s="2"/>
      <c r="I384" s="30"/>
    </row>
    <row r="385" spans="4:9">
      <c r="D385" s="47"/>
      <c r="E385" s="143"/>
      <c r="H385" s="2"/>
      <c r="I385" s="30"/>
    </row>
    <row r="386" spans="4:9">
      <c r="D386" s="47"/>
      <c r="E386" s="143"/>
      <c r="H386" s="2"/>
      <c r="I386" s="30"/>
    </row>
    <row r="387" spans="4:9">
      <c r="D387" s="47"/>
      <c r="E387" s="143"/>
      <c r="H387" s="2"/>
      <c r="I387" s="30"/>
    </row>
    <row r="388" spans="4:9">
      <c r="D388" s="47"/>
      <c r="E388" s="143"/>
      <c r="H388" s="2"/>
      <c r="I388" s="30"/>
    </row>
    <row r="389" spans="4:9">
      <c r="D389" s="47"/>
      <c r="E389" s="143"/>
      <c r="H389" s="2"/>
      <c r="I389" s="30"/>
    </row>
    <row r="390" spans="4:9">
      <c r="D390" s="47"/>
      <c r="E390" s="143"/>
      <c r="H390" s="2"/>
      <c r="I390" s="30"/>
    </row>
    <row r="391" spans="4:9">
      <c r="D391" s="47"/>
      <c r="E391" s="143"/>
      <c r="H391" s="2"/>
      <c r="I391" s="30"/>
    </row>
    <row r="392" spans="4:9">
      <c r="D392" s="47"/>
      <c r="E392" s="143"/>
      <c r="H392" s="2"/>
      <c r="I392" s="30"/>
    </row>
    <row r="393" spans="4:9">
      <c r="D393" s="47"/>
      <c r="E393" s="143"/>
      <c r="H393" s="2"/>
      <c r="I393" s="30"/>
    </row>
    <row r="394" spans="4:9">
      <c r="D394" s="47"/>
      <c r="E394" s="143"/>
      <c r="H394" s="2"/>
      <c r="I394" s="30"/>
    </row>
    <row r="395" spans="4:9">
      <c r="D395" s="47"/>
      <c r="E395" s="143"/>
      <c r="H395" s="2"/>
      <c r="I395" s="30"/>
    </row>
    <row r="396" spans="4:9">
      <c r="D396" s="47"/>
      <c r="E396" s="143"/>
      <c r="H396" s="2"/>
      <c r="I396" s="30"/>
    </row>
    <row r="397" spans="4:9">
      <c r="D397" s="47"/>
      <c r="E397" s="143"/>
      <c r="H397" s="2"/>
      <c r="I397" s="30"/>
    </row>
    <row r="398" spans="4:9">
      <c r="D398" s="47"/>
      <c r="E398" s="143"/>
      <c r="H398" s="2"/>
      <c r="I398" s="30"/>
    </row>
    <row r="399" spans="4:9">
      <c r="D399" s="47"/>
      <c r="E399" s="143"/>
      <c r="H399" s="2"/>
      <c r="I399" s="30"/>
    </row>
    <row r="400" spans="4:9">
      <c r="D400" s="47"/>
      <c r="E400" s="143"/>
      <c r="H400" s="2"/>
      <c r="I400" s="30"/>
    </row>
    <row r="401" spans="4:9">
      <c r="D401" s="47"/>
      <c r="E401" s="143"/>
      <c r="H401" s="2"/>
      <c r="I401" s="30"/>
    </row>
    <row r="402" spans="4:9">
      <c r="D402" s="47"/>
      <c r="E402" s="143"/>
      <c r="H402" s="2"/>
      <c r="I402" s="30"/>
    </row>
    <row r="403" spans="4:9">
      <c r="D403" s="47"/>
      <c r="E403" s="143"/>
      <c r="H403" s="2"/>
      <c r="I403" s="30"/>
    </row>
    <row r="404" spans="4:9">
      <c r="D404" s="47"/>
      <c r="E404" s="143"/>
      <c r="H404" s="2"/>
      <c r="I404" s="30"/>
    </row>
    <row r="405" spans="4:9">
      <c r="D405" s="47"/>
      <c r="E405" s="143"/>
      <c r="H405" s="2"/>
      <c r="I405" s="30"/>
    </row>
    <row r="406" spans="4:9">
      <c r="D406" s="47"/>
      <c r="E406" s="143"/>
      <c r="H406" s="2"/>
      <c r="I406" s="30"/>
    </row>
    <row r="407" spans="4:9">
      <c r="D407" s="47"/>
      <c r="E407" s="143"/>
      <c r="H407" s="2"/>
      <c r="I407" s="30"/>
    </row>
    <row r="408" spans="4:9">
      <c r="D408" s="47"/>
      <c r="E408" s="143"/>
      <c r="H408" s="2"/>
      <c r="I408" s="30"/>
    </row>
    <row r="409" spans="4:9">
      <c r="D409" s="47"/>
      <c r="E409" s="143"/>
      <c r="H409" s="2"/>
      <c r="I409" s="30"/>
    </row>
    <row r="410" spans="4:9">
      <c r="D410" s="47"/>
      <c r="E410" s="143"/>
      <c r="H410" s="2"/>
      <c r="I410" s="30"/>
    </row>
    <row r="411" spans="4:9">
      <c r="D411" s="47"/>
      <c r="E411" s="143"/>
      <c r="H411" s="2"/>
      <c r="I411" s="30"/>
    </row>
    <row r="412" spans="4:9">
      <c r="D412" s="47"/>
      <c r="E412" s="143"/>
      <c r="H412" s="2"/>
      <c r="I412" s="30"/>
    </row>
    <row r="413" spans="4:9">
      <c r="D413" s="47"/>
      <c r="E413" s="143"/>
      <c r="H413" s="2"/>
      <c r="I413" s="30"/>
    </row>
    <row r="414" spans="4:9">
      <c r="D414" s="47"/>
      <c r="E414" s="143"/>
      <c r="H414" s="2"/>
      <c r="I414" s="30"/>
    </row>
    <row r="415" spans="4:9">
      <c r="D415" s="47"/>
      <c r="E415" s="143"/>
      <c r="H415" s="2"/>
      <c r="I415" s="30"/>
    </row>
    <row r="416" spans="4:9">
      <c r="D416" s="47"/>
      <c r="E416" s="143"/>
      <c r="H416" s="2"/>
      <c r="I416" s="30"/>
    </row>
    <row r="417" spans="4:9">
      <c r="D417" s="47"/>
      <c r="E417" s="143"/>
      <c r="H417" s="2"/>
      <c r="I417" s="30"/>
    </row>
    <row r="418" spans="4:9">
      <c r="D418" s="47"/>
      <c r="E418" s="143"/>
      <c r="H418" s="2"/>
      <c r="I418" s="30"/>
    </row>
    <row r="419" spans="4:9">
      <c r="D419" s="47"/>
      <c r="E419" s="143"/>
      <c r="H419" s="2"/>
      <c r="I419" s="30"/>
    </row>
    <row r="420" spans="4:9">
      <c r="D420" s="47"/>
      <c r="E420" s="143"/>
      <c r="H420" s="2"/>
      <c r="I420" s="30"/>
    </row>
    <row r="421" spans="4:9">
      <c r="D421" s="47"/>
      <c r="E421" s="143"/>
      <c r="H421" s="2"/>
      <c r="I421" s="30"/>
    </row>
    <row r="422" spans="4:9">
      <c r="D422" s="47"/>
      <c r="E422" s="143"/>
      <c r="H422" s="2"/>
      <c r="I422" s="30"/>
    </row>
    <row r="423" spans="4:9">
      <c r="D423" s="47"/>
      <c r="E423" s="143"/>
      <c r="H423" s="2"/>
      <c r="I423" s="30"/>
    </row>
    <row r="424" spans="4:9">
      <c r="D424" s="47"/>
      <c r="E424" s="143"/>
      <c r="H424" s="2"/>
      <c r="I424" s="30"/>
    </row>
    <row r="425" spans="4:9">
      <c r="D425" s="47"/>
      <c r="E425" s="143"/>
      <c r="H425" s="2"/>
      <c r="I425" s="30"/>
    </row>
    <row r="426" spans="4:9">
      <c r="D426" s="47"/>
      <c r="E426" s="143"/>
      <c r="H426" s="2"/>
      <c r="I426" s="30"/>
    </row>
    <row r="427" spans="4:9">
      <c r="D427" s="47"/>
      <c r="E427" s="143"/>
      <c r="H427" s="2"/>
      <c r="I427" s="30"/>
    </row>
    <row r="428" spans="4:9">
      <c r="D428" s="47"/>
      <c r="E428" s="143"/>
      <c r="H428" s="2"/>
      <c r="I428" s="30"/>
    </row>
    <row r="429" spans="4:9">
      <c r="D429" s="47"/>
      <c r="E429" s="143"/>
      <c r="H429" s="2"/>
      <c r="I429" s="30"/>
    </row>
    <row r="430" spans="4:9">
      <c r="D430" s="47"/>
      <c r="E430" s="143"/>
      <c r="H430" s="2"/>
      <c r="I430" s="30"/>
    </row>
    <row r="431" spans="4:9">
      <c r="D431" s="47"/>
      <c r="E431" s="143"/>
      <c r="H431" s="2"/>
      <c r="I431" s="30"/>
    </row>
    <row r="432" spans="4:9">
      <c r="D432" s="47"/>
      <c r="E432" s="143"/>
      <c r="H432" s="2"/>
      <c r="I432" s="30"/>
    </row>
    <row r="433" spans="4:9">
      <c r="D433" s="47"/>
      <c r="E433" s="143"/>
      <c r="H433" s="2"/>
      <c r="I433" s="30"/>
    </row>
    <row r="434" spans="4:9">
      <c r="D434" s="47"/>
      <c r="E434" s="143"/>
      <c r="H434" s="2"/>
      <c r="I434" s="30"/>
    </row>
    <row r="435" spans="4:9">
      <c r="D435" s="47"/>
      <c r="E435" s="143"/>
      <c r="H435" s="2"/>
      <c r="I435" s="30"/>
    </row>
    <row r="436" spans="4:9">
      <c r="D436" s="47"/>
      <c r="E436" s="143"/>
      <c r="H436" s="2"/>
      <c r="I436" s="30"/>
    </row>
    <row r="437" spans="4:9">
      <c r="D437" s="47"/>
      <c r="E437" s="143"/>
      <c r="H437" s="2"/>
      <c r="I437" s="30"/>
    </row>
    <row r="438" spans="4:9">
      <c r="D438" s="47"/>
      <c r="E438" s="143"/>
      <c r="H438" s="2"/>
      <c r="I438" s="30"/>
    </row>
    <row r="439" spans="4:9">
      <c r="D439" s="47"/>
      <c r="E439" s="143"/>
      <c r="H439" s="2"/>
      <c r="I439" s="30"/>
    </row>
    <row r="440" spans="4:9">
      <c r="D440" s="47"/>
      <c r="E440" s="143"/>
      <c r="H440" s="2"/>
      <c r="I440" s="30"/>
    </row>
    <row r="441" spans="4:9">
      <c r="D441" s="47"/>
      <c r="E441" s="143"/>
      <c r="H441" s="2"/>
      <c r="I441" s="30"/>
    </row>
    <row r="442" spans="4:9">
      <c r="D442" s="47"/>
      <c r="E442" s="143"/>
      <c r="H442" s="2"/>
      <c r="I442" s="30"/>
    </row>
    <row r="443" spans="4:9">
      <c r="D443" s="47"/>
      <c r="E443" s="143"/>
      <c r="H443" s="2"/>
      <c r="I443" s="30"/>
    </row>
    <row r="444" spans="4:9">
      <c r="D444" s="47"/>
      <c r="E444" s="143"/>
      <c r="H444" s="2"/>
      <c r="I444" s="30"/>
    </row>
    <row r="445" spans="4:9">
      <c r="D445" s="47"/>
      <c r="E445" s="143"/>
      <c r="H445" s="2"/>
      <c r="I445" s="30"/>
    </row>
    <row r="446" spans="4:9">
      <c r="D446" s="47"/>
      <c r="E446" s="143"/>
      <c r="H446" s="2"/>
      <c r="I446" s="30"/>
    </row>
    <row r="447" spans="4:9">
      <c r="D447" s="47"/>
      <c r="E447" s="143"/>
      <c r="H447" s="2"/>
      <c r="I447" s="30"/>
    </row>
    <row r="448" spans="4:9">
      <c r="D448" s="47"/>
      <c r="E448" s="143"/>
      <c r="H448" s="2"/>
      <c r="I448" s="30"/>
    </row>
    <row r="449" spans="4:9">
      <c r="D449" s="47"/>
      <c r="E449" s="143"/>
      <c r="H449" s="2"/>
      <c r="I449" s="30"/>
    </row>
    <row r="450" spans="4:9">
      <c r="D450" s="47"/>
      <c r="E450" s="143"/>
      <c r="H450" s="2"/>
      <c r="I450" s="30"/>
    </row>
    <row r="451" spans="4:9">
      <c r="D451" s="47"/>
      <c r="E451" s="143"/>
      <c r="H451" s="2"/>
      <c r="I451" s="30"/>
    </row>
    <row r="452" spans="4:9">
      <c r="D452" s="47"/>
      <c r="E452" s="143"/>
      <c r="H452" s="2"/>
      <c r="I452" s="30"/>
    </row>
    <row r="453" spans="4:9">
      <c r="D453" s="47"/>
      <c r="E453" s="143"/>
      <c r="H453" s="2"/>
      <c r="I453" s="30"/>
    </row>
    <row r="454" spans="4:9">
      <c r="D454" s="47"/>
      <c r="E454" s="143"/>
      <c r="H454" s="2"/>
      <c r="I454" s="30"/>
    </row>
    <row r="455" spans="4:9">
      <c r="D455" s="47"/>
      <c r="E455" s="143"/>
      <c r="H455" s="2"/>
      <c r="I455" s="30"/>
    </row>
    <row r="456" spans="4:9">
      <c r="D456" s="47"/>
      <c r="E456" s="143"/>
      <c r="H456" s="2"/>
      <c r="I456" s="30"/>
    </row>
    <row r="457" spans="4:9">
      <c r="D457" s="47"/>
      <c r="E457" s="143"/>
      <c r="H457" s="2"/>
      <c r="I457" s="30"/>
    </row>
    <row r="458" spans="4:9">
      <c r="D458" s="47"/>
      <c r="E458" s="143"/>
      <c r="H458" s="2"/>
      <c r="I458" s="30"/>
    </row>
    <row r="459" spans="4:9">
      <c r="D459" s="47"/>
      <c r="E459" s="143"/>
      <c r="H459" s="2"/>
      <c r="I459" s="30"/>
    </row>
    <row r="460" spans="4:9">
      <c r="D460" s="47"/>
      <c r="E460" s="143"/>
      <c r="H460" s="2"/>
      <c r="I460" s="30"/>
    </row>
    <row r="461" spans="4:9">
      <c r="D461" s="47"/>
      <c r="E461" s="143"/>
      <c r="H461" s="2"/>
      <c r="I461" s="30"/>
    </row>
    <row r="462" spans="4:9">
      <c r="D462" s="47"/>
      <c r="E462" s="143"/>
      <c r="H462" s="2"/>
      <c r="I462" s="30"/>
    </row>
    <row r="463" spans="4:9">
      <c r="D463" s="47"/>
      <c r="E463" s="143"/>
      <c r="H463" s="2"/>
      <c r="I463" s="30"/>
    </row>
    <row r="464" spans="4:9">
      <c r="D464" s="47"/>
      <c r="E464" s="143"/>
      <c r="H464" s="2"/>
      <c r="I464" s="30"/>
    </row>
    <row r="465" spans="4:9">
      <c r="D465" s="47"/>
      <c r="E465" s="143"/>
      <c r="H465" s="2"/>
      <c r="I465" s="30"/>
    </row>
    <row r="466" spans="4:9">
      <c r="D466" s="47"/>
      <c r="E466" s="143"/>
      <c r="H466" s="2"/>
      <c r="I466" s="30"/>
    </row>
    <row r="467" spans="4:9">
      <c r="D467" s="47"/>
      <c r="E467" s="143"/>
      <c r="H467" s="2"/>
      <c r="I467" s="30"/>
    </row>
    <row r="468" spans="4:9">
      <c r="D468" s="47"/>
      <c r="E468" s="143"/>
      <c r="H468" s="2"/>
      <c r="I468" s="30"/>
    </row>
    <row r="469" spans="4:9">
      <c r="D469" s="47"/>
      <c r="E469" s="143"/>
      <c r="H469" s="2"/>
      <c r="I469" s="30"/>
    </row>
    <row r="470" spans="4:9">
      <c r="D470" s="47"/>
      <c r="E470" s="143"/>
      <c r="H470" s="2"/>
      <c r="I470" s="30"/>
    </row>
    <row r="471" spans="4:9">
      <c r="D471" s="47"/>
      <c r="E471" s="143"/>
      <c r="H471" s="2"/>
      <c r="I471" s="30"/>
    </row>
    <row r="472" spans="4:9">
      <c r="D472" s="47"/>
      <c r="E472" s="143"/>
      <c r="H472" s="2"/>
      <c r="I472" s="30"/>
    </row>
    <row r="473" spans="4:9">
      <c r="D473" s="47"/>
      <c r="E473" s="143"/>
      <c r="H473" s="2"/>
      <c r="I473" s="30"/>
    </row>
    <row r="474" spans="4:9">
      <c r="D474" s="47"/>
      <c r="E474" s="143"/>
      <c r="H474" s="2"/>
      <c r="I474" s="30"/>
    </row>
    <row r="475" spans="4:9">
      <c r="D475" s="47"/>
      <c r="E475" s="143"/>
      <c r="H475" s="2"/>
      <c r="I475" s="30"/>
    </row>
    <row r="476" spans="4:9">
      <c r="D476" s="47"/>
      <c r="E476" s="143"/>
      <c r="H476" s="2"/>
      <c r="I476" s="30"/>
    </row>
    <row r="477" spans="4:9">
      <c r="D477" s="47"/>
      <c r="E477" s="143"/>
      <c r="H477" s="2"/>
      <c r="I477" s="30"/>
    </row>
    <row r="478" spans="4:9">
      <c r="D478" s="47"/>
      <c r="E478" s="143"/>
      <c r="H478" s="2"/>
      <c r="I478" s="30"/>
    </row>
    <row r="479" spans="4:9">
      <c r="D479" s="47"/>
      <c r="E479" s="143"/>
      <c r="H479" s="2"/>
      <c r="I479" s="30"/>
    </row>
    <row r="480" spans="4:9">
      <c r="D480" s="47"/>
      <c r="E480" s="143"/>
      <c r="H480" s="2"/>
      <c r="I480" s="30"/>
    </row>
    <row r="481" spans="4:9">
      <c r="D481" s="47"/>
      <c r="E481" s="143"/>
      <c r="H481" s="2"/>
      <c r="I481" s="30"/>
    </row>
    <row r="482" spans="4:9">
      <c r="D482" s="47"/>
      <c r="E482" s="143"/>
      <c r="H482" s="2"/>
      <c r="I482" s="30"/>
    </row>
    <row r="483" spans="4:9">
      <c r="D483" s="47"/>
      <c r="E483" s="143"/>
      <c r="H483" s="2"/>
      <c r="I483" s="30"/>
    </row>
    <row r="484" spans="4:9">
      <c r="D484" s="47"/>
      <c r="E484" s="143"/>
      <c r="H484" s="2"/>
      <c r="I484" s="30"/>
    </row>
    <row r="485" spans="4:9">
      <c r="D485" s="47"/>
      <c r="E485" s="143"/>
      <c r="H485" s="2"/>
      <c r="I485" s="30"/>
    </row>
    <row r="486" spans="4:9">
      <c r="D486" s="47"/>
      <c r="E486" s="143"/>
      <c r="H486" s="2"/>
      <c r="I486" s="30"/>
    </row>
    <row r="487" spans="4:9">
      <c r="D487" s="47"/>
      <c r="E487" s="143"/>
      <c r="H487" s="2"/>
      <c r="I487" s="30"/>
    </row>
    <row r="488" spans="4:9">
      <c r="D488" s="47"/>
      <c r="E488" s="143"/>
      <c r="H488" s="2"/>
      <c r="I488" s="30"/>
    </row>
    <row r="489" spans="4:9">
      <c r="D489" s="47"/>
      <c r="E489" s="143"/>
      <c r="H489" s="2"/>
      <c r="I489" s="30"/>
    </row>
    <row r="490" spans="4:9">
      <c r="D490" s="47"/>
      <c r="E490" s="143"/>
      <c r="H490" s="2"/>
      <c r="I490" s="30"/>
    </row>
    <row r="491" spans="4:9">
      <c r="D491" s="47"/>
      <c r="E491" s="143"/>
      <c r="H491" s="2"/>
      <c r="I491" s="30"/>
    </row>
    <row r="492" spans="4:9">
      <c r="D492" s="47"/>
      <c r="E492" s="143"/>
      <c r="H492" s="2"/>
      <c r="I492" s="30"/>
    </row>
    <row r="493" spans="4:9">
      <c r="D493" s="47"/>
      <c r="E493" s="143"/>
      <c r="H493" s="2"/>
      <c r="I493" s="30"/>
    </row>
    <row r="494" spans="4:9">
      <c r="D494" s="47"/>
      <c r="E494" s="143"/>
      <c r="H494" s="2"/>
      <c r="I494" s="30"/>
    </row>
    <row r="495" spans="4:9">
      <c r="D495" s="47"/>
      <c r="E495" s="143"/>
      <c r="H495" s="2"/>
      <c r="I495" s="30"/>
    </row>
    <row r="496" spans="4:9">
      <c r="D496" s="47"/>
      <c r="E496" s="143"/>
      <c r="H496" s="2"/>
      <c r="I496" s="30"/>
    </row>
    <row r="497" spans="4:9">
      <c r="D497" s="47"/>
      <c r="E497" s="143"/>
      <c r="H497" s="2"/>
      <c r="I497" s="30"/>
    </row>
    <row r="498" spans="4:9">
      <c r="D498" s="47"/>
      <c r="E498" s="143"/>
      <c r="H498" s="2"/>
      <c r="I498" s="30"/>
    </row>
    <row r="499" spans="4:9">
      <c r="D499" s="47"/>
      <c r="E499" s="143"/>
      <c r="H499" s="2"/>
      <c r="I499" s="30"/>
    </row>
    <row r="500" spans="4:9">
      <c r="D500" s="47"/>
      <c r="E500" s="143"/>
      <c r="H500" s="2"/>
      <c r="I500" s="30"/>
    </row>
    <row r="501" spans="4:9">
      <c r="D501" s="47"/>
      <c r="E501" s="143"/>
      <c r="H501" s="2"/>
      <c r="I501" s="30"/>
    </row>
    <row r="502" spans="4:9">
      <c r="D502" s="47"/>
      <c r="E502" s="143"/>
      <c r="H502" s="2"/>
      <c r="I502" s="30"/>
    </row>
    <row r="503" spans="4:9">
      <c r="D503" s="47"/>
      <c r="E503" s="143"/>
      <c r="H503" s="2"/>
      <c r="I503" s="30"/>
    </row>
    <row r="504" spans="4:9">
      <c r="D504" s="47"/>
      <c r="E504" s="143"/>
      <c r="H504" s="2"/>
      <c r="I504" s="30"/>
    </row>
    <row r="505" spans="4:9">
      <c r="D505" s="47"/>
      <c r="E505" s="143"/>
      <c r="H505" s="2"/>
      <c r="I505" s="30"/>
    </row>
    <row r="506" spans="4:9">
      <c r="D506" s="47"/>
      <c r="E506" s="143"/>
      <c r="H506" s="2"/>
      <c r="I506" s="30"/>
    </row>
    <row r="507" spans="4:9">
      <c r="D507" s="47"/>
      <c r="E507" s="143"/>
      <c r="H507" s="2"/>
      <c r="I507" s="30"/>
    </row>
    <row r="508" spans="4:9">
      <c r="D508" s="47"/>
      <c r="E508" s="143"/>
      <c r="H508" s="2"/>
      <c r="I508" s="30"/>
    </row>
    <row r="509" spans="4:9">
      <c r="D509" s="47"/>
      <c r="E509" s="143"/>
      <c r="H509" s="2"/>
      <c r="I509" s="30"/>
    </row>
    <row r="510" spans="4:9">
      <c r="D510" s="47"/>
      <c r="E510" s="143"/>
      <c r="H510" s="2"/>
      <c r="I510" s="30"/>
    </row>
    <row r="511" spans="4:9">
      <c r="D511" s="47"/>
      <c r="E511" s="143"/>
      <c r="H511" s="2"/>
      <c r="I511" s="30"/>
    </row>
    <row r="512" spans="4:9">
      <c r="D512" s="47"/>
      <c r="E512" s="143"/>
      <c r="H512" s="2"/>
      <c r="I512" s="30"/>
    </row>
    <row r="513" spans="4:9">
      <c r="D513" s="47"/>
      <c r="E513" s="143"/>
      <c r="H513" s="2"/>
      <c r="I513" s="30"/>
    </row>
    <row r="514" spans="4:9">
      <c r="D514" s="47"/>
      <c r="E514" s="143"/>
      <c r="H514" s="2"/>
      <c r="I514" s="30"/>
    </row>
    <row r="515" spans="4:9">
      <c r="D515" s="47"/>
      <c r="E515" s="143"/>
      <c r="H515" s="2"/>
      <c r="I515" s="30"/>
    </row>
    <row r="516" spans="4:9">
      <c r="D516" s="47"/>
      <c r="E516" s="143"/>
      <c r="H516" s="2"/>
      <c r="I516" s="30"/>
    </row>
    <row r="517" spans="4:9">
      <c r="D517" s="47"/>
      <c r="E517" s="143"/>
      <c r="H517" s="2"/>
      <c r="I517" s="30"/>
    </row>
    <row r="518" spans="4:9">
      <c r="D518" s="47"/>
      <c r="E518" s="143"/>
      <c r="H518" s="2"/>
      <c r="I518" s="30"/>
    </row>
    <row r="519" spans="4:9">
      <c r="D519" s="47"/>
      <c r="E519" s="143"/>
      <c r="H519" s="2"/>
      <c r="I519" s="30"/>
    </row>
    <row r="520" spans="4:9">
      <c r="D520" s="47"/>
      <c r="E520" s="143"/>
      <c r="H520" s="2"/>
      <c r="I520" s="30"/>
    </row>
    <row r="521" spans="4:9">
      <c r="D521" s="47"/>
      <c r="E521" s="143"/>
      <c r="H521" s="2"/>
      <c r="I521" s="30"/>
    </row>
    <row r="522" spans="4:9">
      <c r="D522" s="47"/>
      <c r="E522" s="143"/>
      <c r="H522" s="2"/>
      <c r="I522" s="30"/>
    </row>
    <row r="523" spans="4:9">
      <c r="D523" s="47"/>
      <c r="E523" s="143"/>
      <c r="H523" s="2"/>
      <c r="I523" s="30"/>
    </row>
    <row r="524" spans="4:9">
      <c r="D524" s="47"/>
      <c r="E524" s="143"/>
      <c r="H524" s="2"/>
      <c r="I524" s="30"/>
    </row>
    <row r="525" spans="4:9">
      <c r="D525" s="47"/>
      <c r="E525" s="143"/>
      <c r="H525" s="2"/>
      <c r="I525" s="30"/>
    </row>
    <row r="526" spans="4:9">
      <c r="D526" s="47"/>
      <c r="E526" s="143"/>
      <c r="H526" s="2"/>
      <c r="I526" s="30"/>
    </row>
    <row r="527" spans="4:9">
      <c r="D527" s="47"/>
      <c r="E527" s="143"/>
      <c r="H527" s="2"/>
      <c r="I527" s="30"/>
    </row>
    <row r="528" spans="4:9">
      <c r="D528" s="47"/>
      <c r="E528" s="143"/>
      <c r="H528" s="2"/>
      <c r="I528" s="30"/>
    </row>
    <row r="529" spans="4:9">
      <c r="D529" s="47"/>
      <c r="E529" s="143"/>
      <c r="H529" s="2"/>
      <c r="I529" s="30"/>
    </row>
    <row r="530" spans="4:9">
      <c r="D530" s="47"/>
      <c r="E530" s="143"/>
      <c r="H530" s="2"/>
      <c r="I530" s="30"/>
    </row>
    <row r="531" spans="4:9">
      <c r="D531" s="47"/>
      <c r="E531" s="143"/>
      <c r="H531" s="2"/>
      <c r="I531" s="30"/>
    </row>
    <row r="532" spans="4:9">
      <c r="D532" s="47"/>
      <c r="E532" s="143"/>
      <c r="H532" s="2"/>
      <c r="I532" s="30"/>
    </row>
    <row r="533" spans="4:9">
      <c r="D533" s="47"/>
      <c r="E533" s="143"/>
      <c r="H533" s="2"/>
      <c r="I533" s="30"/>
    </row>
    <row r="534" spans="4:9">
      <c r="D534" s="47"/>
      <c r="E534" s="143"/>
      <c r="H534" s="2"/>
      <c r="I534" s="30"/>
    </row>
    <row r="535" spans="4:9">
      <c r="D535" s="47"/>
      <c r="E535" s="143"/>
      <c r="H535" s="2"/>
      <c r="I535" s="30"/>
    </row>
    <row r="536" spans="4:9">
      <c r="D536" s="47"/>
      <c r="E536" s="143"/>
      <c r="H536" s="2"/>
      <c r="I536" s="30"/>
    </row>
    <row r="537" spans="4:9">
      <c r="D537" s="47"/>
      <c r="E537" s="143"/>
      <c r="H537" s="2"/>
      <c r="I537" s="30"/>
    </row>
    <row r="538" spans="4:9">
      <c r="D538" s="47"/>
      <c r="E538" s="143"/>
      <c r="H538" s="2"/>
      <c r="I538" s="30"/>
    </row>
    <row r="539" spans="4:9">
      <c r="D539" s="47"/>
      <c r="E539" s="143"/>
      <c r="H539" s="2"/>
      <c r="I539" s="30"/>
    </row>
    <row r="540" spans="4:9">
      <c r="D540" s="47"/>
      <c r="E540" s="143"/>
      <c r="H540" s="2"/>
      <c r="I540" s="30"/>
    </row>
    <row r="541" spans="4:9">
      <c r="D541" s="47"/>
      <c r="E541" s="143"/>
      <c r="H541" s="2"/>
      <c r="I541" s="30"/>
    </row>
    <row r="542" spans="4:9">
      <c r="D542" s="47"/>
      <c r="E542" s="143"/>
      <c r="H542" s="2"/>
      <c r="I542" s="30"/>
    </row>
    <row r="543" spans="4:9">
      <c r="D543" s="47"/>
      <c r="E543" s="143"/>
      <c r="H543" s="2"/>
      <c r="I543" s="30"/>
    </row>
    <row r="544" spans="4:9">
      <c r="D544" s="47"/>
      <c r="E544" s="143"/>
      <c r="H544" s="2"/>
      <c r="I544" s="30"/>
    </row>
    <row r="545" spans="4:9">
      <c r="D545" s="47"/>
      <c r="E545" s="143"/>
      <c r="H545" s="2"/>
      <c r="I545" s="30"/>
    </row>
    <row r="546" spans="4:9">
      <c r="D546" s="47"/>
      <c r="E546" s="143"/>
      <c r="H546" s="2"/>
      <c r="I546" s="30"/>
    </row>
    <row r="547" spans="4:9">
      <c r="D547" s="47"/>
      <c r="E547" s="143"/>
      <c r="H547" s="2"/>
      <c r="I547" s="30"/>
    </row>
    <row r="548" spans="4:9">
      <c r="D548" s="47"/>
      <c r="E548" s="143"/>
      <c r="H548" s="2"/>
      <c r="I548" s="30"/>
    </row>
    <row r="549" spans="4:9">
      <c r="D549" s="47"/>
      <c r="E549" s="143"/>
      <c r="H549" s="2"/>
      <c r="I549" s="30"/>
    </row>
    <row r="550" spans="4:9">
      <c r="D550" s="47"/>
      <c r="E550" s="143"/>
      <c r="H550" s="2"/>
      <c r="I550" s="30"/>
    </row>
    <row r="551" spans="4:9">
      <c r="D551" s="47"/>
      <c r="E551" s="143"/>
      <c r="H551" s="2"/>
      <c r="I551" s="30"/>
    </row>
    <row r="552" spans="4:9">
      <c r="D552" s="47"/>
      <c r="E552" s="143"/>
      <c r="H552" s="2"/>
      <c r="I552" s="30"/>
    </row>
    <row r="553" spans="4:9">
      <c r="D553" s="47"/>
      <c r="E553" s="143"/>
      <c r="H553" s="2"/>
      <c r="I553" s="30"/>
    </row>
    <row r="554" spans="4:9">
      <c r="D554" s="47"/>
      <c r="E554" s="143"/>
      <c r="H554" s="2"/>
      <c r="I554" s="30"/>
    </row>
    <row r="555" spans="4:9">
      <c r="D555" s="47"/>
      <c r="E555" s="143"/>
      <c r="H555" s="2"/>
      <c r="I555" s="30"/>
    </row>
    <row r="556" spans="4:9">
      <c r="D556" s="47"/>
      <c r="E556" s="143"/>
      <c r="H556" s="2"/>
      <c r="I556" s="30"/>
    </row>
    <row r="557" spans="4:9">
      <c r="D557" s="47"/>
      <c r="E557" s="143"/>
      <c r="H557" s="2"/>
      <c r="I557" s="30"/>
    </row>
    <row r="558" spans="4:9">
      <c r="D558" s="47"/>
      <c r="E558" s="143"/>
      <c r="H558" s="2"/>
      <c r="I558" s="30"/>
    </row>
    <row r="559" spans="4:9">
      <c r="D559" s="47"/>
      <c r="E559" s="143"/>
      <c r="H559" s="2"/>
      <c r="I559" s="30"/>
    </row>
    <row r="560" spans="4:9">
      <c r="D560" s="47"/>
      <c r="E560" s="143"/>
      <c r="H560" s="2"/>
      <c r="I560" s="30"/>
    </row>
    <row r="561" spans="4:9">
      <c r="D561" s="47"/>
      <c r="E561" s="143"/>
      <c r="H561" s="2"/>
      <c r="I561" s="30"/>
    </row>
    <row r="562" spans="4:9">
      <c r="D562" s="47"/>
      <c r="E562" s="143"/>
      <c r="H562" s="2"/>
      <c r="I562" s="30"/>
    </row>
    <row r="563" spans="4:9">
      <c r="D563" s="47"/>
      <c r="E563" s="143"/>
      <c r="H563" s="2"/>
      <c r="I563" s="30"/>
    </row>
    <row r="564" spans="4:9">
      <c r="D564" s="47"/>
      <c r="E564" s="143"/>
      <c r="H564" s="2"/>
      <c r="I564" s="30"/>
    </row>
    <row r="565" spans="4:9">
      <c r="D565" s="47"/>
      <c r="E565" s="143"/>
      <c r="H565" s="2"/>
      <c r="I565" s="30"/>
    </row>
    <row r="566" spans="4:9">
      <c r="D566" s="47"/>
      <c r="E566" s="143"/>
      <c r="H566" s="2"/>
      <c r="I566" s="30"/>
    </row>
    <row r="567" spans="4:9">
      <c r="D567" s="47"/>
      <c r="E567" s="143"/>
      <c r="H567" s="2"/>
      <c r="I567" s="30"/>
    </row>
    <row r="568" spans="4:9">
      <c r="D568" s="47"/>
      <c r="E568" s="143"/>
      <c r="H568" s="2"/>
      <c r="I568" s="30"/>
    </row>
    <row r="569" spans="4:9">
      <c r="D569" s="47"/>
      <c r="E569" s="143"/>
      <c r="H569" s="2"/>
      <c r="I569" s="30"/>
    </row>
    <row r="570" spans="4:9">
      <c r="D570" s="47"/>
      <c r="E570" s="143"/>
      <c r="H570" s="2"/>
      <c r="I570" s="30"/>
    </row>
    <row r="571" spans="4:9">
      <c r="D571" s="47"/>
      <c r="E571" s="143"/>
      <c r="H571" s="2"/>
      <c r="I571" s="30"/>
    </row>
    <row r="572" spans="4:9">
      <c r="D572" s="47"/>
      <c r="E572" s="143"/>
      <c r="H572" s="2"/>
      <c r="I572" s="30"/>
    </row>
    <row r="573" spans="4:9">
      <c r="D573" s="47"/>
      <c r="E573" s="143"/>
      <c r="H573" s="2"/>
      <c r="I573" s="30"/>
    </row>
    <row r="574" spans="4:9">
      <c r="D574" s="47"/>
      <c r="E574" s="143"/>
      <c r="H574" s="2"/>
      <c r="I574" s="30"/>
    </row>
    <row r="575" spans="4:9">
      <c r="D575" s="47"/>
      <c r="E575" s="143"/>
      <c r="H575" s="2"/>
      <c r="I575" s="30"/>
    </row>
    <row r="576" spans="4:9">
      <c r="D576" s="47"/>
      <c r="E576" s="143"/>
      <c r="H576" s="2"/>
      <c r="I576" s="30"/>
    </row>
    <row r="577" spans="4:9">
      <c r="D577" s="47"/>
      <c r="E577" s="143"/>
      <c r="H577" s="2"/>
      <c r="I577" s="30"/>
    </row>
    <row r="578" spans="4:9">
      <c r="D578" s="47"/>
      <c r="E578" s="143"/>
      <c r="H578" s="2"/>
      <c r="I578" s="30"/>
    </row>
    <row r="579" spans="4:9">
      <c r="D579" s="47"/>
      <c r="E579" s="143"/>
      <c r="H579" s="2"/>
      <c r="I579" s="30"/>
    </row>
    <row r="580" spans="4:9">
      <c r="D580" s="47"/>
      <c r="E580" s="143"/>
      <c r="H580" s="2"/>
      <c r="I580" s="30"/>
    </row>
    <row r="581" spans="4:9">
      <c r="D581" s="47"/>
      <c r="E581" s="143"/>
      <c r="H581" s="2"/>
      <c r="I581" s="30"/>
    </row>
    <row r="582" spans="4:9">
      <c r="D582" s="47"/>
      <c r="E582" s="143"/>
      <c r="H582" s="2"/>
      <c r="I582" s="30"/>
    </row>
    <row r="583" spans="4:9">
      <c r="D583" s="47"/>
      <c r="E583" s="143"/>
      <c r="H583" s="2"/>
      <c r="I583" s="30"/>
    </row>
    <row r="584" spans="4:9">
      <c r="D584" s="47"/>
      <c r="E584" s="143"/>
      <c r="H584" s="2"/>
      <c r="I584" s="30"/>
    </row>
    <row r="585" spans="4:9">
      <c r="D585" s="47"/>
      <c r="E585" s="143"/>
      <c r="H585" s="2"/>
      <c r="I585" s="30"/>
    </row>
    <row r="586" spans="4:9">
      <c r="D586" s="47"/>
      <c r="E586" s="143"/>
      <c r="H586" s="2"/>
      <c r="I586" s="30"/>
    </row>
    <row r="587" spans="4:9">
      <c r="D587" s="47"/>
      <c r="E587" s="143"/>
      <c r="H587" s="2"/>
      <c r="I587" s="30"/>
    </row>
    <row r="588" spans="4:9">
      <c r="D588" s="47"/>
      <c r="E588" s="143"/>
      <c r="H588" s="2"/>
      <c r="I588" s="30"/>
    </row>
    <row r="589" spans="4:9">
      <c r="D589" s="47"/>
      <c r="E589" s="143"/>
      <c r="H589" s="2"/>
      <c r="I589" s="30"/>
    </row>
    <row r="590" spans="4:9">
      <c r="D590" s="47"/>
      <c r="E590" s="143"/>
      <c r="H590" s="2"/>
      <c r="I590" s="30"/>
    </row>
    <row r="591" spans="4:9">
      <c r="D591" s="47"/>
      <c r="E591" s="143"/>
      <c r="H591" s="2"/>
      <c r="I591" s="30"/>
    </row>
    <row r="592" spans="4:9">
      <c r="D592" s="47"/>
      <c r="E592" s="143"/>
      <c r="H592" s="2"/>
      <c r="I592" s="30"/>
    </row>
    <row r="593" spans="4:9">
      <c r="D593" s="47"/>
      <c r="E593" s="143"/>
      <c r="H593" s="2"/>
      <c r="I593" s="30"/>
    </row>
    <row r="594" spans="4:9">
      <c r="D594" s="47"/>
      <c r="E594" s="143"/>
      <c r="H594" s="2"/>
      <c r="I594" s="30"/>
    </row>
    <row r="595" spans="4:9">
      <c r="D595" s="47"/>
      <c r="E595" s="143"/>
      <c r="H595" s="2"/>
      <c r="I595" s="30"/>
    </row>
    <row r="596" spans="4:9">
      <c r="D596" s="47"/>
      <c r="E596" s="143"/>
      <c r="H596" s="2"/>
      <c r="I596" s="30"/>
    </row>
    <row r="597" spans="4:9">
      <c r="D597" s="47"/>
      <c r="E597" s="143"/>
      <c r="H597" s="2"/>
      <c r="I597" s="30"/>
    </row>
    <row r="598" spans="4:9">
      <c r="D598" s="47"/>
      <c r="E598" s="143"/>
      <c r="H598" s="2"/>
      <c r="I598" s="30"/>
    </row>
    <row r="599" spans="4:9">
      <c r="D599" s="47"/>
      <c r="E599" s="143"/>
      <c r="H599" s="2"/>
      <c r="I599" s="30"/>
    </row>
    <row r="600" spans="4:9">
      <c r="D600" s="47"/>
      <c r="E600" s="143"/>
      <c r="H600" s="2"/>
      <c r="I600" s="30"/>
    </row>
    <row r="601" spans="4:9">
      <c r="D601" s="47"/>
      <c r="E601" s="143"/>
      <c r="H601" s="2"/>
      <c r="I601" s="30"/>
    </row>
    <row r="602" spans="4:9">
      <c r="D602" s="47"/>
      <c r="E602" s="143"/>
      <c r="H602" s="2"/>
      <c r="I602" s="30"/>
    </row>
    <row r="603" spans="4:9">
      <c r="D603" s="47"/>
      <c r="E603" s="143"/>
      <c r="H603" s="2"/>
      <c r="I603" s="30"/>
    </row>
    <row r="604" spans="4:9">
      <c r="D604" s="47"/>
      <c r="E604" s="143"/>
      <c r="H604" s="2"/>
      <c r="I604" s="30"/>
    </row>
    <row r="605" spans="4:9">
      <c r="D605" s="47"/>
      <c r="E605" s="143"/>
      <c r="H605" s="2"/>
      <c r="I605" s="30"/>
    </row>
    <row r="606" spans="4:9">
      <c r="D606" s="47"/>
      <c r="E606" s="143"/>
      <c r="H606" s="2"/>
      <c r="I606" s="30"/>
    </row>
    <row r="607" spans="4:9">
      <c r="D607" s="47"/>
      <c r="E607" s="143"/>
      <c r="H607" s="2"/>
      <c r="I607" s="30"/>
    </row>
    <row r="608" spans="4:9">
      <c r="D608" s="47"/>
      <c r="E608" s="143"/>
      <c r="H608" s="2"/>
      <c r="I608" s="30"/>
    </row>
    <row r="609" spans="4:9">
      <c r="D609" s="47"/>
      <c r="E609" s="143"/>
      <c r="H609" s="2"/>
      <c r="I609" s="30"/>
    </row>
    <row r="610" spans="4:9">
      <c r="D610" s="47"/>
      <c r="E610" s="143"/>
      <c r="H610" s="2"/>
      <c r="I610" s="30"/>
    </row>
    <row r="611" spans="4:9">
      <c r="D611" s="47"/>
      <c r="E611" s="143"/>
      <c r="H611" s="2"/>
      <c r="I611" s="30"/>
    </row>
    <row r="612" spans="4:9">
      <c r="D612" s="47"/>
      <c r="E612" s="143"/>
      <c r="H612" s="2"/>
      <c r="I612" s="30"/>
    </row>
    <row r="613" spans="4:9">
      <c r="D613" s="47"/>
      <c r="E613" s="143"/>
      <c r="H613" s="2"/>
      <c r="I613" s="30"/>
    </row>
    <row r="614" spans="4:9">
      <c r="D614" s="47"/>
      <c r="E614" s="143"/>
      <c r="H614" s="2"/>
      <c r="I614" s="30"/>
    </row>
    <row r="615" spans="4:9">
      <c r="D615" s="47"/>
      <c r="E615" s="143"/>
      <c r="H615" s="2"/>
      <c r="I615" s="30"/>
    </row>
    <row r="616" spans="4:9">
      <c r="D616" s="47"/>
      <c r="E616" s="143"/>
      <c r="H616" s="2"/>
      <c r="I616" s="30"/>
    </row>
    <row r="617" spans="4:9">
      <c r="D617" s="47"/>
      <c r="E617" s="143"/>
      <c r="H617" s="2"/>
      <c r="I617" s="30"/>
    </row>
    <row r="618" spans="4:9">
      <c r="D618" s="47"/>
      <c r="E618" s="143"/>
      <c r="H618" s="2"/>
      <c r="I618" s="30"/>
    </row>
    <row r="619" spans="4:9">
      <c r="D619" s="47"/>
      <c r="E619" s="143"/>
      <c r="H619" s="2"/>
      <c r="I619" s="30"/>
    </row>
    <row r="620" spans="4:9">
      <c r="D620" s="47"/>
      <c r="E620" s="143"/>
      <c r="H620" s="2"/>
      <c r="I620" s="30"/>
    </row>
    <row r="621" spans="4:9">
      <c r="D621" s="47"/>
      <c r="E621" s="143"/>
      <c r="H621" s="2"/>
      <c r="I621" s="30"/>
    </row>
    <row r="622" spans="4:9">
      <c r="D622" s="47"/>
      <c r="E622" s="143"/>
      <c r="H622" s="2"/>
      <c r="I622" s="30"/>
    </row>
    <row r="623" spans="4:9">
      <c r="D623" s="47"/>
      <c r="E623" s="143"/>
      <c r="H623" s="2"/>
      <c r="I623" s="30"/>
    </row>
    <row r="624" spans="4:9">
      <c r="D624" s="47"/>
      <c r="E624" s="143"/>
      <c r="H624" s="2"/>
      <c r="I624" s="30"/>
    </row>
    <row r="625" spans="4:9">
      <c r="D625" s="47"/>
      <c r="E625" s="143"/>
      <c r="H625" s="2"/>
      <c r="I625" s="30"/>
    </row>
    <row r="626" spans="4:9">
      <c r="D626" s="47"/>
      <c r="E626" s="143"/>
      <c r="H626" s="2"/>
      <c r="I626" s="30"/>
    </row>
    <row r="627" spans="4:9">
      <c r="D627" s="47"/>
      <c r="E627" s="143"/>
      <c r="H627" s="2"/>
      <c r="I627" s="30"/>
    </row>
    <row r="628" spans="4:9">
      <c r="D628" s="47"/>
      <c r="E628" s="143"/>
      <c r="H628" s="2"/>
      <c r="I628" s="30"/>
    </row>
    <row r="629" spans="4:9">
      <c r="D629" s="47"/>
      <c r="E629" s="143"/>
      <c r="H629" s="2"/>
      <c r="I629" s="30"/>
    </row>
    <row r="630" spans="4:9">
      <c r="D630" s="47"/>
      <c r="E630" s="143"/>
      <c r="H630" s="2"/>
      <c r="I630" s="30"/>
    </row>
    <row r="631" spans="4:9">
      <c r="D631" s="47"/>
      <c r="E631" s="143"/>
      <c r="H631" s="2"/>
      <c r="I631" s="30"/>
    </row>
    <row r="632" spans="4:9">
      <c r="D632" s="47"/>
      <c r="E632" s="143"/>
      <c r="H632" s="2"/>
      <c r="I632" s="30"/>
    </row>
    <row r="633" spans="4:9">
      <c r="D633" s="47"/>
      <c r="E633" s="143"/>
      <c r="H633" s="2"/>
      <c r="I633" s="30"/>
    </row>
    <row r="634" spans="4:9">
      <c r="D634" s="47"/>
      <c r="E634" s="143"/>
      <c r="H634" s="2"/>
      <c r="I634" s="30"/>
    </row>
    <row r="635" spans="4:9">
      <c r="D635" s="47"/>
      <c r="E635" s="143"/>
      <c r="H635" s="2"/>
      <c r="I635" s="30"/>
    </row>
    <row r="636" spans="4:9">
      <c r="D636" s="47"/>
      <c r="E636" s="143"/>
      <c r="H636" s="2"/>
      <c r="I636" s="30"/>
    </row>
    <row r="637" spans="4:9">
      <c r="D637" s="47"/>
      <c r="E637" s="143"/>
      <c r="H637" s="2"/>
      <c r="I637" s="30"/>
    </row>
    <row r="638" spans="4:9">
      <c r="D638" s="47"/>
      <c r="E638" s="143"/>
      <c r="H638" s="2"/>
      <c r="I638" s="30"/>
    </row>
    <row r="639" spans="4:9">
      <c r="D639" s="47"/>
      <c r="E639" s="143"/>
      <c r="H639" s="2"/>
      <c r="I639" s="30"/>
    </row>
    <row r="640" spans="4:9">
      <c r="D640" s="47"/>
      <c r="E640" s="143"/>
      <c r="H640" s="2"/>
      <c r="I640" s="30"/>
    </row>
    <row r="641" spans="4:9">
      <c r="D641" s="47"/>
      <c r="E641" s="143"/>
      <c r="H641" s="2"/>
      <c r="I641" s="30"/>
    </row>
    <row r="642" spans="4:9">
      <c r="D642" s="47"/>
      <c r="E642" s="143"/>
      <c r="H642" s="2"/>
      <c r="I642" s="30"/>
    </row>
    <row r="643" spans="4:9">
      <c r="D643" s="47"/>
      <c r="E643" s="143"/>
      <c r="H643" s="2"/>
      <c r="I643" s="30"/>
    </row>
    <row r="644" spans="4:9">
      <c r="D644" s="47"/>
      <c r="E644" s="143"/>
      <c r="H644" s="2"/>
      <c r="I644" s="30"/>
    </row>
    <row r="645" spans="4:9">
      <c r="D645" s="47"/>
      <c r="E645" s="143"/>
      <c r="H645" s="2"/>
      <c r="I645" s="30"/>
    </row>
    <row r="646" spans="4:9">
      <c r="D646" s="47"/>
      <c r="E646" s="143"/>
      <c r="H646" s="2"/>
      <c r="I646" s="30"/>
    </row>
    <row r="647" spans="4:9">
      <c r="D647" s="47"/>
      <c r="E647" s="143"/>
      <c r="H647" s="2"/>
      <c r="I647" s="30"/>
    </row>
    <row r="648" spans="4:9">
      <c r="D648" s="47"/>
      <c r="E648" s="143"/>
      <c r="H648" s="2"/>
      <c r="I648" s="30"/>
    </row>
    <row r="649" spans="4:9">
      <c r="D649" s="47"/>
      <c r="E649" s="143"/>
      <c r="H649" s="2"/>
      <c r="I649" s="30"/>
    </row>
    <row r="650" spans="4:9">
      <c r="D650" s="47"/>
      <c r="E650" s="143"/>
      <c r="H650" s="2"/>
      <c r="I650" s="30"/>
    </row>
    <row r="651" spans="4:9">
      <c r="D651" s="47"/>
      <c r="E651" s="143"/>
      <c r="H651" s="2"/>
      <c r="I651" s="30"/>
    </row>
    <row r="652" spans="4:9">
      <c r="D652" s="47"/>
      <c r="E652" s="143"/>
      <c r="H652" s="2"/>
      <c r="I652" s="30"/>
    </row>
    <row r="653" spans="4:9">
      <c r="D653" s="47"/>
      <c r="E653" s="143"/>
      <c r="H653" s="2"/>
      <c r="I653" s="30"/>
    </row>
    <row r="654" spans="4:9">
      <c r="D654" s="47"/>
      <c r="E654" s="143"/>
      <c r="H654" s="2"/>
      <c r="I654" s="30"/>
    </row>
    <row r="655" spans="4:9">
      <c r="D655" s="47"/>
      <c r="E655" s="143"/>
      <c r="H655" s="2"/>
      <c r="I655" s="30"/>
    </row>
    <row r="656" spans="4:9">
      <c r="D656" s="47"/>
      <c r="E656" s="143"/>
      <c r="H656" s="2"/>
      <c r="I656" s="30"/>
    </row>
    <row r="657" spans="4:9">
      <c r="D657" s="47"/>
      <c r="E657" s="143"/>
      <c r="H657" s="2"/>
      <c r="I657" s="30"/>
    </row>
    <row r="658" spans="4:9">
      <c r="D658" s="47"/>
      <c r="E658" s="143"/>
      <c r="H658" s="2"/>
      <c r="I658" s="30"/>
    </row>
    <row r="659" spans="4:9">
      <c r="D659" s="47"/>
      <c r="E659" s="143"/>
      <c r="H659" s="2"/>
      <c r="I659" s="30"/>
    </row>
    <row r="660" spans="4:9">
      <c r="D660" s="47"/>
      <c r="E660" s="143"/>
      <c r="H660" s="2"/>
      <c r="I660" s="30"/>
    </row>
    <row r="661" spans="4:9">
      <c r="D661" s="47"/>
      <c r="E661" s="143"/>
      <c r="H661" s="2"/>
      <c r="I661" s="30"/>
    </row>
    <row r="662" spans="4:9">
      <c r="D662" s="47"/>
      <c r="E662" s="143"/>
      <c r="H662" s="2"/>
      <c r="I662" s="30"/>
    </row>
    <row r="663" spans="4:9">
      <c r="D663" s="47"/>
      <c r="E663" s="143"/>
      <c r="H663" s="2"/>
      <c r="I663" s="30"/>
    </row>
    <row r="664" spans="4:9">
      <c r="D664" s="47"/>
      <c r="E664" s="143"/>
      <c r="H664" s="2"/>
      <c r="I664" s="30"/>
    </row>
    <row r="665" spans="4:9">
      <c r="D665" s="47"/>
      <c r="E665" s="143"/>
      <c r="H665" s="2"/>
      <c r="I665" s="30"/>
    </row>
    <row r="666" spans="4:9">
      <c r="D666" s="47"/>
      <c r="E666" s="143"/>
      <c r="H666" s="2"/>
      <c r="I666" s="30"/>
    </row>
    <row r="667" spans="4:9">
      <c r="D667" s="47"/>
      <c r="E667" s="143"/>
      <c r="H667" s="2"/>
      <c r="I667" s="30"/>
    </row>
    <row r="668" spans="4:9">
      <c r="D668" s="47"/>
      <c r="E668" s="143"/>
      <c r="H668" s="2"/>
      <c r="I668" s="30"/>
    </row>
    <row r="669" spans="4:9">
      <c r="D669" s="47"/>
      <c r="E669" s="143"/>
      <c r="H669" s="2"/>
      <c r="I669" s="30"/>
    </row>
    <row r="670" spans="4:9">
      <c r="D670" s="47"/>
      <c r="E670" s="143"/>
      <c r="H670" s="2"/>
      <c r="I670" s="30"/>
    </row>
    <row r="671" spans="4:9">
      <c r="D671" s="47"/>
      <c r="E671" s="143"/>
      <c r="H671" s="2"/>
      <c r="I671" s="30"/>
    </row>
    <row r="672" spans="4:9">
      <c r="D672" s="47"/>
      <c r="E672" s="143"/>
      <c r="H672" s="2"/>
      <c r="I672" s="30"/>
    </row>
    <row r="673" spans="4:9">
      <c r="D673" s="47"/>
      <c r="E673" s="143"/>
      <c r="H673" s="2"/>
      <c r="I673" s="30"/>
    </row>
    <row r="674" spans="4:9">
      <c r="D674" s="47"/>
      <c r="E674" s="143"/>
      <c r="H674" s="2"/>
      <c r="I674" s="30"/>
    </row>
    <row r="675" spans="4:9">
      <c r="D675" s="47"/>
      <c r="E675" s="143"/>
      <c r="H675" s="2"/>
      <c r="I675" s="30"/>
    </row>
    <row r="676" spans="4:9">
      <c r="D676" s="47"/>
      <c r="E676" s="143"/>
      <c r="H676" s="2"/>
      <c r="I676" s="30"/>
    </row>
    <row r="677" spans="4:9">
      <c r="D677" s="47"/>
      <c r="E677" s="143"/>
      <c r="H677" s="2"/>
      <c r="I677" s="30"/>
    </row>
    <row r="678" spans="4:9">
      <c r="D678" s="47"/>
      <c r="E678" s="143"/>
      <c r="H678" s="2"/>
      <c r="I678" s="30"/>
    </row>
    <row r="679" spans="4:9">
      <c r="D679" s="47"/>
      <c r="E679" s="143"/>
      <c r="H679" s="2"/>
      <c r="I679" s="30"/>
    </row>
    <row r="680" spans="4:9">
      <c r="D680" s="47"/>
      <c r="E680" s="143"/>
      <c r="H680" s="2"/>
      <c r="I680" s="30"/>
    </row>
    <row r="681" spans="4:9">
      <c r="D681" s="47"/>
      <c r="E681" s="143"/>
      <c r="H681" s="2"/>
      <c r="I681" s="30"/>
    </row>
    <row r="682" spans="4:9">
      <c r="D682" s="47"/>
      <c r="E682" s="143"/>
      <c r="H682" s="2"/>
      <c r="I682" s="30"/>
    </row>
    <row r="683" spans="4:9">
      <c r="D683" s="47"/>
      <c r="E683" s="143"/>
      <c r="H683" s="2"/>
      <c r="I683" s="30"/>
    </row>
    <row r="684" spans="4:9">
      <c r="D684" s="47"/>
      <c r="E684" s="143"/>
      <c r="H684" s="2"/>
      <c r="I684" s="30"/>
    </row>
    <row r="685" spans="4:9">
      <c r="D685" s="47"/>
      <c r="E685" s="143"/>
      <c r="H685" s="2"/>
      <c r="I685" s="30"/>
    </row>
    <row r="686" spans="4:9">
      <c r="D686" s="47"/>
      <c r="E686" s="143"/>
      <c r="H686" s="2"/>
      <c r="I686" s="30"/>
    </row>
    <row r="687" spans="4:9">
      <c r="D687" s="47"/>
      <c r="E687" s="143"/>
      <c r="H687" s="2"/>
      <c r="I687" s="30"/>
    </row>
    <row r="688" spans="4:9">
      <c r="D688" s="47"/>
      <c r="E688" s="143"/>
      <c r="H688" s="2"/>
      <c r="I688" s="30"/>
    </row>
    <row r="689" spans="4:9">
      <c r="D689" s="47"/>
      <c r="E689" s="143"/>
      <c r="H689" s="2"/>
      <c r="I689" s="30"/>
    </row>
    <row r="690" spans="4:9">
      <c r="D690" s="47"/>
      <c r="E690" s="143"/>
      <c r="H690" s="2"/>
      <c r="I690" s="30"/>
    </row>
    <row r="691" spans="4:9">
      <c r="D691" s="47"/>
      <c r="E691" s="143"/>
      <c r="H691" s="2"/>
      <c r="I691" s="30"/>
    </row>
    <row r="692" spans="4:9">
      <c r="D692" s="47"/>
      <c r="E692" s="143"/>
      <c r="H692" s="2"/>
      <c r="I692" s="30"/>
    </row>
    <row r="693" spans="4:9">
      <c r="D693" s="47"/>
      <c r="E693" s="143"/>
      <c r="H693" s="2"/>
      <c r="I693" s="30"/>
    </row>
    <row r="694" spans="4:9">
      <c r="D694" s="47"/>
      <c r="E694" s="143"/>
      <c r="H694" s="2"/>
      <c r="I694" s="30"/>
    </row>
    <row r="695" spans="4:9">
      <c r="D695" s="47"/>
      <c r="E695" s="143"/>
      <c r="H695" s="2"/>
      <c r="I695" s="30"/>
    </row>
    <row r="696" spans="4:9">
      <c r="D696" s="47"/>
      <c r="E696" s="143"/>
      <c r="H696" s="2"/>
      <c r="I696" s="30"/>
    </row>
    <row r="697" spans="4:9">
      <c r="D697" s="47"/>
      <c r="E697" s="143"/>
      <c r="H697" s="2"/>
      <c r="I697" s="30"/>
    </row>
    <row r="698" spans="4:9">
      <c r="D698" s="47"/>
      <c r="E698" s="143"/>
      <c r="H698" s="2"/>
      <c r="I698" s="30"/>
    </row>
    <row r="699" spans="4:9">
      <c r="D699" s="47"/>
      <c r="E699" s="143"/>
      <c r="H699" s="2"/>
      <c r="I699" s="30"/>
    </row>
    <row r="700" spans="4:9">
      <c r="D700" s="47"/>
      <c r="E700" s="143"/>
      <c r="H700" s="2"/>
      <c r="I700" s="30"/>
    </row>
    <row r="701" spans="4:9">
      <c r="D701" s="47"/>
      <c r="E701" s="143"/>
      <c r="H701" s="2"/>
      <c r="I701" s="30"/>
    </row>
    <row r="702" spans="4:9">
      <c r="D702" s="47"/>
      <c r="E702" s="143"/>
      <c r="H702" s="2"/>
      <c r="I702" s="30"/>
    </row>
    <row r="703" spans="4:9">
      <c r="D703" s="47"/>
      <c r="E703" s="143"/>
      <c r="H703" s="2"/>
      <c r="I703" s="30"/>
    </row>
    <row r="704" spans="4:9">
      <c r="D704" s="47"/>
      <c r="E704" s="143"/>
      <c r="H704" s="2"/>
      <c r="I704" s="30"/>
    </row>
    <row r="705" spans="4:9">
      <c r="D705" s="47"/>
      <c r="E705" s="143"/>
      <c r="H705" s="2"/>
      <c r="I705" s="30"/>
    </row>
    <row r="706" spans="4:9">
      <c r="D706" s="47"/>
      <c r="E706" s="143"/>
      <c r="H706" s="2"/>
      <c r="I706" s="30"/>
    </row>
    <row r="707" spans="4:9">
      <c r="D707" s="47"/>
      <c r="E707" s="143"/>
      <c r="H707" s="2"/>
      <c r="I707" s="30"/>
    </row>
    <row r="708" spans="4:9">
      <c r="D708" s="47"/>
      <c r="E708" s="143"/>
      <c r="H708" s="2"/>
      <c r="I708" s="30"/>
    </row>
    <row r="709" spans="4:9">
      <c r="D709" s="47"/>
      <c r="E709" s="143"/>
      <c r="H709" s="2"/>
      <c r="I709" s="30"/>
    </row>
    <row r="710" spans="4:9">
      <c r="D710" s="47"/>
      <c r="E710" s="143"/>
      <c r="H710" s="2"/>
      <c r="I710" s="30"/>
    </row>
    <row r="711" spans="4:9">
      <c r="D711" s="47"/>
      <c r="E711" s="143"/>
      <c r="H711" s="2"/>
      <c r="I711" s="30"/>
    </row>
    <row r="712" spans="4:9">
      <c r="D712" s="47"/>
      <c r="E712" s="143"/>
      <c r="H712" s="2"/>
      <c r="I712" s="30"/>
    </row>
    <row r="713" spans="4:9">
      <c r="D713" s="47"/>
      <c r="E713" s="143"/>
      <c r="H713" s="2"/>
      <c r="I713" s="30"/>
    </row>
    <row r="714" spans="4:9">
      <c r="D714" s="47"/>
      <c r="E714" s="143"/>
      <c r="H714" s="2"/>
      <c r="I714" s="30"/>
    </row>
    <row r="715" spans="4:9">
      <c r="D715" s="47"/>
      <c r="E715" s="143"/>
      <c r="H715" s="2"/>
      <c r="I715" s="30"/>
    </row>
    <row r="716" spans="4:9">
      <c r="D716" s="47"/>
      <c r="E716" s="143"/>
      <c r="H716" s="2"/>
      <c r="I716" s="30"/>
    </row>
    <row r="717" spans="4:9">
      <c r="D717" s="47"/>
      <c r="E717" s="143"/>
      <c r="H717" s="2"/>
      <c r="I717" s="30"/>
    </row>
    <row r="718" spans="4:9">
      <c r="D718" s="47"/>
      <c r="E718" s="143"/>
      <c r="H718" s="2"/>
      <c r="I718" s="30"/>
    </row>
    <row r="719" spans="4:9">
      <c r="D719" s="47"/>
      <c r="E719" s="143"/>
      <c r="H719" s="2"/>
      <c r="I719" s="30"/>
    </row>
    <row r="720" spans="4:9">
      <c r="D720" s="47"/>
      <c r="E720" s="143"/>
      <c r="H720" s="2"/>
      <c r="I720" s="30"/>
    </row>
    <row r="721" spans="4:9">
      <c r="D721" s="47"/>
      <c r="E721" s="143"/>
      <c r="H721" s="2"/>
      <c r="I721" s="30"/>
    </row>
    <row r="722" spans="4:9">
      <c r="D722" s="47"/>
      <c r="E722" s="143"/>
      <c r="H722" s="2"/>
      <c r="I722" s="30"/>
    </row>
    <row r="723" spans="4:9">
      <c r="D723" s="47"/>
      <c r="E723" s="143"/>
      <c r="H723" s="2"/>
      <c r="I723" s="30"/>
    </row>
    <row r="724" spans="4:9">
      <c r="D724" s="47"/>
      <c r="E724" s="143"/>
      <c r="H724" s="2"/>
      <c r="I724" s="30"/>
    </row>
    <row r="725" spans="4:9">
      <c r="D725" s="47"/>
      <c r="E725" s="143"/>
      <c r="H725" s="2"/>
      <c r="I725" s="30"/>
    </row>
    <row r="726" spans="4:9">
      <c r="D726" s="47"/>
      <c r="E726" s="143"/>
      <c r="H726" s="2"/>
      <c r="I726" s="30"/>
    </row>
    <row r="727" spans="4:9">
      <c r="D727" s="47"/>
      <c r="E727" s="143"/>
      <c r="H727" s="2"/>
      <c r="I727" s="30"/>
    </row>
    <row r="728" spans="4:9">
      <c r="D728" s="47"/>
      <c r="E728" s="143"/>
      <c r="H728" s="2"/>
      <c r="I728" s="30"/>
    </row>
    <row r="729" spans="4:9">
      <c r="D729" s="47"/>
      <c r="E729" s="143"/>
      <c r="H729" s="2"/>
      <c r="I729" s="30"/>
    </row>
    <row r="730" spans="4:9">
      <c r="D730" s="47"/>
      <c r="E730" s="143"/>
      <c r="H730" s="2"/>
      <c r="I730" s="30"/>
    </row>
    <row r="731" spans="4:9">
      <c r="D731" s="47"/>
      <c r="E731" s="143"/>
      <c r="H731" s="2"/>
      <c r="I731" s="30"/>
    </row>
    <row r="732" spans="4:9">
      <c r="D732" s="47"/>
      <c r="E732" s="143"/>
      <c r="H732" s="2"/>
      <c r="I732" s="30"/>
    </row>
    <row r="733" spans="4:9">
      <c r="D733" s="47"/>
      <c r="E733" s="143"/>
      <c r="H733" s="2"/>
      <c r="I733" s="30"/>
    </row>
    <row r="734" spans="4:9">
      <c r="D734" s="47"/>
      <c r="E734" s="143"/>
      <c r="H734" s="2"/>
      <c r="I734" s="30"/>
    </row>
    <row r="735" spans="4:9">
      <c r="D735" s="47"/>
      <c r="E735" s="143"/>
      <c r="H735" s="2"/>
      <c r="I735" s="30"/>
    </row>
    <row r="736" spans="4:9">
      <c r="D736" s="47"/>
      <c r="E736" s="143"/>
      <c r="H736" s="2"/>
      <c r="I736" s="30"/>
    </row>
    <row r="737" spans="4:9">
      <c r="D737" s="47"/>
      <c r="E737" s="143"/>
      <c r="H737" s="2"/>
      <c r="I737" s="30"/>
    </row>
    <row r="738" spans="4:9">
      <c r="D738" s="47"/>
      <c r="E738" s="143"/>
      <c r="H738" s="2"/>
      <c r="I738" s="30"/>
    </row>
    <row r="739" spans="4:9">
      <c r="D739" s="47"/>
      <c r="E739" s="143"/>
      <c r="H739" s="2"/>
      <c r="I739" s="30"/>
    </row>
    <row r="740" spans="4:9">
      <c r="D740" s="47"/>
      <c r="E740" s="143"/>
      <c r="H740" s="2"/>
      <c r="I740" s="30"/>
    </row>
    <row r="741" spans="4:9">
      <c r="D741" s="47"/>
      <c r="E741" s="143"/>
      <c r="H741" s="2"/>
      <c r="I741" s="30"/>
    </row>
    <row r="742" spans="4:9">
      <c r="D742" s="47"/>
      <c r="E742" s="143"/>
      <c r="H742" s="2"/>
      <c r="I742" s="30"/>
    </row>
    <row r="743" spans="4:9">
      <c r="D743" s="47"/>
      <c r="E743" s="143"/>
      <c r="H743" s="2"/>
      <c r="I743" s="30"/>
    </row>
    <row r="744" spans="4:9">
      <c r="D744" s="47"/>
      <c r="E744" s="143"/>
      <c r="H744" s="2"/>
      <c r="I744" s="30"/>
    </row>
    <row r="745" spans="4:9">
      <c r="D745" s="47"/>
      <c r="E745" s="143"/>
      <c r="H745" s="2"/>
      <c r="I745" s="30"/>
    </row>
    <row r="746" spans="4:9">
      <c r="D746" s="47"/>
      <c r="E746" s="143"/>
      <c r="H746" s="2"/>
      <c r="I746" s="30"/>
    </row>
    <row r="747" spans="4:9">
      <c r="D747" s="47"/>
      <c r="E747" s="143"/>
      <c r="H747" s="2"/>
      <c r="I747" s="30"/>
    </row>
    <row r="748" spans="4:9">
      <c r="D748" s="47"/>
      <c r="E748" s="143"/>
      <c r="H748" s="2"/>
      <c r="I748" s="30"/>
    </row>
    <row r="749" spans="4:9">
      <c r="D749" s="47"/>
      <c r="E749" s="143"/>
      <c r="H749" s="2"/>
      <c r="I749" s="30"/>
    </row>
    <row r="750" spans="4:9">
      <c r="D750" s="47"/>
      <c r="E750" s="143"/>
      <c r="H750" s="2"/>
      <c r="I750" s="30"/>
    </row>
    <row r="751" spans="4:9">
      <c r="D751" s="47"/>
      <c r="E751" s="143"/>
      <c r="H751" s="2"/>
      <c r="I751" s="30"/>
    </row>
    <row r="752" spans="4:9">
      <c r="D752" s="47"/>
      <c r="E752" s="143"/>
      <c r="H752" s="2"/>
      <c r="I752" s="30"/>
    </row>
    <row r="753" spans="4:9">
      <c r="D753" s="47"/>
      <c r="E753" s="143"/>
      <c r="H753" s="2"/>
      <c r="I753" s="30"/>
    </row>
    <row r="754" spans="4:9">
      <c r="D754" s="47"/>
      <c r="E754" s="143"/>
      <c r="H754" s="2"/>
      <c r="I754" s="30"/>
    </row>
    <row r="755" spans="4:9">
      <c r="D755" s="47"/>
      <c r="E755" s="143"/>
      <c r="H755" s="2"/>
      <c r="I755" s="30"/>
    </row>
    <row r="756" spans="4:9">
      <c r="D756" s="47"/>
      <c r="E756" s="143"/>
      <c r="H756" s="2"/>
      <c r="I756" s="30"/>
    </row>
    <row r="757" spans="4:9">
      <c r="D757" s="47"/>
      <c r="E757" s="143"/>
      <c r="H757" s="2"/>
      <c r="I757" s="30"/>
    </row>
    <row r="758" spans="4:9">
      <c r="D758" s="47"/>
      <c r="E758" s="143"/>
      <c r="H758" s="2"/>
      <c r="I758" s="30"/>
    </row>
    <row r="759" spans="4:9">
      <c r="D759" s="47"/>
      <c r="E759" s="143"/>
      <c r="H759" s="2"/>
      <c r="I759" s="30"/>
    </row>
    <row r="760" spans="4:9">
      <c r="D760" s="47"/>
      <c r="E760" s="143"/>
      <c r="H760" s="2"/>
      <c r="I760" s="30"/>
    </row>
    <row r="761" spans="4:9">
      <c r="D761" s="47"/>
      <c r="E761" s="143"/>
      <c r="H761" s="2"/>
      <c r="I761" s="30"/>
    </row>
    <row r="762" spans="4:9">
      <c r="D762" s="47"/>
      <c r="E762" s="143"/>
      <c r="H762" s="2"/>
      <c r="I762" s="30"/>
    </row>
    <row r="763" spans="4:9">
      <c r="D763" s="47"/>
      <c r="E763" s="143"/>
      <c r="H763" s="2"/>
      <c r="I763" s="30"/>
    </row>
    <row r="764" spans="4:9">
      <c r="D764" s="47"/>
      <c r="E764" s="143"/>
      <c r="H764" s="2"/>
      <c r="I764" s="30"/>
    </row>
    <row r="765" spans="4:9">
      <c r="D765" s="47"/>
      <c r="E765" s="143"/>
      <c r="H765" s="2"/>
      <c r="I765" s="30"/>
    </row>
    <row r="766" spans="4:9">
      <c r="D766" s="47"/>
      <c r="E766" s="143"/>
      <c r="H766" s="2"/>
      <c r="I766" s="30"/>
    </row>
    <row r="767" spans="4:9">
      <c r="D767" s="47"/>
      <c r="E767" s="143"/>
      <c r="H767" s="2"/>
      <c r="I767" s="30"/>
    </row>
    <row r="768" spans="4:9">
      <c r="D768" s="47"/>
      <c r="E768" s="143"/>
      <c r="H768" s="2"/>
      <c r="I768" s="30"/>
    </row>
    <row r="769" spans="4:9">
      <c r="D769" s="47"/>
      <c r="E769" s="143"/>
      <c r="H769" s="2"/>
      <c r="I769" s="30"/>
    </row>
    <row r="770" spans="4:9">
      <c r="D770" s="47"/>
      <c r="E770" s="143"/>
      <c r="H770" s="2"/>
      <c r="I770" s="30"/>
    </row>
    <row r="771" spans="4:9">
      <c r="D771" s="47"/>
      <c r="E771" s="143"/>
      <c r="H771" s="2"/>
      <c r="I771" s="30"/>
    </row>
    <row r="772" spans="4:9">
      <c r="D772" s="47"/>
      <c r="E772" s="143"/>
      <c r="H772" s="2"/>
      <c r="I772" s="30"/>
    </row>
    <row r="773" spans="4:9">
      <c r="D773" s="47"/>
      <c r="E773" s="143"/>
      <c r="H773" s="2"/>
      <c r="I773" s="30"/>
    </row>
    <row r="774" spans="4:9">
      <c r="D774" s="47"/>
      <c r="E774" s="143"/>
      <c r="H774" s="2"/>
      <c r="I774" s="30"/>
    </row>
    <row r="775" spans="4:9">
      <c r="D775" s="47"/>
      <c r="E775" s="143"/>
      <c r="H775" s="2"/>
      <c r="I775" s="30"/>
    </row>
    <row r="776" spans="4:9">
      <c r="D776" s="47"/>
      <c r="E776" s="143"/>
      <c r="H776" s="2"/>
      <c r="I776" s="30"/>
    </row>
    <row r="777" spans="4:9">
      <c r="D777" s="47"/>
      <c r="E777" s="143"/>
      <c r="H777" s="2"/>
      <c r="I777" s="30"/>
    </row>
    <row r="778" spans="4:9">
      <c r="D778" s="47"/>
      <c r="E778" s="143"/>
      <c r="H778" s="2"/>
      <c r="I778" s="30"/>
    </row>
    <row r="779" spans="4:9">
      <c r="D779" s="47"/>
      <c r="E779" s="143"/>
      <c r="H779" s="2"/>
      <c r="I779" s="30"/>
    </row>
    <row r="780" spans="4:9">
      <c r="D780" s="47"/>
      <c r="E780" s="143"/>
      <c r="H780" s="2"/>
      <c r="I780" s="30"/>
    </row>
    <row r="781" spans="4:9">
      <c r="D781" s="47"/>
      <c r="E781" s="143"/>
      <c r="H781" s="2"/>
      <c r="I781" s="30"/>
    </row>
    <row r="782" spans="4:9">
      <c r="D782" s="47"/>
      <c r="E782" s="143"/>
      <c r="H782" s="2"/>
      <c r="I782" s="30"/>
    </row>
    <row r="783" spans="4:9">
      <c r="D783" s="47"/>
      <c r="E783" s="143"/>
      <c r="H783" s="2"/>
      <c r="I783" s="30"/>
    </row>
    <row r="784" spans="4:9">
      <c r="D784" s="47"/>
      <c r="E784" s="143"/>
      <c r="H784" s="2"/>
      <c r="I784" s="30"/>
    </row>
    <row r="785" spans="4:9">
      <c r="D785" s="47"/>
      <c r="E785" s="143"/>
      <c r="H785" s="2"/>
      <c r="I785" s="30"/>
    </row>
    <row r="786" spans="4:9">
      <c r="D786" s="47"/>
      <c r="E786" s="143"/>
      <c r="H786" s="2"/>
      <c r="I786" s="30"/>
    </row>
    <row r="787" spans="4:9">
      <c r="D787" s="47"/>
      <c r="E787" s="143"/>
      <c r="H787" s="2"/>
      <c r="I787" s="30"/>
    </row>
    <row r="788" spans="4:9">
      <c r="D788" s="47"/>
      <c r="E788" s="143"/>
      <c r="H788" s="2"/>
      <c r="I788" s="30"/>
    </row>
    <row r="789" spans="4:9">
      <c r="D789" s="47"/>
      <c r="E789" s="143"/>
      <c r="H789" s="2"/>
      <c r="I789" s="30"/>
    </row>
    <row r="790" spans="4:9">
      <c r="D790" s="47"/>
      <c r="E790" s="143"/>
      <c r="H790" s="2"/>
      <c r="I790" s="30"/>
    </row>
    <row r="791" spans="4:9">
      <c r="D791" s="47"/>
      <c r="E791" s="143"/>
      <c r="H791" s="2"/>
      <c r="I791" s="30"/>
    </row>
    <row r="792" spans="4:9">
      <c r="D792" s="47"/>
      <c r="E792" s="143"/>
      <c r="H792" s="2"/>
      <c r="I792" s="30"/>
    </row>
    <row r="793" spans="4:9">
      <c r="D793" s="47"/>
      <c r="E793" s="143"/>
      <c r="H793" s="2"/>
      <c r="I793" s="30"/>
    </row>
    <row r="794" spans="4:9">
      <c r="D794" s="47"/>
      <c r="E794" s="143"/>
      <c r="H794" s="2"/>
      <c r="I794" s="30"/>
    </row>
    <row r="795" spans="4:9">
      <c r="D795" s="47"/>
      <c r="E795" s="143"/>
      <c r="H795" s="2"/>
      <c r="I795" s="30"/>
    </row>
    <row r="796" spans="4:9">
      <c r="D796" s="47"/>
      <c r="E796" s="143"/>
      <c r="H796" s="2"/>
      <c r="I796" s="30"/>
    </row>
    <row r="797" spans="4:9">
      <c r="D797" s="47"/>
      <c r="E797" s="143"/>
      <c r="H797" s="2"/>
      <c r="I797" s="30"/>
    </row>
    <row r="798" spans="4:9">
      <c r="D798" s="47"/>
      <c r="E798" s="143"/>
      <c r="H798" s="2"/>
      <c r="I798" s="30"/>
    </row>
    <row r="799" spans="4:9">
      <c r="D799" s="47"/>
      <c r="E799" s="143"/>
      <c r="H799" s="2"/>
      <c r="I799" s="30"/>
    </row>
    <row r="800" spans="4:9">
      <c r="D800" s="47"/>
      <c r="E800" s="143"/>
      <c r="H800" s="2"/>
      <c r="I800" s="30"/>
    </row>
    <row r="801" spans="4:9">
      <c r="D801" s="47"/>
      <c r="E801" s="143"/>
      <c r="H801" s="2"/>
      <c r="I801" s="30"/>
    </row>
    <row r="802" spans="4:9">
      <c r="D802" s="47"/>
      <c r="E802" s="143"/>
      <c r="H802" s="2"/>
      <c r="I802" s="30"/>
    </row>
    <row r="803" spans="4:9">
      <c r="D803" s="47"/>
      <c r="E803" s="143"/>
      <c r="H803" s="2"/>
      <c r="I803" s="30"/>
    </row>
    <row r="804" spans="4:9">
      <c r="D804" s="47"/>
      <c r="E804" s="143"/>
      <c r="H804" s="2"/>
      <c r="I804" s="30"/>
    </row>
    <row r="805" spans="4:9">
      <c r="D805" s="47"/>
      <c r="E805" s="143"/>
      <c r="H805" s="2"/>
      <c r="I805" s="30"/>
    </row>
    <row r="806" spans="4:9">
      <c r="D806" s="47"/>
      <c r="E806" s="143"/>
      <c r="H806" s="2"/>
      <c r="I806" s="30"/>
    </row>
    <row r="807" spans="4:9">
      <c r="D807" s="47"/>
      <c r="E807" s="143"/>
      <c r="H807" s="2"/>
      <c r="I807" s="30"/>
    </row>
    <row r="808" spans="4:9">
      <c r="D808" s="47"/>
      <c r="E808" s="143"/>
      <c r="H808" s="2"/>
      <c r="I808" s="30"/>
    </row>
    <row r="809" spans="4:9">
      <c r="D809" s="47"/>
      <c r="E809" s="143"/>
      <c r="H809" s="2"/>
      <c r="I809" s="30"/>
    </row>
    <row r="810" spans="4:9">
      <c r="D810" s="47"/>
      <c r="E810" s="143"/>
      <c r="H810" s="2"/>
      <c r="I810" s="30"/>
    </row>
    <row r="811" spans="4:9">
      <c r="D811" s="47"/>
      <c r="E811" s="143"/>
      <c r="H811" s="2"/>
      <c r="I811" s="30"/>
    </row>
    <row r="812" spans="4:9">
      <c r="D812" s="47"/>
      <c r="E812" s="143"/>
      <c r="H812" s="2"/>
      <c r="I812" s="30"/>
    </row>
    <row r="813" spans="4:9">
      <c r="D813" s="47"/>
      <c r="E813" s="143"/>
      <c r="H813" s="2"/>
      <c r="I813" s="30"/>
    </row>
    <row r="814" spans="4:9">
      <c r="D814" s="47"/>
      <c r="E814" s="143"/>
      <c r="H814" s="2"/>
      <c r="I814" s="30"/>
    </row>
    <row r="815" spans="4:9">
      <c r="D815" s="47"/>
      <c r="E815" s="143"/>
      <c r="H815" s="2"/>
      <c r="I815" s="30"/>
    </row>
    <row r="816" spans="4:9">
      <c r="D816" s="47"/>
      <c r="E816" s="143"/>
      <c r="H816" s="2"/>
      <c r="I816" s="30"/>
    </row>
    <row r="817" spans="4:9">
      <c r="D817" s="47"/>
      <c r="E817" s="143"/>
      <c r="H817" s="2"/>
      <c r="I817" s="30"/>
    </row>
    <row r="818" spans="4:9">
      <c r="D818" s="47"/>
      <c r="E818" s="143"/>
      <c r="H818" s="2"/>
      <c r="I818" s="30"/>
    </row>
    <row r="819" spans="4:9">
      <c r="D819" s="47"/>
      <c r="E819" s="143"/>
      <c r="H819" s="2"/>
      <c r="I819" s="30"/>
    </row>
    <row r="820" spans="4:9">
      <c r="D820" s="47"/>
      <c r="E820" s="143"/>
      <c r="H820" s="2"/>
      <c r="I820" s="30"/>
    </row>
    <row r="821" spans="4:9">
      <c r="D821" s="47"/>
      <c r="E821" s="143"/>
      <c r="H821" s="2"/>
      <c r="I821" s="30"/>
    </row>
    <row r="822" spans="4:9">
      <c r="D822" s="47"/>
      <c r="E822" s="143"/>
      <c r="H822" s="2"/>
      <c r="I822" s="30"/>
    </row>
    <row r="823" spans="4:9">
      <c r="D823" s="47"/>
      <c r="E823" s="143"/>
      <c r="H823" s="2"/>
      <c r="I823" s="30"/>
    </row>
    <row r="824" spans="4:9">
      <c r="D824" s="47"/>
      <c r="E824" s="143"/>
      <c r="H824" s="2"/>
      <c r="I824" s="30"/>
    </row>
    <row r="825" spans="4:9">
      <c r="D825" s="47"/>
      <c r="E825" s="143"/>
      <c r="H825" s="2"/>
      <c r="I825" s="30"/>
    </row>
    <row r="826" spans="4:9">
      <c r="D826" s="47"/>
      <c r="E826" s="143"/>
      <c r="H826" s="2"/>
      <c r="I826" s="30"/>
    </row>
    <row r="827" spans="4:9">
      <c r="D827" s="47"/>
      <c r="E827" s="143"/>
      <c r="H827" s="2"/>
      <c r="I827" s="30"/>
    </row>
    <row r="828" spans="4:9">
      <c r="D828" s="47"/>
      <c r="E828" s="143"/>
      <c r="H828" s="2"/>
      <c r="I828" s="30"/>
    </row>
    <row r="829" spans="4:9">
      <c r="D829" s="47"/>
      <c r="E829" s="143"/>
      <c r="H829" s="2"/>
      <c r="I829" s="30"/>
    </row>
    <row r="830" spans="4:9">
      <c r="D830" s="47"/>
      <c r="E830" s="143"/>
      <c r="H830" s="2"/>
      <c r="I830" s="30"/>
    </row>
    <row r="831" spans="4:9">
      <c r="D831" s="47"/>
      <c r="E831" s="143"/>
      <c r="H831" s="2"/>
      <c r="I831" s="30"/>
    </row>
    <row r="832" spans="4:9">
      <c r="D832" s="47"/>
      <c r="E832" s="143"/>
      <c r="H832" s="2"/>
      <c r="I832" s="30"/>
    </row>
    <row r="833" spans="4:9">
      <c r="D833" s="47"/>
      <c r="E833" s="143"/>
      <c r="H833" s="2"/>
      <c r="I833" s="30"/>
    </row>
    <row r="834" spans="4:9">
      <c r="D834" s="47"/>
      <c r="E834" s="143"/>
      <c r="H834" s="2"/>
      <c r="I834" s="30"/>
    </row>
    <row r="835" spans="4:9">
      <c r="D835" s="47"/>
      <c r="E835" s="143"/>
      <c r="H835" s="2"/>
      <c r="I835" s="30"/>
    </row>
    <row r="836" spans="4:9">
      <c r="D836" s="47"/>
      <c r="E836" s="143"/>
      <c r="H836" s="2"/>
      <c r="I836" s="30"/>
    </row>
    <row r="837" spans="4:9">
      <c r="D837" s="47"/>
      <c r="E837" s="143"/>
      <c r="H837" s="2"/>
      <c r="I837" s="30"/>
    </row>
    <row r="838" spans="4:9">
      <c r="D838" s="47"/>
      <c r="E838" s="143"/>
      <c r="H838" s="2"/>
      <c r="I838" s="30"/>
    </row>
    <row r="839" spans="4:9">
      <c r="D839" s="47"/>
      <c r="E839" s="143"/>
      <c r="H839" s="2"/>
      <c r="I839" s="30"/>
    </row>
    <row r="840" spans="4:9">
      <c r="D840" s="47"/>
      <c r="E840" s="143"/>
      <c r="H840" s="2"/>
      <c r="I840" s="30"/>
    </row>
    <row r="841" spans="4:9">
      <c r="D841" s="47"/>
      <c r="E841" s="143"/>
      <c r="H841" s="2"/>
      <c r="I841" s="30"/>
    </row>
    <row r="842" spans="4:9">
      <c r="D842" s="47"/>
      <c r="E842" s="143"/>
      <c r="H842" s="2"/>
      <c r="I842" s="30"/>
    </row>
    <row r="843" spans="4:9">
      <c r="D843" s="47"/>
      <c r="E843" s="143"/>
      <c r="H843" s="2"/>
      <c r="I843" s="30"/>
    </row>
    <row r="844" spans="4:9">
      <c r="D844" s="47"/>
      <c r="E844" s="143"/>
      <c r="H844" s="2"/>
      <c r="I844" s="30"/>
    </row>
    <row r="845" spans="4:9">
      <c r="D845" s="47"/>
      <c r="E845" s="143"/>
      <c r="H845" s="2"/>
      <c r="I845" s="30"/>
    </row>
    <row r="846" spans="4:9">
      <c r="D846" s="47"/>
      <c r="E846" s="143"/>
      <c r="H846" s="2"/>
      <c r="I846" s="30"/>
    </row>
    <row r="847" spans="4:9">
      <c r="D847" s="47"/>
      <c r="E847" s="143"/>
      <c r="H847" s="2"/>
      <c r="I847" s="30"/>
    </row>
    <row r="848" spans="4:9">
      <c r="D848" s="47"/>
      <c r="E848" s="143"/>
      <c r="H848" s="2"/>
      <c r="I848" s="30"/>
    </row>
    <row r="849" spans="4:9">
      <c r="D849" s="47"/>
      <c r="E849" s="143"/>
      <c r="H849" s="2"/>
      <c r="I849" s="30"/>
    </row>
    <row r="850" spans="4:9">
      <c r="D850" s="47"/>
      <c r="E850" s="143"/>
      <c r="H850" s="2"/>
      <c r="I850" s="30"/>
    </row>
    <row r="851" spans="4:9">
      <c r="D851" s="47"/>
      <c r="E851" s="143"/>
      <c r="H851" s="2"/>
      <c r="I851" s="30"/>
    </row>
    <row r="852" spans="4:9">
      <c r="D852" s="47"/>
      <c r="E852" s="143"/>
      <c r="H852" s="2"/>
      <c r="I852" s="30"/>
    </row>
    <row r="853" spans="4:9">
      <c r="D853" s="47"/>
      <c r="E853" s="143"/>
      <c r="H853" s="2"/>
      <c r="I853" s="30"/>
    </row>
    <row r="854" spans="4:9">
      <c r="D854" s="47"/>
      <c r="E854" s="143"/>
      <c r="H854" s="2"/>
      <c r="I854" s="30"/>
    </row>
    <row r="855" spans="4:9">
      <c r="D855" s="47"/>
      <c r="E855" s="143"/>
      <c r="H855" s="2"/>
      <c r="I855" s="30"/>
    </row>
    <row r="856" spans="4:9">
      <c r="D856" s="47"/>
      <c r="E856" s="143"/>
      <c r="H856" s="2"/>
      <c r="I856" s="30"/>
    </row>
    <row r="857" spans="4:9">
      <c r="D857" s="47"/>
      <c r="E857" s="143"/>
      <c r="H857" s="2"/>
      <c r="I857" s="30"/>
    </row>
    <row r="858" spans="4:9">
      <c r="D858" s="47"/>
      <c r="E858" s="143"/>
      <c r="H858" s="2"/>
      <c r="I858" s="30"/>
    </row>
    <row r="859" spans="4:9">
      <c r="D859" s="47"/>
      <c r="E859" s="143"/>
      <c r="H859" s="2"/>
      <c r="I859" s="30"/>
    </row>
    <row r="860" spans="4:9">
      <c r="D860" s="47"/>
      <c r="E860" s="143"/>
      <c r="H860" s="2"/>
      <c r="I860" s="30"/>
    </row>
    <row r="861" spans="4:9">
      <c r="D861" s="47"/>
      <c r="E861" s="143"/>
      <c r="H861" s="2"/>
      <c r="I861" s="30"/>
    </row>
    <row r="862" spans="4:9">
      <c r="D862" s="47"/>
      <c r="E862" s="143"/>
      <c r="H862" s="2"/>
      <c r="I862" s="30"/>
    </row>
    <row r="863" spans="4:9">
      <c r="D863" s="47"/>
      <c r="E863" s="143"/>
      <c r="H863" s="2"/>
      <c r="I863" s="30"/>
    </row>
    <row r="864" spans="4:9">
      <c r="D864" s="47"/>
      <c r="E864" s="143"/>
      <c r="H864" s="2"/>
      <c r="I864" s="30"/>
    </row>
    <row r="865" spans="4:9">
      <c r="D865" s="47"/>
      <c r="E865" s="143"/>
      <c r="H865" s="2"/>
      <c r="I865" s="30"/>
    </row>
    <row r="866" spans="4:9">
      <c r="D866" s="47"/>
      <c r="E866" s="143"/>
      <c r="H866" s="2"/>
      <c r="I866" s="30"/>
    </row>
    <row r="867" spans="4:9">
      <c r="D867" s="47"/>
      <c r="E867" s="143"/>
      <c r="H867" s="2"/>
      <c r="I867" s="30"/>
    </row>
    <row r="868" spans="4:9">
      <c r="D868" s="47"/>
      <c r="E868" s="143"/>
      <c r="H868" s="2"/>
      <c r="I868" s="30"/>
    </row>
    <row r="869" spans="4:9">
      <c r="D869" s="47"/>
      <c r="E869" s="143"/>
      <c r="H869" s="2"/>
      <c r="I869" s="30"/>
    </row>
    <row r="870" spans="4:9">
      <c r="D870" s="47"/>
      <c r="E870" s="143"/>
      <c r="H870" s="2"/>
      <c r="I870" s="30"/>
    </row>
    <row r="871" spans="4:9">
      <c r="D871" s="47"/>
      <c r="E871" s="143"/>
      <c r="H871" s="2"/>
      <c r="I871" s="30"/>
    </row>
    <row r="872" spans="4:9">
      <c r="D872" s="47"/>
      <c r="E872" s="143"/>
      <c r="H872" s="2"/>
      <c r="I872" s="30"/>
    </row>
    <row r="873" spans="4:9">
      <c r="D873" s="47"/>
      <c r="E873" s="143"/>
      <c r="H873" s="2"/>
      <c r="I873" s="30"/>
    </row>
    <row r="874" spans="4:9">
      <c r="D874" s="47"/>
      <c r="E874" s="143"/>
      <c r="H874" s="2"/>
      <c r="I874" s="30"/>
    </row>
    <row r="875" spans="4:9">
      <c r="D875" s="47"/>
      <c r="E875" s="143"/>
      <c r="H875" s="2"/>
      <c r="I875" s="30"/>
    </row>
    <row r="876" spans="4:9">
      <c r="D876" s="47"/>
      <c r="E876" s="143"/>
      <c r="H876" s="2"/>
      <c r="I876" s="30"/>
    </row>
    <row r="877" spans="4:9">
      <c r="D877" s="47"/>
      <c r="E877" s="143"/>
      <c r="H877" s="2"/>
      <c r="I877" s="30"/>
    </row>
    <row r="878" spans="4:9">
      <c r="D878" s="47"/>
      <c r="E878" s="143"/>
      <c r="H878" s="2"/>
      <c r="I878" s="30"/>
    </row>
    <row r="879" spans="4:9">
      <c r="D879" s="47"/>
      <c r="E879" s="143"/>
      <c r="H879" s="2"/>
      <c r="I879" s="30"/>
    </row>
    <row r="880" spans="4:9">
      <c r="D880" s="47"/>
      <c r="E880" s="143"/>
      <c r="H880" s="2"/>
      <c r="I880" s="30"/>
    </row>
    <row r="881" spans="4:9">
      <c r="D881" s="47"/>
      <c r="E881" s="143"/>
      <c r="H881" s="2"/>
      <c r="I881" s="30"/>
    </row>
    <row r="882" spans="4:9">
      <c r="D882" s="47"/>
      <c r="E882" s="143"/>
      <c r="H882" s="2"/>
      <c r="I882" s="30"/>
    </row>
    <row r="883" spans="4:9">
      <c r="D883" s="47"/>
      <c r="E883" s="143"/>
      <c r="H883" s="2"/>
      <c r="I883" s="30"/>
    </row>
    <row r="884" spans="4:9">
      <c r="D884" s="47"/>
      <c r="E884" s="143"/>
      <c r="H884" s="2"/>
      <c r="I884" s="30"/>
    </row>
    <row r="885" spans="4:9">
      <c r="D885" s="47"/>
      <c r="E885" s="143"/>
      <c r="H885" s="2"/>
      <c r="I885" s="30"/>
    </row>
    <row r="886" spans="4:9">
      <c r="D886" s="47"/>
      <c r="E886" s="143"/>
      <c r="H886" s="2"/>
      <c r="I886" s="30"/>
    </row>
    <row r="887" spans="4:9">
      <c r="D887" s="47"/>
      <c r="E887" s="143"/>
      <c r="H887" s="2"/>
      <c r="I887" s="30"/>
    </row>
    <row r="888" spans="4:9">
      <c r="D888" s="47"/>
      <c r="E888" s="143"/>
      <c r="H888" s="2"/>
      <c r="I888" s="30"/>
    </row>
    <row r="889" spans="4:9">
      <c r="D889" s="47"/>
      <c r="E889" s="143"/>
      <c r="H889" s="2"/>
      <c r="I889" s="30"/>
    </row>
    <row r="890" spans="4:9">
      <c r="D890" s="47"/>
      <c r="E890" s="143"/>
      <c r="H890" s="2"/>
      <c r="I890" s="30"/>
    </row>
    <row r="891" spans="4:9">
      <c r="D891" s="47"/>
      <c r="E891" s="143"/>
      <c r="H891" s="2"/>
      <c r="I891" s="30"/>
    </row>
    <row r="892" spans="4:9">
      <c r="D892" s="47"/>
      <c r="E892" s="143"/>
      <c r="H892" s="2"/>
      <c r="I892" s="30"/>
    </row>
    <row r="893" spans="4:9">
      <c r="D893" s="47"/>
      <c r="E893" s="143"/>
      <c r="H893" s="2"/>
      <c r="I893" s="30"/>
    </row>
    <row r="894" spans="4:9">
      <c r="D894" s="47"/>
      <c r="E894" s="143"/>
      <c r="H894" s="2"/>
      <c r="I894" s="30"/>
    </row>
    <row r="895" spans="4:9">
      <c r="D895" s="47"/>
      <c r="E895" s="143"/>
      <c r="H895" s="2"/>
      <c r="I895" s="30"/>
    </row>
    <row r="896" spans="4:9">
      <c r="D896" s="47"/>
      <c r="E896" s="143"/>
      <c r="H896" s="2"/>
      <c r="I896" s="30"/>
    </row>
    <row r="897" spans="4:9">
      <c r="D897" s="47"/>
      <c r="E897" s="143"/>
      <c r="H897" s="2"/>
      <c r="I897" s="30"/>
    </row>
    <row r="898" spans="4:9">
      <c r="D898" s="47"/>
      <c r="E898" s="143"/>
      <c r="H898" s="2"/>
      <c r="I898" s="30"/>
    </row>
    <row r="899" spans="4:9">
      <c r="D899" s="47"/>
      <c r="E899" s="143"/>
      <c r="H899" s="2"/>
      <c r="I899" s="30"/>
    </row>
    <row r="900" spans="4:9">
      <c r="D900" s="47"/>
      <c r="E900" s="143"/>
      <c r="H900" s="2"/>
      <c r="I900" s="30"/>
    </row>
    <row r="901" spans="4:9">
      <c r="D901" s="47"/>
      <c r="E901" s="143"/>
      <c r="H901" s="2"/>
      <c r="I901" s="30"/>
    </row>
    <row r="902" spans="4:9">
      <c r="D902" s="47"/>
      <c r="E902" s="143"/>
      <c r="H902" s="2"/>
      <c r="I902" s="30"/>
    </row>
    <row r="903" spans="4:9">
      <c r="D903" s="47"/>
      <c r="E903" s="143"/>
      <c r="H903" s="2"/>
      <c r="I903" s="30"/>
    </row>
    <row r="904" spans="4:9">
      <c r="D904" s="47"/>
      <c r="E904" s="143"/>
      <c r="H904" s="2"/>
      <c r="I904" s="30"/>
    </row>
    <row r="905" spans="4:9">
      <c r="D905" s="47"/>
      <c r="E905" s="143"/>
      <c r="H905" s="2"/>
      <c r="I905" s="30"/>
    </row>
    <row r="906" spans="4:9">
      <c r="D906" s="47"/>
      <c r="E906" s="143"/>
      <c r="H906" s="2"/>
      <c r="I906" s="30"/>
    </row>
    <row r="907" spans="4:9">
      <c r="D907" s="47"/>
      <c r="E907" s="143"/>
      <c r="H907" s="2"/>
      <c r="I907" s="30"/>
    </row>
    <row r="908" spans="4:9">
      <c r="D908" s="47"/>
      <c r="E908" s="143"/>
      <c r="H908" s="2"/>
      <c r="I908" s="30"/>
    </row>
    <row r="909" spans="4:9">
      <c r="D909" s="47"/>
      <c r="E909" s="143"/>
      <c r="H909" s="2"/>
      <c r="I909" s="30"/>
    </row>
    <row r="910" spans="4:9">
      <c r="D910" s="47"/>
      <c r="E910" s="143"/>
      <c r="H910" s="2"/>
      <c r="I910" s="30"/>
    </row>
    <row r="911" spans="4:9">
      <c r="D911" s="47"/>
      <c r="E911" s="143"/>
      <c r="H911" s="2"/>
      <c r="I911" s="30"/>
    </row>
    <row r="912" spans="4:9">
      <c r="D912" s="47"/>
      <c r="E912" s="143"/>
      <c r="H912" s="2"/>
      <c r="I912" s="30"/>
    </row>
    <row r="913" spans="4:9">
      <c r="D913" s="47"/>
      <c r="E913" s="143"/>
      <c r="H913" s="2"/>
      <c r="I913" s="30"/>
    </row>
    <row r="914" spans="4:9">
      <c r="D914" s="47"/>
      <c r="E914" s="143"/>
      <c r="H914" s="2"/>
      <c r="I914" s="30"/>
    </row>
    <row r="915" spans="4:9">
      <c r="D915" s="47"/>
      <c r="E915" s="143"/>
      <c r="H915" s="2"/>
      <c r="I915" s="30"/>
    </row>
    <row r="916" spans="4:9">
      <c r="D916" s="47"/>
      <c r="E916" s="143"/>
      <c r="H916" s="2"/>
      <c r="I916" s="30"/>
    </row>
    <row r="917" spans="4:9">
      <c r="D917" s="47"/>
      <c r="E917" s="143"/>
      <c r="H917" s="2"/>
      <c r="I917" s="30"/>
    </row>
    <row r="918" spans="4:9">
      <c r="D918" s="47"/>
      <c r="E918" s="143"/>
      <c r="H918" s="2"/>
      <c r="I918" s="30"/>
    </row>
    <row r="919" spans="4:9">
      <c r="D919" s="47"/>
      <c r="E919" s="143"/>
      <c r="H919" s="2"/>
      <c r="I919" s="30"/>
    </row>
    <row r="920" spans="4:9">
      <c r="D920" s="47"/>
      <c r="E920" s="143"/>
      <c r="H920" s="2"/>
      <c r="I920" s="30"/>
    </row>
    <row r="921" spans="4:9">
      <c r="D921" s="47"/>
      <c r="E921" s="143"/>
      <c r="H921" s="2"/>
      <c r="I921" s="30"/>
    </row>
    <row r="922" spans="4:9">
      <c r="D922" s="47"/>
      <c r="E922" s="143"/>
      <c r="H922" s="2"/>
      <c r="I922" s="30"/>
    </row>
    <row r="923" spans="4:9">
      <c r="D923" s="47"/>
      <c r="E923" s="143"/>
      <c r="H923" s="2"/>
      <c r="I923" s="30"/>
    </row>
    <row r="924" spans="4:9">
      <c r="D924" s="47"/>
      <c r="E924" s="143"/>
      <c r="H924" s="2"/>
      <c r="I924" s="30"/>
    </row>
    <row r="925" spans="4:9">
      <c r="D925" s="47"/>
      <c r="E925" s="143"/>
      <c r="H925" s="2"/>
      <c r="I925" s="30"/>
    </row>
    <row r="926" spans="4:9">
      <c r="D926" s="47"/>
      <c r="E926" s="143"/>
      <c r="H926" s="2"/>
      <c r="I926" s="30"/>
    </row>
    <row r="927" spans="4:9">
      <c r="D927" s="47"/>
      <c r="E927" s="143"/>
      <c r="H927" s="2"/>
      <c r="I927" s="30"/>
    </row>
    <row r="928" spans="4:9">
      <c r="D928" s="47"/>
      <c r="E928" s="143"/>
      <c r="H928" s="2"/>
      <c r="I928" s="30"/>
    </row>
    <row r="929" spans="4:9">
      <c r="D929" s="47"/>
      <c r="E929" s="143"/>
      <c r="H929" s="2"/>
      <c r="I929" s="30"/>
    </row>
    <row r="930" spans="4:9">
      <c r="D930" s="47"/>
      <c r="E930" s="143"/>
      <c r="H930" s="2"/>
      <c r="I930" s="30"/>
    </row>
    <row r="931" spans="4:9">
      <c r="D931" s="47"/>
      <c r="E931" s="143"/>
      <c r="H931" s="2"/>
      <c r="I931" s="30"/>
    </row>
    <row r="932" spans="4:9">
      <c r="D932" s="47"/>
      <c r="E932" s="143"/>
      <c r="H932" s="2"/>
      <c r="I932" s="30"/>
    </row>
    <row r="933" spans="4:9">
      <c r="D933" s="47"/>
      <c r="E933" s="143"/>
      <c r="H933" s="2"/>
      <c r="I933" s="30"/>
    </row>
    <row r="934" spans="4:9">
      <c r="D934" s="47"/>
      <c r="E934" s="143"/>
      <c r="H934" s="2"/>
      <c r="I934" s="30"/>
    </row>
    <row r="935" spans="4:9">
      <c r="D935" s="47"/>
      <c r="E935" s="143"/>
      <c r="H935" s="2"/>
      <c r="I935" s="30"/>
    </row>
    <row r="936" spans="4:9">
      <c r="D936" s="47"/>
      <c r="E936" s="143"/>
      <c r="H936" s="2"/>
      <c r="I936" s="30"/>
    </row>
    <row r="937" spans="4:9">
      <c r="D937" s="47"/>
      <c r="E937" s="143"/>
      <c r="H937" s="2"/>
      <c r="I937" s="30"/>
    </row>
    <row r="938" spans="4:9">
      <c r="D938" s="47"/>
      <c r="E938" s="143"/>
      <c r="H938" s="2"/>
      <c r="I938" s="30"/>
    </row>
    <row r="939" spans="4:9">
      <c r="D939" s="47"/>
      <c r="E939" s="143"/>
      <c r="H939" s="2"/>
      <c r="I939" s="30"/>
    </row>
    <row r="940" spans="4:9">
      <c r="D940" s="47"/>
      <c r="E940" s="143"/>
      <c r="H940" s="2"/>
      <c r="I940" s="30"/>
    </row>
    <row r="941" spans="4:9">
      <c r="D941" s="47"/>
      <c r="E941" s="143"/>
      <c r="H941" s="2"/>
      <c r="I941" s="30"/>
    </row>
    <row r="942" spans="4:9">
      <c r="D942" s="47"/>
      <c r="E942" s="143"/>
      <c r="H942" s="2"/>
      <c r="I942" s="30"/>
    </row>
    <row r="943" spans="4:9">
      <c r="D943" s="47"/>
      <c r="E943" s="143"/>
      <c r="H943" s="2"/>
      <c r="I943" s="30"/>
    </row>
    <row r="944" spans="4:9">
      <c r="D944" s="47"/>
      <c r="E944" s="143"/>
      <c r="H944" s="2"/>
      <c r="I944" s="30"/>
    </row>
    <row r="945" spans="4:15">
      <c r="D945" s="47"/>
      <c r="E945" s="143"/>
      <c r="H945" s="2"/>
      <c r="I945" s="30"/>
    </row>
    <row r="946" spans="4:15">
      <c r="D946" s="47"/>
      <c r="E946" s="143"/>
      <c r="H946" s="2"/>
      <c r="I946" s="30"/>
    </row>
    <row r="947" spans="4:15">
      <c r="D947" s="47"/>
      <c r="E947" s="143"/>
      <c r="H947" s="2"/>
      <c r="I947" s="30"/>
    </row>
    <row r="948" spans="4:15">
      <c r="D948" s="47"/>
      <c r="E948" s="143"/>
      <c r="H948" s="2"/>
      <c r="I948" s="30"/>
    </row>
    <row r="949" spans="4:15">
      <c r="D949" s="47"/>
      <c r="E949" s="143"/>
      <c r="H949" s="2"/>
      <c r="I949" s="30"/>
    </row>
    <row r="950" spans="4:15">
      <c r="D950" s="47"/>
      <c r="E950" s="143"/>
      <c r="H950" s="2"/>
      <c r="I950" s="30"/>
    </row>
    <row r="951" spans="4:15">
      <c r="K951" s="143"/>
      <c r="N951" s="2"/>
      <c r="O951" s="30"/>
    </row>
    <row r="952" spans="4:15">
      <c r="K952" s="143"/>
      <c r="N952" s="2"/>
      <c r="O952" s="30"/>
    </row>
    <row r="953" spans="4:15">
      <c r="K953" s="143"/>
      <c r="N953" s="2"/>
      <c r="O953" s="30"/>
    </row>
    <row r="954" spans="4:15">
      <c r="K954" s="143"/>
      <c r="N954" s="2"/>
      <c r="O954" s="30"/>
    </row>
    <row r="955" spans="4:15">
      <c r="K955" s="143"/>
      <c r="N955" s="2"/>
      <c r="O955" s="30"/>
    </row>
    <row r="956" spans="4:15">
      <c r="K956" s="143"/>
      <c r="N956" s="2"/>
      <c r="O956" s="30"/>
    </row>
    <row r="957" spans="4:15">
      <c r="K957" s="143"/>
      <c r="N957" s="2"/>
      <c r="O957" s="30"/>
    </row>
    <row r="958" spans="4:15">
      <c r="K958" s="143"/>
      <c r="N958" s="2"/>
      <c r="O958" s="30"/>
    </row>
    <row r="959" spans="4:15">
      <c r="K959" s="143"/>
      <c r="N959" s="2"/>
      <c r="O959" s="30"/>
    </row>
    <row r="960" spans="4:15">
      <c r="K960" s="143"/>
      <c r="N960" s="2"/>
      <c r="O960" s="30"/>
    </row>
    <row r="961" spans="11:15">
      <c r="K961" s="143"/>
      <c r="N961" s="2"/>
      <c r="O961" s="30"/>
    </row>
    <row r="962" spans="11:15">
      <c r="K962" s="143"/>
      <c r="N962" s="2"/>
      <c r="O962" s="30"/>
    </row>
    <row r="963" spans="11:15">
      <c r="K963" s="143"/>
      <c r="N963" s="2"/>
      <c r="O963" s="30"/>
    </row>
    <row r="964" spans="11:15">
      <c r="K964" s="143"/>
      <c r="N964" s="2"/>
      <c r="O964" s="30"/>
    </row>
    <row r="965" spans="11:15">
      <c r="K965" s="143"/>
      <c r="N965" s="2"/>
      <c r="O965" s="30"/>
    </row>
    <row r="966" spans="11:15">
      <c r="K966" s="143"/>
      <c r="N966" s="2"/>
      <c r="O966" s="30"/>
    </row>
    <row r="967" spans="11:15">
      <c r="K967" s="143"/>
      <c r="N967" s="2"/>
      <c r="O967" s="30"/>
    </row>
    <row r="968" spans="11:15">
      <c r="K968" s="143"/>
      <c r="N968" s="2"/>
      <c r="O968" s="30"/>
    </row>
    <row r="969" spans="11:15">
      <c r="K969" s="143"/>
      <c r="N969" s="2"/>
      <c r="O969" s="30"/>
    </row>
    <row r="970" spans="11:15">
      <c r="K970" s="143"/>
      <c r="N970" s="2"/>
      <c r="O970" s="30"/>
    </row>
    <row r="971" spans="11:15">
      <c r="K971" s="143"/>
      <c r="N971" s="2"/>
      <c r="O971" s="30"/>
    </row>
    <row r="972" spans="11:15">
      <c r="K972" s="143"/>
      <c r="N972" s="2"/>
      <c r="O972" s="30"/>
    </row>
  </sheetData>
  <mergeCells count="11">
    <mergeCell ref="W8:W9"/>
    <mergeCell ref="X8:X9"/>
    <mergeCell ref="F3:F5"/>
    <mergeCell ref="G3:G5"/>
    <mergeCell ref="B8:B9"/>
    <mergeCell ref="C8:C9"/>
    <mergeCell ref="A8:A9"/>
    <mergeCell ref="D8:D9"/>
    <mergeCell ref="E8:E9"/>
    <mergeCell ref="F8:F9"/>
    <mergeCell ref="G8:G9"/>
  </mergeCells>
  <hyperlinks>
    <hyperlink ref="M6" r:id="rId1" xr:uid="{EF5D3C23-D262-4D8F-A502-E3747867C4E0}"/>
    <hyperlink ref="M7" r:id="rId2" xr:uid="{125C5EFD-7AC2-463C-9AF0-BBFCD0B606EC}"/>
    <hyperlink ref="M4" r:id="rId3" xr:uid="{9BBD97E8-EA17-4F61-B5BC-30E35983A88E}"/>
    <hyperlink ref="M3" r:id="rId4" xr:uid="{583BE0B9-7DFF-45A3-A2AE-A2119FFE09F3}"/>
    <hyperlink ref="M5" r:id="rId5" xr:uid="{0C41DD07-7A6C-4535-B491-FB71CE3F7517}"/>
    <hyperlink ref="M8" r:id="rId6" xr:uid="{4B47DEFA-AB37-427E-9E07-C3A845F2C568}"/>
    <hyperlink ref="M9" r:id="rId7" xr:uid="{6DD61A07-7B91-45AB-A755-CA4E1F2330D3}"/>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BEC6A-DC6F-4925-9DCD-A628CEA23542}">
  <dimension ref="A1:Z4"/>
  <sheetViews>
    <sheetView workbookViewId="0">
      <selection activeCell="C3" sqref="C3"/>
    </sheetView>
  </sheetViews>
  <sheetFormatPr defaultRowHeight="12.75"/>
  <cols>
    <col min="1" max="1" width="7.5703125" customWidth="1"/>
    <col min="2" max="2" width="20" customWidth="1"/>
    <col min="3" max="3" width="17.7109375" customWidth="1"/>
    <col min="4" max="4" width="16.140625" customWidth="1"/>
    <col min="5" max="5" width="14.7109375" customWidth="1"/>
    <col min="6" max="6" width="53.85546875" customWidth="1"/>
    <col min="7" max="7" width="14.140625" customWidth="1"/>
    <col min="8" max="8" width="16.5703125" customWidth="1"/>
    <col min="9" max="9" width="19" customWidth="1"/>
    <col min="10" max="10" width="18.140625" customWidth="1"/>
    <col min="11" max="11" width="15.28515625" customWidth="1"/>
  </cols>
  <sheetData>
    <row r="1" spans="1:26" ht="14.25">
      <c r="A1" s="59" t="s">
        <v>248</v>
      </c>
      <c r="B1" s="154" t="s">
        <v>11</v>
      </c>
      <c r="C1" s="155" t="s">
        <v>306</v>
      </c>
      <c r="D1" s="154" t="s">
        <v>250</v>
      </c>
      <c r="E1" s="155" t="s">
        <v>308</v>
      </c>
      <c r="F1" s="155" t="s">
        <v>309</v>
      </c>
      <c r="G1" s="154" t="s">
        <v>310</v>
      </c>
      <c r="H1" s="154" t="s">
        <v>312</v>
      </c>
      <c r="I1" s="154" t="s">
        <v>253</v>
      </c>
      <c r="J1" s="156" t="s">
        <v>313</v>
      </c>
      <c r="K1" s="157" t="s">
        <v>274</v>
      </c>
      <c r="L1" s="35"/>
      <c r="M1" s="35"/>
      <c r="N1" s="35"/>
      <c r="O1" s="35"/>
      <c r="P1" s="35"/>
      <c r="Q1" s="35"/>
      <c r="R1" s="35"/>
      <c r="S1" s="35"/>
      <c r="T1" s="35"/>
      <c r="U1" s="35"/>
      <c r="V1" s="35"/>
      <c r="W1" s="35"/>
      <c r="X1" s="35"/>
      <c r="Y1" s="35"/>
      <c r="Z1" s="35"/>
    </row>
    <row r="2" spans="1:26" s="137" customFormat="1">
      <c r="A2" s="46">
        <v>1</v>
      </c>
      <c r="B2" s="298" t="s">
        <v>1598</v>
      </c>
      <c r="C2" s="62" t="s">
        <v>1619</v>
      </c>
      <c r="D2" s="304" t="s">
        <v>1035</v>
      </c>
      <c r="E2" s="41" t="s">
        <v>553</v>
      </c>
      <c r="F2" s="11" t="s">
        <v>1604</v>
      </c>
      <c r="G2" s="41" t="s">
        <v>560</v>
      </c>
      <c r="H2" s="41" t="s">
        <v>556</v>
      </c>
      <c r="I2" s="41" t="s">
        <v>557</v>
      </c>
      <c r="J2" s="41" t="s">
        <v>737</v>
      </c>
      <c r="K2" s="41" t="s">
        <v>1620</v>
      </c>
      <c r="L2" s="244"/>
      <c r="M2" s="244"/>
      <c r="N2" s="244"/>
      <c r="O2" s="244"/>
      <c r="P2" s="244"/>
      <c r="Q2" s="244"/>
      <c r="R2" s="244"/>
      <c r="S2" s="244"/>
      <c r="T2" s="244"/>
      <c r="U2" s="244"/>
      <c r="V2" s="244"/>
    </row>
    <row r="3" spans="1:26" s="137" customFormat="1" ht="24">
      <c r="A3" s="62">
        <v>2</v>
      </c>
      <c r="B3" s="298" t="s">
        <v>1598</v>
      </c>
      <c r="C3" s="62" t="s">
        <v>1621</v>
      </c>
      <c r="D3" s="304" t="s">
        <v>1035</v>
      </c>
      <c r="E3" s="41" t="s">
        <v>553</v>
      </c>
      <c r="F3" s="316" t="s">
        <v>1607</v>
      </c>
      <c r="G3" s="41" t="s">
        <v>560</v>
      </c>
      <c r="H3" s="41" t="s">
        <v>556</v>
      </c>
      <c r="I3" s="41" t="s">
        <v>557</v>
      </c>
      <c r="J3" s="41" t="s">
        <v>737</v>
      </c>
      <c r="K3" s="41" t="s">
        <v>1620</v>
      </c>
    </row>
    <row r="4" spans="1:26">
      <c r="B4" s="298"/>
      <c r="D4" s="35"/>
      <c r="E4" s="35"/>
      <c r="F4" s="144"/>
      <c r="G4" s="35"/>
      <c r="H4" s="35"/>
      <c r="I4" s="35"/>
      <c r="J4" s="35"/>
      <c r="K4" s="35"/>
    </row>
  </sheetData>
  <dataValidations count="4">
    <dataValidation type="list" allowBlank="1" showErrorMessage="1" sqref="G2:G4" xr:uid="{15A5B737-ED5E-4200-B0D0-8BD51E26D9CC}">
      <formula1>"Minor,Significant,Major"</formula1>
    </dataValidation>
    <dataValidation type="list" allowBlank="1" showErrorMessage="1" sqref="I2:I4" xr:uid="{EE6EF92D-1137-4926-AF4F-DEBFAF33523E}">
      <formula1>"Open,Inprogress,Closed"</formula1>
    </dataValidation>
    <dataValidation type="list" allowBlank="1" showErrorMessage="1" sqref="E2:E4" xr:uid="{935AFF2A-CB26-460A-AB97-AAD9E3DDCDF4}">
      <formula1>"Bounceback,Defect,None"</formula1>
    </dataValidation>
    <dataValidation type="list" allowBlank="1" showErrorMessage="1" sqref="H2:H4" xr:uid="{E9851822-3ECA-460E-A791-BDC1C31CEDA7}">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B79DEEC6-E1EF-422F-BD62-1953E3CDF7C1}">
          <x14:formula1>
            <xm:f>Details!$A$2:$A$10</xm:f>
          </x14:formula1>
          <xm:sqref>J2:J4</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B70B8-F927-40A9-BD97-EEECDE161FA5}">
  <dimension ref="A1:AD976"/>
  <sheetViews>
    <sheetView topLeftCell="T1" workbookViewId="0">
      <selection activeCell="W10" sqref="W10"/>
    </sheetView>
  </sheetViews>
  <sheetFormatPr defaultRowHeight="12.75"/>
  <cols>
    <col min="1" max="1" width="8.28515625" style="181" customWidth="1"/>
    <col min="2" max="2" width="27.5703125" customWidth="1"/>
    <col min="3" max="3" width="18.5703125" style="47" customWidth="1"/>
    <col min="4" max="4" width="18.28515625" customWidth="1"/>
    <col min="5" max="5" width="35.140625" customWidth="1"/>
    <col min="6" max="7" width="9.140625" style="53"/>
    <col min="12" max="12" width="33.140625" customWidth="1"/>
    <col min="13" max="13" width="22.7109375" customWidth="1"/>
    <col min="14" max="14" width="10.7109375" bestFit="1" customWidth="1"/>
    <col min="15" max="15" width="10.42578125" customWidth="1"/>
    <col min="17" max="17" width="13.28515625" customWidth="1"/>
    <col min="19" max="19" width="9.42578125" bestFit="1" customWidth="1"/>
    <col min="20" max="20" width="14.7109375" customWidth="1"/>
    <col min="21" max="21" width="15.28515625" customWidth="1"/>
    <col min="22" max="22" width="14.7109375" customWidth="1"/>
    <col min="23" max="23" width="18.140625" style="137" customWidth="1"/>
    <col min="24" max="24" width="48.28515625" customWidth="1"/>
  </cols>
  <sheetData>
    <row r="1" spans="1:30" ht="14.25">
      <c r="A1" s="184"/>
      <c r="B1" s="4"/>
      <c r="C1" s="5"/>
      <c r="D1" s="5"/>
      <c r="E1" s="4"/>
      <c r="F1" s="48"/>
      <c r="G1" s="48"/>
      <c r="H1" s="197"/>
      <c r="I1" s="243"/>
      <c r="J1" s="197"/>
      <c r="K1" s="197"/>
      <c r="L1" s="197"/>
      <c r="M1" s="197"/>
      <c r="N1" s="197"/>
      <c r="O1" s="197"/>
      <c r="P1" s="197"/>
      <c r="Q1" s="197"/>
      <c r="R1" s="197"/>
      <c r="S1" s="197"/>
      <c r="T1" s="197"/>
      <c r="U1" s="197"/>
      <c r="V1" s="197"/>
      <c r="W1" s="188"/>
      <c r="X1" s="209"/>
    </row>
    <row r="2" spans="1:30" ht="46.5">
      <c r="A2" s="193" t="s">
        <v>248</v>
      </c>
      <c r="B2" s="59" t="s">
        <v>249</v>
      </c>
      <c r="C2" s="195" t="s">
        <v>250</v>
      </c>
      <c r="D2" s="68" t="s">
        <v>251</v>
      </c>
      <c r="E2" s="70" t="s">
        <v>252</v>
      </c>
      <c r="F2" s="71" t="s">
        <v>254</v>
      </c>
      <c r="G2" s="71" t="s">
        <v>255</v>
      </c>
      <c r="H2" s="199" t="s">
        <v>259</v>
      </c>
      <c r="I2" s="199" t="s">
        <v>260</v>
      </c>
      <c r="J2" s="199" t="s">
        <v>261</v>
      </c>
      <c r="K2" s="199" t="s">
        <v>262</v>
      </c>
      <c r="L2" s="199" t="s">
        <v>263</v>
      </c>
      <c r="M2" s="199" t="s">
        <v>264</v>
      </c>
      <c r="N2" s="199" t="s">
        <v>265</v>
      </c>
      <c r="O2" s="199" t="s">
        <v>266</v>
      </c>
      <c r="P2" s="199" t="s">
        <v>1571</v>
      </c>
      <c r="Q2" s="199" t="s">
        <v>268</v>
      </c>
      <c r="R2" s="199" t="s">
        <v>1572</v>
      </c>
      <c r="S2" s="199" t="s">
        <v>270</v>
      </c>
      <c r="T2" s="199" t="s">
        <v>268</v>
      </c>
      <c r="U2" s="199" t="s">
        <v>272</v>
      </c>
      <c r="V2" s="199" t="s">
        <v>273</v>
      </c>
      <c r="W2" s="189" t="s">
        <v>253</v>
      </c>
      <c r="X2" s="210" t="s">
        <v>274</v>
      </c>
    </row>
    <row r="3" spans="1:30" s="286" customFormat="1" ht="27.75" customHeight="1">
      <c r="A3" s="302">
        <v>1</v>
      </c>
      <c r="B3" s="298" t="s">
        <v>1622</v>
      </c>
      <c r="C3" s="304" t="s">
        <v>1035</v>
      </c>
      <c r="D3" s="275" t="s">
        <v>1623</v>
      </c>
      <c r="E3" s="291" t="s">
        <v>1624</v>
      </c>
      <c r="F3" s="916">
        <v>5</v>
      </c>
      <c r="G3" s="916">
        <v>5</v>
      </c>
      <c r="H3" s="191" t="s">
        <v>318</v>
      </c>
      <c r="I3" s="191" t="s">
        <v>1577</v>
      </c>
      <c r="J3" s="191" t="s">
        <v>1556</v>
      </c>
      <c r="K3" s="191" t="s">
        <v>595</v>
      </c>
      <c r="L3" s="191" t="s">
        <v>1557</v>
      </c>
      <c r="M3" s="279" t="s">
        <v>1625</v>
      </c>
      <c r="N3" s="282">
        <v>45488</v>
      </c>
      <c r="O3" s="282">
        <v>45489</v>
      </c>
      <c r="P3" s="282" t="s">
        <v>322</v>
      </c>
      <c r="Q3" s="282" t="s">
        <v>1557</v>
      </c>
      <c r="R3" s="282" t="s">
        <v>323</v>
      </c>
      <c r="S3" s="282">
        <v>45489</v>
      </c>
      <c r="T3" s="282" t="s">
        <v>1557</v>
      </c>
      <c r="U3" s="282" t="s">
        <v>1557</v>
      </c>
      <c r="V3" s="282" t="s">
        <v>1557</v>
      </c>
      <c r="W3" s="203" t="s">
        <v>13</v>
      </c>
      <c r="X3" s="191"/>
    </row>
    <row r="4" spans="1:30" s="287" customFormat="1" ht="27.75" customHeight="1">
      <c r="A4" s="302">
        <v>2</v>
      </c>
      <c r="B4" s="298" t="s">
        <v>1622</v>
      </c>
      <c r="C4" s="304" t="s">
        <v>1035</v>
      </c>
      <c r="D4" s="203" t="s">
        <v>1626</v>
      </c>
      <c r="E4" s="203" t="s">
        <v>1627</v>
      </c>
      <c r="F4" s="917"/>
      <c r="G4" s="917"/>
      <c r="H4" s="304" t="s">
        <v>318</v>
      </c>
      <c r="I4" s="304" t="s">
        <v>1577</v>
      </c>
      <c r="J4" s="304" t="s">
        <v>1556</v>
      </c>
      <c r="K4" s="304" t="s">
        <v>595</v>
      </c>
      <c r="L4" s="304" t="s">
        <v>1557</v>
      </c>
      <c r="M4" s="231" t="s">
        <v>1628</v>
      </c>
      <c r="N4" s="284">
        <v>45489</v>
      </c>
      <c r="O4" s="232">
        <v>45489</v>
      </c>
      <c r="P4" s="41" t="s">
        <v>322</v>
      </c>
      <c r="Q4" s="203" t="s">
        <v>1557</v>
      </c>
      <c r="R4" s="203" t="s">
        <v>1321</v>
      </c>
      <c r="S4" s="206">
        <v>45489</v>
      </c>
      <c r="T4" s="203" t="s">
        <v>1557</v>
      </c>
      <c r="U4" s="203" t="s">
        <v>1557</v>
      </c>
      <c r="V4" s="203" t="s">
        <v>1557</v>
      </c>
      <c r="W4" s="203" t="s">
        <v>13</v>
      </c>
      <c r="X4" s="203"/>
      <c r="Y4" s="137"/>
      <c r="Z4" s="137"/>
      <c r="AA4" s="137"/>
      <c r="AB4" s="137"/>
      <c r="AC4" s="137"/>
      <c r="AD4" s="137"/>
    </row>
    <row r="5" spans="1:30" s="286" customFormat="1" ht="27.75" customHeight="1">
      <c r="A5" s="302">
        <v>3</v>
      </c>
      <c r="B5" s="303" t="s">
        <v>1622</v>
      </c>
      <c r="C5" s="126" t="s">
        <v>1629</v>
      </c>
      <c r="D5" s="257" t="s">
        <v>1630</v>
      </c>
      <c r="E5" s="305" t="s">
        <v>1631</v>
      </c>
      <c r="F5" s="918"/>
      <c r="G5" s="918"/>
      <c r="H5" s="304" t="s">
        <v>318</v>
      </c>
      <c r="I5" s="304" t="s">
        <v>1577</v>
      </c>
      <c r="J5" s="304" t="s">
        <v>1556</v>
      </c>
      <c r="K5" s="304" t="s">
        <v>595</v>
      </c>
      <c r="L5" s="304" t="s">
        <v>1557</v>
      </c>
      <c r="M5" s="271" t="s">
        <v>1632</v>
      </c>
      <c r="N5" s="308">
        <v>45490</v>
      </c>
      <c r="O5" s="306">
        <v>45490</v>
      </c>
      <c r="P5" s="41" t="s">
        <v>322</v>
      </c>
      <c r="Q5" s="203" t="s">
        <v>1557</v>
      </c>
      <c r="R5" s="203" t="s">
        <v>1321</v>
      </c>
      <c r="S5" s="307">
        <v>45490</v>
      </c>
      <c r="T5" s="203" t="s">
        <v>1557</v>
      </c>
      <c r="U5" s="203" t="s">
        <v>1557</v>
      </c>
      <c r="V5" s="203" t="s">
        <v>1557</v>
      </c>
      <c r="W5" s="203" t="s">
        <v>13</v>
      </c>
      <c r="X5" s="218"/>
      <c r="Y5"/>
      <c r="Z5"/>
      <c r="AA5"/>
      <c r="AB5"/>
      <c r="AC5"/>
      <c r="AD5"/>
    </row>
    <row r="6" spans="1:30" s="287" customFormat="1" ht="24" customHeight="1">
      <c r="A6" s="302">
        <v>4</v>
      </c>
      <c r="B6" s="298" t="s">
        <v>1622</v>
      </c>
      <c r="C6" s="304" t="s">
        <v>595</v>
      </c>
      <c r="D6" s="275" t="s">
        <v>1633</v>
      </c>
      <c r="E6" s="291" t="s">
        <v>1634</v>
      </c>
      <c r="F6" s="916">
        <v>3</v>
      </c>
      <c r="G6" s="916">
        <v>3</v>
      </c>
      <c r="H6" s="191" t="s">
        <v>318</v>
      </c>
      <c r="I6" s="191" t="s">
        <v>595</v>
      </c>
      <c r="J6" s="191" t="s">
        <v>1556</v>
      </c>
      <c r="K6" s="191" t="s">
        <v>595</v>
      </c>
      <c r="L6" s="191" t="s">
        <v>1557</v>
      </c>
      <c r="M6" s="279" t="s">
        <v>1635</v>
      </c>
      <c r="N6" s="282">
        <v>45489</v>
      </c>
      <c r="O6" s="301">
        <v>45489</v>
      </c>
      <c r="P6" s="191" t="s">
        <v>322</v>
      </c>
      <c r="Q6" s="191" t="s">
        <v>1557</v>
      </c>
      <c r="R6" s="282" t="s">
        <v>323</v>
      </c>
      <c r="S6" s="282">
        <v>45490</v>
      </c>
      <c r="T6" s="282" t="s">
        <v>1557</v>
      </c>
      <c r="U6" s="282" t="s">
        <v>1557</v>
      </c>
      <c r="V6" s="282" t="s">
        <v>1557</v>
      </c>
      <c r="W6" s="203" t="s">
        <v>13</v>
      </c>
      <c r="X6" s="278"/>
      <c r="Y6" s="288"/>
      <c r="Z6" s="288"/>
      <c r="AA6" s="288"/>
      <c r="AB6" s="288"/>
      <c r="AC6" s="288"/>
      <c r="AD6" s="288"/>
    </row>
    <row r="7" spans="1:30" s="287" customFormat="1" ht="24" customHeight="1">
      <c r="A7" s="302">
        <v>5</v>
      </c>
      <c r="B7" s="298" t="s">
        <v>1622</v>
      </c>
      <c r="C7" s="304" t="s">
        <v>1035</v>
      </c>
      <c r="D7" s="62" t="s">
        <v>1636</v>
      </c>
      <c r="E7" s="225" t="s">
        <v>1637</v>
      </c>
      <c r="F7" s="918"/>
      <c r="G7" s="918"/>
      <c r="H7" s="191" t="s">
        <v>318</v>
      </c>
      <c r="I7" s="191" t="s">
        <v>1577</v>
      </c>
      <c r="J7" s="191" t="s">
        <v>1556</v>
      </c>
      <c r="K7" s="191" t="s">
        <v>595</v>
      </c>
      <c r="L7" s="191" t="s">
        <v>1557</v>
      </c>
      <c r="M7" s="231" t="s">
        <v>1638</v>
      </c>
      <c r="N7" s="284">
        <v>45489</v>
      </c>
      <c r="O7" s="284">
        <v>45489</v>
      </c>
      <c r="P7" s="41" t="s">
        <v>322</v>
      </c>
      <c r="Q7" s="191" t="s">
        <v>1557</v>
      </c>
      <c r="R7" s="203" t="s">
        <v>1321</v>
      </c>
      <c r="S7" s="206">
        <v>45489</v>
      </c>
      <c r="T7" s="203" t="s">
        <v>1557</v>
      </c>
      <c r="U7" s="203" t="s">
        <v>1557</v>
      </c>
      <c r="V7" s="203" t="s">
        <v>1557</v>
      </c>
      <c r="W7" s="203" t="s">
        <v>13</v>
      </c>
      <c r="X7" s="58"/>
      <c r="Y7"/>
      <c r="Z7"/>
      <c r="AA7"/>
      <c r="AB7"/>
      <c r="AC7"/>
      <c r="AD7"/>
    </row>
    <row r="8" spans="1:30" ht="26.25" customHeight="1">
      <c r="A8" s="302">
        <v>6</v>
      </c>
      <c r="B8" s="298" t="s">
        <v>1622</v>
      </c>
      <c r="C8" s="304" t="s">
        <v>1639</v>
      </c>
      <c r="D8" s="62" t="s">
        <v>1640</v>
      </c>
      <c r="E8" s="299" t="s">
        <v>1641</v>
      </c>
      <c r="F8" s="17">
        <v>3</v>
      </c>
      <c r="G8" s="17">
        <v>3</v>
      </c>
      <c r="H8" s="191" t="s">
        <v>318</v>
      </c>
      <c r="I8" s="191" t="s">
        <v>1035</v>
      </c>
      <c r="J8" s="191" t="s">
        <v>1556</v>
      </c>
      <c r="K8" s="46" t="s">
        <v>595</v>
      </c>
      <c r="L8" s="62" t="s">
        <v>1557</v>
      </c>
      <c r="M8" s="279" t="s">
        <v>1642</v>
      </c>
      <c r="N8" s="284">
        <v>45488</v>
      </c>
      <c r="O8" s="284">
        <v>45488</v>
      </c>
      <c r="P8" s="191" t="s">
        <v>322</v>
      </c>
      <c r="Q8" s="191" t="s">
        <v>1557</v>
      </c>
      <c r="R8" s="191" t="s">
        <v>323</v>
      </c>
      <c r="S8" s="284">
        <v>45489</v>
      </c>
      <c r="T8" s="191" t="s">
        <v>1557</v>
      </c>
      <c r="U8" s="191" t="s">
        <v>1557</v>
      </c>
      <c r="V8" s="191" t="s">
        <v>1557</v>
      </c>
      <c r="W8" s="203" t="s">
        <v>13</v>
      </c>
      <c r="X8" s="58"/>
    </row>
    <row r="9" spans="1:30" ht="26.25" customHeight="1">
      <c r="A9" s="302">
        <v>7</v>
      </c>
      <c r="B9" s="298" t="s">
        <v>1622</v>
      </c>
      <c r="C9" s="304" t="s">
        <v>595</v>
      </c>
      <c r="D9" s="62" t="s">
        <v>1643</v>
      </c>
      <c r="E9" s="299" t="s">
        <v>1644</v>
      </c>
      <c r="F9" s="17">
        <v>2</v>
      </c>
      <c r="G9" s="17">
        <v>2</v>
      </c>
      <c r="H9" s="191" t="s">
        <v>318</v>
      </c>
      <c r="I9" s="191" t="s">
        <v>595</v>
      </c>
      <c r="J9" s="191" t="s">
        <v>1556</v>
      </c>
      <c r="K9" s="46" t="s">
        <v>595</v>
      </c>
      <c r="L9" s="62" t="s">
        <v>1557</v>
      </c>
      <c r="M9" s="279" t="s">
        <v>1645</v>
      </c>
      <c r="N9" s="284">
        <v>45489</v>
      </c>
      <c r="O9" s="284">
        <v>45489</v>
      </c>
      <c r="P9" s="191" t="s">
        <v>322</v>
      </c>
      <c r="Q9" s="191" t="s">
        <v>1557</v>
      </c>
      <c r="R9" s="203" t="s">
        <v>1321</v>
      </c>
      <c r="S9" s="284">
        <v>45489</v>
      </c>
      <c r="T9" s="191" t="s">
        <v>1557</v>
      </c>
      <c r="U9" s="191" t="s">
        <v>1557</v>
      </c>
      <c r="V9" s="191" t="s">
        <v>1557</v>
      </c>
      <c r="W9" s="203" t="s">
        <v>13</v>
      </c>
      <c r="X9" s="58"/>
    </row>
    <row r="10" spans="1:30">
      <c r="B10" s="28"/>
      <c r="C10" s="196"/>
      <c r="D10" s="47"/>
      <c r="E10" s="28"/>
      <c r="F10" s="215"/>
      <c r="G10" s="215"/>
      <c r="H10" s="2"/>
      <c r="I10" s="35"/>
      <c r="K10" s="35"/>
      <c r="M10" s="35"/>
      <c r="N10" s="35"/>
      <c r="O10" s="35"/>
      <c r="P10" s="35"/>
    </row>
    <row r="11" spans="1:30">
      <c r="B11" s="28"/>
      <c r="C11" s="196"/>
      <c r="D11" s="47"/>
      <c r="E11" s="28"/>
      <c r="F11" s="215"/>
      <c r="G11" s="215"/>
      <c r="H11" s="2"/>
      <c r="I11" s="35"/>
      <c r="K11" s="35"/>
      <c r="M11" s="35"/>
      <c r="N11" s="35"/>
      <c r="O11" s="35"/>
      <c r="P11" s="35"/>
    </row>
    <row r="12" spans="1:30">
      <c r="B12" s="28"/>
      <c r="C12" s="196"/>
      <c r="D12" s="47"/>
      <c r="E12" s="28"/>
      <c r="F12" s="215"/>
      <c r="G12" s="215"/>
      <c r="H12" s="2"/>
      <c r="I12" s="35"/>
      <c r="K12" s="35"/>
      <c r="M12" s="35"/>
      <c r="N12" s="35"/>
      <c r="O12" s="35"/>
      <c r="P12" s="35"/>
    </row>
    <row r="13" spans="1:30">
      <c r="B13" s="28"/>
      <c r="C13" s="196"/>
      <c r="D13" s="47"/>
      <c r="E13" s="28"/>
      <c r="F13" s="215"/>
      <c r="G13" s="215"/>
      <c r="H13" s="2"/>
      <c r="I13" s="35"/>
      <c r="K13" s="35"/>
      <c r="M13" s="35"/>
      <c r="N13" s="35"/>
      <c r="O13" s="35"/>
      <c r="P13" s="35"/>
    </row>
    <row r="14" spans="1:30">
      <c r="B14" s="28"/>
      <c r="C14" s="196"/>
      <c r="D14" s="47"/>
      <c r="E14" s="28"/>
      <c r="F14" s="215"/>
      <c r="G14" s="215"/>
      <c r="H14" s="2"/>
      <c r="I14" s="35"/>
      <c r="K14" s="35"/>
      <c r="M14" s="35"/>
      <c r="N14" s="35"/>
      <c r="O14" s="35"/>
      <c r="P14" s="35"/>
    </row>
    <row r="15" spans="1:30">
      <c r="B15" s="28"/>
      <c r="C15" s="196"/>
      <c r="D15" s="47"/>
      <c r="E15" s="28"/>
      <c r="F15" s="215"/>
      <c r="G15" s="215"/>
      <c r="H15" s="2"/>
      <c r="I15" s="35"/>
      <c r="K15" s="35"/>
      <c r="M15" s="35"/>
      <c r="N15" s="35"/>
      <c r="O15" s="35"/>
      <c r="P15" s="35"/>
    </row>
    <row r="16" spans="1:30">
      <c r="B16" s="28"/>
      <c r="C16" s="196"/>
      <c r="D16" s="47"/>
      <c r="E16" s="28"/>
      <c r="F16" s="215"/>
      <c r="G16" s="215"/>
      <c r="H16" s="2"/>
      <c r="I16" s="35"/>
      <c r="K16" s="35"/>
      <c r="M16" s="35"/>
      <c r="N16" s="35"/>
      <c r="O16" s="35"/>
      <c r="P16" s="35"/>
    </row>
    <row r="17" spans="2:16">
      <c r="B17" s="28"/>
      <c r="C17" s="196"/>
      <c r="D17" s="47"/>
      <c r="E17" s="28"/>
      <c r="F17" s="215"/>
      <c r="G17" s="215"/>
      <c r="H17" s="2"/>
      <c r="I17" s="35"/>
      <c r="K17" s="35"/>
      <c r="M17" s="35"/>
      <c r="N17" s="35"/>
      <c r="O17" s="35"/>
      <c r="P17" s="35"/>
    </row>
    <row r="18" spans="2:16">
      <c r="B18" s="28"/>
      <c r="C18" s="196"/>
      <c r="D18" s="47"/>
      <c r="E18" s="28"/>
      <c r="F18" s="215"/>
      <c r="G18" s="215"/>
      <c r="H18" s="2"/>
      <c r="I18" s="35"/>
      <c r="K18" s="35"/>
      <c r="M18" s="35"/>
      <c r="N18" s="35"/>
      <c r="O18" s="35"/>
      <c r="P18" s="35"/>
    </row>
    <row r="19" spans="2:16">
      <c r="B19" s="28"/>
      <c r="C19" s="196"/>
      <c r="D19" s="47"/>
      <c r="E19" s="28"/>
      <c r="F19" s="215"/>
      <c r="G19" s="215"/>
      <c r="H19" s="2"/>
      <c r="I19" s="35"/>
      <c r="K19" s="35"/>
      <c r="M19" s="35"/>
      <c r="N19" s="35"/>
      <c r="O19" s="35"/>
      <c r="P19" s="35"/>
    </row>
    <row r="20" spans="2:16">
      <c r="B20" s="28"/>
      <c r="C20" s="196"/>
      <c r="D20" s="47"/>
      <c r="E20" s="28"/>
      <c r="F20" s="215"/>
      <c r="G20" s="215"/>
      <c r="H20" s="2"/>
      <c r="I20" s="35"/>
      <c r="K20" s="35"/>
      <c r="M20" s="35"/>
      <c r="N20" s="35"/>
      <c r="O20" s="35"/>
      <c r="P20" s="35"/>
    </row>
    <row r="21" spans="2:16">
      <c r="B21" s="28"/>
      <c r="C21" s="196"/>
      <c r="D21" s="47"/>
      <c r="E21" s="28"/>
      <c r="F21" s="215"/>
      <c r="G21" s="215"/>
      <c r="H21" s="2"/>
      <c r="I21" s="35"/>
      <c r="K21" s="35"/>
      <c r="M21" s="35"/>
      <c r="N21" s="35"/>
      <c r="O21" s="35"/>
      <c r="P21" s="35"/>
    </row>
    <row r="22" spans="2:16">
      <c r="B22" s="28"/>
      <c r="C22" s="196"/>
      <c r="D22" s="47"/>
      <c r="E22" s="28"/>
      <c r="F22" s="215"/>
      <c r="G22" s="215"/>
      <c r="H22" s="2"/>
      <c r="I22" s="35"/>
      <c r="K22" s="35"/>
      <c r="M22" s="35"/>
      <c r="N22" s="35"/>
      <c r="O22" s="35"/>
      <c r="P22" s="35"/>
    </row>
    <row r="23" spans="2:16">
      <c r="B23" s="28"/>
      <c r="C23" s="196"/>
      <c r="D23" s="47"/>
      <c r="E23" s="28"/>
      <c r="F23" s="215"/>
      <c r="G23" s="215"/>
      <c r="H23" s="2"/>
      <c r="I23" s="35"/>
      <c r="K23" s="35"/>
      <c r="M23" s="35"/>
      <c r="N23" s="35"/>
      <c r="O23" s="35"/>
      <c r="P23" s="35"/>
    </row>
    <row r="24" spans="2:16">
      <c r="B24" s="28"/>
      <c r="C24" s="196"/>
      <c r="D24" s="47"/>
      <c r="E24" s="28"/>
      <c r="F24" s="215"/>
      <c r="G24" s="215"/>
      <c r="H24" s="2"/>
      <c r="I24" s="35"/>
      <c r="K24" s="35"/>
      <c r="M24" s="35"/>
      <c r="N24" s="35"/>
      <c r="O24" s="35"/>
      <c r="P24" s="35"/>
    </row>
    <row r="25" spans="2:16">
      <c r="B25" s="28"/>
      <c r="C25" s="196"/>
      <c r="D25" s="47"/>
      <c r="E25" s="28"/>
      <c r="F25" s="215"/>
      <c r="G25" s="215"/>
      <c r="H25" s="2"/>
      <c r="I25" s="35"/>
      <c r="K25" s="35"/>
      <c r="M25" s="35"/>
      <c r="N25" s="35"/>
      <c r="O25" s="35"/>
      <c r="P25" s="35"/>
    </row>
    <row r="26" spans="2:16">
      <c r="B26" s="28"/>
      <c r="C26" s="196"/>
      <c r="D26" s="47"/>
      <c r="E26" s="28"/>
      <c r="F26" s="215"/>
      <c r="G26" s="215"/>
      <c r="H26" s="2"/>
      <c r="I26" s="35"/>
      <c r="K26" s="35"/>
      <c r="M26" s="35"/>
      <c r="N26" s="35"/>
      <c r="O26" s="35"/>
      <c r="P26" s="35"/>
    </row>
    <row r="27" spans="2:16">
      <c r="B27" s="28"/>
      <c r="C27" s="196"/>
      <c r="D27" s="47"/>
      <c r="E27" s="28"/>
      <c r="F27" s="215"/>
      <c r="G27" s="215"/>
      <c r="H27" s="2"/>
      <c r="I27" s="35"/>
      <c r="K27" s="35"/>
      <c r="M27" s="35"/>
      <c r="N27" s="35"/>
      <c r="O27" s="35"/>
      <c r="P27" s="35"/>
    </row>
    <row r="28" spans="2:16">
      <c r="B28" s="28"/>
      <c r="C28" s="196"/>
      <c r="D28" s="47"/>
      <c r="E28" s="28"/>
      <c r="F28" s="215"/>
      <c r="G28" s="215"/>
      <c r="H28" s="2"/>
      <c r="I28" s="35"/>
      <c r="K28" s="35"/>
      <c r="M28" s="35"/>
      <c r="N28" s="35"/>
      <c r="O28" s="35"/>
      <c r="P28" s="35"/>
    </row>
    <row r="29" spans="2:16">
      <c r="B29" s="28"/>
      <c r="C29" s="196"/>
      <c r="D29" s="47"/>
      <c r="E29" s="28"/>
      <c r="F29" s="215"/>
      <c r="G29" s="215"/>
      <c r="H29" s="2"/>
      <c r="I29" s="35"/>
      <c r="K29" s="35"/>
      <c r="M29" s="35"/>
      <c r="N29" s="35"/>
      <c r="O29" s="35"/>
      <c r="P29" s="35"/>
    </row>
    <row r="30" spans="2:16">
      <c r="B30" s="28"/>
      <c r="C30" s="196"/>
      <c r="D30" s="47"/>
      <c r="E30" s="28"/>
      <c r="F30" s="215"/>
      <c r="G30" s="215"/>
      <c r="H30" s="2"/>
      <c r="I30" s="35"/>
      <c r="K30" s="35"/>
      <c r="M30" s="35"/>
      <c r="N30" s="35"/>
      <c r="O30" s="35"/>
      <c r="P30" s="35"/>
    </row>
    <row r="31" spans="2:16">
      <c r="B31" s="28"/>
      <c r="C31" s="196"/>
      <c r="D31" s="47"/>
      <c r="E31" s="28"/>
      <c r="F31" s="215"/>
      <c r="G31" s="215"/>
      <c r="H31" s="2"/>
      <c r="I31" s="35"/>
      <c r="K31" s="35"/>
      <c r="M31" s="35"/>
      <c r="N31" s="35"/>
      <c r="O31" s="35"/>
      <c r="P31" s="35"/>
    </row>
    <row r="32" spans="2:16">
      <c r="B32" s="28"/>
      <c r="C32" s="196"/>
      <c r="D32" s="47"/>
      <c r="E32" s="28"/>
      <c r="F32" s="215"/>
      <c r="G32" s="215"/>
      <c r="H32" s="2"/>
      <c r="I32" s="35"/>
      <c r="K32" s="35"/>
      <c r="M32" s="35"/>
      <c r="N32" s="35"/>
      <c r="O32" s="35"/>
      <c r="P32" s="35"/>
    </row>
    <row r="33" spans="2:16">
      <c r="B33" s="28"/>
      <c r="C33" s="196"/>
      <c r="D33" s="47"/>
      <c r="E33" s="28"/>
      <c r="F33" s="215"/>
      <c r="G33" s="215"/>
      <c r="H33" s="2"/>
      <c r="I33" s="35"/>
      <c r="K33" s="35"/>
      <c r="M33" s="35"/>
      <c r="N33" s="35"/>
      <c r="O33" s="35"/>
      <c r="P33" s="35"/>
    </row>
    <row r="34" spans="2:16">
      <c r="B34" s="28"/>
      <c r="C34" s="196"/>
      <c r="D34" s="47"/>
      <c r="E34" s="28"/>
      <c r="F34" s="215"/>
      <c r="G34" s="215"/>
      <c r="H34" s="2"/>
      <c r="I34" s="35"/>
      <c r="K34" s="35"/>
      <c r="M34" s="35"/>
      <c r="N34" s="35"/>
      <c r="O34" s="35"/>
      <c r="P34" s="35"/>
    </row>
    <row r="35" spans="2:16">
      <c r="B35" s="28"/>
      <c r="C35" s="196"/>
      <c r="D35" s="47"/>
      <c r="E35" s="28"/>
      <c r="F35" s="215"/>
      <c r="G35" s="215"/>
      <c r="H35" s="2"/>
      <c r="I35" s="35"/>
      <c r="K35" s="35"/>
      <c r="M35" s="35"/>
      <c r="N35" s="35"/>
      <c r="O35" s="35"/>
      <c r="P35" s="35"/>
    </row>
    <row r="36" spans="2:16">
      <c r="B36" s="28"/>
      <c r="C36" s="196"/>
      <c r="D36" s="47"/>
      <c r="E36" s="28"/>
      <c r="F36" s="215"/>
      <c r="G36" s="215"/>
      <c r="H36" s="2"/>
      <c r="I36" s="35"/>
      <c r="K36" s="35"/>
      <c r="M36" s="35"/>
      <c r="N36" s="35"/>
      <c r="O36" s="35"/>
      <c r="P36" s="35"/>
    </row>
    <row r="37" spans="2:16">
      <c r="B37" s="28"/>
      <c r="C37" s="196"/>
      <c r="D37" s="47"/>
      <c r="E37" s="28"/>
      <c r="F37" s="215"/>
      <c r="G37" s="215"/>
      <c r="H37" s="2"/>
      <c r="I37" s="35"/>
      <c r="K37" s="35"/>
      <c r="M37" s="35"/>
      <c r="N37" s="35"/>
      <c r="O37" s="35"/>
      <c r="P37" s="35"/>
    </row>
    <row r="38" spans="2:16">
      <c r="B38" s="28"/>
      <c r="C38" s="196"/>
      <c r="D38" s="47"/>
      <c r="E38" s="28"/>
      <c r="F38" s="215"/>
      <c r="G38" s="215"/>
      <c r="H38" s="2"/>
      <c r="I38" s="35"/>
      <c r="K38" s="35"/>
      <c r="M38" s="35"/>
      <c r="N38" s="35"/>
      <c r="O38" s="35"/>
      <c r="P38" s="35"/>
    </row>
    <row r="39" spans="2:16">
      <c r="B39" s="28"/>
      <c r="C39" s="196"/>
      <c r="D39" s="47"/>
      <c r="E39" s="28"/>
      <c r="F39" s="215"/>
      <c r="G39" s="215"/>
      <c r="H39" s="2"/>
      <c r="I39" s="35"/>
      <c r="K39" s="35"/>
      <c r="M39" s="35"/>
      <c r="N39" s="35"/>
      <c r="O39" s="35"/>
      <c r="P39" s="35"/>
    </row>
    <row r="40" spans="2:16">
      <c r="B40" s="28"/>
      <c r="C40" s="196"/>
      <c r="D40" s="47"/>
      <c r="E40" s="28"/>
      <c r="F40" s="215"/>
      <c r="G40" s="215"/>
      <c r="H40" s="2"/>
      <c r="I40" s="35"/>
      <c r="K40" s="35"/>
      <c r="M40" s="35"/>
      <c r="N40" s="35"/>
      <c r="O40" s="35"/>
      <c r="P40" s="35"/>
    </row>
    <row r="41" spans="2:16">
      <c r="B41" s="28"/>
      <c r="C41" s="196"/>
      <c r="D41" s="47"/>
      <c r="E41" s="28"/>
      <c r="F41" s="215"/>
      <c r="G41" s="215"/>
      <c r="H41" s="2"/>
      <c r="I41" s="35"/>
      <c r="K41" s="35"/>
      <c r="M41" s="35"/>
      <c r="N41" s="35"/>
      <c r="O41" s="35"/>
      <c r="P41" s="35"/>
    </row>
    <row r="42" spans="2:16">
      <c r="B42" s="28"/>
      <c r="C42" s="196"/>
      <c r="D42" s="47"/>
      <c r="E42" s="28"/>
      <c r="F42" s="215"/>
      <c r="G42" s="215"/>
      <c r="H42" s="2"/>
      <c r="I42" s="35"/>
      <c r="K42" s="35"/>
      <c r="M42" s="35"/>
      <c r="N42" s="35"/>
      <c r="O42" s="35"/>
      <c r="P42" s="35"/>
    </row>
    <row r="43" spans="2:16">
      <c r="B43" s="28"/>
      <c r="C43" s="196"/>
      <c r="D43" s="47"/>
      <c r="E43" s="28"/>
      <c r="F43" s="215"/>
      <c r="G43" s="215"/>
      <c r="H43" s="2"/>
      <c r="I43" s="35"/>
      <c r="K43" s="35"/>
      <c r="M43" s="35"/>
      <c r="N43" s="35"/>
      <c r="O43" s="35"/>
      <c r="P43" s="35"/>
    </row>
    <row r="44" spans="2:16">
      <c r="B44" s="28"/>
      <c r="C44" s="196"/>
      <c r="D44" s="47"/>
      <c r="E44" s="28"/>
      <c r="F44" s="215"/>
      <c r="G44" s="215"/>
      <c r="H44" s="2"/>
      <c r="I44" s="35"/>
      <c r="K44" s="35"/>
      <c r="M44" s="35"/>
      <c r="N44" s="35"/>
      <c r="O44" s="35"/>
      <c r="P44" s="35"/>
    </row>
    <row r="45" spans="2:16">
      <c r="B45" s="28"/>
      <c r="C45" s="196"/>
      <c r="D45" s="47"/>
      <c r="E45" s="28"/>
      <c r="F45" s="215"/>
      <c r="G45" s="215"/>
      <c r="H45" s="2"/>
      <c r="I45" s="35"/>
      <c r="K45" s="35"/>
      <c r="M45" s="35"/>
      <c r="N45" s="35"/>
      <c r="O45" s="35"/>
      <c r="P45" s="35"/>
    </row>
    <row r="46" spans="2:16">
      <c r="B46" s="28"/>
      <c r="C46" s="196"/>
      <c r="D46" s="47"/>
      <c r="E46" s="28"/>
      <c r="F46" s="215"/>
      <c r="G46" s="215"/>
      <c r="H46" s="2"/>
      <c r="I46" s="35"/>
      <c r="K46" s="35"/>
      <c r="M46" s="35"/>
      <c r="N46" s="35"/>
      <c r="O46" s="35"/>
      <c r="P46" s="35"/>
    </row>
    <row r="47" spans="2:16">
      <c r="B47" s="28"/>
      <c r="C47" s="196"/>
      <c r="D47" s="47"/>
      <c r="E47" s="28"/>
      <c r="F47" s="215"/>
      <c r="G47" s="215"/>
      <c r="H47" s="2"/>
      <c r="I47" s="35"/>
      <c r="K47" s="35"/>
      <c r="M47" s="35"/>
      <c r="N47" s="35"/>
      <c r="O47" s="35"/>
      <c r="P47" s="35"/>
    </row>
    <row r="48" spans="2:16">
      <c r="B48" s="28"/>
      <c r="C48" s="196"/>
      <c r="D48" s="47"/>
      <c r="E48" s="28"/>
      <c r="F48" s="215"/>
      <c r="G48" s="215"/>
      <c r="H48" s="2"/>
      <c r="I48" s="35"/>
      <c r="K48" s="35"/>
      <c r="M48" s="35"/>
      <c r="N48" s="35"/>
      <c r="O48" s="35"/>
      <c r="P48" s="35"/>
    </row>
    <row r="49" spans="2:16">
      <c r="B49" s="28"/>
      <c r="C49" s="196"/>
      <c r="D49" s="47"/>
      <c r="E49" s="28"/>
      <c r="F49" s="215"/>
      <c r="G49" s="215"/>
      <c r="H49" s="2"/>
      <c r="I49" s="35"/>
      <c r="K49" s="35"/>
      <c r="M49" s="35"/>
      <c r="N49" s="35"/>
      <c r="O49" s="35"/>
      <c r="P49" s="35"/>
    </row>
    <row r="50" spans="2:16">
      <c r="B50" s="28"/>
      <c r="C50" s="196"/>
      <c r="D50" s="47"/>
      <c r="E50" s="28"/>
      <c r="F50" s="215"/>
      <c r="G50" s="215"/>
      <c r="H50" s="2"/>
      <c r="I50" s="35"/>
      <c r="K50" s="35"/>
      <c r="M50" s="35"/>
      <c r="N50" s="35"/>
      <c r="O50" s="35"/>
      <c r="P50" s="35"/>
    </row>
    <row r="51" spans="2:16">
      <c r="B51" s="28"/>
      <c r="C51" s="196"/>
      <c r="D51" s="47"/>
      <c r="E51" s="28"/>
      <c r="F51" s="215"/>
      <c r="G51" s="215"/>
      <c r="H51" s="2"/>
      <c r="I51" s="35"/>
      <c r="K51" s="35"/>
      <c r="M51" s="35"/>
      <c r="N51" s="35"/>
      <c r="O51" s="35"/>
      <c r="P51" s="35"/>
    </row>
    <row r="52" spans="2:16">
      <c r="B52" s="28"/>
      <c r="C52" s="196"/>
      <c r="D52" s="47"/>
      <c r="E52" s="28"/>
      <c r="F52" s="215"/>
      <c r="G52" s="215"/>
      <c r="H52" s="2"/>
      <c r="I52" s="35"/>
      <c r="K52" s="35"/>
      <c r="M52" s="35"/>
      <c r="N52" s="35"/>
      <c r="O52" s="35"/>
      <c r="P52" s="35"/>
    </row>
    <row r="53" spans="2:16">
      <c r="B53" s="28"/>
      <c r="C53" s="196"/>
      <c r="D53" s="47"/>
      <c r="E53" s="28"/>
      <c r="F53" s="215"/>
      <c r="G53" s="215"/>
      <c r="H53" s="2"/>
      <c r="I53" s="35"/>
      <c r="K53" s="35"/>
      <c r="M53" s="35"/>
      <c r="N53" s="35"/>
      <c r="O53" s="35"/>
      <c r="P53" s="35"/>
    </row>
    <row r="54" spans="2:16">
      <c r="B54" s="28"/>
      <c r="C54" s="196"/>
      <c r="D54" s="47"/>
      <c r="E54" s="28"/>
      <c r="F54" s="215"/>
      <c r="G54" s="215"/>
      <c r="H54" s="2"/>
      <c r="I54" s="35"/>
      <c r="K54" s="35"/>
      <c r="M54" s="35"/>
      <c r="N54" s="35"/>
      <c r="O54" s="35"/>
      <c r="P54" s="35"/>
    </row>
    <row r="55" spans="2:16">
      <c r="B55" s="28"/>
      <c r="C55" s="196"/>
      <c r="D55" s="47"/>
      <c r="E55" s="28"/>
      <c r="F55" s="215"/>
      <c r="G55" s="215"/>
      <c r="H55" s="2"/>
      <c r="I55" s="35"/>
      <c r="K55" s="35"/>
      <c r="M55" s="35"/>
      <c r="N55" s="35"/>
      <c r="O55" s="35"/>
      <c r="P55" s="35"/>
    </row>
    <row r="56" spans="2:16">
      <c r="B56" s="28"/>
      <c r="C56" s="196"/>
      <c r="D56" s="47"/>
      <c r="E56" s="28"/>
      <c r="F56" s="215"/>
      <c r="G56" s="215"/>
      <c r="H56" s="2"/>
      <c r="I56" s="35"/>
      <c r="K56" s="35"/>
      <c r="M56" s="35"/>
      <c r="N56" s="35"/>
      <c r="O56" s="35"/>
      <c r="P56" s="35"/>
    </row>
    <row r="57" spans="2:16">
      <c r="B57" s="28"/>
      <c r="C57" s="196"/>
      <c r="D57" s="47"/>
      <c r="E57" s="28"/>
      <c r="F57" s="215"/>
      <c r="G57" s="215"/>
      <c r="H57" s="2"/>
      <c r="I57" s="35"/>
      <c r="K57" s="35"/>
      <c r="M57" s="35"/>
      <c r="N57" s="35"/>
      <c r="O57" s="35"/>
      <c r="P57" s="35"/>
    </row>
    <row r="58" spans="2:16">
      <c r="B58" s="28"/>
      <c r="C58" s="196"/>
      <c r="D58" s="47"/>
      <c r="E58" s="28"/>
      <c r="F58" s="215"/>
      <c r="G58" s="215"/>
      <c r="H58" s="2"/>
      <c r="I58" s="35"/>
      <c r="K58" s="35"/>
      <c r="M58" s="35"/>
      <c r="N58" s="35"/>
      <c r="O58" s="35"/>
      <c r="P58" s="35"/>
    </row>
    <row r="59" spans="2:16">
      <c r="B59" s="28"/>
      <c r="C59" s="196"/>
      <c r="D59" s="47"/>
      <c r="E59" s="28"/>
      <c r="F59" s="215"/>
      <c r="G59" s="215"/>
      <c r="H59" s="2"/>
      <c r="I59" s="35"/>
      <c r="K59" s="35"/>
      <c r="M59" s="35"/>
      <c r="N59" s="35"/>
      <c r="O59" s="35"/>
      <c r="P59" s="35"/>
    </row>
    <row r="60" spans="2:16">
      <c r="B60" s="28"/>
      <c r="C60" s="196"/>
      <c r="D60" s="47"/>
      <c r="E60" s="28"/>
      <c r="F60" s="215"/>
      <c r="G60" s="215"/>
      <c r="H60" s="2"/>
      <c r="I60" s="35"/>
      <c r="K60" s="35"/>
      <c r="M60" s="35"/>
      <c r="N60" s="35"/>
      <c r="O60" s="35"/>
      <c r="P60" s="35"/>
    </row>
    <row r="61" spans="2:16">
      <c r="B61" s="28"/>
      <c r="C61" s="196"/>
      <c r="D61" s="47"/>
      <c r="E61" s="28"/>
      <c r="F61" s="215"/>
      <c r="G61" s="215"/>
      <c r="H61" s="2"/>
      <c r="I61" s="35"/>
      <c r="K61" s="35"/>
      <c r="M61" s="35"/>
      <c r="N61" s="35"/>
      <c r="O61" s="35"/>
      <c r="P61" s="35"/>
    </row>
    <row r="62" spans="2:16">
      <c r="B62" s="28"/>
      <c r="C62" s="196"/>
      <c r="D62" s="47"/>
      <c r="E62" s="28"/>
      <c r="F62" s="215"/>
      <c r="G62" s="215"/>
      <c r="H62" s="2"/>
      <c r="I62" s="35"/>
      <c r="K62" s="35"/>
      <c r="M62" s="35"/>
      <c r="N62" s="35"/>
      <c r="O62" s="35"/>
      <c r="P62" s="35"/>
    </row>
    <row r="63" spans="2:16">
      <c r="B63" s="28"/>
      <c r="C63" s="196"/>
      <c r="D63" s="47"/>
      <c r="E63" s="28"/>
      <c r="F63" s="215"/>
      <c r="G63" s="215"/>
      <c r="H63" s="2"/>
      <c r="I63" s="35"/>
      <c r="K63" s="35"/>
      <c r="M63" s="35"/>
      <c r="N63" s="35"/>
      <c r="O63" s="35"/>
      <c r="P63" s="35"/>
    </row>
    <row r="64" spans="2:16">
      <c r="B64" s="28"/>
      <c r="C64" s="196"/>
      <c r="D64" s="47"/>
      <c r="E64" s="28"/>
      <c r="F64" s="215"/>
      <c r="G64" s="215"/>
      <c r="H64" s="2"/>
      <c r="I64" s="35"/>
      <c r="K64" s="35"/>
      <c r="M64" s="35"/>
      <c r="N64" s="35"/>
      <c r="O64" s="35"/>
      <c r="P64" s="35"/>
    </row>
    <row r="65" spans="2:16">
      <c r="B65" s="28"/>
      <c r="C65" s="196"/>
      <c r="D65" s="47"/>
      <c r="E65" s="28"/>
      <c r="F65" s="215"/>
      <c r="G65" s="215"/>
      <c r="H65" s="2"/>
      <c r="I65" s="35"/>
      <c r="K65" s="35"/>
      <c r="M65" s="35"/>
      <c r="N65" s="35"/>
      <c r="O65" s="35"/>
      <c r="P65" s="35"/>
    </row>
    <row r="66" spans="2:16">
      <c r="B66" s="28"/>
      <c r="C66" s="196"/>
      <c r="D66" s="47"/>
      <c r="E66" s="28"/>
      <c r="F66" s="215"/>
      <c r="G66" s="215"/>
      <c r="H66" s="2"/>
      <c r="I66" s="35"/>
      <c r="K66" s="35"/>
      <c r="M66" s="35"/>
      <c r="N66" s="35"/>
      <c r="O66" s="35"/>
      <c r="P66" s="35"/>
    </row>
    <row r="67" spans="2:16">
      <c r="B67" s="28"/>
      <c r="C67" s="196"/>
      <c r="D67" s="47"/>
      <c r="E67" s="28"/>
      <c r="F67" s="215"/>
      <c r="G67" s="215"/>
      <c r="H67" s="2"/>
      <c r="I67" s="35"/>
      <c r="K67" s="35"/>
      <c r="M67" s="35"/>
      <c r="N67" s="35"/>
      <c r="O67" s="35"/>
      <c r="P67" s="35"/>
    </row>
    <row r="68" spans="2:16">
      <c r="B68" s="28"/>
      <c r="C68" s="196"/>
      <c r="D68" s="47"/>
      <c r="E68" s="28"/>
      <c r="F68" s="215"/>
      <c r="G68" s="215"/>
      <c r="H68" s="2"/>
      <c r="I68" s="35"/>
      <c r="K68" s="35"/>
      <c r="M68" s="35"/>
      <c r="N68" s="35"/>
      <c r="O68" s="35"/>
      <c r="P68" s="35"/>
    </row>
    <row r="69" spans="2:16">
      <c r="B69" s="28"/>
      <c r="C69" s="196"/>
      <c r="D69" s="47"/>
      <c r="E69" s="28"/>
      <c r="F69" s="215"/>
      <c r="G69" s="215"/>
      <c r="H69" s="2"/>
      <c r="I69" s="35"/>
      <c r="K69" s="35"/>
      <c r="M69" s="35"/>
      <c r="N69" s="35"/>
      <c r="O69" s="35"/>
      <c r="P69" s="35"/>
    </row>
    <row r="70" spans="2:16">
      <c r="B70" s="28"/>
      <c r="C70" s="196"/>
      <c r="D70" s="47"/>
      <c r="E70" s="28"/>
      <c r="F70" s="215"/>
      <c r="G70" s="215"/>
      <c r="H70" s="2"/>
      <c r="I70" s="35"/>
      <c r="K70" s="35"/>
      <c r="M70" s="35"/>
      <c r="N70" s="35"/>
      <c r="O70" s="35"/>
      <c r="P70" s="35"/>
    </row>
    <row r="71" spans="2:16">
      <c r="B71" s="28"/>
      <c r="C71" s="196"/>
      <c r="D71" s="47"/>
      <c r="E71" s="28"/>
      <c r="F71" s="215"/>
      <c r="G71" s="215"/>
      <c r="H71" s="2"/>
      <c r="I71" s="35"/>
      <c r="K71" s="35"/>
      <c r="M71" s="35"/>
      <c r="N71" s="35"/>
      <c r="O71" s="35"/>
      <c r="P71" s="35"/>
    </row>
    <row r="72" spans="2:16">
      <c r="B72" s="28"/>
      <c r="C72" s="196"/>
      <c r="D72" s="47"/>
      <c r="E72" s="28"/>
      <c r="F72" s="215"/>
      <c r="G72" s="215"/>
      <c r="H72" s="2"/>
      <c r="I72" s="35"/>
      <c r="K72" s="35"/>
      <c r="M72" s="35"/>
      <c r="N72" s="35"/>
      <c r="O72" s="35"/>
      <c r="P72" s="35"/>
    </row>
    <row r="73" spans="2:16">
      <c r="B73" s="28"/>
      <c r="C73" s="196"/>
      <c r="D73" s="47"/>
      <c r="E73" s="28"/>
      <c r="F73" s="215"/>
      <c r="G73" s="215"/>
      <c r="H73" s="2"/>
      <c r="I73" s="35"/>
      <c r="K73" s="35"/>
      <c r="M73" s="35"/>
      <c r="N73" s="35"/>
      <c r="O73" s="35"/>
      <c r="P73" s="35"/>
    </row>
    <row r="74" spans="2:16">
      <c r="B74" s="28"/>
      <c r="C74" s="196"/>
      <c r="D74" s="47"/>
      <c r="E74" s="28"/>
      <c r="F74" s="215"/>
      <c r="G74" s="215"/>
      <c r="H74" s="2"/>
      <c r="I74" s="35"/>
      <c r="K74" s="35"/>
      <c r="M74" s="35"/>
      <c r="N74" s="35"/>
      <c r="O74" s="35"/>
      <c r="P74" s="35"/>
    </row>
    <row r="75" spans="2:16">
      <c r="B75" s="28"/>
      <c r="C75" s="196"/>
      <c r="D75" s="47"/>
      <c r="E75" s="28"/>
      <c r="F75" s="215"/>
      <c r="G75" s="215"/>
      <c r="H75" s="2"/>
      <c r="I75" s="35"/>
      <c r="K75" s="35"/>
      <c r="M75" s="35"/>
      <c r="N75" s="35"/>
      <c r="O75" s="35"/>
      <c r="P75" s="35"/>
    </row>
    <row r="76" spans="2:16">
      <c r="B76" s="28"/>
      <c r="C76" s="196"/>
      <c r="D76" s="47"/>
      <c r="E76" s="28"/>
      <c r="F76" s="215"/>
      <c r="G76" s="215"/>
      <c r="H76" s="2"/>
      <c r="I76" s="35"/>
      <c r="K76" s="35"/>
      <c r="M76" s="35"/>
      <c r="N76" s="35"/>
      <c r="O76" s="35"/>
      <c r="P76" s="35"/>
    </row>
    <row r="77" spans="2:16">
      <c r="B77" s="28"/>
      <c r="C77" s="196"/>
      <c r="D77" s="47"/>
      <c r="E77" s="28"/>
      <c r="F77" s="215"/>
      <c r="G77" s="215"/>
      <c r="H77" s="2"/>
      <c r="I77" s="35"/>
      <c r="K77" s="35"/>
      <c r="M77" s="35"/>
      <c r="N77" s="35"/>
      <c r="O77" s="35"/>
      <c r="P77" s="35"/>
    </row>
    <row r="78" spans="2:16">
      <c r="B78" s="28"/>
      <c r="C78" s="196"/>
      <c r="D78" s="47"/>
      <c r="E78" s="28"/>
      <c r="F78" s="215"/>
      <c r="G78" s="215"/>
      <c r="H78" s="2"/>
      <c r="I78" s="35"/>
      <c r="K78" s="35"/>
      <c r="M78" s="35"/>
      <c r="N78" s="35"/>
      <c r="O78" s="35"/>
      <c r="P78" s="35"/>
    </row>
    <row r="79" spans="2:16">
      <c r="B79" s="28"/>
      <c r="C79" s="196"/>
      <c r="D79" s="47"/>
      <c r="E79" s="28"/>
      <c r="F79" s="215"/>
      <c r="G79" s="215"/>
      <c r="H79" s="2"/>
      <c r="I79" s="35"/>
      <c r="K79" s="35"/>
      <c r="M79" s="35"/>
      <c r="N79" s="35"/>
      <c r="O79" s="35"/>
      <c r="P79" s="35"/>
    </row>
    <row r="80" spans="2:16">
      <c r="B80" s="28"/>
      <c r="C80" s="196"/>
      <c r="D80" s="47"/>
      <c r="E80" s="28"/>
      <c r="F80" s="215"/>
      <c r="G80" s="215"/>
      <c r="H80" s="2"/>
      <c r="I80" s="35"/>
      <c r="K80" s="35"/>
      <c r="M80" s="35"/>
      <c r="N80" s="35"/>
      <c r="O80" s="35"/>
      <c r="P80" s="35"/>
    </row>
    <row r="81" spans="2:16">
      <c r="B81" s="28"/>
      <c r="C81" s="196"/>
      <c r="D81" s="47"/>
      <c r="E81" s="28"/>
      <c r="F81" s="215"/>
      <c r="G81" s="215"/>
      <c r="H81" s="2"/>
      <c r="I81" s="35"/>
      <c r="K81" s="35"/>
      <c r="M81" s="35"/>
      <c r="N81" s="35"/>
      <c r="O81" s="35"/>
      <c r="P81" s="35"/>
    </row>
    <row r="82" spans="2:16">
      <c r="B82" s="28"/>
      <c r="C82" s="196"/>
      <c r="D82" s="47"/>
      <c r="E82" s="28"/>
      <c r="F82" s="215"/>
      <c r="G82" s="215"/>
      <c r="H82" s="2"/>
      <c r="I82" s="35"/>
      <c r="K82" s="35"/>
      <c r="M82" s="35"/>
      <c r="N82" s="35"/>
      <c r="O82" s="35"/>
      <c r="P82" s="35"/>
    </row>
    <row r="83" spans="2:16">
      <c r="B83" s="28"/>
      <c r="C83" s="196"/>
      <c r="D83" s="47"/>
      <c r="E83" s="28"/>
      <c r="F83" s="215"/>
      <c r="G83" s="215"/>
      <c r="H83" s="2"/>
      <c r="I83" s="35"/>
      <c r="K83" s="35"/>
      <c r="M83" s="35"/>
      <c r="N83" s="35"/>
      <c r="O83" s="35"/>
      <c r="P83" s="35"/>
    </row>
    <row r="84" spans="2:16">
      <c r="B84" s="28"/>
      <c r="C84" s="196"/>
      <c r="D84" s="47"/>
      <c r="E84" s="28"/>
      <c r="F84" s="215"/>
      <c r="G84" s="215"/>
      <c r="H84" s="2"/>
      <c r="I84" s="35"/>
      <c r="K84" s="35"/>
      <c r="M84" s="35"/>
      <c r="N84" s="35"/>
      <c r="O84" s="35"/>
      <c r="P84" s="35"/>
    </row>
    <row r="85" spans="2:16">
      <c r="B85" s="28"/>
      <c r="C85" s="196"/>
      <c r="D85" s="47"/>
      <c r="E85" s="28"/>
      <c r="F85" s="215"/>
      <c r="G85" s="215"/>
      <c r="H85" s="2"/>
      <c r="I85" s="107"/>
      <c r="K85" s="35"/>
      <c r="M85" s="35"/>
      <c r="N85" s="35"/>
      <c r="O85" s="35"/>
      <c r="P85" s="35"/>
    </row>
    <row r="86" spans="2:16">
      <c r="B86" s="28"/>
      <c r="C86" s="196"/>
      <c r="D86" s="47"/>
      <c r="E86" s="28"/>
      <c r="F86" s="215"/>
      <c r="G86" s="215"/>
      <c r="H86" s="2"/>
      <c r="I86" s="19"/>
      <c r="K86" s="35"/>
      <c r="M86" s="35"/>
      <c r="N86" s="35"/>
      <c r="O86" s="35"/>
      <c r="P86" s="35"/>
    </row>
    <row r="87" spans="2:16">
      <c r="B87" s="28"/>
      <c r="C87" s="196"/>
      <c r="D87" s="47"/>
      <c r="E87" s="28"/>
      <c r="F87" s="215"/>
      <c r="G87" s="215"/>
      <c r="H87" s="2"/>
      <c r="I87" s="19"/>
      <c r="K87" s="35"/>
      <c r="M87" s="35"/>
      <c r="N87" s="35"/>
      <c r="O87" s="35"/>
      <c r="P87" s="35"/>
    </row>
    <row r="88" spans="2:16">
      <c r="B88" s="28"/>
      <c r="C88" s="196"/>
      <c r="D88" s="47"/>
      <c r="E88" s="28"/>
      <c r="F88" s="215"/>
      <c r="G88" s="215"/>
      <c r="H88" s="2"/>
      <c r="I88" s="19"/>
      <c r="K88" s="35"/>
      <c r="M88" s="35"/>
      <c r="N88" s="35"/>
      <c r="O88" s="35"/>
      <c r="P88" s="35"/>
    </row>
    <row r="89" spans="2:16">
      <c r="B89" s="28"/>
      <c r="C89" s="196"/>
      <c r="D89" s="47"/>
      <c r="E89" s="28"/>
      <c r="F89" s="215"/>
      <c r="G89" s="215"/>
      <c r="H89" s="2"/>
      <c r="I89" s="19"/>
      <c r="K89" s="35"/>
      <c r="M89" s="35"/>
      <c r="N89" s="35"/>
      <c r="O89" s="35"/>
      <c r="P89" s="35"/>
    </row>
    <row r="90" spans="2:16">
      <c r="B90" s="28"/>
      <c r="C90" s="196"/>
      <c r="D90" s="47"/>
      <c r="E90" s="28"/>
      <c r="F90" s="215"/>
      <c r="G90" s="215"/>
      <c r="H90" s="2"/>
      <c r="I90" s="19"/>
      <c r="K90" s="35"/>
      <c r="M90" s="35"/>
      <c r="N90" s="35"/>
      <c r="O90" s="35"/>
      <c r="P90" s="35"/>
    </row>
    <row r="91" spans="2:16">
      <c r="B91" s="28"/>
      <c r="C91" s="196"/>
      <c r="D91" s="47"/>
      <c r="E91" s="28"/>
      <c r="F91" s="215"/>
      <c r="G91" s="215"/>
      <c r="H91" s="2"/>
      <c r="I91" s="19"/>
      <c r="K91" s="35"/>
      <c r="M91" s="35"/>
      <c r="N91" s="35"/>
      <c r="O91" s="35"/>
      <c r="P91" s="35"/>
    </row>
    <row r="92" spans="2:16">
      <c r="B92" s="28"/>
      <c r="C92" s="196"/>
      <c r="D92" s="47"/>
      <c r="E92" s="28"/>
      <c r="F92" s="215"/>
      <c r="G92" s="215"/>
      <c r="H92" s="2"/>
      <c r="I92" s="19"/>
      <c r="K92" s="35"/>
      <c r="M92" s="35"/>
      <c r="N92" s="35"/>
      <c r="O92" s="35"/>
      <c r="P92" s="35"/>
    </row>
    <row r="93" spans="2:16">
      <c r="B93" s="28"/>
      <c r="C93" s="196"/>
      <c r="D93" s="47"/>
      <c r="E93" s="28"/>
      <c r="F93" s="215"/>
      <c r="G93" s="215"/>
      <c r="H93" s="2"/>
      <c r="I93" s="19"/>
      <c r="K93" s="35"/>
      <c r="M93" s="35"/>
      <c r="N93" s="35"/>
      <c r="O93" s="35"/>
      <c r="P93" s="35"/>
    </row>
    <row r="94" spans="2:16">
      <c r="B94" s="28"/>
      <c r="C94" s="196"/>
      <c r="D94" s="47"/>
      <c r="E94" s="28"/>
      <c r="F94" s="215"/>
      <c r="G94" s="215"/>
      <c r="H94" s="2"/>
      <c r="I94" s="19"/>
      <c r="K94" s="35"/>
      <c r="M94" s="35"/>
      <c r="N94" s="35"/>
      <c r="O94" s="35"/>
      <c r="P94" s="35"/>
    </row>
    <row r="95" spans="2:16">
      <c r="B95" s="28"/>
      <c r="C95" s="196"/>
      <c r="D95" s="47"/>
      <c r="E95" s="28"/>
      <c r="F95" s="215"/>
      <c r="G95" s="215"/>
      <c r="H95" s="2"/>
      <c r="I95" s="19"/>
      <c r="K95" s="35"/>
      <c r="M95" s="35"/>
      <c r="N95" s="35"/>
      <c r="O95" s="35"/>
      <c r="P95" s="35"/>
    </row>
    <row r="96" spans="2:16">
      <c r="B96" s="28"/>
      <c r="C96" s="196"/>
      <c r="D96" s="47"/>
      <c r="E96" s="28"/>
      <c r="F96" s="215"/>
      <c r="G96" s="215"/>
      <c r="H96" s="2"/>
      <c r="I96" s="19"/>
      <c r="K96" s="35"/>
      <c r="M96" s="35"/>
      <c r="N96" s="35"/>
      <c r="O96" s="35"/>
      <c r="P96" s="35"/>
    </row>
    <row r="97" spans="2:16">
      <c r="B97" s="28"/>
      <c r="C97" s="196"/>
      <c r="D97" s="47"/>
      <c r="E97" s="28"/>
      <c r="F97" s="215"/>
      <c r="G97" s="215"/>
      <c r="H97" s="2"/>
      <c r="I97" s="19"/>
      <c r="K97" s="35"/>
      <c r="M97" s="35"/>
      <c r="N97" s="35"/>
      <c r="O97" s="35"/>
      <c r="P97" s="35"/>
    </row>
    <row r="98" spans="2:16">
      <c r="B98" s="28"/>
      <c r="C98" s="196"/>
      <c r="D98" s="47"/>
      <c r="E98" s="28"/>
      <c r="F98" s="215"/>
      <c r="G98" s="215"/>
      <c r="H98" s="2"/>
      <c r="I98" s="19"/>
      <c r="K98" s="35"/>
      <c r="M98" s="35"/>
      <c r="N98" s="35"/>
      <c r="O98" s="35"/>
      <c r="P98" s="35"/>
    </row>
    <row r="99" spans="2:16">
      <c r="B99" s="28"/>
      <c r="C99" s="196"/>
      <c r="D99" s="47"/>
      <c r="E99" s="28"/>
      <c r="F99" s="215"/>
      <c r="G99" s="215"/>
      <c r="H99" s="2"/>
      <c r="I99" s="19"/>
      <c r="K99" s="35"/>
      <c r="M99" s="35"/>
      <c r="N99" s="35"/>
      <c r="O99" s="35"/>
      <c r="P99" s="35"/>
    </row>
    <row r="100" spans="2:16">
      <c r="B100" s="28"/>
      <c r="C100" s="196"/>
      <c r="D100" s="47"/>
      <c r="E100" s="28"/>
      <c r="F100" s="215"/>
      <c r="G100" s="215"/>
      <c r="H100" s="2"/>
      <c r="I100" s="19"/>
      <c r="K100" s="35"/>
      <c r="M100" s="35"/>
      <c r="N100" s="35"/>
      <c r="O100" s="35"/>
      <c r="P100" s="35"/>
    </row>
    <row r="101" spans="2:16">
      <c r="B101" s="28"/>
      <c r="C101" s="196"/>
      <c r="D101" s="47"/>
      <c r="E101" s="28"/>
      <c r="F101" s="215"/>
      <c r="G101" s="215"/>
      <c r="H101" s="2"/>
      <c r="I101" s="19"/>
      <c r="K101" s="35"/>
      <c r="M101" s="35"/>
      <c r="N101" s="35"/>
      <c r="O101" s="35"/>
      <c r="P101" s="35"/>
    </row>
    <row r="102" spans="2:16">
      <c r="B102" s="28"/>
      <c r="C102" s="196"/>
      <c r="D102" s="47"/>
      <c r="E102" s="28"/>
      <c r="F102" s="215"/>
      <c r="G102" s="215"/>
      <c r="H102" s="2"/>
      <c r="I102" s="19"/>
      <c r="K102" s="35"/>
      <c r="M102" s="35"/>
      <c r="N102" s="35"/>
      <c r="O102" s="35"/>
      <c r="P102" s="35"/>
    </row>
    <row r="103" spans="2:16">
      <c r="B103" s="28"/>
      <c r="C103" s="196"/>
      <c r="D103" s="47"/>
      <c r="E103" s="28"/>
      <c r="F103" s="215"/>
      <c r="G103" s="215"/>
      <c r="H103" s="2"/>
      <c r="I103" s="19"/>
      <c r="K103" s="35"/>
      <c r="M103" s="35"/>
      <c r="N103" s="35"/>
      <c r="O103" s="35"/>
      <c r="P103" s="35"/>
    </row>
    <row r="104" spans="2:16">
      <c r="B104" s="28"/>
      <c r="C104" s="196"/>
      <c r="D104" s="47"/>
      <c r="E104" s="28"/>
      <c r="F104" s="215"/>
      <c r="G104" s="215"/>
      <c r="H104" s="2"/>
      <c r="I104" s="19"/>
      <c r="K104" s="35"/>
      <c r="M104" s="35"/>
      <c r="N104" s="35"/>
      <c r="O104" s="35"/>
      <c r="P104" s="35"/>
    </row>
    <row r="105" spans="2:16">
      <c r="B105" s="28"/>
      <c r="C105" s="196"/>
      <c r="D105" s="47"/>
      <c r="E105" s="28"/>
      <c r="F105" s="215"/>
      <c r="G105" s="215"/>
      <c r="H105" s="2"/>
      <c r="I105" s="19"/>
      <c r="K105" s="35"/>
      <c r="M105" s="35"/>
      <c r="N105" s="35"/>
      <c r="O105" s="35"/>
      <c r="P105" s="35"/>
    </row>
    <row r="106" spans="2:16">
      <c r="B106" s="28"/>
      <c r="C106" s="196"/>
      <c r="D106" s="47"/>
      <c r="E106" s="28"/>
      <c r="F106" s="215"/>
      <c r="G106" s="215"/>
      <c r="H106" s="2"/>
      <c r="I106" s="19"/>
      <c r="K106" s="35"/>
      <c r="M106" s="35"/>
      <c r="N106" s="35"/>
      <c r="O106" s="35"/>
      <c r="P106" s="35"/>
    </row>
    <row r="107" spans="2:16">
      <c r="B107" s="28"/>
      <c r="C107" s="196"/>
      <c r="D107" s="47"/>
      <c r="E107" s="28"/>
      <c r="F107" s="215"/>
      <c r="G107" s="215"/>
      <c r="H107" s="2"/>
      <c r="I107" s="19"/>
      <c r="K107" s="35"/>
      <c r="M107" s="35"/>
      <c r="N107" s="35"/>
      <c r="O107" s="35"/>
      <c r="P107" s="35"/>
    </row>
    <row r="108" spans="2:16">
      <c r="B108" s="28"/>
      <c r="C108" s="196"/>
      <c r="D108" s="47"/>
      <c r="E108" s="28"/>
      <c r="F108" s="215"/>
      <c r="G108" s="215"/>
      <c r="H108" s="2"/>
      <c r="I108" s="19"/>
      <c r="K108" s="35"/>
      <c r="M108" s="35"/>
      <c r="N108" s="35"/>
      <c r="O108" s="35"/>
      <c r="P108" s="35"/>
    </row>
    <row r="109" spans="2:16">
      <c r="B109" s="28"/>
      <c r="C109" s="196"/>
      <c r="D109" s="47"/>
      <c r="E109" s="28"/>
      <c r="F109" s="215"/>
      <c r="G109" s="215"/>
      <c r="H109" s="2"/>
      <c r="I109" s="19"/>
      <c r="K109" s="35"/>
      <c r="M109" s="35"/>
      <c r="N109" s="35"/>
      <c r="O109" s="35"/>
      <c r="P109" s="35"/>
    </row>
    <row r="110" spans="2:16">
      <c r="B110" s="28"/>
      <c r="C110" s="196"/>
      <c r="D110" s="47"/>
      <c r="E110" s="28"/>
      <c r="F110" s="215"/>
      <c r="G110" s="215"/>
      <c r="H110" s="2"/>
      <c r="I110" s="19"/>
      <c r="K110" s="35"/>
      <c r="M110" s="35"/>
      <c r="N110" s="35"/>
      <c r="O110" s="35"/>
      <c r="P110" s="35"/>
    </row>
    <row r="111" spans="2:16">
      <c r="B111" s="28"/>
      <c r="C111" s="196"/>
      <c r="D111" s="47"/>
      <c r="E111" s="28"/>
      <c r="F111" s="215"/>
      <c r="G111" s="215"/>
      <c r="H111" s="2"/>
      <c r="I111" s="19"/>
      <c r="K111" s="35"/>
      <c r="M111" s="35"/>
      <c r="N111" s="35"/>
      <c r="O111" s="35"/>
      <c r="P111" s="35"/>
    </row>
    <row r="112" spans="2:16">
      <c r="B112" s="28"/>
      <c r="C112" s="196"/>
      <c r="D112" s="47"/>
      <c r="E112" s="28"/>
      <c r="F112" s="215"/>
      <c r="G112" s="215"/>
      <c r="H112" s="2"/>
      <c r="I112" s="19"/>
      <c r="K112" s="35"/>
      <c r="M112" s="35"/>
      <c r="N112" s="35"/>
      <c r="O112" s="35"/>
      <c r="P112" s="35"/>
    </row>
    <row r="113" spans="2:16">
      <c r="B113" s="28"/>
      <c r="C113" s="196"/>
      <c r="D113" s="47"/>
      <c r="E113" s="28"/>
      <c r="F113" s="215"/>
      <c r="G113" s="215"/>
      <c r="H113" s="2"/>
      <c r="I113" s="19"/>
      <c r="K113" s="35"/>
      <c r="M113" s="35"/>
      <c r="N113" s="35"/>
      <c r="O113" s="35"/>
      <c r="P113" s="35"/>
    </row>
    <row r="114" spans="2:16">
      <c r="B114" s="28"/>
      <c r="C114" s="196"/>
      <c r="D114" s="47"/>
      <c r="E114" s="28"/>
      <c r="F114" s="215"/>
      <c r="G114" s="215"/>
      <c r="H114" s="2"/>
      <c r="I114" s="19"/>
      <c r="K114" s="35"/>
      <c r="M114" s="35"/>
      <c r="N114" s="35"/>
      <c r="O114" s="35"/>
      <c r="P114" s="35"/>
    </row>
    <row r="115" spans="2:16">
      <c r="B115" s="28"/>
      <c r="C115" s="196"/>
      <c r="D115" s="47"/>
      <c r="E115" s="28"/>
      <c r="F115" s="215"/>
      <c r="G115" s="215"/>
      <c r="H115" s="2"/>
      <c r="I115" s="19"/>
      <c r="K115" s="35"/>
      <c r="M115" s="35"/>
      <c r="N115" s="35"/>
      <c r="O115" s="35"/>
      <c r="P115" s="35"/>
    </row>
    <row r="116" spans="2:16">
      <c r="B116" s="28"/>
      <c r="C116" s="196"/>
      <c r="D116" s="47"/>
      <c r="E116" s="28"/>
      <c r="F116" s="215"/>
      <c r="G116" s="215"/>
      <c r="H116" s="2"/>
      <c r="I116" s="19"/>
      <c r="K116" s="35"/>
      <c r="M116" s="35"/>
      <c r="N116" s="35"/>
      <c r="O116" s="35"/>
      <c r="P116" s="35"/>
    </row>
    <row r="117" spans="2:16">
      <c r="B117" s="28"/>
      <c r="C117" s="196"/>
      <c r="D117" s="47"/>
      <c r="E117" s="28"/>
      <c r="F117" s="215"/>
      <c r="G117" s="215"/>
      <c r="H117" s="2"/>
      <c r="I117" s="19"/>
      <c r="K117" s="35"/>
      <c r="M117" s="35"/>
      <c r="N117" s="35"/>
      <c r="O117" s="35"/>
      <c r="P117" s="35"/>
    </row>
    <row r="118" spans="2:16">
      <c r="B118" s="28"/>
      <c r="C118" s="196"/>
      <c r="D118" s="47"/>
      <c r="E118" s="28"/>
      <c r="F118" s="215"/>
      <c r="G118" s="215"/>
      <c r="H118" s="2"/>
      <c r="I118" s="19"/>
      <c r="K118" s="35"/>
      <c r="M118" s="35"/>
      <c r="N118" s="35"/>
      <c r="O118" s="35"/>
      <c r="P118" s="35"/>
    </row>
    <row r="119" spans="2:16">
      <c r="B119" s="28"/>
      <c r="C119" s="196"/>
      <c r="D119" s="47"/>
      <c r="E119" s="28"/>
      <c r="F119" s="215"/>
      <c r="G119" s="215"/>
      <c r="H119" s="2"/>
      <c r="I119" s="19"/>
      <c r="K119" s="35"/>
      <c r="M119" s="35"/>
      <c r="N119" s="35"/>
      <c r="O119" s="35"/>
      <c r="P119" s="35"/>
    </row>
    <row r="120" spans="2:16">
      <c r="B120" s="28"/>
      <c r="C120" s="196"/>
      <c r="D120" s="47"/>
      <c r="E120" s="28"/>
      <c r="F120" s="215"/>
      <c r="G120" s="215"/>
      <c r="H120" s="2"/>
      <c r="I120" s="19"/>
      <c r="K120" s="35"/>
      <c r="M120" s="35"/>
      <c r="N120" s="35"/>
      <c r="O120" s="35"/>
      <c r="P120" s="35"/>
    </row>
    <row r="121" spans="2:16">
      <c r="B121" s="28"/>
      <c r="C121" s="196"/>
      <c r="D121" s="47"/>
      <c r="E121" s="28"/>
      <c r="F121" s="215"/>
      <c r="G121" s="215"/>
      <c r="H121" s="2"/>
      <c r="I121" s="19"/>
      <c r="K121" s="35"/>
      <c r="M121" s="35"/>
      <c r="N121" s="35"/>
      <c r="O121" s="35"/>
      <c r="P121" s="35"/>
    </row>
    <row r="122" spans="2:16">
      <c r="B122" s="28"/>
      <c r="C122" s="196"/>
      <c r="D122" s="47"/>
      <c r="E122" s="28"/>
      <c r="F122" s="215"/>
      <c r="G122" s="215"/>
      <c r="H122" s="2"/>
      <c r="I122" s="19"/>
      <c r="K122" s="35"/>
      <c r="M122" s="35"/>
      <c r="N122" s="35"/>
      <c r="O122" s="35"/>
      <c r="P122" s="35"/>
    </row>
    <row r="123" spans="2:16">
      <c r="B123" s="28"/>
      <c r="C123" s="196"/>
      <c r="D123" s="47"/>
      <c r="E123" s="28"/>
      <c r="F123" s="215"/>
      <c r="G123" s="215"/>
      <c r="H123" s="2"/>
      <c r="I123" s="19"/>
      <c r="K123" s="35"/>
      <c r="M123" s="35"/>
      <c r="N123" s="35"/>
      <c r="O123" s="35"/>
      <c r="P123" s="35"/>
    </row>
    <row r="124" spans="2:16">
      <c r="B124" s="28"/>
      <c r="C124" s="196"/>
      <c r="D124" s="47"/>
      <c r="E124" s="28"/>
      <c r="F124" s="215"/>
      <c r="G124" s="215"/>
      <c r="H124" s="2"/>
      <c r="I124" s="19"/>
      <c r="K124" s="35"/>
      <c r="M124" s="35"/>
      <c r="N124" s="35"/>
      <c r="O124" s="35"/>
      <c r="P124" s="35"/>
    </row>
    <row r="125" spans="2:16">
      <c r="B125" s="28"/>
      <c r="C125" s="196"/>
      <c r="D125" s="47"/>
      <c r="E125" s="28"/>
      <c r="F125" s="215"/>
      <c r="G125" s="215"/>
      <c r="H125" s="2"/>
      <c r="I125" s="19"/>
      <c r="K125" s="35"/>
      <c r="M125" s="35"/>
      <c r="N125" s="35"/>
      <c r="O125" s="35"/>
      <c r="P125" s="35"/>
    </row>
    <row r="126" spans="2:16">
      <c r="B126" s="28"/>
      <c r="C126" s="196"/>
      <c r="D126" s="47"/>
      <c r="E126" s="28"/>
      <c r="F126" s="215"/>
      <c r="G126" s="215"/>
      <c r="H126" s="2"/>
      <c r="I126" s="19"/>
      <c r="K126" s="35"/>
      <c r="M126" s="35"/>
      <c r="N126" s="35"/>
      <c r="O126" s="35"/>
      <c r="P126" s="35"/>
    </row>
    <row r="127" spans="2:16">
      <c r="B127" s="28"/>
      <c r="C127" s="196"/>
      <c r="D127" s="47"/>
      <c r="E127" s="28"/>
      <c r="F127" s="215"/>
      <c r="G127" s="215"/>
      <c r="H127" s="2"/>
      <c r="I127" s="19"/>
      <c r="K127" s="35"/>
      <c r="M127" s="35"/>
      <c r="N127" s="35"/>
      <c r="O127" s="35"/>
      <c r="P127" s="35"/>
    </row>
    <row r="128" spans="2:16">
      <c r="B128" s="28"/>
      <c r="C128" s="196"/>
      <c r="D128" s="47"/>
      <c r="E128" s="28"/>
      <c r="F128" s="215"/>
      <c r="G128" s="215"/>
      <c r="H128" s="2"/>
      <c r="I128" s="19"/>
      <c r="K128" s="35"/>
      <c r="M128" s="35"/>
      <c r="N128" s="35"/>
      <c r="O128" s="35"/>
      <c r="P128" s="35"/>
    </row>
    <row r="129" spans="2:16">
      <c r="B129" s="28"/>
      <c r="C129" s="196"/>
      <c r="D129" s="47"/>
      <c r="E129" s="28"/>
      <c r="F129" s="215"/>
      <c r="G129" s="215"/>
      <c r="H129" s="2"/>
      <c r="I129" s="19"/>
      <c r="K129" s="35"/>
      <c r="M129" s="35"/>
      <c r="N129" s="35"/>
      <c r="O129" s="35"/>
      <c r="P129" s="35"/>
    </row>
    <row r="130" spans="2:16">
      <c r="B130" s="28"/>
      <c r="C130" s="196"/>
      <c r="D130" s="47"/>
      <c r="E130" s="28"/>
      <c r="F130" s="215"/>
      <c r="G130" s="215"/>
      <c r="H130" s="2"/>
      <c r="I130" s="19"/>
      <c r="K130" s="35"/>
      <c r="M130" s="35"/>
      <c r="N130" s="35"/>
      <c r="O130" s="35"/>
      <c r="P130" s="35"/>
    </row>
    <row r="131" spans="2:16">
      <c r="B131" s="28"/>
      <c r="C131" s="196"/>
      <c r="D131" s="47"/>
      <c r="E131" s="28"/>
      <c r="F131" s="215"/>
      <c r="G131" s="215"/>
      <c r="H131" s="2"/>
      <c r="I131" s="19"/>
      <c r="K131" s="35"/>
      <c r="M131" s="35"/>
      <c r="N131" s="35"/>
      <c r="O131" s="35"/>
      <c r="P131" s="35"/>
    </row>
    <row r="132" spans="2:16">
      <c r="B132" s="28"/>
      <c r="C132" s="196"/>
      <c r="D132" s="47"/>
      <c r="E132" s="28"/>
      <c r="F132" s="215"/>
      <c r="G132" s="215"/>
      <c r="H132" s="2"/>
      <c r="I132" s="19"/>
      <c r="K132" s="35"/>
      <c r="M132" s="35"/>
      <c r="N132" s="35"/>
      <c r="O132" s="35"/>
      <c r="P132" s="35"/>
    </row>
    <row r="133" spans="2:16">
      <c r="B133" s="28"/>
      <c r="C133" s="196"/>
      <c r="D133" s="47"/>
      <c r="E133" s="28"/>
      <c r="F133" s="215"/>
      <c r="G133" s="215"/>
      <c r="H133" s="2"/>
      <c r="I133" s="19"/>
      <c r="K133" s="35"/>
      <c r="M133" s="35"/>
      <c r="N133" s="35"/>
      <c r="O133" s="35"/>
      <c r="P133" s="35"/>
    </row>
    <row r="134" spans="2:16">
      <c r="B134" s="28"/>
      <c r="C134" s="196"/>
      <c r="D134" s="47"/>
      <c r="E134" s="28"/>
      <c r="F134" s="215"/>
      <c r="G134" s="215"/>
      <c r="H134" s="2"/>
      <c r="I134" s="19"/>
      <c r="K134" s="35"/>
      <c r="M134" s="35"/>
      <c r="N134" s="35"/>
      <c r="O134" s="35"/>
      <c r="P134" s="35"/>
    </row>
    <row r="135" spans="2:16">
      <c r="B135" s="28"/>
      <c r="C135" s="196"/>
      <c r="D135" s="47"/>
      <c r="E135" s="28"/>
      <c r="F135" s="215"/>
      <c r="G135" s="215"/>
      <c r="H135" s="2"/>
      <c r="I135" s="19"/>
      <c r="K135" s="35"/>
      <c r="M135" s="35"/>
      <c r="N135" s="35"/>
      <c r="O135" s="35"/>
      <c r="P135" s="35"/>
    </row>
    <row r="136" spans="2:16">
      <c r="B136" s="28"/>
      <c r="C136" s="196"/>
      <c r="D136" s="47"/>
      <c r="E136" s="28"/>
      <c r="F136" s="215"/>
      <c r="G136" s="215"/>
      <c r="H136" s="2"/>
      <c r="I136" s="19"/>
      <c r="K136" s="35"/>
      <c r="M136" s="35"/>
      <c r="N136" s="35"/>
      <c r="O136" s="35"/>
      <c r="P136" s="35"/>
    </row>
    <row r="137" spans="2:16">
      <c r="B137" s="28"/>
      <c r="C137" s="196"/>
      <c r="D137" s="47"/>
      <c r="E137" s="28"/>
      <c r="F137" s="215"/>
      <c r="G137" s="215"/>
      <c r="H137" s="2"/>
      <c r="I137" s="19"/>
      <c r="K137" s="35"/>
      <c r="M137" s="35"/>
      <c r="N137" s="35"/>
      <c r="O137" s="35"/>
      <c r="P137" s="35"/>
    </row>
    <row r="138" spans="2:16">
      <c r="B138" s="28"/>
      <c r="C138" s="196"/>
      <c r="D138" s="47"/>
      <c r="E138" s="28"/>
      <c r="F138" s="215"/>
      <c r="G138" s="215"/>
      <c r="H138" s="2"/>
      <c r="I138" s="19"/>
      <c r="K138" s="35"/>
      <c r="M138" s="35"/>
      <c r="N138" s="35"/>
      <c r="O138" s="35"/>
      <c r="P138" s="35"/>
    </row>
    <row r="139" spans="2:16">
      <c r="B139" s="28"/>
      <c r="C139" s="196"/>
      <c r="D139" s="47"/>
      <c r="E139" s="28"/>
      <c r="F139" s="215"/>
      <c r="G139" s="215"/>
      <c r="H139" s="2"/>
      <c r="I139" s="19"/>
      <c r="K139" s="35"/>
      <c r="M139" s="35"/>
      <c r="N139" s="35"/>
      <c r="O139" s="35"/>
      <c r="P139" s="35"/>
    </row>
    <row r="140" spans="2:16">
      <c r="B140" s="28"/>
      <c r="C140" s="196"/>
      <c r="D140" s="47"/>
      <c r="E140" s="28"/>
      <c r="F140" s="215"/>
      <c r="G140" s="215"/>
      <c r="H140" s="2"/>
      <c r="I140" s="19"/>
      <c r="K140" s="35"/>
      <c r="M140" s="35"/>
      <c r="N140" s="35"/>
      <c r="O140" s="35"/>
      <c r="P140" s="35"/>
    </row>
    <row r="141" spans="2:16">
      <c r="B141" s="28"/>
      <c r="C141" s="196"/>
      <c r="D141" s="47"/>
      <c r="E141" s="28"/>
      <c r="F141" s="215"/>
      <c r="G141" s="215"/>
      <c r="H141" s="2"/>
      <c r="I141" s="19"/>
      <c r="K141" s="35"/>
      <c r="M141" s="35"/>
      <c r="N141" s="35"/>
      <c r="O141" s="35"/>
      <c r="P141" s="35"/>
    </row>
    <row r="142" spans="2:16">
      <c r="B142" s="28"/>
      <c r="C142" s="196"/>
      <c r="D142" s="47"/>
      <c r="E142" s="28"/>
      <c r="F142" s="215"/>
      <c r="G142" s="215"/>
      <c r="H142" s="2"/>
      <c r="I142" s="19"/>
      <c r="K142" s="35"/>
      <c r="M142" s="35"/>
      <c r="N142" s="35"/>
      <c r="O142" s="35"/>
      <c r="P142" s="35"/>
    </row>
    <row r="143" spans="2:16">
      <c r="B143" s="28"/>
      <c r="C143" s="196"/>
      <c r="D143" s="47"/>
      <c r="E143" s="28"/>
      <c r="F143" s="215"/>
      <c r="G143" s="215"/>
      <c r="H143" s="2"/>
      <c r="I143" s="19"/>
      <c r="K143" s="35"/>
      <c r="M143" s="35"/>
      <c r="N143" s="35"/>
      <c r="O143" s="35"/>
      <c r="P143" s="35"/>
    </row>
    <row r="144" spans="2:16">
      <c r="B144" s="28"/>
      <c r="C144" s="196"/>
      <c r="D144" s="47"/>
      <c r="E144" s="28"/>
      <c r="F144" s="215"/>
      <c r="G144" s="215"/>
      <c r="H144" s="2"/>
      <c r="I144" s="19"/>
      <c r="K144" s="35"/>
      <c r="M144" s="35"/>
      <c r="N144" s="35"/>
      <c r="O144" s="35"/>
      <c r="P144" s="35"/>
    </row>
    <row r="145" spans="2:16">
      <c r="B145" s="28"/>
      <c r="C145" s="196"/>
      <c r="D145" s="47"/>
      <c r="E145" s="28"/>
      <c r="F145" s="215"/>
      <c r="G145" s="215"/>
      <c r="H145" s="2"/>
      <c r="I145" s="19"/>
      <c r="K145" s="35"/>
      <c r="M145" s="35"/>
      <c r="N145" s="35"/>
      <c r="O145" s="35"/>
      <c r="P145" s="35"/>
    </row>
    <row r="146" spans="2:16">
      <c r="B146" s="28"/>
      <c r="C146" s="196"/>
      <c r="D146" s="47"/>
      <c r="E146" s="28"/>
      <c r="F146" s="215"/>
      <c r="G146" s="215"/>
      <c r="H146" s="2"/>
      <c r="I146" s="19"/>
      <c r="K146" s="35"/>
      <c r="M146" s="35"/>
      <c r="N146" s="35"/>
      <c r="O146" s="35"/>
      <c r="P146" s="35"/>
    </row>
    <row r="147" spans="2:16">
      <c r="B147" s="28"/>
      <c r="C147" s="196"/>
      <c r="D147" s="47"/>
      <c r="E147" s="28"/>
      <c r="F147" s="215"/>
      <c r="G147" s="215"/>
      <c r="H147" s="2"/>
      <c r="I147" s="19"/>
      <c r="K147" s="35"/>
      <c r="M147" s="35"/>
      <c r="N147" s="35"/>
      <c r="O147" s="35"/>
      <c r="P147" s="35"/>
    </row>
    <row r="148" spans="2:16">
      <c r="B148" s="28"/>
      <c r="C148" s="196"/>
      <c r="D148" s="47"/>
      <c r="E148" s="28"/>
      <c r="F148" s="215"/>
      <c r="G148" s="215"/>
      <c r="H148" s="2"/>
      <c r="I148" s="19"/>
      <c r="K148" s="35"/>
      <c r="M148" s="35"/>
      <c r="N148" s="35"/>
      <c r="O148" s="35"/>
      <c r="P148" s="35"/>
    </row>
    <row r="149" spans="2:16">
      <c r="B149" s="28"/>
      <c r="C149" s="196"/>
      <c r="D149" s="47"/>
      <c r="E149" s="28"/>
      <c r="F149" s="215"/>
      <c r="G149" s="215"/>
      <c r="H149" s="2"/>
      <c r="I149" s="19"/>
      <c r="K149" s="35"/>
      <c r="M149" s="35"/>
      <c r="N149" s="35"/>
      <c r="O149" s="35"/>
      <c r="P149" s="35"/>
    </row>
    <row r="150" spans="2:16">
      <c r="B150" s="28"/>
      <c r="C150" s="196"/>
      <c r="D150" s="47"/>
      <c r="E150" s="28"/>
      <c r="F150" s="215"/>
      <c r="G150" s="215"/>
      <c r="H150" s="2"/>
      <c r="I150" s="19"/>
      <c r="K150" s="35"/>
      <c r="M150" s="35"/>
      <c r="N150" s="35"/>
      <c r="O150" s="35"/>
      <c r="P150" s="35"/>
    </row>
    <row r="151" spans="2:16">
      <c r="B151" s="28"/>
      <c r="C151" s="196"/>
      <c r="D151" s="47"/>
      <c r="E151" s="28"/>
      <c r="F151" s="215"/>
      <c r="G151" s="215"/>
      <c r="H151" s="2"/>
      <c r="I151" s="19"/>
      <c r="K151" s="35"/>
      <c r="M151" s="35"/>
      <c r="N151" s="35"/>
      <c r="O151" s="35"/>
      <c r="P151" s="35"/>
    </row>
    <row r="152" spans="2:16">
      <c r="B152" s="28"/>
      <c r="C152" s="196"/>
      <c r="D152" s="47"/>
      <c r="E152" s="28"/>
      <c r="F152" s="215"/>
      <c r="G152" s="215"/>
      <c r="H152" s="2"/>
      <c r="I152" s="19"/>
      <c r="K152" s="35"/>
      <c r="M152" s="35"/>
      <c r="N152" s="35"/>
      <c r="O152" s="35"/>
      <c r="P152" s="35"/>
    </row>
    <row r="153" spans="2:16">
      <c r="B153" s="28"/>
      <c r="C153" s="196"/>
      <c r="D153" s="47"/>
      <c r="E153" s="28"/>
      <c r="F153" s="215"/>
      <c r="G153" s="215"/>
      <c r="H153" s="2"/>
      <c r="I153" s="19"/>
      <c r="K153" s="35"/>
      <c r="M153" s="35"/>
      <c r="N153" s="35"/>
      <c r="O153" s="35"/>
      <c r="P153" s="35"/>
    </row>
    <row r="154" spans="2:16">
      <c r="B154" s="28"/>
      <c r="C154" s="196"/>
      <c r="D154" s="47"/>
      <c r="E154" s="28"/>
      <c r="F154" s="215"/>
      <c r="G154" s="215"/>
      <c r="H154" s="2"/>
      <c r="I154" s="19"/>
      <c r="K154" s="35"/>
      <c r="M154" s="35"/>
      <c r="N154" s="35"/>
      <c r="O154" s="35"/>
      <c r="P154" s="35"/>
    </row>
    <row r="155" spans="2:16">
      <c r="B155" s="28"/>
      <c r="C155" s="196"/>
      <c r="D155" s="47"/>
      <c r="E155" s="28"/>
      <c r="F155" s="215"/>
      <c r="G155" s="215"/>
      <c r="H155" s="2"/>
      <c r="I155" s="19"/>
      <c r="K155" s="35"/>
      <c r="M155" s="35"/>
      <c r="N155" s="35"/>
      <c r="O155" s="35"/>
      <c r="P155" s="35"/>
    </row>
    <row r="156" spans="2:16">
      <c r="B156" s="28"/>
      <c r="C156" s="196"/>
      <c r="D156" s="47"/>
      <c r="E156" s="28"/>
      <c r="F156" s="215"/>
      <c r="G156" s="215"/>
      <c r="H156" s="2"/>
      <c r="I156" s="19"/>
      <c r="K156" s="35"/>
      <c r="M156" s="35"/>
      <c r="N156" s="35"/>
      <c r="O156" s="35"/>
      <c r="P156" s="35"/>
    </row>
    <row r="157" spans="2:16">
      <c r="B157" s="28"/>
      <c r="C157" s="196"/>
      <c r="D157" s="47"/>
      <c r="E157" s="28"/>
      <c r="F157" s="215"/>
      <c r="G157" s="215"/>
      <c r="H157" s="2"/>
      <c r="I157" s="19"/>
      <c r="K157" s="35"/>
      <c r="M157" s="35"/>
      <c r="N157" s="35"/>
      <c r="O157" s="35"/>
      <c r="P157" s="35"/>
    </row>
    <row r="158" spans="2:16">
      <c r="B158" s="28"/>
      <c r="C158" s="196"/>
      <c r="D158" s="47"/>
      <c r="E158" s="28"/>
      <c r="F158" s="215"/>
      <c r="G158" s="215"/>
      <c r="H158" s="2"/>
      <c r="I158" s="19"/>
      <c r="K158" s="35"/>
      <c r="M158" s="35"/>
      <c r="N158" s="35"/>
      <c r="O158" s="35"/>
      <c r="P158" s="35"/>
    </row>
    <row r="159" spans="2:16">
      <c r="B159" s="28"/>
      <c r="C159" s="196"/>
      <c r="D159" s="47"/>
      <c r="E159" s="28"/>
      <c r="F159" s="215"/>
      <c r="G159" s="215"/>
      <c r="H159" s="2"/>
      <c r="I159" s="19"/>
      <c r="K159" s="35"/>
      <c r="M159" s="35"/>
      <c r="N159" s="35"/>
      <c r="O159" s="35"/>
      <c r="P159" s="35"/>
    </row>
    <row r="160" spans="2:16">
      <c r="B160" s="28"/>
      <c r="C160" s="196"/>
      <c r="D160" s="47"/>
      <c r="E160" s="28"/>
      <c r="F160" s="215"/>
      <c r="G160" s="215"/>
      <c r="H160" s="2"/>
      <c r="I160" s="19"/>
      <c r="K160" s="35"/>
      <c r="M160" s="35"/>
      <c r="N160" s="35"/>
      <c r="O160" s="35"/>
      <c r="P160" s="35"/>
    </row>
    <row r="161" spans="2:16">
      <c r="B161" s="28"/>
      <c r="C161" s="196"/>
      <c r="D161" s="47"/>
      <c r="E161" s="28"/>
      <c r="F161" s="215"/>
      <c r="G161" s="215"/>
      <c r="H161" s="2"/>
      <c r="I161" s="19"/>
      <c r="K161" s="35"/>
      <c r="M161" s="35"/>
      <c r="N161" s="35"/>
      <c r="O161" s="35"/>
      <c r="P161" s="35"/>
    </row>
    <row r="162" spans="2:16">
      <c r="B162" s="28"/>
      <c r="C162" s="196"/>
      <c r="D162" s="47"/>
      <c r="E162" s="28"/>
      <c r="F162" s="215"/>
      <c r="G162" s="215"/>
      <c r="H162" s="2"/>
      <c r="I162" s="19"/>
      <c r="K162" s="35"/>
      <c r="M162" s="35"/>
      <c r="N162" s="35"/>
      <c r="O162" s="35"/>
      <c r="P162" s="35"/>
    </row>
    <row r="163" spans="2:16">
      <c r="B163" s="28"/>
      <c r="C163" s="196"/>
      <c r="D163" s="47"/>
      <c r="E163" s="28"/>
      <c r="F163" s="215"/>
      <c r="G163" s="215"/>
      <c r="H163" s="2"/>
      <c r="I163" s="19"/>
      <c r="K163" s="35"/>
      <c r="M163" s="35"/>
      <c r="N163" s="35"/>
      <c r="O163" s="35"/>
      <c r="P163" s="35"/>
    </row>
    <row r="164" spans="2:16">
      <c r="B164" s="28"/>
      <c r="C164" s="196"/>
      <c r="D164" s="47"/>
      <c r="E164" s="28"/>
      <c r="F164" s="215"/>
      <c r="G164" s="215"/>
      <c r="H164" s="2"/>
      <c r="I164" s="19"/>
      <c r="K164" s="35"/>
      <c r="M164" s="35"/>
      <c r="N164" s="35"/>
      <c r="O164" s="35"/>
      <c r="P164" s="35"/>
    </row>
    <row r="165" spans="2:16">
      <c r="B165" s="28"/>
      <c r="C165" s="196"/>
      <c r="D165" s="47"/>
      <c r="E165" s="28"/>
      <c r="F165" s="215"/>
      <c r="G165" s="215"/>
      <c r="H165" s="2"/>
      <c r="I165" s="19"/>
      <c r="K165" s="35"/>
      <c r="M165" s="35"/>
      <c r="N165" s="35"/>
      <c r="O165" s="35"/>
      <c r="P165" s="35"/>
    </row>
    <row r="166" spans="2:16">
      <c r="B166" s="28"/>
      <c r="C166" s="196"/>
      <c r="D166" s="47"/>
      <c r="E166" s="28"/>
      <c r="F166" s="215"/>
      <c r="G166" s="215"/>
      <c r="H166" s="2"/>
      <c r="I166" s="19"/>
      <c r="K166" s="35"/>
      <c r="M166" s="35"/>
      <c r="N166" s="35"/>
      <c r="O166" s="35"/>
      <c r="P166" s="35"/>
    </row>
    <row r="167" spans="2:16">
      <c r="B167" s="28"/>
      <c r="C167" s="196"/>
      <c r="D167" s="47"/>
      <c r="E167" s="28"/>
      <c r="F167" s="215"/>
      <c r="G167" s="215"/>
      <c r="H167" s="2"/>
      <c r="I167" s="19"/>
      <c r="K167" s="35"/>
      <c r="M167" s="35"/>
      <c r="N167" s="35"/>
      <c r="O167" s="35"/>
      <c r="P167" s="35"/>
    </row>
    <row r="168" spans="2:16">
      <c r="B168" s="28"/>
      <c r="C168" s="196"/>
      <c r="D168" s="47"/>
      <c r="E168" s="28"/>
      <c r="F168" s="215"/>
      <c r="G168" s="215"/>
      <c r="H168" s="2"/>
      <c r="I168" s="19"/>
      <c r="K168" s="35"/>
      <c r="M168" s="35"/>
      <c r="N168" s="35"/>
      <c r="O168" s="35"/>
      <c r="P168" s="35"/>
    </row>
    <row r="169" spans="2:16">
      <c r="B169" s="28"/>
      <c r="C169" s="196"/>
      <c r="D169" s="47"/>
      <c r="E169" s="28"/>
      <c r="F169" s="215"/>
      <c r="G169" s="215"/>
      <c r="H169" s="2"/>
      <c r="I169" s="19"/>
      <c r="K169" s="35"/>
      <c r="M169" s="35"/>
      <c r="N169" s="35"/>
      <c r="O169" s="35"/>
      <c r="P169" s="35"/>
    </row>
    <row r="170" spans="2:16">
      <c r="B170" s="28"/>
      <c r="C170" s="196"/>
      <c r="D170" s="47"/>
      <c r="E170" s="28"/>
      <c r="F170" s="215"/>
      <c r="G170" s="215"/>
      <c r="H170" s="2"/>
      <c r="I170" s="19"/>
      <c r="K170" s="35"/>
      <c r="M170" s="35"/>
      <c r="N170" s="35"/>
      <c r="O170" s="35"/>
      <c r="P170" s="35"/>
    </row>
    <row r="171" spans="2:16">
      <c r="B171" s="28"/>
      <c r="C171" s="196"/>
      <c r="D171" s="47"/>
      <c r="E171" s="28"/>
      <c r="F171" s="215"/>
      <c r="G171" s="215"/>
      <c r="H171" s="2"/>
      <c r="I171" s="19"/>
      <c r="K171" s="35"/>
      <c r="M171" s="35"/>
      <c r="N171" s="35"/>
      <c r="O171" s="35"/>
      <c r="P171" s="35"/>
    </row>
    <row r="172" spans="2:16">
      <c r="B172" s="28"/>
      <c r="C172" s="196"/>
      <c r="D172" s="47"/>
      <c r="E172" s="28"/>
      <c r="F172" s="215"/>
      <c r="G172" s="215"/>
      <c r="H172" s="2"/>
      <c r="I172" s="19"/>
      <c r="K172" s="35"/>
      <c r="M172" s="35"/>
      <c r="N172" s="35"/>
      <c r="O172" s="35"/>
      <c r="P172" s="35"/>
    </row>
    <row r="173" spans="2:16">
      <c r="B173" s="28"/>
      <c r="C173" s="196"/>
      <c r="D173" s="47"/>
      <c r="E173" s="28"/>
      <c r="F173" s="215"/>
      <c r="G173" s="215"/>
      <c r="H173" s="2"/>
      <c r="I173" s="19"/>
      <c r="K173" s="35"/>
      <c r="M173" s="35"/>
      <c r="N173" s="35"/>
      <c r="O173" s="35"/>
      <c r="P173" s="35"/>
    </row>
    <row r="174" spans="2:16">
      <c r="B174" s="28"/>
      <c r="C174" s="196"/>
      <c r="D174" s="47"/>
      <c r="E174" s="28"/>
      <c r="F174" s="215"/>
      <c r="G174" s="215"/>
      <c r="H174" s="2"/>
      <c r="I174" s="19"/>
      <c r="K174" s="35"/>
      <c r="M174" s="35"/>
      <c r="N174" s="35"/>
      <c r="O174" s="35"/>
      <c r="P174" s="35"/>
    </row>
    <row r="175" spans="2:16">
      <c r="D175" s="47"/>
      <c r="E175" s="143"/>
      <c r="H175" s="2"/>
      <c r="I175" s="30"/>
    </row>
    <row r="176" spans="2:16">
      <c r="D176" s="47"/>
      <c r="E176" s="143"/>
      <c r="H176" s="2"/>
      <c r="I176" s="30"/>
    </row>
    <row r="177" spans="4:9">
      <c r="D177" s="47"/>
      <c r="E177" s="143"/>
      <c r="H177" s="2"/>
      <c r="I177" s="30"/>
    </row>
    <row r="178" spans="4:9">
      <c r="D178" s="47"/>
      <c r="E178" s="143"/>
      <c r="H178" s="2"/>
      <c r="I178" s="30"/>
    </row>
    <row r="179" spans="4:9">
      <c r="D179" s="47"/>
      <c r="E179" s="143"/>
      <c r="H179" s="2"/>
      <c r="I179" s="30"/>
    </row>
    <row r="180" spans="4:9">
      <c r="D180" s="47"/>
      <c r="E180" s="143"/>
      <c r="H180" s="2"/>
      <c r="I180" s="30"/>
    </row>
    <row r="181" spans="4:9">
      <c r="D181" s="47"/>
      <c r="E181" s="143"/>
      <c r="H181" s="2"/>
      <c r="I181" s="30"/>
    </row>
    <row r="182" spans="4:9">
      <c r="D182" s="47"/>
      <c r="E182" s="143"/>
      <c r="H182" s="2"/>
      <c r="I182" s="30"/>
    </row>
    <row r="183" spans="4:9">
      <c r="D183" s="47"/>
      <c r="E183" s="143"/>
      <c r="H183" s="2"/>
      <c r="I183" s="30"/>
    </row>
    <row r="184" spans="4:9">
      <c r="D184" s="47"/>
      <c r="E184" s="143"/>
      <c r="H184" s="2"/>
      <c r="I184" s="30"/>
    </row>
    <row r="185" spans="4:9">
      <c r="D185" s="47"/>
      <c r="E185" s="143"/>
      <c r="H185" s="2"/>
      <c r="I185" s="30"/>
    </row>
    <row r="186" spans="4:9">
      <c r="D186" s="47"/>
      <c r="E186" s="143"/>
      <c r="H186" s="2"/>
      <c r="I186" s="30"/>
    </row>
    <row r="187" spans="4:9">
      <c r="D187" s="47"/>
      <c r="E187" s="143"/>
      <c r="H187" s="2"/>
      <c r="I187" s="30"/>
    </row>
    <row r="188" spans="4:9">
      <c r="D188" s="47"/>
      <c r="E188" s="143"/>
      <c r="H188" s="2"/>
      <c r="I188" s="30"/>
    </row>
    <row r="189" spans="4:9">
      <c r="D189" s="47"/>
      <c r="E189" s="143"/>
      <c r="H189" s="2"/>
      <c r="I189" s="30"/>
    </row>
    <row r="190" spans="4:9">
      <c r="D190" s="47"/>
      <c r="E190" s="143"/>
      <c r="H190" s="2"/>
      <c r="I190" s="30"/>
    </row>
    <row r="191" spans="4:9">
      <c r="D191" s="47"/>
      <c r="E191" s="143"/>
      <c r="H191" s="2"/>
      <c r="I191" s="30"/>
    </row>
    <row r="192" spans="4:9">
      <c r="D192" s="47"/>
      <c r="E192" s="143"/>
      <c r="H192" s="2"/>
      <c r="I192" s="30"/>
    </row>
    <row r="193" spans="4:9">
      <c r="D193" s="47"/>
      <c r="E193" s="143"/>
      <c r="H193" s="2"/>
      <c r="I193" s="30"/>
    </row>
    <row r="194" spans="4:9">
      <c r="D194" s="47"/>
      <c r="E194" s="143"/>
      <c r="H194" s="2"/>
      <c r="I194" s="30"/>
    </row>
    <row r="195" spans="4:9">
      <c r="D195" s="47"/>
      <c r="E195" s="143"/>
      <c r="H195" s="2"/>
      <c r="I195" s="30"/>
    </row>
    <row r="196" spans="4:9">
      <c r="D196" s="47"/>
      <c r="E196" s="143"/>
      <c r="H196" s="2"/>
      <c r="I196" s="30"/>
    </row>
    <row r="197" spans="4:9">
      <c r="D197" s="47"/>
      <c r="E197" s="143"/>
      <c r="H197" s="2"/>
      <c r="I197" s="30"/>
    </row>
    <row r="198" spans="4:9">
      <c r="D198" s="47"/>
      <c r="E198" s="143"/>
      <c r="H198" s="2"/>
      <c r="I198" s="30"/>
    </row>
    <row r="199" spans="4:9">
      <c r="D199" s="47"/>
      <c r="E199" s="143"/>
      <c r="H199" s="2"/>
      <c r="I199" s="30"/>
    </row>
    <row r="200" spans="4:9">
      <c r="D200" s="47"/>
      <c r="E200" s="143"/>
      <c r="H200" s="2"/>
      <c r="I200" s="30"/>
    </row>
    <row r="201" spans="4:9">
      <c r="D201" s="47"/>
      <c r="E201" s="143"/>
      <c r="H201" s="2"/>
      <c r="I201" s="30"/>
    </row>
    <row r="202" spans="4:9">
      <c r="D202" s="47"/>
      <c r="E202" s="143"/>
      <c r="H202" s="2"/>
      <c r="I202" s="30"/>
    </row>
    <row r="203" spans="4:9">
      <c r="D203" s="47"/>
      <c r="E203" s="143"/>
      <c r="H203" s="2"/>
      <c r="I203" s="30"/>
    </row>
    <row r="204" spans="4:9">
      <c r="D204" s="47"/>
      <c r="E204" s="143"/>
      <c r="H204" s="2"/>
      <c r="I204" s="30"/>
    </row>
    <row r="205" spans="4:9">
      <c r="D205" s="47"/>
      <c r="E205" s="143"/>
      <c r="H205" s="2"/>
      <c r="I205" s="30"/>
    </row>
    <row r="206" spans="4:9">
      <c r="D206" s="47"/>
      <c r="E206" s="143"/>
      <c r="H206" s="2"/>
      <c r="I206" s="30"/>
    </row>
    <row r="207" spans="4:9">
      <c r="D207" s="47"/>
      <c r="E207" s="143"/>
      <c r="H207" s="2"/>
      <c r="I207" s="30"/>
    </row>
    <row r="208" spans="4:9">
      <c r="D208" s="47"/>
      <c r="E208" s="143"/>
      <c r="H208" s="2"/>
      <c r="I208" s="30"/>
    </row>
    <row r="209" spans="4:9">
      <c r="D209" s="47"/>
      <c r="E209" s="143"/>
      <c r="H209" s="2"/>
      <c r="I209" s="30"/>
    </row>
    <row r="210" spans="4:9">
      <c r="D210" s="47"/>
      <c r="E210" s="143"/>
      <c r="H210" s="2"/>
      <c r="I210" s="30"/>
    </row>
    <row r="211" spans="4:9">
      <c r="D211" s="47"/>
      <c r="E211" s="143"/>
      <c r="H211" s="2"/>
      <c r="I211" s="30"/>
    </row>
    <row r="212" spans="4:9">
      <c r="D212" s="47"/>
      <c r="E212" s="143"/>
      <c r="H212" s="2"/>
      <c r="I212" s="30"/>
    </row>
    <row r="213" spans="4:9">
      <c r="D213" s="47"/>
      <c r="E213" s="143"/>
      <c r="H213" s="2"/>
      <c r="I213" s="30"/>
    </row>
    <row r="214" spans="4:9">
      <c r="D214" s="47"/>
      <c r="E214" s="143"/>
      <c r="H214" s="2"/>
      <c r="I214" s="30"/>
    </row>
    <row r="215" spans="4:9">
      <c r="D215" s="47"/>
      <c r="E215" s="143"/>
      <c r="H215" s="2"/>
      <c r="I215" s="30"/>
    </row>
    <row r="216" spans="4:9">
      <c r="D216" s="47"/>
      <c r="E216" s="143"/>
      <c r="H216" s="2"/>
      <c r="I216" s="30"/>
    </row>
    <row r="217" spans="4:9">
      <c r="D217" s="47"/>
      <c r="E217" s="143"/>
      <c r="H217" s="2"/>
      <c r="I217" s="30"/>
    </row>
    <row r="218" spans="4:9">
      <c r="D218" s="47"/>
      <c r="E218" s="143"/>
      <c r="H218" s="2"/>
      <c r="I218" s="30"/>
    </row>
    <row r="219" spans="4:9">
      <c r="D219" s="47"/>
      <c r="E219" s="143"/>
      <c r="H219" s="2"/>
      <c r="I219" s="30"/>
    </row>
    <row r="220" spans="4:9">
      <c r="D220" s="47"/>
      <c r="E220" s="143"/>
      <c r="H220" s="2"/>
      <c r="I220" s="30"/>
    </row>
    <row r="221" spans="4:9">
      <c r="D221" s="47"/>
      <c r="E221" s="143"/>
      <c r="H221" s="2"/>
      <c r="I221" s="30"/>
    </row>
    <row r="222" spans="4:9">
      <c r="D222" s="47"/>
      <c r="E222" s="143"/>
      <c r="H222" s="2"/>
      <c r="I222" s="30"/>
    </row>
    <row r="223" spans="4:9">
      <c r="D223" s="47"/>
      <c r="E223" s="143"/>
      <c r="H223" s="2"/>
      <c r="I223" s="30"/>
    </row>
    <row r="224" spans="4:9">
      <c r="D224" s="47"/>
      <c r="E224" s="143"/>
      <c r="H224" s="2"/>
      <c r="I224" s="30"/>
    </row>
    <row r="225" spans="4:9">
      <c r="D225" s="47"/>
      <c r="E225" s="143"/>
      <c r="H225" s="2"/>
      <c r="I225" s="30"/>
    </row>
    <row r="226" spans="4:9">
      <c r="D226" s="47"/>
      <c r="E226" s="143"/>
      <c r="H226" s="2"/>
      <c r="I226" s="30"/>
    </row>
    <row r="227" spans="4:9">
      <c r="D227" s="47"/>
      <c r="E227" s="143"/>
      <c r="H227" s="2"/>
      <c r="I227" s="30"/>
    </row>
    <row r="228" spans="4:9">
      <c r="D228" s="47"/>
      <c r="E228" s="143"/>
      <c r="H228" s="2"/>
      <c r="I228" s="30"/>
    </row>
    <row r="229" spans="4:9">
      <c r="D229" s="47"/>
      <c r="E229" s="143"/>
      <c r="H229" s="2"/>
      <c r="I229" s="30"/>
    </row>
    <row r="230" spans="4:9">
      <c r="D230" s="47"/>
      <c r="E230" s="143"/>
      <c r="H230" s="2"/>
      <c r="I230" s="30"/>
    </row>
    <row r="231" spans="4:9">
      <c r="D231" s="47"/>
      <c r="E231" s="143"/>
      <c r="H231" s="2"/>
      <c r="I231" s="30"/>
    </row>
    <row r="232" spans="4:9">
      <c r="D232" s="47"/>
      <c r="E232" s="143"/>
      <c r="H232" s="2"/>
      <c r="I232" s="30"/>
    </row>
    <row r="233" spans="4:9">
      <c r="D233" s="47"/>
      <c r="E233" s="143"/>
      <c r="H233" s="2"/>
      <c r="I233" s="30"/>
    </row>
    <row r="234" spans="4:9">
      <c r="D234" s="47"/>
      <c r="E234" s="143"/>
      <c r="H234" s="2"/>
      <c r="I234" s="30"/>
    </row>
    <row r="235" spans="4:9">
      <c r="D235" s="47"/>
      <c r="E235" s="143"/>
      <c r="H235" s="2"/>
      <c r="I235" s="30"/>
    </row>
    <row r="236" spans="4:9">
      <c r="D236" s="47"/>
      <c r="E236" s="143"/>
      <c r="H236" s="2"/>
      <c r="I236" s="30"/>
    </row>
    <row r="237" spans="4:9">
      <c r="D237" s="47"/>
      <c r="E237" s="143"/>
      <c r="H237" s="2"/>
      <c r="I237" s="30"/>
    </row>
    <row r="238" spans="4:9">
      <c r="D238" s="47"/>
      <c r="E238" s="143"/>
      <c r="H238" s="2"/>
      <c r="I238" s="30"/>
    </row>
    <row r="239" spans="4:9">
      <c r="D239" s="47"/>
      <c r="E239" s="143"/>
      <c r="H239" s="2"/>
      <c r="I239" s="30"/>
    </row>
    <row r="240" spans="4:9">
      <c r="D240" s="47"/>
      <c r="E240" s="143"/>
      <c r="H240" s="2"/>
      <c r="I240" s="30"/>
    </row>
    <row r="241" spans="4:9">
      <c r="D241" s="47"/>
      <c r="E241" s="143"/>
      <c r="H241" s="2"/>
      <c r="I241" s="30"/>
    </row>
    <row r="242" spans="4:9">
      <c r="D242" s="47"/>
      <c r="E242" s="143"/>
      <c r="H242" s="2"/>
      <c r="I242" s="30"/>
    </row>
    <row r="243" spans="4:9">
      <c r="D243" s="47"/>
      <c r="E243" s="143"/>
      <c r="H243" s="2"/>
      <c r="I243" s="30"/>
    </row>
    <row r="244" spans="4:9">
      <c r="D244" s="47"/>
      <c r="E244" s="143"/>
      <c r="H244" s="2"/>
      <c r="I244" s="30"/>
    </row>
    <row r="245" spans="4:9">
      <c r="D245" s="47"/>
      <c r="E245" s="143"/>
      <c r="H245" s="2"/>
      <c r="I245" s="30"/>
    </row>
    <row r="246" spans="4:9">
      <c r="D246" s="47"/>
      <c r="E246" s="143"/>
      <c r="H246" s="2"/>
      <c r="I246" s="30"/>
    </row>
    <row r="247" spans="4:9">
      <c r="D247" s="47"/>
      <c r="E247" s="143"/>
      <c r="H247" s="2"/>
      <c r="I247" s="30"/>
    </row>
    <row r="248" spans="4:9">
      <c r="D248" s="47"/>
      <c r="E248" s="143"/>
      <c r="H248" s="2"/>
      <c r="I248" s="30"/>
    </row>
    <row r="249" spans="4:9">
      <c r="D249" s="47"/>
      <c r="E249" s="143"/>
      <c r="H249" s="2"/>
      <c r="I249" s="30"/>
    </row>
    <row r="250" spans="4:9">
      <c r="D250" s="47"/>
      <c r="E250" s="143"/>
      <c r="H250" s="2"/>
      <c r="I250" s="30"/>
    </row>
    <row r="251" spans="4:9">
      <c r="D251" s="47"/>
      <c r="E251" s="143"/>
      <c r="H251" s="2"/>
      <c r="I251" s="30"/>
    </row>
    <row r="252" spans="4:9">
      <c r="D252" s="47"/>
      <c r="E252" s="143"/>
      <c r="H252" s="2"/>
      <c r="I252" s="30"/>
    </row>
    <row r="253" spans="4:9">
      <c r="D253" s="47"/>
      <c r="E253" s="143"/>
      <c r="H253" s="2"/>
      <c r="I253" s="30"/>
    </row>
    <row r="254" spans="4:9">
      <c r="D254" s="47"/>
      <c r="E254" s="143"/>
      <c r="H254" s="2"/>
      <c r="I254" s="30"/>
    </row>
    <row r="255" spans="4:9">
      <c r="D255" s="47"/>
      <c r="E255" s="143"/>
      <c r="H255" s="2"/>
      <c r="I255" s="30"/>
    </row>
    <row r="256" spans="4:9">
      <c r="D256" s="47"/>
      <c r="E256" s="143"/>
      <c r="H256" s="2"/>
      <c r="I256" s="30"/>
    </row>
    <row r="257" spans="4:9">
      <c r="D257" s="47"/>
      <c r="E257" s="143"/>
      <c r="H257" s="2"/>
      <c r="I257" s="30"/>
    </row>
    <row r="258" spans="4:9">
      <c r="D258" s="47"/>
      <c r="E258" s="143"/>
      <c r="H258" s="2"/>
      <c r="I258" s="30"/>
    </row>
    <row r="259" spans="4:9">
      <c r="D259" s="47"/>
      <c r="E259" s="143"/>
      <c r="H259" s="2"/>
      <c r="I259" s="30"/>
    </row>
    <row r="260" spans="4:9">
      <c r="D260" s="47"/>
      <c r="E260" s="143"/>
      <c r="H260" s="2"/>
      <c r="I260" s="30"/>
    </row>
    <row r="261" spans="4:9">
      <c r="D261" s="47"/>
      <c r="E261" s="143"/>
      <c r="H261" s="2"/>
      <c r="I261" s="30"/>
    </row>
    <row r="262" spans="4:9">
      <c r="D262" s="47"/>
      <c r="E262" s="143"/>
      <c r="H262" s="2"/>
      <c r="I262" s="30"/>
    </row>
    <row r="263" spans="4:9">
      <c r="D263" s="47"/>
      <c r="E263" s="143"/>
      <c r="H263" s="2"/>
      <c r="I263" s="30"/>
    </row>
    <row r="264" spans="4:9">
      <c r="D264" s="47"/>
      <c r="E264" s="143"/>
      <c r="H264" s="2"/>
      <c r="I264" s="30"/>
    </row>
    <row r="265" spans="4:9">
      <c r="D265" s="47"/>
      <c r="E265" s="143"/>
      <c r="H265" s="2"/>
      <c r="I265" s="30"/>
    </row>
    <row r="266" spans="4:9">
      <c r="D266" s="47"/>
      <c r="E266" s="143"/>
      <c r="H266" s="2"/>
      <c r="I266" s="30"/>
    </row>
    <row r="267" spans="4:9">
      <c r="D267" s="47"/>
      <c r="E267" s="143"/>
      <c r="H267" s="2"/>
      <c r="I267" s="30"/>
    </row>
    <row r="268" spans="4:9">
      <c r="D268" s="47"/>
      <c r="E268" s="143"/>
      <c r="H268" s="2"/>
      <c r="I268" s="30"/>
    </row>
    <row r="269" spans="4:9">
      <c r="D269" s="47"/>
      <c r="E269" s="143"/>
      <c r="H269" s="2"/>
      <c r="I269" s="30"/>
    </row>
    <row r="270" spans="4:9">
      <c r="D270" s="47"/>
      <c r="E270" s="143"/>
      <c r="H270" s="2"/>
      <c r="I270" s="30"/>
    </row>
    <row r="271" spans="4:9">
      <c r="D271" s="47"/>
      <c r="E271" s="143"/>
      <c r="H271" s="2"/>
      <c r="I271" s="30"/>
    </row>
    <row r="272" spans="4:9">
      <c r="D272" s="47"/>
      <c r="E272" s="143"/>
      <c r="H272" s="2"/>
      <c r="I272" s="30"/>
    </row>
    <row r="273" spans="4:9">
      <c r="D273" s="47"/>
      <c r="E273" s="143"/>
      <c r="H273" s="2"/>
      <c r="I273" s="30"/>
    </row>
    <row r="274" spans="4:9">
      <c r="D274" s="47"/>
      <c r="E274" s="143"/>
      <c r="H274" s="2"/>
      <c r="I274" s="30"/>
    </row>
    <row r="275" spans="4:9">
      <c r="D275" s="47"/>
      <c r="E275" s="143"/>
      <c r="H275" s="2"/>
      <c r="I275" s="30"/>
    </row>
    <row r="276" spans="4:9">
      <c r="D276" s="47"/>
      <c r="E276" s="143"/>
      <c r="H276" s="2"/>
      <c r="I276" s="30"/>
    </row>
    <row r="277" spans="4:9">
      <c r="D277" s="47"/>
      <c r="E277" s="143"/>
      <c r="H277" s="2"/>
      <c r="I277" s="30"/>
    </row>
    <row r="278" spans="4:9">
      <c r="D278" s="47"/>
      <c r="E278" s="143"/>
      <c r="H278" s="2"/>
      <c r="I278" s="30"/>
    </row>
    <row r="279" spans="4:9">
      <c r="D279" s="47"/>
      <c r="E279" s="143"/>
      <c r="H279" s="2"/>
      <c r="I279" s="30"/>
    </row>
    <row r="280" spans="4:9">
      <c r="D280" s="47"/>
      <c r="E280" s="143"/>
      <c r="H280" s="2"/>
      <c r="I280" s="30"/>
    </row>
    <row r="281" spans="4:9">
      <c r="D281" s="47"/>
      <c r="E281" s="143"/>
      <c r="H281" s="2"/>
      <c r="I281" s="30"/>
    </row>
    <row r="282" spans="4:9">
      <c r="D282" s="47"/>
      <c r="E282" s="143"/>
      <c r="H282" s="2"/>
      <c r="I282" s="30"/>
    </row>
    <row r="283" spans="4:9">
      <c r="D283" s="47"/>
      <c r="E283" s="143"/>
      <c r="H283" s="2"/>
      <c r="I283" s="30"/>
    </row>
    <row r="284" spans="4:9">
      <c r="D284" s="47"/>
      <c r="E284" s="143"/>
      <c r="H284" s="2"/>
      <c r="I284" s="30"/>
    </row>
    <row r="285" spans="4:9">
      <c r="D285" s="47"/>
      <c r="E285" s="143"/>
      <c r="H285" s="2"/>
      <c r="I285" s="30"/>
    </row>
    <row r="286" spans="4:9">
      <c r="D286" s="47"/>
      <c r="E286" s="143"/>
      <c r="H286" s="2"/>
      <c r="I286" s="30"/>
    </row>
    <row r="287" spans="4:9">
      <c r="D287" s="47"/>
      <c r="E287" s="143"/>
      <c r="H287" s="2"/>
      <c r="I287" s="30"/>
    </row>
    <row r="288" spans="4:9">
      <c r="D288" s="47"/>
      <c r="E288" s="143"/>
      <c r="H288" s="2"/>
      <c r="I288" s="30"/>
    </row>
    <row r="289" spans="4:9">
      <c r="D289" s="47"/>
      <c r="E289" s="143"/>
      <c r="H289" s="2"/>
      <c r="I289" s="30"/>
    </row>
    <row r="290" spans="4:9">
      <c r="D290" s="47"/>
      <c r="E290" s="143"/>
      <c r="H290" s="2"/>
      <c r="I290" s="30"/>
    </row>
    <row r="291" spans="4:9">
      <c r="D291" s="47"/>
      <c r="E291" s="143"/>
      <c r="H291" s="2"/>
      <c r="I291" s="30"/>
    </row>
    <row r="292" spans="4:9">
      <c r="D292" s="47"/>
      <c r="E292" s="143"/>
      <c r="H292" s="2"/>
      <c r="I292" s="30"/>
    </row>
    <row r="293" spans="4:9">
      <c r="D293" s="47"/>
      <c r="E293" s="143"/>
      <c r="H293" s="2"/>
      <c r="I293" s="30"/>
    </row>
    <row r="294" spans="4:9">
      <c r="D294" s="47"/>
      <c r="E294" s="143"/>
      <c r="H294" s="2"/>
      <c r="I294" s="30"/>
    </row>
    <row r="295" spans="4:9">
      <c r="D295" s="47"/>
      <c r="E295" s="143"/>
      <c r="H295" s="2"/>
      <c r="I295" s="30"/>
    </row>
    <row r="296" spans="4:9">
      <c r="D296" s="47"/>
      <c r="E296" s="143"/>
      <c r="H296" s="2"/>
      <c r="I296" s="30"/>
    </row>
    <row r="297" spans="4:9">
      <c r="D297" s="47"/>
      <c r="E297" s="143"/>
      <c r="H297" s="2"/>
      <c r="I297" s="30"/>
    </row>
    <row r="298" spans="4:9">
      <c r="D298" s="47"/>
      <c r="E298" s="143"/>
      <c r="H298" s="2"/>
      <c r="I298" s="30"/>
    </row>
    <row r="299" spans="4:9">
      <c r="D299" s="47"/>
      <c r="E299" s="143"/>
      <c r="H299" s="2"/>
      <c r="I299" s="30"/>
    </row>
    <row r="300" spans="4:9">
      <c r="D300" s="47"/>
      <c r="E300" s="143"/>
      <c r="H300" s="2"/>
      <c r="I300" s="30"/>
    </row>
    <row r="301" spans="4:9">
      <c r="D301" s="47"/>
      <c r="E301" s="143"/>
      <c r="H301" s="2"/>
      <c r="I301" s="30"/>
    </row>
    <row r="302" spans="4:9">
      <c r="D302" s="47"/>
      <c r="E302" s="143"/>
      <c r="H302" s="2"/>
      <c r="I302" s="30"/>
    </row>
    <row r="303" spans="4:9">
      <c r="D303" s="47"/>
      <c r="E303" s="143"/>
      <c r="H303" s="2"/>
      <c r="I303" s="30"/>
    </row>
    <row r="304" spans="4:9">
      <c r="D304" s="47"/>
      <c r="E304" s="143"/>
      <c r="H304" s="2"/>
      <c r="I304" s="30"/>
    </row>
    <row r="305" spans="4:9">
      <c r="D305" s="47"/>
      <c r="E305" s="143"/>
      <c r="H305" s="2"/>
      <c r="I305" s="30"/>
    </row>
    <row r="306" spans="4:9">
      <c r="D306" s="47"/>
      <c r="E306" s="143"/>
      <c r="H306" s="2"/>
      <c r="I306" s="30"/>
    </row>
    <row r="307" spans="4:9">
      <c r="D307" s="47"/>
      <c r="E307" s="143"/>
      <c r="H307" s="2"/>
      <c r="I307" s="30"/>
    </row>
    <row r="308" spans="4:9">
      <c r="D308" s="47"/>
      <c r="E308" s="143"/>
      <c r="H308" s="2"/>
      <c r="I308" s="30"/>
    </row>
    <row r="309" spans="4:9">
      <c r="D309" s="47"/>
      <c r="E309" s="143"/>
      <c r="H309" s="2"/>
      <c r="I309" s="30"/>
    </row>
    <row r="310" spans="4:9">
      <c r="D310" s="47"/>
      <c r="E310" s="143"/>
      <c r="H310" s="2"/>
      <c r="I310" s="30"/>
    </row>
    <row r="311" spans="4:9">
      <c r="D311" s="47"/>
      <c r="E311" s="143"/>
      <c r="H311" s="2"/>
      <c r="I311" s="30"/>
    </row>
    <row r="312" spans="4:9">
      <c r="D312" s="47"/>
      <c r="E312" s="143"/>
      <c r="H312" s="2"/>
      <c r="I312" s="30"/>
    </row>
    <row r="313" spans="4:9">
      <c r="D313" s="47"/>
      <c r="E313" s="143"/>
      <c r="H313" s="2"/>
      <c r="I313" s="30"/>
    </row>
    <row r="314" spans="4:9">
      <c r="D314" s="47"/>
      <c r="E314" s="143"/>
      <c r="H314" s="2"/>
      <c r="I314" s="30"/>
    </row>
    <row r="315" spans="4:9">
      <c r="D315" s="47"/>
      <c r="E315" s="143"/>
      <c r="H315" s="2"/>
      <c r="I315" s="30"/>
    </row>
    <row r="316" spans="4:9">
      <c r="D316" s="47"/>
      <c r="E316" s="143"/>
      <c r="H316" s="2"/>
      <c r="I316" s="30"/>
    </row>
    <row r="317" spans="4:9">
      <c r="D317" s="47"/>
      <c r="E317" s="143"/>
      <c r="H317" s="2"/>
      <c r="I317" s="30"/>
    </row>
    <row r="318" spans="4:9">
      <c r="D318" s="47"/>
      <c r="E318" s="143"/>
      <c r="H318" s="2"/>
      <c r="I318" s="30"/>
    </row>
    <row r="319" spans="4:9">
      <c r="D319" s="47"/>
      <c r="E319" s="143"/>
      <c r="H319" s="2"/>
      <c r="I319" s="30"/>
    </row>
    <row r="320" spans="4:9">
      <c r="D320" s="47"/>
      <c r="E320" s="143"/>
      <c r="H320" s="2"/>
      <c r="I320" s="30"/>
    </row>
    <row r="321" spans="4:9">
      <c r="D321" s="47"/>
      <c r="E321" s="143"/>
      <c r="H321" s="2"/>
      <c r="I321" s="30"/>
    </row>
    <row r="322" spans="4:9">
      <c r="D322" s="47"/>
      <c r="E322" s="143"/>
      <c r="H322" s="2"/>
      <c r="I322" s="30"/>
    </row>
    <row r="323" spans="4:9">
      <c r="D323" s="47"/>
      <c r="E323" s="143"/>
      <c r="H323" s="2"/>
      <c r="I323" s="30"/>
    </row>
    <row r="324" spans="4:9">
      <c r="D324" s="47"/>
      <c r="E324" s="143"/>
      <c r="H324" s="2"/>
      <c r="I324" s="30"/>
    </row>
    <row r="325" spans="4:9">
      <c r="D325" s="47"/>
      <c r="E325" s="143"/>
      <c r="H325" s="2"/>
      <c r="I325" s="30"/>
    </row>
    <row r="326" spans="4:9">
      <c r="D326" s="47"/>
      <c r="E326" s="143"/>
      <c r="H326" s="2"/>
      <c r="I326" s="30"/>
    </row>
    <row r="327" spans="4:9">
      <c r="D327" s="47"/>
      <c r="E327" s="143"/>
      <c r="H327" s="2"/>
      <c r="I327" s="30"/>
    </row>
    <row r="328" spans="4:9">
      <c r="D328" s="47"/>
      <c r="E328" s="143"/>
      <c r="H328" s="2"/>
      <c r="I328" s="30"/>
    </row>
    <row r="329" spans="4:9">
      <c r="D329" s="47"/>
      <c r="E329" s="143"/>
      <c r="H329" s="2"/>
      <c r="I329" s="30"/>
    </row>
    <row r="330" spans="4:9">
      <c r="D330" s="47"/>
      <c r="E330" s="143"/>
      <c r="H330" s="2"/>
      <c r="I330" s="30"/>
    </row>
    <row r="331" spans="4:9">
      <c r="D331" s="47"/>
      <c r="E331" s="143"/>
      <c r="H331" s="2"/>
      <c r="I331" s="30"/>
    </row>
    <row r="332" spans="4:9">
      <c r="D332" s="47"/>
      <c r="E332" s="143"/>
      <c r="H332" s="2"/>
      <c r="I332" s="30"/>
    </row>
    <row r="333" spans="4:9">
      <c r="D333" s="47"/>
      <c r="E333" s="143"/>
      <c r="H333" s="2"/>
      <c r="I333" s="30"/>
    </row>
    <row r="334" spans="4:9">
      <c r="D334" s="47"/>
      <c r="E334" s="143"/>
      <c r="H334" s="2"/>
      <c r="I334" s="30"/>
    </row>
    <row r="335" spans="4:9">
      <c r="D335" s="47"/>
      <c r="E335" s="143"/>
      <c r="H335" s="2"/>
      <c r="I335" s="30"/>
    </row>
    <row r="336" spans="4:9">
      <c r="D336" s="47"/>
      <c r="E336" s="143"/>
      <c r="H336" s="2"/>
      <c r="I336" s="30"/>
    </row>
    <row r="337" spans="4:9">
      <c r="D337" s="47"/>
      <c r="E337" s="143"/>
      <c r="H337" s="2"/>
      <c r="I337" s="30"/>
    </row>
    <row r="338" spans="4:9">
      <c r="D338" s="47"/>
      <c r="E338" s="143"/>
      <c r="H338" s="2"/>
      <c r="I338" s="30"/>
    </row>
    <row r="339" spans="4:9">
      <c r="D339" s="47"/>
      <c r="E339" s="143"/>
      <c r="H339" s="2"/>
      <c r="I339" s="30"/>
    </row>
    <row r="340" spans="4:9">
      <c r="D340" s="47"/>
      <c r="E340" s="143"/>
      <c r="H340" s="2"/>
      <c r="I340" s="30"/>
    </row>
    <row r="341" spans="4:9">
      <c r="D341" s="47"/>
      <c r="E341" s="143"/>
      <c r="H341" s="2"/>
      <c r="I341" s="30"/>
    </row>
    <row r="342" spans="4:9">
      <c r="D342" s="47"/>
      <c r="E342" s="143"/>
      <c r="H342" s="2"/>
      <c r="I342" s="30"/>
    </row>
    <row r="343" spans="4:9">
      <c r="D343" s="47"/>
      <c r="E343" s="143"/>
      <c r="H343" s="2"/>
      <c r="I343" s="30"/>
    </row>
    <row r="344" spans="4:9">
      <c r="D344" s="47"/>
      <c r="E344" s="143"/>
      <c r="H344" s="2"/>
      <c r="I344" s="30"/>
    </row>
    <row r="345" spans="4:9">
      <c r="D345" s="47"/>
      <c r="E345" s="143"/>
      <c r="H345" s="2"/>
      <c r="I345" s="30"/>
    </row>
    <row r="346" spans="4:9">
      <c r="D346" s="47"/>
      <c r="E346" s="143"/>
      <c r="H346" s="2"/>
      <c r="I346" s="30"/>
    </row>
    <row r="347" spans="4:9">
      <c r="D347" s="47"/>
      <c r="E347" s="143"/>
      <c r="H347" s="2"/>
      <c r="I347" s="30"/>
    </row>
    <row r="348" spans="4:9">
      <c r="D348" s="47"/>
      <c r="E348" s="143"/>
      <c r="H348" s="2"/>
      <c r="I348" s="30"/>
    </row>
    <row r="349" spans="4:9">
      <c r="D349" s="47"/>
      <c r="E349" s="143"/>
      <c r="H349" s="2"/>
      <c r="I349" s="30"/>
    </row>
    <row r="350" spans="4:9">
      <c r="D350" s="47"/>
      <c r="E350" s="143"/>
      <c r="H350" s="2"/>
      <c r="I350" s="30"/>
    </row>
    <row r="351" spans="4:9">
      <c r="D351" s="47"/>
      <c r="E351" s="143"/>
      <c r="H351" s="2"/>
      <c r="I351" s="30"/>
    </row>
    <row r="352" spans="4:9">
      <c r="D352" s="47"/>
      <c r="E352" s="143"/>
      <c r="H352" s="2"/>
      <c r="I352" s="30"/>
    </row>
    <row r="353" spans="4:9">
      <c r="D353" s="47"/>
      <c r="E353" s="143"/>
      <c r="H353" s="2"/>
      <c r="I353" s="30"/>
    </row>
    <row r="354" spans="4:9">
      <c r="D354" s="47"/>
      <c r="E354" s="143"/>
      <c r="H354" s="2"/>
      <c r="I354" s="30"/>
    </row>
    <row r="355" spans="4:9">
      <c r="D355" s="47"/>
      <c r="E355" s="143"/>
      <c r="H355" s="2"/>
      <c r="I355" s="30"/>
    </row>
    <row r="356" spans="4:9">
      <c r="D356" s="47"/>
      <c r="E356" s="143"/>
      <c r="H356" s="2"/>
      <c r="I356" s="30"/>
    </row>
    <row r="357" spans="4:9">
      <c r="D357" s="47"/>
      <c r="E357" s="143"/>
      <c r="H357" s="2"/>
      <c r="I357" s="30"/>
    </row>
    <row r="358" spans="4:9">
      <c r="D358" s="47"/>
      <c r="E358" s="143"/>
      <c r="H358" s="2"/>
      <c r="I358" s="30"/>
    </row>
    <row r="359" spans="4:9">
      <c r="D359" s="47"/>
      <c r="E359" s="143"/>
      <c r="H359" s="2"/>
      <c r="I359" s="30"/>
    </row>
    <row r="360" spans="4:9">
      <c r="D360" s="47"/>
      <c r="E360" s="143"/>
      <c r="H360" s="2"/>
      <c r="I360" s="30"/>
    </row>
    <row r="361" spans="4:9">
      <c r="D361" s="47"/>
      <c r="E361" s="143"/>
      <c r="H361" s="2"/>
      <c r="I361" s="30"/>
    </row>
    <row r="362" spans="4:9">
      <c r="D362" s="47"/>
      <c r="E362" s="143"/>
      <c r="H362" s="2"/>
      <c r="I362" s="30"/>
    </row>
    <row r="363" spans="4:9">
      <c r="D363" s="47"/>
      <c r="E363" s="143"/>
      <c r="H363" s="2"/>
      <c r="I363" s="30"/>
    </row>
    <row r="364" spans="4:9">
      <c r="D364" s="47"/>
      <c r="E364" s="143"/>
      <c r="H364" s="2"/>
      <c r="I364" s="30"/>
    </row>
    <row r="365" spans="4:9">
      <c r="D365" s="47"/>
      <c r="E365" s="143"/>
      <c r="H365" s="2"/>
      <c r="I365" s="30"/>
    </row>
    <row r="366" spans="4:9">
      <c r="D366" s="47"/>
      <c r="E366" s="143"/>
      <c r="H366" s="2"/>
      <c r="I366" s="30"/>
    </row>
    <row r="367" spans="4:9">
      <c r="D367" s="47"/>
      <c r="E367" s="143"/>
      <c r="H367" s="2"/>
      <c r="I367" s="30"/>
    </row>
    <row r="368" spans="4:9">
      <c r="D368" s="47"/>
      <c r="E368" s="143"/>
      <c r="H368" s="2"/>
      <c r="I368" s="30"/>
    </row>
    <row r="369" spans="4:9">
      <c r="D369" s="47"/>
      <c r="E369" s="143"/>
      <c r="H369" s="2"/>
      <c r="I369" s="30"/>
    </row>
    <row r="370" spans="4:9">
      <c r="D370" s="47"/>
      <c r="E370" s="143"/>
      <c r="H370" s="2"/>
      <c r="I370" s="30"/>
    </row>
    <row r="371" spans="4:9">
      <c r="D371" s="47"/>
      <c r="E371" s="143"/>
      <c r="H371" s="2"/>
      <c r="I371" s="30"/>
    </row>
    <row r="372" spans="4:9">
      <c r="D372" s="47"/>
      <c r="E372" s="143"/>
      <c r="H372" s="2"/>
      <c r="I372" s="30"/>
    </row>
    <row r="373" spans="4:9">
      <c r="D373" s="47"/>
      <c r="E373" s="143"/>
      <c r="H373" s="2"/>
      <c r="I373" s="30"/>
    </row>
    <row r="374" spans="4:9">
      <c r="D374" s="47"/>
      <c r="E374" s="143"/>
      <c r="H374" s="2"/>
      <c r="I374" s="30"/>
    </row>
    <row r="375" spans="4:9">
      <c r="D375" s="47"/>
      <c r="E375" s="143"/>
      <c r="H375" s="2"/>
      <c r="I375" s="30"/>
    </row>
    <row r="376" spans="4:9">
      <c r="D376" s="47"/>
      <c r="E376" s="143"/>
      <c r="H376" s="2"/>
      <c r="I376" s="30"/>
    </row>
    <row r="377" spans="4:9">
      <c r="D377" s="47"/>
      <c r="E377" s="143"/>
      <c r="H377" s="2"/>
      <c r="I377" s="30"/>
    </row>
    <row r="378" spans="4:9">
      <c r="D378" s="47"/>
      <c r="E378" s="143"/>
      <c r="H378" s="2"/>
      <c r="I378" s="30"/>
    </row>
    <row r="379" spans="4:9">
      <c r="D379" s="47"/>
      <c r="E379" s="143"/>
      <c r="H379" s="2"/>
      <c r="I379" s="30"/>
    </row>
    <row r="380" spans="4:9">
      <c r="D380" s="47"/>
      <c r="E380" s="143"/>
      <c r="H380" s="2"/>
      <c r="I380" s="30"/>
    </row>
    <row r="381" spans="4:9">
      <c r="D381" s="47"/>
      <c r="E381" s="143"/>
      <c r="H381" s="2"/>
      <c r="I381" s="30"/>
    </row>
    <row r="382" spans="4:9">
      <c r="D382" s="47"/>
      <c r="E382" s="143"/>
      <c r="H382" s="2"/>
      <c r="I382" s="30"/>
    </row>
    <row r="383" spans="4:9">
      <c r="D383" s="47"/>
      <c r="E383" s="143"/>
      <c r="H383" s="2"/>
      <c r="I383" s="30"/>
    </row>
    <row r="384" spans="4:9">
      <c r="D384" s="47"/>
      <c r="E384" s="143"/>
      <c r="H384" s="2"/>
      <c r="I384" s="30"/>
    </row>
    <row r="385" spans="4:9">
      <c r="D385" s="47"/>
      <c r="E385" s="143"/>
      <c r="H385" s="2"/>
      <c r="I385" s="30"/>
    </row>
    <row r="386" spans="4:9">
      <c r="D386" s="47"/>
      <c r="E386" s="143"/>
      <c r="H386" s="2"/>
      <c r="I386" s="30"/>
    </row>
    <row r="387" spans="4:9">
      <c r="D387" s="47"/>
      <c r="E387" s="143"/>
      <c r="H387" s="2"/>
      <c r="I387" s="30"/>
    </row>
    <row r="388" spans="4:9">
      <c r="D388" s="47"/>
      <c r="E388" s="143"/>
      <c r="H388" s="2"/>
      <c r="I388" s="30"/>
    </row>
    <row r="389" spans="4:9">
      <c r="D389" s="47"/>
      <c r="E389" s="143"/>
      <c r="H389" s="2"/>
      <c r="I389" s="30"/>
    </row>
    <row r="390" spans="4:9">
      <c r="D390" s="47"/>
      <c r="E390" s="143"/>
      <c r="H390" s="2"/>
      <c r="I390" s="30"/>
    </row>
    <row r="391" spans="4:9">
      <c r="D391" s="47"/>
      <c r="E391" s="143"/>
      <c r="H391" s="2"/>
      <c r="I391" s="30"/>
    </row>
    <row r="392" spans="4:9">
      <c r="D392" s="47"/>
      <c r="E392" s="143"/>
      <c r="H392" s="2"/>
      <c r="I392" s="30"/>
    </row>
    <row r="393" spans="4:9">
      <c r="D393" s="47"/>
      <c r="E393" s="143"/>
      <c r="H393" s="2"/>
      <c r="I393" s="30"/>
    </row>
    <row r="394" spans="4:9">
      <c r="D394" s="47"/>
      <c r="E394" s="143"/>
      <c r="H394" s="2"/>
      <c r="I394" s="30"/>
    </row>
    <row r="395" spans="4:9">
      <c r="D395" s="47"/>
      <c r="E395" s="143"/>
      <c r="H395" s="2"/>
      <c r="I395" s="30"/>
    </row>
    <row r="396" spans="4:9">
      <c r="D396" s="47"/>
      <c r="E396" s="143"/>
      <c r="H396" s="2"/>
      <c r="I396" s="30"/>
    </row>
    <row r="397" spans="4:9">
      <c r="D397" s="47"/>
      <c r="E397" s="143"/>
      <c r="H397" s="2"/>
      <c r="I397" s="30"/>
    </row>
    <row r="398" spans="4:9">
      <c r="D398" s="47"/>
      <c r="E398" s="143"/>
      <c r="H398" s="2"/>
      <c r="I398" s="30"/>
    </row>
    <row r="399" spans="4:9">
      <c r="D399" s="47"/>
      <c r="E399" s="143"/>
      <c r="H399" s="2"/>
      <c r="I399" s="30"/>
    </row>
    <row r="400" spans="4:9">
      <c r="D400" s="47"/>
      <c r="E400" s="143"/>
      <c r="H400" s="2"/>
      <c r="I400" s="30"/>
    </row>
    <row r="401" spans="4:9">
      <c r="D401" s="47"/>
      <c r="E401" s="143"/>
      <c r="H401" s="2"/>
      <c r="I401" s="30"/>
    </row>
    <row r="402" spans="4:9">
      <c r="D402" s="47"/>
      <c r="E402" s="143"/>
      <c r="H402" s="2"/>
      <c r="I402" s="30"/>
    </row>
    <row r="403" spans="4:9">
      <c r="D403" s="47"/>
      <c r="E403" s="143"/>
      <c r="H403" s="2"/>
      <c r="I403" s="30"/>
    </row>
    <row r="404" spans="4:9">
      <c r="D404" s="47"/>
      <c r="E404" s="143"/>
      <c r="H404" s="2"/>
      <c r="I404" s="30"/>
    </row>
    <row r="405" spans="4:9">
      <c r="D405" s="47"/>
      <c r="E405" s="143"/>
      <c r="H405" s="2"/>
      <c r="I405" s="30"/>
    </row>
    <row r="406" spans="4:9">
      <c r="D406" s="47"/>
      <c r="E406" s="143"/>
      <c r="H406" s="2"/>
      <c r="I406" s="30"/>
    </row>
    <row r="407" spans="4:9">
      <c r="D407" s="47"/>
      <c r="E407" s="143"/>
      <c r="H407" s="2"/>
      <c r="I407" s="30"/>
    </row>
    <row r="408" spans="4:9">
      <c r="D408" s="47"/>
      <c r="E408" s="143"/>
      <c r="H408" s="2"/>
      <c r="I408" s="30"/>
    </row>
    <row r="409" spans="4:9">
      <c r="D409" s="47"/>
      <c r="E409" s="143"/>
      <c r="H409" s="2"/>
      <c r="I409" s="30"/>
    </row>
    <row r="410" spans="4:9">
      <c r="D410" s="47"/>
      <c r="E410" s="143"/>
      <c r="H410" s="2"/>
      <c r="I410" s="30"/>
    </row>
    <row r="411" spans="4:9">
      <c r="D411" s="47"/>
      <c r="E411" s="143"/>
      <c r="H411" s="2"/>
      <c r="I411" s="30"/>
    </row>
    <row r="412" spans="4:9">
      <c r="D412" s="47"/>
      <c r="E412" s="143"/>
      <c r="H412" s="2"/>
      <c r="I412" s="30"/>
    </row>
    <row r="413" spans="4:9">
      <c r="D413" s="47"/>
      <c r="E413" s="143"/>
      <c r="H413" s="2"/>
      <c r="I413" s="30"/>
    </row>
    <row r="414" spans="4:9">
      <c r="D414" s="47"/>
      <c r="E414" s="143"/>
      <c r="H414" s="2"/>
      <c r="I414" s="30"/>
    </row>
    <row r="415" spans="4:9">
      <c r="D415" s="47"/>
      <c r="E415" s="143"/>
      <c r="H415" s="2"/>
      <c r="I415" s="30"/>
    </row>
    <row r="416" spans="4:9">
      <c r="D416" s="47"/>
      <c r="E416" s="143"/>
      <c r="H416" s="2"/>
      <c r="I416" s="30"/>
    </row>
    <row r="417" spans="4:9">
      <c r="D417" s="47"/>
      <c r="E417" s="143"/>
      <c r="H417" s="2"/>
      <c r="I417" s="30"/>
    </row>
    <row r="418" spans="4:9">
      <c r="D418" s="47"/>
      <c r="E418" s="143"/>
      <c r="H418" s="2"/>
      <c r="I418" s="30"/>
    </row>
    <row r="419" spans="4:9">
      <c r="D419" s="47"/>
      <c r="E419" s="143"/>
      <c r="H419" s="2"/>
      <c r="I419" s="30"/>
    </row>
    <row r="420" spans="4:9">
      <c r="D420" s="47"/>
      <c r="E420" s="143"/>
      <c r="H420" s="2"/>
      <c r="I420" s="30"/>
    </row>
    <row r="421" spans="4:9">
      <c r="D421" s="47"/>
      <c r="E421" s="143"/>
      <c r="H421" s="2"/>
      <c r="I421" s="30"/>
    </row>
    <row r="422" spans="4:9">
      <c r="D422" s="47"/>
      <c r="E422" s="143"/>
      <c r="H422" s="2"/>
      <c r="I422" s="30"/>
    </row>
    <row r="423" spans="4:9">
      <c r="D423" s="47"/>
      <c r="E423" s="143"/>
      <c r="H423" s="2"/>
      <c r="I423" s="30"/>
    </row>
    <row r="424" spans="4:9">
      <c r="D424" s="47"/>
      <c r="E424" s="143"/>
      <c r="H424" s="2"/>
      <c r="I424" s="30"/>
    </row>
    <row r="425" spans="4:9">
      <c r="D425" s="47"/>
      <c r="E425" s="143"/>
      <c r="H425" s="2"/>
      <c r="I425" s="30"/>
    </row>
    <row r="426" spans="4:9">
      <c r="D426" s="47"/>
      <c r="E426" s="143"/>
      <c r="H426" s="2"/>
      <c r="I426" s="30"/>
    </row>
    <row r="427" spans="4:9">
      <c r="D427" s="47"/>
      <c r="E427" s="143"/>
      <c r="H427" s="2"/>
      <c r="I427" s="30"/>
    </row>
    <row r="428" spans="4:9">
      <c r="D428" s="47"/>
      <c r="E428" s="143"/>
      <c r="H428" s="2"/>
      <c r="I428" s="30"/>
    </row>
    <row r="429" spans="4:9">
      <c r="D429" s="47"/>
      <c r="E429" s="143"/>
      <c r="H429" s="2"/>
      <c r="I429" s="30"/>
    </row>
    <row r="430" spans="4:9">
      <c r="D430" s="47"/>
      <c r="E430" s="143"/>
      <c r="H430" s="2"/>
      <c r="I430" s="30"/>
    </row>
    <row r="431" spans="4:9">
      <c r="D431" s="47"/>
      <c r="E431" s="143"/>
      <c r="H431" s="2"/>
      <c r="I431" s="30"/>
    </row>
    <row r="432" spans="4:9">
      <c r="D432" s="47"/>
      <c r="E432" s="143"/>
      <c r="H432" s="2"/>
      <c r="I432" s="30"/>
    </row>
    <row r="433" spans="4:9">
      <c r="D433" s="47"/>
      <c r="E433" s="143"/>
      <c r="H433" s="2"/>
      <c r="I433" s="30"/>
    </row>
    <row r="434" spans="4:9">
      <c r="D434" s="47"/>
      <c r="E434" s="143"/>
      <c r="H434" s="2"/>
      <c r="I434" s="30"/>
    </row>
    <row r="435" spans="4:9">
      <c r="D435" s="47"/>
      <c r="E435" s="143"/>
      <c r="H435" s="2"/>
      <c r="I435" s="30"/>
    </row>
    <row r="436" spans="4:9">
      <c r="D436" s="47"/>
      <c r="E436" s="143"/>
      <c r="H436" s="2"/>
      <c r="I436" s="30"/>
    </row>
    <row r="437" spans="4:9">
      <c r="D437" s="47"/>
      <c r="E437" s="143"/>
      <c r="H437" s="2"/>
      <c r="I437" s="30"/>
    </row>
    <row r="438" spans="4:9">
      <c r="D438" s="47"/>
      <c r="E438" s="143"/>
      <c r="H438" s="2"/>
      <c r="I438" s="30"/>
    </row>
    <row r="439" spans="4:9">
      <c r="D439" s="47"/>
      <c r="E439" s="143"/>
      <c r="H439" s="2"/>
      <c r="I439" s="30"/>
    </row>
    <row r="440" spans="4:9">
      <c r="D440" s="47"/>
      <c r="E440" s="143"/>
      <c r="H440" s="2"/>
      <c r="I440" s="30"/>
    </row>
    <row r="441" spans="4:9">
      <c r="D441" s="47"/>
      <c r="E441" s="143"/>
      <c r="H441" s="2"/>
      <c r="I441" s="30"/>
    </row>
    <row r="442" spans="4:9">
      <c r="D442" s="47"/>
      <c r="E442" s="143"/>
      <c r="H442" s="2"/>
      <c r="I442" s="30"/>
    </row>
    <row r="443" spans="4:9">
      <c r="D443" s="47"/>
      <c r="E443" s="143"/>
      <c r="H443" s="2"/>
      <c r="I443" s="30"/>
    </row>
    <row r="444" spans="4:9">
      <c r="D444" s="47"/>
      <c r="E444" s="143"/>
      <c r="H444" s="2"/>
      <c r="I444" s="30"/>
    </row>
    <row r="445" spans="4:9">
      <c r="D445" s="47"/>
      <c r="E445" s="143"/>
      <c r="H445" s="2"/>
      <c r="I445" s="30"/>
    </row>
    <row r="446" spans="4:9">
      <c r="D446" s="47"/>
      <c r="E446" s="143"/>
      <c r="H446" s="2"/>
      <c r="I446" s="30"/>
    </row>
    <row r="447" spans="4:9">
      <c r="D447" s="47"/>
      <c r="E447" s="143"/>
      <c r="H447" s="2"/>
      <c r="I447" s="30"/>
    </row>
    <row r="448" spans="4:9">
      <c r="D448" s="47"/>
      <c r="E448" s="143"/>
      <c r="H448" s="2"/>
      <c r="I448" s="30"/>
    </row>
    <row r="449" spans="4:9">
      <c r="D449" s="47"/>
      <c r="E449" s="143"/>
      <c r="H449" s="2"/>
      <c r="I449" s="30"/>
    </row>
    <row r="450" spans="4:9">
      <c r="D450" s="47"/>
      <c r="E450" s="143"/>
      <c r="H450" s="2"/>
      <c r="I450" s="30"/>
    </row>
    <row r="451" spans="4:9">
      <c r="D451" s="47"/>
      <c r="E451" s="143"/>
      <c r="H451" s="2"/>
      <c r="I451" s="30"/>
    </row>
    <row r="452" spans="4:9">
      <c r="D452" s="47"/>
      <c r="E452" s="143"/>
      <c r="H452" s="2"/>
      <c r="I452" s="30"/>
    </row>
    <row r="453" spans="4:9">
      <c r="D453" s="47"/>
      <c r="E453" s="143"/>
      <c r="H453" s="2"/>
      <c r="I453" s="30"/>
    </row>
    <row r="454" spans="4:9">
      <c r="D454" s="47"/>
      <c r="E454" s="143"/>
      <c r="H454" s="2"/>
      <c r="I454" s="30"/>
    </row>
    <row r="455" spans="4:9">
      <c r="D455" s="47"/>
      <c r="E455" s="143"/>
      <c r="H455" s="2"/>
      <c r="I455" s="30"/>
    </row>
    <row r="456" spans="4:9">
      <c r="D456" s="47"/>
      <c r="E456" s="143"/>
      <c r="H456" s="2"/>
      <c r="I456" s="30"/>
    </row>
    <row r="457" spans="4:9">
      <c r="D457" s="47"/>
      <c r="E457" s="143"/>
      <c r="H457" s="2"/>
      <c r="I457" s="30"/>
    </row>
    <row r="458" spans="4:9">
      <c r="D458" s="47"/>
      <c r="E458" s="143"/>
      <c r="H458" s="2"/>
      <c r="I458" s="30"/>
    </row>
    <row r="459" spans="4:9">
      <c r="D459" s="47"/>
      <c r="E459" s="143"/>
      <c r="H459" s="2"/>
      <c r="I459" s="30"/>
    </row>
    <row r="460" spans="4:9">
      <c r="D460" s="47"/>
      <c r="E460" s="143"/>
      <c r="H460" s="2"/>
      <c r="I460" s="30"/>
    </row>
    <row r="461" spans="4:9">
      <c r="D461" s="47"/>
      <c r="E461" s="143"/>
      <c r="H461" s="2"/>
      <c r="I461" s="30"/>
    </row>
    <row r="462" spans="4:9">
      <c r="D462" s="47"/>
      <c r="E462" s="143"/>
      <c r="H462" s="2"/>
      <c r="I462" s="30"/>
    </row>
    <row r="463" spans="4:9">
      <c r="D463" s="47"/>
      <c r="E463" s="143"/>
      <c r="H463" s="2"/>
      <c r="I463" s="30"/>
    </row>
    <row r="464" spans="4:9">
      <c r="D464" s="47"/>
      <c r="E464" s="143"/>
      <c r="H464" s="2"/>
      <c r="I464" s="30"/>
    </row>
    <row r="465" spans="4:9">
      <c r="D465" s="47"/>
      <c r="E465" s="143"/>
      <c r="H465" s="2"/>
      <c r="I465" s="30"/>
    </row>
    <row r="466" spans="4:9">
      <c r="D466" s="47"/>
      <c r="E466" s="143"/>
      <c r="H466" s="2"/>
      <c r="I466" s="30"/>
    </row>
    <row r="467" spans="4:9">
      <c r="D467" s="47"/>
      <c r="E467" s="143"/>
      <c r="H467" s="2"/>
      <c r="I467" s="30"/>
    </row>
    <row r="468" spans="4:9">
      <c r="D468" s="47"/>
      <c r="E468" s="143"/>
      <c r="H468" s="2"/>
      <c r="I468" s="30"/>
    </row>
    <row r="469" spans="4:9">
      <c r="D469" s="47"/>
      <c r="E469" s="143"/>
      <c r="H469" s="2"/>
      <c r="I469" s="30"/>
    </row>
    <row r="470" spans="4:9">
      <c r="D470" s="47"/>
      <c r="E470" s="143"/>
      <c r="H470" s="2"/>
      <c r="I470" s="30"/>
    </row>
    <row r="471" spans="4:9">
      <c r="D471" s="47"/>
      <c r="E471" s="143"/>
      <c r="H471" s="2"/>
      <c r="I471" s="30"/>
    </row>
    <row r="472" spans="4:9">
      <c r="D472" s="47"/>
      <c r="E472" s="143"/>
      <c r="H472" s="2"/>
      <c r="I472" s="30"/>
    </row>
    <row r="473" spans="4:9">
      <c r="D473" s="47"/>
      <c r="E473" s="143"/>
      <c r="H473" s="2"/>
      <c r="I473" s="30"/>
    </row>
    <row r="474" spans="4:9">
      <c r="D474" s="47"/>
      <c r="E474" s="143"/>
      <c r="H474" s="2"/>
      <c r="I474" s="30"/>
    </row>
    <row r="475" spans="4:9">
      <c r="D475" s="47"/>
      <c r="E475" s="143"/>
      <c r="H475" s="2"/>
      <c r="I475" s="30"/>
    </row>
    <row r="476" spans="4:9">
      <c r="D476" s="47"/>
      <c r="E476" s="143"/>
      <c r="H476" s="2"/>
      <c r="I476" s="30"/>
    </row>
    <row r="477" spans="4:9">
      <c r="D477" s="47"/>
      <c r="E477" s="143"/>
      <c r="H477" s="2"/>
      <c r="I477" s="30"/>
    </row>
    <row r="478" spans="4:9">
      <c r="D478" s="47"/>
      <c r="E478" s="143"/>
      <c r="H478" s="2"/>
      <c r="I478" s="30"/>
    </row>
    <row r="479" spans="4:9">
      <c r="D479" s="47"/>
      <c r="E479" s="143"/>
      <c r="H479" s="2"/>
      <c r="I479" s="30"/>
    </row>
    <row r="480" spans="4:9">
      <c r="D480" s="47"/>
      <c r="E480" s="143"/>
      <c r="H480" s="2"/>
      <c r="I480" s="30"/>
    </row>
    <row r="481" spans="4:9">
      <c r="D481" s="47"/>
      <c r="E481" s="143"/>
      <c r="H481" s="2"/>
      <c r="I481" s="30"/>
    </row>
    <row r="482" spans="4:9">
      <c r="D482" s="47"/>
      <c r="E482" s="143"/>
      <c r="H482" s="2"/>
      <c r="I482" s="30"/>
    </row>
    <row r="483" spans="4:9">
      <c r="D483" s="47"/>
      <c r="E483" s="143"/>
      <c r="H483" s="2"/>
      <c r="I483" s="30"/>
    </row>
    <row r="484" spans="4:9">
      <c r="D484" s="47"/>
      <c r="E484" s="143"/>
      <c r="H484" s="2"/>
      <c r="I484" s="30"/>
    </row>
    <row r="485" spans="4:9">
      <c r="D485" s="47"/>
      <c r="E485" s="143"/>
      <c r="H485" s="2"/>
      <c r="I485" s="30"/>
    </row>
    <row r="486" spans="4:9">
      <c r="D486" s="47"/>
      <c r="E486" s="143"/>
      <c r="H486" s="2"/>
      <c r="I486" s="30"/>
    </row>
    <row r="487" spans="4:9">
      <c r="D487" s="47"/>
      <c r="E487" s="143"/>
      <c r="H487" s="2"/>
      <c r="I487" s="30"/>
    </row>
    <row r="488" spans="4:9">
      <c r="D488" s="47"/>
      <c r="E488" s="143"/>
      <c r="H488" s="2"/>
      <c r="I488" s="30"/>
    </row>
    <row r="489" spans="4:9">
      <c r="D489" s="47"/>
      <c r="E489" s="143"/>
      <c r="H489" s="2"/>
      <c r="I489" s="30"/>
    </row>
    <row r="490" spans="4:9">
      <c r="D490" s="47"/>
      <c r="E490" s="143"/>
      <c r="H490" s="2"/>
      <c r="I490" s="30"/>
    </row>
    <row r="491" spans="4:9">
      <c r="D491" s="47"/>
      <c r="E491" s="143"/>
      <c r="H491" s="2"/>
      <c r="I491" s="30"/>
    </row>
    <row r="492" spans="4:9">
      <c r="D492" s="47"/>
      <c r="E492" s="143"/>
      <c r="H492" s="2"/>
      <c r="I492" s="30"/>
    </row>
    <row r="493" spans="4:9">
      <c r="D493" s="47"/>
      <c r="E493" s="143"/>
      <c r="H493" s="2"/>
      <c r="I493" s="30"/>
    </row>
    <row r="494" spans="4:9">
      <c r="D494" s="47"/>
      <c r="E494" s="143"/>
      <c r="H494" s="2"/>
      <c r="I494" s="30"/>
    </row>
    <row r="495" spans="4:9">
      <c r="D495" s="47"/>
      <c r="E495" s="143"/>
      <c r="H495" s="2"/>
      <c r="I495" s="30"/>
    </row>
    <row r="496" spans="4:9">
      <c r="D496" s="47"/>
      <c r="E496" s="143"/>
      <c r="H496" s="2"/>
      <c r="I496" s="30"/>
    </row>
    <row r="497" spans="4:9">
      <c r="D497" s="47"/>
      <c r="E497" s="143"/>
      <c r="H497" s="2"/>
      <c r="I497" s="30"/>
    </row>
    <row r="498" spans="4:9">
      <c r="D498" s="47"/>
      <c r="E498" s="143"/>
      <c r="H498" s="2"/>
      <c r="I498" s="30"/>
    </row>
    <row r="499" spans="4:9">
      <c r="D499" s="47"/>
      <c r="E499" s="143"/>
      <c r="H499" s="2"/>
      <c r="I499" s="30"/>
    </row>
    <row r="500" spans="4:9">
      <c r="D500" s="47"/>
      <c r="E500" s="143"/>
      <c r="H500" s="2"/>
      <c r="I500" s="30"/>
    </row>
    <row r="501" spans="4:9">
      <c r="D501" s="47"/>
      <c r="E501" s="143"/>
      <c r="H501" s="2"/>
      <c r="I501" s="30"/>
    </row>
    <row r="502" spans="4:9">
      <c r="D502" s="47"/>
      <c r="E502" s="143"/>
      <c r="H502" s="2"/>
      <c r="I502" s="30"/>
    </row>
    <row r="503" spans="4:9">
      <c r="D503" s="47"/>
      <c r="E503" s="143"/>
      <c r="H503" s="2"/>
      <c r="I503" s="30"/>
    </row>
    <row r="504" spans="4:9">
      <c r="D504" s="47"/>
      <c r="E504" s="143"/>
      <c r="H504" s="2"/>
      <c r="I504" s="30"/>
    </row>
    <row r="505" spans="4:9">
      <c r="D505" s="47"/>
      <c r="E505" s="143"/>
      <c r="H505" s="2"/>
      <c r="I505" s="30"/>
    </row>
    <row r="506" spans="4:9">
      <c r="D506" s="47"/>
      <c r="E506" s="143"/>
      <c r="H506" s="2"/>
      <c r="I506" s="30"/>
    </row>
    <row r="507" spans="4:9">
      <c r="D507" s="47"/>
      <c r="E507" s="143"/>
      <c r="H507" s="2"/>
      <c r="I507" s="30"/>
    </row>
    <row r="508" spans="4:9">
      <c r="D508" s="47"/>
      <c r="E508" s="143"/>
      <c r="H508" s="2"/>
      <c r="I508" s="30"/>
    </row>
    <row r="509" spans="4:9">
      <c r="D509" s="47"/>
      <c r="E509" s="143"/>
      <c r="H509" s="2"/>
      <c r="I509" s="30"/>
    </row>
    <row r="510" spans="4:9">
      <c r="D510" s="47"/>
      <c r="E510" s="143"/>
      <c r="H510" s="2"/>
      <c r="I510" s="30"/>
    </row>
    <row r="511" spans="4:9">
      <c r="D511" s="47"/>
      <c r="E511" s="143"/>
      <c r="H511" s="2"/>
      <c r="I511" s="30"/>
    </row>
    <row r="512" spans="4:9">
      <c r="D512" s="47"/>
      <c r="E512" s="143"/>
      <c r="H512" s="2"/>
      <c r="I512" s="30"/>
    </row>
    <row r="513" spans="4:9">
      <c r="D513" s="47"/>
      <c r="E513" s="143"/>
      <c r="H513" s="2"/>
      <c r="I513" s="30"/>
    </row>
    <row r="514" spans="4:9">
      <c r="D514" s="47"/>
      <c r="E514" s="143"/>
      <c r="H514" s="2"/>
      <c r="I514" s="30"/>
    </row>
    <row r="515" spans="4:9">
      <c r="D515" s="47"/>
      <c r="E515" s="143"/>
      <c r="H515" s="2"/>
      <c r="I515" s="30"/>
    </row>
    <row r="516" spans="4:9">
      <c r="D516" s="47"/>
      <c r="E516" s="143"/>
      <c r="H516" s="2"/>
      <c r="I516" s="30"/>
    </row>
    <row r="517" spans="4:9">
      <c r="D517" s="47"/>
      <c r="E517" s="143"/>
      <c r="H517" s="2"/>
      <c r="I517" s="30"/>
    </row>
    <row r="518" spans="4:9">
      <c r="D518" s="47"/>
      <c r="E518" s="143"/>
      <c r="H518" s="2"/>
      <c r="I518" s="30"/>
    </row>
    <row r="519" spans="4:9">
      <c r="D519" s="47"/>
      <c r="E519" s="143"/>
      <c r="H519" s="2"/>
      <c r="I519" s="30"/>
    </row>
    <row r="520" spans="4:9">
      <c r="D520" s="47"/>
      <c r="E520" s="143"/>
      <c r="H520" s="2"/>
      <c r="I520" s="30"/>
    </row>
    <row r="521" spans="4:9">
      <c r="D521" s="47"/>
      <c r="E521" s="143"/>
      <c r="H521" s="2"/>
      <c r="I521" s="30"/>
    </row>
    <row r="522" spans="4:9">
      <c r="D522" s="47"/>
      <c r="E522" s="143"/>
      <c r="H522" s="2"/>
      <c r="I522" s="30"/>
    </row>
    <row r="523" spans="4:9">
      <c r="D523" s="47"/>
      <c r="E523" s="143"/>
      <c r="H523" s="2"/>
      <c r="I523" s="30"/>
    </row>
    <row r="524" spans="4:9">
      <c r="D524" s="47"/>
      <c r="E524" s="143"/>
      <c r="H524" s="2"/>
      <c r="I524" s="30"/>
    </row>
    <row r="525" spans="4:9">
      <c r="D525" s="47"/>
      <c r="E525" s="143"/>
      <c r="H525" s="2"/>
      <c r="I525" s="30"/>
    </row>
    <row r="526" spans="4:9">
      <c r="D526" s="47"/>
      <c r="E526" s="143"/>
      <c r="H526" s="2"/>
      <c r="I526" s="30"/>
    </row>
    <row r="527" spans="4:9">
      <c r="D527" s="47"/>
      <c r="E527" s="143"/>
      <c r="H527" s="2"/>
      <c r="I527" s="30"/>
    </row>
    <row r="528" spans="4:9">
      <c r="D528" s="47"/>
      <c r="E528" s="143"/>
      <c r="H528" s="2"/>
      <c r="I528" s="30"/>
    </row>
    <row r="529" spans="4:9">
      <c r="D529" s="47"/>
      <c r="E529" s="143"/>
      <c r="H529" s="2"/>
      <c r="I529" s="30"/>
    </row>
    <row r="530" spans="4:9">
      <c r="D530" s="47"/>
      <c r="E530" s="143"/>
      <c r="H530" s="2"/>
      <c r="I530" s="30"/>
    </row>
    <row r="531" spans="4:9">
      <c r="D531" s="47"/>
      <c r="E531" s="143"/>
      <c r="H531" s="2"/>
      <c r="I531" s="30"/>
    </row>
    <row r="532" spans="4:9">
      <c r="D532" s="47"/>
      <c r="E532" s="143"/>
      <c r="H532" s="2"/>
      <c r="I532" s="30"/>
    </row>
    <row r="533" spans="4:9">
      <c r="D533" s="47"/>
      <c r="E533" s="143"/>
      <c r="H533" s="2"/>
      <c r="I533" s="30"/>
    </row>
    <row r="534" spans="4:9">
      <c r="D534" s="47"/>
      <c r="E534" s="143"/>
      <c r="H534" s="2"/>
      <c r="I534" s="30"/>
    </row>
    <row r="535" spans="4:9">
      <c r="D535" s="47"/>
      <c r="E535" s="143"/>
      <c r="H535" s="2"/>
      <c r="I535" s="30"/>
    </row>
    <row r="536" spans="4:9">
      <c r="D536" s="47"/>
      <c r="E536" s="143"/>
      <c r="H536" s="2"/>
      <c r="I536" s="30"/>
    </row>
    <row r="537" spans="4:9">
      <c r="D537" s="47"/>
      <c r="E537" s="143"/>
      <c r="H537" s="2"/>
      <c r="I537" s="30"/>
    </row>
    <row r="538" spans="4:9">
      <c r="D538" s="47"/>
      <c r="E538" s="143"/>
      <c r="H538" s="2"/>
      <c r="I538" s="30"/>
    </row>
    <row r="539" spans="4:9">
      <c r="D539" s="47"/>
      <c r="E539" s="143"/>
      <c r="H539" s="2"/>
      <c r="I539" s="30"/>
    </row>
    <row r="540" spans="4:9">
      <c r="D540" s="47"/>
      <c r="E540" s="143"/>
      <c r="H540" s="2"/>
      <c r="I540" s="30"/>
    </row>
    <row r="541" spans="4:9">
      <c r="D541" s="47"/>
      <c r="E541" s="143"/>
      <c r="H541" s="2"/>
      <c r="I541" s="30"/>
    </row>
    <row r="542" spans="4:9">
      <c r="D542" s="47"/>
      <c r="E542" s="143"/>
      <c r="H542" s="2"/>
      <c r="I542" s="30"/>
    </row>
    <row r="543" spans="4:9">
      <c r="D543" s="47"/>
      <c r="E543" s="143"/>
      <c r="H543" s="2"/>
      <c r="I543" s="30"/>
    </row>
    <row r="544" spans="4:9">
      <c r="D544" s="47"/>
      <c r="E544" s="143"/>
      <c r="H544" s="2"/>
      <c r="I544" s="30"/>
    </row>
    <row r="545" spans="4:9">
      <c r="D545" s="47"/>
      <c r="E545" s="143"/>
      <c r="H545" s="2"/>
      <c r="I545" s="30"/>
    </row>
    <row r="546" spans="4:9">
      <c r="D546" s="47"/>
      <c r="E546" s="143"/>
      <c r="H546" s="2"/>
      <c r="I546" s="30"/>
    </row>
    <row r="547" spans="4:9">
      <c r="D547" s="47"/>
      <c r="E547" s="143"/>
      <c r="H547" s="2"/>
      <c r="I547" s="30"/>
    </row>
    <row r="548" spans="4:9">
      <c r="D548" s="47"/>
      <c r="E548" s="143"/>
      <c r="H548" s="2"/>
      <c r="I548" s="30"/>
    </row>
    <row r="549" spans="4:9">
      <c r="D549" s="47"/>
      <c r="E549" s="143"/>
      <c r="H549" s="2"/>
      <c r="I549" s="30"/>
    </row>
    <row r="550" spans="4:9">
      <c r="D550" s="47"/>
      <c r="E550" s="143"/>
      <c r="H550" s="2"/>
      <c r="I550" s="30"/>
    </row>
    <row r="551" spans="4:9">
      <c r="D551" s="47"/>
      <c r="E551" s="143"/>
      <c r="H551" s="2"/>
      <c r="I551" s="30"/>
    </row>
    <row r="552" spans="4:9">
      <c r="D552" s="47"/>
      <c r="E552" s="143"/>
      <c r="H552" s="2"/>
      <c r="I552" s="30"/>
    </row>
    <row r="553" spans="4:9">
      <c r="D553" s="47"/>
      <c r="E553" s="143"/>
      <c r="H553" s="2"/>
      <c r="I553" s="30"/>
    </row>
    <row r="554" spans="4:9">
      <c r="D554" s="47"/>
      <c r="E554" s="143"/>
      <c r="H554" s="2"/>
      <c r="I554" s="30"/>
    </row>
    <row r="555" spans="4:9">
      <c r="D555" s="47"/>
      <c r="E555" s="143"/>
      <c r="H555" s="2"/>
      <c r="I555" s="30"/>
    </row>
    <row r="556" spans="4:9">
      <c r="D556" s="47"/>
      <c r="E556" s="143"/>
      <c r="H556" s="2"/>
      <c r="I556" s="30"/>
    </row>
    <row r="557" spans="4:9">
      <c r="D557" s="47"/>
      <c r="E557" s="143"/>
      <c r="H557" s="2"/>
      <c r="I557" s="30"/>
    </row>
    <row r="558" spans="4:9">
      <c r="D558" s="47"/>
      <c r="E558" s="143"/>
      <c r="H558" s="2"/>
      <c r="I558" s="30"/>
    </row>
    <row r="559" spans="4:9">
      <c r="D559" s="47"/>
      <c r="E559" s="143"/>
      <c r="H559" s="2"/>
      <c r="I559" s="30"/>
    </row>
    <row r="560" spans="4:9">
      <c r="D560" s="47"/>
      <c r="E560" s="143"/>
      <c r="H560" s="2"/>
      <c r="I560" s="30"/>
    </row>
    <row r="561" spans="4:9">
      <c r="D561" s="47"/>
      <c r="E561" s="143"/>
      <c r="H561" s="2"/>
      <c r="I561" s="30"/>
    </row>
    <row r="562" spans="4:9">
      <c r="D562" s="47"/>
      <c r="E562" s="143"/>
      <c r="H562" s="2"/>
      <c r="I562" s="30"/>
    </row>
    <row r="563" spans="4:9">
      <c r="D563" s="47"/>
      <c r="E563" s="143"/>
      <c r="H563" s="2"/>
      <c r="I563" s="30"/>
    </row>
    <row r="564" spans="4:9">
      <c r="D564" s="47"/>
      <c r="E564" s="143"/>
      <c r="H564" s="2"/>
      <c r="I564" s="30"/>
    </row>
    <row r="565" spans="4:9">
      <c r="D565" s="47"/>
      <c r="E565" s="143"/>
      <c r="H565" s="2"/>
      <c r="I565" s="30"/>
    </row>
    <row r="566" spans="4:9">
      <c r="D566" s="47"/>
      <c r="E566" s="143"/>
      <c r="H566" s="2"/>
      <c r="I566" s="30"/>
    </row>
    <row r="567" spans="4:9">
      <c r="D567" s="47"/>
      <c r="E567" s="143"/>
      <c r="H567" s="2"/>
      <c r="I567" s="30"/>
    </row>
    <row r="568" spans="4:9">
      <c r="D568" s="47"/>
      <c r="E568" s="143"/>
      <c r="H568" s="2"/>
      <c r="I568" s="30"/>
    </row>
    <row r="569" spans="4:9">
      <c r="D569" s="47"/>
      <c r="E569" s="143"/>
      <c r="H569" s="2"/>
      <c r="I569" s="30"/>
    </row>
    <row r="570" spans="4:9">
      <c r="D570" s="47"/>
      <c r="E570" s="143"/>
      <c r="H570" s="2"/>
      <c r="I570" s="30"/>
    </row>
    <row r="571" spans="4:9">
      <c r="D571" s="47"/>
      <c r="E571" s="143"/>
      <c r="H571" s="2"/>
      <c r="I571" s="30"/>
    </row>
    <row r="572" spans="4:9">
      <c r="D572" s="47"/>
      <c r="E572" s="143"/>
      <c r="H572" s="2"/>
      <c r="I572" s="30"/>
    </row>
    <row r="573" spans="4:9">
      <c r="D573" s="47"/>
      <c r="E573" s="143"/>
      <c r="H573" s="2"/>
      <c r="I573" s="30"/>
    </row>
    <row r="574" spans="4:9">
      <c r="D574" s="47"/>
      <c r="E574" s="143"/>
      <c r="H574" s="2"/>
      <c r="I574" s="30"/>
    </row>
    <row r="575" spans="4:9">
      <c r="D575" s="47"/>
      <c r="E575" s="143"/>
      <c r="H575" s="2"/>
      <c r="I575" s="30"/>
    </row>
    <row r="576" spans="4:9">
      <c r="D576" s="47"/>
      <c r="E576" s="143"/>
      <c r="H576" s="2"/>
      <c r="I576" s="30"/>
    </row>
    <row r="577" spans="4:9">
      <c r="D577" s="47"/>
      <c r="E577" s="143"/>
      <c r="H577" s="2"/>
      <c r="I577" s="30"/>
    </row>
    <row r="578" spans="4:9">
      <c r="D578" s="47"/>
      <c r="E578" s="143"/>
      <c r="H578" s="2"/>
      <c r="I578" s="30"/>
    </row>
    <row r="579" spans="4:9">
      <c r="D579" s="47"/>
      <c r="E579" s="143"/>
      <c r="H579" s="2"/>
      <c r="I579" s="30"/>
    </row>
    <row r="580" spans="4:9">
      <c r="D580" s="47"/>
      <c r="E580" s="143"/>
      <c r="H580" s="2"/>
      <c r="I580" s="30"/>
    </row>
    <row r="581" spans="4:9">
      <c r="D581" s="47"/>
      <c r="E581" s="143"/>
      <c r="H581" s="2"/>
      <c r="I581" s="30"/>
    </row>
    <row r="582" spans="4:9">
      <c r="D582" s="47"/>
      <c r="E582" s="143"/>
      <c r="H582" s="2"/>
      <c r="I582" s="30"/>
    </row>
    <row r="583" spans="4:9">
      <c r="D583" s="47"/>
      <c r="E583" s="143"/>
      <c r="H583" s="2"/>
      <c r="I583" s="30"/>
    </row>
    <row r="584" spans="4:9">
      <c r="D584" s="47"/>
      <c r="E584" s="143"/>
      <c r="H584" s="2"/>
      <c r="I584" s="30"/>
    </row>
    <row r="585" spans="4:9">
      <c r="D585" s="47"/>
      <c r="E585" s="143"/>
      <c r="H585" s="2"/>
      <c r="I585" s="30"/>
    </row>
    <row r="586" spans="4:9">
      <c r="D586" s="47"/>
      <c r="E586" s="143"/>
      <c r="H586" s="2"/>
      <c r="I586" s="30"/>
    </row>
    <row r="587" spans="4:9">
      <c r="D587" s="47"/>
      <c r="E587" s="143"/>
      <c r="H587" s="2"/>
      <c r="I587" s="30"/>
    </row>
    <row r="588" spans="4:9">
      <c r="D588" s="47"/>
      <c r="E588" s="143"/>
      <c r="H588" s="2"/>
      <c r="I588" s="30"/>
    </row>
    <row r="589" spans="4:9">
      <c r="D589" s="47"/>
      <c r="E589" s="143"/>
      <c r="H589" s="2"/>
      <c r="I589" s="30"/>
    </row>
    <row r="590" spans="4:9">
      <c r="D590" s="47"/>
      <c r="E590" s="143"/>
      <c r="H590" s="2"/>
      <c r="I590" s="30"/>
    </row>
    <row r="591" spans="4:9">
      <c r="D591" s="47"/>
      <c r="E591" s="143"/>
      <c r="H591" s="2"/>
      <c r="I591" s="30"/>
    </row>
    <row r="592" spans="4:9">
      <c r="D592" s="47"/>
      <c r="E592" s="143"/>
      <c r="H592" s="2"/>
      <c r="I592" s="30"/>
    </row>
    <row r="593" spans="4:9">
      <c r="D593" s="47"/>
      <c r="E593" s="143"/>
      <c r="H593" s="2"/>
      <c r="I593" s="30"/>
    </row>
    <row r="594" spans="4:9">
      <c r="D594" s="47"/>
      <c r="E594" s="143"/>
      <c r="H594" s="2"/>
      <c r="I594" s="30"/>
    </row>
    <row r="595" spans="4:9">
      <c r="D595" s="47"/>
      <c r="E595" s="143"/>
      <c r="H595" s="2"/>
      <c r="I595" s="30"/>
    </row>
    <row r="596" spans="4:9">
      <c r="D596" s="47"/>
      <c r="E596" s="143"/>
      <c r="H596" s="2"/>
      <c r="I596" s="30"/>
    </row>
    <row r="597" spans="4:9">
      <c r="D597" s="47"/>
      <c r="E597" s="143"/>
      <c r="H597" s="2"/>
      <c r="I597" s="30"/>
    </row>
    <row r="598" spans="4:9">
      <c r="D598" s="47"/>
      <c r="E598" s="143"/>
      <c r="H598" s="2"/>
      <c r="I598" s="30"/>
    </row>
    <row r="599" spans="4:9">
      <c r="D599" s="47"/>
      <c r="E599" s="143"/>
      <c r="H599" s="2"/>
      <c r="I599" s="30"/>
    </row>
    <row r="600" spans="4:9">
      <c r="D600" s="47"/>
      <c r="E600" s="143"/>
      <c r="H600" s="2"/>
      <c r="I600" s="30"/>
    </row>
    <row r="601" spans="4:9">
      <c r="D601" s="47"/>
      <c r="E601" s="143"/>
      <c r="H601" s="2"/>
      <c r="I601" s="30"/>
    </row>
    <row r="602" spans="4:9">
      <c r="D602" s="47"/>
      <c r="E602" s="143"/>
      <c r="H602" s="2"/>
      <c r="I602" s="30"/>
    </row>
    <row r="603" spans="4:9">
      <c r="D603" s="47"/>
      <c r="E603" s="143"/>
      <c r="H603" s="2"/>
      <c r="I603" s="30"/>
    </row>
    <row r="604" spans="4:9">
      <c r="D604" s="47"/>
      <c r="E604" s="143"/>
      <c r="H604" s="2"/>
      <c r="I604" s="30"/>
    </row>
    <row r="605" spans="4:9">
      <c r="D605" s="47"/>
      <c r="E605" s="143"/>
      <c r="H605" s="2"/>
      <c r="I605" s="30"/>
    </row>
    <row r="606" spans="4:9">
      <c r="D606" s="47"/>
      <c r="E606" s="143"/>
      <c r="H606" s="2"/>
      <c r="I606" s="30"/>
    </row>
    <row r="607" spans="4:9">
      <c r="D607" s="47"/>
      <c r="E607" s="143"/>
      <c r="H607" s="2"/>
      <c r="I607" s="30"/>
    </row>
    <row r="608" spans="4:9">
      <c r="D608" s="47"/>
      <c r="E608" s="143"/>
      <c r="H608" s="2"/>
      <c r="I608" s="30"/>
    </row>
    <row r="609" spans="4:9">
      <c r="D609" s="47"/>
      <c r="E609" s="143"/>
      <c r="H609" s="2"/>
      <c r="I609" s="30"/>
    </row>
    <row r="610" spans="4:9">
      <c r="D610" s="47"/>
      <c r="E610" s="143"/>
      <c r="H610" s="2"/>
      <c r="I610" s="30"/>
    </row>
    <row r="611" spans="4:9">
      <c r="D611" s="47"/>
      <c r="E611" s="143"/>
      <c r="H611" s="2"/>
      <c r="I611" s="30"/>
    </row>
    <row r="612" spans="4:9">
      <c r="D612" s="47"/>
      <c r="E612" s="143"/>
      <c r="H612" s="2"/>
      <c r="I612" s="30"/>
    </row>
    <row r="613" spans="4:9">
      <c r="D613" s="47"/>
      <c r="E613" s="143"/>
      <c r="H613" s="2"/>
      <c r="I613" s="30"/>
    </row>
    <row r="614" spans="4:9">
      <c r="D614" s="47"/>
      <c r="E614" s="143"/>
      <c r="H614" s="2"/>
      <c r="I614" s="30"/>
    </row>
    <row r="615" spans="4:9">
      <c r="D615" s="47"/>
      <c r="E615" s="143"/>
      <c r="H615" s="2"/>
      <c r="I615" s="30"/>
    </row>
    <row r="616" spans="4:9">
      <c r="D616" s="47"/>
      <c r="E616" s="143"/>
      <c r="H616" s="2"/>
      <c r="I616" s="30"/>
    </row>
    <row r="617" spans="4:9">
      <c r="D617" s="47"/>
      <c r="E617" s="143"/>
      <c r="H617" s="2"/>
      <c r="I617" s="30"/>
    </row>
    <row r="618" spans="4:9">
      <c r="D618" s="47"/>
      <c r="E618" s="143"/>
      <c r="H618" s="2"/>
      <c r="I618" s="30"/>
    </row>
    <row r="619" spans="4:9">
      <c r="D619" s="47"/>
      <c r="E619" s="143"/>
      <c r="H619" s="2"/>
      <c r="I619" s="30"/>
    </row>
    <row r="620" spans="4:9">
      <c r="D620" s="47"/>
      <c r="E620" s="143"/>
      <c r="H620" s="2"/>
      <c r="I620" s="30"/>
    </row>
    <row r="621" spans="4:9">
      <c r="D621" s="47"/>
      <c r="E621" s="143"/>
      <c r="H621" s="2"/>
      <c r="I621" s="30"/>
    </row>
    <row r="622" spans="4:9">
      <c r="D622" s="47"/>
      <c r="E622" s="143"/>
      <c r="H622" s="2"/>
      <c r="I622" s="30"/>
    </row>
    <row r="623" spans="4:9">
      <c r="D623" s="47"/>
      <c r="E623" s="143"/>
      <c r="H623" s="2"/>
      <c r="I623" s="30"/>
    </row>
    <row r="624" spans="4:9">
      <c r="D624" s="47"/>
      <c r="E624" s="143"/>
      <c r="H624" s="2"/>
      <c r="I624" s="30"/>
    </row>
    <row r="625" spans="4:9">
      <c r="D625" s="47"/>
      <c r="E625" s="143"/>
      <c r="H625" s="2"/>
      <c r="I625" s="30"/>
    </row>
    <row r="626" spans="4:9">
      <c r="D626" s="47"/>
      <c r="E626" s="143"/>
      <c r="H626" s="2"/>
      <c r="I626" s="30"/>
    </row>
    <row r="627" spans="4:9">
      <c r="D627" s="47"/>
      <c r="E627" s="143"/>
      <c r="H627" s="2"/>
      <c r="I627" s="30"/>
    </row>
    <row r="628" spans="4:9">
      <c r="D628" s="47"/>
      <c r="E628" s="143"/>
      <c r="H628" s="2"/>
      <c r="I628" s="30"/>
    </row>
    <row r="629" spans="4:9">
      <c r="D629" s="47"/>
      <c r="E629" s="143"/>
      <c r="H629" s="2"/>
      <c r="I629" s="30"/>
    </row>
    <row r="630" spans="4:9">
      <c r="D630" s="47"/>
      <c r="E630" s="143"/>
      <c r="H630" s="2"/>
      <c r="I630" s="30"/>
    </row>
    <row r="631" spans="4:9">
      <c r="D631" s="47"/>
      <c r="E631" s="143"/>
      <c r="H631" s="2"/>
      <c r="I631" s="30"/>
    </row>
    <row r="632" spans="4:9">
      <c r="D632" s="47"/>
      <c r="E632" s="143"/>
      <c r="H632" s="2"/>
      <c r="I632" s="30"/>
    </row>
    <row r="633" spans="4:9">
      <c r="D633" s="47"/>
      <c r="E633" s="143"/>
      <c r="H633" s="2"/>
      <c r="I633" s="30"/>
    </row>
    <row r="634" spans="4:9">
      <c r="D634" s="47"/>
      <c r="E634" s="143"/>
      <c r="H634" s="2"/>
      <c r="I634" s="30"/>
    </row>
    <row r="635" spans="4:9">
      <c r="D635" s="47"/>
      <c r="E635" s="143"/>
      <c r="H635" s="2"/>
      <c r="I635" s="30"/>
    </row>
    <row r="636" spans="4:9">
      <c r="D636" s="47"/>
      <c r="E636" s="143"/>
      <c r="H636" s="2"/>
      <c r="I636" s="30"/>
    </row>
    <row r="637" spans="4:9">
      <c r="D637" s="47"/>
      <c r="E637" s="143"/>
      <c r="H637" s="2"/>
      <c r="I637" s="30"/>
    </row>
    <row r="638" spans="4:9">
      <c r="D638" s="47"/>
      <c r="E638" s="143"/>
      <c r="H638" s="2"/>
      <c r="I638" s="30"/>
    </row>
    <row r="639" spans="4:9">
      <c r="D639" s="47"/>
      <c r="E639" s="143"/>
      <c r="H639" s="2"/>
      <c r="I639" s="30"/>
    </row>
    <row r="640" spans="4:9">
      <c r="D640" s="47"/>
      <c r="E640" s="143"/>
      <c r="H640" s="2"/>
      <c r="I640" s="30"/>
    </row>
    <row r="641" spans="4:9">
      <c r="D641" s="47"/>
      <c r="E641" s="143"/>
      <c r="H641" s="2"/>
      <c r="I641" s="30"/>
    </row>
    <row r="642" spans="4:9">
      <c r="D642" s="47"/>
      <c r="E642" s="143"/>
      <c r="H642" s="2"/>
      <c r="I642" s="30"/>
    </row>
    <row r="643" spans="4:9">
      <c r="D643" s="47"/>
      <c r="E643" s="143"/>
      <c r="H643" s="2"/>
      <c r="I643" s="30"/>
    </row>
    <row r="644" spans="4:9">
      <c r="D644" s="47"/>
      <c r="E644" s="143"/>
      <c r="H644" s="2"/>
      <c r="I644" s="30"/>
    </row>
    <row r="645" spans="4:9">
      <c r="D645" s="47"/>
      <c r="E645" s="143"/>
      <c r="H645" s="2"/>
      <c r="I645" s="30"/>
    </row>
    <row r="646" spans="4:9">
      <c r="D646" s="47"/>
      <c r="E646" s="143"/>
      <c r="H646" s="2"/>
      <c r="I646" s="30"/>
    </row>
    <row r="647" spans="4:9">
      <c r="D647" s="47"/>
      <c r="E647" s="143"/>
      <c r="H647" s="2"/>
      <c r="I647" s="30"/>
    </row>
    <row r="648" spans="4:9">
      <c r="D648" s="47"/>
      <c r="E648" s="143"/>
      <c r="H648" s="2"/>
      <c r="I648" s="30"/>
    </row>
    <row r="649" spans="4:9">
      <c r="D649" s="47"/>
      <c r="E649" s="143"/>
      <c r="H649" s="2"/>
      <c r="I649" s="30"/>
    </row>
    <row r="650" spans="4:9">
      <c r="D650" s="47"/>
      <c r="E650" s="143"/>
      <c r="H650" s="2"/>
      <c r="I650" s="30"/>
    </row>
    <row r="651" spans="4:9">
      <c r="D651" s="47"/>
      <c r="E651" s="143"/>
      <c r="H651" s="2"/>
      <c r="I651" s="30"/>
    </row>
    <row r="652" spans="4:9">
      <c r="D652" s="47"/>
      <c r="E652" s="143"/>
      <c r="H652" s="2"/>
      <c r="I652" s="30"/>
    </row>
    <row r="653" spans="4:9">
      <c r="D653" s="47"/>
      <c r="E653" s="143"/>
      <c r="H653" s="2"/>
      <c r="I653" s="30"/>
    </row>
    <row r="654" spans="4:9">
      <c r="D654" s="47"/>
      <c r="E654" s="143"/>
      <c r="H654" s="2"/>
      <c r="I654" s="30"/>
    </row>
    <row r="655" spans="4:9">
      <c r="D655" s="47"/>
      <c r="E655" s="143"/>
      <c r="H655" s="2"/>
      <c r="I655" s="30"/>
    </row>
    <row r="656" spans="4:9">
      <c r="D656" s="47"/>
      <c r="E656" s="143"/>
      <c r="H656" s="2"/>
      <c r="I656" s="30"/>
    </row>
    <row r="657" spans="4:9">
      <c r="D657" s="47"/>
      <c r="E657" s="143"/>
      <c r="H657" s="2"/>
      <c r="I657" s="30"/>
    </row>
    <row r="658" spans="4:9">
      <c r="D658" s="47"/>
      <c r="E658" s="143"/>
      <c r="H658" s="2"/>
      <c r="I658" s="30"/>
    </row>
    <row r="659" spans="4:9">
      <c r="D659" s="47"/>
      <c r="E659" s="143"/>
      <c r="H659" s="2"/>
      <c r="I659" s="30"/>
    </row>
    <row r="660" spans="4:9">
      <c r="D660" s="47"/>
      <c r="E660" s="143"/>
      <c r="H660" s="2"/>
      <c r="I660" s="30"/>
    </row>
    <row r="661" spans="4:9">
      <c r="D661" s="47"/>
      <c r="E661" s="143"/>
      <c r="H661" s="2"/>
      <c r="I661" s="30"/>
    </row>
    <row r="662" spans="4:9">
      <c r="D662" s="47"/>
      <c r="E662" s="143"/>
      <c r="H662" s="2"/>
      <c r="I662" s="30"/>
    </row>
    <row r="663" spans="4:9">
      <c r="D663" s="47"/>
      <c r="E663" s="143"/>
      <c r="H663" s="2"/>
      <c r="I663" s="30"/>
    </row>
    <row r="664" spans="4:9">
      <c r="D664" s="47"/>
      <c r="E664" s="143"/>
      <c r="H664" s="2"/>
      <c r="I664" s="30"/>
    </row>
    <row r="665" spans="4:9">
      <c r="D665" s="47"/>
      <c r="E665" s="143"/>
      <c r="H665" s="2"/>
      <c r="I665" s="30"/>
    </row>
    <row r="666" spans="4:9">
      <c r="D666" s="47"/>
      <c r="E666" s="143"/>
      <c r="H666" s="2"/>
      <c r="I666" s="30"/>
    </row>
    <row r="667" spans="4:9">
      <c r="D667" s="47"/>
      <c r="E667" s="143"/>
      <c r="H667" s="2"/>
      <c r="I667" s="30"/>
    </row>
    <row r="668" spans="4:9">
      <c r="D668" s="47"/>
      <c r="E668" s="143"/>
      <c r="H668" s="2"/>
      <c r="I668" s="30"/>
    </row>
    <row r="669" spans="4:9">
      <c r="D669" s="47"/>
      <c r="E669" s="143"/>
      <c r="H669" s="2"/>
      <c r="I669" s="30"/>
    </row>
    <row r="670" spans="4:9">
      <c r="D670" s="47"/>
      <c r="E670" s="143"/>
      <c r="H670" s="2"/>
      <c r="I670" s="30"/>
    </row>
    <row r="671" spans="4:9">
      <c r="D671" s="47"/>
      <c r="E671" s="143"/>
      <c r="H671" s="2"/>
      <c r="I671" s="30"/>
    </row>
    <row r="672" spans="4:9">
      <c r="D672" s="47"/>
      <c r="E672" s="143"/>
      <c r="H672" s="2"/>
      <c r="I672" s="30"/>
    </row>
    <row r="673" spans="4:9">
      <c r="D673" s="47"/>
      <c r="E673" s="143"/>
      <c r="H673" s="2"/>
      <c r="I673" s="30"/>
    </row>
    <row r="674" spans="4:9">
      <c r="D674" s="47"/>
      <c r="E674" s="143"/>
      <c r="H674" s="2"/>
      <c r="I674" s="30"/>
    </row>
    <row r="675" spans="4:9">
      <c r="D675" s="47"/>
      <c r="E675" s="143"/>
      <c r="H675" s="2"/>
      <c r="I675" s="30"/>
    </row>
    <row r="676" spans="4:9">
      <c r="D676" s="47"/>
      <c r="E676" s="143"/>
      <c r="H676" s="2"/>
      <c r="I676" s="30"/>
    </row>
    <row r="677" spans="4:9">
      <c r="D677" s="47"/>
      <c r="E677" s="143"/>
      <c r="H677" s="2"/>
      <c r="I677" s="30"/>
    </row>
    <row r="678" spans="4:9">
      <c r="D678" s="47"/>
      <c r="E678" s="143"/>
      <c r="H678" s="2"/>
      <c r="I678" s="30"/>
    </row>
    <row r="679" spans="4:9">
      <c r="D679" s="47"/>
      <c r="E679" s="143"/>
      <c r="H679" s="2"/>
      <c r="I679" s="30"/>
    </row>
    <row r="680" spans="4:9">
      <c r="D680" s="47"/>
      <c r="E680" s="143"/>
      <c r="H680" s="2"/>
      <c r="I680" s="30"/>
    </row>
    <row r="681" spans="4:9">
      <c r="D681" s="47"/>
      <c r="E681" s="143"/>
      <c r="H681" s="2"/>
      <c r="I681" s="30"/>
    </row>
    <row r="682" spans="4:9">
      <c r="D682" s="47"/>
      <c r="E682" s="143"/>
      <c r="H682" s="2"/>
      <c r="I682" s="30"/>
    </row>
    <row r="683" spans="4:9">
      <c r="D683" s="47"/>
      <c r="E683" s="143"/>
      <c r="H683" s="2"/>
      <c r="I683" s="30"/>
    </row>
    <row r="684" spans="4:9">
      <c r="D684" s="47"/>
      <c r="E684" s="143"/>
      <c r="H684" s="2"/>
      <c r="I684" s="30"/>
    </row>
    <row r="685" spans="4:9">
      <c r="D685" s="47"/>
      <c r="E685" s="143"/>
      <c r="H685" s="2"/>
      <c r="I685" s="30"/>
    </row>
    <row r="686" spans="4:9">
      <c r="D686" s="47"/>
      <c r="E686" s="143"/>
      <c r="H686" s="2"/>
      <c r="I686" s="30"/>
    </row>
    <row r="687" spans="4:9">
      <c r="D687" s="47"/>
      <c r="E687" s="143"/>
      <c r="H687" s="2"/>
      <c r="I687" s="30"/>
    </row>
    <row r="688" spans="4:9">
      <c r="D688" s="47"/>
      <c r="E688" s="143"/>
      <c r="H688" s="2"/>
      <c r="I688" s="30"/>
    </row>
    <row r="689" spans="4:9">
      <c r="D689" s="47"/>
      <c r="E689" s="143"/>
      <c r="H689" s="2"/>
      <c r="I689" s="30"/>
    </row>
    <row r="690" spans="4:9">
      <c r="D690" s="47"/>
      <c r="E690" s="143"/>
      <c r="H690" s="2"/>
      <c r="I690" s="30"/>
    </row>
    <row r="691" spans="4:9">
      <c r="D691" s="47"/>
      <c r="E691" s="143"/>
      <c r="H691" s="2"/>
      <c r="I691" s="30"/>
    </row>
    <row r="692" spans="4:9">
      <c r="D692" s="47"/>
      <c r="E692" s="143"/>
      <c r="H692" s="2"/>
      <c r="I692" s="30"/>
    </row>
    <row r="693" spans="4:9">
      <c r="D693" s="47"/>
      <c r="E693" s="143"/>
      <c r="H693" s="2"/>
      <c r="I693" s="30"/>
    </row>
    <row r="694" spans="4:9">
      <c r="D694" s="47"/>
      <c r="E694" s="143"/>
      <c r="H694" s="2"/>
      <c r="I694" s="30"/>
    </row>
    <row r="695" spans="4:9">
      <c r="D695" s="47"/>
      <c r="E695" s="143"/>
      <c r="H695" s="2"/>
      <c r="I695" s="30"/>
    </row>
    <row r="696" spans="4:9">
      <c r="D696" s="47"/>
      <c r="E696" s="143"/>
      <c r="H696" s="2"/>
      <c r="I696" s="30"/>
    </row>
    <row r="697" spans="4:9">
      <c r="D697" s="47"/>
      <c r="E697" s="143"/>
      <c r="H697" s="2"/>
      <c r="I697" s="30"/>
    </row>
    <row r="698" spans="4:9">
      <c r="D698" s="47"/>
      <c r="E698" s="143"/>
      <c r="H698" s="2"/>
      <c r="I698" s="30"/>
    </row>
    <row r="699" spans="4:9">
      <c r="D699" s="47"/>
      <c r="E699" s="143"/>
      <c r="H699" s="2"/>
      <c r="I699" s="30"/>
    </row>
    <row r="700" spans="4:9">
      <c r="D700" s="47"/>
      <c r="E700" s="143"/>
      <c r="H700" s="2"/>
      <c r="I700" s="30"/>
    </row>
    <row r="701" spans="4:9">
      <c r="D701" s="47"/>
      <c r="E701" s="143"/>
      <c r="H701" s="2"/>
      <c r="I701" s="30"/>
    </row>
    <row r="702" spans="4:9">
      <c r="D702" s="47"/>
      <c r="E702" s="143"/>
      <c r="H702" s="2"/>
      <c r="I702" s="30"/>
    </row>
    <row r="703" spans="4:9">
      <c r="D703" s="47"/>
      <c r="E703" s="143"/>
      <c r="H703" s="2"/>
      <c r="I703" s="30"/>
    </row>
    <row r="704" spans="4:9">
      <c r="D704" s="47"/>
      <c r="E704" s="143"/>
      <c r="H704" s="2"/>
      <c r="I704" s="30"/>
    </row>
    <row r="705" spans="4:9">
      <c r="D705" s="47"/>
      <c r="E705" s="143"/>
      <c r="H705" s="2"/>
      <c r="I705" s="30"/>
    </row>
    <row r="706" spans="4:9">
      <c r="D706" s="47"/>
      <c r="E706" s="143"/>
      <c r="H706" s="2"/>
      <c r="I706" s="30"/>
    </row>
    <row r="707" spans="4:9">
      <c r="D707" s="47"/>
      <c r="E707" s="143"/>
      <c r="H707" s="2"/>
      <c r="I707" s="30"/>
    </row>
    <row r="708" spans="4:9">
      <c r="D708" s="47"/>
      <c r="E708" s="143"/>
      <c r="H708" s="2"/>
      <c r="I708" s="30"/>
    </row>
    <row r="709" spans="4:9">
      <c r="D709" s="47"/>
      <c r="E709" s="143"/>
      <c r="H709" s="2"/>
      <c r="I709" s="30"/>
    </row>
    <row r="710" spans="4:9">
      <c r="D710" s="47"/>
      <c r="E710" s="143"/>
      <c r="H710" s="2"/>
      <c r="I710" s="30"/>
    </row>
    <row r="711" spans="4:9">
      <c r="D711" s="47"/>
      <c r="E711" s="143"/>
      <c r="H711" s="2"/>
      <c r="I711" s="30"/>
    </row>
    <row r="712" spans="4:9">
      <c r="D712" s="47"/>
      <c r="E712" s="143"/>
      <c r="H712" s="2"/>
      <c r="I712" s="30"/>
    </row>
    <row r="713" spans="4:9">
      <c r="D713" s="47"/>
      <c r="E713" s="143"/>
      <c r="H713" s="2"/>
      <c r="I713" s="30"/>
    </row>
    <row r="714" spans="4:9">
      <c r="D714" s="47"/>
      <c r="E714" s="143"/>
      <c r="H714" s="2"/>
      <c r="I714" s="30"/>
    </row>
    <row r="715" spans="4:9">
      <c r="D715" s="47"/>
      <c r="E715" s="143"/>
      <c r="H715" s="2"/>
      <c r="I715" s="30"/>
    </row>
    <row r="716" spans="4:9">
      <c r="D716" s="47"/>
      <c r="E716" s="143"/>
      <c r="H716" s="2"/>
      <c r="I716" s="30"/>
    </row>
    <row r="717" spans="4:9">
      <c r="D717" s="47"/>
      <c r="E717" s="143"/>
      <c r="H717" s="2"/>
      <c r="I717" s="30"/>
    </row>
    <row r="718" spans="4:9">
      <c r="D718" s="47"/>
      <c r="E718" s="143"/>
      <c r="H718" s="2"/>
      <c r="I718" s="30"/>
    </row>
    <row r="719" spans="4:9">
      <c r="D719" s="47"/>
      <c r="E719" s="143"/>
      <c r="H719" s="2"/>
      <c r="I719" s="30"/>
    </row>
    <row r="720" spans="4:9">
      <c r="D720" s="47"/>
      <c r="E720" s="143"/>
      <c r="H720" s="2"/>
      <c r="I720" s="30"/>
    </row>
    <row r="721" spans="4:9">
      <c r="D721" s="47"/>
      <c r="E721" s="143"/>
      <c r="H721" s="2"/>
      <c r="I721" s="30"/>
    </row>
    <row r="722" spans="4:9">
      <c r="D722" s="47"/>
      <c r="E722" s="143"/>
      <c r="H722" s="2"/>
      <c r="I722" s="30"/>
    </row>
    <row r="723" spans="4:9">
      <c r="D723" s="47"/>
      <c r="E723" s="143"/>
      <c r="H723" s="2"/>
      <c r="I723" s="30"/>
    </row>
    <row r="724" spans="4:9">
      <c r="D724" s="47"/>
      <c r="E724" s="143"/>
      <c r="H724" s="2"/>
      <c r="I724" s="30"/>
    </row>
    <row r="725" spans="4:9">
      <c r="D725" s="47"/>
      <c r="E725" s="143"/>
      <c r="H725" s="2"/>
      <c r="I725" s="30"/>
    </row>
    <row r="726" spans="4:9">
      <c r="D726" s="47"/>
      <c r="E726" s="143"/>
      <c r="H726" s="2"/>
      <c r="I726" s="30"/>
    </row>
    <row r="727" spans="4:9">
      <c r="D727" s="47"/>
      <c r="E727" s="143"/>
      <c r="H727" s="2"/>
      <c r="I727" s="30"/>
    </row>
    <row r="728" spans="4:9">
      <c r="D728" s="47"/>
      <c r="E728" s="143"/>
      <c r="H728" s="2"/>
      <c r="I728" s="30"/>
    </row>
    <row r="729" spans="4:9">
      <c r="D729" s="47"/>
      <c r="E729" s="143"/>
      <c r="H729" s="2"/>
      <c r="I729" s="30"/>
    </row>
    <row r="730" spans="4:9">
      <c r="D730" s="47"/>
      <c r="E730" s="143"/>
      <c r="H730" s="2"/>
      <c r="I730" s="30"/>
    </row>
    <row r="731" spans="4:9">
      <c r="D731" s="47"/>
      <c r="E731" s="143"/>
      <c r="H731" s="2"/>
      <c r="I731" s="30"/>
    </row>
    <row r="732" spans="4:9">
      <c r="D732" s="47"/>
      <c r="E732" s="143"/>
      <c r="H732" s="2"/>
      <c r="I732" s="30"/>
    </row>
    <row r="733" spans="4:9">
      <c r="D733" s="47"/>
      <c r="E733" s="143"/>
      <c r="H733" s="2"/>
      <c r="I733" s="30"/>
    </row>
    <row r="734" spans="4:9">
      <c r="D734" s="47"/>
      <c r="E734" s="143"/>
      <c r="H734" s="2"/>
      <c r="I734" s="30"/>
    </row>
    <row r="735" spans="4:9">
      <c r="D735" s="47"/>
      <c r="E735" s="143"/>
      <c r="H735" s="2"/>
      <c r="I735" s="30"/>
    </row>
    <row r="736" spans="4:9">
      <c r="D736" s="47"/>
      <c r="E736" s="143"/>
      <c r="H736" s="2"/>
      <c r="I736" s="30"/>
    </row>
    <row r="737" spans="4:9">
      <c r="D737" s="47"/>
      <c r="E737" s="143"/>
      <c r="H737" s="2"/>
      <c r="I737" s="30"/>
    </row>
    <row r="738" spans="4:9">
      <c r="D738" s="47"/>
      <c r="E738" s="143"/>
      <c r="H738" s="2"/>
      <c r="I738" s="30"/>
    </row>
    <row r="739" spans="4:9">
      <c r="D739" s="47"/>
      <c r="E739" s="143"/>
      <c r="H739" s="2"/>
      <c r="I739" s="30"/>
    </row>
    <row r="740" spans="4:9">
      <c r="D740" s="47"/>
      <c r="E740" s="143"/>
      <c r="H740" s="2"/>
      <c r="I740" s="30"/>
    </row>
    <row r="741" spans="4:9">
      <c r="D741" s="47"/>
      <c r="E741" s="143"/>
      <c r="H741" s="2"/>
      <c r="I741" s="30"/>
    </row>
    <row r="742" spans="4:9">
      <c r="D742" s="47"/>
      <c r="E742" s="143"/>
      <c r="H742" s="2"/>
      <c r="I742" s="30"/>
    </row>
    <row r="743" spans="4:9">
      <c r="D743" s="47"/>
      <c r="E743" s="143"/>
      <c r="H743" s="2"/>
      <c r="I743" s="30"/>
    </row>
    <row r="744" spans="4:9">
      <c r="D744" s="47"/>
      <c r="E744" s="143"/>
      <c r="H744" s="2"/>
      <c r="I744" s="30"/>
    </row>
    <row r="745" spans="4:9">
      <c r="D745" s="47"/>
      <c r="E745" s="143"/>
      <c r="H745" s="2"/>
      <c r="I745" s="30"/>
    </row>
    <row r="746" spans="4:9">
      <c r="D746" s="47"/>
      <c r="E746" s="143"/>
      <c r="H746" s="2"/>
      <c r="I746" s="30"/>
    </row>
    <row r="747" spans="4:9">
      <c r="D747" s="47"/>
      <c r="E747" s="143"/>
      <c r="H747" s="2"/>
      <c r="I747" s="30"/>
    </row>
    <row r="748" spans="4:9">
      <c r="D748" s="47"/>
      <c r="E748" s="143"/>
      <c r="H748" s="2"/>
      <c r="I748" s="30"/>
    </row>
    <row r="749" spans="4:9">
      <c r="D749" s="47"/>
      <c r="E749" s="143"/>
      <c r="H749" s="2"/>
      <c r="I749" s="30"/>
    </row>
    <row r="750" spans="4:9">
      <c r="D750" s="47"/>
      <c r="E750" s="143"/>
      <c r="H750" s="2"/>
      <c r="I750" s="30"/>
    </row>
    <row r="751" spans="4:9">
      <c r="D751" s="47"/>
      <c r="E751" s="143"/>
      <c r="H751" s="2"/>
      <c r="I751" s="30"/>
    </row>
    <row r="752" spans="4:9">
      <c r="D752" s="47"/>
      <c r="E752" s="143"/>
      <c r="H752" s="2"/>
      <c r="I752" s="30"/>
    </row>
    <row r="753" spans="4:9">
      <c r="D753" s="47"/>
      <c r="E753" s="143"/>
      <c r="H753" s="2"/>
      <c r="I753" s="30"/>
    </row>
    <row r="754" spans="4:9">
      <c r="D754" s="47"/>
      <c r="E754" s="143"/>
      <c r="H754" s="2"/>
      <c r="I754" s="30"/>
    </row>
    <row r="755" spans="4:9">
      <c r="D755" s="47"/>
      <c r="E755" s="143"/>
      <c r="H755" s="2"/>
      <c r="I755" s="30"/>
    </row>
    <row r="756" spans="4:9">
      <c r="D756" s="47"/>
      <c r="E756" s="143"/>
      <c r="H756" s="2"/>
      <c r="I756" s="30"/>
    </row>
    <row r="757" spans="4:9">
      <c r="D757" s="47"/>
      <c r="E757" s="143"/>
      <c r="H757" s="2"/>
      <c r="I757" s="30"/>
    </row>
    <row r="758" spans="4:9">
      <c r="D758" s="47"/>
      <c r="E758" s="143"/>
      <c r="H758" s="2"/>
      <c r="I758" s="30"/>
    </row>
    <row r="759" spans="4:9">
      <c r="D759" s="47"/>
      <c r="E759" s="143"/>
      <c r="H759" s="2"/>
      <c r="I759" s="30"/>
    </row>
    <row r="760" spans="4:9">
      <c r="D760" s="47"/>
      <c r="E760" s="143"/>
      <c r="H760" s="2"/>
      <c r="I760" s="30"/>
    </row>
    <row r="761" spans="4:9">
      <c r="D761" s="47"/>
      <c r="E761" s="143"/>
      <c r="H761" s="2"/>
      <c r="I761" s="30"/>
    </row>
    <row r="762" spans="4:9">
      <c r="D762" s="47"/>
      <c r="E762" s="143"/>
      <c r="H762" s="2"/>
      <c r="I762" s="30"/>
    </row>
    <row r="763" spans="4:9">
      <c r="D763" s="47"/>
      <c r="E763" s="143"/>
      <c r="H763" s="2"/>
      <c r="I763" s="30"/>
    </row>
    <row r="764" spans="4:9">
      <c r="D764" s="47"/>
      <c r="E764" s="143"/>
      <c r="H764" s="2"/>
      <c r="I764" s="30"/>
    </row>
    <row r="765" spans="4:9">
      <c r="D765" s="47"/>
      <c r="E765" s="143"/>
      <c r="H765" s="2"/>
      <c r="I765" s="30"/>
    </row>
    <row r="766" spans="4:9">
      <c r="D766" s="47"/>
      <c r="E766" s="143"/>
      <c r="H766" s="2"/>
      <c r="I766" s="30"/>
    </row>
    <row r="767" spans="4:9">
      <c r="D767" s="47"/>
      <c r="E767" s="143"/>
      <c r="H767" s="2"/>
      <c r="I767" s="30"/>
    </row>
    <row r="768" spans="4:9">
      <c r="D768" s="47"/>
      <c r="E768" s="143"/>
      <c r="H768" s="2"/>
      <c r="I768" s="30"/>
    </row>
    <row r="769" spans="4:9">
      <c r="D769" s="47"/>
      <c r="E769" s="143"/>
      <c r="H769" s="2"/>
      <c r="I769" s="30"/>
    </row>
    <row r="770" spans="4:9">
      <c r="D770" s="47"/>
      <c r="E770" s="143"/>
      <c r="H770" s="2"/>
      <c r="I770" s="30"/>
    </row>
    <row r="771" spans="4:9">
      <c r="D771" s="47"/>
      <c r="E771" s="143"/>
      <c r="H771" s="2"/>
      <c r="I771" s="30"/>
    </row>
    <row r="772" spans="4:9">
      <c r="D772" s="47"/>
      <c r="E772" s="143"/>
      <c r="H772" s="2"/>
      <c r="I772" s="30"/>
    </row>
    <row r="773" spans="4:9">
      <c r="D773" s="47"/>
      <c r="E773" s="143"/>
      <c r="H773" s="2"/>
      <c r="I773" s="30"/>
    </row>
    <row r="774" spans="4:9">
      <c r="D774" s="47"/>
      <c r="E774" s="143"/>
      <c r="H774" s="2"/>
      <c r="I774" s="30"/>
    </row>
    <row r="775" spans="4:9">
      <c r="D775" s="47"/>
      <c r="E775" s="143"/>
      <c r="H775" s="2"/>
      <c r="I775" s="30"/>
    </row>
    <row r="776" spans="4:9">
      <c r="D776" s="47"/>
      <c r="E776" s="143"/>
      <c r="H776" s="2"/>
      <c r="I776" s="30"/>
    </row>
    <row r="777" spans="4:9">
      <c r="D777" s="47"/>
      <c r="E777" s="143"/>
      <c r="H777" s="2"/>
      <c r="I777" s="30"/>
    </row>
    <row r="778" spans="4:9">
      <c r="D778" s="47"/>
      <c r="E778" s="143"/>
      <c r="H778" s="2"/>
      <c r="I778" s="30"/>
    </row>
    <row r="779" spans="4:9">
      <c r="D779" s="47"/>
      <c r="E779" s="143"/>
      <c r="H779" s="2"/>
      <c r="I779" s="30"/>
    </row>
    <row r="780" spans="4:9">
      <c r="D780" s="47"/>
      <c r="E780" s="143"/>
      <c r="H780" s="2"/>
      <c r="I780" s="30"/>
    </row>
    <row r="781" spans="4:9">
      <c r="D781" s="47"/>
      <c r="E781" s="143"/>
      <c r="H781" s="2"/>
      <c r="I781" s="30"/>
    </row>
    <row r="782" spans="4:9">
      <c r="D782" s="47"/>
      <c r="E782" s="143"/>
      <c r="H782" s="2"/>
      <c r="I782" s="30"/>
    </row>
    <row r="783" spans="4:9">
      <c r="D783" s="47"/>
      <c r="E783" s="143"/>
      <c r="H783" s="2"/>
      <c r="I783" s="30"/>
    </row>
    <row r="784" spans="4:9">
      <c r="D784" s="47"/>
      <c r="E784" s="143"/>
      <c r="H784" s="2"/>
      <c r="I784" s="30"/>
    </row>
    <row r="785" spans="4:9">
      <c r="D785" s="47"/>
      <c r="E785" s="143"/>
      <c r="H785" s="2"/>
      <c r="I785" s="30"/>
    </row>
    <row r="786" spans="4:9">
      <c r="D786" s="47"/>
      <c r="E786" s="143"/>
      <c r="H786" s="2"/>
      <c r="I786" s="30"/>
    </row>
    <row r="787" spans="4:9">
      <c r="D787" s="47"/>
      <c r="E787" s="143"/>
      <c r="H787" s="2"/>
      <c r="I787" s="30"/>
    </row>
    <row r="788" spans="4:9">
      <c r="D788" s="47"/>
      <c r="E788" s="143"/>
      <c r="H788" s="2"/>
      <c r="I788" s="30"/>
    </row>
    <row r="789" spans="4:9">
      <c r="D789" s="47"/>
      <c r="E789" s="143"/>
      <c r="H789" s="2"/>
      <c r="I789" s="30"/>
    </row>
    <row r="790" spans="4:9">
      <c r="D790" s="47"/>
      <c r="E790" s="143"/>
      <c r="H790" s="2"/>
      <c r="I790" s="30"/>
    </row>
    <row r="791" spans="4:9">
      <c r="D791" s="47"/>
      <c r="E791" s="143"/>
      <c r="H791" s="2"/>
      <c r="I791" s="30"/>
    </row>
    <row r="792" spans="4:9">
      <c r="D792" s="47"/>
      <c r="E792" s="143"/>
      <c r="H792" s="2"/>
      <c r="I792" s="30"/>
    </row>
    <row r="793" spans="4:9">
      <c r="D793" s="47"/>
      <c r="E793" s="143"/>
      <c r="H793" s="2"/>
      <c r="I793" s="30"/>
    </row>
    <row r="794" spans="4:9">
      <c r="D794" s="47"/>
      <c r="E794" s="143"/>
      <c r="H794" s="2"/>
      <c r="I794" s="30"/>
    </row>
    <row r="795" spans="4:9">
      <c r="D795" s="47"/>
      <c r="E795" s="143"/>
      <c r="H795" s="2"/>
      <c r="I795" s="30"/>
    </row>
    <row r="796" spans="4:9">
      <c r="D796" s="47"/>
      <c r="E796" s="143"/>
      <c r="H796" s="2"/>
      <c r="I796" s="30"/>
    </row>
    <row r="797" spans="4:9">
      <c r="D797" s="47"/>
      <c r="E797" s="143"/>
      <c r="H797" s="2"/>
      <c r="I797" s="30"/>
    </row>
    <row r="798" spans="4:9">
      <c r="D798" s="47"/>
      <c r="E798" s="143"/>
      <c r="H798" s="2"/>
      <c r="I798" s="30"/>
    </row>
    <row r="799" spans="4:9">
      <c r="D799" s="47"/>
      <c r="E799" s="143"/>
      <c r="H799" s="2"/>
      <c r="I799" s="30"/>
    </row>
    <row r="800" spans="4:9">
      <c r="D800" s="47"/>
      <c r="E800" s="143"/>
      <c r="H800" s="2"/>
      <c r="I800" s="30"/>
    </row>
    <row r="801" spans="4:9">
      <c r="D801" s="47"/>
      <c r="E801" s="143"/>
      <c r="H801" s="2"/>
      <c r="I801" s="30"/>
    </row>
    <row r="802" spans="4:9">
      <c r="D802" s="47"/>
      <c r="E802" s="143"/>
      <c r="H802" s="2"/>
      <c r="I802" s="30"/>
    </row>
    <row r="803" spans="4:9">
      <c r="D803" s="47"/>
      <c r="E803" s="143"/>
      <c r="H803" s="2"/>
      <c r="I803" s="30"/>
    </row>
    <row r="804" spans="4:9">
      <c r="D804" s="47"/>
      <c r="E804" s="143"/>
      <c r="H804" s="2"/>
      <c r="I804" s="30"/>
    </row>
    <row r="805" spans="4:9">
      <c r="D805" s="47"/>
      <c r="E805" s="143"/>
      <c r="H805" s="2"/>
      <c r="I805" s="30"/>
    </row>
    <row r="806" spans="4:9">
      <c r="D806" s="47"/>
      <c r="E806" s="143"/>
      <c r="H806" s="2"/>
      <c r="I806" s="30"/>
    </row>
    <row r="807" spans="4:9">
      <c r="D807" s="47"/>
      <c r="E807" s="143"/>
      <c r="H807" s="2"/>
      <c r="I807" s="30"/>
    </row>
    <row r="808" spans="4:9">
      <c r="D808" s="47"/>
      <c r="E808" s="143"/>
      <c r="H808" s="2"/>
      <c r="I808" s="30"/>
    </row>
    <row r="809" spans="4:9">
      <c r="D809" s="47"/>
      <c r="E809" s="143"/>
      <c r="H809" s="2"/>
      <c r="I809" s="30"/>
    </row>
    <row r="810" spans="4:9">
      <c r="D810" s="47"/>
      <c r="E810" s="143"/>
      <c r="H810" s="2"/>
      <c r="I810" s="30"/>
    </row>
    <row r="811" spans="4:9">
      <c r="D811" s="47"/>
      <c r="E811" s="143"/>
      <c r="H811" s="2"/>
      <c r="I811" s="30"/>
    </row>
    <row r="812" spans="4:9">
      <c r="D812" s="47"/>
      <c r="E812" s="143"/>
      <c r="H812" s="2"/>
      <c r="I812" s="30"/>
    </row>
    <row r="813" spans="4:9">
      <c r="D813" s="47"/>
      <c r="E813" s="143"/>
      <c r="H813" s="2"/>
      <c r="I813" s="30"/>
    </row>
    <row r="814" spans="4:9">
      <c r="D814" s="47"/>
      <c r="E814" s="143"/>
      <c r="H814" s="2"/>
      <c r="I814" s="30"/>
    </row>
    <row r="815" spans="4:9">
      <c r="D815" s="47"/>
      <c r="E815" s="143"/>
      <c r="H815" s="2"/>
      <c r="I815" s="30"/>
    </row>
    <row r="816" spans="4:9">
      <c r="D816" s="47"/>
      <c r="E816" s="143"/>
      <c r="H816" s="2"/>
      <c r="I816" s="30"/>
    </row>
    <row r="817" spans="4:9">
      <c r="D817" s="47"/>
      <c r="E817" s="143"/>
      <c r="H817" s="2"/>
      <c r="I817" s="30"/>
    </row>
    <row r="818" spans="4:9">
      <c r="D818" s="47"/>
      <c r="E818" s="143"/>
      <c r="H818" s="2"/>
      <c r="I818" s="30"/>
    </row>
    <row r="819" spans="4:9">
      <c r="D819" s="47"/>
      <c r="E819" s="143"/>
      <c r="H819" s="2"/>
      <c r="I819" s="30"/>
    </row>
    <row r="820" spans="4:9">
      <c r="D820" s="47"/>
      <c r="E820" s="143"/>
      <c r="H820" s="2"/>
      <c r="I820" s="30"/>
    </row>
    <row r="821" spans="4:9">
      <c r="D821" s="47"/>
      <c r="E821" s="143"/>
      <c r="H821" s="2"/>
      <c r="I821" s="30"/>
    </row>
    <row r="822" spans="4:9">
      <c r="D822" s="47"/>
      <c r="E822" s="143"/>
      <c r="H822" s="2"/>
      <c r="I822" s="30"/>
    </row>
    <row r="823" spans="4:9">
      <c r="D823" s="47"/>
      <c r="E823" s="143"/>
      <c r="H823" s="2"/>
      <c r="I823" s="30"/>
    </row>
    <row r="824" spans="4:9">
      <c r="D824" s="47"/>
      <c r="E824" s="143"/>
      <c r="H824" s="2"/>
      <c r="I824" s="30"/>
    </row>
    <row r="825" spans="4:9">
      <c r="D825" s="47"/>
      <c r="E825" s="143"/>
      <c r="H825" s="2"/>
      <c r="I825" s="30"/>
    </row>
    <row r="826" spans="4:9">
      <c r="D826" s="47"/>
      <c r="E826" s="143"/>
      <c r="H826" s="2"/>
      <c r="I826" s="30"/>
    </row>
    <row r="827" spans="4:9">
      <c r="D827" s="47"/>
      <c r="E827" s="143"/>
      <c r="H827" s="2"/>
      <c r="I827" s="30"/>
    </row>
    <row r="828" spans="4:9">
      <c r="D828" s="47"/>
      <c r="E828" s="143"/>
      <c r="H828" s="2"/>
      <c r="I828" s="30"/>
    </row>
    <row r="829" spans="4:9">
      <c r="D829" s="47"/>
      <c r="E829" s="143"/>
      <c r="H829" s="2"/>
      <c r="I829" s="30"/>
    </row>
    <row r="830" spans="4:9">
      <c r="D830" s="47"/>
      <c r="E830" s="143"/>
      <c r="H830" s="2"/>
      <c r="I830" s="30"/>
    </row>
    <row r="831" spans="4:9">
      <c r="D831" s="47"/>
      <c r="E831" s="143"/>
      <c r="H831" s="2"/>
      <c r="I831" s="30"/>
    </row>
    <row r="832" spans="4:9">
      <c r="D832" s="47"/>
      <c r="E832" s="143"/>
      <c r="H832" s="2"/>
      <c r="I832" s="30"/>
    </row>
    <row r="833" spans="4:9">
      <c r="D833" s="47"/>
      <c r="E833" s="143"/>
      <c r="H833" s="2"/>
      <c r="I833" s="30"/>
    </row>
    <row r="834" spans="4:9">
      <c r="D834" s="47"/>
      <c r="E834" s="143"/>
      <c r="H834" s="2"/>
      <c r="I834" s="30"/>
    </row>
    <row r="835" spans="4:9">
      <c r="D835" s="47"/>
      <c r="E835" s="143"/>
      <c r="H835" s="2"/>
      <c r="I835" s="30"/>
    </row>
    <row r="836" spans="4:9">
      <c r="D836" s="47"/>
      <c r="E836" s="143"/>
      <c r="H836" s="2"/>
      <c r="I836" s="30"/>
    </row>
    <row r="837" spans="4:9">
      <c r="D837" s="47"/>
      <c r="E837" s="143"/>
      <c r="H837" s="2"/>
      <c r="I837" s="30"/>
    </row>
    <row r="838" spans="4:9">
      <c r="D838" s="47"/>
      <c r="E838" s="143"/>
      <c r="H838" s="2"/>
      <c r="I838" s="30"/>
    </row>
    <row r="839" spans="4:9">
      <c r="D839" s="47"/>
      <c r="E839" s="143"/>
      <c r="H839" s="2"/>
      <c r="I839" s="30"/>
    </row>
    <row r="840" spans="4:9">
      <c r="D840" s="47"/>
      <c r="E840" s="143"/>
      <c r="H840" s="2"/>
      <c r="I840" s="30"/>
    </row>
    <row r="841" spans="4:9">
      <c r="D841" s="47"/>
      <c r="E841" s="143"/>
      <c r="H841" s="2"/>
      <c r="I841" s="30"/>
    </row>
    <row r="842" spans="4:9">
      <c r="D842" s="47"/>
      <c r="E842" s="143"/>
      <c r="H842" s="2"/>
      <c r="I842" s="30"/>
    </row>
    <row r="843" spans="4:9">
      <c r="D843" s="47"/>
      <c r="E843" s="143"/>
      <c r="H843" s="2"/>
      <c r="I843" s="30"/>
    </row>
    <row r="844" spans="4:9">
      <c r="D844" s="47"/>
      <c r="E844" s="143"/>
      <c r="H844" s="2"/>
      <c r="I844" s="30"/>
    </row>
    <row r="845" spans="4:9">
      <c r="D845" s="47"/>
      <c r="E845" s="143"/>
      <c r="H845" s="2"/>
      <c r="I845" s="30"/>
    </row>
    <row r="846" spans="4:9">
      <c r="D846" s="47"/>
      <c r="E846" s="143"/>
      <c r="H846" s="2"/>
      <c r="I846" s="30"/>
    </row>
    <row r="847" spans="4:9">
      <c r="D847" s="47"/>
      <c r="E847" s="143"/>
      <c r="H847" s="2"/>
      <c r="I847" s="30"/>
    </row>
    <row r="848" spans="4:9">
      <c r="D848" s="47"/>
      <c r="E848" s="143"/>
      <c r="H848" s="2"/>
      <c r="I848" s="30"/>
    </row>
    <row r="849" spans="4:9">
      <c r="D849" s="47"/>
      <c r="E849" s="143"/>
      <c r="H849" s="2"/>
      <c r="I849" s="30"/>
    </row>
    <row r="850" spans="4:9">
      <c r="D850" s="47"/>
      <c r="E850" s="143"/>
      <c r="H850" s="2"/>
      <c r="I850" s="30"/>
    </row>
    <row r="851" spans="4:9">
      <c r="D851" s="47"/>
      <c r="E851" s="143"/>
      <c r="H851" s="2"/>
      <c r="I851" s="30"/>
    </row>
    <row r="852" spans="4:9">
      <c r="D852" s="47"/>
      <c r="E852" s="143"/>
      <c r="H852" s="2"/>
      <c r="I852" s="30"/>
    </row>
    <row r="853" spans="4:9">
      <c r="D853" s="47"/>
      <c r="E853" s="143"/>
      <c r="H853" s="2"/>
      <c r="I853" s="30"/>
    </row>
    <row r="854" spans="4:9">
      <c r="D854" s="47"/>
      <c r="E854" s="143"/>
      <c r="H854" s="2"/>
      <c r="I854" s="30"/>
    </row>
    <row r="855" spans="4:9">
      <c r="D855" s="47"/>
      <c r="E855" s="143"/>
      <c r="H855" s="2"/>
      <c r="I855" s="30"/>
    </row>
    <row r="856" spans="4:9">
      <c r="D856" s="47"/>
      <c r="E856" s="143"/>
      <c r="H856" s="2"/>
      <c r="I856" s="30"/>
    </row>
    <row r="857" spans="4:9">
      <c r="D857" s="47"/>
      <c r="E857" s="143"/>
      <c r="H857" s="2"/>
      <c r="I857" s="30"/>
    </row>
    <row r="858" spans="4:9">
      <c r="D858" s="47"/>
      <c r="E858" s="143"/>
      <c r="H858" s="2"/>
      <c r="I858" s="30"/>
    </row>
    <row r="859" spans="4:9">
      <c r="D859" s="47"/>
      <c r="E859" s="143"/>
      <c r="H859" s="2"/>
      <c r="I859" s="30"/>
    </row>
    <row r="860" spans="4:9">
      <c r="D860" s="47"/>
      <c r="E860" s="143"/>
      <c r="H860" s="2"/>
      <c r="I860" s="30"/>
    </row>
    <row r="861" spans="4:9">
      <c r="D861" s="47"/>
      <c r="E861" s="143"/>
      <c r="H861" s="2"/>
      <c r="I861" s="30"/>
    </row>
    <row r="862" spans="4:9">
      <c r="D862" s="47"/>
      <c r="E862" s="143"/>
      <c r="H862" s="2"/>
      <c r="I862" s="30"/>
    </row>
    <row r="863" spans="4:9">
      <c r="D863" s="47"/>
      <c r="E863" s="143"/>
      <c r="H863" s="2"/>
      <c r="I863" s="30"/>
    </row>
    <row r="864" spans="4:9">
      <c r="D864" s="47"/>
      <c r="E864" s="143"/>
      <c r="H864" s="2"/>
      <c r="I864" s="30"/>
    </row>
    <row r="865" spans="4:9">
      <c r="D865" s="47"/>
      <c r="E865" s="143"/>
      <c r="H865" s="2"/>
      <c r="I865" s="30"/>
    </row>
    <row r="866" spans="4:9">
      <c r="D866" s="47"/>
      <c r="E866" s="143"/>
      <c r="H866" s="2"/>
      <c r="I866" s="30"/>
    </row>
    <row r="867" spans="4:9">
      <c r="D867" s="47"/>
      <c r="E867" s="143"/>
      <c r="H867" s="2"/>
      <c r="I867" s="30"/>
    </row>
    <row r="868" spans="4:9">
      <c r="D868" s="47"/>
      <c r="E868" s="143"/>
      <c r="H868" s="2"/>
      <c r="I868" s="30"/>
    </row>
    <row r="869" spans="4:9">
      <c r="D869" s="47"/>
      <c r="E869" s="143"/>
      <c r="H869" s="2"/>
      <c r="I869" s="30"/>
    </row>
    <row r="870" spans="4:9">
      <c r="D870" s="47"/>
      <c r="E870" s="143"/>
      <c r="H870" s="2"/>
      <c r="I870" s="30"/>
    </row>
    <row r="871" spans="4:9">
      <c r="D871" s="47"/>
      <c r="E871" s="143"/>
      <c r="H871" s="2"/>
      <c r="I871" s="30"/>
    </row>
    <row r="872" spans="4:9">
      <c r="D872" s="47"/>
      <c r="E872" s="143"/>
      <c r="H872" s="2"/>
      <c r="I872" s="30"/>
    </row>
    <row r="873" spans="4:9">
      <c r="D873" s="47"/>
      <c r="E873" s="143"/>
      <c r="H873" s="2"/>
      <c r="I873" s="30"/>
    </row>
    <row r="874" spans="4:9">
      <c r="D874" s="47"/>
      <c r="E874" s="143"/>
      <c r="H874" s="2"/>
      <c r="I874" s="30"/>
    </row>
    <row r="875" spans="4:9">
      <c r="D875" s="47"/>
      <c r="E875" s="143"/>
      <c r="H875" s="2"/>
      <c r="I875" s="30"/>
    </row>
    <row r="876" spans="4:9">
      <c r="D876" s="47"/>
      <c r="E876" s="143"/>
      <c r="H876" s="2"/>
      <c r="I876" s="30"/>
    </row>
    <row r="877" spans="4:9">
      <c r="D877" s="47"/>
      <c r="E877" s="143"/>
      <c r="H877" s="2"/>
      <c r="I877" s="30"/>
    </row>
    <row r="878" spans="4:9">
      <c r="D878" s="47"/>
      <c r="E878" s="143"/>
      <c r="H878" s="2"/>
      <c r="I878" s="30"/>
    </row>
    <row r="879" spans="4:9">
      <c r="D879" s="47"/>
      <c r="E879" s="143"/>
      <c r="H879" s="2"/>
      <c r="I879" s="30"/>
    </row>
    <row r="880" spans="4:9">
      <c r="D880" s="47"/>
      <c r="E880" s="143"/>
      <c r="H880" s="2"/>
      <c r="I880" s="30"/>
    </row>
    <row r="881" spans="4:9">
      <c r="D881" s="47"/>
      <c r="E881" s="143"/>
      <c r="H881" s="2"/>
      <c r="I881" s="30"/>
    </row>
    <row r="882" spans="4:9">
      <c r="D882" s="47"/>
      <c r="E882" s="143"/>
      <c r="H882" s="2"/>
      <c r="I882" s="30"/>
    </row>
    <row r="883" spans="4:9">
      <c r="D883" s="47"/>
      <c r="E883" s="143"/>
      <c r="H883" s="2"/>
      <c r="I883" s="30"/>
    </row>
    <row r="884" spans="4:9">
      <c r="D884" s="47"/>
      <c r="E884" s="143"/>
      <c r="H884" s="2"/>
      <c r="I884" s="30"/>
    </row>
    <row r="885" spans="4:9">
      <c r="D885" s="47"/>
      <c r="E885" s="143"/>
      <c r="H885" s="2"/>
      <c r="I885" s="30"/>
    </row>
    <row r="886" spans="4:9">
      <c r="D886" s="47"/>
      <c r="E886" s="143"/>
      <c r="H886" s="2"/>
      <c r="I886" s="30"/>
    </row>
    <row r="887" spans="4:9">
      <c r="D887" s="47"/>
      <c r="E887" s="143"/>
      <c r="H887" s="2"/>
      <c r="I887" s="30"/>
    </row>
    <row r="888" spans="4:9">
      <c r="D888" s="47"/>
      <c r="E888" s="143"/>
      <c r="H888" s="2"/>
      <c r="I888" s="30"/>
    </row>
    <row r="889" spans="4:9">
      <c r="D889" s="47"/>
      <c r="E889" s="143"/>
      <c r="H889" s="2"/>
      <c r="I889" s="30"/>
    </row>
    <row r="890" spans="4:9">
      <c r="D890" s="47"/>
      <c r="E890" s="143"/>
      <c r="H890" s="2"/>
      <c r="I890" s="30"/>
    </row>
    <row r="891" spans="4:9">
      <c r="D891" s="47"/>
      <c r="E891" s="143"/>
      <c r="H891" s="2"/>
      <c r="I891" s="30"/>
    </row>
    <row r="892" spans="4:9">
      <c r="D892" s="47"/>
      <c r="E892" s="143"/>
      <c r="H892" s="2"/>
      <c r="I892" s="30"/>
    </row>
    <row r="893" spans="4:9">
      <c r="D893" s="47"/>
      <c r="E893" s="143"/>
      <c r="H893" s="2"/>
      <c r="I893" s="30"/>
    </row>
    <row r="894" spans="4:9">
      <c r="D894" s="47"/>
      <c r="E894" s="143"/>
      <c r="H894" s="2"/>
      <c r="I894" s="30"/>
    </row>
    <row r="895" spans="4:9">
      <c r="D895" s="47"/>
      <c r="E895" s="143"/>
      <c r="H895" s="2"/>
      <c r="I895" s="30"/>
    </row>
    <row r="896" spans="4:9">
      <c r="D896" s="47"/>
      <c r="E896" s="143"/>
      <c r="H896" s="2"/>
      <c r="I896" s="30"/>
    </row>
    <row r="897" spans="4:9">
      <c r="D897" s="47"/>
      <c r="E897" s="143"/>
      <c r="H897" s="2"/>
      <c r="I897" s="30"/>
    </row>
    <row r="898" spans="4:9">
      <c r="D898" s="47"/>
      <c r="E898" s="143"/>
      <c r="H898" s="2"/>
      <c r="I898" s="30"/>
    </row>
    <row r="899" spans="4:9">
      <c r="D899" s="47"/>
      <c r="E899" s="143"/>
      <c r="H899" s="2"/>
      <c r="I899" s="30"/>
    </row>
    <row r="900" spans="4:9">
      <c r="D900" s="47"/>
      <c r="E900" s="143"/>
      <c r="H900" s="2"/>
      <c r="I900" s="30"/>
    </row>
    <row r="901" spans="4:9">
      <c r="D901" s="47"/>
      <c r="E901" s="143"/>
      <c r="H901" s="2"/>
      <c r="I901" s="30"/>
    </row>
    <row r="902" spans="4:9">
      <c r="D902" s="47"/>
      <c r="E902" s="143"/>
      <c r="H902" s="2"/>
      <c r="I902" s="30"/>
    </row>
    <row r="903" spans="4:9">
      <c r="D903" s="47"/>
      <c r="E903" s="143"/>
      <c r="H903" s="2"/>
      <c r="I903" s="30"/>
    </row>
    <row r="904" spans="4:9">
      <c r="D904" s="47"/>
      <c r="E904" s="143"/>
      <c r="H904" s="2"/>
      <c r="I904" s="30"/>
    </row>
    <row r="905" spans="4:9">
      <c r="D905" s="47"/>
      <c r="E905" s="143"/>
      <c r="H905" s="2"/>
      <c r="I905" s="30"/>
    </row>
    <row r="906" spans="4:9">
      <c r="D906" s="47"/>
      <c r="E906" s="143"/>
      <c r="H906" s="2"/>
      <c r="I906" s="30"/>
    </row>
    <row r="907" spans="4:9">
      <c r="D907" s="47"/>
      <c r="E907" s="143"/>
      <c r="H907" s="2"/>
      <c r="I907" s="30"/>
    </row>
    <row r="908" spans="4:9">
      <c r="D908" s="47"/>
      <c r="E908" s="143"/>
      <c r="H908" s="2"/>
      <c r="I908" s="30"/>
    </row>
    <row r="909" spans="4:9">
      <c r="D909" s="47"/>
      <c r="E909" s="143"/>
      <c r="H909" s="2"/>
      <c r="I909" s="30"/>
    </row>
    <row r="910" spans="4:9">
      <c r="D910" s="47"/>
      <c r="E910" s="143"/>
      <c r="H910" s="2"/>
      <c r="I910" s="30"/>
    </row>
    <row r="911" spans="4:9">
      <c r="D911" s="47"/>
      <c r="E911" s="143"/>
      <c r="H911" s="2"/>
      <c r="I911" s="30"/>
    </row>
    <row r="912" spans="4:9">
      <c r="D912" s="47"/>
      <c r="E912" s="143"/>
      <c r="H912" s="2"/>
      <c r="I912" s="30"/>
    </row>
    <row r="913" spans="4:9">
      <c r="D913" s="47"/>
      <c r="E913" s="143"/>
      <c r="H913" s="2"/>
      <c r="I913" s="30"/>
    </row>
    <row r="914" spans="4:9">
      <c r="D914" s="47"/>
      <c r="E914" s="143"/>
      <c r="H914" s="2"/>
      <c r="I914" s="30"/>
    </row>
    <row r="915" spans="4:9">
      <c r="D915" s="47"/>
      <c r="E915" s="143"/>
      <c r="H915" s="2"/>
      <c r="I915" s="30"/>
    </row>
    <row r="916" spans="4:9">
      <c r="D916" s="47"/>
      <c r="E916" s="143"/>
      <c r="H916" s="2"/>
      <c r="I916" s="30"/>
    </row>
    <row r="917" spans="4:9">
      <c r="D917" s="47"/>
      <c r="E917" s="143"/>
      <c r="H917" s="2"/>
      <c r="I917" s="30"/>
    </row>
    <row r="918" spans="4:9">
      <c r="D918" s="47"/>
      <c r="E918" s="143"/>
      <c r="H918" s="2"/>
      <c r="I918" s="30"/>
    </row>
    <row r="919" spans="4:9">
      <c r="D919" s="47"/>
      <c r="E919" s="143"/>
      <c r="H919" s="2"/>
      <c r="I919" s="30"/>
    </row>
    <row r="920" spans="4:9">
      <c r="D920" s="47"/>
      <c r="E920" s="143"/>
      <c r="H920" s="2"/>
      <c r="I920" s="30"/>
    </row>
    <row r="921" spans="4:9">
      <c r="D921" s="47"/>
      <c r="E921" s="143"/>
      <c r="H921" s="2"/>
      <c r="I921" s="30"/>
    </row>
    <row r="922" spans="4:9">
      <c r="D922" s="47"/>
      <c r="E922" s="143"/>
      <c r="H922" s="2"/>
      <c r="I922" s="30"/>
    </row>
    <row r="923" spans="4:9">
      <c r="D923" s="47"/>
      <c r="E923" s="143"/>
      <c r="H923" s="2"/>
      <c r="I923" s="30"/>
    </row>
    <row r="924" spans="4:9">
      <c r="D924" s="47"/>
      <c r="E924" s="143"/>
      <c r="H924" s="2"/>
      <c r="I924" s="30"/>
    </row>
    <row r="925" spans="4:9">
      <c r="D925" s="47"/>
      <c r="E925" s="143"/>
      <c r="H925" s="2"/>
      <c r="I925" s="30"/>
    </row>
    <row r="926" spans="4:9">
      <c r="D926" s="47"/>
      <c r="E926" s="143"/>
      <c r="H926" s="2"/>
      <c r="I926" s="30"/>
    </row>
    <row r="927" spans="4:9">
      <c r="D927" s="47"/>
      <c r="E927" s="143"/>
      <c r="H927" s="2"/>
      <c r="I927" s="30"/>
    </row>
    <row r="928" spans="4:9">
      <c r="D928" s="47"/>
      <c r="E928" s="143"/>
      <c r="H928" s="2"/>
      <c r="I928" s="30"/>
    </row>
    <row r="929" spans="4:9">
      <c r="D929" s="47"/>
      <c r="E929" s="143"/>
      <c r="H929" s="2"/>
      <c r="I929" s="30"/>
    </row>
    <row r="930" spans="4:9">
      <c r="D930" s="47"/>
      <c r="E930" s="143"/>
      <c r="H930" s="2"/>
      <c r="I930" s="30"/>
    </row>
    <row r="931" spans="4:9">
      <c r="D931" s="47"/>
      <c r="E931" s="143"/>
      <c r="H931" s="2"/>
      <c r="I931" s="30"/>
    </row>
    <row r="932" spans="4:9">
      <c r="D932" s="47"/>
      <c r="E932" s="143"/>
      <c r="H932" s="2"/>
      <c r="I932" s="30"/>
    </row>
    <row r="933" spans="4:9">
      <c r="D933" s="47"/>
      <c r="E933" s="143"/>
      <c r="H933" s="2"/>
      <c r="I933" s="30"/>
    </row>
    <row r="934" spans="4:9">
      <c r="D934" s="47"/>
      <c r="E934" s="143"/>
      <c r="H934" s="2"/>
      <c r="I934" s="30"/>
    </row>
    <row r="935" spans="4:9">
      <c r="D935" s="47"/>
      <c r="E935" s="143"/>
      <c r="H935" s="2"/>
      <c r="I935" s="30"/>
    </row>
    <row r="936" spans="4:9">
      <c r="D936" s="47"/>
      <c r="E936" s="143"/>
      <c r="H936" s="2"/>
      <c r="I936" s="30"/>
    </row>
    <row r="937" spans="4:9">
      <c r="D937" s="47"/>
      <c r="E937" s="143"/>
      <c r="H937" s="2"/>
      <c r="I937" s="30"/>
    </row>
    <row r="938" spans="4:9">
      <c r="D938" s="47"/>
      <c r="E938" s="143"/>
      <c r="H938" s="2"/>
      <c r="I938" s="30"/>
    </row>
    <row r="939" spans="4:9">
      <c r="D939" s="47"/>
      <c r="E939" s="143"/>
      <c r="H939" s="2"/>
      <c r="I939" s="30"/>
    </row>
    <row r="940" spans="4:9">
      <c r="D940" s="47"/>
      <c r="E940" s="143"/>
      <c r="H940" s="2"/>
      <c r="I940" s="30"/>
    </row>
    <row r="941" spans="4:9">
      <c r="D941" s="47"/>
      <c r="E941" s="143"/>
      <c r="H941" s="2"/>
      <c r="I941" s="30"/>
    </row>
    <row r="942" spans="4:9">
      <c r="D942" s="47"/>
      <c r="E942" s="143"/>
      <c r="H942" s="2"/>
      <c r="I942" s="30"/>
    </row>
    <row r="943" spans="4:9">
      <c r="D943" s="47"/>
      <c r="E943" s="143"/>
      <c r="H943" s="2"/>
      <c r="I943" s="30"/>
    </row>
    <row r="944" spans="4:9">
      <c r="D944" s="47"/>
      <c r="E944" s="143"/>
      <c r="H944" s="2"/>
      <c r="I944" s="30"/>
    </row>
    <row r="945" spans="4:15">
      <c r="D945" s="47"/>
      <c r="E945" s="143"/>
      <c r="H945" s="2"/>
      <c r="I945" s="30"/>
    </row>
    <row r="946" spans="4:15">
      <c r="D946" s="47"/>
      <c r="E946" s="143"/>
      <c r="H946" s="2"/>
      <c r="I946" s="30"/>
    </row>
    <row r="947" spans="4:15">
      <c r="D947" s="47"/>
      <c r="E947" s="143"/>
      <c r="H947" s="2"/>
      <c r="I947" s="30"/>
    </row>
    <row r="948" spans="4:15">
      <c r="D948" s="47"/>
      <c r="E948" s="143"/>
      <c r="H948" s="2"/>
      <c r="I948" s="30"/>
    </row>
    <row r="949" spans="4:15">
      <c r="D949" s="47"/>
      <c r="E949" s="143"/>
      <c r="H949" s="2"/>
      <c r="I949" s="30"/>
    </row>
    <row r="950" spans="4:15">
      <c r="D950" s="47"/>
      <c r="E950" s="143"/>
      <c r="H950" s="2"/>
      <c r="I950" s="30"/>
    </row>
    <row r="951" spans="4:15">
      <c r="D951" s="47"/>
      <c r="E951" s="143"/>
      <c r="H951" s="2"/>
      <c r="I951" s="30"/>
    </row>
    <row r="952" spans="4:15">
      <c r="D952" s="47"/>
      <c r="E952" s="143"/>
      <c r="H952" s="2"/>
      <c r="I952" s="30"/>
    </row>
    <row r="953" spans="4:15">
      <c r="D953" s="47"/>
      <c r="E953" s="143"/>
      <c r="H953" s="2"/>
      <c r="I953" s="30"/>
    </row>
    <row r="954" spans="4:15">
      <c r="D954" s="47"/>
      <c r="E954" s="143"/>
      <c r="H954" s="2"/>
      <c r="I954" s="30"/>
    </row>
    <row r="955" spans="4:15">
      <c r="K955" s="143"/>
      <c r="N955" s="2"/>
      <c r="O955" s="30"/>
    </row>
    <row r="956" spans="4:15">
      <c r="K956" s="143"/>
      <c r="N956" s="2"/>
      <c r="O956" s="30"/>
    </row>
    <row r="957" spans="4:15">
      <c r="K957" s="143"/>
      <c r="N957" s="2"/>
      <c r="O957" s="30"/>
    </row>
    <row r="958" spans="4:15">
      <c r="K958" s="143"/>
      <c r="N958" s="2"/>
      <c r="O958" s="30"/>
    </row>
    <row r="959" spans="4:15">
      <c r="K959" s="143"/>
      <c r="N959" s="2"/>
      <c r="O959" s="30"/>
    </row>
    <row r="960" spans="4:15">
      <c r="K960" s="143"/>
      <c r="N960" s="2"/>
      <c r="O960" s="30"/>
    </row>
    <row r="961" spans="11:15">
      <c r="K961" s="143"/>
      <c r="N961" s="2"/>
      <c r="O961" s="30"/>
    </row>
    <row r="962" spans="11:15">
      <c r="K962" s="143"/>
      <c r="N962" s="2"/>
      <c r="O962" s="30"/>
    </row>
    <row r="963" spans="11:15">
      <c r="K963" s="143"/>
      <c r="N963" s="2"/>
      <c r="O963" s="30"/>
    </row>
    <row r="964" spans="11:15">
      <c r="K964" s="143"/>
      <c r="N964" s="2"/>
      <c r="O964" s="30"/>
    </row>
    <row r="965" spans="11:15">
      <c r="K965" s="143"/>
      <c r="N965" s="2"/>
      <c r="O965" s="30"/>
    </row>
    <row r="966" spans="11:15">
      <c r="K966" s="143"/>
      <c r="N966" s="2"/>
      <c r="O966" s="30"/>
    </row>
    <row r="967" spans="11:15">
      <c r="K967" s="143"/>
      <c r="N967" s="2"/>
      <c r="O967" s="30"/>
    </row>
    <row r="968" spans="11:15">
      <c r="K968" s="143"/>
      <c r="N968" s="2"/>
      <c r="O968" s="30"/>
    </row>
    <row r="969" spans="11:15">
      <c r="K969" s="143"/>
      <c r="N969" s="2"/>
      <c r="O969" s="30"/>
    </row>
    <row r="970" spans="11:15">
      <c r="K970" s="143"/>
      <c r="N970" s="2"/>
      <c r="O970" s="30"/>
    </row>
    <row r="971" spans="11:15">
      <c r="K971" s="143"/>
      <c r="N971" s="2"/>
      <c r="O971" s="30"/>
    </row>
    <row r="972" spans="11:15">
      <c r="K972" s="143"/>
      <c r="N972" s="2"/>
      <c r="O972" s="30"/>
    </row>
    <row r="973" spans="11:15">
      <c r="K973" s="143"/>
      <c r="N973" s="2"/>
      <c r="O973" s="30"/>
    </row>
    <row r="974" spans="11:15">
      <c r="K974" s="143"/>
      <c r="N974" s="2"/>
      <c r="O974" s="30"/>
    </row>
    <row r="975" spans="11:15">
      <c r="K975" s="143"/>
      <c r="N975" s="2"/>
      <c r="O975" s="30"/>
    </row>
    <row r="976" spans="11:15">
      <c r="K976" s="143"/>
      <c r="N976" s="2"/>
      <c r="O976" s="30"/>
    </row>
  </sheetData>
  <mergeCells count="4">
    <mergeCell ref="F3:F5"/>
    <mergeCell ref="G3:G5"/>
    <mergeCell ref="F6:F7"/>
    <mergeCell ref="G6:G7"/>
  </mergeCells>
  <hyperlinks>
    <hyperlink ref="M8" r:id="rId1" xr:uid="{020B5629-E8CB-4B25-9C40-4CECB8DA5F23}"/>
    <hyperlink ref="M3" r:id="rId2" xr:uid="{8824BADD-E936-462A-A874-4E5C3ED76CFE}"/>
    <hyperlink ref="M6" r:id="rId3" xr:uid="{BD002E66-C7C7-41EA-B035-8490E3598681}"/>
    <hyperlink ref="M7" r:id="rId4" xr:uid="{73C30AB5-18E3-49D3-B164-062D9BAA799C}"/>
    <hyperlink ref="M5" r:id="rId5" xr:uid="{DD996525-67E5-4C96-BA55-09EBD9A16817}"/>
    <hyperlink ref="M4" r:id="rId6" xr:uid="{A0344702-858C-48D8-8660-D1F881EF442B}"/>
    <hyperlink ref="M9" r:id="rId7" xr:uid="{21A084C3-4D22-406B-B269-780F06E22F02}"/>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28EDF-0B33-4619-9F8F-3132EE509310}">
  <dimension ref="A1:AD978"/>
  <sheetViews>
    <sheetView topLeftCell="B2" workbookViewId="0">
      <selection activeCell="B5" sqref="B5"/>
    </sheetView>
  </sheetViews>
  <sheetFormatPr defaultRowHeight="12.75"/>
  <cols>
    <col min="1" max="1" width="9.140625" style="181"/>
    <col min="2" max="2" width="15.140625" customWidth="1"/>
    <col min="3" max="3" width="23.42578125" style="47" customWidth="1"/>
    <col min="4" max="4" width="12.85546875" customWidth="1"/>
    <col min="5" max="5" width="35.140625" customWidth="1"/>
    <col min="6" max="7" width="9.140625" style="53"/>
    <col min="12" max="12" width="35.85546875" customWidth="1"/>
    <col min="13" max="13" width="19.140625" customWidth="1"/>
    <col min="14" max="14" width="10.7109375" bestFit="1" customWidth="1"/>
    <col min="15" max="15" width="9.42578125" bestFit="1" customWidth="1"/>
    <col min="17" max="17" width="13.28515625" customWidth="1"/>
    <col min="19" max="19" width="9.42578125" bestFit="1" customWidth="1"/>
    <col min="20" max="20" width="14.7109375" customWidth="1"/>
    <col min="21" max="21" width="15.28515625" customWidth="1"/>
    <col min="22" max="22" width="18.5703125" customWidth="1"/>
    <col min="23" max="23" width="24.42578125" style="137" customWidth="1"/>
    <col min="24" max="24" width="48.28515625" customWidth="1"/>
  </cols>
  <sheetData>
    <row r="1" spans="1:30" ht="14.25">
      <c r="A1" s="184"/>
      <c r="B1" s="4"/>
      <c r="C1" s="5"/>
      <c r="D1" s="5"/>
      <c r="E1" s="4"/>
      <c r="F1" s="48"/>
      <c r="G1" s="48"/>
      <c r="H1" s="197"/>
      <c r="I1" s="243"/>
      <c r="J1" s="197"/>
      <c r="K1" s="197"/>
      <c r="L1" s="197"/>
      <c r="M1" s="197"/>
      <c r="N1" s="197"/>
      <c r="O1" s="197"/>
      <c r="P1" s="197"/>
      <c r="Q1" s="197"/>
      <c r="R1" s="197"/>
      <c r="S1" s="197"/>
      <c r="T1" s="197"/>
      <c r="U1" s="197"/>
      <c r="V1" s="197"/>
      <c r="W1" s="188"/>
      <c r="X1" s="209"/>
    </row>
    <row r="2" spans="1:30" ht="46.5">
      <c r="A2" s="193" t="s">
        <v>248</v>
      </c>
      <c r="B2" s="59" t="s">
        <v>249</v>
      </c>
      <c r="C2" s="195" t="s">
        <v>250</v>
      </c>
      <c r="D2" s="68" t="s">
        <v>251</v>
      </c>
      <c r="E2" s="70" t="s">
        <v>252</v>
      </c>
      <c r="F2" s="71" t="s">
        <v>254</v>
      </c>
      <c r="G2" s="71" t="s">
        <v>255</v>
      </c>
      <c r="H2" s="199" t="s">
        <v>259</v>
      </c>
      <c r="I2" s="199" t="s">
        <v>260</v>
      </c>
      <c r="J2" s="199" t="s">
        <v>261</v>
      </c>
      <c r="K2" s="199" t="s">
        <v>262</v>
      </c>
      <c r="L2" s="199" t="s">
        <v>263</v>
      </c>
      <c r="M2" s="199" t="s">
        <v>264</v>
      </c>
      <c r="N2" s="199" t="s">
        <v>265</v>
      </c>
      <c r="O2" s="199" t="s">
        <v>266</v>
      </c>
      <c r="P2" s="199" t="s">
        <v>1571</v>
      </c>
      <c r="Q2" s="199" t="s">
        <v>268</v>
      </c>
      <c r="R2" s="199" t="s">
        <v>1572</v>
      </c>
      <c r="S2" s="199" t="s">
        <v>270</v>
      </c>
      <c r="T2" s="199" t="s">
        <v>268</v>
      </c>
      <c r="U2" s="199" t="s">
        <v>272</v>
      </c>
      <c r="V2" s="199" t="s">
        <v>273</v>
      </c>
      <c r="W2" s="189" t="s">
        <v>253</v>
      </c>
      <c r="X2" s="210" t="s">
        <v>274</v>
      </c>
    </row>
    <row r="3" spans="1:30" s="286" customFormat="1" ht="27.75" customHeight="1">
      <c r="A3" s="275">
        <v>1</v>
      </c>
      <c r="B3" s="276" t="s">
        <v>1646</v>
      </c>
      <c r="C3" s="191" t="s">
        <v>1647</v>
      </c>
      <c r="D3" s="278" t="s">
        <v>1648</v>
      </c>
      <c r="E3" s="281" t="s">
        <v>1649</v>
      </c>
      <c r="F3" s="192">
        <v>2</v>
      </c>
      <c r="G3" s="192">
        <v>2</v>
      </c>
      <c r="H3" s="191" t="s">
        <v>1591</v>
      </c>
      <c r="I3" s="191" t="s">
        <v>318</v>
      </c>
      <c r="J3" s="191" t="s">
        <v>1526</v>
      </c>
      <c r="K3" s="191" t="s">
        <v>595</v>
      </c>
      <c r="L3" s="191" t="s">
        <v>1557</v>
      </c>
      <c r="M3" s="46" t="s">
        <v>1591</v>
      </c>
      <c r="N3" s="282" t="s">
        <v>1591</v>
      </c>
      <c r="O3" s="282" t="s">
        <v>1591</v>
      </c>
      <c r="P3" s="282" t="s">
        <v>1591</v>
      </c>
      <c r="Q3" s="282" t="s">
        <v>1591</v>
      </c>
      <c r="R3" s="282" t="s">
        <v>1591</v>
      </c>
      <c r="S3" s="282" t="s">
        <v>1591</v>
      </c>
      <c r="T3" s="282" t="s">
        <v>1591</v>
      </c>
      <c r="U3" s="282" t="s">
        <v>1591</v>
      </c>
      <c r="V3" s="282" t="s">
        <v>1591</v>
      </c>
      <c r="W3" s="275" t="s">
        <v>13</v>
      </c>
      <c r="X3" s="277" t="s">
        <v>1650</v>
      </c>
    </row>
    <row r="4" spans="1:30" s="287" customFormat="1" ht="31.5" customHeight="1">
      <c r="A4" s="275">
        <v>2</v>
      </c>
      <c r="B4" s="276" t="s">
        <v>1646</v>
      </c>
      <c r="C4" s="275" t="s">
        <v>1651</v>
      </c>
      <c r="D4" s="278" t="s">
        <v>1652</v>
      </c>
      <c r="E4" s="281" t="s">
        <v>1653</v>
      </c>
      <c r="F4" s="192">
        <v>3</v>
      </c>
      <c r="G4" s="192">
        <v>3</v>
      </c>
      <c r="H4" s="191" t="s">
        <v>318</v>
      </c>
      <c r="I4" s="191" t="s">
        <v>318</v>
      </c>
      <c r="J4" s="191" t="s">
        <v>1526</v>
      </c>
      <c r="K4" s="191" t="s">
        <v>1035</v>
      </c>
      <c r="L4" s="283" t="s">
        <v>1557</v>
      </c>
      <c r="M4" s="279" t="s">
        <v>1654</v>
      </c>
      <c r="N4" s="191" t="s">
        <v>1655</v>
      </c>
      <c r="O4" s="283" t="s">
        <v>1655</v>
      </c>
      <c r="P4" s="191" t="s">
        <v>322</v>
      </c>
      <c r="Q4" s="191" t="s">
        <v>1557</v>
      </c>
      <c r="R4" s="191" t="s">
        <v>323</v>
      </c>
      <c r="S4" s="283" t="s">
        <v>1655</v>
      </c>
      <c r="T4" s="191" t="s">
        <v>1557</v>
      </c>
      <c r="U4" s="191" t="s">
        <v>1557</v>
      </c>
      <c r="V4" s="191" t="s">
        <v>1557</v>
      </c>
      <c r="W4" s="275" t="s">
        <v>13</v>
      </c>
      <c r="X4" s="278"/>
      <c r="Y4" s="288"/>
      <c r="Z4" s="288"/>
      <c r="AA4" s="288"/>
      <c r="AB4" s="288"/>
      <c r="AC4" s="288"/>
      <c r="AD4" s="288"/>
    </row>
    <row r="5" spans="1:30" ht="30.75" customHeight="1">
      <c r="A5" s="62">
        <v>3</v>
      </c>
      <c r="B5" s="276" t="s">
        <v>1646</v>
      </c>
      <c r="C5" s="275" t="s">
        <v>1651</v>
      </c>
      <c r="D5" s="203" t="s">
        <v>1656</v>
      </c>
      <c r="E5" s="280" t="s">
        <v>1657</v>
      </c>
      <c r="F5" s="225">
        <v>2</v>
      </c>
      <c r="G5" s="225">
        <v>2</v>
      </c>
      <c r="H5" s="191" t="s">
        <v>1591</v>
      </c>
      <c r="I5" s="191" t="s">
        <v>318</v>
      </c>
      <c r="J5" s="191" t="s">
        <v>1526</v>
      </c>
      <c r="K5" s="191" t="s">
        <v>595</v>
      </c>
      <c r="L5" s="191" t="s">
        <v>1557</v>
      </c>
      <c r="M5" s="46" t="s">
        <v>1591</v>
      </c>
      <c r="N5" s="46" t="s">
        <v>1591</v>
      </c>
      <c r="O5" s="46" t="s">
        <v>1591</v>
      </c>
      <c r="P5" s="46" t="s">
        <v>1591</v>
      </c>
      <c r="Q5" s="46" t="s">
        <v>1591</v>
      </c>
      <c r="R5" s="46" t="s">
        <v>1591</v>
      </c>
      <c r="S5" s="46" t="s">
        <v>1591</v>
      </c>
      <c r="T5" s="46" t="s">
        <v>1591</v>
      </c>
      <c r="U5" s="46" t="s">
        <v>1591</v>
      </c>
      <c r="V5" s="46" t="s">
        <v>1591</v>
      </c>
      <c r="W5" s="138" t="s">
        <v>13</v>
      </c>
      <c r="X5" s="138" t="s">
        <v>1650</v>
      </c>
    </row>
    <row r="6" spans="1:30" ht="35.25" customHeight="1">
      <c r="A6" s="62">
        <v>4</v>
      </c>
      <c r="B6" s="300" t="s">
        <v>1658</v>
      </c>
      <c r="C6" s="46" t="s">
        <v>1035</v>
      </c>
      <c r="D6" s="203" t="s">
        <v>1659</v>
      </c>
      <c r="E6" s="280" t="s">
        <v>1660</v>
      </c>
      <c r="F6" s="225">
        <v>1</v>
      </c>
      <c r="G6" s="225">
        <v>1</v>
      </c>
      <c r="H6" s="87" t="s">
        <v>318</v>
      </c>
      <c r="I6" s="46" t="s">
        <v>318</v>
      </c>
      <c r="J6" s="62" t="s">
        <v>1526</v>
      </c>
      <c r="K6" s="46" t="s">
        <v>595</v>
      </c>
      <c r="L6" s="62" t="s">
        <v>1557</v>
      </c>
      <c r="M6" s="279" t="s">
        <v>1642</v>
      </c>
      <c r="N6" s="284">
        <v>45476</v>
      </c>
      <c r="O6" s="285">
        <v>45476</v>
      </c>
      <c r="P6" s="191" t="s">
        <v>322</v>
      </c>
      <c r="Q6" s="191" t="s">
        <v>1557</v>
      </c>
      <c r="R6" s="191" t="s">
        <v>323</v>
      </c>
      <c r="S6" s="284">
        <v>45476</v>
      </c>
      <c r="T6" s="191" t="s">
        <v>1557</v>
      </c>
      <c r="U6" s="191" t="s">
        <v>1557</v>
      </c>
      <c r="V6" s="191" t="s">
        <v>1557</v>
      </c>
      <c r="W6" s="62" t="s">
        <v>13</v>
      </c>
      <c r="X6" s="58"/>
    </row>
    <row r="7" spans="1:30">
      <c r="B7" s="28"/>
      <c r="C7" s="196"/>
      <c r="D7" s="47"/>
      <c r="E7" s="28"/>
      <c r="F7" s="215"/>
      <c r="G7" s="215"/>
      <c r="H7" s="2"/>
      <c r="I7" s="35"/>
      <c r="K7" s="35"/>
      <c r="M7" s="35"/>
      <c r="N7" s="35"/>
      <c r="O7" s="35"/>
      <c r="P7" s="35"/>
    </row>
    <row r="8" spans="1:30">
      <c r="B8" s="28"/>
      <c r="C8" s="196"/>
      <c r="D8" s="47"/>
      <c r="E8" s="28"/>
      <c r="F8" s="215"/>
      <c r="G8" s="215"/>
      <c r="H8" s="2"/>
      <c r="I8" s="35"/>
      <c r="K8" s="35"/>
      <c r="M8" s="35"/>
      <c r="N8" s="35"/>
      <c r="O8" s="35"/>
      <c r="P8" s="35"/>
    </row>
    <row r="9" spans="1:30">
      <c r="B9" s="28"/>
      <c r="C9" s="196"/>
      <c r="D9" s="47"/>
      <c r="E9" s="28"/>
      <c r="F9" s="215"/>
      <c r="G9" s="215"/>
      <c r="H9" s="2"/>
      <c r="I9" s="35"/>
      <c r="K9" s="35"/>
      <c r="M9" s="35"/>
      <c r="N9" s="35"/>
      <c r="O9" s="35"/>
      <c r="P9" s="35"/>
    </row>
    <row r="10" spans="1:30">
      <c r="B10" s="28"/>
      <c r="C10" s="196"/>
      <c r="D10" s="47"/>
      <c r="E10" s="28"/>
      <c r="F10" s="215"/>
      <c r="G10" s="215"/>
      <c r="H10" s="2"/>
      <c r="I10" s="35"/>
      <c r="K10" s="35"/>
      <c r="M10" s="35"/>
      <c r="N10" s="35"/>
      <c r="O10" s="35"/>
      <c r="P10" s="35"/>
    </row>
    <row r="11" spans="1:30">
      <c r="B11" s="28"/>
      <c r="C11" s="196"/>
      <c r="D11" s="47"/>
      <c r="E11" s="28"/>
      <c r="F11" s="215"/>
      <c r="G11" s="215"/>
      <c r="H11" s="2"/>
      <c r="I11" s="35"/>
      <c r="K11" s="35"/>
      <c r="M11" s="35"/>
      <c r="N11" s="35"/>
      <c r="O11" s="35"/>
      <c r="P11" s="35"/>
    </row>
    <row r="12" spans="1:30">
      <c r="B12" s="28"/>
      <c r="C12" s="196"/>
      <c r="D12" s="47"/>
      <c r="E12" s="28"/>
      <c r="F12" s="215"/>
      <c r="G12" s="215"/>
      <c r="H12" s="2"/>
      <c r="I12" s="35"/>
      <c r="K12" s="35"/>
      <c r="M12" s="35"/>
      <c r="N12" s="35"/>
      <c r="O12" s="35"/>
      <c r="P12" s="35"/>
    </row>
    <row r="13" spans="1:30">
      <c r="B13" s="28"/>
      <c r="C13" s="196"/>
      <c r="D13" s="47"/>
      <c r="E13" s="28"/>
      <c r="F13" s="215"/>
      <c r="G13" s="215"/>
      <c r="H13" s="2"/>
      <c r="I13" s="35"/>
      <c r="K13" s="35"/>
      <c r="M13" s="35"/>
      <c r="N13" s="35"/>
      <c r="O13" s="35"/>
      <c r="P13" s="35"/>
    </row>
    <row r="14" spans="1:30">
      <c r="B14" s="28"/>
      <c r="C14" s="196"/>
      <c r="D14" s="47"/>
      <c r="E14" s="28"/>
      <c r="F14" s="215"/>
      <c r="G14" s="215"/>
      <c r="H14" s="2"/>
      <c r="I14" s="35"/>
      <c r="K14" s="35"/>
      <c r="M14" s="35"/>
      <c r="N14" s="35"/>
      <c r="O14" s="35"/>
      <c r="P14" s="35"/>
    </row>
    <row r="15" spans="1:30">
      <c r="B15" s="28"/>
      <c r="C15" s="196"/>
      <c r="D15" s="47"/>
      <c r="E15" s="28"/>
      <c r="F15" s="215"/>
      <c r="G15" s="215"/>
      <c r="H15" s="2"/>
      <c r="I15" s="35"/>
      <c r="K15" s="35"/>
      <c r="M15" s="35"/>
      <c r="N15" s="35"/>
      <c r="O15" s="35"/>
      <c r="P15" s="35"/>
    </row>
    <row r="16" spans="1:30">
      <c r="B16" s="28"/>
      <c r="C16" s="196"/>
      <c r="D16" s="47"/>
      <c r="E16" s="28"/>
      <c r="F16" s="215"/>
      <c r="G16" s="215"/>
      <c r="H16" s="2"/>
      <c r="I16" s="35"/>
      <c r="K16" s="35"/>
      <c r="M16" s="35"/>
      <c r="N16" s="35"/>
      <c r="O16" s="35"/>
      <c r="P16" s="35"/>
    </row>
    <row r="17" spans="2:16">
      <c r="B17" s="28"/>
      <c r="C17" s="196"/>
      <c r="D17" s="47"/>
      <c r="E17" s="28"/>
      <c r="F17" s="215"/>
      <c r="G17" s="215"/>
      <c r="H17" s="2"/>
      <c r="I17" s="35"/>
      <c r="K17" s="35"/>
      <c r="M17" s="35"/>
      <c r="N17" s="35"/>
      <c r="O17" s="35"/>
      <c r="P17" s="35"/>
    </row>
    <row r="18" spans="2:16">
      <c r="B18" s="28"/>
      <c r="C18" s="196"/>
      <c r="D18" s="47"/>
      <c r="E18" s="28"/>
      <c r="F18" s="215"/>
      <c r="G18" s="215"/>
      <c r="H18" s="2"/>
      <c r="I18" s="35"/>
      <c r="K18" s="35"/>
      <c r="M18" s="35"/>
      <c r="N18" s="35"/>
      <c r="O18" s="35"/>
      <c r="P18" s="35"/>
    </row>
    <row r="19" spans="2:16">
      <c r="B19" s="28"/>
      <c r="C19" s="196"/>
      <c r="D19" s="47"/>
      <c r="E19" s="28"/>
      <c r="F19" s="215"/>
      <c r="G19" s="215"/>
      <c r="H19" s="2"/>
      <c r="I19" s="35"/>
      <c r="K19" s="35"/>
      <c r="M19" s="35"/>
      <c r="N19" s="35"/>
      <c r="O19" s="35"/>
      <c r="P19" s="35"/>
    </row>
    <row r="20" spans="2:16">
      <c r="B20" s="28"/>
      <c r="C20" s="196"/>
      <c r="D20" s="47"/>
      <c r="E20" s="28"/>
      <c r="F20" s="215"/>
      <c r="G20" s="215"/>
      <c r="H20" s="2"/>
      <c r="I20" s="35"/>
      <c r="K20" s="35"/>
      <c r="M20" s="35"/>
      <c r="N20" s="35"/>
      <c r="O20" s="35"/>
      <c r="P20" s="35"/>
    </row>
    <row r="21" spans="2:16">
      <c r="B21" s="28"/>
      <c r="C21" s="196"/>
      <c r="D21" s="47"/>
      <c r="E21" s="28"/>
      <c r="F21" s="215"/>
      <c r="G21" s="215"/>
      <c r="H21" s="2"/>
      <c r="I21" s="35"/>
      <c r="K21" s="35"/>
      <c r="M21" s="35"/>
      <c r="N21" s="35"/>
      <c r="O21" s="35"/>
      <c r="P21" s="35"/>
    </row>
    <row r="22" spans="2:16">
      <c r="B22" s="28"/>
      <c r="C22" s="196"/>
      <c r="D22" s="47"/>
      <c r="E22" s="28"/>
      <c r="F22" s="215"/>
      <c r="G22" s="215"/>
      <c r="H22" s="2"/>
      <c r="I22" s="35"/>
      <c r="K22" s="35"/>
      <c r="M22" s="35"/>
      <c r="N22" s="35"/>
      <c r="O22" s="35"/>
      <c r="P22" s="35"/>
    </row>
    <row r="23" spans="2:16">
      <c r="B23" s="28"/>
      <c r="C23" s="196"/>
      <c r="D23" s="47"/>
      <c r="E23" s="28"/>
      <c r="F23" s="215"/>
      <c r="G23" s="215"/>
      <c r="H23" s="2"/>
      <c r="I23" s="35"/>
      <c r="K23" s="35"/>
      <c r="M23" s="35"/>
      <c r="N23" s="35"/>
      <c r="O23" s="35"/>
      <c r="P23" s="35"/>
    </row>
    <row r="24" spans="2:16">
      <c r="B24" s="28"/>
      <c r="C24" s="196"/>
      <c r="D24" s="47"/>
      <c r="E24" s="28"/>
      <c r="F24" s="215"/>
      <c r="G24" s="215"/>
      <c r="H24" s="2"/>
      <c r="I24" s="35"/>
      <c r="K24" s="35"/>
      <c r="M24" s="35"/>
      <c r="N24" s="35"/>
      <c r="O24" s="35"/>
      <c r="P24" s="35"/>
    </row>
    <row r="25" spans="2:16">
      <c r="B25" s="28"/>
      <c r="C25" s="196"/>
      <c r="D25" s="47"/>
      <c r="E25" s="28"/>
      <c r="F25" s="215"/>
      <c r="G25" s="215"/>
      <c r="H25" s="2"/>
      <c r="I25" s="35"/>
      <c r="K25" s="35"/>
      <c r="M25" s="35"/>
      <c r="N25" s="35"/>
      <c r="O25" s="35"/>
      <c r="P25" s="35"/>
    </row>
    <row r="26" spans="2:16">
      <c r="B26" s="28"/>
      <c r="C26" s="196"/>
      <c r="D26" s="47"/>
      <c r="E26" s="28"/>
      <c r="F26" s="215"/>
      <c r="G26" s="215"/>
      <c r="H26" s="2"/>
      <c r="I26" s="35"/>
      <c r="K26" s="35"/>
      <c r="M26" s="35"/>
      <c r="N26" s="35"/>
      <c r="O26" s="35"/>
      <c r="P26" s="35"/>
    </row>
    <row r="27" spans="2:16">
      <c r="B27" s="28"/>
      <c r="C27" s="196"/>
      <c r="D27" s="47"/>
      <c r="E27" s="28"/>
      <c r="F27" s="215"/>
      <c r="G27" s="215"/>
      <c r="H27" s="2"/>
      <c r="I27" s="35"/>
      <c r="K27" s="35"/>
      <c r="M27" s="35"/>
      <c r="N27" s="35"/>
      <c r="O27" s="35"/>
      <c r="P27" s="35"/>
    </row>
    <row r="28" spans="2:16">
      <c r="B28" s="28"/>
      <c r="C28" s="196"/>
      <c r="D28" s="47"/>
      <c r="E28" s="28"/>
      <c r="F28" s="215"/>
      <c r="G28" s="215"/>
      <c r="H28" s="2"/>
      <c r="I28" s="35"/>
      <c r="K28" s="35"/>
      <c r="M28" s="35"/>
      <c r="N28" s="35"/>
      <c r="O28" s="35"/>
      <c r="P28" s="35"/>
    </row>
    <row r="29" spans="2:16">
      <c r="B29" s="28"/>
      <c r="C29" s="196"/>
      <c r="D29" s="47"/>
      <c r="E29" s="28"/>
      <c r="F29" s="215"/>
      <c r="G29" s="215"/>
      <c r="H29" s="2"/>
      <c r="I29" s="35"/>
      <c r="K29" s="35"/>
      <c r="M29" s="35"/>
      <c r="N29" s="35"/>
      <c r="O29" s="35"/>
      <c r="P29" s="35"/>
    </row>
    <row r="30" spans="2:16">
      <c r="B30" s="28"/>
      <c r="C30" s="196"/>
      <c r="D30" s="47"/>
      <c r="E30" s="28"/>
      <c r="F30" s="215"/>
      <c r="G30" s="215"/>
      <c r="H30" s="2"/>
      <c r="I30" s="35"/>
      <c r="K30" s="35"/>
      <c r="M30" s="35"/>
      <c r="N30" s="35"/>
      <c r="O30" s="35"/>
      <c r="P30" s="35"/>
    </row>
    <row r="31" spans="2:16">
      <c r="B31" s="28"/>
      <c r="C31" s="196"/>
      <c r="D31" s="47"/>
      <c r="E31" s="28"/>
      <c r="F31" s="215"/>
      <c r="G31" s="215"/>
      <c r="H31" s="2"/>
      <c r="I31" s="35"/>
      <c r="K31" s="35"/>
      <c r="M31" s="35"/>
      <c r="N31" s="35"/>
      <c r="O31" s="35"/>
      <c r="P31" s="35"/>
    </row>
    <row r="32" spans="2:16">
      <c r="B32" s="28"/>
      <c r="C32" s="196"/>
      <c r="D32" s="47"/>
      <c r="E32" s="28"/>
      <c r="F32" s="215"/>
      <c r="G32" s="215"/>
      <c r="H32" s="2"/>
      <c r="I32" s="35"/>
      <c r="K32" s="35"/>
      <c r="M32" s="35"/>
      <c r="N32" s="35"/>
      <c r="O32" s="35"/>
      <c r="P32" s="35"/>
    </row>
    <row r="33" spans="2:16">
      <c r="B33" s="28"/>
      <c r="C33" s="196"/>
      <c r="D33" s="47"/>
      <c r="E33" s="28"/>
      <c r="F33" s="215"/>
      <c r="G33" s="215"/>
      <c r="H33" s="2"/>
      <c r="I33" s="35"/>
      <c r="K33" s="35"/>
      <c r="M33" s="35"/>
      <c r="N33" s="35"/>
      <c r="O33" s="35"/>
      <c r="P33" s="35"/>
    </row>
    <row r="34" spans="2:16">
      <c r="B34" s="28"/>
      <c r="C34" s="196"/>
      <c r="D34" s="47"/>
      <c r="E34" s="28"/>
      <c r="F34" s="215"/>
      <c r="G34" s="215"/>
      <c r="H34" s="2"/>
      <c r="I34" s="35"/>
      <c r="K34" s="35"/>
      <c r="M34" s="35"/>
      <c r="N34" s="35"/>
      <c r="O34" s="35"/>
      <c r="P34" s="35"/>
    </row>
    <row r="35" spans="2:16">
      <c r="B35" s="28"/>
      <c r="C35" s="196"/>
      <c r="D35" s="47"/>
      <c r="E35" s="28"/>
      <c r="F35" s="215"/>
      <c r="G35" s="215"/>
      <c r="H35" s="2"/>
      <c r="I35" s="35"/>
      <c r="K35" s="35"/>
      <c r="M35" s="35"/>
      <c r="N35" s="35"/>
      <c r="O35" s="35"/>
      <c r="P35" s="35"/>
    </row>
    <row r="36" spans="2:16">
      <c r="B36" s="28"/>
      <c r="C36" s="196"/>
      <c r="D36" s="47"/>
      <c r="E36" s="28"/>
      <c r="F36" s="215"/>
      <c r="G36" s="215"/>
      <c r="H36" s="2"/>
      <c r="I36" s="35"/>
      <c r="K36" s="35"/>
      <c r="M36" s="35"/>
      <c r="N36" s="35"/>
      <c r="O36" s="35"/>
      <c r="P36" s="35"/>
    </row>
    <row r="37" spans="2:16">
      <c r="B37" s="28"/>
      <c r="C37" s="196"/>
      <c r="D37" s="47"/>
      <c r="E37" s="28"/>
      <c r="F37" s="215"/>
      <c r="G37" s="215"/>
      <c r="H37" s="2"/>
      <c r="I37" s="35"/>
      <c r="K37" s="35"/>
      <c r="M37" s="35"/>
      <c r="N37" s="35"/>
      <c r="O37" s="35"/>
      <c r="P37" s="35"/>
    </row>
    <row r="38" spans="2:16">
      <c r="B38" s="28"/>
      <c r="C38" s="196"/>
      <c r="D38" s="47"/>
      <c r="E38" s="28"/>
      <c r="F38" s="215"/>
      <c r="G38" s="215"/>
      <c r="H38" s="2"/>
      <c r="I38" s="35"/>
      <c r="K38" s="35"/>
      <c r="M38" s="35"/>
      <c r="N38" s="35"/>
      <c r="O38" s="35"/>
      <c r="P38" s="35"/>
    </row>
    <row r="39" spans="2:16">
      <c r="B39" s="28"/>
      <c r="C39" s="196"/>
      <c r="D39" s="47"/>
      <c r="E39" s="28"/>
      <c r="F39" s="215"/>
      <c r="G39" s="215"/>
      <c r="H39" s="2"/>
      <c r="I39" s="35"/>
      <c r="K39" s="35"/>
      <c r="M39" s="35"/>
      <c r="N39" s="35"/>
      <c r="O39" s="35"/>
      <c r="P39" s="35"/>
    </row>
    <row r="40" spans="2:16">
      <c r="B40" s="28"/>
      <c r="C40" s="196"/>
      <c r="D40" s="47"/>
      <c r="E40" s="28"/>
      <c r="F40" s="215"/>
      <c r="G40" s="215"/>
      <c r="H40" s="2"/>
      <c r="I40" s="35"/>
      <c r="K40" s="35"/>
      <c r="M40" s="35"/>
      <c r="N40" s="35"/>
      <c r="O40" s="35"/>
      <c r="P40" s="35"/>
    </row>
    <row r="41" spans="2:16">
      <c r="B41" s="28"/>
      <c r="C41" s="196"/>
      <c r="D41" s="47"/>
      <c r="E41" s="28"/>
      <c r="F41" s="215"/>
      <c r="G41" s="215"/>
      <c r="H41" s="2"/>
      <c r="I41" s="35"/>
      <c r="K41" s="35"/>
      <c r="M41" s="35"/>
      <c r="N41" s="35"/>
      <c r="O41" s="35"/>
      <c r="P41" s="35"/>
    </row>
    <row r="42" spans="2:16">
      <c r="B42" s="28"/>
      <c r="C42" s="196"/>
      <c r="D42" s="47"/>
      <c r="E42" s="28"/>
      <c r="F42" s="215"/>
      <c r="G42" s="215"/>
      <c r="H42" s="2"/>
      <c r="I42" s="35"/>
      <c r="K42" s="35"/>
      <c r="M42" s="35"/>
      <c r="N42" s="35"/>
      <c r="O42" s="35"/>
      <c r="P42" s="35"/>
    </row>
    <row r="43" spans="2:16">
      <c r="B43" s="28"/>
      <c r="C43" s="196"/>
      <c r="D43" s="47"/>
      <c r="E43" s="28"/>
      <c r="F43" s="215"/>
      <c r="G43" s="215"/>
      <c r="H43" s="2"/>
      <c r="I43" s="35"/>
      <c r="K43" s="35"/>
      <c r="M43" s="35"/>
      <c r="N43" s="35"/>
      <c r="O43" s="35"/>
      <c r="P43" s="35"/>
    </row>
    <row r="44" spans="2:16">
      <c r="B44" s="28"/>
      <c r="C44" s="196"/>
      <c r="D44" s="47"/>
      <c r="E44" s="28"/>
      <c r="F44" s="215"/>
      <c r="G44" s="215"/>
      <c r="H44" s="2"/>
      <c r="I44" s="35"/>
      <c r="K44" s="35"/>
      <c r="M44" s="35"/>
      <c r="N44" s="35"/>
      <c r="O44" s="35"/>
      <c r="P44" s="35"/>
    </row>
    <row r="45" spans="2:16">
      <c r="B45" s="28"/>
      <c r="C45" s="196"/>
      <c r="D45" s="47"/>
      <c r="E45" s="28"/>
      <c r="F45" s="215"/>
      <c r="G45" s="215"/>
      <c r="H45" s="2"/>
      <c r="I45" s="35"/>
      <c r="K45" s="35"/>
      <c r="M45" s="35"/>
      <c r="N45" s="35"/>
      <c r="O45" s="35"/>
      <c r="P45" s="35"/>
    </row>
    <row r="46" spans="2:16">
      <c r="B46" s="28"/>
      <c r="C46" s="196"/>
      <c r="D46" s="47"/>
      <c r="E46" s="28"/>
      <c r="F46" s="215"/>
      <c r="G46" s="215"/>
      <c r="H46" s="2"/>
      <c r="I46" s="35"/>
      <c r="K46" s="35"/>
      <c r="M46" s="35"/>
      <c r="N46" s="35"/>
      <c r="O46" s="35"/>
      <c r="P46" s="35"/>
    </row>
    <row r="47" spans="2:16">
      <c r="B47" s="28"/>
      <c r="C47" s="196"/>
      <c r="D47" s="47"/>
      <c r="E47" s="28"/>
      <c r="F47" s="215"/>
      <c r="G47" s="215"/>
      <c r="H47" s="2"/>
      <c r="I47" s="35"/>
      <c r="K47" s="35"/>
      <c r="M47" s="35"/>
      <c r="N47" s="35"/>
      <c r="O47" s="35"/>
      <c r="P47" s="35"/>
    </row>
    <row r="48" spans="2:16">
      <c r="B48" s="28"/>
      <c r="C48" s="196"/>
      <c r="D48" s="47"/>
      <c r="E48" s="28"/>
      <c r="F48" s="215"/>
      <c r="G48" s="215"/>
      <c r="H48" s="2"/>
      <c r="I48" s="35"/>
      <c r="K48" s="35"/>
      <c r="M48" s="35"/>
      <c r="N48" s="35"/>
      <c r="O48" s="35"/>
      <c r="P48" s="35"/>
    </row>
    <row r="49" spans="2:16">
      <c r="B49" s="28"/>
      <c r="C49" s="196"/>
      <c r="D49" s="47"/>
      <c r="E49" s="28"/>
      <c r="F49" s="215"/>
      <c r="G49" s="215"/>
      <c r="H49" s="2"/>
      <c r="I49" s="35"/>
      <c r="K49" s="35"/>
      <c r="M49" s="35"/>
      <c r="N49" s="35"/>
      <c r="O49" s="35"/>
      <c r="P49" s="35"/>
    </row>
    <row r="50" spans="2:16">
      <c r="B50" s="28"/>
      <c r="C50" s="196"/>
      <c r="D50" s="47"/>
      <c r="E50" s="28"/>
      <c r="F50" s="215"/>
      <c r="G50" s="215"/>
      <c r="H50" s="2"/>
      <c r="I50" s="35"/>
      <c r="K50" s="35"/>
      <c r="M50" s="35"/>
      <c r="N50" s="35"/>
      <c r="O50" s="35"/>
      <c r="P50" s="35"/>
    </row>
    <row r="51" spans="2:16">
      <c r="B51" s="28"/>
      <c r="C51" s="196"/>
      <c r="D51" s="47"/>
      <c r="E51" s="28"/>
      <c r="F51" s="215"/>
      <c r="G51" s="215"/>
      <c r="H51" s="2"/>
      <c r="I51" s="35"/>
      <c r="K51" s="35"/>
      <c r="M51" s="35"/>
      <c r="N51" s="35"/>
      <c r="O51" s="35"/>
      <c r="P51" s="35"/>
    </row>
    <row r="52" spans="2:16">
      <c r="B52" s="28"/>
      <c r="C52" s="196"/>
      <c r="D52" s="47"/>
      <c r="E52" s="28"/>
      <c r="F52" s="215"/>
      <c r="G52" s="215"/>
      <c r="H52" s="2"/>
      <c r="I52" s="35"/>
      <c r="K52" s="35"/>
      <c r="M52" s="35"/>
      <c r="N52" s="35"/>
      <c r="O52" s="35"/>
      <c r="P52" s="35"/>
    </row>
    <row r="53" spans="2:16">
      <c r="B53" s="28"/>
      <c r="C53" s="196"/>
      <c r="D53" s="47"/>
      <c r="E53" s="28"/>
      <c r="F53" s="215"/>
      <c r="G53" s="215"/>
      <c r="H53" s="2"/>
      <c r="I53" s="35"/>
      <c r="K53" s="35"/>
      <c r="M53" s="35"/>
      <c r="N53" s="35"/>
      <c r="O53" s="35"/>
      <c r="P53" s="35"/>
    </row>
    <row r="54" spans="2:16">
      <c r="B54" s="28"/>
      <c r="C54" s="196"/>
      <c r="D54" s="47"/>
      <c r="E54" s="28"/>
      <c r="F54" s="215"/>
      <c r="G54" s="215"/>
      <c r="H54" s="2"/>
      <c r="I54" s="35"/>
      <c r="K54" s="35"/>
      <c r="M54" s="35"/>
      <c r="N54" s="35"/>
      <c r="O54" s="35"/>
      <c r="P54" s="35"/>
    </row>
    <row r="55" spans="2:16">
      <c r="B55" s="28"/>
      <c r="C55" s="196"/>
      <c r="D55" s="47"/>
      <c r="E55" s="28"/>
      <c r="F55" s="215"/>
      <c r="G55" s="215"/>
      <c r="H55" s="2"/>
      <c r="I55" s="35"/>
      <c r="K55" s="35"/>
      <c r="M55" s="35"/>
      <c r="N55" s="35"/>
      <c r="O55" s="35"/>
      <c r="P55" s="35"/>
    </row>
    <row r="56" spans="2:16">
      <c r="B56" s="28"/>
      <c r="C56" s="196"/>
      <c r="D56" s="47"/>
      <c r="E56" s="28"/>
      <c r="F56" s="215"/>
      <c r="G56" s="215"/>
      <c r="H56" s="2"/>
      <c r="I56" s="35"/>
      <c r="K56" s="35"/>
      <c r="M56" s="35"/>
      <c r="N56" s="35"/>
      <c r="O56" s="35"/>
      <c r="P56" s="35"/>
    </row>
    <row r="57" spans="2:16">
      <c r="B57" s="28"/>
      <c r="C57" s="196"/>
      <c r="D57" s="47"/>
      <c r="E57" s="28"/>
      <c r="F57" s="215"/>
      <c r="G57" s="215"/>
      <c r="H57" s="2"/>
      <c r="I57" s="35"/>
      <c r="K57" s="35"/>
      <c r="M57" s="35"/>
      <c r="N57" s="35"/>
      <c r="O57" s="35"/>
      <c r="P57" s="35"/>
    </row>
    <row r="58" spans="2:16">
      <c r="B58" s="28"/>
      <c r="C58" s="196"/>
      <c r="D58" s="47"/>
      <c r="E58" s="28"/>
      <c r="F58" s="215"/>
      <c r="G58" s="215"/>
      <c r="H58" s="2"/>
      <c r="I58" s="35"/>
      <c r="K58" s="35"/>
      <c r="M58" s="35"/>
      <c r="N58" s="35"/>
      <c r="O58" s="35"/>
      <c r="P58" s="35"/>
    </row>
    <row r="59" spans="2:16">
      <c r="B59" s="28"/>
      <c r="C59" s="196"/>
      <c r="D59" s="47"/>
      <c r="E59" s="28"/>
      <c r="F59" s="215"/>
      <c r="G59" s="215"/>
      <c r="H59" s="2"/>
      <c r="I59" s="35"/>
      <c r="K59" s="35"/>
      <c r="M59" s="35"/>
      <c r="N59" s="35"/>
      <c r="O59" s="35"/>
      <c r="P59" s="35"/>
    </row>
    <row r="60" spans="2:16">
      <c r="B60" s="28"/>
      <c r="C60" s="196"/>
      <c r="D60" s="47"/>
      <c r="E60" s="28"/>
      <c r="F60" s="215"/>
      <c r="G60" s="215"/>
      <c r="H60" s="2"/>
      <c r="I60" s="35"/>
      <c r="K60" s="35"/>
      <c r="M60" s="35"/>
      <c r="N60" s="35"/>
      <c r="O60" s="35"/>
      <c r="P60" s="35"/>
    </row>
    <row r="61" spans="2:16">
      <c r="B61" s="28"/>
      <c r="C61" s="196"/>
      <c r="D61" s="47"/>
      <c r="E61" s="28"/>
      <c r="F61" s="215"/>
      <c r="G61" s="215"/>
      <c r="H61" s="2"/>
      <c r="I61" s="35"/>
      <c r="K61" s="35"/>
      <c r="M61" s="35"/>
      <c r="N61" s="35"/>
      <c r="O61" s="35"/>
      <c r="P61" s="35"/>
    </row>
    <row r="62" spans="2:16">
      <c r="B62" s="28"/>
      <c r="C62" s="196"/>
      <c r="D62" s="47"/>
      <c r="E62" s="28"/>
      <c r="F62" s="215"/>
      <c r="G62" s="215"/>
      <c r="H62" s="2"/>
      <c r="I62" s="35"/>
      <c r="K62" s="35"/>
      <c r="M62" s="35"/>
      <c r="N62" s="35"/>
      <c r="O62" s="35"/>
      <c r="P62" s="35"/>
    </row>
    <row r="63" spans="2:16">
      <c r="B63" s="28"/>
      <c r="C63" s="196"/>
      <c r="D63" s="47"/>
      <c r="E63" s="28"/>
      <c r="F63" s="215"/>
      <c r="G63" s="215"/>
      <c r="H63" s="2"/>
      <c r="I63" s="35"/>
      <c r="K63" s="35"/>
      <c r="M63" s="35"/>
      <c r="N63" s="35"/>
      <c r="O63" s="35"/>
      <c r="P63" s="35"/>
    </row>
    <row r="64" spans="2:16">
      <c r="B64" s="28"/>
      <c r="C64" s="196"/>
      <c r="D64" s="47"/>
      <c r="E64" s="28"/>
      <c r="F64" s="215"/>
      <c r="G64" s="215"/>
      <c r="H64" s="2"/>
      <c r="I64" s="35"/>
      <c r="K64" s="35"/>
      <c r="M64" s="35"/>
      <c r="N64" s="35"/>
      <c r="O64" s="35"/>
      <c r="P64" s="35"/>
    </row>
    <row r="65" spans="2:16">
      <c r="B65" s="28"/>
      <c r="C65" s="196"/>
      <c r="D65" s="47"/>
      <c r="E65" s="28"/>
      <c r="F65" s="215"/>
      <c r="G65" s="215"/>
      <c r="H65" s="2"/>
      <c r="I65" s="35"/>
      <c r="K65" s="35"/>
      <c r="M65" s="35"/>
      <c r="N65" s="35"/>
      <c r="O65" s="35"/>
      <c r="P65" s="35"/>
    </row>
    <row r="66" spans="2:16">
      <c r="B66" s="28"/>
      <c r="C66" s="196"/>
      <c r="D66" s="47"/>
      <c r="E66" s="28"/>
      <c r="F66" s="215"/>
      <c r="G66" s="215"/>
      <c r="H66" s="2"/>
      <c r="I66" s="35"/>
      <c r="K66" s="35"/>
      <c r="M66" s="35"/>
      <c r="N66" s="35"/>
      <c r="O66" s="35"/>
      <c r="P66" s="35"/>
    </row>
    <row r="67" spans="2:16">
      <c r="B67" s="28"/>
      <c r="C67" s="196"/>
      <c r="D67" s="47"/>
      <c r="E67" s="28"/>
      <c r="F67" s="215"/>
      <c r="G67" s="215"/>
      <c r="H67" s="2"/>
      <c r="I67" s="35"/>
      <c r="K67" s="35"/>
      <c r="M67" s="35"/>
      <c r="N67" s="35"/>
      <c r="O67" s="35"/>
      <c r="P67" s="35"/>
    </row>
    <row r="68" spans="2:16">
      <c r="B68" s="28"/>
      <c r="C68" s="196"/>
      <c r="D68" s="47"/>
      <c r="E68" s="28"/>
      <c r="F68" s="215"/>
      <c r="G68" s="215"/>
      <c r="H68" s="2"/>
      <c r="I68" s="35"/>
      <c r="K68" s="35"/>
      <c r="M68" s="35"/>
      <c r="N68" s="35"/>
      <c r="O68" s="35"/>
      <c r="P68" s="35"/>
    </row>
    <row r="69" spans="2:16">
      <c r="B69" s="28"/>
      <c r="C69" s="196"/>
      <c r="D69" s="47"/>
      <c r="E69" s="28"/>
      <c r="F69" s="215"/>
      <c r="G69" s="215"/>
      <c r="H69" s="2"/>
      <c r="I69" s="35"/>
      <c r="K69" s="35"/>
      <c r="M69" s="35"/>
      <c r="N69" s="35"/>
      <c r="O69" s="35"/>
      <c r="P69" s="35"/>
    </row>
    <row r="70" spans="2:16">
      <c r="B70" s="28"/>
      <c r="C70" s="196"/>
      <c r="D70" s="47"/>
      <c r="E70" s="28"/>
      <c r="F70" s="215"/>
      <c r="G70" s="215"/>
      <c r="H70" s="2"/>
      <c r="I70" s="35"/>
      <c r="K70" s="35"/>
      <c r="M70" s="35"/>
      <c r="N70" s="35"/>
      <c r="O70" s="35"/>
      <c r="P70" s="35"/>
    </row>
    <row r="71" spans="2:16">
      <c r="B71" s="28"/>
      <c r="C71" s="196"/>
      <c r="D71" s="47"/>
      <c r="E71" s="28"/>
      <c r="F71" s="215"/>
      <c r="G71" s="215"/>
      <c r="H71" s="2"/>
      <c r="I71" s="35"/>
      <c r="K71" s="35"/>
      <c r="M71" s="35"/>
      <c r="N71" s="35"/>
      <c r="O71" s="35"/>
      <c r="P71" s="35"/>
    </row>
    <row r="72" spans="2:16">
      <c r="B72" s="28"/>
      <c r="C72" s="196"/>
      <c r="D72" s="47"/>
      <c r="E72" s="28"/>
      <c r="F72" s="215"/>
      <c r="G72" s="215"/>
      <c r="H72" s="2"/>
      <c r="I72" s="35"/>
      <c r="K72" s="35"/>
      <c r="M72" s="35"/>
      <c r="N72" s="35"/>
      <c r="O72" s="35"/>
      <c r="P72" s="35"/>
    </row>
    <row r="73" spans="2:16">
      <c r="B73" s="28"/>
      <c r="C73" s="196"/>
      <c r="D73" s="47"/>
      <c r="E73" s="28"/>
      <c r="F73" s="215"/>
      <c r="G73" s="215"/>
      <c r="H73" s="2"/>
      <c r="I73" s="35"/>
      <c r="K73" s="35"/>
      <c r="M73" s="35"/>
      <c r="N73" s="35"/>
      <c r="O73" s="35"/>
      <c r="P73" s="35"/>
    </row>
    <row r="74" spans="2:16">
      <c r="B74" s="28"/>
      <c r="C74" s="196"/>
      <c r="D74" s="47"/>
      <c r="E74" s="28"/>
      <c r="F74" s="215"/>
      <c r="G74" s="215"/>
      <c r="H74" s="2"/>
      <c r="I74" s="35"/>
      <c r="K74" s="35"/>
      <c r="M74" s="35"/>
      <c r="N74" s="35"/>
      <c r="O74" s="35"/>
      <c r="P74" s="35"/>
    </row>
    <row r="75" spans="2:16">
      <c r="B75" s="28"/>
      <c r="C75" s="196"/>
      <c r="D75" s="47"/>
      <c r="E75" s="28"/>
      <c r="F75" s="215"/>
      <c r="G75" s="215"/>
      <c r="H75" s="2"/>
      <c r="I75" s="35"/>
      <c r="K75" s="35"/>
      <c r="M75" s="35"/>
      <c r="N75" s="35"/>
      <c r="O75" s="35"/>
      <c r="P75" s="35"/>
    </row>
    <row r="76" spans="2:16">
      <c r="B76" s="28"/>
      <c r="C76" s="196"/>
      <c r="D76" s="47"/>
      <c r="E76" s="28"/>
      <c r="F76" s="215"/>
      <c r="G76" s="215"/>
      <c r="H76" s="2"/>
      <c r="I76" s="35"/>
      <c r="K76" s="35"/>
      <c r="M76" s="35"/>
      <c r="N76" s="35"/>
      <c r="O76" s="35"/>
      <c r="P76" s="35"/>
    </row>
    <row r="77" spans="2:16">
      <c r="B77" s="28"/>
      <c r="C77" s="196"/>
      <c r="D77" s="47"/>
      <c r="E77" s="28"/>
      <c r="F77" s="215"/>
      <c r="G77" s="215"/>
      <c r="H77" s="2"/>
      <c r="I77" s="35"/>
      <c r="K77" s="35"/>
      <c r="M77" s="35"/>
      <c r="N77" s="35"/>
      <c r="O77" s="35"/>
      <c r="P77" s="35"/>
    </row>
    <row r="78" spans="2:16">
      <c r="B78" s="28"/>
      <c r="C78" s="196"/>
      <c r="D78" s="47"/>
      <c r="E78" s="28"/>
      <c r="F78" s="215"/>
      <c r="G78" s="215"/>
      <c r="H78" s="2"/>
      <c r="I78" s="35"/>
      <c r="K78" s="35"/>
      <c r="M78" s="35"/>
      <c r="N78" s="35"/>
      <c r="O78" s="35"/>
      <c r="P78" s="35"/>
    </row>
    <row r="79" spans="2:16">
      <c r="B79" s="28"/>
      <c r="C79" s="196"/>
      <c r="D79" s="47"/>
      <c r="E79" s="28"/>
      <c r="F79" s="215"/>
      <c r="G79" s="215"/>
      <c r="H79" s="2"/>
      <c r="I79" s="35"/>
      <c r="K79" s="35"/>
      <c r="M79" s="35"/>
      <c r="N79" s="35"/>
      <c r="O79" s="35"/>
      <c r="P79" s="35"/>
    </row>
    <row r="80" spans="2:16">
      <c r="B80" s="28"/>
      <c r="C80" s="196"/>
      <c r="D80" s="47"/>
      <c r="E80" s="28"/>
      <c r="F80" s="215"/>
      <c r="G80" s="215"/>
      <c r="H80" s="2"/>
      <c r="I80" s="35"/>
      <c r="K80" s="35"/>
      <c r="M80" s="35"/>
      <c r="N80" s="35"/>
      <c r="O80" s="35"/>
      <c r="P80" s="35"/>
    </row>
    <row r="81" spans="2:16">
      <c r="B81" s="28"/>
      <c r="C81" s="196"/>
      <c r="D81" s="47"/>
      <c r="E81" s="28"/>
      <c r="F81" s="215"/>
      <c r="G81" s="215"/>
      <c r="H81" s="2"/>
      <c r="I81" s="35"/>
      <c r="K81" s="35"/>
      <c r="M81" s="35"/>
      <c r="N81" s="35"/>
      <c r="O81" s="35"/>
      <c r="P81" s="35"/>
    </row>
    <row r="82" spans="2:16">
      <c r="B82" s="28"/>
      <c r="C82" s="196"/>
      <c r="D82" s="47"/>
      <c r="E82" s="28"/>
      <c r="F82" s="215"/>
      <c r="G82" s="215"/>
      <c r="H82" s="2"/>
      <c r="I82" s="35"/>
      <c r="K82" s="35"/>
      <c r="M82" s="35"/>
      <c r="N82" s="35"/>
      <c r="O82" s="35"/>
      <c r="P82" s="35"/>
    </row>
    <row r="83" spans="2:16">
      <c r="B83" s="28"/>
      <c r="C83" s="196"/>
      <c r="D83" s="47"/>
      <c r="E83" s="28"/>
      <c r="F83" s="215"/>
      <c r="G83" s="215"/>
      <c r="H83" s="2"/>
      <c r="I83" s="35"/>
      <c r="K83" s="35"/>
      <c r="M83" s="35"/>
      <c r="N83" s="35"/>
      <c r="O83" s="35"/>
      <c r="P83" s="35"/>
    </row>
    <row r="84" spans="2:16">
      <c r="B84" s="28"/>
      <c r="C84" s="196"/>
      <c r="D84" s="47"/>
      <c r="E84" s="28"/>
      <c r="F84" s="215"/>
      <c r="G84" s="215"/>
      <c r="H84" s="2"/>
      <c r="I84" s="35"/>
      <c r="K84" s="35"/>
      <c r="M84" s="35"/>
      <c r="N84" s="35"/>
      <c r="O84" s="35"/>
      <c r="P84" s="35"/>
    </row>
    <row r="85" spans="2:16">
      <c r="B85" s="28"/>
      <c r="C85" s="196"/>
      <c r="D85" s="47"/>
      <c r="E85" s="28"/>
      <c r="F85" s="215"/>
      <c r="G85" s="215"/>
      <c r="H85" s="2"/>
      <c r="I85" s="35"/>
      <c r="K85" s="35"/>
      <c r="M85" s="35"/>
      <c r="N85" s="35"/>
      <c r="O85" s="35"/>
      <c r="P85" s="35"/>
    </row>
    <row r="86" spans="2:16">
      <c r="B86" s="28"/>
      <c r="C86" s="196"/>
      <c r="D86" s="47"/>
      <c r="E86" s="28"/>
      <c r="F86" s="215"/>
      <c r="G86" s="215"/>
      <c r="H86" s="2"/>
      <c r="I86" s="35"/>
      <c r="K86" s="35"/>
      <c r="M86" s="35"/>
      <c r="N86" s="35"/>
      <c r="O86" s="35"/>
      <c r="P86" s="35"/>
    </row>
    <row r="87" spans="2:16">
      <c r="B87" s="28"/>
      <c r="C87" s="196"/>
      <c r="D87" s="47"/>
      <c r="E87" s="28"/>
      <c r="F87" s="215"/>
      <c r="G87" s="215"/>
      <c r="H87" s="2"/>
      <c r="I87" s="107"/>
      <c r="K87" s="35"/>
      <c r="M87" s="35"/>
      <c r="N87" s="35"/>
      <c r="O87" s="35"/>
      <c r="P87" s="35"/>
    </row>
    <row r="88" spans="2:16">
      <c r="B88" s="28"/>
      <c r="C88" s="196"/>
      <c r="D88" s="47"/>
      <c r="E88" s="28"/>
      <c r="F88" s="215"/>
      <c r="G88" s="215"/>
      <c r="H88" s="2"/>
      <c r="I88" s="19"/>
      <c r="K88" s="35"/>
      <c r="M88" s="35"/>
      <c r="N88" s="35"/>
      <c r="O88" s="35"/>
      <c r="P88" s="35"/>
    </row>
    <row r="89" spans="2:16">
      <c r="B89" s="28"/>
      <c r="C89" s="196"/>
      <c r="D89" s="47"/>
      <c r="E89" s="28"/>
      <c r="F89" s="215"/>
      <c r="G89" s="215"/>
      <c r="H89" s="2"/>
      <c r="I89" s="19"/>
      <c r="K89" s="35"/>
      <c r="M89" s="35"/>
      <c r="N89" s="35"/>
      <c r="O89" s="35"/>
      <c r="P89" s="35"/>
    </row>
    <row r="90" spans="2:16">
      <c r="B90" s="28"/>
      <c r="C90" s="196"/>
      <c r="D90" s="47"/>
      <c r="E90" s="28"/>
      <c r="F90" s="215"/>
      <c r="G90" s="215"/>
      <c r="H90" s="2"/>
      <c r="I90" s="19"/>
      <c r="K90" s="35"/>
      <c r="M90" s="35"/>
      <c r="N90" s="35"/>
      <c r="O90" s="35"/>
      <c r="P90" s="35"/>
    </row>
    <row r="91" spans="2:16">
      <c r="B91" s="28"/>
      <c r="C91" s="196"/>
      <c r="D91" s="47"/>
      <c r="E91" s="28"/>
      <c r="F91" s="215"/>
      <c r="G91" s="215"/>
      <c r="H91" s="2"/>
      <c r="I91" s="19"/>
      <c r="K91" s="35"/>
      <c r="M91" s="35"/>
      <c r="N91" s="35"/>
      <c r="O91" s="35"/>
      <c r="P91" s="35"/>
    </row>
    <row r="92" spans="2:16">
      <c r="B92" s="28"/>
      <c r="C92" s="196"/>
      <c r="D92" s="47"/>
      <c r="E92" s="28"/>
      <c r="F92" s="215"/>
      <c r="G92" s="215"/>
      <c r="H92" s="2"/>
      <c r="I92" s="19"/>
      <c r="K92" s="35"/>
      <c r="M92" s="35"/>
      <c r="N92" s="35"/>
      <c r="O92" s="35"/>
      <c r="P92" s="35"/>
    </row>
    <row r="93" spans="2:16">
      <c r="B93" s="28"/>
      <c r="C93" s="196"/>
      <c r="D93" s="47"/>
      <c r="E93" s="28"/>
      <c r="F93" s="215"/>
      <c r="G93" s="215"/>
      <c r="H93" s="2"/>
      <c r="I93" s="19"/>
      <c r="K93" s="35"/>
      <c r="M93" s="35"/>
      <c r="N93" s="35"/>
      <c r="O93" s="35"/>
      <c r="P93" s="35"/>
    </row>
    <row r="94" spans="2:16">
      <c r="B94" s="28"/>
      <c r="C94" s="196"/>
      <c r="D94" s="47"/>
      <c r="E94" s="28"/>
      <c r="F94" s="215"/>
      <c r="G94" s="215"/>
      <c r="H94" s="2"/>
      <c r="I94" s="19"/>
      <c r="K94" s="35"/>
      <c r="M94" s="35"/>
      <c r="N94" s="35"/>
      <c r="O94" s="35"/>
      <c r="P94" s="35"/>
    </row>
    <row r="95" spans="2:16">
      <c r="B95" s="28"/>
      <c r="C95" s="196"/>
      <c r="D95" s="47"/>
      <c r="E95" s="28"/>
      <c r="F95" s="215"/>
      <c r="G95" s="215"/>
      <c r="H95" s="2"/>
      <c r="I95" s="19"/>
      <c r="K95" s="35"/>
      <c r="M95" s="35"/>
      <c r="N95" s="35"/>
      <c r="O95" s="35"/>
      <c r="P95" s="35"/>
    </row>
    <row r="96" spans="2:16">
      <c r="B96" s="28"/>
      <c r="C96" s="196"/>
      <c r="D96" s="47"/>
      <c r="E96" s="28"/>
      <c r="F96" s="215"/>
      <c r="G96" s="215"/>
      <c r="H96" s="2"/>
      <c r="I96" s="19"/>
      <c r="K96" s="35"/>
      <c r="M96" s="35"/>
      <c r="N96" s="35"/>
      <c r="O96" s="35"/>
      <c r="P96" s="35"/>
    </row>
    <row r="97" spans="2:16">
      <c r="B97" s="28"/>
      <c r="C97" s="196"/>
      <c r="D97" s="47"/>
      <c r="E97" s="28"/>
      <c r="F97" s="215"/>
      <c r="G97" s="215"/>
      <c r="H97" s="2"/>
      <c r="I97" s="19"/>
      <c r="K97" s="35"/>
      <c r="M97" s="35"/>
      <c r="N97" s="35"/>
      <c r="O97" s="35"/>
      <c r="P97" s="35"/>
    </row>
    <row r="98" spans="2:16">
      <c r="B98" s="28"/>
      <c r="C98" s="196"/>
      <c r="D98" s="47"/>
      <c r="E98" s="28"/>
      <c r="F98" s="215"/>
      <c r="G98" s="215"/>
      <c r="H98" s="2"/>
      <c r="I98" s="19"/>
      <c r="K98" s="35"/>
      <c r="M98" s="35"/>
      <c r="N98" s="35"/>
      <c r="O98" s="35"/>
      <c r="P98" s="35"/>
    </row>
    <row r="99" spans="2:16">
      <c r="B99" s="28"/>
      <c r="C99" s="196"/>
      <c r="D99" s="47"/>
      <c r="E99" s="28"/>
      <c r="F99" s="215"/>
      <c r="G99" s="215"/>
      <c r="H99" s="2"/>
      <c r="I99" s="19"/>
      <c r="K99" s="35"/>
      <c r="M99" s="35"/>
      <c r="N99" s="35"/>
      <c r="O99" s="35"/>
      <c r="P99" s="35"/>
    </row>
    <row r="100" spans="2:16">
      <c r="B100" s="28"/>
      <c r="C100" s="196"/>
      <c r="D100" s="47"/>
      <c r="E100" s="28"/>
      <c r="F100" s="215"/>
      <c r="G100" s="215"/>
      <c r="H100" s="2"/>
      <c r="I100" s="19"/>
      <c r="K100" s="35"/>
      <c r="M100" s="35"/>
      <c r="N100" s="35"/>
      <c r="O100" s="35"/>
      <c r="P100" s="35"/>
    </row>
    <row r="101" spans="2:16">
      <c r="B101" s="28"/>
      <c r="C101" s="196"/>
      <c r="D101" s="47"/>
      <c r="E101" s="28"/>
      <c r="F101" s="215"/>
      <c r="G101" s="215"/>
      <c r="H101" s="2"/>
      <c r="I101" s="19"/>
      <c r="K101" s="35"/>
      <c r="M101" s="35"/>
      <c r="N101" s="35"/>
      <c r="O101" s="35"/>
      <c r="P101" s="35"/>
    </row>
    <row r="102" spans="2:16">
      <c r="B102" s="28"/>
      <c r="C102" s="196"/>
      <c r="D102" s="47"/>
      <c r="E102" s="28"/>
      <c r="F102" s="215"/>
      <c r="G102" s="215"/>
      <c r="H102" s="2"/>
      <c r="I102" s="19"/>
      <c r="K102" s="35"/>
      <c r="M102" s="35"/>
      <c r="N102" s="35"/>
      <c r="O102" s="35"/>
      <c r="P102" s="35"/>
    </row>
    <row r="103" spans="2:16">
      <c r="B103" s="28"/>
      <c r="C103" s="196"/>
      <c r="D103" s="47"/>
      <c r="E103" s="28"/>
      <c r="F103" s="215"/>
      <c r="G103" s="215"/>
      <c r="H103" s="2"/>
      <c r="I103" s="19"/>
      <c r="K103" s="35"/>
      <c r="M103" s="35"/>
      <c r="N103" s="35"/>
      <c r="O103" s="35"/>
      <c r="P103" s="35"/>
    </row>
    <row r="104" spans="2:16">
      <c r="B104" s="28"/>
      <c r="C104" s="196"/>
      <c r="D104" s="47"/>
      <c r="E104" s="28"/>
      <c r="F104" s="215"/>
      <c r="G104" s="215"/>
      <c r="H104" s="2"/>
      <c r="I104" s="19"/>
      <c r="K104" s="35"/>
      <c r="M104" s="35"/>
      <c r="N104" s="35"/>
      <c r="O104" s="35"/>
      <c r="P104" s="35"/>
    </row>
    <row r="105" spans="2:16">
      <c r="B105" s="28"/>
      <c r="C105" s="196"/>
      <c r="D105" s="47"/>
      <c r="E105" s="28"/>
      <c r="F105" s="215"/>
      <c r="G105" s="215"/>
      <c r="H105" s="2"/>
      <c r="I105" s="19"/>
      <c r="K105" s="35"/>
      <c r="M105" s="35"/>
      <c r="N105" s="35"/>
      <c r="O105" s="35"/>
      <c r="P105" s="35"/>
    </row>
    <row r="106" spans="2:16">
      <c r="B106" s="28"/>
      <c r="C106" s="196"/>
      <c r="D106" s="47"/>
      <c r="E106" s="28"/>
      <c r="F106" s="215"/>
      <c r="G106" s="215"/>
      <c r="H106" s="2"/>
      <c r="I106" s="19"/>
      <c r="K106" s="35"/>
      <c r="M106" s="35"/>
      <c r="N106" s="35"/>
      <c r="O106" s="35"/>
      <c r="P106" s="35"/>
    </row>
    <row r="107" spans="2:16">
      <c r="B107" s="28"/>
      <c r="C107" s="196"/>
      <c r="D107" s="47"/>
      <c r="E107" s="28"/>
      <c r="F107" s="215"/>
      <c r="G107" s="215"/>
      <c r="H107" s="2"/>
      <c r="I107" s="19"/>
      <c r="K107" s="35"/>
      <c r="M107" s="35"/>
      <c r="N107" s="35"/>
      <c r="O107" s="35"/>
      <c r="P107" s="35"/>
    </row>
    <row r="108" spans="2:16">
      <c r="B108" s="28"/>
      <c r="C108" s="196"/>
      <c r="D108" s="47"/>
      <c r="E108" s="28"/>
      <c r="F108" s="215"/>
      <c r="G108" s="215"/>
      <c r="H108" s="2"/>
      <c r="I108" s="19"/>
      <c r="K108" s="35"/>
      <c r="M108" s="35"/>
      <c r="N108" s="35"/>
      <c r="O108" s="35"/>
      <c r="P108" s="35"/>
    </row>
    <row r="109" spans="2:16">
      <c r="B109" s="28"/>
      <c r="C109" s="196"/>
      <c r="D109" s="47"/>
      <c r="E109" s="28"/>
      <c r="F109" s="215"/>
      <c r="G109" s="215"/>
      <c r="H109" s="2"/>
      <c r="I109" s="19"/>
      <c r="K109" s="35"/>
      <c r="M109" s="35"/>
      <c r="N109" s="35"/>
      <c r="O109" s="35"/>
      <c r="P109" s="35"/>
    </row>
    <row r="110" spans="2:16">
      <c r="B110" s="28"/>
      <c r="C110" s="196"/>
      <c r="D110" s="47"/>
      <c r="E110" s="28"/>
      <c r="F110" s="215"/>
      <c r="G110" s="215"/>
      <c r="H110" s="2"/>
      <c r="I110" s="19"/>
      <c r="K110" s="35"/>
      <c r="M110" s="35"/>
      <c r="N110" s="35"/>
      <c r="O110" s="35"/>
      <c r="P110" s="35"/>
    </row>
    <row r="111" spans="2:16">
      <c r="B111" s="28"/>
      <c r="C111" s="196"/>
      <c r="D111" s="47"/>
      <c r="E111" s="28"/>
      <c r="F111" s="215"/>
      <c r="G111" s="215"/>
      <c r="H111" s="2"/>
      <c r="I111" s="19"/>
      <c r="K111" s="35"/>
      <c r="M111" s="35"/>
      <c r="N111" s="35"/>
      <c r="O111" s="35"/>
      <c r="P111" s="35"/>
    </row>
    <row r="112" spans="2:16">
      <c r="B112" s="28"/>
      <c r="C112" s="196"/>
      <c r="D112" s="47"/>
      <c r="E112" s="28"/>
      <c r="F112" s="215"/>
      <c r="G112" s="215"/>
      <c r="H112" s="2"/>
      <c r="I112" s="19"/>
      <c r="K112" s="35"/>
      <c r="M112" s="35"/>
      <c r="N112" s="35"/>
      <c r="O112" s="35"/>
      <c r="P112" s="35"/>
    </row>
    <row r="113" spans="2:16">
      <c r="B113" s="28"/>
      <c r="C113" s="196"/>
      <c r="D113" s="47"/>
      <c r="E113" s="28"/>
      <c r="F113" s="215"/>
      <c r="G113" s="215"/>
      <c r="H113" s="2"/>
      <c r="I113" s="19"/>
      <c r="K113" s="35"/>
      <c r="M113" s="35"/>
      <c r="N113" s="35"/>
      <c r="O113" s="35"/>
      <c r="P113" s="35"/>
    </row>
    <row r="114" spans="2:16">
      <c r="B114" s="28"/>
      <c r="C114" s="196"/>
      <c r="D114" s="47"/>
      <c r="E114" s="28"/>
      <c r="F114" s="215"/>
      <c r="G114" s="215"/>
      <c r="H114" s="2"/>
      <c r="I114" s="19"/>
      <c r="K114" s="35"/>
      <c r="M114" s="35"/>
      <c r="N114" s="35"/>
      <c r="O114" s="35"/>
      <c r="P114" s="35"/>
    </row>
    <row r="115" spans="2:16">
      <c r="B115" s="28"/>
      <c r="C115" s="196"/>
      <c r="D115" s="47"/>
      <c r="E115" s="28"/>
      <c r="F115" s="215"/>
      <c r="G115" s="215"/>
      <c r="H115" s="2"/>
      <c r="I115" s="19"/>
      <c r="K115" s="35"/>
      <c r="M115" s="35"/>
      <c r="N115" s="35"/>
      <c r="O115" s="35"/>
      <c r="P115" s="35"/>
    </row>
    <row r="116" spans="2:16">
      <c r="B116" s="28"/>
      <c r="C116" s="196"/>
      <c r="D116" s="47"/>
      <c r="E116" s="28"/>
      <c r="F116" s="215"/>
      <c r="G116" s="215"/>
      <c r="H116" s="2"/>
      <c r="I116" s="19"/>
      <c r="K116" s="35"/>
      <c r="M116" s="35"/>
      <c r="N116" s="35"/>
      <c r="O116" s="35"/>
      <c r="P116" s="35"/>
    </row>
    <row r="117" spans="2:16">
      <c r="B117" s="28"/>
      <c r="C117" s="196"/>
      <c r="D117" s="47"/>
      <c r="E117" s="28"/>
      <c r="F117" s="215"/>
      <c r="G117" s="215"/>
      <c r="H117" s="2"/>
      <c r="I117" s="19"/>
      <c r="K117" s="35"/>
      <c r="M117" s="35"/>
      <c r="N117" s="35"/>
      <c r="O117" s="35"/>
      <c r="P117" s="35"/>
    </row>
    <row r="118" spans="2:16">
      <c r="B118" s="28"/>
      <c r="C118" s="196"/>
      <c r="D118" s="47"/>
      <c r="E118" s="28"/>
      <c r="F118" s="215"/>
      <c r="G118" s="215"/>
      <c r="H118" s="2"/>
      <c r="I118" s="19"/>
      <c r="K118" s="35"/>
      <c r="M118" s="35"/>
      <c r="N118" s="35"/>
      <c r="O118" s="35"/>
      <c r="P118" s="35"/>
    </row>
    <row r="119" spans="2:16">
      <c r="B119" s="28"/>
      <c r="C119" s="196"/>
      <c r="D119" s="47"/>
      <c r="E119" s="28"/>
      <c r="F119" s="215"/>
      <c r="G119" s="215"/>
      <c r="H119" s="2"/>
      <c r="I119" s="19"/>
      <c r="K119" s="35"/>
      <c r="M119" s="35"/>
      <c r="N119" s="35"/>
      <c r="O119" s="35"/>
      <c r="P119" s="35"/>
    </row>
    <row r="120" spans="2:16">
      <c r="B120" s="28"/>
      <c r="C120" s="196"/>
      <c r="D120" s="47"/>
      <c r="E120" s="28"/>
      <c r="F120" s="215"/>
      <c r="G120" s="215"/>
      <c r="H120" s="2"/>
      <c r="I120" s="19"/>
      <c r="K120" s="35"/>
      <c r="M120" s="35"/>
      <c r="N120" s="35"/>
      <c r="O120" s="35"/>
      <c r="P120" s="35"/>
    </row>
    <row r="121" spans="2:16">
      <c r="B121" s="28"/>
      <c r="C121" s="196"/>
      <c r="D121" s="47"/>
      <c r="E121" s="28"/>
      <c r="F121" s="215"/>
      <c r="G121" s="215"/>
      <c r="H121" s="2"/>
      <c r="I121" s="19"/>
      <c r="K121" s="35"/>
      <c r="M121" s="35"/>
      <c r="N121" s="35"/>
      <c r="O121" s="35"/>
      <c r="P121" s="35"/>
    </row>
    <row r="122" spans="2:16">
      <c r="B122" s="28"/>
      <c r="C122" s="196"/>
      <c r="D122" s="47"/>
      <c r="E122" s="28"/>
      <c r="F122" s="215"/>
      <c r="G122" s="215"/>
      <c r="H122" s="2"/>
      <c r="I122" s="19"/>
      <c r="K122" s="35"/>
      <c r="M122" s="35"/>
      <c r="N122" s="35"/>
      <c r="O122" s="35"/>
      <c r="P122" s="35"/>
    </row>
    <row r="123" spans="2:16">
      <c r="B123" s="28"/>
      <c r="C123" s="196"/>
      <c r="D123" s="47"/>
      <c r="E123" s="28"/>
      <c r="F123" s="215"/>
      <c r="G123" s="215"/>
      <c r="H123" s="2"/>
      <c r="I123" s="19"/>
      <c r="K123" s="35"/>
      <c r="M123" s="35"/>
      <c r="N123" s="35"/>
      <c r="O123" s="35"/>
      <c r="P123" s="35"/>
    </row>
    <row r="124" spans="2:16">
      <c r="B124" s="28"/>
      <c r="C124" s="196"/>
      <c r="D124" s="47"/>
      <c r="E124" s="28"/>
      <c r="F124" s="215"/>
      <c r="G124" s="215"/>
      <c r="H124" s="2"/>
      <c r="I124" s="19"/>
      <c r="K124" s="35"/>
      <c r="M124" s="35"/>
      <c r="N124" s="35"/>
      <c r="O124" s="35"/>
      <c r="P124" s="35"/>
    </row>
    <row r="125" spans="2:16">
      <c r="B125" s="28"/>
      <c r="C125" s="196"/>
      <c r="D125" s="47"/>
      <c r="E125" s="28"/>
      <c r="F125" s="215"/>
      <c r="G125" s="215"/>
      <c r="H125" s="2"/>
      <c r="I125" s="19"/>
      <c r="K125" s="35"/>
      <c r="M125" s="35"/>
      <c r="N125" s="35"/>
      <c r="O125" s="35"/>
      <c r="P125" s="35"/>
    </row>
    <row r="126" spans="2:16">
      <c r="B126" s="28"/>
      <c r="C126" s="196"/>
      <c r="D126" s="47"/>
      <c r="E126" s="28"/>
      <c r="F126" s="215"/>
      <c r="G126" s="215"/>
      <c r="H126" s="2"/>
      <c r="I126" s="19"/>
      <c r="K126" s="35"/>
      <c r="M126" s="35"/>
      <c r="N126" s="35"/>
      <c r="O126" s="35"/>
      <c r="P126" s="35"/>
    </row>
    <row r="127" spans="2:16">
      <c r="B127" s="28"/>
      <c r="C127" s="196"/>
      <c r="D127" s="47"/>
      <c r="E127" s="28"/>
      <c r="F127" s="215"/>
      <c r="G127" s="215"/>
      <c r="H127" s="2"/>
      <c r="I127" s="19"/>
      <c r="K127" s="35"/>
      <c r="M127" s="35"/>
      <c r="N127" s="35"/>
      <c r="O127" s="35"/>
      <c r="P127" s="35"/>
    </row>
    <row r="128" spans="2:16">
      <c r="B128" s="28"/>
      <c r="C128" s="196"/>
      <c r="D128" s="47"/>
      <c r="E128" s="28"/>
      <c r="F128" s="215"/>
      <c r="G128" s="215"/>
      <c r="H128" s="2"/>
      <c r="I128" s="19"/>
      <c r="K128" s="35"/>
      <c r="M128" s="35"/>
      <c r="N128" s="35"/>
      <c r="O128" s="35"/>
      <c r="P128" s="35"/>
    </row>
    <row r="129" spans="2:16">
      <c r="B129" s="28"/>
      <c r="C129" s="196"/>
      <c r="D129" s="47"/>
      <c r="E129" s="28"/>
      <c r="F129" s="215"/>
      <c r="G129" s="215"/>
      <c r="H129" s="2"/>
      <c r="I129" s="19"/>
      <c r="K129" s="35"/>
      <c r="M129" s="35"/>
      <c r="N129" s="35"/>
      <c r="O129" s="35"/>
      <c r="P129" s="35"/>
    </row>
    <row r="130" spans="2:16">
      <c r="B130" s="28"/>
      <c r="C130" s="196"/>
      <c r="D130" s="47"/>
      <c r="E130" s="28"/>
      <c r="F130" s="215"/>
      <c r="G130" s="215"/>
      <c r="H130" s="2"/>
      <c r="I130" s="19"/>
      <c r="K130" s="35"/>
      <c r="M130" s="35"/>
      <c r="N130" s="35"/>
      <c r="O130" s="35"/>
      <c r="P130" s="35"/>
    </row>
    <row r="131" spans="2:16">
      <c r="B131" s="28"/>
      <c r="C131" s="196"/>
      <c r="D131" s="47"/>
      <c r="E131" s="28"/>
      <c r="F131" s="215"/>
      <c r="G131" s="215"/>
      <c r="H131" s="2"/>
      <c r="I131" s="19"/>
      <c r="K131" s="35"/>
      <c r="M131" s="35"/>
      <c r="N131" s="35"/>
      <c r="O131" s="35"/>
      <c r="P131" s="35"/>
    </row>
    <row r="132" spans="2:16">
      <c r="B132" s="28"/>
      <c r="C132" s="196"/>
      <c r="D132" s="47"/>
      <c r="E132" s="28"/>
      <c r="F132" s="215"/>
      <c r="G132" s="215"/>
      <c r="H132" s="2"/>
      <c r="I132" s="19"/>
      <c r="K132" s="35"/>
      <c r="M132" s="35"/>
      <c r="N132" s="35"/>
      <c r="O132" s="35"/>
      <c r="P132" s="35"/>
    </row>
    <row r="133" spans="2:16">
      <c r="B133" s="28"/>
      <c r="C133" s="196"/>
      <c r="D133" s="47"/>
      <c r="E133" s="28"/>
      <c r="F133" s="215"/>
      <c r="G133" s="215"/>
      <c r="H133" s="2"/>
      <c r="I133" s="19"/>
      <c r="K133" s="35"/>
      <c r="M133" s="35"/>
      <c r="N133" s="35"/>
      <c r="O133" s="35"/>
      <c r="P133" s="35"/>
    </row>
    <row r="134" spans="2:16">
      <c r="B134" s="28"/>
      <c r="C134" s="196"/>
      <c r="D134" s="47"/>
      <c r="E134" s="28"/>
      <c r="F134" s="215"/>
      <c r="G134" s="215"/>
      <c r="H134" s="2"/>
      <c r="I134" s="19"/>
      <c r="K134" s="35"/>
      <c r="M134" s="35"/>
      <c r="N134" s="35"/>
      <c r="O134" s="35"/>
      <c r="P134" s="35"/>
    </row>
    <row r="135" spans="2:16">
      <c r="B135" s="28"/>
      <c r="C135" s="196"/>
      <c r="D135" s="47"/>
      <c r="E135" s="28"/>
      <c r="F135" s="215"/>
      <c r="G135" s="215"/>
      <c r="H135" s="2"/>
      <c r="I135" s="19"/>
      <c r="K135" s="35"/>
      <c r="M135" s="35"/>
      <c r="N135" s="35"/>
      <c r="O135" s="35"/>
      <c r="P135" s="35"/>
    </row>
    <row r="136" spans="2:16">
      <c r="B136" s="28"/>
      <c r="C136" s="196"/>
      <c r="D136" s="47"/>
      <c r="E136" s="28"/>
      <c r="F136" s="215"/>
      <c r="G136" s="215"/>
      <c r="H136" s="2"/>
      <c r="I136" s="19"/>
      <c r="K136" s="35"/>
      <c r="M136" s="35"/>
      <c r="N136" s="35"/>
      <c r="O136" s="35"/>
      <c r="P136" s="35"/>
    </row>
    <row r="137" spans="2:16">
      <c r="B137" s="28"/>
      <c r="C137" s="196"/>
      <c r="D137" s="47"/>
      <c r="E137" s="28"/>
      <c r="F137" s="215"/>
      <c r="G137" s="215"/>
      <c r="H137" s="2"/>
      <c r="I137" s="19"/>
      <c r="K137" s="35"/>
      <c r="M137" s="35"/>
      <c r="N137" s="35"/>
      <c r="O137" s="35"/>
      <c r="P137" s="35"/>
    </row>
    <row r="138" spans="2:16">
      <c r="B138" s="28"/>
      <c r="C138" s="196"/>
      <c r="D138" s="47"/>
      <c r="E138" s="28"/>
      <c r="F138" s="215"/>
      <c r="G138" s="215"/>
      <c r="H138" s="2"/>
      <c r="I138" s="19"/>
      <c r="K138" s="35"/>
      <c r="M138" s="35"/>
      <c r="N138" s="35"/>
      <c r="O138" s="35"/>
      <c r="P138" s="35"/>
    </row>
    <row r="139" spans="2:16">
      <c r="B139" s="28"/>
      <c r="C139" s="196"/>
      <c r="D139" s="47"/>
      <c r="E139" s="28"/>
      <c r="F139" s="215"/>
      <c r="G139" s="215"/>
      <c r="H139" s="2"/>
      <c r="I139" s="19"/>
      <c r="K139" s="35"/>
      <c r="M139" s="35"/>
      <c r="N139" s="35"/>
      <c r="O139" s="35"/>
      <c r="P139" s="35"/>
    </row>
    <row r="140" spans="2:16">
      <c r="B140" s="28"/>
      <c r="C140" s="196"/>
      <c r="D140" s="47"/>
      <c r="E140" s="28"/>
      <c r="F140" s="215"/>
      <c r="G140" s="215"/>
      <c r="H140" s="2"/>
      <c r="I140" s="19"/>
      <c r="K140" s="35"/>
      <c r="M140" s="35"/>
      <c r="N140" s="35"/>
      <c r="O140" s="35"/>
      <c r="P140" s="35"/>
    </row>
    <row r="141" spans="2:16">
      <c r="B141" s="28"/>
      <c r="C141" s="196"/>
      <c r="D141" s="47"/>
      <c r="E141" s="28"/>
      <c r="F141" s="215"/>
      <c r="G141" s="215"/>
      <c r="H141" s="2"/>
      <c r="I141" s="19"/>
      <c r="K141" s="35"/>
      <c r="M141" s="35"/>
      <c r="N141" s="35"/>
      <c r="O141" s="35"/>
      <c r="P141" s="35"/>
    </row>
    <row r="142" spans="2:16">
      <c r="B142" s="28"/>
      <c r="C142" s="196"/>
      <c r="D142" s="47"/>
      <c r="E142" s="28"/>
      <c r="F142" s="215"/>
      <c r="G142" s="215"/>
      <c r="H142" s="2"/>
      <c r="I142" s="19"/>
      <c r="K142" s="35"/>
      <c r="M142" s="35"/>
      <c r="N142" s="35"/>
      <c r="O142" s="35"/>
      <c r="P142" s="35"/>
    </row>
    <row r="143" spans="2:16">
      <c r="B143" s="28"/>
      <c r="C143" s="196"/>
      <c r="D143" s="47"/>
      <c r="E143" s="28"/>
      <c r="F143" s="215"/>
      <c r="G143" s="215"/>
      <c r="H143" s="2"/>
      <c r="I143" s="19"/>
      <c r="K143" s="35"/>
      <c r="M143" s="35"/>
      <c r="N143" s="35"/>
      <c r="O143" s="35"/>
      <c r="P143" s="35"/>
    </row>
    <row r="144" spans="2:16">
      <c r="B144" s="28"/>
      <c r="C144" s="196"/>
      <c r="D144" s="47"/>
      <c r="E144" s="28"/>
      <c r="F144" s="215"/>
      <c r="G144" s="215"/>
      <c r="H144" s="2"/>
      <c r="I144" s="19"/>
      <c r="K144" s="35"/>
      <c r="M144" s="35"/>
      <c r="N144" s="35"/>
      <c r="O144" s="35"/>
      <c r="P144" s="35"/>
    </row>
    <row r="145" spans="2:16">
      <c r="B145" s="28"/>
      <c r="C145" s="196"/>
      <c r="D145" s="47"/>
      <c r="E145" s="28"/>
      <c r="F145" s="215"/>
      <c r="G145" s="215"/>
      <c r="H145" s="2"/>
      <c r="I145" s="19"/>
      <c r="K145" s="35"/>
      <c r="M145" s="35"/>
      <c r="N145" s="35"/>
      <c r="O145" s="35"/>
      <c r="P145" s="35"/>
    </row>
    <row r="146" spans="2:16">
      <c r="B146" s="28"/>
      <c r="C146" s="196"/>
      <c r="D146" s="47"/>
      <c r="E146" s="28"/>
      <c r="F146" s="215"/>
      <c r="G146" s="215"/>
      <c r="H146" s="2"/>
      <c r="I146" s="19"/>
      <c r="K146" s="35"/>
      <c r="M146" s="35"/>
      <c r="N146" s="35"/>
      <c r="O146" s="35"/>
      <c r="P146" s="35"/>
    </row>
    <row r="147" spans="2:16">
      <c r="B147" s="28"/>
      <c r="C147" s="196"/>
      <c r="D147" s="47"/>
      <c r="E147" s="28"/>
      <c r="F147" s="215"/>
      <c r="G147" s="215"/>
      <c r="H147" s="2"/>
      <c r="I147" s="19"/>
      <c r="K147" s="35"/>
      <c r="M147" s="35"/>
      <c r="N147" s="35"/>
      <c r="O147" s="35"/>
      <c r="P147" s="35"/>
    </row>
    <row r="148" spans="2:16">
      <c r="B148" s="28"/>
      <c r="C148" s="196"/>
      <c r="D148" s="47"/>
      <c r="E148" s="28"/>
      <c r="F148" s="215"/>
      <c r="G148" s="215"/>
      <c r="H148" s="2"/>
      <c r="I148" s="19"/>
      <c r="K148" s="35"/>
      <c r="M148" s="35"/>
      <c r="N148" s="35"/>
      <c r="O148" s="35"/>
      <c r="P148" s="35"/>
    </row>
    <row r="149" spans="2:16">
      <c r="B149" s="28"/>
      <c r="C149" s="196"/>
      <c r="D149" s="47"/>
      <c r="E149" s="28"/>
      <c r="F149" s="215"/>
      <c r="G149" s="215"/>
      <c r="H149" s="2"/>
      <c r="I149" s="19"/>
      <c r="K149" s="35"/>
      <c r="M149" s="35"/>
      <c r="N149" s="35"/>
      <c r="O149" s="35"/>
      <c r="P149" s="35"/>
    </row>
    <row r="150" spans="2:16">
      <c r="B150" s="28"/>
      <c r="C150" s="196"/>
      <c r="D150" s="47"/>
      <c r="E150" s="28"/>
      <c r="F150" s="215"/>
      <c r="G150" s="215"/>
      <c r="H150" s="2"/>
      <c r="I150" s="19"/>
      <c r="K150" s="35"/>
      <c r="M150" s="35"/>
      <c r="N150" s="35"/>
      <c r="O150" s="35"/>
      <c r="P150" s="35"/>
    </row>
    <row r="151" spans="2:16">
      <c r="B151" s="28"/>
      <c r="C151" s="196"/>
      <c r="D151" s="47"/>
      <c r="E151" s="28"/>
      <c r="F151" s="215"/>
      <c r="G151" s="215"/>
      <c r="H151" s="2"/>
      <c r="I151" s="19"/>
      <c r="K151" s="35"/>
      <c r="M151" s="35"/>
      <c r="N151" s="35"/>
      <c r="O151" s="35"/>
      <c r="P151" s="35"/>
    </row>
    <row r="152" spans="2:16">
      <c r="B152" s="28"/>
      <c r="C152" s="196"/>
      <c r="D152" s="47"/>
      <c r="E152" s="28"/>
      <c r="F152" s="215"/>
      <c r="G152" s="215"/>
      <c r="H152" s="2"/>
      <c r="I152" s="19"/>
      <c r="K152" s="35"/>
      <c r="M152" s="35"/>
      <c r="N152" s="35"/>
      <c r="O152" s="35"/>
      <c r="P152" s="35"/>
    </row>
    <row r="153" spans="2:16">
      <c r="B153" s="28"/>
      <c r="C153" s="196"/>
      <c r="D153" s="47"/>
      <c r="E153" s="28"/>
      <c r="F153" s="215"/>
      <c r="G153" s="215"/>
      <c r="H153" s="2"/>
      <c r="I153" s="19"/>
      <c r="K153" s="35"/>
      <c r="M153" s="35"/>
      <c r="N153" s="35"/>
      <c r="O153" s="35"/>
      <c r="P153" s="35"/>
    </row>
    <row r="154" spans="2:16">
      <c r="B154" s="28"/>
      <c r="C154" s="196"/>
      <c r="D154" s="47"/>
      <c r="E154" s="28"/>
      <c r="F154" s="215"/>
      <c r="G154" s="215"/>
      <c r="H154" s="2"/>
      <c r="I154" s="19"/>
      <c r="K154" s="35"/>
      <c r="M154" s="35"/>
      <c r="N154" s="35"/>
      <c r="O154" s="35"/>
      <c r="P154" s="35"/>
    </row>
    <row r="155" spans="2:16">
      <c r="B155" s="28"/>
      <c r="C155" s="196"/>
      <c r="D155" s="47"/>
      <c r="E155" s="28"/>
      <c r="F155" s="215"/>
      <c r="G155" s="215"/>
      <c r="H155" s="2"/>
      <c r="I155" s="19"/>
      <c r="K155" s="35"/>
      <c r="M155" s="35"/>
      <c r="N155" s="35"/>
      <c r="O155" s="35"/>
      <c r="P155" s="35"/>
    </row>
    <row r="156" spans="2:16">
      <c r="B156" s="28"/>
      <c r="C156" s="196"/>
      <c r="D156" s="47"/>
      <c r="E156" s="28"/>
      <c r="F156" s="215"/>
      <c r="G156" s="215"/>
      <c r="H156" s="2"/>
      <c r="I156" s="19"/>
      <c r="K156" s="35"/>
      <c r="M156" s="35"/>
      <c r="N156" s="35"/>
      <c r="O156" s="35"/>
      <c r="P156" s="35"/>
    </row>
    <row r="157" spans="2:16">
      <c r="B157" s="28"/>
      <c r="C157" s="196"/>
      <c r="D157" s="47"/>
      <c r="E157" s="28"/>
      <c r="F157" s="215"/>
      <c r="G157" s="215"/>
      <c r="H157" s="2"/>
      <c r="I157" s="19"/>
      <c r="K157" s="35"/>
      <c r="M157" s="35"/>
      <c r="N157" s="35"/>
      <c r="O157" s="35"/>
      <c r="P157" s="35"/>
    </row>
    <row r="158" spans="2:16">
      <c r="B158" s="28"/>
      <c r="C158" s="196"/>
      <c r="D158" s="47"/>
      <c r="E158" s="28"/>
      <c r="F158" s="215"/>
      <c r="G158" s="215"/>
      <c r="H158" s="2"/>
      <c r="I158" s="19"/>
      <c r="K158" s="35"/>
      <c r="M158" s="35"/>
      <c r="N158" s="35"/>
      <c r="O158" s="35"/>
      <c r="P158" s="35"/>
    </row>
    <row r="159" spans="2:16">
      <c r="B159" s="28"/>
      <c r="C159" s="196"/>
      <c r="D159" s="47"/>
      <c r="E159" s="28"/>
      <c r="F159" s="215"/>
      <c r="G159" s="215"/>
      <c r="H159" s="2"/>
      <c r="I159" s="19"/>
      <c r="K159" s="35"/>
      <c r="M159" s="35"/>
      <c r="N159" s="35"/>
      <c r="O159" s="35"/>
      <c r="P159" s="35"/>
    </row>
    <row r="160" spans="2:16">
      <c r="B160" s="28"/>
      <c r="C160" s="196"/>
      <c r="D160" s="47"/>
      <c r="E160" s="28"/>
      <c r="F160" s="215"/>
      <c r="G160" s="215"/>
      <c r="H160" s="2"/>
      <c r="I160" s="19"/>
      <c r="K160" s="35"/>
      <c r="M160" s="35"/>
      <c r="N160" s="35"/>
      <c r="O160" s="35"/>
      <c r="P160" s="35"/>
    </row>
    <row r="161" spans="2:16">
      <c r="B161" s="28"/>
      <c r="C161" s="196"/>
      <c r="D161" s="47"/>
      <c r="E161" s="28"/>
      <c r="F161" s="215"/>
      <c r="G161" s="215"/>
      <c r="H161" s="2"/>
      <c r="I161" s="19"/>
      <c r="K161" s="35"/>
      <c r="M161" s="35"/>
      <c r="N161" s="35"/>
      <c r="O161" s="35"/>
      <c r="P161" s="35"/>
    </row>
    <row r="162" spans="2:16">
      <c r="B162" s="28"/>
      <c r="C162" s="196"/>
      <c r="D162" s="47"/>
      <c r="E162" s="28"/>
      <c r="F162" s="215"/>
      <c r="G162" s="215"/>
      <c r="H162" s="2"/>
      <c r="I162" s="19"/>
      <c r="K162" s="35"/>
      <c r="M162" s="35"/>
      <c r="N162" s="35"/>
      <c r="O162" s="35"/>
      <c r="P162" s="35"/>
    </row>
    <row r="163" spans="2:16">
      <c r="B163" s="28"/>
      <c r="C163" s="196"/>
      <c r="D163" s="47"/>
      <c r="E163" s="28"/>
      <c r="F163" s="215"/>
      <c r="G163" s="215"/>
      <c r="H163" s="2"/>
      <c r="I163" s="19"/>
      <c r="K163" s="35"/>
      <c r="M163" s="35"/>
      <c r="N163" s="35"/>
      <c r="O163" s="35"/>
      <c r="P163" s="35"/>
    </row>
    <row r="164" spans="2:16">
      <c r="B164" s="28"/>
      <c r="C164" s="196"/>
      <c r="D164" s="47"/>
      <c r="E164" s="28"/>
      <c r="F164" s="215"/>
      <c r="G164" s="215"/>
      <c r="H164" s="2"/>
      <c r="I164" s="19"/>
      <c r="K164" s="35"/>
      <c r="M164" s="35"/>
      <c r="N164" s="35"/>
      <c r="O164" s="35"/>
      <c r="P164" s="35"/>
    </row>
    <row r="165" spans="2:16">
      <c r="B165" s="28"/>
      <c r="C165" s="196"/>
      <c r="D165" s="47"/>
      <c r="E165" s="28"/>
      <c r="F165" s="215"/>
      <c r="G165" s="215"/>
      <c r="H165" s="2"/>
      <c r="I165" s="19"/>
      <c r="K165" s="35"/>
      <c r="M165" s="35"/>
      <c r="N165" s="35"/>
      <c r="O165" s="35"/>
      <c r="P165" s="35"/>
    </row>
    <row r="166" spans="2:16">
      <c r="B166" s="28"/>
      <c r="C166" s="196"/>
      <c r="D166" s="47"/>
      <c r="E166" s="28"/>
      <c r="F166" s="215"/>
      <c r="G166" s="215"/>
      <c r="H166" s="2"/>
      <c r="I166" s="19"/>
      <c r="K166" s="35"/>
      <c r="M166" s="35"/>
      <c r="N166" s="35"/>
      <c r="O166" s="35"/>
      <c r="P166" s="35"/>
    </row>
    <row r="167" spans="2:16">
      <c r="B167" s="28"/>
      <c r="C167" s="196"/>
      <c r="D167" s="47"/>
      <c r="E167" s="28"/>
      <c r="F167" s="215"/>
      <c r="G167" s="215"/>
      <c r="H167" s="2"/>
      <c r="I167" s="19"/>
      <c r="K167" s="35"/>
      <c r="M167" s="35"/>
      <c r="N167" s="35"/>
      <c r="O167" s="35"/>
      <c r="P167" s="35"/>
    </row>
    <row r="168" spans="2:16">
      <c r="B168" s="28"/>
      <c r="C168" s="196"/>
      <c r="D168" s="47"/>
      <c r="E168" s="28"/>
      <c r="F168" s="215"/>
      <c r="G168" s="215"/>
      <c r="H168" s="2"/>
      <c r="I168" s="19"/>
      <c r="K168" s="35"/>
      <c r="M168" s="35"/>
      <c r="N168" s="35"/>
      <c r="O168" s="35"/>
      <c r="P168" s="35"/>
    </row>
    <row r="169" spans="2:16">
      <c r="B169" s="28"/>
      <c r="C169" s="196"/>
      <c r="D169" s="47"/>
      <c r="E169" s="28"/>
      <c r="F169" s="215"/>
      <c r="G169" s="215"/>
      <c r="H169" s="2"/>
      <c r="I169" s="19"/>
      <c r="K169" s="35"/>
      <c r="M169" s="35"/>
      <c r="N169" s="35"/>
      <c r="O169" s="35"/>
      <c r="P169" s="35"/>
    </row>
    <row r="170" spans="2:16">
      <c r="B170" s="28"/>
      <c r="C170" s="196"/>
      <c r="D170" s="47"/>
      <c r="E170" s="28"/>
      <c r="F170" s="215"/>
      <c r="G170" s="215"/>
      <c r="H170" s="2"/>
      <c r="I170" s="19"/>
      <c r="K170" s="35"/>
      <c r="M170" s="35"/>
      <c r="N170" s="35"/>
      <c r="O170" s="35"/>
      <c r="P170" s="35"/>
    </row>
    <row r="171" spans="2:16">
      <c r="B171" s="28"/>
      <c r="C171" s="196"/>
      <c r="D171" s="47"/>
      <c r="E171" s="28"/>
      <c r="F171" s="215"/>
      <c r="G171" s="215"/>
      <c r="H171" s="2"/>
      <c r="I171" s="19"/>
      <c r="K171" s="35"/>
      <c r="M171" s="35"/>
      <c r="N171" s="35"/>
      <c r="O171" s="35"/>
      <c r="P171" s="35"/>
    </row>
    <row r="172" spans="2:16">
      <c r="B172" s="28"/>
      <c r="C172" s="196"/>
      <c r="D172" s="47"/>
      <c r="E172" s="28"/>
      <c r="F172" s="215"/>
      <c r="G172" s="215"/>
      <c r="H172" s="2"/>
      <c r="I172" s="19"/>
      <c r="K172" s="35"/>
      <c r="M172" s="35"/>
      <c r="N172" s="35"/>
      <c r="O172" s="35"/>
      <c r="P172" s="35"/>
    </row>
    <row r="173" spans="2:16">
      <c r="B173" s="28"/>
      <c r="C173" s="196"/>
      <c r="D173" s="47"/>
      <c r="E173" s="28"/>
      <c r="F173" s="215"/>
      <c r="G173" s="215"/>
      <c r="H173" s="2"/>
      <c r="I173" s="19"/>
      <c r="K173" s="35"/>
      <c r="M173" s="35"/>
      <c r="N173" s="35"/>
      <c r="O173" s="35"/>
      <c r="P173" s="35"/>
    </row>
    <row r="174" spans="2:16">
      <c r="B174" s="28"/>
      <c r="C174" s="196"/>
      <c r="D174" s="47"/>
      <c r="E174" s="28"/>
      <c r="F174" s="215"/>
      <c r="G174" s="215"/>
      <c r="H174" s="2"/>
      <c r="I174" s="19"/>
      <c r="K174" s="35"/>
      <c r="M174" s="35"/>
      <c r="N174" s="35"/>
      <c r="O174" s="35"/>
      <c r="P174" s="35"/>
    </row>
    <row r="175" spans="2:16">
      <c r="B175" s="28"/>
      <c r="C175" s="196"/>
      <c r="D175" s="47"/>
      <c r="E175" s="28"/>
      <c r="F175" s="215"/>
      <c r="G175" s="215"/>
      <c r="H175" s="2"/>
      <c r="I175" s="19"/>
      <c r="K175" s="35"/>
      <c r="M175" s="35"/>
      <c r="N175" s="35"/>
      <c r="O175" s="35"/>
      <c r="P175" s="35"/>
    </row>
    <row r="176" spans="2:16">
      <c r="B176" s="28"/>
      <c r="C176" s="196"/>
      <c r="D176" s="47"/>
      <c r="E176" s="28"/>
      <c r="F176" s="215"/>
      <c r="G176" s="215"/>
      <c r="H176" s="2"/>
      <c r="I176" s="19"/>
      <c r="K176" s="35"/>
      <c r="M176" s="35"/>
      <c r="N176" s="35"/>
      <c r="O176" s="35"/>
      <c r="P176" s="35"/>
    </row>
    <row r="177" spans="4:9">
      <c r="D177" s="47"/>
      <c r="E177" s="143"/>
      <c r="H177" s="2"/>
      <c r="I177" s="30"/>
    </row>
    <row r="178" spans="4:9">
      <c r="D178" s="47"/>
      <c r="E178" s="143"/>
      <c r="H178" s="2"/>
      <c r="I178" s="30"/>
    </row>
    <row r="179" spans="4:9">
      <c r="D179" s="47"/>
      <c r="E179" s="143"/>
      <c r="H179" s="2"/>
      <c r="I179" s="30"/>
    </row>
    <row r="180" spans="4:9">
      <c r="D180" s="47"/>
      <c r="E180" s="143"/>
      <c r="H180" s="2"/>
      <c r="I180" s="30"/>
    </row>
    <row r="181" spans="4:9">
      <c r="D181" s="47"/>
      <c r="E181" s="143"/>
      <c r="H181" s="2"/>
      <c r="I181" s="30"/>
    </row>
    <row r="182" spans="4:9">
      <c r="D182" s="47"/>
      <c r="E182" s="143"/>
      <c r="H182" s="2"/>
      <c r="I182" s="30"/>
    </row>
    <row r="183" spans="4:9">
      <c r="D183" s="47"/>
      <c r="E183" s="143"/>
      <c r="H183" s="2"/>
      <c r="I183" s="30"/>
    </row>
    <row r="184" spans="4:9">
      <c r="D184" s="47"/>
      <c r="E184" s="143"/>
      <c r="H184" s="2"/>
      <c r="I184" s="30"/>
    </row>
    <row r="185" spans="4:9">
      <c r="D185" s="47"/>
      <c r="E185" s="143"/>
      <c r="H185" s="2"/>
      <c r="I185" s="30"/>
    </row>
    <row r="186" spans="4:9">
      <c r="D186" s="47"/>
      <c r="E186" s="143"/>
      <c r="H186" s="2"/>
      <c r="I186" s="30"/>
    </row>
    <row r="187" spans="4:9">
      <c r="D187" s="47"/>
      <c r="E187" s="143"/>
      <c r="H187" s="2"/>
      <c r="I187" s="30"/>
    </row>
    <row r="188" spans="4:9">
      <c r="D188" s="47"/>
      <c r="E188" s="143"/>
      <c r="H188" s="2"/>
      <c r="I188" s="30"/>
    </row>
    <row r="189" spans="4:9">
      <c r="D189" s="47"/>
      <c r="E189" s="143"/>
      <c r="H189" s="2"/>
      <c r="I189" s="30"/>
    </row>
    <row r="190" spans="4:9">
      <c r="D190" s="47"/>
      <c r="E190" s="143"/>
      <c r="H190" s="2"/>
      <c r="I190" s="30"/>
    </row>
    <row r="191" spans="4:9">
      <c r="D191" s="47"/>
      <c r="E191" s="143"/>
      <c r="H191" s="2"/>
      <c r="I191" s="30"/>
    </row>
    <row r="192" spans="4:9">
      <c r="D192" s="47"/>
      <c r="E192" s="143"/>
      <c r="H192" s="2"/>
      <c r="I192" s="30"/>
    </row>
    <row r="193" spans="4:9">
      <c r="D193" s="47"/>
      <c r="E193" s="143"/>
      <c r="H193" s="2"/>
      <c r="I193" s="30"/>
    </row>
    <row r="194" spans="4:9">
      <c r="D194" s="47"/>
      <c r="E194" s="143"/>
      <c r="H194" s="2"/>
      <c r="I194" s="30"/>
    </row>
    <row r="195" spans="4:9">
      <c r="D195" s="47"/>
      <c r="E195" s="143"/>
      <c r="H195" s="2"/>
      <c r="I195" s="30"/>
    </row>
    <row r="196" spans="4:9">
      <c r="D196" s="47"/>
      <c r="E196" s="143"/>
      <c r="H196" s="2"/>
      <c r="I196" s="30"/>
    </row>
    <row r="197" spans="4:9">
      <c r="D197" s="47"/>
      <c r="E197" s="143"/>
      <c r="H197" s="2"/>
      <c r="I197" s="30"/>
    </row>
    <row r="198" spans="4:9">
      <c r="D198" s="47"/>
      <c r="E198" s="143"/>
      <c r="H198" s="2"/>
      <c r="I198" s="30"/>
    </row>
    <row r="199" spans="4:9">
      <c r="D199" s="47"/>
      <c r="E199" s="143"/>
      <c r="H199" s="2"/>
      <c r="I199" s="30"/>
    </row>
    <row r="200" spans="4:9">
      <c r="D200" s="47"/>
      <c r="E200" s="143"/>
      <c r="H200" s="2"/>
      <c r="I200" s="30"/>
    </row>
    <row r="201" spans="4:9">
      <c r="D201" s="47"/>
      <c r="E201" s="143"/>
      <c r="H201" s="2"/>
      <c r="I201" s="30"/>
    </row>
    <row r="202" spans="4:9">
      <c r="D202" s="47"/>
      <c r="E202" s="143"/>
      <c r="H202" s="2"/>
      <c r="I202" s="30"/>
    </row>
    <row r="203" spans="4:9">
      <c r="D203" s="47"/>
      <c r="E203" s="143"/>
      <c r="H203" s="2"/>
      <c r="I203" s="30"/>
    </row>
    <row r="204" spans="4:9">
      <c r="D204" s="47"/>
      <c r="E204" s="143"/>
      <c r="H204" s="2"/>
      <c r="I204" s="30"/>
    </row>
    <row r="205" spans="4:9">
      <c r="D205" s="47"/>
      <c r="E205" s="143"/>
      <c r="H205" s="2"/>
      <c r="I205" s="30"/>
    </row>
    <row r="206" spans="4:9">
      <c r="D206" s="47"/>
      <c r="E206" s="143"/>
      <c r="H206" s="2"/>
      <c r="I206" s="30"/>
    </row>
    <row r="207" spans="4:9">
      <c r="D207" s="47"/>
      <c r="E207" s="143"/>
      <c r="H207" s="2"/>
      <c r="I207" s="30"/>
    </row>
    <row r="208" spans="4:9">
      <c r="D208" s="47"/>
      <c r="E208" s="143"/>
      <c r="H208" s="2"/>
      <c r="I208" s="30"/>
    </row>
    <row r="209" spans="4:9">
      <c r="D209" s="47"/>
      <c r="E209" s="143"/>
      <c r="H209" s="2"/>
      <c r="I209" s="30"/>
    </row>
    <row r="210" spans="4:9">
      <c r="D210" s="47"/>
      <c r="E210" s="143"/>
      <c r="H210" s="2"/>
      <c r="I210" s="30"/>
    </row>
    <row r="211" spans="4:9">
      <c r="D211" s="47"/>
      <c r="E211" s="143"/>
      <c r="H211" s="2"/>
      <c r="I211" s="30"/>
    </row>
    <row r="212" spans="4:9">
      <c r="D212" s="47"/>
      <c r="E212" s="143"/>
      <c r="H212" s="2"/>
      <c r="I212" s="30"/>
    </row>
    <row r="213" spans="4:9">
      <c r="D213" s="47"/>
      <c r="E213" s="143"/>
      <c r="H213" s="2"/>
      <c r="I213" s="30"/>
    </row>
    <row r="214" spans="4:9">
      <c r="D214" s="47"/>
      <c r="E214" s="143"/>
      <c r="H214" s="2"/>
      <c r="I214" s="30"/>
    </row>
    <row r="215" spans="4:9">
      <c r="D215" s="47"/>
      <c r="E215" s="143"/>
      <c r="H215" s="2"/>
      <c r="I215" s="30"/>
    </row>
    <row r="216" spans="4:9">
      <c r="D216" s="47"/>
      <c r="E216" s="143"/>
      <c r="H216" s="2"/>
      <c r="I216" s="30"/>
    </row>
    <row r="217" spans="4:9">
      <c r="D217" s="47"/>
      <c r="E217" s="143"/>
      <c r="H217" s="2"/>
      <c r="I217" s="30"/>
    </row>
    <row r="218" spans="4:9">
      <c r="D218" s="47"/>
      <c r="E218" s="143"/>
      <c r="H218" s="2"/>
      <c r="I218" s="30"/>
    </row>
    <row r="219" spans="4:9">
      <c r="D219" s="47"/>
      <c r="E219" s="143"/>
      <c r="H219" s="2"/>
      <c r="I219" s="30"/>
    </row>
    <row r="220" spans="4:9">
      <c r="D220" s="47"/>
      <c r="E220" s="143"/>
      <c r="H220" s="2"/>
      <c r="I220" s="30"/>
    </row>
    <row r="221" spans="4:9">
      <c r="D221" s="47"/>
      <c r="E221" s="143"/>
      <c r="H221" s="2"/>
      <c r="I221" s="30"/>
    </row>
    <row r="222" spans="4:9">
      <c r="D222" s="47"/>
      <c r="E222" s="143"/>
      <c r="H222" s="2"/>
      <c r="I222" s="30"/>
    </row>
    <row r="223" spans="4:9">
      <c r="D223" s="47"/>
      <c r="E223" s="143"/>
      <c r="H223" s="2"/>
      <c r="I223" s="30"/>
    </row>
    <row r="224" spans="4:9">
      <c r="D224" s="47"/>
      <c r="E224" s="143"/>
      <c r="H224" s="2"/>
      <c r="I224" s="30"/>
    </row>
    <row r="225" spans="4:9">
      <c r="D225" s="47"/>
      <c r="E225" s="143"/>
      <c r="H225" s="2"/>
      <c r="I225" s="30"/>
    </row>
    <row r="226" spans="4:9">
      <c r="D226" s="47"/>
      <c r="E226" s="143"/>
      <c r="H226" s="2"/>
      <c r="I226" s="30"/>
    </row>
    <row r="227" spans="4:9">
      <c r="D227" s="47"/>
      <c r="E227" s="143"/>
      <c r="H227" s="2"/>
      <c r="I227" s="30"/>
    </row>
    <row r="228" spans="4:9">
      <c r="D228" s="47"/>
      <c r="E228" s="143"/>
      <c r="H228" s="2"/>
      <c r="I228" s="30"/>
    </row>
    <row r="229" spans="4:9">
      <c r="D229" s="47"/>
      <c r="E229" s="143"/>
      <c r="H229" s="2"/>
      <c r="I229" s="30"/>
    </row>
    <row r="230" spans="4:9">
      <c r="D230" s="47"/>
      <c r="E230" s="143"/>
      <c r="H230" s="2"/>
      <c r="I230" s="30"/>
    </row>
    <row r="231" spans="4:9">
      <c r="D231" s="47"/>
      <c r="E231" s="143"/>
      <c r="H231" s="2"/>
      <c r="I231" s="30"/>
    </row>
    <row r="232" spans="4:9">
      <c r="D232" s="47"/>
      <c r="E232" s="143"/>
      <c r="H232" s="2"/>
      <c r="I232" s="30"/>
    </row>
    <row r="233" spans="4:9">
      <c r="D233" s="47"/>
      <c r="E233" s="143"/>
      <c r="H233" s="2"/>
      <c r="I233" s="30"/>
    </row>
    <row r="234" spans="4:9">
      <c r="D234" s="47"/>
      <c r="E234" s="143"/>
      <c r="H234" s="2"/>
      <c r="I234" s="30"/>
    </row>
    <row r="235" spans="4:9">
      <c r="D235" s="47"/>
      <c r="E235" s="143"/>
      <c r="H235" s="2"/>
      <c r="I235" s="30"/>
    </row>
    <row r="236" spans="4:9">
      <c r="D236" s="47"/>
      <c r="E236" s="143"/>
      <c r="H236" s="2"/>
      <c r="I236" s="30"/>
    </row>
    <row r="237" spans="4:9">
      <c r="D237" s="47"/>
      <c r="E237" s="143"/>
      <c r="H237" s="2"/>
      <c r="I237" s="30"/>
    </row>
    <row r="238" spans="4:9">
      <c r="D238" s="47"/>
      <c r="E238" s="143"/>
      <c r="H238" s="2"/>
      <c r="I238" s="30"/>
    </row>
    <row r="239" spans="4:9">
      <c r="D239" s="47"/>
      <c r="E239" s="143"/>
      <c r="H239" s="2"/>
      <c r="I239" s="30"/>
    </row>
    <row r="240" spans="4:9">
      <c r="D240" s="47"/>
      <c r="E240" s="143"/>
      <c r="H240" s="2"/>
      <c r="I240" s="30"/>
    </row>
    <row r="241" spans="4:9">
      <c r="D241" s="47"/>
      <c r="E241" s="143"/>
      <c r="H241" s="2"/>
      <c r="I241" s="30"/>
    </row>
    <row r="242" spans="4:9">
      <c r="D242" s="47"/>
      <c r="E242" s="143"/>
      <c r="H242" s="2"/>
      <c r="I242" s="30"/>
    </row>
    <row r="243" spans="4:9">
      <c r="D243" s="47"/>
      <c r="E243" s="143"/>
      <c r="H243" s="2"/>
      <c r="I243" s="30"/>
    </row>
    <row r="244" spans="4:9">
      <c r="D244" s="47"/>
      <c r="E244" s="143"/>
      <c r="H244" s="2"/>
      <c r="I244" s="30"/>
    </row>
    <row r="245" spans="4:9">
      <c r="D245" s="47"/>
      <c r="E245" s="143"/>
      <c r="H245" s="2"/>
      <c r="I245" s="30"/>
    </row>
    <row r="246" spans="4:9">
      <c r="D246" s="47"/>
      <c r="E246" s="143"/>
      <c r="H246" s="2"/>
      <c r="I246" s="30"/>
    </row>
    <row r="247" spans="4:9">
      <c r="D247" s="47"/>
      <c r="E247" s="143"/>
      <c r="H247" s="2"/>
      <c r="I247" s="30"/>
    </row>
    <row r="248" spans="4:9">
      <c r="D248" s="47"/>
      <c r="E248" s="143"/>
      <c r="H248" s="2"/>
      <c r="I248" s="30"/>
    </row>
    <row r="249" spans="4:9">
      <c r="D249" s="47"/>
      <c r="E249" s="143"/>
      <c r="H249" s="2"/>
      <c r="I249" s="30"/>
    </row>
    <row r="250" spans="4:9">
      <c r="D250" s="47"/>
      <c r="E250" s="143"/>
      <c r="H250" s="2"/>
      <c r="I250" s="30"/>
    </row>
    <row r="251" spans="4:9">
      <c r="D251" s="47"/>
      <c r="E251" s="143"/>
      <c r="H251" s="2"/>
      <c r="I251" s="30"/>
    </row>
    <row r="252" spans="4:9">
      <c r="D252" s="47"/>
      <c r="E252" s="143"/>
      <c r="H252" s="2"/>
      <c r="I252" s="30"/>
    </row>
    <row r="253" spans="4:9">
      <c r="D253" s="47"/>
      <c r="E253" s="143"/>
      <c r="H253" s="2"/>
      <c r="I253" s="30"/>
    </row>
    <row r="254" spans="4:9">
      <c r="D254" s="47"/>
      <c r="E254" s="143"/>
      <c r="H254" s="2"/>
      <c r="I254" s="30"/>
    </row>
    <row r="255" spans="4:9">
      <c r="D255" s="47"/>
      <c r="E255" s="143"/>
      <c r="H255" s="2"/>
      <c r="I255" s="30"/>
    </row>
    <row r="256" spans="4:9">
      <c r="D256" s="47"/>
      <c r="E256" s="143"/>
      <c r="H256" s="2"/>
      <c r="I256" s="30"/>
    </row>
    <row r="257" spans="4:9">
      <c r="D257" s="47"/>
      <c r="E257" s="143"/>
      <c r="H257" s="2"/>
      <c r="I257" s="30"/>
    </row>
    <row r="258" spans="4:9">
      <c r="D258" s="47"/>
      <c r="E258" s="143"/>
      <c r="H258" s="2"/>
      <c r="I258" s="30"/>
    </row>
    <row r="259" spans="4:9">
      <c r="D259" s="47"/>
      <c r="E259" s="143"/>
      <c r="H259" s="2"/>
      <c r="I259" s="30"/>
    </row>
    <row r="260" spans="4:9">
      <c r="D260" s="47"/>
      <c r="E260" s="143"/>
      <c r="H260" s="2"/>
      <c r="I260" s="30"/>
    </row>
    <row r="261" spans="4:9">
      <c r="D261" s="47"/>
      <c r="E261" s="143"/>
      <c r="H261" s="2"/>
      <c r="I261" s="30"/>
    </row>
    <row r="262" spans="4:9">
      <c r="D262" s="47"/>
      <c r="E262" s="143"/>
      <c r="H262" s="2"/>
      <c r="I262" s="30"/>
    </row>
    <row r="263" spans="4:9">
      <c r="D263" s="47"/>
      <c r="E263" s="143"/>
      <c r="H263" s="2"/>
      <c r="I263" s="30"/>
    </row>
    <row r="264" spans="4:9">
      <c r="D264" s="47"/>
      <c r="E264" s="143"/>
      <c r="H264" s="2"/>
      <c r="I264" s="30"/>
    </row>
    <row r="265" spans="4:9">
      <c r="D265" s="47"/>
      <c r="E265" s="143"/>
      <c r="H265" s="2"/>
      <c r="I265" s="30"/>
    </row>
    <row r="266" spans="4:9">
      <c r="D266" s="47"/>
      <c r="E266" s="143"/>
      <c r="H266" s="2"/>
      <c r="I266" s="30"/>
    </row>
    <row r="267" spans="4:9">
      <c r="D267" s="47"/>
      <c r="E267" s="143"/>
      <c r="H267" s="2"/>
      <c r="I267" s="30"/>
    </row>
    <row r="268" spans="4:9">
      <c r="D268" s="47"/>
      <c r="E268" s="143"/>
      <c r="H268" s="2"/>
      <c r="I268" s="30"/>
    </row>
    <row r="269" spans="4:9">
      <c r="D269" s="47"/>
      <c r="E269" s="143"/>
      <c r="H269" s="2"/>
      <c r="I269" s="30"/>
    </row>
    <row r="270" spans="4:9">
      <c r="D270" s="47"/>
      <c r="E270" s="143"/>
      <c r="H270" s="2"/>
      <c r="I270" s="30"/>
    </row>
    <row r="271" spans="4:9">
      <c r="D271" s="47"/>
      <c r="E271" s="143"/>
      <c r="H271" s="2"/>
      <c r="I271" s="30"/>
    </row>
    <row r="272" spans="4:9">
      <c r="D272" s="47"/>
      <c r="E272" s="143"/>
      <c r="H272" s="2"/>
      <c r="I272" s="30"/>
    </row>
    <row r="273" spans="4:9">
      <c r="D273" s="47"/>
      <c r="E273" s="143"/>
      <c r="H273" s="2"/>
      <c r="I273" s="30"/>
    </row>
    <row r="274" spans="4:9">
      <c r="D274" s="47"/>
      <c r="E274" s="143"/>
      <c r="H274" s="2"/>
      <c r="I274" s="30"/>
    </row>
    <row r="275" spans="4:9">
      <c r="D275" s="47"/>
      <c r="E275" s="143"/>
      <c r="H275" s="2"/>
      <c r="I275" s="30"/>
    </row>
    <row r="276" spans="4:9">
      <c r="D276" s="47"/>
      <c r="E276" s="143"/>
      <c r="H276" s="2"/>
      <c r="I276" s="30"/>
    </row>
    <row r="277" spans="4:9">
      <c r="D277" s="47"/>
      <c r="E277" s="143"/>
      <c r="H277" s="2"/>
      <c r="I277" s="30"/>
    </row>
    <row r="278" spans="4:9">
      <c r="D278" s="47"/>
      <c r="E278" s="143"/>
      <c r="H278" s="2"/>
      <c r="I278" s="30"/>
    </row>
    <row r="279" spans="4:9">
      <c r="D279" s="47"/>
      <c r="E279" s="143"/>
      <c r="H279" s="2"/>
      <c r="I279" s="30"/>
    </row>
    <row r="280" spans="4:9">
      <c r="D280" s="47"/>
      <c r="E280" s="143"/>
      <c r="H280" s="2"/>
      <c r="I280" s="30"/>
    </row>
    <row r="281" spans="4:9">
      <c r="D281" s="47"/>
      <c r="E281" s="143"/>
      <c r="H281" s="2"/>
      <c r="I281" s="30"/>
    </row>
    <row r="282" spans="4:9">
      <c r="D282" s="47"/>
      <c r="E282" s="143"/>
      <c r="H282" s="2"/>
      <c r="I282" s="30"/>
    </row>
    <row r="283" spans="4:9">
      <c r="D283" s="47"/>
      <c r="E283" s="143"/>
      <c r="H283" s="2"/>
      <c r="I283" s="30"/>
    </row>
    <row r="284" spans="4:9">
      <c r="D284" s="47"/>
      <c r="E284" s="143"/>
      <c r="H284" s="2"/>
      <c r="I284" s="30"/>
    </row>
    <row r="285" spans="4:9">
      <c r="D285" s="47"/>
      <c r="E285" s="143"/>
      <c r="H285" s="2"/>
      <c r="I285" s="30"/>
    </row>
    <row r="286" spans="4:9">
      <c r="D286" s="47"/>
      <c r="E286" s="143"/>
      <c r="H286" s="2"/>
      <c r="I286" s="30"/>
    </row>
    <row r="287" spans="4:9">
      <c r="D287" s="47"/>
      <c r="E287" s="143"/>
      <c r="H287" s="2"/>
      <c r="I287" s="30"/>
    </row>
    <row r="288" spans="4:9">
      <c r="D288" s="47"/>
      <c r="E288" s="143"/>
      <c r="H288" s="2"/>
      <c r="I288" s="30"/>
    </row>
    <row r="289" spans="4:9">
      <c r="D289" s="47"/>
      <c r="E289" s="143"/>
      <c r="H289" s="2"/>
      <c r="I289" s="30"/>
    </row>
    <row r="290" spans="4:9">
      <c r="D290" s="47"/>
      <c r="E290" s="143"/>
      <c r="H290" s="2"/>
      <c r="I290" s="30"/>
    </row>
    <row r="291" spans="4:9">
      <c r="D291" s="47"/>
      <c r="E291" s="143"/>
      <c r="H291" s="2"/>
      <c r="I291" s="30"/>
    </row>
    <row r="292" spans="4:9">
      <c r="D292" s="47"/>
      <c r="E292" s="143"/>
      <c r="H292" s="2"/>
      <c r="I292" s="30"/>
    </row>
    <row r="293" spans="4:9">
      <c r="D293" s="47"/>
      <c r="E293" s="143"/>
      <c r="H293" s="2"/>
      <c r="I293" s="30"/>
    </row>
    <row r="294" spans="4:9">
      <c r="D294" s="47"/>
      <c r="E294" s="143"/>
      <c r="H294" s="2"/>
      <c r="I294" s="30"/>
    </row>
    <row r="295" spans="4:9">
      <c r="D295" s="47"/>
      <c r="E295" s="143"/>
      <c r="H295" s="2"/>
      <c r="I295" s="30"/>
    </row>
    <row r="296" spans="4:9">
      <c r="D296" s="47"/>
      <c r="E296" s="143"/>
      <c r="H296" s="2"/>
      <c r="I296" s="30"/>
    </row>
    <row r="297" spans="4:9">
      <c r="D297" s="47"/>
      <c r="E297" s="143"/>
      <c r="H297" s="2"/>
      <c r="I297" s="30"/>
    </row>
    <row r="298" spans="4:9">
      <c r="D298" s="47"/>
      <c r="E298" s="143"/>
      <c r="H298" s="2"/>
      <c r="I298" s="30"/>
    </row>
    <row r="299" spans="4:9">
      <c r="D299" s="47"/>
      <c r="E299" s="143"/>
      <c r="H299" s="2"/>
      <c r="I299" s="30"/>
    </row>
    <row r="300" spans="4:9">
      <c r="D300" s="47"/>
      <c r="E300" s="143"/>
      <c r="H300" s="2"/>
      <c r="I300" s="30"/>
    </row>
    <row r="301" spans="4:9">
      <c r="D301" s="47"/>
      <c r="E301" s="143"/>
      <c r="H301" s="2"/>
      <c r="I301" s="30"/>
    </row>
    <row r="302" spans="4:9">
      <c r="D302" s="47"/>
      <c r="E302" s="143"/>
      <c r="H302" s="2"/>
      <c r="I302" s="30"/>
    </row>
    <row r="303" spans="4:9">
      <c r="D303" s="47"/>
      <c r="E303" s="143"/>
      <c r="H303" s="2"/>
      <c r="I303" s="30"/>
    </row>
    <row r="304" spans="4:9">
      <c r="D304" s="47"/>
      <c r="E304" s="143"/>
      <c r="H304" s="2"/>
      <c r="I304" s="30"/>
    </row>
    <row r="305" spans="4:9">
      <c r="D305" s="47"/>
      <c r="E305" s="143"/>
      <c r="H305" s="2"/>
      <c r="I305" s="30"/>
    </row>
    <row r="306" spans="4:9">
      <c r="D306" s="47"/>
      <c r="E306" s="143"/>
      <c r="H306" s="2"/>
      <c r="I306" s="30"/>
    </row>
    <row r="307" spans="4:9">
      <c r="D307" s="47"/>
      <c r="E307" s="143"/>
      <c r="H307" s="2"/>
      <c r="I307" s="30"/>
    </row>
    <row r="308" spans="4:9">
      <c r="D308" s="47"/>
      <c r="E308" s="143"/>
      <c r="H308" s="2"/>
      <c r="I308" s="30"/>
    </row>
    <row r="309" spans="4:9">
      <c r="D309" s="47"/>
      <c r="E309" s="143"/>
      <c r="H309" s="2"/>
      <c r="I309" s="30"/>
    </row>
    <row r="310" spans="4:9">
      <c r="D310" s="47"/>
      <c r="E310" s="143"/>
      <c r="H310" s="2"/>
      <c r="I310" s="30"/>
    </row>
    <row r="311" spans="4:9">
      <c r="D311" s="47"/>
      <c r="E311" s="143"/>
      <c r="H311" s="2"/>
      <c r="I311" s="30"/>
    </row>
    <row r="312" spans="4:9">
      <c r="D312" s="47"/>
      <c r="E312" s="143"/>
      <c r="H312" s="2"/>
      <c r="I312" s="30"/>
    </row>
    <row r="313" spans="4:9">
      <c r="D313" s="47"/>
      <c r="E313" s="143"/>
      <c r="H313" s="2"/>
      <c r="I313" s="30"/>
    </row>
    <row r="314" spans="4:9">
      <c r="D314" s="47"/>
      <c r="E314" s="143"/>
      <c r="H314" s="2"/>
      <c r="I314" s="30"/>
    </row>
    <row r="315" spans="4:9">
      <c r="D315" s="47"/>
      <c r="E315" s="143"/>
      <c r="H315" s="2"/>
      <c r="I315" s="30"/>
    </row>
    <row r="316" spans="4:9">
      <c r="D316" s="47"/>
      <c r="E316" s="143"/>
      <c r="H316" s="2"/>
      <c r="I316" s="30"/>
    </row>
    <row r="317" spans="4:9">
      <c r="D317" s="47"/>
      <c r="E317" s="143"/>
      <c r="H317" s="2"/>
      <c r="I317" s="30"/>
    </row>
    <row r="318" spans="4:9">
      <c r="D318" s="47"/>
      <c r="E318" s="143"/>
      <c r="H318" s="2"/>
      <c r="I318" s="30"/>
    </row>
    <row r="319" spans="4:9">
      <c r="D319" s="47"/>
      <c r="E319" s="143"/>
      <c r="H319" s="2"/>
      <c r="I319" s="30"/>
    </row>
    <row r="320" spans="4:9">
      <c r="D320" s="47"/>
      <c r="E320" s="143"/>
      <c r="H320" s="2"/>
      <c r="I320" s="30"/>
    </row>
    <row r="321" spans="4:9">
      <c r="D321" s="47"/>
      <c r="E321" s="143"/>
      <c r="H321" s="2"/>
      <c r="I321" s="30"/>
    </row>
    <row r="322" spans="4:9">
      <c r="D322" s="47"/>
      <c r="E322" s="143"/>
      <c r="H322" s="2"/>
      <c r="I322" s="30"/>
    </row>
    <row r="323" spans="4:9">
      <c r="D323" s="47"/>
      <c r="E323" s="143"/>
      <c r="H323" s="2"/>
      <c r="I323" s="30"/>
    </row>
    <row r="324" spans="4:9">
      <c r="D324" s="47"/>
      <c r="E324" s="143"/>
      <c r="H324" s="2"/>
      <c r="I324" s="30"/>
    </row>
    <row r="325" spans="4:9">
      <c r="D325" s="47"/>
      <c r="E325" s="143"/>
      <c r="H325" s="2"/>
      <c r="I325" s="30"/>
    </row>
    <row r="326" spans="4:9">
      <c r="D326" s="47"/>
      <c r="E326" s="143"/>
      <c r="H326" s="2"/>
      <c r="I326" s="30"/>
    </row>
    <row r="327" spans="4:9">
      <c r="D327" s="47"/>
      <c r="E327" s="143"/>
      <c r="H327" s="2"/>
      <c r="I327" s="30"/>
    </row>
    <row r="328" spans="4:9">
      <c r="D328" s="47"/>
      <c r="E328" s="143"/>
      <c r="H328" s="2"/>
      <c r="I328" s="30"/>
    </row>
    <row r="329" spans="4:9">
      <c r="D329" s="47"/>
      <c r="E329" s="143"/>
      <c r="H329" s="2"/>
      <c r="I329" s="30"/>
    </row>
    <row r="330" spans="4:9">
      <c r="D330" s="47"/>
      <c r="E330" s="143"/>
      <c r="H330" s="2"/>
      <c r="I330" s="30"/>
    </row>
    <row r="331" spans="4:9">
      <c r="D331" s="47"/>
      <c r="E331" s="143"/>
      <c r="H331" s="2"/>
      <c r="I331" s="30"/>
    </row>
    <row r="332" spans="4:9">
      <c r="D332" s="47"/>
      <c r="E332" s="143"/>
      <c r="H332" s="2"/>
      <c r="I332" s="30"/>
    </row>
    <row r="333" spans="4:9">
      <c r="D333" s="47"/>
      <c r="E333" s="143"/>
      <c r="H333" s="2"/>
      <c r="I333" s="30"/>
    </row>
    <row r="334" spans="4:9">
      <c r="D334" s="47"/>
      <c r="E334" s="143"/>
      <c r="H334" s="2"/>
      <c r="I334" s="30"/>
    </row>
    <row r="335" spans="4:9">
      <c r="D335" s="47"/>
      <c r="E335" s="143"/>
      <c r="H335" s="2"/>
      <c r="I335" s="30"/>
    </row>
    <row r="336" spans="4:9">
      <c r="D336" s="47"/>
      <c r="E336" s="143"/>
      <c r="H336" s="2"/>
      <c r="I336" s="30"/>
    </row>
    <row r="337" spans="4:9">
      <c r="D337" s="47"/>
      <c r="E337" s="143"/>
      <c r="H337" s="2"/>
      <c r="I337" s="30"/>
    </row>
    <row r="338" spans="4:9">
      <c r="D338" s="47"/>
      <c r="E338" s="143"/>
      <c r="H338" s="2"/>
      <c r="I338" s="30"/>
    </row>
    <row r="339" spans="4:9">
      <c r="D339" s="47"/>
      <c r="E339" s="143"/>
      <c r="H339" s="2"/>
      <c r="I339" s="30"/>
    </row>
    <row r="340" spans="4:9">
      <c r="D340" s="47"/>
      <c r="E340" s="143"/>
      <c r="H340" s="2"/>
      <c r="I340" s="30"/>
    </row>
    <row r="341" spans="4:9">
      <c r="D341" s="47"/>
      <c r="E341" s="143"/>
      <c r="H341" s="2"/>
      <c r="I341" s="30"/>
    </row>
    <row r="342" spans="4:9">
      <c r="D342" s="47"/>
      <c r="E342" s="143"/>
      <c r="H342" s="2"/>
      <c r="I342" s="30"/>
    </row>
    <row r="343" spans="4:9">
      <c r="D343" s="47"/>
      <c r="E343" s="143"/>
      <c r="H343" s="2"/>
      <c r="I343" s="30"/>
    </row>
    <row r="344" spans="4:9">
      <c r="D344" s="47"/>
      <c r="E344" s="143"/>
      <c r="H344" s="2"/>
      <c r="I344" s="30"/>
    </row>
    <row r="345" spans="4:9">
      <c r="D345" s="47"/>
      <c r="E345" s="143"/>
      <c r="H345" s="2"/>
      <c r="I345" s="30"/>
    </row>
    <row r="346" spans="4:9">
      <c r="D346" s="47"/>
      <c r="E346" s="143"/>
      <c r="H346" s="2"/>
      <c r="I346" s="30"/>
    </row>
    <row r="347" spans="4:9">
      <c r="D347" s="47"/>
      <c r="E347" s="143"/>
      <c r="H347" s="2"/>
      <c r="I347" s="30"/>
    </row>
    <row r="348" spans="4:9">
      <c r="D348" s="47"/>
      <c r="E348" s="143"/>
      <c r="H348" s="2"/>
      <c r="I348" s="30"/>
    </row>
    <row r="349" spans="4:9">
      <c r="D349" s="47"/>
      <c r="E349" s="143"/>
      <c r="H349" s="2"/>
      <c r="I349" s="30"/>
    </row>
    <row r="350" spans="4:9">
      <c r="D350" s="47"/>
      <c r="E350" s="143"/>
      <c r="H350" s="2"/>
      <c r="I350" s="30"/>
    </row>
    <row r="351" spans="4:9">
      <c r="D351" s="47"/>
      <c r="E351" s="143"/>
      <c r="H351" s="2"/>
      <c r="I351" s="30"/>
    </row>
    <row r="352" spans="4:9">
      <c r="D352" s="47"/>
      <c r="E352" s="143"/>
      <c r="H352" s="2"/>
      <c r="I352" s="30"/>
    </row>
    <row r="353" spans="4:9">
      <c r="D353" s="47"/>
      <c r="E353" s="143"/>
      <c r="H353" s="2"/>
      <c r="I353" s="30"/>
    </row>
    <row r="354" spans="4:9">
      <c r="D354" s="47"/>
      <c r="E354" s="143"/>
      <c r="H354" s="2"/>
      <c r="I354" s="30"/>
    </row>
    <row r="355" spans="4:9">
      <c r="D355" s="47"/>
      <c r="E355" s="143"/>
      <c r="H355" s="2"/>
      <c r="I355" s="30"/>
    </row>
    <row r="356" spans="4:9">
      <c r="D356" s="47"/>
      <c r="E356" s="143"/>
      <c r="H356" s="2"/>
      <c r="I356" s="30"/>
    </row>
    <row r="357" spans="4:9">
      <c r="D357" s="47"/>
      <c r="E357" s="143"/>
      <c r="H357" s="2"/>
      <c r="I357" s="30"/>
    </row>
    <row r="358" spans="4:9">
      <c r="D358" s="47"/>
      <c r="E358" s="143"/>
      <c r="H358" s="2"/>
      <c r="I358" s="30"/>
    </row>
    <row r="359" spans="4:9">
      <c r="D359" s="47"/>
      <c r="E359" s="143"/>
      <c r="H359" s="2"/>
      <c r="I359" s="30"/>
    </row>
    <row r="360" spans="4:9">
      <c r="D360" s="47"/>
      <c r="E360" s="143"/>
      <c r="H360" s="2"/>
      <c r="I360" s="30"/>
    </row>
    <row r="361" spans="4:9">
      <c r="D361" s="47"/>
      <c r="E361" s="143"/>
      <c r="H361" s="2"/>
      <c r="I361" s="30"/>
    </row>
    <row r="362" spans="4:9">
      <c r="D362" s="47"/>
      <c r="E362" s="143"/>
      <c r="H362" s="2"/>
      <c r="I362" s="30"/>
    </row>
    <row r="363" spans="4:9">
      <c r="D363" s="47"/>
      <c r="E363" s="143"/>
      <c r="H363" s="2"/>
      <c r="I363" s="30"/>
    </row>
    <row r="364" spans="4:9">
      <c r="D364" s="47"/>
      <c r="E364" s="143"/>
      <c r="H364" s="2"/>
      <c r="I364" s="30"/>
    </row>
    <row r="365" spans="4:9">
      <c r="D365" s="47"/>
      <c r="E365" s="143"/>
      <c r="H365" s="2"/>
      <c r="I365" s="30"/>
    </row>
    <row r="366" spans="4:9">
      <c r="D366" s="47"/>
      <c r="E366" s="143"/>
      <c r="H366" s="2"/>
      <c r="I366" s="30"/>
    </row>
    <row r="367" spans="4:9">
      <c r="D367" s="47"/>
      <c r="E367" s="143"/>
      <c r="H367" s="2"/>
      <c r="I367" s="30"/>
    </row>
    <row r="368" spans="4:9">
      <c r="D368" s="47"/>
      <c r="E368" s="143"/>
      <c r="H368" s="2"/>
      <c r="I368" s="30"/>
    </row>
    <row r="369" spans="4:9">
      <c r="D369" s="47"/>
      <c r="E369" s="143"/>
      <c r="H369" s="2"/>
      <c r="I369" s="30"/>
    </row>
    <row r="370" spans="4:9">
      <c r="D370" s="47"/>
      <c r="E370" s="143"/>
      <c r="H370" s="2"/>
      <c r="I370" s="30"/>
    </row>
    <row r="371" spans="4:9">
      <c r="D371" s="47"/>
      <c r="E371" s="143"/>
      <c r="H371" s="2"/>
      <c r="I371" s="30"/>
    </row>
    <row r="372" spans="4:9">
      <c r="D372" s="47"/>
      <c r="E372" s="143"/>
      <c r="H372" s="2"/>
      <c r="I372" s="30"/>
    </row>
    <row r="373" spans="4:9">
      <c r="D373" s="47"/>
      <c r="E373" s="143"/>
      <c r="H373" s="2"/>
      <c r="I373" s="30"/>
    </row>
    <row r="374" spans="4:9">
      <c r="D374" s="47"/>
      <c r="E374" s="143"/>
      <c r="H374" s="2"/>
      <c r="I374" s="30"/>
    </row>
    <row r="375" spans="4:9">
      <c r="D375" s="47"/>
      <c r="E375" s="143"/>
      <c r="H375" s="2"/>
      <c r="I375" s="30"/>
    </row>
    <row r="376" spans="4:9">
      <c r="D376" s="47"/>
      <c r="E376" s="143"/>
      <c r="H376" s="2"/>
      <c r="I376" s="30"/>
    </row>
    <row r="377" spans="4:9">
      <c r="D377" s="47"/>
      <c r="E377" s="143"/>
      <c r="H377" s="2"/>
      <c r="I377" s="30"/>
    </row>
    <row r="378" spans="4:9">
      <c r="D378" s="47"/>
      <c r="E378" s="143"/>
      <c r="H378" s="2"/>
      <c r="I378" s="30"/>
    </row>
    <row r="379" spans="4:9">
      <c r="D379" s="47"/>
      <c r="E379" s="143"/>
      <c r="H379" s="2"/>
      <c r="I379" s="30"/>
    </row>
    <row r="380" spans="4:9">
      <c r="D380" s="47"/>
      <c r="E380" s="143"/>
      <c r="H380" s="2"/>
      <c r="I380" s="30"/>
    </row>
    <row r="381" spans="4:9">
      <c r="D381" s="47"/>
      <c r="E381" s="143"/>
      <c r="H381" s="2"/>
      <c r="I381" s="30"/>
    </row>
    <row r="382" spans="4:9">
      <c r="D382" s="47"/>
      <c r="E382" s="143"/>
      <c r="H382" s="2"/>
      <c r="I382" s="30"/>
    </row>
    <row r="383" spans="4:9">
      <c r="D383" s="47"/>
      <c r="E383" s="143"/>
      <c r="H383" s="2"/>
      <c r="I383" s="30"/>
    </row>
    <row r="384" spans="4:9">
      <c r="D384" s="47"/>
      <c r="E384" s="143"/>
      <c r="H384" s="2"/>
      <c r="I384" s="30"/>
    </row>
    <row r="385" spans="4:9">
      <c r="D385" s="47"/>
      <c r="E385" s="143"/>
      <c r="H385" s="2"/>
      <c r="I385" s="30"/>
    </row>
    <row r="386" spans="4:9">
      <c r="D386" s="47"/>
      <c r="E386" s="143"/>
      <c r="H386" s="2"/>
      <c r="I386" s="30"/>
    </row>
    <row r="387" spans="4:9">
      <c r="D387" s="47"/>
      <c r="E387" s="143"/>
      <c r="H387" s="2"/>
      <c r="I387" s="30"/>
    </row>
    <row r="388" spans="4:9">
      <c r="D388" s="47"/>
      <c r="E388" s="143"/>
      <c r="H388" s="2"/>
      <c r="I388" s="30"/>
    </row>
    <row r="389" spans="4:9">
      <c r="D389" s="47"/>
      <c r="E389" s="143"/>
      <c r="H389" s="2"/>
      <c r="I389" s="30"/>
    </row>
    <row r="390" spans="4:9">
      <c r="D390" s="47"/>
      <c r="E390" s="143"/>
      <c r="H390" s="2"/>
      <c r="I390" s="30"/>
    </row>
    <row r="391" spans="4:9">
      <c r="D391" s="47"/>
      <c r="E391" s="143"/>
      <c r="H391" s="2"/>
      <c r="I391" s="30"/>
    </row>
    <row r="392" spans="4:9">
      <c r="D392" s="47"/>
      <c r="E392" s="143"/>
      <c r="H392" s="2"/>
      <c r="I392" s="30"/>
    </row>
    <row r="393" spans="4:9">
      <c r="D393" s="47"/>
      <c r="E393" s="143"/>
      <c r="H393" s="2"/>
      <c r="I393" s="30"/>
    </row>
    <row r="394" spans="4:9">
      <c r="D394" s="47"/>
      <c r="E394" s="143"/>
      <c r="H394" s="2"/>
      <c r="I394" s="30"/>
    </row>
    <row r="395" spans="4:9">
      <c r="D395" s="47"/>
      <c r="E395" s="143"/>
      <c r="H395" s="2"/>
      <c r="I395" s="30"/>
    </row>
    <row r="396" spans="4:9">
      <c r="D396" s="47"/>
      <c r="E396" s="143"/>
      <c r="H396" s="2"/>
      <c r="I396" s="30"/>
    </row>
    <row r="397" spans="4:9">
      <c r="D397" s="47"/>
      <c r="E397" s="143"/>
      <c r="H397" s="2"/>
      <c r="I397" s="30"/>
    </row>
    <row r="398" spans="4:9">
      <c r="D398" s="47"/>
      <c r="E398" s="143"/>
      <c r="H398" s="2"/>
      <c r="I398" s="30"/>
    </row>
    <row r="399" spans="4:9">
      <c r="D399" s="47"/>
      <c r="E399" s="143"/>
      <c r="H399" s="2"/>
      <c r="I399" s="30"/>
    </row>
    <row r="400" spans="4:9">
      <c r="D400" s="47"/>
      <c r="E400" s="143"/>
      <c r="H400" s="2"/>
      <c r="I400" s="30"/>
    </row>
    <row r="401" spans="4:9">
      <c r="D401" s="47"/>
      <c r="E401" s="143"/>
      <c r="H401" s="2"/>
      <c r="I401" s="30"/>
    </row>
    <row r="402" spans="4:9">
      <c r="D402" s="47"/>
      <c r="E402" s="143"/>
      <c r="H402" s="2"/>
      <c r="I402" s="30"/>
    </row>
    <row r="403" spans="4:9">
      <c r="D403" s="47"/>
      <c r="E403" s="143"/>
      <c r="H403" s="2"/>
      <c r="I403" s="30"/>
    </row>
    <row r="404" spans="4:9">
      <c r="D404" s="47"/>
      <c r="E404" s="143"/>
      <c r="H404" s="2"/>
      <c r="I404" s="30"/>
    </row>
    <row r="405" spans="4:9">
      <c r="D405" s="47"/>
      <c r="E405" s="143"/>
      <c r="H405" s="2"/>
      <c r="I405" s="30"/>
    </row>
    <row r="406" spans="4:9">
      <c r="D406" s="47"/>
      <c r="E406" s="143"/>
      <c r="H406" s="2"/>
      <c r="I406" s="30"/>
    </row>
    <row r="407" spans="4:9">
      <c r="D407" s="47"/>
      <c r="E407" s="143"/>
      <c r="H407" s="2"/>
      <c r="I407" s="30"/>
    </row>
    <row r="408" spans="4:9">
      <c r="D408" s="47"/>
      <c r="E408" s="143"/>
      <c r="H408" s="2"/>
      <c r="I408" s="30"/>
    </row>
    <row r="409" spans="4:9">
      <c r="D409" s="47"/>
      <c r="E409" s="143"/>
      <c r="H409" s="2"/>
      <c r="I409" s="30"/>
    </row>
    <row r="410" spans="4:9">
      <c r="D410" s="47"/>
      <c r="E410" s="143"/>
      <c r="H410" s="2"/>
      <c r="I410" s="30"/>
    </row>
    <row r="411" spans="4:9">
      <c r="D411" s="47"/>
      <c r="E411" s="143"/>
      <c r="H411" s="2"/>
      <c r="I411" s="30"/>
    </row>
    <row r="412" spans="4:9">
      <c r="D412" s="47"/>
      <c r="E412" s="143"/>
      <c r="H412" s="2"/>
      <c r="I412" s="30"/>
    </row>
    <row r="413" spans="4:9">
      <c r="D413" s="47"/>
      <c r="E413" s="143"/>
      <c r="H413" s="2"/>
      <c r="I413" s="30"/>
    </row>
    <row r="414" spans="4:9">
      <c r="D414" s="47"/>
      <c r="E414" s="143"/>
      <c r="H414" s="2"/>
      <c r="I414" s="30"/>
    </row>
    <row r="415" spans="4:9">
      <c r="D415" s="47"/>
      <c r="E415" s="143"/>
      <c r="H415" s="2"/>
      <c r="I415" s="30"/>
    </row>
    <row r="416" spans="4:9">
      <c r="D416" s="47"/>
      <c r="E416" s="143"/>
      <c r="H416" s="2"/>
      <c r="I416" s="30"/>
    </row>
    <row r="417" spans="4:9">
      <c r="D417" s="47"/>
      <c r="E417" s="143"/>
      <c r="H417" s="2"/>
      <c r="I417" s="30"/>
    </row>
    <row r="418" spans="4:9">
      <c r="D418" s="47"/>
      <c r="E418" s="143"/>
      <c r="H418" s="2"/>
      <c r="I418" s="30"/>
    </row>
    <row r="419" spans="4:9">
      <c r="D419" s="47"/>
      <c r="E419" s="143"/>
      <c r="H419" s="2"/>
      <c r="I419" s="30"/>
    </row>
    <row r="420" spans="4:9">
      <c r="D420" s="47"/>
      <c r="E420" s="143"/>
      <c r="H420" s="2"/>
      <c r="I420" s="30"/>
    </row>
    <row r="421" spans="4:9">
      <c r="D421" s="47"/>
      <c r="E421" s="143"/>
      <c r="H421" s="2"/>
      <c r="I421" s="30"/>
    </row>
    <row r="422" spans="4:9">
      <c r="D422" s="47"/>
      <c r="E422" s="143"/>
      <c r="H422" s="2"/>
      <c r="I422" s="30"/>
    </row>
    <row r="423" spans="4:9">
      <c r="D423" s="47"/>
      <c r="E423" s="143"/>
      <c r="H423" s="2"/>
      <c r="I423" s="30"/>
    </row>
    <row r="424" spans="4:9">
      <c r="D424" s="47"/>
      <c r="E424" s="143"/>
      <c r="H424" s="2"/>
      <c r="I424" s="30"/>
    </row>
    <row r="425" spans="4:9">
      <c r="D425" s="47"/>
      <c r="E425" s="143"/>
      <c r="H425" s="2"/>
      <c r="I425" s="30"/>
    </row>
    <row r="426" spans="4:9">
      <c r="D426" s="47"/>
      <c r="E426" s="143"/>
      <c r="H426" s="2"/>
      <c r="I426" s="30"/>
    </row>
    <row r="427" spans="4:9">
      <c r="D427" s="47"/>
      <c r="E427" s="143"/>
      <c r="H427" s="2"/>
      <c r="I427" s="30"/>
    </row>
    <row r="428" spans="4:9">
      <c r="D428" s="47"/>
      <c r="E428" s="143"/>
      <c r="H428" s="2"/>
      <c r="I428" s="30"/>
    </row>
    <row r="429" spans="4:9">
      <c r="D429" s="47"/>
      <c r="E429" s="143"/>
      <c r="H429" s="2"/>
      <c r="I429" s="30"/>
    </row>
    <row r="430" spans="4:9">
      <c r="D430" s="47"/>
      <c r="E430" s="143"/>
      <c r="H430" s="2"/>
      <c r="I430" s="30"/>
    </row>
    <row r="431" spans="4:9">
      <c r="D431" s="47"/>
      <c r="E431" s="143"/>
      <c r="H431" s="2"/>
      <c r="I431" s="30"/>
    </row>
    <row r="432" spans="4:9">
      <c r="D432" s="47"/>
      <c r="E432" s="143"/>
      <c r="H432" s="2"/>
      <c r="I432" s="30"/>
    </row>
    <row r="433" spans="4:9">
      <c r="D433" s="47"/>
      <c r="E433" s="143"/>
      <c r="H433" s="2"/>
      <c r="I433" s="30"/>
    </row>
    <row r="434" spans="4:9">
      <c r="D434" s="47"/>
      <c r="E434" s="143"/>
      <c r="H434" s="2"/>
      <c r="I434" s="30"/>
    </row>
    <row r="435" spans="4:9">
      <c r="D435" s="47"/>
      <c r="E435" s="143"/>
      <c r="H435" s="2"/>
      <c r="I435" s="30"/>
    </row>
    <row r="436" spans="4:9">
      <c r="D436" s="47"/>
      <c r="E436" s="143"/>
      <c r="H436" s="2"/>
      <c r="I436" s="30"/>
    </row>
    <row r="437" spans="4:9">
      <c r="D437" s="47"/>
      <c r="E437" s="143"/>
      <c r="H437" s="2"/>
      <c r="I437" s="30"/>
    </row>
    <row r="438" spans="4:9">
      <c r="D438" s="47"/>
      <c r="E438" s="143"/>
      <c r="H438" s="2"/>
      <c r="I438" s="30"/>
    </row>
    <row r="439" spans="4:9">
      <c r="D439" s="47"/>
      <c r="E439" s="143"/>
      <c r="H439" s="2"/>
      <c r="I439" s="30"/>
    </row>
    <row r="440" spans="4:9">
      <c r="D440" s="47"/>
      <c r="E440" s="143"/>
      <c r="H440" s="2"/>
      <c r="I440" s="30"/>
    </row>
    <row r="441" spans="4:9">
      <c r="D441" s="47"/>
      <c r="E441" s="143"/>
      <c r="H441" s="2"/>
      <c r="I441" s="30"/>
    </row>
    <row r="442" spans="4:9">
      <c r="D442" s="47"/>
      <c r="E442" s="143"/>
      <c r="H442" s="2"/>
      <c r="I442" s="30"/>
    </row>
    <row r="443" spans="4:9">
      <c r="D443" s="47"/>
      <c r="E443" s="143"/>
      <c r="H443" s="2"/>
      <c r="I443" s="30"/>
    </row>
    <row r="444" spans="4:9">
      <c r="D444" s="47"/>
      <c r="E444" s="143"/>
      <c r="H444" s="2"/>
      <c r="I444" s="30"/>
    </row>
    <row r="445" spans="4:9">
      <c r="D445" s="47"/>
      <c r="E445" s="143"/>
      <c r="H445" s="2"/>
      <c r="I445" s="30"/>
    </row>
    <row r="446" spans="4:9">
      <c r="D446" s="47"/>
      <c r="E446" s="143"/>
      <c r="H446" s="2"/>
      <c r="I446" s="30"/>
    </row>
    <row r="447" spans="4:9">
      <c r="D447" s="47"/>
      <c r="E447" s="143"/>
      <c r="H447" s="2"/>
      <c r="I447" s="30"/>
    </row>
    <row r="448" spans="4:9">
      <c r="D448" s="47"/>
      <c r="E448" s="143"/>
      <c r="H448" s="2"/>
      <c r="I448" s="30"/>
    </row>
    <row r="449" spans="4:9">
      <c r="D449" s="47"/>
      <c r="E449" s="143"/>
      <c r="H449" s="2"/>
      <c r="I449" s="30"/>
    </row>
    <row r="450" spans="4:9">
      <c r="D450" s="47"/>
      <c r="E450" s="143"/>
      <c r="H450" s="2"/>
      <c r="I450" s="30"/>
    </row>
    <row r="451" spans="4:9">
      <c r="D451" s="47"/>
      <c r="E451" s="143"/>
      <c r="H451" s="2"/>
      <c r="I451" s="30"/>
    </row>
    <row r="452" spans="4:9">
      <c r="D452" s="47"/>
      <c r="E452" s="143"/>
      <c r="H452" s="2"/>
      <c r="I452" s="30"/>
    </row>
    <row r="453" spans="4:9">
      <c r="D453" s="47"/>
      <c r="E453" s="143"/>
      <c r="H453" s="2"/>
      <c r="I453" s="30"/>
    </row>
    <row r="454" spans="4:9">
      <c r="D454" s="47"/>
      <c r="E454" s="143"/>
      <c r="H454" s="2"/>
      <c r="I454" s="30"/>
    </row>
    <row r="455" spans="4:9">
      <c r="D455" s="47"/>
      <c r="E455" s="143"/>
      <c r="H455" s="2"/>
      <c r="I455" s="30"/>
    </row>
    <row r="456" spans="4:9">
      <c r="D456" s="47"/>
      <c r="E456" s="143"/>
      <c r="H456" s="2"/>
      <c r="I456" s="30"/>
    </row>
    <row r="457" spans="4:9">
      <c r="D457" s="47"/>
      <c r="E457" s="143"/>
      <c r="H457" s="2"/>
      <c r="I457" s="30"/>
    </row>
    <row r="458" spans="4:9">
      <c r="D458" s="47"/>
      <c r="E458" s="143"/>
      <c r="H458" s="2"/>
      <c r="I458" s="30"/>
    </row>
    <row r="459" spans="4:9">
      <c r="D459" s="47"/>
      <c r="E459" s="143"/>
      <c r="H459" s="2"/>
      <c r="I459" s="30"/>
    </row>
    <row r="460" spans="4:9">
      <c r="D460" s="47"/>
      <c r="E460" s="143"/>
      <c r="H460" s="2"/>
      <c r="I460" s="30"/>
    </row>
    <row r="461" spans="4:9">
      <c r="D461" s="47"/>
      <c r="E461" s="143"/>
      <c r="H461" s="2"/>
      <c r="I461" s="30"/>
    </row>
    <row r="462" spans="4:9">
      <c r="D462" s="47"/>
      <c r="E462" s="143"/>
      <c r="H462" s="2"/>
      <c r="I462" s="30"/>
    </row>
    <row r="463" spans="4:9">
      <c r="D463" s="47"/>
      <c r="E463" s="143"/>
      <c r="H463" s="2"/>
      <c r="I463" s="30"/>
    </row>
    <row r="464" spans="4:9">
      <c r="D464" s="47"/>
      <c r="E464" s="143"/>
      <c r="H464" s="2"/>
      <c r="I464" s="30"/>
    </row>
    <row r="465" spans="4:9">
      <c r="D465" s="47"/>
      <c r="E465" s="143"/>
      <c r="H465" s="2"/>
      <c r="I465" s="30"/>
    </row>
    <row r="466" spans="4:9">
      <c r="D466" s="47"/>
      <c r="E466" s="143"/>
      <c r="H466" s="2"/>
      <c r="I466" s="30"/>
    </row>
    <row r="467" spans="4:9">
      <c r="D467" s="47"/>
      <c r="E467" s="143"/>
      <c r="H467" s="2"/>
      <c r="I467" s="30"/>
    </row>
    <row r="468" spans="4:9">
      <c r="D468" s="47"/>
      <c r="E468" s="143"/>
      <c r="H468" s="2"/>
      <c r="I468" s="30"/>
    </row>
    <row r="469" spans="4:9">
      <c r="D469" s="47"/>
      <c r="E469" s="143"/>
      <c r="H469" s="2"/>
      <c r="I469" s="30"/>
    </row>
    <row r="470" spans="4:9">
      <c r="D470" s="47"/>
      <c r="E470" s="143"/>
      <c r="H470" s="2"/>
      <c r="I470" s="30"/>
    </row>
    <row r="471" spans="4:9">
      <c r="D471" s="47"/>
      <c r="E471" s="143"/>
      <c r="H471" s="2"/>
      <c r="I471" s="30"/>
    </row>
    <row r="472" spans="4:9">
      <c r="D472" s="47"/>
      <c r="E472" s="143"/>
      <c r="H472" s="2"/>
      <c r="I472" s="30"/>
    </row>
    <row r="473" spans="4:9">
      <c r="D473" s="47"/>
      <c r="E473" s="143"/>
      <c r="H473" s="2"/>
      <c r="I473" s="30"/>
    </row>
    <row r="474" spans="4:9">
      <c r="D474" s="47"/>
      <c r="E474" s="143"/>
      <c r="H474" s="2"/>
      <c r="I474" s="30"/>
    </row>
    <row r="475" spans="4:9">
      <c r="D475" s="47"/>
      <c r="E475" s="143"/>
      <c r="H475" s="2"/>
      <c r="I475" s="30"/>
    </row>
    <row r="476" spans="4:9">
      <c r="D476" s="47"/>
      <c r="E476" s="143"/>
      <c r="H476" s="2"/>
      <c r="I476" s="30"/>
    </row>
    <row r="477" spans="4:9">
      <c r="D477" s="47"/>
      <c r="E477" s="143"/>
      <c r="H477" s="2"/>
      <c r="I477" s="30"/>
    </row>
    <row r="478" spans="4:9">
      <c r="D478" s="47"/>
      <c r="E478" s="143"/>
      <c r="H478" s="2"/>
      <c r="I478" s="30"/>
    </row>
    <row r="479" spans="4:9">
      <c r="D479" s="47"/>
      <c r="E479" s="143"/>
      <c r="H479" s="2"/>
      <c r="I479" s="30"/>
    </row>
    <row r="480" spans="4:9">
      <c r="D480" s="47"/>
      <c r="E480" s="143"/>
      <c r="H480" s="2"/>
      <c r="I480" s="30"/>
    </row>
    <row r="481" spans="4:9">
      <c r="D481" s="47"/>
      <c r="E481" s="143"/>
      <c r="H481" s="2"/>
      <c r="I481" s="30"/>
    </row>
    <row r="482" spans="4:9">
      <c r="D482" s="47"/>
      <c r="E482" s="143"/>
      <c r="H482" s="2"/>
      <c r="I482" s="30"/>
    </row>
    <row r="483" spans="4:9">
      <c r="D483" s="47"/>
      <c r="E483" s="143"/>
      <c r="H483" s="2"/>
      <c r="I483" s="30"/>
    </row>
    <row r="484" spans="4:9">
      <c r="D484" s="47"/>
      <c r="E484" s="143"/>
      <c r="H484" s="2"/>
      <c r="I484" s="30"/>
    </row>
    <row r="485" spans="4:9">
      <c r="D485" s="47"/>
      <c r="E485" s="143"/>
      <c r="H485" s="2"/>
      <c r="I485" s="30"/>
    </row>
    <row r="486" spans="4:9">
      <c r="D486" s="47"/>
      <c r="E486" s="143"/>
      <c r="H486" s="2"/>
      <c r="I486" s="30"/>
    </row>
    <row r="487" spans="4:9">
      <c r="D487" s="47"/>
      <c r="E487" s="143"/>
      <c r="H487" s="2"/>
      <c r="I487" s="30"/>
    </row>
    <row r="488" spans="4:9">
      <c r="D488" s="47"/>
      <c r="E488" s="143"/>
      <c r="H488" s="2"/>
      <c r="I488" s="30"/>
    </row>
    <row r="489" spans="4:9">
      <c r="D489" s="47"/>
      <c r="E489" s="143"/>
      <c r="H489" s="2"/>
      <c r="I489" s="30"/>
    </row>
    <row r="490" spans="4:9">
      <c r="D490" s="47"/>
      <c r="E490" s="143"/>
      <c r="H490" s="2"/>
      <c r="I490" s="30"/>
    </row>
    <row r="491" spans="4:9">
      <c r="D491" s="47"/>
      <c r="E491" s="143"/>
      <c r="H491" s="2"/>
      <c r="I491" s="30"/>
    </row>
    <row r="492" spans="4:9">
      <c r="D492" s="47"/>
      <c r="E492" s="143"/>
      <c r="H492" s="2"/>
      <c r="I492" s="30"/>
    </row>
    <row r="493" spans="4:9">
      <c r="D493" s="47"/>
      <c r="E493" s="143"/>
      <c r="H493" s="2"/>
      <c r="I493" s="30"/>
    </row>
    <row r="494" spans="4:9">
      <c r="D494" s="47"/>
      <c r="E494" s="143"/>
      <c r="H494" s="2"/>
      <c r="I494" s="30"/>
    </row>
    <row r="495" spans="4:9">
      <c r="D495" s="47"/>
      <c r="E495" s="143"/>
      <c r="H495" s="2"/>
      <c r="I495" s="30"/>
    </row>
    <row r="496" spans="4:9">
      <c r="D496" s="47"/>
      <c r="E496" s="143"/>
      <c r="H496" s="2"/>
      <c r="I496" s="30"/>
    </row>
    <row r="497" spans="4:9">
      <c r="D497" s="47"/>
      <c r="E497" s="143"/>
      <c r="H497" s="2"/>
      <c r="I497" s="30"/>
    </row>
    <row r="498" spans="4:9">
      <c r="D498" s="47"/>
      <c r="E498" s="143"/>
      <c r="H498" s="2"/>
      <c r="I498" s="30"/>
    </row>
    <row r="499" spans="4:9">
      <c r="D499" s="47"/>
      <c r="E499" s="143"/>
      <c r="H499" s="2"/>
      <c r="I499" s="30"/>
    </row>
    <row r="500" spans="4:9">
      <c r="D500" s="47"/>
      <c r="E500" s="143"/>
      <c r="H500" s="2"/>
      <c r="I500" s="30"/>
    </row>
    <row r="501" spans="4:9">
      <c r="D501" s="47"/>
      <c r="E501" s="143"/>
      <c r="H501" s="2"/>
      <c r="I501" s="30"/>
    </row>
    <row r="502" spans="4:9">
      <c r="D502" s="47"/>
      <c r="E502" s="143"/>
      <c r="H502" s="2"/>
      <c r="I502" s="30"/>
    </row>
    <row r="503" spans="4:9">
      <c r="D503" s="47"/>
      <c r="E503" s="143"/>
      <c r="H503" s="2"/>
      <c r="I503" s="30"/>
    </row>
    <row r="504" spans="4:9">
      <c r="D504" s="47"/>
      <c r="E504" s="143"/>
      <c r="H504" s="2"/>
      <c r="I504" s="30"/>
    </row>
    <row r="505" spans="4:9">
      <c r="D505" s="47"/>
      <c r="E505" s="143"/>
      <c r="H505" s="2"/>
      <c r="I505" s="30"/>
    </row>
    <row r="506" spans="4:9">
      <c r="D506" s="47"/>
      <c r="E506" s="143"/>
      <c r="H506" s="2"/>
      <c r="I506" s="30"/>
    </row>
    <row r="507" spans="4:9">
      <c r="D507" s="47"/>
      <c r="E507" s="143"/>
      <c r="H507" s="2"/>
      <c r="I507" s="30"/>
    </row>
    <row r="508" spans="4:9">
      <c r="D508" s="47"/>
      <c r="E508" s="143"/>
      <c r="H508" s="2"/>
      <c r="I508" s="30"/>
    </row>
    <row r="509" spans="4:9">
      <c r="D509" s="47"/>
      <c r="E509" s="143"/>
      <c r="H509" s="2"/>
      <c r="I509" s="30"/>
    </row>
    <row r="510" spans="4:9">
      <c r="D510" s="47"/>
      <c r="E510" s="143"/>
      <c r="H510" s="2"/>
      <c r="I510" s="30"/>
    </row>
    <row r="511" spans="4:9">
      <c r="D511" s="47"/>
      <c r="E511" s="143"/>
      <c r="H511" s="2"/>
      <c r="I511" s="30"/>
    </row>
    <row r="512" spans="4:9">
      <c r="D512" s="47"/>
      <c r="E512" s="143"/>
      <c r="H512" s="2"/>
      <c r="I512" s="30"/>
    </row>
    <row r="513" spans="4:9">
      <c r="D513" s="47"/>
      <c r="E513" s="143"/>
      <c r="H513" s="2"/>
      <c r="I513" s="30"/>
    </row>
    <row r="514" spans="4:9">
      <c r="D514" s="47"/>
      <c r="E514" s="143"/>
      <c r="H514" s="2"/>
      <c r="I514" s="30"/>
    </row>
    <row r="515" spans="4:9">
      <c r="D515" s="47"/>
      <c r="E515" s="143"/>
      <c r="H515" s="2"/>
      <c r="I515" s="30"/>
    </row>
    <row r="516" spans="4:9">
      <c r="D516" s="47"/>
      <c r="E516" s="143"/>
      <c r="H516" s="2"/>
      <c r="I516" s="30"/>
    </row>
    <row r="517" spans="4:9">
      <c r="D517" s="47"/>
      <c r="E517" s="143"/>
      <c r="H517" s="2"/>
      <c r="I517" s="30"/>
    </row>
    <row r="518" spans="4:9">
      <c r="D518" s="47"/>
      <c r="E518" s="143"/>
      <c r="H518" s="2"/>
      <c r="I518" s="30"/>
    </row>
    <row r="519" spans="4:9">
      <c r="D519" s="47"/>
      <c r="E519" s="143"/>
      <c r="H519" s="2"/>
      <c r="I519" s="30"/>
    </row>
    <row r="520" spans="4:9">
      <c r="D520" s="47"/>
      <c r="E520" s="143"/>
      <c r="H520" s="2"/>
      <c r="I520" s="30"/>
    </row>
    <row r="521" spans="4:9">
      <c r="D521" s="47"/>
      <c r="E521" s="143"/>
      <c r="H521" s="2"/>
      <c r="I521" s="30"/>
    </row>
    <row r="522" spans="4:9">
      <c r="D522" s="47"/>
      <c r="E522" s="143"/>
      <c r="H522" s="2"/>
      <c r="I522" s="30"/>
    </row>
    <row r="523" spans="4:9">
      <c r="D523" s="47"/>
      <c r="E523" s="143"/>
      <c r="H523" s="2"/>
      <c r="I523" s="30"/>
    </row>
    <row r="524" spans="4:9">
      <c r="D524" s="47"/>
      <c r="E524" s="143"/>
      <c r="H524" s="2"/>
      <c r="I524" s="30"/>
    </row>
    <row r="525" spans="4:9">
      <c r="D525" s="47"/>
      <c r="E525" s="143"/>
      <c r="H525" s="2"/>
      <c r="I525" s="30"/>
    </row>
    <row r="526" spans="4:9">
      <c r="D526" s="47"/>
      <c r="E526" s="143"/>
      <c r="H526" s="2"/>
      <c r="I526" s="30"/>
    </row>
    <row r="527" spans="4:9">
      <c r="D527" s="47"/>
      <c r="E527" s="143"/>
      <c r="H527" s="2"/>
      <c r="I527" s="30"/>
    </row>
    <row r="528" spans="4:9">
      <c r="D528" s="47"/>
      <c r="E528" s="143"/>
      <c r="H528" s="2"/>
      <c r="I528" s="30"/>
    </row>
    <row r="529" spans="4:9">
      <c r="D529" s="47"/>
      <c r="E529" s="143"/>
      <c r="H529" s="2"/>
      <c r="I529" s="30"/>
    </row>
    <row r="530" spans="4:9">
      <c r="D530" s="47"/>
      <c r="E530" s="143"/>
      <c r="H530" s="2"/>
      <c r="I530" s="30"/>
    </row>
    <row r="531" spans="4:9">
      <c r="D531" s="47"/>
      <c r="E531" s="143"/>
      <c r="H531" s="2"/>
      <c r="I531" s="30"/>
    </row>
    <row r="532" spans="4:9">
      <c r="D532" s="47"/>
      <c r="E532" s="143"/>
      <c r="H532" s="2"/>
      <c r="I532" s="30"/>
    </row>
    <row r="533" spans="4:9">
      <c r="D533" s="47"/>
      <c r="E533" s="143"/>
      <c r="H533" s="2"/>
      <c r="I533" s="30"/>
    </row>
    <row r="534" spans="4:9">
      <c r="D534" s="47"/>
      <c r="E534" s="143"/>
      <c r="H534" s="2"/>
      <c r="I534" s="30"/>
    </row>
    <row r="535" spans="4:9">
      <c r="D535" s="47"/>
      <c r="E535" s="143"/>
      <c r="H535" s="2"/>
      <c r="I535" s="30"/>
    </row>
    <row r="536" spans="4:9">
      <c r="D536" s="47"/>
      <c r="E536" s="143"/>
      <c r="H536" s="2"/>
      <c r="I536" s="30"/>
    </row>
    <row r="537" spans="4:9">
      <c r="D537" s="47"/>
      <c r="E537" s="143"/>
      <c r="H537" s="2"/>
      <c r="I537" s="30"/>
    </row>
    <row r="538" spans="4:9">
      <c r="D538" s="47"/>
      <c r="E538" s="143"/>
      <c r="H538" s="2"/>
      <c r="I538" s="30"/>
    </row>
    <row r="539" spans="4:9">
      <c r="D539" s="47"/>
      <c r="E539" s="143"/>
      <c r="H539" s="2"/>
      <c r="I539" s="30"/>
    </row>
    <row r="540" spans="4:9">
      <c r="D540" s="47"/>
      <c r="E540" s="143"/>
      <c r="H540" s="2"/>
      <c r="I540" s="30"/>
    </row>
    <row r="541" spans="4:9">
      <c r="D541" s="47"/>
      <c r="E541" s="143"/>
      <c r="H541" s="2"/>
      <c r="I541" s="30"/>
    </row>
    <row r="542" spans="4:9">
      <c r="D542" s="47"/>
      <c r="E542" s="143"/>
      <c r="H542" s="2"/>
      <c r="I542" s="30"/>
    </row>
    <row r="543" spans="4:9">
      <c r="D543" s="47"/>
      <c r="E543" s="143"/>
      <c r="H543" s="2"/>
      <c r="I543" s="30"/>
    </row>
    <row r="544" spans="4:9">
      <c r="D544" s="47"/>
      <c r="E544" s="143"/>
      <c r="H544" s="2"/>
      <c r="I544" s="30"/>
    </row>
    <row r="545" spans="4:9">
      <c r="D545" s="47"/>
      <c r="E545" s="143"/>
      <c r="H545" s="2"/>
      <c r="I545" s="30"/>
    </row>
    <row r="546" spans="4:9">
      <c r="D546" s="47"/>
      <c r="E546" s="143"/>
      <c r="H546" s="2"/>
      <c r="I546" s="30"/>
    </row>
    <row r="547" spans="4:9">
      <c r="D547" s="47"/>
      <c r="E547" s="143"/>
      <c r="H547" s="2"/>
      <c r="I547" s="30"/>
    </row>
    <row r="548" spans="4:9">
      <c r="D548" s="47"/>
      <c r="E548" s="143"/>
      <c r="H548" s="2"/>
      <c r="I548" s="30"/>
    </row>
    <row r="549" spans="4:9">
      <c r="D549" s="47"/>
      <c r="E549" s="143"/>
      <c r="H549" s="2"/>
      <c r="I549" s="30"/>
    </row>
    <row r="550" spans="4:9">
      <c r="D550" s="47"/>
      <c r="E550" s="143"/>
      <c r="H550" s="2"/>
      <c r="I550" s="30"/>
    </row>
    <row r="551" spans="4:9">
      <c r="D551" s="47"/>
      <c r="E551" s="143"/>
      <c r="H551" s="2"/>
      <c r="I551" s="30"/>
    </row>
    <row r="552" spans="4:9">
      <c r="D552" s="47"/>
      <c r="E552" s="143"/>
      <c r="H552" s="2"/>
      <c r="I552" s="30"/>
    </row>
    <row r="553" spans="4:9">
      <c r="D553" s="47"/>
      <c r="E553" s="143"/>
      <c r="H553" s="2"/>
      <c r="I553" s="30"/>
    </row>
    <row r="554" spans="4:9">
      <c r="D554" s="47"/>
      <c r="E554" s="143"/>
      <c r="H554" s="2"/>
      <c r="I554" s="30"/>
    </row>
    <row r="555" spans="4:9">
      <c r="D555" s="47"/>
      <c r="E555" s="143"/>
      <c r="H555" s="2"/>
      <c r="I555" s="30"/>
    </row>
    <row r="556" spans="4:9">
      <c r="D556" s="47"/>
      <c r="E556" s="143"/>
      <c r="H556" s="2"/>
      <c r="I556" s="30"/>
    </row>
    <row r="557" spans="4:9">
      <c r="D557" s="47"/>
      <c r="E557" s="143"/>
      <c r="H557" s="2"/>
      <c r="I557" s="30"/>
    </row>
    <row r="558" spans="4:9">
      <c r="D558" s="47"/>
      <c r="E558" s="143"/>
      <c r="H558" s="2"/>
      <c r="I558" s="30"/>
    </row>
    <row r="559" spans="4:9">
      <c r="D559" s="47"/>
      <c r="E559" s="143"/>
      <c r="H559" s="2"/>
      <c r="I559" s="30"/>
    </row>
    <row r="560" spans="4:9">
      <c r="D560" s="47"/>
      <c r="E560" s="143"/>
      <c r="H560" s="2"/>
      <c r="I560" s="30"/>
    </row>
    <row r="561" spans="4:9">
      <c r="D561" s="47"/>
      <c r="E561" s="143"/>
      <c r="H561" s="2"/>
      <c r="I561" s="30"/>
    </row>
    <row r="562" spans="4:9">
      <c r="D562" s="47"/>
      <c r="E562" s="143"/>
      <c r="H562" s="2"/>
      <c r="I562" s="30"/>
    </row>
    <row r="563" spans="4:9">
      <c r="D563" s="47"/>
      <c r="E563" s="143"/>
      <c r="H563" s="2"/>
      <c r="I563" s="30"/>
    </row>
    <row r="564" spans="4:9">
      <c r="D564" s="47"/>
      <c r="E564" s="143"/>
      <c r="H564" s="2"/>
      <c r="I564" s="30"/>
    </row>
    <row r="565" spans="4:9">
      <c r="D565" s="47"/>
      <c r="E565" s="143"/>
      <c r="H565" s="2"/>
      <c r="I565" s="30"/>
    </row>
    <row r="566" spans="4:9">
      <c r="D566" s="47"/>
      <c r="E566" s="143"/>
      <c r="H566" s="2"/>
      <c r="I566" s="30"/>
    </row>
    <row r="567" spans="4:9">
      <c r="D567" s="47"/>
      <c r="E567" s="143"/>
      <c r="H567" s="2"/>
      <c r="I567" s="30"/>
    </row>
    <row r="568" spans="4:9">
      <c r="D568" s="47"/>
      <c r="E568" s="143"/>
      <c r="H568" s="2"/>
      <c r="I568" s="30"/>
    </row>
    <row r="569" spans="4:9">
      <c r="D569" s="47"/>
      <c r="E569" s="143"/>
      <c r="H569" s="2"/>
      <c r="I569" s="30"/>
    </row>
    <row r="570" spans="4:9">
      <c r="D570" s="47"/>
      <c r="E570" s="143"/>
      <c r="H570" s="2"/>
      <c r="I570" s="30"/>
    </row>
    <row r="571" spans="4:9">
      <c r="D571" s="47"/>
      <c r="E571" s="143"/>
      <c r="H571" s="2"/>
      <c r="I571" s="30"/>
    </row>
    <row r="572" spans="4:9">
      <c r="D572" s="47"/>
      <c r="E572" s="143"/>
      <c r="H572" s="2"/>
      <c r="I572" s="30"/>
    </row>
    <row r="573" spans="4:9">
      <c r="D573" s="47"/>
      <c r="E573" s="143"/>
      <c r="H573" s="2"/>
      <c r="I573" s="30"/>
    </row>
    <row r="574" spans="4:9">
      <c r="D574" s="47"/>
      <c r="E574" s="143"/>
      <c r="H574" s="2"/>
      <c r="I574" s="30"/>
    </row>
    <row r="575" spans="4:9">
      <c r="D575" s="47"/>
      <c r="E575" s="143"/>
      <c r="H575" s="2"/>
      <c r="I575" s="30"/>
    </row>
    <row r="576" spans="4:9">
      <c r="D576" s="47"/>
      <c r="E576" s="143"/>
      <c r="H576" s="2"/>
      <c r="I576" s="30"/>
    </row>
    <row r="577" spans="4:9">
      <c r="D577" s="47"/>
      <c r="E577" s="143"/>
      <c r="H577" s="2"/>
      <c r="I577" s="30"/>
    </row>
    <row r="578" spans="4:9">
      <c r="D578" s="47"/>
      <c r="E578" s="143"/>
      <c r="H578" s="2"/>
      <c r="I578" s="30"/>
    </row>
    <row r="579" spans="4:9">
      <c r="D579" s="47"/>
      <c r="E579" s="143"/>
      <c r="H579" s="2"/>
      <c r="I579" s="30"/>
    </row>
    <row r="580" spans="4:9">
      <c r="D580" s="47"/>
      <c r="E580" s="143"/>
      <c r="H580" s="2"/>
      <c r="I580" s="30"/>
    </row>
    <row r="581" spans="4:9">
      <c r="D581" s="47"/>
      <c r="E581" s="143"/>
      <c r="H581" s="2"/>
      <c r="I581" s="30"/>
    </row>
    <row r="582" spans="4:9">
      <c r="D582" s="47"/>
      <c r="E582" s="143"/>
      <c r="H582" s="2"/>
      <c r="I582" s="30"/>
    </row>
    <row r="583" spans="4:9">
      <c r="D583" s="47"/>
      <c r="E583" s="143"/>
      <c r="H583" s="2"/>
      <c r="I583" s="30"/>
    </row>
    <row r="584" spans="4:9">
      <c r="D584" s="47"/>
      <c r="E584" s="143"/>
      <c r="H584" s="2"/>
      <c r="I584" s="30"/>
    </row>
    <row r="585" spans="4:9">
      <c r="D585" s="47"/>
      <c r="E585" s="143"/>
      <c r="H585" s="2"/>
      <c r="I585" s="30"/>
    </row>
    <row r="586" spans="4:9">
      <c r="D586" s="47"/>
      <c r="E586" s="143"/>
      <c r="H586" s="2"/>
      <c r="I586" s="30"/>
    </row>
    <row r="587" spans="4:9">
      <c r="D587" s="47"/>
      <c r="E587" s="143"/>
      <c r="H587" s="2"/>
      <c r="I587" s="30"/>
    </row>
    <row r="588" spans="4:9">
      <c r="D588" s="47"/>
      <c r="E588" s="143"/>
      <c r="H588" s="2"/>
      <c r="I588" s="30"/>
    </row>
    <row r="589" spans="4:9">
      <c r="D589" s="47"/>
      <c r="E589" s="143"/>
      <c r="H589" s="2"/>
      <c r="I589" s="30"/>
    </row>
    <row r="590" spans="4:9">
      <c r="D590" s="47"/>
      <c r="E590" s="143"/>
      <c r="H590" s="2"/>
      <c r="I590" s="30"/>
    </row>
    <row r="591" spans="4:9">
      <c r="D591" s="47"/>
      <c r="E591" s="143"/>
      <c r="H591" s="2"/>
      <c r="I591" s="30"/>
    </row>
    <row r="592" spans="4:9">
      <c r="D592" s="47"/>
      <c r="E592" s="143"/>
      <c r="H592" s="2"/>
      <c r="I592" s="30"/>
    </row>
    <row r="593" spans="4:9">
      <c r="D593" s="47"/>
      <c r="E593" s="143"/>
      <c r="H593" s="2"/>
      <c r="I593" s="30"/>
    </row>
    <row r="594" spans="4:9">
      <c r="D594" s="47"/>
      <c r="E594" s="143"/>
      <c r="H594" s="2"/>
      <c r="I594" s="30"/>
    </row>
    <row r="595" spans="4:9">
      <c r="D595" s="47"/>
      <c r="E595" s="143"/>
      <c r="H595" s="2"/>
      <c r="I595" s="30"/>
    </row>
    <row r="596" spans="4:9">
      <c r="D596" s="47"/>
      <c r="E596" s="143"/>
      <c r="H596" s="2"/>
      <c r="I596" s="30"/>
    </row>
    <row r="597" spans="4:9">
      <c r="D597" s="47"/>
      <c r="E597" s="143"/>
      <c r="H597" s="2"/>
      <c r="I597" s="30"/>
    </row>
    <row r="598" spans="4:9">
      <c r="D598" s="47"/>
      <c r="E598" s="143"/>
      <c r="H598" s="2"/>
      <c r="I598" s="30"/>
    </row>
    <row r="599" spans="4:9">
      <c r="D599" s="47"/>
      <c r="E599" s="143"/>
      <c r="H599" s="2"/>
      <c r="I599" s="30"/>
    </row>
    <row r="600" spans="4:9">
      <c r="D600" s="47"/>
      <c r="E600" s="143"/>
      <c r="H600" s="2"/>
      <c r="I600" s="30"/>
    </row>
    <row r="601" spans="4:9">
      <c r="D601" s="47"/>
      <c r="E601" s="143"/>
      <c r="H601" s="2"/>
      <c r="I601" s="30"/>
    </row>
    <row r="602" spans="4:9">
      <c r="D602" s="47"/>
      <c r="E602" s="143"/>
      <c r="H602" s="2"/>
      <c r="I602" s="30"/>
    </row>
    <row r="603" spans="4:9">
      <c r="D603" s="47"/>
      <c r="E603" s="143"/>
      <c r="H603" s="2"/>
      <c r="I603" s="30"/>
    </row>
    <row r="604" spans="4:9">
      <c r="D604" s="47"/>
      <c r="E604" s="143"/>
      <c r="H604" s="2"/>
      <c r="I604" s="30"/>
    </row>
    <row r="605" spans="4:9">
      <c r="D605" s="47"/>
      <c r="E605" s="143"/>
      <c r="H605" s="2"/>
      <c r="I605" s="30"/>
    </row>
    <row r="606" spans="4:9">
      <c r="D606" s="47"/>
      <c r="E606" s="143"/>
      <c r="H606" s="2"/>
      <c r="I606" s="30"/>
    </row>
    <row r="607" spans="4:9">
      <c r="D607" s="47"/>
      <c r="E607" s="143"/>
      <c r="H607" s="2"/>
      <c r="I607" s="30"/>
    </row>
    <row r="608" spans="4:9">
      <c r="D608" s="47"/>
      <c r="E608" s="143"/>
      <c r="H608" s="2"/>
      <c r="I608" s="30"/>
    </row>
    <row r="609" spans="4:9">
      <c r="D609" s="47"/>
      <c r="E609" s="143"/>
      <c r="H609" s="2"/>
      <c r="I609" s="30"/>
    </row>
    <row r="610" spans="4:9">
      <c r="D610" s="47"/>
      <c r="E610" s="143"/>
      <c r="H610" s="2"/>
      <c r="I610" s="30"/>
    </row>
    <row r="611" spans="4:9">
      <c r="D611" s="47"/>
      <c r="E611" s="143"/>
      <c r="H611" s="2"/>
      <c r="I611" s="30"/>
    </row>
    <row r="612" spans="4:9">
      <c r="D612" s="47"/>
      <c r="E612" s="143"/>
      <c r="H612" s="2"/>
      <c r="I612" s="30"/>
    </row>
    <row r="613" spans="4:9">
      <c r="D613" s="47"/>
      <c r="E613" s="143"/>
      <c r="H613" s="2"/>
      <c r="I613" s="30"/>
    </row>
    <row r="614" spans="4:9">
      <c r="D614" s="47"/>
      <c r="E614" s="143"/>
      <c r="H614" s="2"/>
      <c r="I614" s="30"/>
    </row>
    <row r="615" spans="4:9">
      <c r="D615" s="47"/>
      <c r="E615" s="143"/>
      <c r="H615" s="2"/>
      <c r="I615" s="30"/>
    </row>
    <row r="616" spans="4:9">
      <c r="D616" s="47"/>
      <c r="E616" s="143"/>
      <c r="H616" s="2"/>
      <c r="I616" s="30"/>
    </row>
    <row r="617" spans="4:9">
      <c r="D617" s="47"/>
      <c r="E617" s="143"/>
      <c r="H617" s="2"/>
      <c r="I617" s="30"/>
    </row>
    <row r="618" spans="4:9">
      <c r="D618" s="47"/>
      <c r="E618" s="143"/>
      <c r="H618" s="2"/>
      <c r="I618" s="30"/>
    </row>
    <row r="619" spans="4:9">
      <c r="D619" s="47"/>
      <c r="E619" s="143"/>
      <c r="H619" s="2"/>
      <c r="I619" s="30"/>
    </row>
    <row r="620" spans="4:9">
      <c r="D620" s="47"/>
      <c r="E620" s="143"/>
      <c r="H620" s="2"/>
      <c r="I620" s="30"/>
    </row>
    <row r="621" spans="4:9">
      <c r="D621" s="47"/>
      <c r="E621" s="143"/>
      <c r="H621" s="2"/>
      <c r="I621" s="30"/>
    </row>
    <row r="622" spans="4:9">
      <c r="D622" s="47"/>
      <c r="E622" s="143"/>
      <c r="H622" s="2"/>
      <c r="I622" s="30"/>
    </row>
    <row r="623" spans="4:9">
      <c r="D623" s="47"/>
      <c r="E623" s="143"/>
      <c r="H623" s="2"/>
      <c r="I623" s="30"/>
    </row>
    <row r="624" spans="4:9">
      <c r="D624" s="47"/>
      <c r="E624" s="143"/>
      <c r="H624" s="2"/>
      <c r="I624" s="30"/>
    </row>
    <row r="625" spans="4:9">
      <c r="D625" s="47"/>
      <c r="E625" s="143"/>
      <c r="H625" s="2"/>
      <c r="I625" s="30"/>
    </row>
    <row r="626" spans="4:9">
      <c r="D626" s="47"/>
      <c r="E626" s="143"/>
      <c r="H626" s="2"/>
      <c r="I626" s="30"/>
    </row>
    <row r="627" spans="4:9">
      <c r="D627" s="47"/>
      <c r="E627" s="143"/>
      <c r="H627" s="2"/>
      <c r="I627" s="30"/>
    </row>
    <row r="628" spans="4:9">
      <c r="D628" s="47"/>
      <c r="E628" s="143"/>
      <c r="H628" s="2"/>
      <c r="I628" s="30"/>
    </row>
    <row r="629" spans="4:9">
      <c r="D629" s="47"/>
      <c r="E629" s="143"/>
      <c r="H629" s="2"/>
      <c r="I629" s="30"/>
    </row>
    <row r="630" spans="4:9">
      <c r="D630" s="47"/>
      <c r="E630" s="143"/>
      <c r="H630" s="2"/>
      <c r="I630" s="30"/>
    </row>
    <row r="631" spans="4:9">
      <c r="D631" s="47"/>
      <c r="E631" s="143"/>
      <c r="H631" s="2"/>
      <c r="I631" s="30"/>
    </row>
    <row r="632" spans="4:9">
      <c r="D632" s="47"/>
      <c r="E632" s="143"/>
      <c r="H632" s="2"/>
      <c r="I632" s="30"/>
    </row>
    <row r="633" spans="4:9">
      <c r="D633" s="47"/>
      <c r="E633" s="143"/>
      <c r="H633" s="2"/>
      <c r="I633" s="30"/>
    </row>
    <row r="634" spans="4:9">
      <c r="D634" s="47"/>
      <c r="E634" s="143"/>
      <c r="H634" s="2"/>
      <c r="I634" s="30"/>
    </row>
    <row r="635" spans="4:9">
      <c r="D635" s="47"/>
      <c r="E635" s="143"/>
      <c r="H635" s="2"/>
      <c r="I635" s="30"/>
    </row>
    <row r="636" spans="4:9">
      <c r="D636" s="47"/>
      <c r="E636" s="143"/>
      <c r="H636" s="2"/>
      <c r="I636" s="30"/>
    </row>
    <row r="637" spans="4:9">
      <c r="D637" s="47"/>
      <c r="E637" s="143"/>
      <c r="H637" s="2"/>
      <c r="I637" s="30"/>
    </row>
    <row r="638" spans="4:9">
      <c r="D638" s="47"/>
      <c r="E638" s="143"/>
      <c r="H638" s="2"/>
      <c r="I638" s="30"/>
    </row>
    <row r="639" spans="4:9">
      <c r="D639" s="47"/>
      <c r="E639" s="143"/>
      <c r="H639" s="2"/>
      <c r="I639" s="30"/>
    </row>
    <row r="640" spans="4:9">
      <c r="D640" s="47"/>
      <c r="E640" s="143"/>
      <c r="H640" s="2"/>
      <c r="I640" s="30"/>
    </row>
    <row r="641" spans="4:9">
      <c r="D641" s="47"/>
      <c r="E641" s="143"/>
      <c r="H641" s="2"/>
      <c r="I641" s="30"/>
    </row>
    <row r="642" spans="4:9">
      <c r="D642" s="47"/>
      <c r="E642" s="143"/>
      <c r="H642" s="2"/>
      <c r="I642" s="30"/>
    </row>
    <row r="643" spans="4:9">
      <c r="D643" s="47"/>
      <c r="E643" s="143"/>
      <c r="H643" s="2"/>
      <c r="I643" s="30"/>
    </row>
    <row r="644" spans="4:9">
      <c r="D644" s="47"/>
      <c r="E644" s="143"/>
      <c r="H644" s="2"/>
      <c r="I644" s="30"/>
    </row>
    <row r="645" spans="4:9">
      <c r="D645" s="47"/>
      <c r="E645" s="143"/>
      <c r="H645" s="2"/>
      <c r="I645" s="30"/>
    </row>
    <row r="646" spans="4:9">
      <c r="D646" s="47"/>
      <c r="E646" s="143"/>
      <c r="H646" s="2"/>
      <c r="I646" s="30"/>
    </row>
    <row r="647" spans="4:9">
      <c r="D647" s="47"/>
      <c r="E647" s="143"/>
      <c r="H647" s="2"/>
      <c r="I647" s="30"/>
    </row>
    <row r="648" spans="4:9">
      <c r="D648" s="47"/>
      <c r="E648" s="143"/>
      <c r="H648" s="2"/>
      <c r="I648" s="30"/>
    </row>
    <row r="649" spans="4:9">
      <c r="D649" s="47"/>
      <c r="E649" s="143"/>
      <c r="H649" s="2"/>
      <c r="I649" s="30"/>
    </row>
    <row r="650" spans="4:9">
      <c r="D650" s="47"/>
      <c r="E650" s="143"/>
      <c r="H650" s="2"/>
      <c r="I650" s="30"/>
    </row>
    <row r="651" spans="4:9">
      <c r="D651" s="47"/>
      <c r="E651" s="143"/>
      <c r="H651" s="2"/>
      <c r="I651" s="30"/>
    </row>
    <row r="652" spans="4:9">
      <c r="D652" s="47"/>
      <c r="E652" s="143"/>
      <c r="H652" s="2"/>
      <c r="I652" s="30"/>
    </row>
    <row r="653" spans="4:9">
      <c r="D653" s="47"/>
      <c r="E653" s="143"/>
      <c r="H653" s="2"/>
      <c r="I653" s="30"/>
    </row>
    <row r="654" spans="4:9">
      <c r="D654" s="47"/>
      <c r="E654" s="143"/>
      <c r="H654" s="2"/>
      <c r="I654" s="30"/>
    </row>
    <row r="655" spans="4:9">
      <c r="D655" s="47"/>
      <c r="E655" s="143"/>
      <c r="H655" s="2"/>
      <c r="I655" s="30"/>
    </row>
    <row r="656" spans="4:9">
      <c r="D656" s="47"/>
      <c r="E656" s="143"/>
      <c r="H656" s="2"/>
      <c r="I656" s="30"/>
    </row>
    <row r="657" spans="4:9">
      <c r="D657" s="47"/>
      <c r="E657" s="143"/>
      <c r="H657" s="2"/>
      <c r="I657" s="30"/>
    </row>
    <row r="658" spans="4:9">
      <c r="D658" s="47"/>
      <c r="E658" s="143"/>
      <c r="H658" s="2"/>
      <c r="I658" s="30"/>
    </row>
    <row r="659" spans="4:9">
      <c r="D659" s="47"/>
      <c r="E659" s="143"/>
      <c r="H659" s="2"/>
      <c r="I659" s="30"/>
    </row>
    <row r="660" spans="4:9">
      <c r="D660" s="47"/>
      <c r="E660" s="143"/>
      <c r="H660" s="2"/>
      <c r="I660" s="30"/>
    </row>
    <row r="661" spans="4:9">
      <c r="D661" s="47"/>
      <c r="E661" s="143"/>
      <c r="H661" s="2"/>
      <c r="I661" s="30"/>
    </row>
    <row r="662" spans="4:9">
      <c r="D662" s="47"/>
      <c r="E662" s="143"/>
      <c r="H662" s="2"/>
      <c r="I662" s="30"/>
    </row>
    <row r="663" spans="4:9">
      <c r="D663" s="47"/>
      <c r="E663" s="143"/>
      <c r="H663" s="2"/>
      <c r="I663" s="30"/>
    </row>
    <row r="664" spans="4:9">
      <c r="D664" s="47"/>
      <c r="E664" s="143"/>
      <c r="H664" s="2"/>
      <c r="I664" s="30"/>
    </row>
    <row r="665" spans="4:9">
      <c r="D665" s="47"/>
      <c r="E665" s="143"/>
      <c r="H665" s="2"/>
      <c r="I665" s="30"/>
    </row>
    <row r="666" spans="4:9">
      <c r="D666" s="47"/>
      <c r="E666" s="143"/>
      <c r="H666" s="2"/>
      <c r="I666" s="30"/>
    </row>
    <row r="667" spans="4:9">
      <c r="D667" s="47"/>
      <c r="E667" s="143"/>
      <c r="H667" s="2"/>
      <c r="I667" s="30"/>
    </row>
    <row r="668" spans="4:9">
      <c r="D668" s="47"/>
      <c r="E668" s="143"/>
      <c r="H668" s="2"/>
      <c r="I668" s="30"/>
    </row>
    <row r="669" spans="4:9">
      <c r="D669" s="47"/>
      <c r="E669" s="143"/>
      <c r="H669" s="2"/>
      <c r="I669" s="30"/>
    </row>
    <row r="670" spans="4:9">
      <c r="D670" s="47"/>
      <c r="E670" s="143"/>
      <c r="H670" s="2"/>
      <c r="I670" s="30"/>
    </row>
    <row r="671" spans="4:9">
      <c r="D671" s="47"/>
      <c r="E671" s="143"/>
      <c r="H671" s="2"/>
      <c r="I671" s="30"/>
    </row>
    <row r="672" spans="4:9">
      <c r="D672" s="47"/>
      <c r="E672" s="143"/>
      <c r="H672" s="2"/>
      <c r="I672" s="30"/>
    </row>
    <row r="673" spans="4:9">
      <c r="D673" s="47"/>
      <c r="E673" s="143"/>
      <c r="H673" s="2"/>
      <c r="I673" s="30"/>
    </row>
    <row r="674" spans="4:9">
      <c r="D674" s="47"/>
      <c r="E674" s="143"/>
      <c r="H674" s="2"/>
      <c r="I674" s="30"/>
    </row>
    <row r="675" spans="4:9">
      <c r="D675" s="47"/>
      <c r="E675" s="143"/>
      <c r="H675" s="2"/>
      <c r="I675" s="30"/>
    </row>
    <row r="676" spans="4:9">
      <c r="D676" s="47"/>
      <c r="E676" s="143"/>
      <c r="H676" s="2"/>
      <c r="I676" s="30"/>
    </row>
    <row r="677" spans="4:9">
      <c r="D677" s="47"/>
      <c r="E677" s="143"/>
      <c r="H677" s="2"/>
      <c r="I677" s="30"/>
    </row>
    <row r="678" spans="4:9">
      <c r="D678" s="47"/>
      <c r="E678" s="143"/>
      <c r="H678" s="2"/>
      <c r="I678" s="30"/>
    </row>
    <row r="679" spans="4:9">
      <c r="D679" s="47"/>
      <c r="E679" s="143"/>
      <c r="H679" s="2"/>
      <c r="I679" s="30"/>
    </row>
    <row r="680" spans="4:9">
      <c r="D680" s="47"/>
      <c r="E680" s="143"/>
      <c r="H680" s="2"/>
      <c r="I680" s="30"/>
    </row>
    <row r="681" spans="4:9">
      <c r="D681" s="47"/>
      <c r="E681" s="143"/>
      <c r="H681" s="2"/>
      <c r="I681" s="30"/>
    </row>
    <row r="682" spans="4:9">
      <c r="D682" s="47"/>
      <c r="E682" s="143"/>
      <c r="H682" s="2"/>
      <c r="I682" s="30"/>
    </row>
    <row r="683" spans="4:9">
      <c r="D683" s="47"/>
      <c r="E683" s="143"/>
      <c r="H683" s="2"/>
      <c r="I683" s="30"/>
    </row>
    <row r="684" spans="4:9">
      <c r="D684" s="47"/>
      <c r="E684" s="143"/>
      <c r="H684" s="2"/>
      <c r="I684" s="30"/>
    </row>
    <row r="685" spans="4:9">
      <c r="D685" s="47"/>
      <c r="E685" s="143"/>
      <c r="H685" s="2"/>
      <c r="I685" s="30"/>
    </row>
    <row r="686" spans="4:9">
      <c r="D686" s="47"/>
      <c r="E686" s="143"/>
      <c r="H686" s="2"/>
      <c r="I686" s="30"/>
    </row>
    <row r="687" spans="4:9">
      <c r="D687" s="47"/>
      <c r="E687" s="143"/>
      <c r="H687" s="2"/>
      <c r="I687" s="30"/>
    </row>
    <row r="688" spans="4:9">
      <c r="D688" s="47"/>
      <c r="E688" s="143"/>
      <c r="H688" s="2"/>
      <c r="I688" s="30"/>
    </row>
    <row r="689" spans="4:9">
      <c r="D689" s="47"/>
      <c r="E689" s="143"/>
      <c r="H689" s="2"/>
      <c r="I689" s="30"/>
    </row>
    <row r="690" spans="4:9">
      <c r="D690" s="47"/>
      <c r="E690" s="143"/>
      <c r="H690" s="2"/>
      <c r="I690" s="30"/>
    </row>
    <row r="691" spans="4:9">
      <c r="D691" s="47"/>
      <c r="E691" s="143"/>
      <c r="H691" s="2"/>
      <c r="I691" s="30"/>
    </row>
    <row r="692" spans="4:9">
      <c r="D692" s="47"/>
      <c r="E692" s="143"/>
      <c r="H692" s="2"/>
      <c r="I692" s="30"/>
    </row>
    <row r="693" spans="4:9">
      <c r="D693" s="47"/>
      <c r="E693" s="143"/>
      <c r="H693" s="2"/>
      <c r="I693" s="30"/>
    </row>
    <row r="694" spans="4:9">
      <c r="D694" s="47"/>
      <c r="E694" s="143"/>
      <c r="H694" s="2"/>
      <c r="I694" s="30"/>
    </row>
    <row r="695" spans="4:9">
      <c r="D695" s="47"/>
      <c r="E695" s="143"/>
      <c r="H695" s="2"/>
      <c r="I695" s="30"/>
    </row>
    <row r="696" spans="4:9">
      <c r="D696" s="47"/>
      <c r="E696" s="143"/>
      <c r="H696" s="2"/>
      <c r="I696" s="30"/>
    </row>
    <row r="697" spans="4:9">
      <c r="D697" s="47"/>
      <c r="E697" s="143"/>
      <c r="H697" s="2"/>
      <c r="I697" s="30"/>
    </row>
    <row r="698" spans="4:9">
      <c r="D698" s="47"/>
      <c r="E698" s="143"/>
      <c r="H698" s="2"/>
      <c r="I698" s="30"/>
    </row>
    <row r="699" spans="4:9">
      <c r="D699" s="47"/>
      <c r="E699" s="143"/>
      <c r="H699" s="2"/>
      <c r="I699" s="30"/>
    </row>
    <row r="700" spans="4:9">
      <c r="D700" s="47"/>
      <c r="E700" s="143"/>
      <c r="H700" s="2"/>
      <c r="I700" s="30"/>
    </row>
    <row r="701" spans="4:9">
      <c r="D701" s="47"/>
      <c r="E701" s="143"/>
      <c r="H701" s="2"/>
      <c r="I701" s="30"/>
    </row>
    <row r="702" spans="4:9">
      <c r="D702" s="47"/>
      <c r="E702" s="143"/>
      <c r="H702" s="2"/>
      <c r="I702" s="30"/>
    </row>
    <row r="703" spans="4:9">
      <c r="D703" s="47"/>
      <c r="E703" s="143"/>
      <c r="H703" s="2"/>
      <c r="I703" s="30"/>
    </row>
    <row r="704" spans="4:9">
      <c r="D704" s="47"/>
      <c r="E704" s="143"/>
      <c r="H704" s="2"/>
      <c r="I704" s="30"/>
    </row>
    <row r="705" spans="4:9">
      <c r="D705" s="47"/>
      <c r="E705" s="143"/>
      <c r="H705" s="2"/>
      <c r="I705" s="30"/>
    </row>
    <row r="706" spans="4:9">
      <c r="D706" s="47"/>
      <c r="E706" s="143"/>
      <c r="H706" s="2"/>
      <c r="I706" s="30"/>
    </row>
    <row r="707" spans="4:9">
      <c r="D707" s="47"/>
      <c r="E707" s="143"/>
      <c r="H707" s="2"/>
      <c r="I707" s="30"/>
    </row>
    <row r="708" spans="4:9">
      <c r="D708" s="47"/>
      <c r="E708" s="143"/>
      <c r="H708" s="2"/>
      <c r="I708" s="30"/>
    </row>
    <row r="709" spans="4:9">
      <c r="D709" s="47"/>
      <c r="E709" s="143"/>
      <c r="H709" s="2"/>
      <c r="I709" s="30"/>
    </row>
    <row r="710" spans="4:9">
      <c r="D710" s="47"/>
      <c r="E710" s="143"/>
      <c r="H710" s="2"/>
      <c r="I710" s="30"/>
    </row>
    <row r="711" spans="4:9">
      <c r="D711" s="47"/>
      <c r="E711" s="143"/>
      <c r="H711" s="2"/>
      <c r="I711" s="30"/>
    </row>
    <row r="712" spans="4:9">
      <c r="D712" s="47"/>
      <c r="E712" s="143"/>
      <c r="H712" s="2"/>
      <c r="I712" s="30"/>
    </row>
    <row r="713" spans="4:9">
      <c r="D713" s="47"/>
      <c r="E713" s="143"/>
      <c r="H713" s="2"/>
      <c r="I713" s="30"/>
    </row>
    <row r="714" spans="4:9">
      <c r="D714" s="47"/>
      <c r="E714" s="143"/>
      <c r="H714" s="2"/>
      <c r="I714" s="30"/>
    </row>
    <row r="715" spans="4:9">
      <c r="D715" s="47"/>
      <c r="E715" s="143"/>
      <c r="H715" s="2"/>
      <c r="I715" s="30"/>
    </row>
    <row r="716" spans="4:9">
      <c r="D716" s="47"/>
      <c r="E716" s="143"/>
      <c r="H716" s="2"/>
      <c r="I716" s="30"/>
    </row>
    <row r="717" spans="4:9">
      <c r="D717" s="47"/>
      <c r="E717" s="143"/>
      <c r="H717" s="2"/>
      <c r="I717" s="30"/>
    </row>
    <row r="718" spans="4:9">
      <c r="D718" s="47"/>
      <c r="E718" s="143"/>
      <c r="H718" s="2"/>
      <c r="I718" s="30"/>
    </row>
    <row r="719" spans="4:9">
      <c r="D719" s="47"/>
      <c r="E719" s="143"/>
      <c r="H719" s="2"/>
      <c r="I719" s="30"/>
    </row>
    <row r="720" spans="4:9">
      <c r="D720" s="47"/>
      <c r="E720" s="143"/>
      <c r="H720" s="2"/>
      <c r="I720" s="30"/>
    </row>
    <row r="721" spans="4:9">
      <c r="D721" s="47"/>
      <c r="E721" s="143"/>
      <c r="H721" s="2"/>
      <c r="I721" s="30"/>
    </row>
    <row r="722" spans="4:9">
      <c r="D722" s="47"/>
      <c r="E722" s="143"/>
      <c r="H722" s="2"/>
      <c r="I722" s="30"/>
    </row>
    <row r="723" spans="4:9">
      <c r="D723" s="47"/>
      <c r="E723" s="143"/>
      <c r="H723" s="2"/>
      <c r="I723" s="30"/>
    </row>
    <row r="724" spans="4:9">
      <c r="D724" s="47"/>
      <c r="E724" s="143"/>
      <c r="H724" s="2"/>
      <c r="I724" s="30"/>
    </row>
    <row r="725" spans="4:9">
      <c r="D725" s="47"/>
      <c r="E725" s="143"/>
      <c r="H725" s="2"/>
      <c r="I725" s="30"/>
    </row>
    <row r="726" spans="4:9">
      <c r="D726" s="47"/>
      <c r="E726" s="143"/>
      <c r="H726" s="2"/>
      <c r="I726" s="30"/>
    </row>
    <row r="727" spans="4:9">
      <c r="D727" s="47"/>
      <c r="E727" s="143"/>
      <c r="H727" s="2"/>
      <c r="I727" s="30"/>
    </row>
    <row r="728" spans="4:9">
      <c r="D728" s="47"/>
      <c r="E728" s="143"/>
      <c r="H728" s="2"/>
      <c r="I728" s="30"/>
    </row>
    <row r="729" spans="4:9">
      <c r="D729" s="47"/>
      <c r="E729" s="143"/>
      <c r="H729" s="2"/>
      <c r="I729" s="30"/>
    </row>
    <row r="730" spans="4:9">
      <c r="D730" s="47"/>
      <c r="E730" s="143"/>
      <c r="H730" s="2"/>
      <c r="I730" s="30"/>
    </row>
    <row r="731" spans="4:9">
      <c r="D731" s="47"/>
      <c r="E731" s="143"/>
      <c r="H731" s="2"/>
      <c r="I731" s="30"/>
    </row>
    <row r="732" spans="4:9">
      <c r="D732" s="47"/>
      <c r="E732" s="143"/>
      <c r="H732" s="2"/>
      <c r="I732" s="30"/>
    </row>
    <row r="733" spans="4:9">
      <c r="D733" s="47"/>
      <c r="E733" s="143"/>
      <c r="H733" s="2"/>
      <c r="I733" s="30"/>
    </row>
    <row r="734" spans="4:9">
      <c r="D734" s="47"/>
      <c r="E734" s="143"/>
      <c r="H734" s="2"/>
      <c r="I734" s="30"/>
    </row>
    <row r="735" spans="4:9">
      <c r="D735" s="47"/>
      <c r="E735" s="143"/>
      <c r="H735" s="2"/>
      <c r="I735" s="30"/>
    </row>
    <row r="736" spans="4:9">
      <c r="D736" s="47"/>
      <c r="E736" s="143"/>
      <c r="H736" s="2"/>
      <c r="I736" s="30"/>
    </row>
    <row r="737" spans="4:9">
      <c r="D737" s="47"/>
      <c r="E737" s="143"/>
      <c r="H737" s="2"/>
      <c r="I737" s="30"/>
    </row>
    <row r="738" spans="4:9">
      <c r="D738" s="47"/>
      <c r="E738" s="143"/>
      <c r="H738" s="2"/>
      <c r="I738" s="30"/>
    </row>
    <row r="739" spans="4:9">
      <c r="D739" s="47"/>
      <c r="E739" s="143"/>
      <c r="H739" s="2"/>
      <c r="I739" s="30"/>
    </row>
    <row r="740" spans="4:9">
      <c r="D740" s="47"/>
      <c r="E740" s="143"/>
      <c r="H740" s="2"/>
      <c r="I740" s="30"/>
    </row>
    <row r="741" spans="4:9">
      <c r="D741" s="47"/>
      <c r="E741" s="143"/>
      <c r="H741" s="2"/>
      <c r="I741" s="30"/>
    </row>
    <row r="742" spans="4:9">
      <c r="D742" s="47"/>
      <c r="E742" s="143"/>
      <c r="H742" s="2"/>
      <c r="I742" s="30"/>
    </row>
    <row r="743" spans="4:9">
      <c r="D743" s="47"/>
      <c r="E743" s="143"/>
      <c r="H743" s="2"/>
      <c r="I743" s="30"/>
    </row>
    <row r="744" spans="4:9">
      <c r="D744" s="47"/>
      <c r="E744" s="143"/>
      <c r="H744" s="2"/>
      <c r="I744" s="30"/>
    </row>
    <row r="745" spans="4:9">
      <c r="D745" s="47"/>
      <c r="E745" s="143"/>
      <c r="H745" s="2"/>
      <c r="I745" s="30"/>
    </row>
    <row r="746" spans="4:9">
      <c r="D746" s="47"/>
      <c r="E746" s="143"/>
      <c r="H746" s="2"/>
      <c r="I746" s="30"/>
    </row>
    <row r="747" spans="4:9">
      <c r="D747" s="47"/>
      <c r="E747" s="143"/>
      <c r="H747" s="2"/>
      <c r="I747" s="30"/>
    </row>
    <row r="748" spans="4:9">
      <c r="D748" s="47"/>
      <c r="E748" s="143"/>
      <c r="H748" s="2"/>
      <c r="I748" s="30"/>
    </row>
    <row r="749" spans="4:9">
      <c r="D749" s="47"/>
      <c r="E749" s="143"/>
      <c r="H749" s="2"/>
      <c r="I749" s="30"/>
    </row>
    <row r="750" spans="4:9">
      <c r="D750" s="47"/>
      <c r="E750" s="143"/>
      <c r="H750" s="2"/>
      <c r="I750" s="30"/>
    </row>
    <row r="751" spans="4:9">
      <c r="D751" s="47"/>
      <c r="E751" s="143"/>
      <c r="H751" s="2"/>
      <c r="I751" s="30"/>
    </row>
    <row r="752" spans="4:9">
      <c r="D752" s="47"/>
      <c r="E752" s="143"/>
      <c r="H752" s="2"/>
      <c r="I752" s="30"/>
    </row>
    <row r="753" spans="4:9">
      <c r="D753" s="47"/>
      <c r="E753" s="143"/>
      <c r="H753" s="2"/>
      <c r="I753" s="30"/>
    </row>
    <row r="754" spans="4:9">
      <c r="D754" s="47"/>
      <c r="E754" s="143"/>
      <c r="H754" s="2"/>
      <c r="I754" s="30"/>
    </row>
    <row r="755" spans="4:9">
      <c r="D755" s="47"/>
      <c r="E755" s="143"/>
      <c r="H755" s="2"/>
      <c r="I755" s="30"/>
    </row>
    <row r="756" spans="4:9">
      <c r="D756" s="47"/>
      <c r="E756" s="143"/>
      <c r="H756" s="2"/>
      <c r="I756" s="30"/>
    </row>
    <row r="757" spans="4:9">
      <c r="D757" s="47"/>
      <c r="E757" s="143"/>
      <c r="H757" s="2"/>
      <c r="I757" s="30"/>
    </row>
    <row r="758" spans="4:9">
      <c r="D758" s="47"/>
      <c r="E758" s="143"/>
      <c r="H758" s="2"/>
      <c r="I758" s="30"/>
    </row>
    <row r="759" spans="4:9">
      <c r="D759" s="47"/>
      <c r="E759" s="143"/>
      <c r="H759" s="2"/>
      <c r="I759" s="30"/>
    </row>
    <row r="760" spans="4:9">
      <c r="D760" s="47"/>
      <c r="E760" s="143"/>
      <c r="H760" s="2"/>
      <c r="I760" s="30"/>
    </row>
    <row r="761" spans="4:9">
      <c r="D761" s="47"/>
      <c r="E761" s="143"/>
      <c r="H761" s="2"/>
      <c r="I761" s="30"/>
    </row>
    <row r="762" spans="4:9">
      <c r="D762" s="47"/>
      <c r="E762" s="143"/>
      <c r="H762" s="2"/>
      <c r="I762" s="30"/>
    </row>
    <row r="763" spans="4:9">
      <c r="D763" s="47"/>
      <c r="E763" s="143"/>
      <c r="H763" s="2"/>
      <c r="I763" s="30"/>
    </row>
    <row r="764" spans="4:9">
      <c r="D764" s="47"/>
      <c r="E764" s="143"/>
      <c r="H764" s="2"/>
      <c r="I764" s="30"/>
    </row>
    <row r="765" spans="4:9">
      <c r="D765" s="47"/>
      <c r="E765" s="143"/>
      <c r="H765" s="2"/>
      <c r="I765" s="30"/>
    </row>
    <row r="766" spans="4:9">
      <c r="D766" s="47"/>
      <c r="E766" s="143"/>
      <c r="H766" s="2"/>
      <c r="I766" s="30"/>
    </row>
    <row r="767" spans="4:9">
      <c r="D767" s="47"/>
      <c r="E767" s="143"/>
      <c r="H767" s="2"/>
      <c r="I767" s="30"/>
    </row>
    <row r="768" spans="4:9">
      <c r="D768" s="47"/>
      <c r="E768" s="143"/>
      <c r="H768" s="2"/>
      <c r="I768" s="30"/>
    </row>
    <row r="769" spans="4:9">
      <c r="D769" s="47"/>
      <c r="E769" s="143"/>
      <c r="H769" s="2"/>
      <c r="I769" s="30"/>
    </row>
    <row r="770" spans="4:9">
      <c r="D770" s="47"/>
      <c r="E770" s="143"/>
      <c r="H770" s="2"/>
      <c r="I770" s="30"/>
    </row>
    <row r="771" spans="4:9">
      <c r="D771" s="47"/>
      <c r="E771" s="143"/>
      <c r="H771" s="2"/>
      <c r="I771" s="30"/>
    </row>
    <row r="772" spans="4:9">
      <c r="D772" s="47"/>
      <c r="E772" s="143"/>
      <c r="H772" s="2"/>
      <c r="I772" s="30"/>
    </row>
    <row r="773" spans="4:9">
      <c r="D773" s="47"/>
      <c r="E773" s="143"/>
      <c r="H773" s="2"/>
      <c r="I773" s="30"/>
    </row>
    <row r="774" spans="4:9">
      <c r="D774" s="47"/>
      <c r="E774" s="143"/>
      <c r="H774" s="2"/>
      <c r="I774" s="30"/>
    </row>
    <row r="775" spans="4:9">
      <c r="D775" s="47"/>
      <c r="E775" s="143"/>
      <c r="H775" s="2"/>
      <c r="I775" s="30"/>
    </row>
    <row r="776" spans="4:9">
      <c r="D776" s="47"/>
      <c r="E776" s="143"/>
      <c r="H776" s="2"/>
      <c r="I776" s="30"/>
    </row>
    <row r="777" spans="4:9">
      <c r="D777" s="47"/>
      <c r="E777" s="143"/>
      <c r="H777" s="2"/>
      <c r="I777" s="30"/>
    </row>
    <row r="778" spans="4:9">
      <c r="D778" s="47"/>
      <c r="E778" s="143"/>
      <c r="H778" s="2"/>
      <c r="I778" s="30"/>
    </row>
    <row r="779" spans="4:9">
      <c r="D779" s="47"/>
      <c r="E779" s="143"/>
      <c r="H779" s="2"/>
      <c r="I779" s="30"/>
    </row>
    <row r="780" spans="4:9">
      <c r="D780" s="47"/>
      <c r="E780" s="143"/>
      <c r="H780" s="2"/>
      <c r="I780" s="30"/>
    </row>
    <row r="781" spans="4:9">
      <c r="D781" s="47"/>
      <c r="E781" s="143"/>
      <c r="H781" s="2"/>
      <c r="I781" s="30"/>
    </row>
    <row r="782" spans="4:9">
      <c r="D782" s="47"/>
      <c r="E782" s="143"/>
      <c r="H782" s="2"/>
      <c r="I782" s="30"/>
    </row>
    <row r="783" spans="4:9">
      <c r="D783" s="47"/>
      <c r="E783" s="143"/>
      <c r="H783" s="2"/>
      <c r="I783" s="30"/>
    </row>
    <row r="784" spans="4:9">
      <c r="D784" s="47"/>
      <c r="E784" s="143"/>
      <c r="H784" s="2"/>
      <c r="I784" s="30"/>
    </row>
    <row r="785" spans="4:9">
      <c r="D785" s="47"/>
      <c r="E785" s="143"/>
      <c r="H785" s="2"/>
      <c r="I785" s="30"/>
    </row>
    <row r="786" spans="4:9">
      <c r="D786" s="47"/>
      <c r="E786" s="143"/>
      <c r="H786" s="2"/>
      <c r="I786" s="30"/>
    </row>
    <row r="787" spans="4:9">
      <c r="D787" s="47"/>
      <c r="E787" s="143"/>
      <c r="H787" s="2"/>
      <c r="I787" s="30"/>
    </row>
    <row r="788" spans="4:9">
      <c r="D788" s="47"/>
      <c r="E788" s="143"/>
      <c r="H788" s="2"/>
      <c r="I788" s="30"/>
    </row>
    <row r="789" spans="4:9">
      <c r="D789" s="47"/>
      <c r="E789" s="143"/>
      <c r="H789" s="2"/>
      <c r="I789" s="30"/>
    </row>
    <row r="790" spans="4:9">
      <c r="D790" s="47"/>
      <c r="E790" s="143"/>
      <c r="H790" s="2"/>
      <c r="I790" s="30"/>
    </row>
    <row r="791" spans="4:9">
      <c r="D791" s="47"/>
      <c r="E791" s="143"/>
      <c r="H791" s="2"/>
      <c r="I791" s="30"/>
    </row>
    <row r="792" spans="4:9">
      <c r="D792" s="47"/>
      <c r="E792" s="143"/>
      <c r="H792" s="2"/>
      <c r="I792" s="30"/>
    </row>
    <row r="793" spans="4:9">
      <c r="D793" s="47"/>
      <c r="E793" s="143"/>
      <c r="H793" s="2"/>
      <c r="I793" s="30"/>
    </row>
    <row r="794" spans="4:9">
      <c r="D794" s="47"/>
      <c r="E794" s="143"/>
      <c r="H794" s="2"/>
      <c r="I794" s="30"/>
    </row>
    <row r="795" spans="4:9">
      <c r="D795" s="47"/>
      <c r="E795" s="143"/>
      <c r="H795" s="2"/>
      <c r="I795" s="30"/>
    </row>
    <row r="796" spans="4:9">
      <c r="D796" s="47"/>
      <c r="E796" s="143"/>
      <c r="H796" s="2"/>
      <c r="I796" s="30"/>
    </row>
    <row r="797" spans="4:9">
      <c r="D797" s="47"/>
      <c r="E797" s="143"/>
      <c r="H797" s="2"/>
      <c r="I797" s="30"/>
    </row>
    <row r="798" spans="4:9">
      <c r="D798" s="47"/>
      <c r="E798" s="143"/>
      <c r="H798" s="2"/>
      <c r="I798" s="30"/>
    </row>
    <row r="799" spans="4:9">
      <c r="D799" s="47"/>
      <c r="E799" s="143"/>
      <c r="H799" s="2"/>
      <c r="I799" s="30"/>
    </row>
    <row r="800" spans="4:9">
      <c r="D800" s="47"/>
      <c r="E800" s="143"/>
      <c r="H800" s="2"/>
      <c r="I800" s="30"/>
    </row>
    <row r="801" spans="4:9">
      <c r="D801" s="47"/>
      <c r="E801" s="143"/>
      <c r="H801" s="2"/>
      <c r="I801" s="30"/>
    </row>
    <row r="802" spans="4:9">
      <c r="D802" s="47"/>
      <c r="E802" s="143"/>
      <c r="H802" s="2"/>
      <c r="I802" s="30"/>
    </row>
    <row r="803" spans="4:9">
      <c r="D803" s="47"/>
      <c r="E803" s="143"/>
      <c r="H803" s="2"/>
      <c r="I803" s="30"/>
    </row>
    <row r="804" spans="4:9">
      <c r="D804" s="47"/>
      <c r="E804" s="143"/>
      <c r="H804" s="2"/>
      <c r="I804" s="30"/>
    </row>
    <row r="805" spans="4:9">
      <c r="D805" s="47"/>
      <c r="E805" s="143"/>
      <c r="H805" s="2"/>
      <c r="I805" s="30"/>
    </row>
    <row r="806" spans="4:9">
      <c r="D806" s="47"/>
      <c r="E806" s="143"/>
      <c r="H806" s="2"/>
      <c r="I806" s="30"/>
    </row>
    <row r="807" spans="4:9">
      <c r="D807" s="47"/>
      <c r="E807" s="143"/>
      <c r="H807" s="2"/>
      <c r="I807" s="30"/>
    </row>
    <row r="808" spans="4:9">
      <c r="D808" s="47"/>
      <c r="E808" s="143"/>
      <c r="H808" s="2"/>
      <c r="I808" s="30"/>
    </row>
    <row r="809" spans="4:9">
      <c r="D809" s="47"/>
      <c r="E809" s="143"/>
      <c r="H809" s="2"/>
      <c r="I809" s="30"/>
    </row>
    <row r="810" spans="4:9">
      <c r="D810" s="47"/>
      <c r="E810" s="143"/>
      <c r="H810" s="2"/>
      <c r="I810" s="30"/>
    </row>
    <row r="811" spans="4:9">
      <c r="D811" s="47"/>
      <c r="E811" s="143"/>
      <c r="H811" s="2"/>
      <c r="I811" s="30"/>
    </row>
    <row r="812" spans="4:9">
      <c r="D812" s="47"/>
      <c r="E812" s="143"/>
      <c r="H812" s="2"/>
      <c r="I812" s="30"/>
    </row>
    <row r="813" spans="4:9">
      <c r="D813" s="47"/>
      <c r="E813" s="143"/>
      <c r="H813" s="2"/>
      <c r="I813" s="30"/>
    </row>
    <row r="814" spans="4:9">
      <c r="D814" s="47"/>
      <c r="E814" s="143"/>
      <c r="H814" s="2"/>
      <c r="I814" s="30"/>
    </row>
    <row r="815" spans="4:9">
      <c r="D815" s="47"/>
      <c r="E815" s="143"/>
      <c r="H815" s="2"/>
      <c r="I815" s="30"/>
    </row>
    <row r="816" spans="4:9">
      <c r="D816" s="47"/>
      <c r="E816" s="143"/>
      <c r="H816" s="2"/>
      <c r="I816" s="30"/>
    </row>
    <row r="817" spans="4:9">
      <c r="D817" s="47"/>
      <c r="E817" s="143"/>
      <c r="H817" s="2"/>
      <c r="I817" s="30"/>
    </row>
    <row r="818" spans="4:9">
      <c r="D818" s="47"/>
      <c r="E818" s="143"/>
      <c r="H818" s="2"/>
      <c r="I818" s="30"/>
    </row>
    <row r="819" spans="4:9">
      <c r="D819" s="47"/>
      <c r="E819" s="143"/>
      <c r="H819" s="2"/>
      <c r="I819" s="30"/>
    </row>
    <row r="820" spans="4:9">
      <c r="D820" s="47"/>
      <c r="E820" s="143"/>
      <c r="H820" s="2"/>
      <c r="I820" s="30"/>
    </row>
    <row r="821" spans="4:9">
      <c r="D821" s="47"/>
      <c r="E821" s="143"/>
      <c r="H821" s="2"/>
      <c r="I821" s="30"/>
    </row>
    <row r="822" spans="4:9">
      <c r="D822" s="47"/>
      <c r="E822" s="143"/>
      <c r="H822" s="2"/>
      <c r="I822" s="30"/>
    </row>
    <row r="823" spans="4:9">
      <c r="D823" s="47"/>
      <c r="E823" s="143"/>
      <c r="H823" s="2"/>
      <c r="I823" s="30"/>
    </row>
    <row r="824" spans="4:9">
      <c r="D824" s="47"/>
      <c r="E824" s="143"/>
      <c r="H824" s="2"/>
      <c r="I824" s="30"/>
    </row>
    <row r="825" spans="4:9">
      <c r="D825" s="47"/>
      <c r="E825" s="143"/>
      <c r="H825" s="2"/>
      <c r="I825" s="30"/>
    </row>
    <row r="826" spans="4:9">
      <c r="D826" s="47"/>
      <c r="E826" s="143"/>
      <c r="H826" s="2"/>
      <c r="I826" s="30"/>
    </row>
    <row r="827" spans="4:9">
      <c r="D827" s="47"/>
      <c r="E827" s="143"/>
      <c r="H827" s="2"/>
      <c r="I827" s="30"/>
    </row>
    <row r="828" spans="4:9">
      <c r="D828" s="47"/>
      <c r="E828" s="143"/>
      <c r="H828" s="2"/>
      <c r="I828" s="30"/>
    </row>
    <row r="829" spans="4:9">
      <c r="D829" s="47"/>
      <c r="E829" s="143"/>
      <c r="H829" s="2"/>
      <c r="I829" s="30"/>
    </row>
    <row r="830" spans="4:9">
      <c r="D830" s="47"/>
      <c r="E830" s="143"/>
      <c r="H830" s="2"/>
      <c r="I830" s="30"/>
    </row>
    <row r="831" spans="4:9">
      <c r="D831" s="47"/>
      <c r="E831" s="143"/>
      <c r="H831" s="2"/>
      <c r="I831" s="30"/>
    </row>
    <row r="832" spans="4:9">
      <c r="D832" s="47"/>
      <c r="E832" s="143"/>
      <c r="H832" s="2"/>
      <c r="I832" s="30"/>
    </row>
    <row r="833" spans="4:9">
      <c r="D833" s="47"/>
      <c r="E833" s="143"/>
      <c r="H833" s="2"/>
      <c r="I833" s="30"/>
    </row>
    <row r="834" spans="4:9">
      <c r="D834" s="47"/>
      <c r="E834" s="143"/>
      <c r="H834" s="2"/>
      <c r="I834" s="30"/>
    </row>
    <row r="835" spans="4:9">
      <c r="D835" s="47"/>
      <c r="E835" s="143"/>
      <c r="H835" s="2"/>
      <c r="I835" s="30"/>
    </row>
    <row r="836" spans="4:9">
      <c r="D836" s="47"/>
      <c r="E836" s="143"/>
      <c r="H836" s="2"/>
      <c r="I836" s="30"/>
    </row>
    <row r="837" spans="4:9">
      <c r="D837" s="47"/>
      <c r="E837" s="143"/>
      <c r="H837" s="2"/>
      <c r="I837" s="30"/>
    </row>
    <row r="838" spans="4:9">
      <c r="D838" s="47"/>
      <c r="E838" s="143"/>
      <c r="H838" s="2"/>
      <c r="I838" s="30"/>
    </row>
    <row r="839" spans="4:9">
      <c r="D839" s="47"/>
      <c r="E839" s="143"/>
      <c r="H839" s="2"/>
      <c r="I839" s="30"/>
    </row>
    <row r="840" spans="4:9">
      <c r="D840" s="47"/>
      <c r="E840" s="143"/>
      <c r="H840" s="2"/>
      <c r="I840" s="30"/>
    </row>
    <row r="841" spans="4:9">
      <c r="D841" s="47"/>
      <c r="E841" s="143"/>
      <c r="H841" s="2"/>
      <c r="I841" s="30"/>
    </row>
    <row r="842" spans="4:9">
      <c r="D842" s="47"/>
      <c r="E842" s="143"/>
      <c r="H842" s="2"/>
      <c r="I842" s="30"/>
    </row>
    <row r="843" spans="4:9">
      <c r="D843" s="47"/>
      <c r="E843" s="143"/>
      <c r="H843" s="2"/>
      <c r="I843" s="30"/>
    </row>
    <row r="844" spans="4:9">
      <c r="D844" s="47"/>
      <c r="E844" s="143"/>
      <c r="H844" s="2"/>
      <c r="I844" s="30"/>
    </row>
    <row r="845" spans="4:9">
      <c r="D845" s="47"/>
      <c r="E845" s="143"/>
      <c r="H845" s="2"/>
      <c r="I845" s="30"/>
    </row>
    <row r="846" spans="4:9">
      <c r="D846" s="47"/>
      <c r="E846" s="143"/>
      <c r="H846" s="2"/>
      <c r="I846" s="30"/>
    </row>
    <row r="847" spans="4:9">
      <c r="D847" s="47"/>
      <c r="E847" s="143"/>
      <c r="H847" s="2"/>
      <c r="I847" s="30"/>
    </row>
    <row r="848" spans="4:9">
      <c r="D848" s="47"/>
      <c r="E848" s="143"/>
      <c r="H848" s="2"/>
      <c r="I848" s="30"/>
    </row>
    <row r="849" spans="4:9">
      <c r="D849" s="47"/>
      <c r="E849" s="143"/>
      <c r="H849" s="2"/>
      <c r="I849" s="30"/>
    </row>
    <row r="850" spans="4:9">
      <c r="D850" s="47"/>
      <c r="E850" s="143"/>
      <c r="H850" s="2"/>
      <c r="I850" s="30"/>
    </row>
    <row r="851" spans="4:9">
      <c r="D851" s="47"/>
      <c r="E851" s="143"/>
      <c r="H851" s="2"/>
      <c r="I851" s="30"/>
    </row>
    <row r="852" spans="4:9">
      <c r="D852" s="47"/>
      <c r="E852" s="143"/>
      <c r="H852" s="2"/>
      <c r="I852" s="30"/>
    </row>
    <row r="853" spans="4:9">
      <c r="D853" s="47"/>
      <c r="E853" s="143"/>
      <c r="H853" s="2"/>
      <c r="I853" s="30"/>
    </row>
    <row r="854" spans="4:9">
      <c r="D854" s="47"/>
      <c r="E854" s="143"/>
      <c r="H854" s="2"/>
      <c r="I854" s="30"/>
    </row>
    <row r="855" spans="4:9">
      <c r="D855" s="47"/>
      <c r="E855" s="143"/>
      <c r="H855" s="2"/>
      <c r="I855" s="30"/>
    </row>
    <row r="856" spans="4:9">
      <c r="D856" s="47"/>
      <c r="E856" s="143"/>
      <c r="H856" s="2"/>
      <c r="I856" s="30"/>
    </row>
    <row r="857" spans="4:9">
      <c r="D857" s="47"/>
      <c r="E857" s="143"/>
      <c r="H857" s="2"/>
      <c r="I857" s="30"/>
    </row>
    <row r="858" spans="4:9">
      <c r="D858" s="47"/>
      <c r="E858" s="143"/>
      <c r="H858" s="2"/>
      <c r="I858" s="30"/>
    </row>
    <row r="859" spans="4:9">
      <c r="D859" s="47"/>
      <c r="E859" s="143"/>
      <c r="H859" s="2"/>
      <c r="I859" s="30"/>
    </row>
    <row r="860" spans="4:9">
      <c r="D860" s="47"/>
      <c r="E860" s="143"/>
      <c r="H860" s="2"/>
      <c r="I860" s="30"/>
    </row>
    <row r="861" spans="4:9">
      <c r="D861" s="47"/>
      <c r="E861" s="143"/>
      <c r="H861" s="2"/>
      <c r="I861" s="30"/>
    </row>
    <row r="862" spans="4:9">
      <c r="D862" s="47"/>
      <c r="E862" s="143"/>
      <c r="H862" s="2"/>
      <c r="I862" s="30"/>
    </row>
    <row r="863" spans="4:9">
      <c r="D863" s="47"/>
      <c r="E863" s="143"/>
      <c r="H863" s="2"/>
      <c r="I863" s="30"/>
    </row>
    <row r="864" spans="4:9">
      <c r="D864" s="47"/>
      <c r="E864" s="143"/>
      <c r="H864" s="2"/>
      <c r="I864" s="30"/>
    </row>
    <row r="865" spans="4:9">
      <c r="D865" s="47"/>
      <c r="E865" s="143"/>
      <c r="H865" s="2"/>
      <c r="I865" s="30"/>
    </row>
    <row r="866" spans="4:9">
      <c r="D866" s="47"/>
      <c r="E866" s="143"/>
      <c r="H866" s="2"/>
      <c r="I866" s="30"/>
    </row>
    <row r="867" spans="4:9">
      <c r="D867" s="47"/>
      <c r="E867" s="143"/>
      <c r="H867" s="2"/>
      <c r="I867" s="30"/>
    </row>
    <row r="868" spans="4:9">
      <c r="D868" s="47"/>
      <c r="E868" s="143"/>
      <c r="H868" s="2"/>
      <c r="I868" s="30"/>
    </row>
    <row r="869" spans="4:9">
      <c r="D869" s="47"/>
      <c r="E869" s="143"/>
      <c r="H869" s="2"/>
      <c r="I869" s="30"/>
    </row>
    <row r="870" spans="4:9">
      <c r="D870" s="47"/>
      <c r="E870" s="143"/>
      <c r="H870" s="2"/>
      <c r="I870" s="30"/>
    </row>
    <row r="871" spans="4:9">
      <c r="D871" s="47"/>
      <c r="E871" s="143"/>
      <c r="H871" s="2"/>
      <c r="I871" s="30"/>
    </row>
    <row r="872" spans="4:9">
      <c r="D872" s="47"/>
      <c r="E872" s="143"/>
      <c r="H872" s="2"/>
      <c r="I872" s="30"/>
    </row>
    <row r="873" spans="4:9">
      <c r="D873" s="47"/>
      <c r="E873" s="143"/>
      <c r="H873" s="2"/>
      <c r="I873" s="30"/>
    </row>
    <row r="874" spans="4:9">
      <c r="D874" s="47"/>
      <c r="E874" s="143"/>
      <c r="H874" s="2"/>
      <c r="I874" s="30"/>
    </row>
    <row r="875" spans="4:9">
      <c r="D875" s="47"/>
      <c r="E875" s="143"/>
      <c r="H875" s="2"/>
      <c r="I875" s="30"/>
    </row>
    <row r="876" spans="4:9">
      <c r="D876" s="47"/>
      <c r="E876" s="143"/>
      <c r="H876" s="2"/>
      <c r="I876" s="30"/>
    </row>
    <row r="877" spans="4:9">
      <c r="D877" s="47"/>
      <c r="E877" s="143"/>
      <c r="H877" s="2"/>
      <c r="I877" s="30"/>
    </row>
    <row r="878" spans="4:9">
      <c r="D878" s="47"/>
      <c r="E878" s="143"/>
      <c r="H878" s="2"/>
      <c r="I878" s="30"/>
    </row>
    <row r="879" spans="4:9">
      <c r="D879" s="47"/>
      <c r="E879" s="143"/>
      <c r="H879" s="2"/>
      <c r="I879" s="30"/>
    </row>
    <row r="880" spans="4:9">
      <c r="D880" s="47"/>
      <c r="E880" s="143"/>
      <c r="H880" s="2"/>
      <c r="I880" s="30"/>
    </row>
    <row r="881" spans="4:9">
      <c r="D881" s="47"/>
      <c r="E881" s="143"/>
      <c r="H881" s="2"/>
      <c r="I881" s="30"/>
    </row>
    <row r="882" spans="4:9">
      <c r="D882" s="47"/>
      <c r="E882" s="143"/>
      <c r="H882" s="2"/>
      <c r="I882" s="30"/>
    </row>
    <row r="883" spans="4:9">
      <c r="D883" s="47"/>
      <c r="E883" s="143"/>
      <c r="H883" s="2"/>
      <c r="I883" s="30"/>
    </row>
    <row r="884" spans="4:9">
      <c r="D884" s="47"/>
      <c r="E884" s="143"/>
      <c r="H884" s="2"/>
      <c r="I884" s="30"/>
    </row>
    <row r="885" spans="4:9">
      <c r="D885" s="47"/>
      <c r="E885" s="143"/>
      <c r="H885" s="2"/>
      <c r="I885" s="30"/>
    </row>
    <row r="886" spans="4:9">
      <c r="D886" s="47"/>
      <c r="E886" s="143"/>
      <c r="H886" s="2"/>
      <c r="I886" s="30"/>
    </row>
    <row r="887" spans="4:9">
      <c r="D887" s="47"/>
      <c r="E887" s="143"/>
      <c r="H887" s="2"/>
      <c r="I887" s="30"/>
    </row>
    <row r="888" spans="4:9">
      <c r="D888" s="47"/>
      <c r="E888" s="143"/>
      <c r="H888" s="2"/>
      <c r="I888" s="30"/>
    </row>
    <row r="889" spans="4:9">
      <c r="D889" s="47"/>
      <c r="E889" s="143"/>
      <c r="H889" s="2"/>
      <c r="I889" s="30"/>
    </row>
    <row r="890" spans="4:9">
      <c r="D890" s="47"/>
      <c r="E890" s="143"/>
      <c r="H890" s="2"/>
      <c r="I890" s="30"/>
    </row>
    <row r="891" spans="4:9">
      <c r="D891" s="47"/>
      <c r="E891" s="143"/>
      <c r="H891" s="2"/>
      <c r="I891" s="30"/>
    </row>
    <row r="892" spans="4:9">
      <c r="D892" s="47"/>
      <c r="E892" s="143"/>
      <c r="H892" s="2"/>
      <c r="I892" s="30"/>
    </row>
    <row r="893" spans="4:9">
      <c r="D893" s="47"/>
      <c r="E893" s="143"/>
      <c r="H893" s="2"/>
      <c r="I893" s="30"/>
    </row>
    <row r="894" spans="4:9">
      <c r="D894" s="47"/>
      <c r="E894" s="143"/>
      <c r="H894" s="2"/>
      <c r="I894" s="30"/>
    </row>
    <row r="895" spans="4:9">
      <c r="D895" s="47"/>
      <c r="E895" s="143"/>
      <c r="H895" s="2"/>
      <c r="I895" s="30"/>
    </row>
    <row r="896" spans="4:9">
      <c r="D896" s="47"/>
      <c r="E896" s="143"/>
      <c r="H896" s="2"/>
      <c r="I896" s="30"/>
    </row>
    <row r="897" spans="4:9">
      <c r="D897" s="47"/>
      <c r="E897" s="143"/>
      <c r="H897" s="2"/>
      <c r="I897" s="30"/>
    </row>
    <row r="898" spans="4:9">
      <c r="D898" s="47"/>
      <c r="E898" s="143"/>
      <c r="H898" s="2"/>
      <c r="I898" s="30"/>
    </row>
    <row r="899" spans="4:9">
      <c r="D899" s="47"/>
      <c r="E899" s="143"/>
      <c r="H899" s="2"/>
      <c r="I899" s="30"/>
    </row>
    <row r="900" spans="4:9">
      <c r="D900" s="47"/>
      <c r="E900" s="143"/>
      <c r="H900" s="2"/>
      <c r="I900" s="30"/>
    </row>
    <row r="901" spans="4:9">
      <c r="D901" s="47"/>
      <c r="E901" s="143"/>
      <c r="H901" s="2"/>
      <c r="I901" s="30"/>
    </row>
    <row r="902" spans="4:9">
      <c r="D902" s="47"/>
      <c r="E902" s="143"/>
      <c r="H902" s="2"/>
      <c r="I902" s="30"/>
    </row>
    <row r="903" spans="4:9">
      <c r="D903" s="47"/>
      <c r="E903" s="143"/>
      <c r="H903" s="2"/>
      <c r="I903" s="30"/>
    </row>
    <row r="904" spans="4:9">
      <c r="D904" s="47"/>
      <c r="E904" s="143"/>
      <c r="H904" s="2"/>
      <c r="I904" s="30"/>
    </row>
    <row r="905" spans="4:9">
      <c r="D905" s="47"/>
      <c r="E905" s="143"/>
      <c r="H905" s="2"/>
      <c r="I905" s="30"/>
    </row>
    <row r="906" spans="4:9">
      <c r="D906" s="47"/>
      <c r="E906" s="143"/>
      <c r="H906" s="2"/>
      <c r="I906" s="30"/>
    </row>
    <row r="907" spans="4:9">
      <c r="D907" s="47"/>
      <c r="E907" s="143"/>
      <c r="H907" s="2"/>
      <c r="I907" s="30"/>
    </row>
    <row r="908" spans="4:9">
      <c r="D908" s="47"/>
      <c r="E908" s="143"/>
      <c r="H908" s="2"/>
      <c r="I908" s="30"/>
    </row>
    <row r="909" spans="4:9">
      <c r="D909" s="47"/>
      <c r="E909" s="143"/>
      <c r="H909" s="2"/>
      <c r="I909" s="30"/>
    </row>
    <row r="910" spans="4:9">
      <c r="D910" s="47"/>
      <c r="E910" s="143"/>
      <c r="H910" s="2"/>
      <c r="I910" s="30"/>
    </row>
    <row r="911" spans="4:9">
      <c r="D911" s="47"/>
      <c r="E911" s="143"/>
      <c r="H911" s="2"/>
      <c r="I911" s="30"/>
    </row>
    <row r="912" spans="4:9">
      <c r="D912" s="47"/>
      <c r="E912" s="143"/>
      <c r="H912" s="2"/>
      <c r="I912" s="30"/>
    </row>
    <row r="913" spans="4:9">
      <c r="D913" s="47"/>
      <c r="E913" s="143"/>
      <c r="H913" s="2"/>
      <c r="I913" s="30"/>
    </row>
    <row r="914" spans="4:9">
      <c r="D914" s="47"/>
      <c r="E914" s="143"/>
      <c r="H914" s="2"/>
      <c r="I914" s="30"/>
    </row>
    <row r="915" spans="4:9">
      <c r="D915" s="47"/>
      <c r="E915" s="143"/>
      <c r="H915" s="2"/>
      <c r="I915" s="30"/>
    </row>
    <row r="916" spans="4:9">
      <c r="D916" s="47"/>
      <c r="E916" s="143"/>
      <c r="H916" s="2"/>
      <c r="I916" s="30"/>
    </row>
    <row r="917" spans="4:9">
      <c r="D917" s="47"/>
      <c r="E917" s="143"/>
      <c r="H917" s="2"/>
      <c r="I917" s="30"/>
    </row>
    <row r="918" spans="4:9">
      <c r="D918" s="47"/>
      <c r="E918" s="143"/>
      <c r="H918" s="2"/>
      <c r="I918" s="30"/>
    </row>
    <row r="919" spans="4:9">
      <c r="D919" s="47"/>
      <c r="E919" s="143"/>
      <c r="H919" s="2"/>
      <c r="I919" s="30"/>
    </row>
    <row r="920" spans="4:9">
      <c r="D920" s="47"/>
      <c r="E920" s="143"/>
      <c r="H920" s="2"/>
      <c r="I920" s="30"/>
    </row>
    <row r="921" spans="4:9">
      <c r="D921" s="47"/>
      <c r="E921" s="143"/>
      <c r="H921" s="2"/>
      <c r="I921" s="30"/>
    </row>
    <row r="922" spans="4:9">
      <c r="D922" s="47"/>
      <c r="E922" s="143"/>
      <c r="H922" s="2"/>
      <c r="I922" s="30"/>
    </row>
    <row r="923" spans="4:9">
      <c r="D923" s="47"/>
      <c r="E923" s="143"/>
      <c r="H923" s="2"/>
      <c r="I923" s="30"/>
    </row>
    <row r="924" spans="4:9">
      <c r="D924" s="47"/>
      <c r="E924" s="143"/>
      <c r="H924" s="2"/>
      <c r="I924" s="30"/>
    </row>
    <row r="925" spans="4:9">
      <c r="D925" s="47"/>
      <c r="E925" s="143"/>
      <c r="H925" s="2"/>
      <c r="I925" s="30"/>
    </row>
    <row r="926" spans="4:9">
      <c r="D926" s="47"/>
      <c r="E926" s="143"/>
      <c r="H926" s="2"/>
      <c r="I926" s="30"/>
    </row>
    <row r="927" spans="4:9">
      <c r="D927" s="47"/>
      <c r="E927" s="143"/>
      <c r="H927" s="2"/>
      <c r="I927" s="30"/>
    </row>
    <row r="928" spans="4:9">
      <c r="D928" s="47"/>
      <c r="E928" s="143"/>
      <c r="H928" s="2"/>
      <c r="I928" s="30"/>
    </row>
    <row r="929" spans="4:9">
      <c r="D929" s="47"/>
      <c r="E929" s="143"/>
      <c r="H929" s="2"/>
      <c r="I929" s="30"/>
    </row>
    <row r="930" spans="4:9">
      <c r="D930" s="47"/>
      <c r="E930" s="143"/>
      <c r="H930" s="2"/>
      <c r="I930" s="30"/>
    </row>
    <row r="931" spans="4:9">
      <c r="D931" s="47"/>
      <c r="E931" s="143"/>
      <c r="H931" s="2"/>
      <c r="I931" s="30"/>
    </row>
    <row r="932" spans="4:9">
      <c r="D932" s="47"/>
      <c r="E932" s="143"/>
      <c r="H932" s="2"/>
      <c r="I932" s="30"/>
    </row>
    <row r="933" spans="4:9">
      <c r="D933" s="47"/>
      <c r="E933" s="143"/>
      <c r="H933" s="2"/>
      <c r="I933" s="30"/>
    </row>
    <row r="934" spans="4:9">
      <c r="D934" s="47"/>
      <c r="E934" s="143"/>
      <c r="H934" s="2"/>
      <c r="I934" s="30"/>
    </row>
    <row r="935" spans="4:9">
      <c r="D935" s="47"/>
      <c r="E935" s="143"/>
      <c r="H935" s="2"/>
      <c r="I935" s="30"/>
    </row>
    <row r="936" spans="4:9">
      <c r="D936" s="47"/>
      <c r="E936" s="143"/>
      <c r="H936" s="2"/>
      <c r="I936" s="30"/>
    </row>
    <row r="937" spans="4:9">
      <c r="D937" s="47"/>
      <c r="E937" s="143"/>
      <c r="H937" s="2"/>
      <c r="I937" s="30"/>
    </row>
    <row r="938" spans="4:9">
      <c r="D938" s="47"/>
      <c r="E938" s="143"/>
      <c r="H938" s="2"/>
      <c r="I938" s="30"/>
    </row>
    <row r="939" spans="4:9">
      <c r="D939" s="47"/>
      <c r="E939" s="143"/>
      <c r="H939" s="2"/>
      <c r="I939" s="30"/>
    </row>
    <row r="940" spans="4:9">
      <c r="D940" s="47"/>
      <c r="E940" s="143"/>
      <c r="H940" s="2"/>
      <c r="I940" s="30"/>
    </row>
    <row r="941" spans="4:9">
      <c r="D941" s="47"/>
      <c r="E941" s="143"/>
      <c r="H941" s="2"/>
      <c r="I941" s="30"/>
    </row>
    <row r="942" spans="4:9">
      <c r="D942" s="47"/>
      <c r="E942" s="143"/>
      <c r="H942" s="2"/>
      <c r="I942" s="30"/>
    </row>
    <row r="943" spans="4:9">
      <c r="D943" s="47"/>
      <c r="E943" s="143"/>
      <c r="H943" s="2"/>
      <c r="I943" s="30"/>
    </row>
    <row r="944" spans="4:9">
      <c r="D944" s="47"/>
      <c r="E944" s="143"/>
      <c r="H944" s="2"/>
      <c r="I944" s="30"/>
    </row>
    <row r="945" spans="4:15">
      <c r="D945" s="47"/>
      <c r="E945" s="143"/>
      <c r="H945" s="2"/>
      <c r="I945" s="30"/>
    </row>
    <row r="946" spans="4:15">
      <c r="D946" s="47"/>
      <c r="E946" s="143"/>
      <c r="H946" s="2"/>
      <c r="I946" s="30"/>
    </row>
    <row r="947" spans="4:15">
      <c r="D947" s="47"/>
      <c r="E947" s="143"/>
      <c r="H947" s="2"/>
      <c r="I947" s="30"/>
    </row>
    <row r="948" spans="4:15">
      <c r="D948" s="47"/>
      <c r="E948" s="143"/>
      <c r="H948" s="2"/>
      <c r="I948" s="30"/>
    </row>
    <row r="949" spans="4:15">
      <c r="D949" s="47"/>
      <c r="E949" s="143"/>
      <c r="H949" s="2"/>
      <c r="I949" s="30"/>
    </row>
    <row r="950" spans="4:15">
      <c r="D950" s="47"/>
      <c r="E950" s="143"/>
      <c r="H950" s="2"/>
      <c r="I950" s="30"/>
    </row>
    <row r="951" spans="4:15">
      <c r="D951" s="47"/>
      <c r="E951" s="143"/>
      <c r="H951" s="2"/>
      <c r="I951" s="30"/>
    </row>
    <row r="952" spans="4:15">
      <c r="D952" s="47"/>
      <c r="E952" s="143"/>
      <c r="H952" s="2"/>
      <c r="I952" s="30"/>
    </row>
    <row r="953" spans="4:15">
      <c r="D953" s="47"/>
      <c r="E953" s="143"/>
      <c r="H953" s="2"/>
      <c r="I953" s="30"/>
    </row>
    <row r="954" spans="4:15">
      <c r="D954" s="47"/>
      <c r="E954" s="143"/>
      <c r="H954" s="2"/>
      <c r="I954" s="30"/>
    </row>
    <row r="955" spans="4:15">
      <c r="D955" s="47"/>
      <c r="E955" s="143"/>
      <c r="H955" s="2"/>
      <c r="I955" s="30"/>
    </row>
    <row r="956" spans="4:15">
      <c r="D956" s="47"/>
      <c r="E956" s="143"/>
      <c r="H956" s="2"/>
      <c r="I956" s="30"/>
    </row>
    <row r="957" spans="4:15">
      <c r="K957" s="143"/>
      <c r="N957" s="2"/>
      <c r="O957" s="30"/>
    </row>
    <row r="958" spans="4:15">
      <c r="K958" s="143"/>
      <c r="N958" s="2"/>
      <c r="O958" s="30"/>
    </row>
    <row r="959" spans="4:15">
      <c r="K959" s="143"/>
      <c r="N959" s="2"/>
      <c r="O959" s="30"/>
    </row>
    <row r="960" spans="4:15">
      <c r="K960" s="143"/>
      <c r="N960" s="2"/>
      <c r="O960" s="30"/>
    </row>
    <row r="961" spans="11:15">
      <c r="K961" s="143"/>
      <c r="N961" s="2"/>
      <c r="O961" s="30"/>
    </row>
    <row r="962" spans="11:15">
      <c r="K962" s="143"/>
      <c r="N962" s="2"/>
      <c r="O962" s="30"/>
    </row>
    <row r="963" spans="11:15">
      <c r="K963" s="143"/>
      <c r="N963" s="2"/>
      <c r="O963" s="30"/>
    </row>
    <row r="964" spans="11:15">
      <c r="K964" s="143"/>
      <c r="N964" s="2"/>
      <c r="O964" s="30"/>
    </row>
    <row r="965" spans="11:15">
      <c r="K965" s="143"/>
      <c r="N965" s="2"/>
      <c r="O965" s="30"/>
    </row>
    <row r="966" spans="11:15">
      <c r="K966" s="143"/>
      <c r="N966" s="2"/>
      <c r="O966" s="30"/>
    </row>
    <row r="967" spans="11:15">
      <c r="K967" s="143"/>
      <c r="N967" s="2"/>
      <c r="O967" s="30"/>
    </row>
    <row r="968" spans="11:15">
      <c r="K968" s="143"/>
      <c r="N968" s="2"/>
      <c r="O968" s="30"/>
    </row>
    <row r="969" spans="11:15">
      <c r="K969" s="143"/>
      <c r="N969" s="2"/>
      <c r="O969" s="30"/>
    </row>
    <row r="970" spans="11:15">
      <c r="K970" s="143"/>
      <c r="N970" s="2"/>
      <c r="O970" s="30"/>
    </row>
    <row r="971" spans="11:15">
      <c r="K971" s="143"/>
      <c r="N971" s="2"/>
      <c r="O971" s="30"/>
    </row>
    <row r="972" spans="11:15">
      <c r="K972" s="143"/>
      <c r="N972" s="2"/>
      <c r="O972" s="30"/>
    </row>
    <row r="973" spans="11:15">
      <c r="K973" s="143"/>
      <c r="N973" s="2"/>
      <c r="O973" s="30"/>
    </row>
    <row r="974" spans="11:15">
      <c r="K974" s="143"/>
      <c r="N974" s="2"/>
      <c r="O974" s="30"/>
    </row>
    <row r="975" spans="11:15">
      <c r="K975" s="143"/>
      <c r="N975" s="2"/>
      <c r="O975" s="30"/>
    </row>
    <row r="976" spans="11:15">
      <c r="K976" s="143"/>
      <c r="N976" s="2"/>
      <c r="O976" s="30"/>
    </row>
    <row r="977" spans="11:15">
      <c r="K977" s="143"/>
      <c r="N977" s="2"/>
      <c r="O977" s="30"/>
    </row>
    <row r="978" spans="11:15">
      <c r="K978" s="143"/>
      <c r="N978" s="2"/>
      <c r="O978" s="30"/>
    </row>
  </sheetData>
  <hyperlinks>
    <hyperlink ref="M4" r:id="rId1" xr:uid="{7EF92EB7-A61D-4CD6-A899-2DCEA4E73E89}"/>
    <hyperlink ref="M6" r:id="rId2" xr:uid="{A2B4A727-2897-4CED-84E0-C66AF215D553}"/>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9523E-B84D-4C1E-B469-3864C471D3D2}">
  <dimension ref="A1:Q5"/>
  <sheetViews>
    <sheetView topLeftCell="G1" workbookViewId="0">
      <selection activeCell="H3" sqref="H3"/>
    </sheetView>
  </sheetViews>
  <sheetFormatPr defaultRowHeight="12.75"/>
  <cols>
    <col min="1" max="1" width="9.28515625" customWidth="1"/>
    <col min="2" max="2" width="14.85546875" customWidth="1"/>
    <col min="3" max="3" width="13.140625" customWidth="1"/>
    <col min="4" max="4" width="16.140625" customWidth="1"/>
    <col min="5" max="5" width="14.7109375" customWidth="1"/>
    <col min="6" max="6" width="53.85546875" customWidth="1"/>
    <col min="7" max="7" width="14.140625" customWidth="1"/>
    <col min="8" max="8" width="16.5703125" customWidth="1"/>
    <col min="9" max="9" width="19" customWidth="1"/>
    <col min="10" max="10" width="18.140625" customWidth="1"/>
    <col min="11" max="11" width="15.28515625" customWidth="1"/>
  </cols>
  <sheetData>
    <row r="1" spans="1:17" ht="14.25">
      <c r="A1" s="59" t="s">
        <v>248</v>
      </c>
      <c r="B1" s="154" t="s">
        <v>11</v>
      </c>
      <c r="C1" s="155" t="s">
        <v>306</v>
      </c>
      <c r="D1" s="154" t="s">
        <v>250</v>
      </c>
      <c r="E1" s="155" t="s">
        <v>308</v>
      </c>
      <c r="F1" s="155" t="s">
        <v>309</v>
      </c>
      <c r="G1" s="154" t="s">
        <v>310</v>
      </c>
      <c r="H1" s="154" t="s">
        <v>312</v>
      </c>
      <c r="I1" s="154" t="s">
        <v>253</v>
      </c>
      <c r="J1" s="156" t="s">
        <v>313</v>
      </c>
      <c r="K1" s="157" t="s">
        <v>274</v>
      </c>
      <c r="L1" s="35"/>
      <c r="M1" s="35"/>
      <c r="N1" s="35"/>
      <c r="O1" s="35"/>
      <c r="P1" s="35"/>
      <c r="Q1" s="35"/>
    </row>
    <row r="2" spans="1:17" ht="24">
      <c r="A2" s="58">
        <v>1</v>
      </c>
      <c r="B2" s="58" t="s">
        <v>1661</v>
      </c>
      <c r="C2" s="58" t="s">
        <v>1662</v>
      </c>
      <c r="D2" s="58"/>
      <c r="E2" s="58" t="s">
        <v>553</v>
      </c>
      <c r="F2" s="216" t="s">
        <v>1663</v>
      </c>
      <c r="G2" s="58" t="s">
        <v>560</v>
      </c>
      <c r="H2" s="58" t="s">
        <v>556</v>
      </c>
      <c r="I2" s="58" t="s">
        <v>1291</v>
      </c>
      <c r="J2" s="58" t="s">
        <v>1213</v>
      </c>
      <c r="K2" s="58"/>
    </row>
    <row r="3" spans="1:17" ht="24">
      <c r="A3" s="58">
        <v>2</v>
      </c>
      <c r="B3" s="58" t="s">
        <v>1661</v>
      </c>
      <c r="C3" s="58" t="s">
        <v>1664</v>
      </c>
      <c r="D3" s="58"/>
      <c r="E3" s="58" t="s">
        <v>553</v>
      </c>
      <c r="F3" s="216" t="s">
        <v>1665</v>
      </c>
      <c r="G3" s="58" t="s">
        <v>560</v>
      </c>
      <c r="H3" s="58" t="s">
        <v>556</v>
      </c>
      <c r="I3" s="58" t="s">
        <v>1291</v>
      </c>
      <c r="J3" s="58" t="s">
        <v>1666</v>
      </c>
      <c r="K3" s="58"/>
    </row>
    <row r="5" spans="1:17">
      <c r="D5" t="s">
        <v>1667</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9CD2C-D38C-4932-8E0D-3DCD7233E2E3}">
  <dimension ref="A1:Z4"/>
  <sheetViews>
    <sheetView topLeftCell="C1" workbookViewId="0">
      <selection activeCell="G2" sqref="G2:K3"/>
    </sheetView>
  </sheetViews>
  <sheetFormatPr defaultRowHeight="12.75"/>
  <cols>
    <col min="1" max="1" width="9.28515625" customWidth="1"/>
    <col min="2" max="2" width="20" customWidth="1"/>
    <col min="3" max="3" width="17.7109375" customWidth="1"/>
    <col min="4" max="4" width="16.140625" customWidth="1"/>
    <col min="5" max="5" width="14.7109375" customWidth="1"/>
    <col min="6" max="6" width="53.85546875" customWidth="1"/>
    <col min="7" max="7" width="14.140625" customWidth="1"/>
    <col min="8" max="8" width="16.5703125" customWidth="1"/>
    <col min="9" max="9" width="19" customWidth="1"/>
    <col min="10" max="10" width="18.140625" customWidth="1"/>
    <col min="11" max="11" width="15.28515625" customWidth="1"/>
  </cols>
  <sheetData>
    <row r="1" spans="1:26" ht="14.25">
      <c r="A1" s="59" t="s">
        <v>248</v>
      </c>
      <c r="B1" s="154" t="s">
        <v>11</v>
      </c>
      <c r="C1" s="155" t="s">
        <v>306</v>
      </c>
      <c r="D1" s="154" t="s">
        <v>250</v>
      </c>
      <c r="E1" s="155" t="s">
        <v>308</v>
      </c>
      <c r="F1" s="155" t="s">
        <v>309</v>
      </c>
      <c r="G1" s="154" t="s">
        <v>310</v>
      </c>
      <c r="H1" s="154" t="s">
        <v>312</v>
      </c>
      <c r="I1" s="154" t="s">
        <v>253</v>
      </c>
      <c r="J1" s="156" t="s">
        <v>313</v>
      </c>
      <c r="K1" s="157" t="s">
        <v>274</v>
      </c>
      <c r="L1" s="35"/>
      <c r="M1" s="35"/>
      <c r="N1" s="35"/>
      <c r="O1" s="35"/>
      <c r="P1" s="35"/>
      <c r="Q1" s="35"/>
      <c r="R1" s="35"/>
      <c r="S1" s="35"/>
      <c r="T1" s="35"/>
      <c r="U1" s="35"/>
      <c r="V1" s="35"/>
      <c r="W1" s="35"/>
      <c r="X1" s="35"/>
      <c r="Y1" s="35"/>
      <c r="Z1" s="35"/>
    </row>
    <row r="2" spans="1:26">
      <c r="A2" s="12">
        <v>1</v>
      </c>
      <c r="B2" s="14" t="s">
        <v>1622</v>
      </c>
      <c r="C2" s="18" t="s">
        <v>1636</v>
      </c>
      <c r="D2" s="19" t="s">
        <v>1668</v>
      </c>
      <c r="E2" s="19" t="s">
        <v>553</v>
      </c>
      <c r="F2" s="18" t="s">
        <v>1637</v>
      </c>
      <c r="G2" s="19" t="s">
        <v>560</v>
      </c>
      <c r="H2" s="19" t="s">
        <v>556</v>
      </c>
      <c r="I2" s="19" t="s">
        <v>557</v>
      </c>
      <c r="J2" s="19" t="s">
        <v>737</v>
      </c>
      <c r="K2" s="19" t="s">
        <v>1620</v>
      </c>
      <c r="L2" s="35"/>
      <c r="M2" s="35"/>
      <c r="N2" s="35"/>
      <c r="O2" s="35"/>
      <c r="P2" s="35"/>
      <c r="Q2" s="35"/>
      <c r="R2" s="35"/>
      <c r="S2" s="35"/>
      <c r="T2" s="35"/>
      <c r="U2" s="35"/>
      <c r="V2" s="35"/>
    </row>
    <row r="3" spans="1:26">
      <c r="A3" s="61">
        <v>2</v>
      </c>
      <c r="B3" s="14" t="s">
        <v>1622</v>
      </c>
      <c r="C3" s="58" t="s">
        <v>1626</v>
      </c>
      <c r="D3" s="19" t="s">
        <v>1035</v>
      </c>
      <c r="E3" s="19" t="s">
        <v>553</v>
      </c>
      <c r="F3" s="58" t="s">
        <v>1627</v>
      </c>
      <c r="G3" s="19" t="s">
        <v>560</v>
      </c>
      <c r="H3" s="19" t="s">
        <v>556</v>
      </c>
      <c r="I3" s="19" t="s">
        <v>557</v>
      </c>
      <c r="J3" s="19" t="s">
        <v>737</v>
      </c>
      <c r="K3" s="19" t="s">
        <v>1620</v>
      </c>
    </row>
    <row r="4" spans="1:26" ht="24">
      <c r="A4" s="61">
        <v>3</v>
      </c>
      <c r="B4" s="14" t="s">
        <v>1622</v>
      </c>
      <c r="C4" s="58" t="s">
        <v>1630</v>
      </c>
      <c r="D4" s="19" t="s">
        <v>1035</v>
      </c>
      <c r="E4" s="19" t="s">
        <v>553</v>
      </c>
      <c r="F4" s="216" t="s">
        <v>1669</v>
      </c>
      <c r="G4" s="19" t="s">
        <v>560</v>
      </c>
      <c r="H4" s="19" t="s">
        <v>556</v>
      </c>
      <c r="I4" s="19" t="s">
        <v>557</v>
      </c>
      <c r="J4" s="19" t="s">
        <v>737</v>
      </c>
      <c r="K4" s="19" t="s">
        <v>1620</v>
      </c>
    </row>
  </sheetData>
  <dataValidations count="4">
    <dataValidation type="list" allowBlank="1" showErrorMessage="1" sqref="H2:H4" xr:uid="{D653432B-BC19-451D-94DF-E3BC568213C5}">
      <formula1>"Internal,External"</formula1>
    </dataValidation>
    <dataValidation type="list" allowBlank="1" showErrorMessage="1" sqref="E2:E4" xr:uid="{DB9B0397-945C-4972-AFA4-15C99BD6A7D3}">
      <formula1>"Bounceback,Defect,None"</formula1>
    </dataValidation>
    <dataValidation type="list" allowBlank="1" showErrorMessage="1" sqref="I2:I4" xr:uid="{23C46791-C4D4-466C-BFFE-EF9BC84C7C2A}">
      <formula1>"Open,Inprogress,Closed"</formula1>
    </dataValidation>
    <dataValidation type="list" allowBlank="1" showErrorMessage="1" sqref="G2:G4" xr:uid="{BC156FCB-DD9A-4C60-A658-5EA75147E5F4}">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960B4138-F0CF-46E5-ACF6-50192F4326B7}">
          <x14:formula1>
            <xm:f>Details!$A$2:$A$10</xm:f>
          </x14:formula1>
          <xm:sqref>J2:J4</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B0A56-2862-4692-B272-52A3A0C6CA53}">
  <dimension ref="A1:ZK982"/>
  <sheetViews>
    <sheetView topLeftCell="D1" workbookViewId="0">
      <selection activeCell="X8" sqref="X8"/>
    </sheetView>
  </sheetViews>
  <sheetFormatPr defaultRowHeight="12.75"/>
  <cols>
    <col min="1" max="1" width="9.140625" style="181"/>
    <col min="2" max="2" width="15.140625" customWidth="1"/>
    <col min="3" max="3" width="23.42578125" style="47" customWidth="1"/>
    <col min="4" max="4" width="12.85546875" customWidth="1"/>
    <col min="5" max="5" width="35.140625" customWidth="1"/>
    <col min="6" max="7" width="9.140625" style="53"/>
    <col min="12" max="12" width="35.85546875" customWidth="1"/>
    <col min="13" max="13" width="19.140625" customWidth="1"/>
    <col min="14" max="14" width="10.7109375" bestFit="1" customWidth="1"/>
    <col min="15" max="15" width="9.42578125" bestFit="1" customWidth="1"/>
    <col min="17" max="17" width="13.28515625" customWidth="1"/>
    <col min="19" max="19" width="9.42578125" bestFit="1" customWidth="1"/>
    <col min="20" max="20" width="14.7109375" customWidth="1"/>
    <col min="21" max="21" width="15.28515625" customWidth="1"/>
    <col min="22" max="22" width="18.5703125" customWidth="1"/>
    <col min="23" max="23" width="15.28515625" style="137" customWidth="1"/>
    <col min="24" max="24" width="48.28515625" customWidth="1"/>
  </cols>
  <sheetData>
    <row r="1" spans="1:687" ht="14.25">
      <c r="A1" s="184"/>
      <c r="B1" s="4"/>
      <c r="C1" s="5"/>
      <c r="D1" s="5"/>
      <c r="E1" s="4"/>
      <c r="F1" s="48"/>
      <c r="G1" s="48"/>
      <c r="H1" s="197"/>
      <c r="I1" s="243"/>
      <c r="J1" s="197"/>
      <c r="K1" s="197"/>
      <c r="L1" s="197"/>
      <c r="M1" s="197"/>
      <c r="N1" s="197"/>
      <c r="O1" s="197"/>
      <c r="P1" s="197"/>
      <c r="Q1" s="197"/>
      <c r="R1" s="197"/>
      <c r="S1" s="197"/>
      <c r="T1" s="197"/>
      <c r="U1" s="197"/>
      <c r="V1" s="197"/>
      <c r="W1" s="188"/>
      <c r="X1" s="209"/>
    </row>
    <row r="2" spans="1:687" ht="46.5">
      <c r="A2" s="193" t="s">
        <v>248</v>
      </c>
      <c r="B2" s="59" t="s">
        <v>249</v>
      </c>
      <c r="C2" s="195" t="s">
        <v>250</v>
      </c>
      <c r="D2" s="68" t="s">
        <v>251</v>
      </c>
      <c r="E2" s="70" t="s">
        <v>252</v>
      </c>
      <c r="F2" s="71" t="s">
        <v>254</v>
      </c>
      <c r="G2" s="71" t="s">
        <v>255</v>
      </c>
      <c r="H2" s="199" t="s">
        <v>259</v>
      </c>
      <c r="I2" s="199" t="s">
        <v>260</v>
      </c>
      <c r="J2" s="199" t="s">
        <v>261</v>
      </c>
      <c r="K2" s="199" t="s">
        <v>262</v>
      </c>
      <c r="L2" s="199" t="s">
        <v>263</v>
      </c>
      <c r="M2" s="199" t="s">
        <v>264</v>
      </c>
      <c r="N2" s="199" t="s">
        <v>265</v>
      </c>
      <c r="O2" s="199" t="s">
        <v>266</v>
      </c>
      <c r="P2" s="199" t="s">
        <v>1571</v>
      </c>
      <c r="Q2" s="199" t="s">
        <v>268</v>
      </c>
      <c r="R2" s="199" t="s">
        <v>1572</v>
      </c>
      <c r="S2" s="199" t="s">
        <v>270</v>
      </c>
      <c r="T2" s="199" t="s">
        <v>268</v>
      </c>
      <c r="U2" s="199" t="s">
        <v>272</v>
      </c>
      <c r="V2" s="199" t="s">
        <v>273</v>
      </c>
      <c r="W2" s="189" t="s">
        <v>253</v>
      </c>
      <c r="X2" s="210" t="s">
        <v>274</v>
      </c>
    </row>
    <row r="3" spans="1:687" s="218" customFormat="1" ht="27.75" customHeight="1">
      <c r="A3" s="62">
        <v>1</v>
      </c>
      <c r="B3" s="190" t="s">
        <v>1670</v>
      </c>
      <c r="C3" s="46" t="s">
        <v>1639</v>
      </c>
      <c r="D3" s="62" t="s">
        <v>1671</v>
      </c>
      <c r="E3" s="225" t="s">
        <v>1672</v>
      </c>
      <c r="F3" s="225">
        <v>2</v>
      </c>
      <c r="G3" s="225">
        <v>2</v>
      </c>
      <c r="H3" s="87" t="s">
        <v>318</v>
      </c>
      <c r="I3" s="46" t="s">
        <v>595</v>
      </c>
      <c r="J3" s="46" t="s">
        <v>1591</v>
      </c>
      <c r="K3" s="46" t="s">
        <v>595</v>
      </c>
      <c r="L3" s="46" t="s">
        <v>1591</v>
      </c>
      <c r="M3" s="231" t="s">
        <v>1673</v>
      </c>
      <c r="N3" s="254">
        <v>45457</v>
      </c>
      <c r="O3" s="254">
        <v>45457</v>
      </c>
      <c r="P3" s="19" t="s">
        <v>323</v>
      </c>
      <c r="Q3" s="19" t="s">
        <v>1591</v>
      </c>
      <c r="R3" s="19" t="s">
        <v>322</v>
      </c>
      <c r="S3" s="254">
        <v>45457</v>
      </c>
      <c r="T3" s="19" t="s">
        <v>1591</v>
      </c>
      <c r="U3" s="19" t="s">
        <v>1591</v>
      </c>
      <c r="V3" s="19" t="s">
        <v>1591</v>
      </c>
      <c r="W3" s="203" t="s">
        <v>13</v>
      </c>
      <c r="X3" s="19"/>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s="242"/>
      <c r="OW3" s="249"/>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s="242"/>
    </row>
    <row r="4" spans="1:687" s="229" customFormat="1" ht="31.5" customHeight="1">
      <c r="A4" s="257">
        <v>2</v>
      </c>
      <c r="B4" s="159" t="s">
        <v>1670</v>
      </c>
      <c r="C4" s="258" t="s">
        <v>1674</v>
      </c>
      <c r="D4" s="258" t="s">
        <v>1675</v>
      </c>
      <c r="E4" s="259" t="s">
        <v>1676</v>
      </c>
      <c r="F4" s="259">
        <v>3</v>
      </c>
      <c r="G4" s="259">
        <v>3</v>
      </c>
      <c r="H4" s="170" t="s">
        <v>318</v>
      </c>
      <c r="I4" s="170" t="s">
        <v>1591</v>
      </c>
      <c r="J4" s="170" t="s">
        <v>1591</v>
      </c>
      <c r="K4" s="170" t="s">
        <v>1591</v>
      </c>
      <c r="L4" s="170" t="s">
        <v>1591</v>
      </c>
      <c r="M4" s="170" t="s">
        <v>1591</v>
      </c>
      <c r="N4" s="170" t="s">
        <v>1591</v>
      </c>
      <c r="O4" s="170" t="s">
        <v>1591</v>
      </c>
      <c r="P4" s="170" t="s">
        <v>1591</v>
      </c>
      <c r="Q4" s="170" t="s">
        <v>1591</v>
      </c>
      <c r="R4" s="170" t="s">
        <v>1591</v>
      </c>
      <c r="S4" s="170" t="s">
        <v>1591</v>
      </c>
      <c r="T4" s="170" t="s">
        <v>1591</v>
      </c>
      <c r="U4" s="170" t="s">
        <v>1591</v>
      </c>
      <c r="V4" s="170" t="s">
        <v>1591</v>
      </c>
      <c r="W4" s="229" t="s">
        <v>13</v>
      </c>
      <c r="X4" s="229" t="s">
        <v>1677</v>
      </c>
      <c r="Y4" s="244"/>
      <c r="Z4" s="244"/>
      <c r="AA4" s="244"/>
      <c r="AB4" s="244"/>
      <c r="AC4" s="244"/>
      <c r="AD4" s="244"/>
      <c r="AE4" s="137"/>
      <c r="AF4" s="137"/>
      <c r="AG4" s="137"/>
      <c r="AH4" s="137"/>
      <c r="AI4" s="137"/>
      <c r="AJ4" s="137"/>
      <c r="AK4" s="137"/>
      <c r="AL4" s="137"/>
      <c r="AM4" s="137"/>
      <c r="AN4" s="137"/>
      <c r="AO4" s="137"/>
      <c r="AP4" s="137"/>
      <c r="AQ4" s="137"/>
      <c r="AR4" s="137"/>
      <c r="AS4" s="137"/>
      <c r="AT4" s="137"/>
      <c r="AU4" s="137"/>
      <c r="AV4" s="137"/>
      <c r="AW4" s="137"/>
      <c r="AX4" s="137"/>
      <c r="AY4" s="137"/>
      <c r="AZ4" s="137"/>
      <c r="BA4" s="137"/>
      <c r="BB4" s="137"/>
      <c r="BC4" s="137"/>
      <c r="BD4" s="137"/>
      <c r="BE4" s="137"/>
      <c r="BF4" s="137"/>
      <c r="BG4" s="137"/>
      <c r="BH4" s="137"/>
      <c r="BI4" s="137"/>
      <c r="BJ4" s="137"/>
      <c r="BK4" s="137"/>
      <c r="BL4" s="137"/>
      <c r="BM4" s="137"/>
      <c r="BN4" s="137"/>
      <c r="BO4" s="137"/>
      <c r="BP4" s="137"/>
      <c r="BQ4" s="137"/>
      <c r="BR4" s="137"/>
      <c r="BS4" s="137"/>
      <c r="BT4" s="137"/>
      <c r="BU4" s="137"/>
      <c r="BV4" s="137"/>
      <c r="BW4" s="137"/>
      <c r="BX4" s="137"/>
      <c r="BY4" s="137"/>
      <c r="BZ4" s="137"/>
      <c r="CA4" s="137"/>
      <c r="CB4" s="137"/>
      <c r="CC4" s="137"/>
      <c r="CD4" s="137"/>
      <c r="CE4" s="137"/>
      <c r="CF4" s="137"/>
      <c r="CG4" s="137"/>
      <c r="CH4" s="137"/>
      <c r="CI4" s="137"/>
      <c r="CJ4" s="137"/>
      <c r="CK4" s="137"/>
      <c r="CL4" s="137"/>
      <c r="CM4" s="137"/>
      <c r="CN4" s="137"/>
      <c r="CO4" s="137"/>
      <c r="CP4" s="137"/>
      <c r="CQ4" s="137"/>
      <c r="CR4" s="137"/>
      <c r="CS4" s="137"/>
      <c r="CT4" s="137"/>
      <c r="CU4" s="137"/>
      <c r="CV4" s="137"/>
      <c r="CW4" s="137"/>
      <c r="CX4" s="137"/>
      <c r="CY4" s="137"/>
      <c r="CZ4" s="137"/>
      <c r="DA4" s="137"/>
      <c r="DB4" s="137"/>
      <c r="DC4" s="137"/>
      <c r="DD4" s="137"/>
      <c r="DE4" s="137"/>
      <c r="DF4" s="137"/>
      <c r="DG4" s="137"/>
      <c r="DH4" s="137"/>
      <c r="DI4" s="137"/>
      <c r="DJ4" s="137"/>
      <c r="DK4" s="137"/>
      <c r="DL4" s="137"/>
      <c r="DM4" s="137"/>
      <c r="DN4" s="137"/>
      <c r="DO4" s="137"/>
      <c r="DP4" s="137"/>
      <c r="DQ4" s="137"/>
      <c r="DR4" s="137"/>
      <c r="DS4" s="137"/>
      <c r="DT4" s="137"/>
      <c r="DU4" s="137"/>
      <c r="DV4" s="137"/>
      <c r="DW4" s="137"/>
      <c r="DX4" s="137"/>
      <c r="DY4" s="137"/>
      <c r="DZ4" s="137"/>
      <c r="EA4" s="137"/>
      <c r="EB4" s="137"/>
      <c r="EC4" s="137"/>
      <c r="ED4" s="137"/>
      <c r="EE4" s="137"/>
      <c r="EF4" s="137"/>
      <c r="EG4" s="137"/>
      <c r="EH4" s="137"/>
      <c r="EI4" s="137"/>
      <c r="EJ4" s="137"/>
      <c r="EK4" s="137"/>
      <c r="EL4" s="137"/>
      <c r="EM4" s="137"/>
      <c r="EN4" s="137"/>
      <c r="EO4" s="137"/>
      <c r="EP4" s="137"/>
      <c r="EQ4" s="137"/>
      <c r="ER4" s="137"/>
      <c r="ES4" s="137"/>
      <c r="ET4" s="137"/>
      <c r="EU4" s="137"/>
      <c r="EV4" s="137"/>
      <c r="EW4" s="137"/>
      <c r="EX4" s="137"/>
      <c r="EY4" s="137"/>
      <c r="EZ4" s="137"/>
      <c r="FA4" s="137"/>
      <c r="FB4" s="137"/>
      <c r="FC4" s="137"/>
      <c r="FD4" s="137"/>
      <c r="FE4" s="137"/>
      <c r="FF4" s="137"/>
      <c r="FG4" s="137"/>
      <c r="FH4" s="137"/>
      <c r="FI4" s="137"/>
      <c r="FJ4" s="137"/>
      <c r="FK4" s="137"/>
      <c r="FL4" s="137"/>
      <c r="FM4" s="137"/>
      <c r="FN4" s="137"/>
      <c r="FO4" s="137"/>
      <c r="FP4" s="137"/>
      <c r="FQ4" s="137"/>
      <c r="FR4" s="137"/>
      <c r="FS4" s="137"/>
      <c r="FT4" s="137"/>
      <c r="FU4" s="137"/>
      <c r="FV4" s="137"/>
      <c r="FW4" s="137"/>
      <c r="FX4" s="137"/>
      <c r="FY4" s="137"/>
      <c r="FZ4" s="137"/>
      <c r="GA4" s="137"/>
      <c r="GB4" s="137"/>
      <c r="GC4" s="137"/>
      <c r="GD4" s="137"/>
      <c r="GE4" s="137"/>
      <c r="GF4" s="137"/>
      <c r="GG4" s="137"/>
      <c r="GH4" s="137"/>
      <c r="GI4" s="137"/>
      <c r="GJ4" s="137"/>
      <c r="GK4" s="137"/>
      <c r="GL4" s="137"/>
      <c r="GM4" s="137"/>
      <c r="GN4" s="137"/>
      <c r="GO4" s="137"/>
      <c r="GP4" s="137"/>
      <c r="GQ4" s="137"/>
      <c r="GR4" s="137"/>
      <c r="GS4" s="137"/>
      <c r="GT4" s="137"/>
      <c r="GU4" s="137"/>
      <c r="GV4" s="137"/>
      <c r="GW4" s="137"/>
      <c r="GX4" s="137"/>
      <c r="GY4" s="137"/>
      <c r="GZ4" s="137"/>
      <c r="HA4" s="137"/>
      <c r="HB4" s="137"/>
      <c r="HC4" s="137"/>
      <c r="HD4" s="137"/>
      <c r="HE4" s="137"/>
      <c r="HF4" s="137"/>
      <c r="HG4" s="137"/>
      <c r="HH4" s="137"/>
      <c r="HI4" s="137"/>
      <c r="HJ4" s="137"/>
      <c r="HK4" s="137"/>
      <c r="HL4" s="137"/>
      <c r="HM4" s="137"/>
      <c r="HN4" s="137"/>
      <c r="HO4" s="137"/>
      <c r="HP4" s="137"/>
      <c r="HQ4" s="137"/>
      <c r="HR4" s="137"/>
      <c r="HS4" s="137"/>
      <c r="HT4" s="137"/>
      <c r="HU4" s="137"/>
      <c r="HV4" s="137"/>
      <c r="HW4" s="137"/>
      <c r="HX4" s="137"/>
      <c r="HY4" s="137"/>
      <c r="HZ4" s="137"/>
      <c r="IA4" s="137"/>
      <c r="IB4" s="137"/>
      <c r="IC4" s="137"/>
      <c r="ID4" s="137"/>
      <c r="IE4" s="137"/>
      <c r="IF4" s="137"/>
      <c r="IG4" s="137"/>
      <c r="IH4" s="137"/>
      <c r="II4" s="137"/>
      <c r="IJ4" s="137"/>
      <c r="IK4" s="137"/>
      <c r="IL4" s="137"/>
      <c r="IM4" s="137"/>
      <c r="IN4" s="137"/>
      <c r="IO4" s="137"/>
      <c r="IP4" s="247"/>
      <c r="OW4" s="250"/>
      <c r="OX4" s="137"/>
      <c r="OY4" s="137"/>
      <c r="OZ4" s="137"/>
      <c r="PA4" s="137"/>
      <c r="PB4" s="137"/>
      <c r="PC4" s="137"/>
      <c r="PD4" s="137"/>
      <c r="PE4" s="137"/>
      <c r="PF4" s="137"/>
      <c r="PG4" s="137"/>
      <c r="PH4" s="137"/>
      <c r="PI4" s="137"/>
      <c r="PJ4" s="137"/>
      <c r="PK4" s="137"/>
      <c r="PL4" s="137"/>
      <c r="PM4" s="137"/>
      <c r="PN4" s="137"/>
      <c r="PO4" s="137"/>
      <c r="PP4" s="137"/>
      <c r="PQ4" s="137"/>
      <c r="PR4" s="137"/>
      <c r="PS4" s="137"/>
      <c r="PT4" s="137"/>
      <c r="PU4" s="137"/>
      <c r="PV4" s="137"/>
      <c r="PW4" s="137"/>
      <c r="PX4" s="137"/>
      <c r="PY4" s="137"/>
      <c r="PZ4" s="137"/>
      <c r="QA4" s="137"/>
      <c r="QB4" s="137"/>
      <c r="QC4" s="137"/>
      <c r="QD4" s="137"/>
      <c r="QE4" s="137"/>
      <c r="QF4" s="137"/>
      <c r="QG4" s="137"/>
      <c r="QH4" s="137"/>
      <c r="QI4" s="137"/>
      <c r="QJ4" s="137"/>
      <c r="QK4" s="137"/>
      <c r="QL4" s="137"/>
      <c r="QM4" s="137"/>
      <c r="QN4" s="137"/>
      <c r="QO4" s="137"/>
      <c r="QP4" s="137"/>
      <c r="QQ4" s="137"/>
      <c r="QR4" s="137"/>
      <c r="QS4" s="137"/>
      <c r="QT4" s="137"/>
      <c r="QU4" s="137"/>
      <c r="QV4" s="137"/>
      <c r="QW4" s="137"/>
      <c r="QX4" s="137"/>
      <c r="QY4" s="137"/>
      <c r="QZ4" s="137"/>
      <c r="RA4" s="137"/>
      <c r="RB4" s="137"/>
      <c r="RC4" s="137"/>
      <c r="RD4" s="137"/>
      <c r="RE4" s="137"/>
      <c r="RF4" s="137"/>
      <c r="RG4" s="137"/>
      <c r="RH4" s="137"/>
      <c r="RI4" s="137"/>
      <c r="RJ4" s="137"/>
      <c r="RK4" s="137"/>
      <c r="RL4" s="137"/>
      <c r="RM4" s="137"/>
      <c r="RN4" s="137"/>
      <c r="RO4" s="137"/>
      <c r="RP4" s="137"/>
      <c r="RQ4" s="137"/>
      <c r="RR4" s="137"/>
      <c r="RS4" s="137"/>
      <c r="RT4" s="137"/>
      <c r="RU4" s="137"/>
      <c r="RV4" s="137"/>
      <c r="RW4" s="137"/>
      <c r="RX4" s="137"/>
      <c r="RY4" s="137"/>
      <c r="RZ4" s="137"/>
      <c r="SA4" s="137"/>
      <c r="SB4" s="137"/>
      <c r="SC4" s="137"/>
      <c r="SD4" s="137"/>
      <c r="SE4" s="137"/>
      <c r="SF4" s="137"/>
      <c r="SG4" s="137"/>
      <c r="SH4" s="137"/>
      <c r="SI4" s="137"/>
      <c r="SJ4" s="137"/>
      <c r="SK4" s="137"/>
      <c r="SL4" s="137"/>
      <c r="SM4" s="137"/>
      <c r="SN4" s="137"/>
      <c r="SO4" s="137"/>
      <c r="SP4" s="137"/>
      <c r="SQ4" s="137"/>
      <c r="SR4" s="137"/>
      <c r="SS4" s="137"/>
      <c r="ST4" s="137"/>
      <c r="SU4" s="137"/>
      <c r="SV4" s="137"/>
      <c r="SW4" s="137"/>
      <c r="SX4" s="137"/>
      <c r="SY4" s="137"/>
      <c r="SZ4" s="137"/>
      <c r="TA4" s="137"/>
      <c r="TB4" s="137"/>
      <c r="TC4" s="137"/>
      <c r="TD4" s="137"/>
      <c r="TE4" s="137"/>
      <c r="TF4" s="137"/>
      <c r="TG4" s="137"/>
      <c r="TH4" s="137"/>
      <c r="TI4" s="137"/>
      <c r="TJ4" s="137"/>
      <c r="TK4" s="137"/>
      <c r="TL4" s="137"/>
      <c r="TM4" s="137"/>
      <c r="TN4" s="137"/>
      <c r="TO4" s="137"/>
      <c r="TP4" s="137"/>
      <c r="TQ4" s="137"/>
      <c r="TR4" s="137"/>
      <c r="TS4" s="137"/>
      <c r="TT4" s="137"/>
      <c r="TU4" s="137"/>
      <c r="TV4" s="137"/>
      <c r="TW4" s="137"/>
      <c r="TX4" s="137"/>
      <c r="TY4" s="137"/>
      <c r="TZ4" s="137"/>
      <c r="UA4" s="137"/>
      <c r="UB4" s="137"/>
      <c r="UC4" s="137"/>
      <c r="UD4" s="137"/>
      <c r="UE4" s="137"/>
      <c r="UF4" s="137"/>
      <c r="UG4" s="137"/>
      <c r="UH4" s="137"/>
      <c r="UI4" s="137"/>
      <c r="UJ4" s="137"/>
      <c r="UK4" s="137"/>
      <c r="UL4" s="137"/>
      <c r="UM4" s="137"/>
      <c r="UN4" s="137"/>
      <c r="UO4" s="137"/>
      <c r="UP4" s="137"/>
      <c r="UQ4" s="137"/>
      <c r="UR4" s="137"/>
      <c r="US4" s="137"/>
      <c r="UT4" s="137"/>
      <c r="UU4" s="137"/>
      <c r="UV4" s="137"/>
      <c r="UW4" s="137"/>
      <c r="UX4" s="137"/>
      <c r="UY4" s="137"/>
      <c r="UZ4" s="137"/>
      <c r="VA4" s="137"/>
      <c r="VB4" s="137"/>
      <c r="VC4" s="137"/>
      <c r="VD4" s="137"/>
      <c r="VE4" s="137"/>
      <c r="VF4" s="137"/>
      <c r="VG4" s="137"/>
      <c r="VH4" s="137"/>
      <c r="VI4" s="137"/>
      <c r="VJ4" s="137"/>
      <c r="VK4" s="137"/>
      <c r="VL4" s="137"/>
      <c r="VM4" s="137"/>
      <c r="VN4" s="137"/>
      <c r="VO4" s="137"/>
      <c r="VP4" s="137"/>
      <c r="VQ4" s="137"/>
      <c r="VR4" s="137"/>
      <c r="VS4" s="137"/>
      <c r="VT4" s="137"/>
      <c r="VU4" s="137"/>
      <c r="VV4" s="137"/>
      <c r="VW4" s="137"/>
      <c r="VX4" s="137"/>
      <c r="VY4" s="137"/>
      <c r="VZ4" s="137"/>
      <c r="WA4" s="137"/>
      <c r="WB4" s="137"/>
      <c r="WC4" s="137"/>
      <c r="WD4" s="137"/>
      <c r="WE4" s="137"/>
      <c r="WF4" s="137"/>
      <c r="WG4" s="137"/>
      <c r="WH4" s="137"/>
      <c r="WI4" s="137"/>
      <c r="WJ4" s="137"/>
      <c r="WK4" s="137"/>
      <c r="WL4" s="137"/>
      <c r="WM4" s="137"/>
      <c r="WN4" s="137"/>
      <c r="WO4" s="137"/>
      <c r="WP4" s="137"/>
      <c r="WQ4" s="137"/>
      <c r="WR4" s="137"/>
      <c r="WS4" s="137"/>
      <c r="WT4" s="137"/>
      <c r="WU4" s="137"/>
      <c r="WV4" s="137"/>
      <c r="WW4" s="137"/>
      <c r="WX4" s="137"/>
      <c r="WY4" s="137"/>
      <c r="WZ4" s="137"/>
      <c r="XA4" s="137"/>
      <c r="XB4" s="137"/>
      <c r="XC4" s="137"/>
      <c r="XD4" s="137"/>
      <c r="XE4" s="137"/>
      <c r="XF4" s="137"/>
      <c r="XG4" s="137"/>
      <c r="XH4" s="137"/>
      <c r="XI4" s="137"/>
      <c r="XJ4" s="137"/>
      <c r="XK4" s="137"/>
      <c r="XL4" s="137"/>
      <c r="XM4" s="137"/>
      <c r="XN4" s="137"/>
      <c r="XO4" s="137"/>
      <c r="XP4" s="137"/>
      <c r="XQ4" s="137"/>
      <c r="XR4" s="137"/>
      <c r="XS4" s="137"/>
      <c r="XT4" s="137"/>
      <c r="XU4" s="137"/>
      <c r="XV4" s="137"/>
      <c r="XW4" s="137"/>
      <c r="XX4" s="137"/>
      <c r="XY4" s="137"/>
      <c r="XZ4" s="137"/>
      <c r="YA4" s="137"/>
      <c r="YB4" s="137"/>
      <c r="YC4" s="137"/>
      <c r="YD4" s="137"/>
      <c r="YE4" s="137"/>
      <c r="YF4" s="137"/>
      <c r="YG4" s="137"/>
      <c r="YH4" s="137"/>
      <c r="YI4" s="137"/>
      <c r="YJ4" s="137"/>
      <c r="YK4" s="137"/>
      <c r="YL4" s="137"/>
      <c r="YM4" s="137"/>
      <c r="YN4" s="137"/>
      <c r="YO4" s="137"/>
      <c r="YP4" s="137"/>
      <c r="YQ4" s="137"/>
      <c r="YR4" s="137"/>
      <c r="YS4" s="137"/>
      <c r="YT4" s="137"/>
      <c r="YU4" s="137"/>
      <c r="YV4" s="137"/>
      <c r="YW4" s="137"/>
      <c r="YX4" s="137"/>
      <c r="YY4" s="137"/>
      <c r="YZ4" s="137"/>
      <c r="ZA4" s="137"/>
      <c r="ZB4" s="137"/>
      <c r="ZC4" s="137"/>
      <c r="ZD4" s="137"/>
      <c r="ZE4" s="137"/>
      <c r="ZF4" s="137"/>
      <c r="ZG4" s="137"/>
      <c r="ZH4" s="137"/>
      <c r="ZI4" s="137"/>
      <c r="ZJ4" s="137"/>
      <c r="ZK4" s="247"/>
    </row>
    <row r="5" spans="1:687" s="137" customFormat="1" ht="35.25" customHeight="1">
      <c r="A5" s="256">
        <v>3</v>
      </c>
      <c r="B5" s="190" t="s">
        <v>1670</v>
      </c>
      <c r="C5" s="46" t="s">
        <v>1035</v>
      </c>
      <c r="D5" s="62" t="s">
        <v>1678</v>
      </c>
      <c r="E5" s="225" t="s">
        <v>1679</v>
      </c>
      <c r="F5" s="225">
        <v>2</v>
      </c>
      <c r="G5" s="225">
        <v>2</v>
      </c>
      <c r="H5" s="87" t="s">
        <v>318</v>
      </c>
      <c r="I5" s="46" t="s">
        <v>1577</v>
      </c>
      <c r="J5" s="62" t="s">
        <v>1591</v>
      </c>
      <c r="K5" s="46" t="s">
        <v>595</v>
      </c>
      <c r="L5" s="62" t="s">
        <v>1591</v>
      </c>
      <c r="M5" s="231" t="s">
        <v>1680</v>
      </c>
      <c r="N5" s="269">
        <v>45455</v>
      </c>
      <c r="O5" s="232">
        <v>45455</v>
      </c>
      <c r="P5" s="41" t="s">
        <v>323</v>
      </c>
      <c r="Q5" s="203" t="s">
        <v>1591</v>
      </c>
      <c r="R5" s="203" t="s">
        <v>322</v>
      </c>
      <c r="S5" s="206">
        <v>45455</v>
      </c>
      <c r="T5" s="203" t="s">
        <v>1591</v>
      </c>
      <c r="U5" s="203" t="s">
        <v>1591</v>
      </c>
      <c r="V5" s="203" t="s">
        <v>1591</v>
      </c>
      <c r="W5" s="203" t="s">
        <v>13</v>
      </c>
      <c r="X5" s="203"/>
      <c r="Y5" s="244"/>
      <c r="Z5" s="244"/>
      <c r="AA5" s="244"/>
      <c r="AB5" s="244"/>
      <c r="AC5" s="244"/>
      <c r="AD5" s="244"/>
    </row>
    <row r="6" spans="1:687" ht="24.75" customHeight="1">
      <c r="A6" s="260">
        <v>4</v>
      </c>
      <c r="B6" s="261" t="s">
        <v>1670</v>
      </c>
      <c r="C6" s="262" t="s">
        <v>1639</v>
      </c>
      <c r="D6" s="260" t="s">
        <v>1681</v>
      </c>
      <c r="E6" s="263" t="s">
        <v>1682</v>
      </c>
      <c r="F6" s="264">
        <v>2</v>
      </c>
      <c r="G6" s="264">
        <v>2</v>
      </c>
      <c r="H6" s="265" t="s">
        <v>318</v>
      </c>
      <c r="I6" s="262" t="s">
        <v>1035</v>
      </c>
      <c r="J6" s="260" t="s">
        <v>1591</v>
      </c>
      <c r="K6" s="262" t="s">
        <v>595</v>
      </c>
      <c r="L6" s="260" t="s">
        <v>1591</v>
      </c>
      <c r="M6" s="255" t="s">
        <v>1683</v>
      </c>
      <c r="N6" s="266">
        <v>45457</v>
      </c>
      <c r="O6" s="266">
        <v>45458</v>
      </c>
      <c r="P6" s="107" t="s">
        <v>323</v>
      </c>
      <c r="Q6" s="226" t="s">
        <v>1591</v>
      </c>
      <c r="R6" s="226" t="s">
        <v>322</v>
      </c>
      <c r="S6" s="267">
        <v>45458</v>
      </c>
      <c r="T6" s="226" t="s">
        <v>1591</v>
      </c>
      <c r="U6" s="226" t="s">
        <v>1591</v>
      </c>
      <c r="V6" s="226" t="s">
        <v>1591</v>
      </c>
      <c r="W6" s="268" t="s">
        <v>13</v>
      </c>
      <c r="X6" s="273"/>
      <c r="Y6" s="35"/>
      <c r="Z6" s="35"/>
      <c r="AA6" s="35"/>
      <c r="AB6" s="35"/>
      <c r="AC6" s="35"/>
      <c r="AD6" s="35"/>
    </row>
    <row r="7" spans="1:687" ht="24.75">
      <c r="A7" s="257">
        <v>5</v>
      </c>
      <c r="B7" s="159" t="s">
        <v>1670</v>
      </c>
      <c r="C7" s="270" t="s">
        <v>1684</v>
      </c>
      <c r="D7" s="257" t="s">
        <v>1652</v>
      </c>
      <c r="E7" s="259" t="s">
        <v>1685</v>
      </c>
      <c r="F7" s="259">
        <v>3</v>
      </c>
      <c r="G7" s="259">
        <v>2</v>
      </c>
      <c r="H7" s="170"/>
      <c r="I7" s="270"/>
      <c r="J7" s="257"/>
      <c r="K7" s="270"/>
      <c r="L7" s="257"/>
      <c r="M7" s="271"/>
      <c r="N7" s="219"/>
      <c r="O7" s="219"/>
      <c r="P7" s="219"/>
      <c r="Q7" s="218"/>
      <c r="R7" s="218"/>
      <c r="S7" s="218"/>
      <c r="T7" s="218"/>
      <c r="U7" s="218"/>
      <c r="V7" s="218"/>
      <c r="W7" s="250" t="s">
        <v>589</v>
      </c>
      <c r="X7" s="274"/>
      <c r="Y7" s="35"/>
      <c r="Z7" s="35"/>
      <c r="AA7" s="35"/>
      <c r="AB7" s="35"/>
      <c r="AC7" s="35"/>
      <c r="AD7" s="35"/>
    </row>
    <row r="8" spans="1:687" s="58" customFormat="1" ht="15">
      <c r="A8" s="228">
        <v>6</v>
      </c>
      <c r="B8" s="190" t="s">
        <v>1670</v>
      </c>
      <c r="C8" s="12" t="s">
        <v>1674</v>
      </c>
      <c r="D8" s="64" t="s">
        <v>1686</v>
      </c>
      <c r="E8" s="64" t="s">
        <v>1687</v>
      </c>
      <c r="F8" s="225">
        <v>5</v>
      </c>
      <c r="G8" s="45">
        <v>5</v>
      </c>
      <c r="H8" s="30" t="s">
        <v>318</v>
      </c>
      <c r="I8" s="19"/>
      <c r="K8" s="19"/>
      <c r="M8" s="19"/>
      <c r="N8" s="19"/>
      <c r="O8" s="19"/>
      <c r="P8" s="19"/>
      <c r="W8" s="272" t="s">
        <v>13</v>
      </c>
      <c r="X8" s="274" t="s">
        <v>1688</v>
      </c>
      <c r="Y8" s="227"/>
    </row>
    <row r="9" spans="1:687">
      <c r="B9" s="28"/>
      <c r="C9" s="196"/>
      <c r="D9" s="47"/>
      <c r="E9" s="28"/>
      <c r="F9" s="215"/>
      <c r="G9" s="215"/>
      <c r="H9" s="2"/>
      <c r="I9" s="35"/>
      <c r="K9" s="35"/>
      <c r="M9" s="35"/>
      <c r="N9" s="35"/>
      <c r="O9" s="35"/>
      <c r="P9" s="35"/>
    </row>
    <row r="10" spans="1:687">
      <c r="B10" s="28"/>
      <c r="C10" s="196"/>
      <c r="D10" s="47"/>
      <c r="E10" s="28"/>
      <c r="F10" s="215"/>
      <c r="G10" s="215"/>
      <c r="H10" s="2"/>
      <c r="I10" s="35"/>
      <c r="K10" s="35"/>
      <c r="M10" s="35"/>
      <c r="N10" s="35"/>
      <c r="O10" s="35"/>
      <c r="P10" s="35"/>
    </row>
    <row r="11" spans="1:687">
      <c r="B11" s="28"/>
      <c r="C11" s="196"/>
      <c r="D11" s="47"/>
      <c r="E11" s="28"/>
      <c r="F11" s="215"/>
      <c r="G11" s="215"/>
      <c r="H11" s="2"/>
      <c r="I11" s="35"/>
      <c r="K11" s="35"/>
      <c r="M11" s="35"/>
      <c r="N11" s="35"/>
      <c r="O11" s="35"/>
      <c r="P11" s="35"/>
    </row>
    <row r="12" spans="1:687">
      <c r="B12" s="28"/>
      <c r="C12" s="196"/>
      <c r="D12" s="47"/>
      <c r="E12" s="28"/>
      <c r="F12" s="215"/>
      <c r="G12" s="215"/>
      <c r="H12" s="2"/>
      <c r="I12" s="35"/>
      <c r="K12" s="35"/>
      <c r="M12" s="35"/>
      <c r="N12" s="35"/>
      <c r="O12" s="35"/>
      <c r="P12" s="35"/>
    </row>
    <row r="13" spans="1:687">
      <c r="B13" s="28"/>
      <c r="C13" s="196"/>
      <c r="D13" s="47"/>
      <c r="E13" s="28"/>
      <c r="F13" s="215"/>
      <c r="G13" s="215"/>
      <c r="H13" s="2"/>
      <c r="I13" s="35"/>
      <c r="K13" s="35"/>
      <c r="M13" s="35"/>
      <c r="N13" s="35"/>
      <c r="O13" s="35"/>
      <c r="P13" s="35"/>
    </row>
    <row r="14" spans="1:687">
      <c r="B14" s="28"/>
      <c r="C14" s="196"/>
      <c r="D14" s="47"/>
      <c r="E14" s="28"/>
      <c r="F14" s="215"/>
      <c r="G14" s="215"/>
      <c r="H14" s="2"/>
      <c r="I14" s="35"/>
      <c r="K14" s="35"/>
      <c r="M14" s="35"/>
      <c r="N14" s="35"/>
      <c r="O14" s="35"/>
      <c r="P14" s="35"/>
    </row>
    <row r="15" spans="1:687">
      <c r="B15" s="28"/>
      <c r="C15" s="196"/>
      <c r="D15" s="47"/>
      <c r="E15" s="28"/>
      <c r="F15" s="215"/>
      <c r="G15" s="215"/>
      <c r="H15" s="2"/>
      <c r="I15" s="35"/>
      <c r="K15" s="35"/>
      <c r="M15" s="35"/>
      <c r="N15" s="35"/>
      <c r="O15" s="35"/>
      <c r="P15" s="35"/>
    </row>
    <row r="16" spans="1:687">
      <c r="B16" s="28"/>
      <c r="C16" s="196"/>
      <c r="D16" s="47"/>
      <c r="E16" s="28"/>
      <c r="F16" s="215"/>
      <c r="G16" s="215"/>
      <c r="H16" s="2"/>
      <c r="I16" s="35"/>
      <c r="K16" s="35"/>
      <c r="M16" s="35"/>
      <c r="N16" s="35"/>
      <c r="O16" s="35"/>
      <c r="P16" s="35"/>
    </row>
    <row r="17" spans="2:16">
      <c r="B17" s="28"/>
      <c r="C17" s="196"/>
      <c r="D17" s="47"/>
      <c r="E17" s="28"/>
      <c r="F17" s="215"/>
      <c r="G17" s="215"/>
      <c r="H17" s="2"/>
      <c r="I17" s="35"/>
      <c r="K17" s="35"/>
      <c r="M17" s="35"/>
      <c r="N17" s="35"/>
      <c r="O17" s="35"/>
      <c r="P17" s="35"/>
    </row>
    <row r="18" spans="2:16">
      <c r="B18" s="28"/>
      <c r="C18" s="196"/>
      <c r="D18" s="47"/>
      <c r="E18" s="28"/>
      <c r="F18" s="215"/>
      <c r="G18" s="215"/>
      <c r="H18" s="2"/>
      <c r="I18" s="35"/>
      <c r="K18" s="35"/>
      <c r="M18" s="35"/>
      <c r="N18" s="35"/>
      <c r="O18" s="35"/>
      <c r="P18" s="35"/>
    </row>
    <row r="19" spans="2:16">
      <c r="B19" s="28"/>
      <c r="C19" s="196"/>
      <c r="D19" s="47"/>
      <c r="E19" s="28"/>
      <c r="F19" s="215"/>
      <c r="G19" s="215"/>
      <c r="H19" s="2"/>
      <c r="I19" s="35"/>
      <c r="K19" s="35"/>
      <c r="M19" s="35"/>
      <c r="N19" s="35"/>
      <c r="O19" s="35"/>
      <c r="P19" s="35"/>
    </row>
    <row r="20" spans="2:16">
      <c r="B20" s="28"/>
      <c r="C20" s="196"/>
      <c r="D20" s="47"/>
      <c r="E20" s="28"/>
      <c r="F20" s="215"/>
      <c r="G20" s="215"/>
      <c r="H20" s="2"/>
      <c r="I20" s="35"/>
      <c r="K20" s="35"/>
      <c r="M20" s="35"/>
      <c r="N20" s="35"/>
      <c r="O20" s="35"/>
      <c r="P20" s="35"/>
    </row>
    <row r="21" spans="2:16">
      <c r="B21" s="28"/>
      <c r="C21" s="196"/>
      <c r="D21" s="47"/>
      <c r="E21" s="28"/>
      <c r="F21" s="215"/>
      <c r="G21" s="215"/>
      <c r="H21" s="2"/>
      <c r="I21" s="35"/>
      <c r="K21" s="35"/>
      <c r="M21" s="35"/>
      <c r="N21" s="35"/>
      <c r="O21" s="35"/>
      <c r="P21" s="35"/>
    </row>
    <row r="22" spans="2:16">
      <c r="B22" s="28"/>
      <c r="C22" s="196"/>
      <c r="D22" s="47"/>
      <c r="E22" s="28"/>
      <c r="F22" s="215"/>
      <c r="G22" s="215"/>
      <c r="H22" s="2"/>
      <c r="I22" s="35"/>
      <c r="K22" s="35"/>
      <c r="M22" s="35"/>
      <c r="N22" s="35"/>
      <c r="O22" s="35"/>
      <c r="P22" s="35"/>
    </row>
    <row r="23" spans="2:16">
      <c r="B23" s="28"/>
      <c r="C23" s="196"/>
      <c r="D23" s="47"/>
      <c r="E23" s="28"/>
      <c r="F23" s="215"/>
      <c r="G23" s="215"/>
      <c r="H23" s="2"/>
      <c r="I23" s="35"/>
      <c r="K23" s="35"/>
      <c r="M23" s="35"/>
      <c r="N23" s="35"/>
      <c r="O23" s="35"/>
      <c r="P23" s="35"/>
    </row>
    <row r="24" spans="2:16">
      <c r="B24" s="28"/>
      <c r="C24" s="196"/>
      <c r="D24" s="47"/>
      <c r="E24" s="28"/>
      <c r="F24" s="215"/>
      <c r="G24" s="215"/>
      <c r="H24" s="2"/>
      <c r="I24" s="35"/>
      <c r="K24" s="35"/>
      <c r="M24" s="35"/>
      <c r="N24" s="35"/>
      <c r="O24" s="35"/>
      <c r="P24" s="35"/>
    </row>
    <row r="25" spans="2:16">
      <c r="B25" s="28"/>
      <c r="C25" s="196"/>
      <c r="D25" s="47"/>
      <c r="E25" s="28"/>
      <c r="F25" s="215"/>
      <c r="G25" s="215"/>
      <c r="H25" s="2"/>
      <c r="I25" s="35"/>
      <c r="K25" s="35"/>
      <c r="M25" s="35"/>
      <c r="N25" s="35"/>
      <c r="O25" s="35"/>
      <c r="P25" s="35"/>
    </row>
    <row r="26" spans="2:16">
      <c r="B26" s="28"/>
      <c r="C26" s="196"/>
      <c r="D26" s="47"/>
      <c r="E26" s="28"/>
      <c r="F26" s="215"/>
      <c r="G26" s="215"/>
      <c r="H26" s="2"/>
      <c r="I26" s="35"/>
      <c r="K26" s="35"/>
      <c r="M26" s="35"/>
      <c r="N26" s="35"/>
      <c r="O26" s="35"/>
      <c r="P26" s="35"/>
    </row>
    <row r="27" spans="2:16">
      <c r="B27" s="28"/>
      <c r="C27" s="196"/>
      <c r="D27" s="47"/>
      <c r="E27" s="28"/>
      <c r="F27" s="215"/>
      <c r="G27" s="215"/>
      <c r="H27" s="2"/>
      <c r="I27" s="35"/>
      <c r="K27" s="35"/>
      <c r="M27" s="35"/>
      <c r="N27" s="35"/>
      <c r="O27" s="35"/>
      <c r="P27" s="35"/>
    </row>
    <row r="28" spans="2:16">
      <c r="B28" s="28"/>
      <c r="C28" s="196"/>
      <c r="D28" s="47"/>
      <c r="E28" s="28"/>
      <c r="F28" s="215"/>
      <c r="G28" s="215"/>
      <c r="H28" s="2"/>
      <c r="I28" s="35"/>
      <c r="K28" s="35"/>
      <c r="M28" s="35"/>
      <c r="N28" s="35"/>
      <c r="O28" s="35"/>
      <c r="P28" s="35"/>
    </row>
    <row r="29" spans="2:16">
      <c r="B29" s="28"/>
      <c r="C29" s="196"/>
      <c r="D29" s="47"/>
      <c r="E29" s="28"/>
      <c r="F29" s="215"/>
      <c r="G29" s="215"/>
      <c r="H29" s="2"/>
      <c r="I29" s="35"/>
      <c r="K29" s="35"/>
      <c r="M29" s="35"/>
      <c r="N29" s="35"/>
      <c r="O29" s="35"/>
      <c r="P29" s="35"/>
    </row>
    <row r="30" spans="2:16">
      <c r="B30" s="28"/>
      <c r="C30" s="196"/>
      <c r="D30" s="47"/>
      <c r="E30" s="28"/>
      <c r="F30" s="215"/>
      <c r="G30" s="215"/>
      <c r="H30" s="2"/>
      <c r="I30" s="35"/>
      <c r="K30" s="35"/>
      <c r="M30" s="35"/>
      <c r="N30" s="35"/>
      <c r="O30" s="35"/>
      <c r="P30" s="35"/>
    </row>
    <row r="31" spans="2:16">
      <c r="B31" s="28"/>
      <c r="C31" s="196"/>
      <c r="D31" s="47"/>
      <c r="E31" s="28"/>
      <c r="F31" s="215"/>
      <c r="G31" s="215"/>
      <c r="H31" s="2"/>
      <c r="I31" s="35"/>
      <c r="K31" s="35"/>
      <c r="M31" s="35"/>
      <c r="N31" s="35"/>
      <c r="O31" s="35"/>
      <c r="P31" s="35"/>
    </row>
    <row r="32" spans="2:16">
      <c r="B32" s="28"/>
      <c r="C32" s="196"/>
      <c r="D32" s="47"/>
      <c r="E32" s="28"/>
      <c r="F32" s="215"/>
      <c r="G32" s="215"/>
      <c r="H32" s="2"/>
      <c r="I32" s="35"/>
      <c r="K32" s="35"/>
      <c r="M32" s="35"/>
      <c r="N32" s="35"/>
      <c r="O32" s="35"/>
      <c r="P32" s="35"/>
    </row>
    <row r="33" spans="2:16">
      <c r="B33" s="28"/>
      <c r="C33" s="196"/>
      <c r="D33" s="47"/>
      <c r="E33" s="28"/>
      <c r="F33" s="215"/>
      <c r="G33" s="215"/>
      <c r="H33" s="2"/>
      <c r="I33" s="35"/>
      <c r="K33" s="35"/>
      <c r="M33" s="35"/>
      <c r="N33" s="35"/>
      <c r="O33" s="35"/>
      <c r="P33" s="35"/>
    </row>
    <row r="34" spans="2:16">
      <c r="B34" s="28"/>
      <c r="C34" s="196"/>
      <c r="D34" s="47"/>
      <c r="E34" s="28"/>
      <c r="F34" s="215"/>
      <c r="G34" s="215"/>
      <c r="H34" s="2"/>
      <c r="I34" s="35"/>
      <c r="K34" s="35"/>
      <c r="M34" s="35"/>
      <c r="N34" s="35"/>
      <c r="O34" s="35"/>
      <c r="P34" s="35"/>
    </row>
    <row r="35" spans="2:16">
      <c r="B35" s="28"/>
      <c r="C35" s="196"/>
      <c r="D35" s="47"/>
      <c r="E35" s="28"/>
      <c r="F35" s="215"/>
      <c r="G35" s="215"/>
      <c r="H35" s="2"/>
      <c r="I35" s="35"/>
      <c r="K35" s="35"/>
      <c r="M35" s="35"/>
      <c r="N35" s="35"/>
      <c r="O35" s="35"/>
      <c r="P35" s="35"/>
    </row>
    <row r="36" spans="2:16">
      <c r="B36" s="28"/>
      <c r="C36" s="196"/>
      <c r="D36" s="47"/>
      <c r="E36" s="28"/>
      <c r="F36" s="215"/>
      <c r="G36" s="215"/>
      <c r="H36" s="2"/>
      <c r="I36" s="35"/>
      <c r="K36" s="35"/>
      <c r="M36" s="35"/>
      <c r="N36" s="35"/>
      <c r="O36" s="35"/>
      <c r="P36" s="35"/>
    </row>
    <row r="37" spans="2:16">
      <c r="B37" s="28"/>
      <c r="C37" s="196"/>
      <c r="D37" s="47"/>
      <c r="E37" s="28"/>
      <c r="F37" s="215"/>
      <c r="G37" s="215"/>
      <c r="H37" s="2"/>
      <c r="I37" s="35"/>
      <c r="K37" s="35"/>
      <c r="M37" s="35"/>
      <c r="N37" s="35"/>
      <c r="O37" s="35"/>
      <c r="P37" s="35"/>
    </row>
    <row r="38" spans="2:16">
      <c r="B38" s="28"/>
      <c r="C38" s="196"/>
      <c r="D38" s="47"/>
      <c r="E38" s="28"/>
      <c r="F38" s="215"/>
      <c r="G38" s="215"/>
      <c r="H38" s="2"/>
      <c r="I38" s="35"/>
      <c r="K38" s="35"/>
      <c r="M38" s="35"/>
      <c r="N38" s="35"/>
      <c r="O38" s="35"/>
      <c r="P38" s="35"/>
    </row>
    <row r="39" spans="2:16">
      <c r="B39" s="28"/>
      <c r="C39" s="196"/>
      <c r="D39" s="47"/>
      <c r="E39" s="28"/>
      <c r="F39" s="215"/>
      <c r="G39" s="215"/>
      <c r="H39" s="2"/>
      <c r="I39" s="35"/>
      <c r="K39" s="35"/>
      <c r="M39" s="35"/>
      <c r="N39" s="35"/>
      <c r="O39" s="35"/>
      <c r="P39" s="35"/>
    </row>
    <row r="40" spans="2:16">
      <c r="B40" s="28"/>
      <c r="C40" s="196"/>
      <c r="D40" s="47"/>
      <c r="E40" s="28"/>
      <c r="F40" s="215"/>
      <c r="G40" s="215"/>
      <c r="H40" s="2"/>
      <c r="I40" s="35"/>
      <c r="K40" s="35"/>
      <c r="M40" s="35"/>
      <c r="N40" s="35"/>
      <c r="O40" s="35"/>
      <c r="P40" s="35"/>
    </row>
    <row r="41" spans="2:16">
      <c r="B41" s="28"/>
      <c r="C41" s="196"/>
      <c r="D41" s="47"/>
      <c r="E41" s="28"/>
      <c r="F41" s="215"/>
      <c r="G41" s="215"/>
      <c r="H41" s="2"/>
      <c r="I41" s="35"/>
      <c r="K41" s="35"/>
      <c r="M41" s="35"/>
      <c r="N41" s="35"/>
      <c r="O41" s="35"/>
      <c r="P41" s="35"/>
    </row>
    <row r="42" spans="2:16">
      <c r="B42" s="28"/>
      <c r="C42" s="196"/>
      <c r="D42" s="47"/>
      <c r="E42" s="28"/>
      <c r="F42" s="215"/>
      <c r="G42" s="215"/>
      <c r="H42" s="2"/>
      <c r="I42" s="35"/>
      <c r="K42" s="35"/>
      <c r="M42" s="35"/>
      <c r="N42" s="35"/>
      <c r="O42" s="35"/>
      <c r="P42" s="35"/>
    </row>
    <row r="43" spans="2:16">
      <c r="B43" s="28"/>
      <c r="C43" s="196"/>
      <c r="D43" s="47"/>
      <c r="E43" s="28"/>
      <c r="F43" s="215"/>
      <c r="G43" s="215"/>
      <c r="H43" s="2"/>
      <c r="I43" s="35"/>
      <c r="K43" s="35"/>
      <c r="M43" s="35"/>
      <c r="N43" s="35"/>
      <c r="O43" s="35"/>
      <c r="P43" s="35"/>
    </row>
    <row r="44" spans="2:16">
      <c r="B44" s="28"/>
      <c r="C44" s="196"/>
      <c r="D44" s="47"/>
      <c r="E44" s="28"/>
      <c r="F44" s="215"/>
      <c r="G44" s="215"/>
      <c r="H44" s="2"/>
      <c r="I44" s="35"/>
      <c r="K44" s="35"/>
      <c r="M44" s="35"/>
      <c r="N44" s="35"/>
      <c r="O44" s="35"/>
      <c r="P44" s="35"/>
    </row>
    <row r="45" spans="2:16">
      <c r="B45" s="28"/>
      <c r="C45" s="196"/>
      <c r="D45" s="47"/>
      <c r="E45" s="28"/>
      <c r="F45" s="215"/>
      <c r="G45" s="215"/>
      <c r="H45" s="2"/>
      <c r="I45" s="35"/>
      <c r="K45" s="35"/>
      <c r="M45" s="35"/>
      <c r="N45" s="35"/>
      <c r="O45" s="35"/>
      <c r="P45" s="35"/>
    </row>
    <row r="46" spans="2:16">
      <c r="B46" s="28"/>
      <c r="C46" s="196"/>
      <c r="D46" s="47"/>
      <c r="E46" s="28"/>
      <c r="F46" s="215"/>
      <c r="G46" s="215"/>
      <c r="H46" s="2"/>
      <c r="I46" s="35"/>
      <c r="K46" s="35"/>
      <c r="M46" s="35"/>
      <c r="N46" s="35"/>
      <c r="O46" s="35"/>
      <c r="P46" s="35"/>
    </row>
    <row r="47" spans="2:16">
      <c r="B47" s="28"/>
      <c r="C47" s="196"/>
      <c r="D47" s="47"/>
      <c r="E47" s="28"/>
      <c r="F47" s="215"/>
      <c r="G47" s="215"/>
      <c r="H47" s="2"/>
      <c r="I47" s="35"/>
      <c r="K47" s="35"/>
      <c r="M47" s="35"/>
      <c r="N47" s="35"/>
      <c r="O47" s="35"/>
      <c r="P47" s="35"/>
    </row>
    <row r="48" spans="2:16">
      <c r="B48" s="28"/>
      <c r="C48" s="196"/>
      <c r="D48" s="47"/>
      <c r="E48" s="28"/>
      <c r="F48" s="215"/>
      <c r="G48" s="215"/>
      <c r="H48" s="2"/>
      <c r="I48" s="35"/>
      <c r="K48" s="35"/>
      <c r="M48" s="35"/>
      <c r="N48" s="35"/>
      <c r="O48" s="35"/>
      <c r="P48" s="35"/>
    </row>
    <row r="49" spans="2:16">
      <c r="B49" s="28"/>
      <c r="C49" s="196"/>
      <c r="D49" s="47"/>
      <c r="E49" s="28"/>
      <c r="F49" s="215"/>
      <c r="G49" s="215"/>
      <c r="H49" s="2"/>
      <c r="I49" s="35"/>
      <c r="K49" s="35"/>
      <c r="M49" s="35"/>
      <c r="N49" s="35"/>
      <c r="O49" s="35"/>
      <c r="P49" s="35"/>
    </row>
    <row r="50" spans="2:16">
      <c r="B50" s="28"/>
      <c r="C50" s="196"/>
      <c r="D50" s="47"/>
      <c r="E50" s="28"/>
      <c r="F50" s="215"/>
      <c r="G50" s="215"/>
      <c r="H50" s="2"/>
      <c r="I50" s="35"/>
      <c r="K50" s="35"/>
      <c r="M50" s="35"/>
      <c r="N50" s="35"/>
      <c r="O50" s="35"/>
      <c r="P50" s="35"/>
    </row>
    <row r="51" spans="2:16">
      <c r="B51" s="28"/>
      <c r="C51" s="196"/>
      <c r="D51" s="47"/>
      <c r="E51" s="28"/>
      <c r="F51" s="215"/>
      <c r="G51" s="215"/>
      <c r="H51" s="2"/>
      <c r="I51" s="35"/>
      <c r="K51" s="35"/>
      <c r="M51" s="35"/>
      <c r="N51" s="35"/>
      <c r="O51" s="35"/>
      <c r="P51" s="35"/>
    </row>
    <row r="52" spans="2:16">
      <c r="B52" s="28"/>
      <c r="C52" s="196"/>
      <c r="D52" s="47"/>
      <c r="E52" s="28"/>
      <c r="F52" s="215"/>
      <c r="G52" s="215"/>
      <c r="H52" s="2"/>
      <c r="I52" s="35"/>
      <c r="K52" s="35"/>
      <c r="M52" s="35"/>
      <c r="N52" s="35"/>
      <c r="O52" s="35"/>
      <c r="P52" s="35"/>
    </row>
    <row r="53" spans="2:16">
      <c r="B53" s="28"/>
      <c r="C53" s="196"/>
      <c r="D53" s="47"/>
      <c r="E53" s="28"/>
      <c r="F53" s="215"/>
      <c r="G53" s="215"/>
      <c r="H53" s="2"/>
      <c r="I53" s="35"/>
      <c r="K53" s="35"/>
      <c r="M53" s="35"/>
      <c r="N53" s="35"/>
      <c r="O53" s="35"/>
      <c r="P53" s="35"/>
    </row>
    <row r="54" spans="2:16">
      <c r="B54" s="28"/>
      <c r="C54" s="196"/>
      <c r="D54" s="47"/>
      <c r="E54" s="28"/>
      <c r="F54" s="215"/>
      <c r="G54" s="215"/>
      <c r="H54" s="2"/>
      <c r="I54" s="35"/>
      <c r="K54" s="35"/>
      <c r="M54" s="35"/>
      <c r="N54" s="35"/>
      <c r="O54" s="35"/>
      <c r="P54" s="35"/>
    </row>
    <row r="55" spans="2:16">
      <c r="B55" s="28"/>
      <c r="C55" s="196"/>
      <c r="D55" s="47"/>
      <c r="E55" s="28"/>
      <c r="F55" s="215"/>
      <c r="G55" s="215"/>
      <c r="H55" s="2"/>
      <c r="I55" s="35"/>
      <c r="K55" s="35"/>
      <c r="M55" s="35"/>
      <c r="N55" s="35"/>
      <c r="O55" s="35"/>
      <c r="P55" s="35"/>
    </row>
    <row r="56" spans="2:16">
      <c r="B56" s="28"/>
      <c r="C56" s="196"/>
      <c r="D56" s="47"/>
      <c r="E56" s="28"/>
      <c r="F56" s="215"/>
      <c r="G56" s="215"/>
      <c r="H56" s="2"/>
      <c r="I56" s="35"/>
      <c r="K56" s="35"/>
      <c r="M56" s="35"/>
      <c r="N56" s="35"/>
      <c r="O56" s="35"/>
      <c r="P56" s="35"/>
    </row>
    <row r="57" spans="2:16">
      <c r="B57" s="28"/>
      <c r="C57" s="196"/>
      <c r="D57" s="47"/>
      <c r="E57" s="28"/>
      <c r="F57" s="215"/>
      <c r="G57" s="215"/>
      <c r="H57" s="2"/>
      <c r="I57" s="35"/>
      <c r="K57" s="35"/>
      <c r="M57" s="35"/>
      <c r="N57" s="35"/>
      <c r="O57" s="35"/>
      <c r="P57" s="35"/>
    </row>
    <row r="58" spans="2:16">
      <c r="B58" s="28"/>
      <c r="C58" s="196"/>
      <c r="D58" s="47"/>
      <c r="E58" s="28"/>
      <c r="F58" s="215"/>
      <c r="G58" s="215"/>
      <c r="H58" s="2"/>
      <c r="I58" s="35"/>
      <c r="K58" s="35"/>
      <c r="M58" s="35"/>
      <c r="N58" s="35"/>
      <c r="O58" s="35"/>
      <c r="P58" s="35"/>
    </row>
    <row r="59" spans="2:16">
      <c r="B59" s="28"/>
      <c r="C59" s="196"/>
      <c r="D59" s="47"/>
      <c r="E59" s="28"/>
      <c r="F59" s="215"/>
      <c r="G59" s="215"/>
      <c r="H59" s="2"/>
      <c r="I59" s="35"/>
      <c r="K59" s="35"/>
      <c r="M59" s="35"/>
      <c r="N59" s="35"/>
      <c r="O59" s="35"/>
      <c r="P59" s="35"/>
    </row>
    <row r="60" spans="2:16">
      <c r="B60" s="28"/>
      <c r="C60" s="196"/>
      <c r="D60" s="47"/>
      <c r="E60" s="28"/>
      <c r="F60" s="215"/>
      <c r="G60" s="215"/>
      <c r="H60" s="2"/>
      <c r="I60" s="35"/>
      <c r="K60" s="35"/>
      <c r="M60" s="35"/>
      <c r="N60" s="35"/>
      <c r="O60" s="35"/>
      <c r="P60" s="35"/>
    </row>
    <row r="61" spans="2:16">
      <c r="B61" s="28"/>
      <c r="C61" s="196"/>
      <c r="D61" s="47"/>
      <c r="E61" s="28"/>
      <c r="F61" s="215"/>
      <c r="G61" s="215"/>
      <c r="H61" s="2"/>
      <c r="I61" s="35"/>
      <c r="K61" s="35"/>
      <c r="M61" s="35"/>
      <c r="N61" s="35"/>
      <c r="O61" s="35"/>
      <c r="P61" s="35"/>
    </row>
    <row r="62" spans="2:16">
      <c r="B62" s="28"/>
      <c r="C62" s="196"/>
      <c r="D62" s="47"/>
      <c r="E62" s="28"/>
      <c r="F62" s="215"/>
      <c r="G62" s="215"/>
      <c r="H62" s="2"/>
      <c r="I62" s="35"/>
      <c r="K62" s="35"/>
      <c r="M62" s="35"/>
      <c r="N62" s="35"/>
      <c r="O62" s="35"/>
      <c r="P62" s="35"/>
    </row>
    <row r="63" spans="2:16">
      <c r="B63" s="28"/>
      <c r="C63" s="196"/>
      <c r="D63" s="47"/>
      <c r="E63" s="28"/>
      <c r="F63" s="215"/>
      <c r="G63" s="215"/>
      <c r="H63" s="2"/>
      <c r="I63" s="35"/>
      <c r="K63" s="35"/>
      <c r="M63" s="35"/>
      <c r="N63" s="35"/>
      <c r="O63" s="35"/>
      <c r="P63" s="35"/>
    </row>
    <row r="64" spans="2:16">
      <c r="B64" s="28"/>
      <c r="C64" s="196"/>
      <c r="D64" s="47"/>
      <c r="E64" s="28"/>
      <c r="F64" s="215"/>
      <c r="G64" s="215"/>
      <c r="H64" s="2"/>
      <c r="I64" s="35"/>
      <c r="K64" s="35"/>
      <c r="M64" s="35"/>
      <c r="N64" s="35"/>
      <c r="O64" s="35"/>
      <c r="P64" s="35"/>
    </row>
    <row r="65" spans="2:16">
      <c r="B65" s="28"/>
      <c r="C65" s="196"/>
      <c r="D65" s="47"/>
      <c r="E65" s="28"/>
      <c r="F65" s="215"/>
      <c r="G65" s="215"/>
      <c r="H65" s="2"/>
      <c r="I65" s="35"/>
      <c r="K65" s="35"/>
      <c r="M65" s="35"/>
      <c r="N65" s="35"/>
      <c r="O65" s="35"/>
      <c r="P65" s="35"/>
    </row>
    <row r="66" spans="2:16">
      <c r="B66" s="28"/>
      <c r="C66" s="196"/>
      <c r="D66" s="47"/>
      <c r="E66" s="28"/>
      <c r="F66" s="215"/>
      <c r="G66" s="215"/>
      <c r="H66" s="2"/>
      <c r="I66" s="35"/>
      <c r="K66" s="35"/>
      <c r="M66" s="35"/>
      <c r="N66" s="35"/>
      <c r="O66" s="35"/>
      <c r="P66" s="35"/>
    </row>
    <row r="67" spans="2:16">
      <c r="B67" s="28"/>
      <c r="C67" s="196"/>
      <c r="D67" s="47"/>
      <c r="E67" s="28"/>
      <c r="F67" s="215"/>
      <c r="G67" s="215"/>
      <c r="H67" s="2"/>
      <c r="I67" s="35"/>
      <c r="K67" s="35"/>
      <c r="M67" s="35"/>
      <c r="N67" s="35"/>
      <c r="O67" s="35"/>
      <c r="P67" s="35"/>
    </row>
    <row r="68" spans="2:16">
      <c r="B68" s="28"/>
      <c r="C68" s="196"/>
      <c r="D68" s="47"/>
      <c r="E68" s="28"/>
      <c r="F68" s="215"/>
      <c r="G68" s="215"/>
      <c r="H68" s="2"/>
      <c r="I68" s="35"/>
      <c r="K68" s="35"/>
      <c r="M68" s="35"/>
      <c r="N68" s="35"/>
      <c r="O68" s="35"/>
      <c r="P68" s="35"/>
    </row>
    <row r="69" spans="2:16">
      <c r="B69" s="28"/>
      <c r="C69" s="196"/>
      <c r="D69" s="47"/>
      <c r="E69" s="28"/>
      <c r="F69" s="215"/>
      <c r="G69" s="215"/>
      <c r="H69" s="2"/>
      <c r="I69" s="35"/>
      <c r="K69" s="35"/>
      <c r="M69" s="35"/>
      <c r="N69" s="35"/>
      <c r="O69" s="35"/>
      <c r="P69" s="35"/>
    </row>
    <row r="70" spans="2:16">
      <c r="B70" s="28"/>
      <c r="C70" s="196"/>
      <c r="D70" s="47"/>
      <c r="E70" s="28"/>
      <c r="F70" s="215"/>
      <c r="G70" s="215"/>
      <c r="H70" s="2"/>
      <c r="I70" s="35"/>
      <c r="K70" s="35"/>
      <c r="M70" s="35"/>
      <c r="N70" s="35"/>
      <c r="O70" s="35"/>
      <c r="P70" s="35"/>
    </row>
    <row r="71" spans="2:16">
      <c r="B71" s="28"/>
      <c r="C71" s="196"/>
      <c r="D71" s="47"/>
      <c r="E71" s="28"/>
      <c r="F71" s="215"/>
      <c r="G71" s="215"/>
      <c r="H71" s="2"/>
      <c r="I71" s="35"/>
      <c r="K71" s="35"/>
      <c r="M71" s="35"/>
      <c r="N71" s="35"/>
      <c r="O71" s="35"/>
      <c r="P71" s="35"/>
    </row>
    <row r="72" spans="2:16">
      <c r="B72" s="28"/>
      <c r="C72" s="196"/>
      <c r="D72" s="47"/>
      <c r="E72" s="28"/>
      <c r="F72" s="215"/>
      <c r="G72" s="215"/>
      <c r="H72" s="2"/>
      <c r="I72" s="35"/>
      <c r="K72" s="35"/>
      <c r="M72" s="35"/>
      <c r="N72" s="35"/>
      <c r="O72" s="35"/>
      <c r="P72" s="35"/>
    </row>
    <row r="73" spans="2:16">
      <c r="B73" s="28"/>
      <c r="C73" s="196"/>
      <c r="D73" s="47"/>
      <c r="E73" s="28"/>
      <c r="F73" s="215"/>
      <c r="G73" s="215"/>
      <c r="H73" s="2"/>
      <c r="I73" s="35"/>
      <c r="K73" s="35"/>
      <c r="M73" s="35"/>
      <c r="N73" s="35"/>
      <c r="O73" s="35"/>
      <c r="P73" s="35"/>
    </row>
    <row r="74" spans="2:16">
      <c r="B74" s="28"/>
      <c r="C74" s="196"/>
      <c r="D74" s="47"/>
      <c r="E74" s="28"/>
      <c r="F74" s="215"/>
      <c r="G74" s="215"/>
      <c r="H74" s="2"/>
      <c r="I74" s="35"/>
      <c r="K74" s="35"/>
      <c r="M74" s="35"/>
      <c r="N74" s="35"/>
      <c r="O74" s="35"/>
      <c r="P74" s="35"/>
    </row>
    <row r="75" spans="2:16">
      <c r="B75" s="28"/>
      <c r="C75" s="196"/>
      <c r="D75" s="47"/>
      <c r="E75" s="28"/>
      <c r="F75" s="215"/>
      <c r="G75" s="215"/>
      <c r="H75" s="2"/>
      <c r="I75" s="35"/>
      <c r="K75" s="35"/>
      <c r="M75" s="35"/>
      <c r="N75" s="35"/>
      <c r="O75" s="35"/>
      <c r="P75" s="35"/>
    </row>
    <row r="76" spans="2:16">
      <c r="B76" s="28"/>
      <c r="C76" s="196"/>
      <c r="D76" s="47"/>
      <c r="E76" s="28"/>
      <c r="F76" s="215"/>
      <c r="G76" s="215"/>
      <c r="H76" s="2"/>
      <c r="I76" s="35"/>
      <c r="K76" s="35"/>
      <c r="M76" s="35"/>
      <c r="N76" s="35"/>
      <c r="O76" s="35"/>
      <c r="P76" s="35"/>
    </row>
    <row r="77" spans="2:16">
      <c r="B77" s="28"/>
      <c r="C77" s="196"/>
      <c r="D77" s="47"/>
      <c r="E77" s="28"/>
      <c r="F77" s="215"/>
      <c r="G77" s="215"/>
      <c r="H77" s="2"/>
      <c r="I77" s="35"/>
      <c r="K77" s="35"/>
      <c r="M77" s="35"/>
      <c r="N77" s="35"/>
      <c r="O77" s="35"/>
      <c r="P77" s="35"/>
    </row>
    <row r="78" spans="2:16">
      <c r="B78" s="28"/>
      <c r="C78" s="196"/>
      <c r="D78" s="47"/>
      <c r="E78" s="28"/>
      <c r="F78" s="215"/>
      <c r="G78" s="215"/>
      <c r="H78" s="2"/>
      <c r="I78" s="35"/>
      <c r="K78" s="35"/>
      <c r="M78" s="35"/>
      <c r="N78" s="35"/>
      <c r="O78" s="35"/>
      <c r="P78" s="35"/>
    </row>
    <row r="79" spans="2:16">
      <c r="B79" s="28"/>
      <c r="C79" s="196"/>
      <c r="D79" s="47"/>
      <c r="E79" s="28"/>
      <c r="F79" s="215"/>
      <c r="G79" s="215"/>
      <c r="H79" s="2"/>
      <c r="I79" s="35"/>
      <c r="K79" s="35"/>
      <c r="M79" s="35"/>
      <c r="N79" s="35"/>
      <c r="O79" s="35"/>
      <c r="P79" s="35"/>
    </row>
    <row r="80" spans="2:16">
      <c r="B80" s="28"/>
      <c r="C80" s="196"/>
      <c r="D80" s="47"/>
      <c r="E80" s="28"/>
      <c r="F80" s="215"/>
      <c r="G80" s="215"/>
      <c r="H80" s="2"/>
      <c r="I80" s="35"/>
      <c r="K80" s="35"/>
      <c r="M80" s="35"/>
      <c r="N80" s="35"/>
      <c r="O80" s="35"/>
      <c r="P80" s="35"/>
    </row>
    <row r="81" spans="2:16">
      <c r="B81" s="28"/>
      <c r="C81" s="196"/>
      <c r="D81" s="47"/>
      <c r="E81" s="28"/>
      <c r="F81" s="215"/>
      <c r="G81" s="215"/>
      <c r="H81" s="2"/>
      <c r="I81" s="35"/>
      <c r="K81" s="35"/>
      <c r="M81" s="35"/>
      <c r="N81" s="35"/>
      <c r="O81" s="35"/>
      <c r="P81" s="35"/>
    </row>
    <row r="82" spans="2:16">
      <c r="B82" s="28"/>
      <c r="C82" s="196"/>
      <c r="D82" s="47"/>
      <c r="E82" s="28"/>
      <c r="F82" s="215"/>
      <c r="G82" s="215"/>
      <c r="H82" s="2"/>
      <c r="I82" s="35"/>
      <c r="K82" s="35"/>
      <c r="M82" s="35"/>
      <c r="N82" s="35"/>
      <c r="O82" s="35"/>
      <c r="P82" s="35"/>
    </row>
    <row r="83" spans="2:16">
      <c r="B83" s="28"/>
      <c r="C83" s="196"/>
      <c r="D83" s="47"/>
      <c r="E83" s="28"/>
      <c r="F83" s="215"/>
      <c r="G83" s="215"/>
      <c r="H83" s="2"/>
      <c r="I83" s="35"/>
      <c r="K83" s="35"/>
      <c r="M83" s="35"/>
      <c r="N83" s="35"/>
      <c r="O83" s="35"/>
      <c r="P83" s="35"/>
    </row>
    <row r="84" spans="2:16">
      <c r="B84" s="28"/>
      <c r="C84" s="196"/>
      <c r="D84" s="47"/>
      <c r="E84" s="28"/>
      <c r="F84" s="215"/>
      <c r="G84" s="215"/>
      <c r="H84" s="2"/>
      <c r="I84" s="35"/>
      <c r="K84" s="35"/>
      <c r="M84" s="35"/>
      <c r="N84" s="35"/>
      <c r="O84" s="35"/>
      <c r="P84" s="35"/>
    </row>
    <row r="85" spans="2:16">
      <c r="B85" s="28"/>
      <c r="C85" s="196"/>
      <c r="D85" s="47"/>
      <c r="E85" s="28"/>
      <c r="F85" s="215"/>
      <c r="G85" s="215"/>
      <c r="H85" s="2"/>
      <c r="I85" s="35"/>
      <c r="K85" s="35"/>
      <c r="M85" s="35"/>
      <c r="N85" s="35"/>
      <c r="O85" s="35"/>
      <c r="P85" s="35"/>
    </row>
    <row r="86" spans="2:16">
      <c r="B86" s="28"/>
      <c r="C86" s="196"/>
      <c r="D86" s="47"/>
      <c r="E86" s="28"/>
      <c r="F86" s="215"/>
      <c r="G86" s="215"/>
      <c r="H86" s="2"/>
      <c r="I86" s="35"/>
      <c r="K86" s="35"/>
      <c r="M86" s="35"/>
      <c r="N86" s="35"/>
      <c r="O86" s="35"/>
      <c r="P86" s="35"/>
    </row>
    <row r="87" spans="2:16">
      <c r="B87" s="28"/>
      <c r="C87" s="196"/>
      <c r="D87" s="47"/>
      <c r="E87" s="28"/>
      <c r="F87" s="215"/>
      <c r="G87" s="215"/>
      <c r="H87" s="2"/>
      <c r="I87" s="35"/>
      <c r="K87" s="35"/>
      <c r="M87" s="35"/>
      <c r="N87" s="35"/>
      <c r="O87" s="35"/>
      <c r="P87" s="35"/>
    </row>
    <row r="88" spans="2:16">
      <c r="B88" s="28"/>
      <c r="C88" s="196"/>
      <c r="D88" s="47"/>
      <c r="E88" s="28"/>
      <c r="F88" s="215"/>
      <c r="G88" s="215"/>
      <c r="H88" s="2"/>
      <c r="I88" s="35"/>
      <c r="K88" s="35"/>
      <c r="M88" s="35"/>
      <c r="N88" s="35"/>
      <c r="O88" s="35"/>
      <c r="P88" s="35"/>
    </row>
    <row r="89" spans="2:16">
      <c r="B89" s="28"/>
      <c r="C89" s="196"/>
      <c r="D89" s="47"/>
      <c r="E89" s="28"/>
      <c r="F89" s="215"/>
      <c r="G89" s="215"/>
      <c r="H89" s="2"/>
      <c r="I89" s="35"/>
      <c r="K89" s="35"/>
      <c r="M89" s="35"/>
      <c r="N89" s="35"/>
      <c r="O89" s="35"/>
      <c r="P89" s="35"/>
    </row>
    <row r="90" spans="2:16">
      <c r="B90" s="28"/>
      <c r="C90" s="196"/>
      <c r="D90" s="47"/>
      <c r="E90" s="28"/>
      <c r="F90" s="215"/>
      <c r="G90" s="215"/>
      <c r="H90" s="2"/>
      <c r="I90" s="35"/>
      <c r="K90" s="35"/>
      <c r="M90" s="35"/>
      <c r="N90" s="35"/>
      <c r="O90" s="35"/>
      <c r="P90" s="35"/>
    </row>
    <row r="91" spans="2:16">
      <c r="B91" s="28"/>
      <c r="C91" s="196"/>
      <c r="D91" s="47"/>
      <c r="E91" s="28"/>
      <c r="F91" s="215"/>
      <c r="G91" s="215"/>
      <c r="H91" s="2"/>
      <c r="I91" s="107"/>
      <c r="K91" s="35"/>
      <c r="M91" s="35"/>
      <c r="N91" s="35"/>
      <c r="O91" s="35"/>
      <c r="P91" s="35"/>
    </row>
    <row r="92" spans="2:16">
      <c r="B92" s="28"/>
      <c r="C92" s="196"/>
      <c r="D92" s="47"/>
      <c r="E92" s="28"/>
      <c r="F92" s="215"/>
      <c r="G92" s="215"/>
      <c r="H92" s="2"/>
      <c r="I92" s="19"/>
      <c r="K92" s="35"/>
      <c r="M92" s="35"/>
      <c r="N92" s="35"/>
      <c r="O92" s="35"/>
      <c r="P92" s="35"/>
    </row>
    <row r="93" spans="2:16">
      <c r="B93" s="28"/>
      <c r="C93" s="196"/>
      <c r="D93" s="47"/>
      <c r="E93" s="28"/>
      <c r="F93" s="215"/>
      <c r="G93" s="215"/>
      <c r="H93" s="2"/>
      <c r="I93" s="19"/>
      <c r="K93" s="35"/>
      <c r="M93" s="35"/>
      <c r="N93" s="35"/>
      <c r="O93" s="35"/>
      <c r="P93" s="35"/>
    </row>
    <row r="94" spans="2:16">
      <c r="B94" s="28"/>
      <c r="C94" s="196"/>
      <c r="D94" s="47"/>
      <c r="E94" s="28"/>
      <c r="F94" s="215"/>
      <c r="G94" s="215"/>
      <c r="H94" s="2"/>
      <c r="I94" s="19"/>
      <c r="K94" s="35"/>
      <c r="M94" s="35"/>
      <c r="N94" s="35"/>
      <c r="O94" s="35"/>
      <c r="P94" s="35"/>
    </row>
    <row r="95" spans="2:16">
      <c r="B95" s="28"/>
      <c r="C95" s="196"/>
      <c r="D95" s="47"/>
      <c r="E95" s="28"/>
      <c r="F95" s="215"/>
      <c r="G95" s="215"/>
      <c r="H95" s="2"/>
      <c r="I95" s="19"/>
      <c r="K95" s="35"/>
      <c r="M95" s="35"/>
      <c r="N95" s="35"/>
      <c r="O95" s="35"/>
      <c r="P95" s="35"/>
    </row>
    <row r="96" spans="2:16">
      <c r="B96" s="28"/>
      <c r="C96" s="196"/>
      <c r="D96" s="47"/>
      <c r="E96" s="28"/>
      <c r="F96" s="215"/>
      <c r="G96" s="215"/>
      <c r="H96" s="2"/>
      <c r="I96" s="19"/>
      <c r="K96" s="35"/>
      <c r="M96" s="35"/>
      <c r="N96" s="35"/>
      <c r="O96" s="35"/>
      <c r="P96" s="35"/>
    </row>
    <row r="97" spans="2:16">
      <c r="B97" s="28"/>
      <c r="C97" s="196"/>
      <c r="D97" s="47"/>
      <c r="E97" s="28"/>
      <c r="F97" s="215"/>
      <c r="G97" s="215"/>
      <c r="H97" s="2"/>
      <c r="I97" s="19"/>
      <c r="K97" s="35"/>
      <c r="M97" s="35"/>
      <c r="N97" s="35"/>
      <c r="O97" s="35"/>
      <c r="P97" s="35"/>
    </row>
    <row r="98" spans="2:16">
      <c r="B98" s="28"/>
      <c r="C98" s="196"/>
      <c r="D98" s="47"/>
      <c r="E98" s="28"/>
      <c r="F98" s="215"/>
      <c r="G98" s="215"/>
      <c r="H98" s="2"/>
      <c r="I98" s="19"/>
      <c r="K98" s="35"/>
      <c r="M98" s="35"/>
      <c r="N98" s="35"/>
      <c r="O98" s="35"/>
      <c r="P98" s="35"/>
    </row>
    <row r="99" spans="2:16">
      <c r="B99" s="28"/>
      <c r="C99" s="196"/>
      <c r="D99" s="47"/>
      <c r="E99" s="28"/>
      <c r="F99" s="215"/>
      <c r="G99" s="215"/>
      <c r="H99" s="2"/>
      <c r="I99" s="19"/>
      <c r="K99" s="35"/>
      <c r="M99" s="35"/>
      <c r="N99" s="35"/>
      <c r="O99" s="35"/>
      <c r="P99" s="35"/>
    </row>
    <row r="100" spans="2:16">
      <c r="B100" s="28"/>
      <c r="C100" s="196"/>
      <c r="D100" s="47"/>
      <c r="E100" s="28"/>
      <c r="F100" s="215"/>
      <c r="G100" s="215"/>
      <c r="H100" s="2"/>
      <c r="I100" s="19"/>
      <c r="K100" s="35"/>
      <c r="M100" s="35"/>
      <c r="N100" s="35"/>
      <c r="O100" s="35"/>
      <c r="P100" s="35"/>
    </row>
    <row r="101" spans="2:16">
      <c r="B101" s="28"/>
      <c r="C101" s="196"/>
      <c r="D101" s="47"/>
      <c r="E101" s="28"/>
      <c r="F101" s="215"/>
      <c r="G101" s="215"/>
      <c r="H101" s="2"/>
      <c r="I101" s="19"/>
      <c r="K101" s="35"/>
      <c r="M101" s="35"/>
      <c r="N101" s="35"/>
      <c r="O101" s="35"/>
      <c r="P101" s="35"/>
    </row>
    <row r="102" spans="2:16">
      <c r="B102" s="28"/>
      <c r="C102" s="196"/>
      <c r="D102" s="47"/>
      <c r="E102" s="28"/>
      <c r="F102" s="215"/>
      <c r="G102" s="215"/>
      <c r="H102" s="2"/>
      <c r="I102" s="19"/>
      <c r="K102" s="35"/>
      <c r="M102" s="35"/>
      <c r="N102" s="35"/>
      <c r="O102" s="35"/>
      <c r="P102" s="35"/>
    </row>
    <row r="103" spans="2:16">
      <c r="B103" s="28"/>
      <c r="C103" s="196"/>
      <c r="D103" s="47"/>
      <c r="E103" s="28"/>
      <c r="F103" s="215"/>
      <c r="G103" s="215"/>
      <c r="H103" s="2"/>
      <c r="I103" s="19"/>
      <c r="K103" s="35"/>
      <c r="M103" s="35"/>
      <c r="N103" s="35"/>
      <c r="O103" s="35"/>
      <c r="P103" s="35"/>
    </row>
    <row r="104" spans="2:16">
      <c r="B104" s="28"/>
      <c r="C104" s="196"/>
      <c r="D104" s="47"/>
      <c r="E104" s="28"/>
      <c r="F104" s="215"/>
      <c r="G104" s="215"/>
      <c r="H104" s="2"/>
      <c r="I104" s="19"/>
      <c r="K104" s="35"/>
      <c r="M104" s="35"/>
      <c r="N104" s="35"/>
      <c r="O104" s="35"/>
      <c r="P104" s="35"/>
    </row>
    <row r="105" spans="2:16">
      <c r="B105" s="28"/>
      <c r="C105" s="196"/>
      <c r="D105" s="47"/>
      <c r="E105" s="28"/>
      <c r="F105" s="215"/>
      <c r="G105" s="215"/>
      <c r="H105" s="2"/>
      <c r="I105" s="19"/>
      <c r="K105" s="35"/>
      <c r="M105" s="35"/>
      <c r="N105" s="35"/>
      <c r="O105" s="35"/>
      <c r="P105" s="35"/>
    </row>
    <row r="106" spans="2:16">
      <c r="B106" s="28"/>
      <c r="C106" s="196"/>
      <c r="D106" s="47"/>
      <c r="E106" s="28"/>
      <c r="F106" s="215"/>
      <c r="G106" s="215"/>
      <c r="H106" s="2"/>
      <c r="I106" s="19"/>
      <c r="K106" s="35"/>
      <c r="M106" s="35"/>
      <c r="N106" s="35"/>
      <c r="O106" s="35"/>
      <c r="P106" s="35"/>
    </row>
    <row r="107" spans="2:16">
      <c r="B107" s="28"/>
      <c r="C107" s="196"/>
      <c r="D107" s="47"/>
      <c r="E107" s="28"/>
      <c r="F107" s="215"/>
      <c r="G107" s="215"/>
      <c r="H107" s="2"/>
      <c r="I107" s="19"/>
      <c r="K107" s="35"/>
      <c r="M107" s="35"/>
      <c r="N107" s="35"/>
      <c r="O107" s="35"/>
      <c r="P107" s="35"/>
    </row>
    <row r="108" spans="2:16">
      <c r="B108" s="28"/>
      <c r="C108" s="196"/>
      <c r="D108" s="47"/>
      <c r="E108" s="28"/>
      <c r="F108" s="215"/>
      <c r="G108" s="215"/>
      <c r="H108" s="2"/>
      <c r="I108" s="19"/>
      <c r="K108" s="35"/>
      <c r="M108" s="35"/>
      <c r="N108" s="35"/>
      <c r="O108" s="35"/>
      <c r="P108" s="35"/>
    </row>
    <row r="109" spans="2:16">
      <c r="B109" s="28"/>
      <c r="C109" s="196"/>
      <c r="D109" s="47"/>
      <c r="E109" s="28"/>
      <c r="F109" s="215"/>
      <c r="G109" s="215"/>
      <c r="H109" s="2"/>
      <c r="I109" s="19"/>
      <c r="K109" s="35"/>
      <c r="M109" s="35"/>
      <c r="N109" s="35"/>
      <c r="O109" s="35"/>
      <c r="P109" s="35"/>
    </row>
    <row r="110" spans="2:16">
      <c r="B110" s="28"/>
      <c r="C110" s="196"/>
      <c r="D110" s="47"/>
      <c r="E110" s="28"/>
      <c r="F110" s="215"/>
      <c r="G110" s="215"/>
      <c r="H110" s="2"/>
      <c r="I110" s="19"/>
      <c r="K110" s="35"/>
      <c r="M110" s="35"/>
      <c r="N110" s="35"/>
      <c r="O110" s="35"/>
      <c r="P110" s="35"/>
    </row>
    <row r="111" spans="2:16">
      <c r="B111" s="28"/>
      <c r="C111" s="196"/>
      <c r="D111" s="47"/>
      <c r="E111" s="28"/>
      <c r="F111" s="215"/>
      <c r="G111" s="215"/>
      <c r="H111" s="2"/>
      <c r="I111" s="19"/>
      <c r="K111" s="35"/>
      <c r="M111" s="35"/>
      <c r="N111" s="35"/>
      <c r="O111" s="35"/>
      <c r="P111" s="35"/>
    </row>
    <row r="112" spans="2:16">
      <c r="B112" s="28"/>
      <c r="C112" s="196"/>
      <c r="D112" s="47"/>
      <c r="E112" s="28"/>
      <c r="F112" s="215"/>
      <c r="G112" s="215"/>
      <c r="H112" s="2"/>
      <c r="I112" s="19"/>
      <c r="K112" s="35"/>
      <c r="M112" s="35"/>
      <c r="N112" s="35"/>
      <c r="O112" s="35"/>
      <c r="P112" s="35"/>
    </row>
    <row r="113" spans="2:16">
      <c r="B113" s="28"/>
      <c r="C113" s="196"/>
      <c r="D113" s="47"/>
      <c r="E113" s="28"/>
      <c r="F113" s="215"/>
      <c r="G113" s="215"/>
      <c r="H113" s="2"/>
      <c r="I113" s="19"/>
      <c r="K113" s="35"/>
      <c r="M113" s="35"/>
      <c r="N113" s="35"/>
      <c r="O113" s="35"/>
      <c r="P113" s="35"/>
    </row>
    <row r="114" spans="2:16">
      <c r="B114" s="28"/>
      <c r="C114" s="196"/>
      <c r="D114" s="47"/>
      <c r="E114" s="28"/>
      <c r="F114" s="215"/>
      <c r="G114" s="215"/>
      <c r="H114" s="2"/>
      <c r="I114" s="19"/>
      <c r="K114" s="35"/>
      <c r="M114" s="35"/>
      <c r="N114" s="35"/>
      <c r="O114" s="35"/>
      <c r="P114" s="35"/>
    </row>
    <row r="115" spans="2:16">
      <c r="B115" s="28"/>
      <c r="C115" s="196"/>
      <c r="D115" s="47"/>
      <c r="E115" s="28"/>
      <c r="F115" s="215"/>
      <c r="G115" s="215"/>
      <c r="H115" s="2"/>
      <c r="I115" s="19"/>
      <c r="K115" s="35"/>
      <c r="M115" s="35"/>
      <c r="N115" s="35"/>
      <c r="O115" s="35"/>
      <c r="P115" s="35"/>
    </row>
    <row r="116" spans="2:16">
      <c r="B116" s="28"/>
      <c r="C116" s="196"/>
      <c r="D116" s="47"/>
      <c r="E116" s="28"/>
      <c r="F116" s="215"/>
      <c r="G116" s="215"/>
      <c r="H116" s="2"/>
      <c r="I116" s="19"/>
      <c r="K116" s="35"/>
      <c r="M116" s="35"/>
      <c r="N116" s="35"/>
      <c r="O116" s="35"/>
      <c r="P116" s="35"/>
    </row>
    <row r="117" spans="2:16">
      <c r="B117" s="28"/>
      <c r="C117" s="196"/>
      <c r="D117" s="47"/>
      <c r="E117" s="28"/>
      <c r="F117" s="215"/>
      <c r="G117" s="215"/>
      <c r="H117" s="2"/>
      <c r="I117" s="19"/>
      <c r="K117" s="35"/>
      <c r="M117" s="35"/>
      <c r="N117" s="35"/>
      <c r="O117" s="35"/>
      <c r="P117" s="35"/>
    </row>
    <row r="118" spans="2:16">
      <c r="B118" s="28"/>
      <c r="C118" s="196"/>
      <c r="D118" s="47"/>
      <c r="E118" s="28"/>
      <c r="F118" s="215"/>
      <c r="G118" s="215"/>
      <c r="H118" s="2"/>
      <c r="I118" s="19"/>
      <c r="K118" s="35"/>
      <c r="M118" s="35"/>
      <c r="N118" s="35"/>
      <c r="O118" s="35"/>
      <c r="P118" s="35"/>
    </row>
    <row r="119" spans="2:16">
      <c r="B119" s="28"/>
      <c r="C119" s="196"/>
      <c r="D119" s="47"/>
      <c r="E119" s="28"/>
      <c r="F119" s="215"/>
      <c r="G119" s="215"/>
      <c r="H119" s="2"/>
      <c r="I119" s="19"/>
      <c r="K119" s="35"/>
      <c r="M119" s="35"/>
      <c r="N119" s="35"/>
      <c r="O119" s="35"/>
      <c r="P119" s="35"/>
    </row>
    <row r="120" spans="2:16">
      <c r="B120" s="28"/>
      <c r="C120" s="196"/>
      <c r="D120" s="47"/>
      <c r="E120" s="28"/>
      <c r="F120" s="215"/>
      <c r="G120" s="215"/>
      <c r="H120" s="2"/>
      <c r="I120" s="19"/>
      <c r="K120" s="35"/>
      <c r="M120" s="35"/>
      <c r="N120" s="35"/>
      <c r="O120" s="35"/>
      <c r="P120" s="35"/>
    </row>
    <row r="121" spans="2:16">
      <c r="B121" s="28"/>
      <c r="C121" s="196"/>
      <c r="D121" s="47"/>
      <c r="E121" s="28"/>
      <c r="F121" s="215"/>
      <c r="G121" s="215"/>
      <c r="H121" s="2"/>
      <c r="I121" s="19"/>
      <c r="K121" s="35"/>
      <c r="M121" s="35"/>
      <c r="N121" s="35"/>
      <c r="O121" s="35"/>
      <c r="P121" s="35"/>
    </row>
    <row r="122" spans="2:16">
      <c r="B122" s="28"/>
      <c r="C122" s="196"/>
      <c r="D122" s="47"/>
      <c r="E122" s="28"/>
      <c r="F122" s="215"/>
      <c r="G122" s="215"/>
      <c r="H122" s="2"/>
      <c r="I122" s="19"/>
      <c r="K122" s="35"/>
      <c r="M122" s="35"/>
      <c r="N122" s="35"/>
      <c r="O122" s="35"/>
      <c r="P122" s="35"/>
    </row>
    <row r="123" spans="2:16">
      <c r="B123" s="28"/>
      <c r="C123" s="196"/>
      <c r="D123" s="47"/>
      <c r="E123" s="28"/>
      <c r="F123" s="215"/>
      <c r="G123" s="215"/>
      <c r="H123" s="2"/>
      <c r="I123" s="19"/>
      <c r="K123" s="35"/>
      <c r="M123" s="35"/>
      <c r="N123" s="35"/>
      <c r="O123" s="35"/>
      <c r="P123" s="35"/>
    </row>
    <row r="124" spans="2:16">
      <c r="B124" s="28"/>
      <c r="C124" s="196"/>
      <c r="D124" s="47"/>
      <c r="E124" s="28"/>
      <c r="F124" s="215"/>
      <c r="G124" s="215"/>
      <c r="H124" s="2"/>
      <c r="I124" s="19"/>
      <c r="K124" s="35"/>
      <c r="M124" s="35"/>
      <c r="N124" s="35"/>
      <c r="O124" s="35"/>
      <c r="P124" s="35"/>
    </row>
    <row r="125" spans="2:16">
      <c r="B125" s="28"/>
      <c r="C125" s="196"/>
      <c r="D125" s="47"/>
      <c r="E125" s="28"/>
      <c r="F125" s="215"/>
      <c r="G125" s="215"/>
      <c r="H125" s="2"/>
      <c r="I125" s="19"/>
      <c r="K125" s="35"/>
      <c r="M125" s="35"/>
      <c r="N125" s="35"/>
      <c r="O125" s="35"/>
      <c r="P125" s="35"/>
    </row>
    <row r="126" spans="2:16">
      <c r="B126" s="28"/>
      <c r="C126" s="196"/>
      <c r="D126" s="47"/>
      <c r="E126" s="28"/>
      <c r="F126" s="215"/>
      <c r="G126" s="215"/>
      <c r="H126" s="2"/>
      <c r="I126" s="19"/>
      <c r="K126" s="35"/>
      <c r="M126" s="35"/>
      <c r="N126" s="35"/>
      <c r="O126" s="35"/>
      <c r="P126" s="35"/>
    </row>
    <row r="127" spans="2:16">
      <c r="B127" s="28"/>
      <c r="C127" s="196"/>
      <c r="D127" s="47"/>
      <c r="E127" s="28"/>
      <c r="F127" s="215"/>
      <c r="G127" s="215"/>
      <c r="H127" s="2"/>
      <c r="I127" s="19"/>
      <c r="K127" s="35"/>
      <c r="M127" s="35"/>
      <c r="N127" s="35"/>
      <c r="O127" s="35"/>
      <c r="P127" s="35"/>
    </row>
    <row r="128" spans="2:16">
      <c r="B128" s="28"/>
      <c r="C128" s="196"/>
      <c r="D128" s="47"/>
      <c r="E128" s="28"/>
      <c r="F128" s="215"/>
      <c r="G128" s="215"/>
      <c r="H128" s="2"/>
      <c r="I128" s="19"/>
      <c r="K128" s="35"/>
      <c r="M128" s="35"/>
      <c r="N128" s="35"/>
      <c r="O128" s="35"/>
      <c r="P128" s="35"/>
    </row>
    <row r="129" spans="2:16">
      <c r="B129" s="28"/>
      <c r="C129" s="196"/>
      <c r="D129" s="47"/>
      <c r="E129" s="28"/>
      <c r="F129" s="215"/>
      <c r="G129" s="215"/>
      <c r="H129" s="2"/>
      <c r="I129" s="19"/>
      <c r="K129" s="35"/>
      <c r="M129" s="35"/>
      <c r="N129" s="35"/>
      <c r="O129" s="35"/>
      <c r="P129" s="35"/>
    </row>
    <row r="130" spans="2:16">
      <c r="B130" s="28"/>
      <c r="C130" s="196"/>
      <c r="D130" s="47"/>
      <c r="E130" s="28"/>
      <c r="F130" s="215"/>
      <c r="G130" s="215"/>
      <c r="H130" s="2"/>
      <c r="I130" s="19"/>
      <c r="K130" s="35"/>
      <c r="M130" s="35"/>
      <c r="N130" s="35"/>
      <c r="O130" s="35"/>
      <c r="P130" s="35"/>
    </row>
    <row r="131" spans="2:16">
      <c r="B131" s="28"/>
      <c r="C131" s="196"/>
      <c r="D131" s="47"/>
      <c r="E131" s="28"/>
      <c r="F131" s="215"/>
      <c r="G131" s="215"/>
      <c r="H131" s="2"/>
      <c r="I131" s="19"/>
      <c r="K131" s="35"/>
      <c r="M131" s="35"/>
      <c r="N131" s="35"/>
      <c r="O131" s="35"/>
      <c r="P131" s="35"/>
    </row>
    <row r="132" spans="2:16">
      <c r="B132" s="28"/>
      <c r="C132" s="196"/>
      <c r="D132" s="47"/>
      <c r="E132" s="28"/>
      <c r="F132" s="215"/>
      <c r="G132" s="215"/>
      <c r="H132" s="2"/>
      <c r="I132" s="19"/>
      <c r="K132" s="35"/>
      <c r="M132" s="35"/>
      <c r="N132" s="35"/>
      <c r="O132" s="35"/>
      <c r="P132" s="35"/>
    </row>
    <row r="133" spans="2:16">
      <c r="B133" s="28"/>
      <c r="C133" s="196"/>
      <c r="D133" s="47"/>
      <c r="E133" s="28"/>
      <c r="F133" s="215"/>
      <c r="G133" s="215"/>
      <c r="H133" s="2"/>
      <c r="I133" s="19"/>
      <c r="K133" s="35"/>
      <c r="M133" s="35"/>
      <c r="N133" s="35"/>
      <c r="O133" s="35"/>
      <c r="P133" s="35"/>
    </row>
    <row r="134" spans="2:16">
      <c r="B134" s="28"/>
      <c r="C134" s="196"/>
      <c r="D134" s="47"/>
      <c r="E134" s="28"/>
      <c r="F134" s="215"/>
      <c r="G134" s="215"/>
      <c r="H134" s="2"/>
      <c r="I134" s="19"/>
      <c r="K134" s="35"/>
      <c r="M134" s="35"/>
      <c r="N134" s="35"/>
      <c r="O134" s="35"/>
      <c r="P134" s="35"/>
    </row>
    <row r="135" spans="2:16">
      <c r="B135" s="28"/>
      <c r="C135" s="196"/>
      <c r="D135" s="47"/>
      <c r="E135" s="28"/>
      <c r="F135" s="215"/>
      <c r="G135" s="215"/>
      <c r="H135" s="2"/>
      <c r="I135" s="19"/>
      <c r="K135" s="35"/>
      <c r="M135" s="35"/>
      <c r="N135" s="35"/>
      <c r="O135" s="35"/>
      <c r="P135" s="35"/>
    </row>
    <row r="136" spans="2:16">
      <c r="B136" s="28"/>
      <c r="C136" s="196"/>
      <c r="D136" s="47"/>
      <c r="E136" s="28"/>
      <c r="F136" s="215"/>
      <c r="G136" s="215"/>
      <c r="H136" s="2"/>
      <c r="I136" s="19"/>
      <c r="K136" s="35"/>
      <c r="M136" s="35"/>
      <c r="N136" s="35"/>
      <c r="O136" s="35"/>
      <c r="P136" s="35"/>
    </row>
    <row r="137" spans="2:16">
      <c r="B137" s="28"/>
      <c r="C137" s="196"/>
      <c r="D137" s="47"/>
      <c r="E137" s="28"/>
      <c r="F137" s="215"/>
      <c r="G137" s="215"/>
      <c r="H137" s="2"/>
      <c r="I137" s="19"/>
      <c r="K137" s="35"/>
      <c r="M137" s="35"/>
      <c r="N137" s="35"/>
      <c r="O137" s="35"/>
      <c r="P137" s="35"/>
    </row>
    <row r="138" spans="2:16">
      <c r="B138" s="28"/>
      <c r="C138" s="196"/>
      <c r="D138" s="47"/>
      <c r="E138" s="28"/>
      <c r="F138" s="215"/>
      <c r="G138" s="215"/>
      <c r="H138" s="2"/>
      <c r="I138" s="19"/>
      <c r="K138" s="35"/>
      <c r="M138" s="35"/>
      <c r="N138" s="35"/>
      <c r="O138" s="35"/>
      <c r="P138" s="35"/>
    </row>
    <row r="139" spans="2:16">
      <c r="B139" s="28"/>
      <c r="C139" s="196"/>
      <c r="D139" s="47"/>
      <c r="E139" s="28"/>
      <c r="F139" s="215"/>
      <c r="G139" s="215"/>
      <c r="H139" s="2"/>
      <c r="I139" s="19"/>
      <c r="K139" s="35"/>
      <c r="M139" s="35"/>
      <c r="N139" s="35"/>
      <c r="O139" s="35"/>
      <c r="P139" s="35"/>
    </row>
    <row r="140" spans="2:16">
      <c r="B140" s="28"/>
      <c r="C140" s="196"/>
      <c r="D140" s="47"/>
      <c r="E140" s="28"/>
      <c r="F140" s="215"/>
      <c r="G140" s="215"/>
      <c r="H140" s="2"/>
      <c r="I140" s="19"/>
      <c r="K140" s="35"/>
      <c r="M140" s="35"/>
      <c r="N140" s="35"/>
      <c r="O140" s="35"/>
      <c r="P140" s="35"/>
    </row>
    <row r="141" spans="2:16">
      <c r="B141" s="28"/>
      <c r="C141" s="196"/>
      <c r="D141" s="47"/>
      <c r="E141" s="28"/>
      <c r="F141" s="215"/>
      <c r="G141" s="215"/>
      <c r="H141" s="2"/>
      <c r="I141" s="19"/>
      <c r="K141" s="35"/>
      <c r="M141" s="35"/>
      <c r="N141" s="35"/>
      <c r="O141" s="35"/>
      <c r="P141" s="35"/>
    </row>
    <row r="142" spans="2:16">
      <c r="B142" s="28"/>
      <c r="C142" s="196"/>
      <c r="D142" s="47"/>
      <c r="E142" s="28"/>
      <c r="F142" s="215"/>
      <c r="G142" s="215"/>
      <c r="H142" s="2"/>
      <c r="I142" s="19"/>
      <c r="K142" s="35"/>
      <c r="M142" s="35"/>
      <c r="N142" s="35"/>
      <c r="O142" s="35"/>
      <c r="P142" s="35"/>
    </row>
    <row r="143" spans="2:16">
      <c r="B143" s="28"/>
      <c r="C143" s="196"/>
      <c r="D143" s="47"/>
      <c r="E143" s="28"/>
      <c r="F143" s="215"/>
      <c r="G143" s="215"/>
      <c r="H143" s="2"/>
      <c r="I143" s="19"/>
      <c r="K143" s="35"/>
      <c r="M143" s="35"/>
      <c r="N143" s="35"/>
      <c r="O143" s="35"/>
      <c r="P143" s="35"/>
    </row>
    <row r="144" spans="2:16">
      <c r="B144" s="28"/>
      <c r="C144" s="196"/>
      <c r="D144" s="47"/>
      <c r="E144" s="28"/>
      <c r="F144" s="215"/>
      <c r="G144" s="215"/>
      <c r="H144" s="2"/>
      <c r="I144" s="19"/>
      <c r="K144" s="35"/>
      <c r="M144" s="35"/>
      <c r="N144" s="35"/>
      <c r="O144" s="35"/>
      <c r="P144" s="35"/>
    </row>
    <row r="145" spans="2:16">
      <c r="B145" s="28"/>
      <c r="C145" s="196"/>
      <c r="D145" s="47"/>
      <c r="E145" s="28"/>
      <c r="F145" s="215"/>
      <c r="G145" s="215"/>
      <c r="H145" s="2"/>
      <c r="I145" s="19"/>
      <c r="K145" s="35"/>
      <c r="M145" s="35"/>
      <c r="N145" s="35"/>
      <c r="O145" s="35"/>
      <c r="P145" s="35"/>
    </row>
    <row r="146" spans="2:16">
      <c r="B146" s="28"/>
      <c r="C146" s="196"/>
      <c r="D146" s="47"/>
      <c r="E146" s="28"/>
      <c r="F146" s="215"/>
      <c r="G146" s="215"/>
      <c r="H146" s="2"/>
      <c r="I146" s="19"/>
      <c r="K146" s="35"/>
      <c r="M146" s="35"/>
      <c r="N146" s="35"/>
      <c r="O146" s="35"/>
      <c r="P146" s="35"/>
    </row>
    <row r="147" spans="2:16">
      <c r="B147" s="28"/>
      <c r="C147" s="196"/>
      <c r="D147" s="47"/>
      <c r="E147" s="28"/>
      <c r="F147" s="215"/>
      <c r="G147" s="215"/>
      <c r="H147" s="2"/>
      <c r="I147" s="19"/>
      <c r="K147" s="35"/>
      <c r="M147" s="35"/>
      <c r="N147" s="35"/>
      <c r="O147" s="35"/>
      <c r="P147" s="35"/>
    </row>
    <row r="148" spans="2:16">
      <c r="B148" s="28"/>
      <c r="C148" s="196"/>
      <c r="D148" s="47"/>
      <c r="E148" s="28"/>
      <c r="F148" s="215"/>
      <c r="G148" s="215"/>
      <c r="H148" s="2"/>
      <c r="I148" s="19"/>
      <c r="K148" s="35"/>
      <c r="M148" s="35"/>
      <c r="N148" s="35"/>
      <c r="O148" s="35"/>
      <c r="P148" s="35"/>
    </row>
    <row r="149" spans="2:16">
      <c r="B149" s="28"/>
      <c r="C149" s="196"/>
      <c r="D149" s="47"/>
      <c r="E149" s="28"/>
      <c r="F149" s="215"/>
      <c r="G149" s="215"/>
      <c r="H149" s="2"/>
      <c r="I149" s="19"/>
      <c r="K149" s="35"/>
      <c r="M149" s="35"/>
      <c r="N149" s="35"/>
      <c r="O149" s="35"/>
      <c r="P149" s="35"/>
    </row>
    <row r="150" spans="2:16">
      <c r="B150" s="28"/>
      <c r="C150" s="196"/>
      <c r="D150" s="47"/>
      <c r="E150" s="28"/>
      <c r="F150" s="215"/>
      <c r="G150" s="215"/>
      <c r="H150" s="2"/>
      <c r="I150" s="19"/>
      <c r="K150" s="35"/>
      <c r="M150" s="35"/>
      <c r="N150" s="35"/>
      <c r="O150" s="35"/>
      <c r="P150" s="35"/>
    </row>
    <row r="151" spans="2:16">
      <c r="B151" s="28"/>
      <c r="C151" s="196"/>
      <c r="D151" s="47"/>
      <c r="E151" s="28"/>
      <c r="F151" s="215"/>
      <c r="G151" s="215"/>
      <c r="H151" s="2"/>
      <c r="I151" s="19"/>
      <c r="K151" s="35"/>
      <c r="M151" s="35"/>
      <c r="N151" s="35"/>
      <c r="O151" s="35"/>
      <c r="P151" s="35"/>
    </row>
    <row r="152" spans="2:16">
      <c r="B152" s="28"/>
      <c r="C152" s="196"/>
      <c r="D152" s="47"/>
      <c r="E152" s="28"/>
      <c r="F152" s="215"/>
      <c r="G152" s="215"/>
      <c r="H152" s="2"/>
      <c r="I152" s="19"/>
      <c r="K152" s="35"/>
      <c r="M152" s="35"/>
      <c r="N152" s="35"/>
      <c r="O152" s="35"/>
      <c r="P152" s="35"/>
    </row>
    <row r="153" spans="2:16">
      <c r="B153" s="28"/>
      <c r="C153" s="196"/>
      <c r="D153" s="47"/>
      <c r="E153" s="28"/>
      <c r="F153" s="215"/>
      <c r="G153" s="215"/>
      <c r="H153" s="2"/>
      <c r="I153" s="19"/>
      <c r="K153" s="35"/>
      <c r="M153" s="35"/>
      <c r="N153" s="35"/>
      <c r="O153" s="35"/>
      <c r="P153" s="35"/>
    </row>
    <row r="154" spans="2:16">
      <c r="B154" s="28"/>
      <c r="C154" s="196"/>
      <c r="D154" s="47"/>
      <c r="E154" s="28"/>
      <c r="F154" s="215"/>
      <c r="G154" s="215"/>
      <c r="H154" s="2"/>
      <c r="I154" s="19"/>
      <c r="K154" s="35"/>
      <c r="M154" s="35"/>
      <c r="N154" s="35"/>
      <c r="O154" s="35"/>
      <c r="P154" s="35"/>
    </row>
    <row r="155" spans="2:16">
      <c r="B155" s="28"/>
      <c r="C155" s="196"/>
      <c r="D155" s="47"/>
      <c r="E155" s="28"/>
      <c r="F155" s="215"/>
      <c r="G155" s="215"/>
      <c r="H155" s="2"/>
      <c r="I155" s="19"/>
      <c r="K155" s="35"/>
      <c r="M155" s="35"/>
      <c r="N155" s="35"/>
      <c r="O155" s="35"/>
      <c r="P155" s="35"/>
    </row>
    <row r="156" spans="2:16">
      <c r="B156" s="28"/>
      <c r="C156" s="196"/>
      <c r="D156" s="47"/>
      <c r="E156" s="28"/>
      <c r="F156" s="215"/>
      <c r="G156" s="215"/>
      <c r="H156" s="2"/>
      <c r="I156" s="19"/>
      <c r="K156" s="35"/>
      <c r="M156" s="35"/>
      <c r="N156" s="35"/>
      <c r="O156" s="35"/>
      <c r="P156" s="35"/>
    </row>
    <row r="157" spans="2:16">
      <c r="B157" s="28"/>
      <c r="C157" s="196"/>
      <c r="D157" s="47"/>
      <c r="E157" s="28"/>
      <c r="F157" s="215"/>
      <c r="G157" s="215"/>
      <c r="H157" s="2"/>
      <c r="I157" s="19"/>
      <c r="K157" s="35"/>
      <c r="M157" s="35"/>
      <c r="N157" s="35"/>
      <c r="O157" s="35"/>
      <c r="P157" s="35"/>
    </row>
    <row r="158" spans="2:16">
      <c r="B158" s="28"/>
      <c r="C158" s="196"/>
      <c r="D158" s="47"/>
      <c r="E158" s="28"/>
      <c r="F158" s="215"/>
      <c r="G158" s="215"/>
      <c r="H158" s="2"/>
      <c r="I158" s="19"/>
      <c r="K158" s="35"/>
      <c r="M158" s="35"/>
      <c r="N158" s="35"/>
      <c r="O158" s="35"/>
      <c r="P158" s="35"/>
    </row>
    <row r="159" spans="2:16">
      <c r="B159" s="28"/>
      <c r="C159" s="196"/>
      <c r="D159" s="47"/>
      <c r="E159" s="28"/>
      <c r="F159" s="215"/>
      <c r="G159" s="215"/>
      <c r="H159" s="2"/>
      <c r="I159" s="19"/>
      <c r="K159" s="35"/>
      <c r="M159" s="35"/>
      <c r="N159" s="35"/>
      <c r="O159" s="35"/>
      <c r="P159" s="35"/>
    </row>
    <row r="160" spans="2:16">
      <c r="B160" s="28"/>
      <c r="C160" s="196"/>
      <c r="D160" s="47"/>
      <c r="E160" s="28"/>
      <c r="F160" s="215"/>
      <c r="G160" s="215"/>
      <c r="H160" s="2"/>
      <c r="I160" s="19"/>
      <c r="K160" s="35"/>
      <c r="M160" s="35"/>
      <c r="N160" s="35"/>
      <c r="O160" s="35"/>
      <c r="P160" s="35"/>
    </row>
    <row r="161" spans="2:16">
      <c r="B161" s="28"/>
      <c r="C161" s="196"/>
      <c r="D161" s="47"/>
      <c r="E161" s="28"/>
      <c r="F161" s="215"/>
      <c r="G161" s="215"/>
      <c r="H161" s="2"/>
      <c r="I161" s="19"/>
      <c r="K161" s="35"/>
      <c r="M161" s="35"/>
      <c r="N161" s="35"/>
      <c r="O161" s="35"/>
      <c r="P161" s="35"/>
    </row>
    <row r="162" spans="2:16">
      <c r="B162" s="28"/>
      <c r="C162" s="196"/>
      <c r="D162" s="47"/>
      <c r="E162" s="28"/>
      <c r="F162" s="215"/>
      <c r="G162" s="215"/>
      <c r="H162" s="2"/>
      <c r="I162" s="19"/>
      <c r="K162" s="35"/>
      <c r="M162" s="35"/>
      <c r="N162" s="35"/>
      <c r="O162" s="35"/>
      <c r="P162" s="35"/>
    </row>
    <row r="163" spans="2:16">
      <c r="B163" s="28"/>
      <c r="C163" s="196"/>
      <c r="D163" s="47"/>
      <c r="E163" s="28"/>
      <c r="F163" s="215"/>
      <c r="G163" s="215"/>
      <c r="H163" s="2"/>
      <c r="I163" s="19"/>
      <c r="K163" s="35"/>
      <c r="M163" s="35"/>
      <c r="N163" s="35"/>
      <c r="O163" s="35"/>
      <c r="P163" s="35"/>
    </row>
    <row r="164" spans="2:16">
      <c r="B164" s="28"/>
      <c r="C164" s="196"/>
      <c r="D164" s="47"/>
      <c r="E164" s="28"/>
      <c r="F164" s="215"/>
      <c r="G164" s="215"/>
      <c r="H164" s="2"/>
      <c r="I164" s="19"/>
      <c r="K164" s="35"/>
      <c r="M164" s="35"/>
      <c r="N164" s="35"/>
      <c r="O164" s="35"/>
      <c r="P164" s="35"/>
    </row>
    <row r="165" spans="2:16">
      <c r="B165" s="28"/>
      <c r="C165" s="196"/>
      <c r="D165" s="47"/>
      <c r="E165" s="28"/>
      <c r="F165" s="215"/>
      <c r="G165" s="215"/>
      <c r="H165" s="2"/>
      <c r="I165" s="19"/>
      <c r="K165" s="35"/>
      <c r="M165" s="35"/>
      <c r="N165" s="35"/>
      <c r="O165" s="35"/>
      <c r="P165" s="35"/>
    </row>
    <row r="166" spans="2:16">
      <c r="B166" s="28"/>
      <c r="C166" s="196"/>
      <c r="D166" s="47"/>
      <c r="E166" s="28"/>
      <c r="F166" s="215"/>
      <c r="G166" s="215"/>
      <c r="H166" s="2"/>
      <c r="I166" s="19"/>
      <c r="K166" s="35"/>
      <c r="M166" s="35"/>
      <c r="N166" s="35"/>
      <c r="O166" s="35"/>
      <c r="P166" s="35"/>
    </row>
    <row r="167" spans="2:16">
      <c r="B167" s="28"/>
      <c r="C167" s="196"/>
      <c r="D167" s="47"/>
      <c r="E167" s="28"/>
      <c r="F167" s="215"/>
      <c r="G167" s="215"/>
      <c r="H167" s="2"/>
      <c r="I167" s="19"/>
      <c r="K167" s="35"/>
      <c r="M167" s="35"/>
      <c r="N167" s="35"/>
      <c r="O167" s="35"/>
      <c r="P167" s="35"/>
    </row>
    <row r="168" spans="2:16">
      <c r="B168" s="28"/>
      <c r="C168" s="196"/>
      <c r="D168" s="47"/>
      <c r="E168" s="28"/>
      <c r="F168" s="215"/>
      <c r="G168" s="215"/>
      <c r="H168" s="2"/>
      <c r="I168" s="19"/>
      <c r="K168" s="35"/>
      <c r="M168" s="35"/>
      <c r="N168" s="35"/>
      <c r="O168" s="35"/>
      <c r="P168" s="35"/>
    </row>
    <row r="169" spans="2:16">
      <c r="B169" s="28"/>
      <c r="C169" s="196"/>
      <c r="D169" s="47"/>
      <c r="E169" s="28"/>
      <c r="F169" s="215"/>
      <c r="G169" s="215"/>
      <c r="H169" s="2"/>
      <c r="I169" s="19"/>
      <c r="K169" s="35"/>
      <c r="M169" s="35"/>
      <c r="N169" s="35"/>
      <c r="O169" s="35"/>
      <c r="P169" s="35"/>
    </row>
    <row r="170" spans="2:16">
      <c r="B170" s="28"/>
      <c r="C170" s="196"/>
      <c r="D170" s="47"/>
      <c r="E170" s="28"/>
      <c r="F170" s="215"/>
      <c r="G170" s="215"/>
      <c r="H170" s="2"/>
      <c r="I170" s="19"/>
      <c r="K170" s="35"/>
      <c r="M170" s="35"/>
      <c r="N170" s="35"/>
      <c r="O170" s="35"/>
      <c r="P170" s="35"/>
    </row>
    <row r="171" spans="2:16">
      <c r="B171" s="28"/>
      <c r="C171" s="196"/>
      <c r="D171" s="47"/>
      <c r="E171" s="28"/>
      <c r="F171" s="215"/>
      <c r="G171" s="215"/>
      <c r="H171" s="2"/>
      <c r="I171" s="19"/>
      <c r="K171" s="35"/>
      <c r="M171" s="35"/>
      <c r="N171" s="35"/>
      <c r="O171" s="35"/>
      <c r="P171" s="35"/>
    </row>
    <row r="172" spans="2:16">
      <c r="B172" s="28"/>
      <c r="C172" s="196"/>
      <c r="D172" s="47"/>
      <c r="E172" s="28"/>
      <c r="F172" s="215"/>
      <c r="G172" s="215"/>
      <c r="H172" s="2"/>
      <c r="I172" s="19"/>
      <c r="K172" s="35"/>
      <c r="M172" s="35"/>
      <c r="N172" s="35"/>
      <c r="O172" s="35"/>
      <c r="P172" s="35"/>
    </row>
    <row r="173" spans="2:16">
      <c r="B173" s="28"/>
      <c r="C173" s="196"/>
      <c r="D173" s="47"/>
      <c r="E173" s="28"/>
      <c r="F173" s="215"/>
      <c r="G173" s="215"/>
      <c r="H173" s="2"/>
      <c r="I173" s="19"/>
      <c r="K173" s="35"/>
      <c r="M173" s="35"/>
      <c r="N173" s="35"/>
      <c r="O173" s="35"/>
      <c r="P173" s="35"/>
    </row>
    <row r="174" spans="2:16">
      <c r="B174" s="28"/>
      <c r="C174" s="196"/>
      <c r="D174" s="47"/>
      <c r="E174" s="28"/>
      <c r="F174" s="215"/>
      <c r="G174" s="215"/>
      <c r="H174" s="2"/>
      <c r="I174" s="19"/>
      <c r="K174" s="35"/>
      <c r="M174" s="35"/>
      <c r="N174" s="35"/>
      <c r="O174" s="35"/>
      <c r="P174" s="35"/>
    </row>
    <row r="175" spans="2:16">
      <c r="B175" s="28"/>
      <c r="C175" s="196"/>
      <c r="D175" s="47"/>
      <c r="E175" s="28"/>
      <c r="F175" s="215"/>
      <c r="G175" s="215"/>
      <c r="H175" s="2"/>
      <c r="I175" s="19"/>
      <c r="K175" s="35"/>
      <c r="M175" s="35"/>
      <c r="N175" s="35"/>
      <c r="O175" s="35"/>
      <c r="P175" s="35"/>
    </row>
    <row r="176" spans="2:16">
      <c r="B176" s="28"/>
      <c r="C176" s="196"/>
      <c r="D176" s="47"/>
      <c r="E176" s="28"/>
      <c r="F176" s="215"/>
      <c r="G176" s="215"/>
      <c r="H176" s="2"/>
      <c r="I176" s="19"/>
      <c r="K176" s="35"/>
      <c r="M176" s="35"/>
      <c r="N176" s="35"/>
      <c r="O176" s="35"/>
      <c r="P176" s="35"/>
    </row>
    <row r="177" spans="2:16">
      <c r="B177" s="28"/>
      <c r="C177" s="196"/>
      <c r="D177" s="47"/>
      <c r="E177" s="28"/>
      <c r="F177" s="215"/>
      <c r="G177" s="215"/>
      <c r="H177" s="2"/>
      <c r="I177" s="19"/>
      <c r="K177" s="35"/>
      <c r="M177" s="35"/>
      <c r="N177" s="35"/>
      <c r="O177" s="35"/>
      <c r="P177" s="35"/>
    </row>
    <row r="178" spans="2:16">
      <c r="B178" s="28"/>
      <c r="C178" s="196"/>
      <c r="D178" s="47"/>
      <c r="E178" s="28"/>
      <c r="F178" s="215"/>
      <c r="G178" s="215"/>
      <c r="H178" s="2"/>
      <c r="I178" s="19"/>
      <c r="K178" s="35"/>
      <c r="M178" s="35"/>
      <c r="N178" s="35"/>
      <c r="O178" s="35"/>
      <c r="P178" s="35"/>
    </row>
    <row r="179" spans="2:16">
      <c r="B179" s="28"/>
      <c r="C179" s="196"/>
      <c r="D179" s="47"/>
      <c r="E179" s="28"/>
      <c r="F179" s="215"/>
      <c r="G179" s="215"/>
      <c r="H179" s="2"/>
      <c r="I179" s="19"/>
      <c r="K179" s="35"/>
      <c r="M179" s="35"/>
      <c r="N179" s="35"/>
      <c r="O179" s="35"/>
      <c r="P179" s="35"/>
    </row>
    <row r="180" spans="2:16">
      <c r="B180" s="28"/>
      <c r="C180" s="196"/>
      <c r="D180" s="47"/>
      <c r="E180" s="28"/>
      <c r="F180" s="215"/>
      <c r="G180" s="215"/>
      <c r="H180" s="2"/>
      <c r="I180" s="19"/>
      <c r="K180" s="35"/>
      <c r="M180" s="35"/>
      <c r="N180" s="35"/>
      <c r="O180" s="35"/>
      <c r="P180" s="35"/>
    </row>
    <row r="181" spans="2:16">
      <c r="D181" s="47"/>
      <c r="E181" s="143"/>
      <c r="H181" s="2"/>
      <c r="I181" s="30"/>
    </row>
    <row r="182" spans="2:16">
      <c r="D182" s="47"/>
      <c r="E182" s="143"/>
      <c r="H182" s="2"/>
      <c r="I182" s="30"/>
    </row>
    <row r="183" spans="2:16">
      <c r="D183" s="47"/>
      <c r="E183" s="143"/>
      <c r="H183" s="2"/>
      <c r="I183" s="30"/>
    </row>
    <row r="184" spans="2:16">
      <c r="D184" s="47"/>
      <c r="E184" s="143"/>
      <c r="H184" s="2"/>
      <c r="I184" s="30"/>
    </row>
    <row r="185" spans="2:16">
      <c r="D185" s="47"/>
      <c r="E185" s="143"/>
      <c r="H185" s="2"/>
      <c r="I185" s="30"/>
    </row>
    <row r="186" spans="2:16">
      <c r="D186" s="47"/>
      <c r="E186" s="143"/>
      <c r="H186" s="2"/>
      <c r="I186" s="30"/>
    </row>
    <row r="187" spans="2:16">
      <c r="D187" s="47"/>
      <c r="E187" s="143"/>
      <c r="H187" s="2"/>
      <c r="I187" s="30"/>
    </row>
    <row r="188" spans="2:16">
      <c r="D188" s="47"/>
      <c r="E188" s="143"/>
      <c r="H188" s="2"/>
      <c r="I188" s="30"/>
    </row>
    <row r="189" spans="2:16">
      <c r="D189" s="47"/>
      <c r="E189" s="143"/>
      <c r="H189" s="2"/>
      <c r="I189" s="30"/>
    </row>
    <row r="190" spans="2:16">
      <c r="D190" s="47"/>
      <c r="E190" s="143"/>
      <c r="H190" s="2"/>
      <c r="I190" s="30"/>
    </row>
    <row r="191" spans="2:16">
      <c r="D191" s="47"/>
      <c r="E191" s="143"/>
      <c r="H191" s="2"/>
      <c r="I191" s="30"/>
    </row>
    <row r="192" spans="2:16">
      <c r="D192" s="47"/>
      <c r="E192" s="143"/>
      <c r="H192" s="2"/>
      <c r="I192" s="30"/>
    </row>
    <row r="193" spans="4:9">
      <c r="D193" s="47"/>
      <c r="E193" s="143"/>
      <c r="H193" s="2"/>
      <c r="I193" s="30"/>
    </row>
    <row r="194" spans="4:9">
      <c r="D194" s="47"/>
      <c r="E194" s="143"/>
      <c r="H194" s="2"/>
      <c r="I194" s="30"/>
    </row>
    <row r="195" spans="4:9">
      <c r="D195" s="47"/>
      <c r="E195" s="143"/>
      <c r="H195" s="2"/>
      <c r="I195" s="30"/>
    </row>
    <row r="196" spans="4:9">
      <c r="D196" s="47"/>
      <c r="E196" s="143"/>
      <c r="H196" s="2"/>
      <c r="I196" s="30"/>
    </row>
    <row r="197" spans="4:9">
      <c r="D197" s="47"/>
      <c r="E197" s="143"/>
      <c r="H197" s="2"/>
      <c r="I197" s="30"/>
    </row>
    <row r="198" spans="4:9">
      <c r="D198" s="47"/>
      <c r="E198" s="143"/>
      <c r="H198" s="2"/>
      <c r="I198" s="30"/>
    </row>
    <row r="199" spans="4:9">
      <c r="D199" s="47"/>
      <c r="E199" s="143"/>
      <c r="H199" s="2"/>
      <c r="I199" s="30"/>
    </row>
    <row r="200" spans="4:9">
      <c r="D200" s="47"/>
      <c r="E200" s="143"/>
      <c r="H200" s="2"/>
      <c r="I200" s="30"/>
    </row>
    <row r="201" spans="4:9">
      <c r="D201" s="47"/>
      <c r="E201" s="143"/>
      <c r="H201" s="2"/>
      <c r="I201" s="30"/>
    </row>
    <row r="202" spans="4:9">
      <c r="D202" s="47"/>
      <c r="E202" s="143"/>
      <c r="H202" s="2"/>
      <c r="I202" s="30"/>
    </row>
    <row r="203" spans="4:9">
      <c r="D203" s="47"/>
      <c r="E203" s="143"/>
      <c r="H203" s="2"/>
      <c r="I203" s="30"/>
    </row>
    <row r="204" spans="4:9">
      <c r="D204" s="47"/>
      <c r="E204" s="143"/>
      <c r="H204" s="2"/>
      <c r="I204" s="30"/>
    </row>
    <row r="205" spans="4:9">
      <c r="D205" s="47"/>
      <c r="E205" s="143"/>
      <c r="H205" s="2"/>
      <c r="I205" s="30"/>
    </row>
    <row r="206" spans="4:9">
      <c r="D206" s="47"/>
      <c r="E206" s="143"/>
      <c r="H206" s="2"/>
      <c r="I206" s="30"/>
    </row>
    <row r="207" spans="4:9">
      <c r="D207" s="47"/>
      <c r="E207" s="143"/>
      <c r="H207" s="2"/>
      <c r="I207" s="30"/>
    </row>
    <row r="208" spans="4:9">
      <c r="D208" s="47"/>
      <c r="E208" s="143"/>
      <c r="H208" s="2"/>
      <c r="I208" s="30"/>
    </row>
    <row r="209" spans="4:9">
      <c r="D209" s="47"/>
      <c r="E209" s="143"/>
      <c r="H209" s="2"/>
      <c r="I209" s="30"/>
    </row>
    <row r="210" spans="4:9">
      <c r="D210" s="47"/>
      <c r="E210" s="143"/>
      <c r="H210" s="2"/>
      <c r="I210" s="30"/>
    </row>
    <row r="211" spans="4:9">
      <c r="D211" s="47"/>
      <c r="E211" s="143"/>
      <c r="H211" s="2"/>
      <c r="I211" s="30"/>
    </row>
    <row r="212" spans="4:9">
      <c r="D212" s="47"/>
      <c r="E212" s="143"/>
      <c r="H212" s="2"/>
      <c r="I212" s="30"/>
    </row>
    <row r="213" spans="4:9">
      <c r="D213" s="47"/>
      <c r="E213" s="143"/>
      <c r="H213" s="2"/>
      <c r="I213" s="30"/>
    </row>
    <row r="214" spans="4:9">
      <c r="D214" s="47"/>
      <c r="E214" s="143"/>
      <c r="H214" s="2"/>
      <c r="I214" s="30"/>
    </row>
    <row r="215" spans="4:9">
      <c r="D215" s="47"/>
      <c r="E215" s="143"/>
      <c r="H215" s="2"/>
      <c r="I215" s="30"/>
    </row>
    <row r="216" spans="4:9">
      <c r="D216" s="47"/>
      <c r="E216" s="143"/>
      <c r="H216" s="2"/>
      <c r="I216" s="30"/>
    </row>
    <row r="217" spans="4:9">
      <c r="D217" s="47"/>
      <c r="E217" s="143"/>
      <c r="H217" s="2"/>
      <c r="I217" s="30"/>
    </row>
    <row r="218" spans="4:9">
      <c r="D218" s="47"/>
      <c r="E218" s="143"/>
      <c r="H218" s="2"/>
      <c r="I218" s="30"/>
    </row>
    <row r="219" spans="4:9">
      <c r="D219" s="47"/>
      <c r="E219" s="143"/>
      <c r="H219" s="2"/>
      <c r="I219" s="30"/>
    </row>
    <row r="220" spans="4:9">
      <c r="D220" s="47"/>
      <c r="E220" s="143"/>
      <c r="H220" s="2"/>
      <c r="I220" s="30"/>
    </row>
    <row r="221" spans="4:9">
      <c r="D221" s="47"/>
      <c r="E221" s="143"/>
      <c r="H221" s="2"/>
      <c r="I221" s="30"/>
    </row>
    <row r="222" spans="4:9">
      <c r="D222" s="47"/>
      <c r="E222" s="143"/>
      <c r="H222" s="2"/>
      <c r="I222" s="30"/>
    </row>
    <row r="223" spans="4:9">
      <c r="D223" s="47"/>
      <c r="E223" s="143"/>
      <c r="H223" s="2"/>
      <c r="I223" s="30"/>
    </row>
    <row r="224" spans="4:9">
      <c r="D224" s="47"/>
      <c r="E224" s="143"/>
      <c r="H224" s="2"/>
      <c r="I224" s="30"/>
    </row>
    <row r="225" spans="4:9">
      <c r="D225" s="47"/>
      <c r="E225" s="143"/>
      <c r="H225" s="2"/>
      <c r="I225" s="30"/>
    </row>
    <row r="226" spans="4:9">
      <c r="D226" s="47"/>
      <c r="E226" s="143"/>
      <c r="H226" s="2"/>
      <c r="I226" s="30"/>
    </row>
    <row r="227" spans="4:9">
      <c r="D227" s="47"/>
      <c r="E227" s="143"/>
      <c r="H227" s="2"/>
      <c r="I227" s="30"/>
    </row>
    <row r="228" spans="4:9">
      <c r="D228" s="47"/>
      <c r="E228" s="143"/>
      <c r="H228" s="2"/>
      <c r="I228" s="30"/>
    </row>
    <row r="229" spans="4:9">
      <c r="D229" s="47"/>
      <c r="E229" s="143"/>
      <c r="H229" s="2"/>
      <c r="I229" s="30"/>
    </row>
    <row r="230" spans="4:9">
      <c r="D230" s="47"/>
      <c r="E230" s="143"/>
      <c r="H230" s="2"/>
      <c r="I230" s="30"/>
    </row>
    <row r="231" spans="4:9">
      <c r="D231" s="47"/>
      <c r="E231" s="143"/>
      <c r="H231" s="2"/>
      <c r="I231" s="30"/>
    </row>
    <row r="232" spans="4:9">
      <c r="D232" s="47"/>
      <c r="E232" s="143"/>
      <c r="H232" s="2"/>
      <c r="I232" s="30"/>
    </row>
    <row r="233" spans="4:9">
      <c r="D233" s="47"/>
      <c r="E233" s="143"/>
      <c r="H233" s="2"/>
      <c r="I233" s="30"/>
    </row>
    <row r="234" spans="4:9">
      <c r="D234" s="47"/>
      <c r="E234" s="143"/>
      <c r="H234" s="2"/>
      <c r="I234" s="30"/>
    </row>
    <row r="235" spans="4:9">
      <c r="D235" s="47"/>
      <c r="E235" s="143"/>
      <c r="H235" s="2"/>
      <c r="I235" s="30"/>
    </row>
    <row r="236" spans="4:9">
      <c r="D236" s="47"/>
      <c r="E236" s="143"/>
      <c r="H236" s="2"/>
      <c r="I236" s="30"/>
    </row>
    <row r="237" spans="4:9">
      <c r="D237" s="47"/>
      <c r="E237" s="143"/>
      <c r="H237" s="2"/>
      <c r="I237" s="30"/>
    </row>
    <row r="238" spans="4:9">
      <c r="D238" s="47"/>
      <c r="E238" s="143"/>
      <c r="H238" s="2"/>
      <c r="I238" s="30"/>
    </row>
    <row r="239" spans="4:9">
      <c r="D239" s="47"/>
      <c r="E239" s="143"/>
      <c r="H239" s="2"/>
      <c r="I239" s="30"/>
    </row>
    <row r="240" spans="4:9">
      <c r="D240" s="47"/>
      <c r="E240" s="143"/>
      <c r="H240" s="2"/>
      <c r="I240" s="30"/>
    </row>
    <row r="241" spans="4:9">
      <c r="D241" s="47"/>
      <c r="E241" s="143"/>
      <c r="H241" s="2"/>
      <c r="I241" s="30"/>
    </row>
    <row r="242" spans="4:9">
      <c r="D242" s="47"/>
      <c r="E242" s="143"/>
      <c r="H242" s="2"/>
      <c r="I242" s="30"/>
    </row>
    <row r="243" spans="4:9">
      <c r="D243" s="47"/>
      <c r="E243" s="143"/>
      <c r="H243" s="2"/>
      <c r="I243" s="30"/>
    </row>
    <row r="244" spans="4:9">
      <c r="D244" s="47"/>
      <c r="E244" s="143"/>
      <c r="H244" s="2"/>
      <c r="I244" s="30"/>
    </row>
    <row r="245" spans="4:9">
      <c r="D245" s="47"/>
      <c r="E245" s="143"/>
      <c r="H245" s="2"/>
      <c r="I245" s="30"/>
    </row>
    <row r="246" spans="4:9">
      <c r="D246" s="47"/>
      <c r="E246" s="143"/>
      <c r="H246" s="2"/>
      <c r="I246" s="30"/>
    </row>
    <row r="247" spans="4:9">
      <c r="D247" s="47"/>
      <c r="E247" s="143"/>
      <c r="H247" s="2"/>
      <c r="I247" s="30"/>
    </row>
    <row r="248" spans="4:9">
      <c r="D248" s="47"/>
      <c r="E248" s="143"/>
      <c r="H248" s="2"/>
      <c r="I248" s="30"/>
    </row>
    <row r="249" spans="4:9">
      <c r="D249" s="47"/>
      <c r="E249" s="143"/>
      <c r="H249" s="2"/>
      <c r="I249" s="30"/>
    </row>
    <row r="250" spans="4:9">
      <c r="D250" s="47"/>
      <c r="E250" s="143"/>
      <c r="H250" s="2"/>
      <c r="I250" s="30"/>
    </row>
    <row r="251" spans="4:9">
      <c r="D251" s="47"/>
      <c r="E251" s="143"/>
      <c r="H251" s="2"/>
      <c r="I251" s="30"/>
    </row>
    <row r="252" spans="4:9">
      <c r="D252" s="47"/>
      <c r="E252" s="143"/>
      <c r="H252" s="2"/>
      <c r="I252" s="30"/>
    </row>
    <row r="253" spans="4:9">
      <c r="D253" s="47"/>
      <c r="E253" s="143"/>
      <c r="H253" s="2"/>
      <c r="I253" s="30"/>
    </row>
    <row r="254" spans="4:9">
      <c r="D254" s="47"/>
      <c r="E254" s="143"/>
      <c r="H254" s="2"/>
      <c r="I254" s="30"/>
    </row>
    <row r="255" spans="4:9">
      <c r="D255" s="47"/>
      <c r="E255" s="143"/>
      <c r="H255" s="2"/>
      <c r="I255" s="30"/>
    </row>
    <row r="256" spans="4:9">
      <c r="D256" s="47"/>
      <c r="E256" s="143"/>
      <c r="H256" s="2"/>
      <c r="I256" s="30"/>
    </row>
    <row r="257" spans="4:9">
      <c r="D257" s="47"/>
      <c r="E257" s="143"/>
      <c r="H257" s="2"/>
      <c r="I257" s="30"/>
    </row>
    <row r="258" spans="4:9">
      <c r="D258" s="47"/>
      <c r="E258" s="143"/>
      <c r="H258" s="2"/>
      <c r="I258" s="30"/>
    </row>
    <row r="259" spans="4:9">
      <c r="D259" s="47"/>
      <c r="E259" s="143"/>
      <c r="H259" s="2"/>
      <c r="I259" s="30"/>
    </row>
    <row r="260" spans="4:9">
      <c r="D260" s="47"/>
      <c r="E260" s="143"/>
      <c r="H260" s="2"/>
      <c r="I260" s="30"/>
    </row>
    <row r="261" spans="4:9">
      <c r="D261" s="47"/>
      <c r="E261" s="143"/>
      <c r="H261" s="2"/>
      <c r="I261" s="30"/>
    </row>
    <row r="262" spans="4:9">
      <c r="D262" s="47"/>
      <c r="E262" s="143"/>
      <c r="H262" s="2"/>
      <c r="I262" s="30"/>
    </row>
    <row r="263" spans="4:9">
      <c r="D263" s="47"/>
      <c r="E263" s="143"/>
      <c r="H263" s="2"/>
      <c r="I263" s="30"/>
    </row>
    <row r="264" spans="4:9">
      <c r="D264" s="47"/>
      <c r="E264" s="143"/>
      <c r="H264" s="2"/>
      <c r="I264" s="30"/>
    </row>
    <row r="265" spans="4:9">
      <c r="D265" s="47"/>
      <c r="E265" s="143"/>
      <c r="H265" s="2"/>
      <c r="I265" s="30"/>
    </row>
    <row r="266" spans="4:9">
      <c r="D266" s="47"/>
      <c r="E266" s="143"/>
      <c r="H266" s="2"/>
      <c r="I266" s="30"/>
    </row>
    <row r="267" spans="4:9">
      <c r="D267" s="47"/>
      <c r="E267" s="143"/>
      <c r="H267" s="2"/>
      <c r="I267" s="30"/>
    </row>
    <row r="268" spans="4:9">
      <c r="D268" s="47"/>
      <c r="E268" s="143"/>
      <c r="H268" s="2"/>
      <c r="I268" s="30"/>
    </row>
    <row r="269" spans="4:9">
      <c r="D269" s="47"/>
      <c r="E269" s="143"/>
      <c r="H269" s="2"/>
      <c r="I269" s="30"/>
    </row>
    <row r="270" spans="4:9">
      <c r="D270" s="47"/>
      <c r="E270" s="143"/>
      <c r="H270" s="2"/>
      <c r="I270" s="30"/>
    </row>
    <row r="271" spans="4:9">
      <c r="D271" s="47"/>
      <c r="E271" s="143"/>
      <c r="H271" s="2"/>
      <c r="I271" s="30"/>
    </row>
    <row r="272" spans="4:9">
      <c r="D272" s="47"/>
      <c r="E272" s="143"/>
      <c r="H272" s="2"/>
      <c r="I272" s="30"/>
    </row>
    <row r="273" spans="4:9">
      <c r="D273" s="47"/>
      <c r="E273" s="143"/>
      <c r="H273" s="2"/>
      <c r="I273" s="30"/>
    </row>
    <row r="274" spans="4:9">
      <c r="D274" s="47"/>
      <c r="E274" s="143"/>
      <c r="H274" s="2"/>
      <c r="I274" s="30"/>
    </row>
    <row r="275" spans="4:9">
      <c r="D275" s="47"/>
      <c r="E275" s="143"/>
      <c r="H275" s="2"/>
      <c r="I275" s="30"/>
    </row>
    <row r="276" spans="4:9">
      <c r="D276" s="47"/>
      <c r="E276" s="143"/>
      <c r="H276" s="2"/>
      <c r="I276" s="30"/>
    </row>
    <row r="277" spans="4:9">
      <c r="D277" s="47"/>
      <c r="E277" s="143"/>
      <c r="H277" s="2"/>
      <c r="I277" s="30"/>
    </row>
    <row r="278" spans="4:9">
      <c r="D278" s="47"/>
      <c r="E278" s="143"/>
      <c r="H278" s="2"/>
      <c r="I278" s="30"/>
    </row>
    <row r="279" spans="4:9">
      <c r="D279" s="47"/>
      <c r="E279" s="143"/>
      <c r="H279" s="2"/>
      <c r="I279" s="30"/>
    </row>
    <row r="280" spans="4:9">
      <c r="D280" s="47"/>
      <c r="E280" s="143"/>
      <c r="H280" s="2"/>
      <c r="I280" s="30"/>
    </row>
    <row r="281" spans="4:9">
      <c r="D281" s="47"/>
      <c r="E281" s="143"/>
      <c r="H281" s="2"/>
      <c r="I281" s="30"/>
    </row>
    <row r="282" spans="4:9">
      <c r="D282" s="47"/>
      <c r="E282" s="143"/>
      <c r="H282" s="2"/>
      <c r="I282" s="30"/>
    </row>
    <row r="283" spans="4:9">
      <c r="D283" s="47"/>
      <c r="E283" s="143"/>
      <c r="H283" s="2"/>
      <c r="I283" s="30"/>
    </row>
    <row r="284" spans="4:9">
      <c r="D284" s="47"/>
      <c r="E284" s="143"/>
      <c r="H284" s="2"/>
      <c r="I284" s="30"/>
    </row>
    <row r="285" spans="4:9">
      <c r="D285" s="47"/>
      <c r="E285" s="143"/>
      <c r="H285" s="2"/>
      <c r="I285" s="30"/>
    </row>
    <row r="286" spans="4:9">
      <c r="D286" s="47"/>
      <c r="E286" s="143"/>
      <c r="H286" s="2"/>
      <c r="I286" s="30"/>
    </row>
    <row r="287" spans="4:9">
      <c r="D287" s="47"/>
      <c r="E287" s="143"/>
      <c r="H287" s="2"/>
      <c r="I287" s="30"/>
    </row>
    <row r="288" spans="4:9">
      <c r="D288" s="47"/>
      <c r="E288" s="143"/>
      <c r="H288" s="2"/>
      <c r="I288" s="30"/>
    </row>
    <row r="289" spans="4:9">
      <c r="D289" s="47"/>
      <c r="E289" s="143"/>
      <c r="H289" s="2"/>
      <c r="I289" s="30"/>
    </row>
    <row r="290" spans="4:9">
      <c r="D290" s="47"/>
      <c r="E290" s="143"/>
      <c r="H290" s="2"/>
      <c r="I290" s="30"/>
    </row>
    <row r="291" spans="4:9">
      <c r="D291" s="47"/>
      <c r="E291" s="143"/>
      <c r="H291" s="2"/>
      <c r="I291" s="30"/>
    </row>
    <row r="292" spans="4:9">
      <c r="D292" s="47"/>
      <c r="E292" s="143"/>
      <c r="H292" s="2"/>
      <c r="I292" s="30"/>
    </row>
    <row r="293" spans="4:9">
      <c r="D293" s="47"/>
      <c r="E293" s="143"/>
      <c r="H293" s="2"/>
      <c r="I293" s="30"/>
    </row>
    <row r="294" spans="4:9">
      <c r="D294" s="47"/>
      <c r="E294" s="143"/>
      <c r="H294" s="2"/>
      <c r="I294" s="30"/>
    </row>
    <row r="295" spans="4:9">
      <c r="D295" s="47"/>
      <c r="E295" s="143"/>
      <c r="H295" s="2"/>
      <c r="I295" s="30"/>
    </row>
    <row r="296" spans="4:9">
      <c r="D296" s="47"/>
      <c r="E296" s="143"/>
      <c r="H296" s="2"/>
      <c r="I296" s="30"/>
    </row>
    <row r="297" spans="4:9">
      <c r="D297" s="47"/>
      <c r="E297" s="143"/>
      <c r="H297" s="2"/>
      <c r="I297" s="30"/>
    </row>
    <row r="298" spans="4:9">
      <c r="D298" s="47"/>
      <c r="E298" s="143"/>
      <c r="H298" s="2"/>
      <c r="I298" s="30"/>
    </row>
    <row r="299" spans="4:9">
      <c r="D299" s="47"/>
      <c r="E299" s="143"/>
      <c r="H299" s="2"/>
      <c r="I299" s="30"/>
    </row>
    <row r="300" spans="4:9">
      <c r="D300" s="47"/>
      <c r="E300" s="143"/>
      <c r="H300" s="2"/>
      <c r="I300" s="30"/>
    </row>
    <row r="301" spans="4:9">
      <c r="D301" s="47"/>
      <c r="E301" s="143"/>
      <c r="H301" s="2"/>
      <c r="I301" s="30"/>
    </row>
    <row r="302" spans="4:9">
      <c r="D302" s="47"/>
      <c r="E302" s="143"/>
      <c r="H302" s="2"/>
      <c r="I302" s="30"/>
    </row>
    <row r="303" spans="4:9">
      <c r="D303" s="47"/>
      <c r="E303" s="143"/>
      <c r="H303" s="2"/>
      <c r="I303" s="30"/>
    </row>
    <row r="304" spans="4:9">
      <c r="D304" s="47"/>
      <c r="E304" s="143"/>
      <c r="H304" s="2"/>
      <c r="I304" s="30"/>
    </row>
    <row r="305" spans="4:9">
      <c r="D305" s="47"/>
      <c r="E305" s="143"/>
      <c r="H305" s="2"/>
      <c r="I305" s="30"/>
    </row>
    <row r="306" spans="4:9">
      <c r="D306" s="47"/>
      <c r="E306" s="143"/>
      <c r="H306" s="2"/>
      <c r="I306" s="30"/>
    </row>
    <row r="307" spans="4:9">
      <c r="D307" s="47"/>
      <c r="E307" s="143"/>
      <c r="H307" s="2"/>
      <c r="I307" s="30"/>
    </row>
    <row r="308" spans="4:9">
      <c r="D308" s="47"/>
      <c r="E308" s="143"/>
      <c r="H308" s="2"/>
      <c r="I308" s="30"/>
    </row>
    <row r="309" spans="4:9">
      <c r="D309" s="47"/>
      <c r="E309" s="143"/>
      <c r="H309" s="2"/>
      <c r="I309" s="30"/>
    </row>
    <row r="310" spans="4:9">
      <c r="D310" s="47"/>
      <c r="E310" s="143"/>
      <c r="H310" s="2"/>
      <c r="I310" s="30"/>
    </row>
    <row r="311" spans="4:9">
      <c r="D311" s="47"/>
      <c r="E311" s="143"/>
      <c r="H311" s="2"/>
      <c r="I311" s="30"/>
    </row>
    <row r="312" spans="4:9">
      <c r="D312" s="47"/>
      <c r="E312" s="143"/>
      <c r="H312" s="2"/>
      <c r="I312" s="30"/>
    </row>
    <row r="313" spans="4:9">
      <c r="D313" s="47"/>
      <c r="E313" s="143"/>
      <c r="H313" s="2"/>
      <c r="I313" s="30"/>
    </row>
    <row r="314" spans="4:9">
      <c r="D314" s="47"/>
      <c r="E314" s="143"/>
      <c r="H314" s="2"/>
      <c r="I314" s="30"/>
    </row>
    <row r="315" spans="4:9">
      <c r="D315" s="47"/>
      <c r="E315" s="143"/>
      <c r="H315" s="2"/>
      <c r="I315" s="30"/>
    </row>
    <row r="316" spans="4:9">
      <c r="D316" s="47"/>
      <c r="E316" s="143"/>
      <c r="H316" s="2"/>
      <c r="I316" s="30"/>
    </row>
    <row r="317" spans="4:9">
      <c r="D317" s="47"/>
      <c r="E317" s="143"/>
      <c r="H317" s="2"/>
      <c r="I317" s="30"/>
    </row>
    <row r="318" spans="4:9">
      <c r="D318" s="47"/>
      <c r="E318" s="143"/>
      <c r="H318" s="2"/>
      <c r="I318" s="30"/>
    </row>
    <row r="319" spans="4:9">
      <c r="D319" s="47"/>
      <c r="E319" s="143"/>
      <c r="H319" s="2"/>
      <c r="I319" s="30"/>
    </row>
    <row r="320" spans="4:9">
      <c r="D320" s="47"/>
      <c r="E320" s="143"/>
      <c r="H320" s="2"/>
      <c r="I320" s="30"/>
    </row>
    <row r="321" spans="4:9">
      <c r="D321" s="47"/>
      <c r="E321" s="143"/>
      <c r="H321" s="2"/>
      <c r="I321" s="30"/>
    </row>
    <row r="322" spans="4:9">
      <c r="D322" s="47"/>
      <c r="E322" s="143"/>
      <c r="H322" s="2"/>
      <c r="I322" s="30"/>
    </row>
    <row r="323" spans="4:9">
      <c r="D323" s="47"/>
      <c r="E323" s="143"/>
      <c r="H323" s="2"/>
      <c r="I323" s="30"/>
    </row>
    <row r="324" spans="4:9">
      <c r="D324" s="47"/>
      <c r="E324" s="143"/>
      <c r="H324" s="2"/>
      <c r="I324" s="30"/>
    </row>
    <row r="325" spans="4:9">
      <c r="D325" s="47"/>
      <c r="E325" s="143"/>
      <c r="H325" s="2"/>
      <c r="I325" s="30"/>
    </row>
    <row r="326" spans="4:9">
      <c r="D326" s="47"/>
      <c r="E326" s="143"/>
      <c r="H326" s="2"/>
      <c r="I326" s="30"/>
    </row>
    <row r="327" spans="4:9">
      <c r="D327" s="47"/>
      <c r="E327" s="143"/>
      <c r="H327" s="2"/>
      <c r="I327" s="30"/>
    </row>
    <row r="328" spans="4:9">
      <c r="D328" s="47"/>
      <c r="E328" s="143"/>
      <c r="H328" s="2"/>
      <c r="I328" s="30"/>
    </row>
    <row r="329" spans="4:9">
      <c r="D329" s="47"/>
      <c r="E329" s="143"/>
      <c r="H329" s="2"/>
      <c r="I329" s="30"/>
    </row>
    <row r="330" spans="4:9">
      <c r="D330" s="47"/>
      <c r="E330" s="143"/>
      <c r="H330" s="2"/>
      <c r="I330" s="30"/>
    </row>
    <row r="331" spans="4:9">
      <c r="D331" s="47"/>
      <c r="E331" s="143"/>
      <c r="H331" s="2"/>
      <c r="I331" s="30"/>
    </row>
    <row r="332" spans="4:9">
      <c r="D332" s="47"/>
      <c r="E332" s="143"/>
      <c r="H332" s="2"/>
      <c r="I332" s="30"/>
    </row>
    <row r="333" spans="4:9">
      <c r="D333" s="47"/>
      <c r="E333" s="143"/>
      <c r="H333" s="2"/>
      <c r="I333" s="30"/>
    </row>
    <row r="334" spans="4:9">
      <c r="D334" s="47"/>
      <c r="E334" s="143"/>
      <c r="H334" s="2"/>
      <c r="I334" s="30"/>
    </row>
    <row r="335" spans="4:9">
      <c r="D335" s="47"/>
      <c r="E335" s="143"/>
      <c r="H335" s="2"/>
      <c r="I335" s="30"/>
    </row>
    <row r="336" spans="4:9">
      <c r="D336" s="47"/>
      <c r="E336" s="143"/>
      <c r="H336" s="2"/>
      <c r="I336" s="30"/>
    </row>
    <row r="337" spans="4:9">
      <c r="D337" s="47"/>
      <c r="E337" s="143"/>
      <c r="H337" s="2"/>
      <c r="I337" s="30"/>
    </row>
    <row r="338" spans="4:9">
      <c r="D338" s="47"/>
      <c r="E338" s="143"/>
      <c r="H338" s="2"/>
      <c r="I338" s="30"/>
    </row>
    <row r="339" spans="4:9">
      <c r="D339" s="47"/>
      <c r="E339" s="143"/>
      <c r="H339" s="2"/>
      <c r="I339" s="30"/>
    </row>
    <row r="340" spans="4:9">
      <c r="D340" s="47"/>
      <c r="E340" s="143"/>
      <c r="H340" s="2"/>
      <c r="I340" s="30"/>
    </row>
    <row r="341" spans="4:9">
      <c r="D341" s="47"/>
      <c r="E341" s="143"/>
      <c r="H341" s="2"/>
      <c r="I341" s="30"/>
    </row>
    <row r="342" spans="4:9">
      <c r="D342" s="47"/>
      <c r="E342" s="143"/>
      <c r="H342" s="2"/>
      <c r="I342" s="30"/>
    </row>
    <row r="343" spans="4:9">
      <c r="D343" s="47"/>
      <c r="E343" s="143"/>
      <c r="H343" s="2"/>
      <c r="I343" s="30"/>
    </row>
    <row r="344" spans="4:9">
      <c r="D344" s="47"/>
      <c r="E344" s="143"/>
      <c r="H344" s="2"/>
      <c r="I344" s="30"/>
    </row>
    <row r="345" spans="4:9">
      <c r="D345" s="47"/>
      <c r="E345" s="143"/>
      <c r="H345" s="2"/>
      <c r="I345" s="30"/>
    </row>
    <row r="346" spans="4:9">
      <c r="D346" s="47"/>
      <c r="E346" s="143"/>
      <c r="H346" s="2"/>
      <c r="I346" s="30"/>
    </row>
    <row r="347" spans="4:9">
      <c r="D347" s="47"/>
      <c r="E347" s="143"/>
      <c r="H347" s="2"/>
      <c r="I347" s="30"/>
    </row>
    <row r="348" spans="4:9">
      <c r="D348" s="47"/>
      <c r="E348" s="143"/>
      <c r="H348" s="2"/>
      <c r="I348" s="30"/>
    </row>
    <row r="349" spans="4:9">
      <c r="D349" s="47"/>
      <c r="E349" s="143"/>
      <c r="H349" s="2"/>
      <c r="I349" s="30"/>
    </row>
    <row r="350" spans="4:9">
      <c r="D350" s="47"/>
      <c r="E350" s="143"/>
      <c r="H350" s="2"/>
      <c r="I350" s="30"/>
    </row>
    <row r="351" spans="4:9">
      <c r="D351" s="47"/>
      <c r="E351" s="143"/>
      <c r="H351" s="2"/>
      <c r="I351" s="30"/>
    </row>
    <row r="352" spans="4:9">
      <c r="D352" s="47"/>
      <c r="E352" s="143"/>
      <c r="H352" s="2"/>
      <c r="I352" s="30"/>
    </row>
    <row r="353" spans="4:9">
      <c r="D353" s="47"/>
      <c r="E353" s="143"/>
      <c r="H353" s="2"/>
      <c r="I353" s="30"/>
    </row>
    <row r="354" spans="4:9">
      <c r="D354" s="47"/>
      <c r="E354" s="143"/>
      <c r="H354" s="2"/>
      <c r="I354" s="30"/>
    </row>
    <row r="355" spans="4:9">
      <c r="D355" s="47"/>
      <c r="E355" s="143"/>
      <c r="H355" s="2"/>
      <c r="I355" s="30"/>
    </row>
    <row r="356" spans="4:9">
      <c r="D356" s="47"/>
      <c r="E356" s="143"/>
      <c r="H356" s="2"/>
      <c r="I356" s="30"/>
    </row>
    <row r="357" spans="4:9">
      <c r="D357" s="47"/>
      <c r="E357" s="143"/>
      <c r="H357" s="2"/>
      <c r="I357" s="30"/>
    </row>
    <row r="358" spans="4:9">
      <c r="D358" s="47"/>
      <c r="E358" s="143"/>
      <c r="H358" s="2"/>
      <c r="I358" s="30"/>
    </row>
    <row r="359" spans="4:9">
      <c r="D359" s="47"/>
      <c r="E359" s="143"/>
      <c r="H359" s="2"/>
      <c r="I359" s="30"/>
    </row>
    <row r="360" spans="4:9">
      <c r="D360" s="47"/>
      <c r="E360" s="143"/>
      <c r="H360" s="2"/>
      <c r="I360" s="30"/>
    </row>
    <row r="361" spans="4:9">
      <c r="D361" s="47"/>
      <c r="E361" s="143"/>
      <c r="H361" s="2"/>
      <c r="I361" s="30"/>
    </row>
    <row r="362" spans="4:9">
      <c r="D362" s="47"/>
      <c r="E362" s="143"/>
      <c r="H362" s="2"/>
      <c r="I362" s="30"/>
    </row>
    <row r="363" spans="4:9">
      <c r="D363" s="47"/>
      <c r="E363" s="143"/>
      <c r="H363" s="2"/>
      <c r="I363" s="30"/>
    </row>
    <row r="364" spans="4:9">
      <c r="D364" s="47"/>
      <c r="E364" s="143"/>
      <c r="H364" s="2"/>
      <c r="I364" s="30"/>
    </row>
    <row r="365" spans="4:9">
      <c r="D365" s="47"/>
      <c r="E365" s="143"/>
      <c r="H365" s="2"/>
      <c r="I365" s="30"/>
    </row>
    <row r="366" spans="4:9">
      <c r="D366" s="47"/>
      <c r="E366" s="143"/>
      <c r="H366" s="2"/>
      <c r="I366" s="30"/>
    </row>
    <row r="367" spans="4:9">
      <c r="D367" s="47"/>
      <c r="E367" s="143"/>
      <c r="H367" s="2"/>
      <c r="I367" s="30"/>
    </row>
    <row r="368" spans="4:9">
      <c r="D368" s="47"/>
      <c r="E368" s="143"/>
      <c r="H368" s="2"/>
      <c r="I368" s="30"/>
    </row>
    <row r="369" spans="4:9">
      <c r="D369" s="47"/>
      <c r="E369" s="143"/>
      <c r="H369" s="2"/>
      <c r="I369" s="30"/>
    </row>
    <row r="370" spans="4:9">
      <c r="D370" s="47"/>
      <c r="E370" s="143"/>
      <c r="H370" s="2"/>
      <c r="I370" s="30"/>
    </row>
    <row r="371" spans="4:9">
      <c r="D371" s="47"/>
      <c r="E371" s="143"/>
      <c r="H371" s="2"/>
      <c r="I371" s="30"/>
    </row>
    <row r="372" spans="4:9">
      <c r="D372" s="47"/>
      <c r="E372" s="143"/>
      <c r="H372" s="2"/>
      <c r="I372" s="30"/>
    </row>
    <row r="373" spans="4:9">
      <c r="D373" s="47"/>
      <c r="E373" s="143"/>
      <c r="H373" s="2"/>
      <c r="I373" s="30"/>
    </row>
    <row r="374" spans="4:9">
      <c r="D374" s="47"/>
      <c r="E374" s="143"/>
      <c r="H374" s="2"/>
      <c r="I374" s="30"/>
    </row>
    <row r="375" spans="4:9">
      <c r="D375" s="47"/>
      <c r="E375" s="143"/>
      <c r="H375" s="2"/>
      <c r="I375" s="30"/>
    </row>
    <row r="376" spans="4:9">
      <c r="D376" s="47"/>
      <c r="E376" s="143"/>
      <c r="H376" s="2"/>
      <c r="I376" s="30"/>
    </row>
    <row r="377" spans="4:9">
      <c r="D377" s="47"/>
      <c r="E377" s="143"/>
      <c r="H377" s="2"/>
      <c r="I377" s="30"/>
    </row>
    <row r="378" spans="4:9">
      <c r="D378" s="47"/>
      <c r="E378" s="143"/>
      <c r="H378" s="2"/>
      <c r="I378" s="30"/>
    </row>
    <row r="379" spans="4:9">
      <c r="D379" s="47"/>
      <c r="E379" s="143"/>
      <c r="H379" s="2"/>
      <c r="I379" s="30"/>
    </row>
    <row r="380" spans="4:9">
      <c r="D380" s="47"/>
      <c r="E380" s="143"/>
      <c r="H380" s="2"/>
      <c r="I380" s="30"/>
    </row>
    <row r="381" spans="4:9">
      <c r="D381" s="47"/>
      <c r="E381" s="143"/>
      <c r="H381" s="2"/>
      <c r="I381" s="30"/>
    </row>
    <row r="382" spans="4:9">
      <c r="D382" s="47"/>
      <c r="E382" s="143"/>
      <c r="H382" s="2"/>
      <c r="I382" s="30"/>
    </row>
    <row r="383" spans="4:9">
      <c r="D383" s="47"/>
      <c r="E383" s="143"/>
      <c r="H383" s="2"/>
      <c r="I383" s="30"/>
    </row>
    <row r="384" spans="4:9">
      <c r="D384" s="47"/>
      <c r="E384" s="143"/>
      <c r="H384" s="2"/>
      <c r="I384" s="30"/>
    </row>
    <row r="385" spans="4:9">
      <c r="D385" s="47"/>
      <c r="E385" s="143"/>
      <c r="H385" s="2"/>
      <c r="I385" s="30"/>
    </row>
    <row r="386" spans="4:9">
      <c r="D386" s="47"/>
      <c r="E386" s="143"/>
      <c r="H386" s="2"/>
      <c r="I386" s="30"/>
    </row>
    <row r="387" spans="4:9">
      <c r="D387" s="47"/>
      <c r="E387" s="143"/>
      <c r="H387" s="2"/>
      <c r="I387" s="30"/>
    </row>
    <row r="388" spans="4:9">
      <c r="D388" s="47"/>
      <c r="E388" s="143"/>
      <c r="H388" s="2"/>
      <c r="I388" s="30"/>
    </row>
    <row r="389" spans="4:9">
      <c r="D389" s="47"/>
      <c r="E389" s="143"/>
      <c r="H389" s="2"/>
      <c r="I389" s="30"/>
    </row>
    <row r="390" spans="4:9">
      <c r="D390" s="47"/>
      <c r="E390" s="143"/>
      <c r="H390" s="2"/>
      <c r="I390" s="30"/>
    </row>
    <row r="391" spans="4:9">
      <c r="D391" s="47"/>
      <c r="E391" s="143"/>
      <c r="H391" s="2"/>
      <c r="I391" s="30"/>
    </row>
    <row r="392" spans="4:9">
      <c r="D392" s="47"/>
      <c r="E392" s="143"/>
      <c r="H392" s="2"/>
      <c r="I392" s="30"/>
    </row>
    <row r="393" spans="4:9">
      <c r="D393" s="47"/>
      <c r="E393" s="143"/>
      <c r="H393" s="2"/>
      <c r="I393" s="30"/>
    </row>
    <row r="394" spans="4:9">
      <c r="D394" s="47"/>
      <c r="E394" s="143"/>
      <c r="H394" s="2"/>
      <c r="I394" s="30"/>
    </row>
    <row r="395" spans="4:9">
      <c r="D395" s="47"/>
      <c r="E395" s="143"/>
      <c r="H395" s="2"/>
      <c r="I395" s="30"/>
    </row>
    <row r="396" spans="4:9">
      <c r="D396" s="47"/>
      <c r="E396" s="143"/>
      <c r="H396" s="2"/>
      <c r="I396" s="30"/>
    </row>
    <row r="397" spans="4:9">
      <c r="D397" s="47"/>
      <c r="E397" s="143"/>
      <c r="H397" s="2"/>
      <c r="I397" s="30"/>
    </row>
    <row r="398" spans="4:9">
      <c r="D398" s="47"/>
      <c r="E398" s="143"/>
      <c r="H398" s="2"/>
      <c r="I398" s="30"/>
    </row>
    <row r="399" spans="4:9">
      <c r="D399" s="47"/>
      <c r="E399" s="143"/>
      <c r="H399" s="2"/>
      <c r="I399" s="30"/>
    </row>
    <row r="400" spans="4:9">
      <c r="D400" s="47"/>
      <c r="E400" s="143"/>
      <c r="H400" s="2"/>
      <c r="I400" s="30"/>
    </row>
    <row r="401" spans="4:9">
      <c r="D401" s="47"/>
      <c r="E401" s="143"/>
      <c r="H401" s="2"/>
      <c r="I401" s="30"/>
    </row>
    <row r="402" spans="4:9">
      <c r="D402" s="47"/>
      <c r="E402" s="143"/>
      <c r="H402" s="2"/>
      <c r="I402" s="30"/>
    </row>
    <row r="403" spans="4:9">
      <c r="D403" s="47"/>
      <c r="E403" s="143"/>
      <c r="H403" s="2"/>
      <c r="I403" s="30"/>
    </row>
    <row r="404" spans="4:9">
      <c r="D404" s="47"/>
      <c r="E404" s="143"/>
      <c r="H404" s="2"/>
      <c r="I404" s="30"/>
    </row>
    <row r="405" spans="4:9">
      <c r="D405" s="47"/>
      <c r="E405" s="143"/>
      <c r="H405" s="2"/>
      <c r="I405" s="30"/>
    </row>
    <row r="406" spans="4:9">
      <c r="D406" s="47"/>
      <c r="E406" s="143"/>
      <c r="H406" s="2"/>
      <c r="I406" s="30"/>
    </row>
    <row r="407" spans="4:9">
      <c r="D407" s="47"/>
      <c r="E407" s="143"/>
      <c r="H407" s="2"/>
      <c r="I407" s="30"/>
    </row>
    <row r="408" spans="4:9">
      <c r="D408" s="47"/>
      <c r="E408" s="143"/>
      <c r="H408" s="2"/>
      <c r="I408" s="30"/>
    </row>
    <row r="409" spans="4:9">
      <c r="D409" s="47"/>
      <c r="E409" s="143"/>
      <c r="H409" s="2"/>
      <c r="I409" s="30"/>
    </row>
    <row r="410" spans="4:9">
      <c r="D410" s="47"/>
      <c r="E410" s="143"/>
      <c r="H410" s="2"/>
      <c r="I410" s="30"/>
    </row>
    <row r="411" spans="4:9">
      <c r="D411" s="47"/>
      <c r="E411" s="143"/>
      <c r="H411" s="2"/>
      <c r="I411" s="30"/>
    </row>
    <row r="412" spans="4:9">
      <c r="D412" s="47"/>
      <c r="E412" s="143"/>
      <c r="H412" s="2"/>
      <c r="I412" s="30"/>
    </row>
    <row r="413" spans="4:9">
      <c r="D413" s="47"/>
      <c r="E413" s="143"/>
      <c r="H413" s="2"/>
      <c r="I413" s="30"/>
    </row>
    <row r="414" spans="4:9">
      <c r="D414" s="47"/>
      <c r="E414" s="143"/>
      <c r="H414" s="2"/>
      <c r="I414" s="30"/>
    </row>
    <row r="415" spans="4:9">
      <c r="D415" s="47"/>
      <c r="E415" s="143"/>
      <c r="H415" s="2"/>
      <c r="I415" s="30"/>
    </row>
    <row r="416" spans="4:9">
      <c r="D416" s="47"/>
      <c r="E416" s="143"/>
      <c r="H416" s="2"/>
      <c r="I416" s="30"/>
    </row>
    <row r="417" spans="4:9">
      <c r="D417" s="47"/>
      <c r="E417" s="143"/>
      <c r="H417" s="2"/>
      <c r="I417" s="30"/>
    </row>
    <row r="418" spans="4:9">
      <c r="D418" s="47"/>
      <c r="E418" s="143"/>
      <c r="H418" s="2"/>
      <c r="I418" s="30"/>
    </row>
    <row r="419" spans="4:9">
      <c r="D419" s="47"/>
      <c r="E419" s="143"/>
      <c r="H419" s="2"/>
      <c r="I419" s="30"/>
    </row>
    <row r="420" spans="4:9">
      <c r="D420" s="47"/>
      <c r="E420" s="143"/>
      <c r="H420" s="2"/>
      <c r="I420" s="30"/>
    </row>
    <row r="421" spans="4:9">
      <c r="D421" s="47"/>
      <c r="E421" s="143"/>
      <c r="H421" s="2"/>
      <c r="I421" s="30"/>
    </row>
    <row r="422" spans="4:9">
      <c r="D422" s="47"/>
      <c r="E422" s="143"/>
      <c r="H422" s="2"/>
      <c r="I422" s="30"/>
    </row>
    <row r="423" spans="4:9">
      <c r="D423" s="47"/>
      <c r="E423" s="143"/>
      <c r="H423" s="2"/>
      <c r="I423" s="30"/>
    </row>
    <row r="424" spans="4:9">
      <c r="D424" s="47"/>
      <c r="E424" s="143"/>
      <c r="H424" s="2"/>
      <c r="I424" s="30"/>
    </row>
    <row r="425" spans="4:9">
      <c r="D425" s="47"/>
      <c r="E425" s="143"/>
      <c r="H425" s="2"/>
      <c r="I425" s="30"/>
    </row>
    <row r="426" spans="4:9">
      <c r="D426" s="47"/>
      <c r="E426" s="143"/>
      <c r="H426" s="2"/>
      <c r="I426" s="30"/>
    </row>
    <row r="427" spans="4:9">
      <c r="D427" s="47"/>
      <c r="E427" s="143"/>
      <c r="H427" s="2"/>
      <c r="I427" s="30"/>
    </row>
    <row r="428" spans="4:9">
      <c r="D428" s="47"/>
      <c r="E428" s="143"/>
      <c r="H428" s="2"/>
      <c r="I428" s="30"/>
    </row>
    <row r="429" spans="4:9">
      <c r="D429" s="47"/>
      <c r="E429" s="143"/>
      <c r="H429" s="2"/>
      <c r="I429" s="30"/>
    </row>
    <row r="430" spans="4:9">
      <c r="D430" s="47"/>
      <c r="E430" s="143"/>
      <c r="H430" s="2"/>
      <c r="I430" s="30"/>
    </row>
    <row r="431" spans="4:9">
      <c r="D431" s="47"/>
      <c r="E431" s="143"/>
      <c r="H431" s="2"/>
      <c r="I431" s="30"/>
    </row>
    <row r="432" spans="4:9">
      <c r="D432" s="47"/>
      <c r="E432" s="143"/>
      <c r="H432" s="2"/>
      <c r="I432" s="30"/>
    </row>
    <row r="433" spans="4:9">
      <c r="D433" s="47"/>
      <c r="E433" s="143"/>
      <c r="H433" s="2"/>
      <c r="I433" s="30"/>
    </row>
    <row r="434" spans="4:9">
      <c r="D434" s="47"/>
      <c r="E434" s="143"/>
      <c r="H434" s="2"/>
      <c r="I434" s="30"/>
    </row>
    <row r="435" spans="4:9">
      <c r="D435" s="47"/>
      <c r="E435" s="143"/>
      <c r="H435" s="2"/>
      <c r="I435" s="30"/>
    </row>
    <row r="436" spans="4:9">
      <c r="D436" s="47"/>
      <c r="E436" s="143"/>
      <c r="H436" s="2"/>
      <c r="I436" s="30"/>
    </row>
    <row r="437" spans="4:9">
      <c r="D437" s="47"/>
      <c r="E437" s="143"/>
      <c r="H437" s="2"/>
      <c r="I437" s="30"/>
    </row>
    <row r="438" spans="4:9">
      <c r="D438" s="47"/>
      <c r="E438" s="143"/>
      <c r="H438" s="2"/>
      <c r="I438" s="30"/>
    </row>
    <row r="439" spans="4:9">
      <c r="D439" s="47"/>
      <c r="E439" s="143"/>
      <c r="H439" s="2"/>
      <c r="I439" s="30"/>
    </row>
    <row r="440" spans="4:9">
      <c r="D440" s="47"/>
      <c r="E440" s="143"/>
      <c r="H440" s="2"/>
      <c r="I440" s="30"/>
    </row>
    <row r="441" spans="4:9">
      <c r="D441" s="47"/>
      <c r="E441" s="143"/>
      <c r="H441" s="2"/>
      <c r="I441" s="30"/>
    </row>
    <row r="442" spans="4:9">
      <c r="D442" s="47"/>
      <c r="E442" s="143"/>
      <c r="H442" s="2"/>
      <c r="I442" s="30"/>
    </row>
    <row r="443" spans="4:9">
      <c r="D443" s="47"/>
      <c r="E443" s="143"/>
      <c r="H443" s="2"/>
      <c r="I443" s="30"/>
    </row>
    <row r="444" spans="4:9">
      <c r="D444" s="47"/>
      <c r="E444" s="143"/>
      <c r="H444" s="2"/>
      <c r="I444" s="30"/>
    </row>
    <row r="445" spans="4:9">
      <c r="D445" s="47"/>
      <c r="E445" s="143"/>
      <c r="H445" s="2"/>
      <c r="I445" s="30"/>
    </row>
    <row r="446" spans="4:9">
      <c r="D446" s="47"/>
      <c r="E446" s="143"/>
      <c r="H446" s="2"/>
      <c r="I446" s="30"/>
    </row>
    <row r="447" spans="4:9">
      <c r="D447" s="47"/>
      <c r="E447" s="143"/>
      <c r="H447" s="2"/>
      <c r="I447" s="30"/>
    </row>
    <row r="448" spans="4:9">
      <c r="D448" s="47"/>
      <c r="E448" s="143"/>
      <c r="H448" s="2"/>
      <c r="I448" s="30"/>
    </row>
    <row r="449" spans="4:9">
      <c r="D449" s="47"/>
      <c r="E449" s="143"/>
      <c r="H449" s="2"/>
      <c r="I449" s="30"/>
    </row>
    <row r="450" spans="4:9">
      <c r="D450" s="47"/>
      <c r="E450" s="143"/>
      <c r="H450" s="2"/>
      <c r="I450" s="30"/>
    </row>
    <row r="451" spans="4:9">
      <c r="D451" s="47"/>
      <c r="E451" s="143"/>
      <c r="H451" s="2"/>
      <c r="I451" s="30"/>
    </row>
    <row r="452" spans="4:9">
      <c r="D452" s="47"/>
      <c r="E452" s="143"/>
      <c r="H452" s="2"/>
      <c r="I452" s="30"/>
    </row>
    <row r="453" spans="4:9">
      <c r="D453" s="47"/>
      <c r="E453" s="143"/>
      <c r="H453" s="2"/>
      <c r="I453" s="30"/>
    </row>
    <row r="454" spans="4:9">
      <c r="D454" s="47"/>
      <c r="E454" s="143"/>
      <c r="H454" s="2"/>
      <c r="I454" s="30"/>
    </row>
    <row r="455" spans="4:9">
      <c r="D455" s="47"/>
      <c r="E455" s="143"/>
      <c r="H455" s="2"/>
      <c r="I455" s="30"/>
    </row>
    <row r="456" spans="4:9">
      <c r="D456" s="47"/>
      <c r="E456" s="143"/>
      <c r="H456" s="2"/>
      <c r="I456" s="30"/>
    </row>
    <row r="457" spans="4:9">
      <c r="D457" s="47"/>
      <c r="E457" s="143"/>
      <c r="H457" s="2"/>
      <c r="I457" s="30"/>
    </row>
    <row r="458" spans="4:9">
      <c r="D458" s="47"/>
      <c r="E458" s="143"/>
      <c r="H458" s="2"/>
      <c r="I458" s="30"/>
    </row>
    <row r="459" spans="4:9">
      <c r="D459" s="47"/>
      <c r="E459" s="143"/>
      <c r="H459" s="2"/>
      <c r="I459" s="30"/>
    </row>
    <row r="460" spans="4:9">
      <c r="D460" s="47"/>
      <c r="E460" s="143"/>
      <c r="H460" s="2"/>
      <c r="I460" s="30"/>
    </row>
    <row r="461" spans="4:9">
      <c r="D461" s="47"/>
      <c r="E461" s="143"/>
      <c r="H461" s="2"/>
      <c r="I461" s="30"/>
    </row>
    <row r="462" spans="4:9">
      <c r="D462" s="47"/>
      <c r="E462" s="143"/>
      <c r="H462" s="2"/>
      <c r="I462" s="30"/>
    </row>
    <row r="463" spans="4:9">
      <c r="D463" s="47"/>
      <c r="E463" s="143"/>
      <c r="H463" s="2"/>
      <c r="I463" s="30"/>
    </row>
    <row r="464" spans="4:9">
      <c r="D464" s="47"/>
      <c r="E464" s="143"/>
      <c r="H464" s="2"/>
      <c r="I464" s="30"/>
    </row>
    <row r="465" spans="4:9">
      <c r="D465" s="47"/>
      <c r="E465" s="143"/>
      <c r="H465" s="2"/>
      <c r="I465" s="30"/>
    </row>
    <row r="466" spans="4:9">
      <c r="D466" s="47"/>
      <c r="E466" s="143"/>
      <c r="H466" s="2"/>
      <c r="I466" s="30"/>
    </row>
    <row r="467" spans="4:9">
      <c r="D467" s="47"/>
      <c r="E467" s="143"/>
      <c r="H467" s="2"/>
      <c r="I467" s="30"/>
    </row>
    <row r="468" spans="4:9">
      <c r="D468" s="47"/>
      <c r="E468" s="143"/>
      <c r="H468" s="2"/>
      <c r="I468" s="30"/>
    </row>
    <row r="469" spans="4:9">
      <c r="D469" s="47"/>
      <c r="E469" s="143"/>
      <c r="H469" s="2"/>
      <c r="I469" s="30"/>
    </row>
    <row r="470" spans="4:9">
      <c r="D470" s="47"/>
      <c r="E470" s="143"/>
      <c r="H470" s="2"/>
      <c r="I470" s="30"/>
    </row>
    <row r="471" spans="4:9">
      <c r="D471" s="47"/>
      <c r="E471" s="143"/>
      <c r="H471" s="2"/>
      <c r="I471" s="30"/>
    </row>
    <row r="472" spans="4:9">
      <c r="D472" s="47"/>
      <c r="E472" s="143"/>
      <c r="H472" s="2"/>
      <c r="I472" s="30"/>
    </row>
    <row r="473" spans="4:9">
      <c r="D473" s="47"/>
      <c r="E473" s="143"/>
      <c r="H473" s="2"/>
      <c r="I473" s="30"/>
    </row>
    <row r="474" spans="4:9">
      <c r="D474" s="47"/>
      <c r="E474" s="143"/>
      <c r="H474" s="2"/>
      <c r="I474" s="30"/>
    </row>
    <row r="475" spans="4:9">
      <c r="D475" s="47"/>
      <c r="E475" s="143"/>
      <c r="H475" s="2"/>
      <c r="I475" s="30"/>
    </row>
    <row r="476" spans="4:9">
      <c r="D476" s="47"/>
      <c r="E476" s="143"/>
      <c r="H476" s="2"/>
      <c r="I476" s="30"/>
    </row>
    <row r="477" spans="4:9">
      <c r="D477" s="47"/>
      <c r="E477" s="143"/>
      <c r="H477" s="2"/>
      <c r="I477" s="30"/>
    </row>
    <row r="478" spans="4:9">
      <c r="D478" s="47"/>
      <c r="E478" s="143"/>
      <c r="H478" s="2"/>
      <c r="I478" s="30"/>
    </row>
    <row r="479" spans="4:9">
      <c r="D479" s="47"/>
      <c r="E479" s="143"/>
      <c r="H479" s="2"/>
      <c r="I479" s="30"/>
    </row>
    <row r="480" spans="4:9">
      <c r="D480" s="47"/>
      <c r="E480" s="143"/>
      <c r="H480" s="2"/>
      <c r="I480" s="30"/>
    </row>
    <row r="481" spans="4:9">
      <c r="D481" s="47"/>
      <c r="E481" s="143"/>
      <c r="H481" s="2"/>
      <c r="I481" s="30"/>
    </row>
    <row r="482" spans="4:9">
      <c r="D482" s="47"/>
      <c r="E482" s="143"/>
      <c r="H482" s="2"/>
      <c r="I482" s="30"/>
    </row>
    <row r="483" spans="4:9">
      <c r="D483" s="47"/>
      <c r="E483" s="143"/>
      <c r="H483" s="2"/>
      <c r="I483" s="30"/>
    </row>
    <row r="484" spans="4:9">
      <c r="D484" s="47"/>
      <c r="E484" s="143"/>
      <c r="H484" s="2"/>
      <c r="I484" s="30"/>
    </row>
    <row r="485" spans="4:9">
      <c r="D485" s="47"/>
      <c r="E485" s="143"/>
      <c r="H485" s="2"/>
      <c r="I485" s="30"/>
    </row>
    <row r="486" spans="4:9">
      <c r="D486" s="47"/>
      <c r="E486" s="143"/>
      <c r="H486" s="2"/>
      <c r="I486" s="30"/>
    </row>
    <row r="487" spans="4:9">
      <c r="D487" s="47"/>
      <c r="E487" s="143"/>
      <c r="H487" s="2"/>
      <c r="I487" s="30"/>
    </row>
    <row r="488" spans="4:9">
      <c r="D488" s="47"/>
      <c r="E488" s="143"/>
      <c r="H488" s="2"/>
      <c r="I488" s="30"/>
    </row>
    <row r="489" spans="4:9">
      <c r="D489" s="47"/>
      <c r="E489" s="143"/>
      <c r="H489" s="2"/>
      <c r="I489" s="30"/>
    </row>
    <row r="490" spans="4:9">
      <c r="D490" s="47"/>
      <c r="E490" s="143"/>
      <c r="H490" s="2"/>
      <c r="I490" s="30"/>
    </row>
    <row r="491" spans="4:9">
      <c r="D491" s="47"/>
      <c r="E491" s="143"/>
      <c r="H491" s="2"/>
      <c r="I491" s="30"/>
    </row>
    <row r="492" spans="4:9">
      <c r="D492" s="47"/>
      <c r="E492" s="143"/>
      <c r="H492" s="2"/>
      <c r="I492" s="30"/>
    </row>
    <row r="493" spans="4:9">
      <c r="D493" s="47"/>
      <c r="E493" s="143"/>
      <c r="H493" s="2"/>
      <c r="I493" s="30"/>
    </row>
    <row r="494" spans="4:9">
      <c r="D494" s="47"/>
      <c r="E494" s="143"/>
      <c r="H494" s="2"/>
      <c r="I494" s="30"/>
    </row>
    <row r="495" spans="4:9">
      <c r="D495" s="47"/>
      <c r="E495" s="143"/>
      <c r="H495" s="2"/>
      <c r="I495" s="30"/>
    </row>
    <row r="496" spans="4:9">
      <c r="D496" s="47"/>
      <c r="E496" s="143"/>
      <c r="H496" s="2"/>
      <c r="I496" s="30"/>
    </row>
    <row r="497" spans="4:9">
      <c r="D497" s="47"/>
      <c r="E497" s="143"/>
      <c r="H497" s="2"/>
      <c r="I497" s="30"/>
    </row>
    <row r="498" spans="4:9">
      <c r="D498" s="47"/>
      <c r="E498" s="143"/>
      <c r="H498" s="2"/>
      <c r="I498" s="30"/>
    </row>
    <row r="499" spans="4:9">
      <c r="D499" s="47"/>
      <c r="E499" s="143"/>
      <c r="H499" s="2"/>
      <c r="I499" s="30"/>
    </row>
    <row r="500" spans="4:9">
      <c r="D500" s="47"/>
      <c r="E500" s="143"/>
      <c r="H500" s="2"/>
      <c r="I500" s="30"/>
    </row>
    <row r="501" spans="4:9">
      <c r="D501" s="47"/>
      <c r="E501" s="143"/>
      <c r="H501" s="2"/>
      <c r="I501" s="30"/>
    </row>
    <row r="502" spans="4:9">
      <c r="D502" s="47"/>
      <c r="E502" s="143"/>
      <c r="H502" s="2"/>
      <c r="I502" s="30"/>
    </row>
    <row r="503" spans="4:9">
      <c r="D503" s="47"/>
      <c r="E503" s="143"/>
      <c r="H503" s="2"/>
      <c r="I503" s="30"/>
    </row>
    <row r="504" spans="4:9">
      <c r="D504" s="47"/>
      <c r="E504" s="143"/>
      <c r="H504" s="2"/>
      <c r="I504" s="30"/>
    </row>
    <row r="505" spans="4:9">
      <c r="D505" s="47"/>
      <c r="E505" s="143"/>
      <c r="H505" s="2"/>
      <c r="I505" s="30"/>
    </row>
    <row r="506" spans="4:9">
      <c r="D506" s="47"/>
      <c r="E506" s="143"/>
      <c r="H506" s="2"/>
      <c r="I506" s="30"/>
    </row>
    <row r="507" spans="4:9">
      <c r="D507" s="47"/>
      <c r="E507" s="143"/>
      <c r="H507" s="2"/>
      <c r="I507" s="30"/>
    </row>
    <row r="508" spans="4:9">
      <c r="D508" s="47"/>
      <c r="E508" s="143"/>
      <c r="H508" s="2"/>
      <c r="I508" s="30"/>
    </row>
    <row r="509" spans="4:9">
      <c r="D509" s="47"/>
      <c r="E509" s="143"/>
      <c r="H509" s="2"/>
      <c r="I509" s="30"/>
    </row>
    <row r="510" spans="4:9">
      <c r="D510" s="47"/>
      <c r="E510" s="143"/>
      <c r="H510" s="2"/>
      <c r="I510" s="30"/>
    </row>
    <row r="511" spans="4:9">
      <c r="D511" s="47"/>
      <c r="E511" s="143"/>
      <c r="H511" s="2"/>
      <c r="I511" s="30"/>
    </row>
    <row r="512" spans="4:9">
      <c r="D512" s="47"/>
      <c r="E512" s="143"/>
      <c r="H512" s="2"/>
      <c r="I512" s="30"/>
    </row>
    <row r="513" spans="4:9">
      <c r="D513" s="47"/>
      <c r="E513" s="143"/>
      <c r="H513" s="2"/>
      <c r="I513" s="30"/>
    </row>
    <row r="514" spans="4:9">
      <c r="D514" s="47"/>
      <c r="E514" s="143"/>
      <c r="H514" s="2"/>
      <c r="I514" s="30"/>
    </row>
    <row r="515" spans="4:9">
      <c r="D515" s="47"/>
      <c r="E515" s="143"/>
      <c r="H515" s="2"/>
      <c r="I515" s="30"/>
    </row>
    <row r="516" spans="4:9">
      <c r="D516" s="47"/>
      <c r="E516" s="143"/>
      <c r="H516" s="2"/>
      <c r="I516" s="30"/>
    </row>
    <row r="517" spans="4:9">
      <c r="D517" s="47"/>
      <c r="E517" s="143"/>
      <c r="H517" s="2"/>
      <c r="I517" s="30"/>
    </row>
    <row r="518" spans="4:9">
      <c r="D518" s="47"/>
      <c r="E518" s="143"/>
      <c r="H518" s="2"/>
      <c r="I518" s="30"/>
    </row>
    <row r="519" spans="4:9">
      <c r="D519" s="47"/>
      <c r="E519" s="143"/>
      <c r="H519" s="2"/>
      <c r="I519" s="30"/>
    </row>
    <row r="520" spans="4:9">
      <c r="D520" s="47"/>
      <c r="E520" s="143"/>
      <c r="H520" s="2"/>
      <c r="I520" s="30"/>
    </row>
    <row r="521" spans="4:9">
      <c r="D521" s="47"/>
      <c r="E521" s="143"/>
      <c r="H521" s="2"/>
      <c r="I521" s="30"/>
    </row>
    <row r="522" spans="4:9">
      <c r="D522" s="47"/>
      <c r="E522" s="143"/>
      <c r="H522" s="2"/>
      <c r="I522" s="30"/>
    </row>
    <row r="523" spans="4:9">
      <c r="D523" s="47"/>
      <c r="E523" s="143"/>
      <c r="H523" s="2"/>
      <c r="I523" s="30"/>
    </row>
    <row r="524" spans="4:9">
      <c r="D524" s="47"/>
      <c r="E524" s="143"/>
      <c r="H524" s="2"/>
      <c r="I524" s="30"/>
    </row>
    <row r="525" spans="4:9">
      <c r="D525" s="47"/>
      <c r="E525" s="143"/>
      <c r="H525" s="2"/>
      <c r="I525" s="30"/>
    </row>
    <row r="526" spans="4:9">
      <c r="D526" s="47"/>
      <c r="E526" s="143"/>
      <c r="H526" s="2"/>
      <c r="I526" s="30"/>
    </row>
    <row r="527" spans="4:9">
      <c r="D527" s="47"/>
      <c r="E527" s="143"/>
      <c r="H527" s="2"/>
      <c r="I527" s="30"/>
    </row>
    <row r="528" spans="4:9">
      <c r="D528" s="47"/>
      <c r="E528" s="143"/>
      <c r="H528" s="2"/>
      <c r="I528" s="30"/>
    </row>
    <row r="529" spans="4:9">
      <c r="D529" s="47"/>
      <c r="E529" s="143"/>
      <c r="H529" s="2"/>
      <c r="I529" s="30"/>
    </row>
    <row r="530" spans="4:9">
      <c r="D530" s="47"/>
      <c r="E530" s="143"/>
      <c r="H530" s="2"/>
      <c r="I530" s="30"/>
    </row>
    <row r="531" spans="4:9">
      <c r="D531" s="47"/>
      <c r="E531" s="143"/>
      <c r="H531" s="2"/>
      <c r="I531" s="30"/>
    </row>
    <row r="532" spans="4:9">
      <c r="D532" s="47"/>
      <c r="E532" s="143"/>
      <c r="H532" s="2"/>
      <c r="I532" s="30"/>
    </row>
    <row r="533" spans="4:9">
      <c r="D533" s="47"/>
      <c r="E533" s="143"/>
      <c r="H533" s="2"/>
      <c r="I533" s="30"/>
    </row>
    <row r="534" spans="4:9">
      <c r="D534" s="47"/>
      <c r="E534" s="143"/>
      <c r="H534" s="2"/>
      <c r="I534" s="30"/>
    </row>
    <row r="535" spans="4:9">
      <c r="D535" s="47"/>
      <c r="E535" s="143"/>
      <c r="H535" s="2"/>
      <c r="I535" s="30"/>
    </row>
    <row r="536" spans="4:9">
      <c r="D536" s="47"/>
      <c r="E536" s="143"/>
      <c r="H536" s="2"/>
      <c r="I536" s="30"/>
    </row>
    <row r="537" spans="4:9">
      <c r="D537" s="47"/>
      <c r="E537" s="143"/>
      <c r="H537" s="2"/>
      <c r="I537" s="30"/>
    </row>
    <row r="538" spans="4:9">
      <c r="D538" s="47"/>
      <c r="E538" s="143"/>
      <c r="H538" s="2"/>
      <c r="I538" s="30"/>
    </row>
    <row r="539" spans="4:9">
      <c r="D539" s="47"/>
      <c r="E539" s="143"/>
      <c r="H539" s="2"/>
      <c r="I539" s="30"/>
    </row>
    <row r="540" spans="4:9">
      <c r="D540" s="47"/>
      <c r="E540" s="143"/>
      <c r="H540" s="2"/>
      <c r="I540" s="30"/>
    </row>
    <row r="541" spans="4:9">
      <c r="D541" s="47"/>
      <c r="E541" s="143"/>
      <c r="H541" s="2"/>
      <c r="I541" s="30"/>
    </row>
    <row r="542" spans="4:9">
      <c r="D542" s="47"/>
      <c r="E542" s="143"/>
      <c r="H542" s="2"/>
      <c r="I542" s="30"/>
    </row>
    <row r="543" spans="4:9">
      <c r="D543" s="47"/>
      <c r="E543" s="143"/>
      <c r="H543" s="2"/>
      <c r="I543" s="30"/>
    </row>
    <row r="544" spans="4:9">
      <c r="D544" s="47"/>
      <c r="E544" s="143"/>
      <c r="H544" s="2"/>
      <c r="I544" s="30"/>
    </row>
    <row r="545" spans="4:9">
      <c r="D545" s="47"/>
      <c r="E545" s="143"/>
      <c r="H545" s="2"/>
      <c r="I545" s="30"/>
    </row>
    <row r="546" spans="4:9">
      <c r="D546" s="47"/>
      <c r="E546" s="143"/>
      <c r="H546" s="2"/>
      <c r="I546" s="30"/>
    </row>
    <row r="547" spans="4:9">
      <c r="D547" s="47"/>
      <c r="E547" s="143"/>
      <c r="H547" s="2"/>
      <c r="I547" s="30"/>
    </row>
    <row r="548" spans="4:9">
      <c r="D548" s="47"/>
      <c r="E548" s="143"/>
      <c r="H548" s="2"/>
      <c r="I548" s="30"/>
    </row>
    <row r="549" spans="4:9">
      <c r="D549" s="47"/>
      <c r="E549" s="143"/>
      <c r="H549" s="2"/>
      <c r="I549" s="30"/>
    </row>
    <row r="550" spans="4:9">
      <c r="D550" s="47"/>
      <c r="E550" s="143"/>
      <c r="H550" s="2"/>
      <c r="I550" s="30"/>
    </row>
    <row r="551" spans="4:9">
      <c r="D551" s="47"/>
      <c r="E551" s="143"/>
      <c r="H551" s="2"/>
      <c r="I551" s="30"/>
    </row>
    <row r="552" spans="4:9">
      <c r="D552" s="47"/>
      <c r="E552" s="143"/>
      <c r="H552" s="2"/>
      <c r="I552" s="30"/>
    </row>
    <row r="553" spans="4:9">
      <c r="D553" s="47"/>
      <c r="E553" s="143"/>
      <c r="H553" s="2"/>
      <c r="I553" s="30"/>
    </row>
    <row r="554" spans="4:9">
      <c r="D554" s="47"/>
      <c r="E554" s="143"/>
      <c r="H554" s="2"/>
      <c r="I554" s="30"/>
    </row>
    <row r="555" spans="4:9">
      <c r="D555" s="47"/>
      <c r="E555" s="143"/>
      <c r="H555" s="2"/>
      <c r="I555" s="30"/>
    </row>
    <row r="556" spans="4:9">
      <c r="D556" s="47"/>
      <c r="E556" s="143"/>
      <c r="H556" s="2"/>
      <c r="I556" s="30"/>
    </row>
    <row r="557" spans="4:9">
      <c r="D557" s="47"/>
      <c r="E557" s="143"/>
      <c r="H557" s="2"/>
      <c r="I557" s="30"/>
    </row>
    <row r="558" spans="4:9">
      <c r="D558" s="47"/>
      <c r="E558" s="143"/>
      <c r="H558" s="2"/>
      <c r="I558" s="30"/>
    </row>
    <row r="559" spans="4:9">
      <c r="D559" s="47"/>
      <c r="E559" s="143"/>
      <c r="H559" s="2"/>
      <c r="I559" s="30"/>
    </row>
    <row r="560" spans="4:9">
      <c r="D560" s="47"/>
      <c r="E560" s="143"/>
      <c r="H560" s="2"/>
      <c r="I560" s="30"/>
    </row>
    <row r="561" spans="4:9">
      <c r="D561" s="47"/>
      <c r="E561" s="143"/>
      <c r="H561" s="2"/>
      <c r="I561" s="30"/>
    </row>
    <row r="562" spans="4:9">
      <c r="D562" s="47"/>
      <c r="E562" s="143"/>
      <c r="H562" s="2"/>
      <c r="I562" s="30"/>
    </row>
    <row r="563" spans="4:9">
      <c r="D563" s="47"/>
      <c r="E563" s="143"/>
      <c r="H563" s="2"/>
      <c r="I563" s="30"/>
    </row>
    <row r="564" spans="4:9">
      <c r="D564" s="47"/>
      <c r="E564" s="143"/>
      <c r="H564" s="2"/>
      <c r="I564" s="30"/>
    </row>
    <row r="565" spans="4:9">
      <c r="D565" s="47"/>
      <c r="E565" s="143"/>
      <c r="H565" s="2"/>
      <c r="I565" s="30"/>
    </row>
    <row r="566" spans="4:9">
      <c r="D566" s="47"/>
      <c r="E566" s="143"/>
      <c r="H566" s="2"/>
      <c r="I566" s="30"/>
    </row>
    <row r="567" spans="4:9">
      <c r="D567" s="47"/>
      <c r="E567" s="143"/>
      <c r="H567" s="2"/>
      <c r="I567" s="30"/>
    </row>
    <row r="568" spans="4:9">
      <c r="D568" s="47"/>
      <c r="E568" s="143"/>
      <c r="H568" s="2"/>
      <c r="I568" s="30"/>
    </row>
    <row r="569" spans="4:9">
      <c r="D569" s="47"/>
      <c r="E569" s="143"/>
      <c r="H569" s="2"/>
      <c r="I569" s="30"/>
    </row>
    <row r="570" spans="4:9">
      <c r="D570" s="47"/>
      <c r="E570" s="143"/>
      <c r="H570" s="2"/>
      <c r="I570" s="30"/>
    </row>
    <row r="571" spans="4:9">
      <c r="D571" s="47"/>
      <c r="E571" s="143"/>
      <c r="H571" s="2"/>
      <c r="I571" s="30"/>
    </row>
    <row r="572" spans="4:9">
      <c r="D572" s="47"/>
      <c r="E572" s="143"/>
      <c r="H572" s="2"/>
      <c r="I572" s="30"/>
    </row>
    <row r="573" spans="4:9">
      <c r="D573" s="47"/>
      <c r="E573" s="143"/>
      <c r="H573" s="2"/>
      <c r="I573" s="30"/>
    </row>
    <row r="574" spans="4:9">
      <c r="D574" s="47"/>
      <c r="E574" s="143"/>
      <c r="H574" s="2"/>
      <c r="I574" s="30"/>
    </row>
    <row r="575" spans="4:9">
      <c r="D575" s="47"/>
      <c r="E575" s="143"/>
      <c r="H575" s="2"/>
      <c r="I575" s="30"/>
    </row>
    <row r="576" spans="4:9">
      <c r="D576" s="47"/>
      <c r="E576" s="143"/>
      <c r="H576" s="2"/>
      <c r="I576" s="30"/>
    </row>
    <row r="577" spans="4:9">
      <c r="D577" s="47"/>
      <c r="E577" s="143"/>
      <c r="H577" s="2"/>
      <c r="I577" s="30"/>
    </row>
    <row r="578" spans="4:9">
      <c r="D578" s="47"/>
      <c r="E578" s="143"/>
      <c r="H578" s="2"/>
      <c r="I578" s="30"/>
    </row>
    <row r="579" spans="4:9">
      <c r="D579" s="47"/>
      <c r="E579" s="143"/>
      <c r="H579" s="2"/>
      <c r="I579" s="30"/>
    </row>
    <row r="580" spans="4:9">
      <c r="D580" s="47"/>
      <c r="E580" s="143"/>
      <c r="H580" s="2"/>
      <c r="I580" s="30"/>
    </row>
    <row r="581" spans="4:9">
      <c r="D581" s="47"/>
      <c r="E581" s="143"/>
      <c r="H581" s="2"/>
      <c r="I581" s="30"/>
    </row>
    <row r="582" spans="4:9">
      <c r="D582" s="47"/>
      <c r="E582" s="143"/>
      <c r="H582" s="2"/>
      <c r="I582" s="30"/>
    </row>
    <row r="583" spans="4:9">
      <c r="D583" s="47"/>
      <c r="E583" s="143"/>
      <c r="H583" s="2"/>
      <c r="I583" s="30"/>
    </row>
    <row r="584" spans="4:9">
      <c r="D584" s="47"/>
      <c r="E584" s="143"/>
      <c r="H584" s="2"/>
      <c r="I584" s="30"/>
    </row>
    <row r="585" spans="4:9">
      <c r="D585" s="47"/>
      <c r="E585" s="143"/>
      <c r="H585" s="2"/>
      <c r="I585" s="30"/>
    </row>
    <row r="586" spans="4:9">
      <c r="D586" s="47"/>
      <c r="E586" s="143"/>
      <c r="H586" s="2"/>
      <c r="I586" s="30"/>
    </row>
    <row r="587" spans="4:9">
      <c r="D587" s="47"/>
      <c r="E587" s="143"/>
      <c r="H587" s="2"/>
      <c r="I587" s="30"/>
    </row>
    <row r="588" spans="4:9">
      <c r="D588" s="47"/>
      <c r="E588" s="143"/>
      <c r="H588" s="2"/>
      <c r="I588" s="30"/>
    </row>
    <row r="589" spans="4:9">
      <c r="D589" s="47"/>
      <c r="E589" s="143"/>
      <c r="H589" s="2"/>
      <c r="I589" s="30"/>
    </row>
    <row r="590" spans="4:9">
      <c r="D590" s="47"/>
      <c r="E590" s="143"/>
      <c r="H590" s="2"/>
      <c r="I590" s="30"/>
    </row>
    <row r="591" spans="4:9">
      <c r="D591" s="47"/>
      <c r="E591" s="143"/>
      <c r="H591" s="2"/>
      <c r="I591" s="30"/>
    </row>
    <row r="592" spans="4:9">
      <c r="D592" s="47"/>
      <c r="E592" s="143"/>
      <c r="H592" s="2"/>
      <c r="I592" s="30"/>
    </row>
    <row r="593" spans="4:9">
      <c r="D593" s="47"/>
      <c r="E593" s="143"/>
      <c r="H593" s="2"/>
      <c r="I593" s="30"/>
    </row>
    <row r="594" spans="4:9">
      <c r="D594" s="47"/>
      <c r="E594" s="143"/>
      <c r="H594" s="2"/>
      <c r="I594" s="30"/>
    </row>
    <row r="595" spans="4:9">
      <c r="D595" s="47"/>
      <c r="E595" s="143"/>
      <c r="H595" s="2"/>
      <c r="I595" s="30"/>
    </row>
    <row r="596" spans="4:9">
      <c r="D596" s="47"/>
      <c r="E596" s="143"/>
      <c r="H596" s="2"/>
      <c r="I596" s="30"/>
    </row>
    <row r="597" spans="4:9">
      <c r="D597" s="47"/>
      <c r="E597" s="143"/>
      <c r="H597" s="2"/>
      <c r="I597" s="30"/>
    </row>
    <row r="598" spans="4:9">
      <c r="D598" s="47"/>
      <c r="E598" s="143"/>
      <c r="H598" s="2"/>
      <c r="I598" s="30"/>
    </row>
    <row r="599" spans="4:9">
      <c r="D599" s="47"/>
      <c r="E599" s="143"/>
      <c r="H599" s="2"/>
      <c r="I599" s="30"/>
    </row>
    <row r="600" spans="4:9">
      <c r="D600" s="47"/>
      <c r="E600" s="143"/>
      <c r="H600" s="2"/>
      <c r="I600" s="30"/>
    </row>
    <row r="601" spans="4:9">
      <c r="D601" s="47"/>
      <c r="E601" s="143"/>
      <c r="H601" s="2"/>
      <c r="I601" s="30"/>
    </row>
    <row r="602" spans="4:9">
      <c r="D602" s="47"/>
      <c r="E602" s="143"/>
      <c r="H602" s="2"/>
      <c r="I602" s="30"/>
    </row>
    <row r="603" spans="4:9">
      <c r="D603" s="47"/>
      <c r="E603" s="143"/>
      <c r="H603" s="2"/>
      <c r="I603" s="30"/>
    </row>
    <row r="604" spans="4:9">
      <c r="D604" s="47"/>
      <c r="E604" s="143"/>
      <c r="H604" s="2"/>
      <c r="I604" s="30"/>
    </row>
    <row r="605" spans="4:9">
      <c r="D605" s="47"/>
      <c r="E605" s="143"/>
      <c r="H605" s="2"/>
      <c r="I605" s="30"/>
    </row>
    <row r="606" spans="4:9">
      <c r="D606" s="47"/>
      <c r="E606" s="143"/>
      <c r="H606" s="2"/>
      <c r="I606" s="30"/>
    </row>
    <row r="607" spans="4:9">
      <c r="D607" s="47"/>
      <c r="E607" s="143"/>
      <c r="H607" s="2"/>
      <c r="I607" s="30"/>
    </row>
    <row r="608" spans="4:9">
      <c r="D608" s="47"/>
      <c r="E608" s="143"/>
      <c r="H608" s="2"/>
      <c r="I608" s="30"/>
    </row>
    <row r="609" spans="4:9">
      <c r="D609" s="47"/>
      <c r="E609" s="143"/>
      <c r="H609" s="2"/>
      <c r="I609" s="30"/>
    </row>
    <row r="610" spans="4:9">
      <c r="D610" s="47"/>
      <c r="E610" s="143"/>
      <c r="H610" s="2"/>
      <c r="I610" s="30"/>
    </row>
    <row r="611" spans="4:9">
      <c r="D611" s="47"/>
      <c r="E611" s="143"/>
      <c r="H611" s="2"/>
      <c r="I611" s="30"/>
    </row>
    <row r="612" spans="4:9">
      <c r="D612" s="47"/>
      <c r="E612" s="143"/>
      <c r="H612" s="2"/>
      <c r="I612" s="30"/>
    </row>
    <row r="613" spans="4:9">
      <c r="D613" s="47"/>
      <c r="E613" s="143"/>
      <c r="H613" s="2"/>
      <c r="I613" s="30"/>
    </row>
    <row r="614" spans="4:9">
      <c r="D614" s="47"/>
      <c r="E614" s="143"/>
      <c r="H614" s="2"/>
      <c r="I614" s="30"/>
    </row>
    <row r="615" spans="4:9">
      <c r="D615" s="47"/>
      <c r="E615" s="143"/>
      <c r="H615" s="2"/>
      <c r="I615" s="30"/>
    </row>
    <row r="616" spans="4:9">
      <c r="D616" s="47"/>
      <c r="E616" s="143"/>
      <c r="H616" s="2"/>
      <c r="I616" s="30"/>
    </row>
    <row r="617" spans="4:9">
      <c r="D617" s="47"/>
      <c r="E617" s="143"/>
      <c r="H617" s="2"/>
      <c r="I617" s="30"/>
    </row>
    <row r="618" spans="4:9">
      <c r="D618" s="47"/>
      <c r="E618" s="143"/>
      <c r="H618" s="2"/>
      <c r="I618" s="30"/>
    </row>
    <row r="619" spans="4:9">
      <c r="D619" s="47"/>
      <c r="E619" s="143"/>
      <c r="H619" s="2"/>
      <c r="I619" s="30"/>
    </row>
    <row r="620" spans="4:9">
      <c r="D620" s="47"/>
      <c r="E620" s="143"/>
      <c r="H620" s="2"/>
      <c r="I620" s="30"/>
    </row>
    <row r="621" spans="4:9">
      <c r="D621" s="47"/>
      <c r="E621" s="143"/>
      <c r="H621" s="2"/>
      <c r="I621" s="30"/>
    </row>
    <row r="622" spans="4:9">
      <c r="D622" s="47"/>
      <c r="E622" s="143"/>
      <c r="H622" s="2"/>
      <c r="I622" s="30"/>
    </row>
    <row r="623" spans="4:9">
      <c r="D623" s="47"/>
      <c r="E623" s="143"/>
      <c r="H623" s="2"/>
      <c r="I623" s="30"/>
    </row>
    <row r="624" spans="4:9">
      <c r="D624" s="47"/>
      <c r="E624" s="143"/>
      <c r="H624" s="2"/>
      <c r="I624" s="30"/>
    </row>
    <row r="625" spans="4:9">
      <c r="D625" s="47"/>
      <c r="E625" s="143"/>
      <c r="H625" s="2"/>
      <c r="I625" s="30"/>
    </row>
    <row r="626" spans="4:9">
      <c r="D626" s="47"/>
      <c r="E626" s="143"/>
      <c r="H626" s="2"/>
      <c r="I626" s="30"/>
    </row>
    <row r="627" spans="4:9">
      <c r="D627" s="47"/>
      <c r="E627" s="143"/>
      <c r="H627" s="2"/>
      <c r="I627" s="30"/>
    </row>
    <row r="628" spans="4:9">
      <c r="D628" s="47"/>
      <c r="E628" s="143"/>
      <c r="H628" s="2"/>
      <c r="I628" s="30"/>
    </row>
    <row r="629" spans="4:9">
      <c r="D629" s="47"/>
      <c r="E629" s="143"/>
      <c r="H629" s="2"/>
      <c r="I629" s="30"/>
    </row>
    <row r="630" spans="4:9">
      <c r="D630" s="47"/>
      <c r="E630" s="143"/>
      <c r="H630" s="2"/>
      <c r="I630" s="30"/>
    </row>
    <row r="631" spans="4:9">
      <c r="D631" s="47"/>
      <c r="E631" s="143"/>
      <c r="H631" s="2"/>
      <c r="I631" s="30"/>
    </row>
    <row r="632" spans="4:9">
      <c r="D632" s="47"/>
      <c r="E632" s="143"/>
      <c r="H632" s="2"/>
      <c r="I632" s="30"/>
    </row>
    <row r="633" spans="4:9">
      <c r="D633" s="47"/>
      <c r="E633" s="143"/>
      <c r="H633" s="2"/>
      <c r="I633" s="30"/>
    </row>
    <row r="634" spans="4:9">
      <c r="D634" s="47"/>
      <c r="E634" s="143"/>
      <c r="H634" s="2"/>
      <c r="I634" s="30"/>
    </row>
    <row r="635" spans="4:9">
      <c r="D635" s="47"/>
      <c r="E635" s="143"/>
      <c r="H635" s="2"/>
      <c r="I635" s="30"/>
    </row>
    <row r="636" spans="4:9">
      <c r="D636" s="47"/>
      <c r="E636" s="143"/>
      <c r="H636" s="2"/>
      <c r="I636" s="30"/>
    </row>
    <row r="637" spans="4:9">
      <c r="D637" s="47"/>
      <c r="E637" s="143"/>
      <c r="H637" s="2"/>
      <c r="I637" s="30"/>
    </row>
    <row r="638" spans="4:9">
      <c r="D638" s="47"/>
      <c r="E638" s="143"/>
      <c r="H638" s="2"/>
      <c r="I638" s="30"/>
    </row>
    <row r="639" spans="4:9">
      <c r="D639" s="47"/>
      <c r="E639" s="143"/>
      <c r="H639" s="2"/>
      <c r="I639" s="30"/>
    </row>
    <row r="640" spans="4:9">
      <c r="D640" s="47"/>
      <c r="E640" s="143"/>
      <c r="H640" s="2"/>
      <c r="I640" s="30"/>
    </row>
    <row r="641" spans="4:9">
      <c r="D641" s="47"/>
      <c r="E641" s="143"/>
      <c r="H641" s="2"/>
      <c r="I641" s="30"/>
    </row>
    <row r="642" spans="4:9">
      <c r="D642" s="47"/>
      <c r="E642" s="143"/>
      <c r="H642" s="2"/>
      <c r="I642" s="30"/>
    </row>
    <row r="643" spans="4:9">
      <c r="D643" s="47"/>
      <c r="E643" s="143"/>
      <c r="H643" s="2"/>
      <c r="I643" s="30"/>
    </row>
    <row r="644" spans="4:9">
      <c r="D644" s="47"/>
      <c r="E644" s="143"/>
      <c r="H644" s="2"/>
      <c r="I644" s="30"/>
    </row>
    <row r="645" spans="4:9">
      <c r="D645" s="47"/>
      <c r="E645" s="143"/>
      <c r="H645" s="2"/>
      <c r="I645" s="30"/>
    </row>
    <row r="646" spans="4:9">
      <c r="D646" s="47"/>
      <c r="E646" s="143"/>
      <c r="H646" s="2"/>
      <c r="I646" s="30"/>
    </row>
    <row r="647" spans="4:9">
      <c r="D647" s="47"/>
      <c r="E647" s="143"/>
      <c r="H647" s="2"/>
      <c r="I647" s="30"/>
    </row>
    <row r="648" spans="4:9">
      <c r="D648" s="47"/>
      <c r="E648" s="143"/>
      <c r="H648" s="2"/>
      <c r="I648" s="30"/>
    </row>
    <row r="649" spans="4:9">
      <c r="D649" s="47"/>
      <c r="E649" s="143"/>
      <c r="H649" s="2"/>
      <c r="I649" s="30"/>
    </row>
    <row r="650" spans="4:9">
      <c r="D650" s="47"/>
      <c r="E650" s="143"/>
      <c r="H650" s="2"/>
      <c r="I650" s="30"/>
    </row>
    <row r="651" spans="4:9">
      <c r="D651" s="47"/>
      <c r="E651" s="143"/>
      <c r="H651" s="2"/>
      <c r="I651" s="30"/>
    </row>
    <row r="652" spans="4:9">
      <c r="D652" s="47"/>
      <c r="E652" s="143"/>
      <c r="H652" s="2"/>
      <c r="I652" s="30"/>
    </row>
    <row r="653" spans="4:9">
      <c r="D653" s="47"/>
      <c r="E653" s="143"/>
      <c r="H653" s="2"/>
      <c r="I653" s="30"/>
    </row>
    <row r="654" spans="4:9">
      <c r="D654" s="47"/>
      <c r="E654" s="143"/>
      <c r="H654" s="2"/>
      <c r="I654" s="30"/>
    </row>
    <row r="655" spans="4:9">
      <c r="D655" s="47"/>
      <c r="E655" s="143"/>
      <c r="H655" s="2"/>
      <c r="I655" s="30"/>
    </row>
    <row r="656" spans="4:9">
      <c r="D656" s="47"/>
      <c r="E656" s="143"/>
      <c r="H656" s="2"/>
      <c r="I656" s="30"/>
    </row>
    <row r="657" spans="4:9">
      <c r="D657" s="47"/>
      <c r="E657" s="143"/>
      <c r="H657" s="2"/>
      <c r="I657" s="30"/>
    </row>
    <row r="658" spans="4:9">
      <c r="D658" s="47"/>
      <c r="E658" s="143"/>
      <c r="H658" s="2"/>
      <c r="I658" s="30"/>
    </row>
    <row r="659" spans="4:9">
      <c r="D659" s="47"/>
      <c r="E659" s="143"/>
      <c r="H659" s="2"/>
      <c r="I659" s="30"/>
    </row>
    <row r="660" spans="4:9">
      <c r="D660" s="47"/>
      <c r="E660" s="143"/>
      <c r="H660" s="2"/>
      <c r="I660" s="30"/>
    </row>
    <row r="661" spans="4:9">
      <c r="D661" s="47"/>
      <c r="E661" s="143"/>
      <c r="H661" s="2"/>
      <c r="I661" s="30"/>
    </row>
    <row r="662" spans="4:9">
      <c r="D662" s="47"/>
      <c r="E662" s="143"/>
      <c r="H662" s="2"/>
      <c r="I662" s="30"/>
    </row>
    <row r="663" spans="4:9">
      <c r="D663" s="47"/>
      <c r="E663" s="143"/>
      <c r="H663" s="2"/>
      <c r="I663" s="30"/>
    </row>
    <row r="664" spans="4:9">
      <c r="D664" s="47"/>
      <c r="E664" s="143"/>
      <c r="H664" s="2"/>
      <c r="I664" s="30"/>
    </row>
    <row r="665" spans="4:9">
      <c r="D665" s="47"/>
      <c r="E665" s="143"/>
      <c r="H665" s="2"/>
      <c r="I665" s="30"/>
    </row>
    <row r="666" spans="4:9">
      <c r="D666" s="47"/>
      <c r="E666" s="143"/>
      <c r="H666" s="2"/>
      <c r="I666" s="30"/>
    </row>
    <row r="667" spans="4:9">
      <c r="D667" s="47"/>
      <c r="E667" s="143"/>
      <c r="H667" s="2"/>
      <c r="I667" s="30"/>
    </row>
    <row r="668" spans="4:9">
      <c r="D668" s="47"/>
      <c r="E668" s="143"/>
      <c r="H668" s="2"/>
      <c r="I668" s="30"/>
    </row>
    <row r="669" spans="4:9">
      <c r="D669" s="47"/>
      <c r="E669" s="143"/>
      <c r="H669" s="2"/>
      <c r="I669" s="30"/>
    </row>
    <row r="670" spans="4:9">
      <c r="D670" s="47"/>
      <c r="E670" s="143"/>
      <c r="H670" s="2"/>
      <c r="I670" s="30"/>
    </row>
    <row r="671" spans="4:9">
      <c r="D671" s="47"/>
      <c r="E671" s="143"/>
      <c r="H671" s="2"/>
      <c r="I671" s="30"/>
    </row>
    <row r="672" spans="4:9">
      <c r="D672" s="47"/>
      <c r="E672" s="143"/>
      <c r="H672" s="2"/>
      <c r="I672" s="30"/>
    </row>
    <row r="673" spans="4:9">
      <c r="D673" s="47"/>
      <c r="E673" s="143"/>
      <c r="H673" s="2"/>
      <c r="I673" s="30"/>
    </row>
    <row r="674" spans="4:9">
      <c r="D674" s="47"/>
      <c r="E674" s="143"/>
      <c r="H674" s="2"/>
      <c r="I674" s="30"/>
    </row>
    <row r="675" spans="4:9">
      <c r="D675" s="47"/>
      <c r="E675" s="143"/>
      <c r="H675" s="2"/>
      <c r="I675" s="30"/>
    </row>
    <row r="676" spans="4:9">
      <c r="D676" s="47"/>
      <c r="E676" s="143"/>
      <c r="H676" s="2"/>
      <c r="I676" s="30"/>
    </row>
    <row r="677" spans="4:9">
      <c r="D677" s="47"/>
      <c r="E677" s="143"/>
      <c r="H677" s="2"/>
      <c r="I677" s="30"/>
    </row>
    <row r="678" spans="4:9">
      <c r="D678" s="47"/>
      <c r="E678" s="143"/>
      <c r="H678" s="2"/>
      <c r="I678" s="30"/>
    </row>
    <row r="679" spans="4:9">
      <c r="D679" s="47"/>
      <c r="E679" s="143"/>
      <c r="H679" s="2"/>
      <c r="I679" s="30"/>
    </row>
    <row r="680" spans="4:9">
      <c r="D680" s="47"/>
      <c r="E680" s="143"/>
      <c r="H680" s="2"/>
      <c r="I680" s="30"/>
    </row>
    <row r="681" spans="4:9">
      <c r="D681" s="47"/>
      <c r="E681" s="143"/>
      <c r="H681" s="2"/>
      <c r="I681" s="30"/>
    </row>
    <row r="682" spans="4:9">
      <c r="D682" s="47"/>
      <c r="E682" s="143"/>
      <c r="H682" s="2"/>
      <c r="I682" s="30"/>
    </row>
    <row r="683" spans="4:9">
      <c r="D683" s="47"/>
      <c r="E683" s="143"/>
      <c r="H683" s="2"/>
      <c r="I683" s="30"/>
    </row>
    <row r="684" spans="4:9">
      <c r="D684" s="47"/>
      <c r="E684" s="143"/>
      <c r="H684" s="2"/>
      <c r="I684" s="30"/>
    </row>
    <row r="685" spans="4:9">
      <c r="D685" s="47"/>
      <c r="E685" s="143"/>
      <c r="H685" s="2"/>
      <c r="I685" s="30"/>
    </row>
    <row r="686" spans="4:9">
      <c r="D686" s="47"/>
      <c r="E686" s="143"/>
      <c r="H686" s="2"/>
      <c r="I686" s="30"/>
    </row>
    <row r="687" spans="4:9">
      <c r="D687" s="47"/>
      <c r="E687" s="143"/>
      <c r="H687" s="2"/>
      <c r="I687" s="30"/>
    </row>
    <row r="688" spans="4:9">
      <c r="D688" s="47"/>
      <c r="E688" s="143"/>
      <c r="H688" s="2"/>
      <c r="I688" s="30"/>
    </row>
    <row r="689" spans="4:9">
      <c r="D689" s="47"/>
      <c r="E689" s="143"/>
      <c r="H689" s="2"/>
      <c r="I689" s="30"/>
    </row>
    <row r="690" spans="4:9">
      <c r="D690" s="47"/>
      <c r="E690" s="143"/>
      <c r="H690" s="2"/>
      <c r="I690" s="30"/>
    </row>
    <row r="691" spans="4:9">
      <c r="D691" s="47"/>
      <c r="E691" s="143"/>
      <c r="H691" s="2"/>
      <c r="I691" s="30"/>
    </row>
    <row r="692" spans="4:9">
      <c r="D692" s="47"/>
      <c r="E692" s="143"/>
      <c r="H692" s="2"/>
      <c r="I692" s="30"/>
    </row>
    <row r="693" spans="4:9">
      <c r="D693" s="47"/>
      <c r="E693" s="143"/>
      <c r="H693" s="2"/>
      <c r="I693" s="30"/>
    </row>
    <row r="694" spans="4:9">
      <c r="D694" s="47"/>
      <c r="E694" s="143"/>
      <c r="H694" s="2"/>
      <c r="I694" s="30"/>
    </row>
    <row r="695" spans="4:9">
      <c r="D695" s="47"/>
      <c r="E695" s="143"/>
      <c r="H695" s="2"/>
      <c r="I695" s="30"/>
    </row>
    <row r="696" spans="4:9">
      <c r="D696" s="47"/>
      <c r="E696" s="143"/>
      <c r="H696" s="2"/>
      <c r="I696" s="30"/>
    </row>
    <row r="697" spans="4:9">
      <c r="D697" s="47"/>
      <c r="E697" s="143"/>
      <c r="H697" s="2"/>
      <c r="I697" s="30"/>
    </row>
    <row r="698" spans="4:9">
      <c r="D698" s="47"/>
      <c r="E698" s="143"/>
      <c r="H698" s="2"/>
      <c r="I698" s="30"/>
    </row>
    <row r="699" spans="4:9">
      <c r="D699" s="47"/>
      <c r="E699" s="143"/>
      <c r="H699" s="2"/>
      <c r="I699" s="30"/>
    </row>
    <row r="700" spans="4:9">
      <c r="D700" s="47"/>
      <c r="E700" s="143"/>
      <c r="H700" s="2"/>
      <c r="I700" s="30"/>
    </row>
    <row r="701" spans="4:9">
      <c r="D701" s="47"/>
      <c r="E701" s="143"/>
      <c r="H701" s="2"/>
      <c r="I701" s="30"/>
    </row>
    <row r="702" spans="4:9">
      <c r="D702" s="47"/>
      <c r="E702" s="143"/>
      <c r="H702" s="2"/>
      <c r="I702" s="30"/>
    </row>
    <row r="703" spans="4:9">
      <c r="D703" s="47"/>
      <c r="E703" s="143"/>
      <c r="H703" s="2"/>
      <c r="I703" s="30"/>
    </row>
    <row r="704" spans="4:9">
      <c r="D704" s="47"/>
      <c r="E704" s="143"/>
      <c r="H704" s="2"/>
      <c r="I704" s="30"/>
    </row>
    <row r="705" spans="4:9">
      <c r="D705" s="47"/>
      <c r="E705" s="143"/>
      <c r="H705" s="2"/>
      <c r="I705" s="30"/>
    </row>
    <row r="706" spans="4:9">
      <c r="D706" s="47"/>
      <c r="E706" s="143"/>
      <c r="H706" s="2"/>
      <c r="I706" s="30"/>
    </row>
    <row r="707" spans="4:9">
      <c r="D707" s="47"/>
      <c r="E707" s="143"/>
      <c r="H707" s="2"/>
      <c r="I707" s="30"/>
    </row>
    <row r="708" spans="4:9">
      <c r="D708" s="47"/>
      <c r="E708" s="143"/>
      <c r="H708" s="2"/>
      <c r="I708" s="30"/>
    </row>
    <row r="709" spans="4:9">
      <c r="D709" s="47"/>
      <c r="E709" s="143"/>
      <c r="H709" s="2"/>
      <c r="I709" s="30"/>
    </row>
    <row r="710" spans="4:9">
      <c r="D710" s="47"/>
      <c r="E710" s="143"/>
      <c r="H710" s="2"/>
      <c r="I710" s="30"/>
    </row>
    <row r="711" spans="4:9">
      <c r="D711" s="47"/>
      <c r="E711" s="143"/>
      <c r="H711" s="2"/>
      <c r="I711" s="30"/>
    </row>
    <row r="712" spans="4:9">
      <c r="D712" s="47"/>
      <c r="E712" s="143"/>
      <c r="H712" s="2"/>
      <c r="I712" s="30"/>
    </row>
    <row r="713" spans="4:9">
      <c r="D713" s="47"/>
      <c r="E713" s="143"/>
      <c r="H713" s="2"/>
      <c r="I713" s="30"/>
    </row>
    <row r="714" spans="4:9">
      <c r="D714" s="47"/>
      <c r="E714" s="143"/>
      <c r="H714" s="2"/>
      <c r="I714" s="30"/>
    </row>
    <row r="715" spans="4:9">
      <c r="D715" s="47"/>
      <c r="E715" s="143"/>
      <c r="H715" s="2"/>
      <c r="I715" s="30"/>
    </row>
    <row r="716" spans="4:9">
      <c r="D716" s="47"/>
      <c r="E716" s="143"/>
      <c r="H716" s="2"/>
      <c r="I716" s="30"/>
    </row>
    <row r="717" spans="4:9">
      <c r="D717" s="47"/>
      <c r="E717" s="143"/>
      <c r="H717" s="2"/>
      <c r="I717" s="30"/>
    </row>
    <row r="718" spans="4:9">
      <c r="D718" s="47"/>
      <c r="E718" s="143"/>
      <c r="H718" s="2"/>
      <c r="I718" s="30"/>
    </row>
    <row r="719" spans="4:9">
      <c r="D719" s="47"/>
      <c r="E719" s="143"/>
      <c r="H719" s="2"/>
      <c r="I719" s="30"/>
    </row>
    <row r="720" spans="4:9">
      <c r="D720" s="47"/>
      <c r="E720" s="143"/>
      <c r="H720" s="2"/>
      <c r="I720" s="30"/>
    </row>
    <row r="721" spans="4:9">
      <c r="D721" s="47"/>
      <c r="E721" s="143"/>
      <c r="H721" s="2"/>
      <c r="I721" s="30"/>
    </row>
    <row r="722" spans="4:9">
      <c r="D722" s="47"/>
      <c r="E722" s="143"/>
      <c r="H722" s="2"/>
      <c r="I722" s="30"/>
    </row>
    <row r="723" spans="4:9">
      <c r="D723" s="47"/>
      <c r="E723" s="143"/>
      <c r="H723" s="2"/>
      <c r="I723" s="30"/>
    </row>
    <row r="724" spans="4:9">
      <c r="D724" s="47"/>
      <c r="E724" s="143"/>
      <c r="H724" s="2"/>
      <c r="I724" s="30"/>
    </row>
    <row r="725" spans="4:9">
      <c r="D725" s="47"/>
      <c r="E725" s="143"/>
      <c r="H725" s="2"/>
      <c r="I725" s="30"/>
    </row>
    <row r="726" spans="4:9">
      <c r="D726" s="47"/>
      <c r="E726" s="143"/>
      <c r="H726" s="2"/>
      <c r="I726" s="30"/>
    </row>
    <row r="727" spans="4:9">
      <c r="D727" s="47"/>
      <c r="E727" s="143"/>
      <c r="H727" s="2"/>
      <c r="I727" s="30"/>
    </row>
    <row r="728" spans="4:9">
      <c r="D728" s="47"/>
      <c r="E728" s="143"/>
      <c r="H728" s="2"/>
      <c r="I728" s="30"/>
    </row>
    <row r="729" spans="4:9">
      <c r="D729" s="47"/>
      <c r="E729" s="143"/>
      <c r="H729" s="2"/>
      <c r="I729" s="30"/>
    </row>
    <row r="730" spans="4:9">
      <c r="D730" s="47"/>
      <c r="E730" s="143"/>
      <c r="H730" s="2"/>
      <c r="I730" s="30"/>
    </row>
    <row r="731" spans="4:9">
      <c r="D731" s="47"/>
      <c r="E731" s="143"/>
      <c r="H731" s="2"/>
      <c r="I731" s="30"/>
    </row>
    <row r="732" spans="4:9">
      <c r="D732" s="47"/>
      <c r="E732" s="143"/>
      <c r="H732" s="2"/>
      <c r="I732" s="30"/>
    </row>
    <row r="733" spans="4:9">
      <c r="D733" s="47"/>
      <c r="E733" s="143"/>
      <c r="H733" s="2"/>
      <c r="I733" s="30"/>
    </row>
    <row r="734" spans="4:9">
      <c r="D734" s="47"/>
      <c r="E734" s="143"/>
      <c r="H734" s="2"/>
      <c r="I734" s="30"/>
    </row>
    <row r="735" spans="4:9">
      <c r="D735" s="47"/>
      <c r="E735" s="143"/>
      <c r="H735" s="2"/>
      <c r="I735" s="30"/>
    </row>
    <row r="736" spans="4:9">
      <c r="D736" s="47"/>
      <c r="E736" s="143"/>
      <c r="H736" s="2"/>
      <c r="I736" s="30"/>
    </row>
    <row r="737" spans="4:9">
      <c r="D737" s="47"/>
      <c r="E737" s="143"/>
      <c r="H737" s="2"/>
      <c r="I737" s="30"/>
    </row>
    <row r="738" spans="4:9">
      <c r="D738" s="47"/>
      <c r="E738" s="143"/>
      <c r="H738" s="2"/>
      <c r="I738" s="30"/>
    </row>
    <row r="739" spans="4:9">
      <c r="D739" s="47"/>
      <c r="E739" s="143"/>
      <c r="H739" s="2"/>
      <c r="I739" s="30"/>
    </row>
    <row r="740" spans="4:9">
      <c r="D740" s="47"/>
      <c r="E740" s="143"/>
      <c r="H740" s="2"/>
      <c r="I740" s="30"/>
    </row>
    <row r="741" spans="4:9">
      <c r="D741" s="47"/>
      <c r="E741" s="143"/>
      <c r="H741" s="2"/>
      <c r="I741" s="30"/>
    </row>
    <row r="742" spans="4:9">
      <c r="D742" s="47"/>
      <c r="E742" s="143"/>
      <c r="H742" s="2"/>
      <c r="I742" s="30"/>
    </row>
    <row r="743" spans="4:9">
      <c r="D743" s="47"/>
      <c r="E743" s="143"/>
      <c r="H743" s="2"/>
      <c r="I743" s="30"/>
    </row>
    <row r="744" spans="4:9">
      <c r="D744" s="47"/>
      <c r="E744" s="143"/>
      <c r="H744" s="2"/>
      <c r="I744" s="30"/>
    </row>
    <row r="745" spans="4:9">
      <c r="D745" s="47"/>
      <c r="E745" s="143"/>
      <c r="H745" s="2"/>
      <c r="I745" s="30"/>
    </row>
    <row r="746" spans="4:9">
      <c r="D746" s="47"/>
      <c r="E746" s="143"/>
      <c r="H746" s="2"/>
      <c r="I746" s="30"/>
    </row>
    <row r="747" spans="4:9">
      <c r="D747" s="47"/>
      <c r="E747" s="143"/>
      <c r="H747" s="2"/>
      <c r="I747" s="30"/>
    </row>
    <row r="748" spans="4:9">
      <c r="D748" s="47"/>
      <c r="E748" s="143"/>
      <c r="H748" s="2"/>
      <c r="I748" s="30"/>
    </row>
    <row r="749" spans="4:9">
      <c r="D749" s="47"/>
      <c r="E749" s="143"/>
      <c r="H749" s="2"/>
      <c r="I749" s="30"/>
    </row>
    <row r="750" spans="4:9">
      <c r="D750" s="47"/>
      <c r="E750" s="143"/>
      <c r="H750" s="2"/>
      <c r="I750" s="30"/>
    </row>
    <row r="751" spans="4:9">
      <c r="D751" s="47"/>
      <c r="E751" s="143"/>
      <c r="H751" s="2"/>
      <c r="I751" s="30"/>
    </row>
    <row r="752" spans="4:9">
      <c r="D752" s="47"/>
      <c r="E752" s="143"/>
      <c r="H752" s="2"/>
      <c r="I752" s="30"/>
    </row>
    <row r="753" spans="4:9">
      <c r="D753" s="47"/>
      <c r="E753" s="143"/>
      <c r="H753" s="2"/>
      <c r="I753" s="30"/>
    </row>
    <row r="754" spans="4:9">
      <c r="D754" s="47"/>
      <c r="E754" s="143"/>
      <c r="H754" s="2"/>
      <c r="I754" s="30"/>
    </row>
    <row r="755" spans="4:9">
      <c r="D755" s="47"/>
      <c r="E755" s="143"/>
      <c r="H755" s="2"/>
      <c r="I755" s="30"/>
    </row>
    <row r="756" spans="4:9">
      <c r="D756" s="47"/>
      <c r="E756" s="143"/>
      <c r="H756" s="2"/>
      <c r="I756" s="30"/>
    </row>
    <row r="757" spans="4:9">
      <c r="D757" s="47"/>
      <c r="E757" s="143"/>
      <c r="H757" s="2"/>
      <c r="I757" s="30"/>
    </row>
    <row r="758" spans="4:9">
      <c r="D758" s="47"/>
      <c r="E758" s="143"/>
      <c r="H758" s="2"/>
      <c r="I758" s="30"/>
    </row>
    <row r="759" spans="4:9">
      <c r="D759" s="47"/>
      <c r="E759" s="143"/>
      <c r="H759" s="2"/>
      <c r="I759" s="30"/>
    </row>
    <row r="760" spans="4:9">
      <c r="D760" s="47"/>
      <c r="E760" s="143"/>
      <c r="H760" s="2"/>
      <c r="I760" s="30"/>
    </row>
    <row r="761" spans="4:9">
      <c r="D761" s="47"/>
      <c r="E761" s="143"/>
      <c r="H761" s="2"/>
      <c r="I761" s="30"/>
    </row>
    <row r="762" spans="4:9">
      <c r="D762" s="47"/>
      <c r="E762" s="143"/>
      <c r="H762" s="2"/>
      <c r="I762" s="30"/>
    </row>
    <row r="763" spans="4:9">
      <c r="D763" s="47"/>
      <c r="E763" s="143"/>
      <c r="H763" s="2"/>
      <c r="I763" s="30"/>
    </row>
    <row r="764" spans="4:9">
      <c r="D764" s="47"/>
      <c r="E764" s="143"/>
      <c r="H764" s="2"/>
      <c r="I764" s="30"/>
    </row>
    <row r="765" spans="4:9">
      <c r="D765" s="47"/>
      <c r="E765" s="143"/>
      <c r="H765" s="2"/>
      <c r="I765" s="30"/>
    </row>
    <row r="766" spans="4:9">
      <c r="D766" s="47"/>
      <c r="E766" s="143"/>
      <c r="H766" s="2"/>
      <c r="I766" s="30"/>
    </row>
    <row r="767" spans="4:9">
      <c r="D767" s="47"/>
      <c r="E767" s="143"/>
      <c r="H767" s="2"/>
      <c r="I767" s="30"/>
    </row>
    <row r="768" spans="4:9">
      <c r="D768" s="47"/>
      <c r="E768" s="143"/>
      <c r="H768" s="2"/>
      <c r="I768" s="30"/>
    </row>
    <row r="769" spans="4:9">
      <c r="D769" s="47"/>
      <c r="E769" s="143"/>
      <c r="H769" s="2"/>
      <c r="I769" s="30"/>
    </row>
    <row r="770" spans="4:9">
      <c r="D770" s="47"/>
      <c r="E770" s="143"/>
      <c r="H770" s="2"/>
      <c r="I770" s="30"/>
    </row>
    <row r="771" spans="4:9">
      <c r="D771" s="47"/>
      <c r="E771" s="143"/>
      <c r="H771" s="2"/>
      <c r="I771" s="30"/>
    </row>
    <row r="772" spans="4:9">
      <c r="D772" s="47"/>
      <c r="E772" s="143"/>
      <c r="H772" s="2"/>
      <c r="I772" s="30"/>
    </row>
    <row r="773" spans="4:9">
      <c r="D773" s="47"/>
      <c r="E773" s="143"/>
      <c r="H773" s="2"/>
      <c r="I773" s="30"/>
    </row>
    <row r="774" spans="4:9">
      <c r="D774" s="47"/>
      <c r="E774" s="143"/>
      <c r="H774" s="2"/>
      <c r="I774" s="30"/>
    </row>
    <row r="775" spans="4:9">
      <c r="D775" s="47"/>
      <c r="E775" s="143"/>
      <c r="H775" s="2"/>
      <c r="I775" s="30"/>
    </row>
    <row r="776" spans="4:9">
      <c r="D776" s="47"/>
      <c r="E776" s="143"/>
      <c r="H776" s="2"/>
      <c r="I776" s="30"/>
    </row>
    <row r="777" spans="4:9">
      <c r="D777" s="47"/>
      <c r="E777" s="143"/>
      <c r="H777" s="2"/>
      <c r="I777" s="30"/>
    </row>
    <row r="778" spans="4:9">
      <c r="D778" s="47"/>
      <c r="E778" s="143"/>
      <c r="H778" s="2"/>
      <c r="I778" s="30"/>
    </row>
    <row r="779" spans="4:9">
      <c r="D779" s="47"/>
      <c r="E779" s="143"/>
      <c r="H779" s="2"/>
      <c r="I779" s="30"/>
    </row>
    <row r="780" spans="4:9">
      <c r="D780" s="47"/>
      <c r="E780" s="143"/>
      <c r="H780" s="2"/>
      <c r="I780" s="30"/>
    </row>
    <row r="781" spans="4:9">
      <c r="D781" s="47"/>
      <c r="E781" s="143"/>
      <c r="H781" s="2"/>
      <c r="I781" s="30"/>
    </row>
    <row r="782" spans="4:9">
      <c r="D782" s="47"/>
      <c r="E782" s="143"/>
      <c r="H782" s="2"/>
      <c r="I782" s="30"/>
    </row>
    <row r="783" spans="4:9">
      <c r="D783" s="47"/>
      <c r="E783" s="143"/>
      <c r="H783" s="2"/>
      <c r="I783" s="30"/>
    </row>
    <row r="784" spans="4:9">
      <c r="D784" s="47"/>
      <c r="E784" s="143"/>
      <c r="H784" s="2"/>
      <c r="I784" s="30"/>
    </row>
    <row r="785" spans="4:9">
      <c r="D785" s="47"/>
      <c r="E785" s="143"/>
      <c r="H785" s="2"/>
      <c r="I785" s="30"/>
    </row>
    <row r="786" spans="4:9">
      <c r="D786" s="47"/>
      <c r="E786" s="143"/>
      <c r="H786" s="2"/>
      <c r="I786" s="30"/>
    </row>
    <row r="787" spans="4:9">
      <c r="D787" s="47"/>
      <c r="E787" s="143"/>
      <c r="H787" s="2"/>
      <c r="I787" s="30"/>
    </row>
    <row r="788" spans="4:9">
      <c r="D788" s="47"/>
      <c r="E788" s="143"/>
      <c r="H788" s="2"/>
      <c r="I788" s="30"/>
    </row>
    <row r="789" spans="4:9">
      <c r="D789" s="47"/>
      <c r="E789" s="143"/>
      <c r="H789" s="2"/>
      <c r="I789" s="30"/>
    </row>
    <row r="790" spans="4:9">
      <c r="D790" s="47"/>
      <c r="E790" s="143"/>
      <c r="H790" s="2"/>
      <c r="I790" s="30"/>
    </row>
    <row r="791" spans="4:9">
      <c r="D791" s="47"/>
      <c r="E791" s="143"/>
      <c r="H791" s="2"/>
      <c r="I791" s="30"/>
    </row>
    <row r="792" spans="4:9">
      <c r="D792" s="47"/>
      <c r="E792" s="143"/>
      <c r="H792" s="2"/>
      <c r="I792" s="30"/>
    </row>
    <row r="793" spans="4:9">
      <c r="D793" s="47"/>
      <c r="E793" s="143"/>
      <c r="H793" s="2"/>
      <c r="I793" s="30"/>
    </row>
    <row r="794" spans="4:9">
      <c r="D794" s="47"/>
      <c r="E794" s="143"/>
      <c r="H794" s="2"/>
      <c r="I794" s="30"/>
    </row>
    <row r="795" spans="4:9">
      <c r="D795" s="47"/>
      <c r="E795" s="143"/>
      <c r="H795" s="2"/>
      <c r="I795" s="30"/>
    </row>
    <row r="796" spans="4:9">
      <c r="D796" s="47"/>
      <c r="E796" s="143"/>
      <c r="H796" s="2"/>
      <c r="I796" s="30"/>
    </row>
    <row r="797" spans="4:9">
      <c r="D797" s="47"/>
      <c r="E797" s="143"/>
      <c r="H797" s="2"/>
      <c r="I797" s="30"/>
    </row>
    <row r="798" spans="4:9">
      <c r="D798" s="47"/>
      <c r="E798" s="143"/>
      <c r="H798" s="2"/>
      <c r="I798" s="30"/>
    </row>
    <row r="799" spans="4:9">
      <c r="D799" s="47"/>
      <c r="E799" s="143"/>
      <c r="H799" s="2"/>
      <c r="I799" s="30"/>
    </row>
    <row r="800" spans="4:9">
      <c r="D800" s="47"/>
      <c r="E800" s="143"/>
      <c r="H800" s="2"/>
      <c r="I800" s="30"/>
    </row>
    <row r="801" spans="4:9">
      <c r="D801" s="47"/>
      <c r="E801" s="143"/>
      <c r="H801" s="2"/>
      <c r="I801" s="30"/>
    </row>
    <row r="802" spans="4:9">
      <c r="D802" s="47"/>
      <c r="E802" s="143"/>
      <c r="H802" s="2"/>
      <c r="I802" s="30"/>
    </row>
    <row r="803" spans="4:9">
      <c r="D803" s="47"/>
      <c r="E803" s="143"/>
      <c r="H803" s="2"/>
      <c r="I803" s="30"/>
    </row>
    <row r="804" spans="4:9">
      <c r="D804" s="47"/>
      <c r="E804" s="143"/>
      <c r="H804" s="2"/>
      <c r="I804" s="30"/>
    </row>
    <row r="805" spans="4:9">
      <c r="D805" s="47"/>
      <c r="E805" s="143"/>
      <c r="H805" s="2"/>
      <c r="I805" s="30"/>
    </row>
    <row r="806" spans="4:9">
      <c r="D806" s="47"/>
      <c r="E806" s="143"/>
      <c r="H806" s="2"/>
      <c r="I806" s="30"/>
    </row>
    <row r="807" spans="4:9">
      <c r="D807" s="47"/>
      <c r="E807" s="143"/>
      <c r="H807" s="2"/>
      <c r="I807" s="30"/>
    </row>
    <row r="808" spans="4:9">
      <c r="D808" s="47"/>
      <c r="E808" s="143"/>
      <c r="H808" s="2"/>
      <c r="I808" s="30"/>
    </row>
    <row r="809" spans="4:9">
      <c r="D809" s="47"/>
      <c r="E809" s="143"/>
      <c r="H809" s="2"/>
      <c r="I809" s="30"/>
    </row>
    <row r="810" spans="4:9">
      <c r="D810" s="47"/>
      <c r="E810" s="143"/>
      <c r="H810" s="2"/>
      <c r="I810" s="30"/>
    </row>
    <row r="811" spans="4:9">
      <c r="D811" s="47"/>
      <c r="E811" s="143"/>
      <c r="H811" s="2"/>
      <c r="I811" s="30"/>
    </row>
    <row r="812" spans="4:9">
      <c r="D812" s="47"/>
      <c r="E812" s="143"/>
      <c r="H812" s="2"/>
      <c r="I812" s="30"/>
    </row>
    <row r="813" spans="4:9">
      <c r="D813" s="47"/>
      <c r="E813" s="143"/>
      <c r="H813" s="2"/>
      <c r="I813" s="30"/>
    </row>
    <row r="814" spans="4:9">
      <c r="D814" s="47"/>
      <c r="E814" s="143"/>
      <c r="H814" s="2"/>
      <c r="I814" s="30"/>
    </row>
    <row r="815" spans="4:9">
      <c r="D815" s="47"/>
      <c r="E815" s="143"/>
      <c r="H815" s="2"/>
      <c r="I815" s="30"/>
    </row>
    <row r="816" spans="4:9">
      <c r="D816" s="47"/>
      <c r="E816" s="143"/>
      <c r="H816" s="2"/>
      <c r="I816" s="30"/>
    </row>
    <row r="817" spans="4:9">
      <c r="D817" s="47"/>
      <c r="E817" s="143"/>
      <c r="H817" s="2"/>
      <c r="I817" s="30"/>
    </row>
    <row r="818" spans="4:9">
      <c r="D818" s="47"/>
      <c r="E818" s="143"/>
      <c r="H818" s="2"/>
      <c r="I818" s="30"/>
    </row>
    <row r="819" spans="4:9">
      <c r="D819" s="47"/>
      <c r="E819" s="143"/>
      <c r="H819" s="2"/>
      <c r="I819" s="30"/>
    </row>
    <row r="820" spans="4:9">
      <c r="D820" s="47"/>
      <c r="E820" s="143"/>
      <c r="H820" s="2"/>
      <c r="I820" s="30"/>
    </row>
    <row r="821" spans="4:9">
      <c r="D821" s="47"/>
      <c r="E821" s="143"/>
      <c r="H821" s="2"/>
      <c r="I821" s="30"/>
    </row>
    <row r="822" spans="4:9">
      <c r="D822" s="47"/>
      <c r="E822" s="143"/>
      <c r="H822" s="2"/>
      <c r="I822" s="30"/>
    </row>
    <row r="823" spans="4:9">
      <c r="D823" s="47"/>
      <c r="E823" s="143"/>
      <c r="H823" s="2"/>
      <c r="I823" s="30"/>
    </row>
    <row r="824" spans="4:9">
      <c r="D824" s="47"/>
      <c r="E824" s="143"/>
      <c r="H824" s="2"/>
      <c r="I824" s="30"/>
    </row>
    <row r="825" spans="4:9">
      <c r="D825" s="47"/>
      <c r="E825" s="143"/>
      <c r="H825" s="2"/>
      <c r="I825" s="30"/>
    </row>
    <row r="826" spans="4:9">
      <c r="D826" s="47"/>
      <c r="E826" s="143"/>
      <c r="H826" s="2"/>
      <c r="I826" s="30"/>
    </row>
    <row r="827" spans="4:9">
      <c r="D827" s="47"/>
      <c r="E827" s="143"/>
      <c r="H827" s="2"/>
      <c r="I827" s="30"/>
    </row>
    <row r="828" spans="4:9">
      <c r="D828" s="47"/>
      <c r="E828" s="143"/>
      <c r="H828" s="2"/>
      <c r="I828" s="30"/>
    </row>
    <row r="829" spans="4:9">
      <c r="D829" s="47"/>
      <c r="E829" s="143"/>
      <c r="H829" s="2"/>
      <c r="I829" s="30"/>
    </row>
    <row r="830" spans="4:9">
      <c r="D830" s="47"/>
      <c r="E830" s="143"/>
      <c r="H830" s="2"/>
      <c r="I830" s="30"/>
    </row>
    <row r="831" spans="4:9">
      <c r="D831" s="47"/>
      <c r="E831" s="143"/>
      <c r="H831" s="2"/>
      <c r="I831" s="30"/>
    </row>
    <row r="832" spans="4:9">
      <c r="D832" s="47"/>
      <c r="E832" s="143"/>
      <c r="H832" s="2"/>
      <c r="I832" s="30"/>
    </row>
    <row r="833" spans="4:9">
      <c r="D833" s="47"/>
      <c r="E833" s="143"/>
      <c r="H833" s="2"/>
      <c r="I833" s="30"/>
    </row>
    <row r="834" spans="4:9">
      <c r="D834" s="47"/>
      <c r="E834" s="143"/>
      <c r="H834" s="2"/>
      <c r="I834" s="30"/>
    </row>
    <row r="835" spans="4:9">
      <c r="D835" s="47"/>
      <c r="E835" s="143"/>
      <c r="H835" s="2"/>
      <c r="I835" s="30"/>
    </row>
    <row r="836" spans="4:9">
      <c r="D836" s="47"/>
      <c r="E836" s="143"/>
      <c r="H836" s="2"/>
      <c r="I836" s="30"/>
    </row>
    <row r="837" spans="4:9">
      <c r="D837" s="47"/>
      <c r="E837" s="143"/>
      <c r="H837" s="2"/>
      <c r="I837" s="30"/>
    </row>
    <row r="838" spans="4:9">
      <c r="D838" s="47"/>
      <c r="E838" s="143"/>
      <c r="H838" s="2"/>
      <c r="I838" s="30"/>
    </row>
    <row r="839" spans="4:9">
      <c r="D839" s="47"/>
      <c r="E839" s="143"/>
      <c r="H839" s="2"/>
      <c r="I839" s="30"/>
    </row>
    <row r="840" spans="4:9">
      <c r="D840" s="47"/>
      <c r="E840" s="143"/>
      <c r="H840" s="2"/>
      <c r="I840" s="30"/>
    </row>
    <row r="841" spans="4:9">
      <c r="D841" s="47"/>
      <c r="E841" s="143"/>
      <c r="H841" s="2"/>
      <c r="I841" s="30"/>
    </row>
    <row r="842" spans="4:9">
      <c r="D842" s="47"/>
      <c r="E842" s="143"/>
      <c r="H842" s="2"/>
      <c r="I842" s="30"/>
    </row>
    <row r="843" spans="4:9">
      <c r="D843" s="47"/>
      <c r="E843" s="143"/>
      <c r="H843" s="2"/>
      <c r="I843" s="30"/>
    </row>
    <row r="844" spans="4:9">
      <c r="D844" s="47"/>
      <c r="E844" s="143"/>
      <c r="H844" s="2"/>
      <c r="I844" s="30"/>
    </row>
    <row r="845" spans="4:9">
      <c r="D845" s="47"/>
      <c r="E845" s="143"/>
      <c r="H845" s="2"/>
      <c r="I845" s="30"/>
    </row>
    <row r="846" spans="4:9">
      <c r="D846" s="47"/>
      <c r="E846" s="143"/>
      <c r="H846" s="2"/>
      <c r="I846" s="30"/>
    </row>
    <row r="847" spans="4:9">
      <c r="D847" s="47"/>
      <c r="E847" s="143"/>
      <c r="H847" s="2"/>
      <c r="I847" s="30"/>
    </row>
    <row r="848" spans="4:9">
      <c r="D848" s="47"/>
      <c r="E848" s="143"/>
      <c r="H848" s="2"/>
      <c r="I848" s="30"/>
    </row>
    <row r="849" spans="4:9">
      <c r="D849" s="47"/>
      <c r="E849" s="143"/>
      <c r="H849" s="2"/>
      <c r="I849" s="30"/>
    </row>
    <row r="850" spans="4:9">
      <c r="D850" s="47"/>
      <c r="E850" s="143"/>
      <c r="H850" s="2"/>
      <c r="I850" s="30"/>
    </row>
    <row r="851" spans="4:9">
      <c r="D851" s="47"/>
      <c r="E851" s="143"/>
      <c r="H851" s="2"/>
      <c r="I851" s="30"/>
    </row>
    <row r="852" spans="4:9">
      <c r="D852" s="47"/>
      <c r="E852" s="143"/>
      <c r="H852" s="2"/>
      <c r="I852" s="30"/>
    </row>
    <row r="853" spans="4:9">
      <c r="D853" s="47"/>
      <c r="E853" s="143"/>
      <c r="H853" s="2"/>
      <c r="I853" s="30"/>
    </row>
    <row r="854" spans="4:9">
      <c r="D854" s="47"/>
      <c r="E854" s="143"/>
      <c r="H854" s="2"/>
      <c r="I854" s="30"/>
    </row>
    <row r="855" spans="4:9">
      <c r="D855" s="47"/>
      <c r="E855" s="143"/>
      <c r="H855" s="2"/>
      <c r="I855" s="30"/>
    </row>
    <row r="856" spans="4:9">
      <c r="D856" s="47"/>
      <c r="E856" s="143"/>
      <c r="H856" s="2"/>
      <c r="I856" s="30"/>
    </row>
    <row r="857" spans="4:9">
      <c r="D857" s="47"/>
      <c r="E857" s="143"/>
      <c r="H857" s="2"/>
      <c r="I857" s="30"/>
    </row>
    <row r="858" spans="4:9">
      <c r="D858" s="47"/>
      <c r="E858" s="143"/>
      <c r="H858" s="2"/>
      <c r="I858" s="30"/>
    </row>
    <row r="859" spans="4:9">
      <c r="D859" s="47"/>
      <c r="E859" s="143"/>
      <c r="H859" s="2"/>
      <c r="I859" s="30"/>
    </row>
    <row r="860" spans="4:9">
      <c r="D860" s="47"/>
      <c r="E860" s="143"/>
      <c r="H860" s="2"/>
      <c r="I860" s="30"/>
    </row>
    <row r="861" spans="4:9">
      <c r="D861" s="47"/>
      <c r="E861" s="143"/>
      <c r="H861" s="2"/>
      <c r="I861" s="30"/>
    </row>
    <row r="862" spans="4:9">
      <c r="D862" s="47"/>
      <c r="E862" s="143"/>
      <c r="H862" s="2"/>
      <c r="I862" s="30"/>
    </row>
    <row r="863" spans="4:9">
      <c r="D863" s="47"/>
      <c r="E863" s="143"/>
      <c r="H863" s="2"/>
      <c r="I863" s="30"/>
    </row>
    <row r="864" spans="4:9">
      <c r="D864" s="47"/>
      <c r="E864" s="143"/>
      <c r="H864" s="2"/>
      <c r="I864" s="30"/>
    </row>
    <row r="865" spans="4:9">
      <c r="D865" s="47"/>
      <c r="E865" s="143"/>
      <c r="H865" s="2"/>
      <c r="I865" s="30"/>
    </row>
    <row r="866" spans="4:9">
      <c r="D866" s="47"/>
      <c r="E866" s="143"/>
      <c r="H866" s="2"/>
      <c r="I866" s="30"/>
    </row>
    <row r="867" spans="4:9">
      <c r="D867" s="47"/>
      <c r="E867" s="143"/>
      <c r="H867" s="2"/>
      <c r="I867" s="30"/>
    </row>
    <row r="868" spans="4:9">
      <c r="D868" s="47"/>
      <c r="E868" s="143"/>
      <c r="H868" s="2"/>
      <c r="I868" s="30"/>
    </row>
    <row r="869" spans="4:9">
      <c r="D869" s="47"/>
      <c r="E869" s="143"/>
      <c r="H869" s="2"/>
      <c r="I869" s="30"/>
    </row>
    <row r="870" spans="4:9">
      <c r="D870" s="47"/>
      <c r="E870" s="143"/>
      <c r="H870" s="2"/>
      <c r="I870" s="30"/>
    </row>
    <row r="871" spans="4:9">
      <c r="D871" s="47"/>
      <c r="E871" s="143"/>
      <c r="H871" s="2"/>
      <c r="I871" s="30"/>
    </row>
    <row r="872" spans="4:9">
      <c r="D872" s="47"/>
      <c r="E872" s="143"/>
      <c r="H872" s="2"/>
      <c r="I872" s="30"/>
    </row>
    <row r="873" spans="4:9">
      <c r="D873" s="47"/>
      <c r="E873" s="143"/>
      <c r="H873" s="2"/>
      <c r="I873" s="30"/>
    </row>
    <row r="874" spans="4:9">
      <c r="D874" s="47"/>
      <c r="E874" s="143"/>
      <c r="H874" s="2"/>
      <c r="I874" s="30"/>
    </row>
    <row r="875" spans="4:9">
      <c r="D875" s="47"/>
      <c r="E875" s="143"/>
      <c r="H875" s="2"/>
      <c r="I875" s="30"/>
    </row>
    <row r="876" spans="4:9">
      <c r="D876" s="47"/>
      <c r="E876" s="143"/>
      <c r="H876" s="2"/>
      <c r="I876" s="30"/>
    </row>
    <row r="877" spans="4:9">
      <c r="D877" s="47"/>
      <c r="E877" s="143"/>
      <c r="H877" s="2"/>
      <c r="I877" s="30"/>
    </row>
    <row r="878" spans="4:9">
      <c r="D878" s="47"/>
      <c r="E878" s="143"/>
      <c r="H878" s="2"/>
      <c r="I878" s="30"/>
    </row>
    <row r="879" spans="4:9">
      <c r="D879" s="47"/>
      <c r="E879" s="143"/>
      <c r="H879" s="2"/>
      <c r="I879" s="30"/>
    </row>
    <row r="880" spans="4:9">
      <c r="D880" s="47"/>
      <c r="E880" s="143"/>
      <c r="H880" s="2"/>
      <c r="I880" s="30"/>
    </row>
    <row r="881" spans="4:9">
      <c r="D881" s="47"/>
      <c r="E881" s="143"/>
      <c r="H881" s="2"/>
      <c r="I881" s="30"/>
    </row>
    <row r="882" spans="4:9">
      <c r="D882" s="47"/>
      <c r="E882" s="143"/>
      <c r="H882" s="2"/>
      <c r="I882" s="30"/>
    </row>
    <row r="883" spans="4:9">
      <c r="D883" s="47"/>
      <c r="E883" s="143"/>
      <c r="H883" s="2"/>
      <c r="I883" s="30"/>
    </row>
    <row r="884" spans="4:9">
      <c r="D884" s="47"/>
      <c r="E884" s="143"/>
      <c r="H884" s="2"/>
      <c r="I884" s="30"/>
    </row>
    <row r="885" spans="4:9">
      <c r="D885" s="47"/>
      <c r="E885" s="143"/>
      <c r="H885" s="2"/>
      <c r="I885" s="30"/>
    </row>
    <row r="886" spans="4:9">
      <c r="D886" s="47"/>
      <c r="E886" s="143"/>
      <c r="H886" s="2"/>
      <c r="I886" s="30"/>
    </row>
    <row r="887" spans="4:9">
      <c r="D887" s="47"/>
      <c r="E887" s="143"/>
      <c r="H887" s="2"/>
      <c r="I887" s="30"/>
    </row>
    <row r="888" spans="4:9">
      <c r="D888" s="47"/>
      <c r="E888" s="143"/>
      <c r="H888" s="2"/>
      <c r="I888" s="30"/>
    </row>
    <row r="889" spans="4:9">
      <c r="D889" s="47"/>
      <c r="E889" s="143"/>
      <c r="H889" s="2"/>
      <c r="I889" s="30"/>
    </row>
    <row r="890" spans="4:9">
      <c r="D890" s="47"/>
      <c r="E890" s="143"/>
      <c r="H890" s="2"/>
      <c r="I890" s="30"/>
    </row>
    <row r="891" spans="4:9">
      <c r="D891" s="47"/>
      <c r="E891" s="143"/>
      <c r="H891" s="2"/>
      <c r="I891" s="30"/>
    </row>
    <row r="892" spans="4:9">
      <c r="D892" s="47"/>
      <c r="E892" s="143"/>
      <c r="H892" s="2"/>
      <c r="I892" s="30"/>
    </row>
    <row r="893" spans="4:9">
      <c r="D893" s="47"/>
      <c r="E893" s="143"/>
      <c r="H893" s="2"/>
      <c r="I893" s="30"/>
    </row>
    <row r="894" spans="4:9">
      <c r="D894" s="47"/>
      <c r="E894" s="143"/>
      <c r="H894" s="2"/>
      <c r="I894" s="30"/>
    </row>
    <row r="895" spans="4:9">
      <c r="D895" s="47"/>
      <c r="E895" s="143"/>
      <c r="H895" s="2"/>
      <c r="I895" s="30"/>
    </row>
    <row r="896" spans="4:9">
      <c r="D896" s="47"/>
      <c r="E896" s="143"/>
      <c r="H896" s="2"/>
      <c r="I896" s="30"/>
    </row>
    <row r="897" spans="4:9">
      <c r="D897" s="47"/>
      <c r="E897" s="143"/>
      <c r="H897" s="2"/>
      <c r="I897" s="30"/>
    </row>
    <row r="898" spans="4:9">
      <c r="D898" s="47"/>
      <c r="E898" s="143"/>
      <c r="H898" s="2"/>
      <c r="I898" s="30"/>
    </row>
    <row r="899" spans="4:9">
      <c r="D899" s="47"/>
      <c r="E899" s="143"/>
      <c r="H899" s="2"/>
      <c r="I899" s="30"/>
    </row>
    <row r="900" spans="4:9">
      <c r="D900" s="47"/>
      <c r="E900" s="143"/>
      <c r="H900" s="2"/>
      <c r="I900" s="30"/>
    </row>
    <row r="901" spans="4:9">
      <c r="D901" s="47"/>
      <c r="E901" s="143"/>
      <c r="H901" s="2"/>
      <c r="I901" s="30"/>
    </row>
    <row r="902" spans="4:9">
      <c r="D902" s="47"/>
      <c r="E902" s="143"/>
      <c r="H902" s="2"/>
      <c r="I902" s="30"/>
    </row>
    <row r="903" spans="4:9">
      <c r="D903" s="47"/>
      <c r="E903" s="143"/>
      <c r="H903" s="2"/>
      <c r="I903" s="30"/>
    </row>
    <row r="904" spans="4:9">
      <c r="D904" s="47"/>
      <c r="E904" s="143"/>
      <c r="H904" s="2"/>
      <c r="I904" s="30"/>
    </row>
    <row r="905" spans="4:9">
      <c r="D905" s="47"/>
      <c r="E905" s="143"/>
      <c r="H905" s="2"/>
      <c r="I905" s="30"/>
    </row>
    <row r="906" spans="4:9">
      <c r="D906" s="47"/>
      <c r="E906" s="143"/>
      <c r="H906" s="2"/>
      <c r="I906" s="30"/>
    </row>
    <row r="907" spans="4:9">
      <c r="D907" s="47"/>
      <c r="E907" s="143"/>
      <c r="H907" s="2"/>
      <c r="I907" s="30"/>
    </row>
    <row r="908" spans="4:9">
      <c r="D908" s="47"/>
      <c r="E908" s="143"/>
      <c r="H908" s="2"/>
      <c r="I908" s="30"/>
    </row>
    <row r="909" spans="4:9">
      <c r="D909" s="47"/>
      <c r="E909" s="143"/>
      <c r="H909" s="2"/>
      <c r="I909" s="30"/>
    </row>
    <row r="910" spans="4:9">
      <c r="D910" s="47"/>
      <c r="E910" s="143"/>
      <c r="H910" s="2"/>
      <c r="I910" s="30"/>
    </row>
    <row r="911" spans="4:9">
      <c r="D911" s="47"/>
      <c r="E911" s="143"/>
      <c r="H911" s="2"/>
      <c r="I911" s="30"/>
    </row>
    <row r="912" spans="4:9">
      <c r="D912" s="47"/>
      <c r="E912" s="143"/>
      <c r="H912" s="2"/>
      <c r="I912" s="30"/>
    </row>
    <row r="913" spans="4:9">
      <c r="D913" s="47"/>
      <c r="E913" s="143"/>
      <c r="H913" s="2"/>
      <c r="I913" s="30"/>
    </row>
    <row r="914" spans="4:9">
      <c r="D914" s="47"/>
      <c r="E914" s="143"/>
      <c r="H914" s="2"/>
      <c r="I914" s="30"/>
    </row>
    <row r="915" spans="4:9">
      <c r="D915" s="47"/>
      <c r="E915" s="143"/>
      <c r="H915" s="2"/>
      <c r="I915" s="30"/>
    </row>
    <row r="916" spans="4:9">
      <c r="D916" s="47"/>
      <c r="E916" s="143"/>
      <c r="H916" s="2"/>
      <c r="I916" s="30"/>
    </row>
    <row r="917" spans="4:9">
      <c r="D917" s="47"/>
      <c r="E917" s="143"/>
      <c r="H917" s="2"/>
      <c r="I917" s="30"/>
    </row>
    <row r="918" spans="4:9">
      <c r="D918" s="47"/>
      <c r="E918" s="143"/>
      <c r="H918" s="2"/>
      <c r="I918" s="30"/>
    </row>
    <row r="919" spans="4:9">
      <c r="D919" s="47"/>
      <c r="E919" s="143"/>
      <c r="H919" s="2"/>
      <c r="I919" s="30"/>
    </row>
    <row r="920" spans="4:9">
      <c r="D920" s="47"/>
      <c r="E920" s="143"/>
      <c r="H920" s="2"/>
      <c r="I920" s="30"/>
    </row>
    <row r="921" spans="4:9">
      <c r="D921" s="47"/>
      <c r="E921" s="143"/>
      <c r="H921" s="2"/>
      <c r="I921" s="30"/>
    </row>
    <row r="922" spans="4:9">
      <c r="D922" s="47"/>
      <c r="E922" s="143"/>
      <c r="H922" s="2"/>
      <c r="I922" s="30"/>
    </row>
    <row r="923" spans="4:9">
      <c r="D923" s="47"/>
      <c r="E923" s="143"/>
      <c r="H923" s="2"/>
      <c r="I923" s="30"/>
    </row>
    <row r="924" spans="4:9">
      <c r="D924" s="47"/>
      <c r="E924" s="143"/>
      <c r="H924" s="2"/>
      <c r="I924" s="30"/>
    </row>
    <row r="925" spans="4:9">
      <c r="D925" s="47"/>
      <c r="E925" s="143"/>
      <c r="H925" s="2"/>
      <c r="I925" s="30"/>
    </row>
    <row r="926" spans="4:9">
      <c r="D926" s="47"/>
      <c r="E926" s="143"/>
      <c r="H926" s="2"/>
      <c r="I926" s="30"/>
    </row>
    <row r="927" spans="4:9">
      <c r="D927" s="47"/>
      <c r="E927" s="143"/>
      <c r="H927" s="2"/>
      <c r="I927" s="30"/>
    </row>
    <row r="928" spans="4:9">
      <c r="D928" s="47"/>
      <c r="E928" s="143"/>
      <c r="H928" s="2"/>
      <c r="I928" s="30"/>
    </row>
    <row r="929" spans="4:9">
      <c r="D929" s="47"/>
      <c r="E929" s="143"/>
      <c r="H929" s="2"/>
      <c r="I929" s="30"/>
    </row>
    <row r="930" spans="4:9">
      <c r="D930" s="47"/>
      <c r="E930" s="143"/>
      <c r="H930" s="2"/>
      <c r="I930" s="30"/>
    </row>
    <row r="931" spans="4:9">
      <c r="D931" s="47"/>
      <c r="E931" s="143"/>
      <c r="H931" s="2"/>
      <c r="I931" s="30"/>
    </row>
    <row r="932" spans="4:9">
      <c r="D932" s="47"/>
      <c r="E932" s="143"/>
      <c r="H932" s="2"/>
      <c r="I932" s="30"/>
    </row>
    <row r="933" spans="4:9">
      <c r="D933" s="47"/>
      <c r="E933" s="143"/>
      <c r="H933" s="2"/>
      <c r="I933" s="30"/>
    </row>
    <row r="934" spans="4:9">
      <c r="D934" s="47"/>
      <c r="E934" s="143"/>
      <c r="H934" s="2"/>
      <c r="I934" s="30"/>
    </row>
    <row r="935" spans="4:9">
      <c r="D935" s="47"/>
      <c r="E935" s="143"/>
      <c r="H935" s="2"/>
      <c r="I935" s="30"/>
    </row>
    <row r="936" spans="4:9">
      <c r="D936" s="47"/>
      <c r="E936" s="143"/>
      <c r="H936" s="2"/>
      <c r="I936" s="30"/>
    </row>
    <row r="937" spans="4:9">
      <c r="D937" s="47"/>
      <c r="E937" s="143"/>
      <c r="H937" s="2"/>
      <c r="I937" s="30"/>
    </row>
    <row r="938" spans="4:9">
      <c r="D938" s="47"/>
      <c r="E938" s="143"/>
      <c r="H938" s="2"/>
      <c r="I938" s="30"/>
    </row>
    <row r="939" spans="4:9">
      <c r="D939" s="47"/>
      <c r="E939" s="143"/>
      <c r="H939" s="2"/>
      <c r="I939" s="30"/>
    </row>
    <row r="940" spans="4:9">
      <c r="D940" s="47"/>
      <c r="E940" s="143"/>
      <c r="H940" s="2"/>
      <c r="I940" s="30"/>
    </row>
    <row r="941" spans="4:9">
      <c r="D941" s="47"/>
      <c r="E941" s="143"/>
      <c r="H941" s="2"/>
      <c r="I941" s="30"/>
    </row>
    <row r="942" spans="4:9">
      <c r="D942" s="47"/>
      <c r="E942" s="143"/>
      <c r="H942" s="2"/>
      <c r="I942" s="30"/>
    </row>
    <row r="943" spans="4:9">
      <c r="D943" s="47"/>
      <c r="E943" s="143"/>
      <c r="H943" s="2"/>
      <c r="I943" s="30"/>
    </row>
    <row r="944" spans="4:9">
      <c r="D944" s="47"/>
      <c r="E944" s="143"/>
      <c r="H944" s="2"/>
      <c r="I944" s="30"/>
    </row>
    <row r="945" spans="4:9">
      <c r="D945" s="47"/>
      <c r="E945" s="143"/>
      <c r="H945" s="2"/>
      <c r="I945" s="30"/>
    </row>
    <row r="946" spans="4:9">
      <c r="D946" s="47"/>
      <c r="E946" s="143"/>
      <c r="H946" s="2"/>
      <c r="I946" s="30"/>
    </row>
    <row r="947" spans="4:9">
      <c r="D947" s="47"/>
      <c r="E947" s="143"/>
      <c r="H947" s="2"/>
      <c r="I947" s="30"/>
    </row>
    <row r="948" spans="4:9">
      <c r="D948" s="47"/>
      <c r="E948" s="143"/>
      <c r="H948" s="2"/>
      <c r="I948" s="30"/>
    </row>
    <row r="949" spans="4:9">
      <c r="D949" s="47"/>
      <c r="E949" s="143"/>
      <c r="H949" s="2"/>
      <c r="I949" s="30"/>
    </row>
    <row r="950" spans="4:9">
      <c r="D950" s="47"/>
      <c r="E950" s="143"/>
      <c r="H950" s="2"/>
      <c r="I950" s="30"/>
    </row>
    <row r="951" spans="4:9">
      <c r="D951" s="47"/>
      <c r="E951" s="143"/>
      <c r="H951" s="2"/>
      <c r="I951" s="30"/>
    </row>
    <row r="952" spans="4:9">
      <c r="D952" s="47"/>
      <c r="E952" s="143"/>
      <c r="H952" s="2"/>
      <c r="I952" s="30"/>
    </row>
    <row r="953" spans="4:9">
      <c r="D953" s="47"/>
      <c r="E953" s="143"/>
      <c r="H953" s="2"/>
      <c r="I953" s="30"/>
    </row>
    <row r="954" spans="4:9">
      <c r="D954" s="47"/>
      <c r="E954" s="143"/>
      <c r="H954" s="2"/>
      <c r="I954" s="30"/>
    </row>
    <row r="955" spans="4:9">
      <c r="D955" s="47"/>
      <c r="E955" s="143"/>
      <c r="H955" s="2"/>
      <c r="I955" s="30"/>
    </row>
    <row r="956" spans="4:9">
      <c r="D956" s="47"/>
      <c r="E956" s="143"/>
      <c r="H956" s="2"/>
      <c r="I956" s="30"/>
    </row>
    <row r="957" spans="4:9">
      <c r="D957" s="47"/>
      <c r="E957" s="143"/>
      <c r="H957" s="2"/>
      <c r="I957" s="30"/>
    </row>
    <row r="958" spans="4:9">
      <c r="D958" s="47"/>
      <c r="E958" s="143"/>
      <c r="H958" s="2"/>
      <c r="I958" s="30"/>
    </row>
    <row r="959" spans="4:9">
      <c r="D959" s="47"/>
      <c r="E959" s="143"/>
      <c r="H959" s="2"/>
      <c r="I959" s="30"/>
    </row>
    <row r="960" spans="4:9">
      <c r="D960" s="47"/>
      <c r="E960" s="143"/>
      <c r="H960" s="2"/>
      <c r="I960" s="30"/>
    </row>
    <row r="961" spans="11:15">
      <c r="K961" s="143"/>
      <c r="N961" s="2"/>
      <c r="O961" s="30"/>
    </row>
    <row r="962" spans="11:15">
      <c r="K962" s="143"/>
      <c r="N962" s="2"/>
      <c r="O962" s="30"/>
    </row>
    <row r="963" spans="11:15">
      <c r="K963" s="143"/>
      <c r="N963" s="2"/>
      <c r="O963" s="30"/>
    </row>
    <row r="964" spans="11:15">
      <c r="K964" s="143"/>
      <c r="N964" s="2"/>
      <c r="O964" s="30"/>
    </row>
    <row r="965" spans="11:15">
      <c r="K965" s="143"/>
      <c r="N965" s="2"/>
      <c r="O965" s="30"/>
    </row>
    <row r="966" spans="11:15">
      <c r="K966" s="143"/>
      <c r="N966" s="2"/>
      <c r="O966" s="30"/>
    </row>
    <row r="967" spans="11:15">
      <c r="K967" s="143"/>
      <c r="N967" s="2"/>
      <c r="O967" s="30"/>
    </row>
    <row r="968" spans="11:15">
      <c r="K968" s="143"/>
      <c r="N968" s="2"/>
      <c r="O968" s="30"/>
    </row>
    <row r="969" spans="11:15">
      <c r="K969" s="143"/>
      <c r="N969" s="2"/>
      <c r="O969" s="30"/>
    </row>
    <row r="970" spans="11:15">
      <c r="K970" s="143"/>
      <c r="N970" s="2"/>
      <c r="O970" s="30"/>
    </row>
    <row r="971" spans="11:15">
      <c r="K971" s="143"/>
      <c r="N971" s="2"/>
      <c r="O971" s="30"/>
    </row>
    <row r="972" spans="11:15">
      <c r="K972" s="143"/>
      <c r="N972" s="2"/>
      <c r="O972" s="30"/>
    </row>
    <row r="973" spans="11:15">
      <c r="K973" s="143"/>
      <c r="N973" s="2"/>
      <c r="O973" s="30"/>
    </row>
    <row r="974" spans="11:15">
      <c r="K974" s="143"/>
      <c r="N974" s="2"/>
      <c r="O974" s="30"/>
    </row>
    <row r="975" spans="11:15">
      <c r="K975" s="143"/>
      <c r="N975" s="2"/>
      <c r="O975" s="30"/>
    </row>
    <row r="976" spans="11:15">
      <c r="K976" s="143"/>
      <c r="N976" s="2"/>
      <c r="O976" s="30"/>
    </row>
    <row r="977" spans="11:15">
      <c r="K977" s="143"/>
      <c r="N977" s="2"/>
      <c r="O977" s="30"/>
    </row>
    <row r="978" spans="11:15">
      <c r="K978" s="143"/>
      <c r="N978" s="2"/>
      <c r="O978" s="30"/>
    </row>
    <row r="979" spans="11:15">
      <c r="K979" s="143"/>
      <c r="N979" s="2"/>
      <c r="O979" s="30"/>
    </row>
    <row r="980" spans="11:15">
      <c r="K980" s="143"/>
      <c r="N980" s="2"/>
      <c r="O980" s="30"/>
    </row>
    <row r="981" spans="11:15">
      <c r="K981" s="143"/>
      <c r="N981" s="2"/>
      <c r="O981" s="30"/>
    </row>
    <row r="982" spans="11:15">
      <c r="K982" s="143"/>
      <c r="N982" s="2"/>
      <c r="O982" s="30"/>
    </row>
  </sheetData>
  <hyperlinks>
    <hyperlink ref="M5" r:id="rId1" xr:uid="{D18E98AE-FC96-45E8-B045-D736C8E9DB4E}"/>
    <hyperlink ref="M3" r:id="rId2" xr:uid="{C5FDEBFA-4681-43F0-8B83-588F12429689}"/>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9FADA-5DA9-438C-A12C-A237044BD513}">
  <dimension ref="A1:Q5"/>
  <sheetViews>
    <sheetView workbookViewId="0"/>
  </sheetViews>
  <sheetFormatPr defaultRowHeight="12.75"/>
  <cols>
    <col min="2" max="2" width="16.7109375" customWidth="1"/>
    <col min="3" max="3" width="14" customWidth="1"/>
    <col min="4" max="4" width="15.140625" customWidth="1"/>
    <col min="5" max="5" width="16.85546875" customWidth="1"/>
    <col min="6" max="6" width="48.7109375" customWidth="1"/>
    <col min="7" max="7" width="20.85546875" customWidth="1"/>
    <col min="8" max="8" width="13.28515625" customWidth="1"/>
    <col min="9" max="9" width="18.140625" customWidth="1"/>
    <col min="10" max="10" width="20.28515625" customWidth="1"/>
    <col min="11" max="11" width="13.28515625" customWidth="1"/>
  </cols>
  <sheetData>
    <row r="1" spans="1:17" ht="14.25">
      <c r="A1" s="59" t="s">
        <v>248</v>
      </c>
      <c r="B1" s="154" t="s">
        <v>11</v>
      </c>
      <c r="C1" s="155" t="s">
        <v>306</v>
      </c>
      <c r="D1" s="154" t="s">
        <v>250</v>
      </c>
      <c r="E1" s="155" t="s">
        <v>308</v>
      </c>
      <c r="F1" s="155" t="s">
        <v>309</v>
      </c>
      <c r="G1" s="154" t="s">
        <v>310</v>
      </c>
      <c r="H1" s="154" t="s">
        <v>312</v>
      </c>
      <c r="I1" s="154" t="s">
        <v>253</v>
      </c>
      <c r="J1" s="156" t="s">
        <v>313</v>
      </c>
      <c r="K1" s="157" t="s">
        <v>274</v>
      </c>
      <c r="L1" s="35"/>
      <c r="M1" s="35"/>
      <c r="N1" s="35"/>
      <c r="O1" s="35"/>
      <c r="P1" s="35"/>
      <c r="Q1" s="35"/>
    </row>
    <row r="2" spans="1:17">
      <c r="A2" t="s">
        <v>1689</v>
      </c>
    </row>
    <row r="5" spans="1:17">
      <c r="D5" t="s">
        <v>1667</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DFC3E-3F58-4383-AFF4-18AE8290494C}">
  <dimension ref="A1:ZK992"/>
  <sheetViews>
    <sheetView topLeftCell="T4" workbookViewId="0">
      <selection activeCell="T5" sqref="T5"/>
    </sheetView>
  </sheetViews>
  <sheetFormatPr defaultRowHeight="12.75"/>
  <cols>
    <col min="1" max="1" width="9.140625" style="181"/>
    <col min="2" max="2" width="15.140625" customWidth="1"/>
    <col min="3" max="3" width="23.42578125" style="47" customWidth="1"/>
    <col min="4" max="4" width="12.85546875" customWidth="1"/>
    <col min="5" max="5" width="35.140625" customWidth="1"/>
    <col min="6" max="7" width="9.140625" style="53"/>
    <col min="12" max="12" width="35.85546875" customWidth="1"/>
    <col min="13" max="13" width="19.140625" customWidth="1"/>
    <col min="14" max="15" width="9.42578125" bestFit="1" customWidth="1"/>
    <col min="17" max="17" width="13.28515625" customWidth="1"/>
    <col min="19" max="19" width="9.42578125" bestFit="1" customWidth="1"/>
    <col min="20" max="20" width="14.7109375" customWidth="1"/>
    <col min="21" max="21" width="15.28515625" customWidth="1"/>
    <col min="22" max="22" width="18.5703125" customWidth="1"/>
    <col min="23" max="23" width="15.28515625" style="137" customWidth="1"/>
    <col min="24" max="24" width="38.7109375" customWidth="1"/>
  </cols>
  <sheetData>
    <row r="1" spans="1:687" ht="14.25">
      <c r="A1" s="184"/>
      <c r="B1" s="4"/>
      <c r="C1" s="5"/>
      <c r="D1" s="5"/>
      <c r="E1" s="4"/>
      <c r="F1" s="48"/>
      <c r="G1" s="48"/>
      <c r="H1" s="197"/>
      <c r="I1" s="243"/>
      <c r="J1" s="197"/>
      <c r="K1" s="197"/>
      <c r="L1" s="197"/>
      <c r="M1" s="197"/>
      <c r="N1" s="197"/>
      <c r="O1" s="197"/>
      <c r="P1" s="197"/>
      <c r="Q1" s="197"/>
      <c r="R1" s="197"/>
      <c r="S1" s="197"/>
      <c r="T1" s="197"/>
      <c r="U1" s="197"/>
      <c r="V1" s="197"/>
      <c r="W1" s="188"/>
      <c r="X1" s="209"/>
    </row>
    <row r="2" spans="1:687" ht="46.5">
      <c r="A2" s="234" t="s">
        <v>248</v>
      </c>
      <c r="B2" s="1" t="s">
        <v>249</v>
      </c>
      <c r="C2" s="7" t="s">
        <v>250</v>
      </c>
      <c r="D2" s="235" t="s">
        <v>251</v>
      </c>
      <c r="E2" s="236" t="s">
        <v>252</v>
      </c>
      <c r="F2" s="237" t="s">
        <v>254</v>
      </c>
      <c r="G2" s="237" t="s">
        <v>255</v>
      </c>
      <c r="H2" s="238" t="s">
        <v>259</v>
      </c>
      <c r="I2" s="238" t="s">
        <v>260</v>
      </c>
      <c r="J2" s="238" t="s">
        <v>261</v>
      </c>
      <c r="K2" s="238" t="s">
        <v>262</v>
      </c>
      <c r="L2" s="238" t="s">
        <v>263</v>
      </c>
      <c r="M2" s="238" t="s">
        <v>264</v>
      </c>
      <c r="N2" s="238" t="s">
        <v>265</v>
      </c>
      <c r="O2" s="238" t="s">
        <v>266</v>
      </c>
      <c r="P2" s="238" t="s">
        <v>1571</v>
      </c>
      <c r="Q2" s="238" t="s">
        <v>268</v>
      </c>
      <c r="R2" s="238" t="s">
        <v>1572</v>
      </c>
      <c r="S2" s="238" t="s">
        <v>270</v>
      </c>
      <c r="T2" s="238" t="s">
        <v>268</v>
      </c>
      <c r="U2" s="238" t="s">
        <v>272</v>
      </c>
      <c r="V2" s="238" t="s">
        <v>273</v>
      </c>
      <c r="W2" s="239" t="s">
        <v>253</v>
      </c>
      <c r="X2" s="240" t="s">
        <v>274</v>
      </c>
    </row>
    <row r="3" spans="1:687" ht="24">
      <c r="A3" s="185">
        <v>1</v>
      </c>
      <c r="B3" s="97" t="s">
        <v>1690</v>
      </c>
      <c r="C3" s="64" t="s">
        <v>1691</v>
      </c>
      <c r="D3" s="62" t="s">
        <v>1692</v>
      </c>
      <c r="E3" s="241" t="s">
        <v>1693</v>
      </c>
      <c r="F3" s="251">
        <v>3</v>
      </c>
      <c r="G3" s="125">
        <v>3</v>
      </c>
      <c r="H3" s="19" t="s">
        <v>589</v>
      </c>
      <c r="I3" s="19" t="s">
        <v>1591</v>
      </c>
      <c r="J3" s="19" t="s">
        <v>1591</v>
      </c>
      <c r="K3" s="19" t="s">
        <v>1591</v>
      </c>
      <c r="L3" s="19" t="s">
        <v>1591</v>
      </c>
      <c r="M3" s="19" t="s">
        <v>1591</v>
      </c>
      <c r="N3" s="19" t="s">
        <v>1591</v>
      </c>
      <c r="O3" s="19" t="s">
        <v>1591</v>
      </c>
      <c r="P3" s="19" t="s">
        <v>1591</v>
      </c>
      <c r="Q3" s="19" t="s">
        <v>1591</v>
      </c>
      <c r="R3" s="19" t="s">
        <v>1591</v>
      </c>
      <c r="S3" s="19" t="s">
        <v>1591</v>
      </c>
      <c r="T3" s="19" t="s">
        <v>1591</v>
      </c>
      <c r="U3" s="19" t="s">
        <v>1591</v>
      </c>
      <c r="V3" s="19" t="s">
        <v>1591</v>
      </c>
      <c r="W3" s="41" t="s">
        <v>557</v>
      </c>
      <c r="X3" s="99" t="s">
        <v>1694</v>
      </c>
    </row>
    <row r="4" spans="1:687" ht="24">
      <c r="A4" s="185">
        <v>2</v>
      </c>
      <c r="B4" s="97" t="s">
        <v>1690</v>
      </c>
      <c r="C4" s="12" t="s">
        <v>1695</v>
      </c>
      <c r="D4" s="12" t="s">
        <v>1696</v>
      </c>
      <c r="E4" s="182" t="s">
        <v>1697</v>
      </c>
      <c r="F4" s="251">
        <v>2</v>
      </c>
      <c r="G4" s="125">
        <v>2</v>
      </c>
      <c r="H4" s="19" t="s">
        <v>589</v>
      </c>
      <c r="I4" s="19" t="s">
        <v>1591</v>
      </c>
      <c r="J4" s="19" t="s">
        <v>1591</v>
      </c>
      <c r="K4" s="19" t="s">
        <v>1591</v>
      </c>
      <c r="L4" s="19" t="s">
        <v>1591</v>
      </c>
      <c r="M4" s="19" t="s">
        <v>1591</v>
      </c>
      <c r="N4" s="19" t="s">
        <v>1591</v>
      </c>
      <c r="O4" s="19" t="s">
        <v>1591</v>
      </c>
      <c r="P4" s="19" t="s">
        <v>1591</v>
      </c>
      <c r="Q4" s="19" t="s">
        <v>1591</v>
      </c>
      <c r="R4" s="19" t="s">
        <v>1591</v>
      </c>
      <c r="S4" s="19" t="s">
        <v>1591</v>
      </c>
      <c r="T4" s="19" t="s">
        <v>1591</v>
      </c>
      <c r="U4" s="19" t="s">
        <v>1591</v>
      </c>
      <c r="V4" s="19" t="s">
        <v>1591</v>
      </c>
      <c r="W4" s="41" t="s">
        <v>557</v>
      </c>
      <c r="X4" s="99" t="s">
        <v>1694</v>
      </c>
    </row>
    <row r="5" spans="1:687" ht="58.5">
      <c r="A5" s="185">
        <v>3</v>
      </c>
      <c r="B5" s="97" t="s">
        <v>1690</v>
      </c>
      <c r="C5" s="12" t="s">
        <v>1698</v>
      </c>
      <c r="D5" s="12" t="s">
        <v>1699</v>
      </c>
      <c r="E5" s="182" t="s">
        <v>1700</v>
      </c>
      <c r="F5" s="251">
        <v>3</v>
      </c>
      <c r="G5" s="125">
        <v>3</v>
      </c>
      <c r="H5" s="83" t="s">
        <v>318</v>
      </c>
      <c r="I5" s="19" t="s">
        <v>595</v>
      </c>
      <c r="J5" s="19" t="s">
        <v>1591</v>
      </c>
      <c r="K5" s="19"/>
      <c r="L5" s="19"/>
      <c r="M5" s="200" t="s">
        <v>1701</v>
      </c>
      <c r="N5" s="233">
        <v>45443</v>
      </c>
      <c r="O5" s="233">
        <v>45443</v>
      </c>
      <c r="P5" s="187" t="s">
        <v>595</v>
      </c>
      <c r="Q5" s="203" t="s">
        <v>1557</v>
      </c>
      <c r="R5" s="46" t="s">
        <v>323</v>
      </c>
      <c r="S5" s="233">
        <v>45443</v>
      </c>
      <c r="T5" s="187" t="s">
        <v>1557</v>
      </c>
      <c r="U5" s="187" t="s">
        <v>1591</v>
      </c>
      <c r="V5" s="187" t="s">
        <v>1591</v>
      </c>
      <c r="W5" s="41" t="s">
        <v>557</v>
      </c>
      <c r="X5" s="19"/>
    </row>
    <row r="6" spans="1:687" ht="24">
      <c r="A6" s="185">
        <v>4</v>
      </c>
      <c r="B6" s="97" t="s">
        <v>1690</v>
      </c>
      <c r="C6" s="12" t="s">
        <v>1702</v>
      </c>
      <c r="D6" s="12" t="s">
        <v>1703</v>
      </c>
      <c r="E6" s="182" t="s">
        <v>1704</v>
      </c>
      <c r="F6" s="251">
        <v>3</v>
      </c>
      <c r="G6" s="125">
        <v>3</v>
      </c>
      <c r="H6" s="83" t="s">
        <v>318</v>
      </c>
      <c r="I6" s="19" t="s">
        <v>1591</v>
      </c>
      <c r="J6" s="19" t="s">
        <v>1591</v>
      </c>
      <c r="K6" s="19" t="s">
        <v>1591</v>
      </c>
      <c r="L6" s="19" t="s">
        <v>1591</v>
      </c>
      <c r="M6" s="19" t="s">
        <v>1591</v>
      </c>
      <c r="N6" s="19" t="s">
        <v>1591</v>
      </c>
      <c r="O6" s="19" t="s">
        <v>1591</v>
      </c>
      <c r="P6" s="19" t="s">
        <v>1591</v>
      </c>
      <c r="Q6" s="19" t="s">
        <v>1591</v>
      </c>
      <c r="R6" s="19" t="s">
        <v>1591</v>
      </c>
      <c r="S6" s="19" t="s">
        <v>1591</v>
      </c>
      <c r="T6" s="19" t="s">
        <v>1591</v>
      </c>
      <c r="U6" s="19" t="s">
        <v>1591</v>
      </c>
      <c r="V6" s="19" t="s">
        <v>1591</v>
      </c>
      <c r="W6" s="41" t="s">
        <v>557</v>
      </c>
      <c r="X6" s="19"/>
    </row>
    <row r="7" spans="1:687" ht="24">
      <c r="A7" s="185">
        <v>5</v>
      </c>
      <c r="B7" s="97" t="s">
        <v>1705</v>
      </c>
      <c r="C7" s="12" t="s">
        <v>1702</v>
      </c>
      <c r="D7" s="12" t="s">
        <v>1706</v>
      </c>
      <c r="E7" s="18" t="s">
        <v>1707</v>
      </c>
      <c r="F7" s="251">
        <v>1</v>
      </c>
      <c r="G7" s="125">
        <v>1</v>
      </c>
      <c r="H7" s="83" t="s">
        <v>318</v>
      </c>
      <c r="I7" s="19" t="s">
        <v>1591</v>
      </c>
      <c r="J7" s="19" t="s">
        <v>1591</v>
      </c>
      <c r="K7" s="19" t="s">
        <v>1591</v>
      </c>
      <c r="L7" s="19" t="s">
        <v>1591</v>
      </c>
      <c r="M7" s="19" t="s">
        <v>1591</v>
      </c>
      <c r="N7" s="19" t="s">
        <v>1591</v>
      </c>
      <c r="O7" s="19" t="s">
        <v>1591</v>
      </c>
      <c r="P7" s="19" t="s">
        <v>1591</v>
      </c>
      <c r="Q7" s="19" t="s">
        <v>1591</v>
      </c>
      <c r="R7" s="19" t="s">
        <v>1591</v>
      </c>
      <c r="S7" s="19" t="s">
        <v>1591</v>
      </c>
      <c r="T7" s="19" t="s">
        <v>1591</v>
      </c>
      <c r="U7" s="19" t="s">
        <v>1591</v>
      </c>
      <c r="V7" s="19" t="s">
        <v>1591</v>
      </c>
      <c r="W7" s="41" t="s">
        <v>557</v>
      </c>
      <c r="X7" s="19"/>
    </row>
    <row r="8" spans="1:687" s="58" customFormat="1" ht="14.25" customHeight="1">
      <c r="A8" s="228">
        <v>6</v>
      </c>
      <c r="B8" s="97" t="s">
        <v>1705</v>
      </c>
      <c r="C8" s="12" t="s">
        <v>1587</v>
      </c>
      <c r="D8" s="61" t="s">
        <v>1686</v>
      </c>
      <c r="E8" s="18" t="s">
        <v>1687</v>
      </c>
      <c r="F8" s="253">
        <v>5</v>
      </c>
      <c r="G8" s="125">
        <v>5</v>
      </c>
      <c r="H8" s="19" t="s">
        <v>589</v>
      </c>
      <c r="I8" s="19"/>
      <c r="J8" s="19"/>
      <c r="K8" s="19"/>
      <c r="L8" s="19"/>
      <c r="M8" s="19"/>
      <c r="N8" s="19"/>
      <c r="O8" s="19"/>
      <c r="P8" s="19"/>
      <c r="Q8" s="19"/>
      <c r="R8" s="19"/>
      <c r="S8" s="19"/>
      <c r="T8" s="19"/>
      <c r="U8" s="19"/>
      <c r="V8" s="19"/>
      <c r="W8" s="203" t="s">
        <v>589</v>
      </c>
      <c r="X8" s="245"/>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s="227"/>
      <c r="OW8" s="245"/>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s="227"/>
    </row>
    <row r="9" spans="1:687" s="58" customFormat="1">
      <c r="A9" s="228">
        <v>7</v>
      </c>
      <c r="B9" s="97" t="s">
        <v>1705</v>
      </c>
      <c r="C9" s="12" t="s">
        <v>1702</v>
      </c>
      <c r="D9" s="61" t="s">
        <v>1708</v>
      </c>
      <c r="E9" s="18" t="s">
        <v>1709</v>
      </c>
      <c r="F9" s="251">
        <v>2</v>
      </c>
      <c r="G9" s="125">
        <v>2</v>
      </c>
      <c r="H9" s="30" t="s">
        <v>318</v>
      </c>
      <c r="I9" s="19" t="s">
        <v>1591</v>
      </c>
      <c r="J9" s="19" t="s">
        <v>1591</v>
      </c>
      <c r="K9" s="19" t="s">
        <v>1591</v>
      </c>
      <c r="L9" s="19" t="s">
        <v>1591</v>
      </c>
      <c r="M9" s="19" t="s">
        <v>1591</v>
      </c>
      <c r="N9" s="19" t="s">
        <v>1591</v>
      </c>
      <c r="O9" s="19" t="s">
        <v>1591</v>
      </c>
      <c r="P9" s="19" t="s">
        <v>1591</v>
      </c>
      <c r="Q9" s="19" t="s">
        <v>1591</v>
      </c>
      <c r="R9" s="19" t="s">
        <v>1591</v>
      </c>
      <c r="S9" s="19" t="s">
        <v>1591</v>
      </c>
      <c r="T9" s="19" t="s">
        <v>1591</v>
      </c>
      <c r="U9" s="19" t="s">
        <v>1591</v>
      </c>
      <c r="V9" s="19" t="s">
        <v>1591</v>
      </c>
      <c r="W9" s="203" t="s">
        <v>557</v>
      </c>
      <c r="X9" s="245"/>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s="227"/>
      <c r="OW9" s="245"/>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s="227"/>
    </row>
    <row r="10" spans="1:687" s="218" customFormat="1">
      <c r="A10" s="228">
        <v>8</v>
      </c>
      <c r="B10" s="97" t="s">
        <v>1705</v>
      </c>
      <c r="C10" s="12" t="s">
        <v>1710</v>
      </c>
      <c r="D10" s="61" t="s">
        <v>1711</v>
      </c>
      <c r="E10" s="18" t="s">
        <v>1712</v>
      </c>
      <c r="F10" s="251">
        <v>3</v>
      </c>
      <c r="G10" s="125">
        <v>3</v>
      </c>
      <c r="H10" s="83" t="s">
        <v>318</v>
      </c>
      <c r="I10" s="19" t="s">
        <v>1591</v>
      </c>
      <c r="J10" s="19" t="s">
        <v>1591</v>
      </c>
      <c r="K10" s="19" t="s">
        <v>1591</v>
      </c>
      <c r="L10" s="19" t="s">
        <v>1591</v>
      </c>
      <c r="M10" s="19" t="s">
        <v>1591</v>
      </c>
      <c r="N10" s="19" t="s">
        <v>1591</v>
      </c>
      <c r="O10" s="19" t="s">
        <v>1591</v>
      </c>
      <c r="P10" s="19" t="s">
        <v>1591</v>
      </c>
      <c r="Q10" s="19" t="s">
        <v>1591</v>
      </c>
      <c r="R10" s="19" t="s">
        <v>1591</v>
      </c>
      <c r="S10" s="19" t="s">
        <v>1591</v>
      </c>
      <c r="T10" s="19" t="s">
        <v>1591</v>
      </c>
      <c r="U10" s="19" t="s">
        <v>1591</v>
      </c>
      <c r="V10" s="19" t="s">
        <v>1591</v>
      </c>
      <c r="W10" s="64" t="s">
        <v>557</v>
      </c>
      <c r="X10" s="245"/>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s="242"/>
      <c r="OW10" s="249"/>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s="242"/>
    </row>
    <row r="11" spans="1:687" s="229" customFormat="1" ht="31.5" customHeight="1">
      <c r="A11" s="228">
        <v>9</v>
      </c>
      <c r="B11" s="97" t="s">
        <v>1705</v>
      </c>
      <c r="C11" s="46" t="s">
        <v>1447</v>
      </c>
      <c r="D11" s="187" t="s">
        <v>1713</v>
      </c>
      <c r="E11" s="11" t="s">
        <v>1714</v>
      </c>
      <c r="F11" s="252">
        <v>2</v>
      </c>
      <c r="G11" s="230">
        <v>2</v>
      </c>
      <c r="H11" s="83" t="s">
        <v>318</v>
      </c>
      <c r="I11" s="41" t="s">
        <v>595</v>
      </c>
      <c r="J11" s="203" t="s">
        <v>1591</v>
      </c>
      <c r="K11" s="41" t="s">
        <v>595</v>
      </c>
      <c r="L11" s="203" t="s">
        <v>1591</v>
      </c>
      <c r="M11" s="231" t="s">
        <v>1715</v>
      </c>
      <c r="N11" s="232">
        <v>45447</v>
      </c>
      <c r="O11" s="232">
        <v>45447</v>
      </c>
      <c r="P11" s="41" t="s">
        <v>323</v>
      </c>
      <c r="Q11" s="203" t="s">
        <v>1557</v>
      </c>
      <c r="R11" s="203" t="s">
        <v>322</v>
      </c>
      <c r="S11" s="206">
        <v>45447</v>
      </c>
      <c r="T11" s="203" t="s">
        <v>1557</v>
      </c>
      <c r="U11" s="203" t="s">
        <v>1591</v>
      </c>
      <c r="V11" s="203" t="s">
        <v>1591</v>
      </c>
      <c r="W11" s="203" t="s">
        <v>557</v>
      </c>
      <c r="X11" s="246"/>
      <c r="Y11" s="244"/>
      <c r="Z11" s="244"/>
      <c r="AA11" s="244"/>
      <c r="AB11" s="244"/>
      <c r="AC11" s="244"/>
      <c r="AD11" s="244"/>
      <c r="AE11" s="137"/>
      <c r="AF11" s="137"/>
      <c r="AG11" s="137"/>
      <c r="AH11" s="137"/>
      <c r="AI11" s="137"/>
      <c r="AJ11" s="137"/>
      <c r="AK11" s="137"/>
      <c r="AL11" s="137"/>
      <c r="AM11" s="137"/>
      <c r="AN11" s="137"/>
      <c r="AO11" s="137"/>
      <c r="AP11" s="137"/>
      <c r="AQ11" s="137"/>
      <c r="AR11" s="137"/>
      <c r="AS11" s="137"/>
      <c r="AT11" s="137"/>
      <c r="AU11" s="137"/>
      <c r="AV11" s="137"/>
      <c r="AW11" s="137"/>
      <c r="AX11" s="137"/>
      <c r="AY11" s="137"/>
      <c r="AZ11" s="137"/>
      <c r="BA11" s="137"/>
      <c r="BB11" s="137"/>
      <c r="BC11" s="137"/>
      <c r="BD11" s="137"/>
      <c r="BE11" s="137"/>
      <c r="BF11" s="137"/>
      <c r="BG11" s="137"/>
      <c r="BH11" s="137"/>
      <c r="BI11" s="137"/>
      <c r="BJ11" s="137"/>
      <c r="BK11" s="137"/>
      <c r="BL11" s="137"/>
      <c r="BM11" s="137"/>
      <c r="BN11" s="137"/>
      <c r="BO11" s="137"/>
      <c r="BP11" s="137"/>
      <c r="BQ11" s="137"/>
      <c r="BR11" s="137"/>
      <c r="BS11" s="137"/>
      <c r="BT11" s="137"/>
      <c r="BU11" s="137"/>
      <c r="BV11" s="137"/>
      <c r="BW11" s="137"/>
      <c r="BX11" s="137"/>
      <c r="BY11" s="137"/>
      <c r="BZ11" s="137"/>
      <c r="CA11" s="137"/>
      <c r="CB11" s="137"/>
      <c r="CC11" s="137"/>
      <c r="CD11" s="137"/>
      <c r="CE11" s="137"/>
      <c r="CF11" s="137"/>
      <c r="CG11" s="137"/>
      <c r="CH11" s="137"/>
      <c r="CI11" s="137"/>
      <c r="CJ11" s="137"/>
      <c r="CK11" s="137"/>
      <c r="CL11" s="137"/>
      <c r="CM11" s="137"/>
      <c r="CN11" s="137"/>
      <c r="CO11" s="137"/>
      <c r="CP11" s="137"/>
      <c r="CQ11" s="137"/>
      <c r="CR11" s="137"/>
      <c r="CS11" s="137"/>
      <c r="CT11" s="137"/>
      <c r="CU11" s="137"/>
      <c r="CV11" s="137"/>
      <c r="CW11" s="137"/>
      <c r="CX11" s="137"/>
      <c r="CY11" s="137"/>
      <c r="CZ11" s="137"/>
      <c r="DA11" s="137"/>
      <c r="DB11" s="137"/>
      <c r="DC11" s="137"/>
      <c r="DD11" s="137"/>
      <c r="DE11" s="137"/>
      <c r="DF11" s="137"/>
      <c r="DG11" s="137"/>
      <c r="DH11" s="137"/>
      <c r="DI11" s="137"/>
      <c r="DJ11" s="137"/>
      <c r="DK11" s="137"/>
      <c r="DL11" s="137"/>
      <c r="DM11" s="137"/>
      <c r="DN11" s="137"/>
      <c r="DO11" s="137"/>
      <c r="DP11" s="137"/>
      <c r="DQ11" s="137"/>
      <c r="DR11" s="137"/>
      <c r="DS11" s="137"/>
      <c r="DT11" s="137"/>
      <c r="DU11" s="137"/>
      <c r="DV11" s="137"/>
      <c r="DW11" s="137"/>
      <c r="DX11" s="137"/>
      <c r="DY11" s="137"/>
      <c r="DZ11" s="137"/>
      <c r="EA11" s="137"/>
      <c r="EB11" s="137"/>
      <c r="EC11" s="137"/>
      <c r="ED11" s="137"/>
      <c r="EE11" s="137"/>
      <c r="EF11" s="137"/>
      <c r="EG11" s="137"/>
      <c r="EH11" s="137"/>
      <c r="EI11" s="137"/>
      <c r="EJ11" s="137"/>
      <c r="EK11" s="137"/>
      <c r="EL11" s="137"/>
      <c r="EM11" s="137"/>
      <c r="EN11" s="137"/>
      <c r="EO11" s="137"/>
      <c r="EP11" s="137"/>
      <c r="EQ11" s="137"/>
      <c r="ER11" s="137"/>
      <c r="ES11" s="137"/>
      <c r="ET11" s="137"/>
      <c r="EU11" s="137"/>
      <c r="EV11" s="137"/>
      <c r="EW11" s="137"/>
      <c r="EX11" s="137"/>
      <c r="EY11" s="137"/>
      <c r="EZ11" s="137"/>
      <c r="FA11" s="137"/>
      <c r="FB11" s="137"/>
      <c r="FC11" s="137"/>
      <c r="FD11" s="137"/>
      <c r="FE11" s="137"/>
      <c r="FF11" s="137"/>
      <c r="FG11" s="137"/>
      <c r="FH11" s="137"/>
      <c r="FI11" s="137"/>
      <c r="FJ11" s="137"/>
      <c r="FK11" s="137"/>
      <c r="FL11" s="137"/>
      <c r="FM11" s="137"/>
      <c r="FN11" s="137"/>
      <c r="FO11" s="137"/>
      <c r="FP11" s="137"/>
      <c r="FQ11" s="137"/>
      <c r="FR11" s="137"/>
      <c r="FS11" s="137"/>
      <c r="FT11" s="137"/>
      <c r="FU11" s="137"/>
      <c r="FV11" s="137"/>
      <c r="FW11" s="137"/>
      <c r="FX11" s="137"/>
      <c r="FY11" s="137"/>
      <c r="FZ11" s="137"/>
      <c r="GA11" s="137"/>
      <c r="GB11" s="137"/>
      <c r="GC11" s="137"/>
      <c r="GD11" s="137"/>
      <c r="GE11" s="137"/>
      <c r="GF11" s="137"/>
      <c r="GG11" s="137"/>
      <c r="GH11" s="137"/>
      <c r="GI11" s="137"/>
      <c r="GJ11" s="137"/>
      <c r="GK11" s="137"/>
      <c r="GL11" s="137"/>
      <c r="GM11" s="137"/>
      <c r="GN11" s="137"/>
      <c r="GO11" s="137"/>
      <c r="GP11" s="137"/>
      <c r="GQ11" s="137"/>
      <c r="GR11" s="137"/>
      <c r="GS11" s="137"/>
      <c r="GT11" s="137"/>
      <c r="GU11" s="137"/>
      <c r="GV11" s="137"/>
      <c r="GW11" s="137"/>
      <c r="GX11" s="137"/>
      <c r="GY11" s="137"/>
      <c r="GZ11" s="137"/>
      <c r="HA11" s="137"/>
      <c r="HB11" s="137"/>
      <c r="HC11" s="137"/>
      <c r="HD11" s="137"/>
      <c r="HE11" s="137"/>
      <c r="HF11" s="137"/>
      <c r="HG11" s="137"/>
      <c r="HH11" s="137"/>
      <c r="HI11" s="137"/>
      <c r="HJ11" s="137"/>
      <c r="HK11" s="137"/>
      <c r="HL11" s="137"/>
      <c r="HM11" s="137"/>
      <c r="HN11" s="137"/>
      <c r="HO11" s="137"/>
      <c r="HP11" s="137"/>
      <c r="HQ11" s="137"/>
      <c r="HR11" s="137"/>
      <c r="HS11" s="137"/>
      <c r="HT11" s="137"/>
      <c r="HU11" s="137"/>
      <c r="HV11" s="137"/>
      <c r="HW11" s="137"/>
      <c r="HX11" s="137"/>
      <c r="HY11" s="137"/>
      <c r="HZ11" s="137"/>
      <c r="IA11" s="137"/>
      <c r="IB11" s="137"/>
      <c r="IC11" s="137"/>
      <c r="ID11" s="137"/>
      <c r="IE11" s="137"/>
      <c r="IF11" s="137"/>
      <c r="IG11" s="137"/>
      <c r="IH11" s="137"/>
      <c r="II11" s="137"/>
      <c r="IJ11" s="137"/>
      <c r="IK11" s="137"/>
      <c r="IL11" s="137"/>
      <c r="IM11" s="137"/>
      <c r="IN11" s="137"/>
      <c r="IO11" s="137"/>
      <c r="IP11" s="247"/>
      <c r="OW11" s="250"/>
      <c r="OX11" s="137"/>
      <c r="OY11" s="137"/>
      <c r="OZ11" s="137"/>
      <c r="PA11" s="137"/>
      <c r="PB11" s="137"/>
      <c r="PC11" s="137"/>
      <c r="PD11" s="137"/>
      <c r="PE11" s="137"/>
      <c r="PF11" s="137"/>
      <c r="PG11" s="137"/>
      <c r="PH11" s="137"/>
      <c r="PI11" s="137"/>
      <c r="PJ11" s="137"/>
      <c r="PK11" s="137"/>
      <c r="PL11" s="137"/>
      <c r="PM11" s="137"/>
      <c r="PN11" s="137"/>
      <c r="PO11" s="137"/>
      <c r="PP11" s="137"/>
      <c r="PQ11" s="137"/>
      <c r="PR11" s="137"/>
      <c r="PS11" s="137"/>
      <c r="PT11" s="137"/>
      <c r="PU11" s="137"/>
      <c r="PV11" s="137"/>
      <c r="PW11" s="137"/>
      <c r="PX11" s="137"/>
      <c r="PY11" s="137"/>
      <c r="PZ11" s="137"/>
      <c r="QA11" s="137"/>
      <c r="QB11" s="137"/>
      <c r="QC11" s="137"/>
      <c r="QD11" s="137"/>
      <c r="QE11" s="137"/>
      <c r="QF11" s="137"/>
      <c r="QG11" s="137"/>
      <c r="QH11" s="137"/>
      <c r="QI11" s="137"/>
      <c r="QJ11" s="137"/>
      <c r="QK11" s="137"/>
      <c r="QL11" s="137"/>
      <c r="QM11" s="137"/>
      <c r="QN11" s="137"/>
      <c r="QO11" s="137"/>
      <c r="QP11" s="137"/>
      <c r="QQ11" s="137"/>
      <c r="QR11" s="137"/>
      <c r="QS11" s="137"/>
      <c r="QT11" s="137"/>
      <c r="QU11" s="137"/>
      <c r="QV11" s="137"/>
      <c r="QW11" s="137"/>
      <c r="QX11" s="137"/>
      <c r="QY11" s="137"/>
      <c r="QZ11" s="137"/>
      <c r="RA11" s="137"/>
      <c r="RB11" s="137"/>
      <c r="RC11" s="137"/>
      <c r="RD11" s="137"/>
      <c r="RE11" s="137"/>
      <c r="RF11" s="137"/>
      <c r="RG11" s="137"/>
      <c r="RH11" s="137"/>
      <c r="RI11" s="137"/>
      <c r="RJ11" s="137"/>
      <c r="RK11" s="137"/>
      <c r="RL11" s="137"/>
      <c r="RM11" s="137"/>
      <c r="RN11" s="137"/>
      <c r="RO11" s="137"/>
      <c r="RP11" s="137"/>
      <c r="RQ11" s="137"/>
      <c r="RR11" s="137"/>
      <c r="RS11" s="137"/>
      <c r="RT11" s="137"/>
      <c r="RU11" s="137"/>
      <c r="RV11" s="137"/>
      <c r="RW11" s="137"/>
      <c r="RX11" s="137"/>
      <c r="RY11" s="137"/>
      <c r="RZ11" s="137"/>
      <c r="SA11" s="137"/>
      <c r="SB11" s="137"/>
      <c r="SC11" s="137"/>
      <c r="SD11" s="137"/>
      <c r="SE11" s="137"/>
      <c r="SF11" s="137"/>
      <c r="SG11" s="137"/>
      <c r="SH11" s="137"/>
      <c r="SI11" s="137"/>
      <c r="SJ11" s="137"/>
      <c r="SK11" s="137"/>
      <c r="SL11" s="137"/>
      <c r="SM11" s="137"/>
      <c r="SN11" s="137"/>
      <c r="SO11" s="137"/>
      <c r="SP11" s="137"/>
      <c r="SQ11" s="137"/>
      <c r="SR11" s="137"/>
      <c r="SS11" s="137"/>
      <c r="ST11" s="137"/>
      <c r="SU11" s="137"/>
      <c r="SV11" s="137"/>
      <c r="SW11" s="137"/>
      <c r="SX11" s="137"/>
      <c r="SY11" s="137"/>
      <c r="SZ11" s="137"/>
      <c r="TA11" s="137"/>
      <c r="TB11" s="137"/>
      <c r="TC11" s="137"/>
      <c r="TD11" s="137"/>
      <c r="TE11" s="137"/>
      <c r="TF11" s="137"/>
      <c r="TG11" s="137"/>
      <c r="TH11" s="137"/>
      <c r="TI11" s="137"/>
      <c r="TJ11" s="137"/>
      <c r="TK11" s="137"/>
      <c r="TL11" s="137"/>
      <c r="TM11" s="137"/>
      <c r="TN11" s="137"/>
      <c r="TO11" s="137"/>
      <c r="TP11" s="137"/>
      <c r="TQ11" s="137"/>
      <c r="TR11" s="137"/>
      <c r="TS11" s="137"/>
      <c r="TT11" s="137"/>
      <c r="TU11" s="137"/>
      <c r="TV11" s="137"/>
      <c r="TW11" s="137"/>
      <c r="TX11" s="137"/>
      <c r="TY11" s="137"/>
      <c r="TZ11" s="137"/>
      <c r="UA11" s="137"/>
      <c r="UB11" s="137"/>
      <c r="UC11" s="137"/>
      <c r="UD11" s="137"/>
      <c r="UE11" s="137"/>
      <c r="UF11" s="137"/>
      <c r="UG11" s="137"/>
      <c r="UH11" s="137"/>
      <c r="UI11" s="137"/>
      <c r="UJ11" s="137"/>
      <c r="UK11" s="137"/>
      <c r="UL11" s="137"/>
      <c r="UM11" s="137"/>
      <c r="UN11" s="137"/>
      <c r="UO11" s="137"/>
      <c r="UP11" s="137"/>
      <c r="UQ11" s="137"/>
      <c r="UR11" s="137"/>
      <c r="US11" s="137"/>
      <c r="UT11" s="137"/>
      <c r="UU11" s="137"/>
      <c r="UV11" s="137"/>
      <c r="UW11" s="137"/>
      <c r="UX11" s="137"/>
      <c r="UY11" s="137"/>
      <c r="UZ11" s="137"/>
      <c r="VA11" s="137"/>
      <c r="VB11" s="137"/>
      <c r="VC11" s="137"/>
      <c r="VD11" s="137"/>
      <c r="VE11" s="137"/>
      <c r="VF11" s="137"/>
      <c r="VG11" s="137"/>
      <c r="VH11" s="137"/>
      <c r="VI11" s="137"/>
      <c r="VJ11" s="137"/>
      <c r="VK11" s="137"/>
      <c r="VL11" s="137"/>
      <c r="VM11" s="137"/>
      <c r="VN11" s="137"/>
      <c r="VO11" s="137"/>
      <c r="VP11" s="137"/>
      <c r="VQ11" s="137"/>
      <c r="VR11" s="137"/>
      <c r="VS11" s="137"/>
      <c r="VT11" s="137"/>
      <c r="VU11" s="137"/>
      <c r="VV11" s="137"/>
      <c r="VW11" s="137"/>
      <c r="VX11" s="137"/>
      <c r="VY11" s="137"/>
      <c r="VZ11" s="137"/>
      <c r="WA11" s="137"/>
      <c r="WB11" s="137"/>
      <c r="WC11" s="137"/>
      <c r="WD11" s="137"/>
      <c r="WE11" s="137"/>
      <c r="WF11" s="137"/>
      <c r="WG11" s="137"/>
      <c r="WH11" s="137"/>
      <c r="WI11" s="137"/>
      <c r="WJ11" s="137"/>
      <c r="WK11" s="137"/>
      <c r="WL11" s="137"/>
      <c r="WM11" s="137"/>
      <c r="WN11" s="137"/>
      <c r="WO11" s="137"/>
      <c r="WP11" s="137"/>
      <c r="WQ11" s="137"/>
      <c r="WR11" s="137"/>
      <c r="WS11" s="137"/>
      <c r="WT11" s="137"/>
      <c r="WU11" s="137"/>
      <c r="WV11" s="137"/>
      <c r="WW11" s="137"/>
      <c r="WX11" s="137"/>
      <c r="WY11" s="137"/>
      <c r="WZ11" s="137"/>
      <c r="XA11" s="137"/>
      <c r="XB11" s="137"/>
      <c r="XC11" s="137"/>
      <c r="XD11" s="137"/>
      <c r="XE11" s="137"/>
      <c r="XF11" s="137"/>
      <c r="XG11" s="137"/>
      <c r="XH11" s="137"/>
      <c r="XI11" s="137"/>
      <c r="XJ11" s="137"/>
      <c r="XK11" s="137"/>
      <c r="XL11" s="137"/>
      <c r="XM11" s="137"/>
      <c r="XN11" s="137"/>
      <c r="XO11" s="137"/>
      <c r="XP11" s="137"/>
      <c r="XQ11" s="137"/>
      <c r="XR11" s="137"/>
      <c r="XS11" s="137"/>
      <c r="XT11" s="137"/>
      <c r="XU11" s="137"/>
      <c r="XV11" s="137"/>
      <c r="XW11" s="137"/>
      <c r="XX11" s="137"/>
      <c r="XY11" s="137"/>
      <c r="XZ11" s="137"/>
      <c r="YA11" s="137"/>
      <c r="YB11" s="137"/>
      <c r="YC11" s="137"/>
      <c r="YD11" s="137"/>
      <c r="YE11" s="137"/>
      <c r="YF11" s="137"/>
      <c r="YG11" s="137"/>
      <c r="YH11" s="137"/>
      <c r="YI11" s="137"/>
      <c r="YJ11" s="137"/>
      <c r="YK11" s="137"/>
      <c r="YL11" s="137"/>
      <c r="YM11" s="137"/>
      <c r="YN11" s="137"/>
      <c r="YO11" s="137"/>
      <c r="YP11" s="137"/>
      <c r="YQ11" s="137"/>
      <c r="YR11" s="137"/>
      <c r="YS11" s="137"/>
      <c r="YT11" s="137"/>
      <c r="YU11" s="137"/>
      <c r="YV11" s="137"/>
      <c r="YW11" s="137"/>
      <c r="YX11" s="137"/>
      <c r="YY11" s="137"/>
      <c r="YZ11" s="137"/>
      <c r="ZA11" s="137"/>
      <c r="ZB11" s="137"/>
      <c r="ZC11" s="137"/>
      <c r="ZD11" s="137"/>
      <c r="ZE11" s="137"/>
      <c r="ZF11" s="137"/>
      <c r="ZG11" s="137"/>
      <c r="ZH11" s="137"/>
      <c r="ZI11" s="137"/>
      <c r="ZJ11" s="137"/>
      <c r="ZK11" s="247"/>
    </row>
    <row r="12" spans="1:687" s="218" customFormat="1" ht="24">
      <c r="A12" s="228">
        <v>10</v>
      </c>
      <c r="B12" s="97" t="s">
        <v>1705</v>
      </c>
      <c r="C12" s="12" t="s">
        <v>1447</v>
      </c>
      <c r="D12" s="61" t="s">
        <v>1671</v>
      </c>
      <c r="E12" s="18" t="s">
        <v>1716</v>
      </c>
      <c r="F12" s="251">
        <v>2</v>
      </c>
      <c r="G12" s="125">
        <v>1</v>
      </c>
      <c r="H12" s="83" t="s">
        <v>318</v>
      </c>
      <c r="I12" s="19" t="s">
        <v>1591</v>
      </c>
      <c r="J12" s="19" t="s">
        <v>1591</v>
      </c>
      <c r="K12" s="19" t="s">
        <v>1591</v>
      </c>
      <c r="L12" s="19" t="s">
        <v>1591</v>
      </c>
      <c r="M12" s="19" t="s">
        <v>1591</v>
      </c>
      <c r="N12" s="19" t="s">
        <v>1591</v>
      </c>
      <c r="O12" s="19" t="s">
        <v>1591</v>
      </c>
      <c r="P12" s="19" t="s">
        <v>1591</v>
      </c>
      <c r="Q12" s="19" t="s">
        <v>1591</v>
      </c>
      <c r="R12" s="19" t="s">
        <v>1591</v>
      </c>
      <c r="S12" s="19" t="s">
        <v>1591</v>
      </c>
      <c r="T12" s="19" t="s">
        <v>1591</v>
      </c>
      <c r="U12" s="19" t="s">
        <v>1591</v>
      </c>
      <c r="V12" s="19" t="s">
        <v>1591</v>
      </c>
      <c r="W12" s="41" t="s">
        <v>557</v>
      </c>
      <c r="X12" s="99" t="s">
        <v>1694</v>
      </c>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s="242"/>
      <c r="OW12" s="249"/>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s="242"/>
    </row>
    <row r="13" spans="1:687" s="203" customFormat="1" ht="31.5" customHeight="1">
      <c r="A13" s="228">
        <v>11</v>
      </c>
      <c r="B13" s="97" t="s">
        <v>1705</v>
      </c>
      <c r="C13" s="64" t="s">
        <v>1710</v>
      </c>
      <c r="D13" s="187" t="s">
        <v>1717</v>
      </c>
      <c r="E13" s="11" t="s">
        <v>1718</v>
      </c>
      <c r="F13" s="252">
        <v>2</v>
      </c>
      <c r="G13" s="230">
        <v>2</v>
      </c>
      <c r="H13" s="83" t="s">
        <v>318</v>
      </c>
      <c r="I13" s="41" t="s">
        <v>595</v>
      </c>
      <c r="J13" s="203" t="s">
        <v>1591</v>
      </c>
      <c r="K13" s="41" t="s">
        <v>595</v>
      </c>
      <c r="L13" s="203" t="s">
        <v>1591</v>
      </c>
      <c r="M13" s="231" t="s">
        <v>1701</v>
      </c>
      <c r="N13" s="233">
        <v>45443</v>
      </c>
      <c r="O13" s="233">
        <v>45443</v>
      </c>
      <c r="P13" s="187" t="s">
        <v>595</v>
      </c>
      <c r="Q13" s="187" t="s">
        <v>1557</v>
      </c>
      <c r="R13" s="46" t="s">
        <v>323</v>
      </c>
      <c r="S13" s="233">
        <v>45443</v>
      </c>
      <c r="T13" s="187" t="s">
        <v>1557</v>
      </c>
      <c r="U13" s="203" t="s">
        <v>1591</v>
      </c>
      <c r="V13" s="203" t="s">
        <v>1591</v>
      </c>
      <c r="W13" s="203" t="s">
        <v>557</v>
      </c>
      <c r="X13" s="246"/>
      <c r="Y13" s="244"/>
      <c r="Z13" s="244"/>
      <c r="AA13" s="244"/>
      <c r="AB13" s="244"/>
      <c r="AC13" s="244"/>
      <c r="AD13" s="244"/>
      <c r="AE13" s="137"/>
      <c r="AF13" s="137"/>
      <c r="AG13" s="137"/>
      <c r="AH13" s="137"/>
      <c r="AI13" s="137"/>
      <c r="AJ13" s="137"/>
      <c r="AK13" s="137"/>
      <c r="AL13" s="137"/>
      <c r="AM13" s="137"/>
      <c r="AN13" s="137"/>
      <c r="AO13" s="137"/>
      <c r="AP13" s="137"/>
      <c r="AQ13" s="137"/>
      <c r="AR13" s="137"/>
      <c r="AS13" s="137"/>
      <c r="AT13" s="137"/>
      <c r="AU13" s="137"/>
      <c r="AV13" s="137"/>
      <c r="AW13" s="137"/>
      <c r="AX13" s="137"/>
      <c r="AY13" s="137"/>
      <c r="AZ13" s="137"/>
      <c r="BA13" s="137"/>
      <c r="BB13" s="137"/>
      <c r="BC13" s="137"/>
      <c r="BD13" s="137"/>
      <c r="BE13" s="137"/>
      <c r="BF13" s="137"/>
      <c r="BG13" s="137"/>
      <c r="BH13" s="137"/>
      <c r="BI13" s="137"/>
      <c r="BJ13" s="137"/>
      <c r="BK13" s="137"/>
      <c r="BL13" s="137"/>
      <c r="BM13" s="137"/>
      <c r="BN13" s="137"/>
      <c r="BO13" s="137"/>
      <c r="BP13" s="137"/>
      <c r="BQ13" s="137"/>
      <c r="BR13" s="137"/>
      <c r="BS13" s="137"/>
      <c r="BT13" s="137"/>
      <c r="BU13" s="137"/>
      <c r="BV13" s="137"/>
      <c r="BW13" s="137"/>
      <c r="BX13" s="137"/>
      <c r="BY13" s="137"/>
      <c r="BZ13" s="137"/>
      <c r="CA13" s="137"/>
      <c r="CB13" s="137"/>
      <c r="CC13" s="137"/>
      <c r="CD13" s="137"/>
      <c r="CE13" s="137"/>
      <c r="CF13" s="137"/>
      <c r="CG13" s="137"/>
      <c r="CH13" s="137"/>
      <c r="CI13" s="137"/>
      <c r="CJ13" s="137"/>
      <c r="CK13" s="137"/>
      <c r="CL13" s="137"/>
      <c r="CM13" s="137"/>
      <c r="CN13" s="137"/>
      <c r="CO13" s="137"/>
      <c r="CP13" s="137"/>
      <c r="CQ13" s="137"/>
      <c r="CR13" s="137"/>
      <c r="CS13" s="137"/>
      <c r="CT13" s="137"/>
      <c r="CU13" s="137"/>
      <c r="CV13" s="137"/>
      <c r="CW13" s="137"/>
      <c r="CX13" s="137"/>
      <c r="CY13" s="137"/>
      <c r="CZ13" s="137"/>
      <c r="DA13" s="137"/>
      <c r="DB13" s="137"/>
      <c r="DC13" s="137"/>
      <c r="DD13" s="137"/>
      <c r="DE13" s="137"/>
      <c r="DF13" s="137"/>
      <c r="DG13" s="137"/>
      <c r="DH13" s="137"/>
      <c r="DI13" s="137"/>
      <c r="DJ13" s="137"/>
      <c r="DK13" s="137"/>
      <c r="DL13" s="137"/>
      <c r="DM13" s="137"/>
      <c r="DN13" s="137"/>
      <c r="DO13" s="137"/>
      <c r="DP13" s="137"/>
      <c r="DQ13" s="137"/>
      <c r="DR13" s="137"/>
      <c r="DS13" s="137"/>
      <c r="DT13" s="137"/>
      <c r="DU13" s="137"/>
      <c r="DV13" s="137"/>
      <c r="DW13" s="137"/>
      <c r="DX13" s="137"/>
      <c r="DY13" s="137"/>
      <c r="DZ13" s="137"/>
      <c r="EA13" s="137"/>
      <c r="EB13" s="137"/>
      <c r="EC13" s="137"/>
      <c r="ED13" s="137"/>
      <c r="EE13" s="137"/>
      <c r="EF13" s="137"/>
      <c r="EG13" s="137"/>
      <c r="EH13" s="137"/>
      <c r="EI13" s="137"/>
      <c r="EJ13" s="137"/>
      <c r="EK13" s="137"/>
      <c r="EL13" s="137"/>
      <c r="EM13" s="137"/>
      <c r="EN13" s="137"/>
      <c r="EO13" s="137"/>
      <c r="EP13" s="137"/>
      <c r="EQ13" s="137"/>
      <c r="ER13" s="137"/>
      <c r="ES13" s="137"/>
      <c r="ET13" s="137"/>
      <c r="EU13" s="137"/>
      <c r="EV13" s="137"/>
      <c r="EW13" s="137"/>
      <c r="EX13" s="137"/>
      <c r="EY13" s="137"/>
      <c r="EZ13" s="137"/>
      <c r="FA13" s="137"/>
      <c r="FB13" s="137"/>
      <c r="FC13" s="137"/>
      <c r="FD13" s="137"/>
      <c r="FE13" s="137"/>
      <c r="FF13" s="137"/>
      <c r="FG13" s="137"/>
      <c r="FH13" s="137"/>
      <c r="FI13" s="137"/>
      <c r="FJ13" s="137"/>
      <c r="FK13" s="137"/>
      <c r="FL13" s="137"/>
      <c r="FM13" s="137"/>
      <c r="FN13" s="137"/>
      <c r="FO13" s="137"/>
      <c r="FP13" s="137"/>
      <c r="FQ13" s="137"/>
      <c r="FR13" s="137"/>
      <c r="FS13" s="137"/>
      <c r="FT13" s="137"/>
      <c r="FU13" s="137"/>
      <c r="FV13" s="137"/>
      <c r="FW13" s="137"/>
      <c r="FX13" s="137"/>
      <c r="FY13" s="137"/>
      <c r="FZ13" s="137"/>
      <c r="GA13" s="137"/>
      <c r="GB13" s="137"/>
      <c r="GC13" s="137"/>
      <c r="GD13" s="137"/>
      <c r="GE13" s="137"/>
      <c r="GF13" s="137"/>
      <c r="GG13" s="137"/>
      <c r="GH13" s="137"/>
      <c r="GI13" s="137"/>
      <c r="GJ13" s="137"/>
      <c r="GK13" s="137"/>
      <c r="GL13" s="137"/>
      <c r="GM13" s="137"/>
      <c r="GN13" s="137"/>
      <c r="GO13" s="137"/>
      <c r="GP13" s="137"/>
      <c r="GQ13" s="137"/>
      <c r="GR13" s="137"/>
      <c r="GS13" s="137"/>
      <c r="GT13" s="137"/>
      <c r="GU13" s="137"/>
      <c r="GV13" s="137"/>
      <c r="GW13" s="137"/>
      <c r="GX13" s="137"/>
      <c r="GY13" s="137"/>
      <c r="GZ13" s="137"/>
      <c r="HA13" s="137"/>
      <c r="HB13" s="137"/>
      <c r="HC13" s="137"/>
      <c r="HD13" s="137"/>
      <c r="HE13" s="137"/>
      <c r="HF13" s="137"/>
      <c r="HG13" s="137"/>
      <c r="HH13" s="137"/>
      <c r="HI13" s="137"/>
      <c r="HJ13" s="137"/>
      <c r="HK13" s="137"/>
      <c r="HL13" s="137"/>
      <c r="HM13" s="137"/>
      <c r="HN13" s="137"/>
      <c r="HO13" s="137"/>
      <c r="HP13" s="137"/>
      <c r="HQ13" s="137"/>
      <c r="HR13" s="137"/>
      <c r="HS13" s="137"/>
      <c r="HT13" s="137"/>
      <c r="HU13" s="137"/>
      <c r="HV13" s="137"/>
      <c r="HW13" s="137"/>
      <c r="HX13" s="137"/>
      <c r="HY13" s="137"/>
      <c r="HZ13" s="137"/>
      <c r="IA13" s="137"/>
      <c r="IB13" s="137"/>
      <c r="IC13" s="137"/>
      <c r="ID13" s="137"/>
      <c r="IE13" s="137"/>
      <c r="IF13" s="137"/>
      <c r="IG13" s="137"/>
      <c r="IH13" s="137"/>
      <c r="II13" s="137"/>
      <c r="IJ13" s="137"/>
      <c r="IK13" s="137"/>
      <c r="IL13" s="137"/>
      <c r="IM13" s="137"/>
      <c r="IN13" s="137"/>
      <c r="IO13" s="137"/>
      <c r="IP13" s="248"/>
      <c r="OW13" s="246"/>
      <c r="OX13" s="137"/>
      <c r="OY13" s="137"/>
      <c r="OZ13" s="137"/>
      <c r="PA13" s="137"/>
      <c r="PB13" s="137"/>
      <c r="PC13" s="137"/>
      <c r="PD13" s="137"/>
      <c r="PE13" s="137"/>
      <c r="PF13" s="137"/>
      <c r="PG13" s="137"/>
      <c r="PH13" s="137"/>
      <c r="PI13" s="137"/>
      <c r="PJ13" s="137"/>
      <c r="PK13" s="137"/>
      <c r="PL13" s="137"/>
      <c r="PM13" s="137"/>
      <c r="PN13" s="137"/>
      <c r="PO13" s="137"/>
      <c r="PP13" s="137"/>
      <c r="PQ13" s="137"/>
      <c r="PR13" s="137"/>
      <c r="PS13" s="137"/>
      <c r="PT13" s="137"/>
      <c r="PU13" s="137"/>
      <c r="PV13" s="137"/>
      <c r="PW13" s="137"/>
      <c r="PX13" s="137"/>
      <c r="PY13" s="137"/>
      <c r="PZ13" s="137"/>
      <c r="QA13" s="137"/>
      <c r="QB13" s="137"/>
      <c r="QC13" s="137"/>
      <c r="QD13" s="137"/>
      <c r="QE13" s="137"/>
      <c r="QF13" s="137"/>
      <c r="QG13" s="137"/>
      <c r="QH13" s="137"/>
      <c r="QI13" s="137"/>
      <c r="QJ13" s="137"/>
      <c r="QK13" s="137"/>
      <c r="QL13" s="137"/>
      <c r="QM13" s="137"/>
      <c r="QN13" s="137"/>
      <c r="QO13" s="137"/>
      <c r="QP13" s="137"/>
      <c r="QQ13" s="137"/>
      <c r="QR13" s="137"/>
      <c r="QS13" s="137"/>
      <c r="QT13" s="137"/>
      <c r="QU13" s="137"/>
      <c r="QV13" s="137"/>
      <c r="QW13" s="137"/>
      <c r="QX13" s="137"/>
      <c r="QY13" s="137"/>
      <c r="QZ13" s="137"/>
      <c r="RA13" s="137"/>
      <c r="RB13" s="137"/>
      <c r="RC13" s="137"/>
      <c r="RD13" s="137"/>
      <c r="RE13" s="137"/>
      <c r="RF13" s="137"/>
      <c r="RG13" s="137"/>
      <c r="RH13" s="137"/>
      <c r="RI13" s="137"/>
      <c r="RJ13" s="137"/>
      <c r="RK13" s="137"/>
      <c r="RL13" s="137"/>
      <c r="RM13" s="137"/>
      <c r="RN13" s="137"/>
      <c r="RO13" s="137"/>
      <c r="RP13" s="137"/>
      <c r="RQ13" s="137"/>
      <c r="RR13" s="137"/>
      <c r="RS13" s="137"/>
      <c r="RT13" s="137"/>
      <c r="RU13" s="137"/>
      <c r="RV13" s="137"/>
      <c r="RW13" s="137"/>
      <c r="RX13" s="137"/>
      <c r="RY13" s="137"/>
      <c r="RZ13" s="137"/>
      <c r="SA13" s="137"/>
      <c r="SB13" s="137"/>
      <c r="SC13" s="137"/>
      <c r="SD13" s="137"/>
      <c r="SE13" s="137"/>
      <c r="SF13" s="137"/>
      <c r="SG13" s="137"/>
      <c r="SH13" s="137"/>
      <c r="SI13" s="137"/>
      <c r="SJ13" s="137"/>
      <c r="SK13" s="137"/>
      <c r="SL13" s="137"/>
      <c r="SM13" s="137"/>
      <c r="SN13" s="137"/>
      <c r="SO13" s="137"/>
      <c r="SP13" s="137"/>
      <c r="SQ13" s="137"/>
      <c r="SR13" s="137"/>
      <c r="SS13" s="137"/>
      <c r="ST13" s="137"/>
      <c r="SU13" s="137"/>
      <c r="SV13" s="137"/>
      <c r="SW13" s="137"/>
      <c r="SX13" s="137"/>
      <c r="SY13" s="137"/>
      <c r="SZ13" s="137"/>
      <c r="TA13" s="137"/>
      <c r="TB13" s="137"/>
      <c r="TC13" s="137"/>
      <c r="TD13" s="137"/>
      <c r="TE13" s="137"/>
      <c r="TF13" s="137"/>
      <c r="TG13" s="137"/>
      <c r="TH13" s="137"/>
      <c r="TI13" s="137"/>
      <c r="TJ13" s="137"/>
      <c r="TK13" s="137"/>
      <c r="TL13" s="137"/>
      <c r="TM13" s="137"/>
      <c r="TN13" s="137"/>
      <c r="TO13" s="137"/>
      <c r="TP13" s="137"/>
      <c r="TQ13" s="137"/>
      <c r="TR13" s="137"/>
      <c r="TS13" s="137"/>
      <c r="TT13" s="137"/>
      <c r="TU13" s="137"/>
      <c r="TV13" s="137"/>
      <c r="TW13" s="137"/>
      <c r="TX13" s="137"/>
      <c r="TY13" s="137"/>
      <c r="TZ13" s="137"/>
      <c r="UA13" s="137"/>
      <c r="UB13" s="137"/>
      <c r="UC13" s="137"/>
      <c r="UD13" s="137"/>
      <c r="UE13" s="137"/>
      <c r="UF13" s="137"/>
      <c r="UG13" s="137"/>
      <c r="UH13" s="137"/>
      <c r="UI13" s="137"/>
      <c r="UJ13" s="137"/>
      <c r="UK13" s="137"/>
      <c r="UL13" s="137"/>
      <c r="UM13" s="137"/>
      <c r="UN13" s="137"/>
      <c r="UO13" s="137"/>
      <c r="UP13" s="137"/>
      <c r="UQ13" s="137"/>
      <c r="UR13" s="137"/>
      <c r="US13" s="137"/>
      <c r="UT13" s="137"/>
      <c r="UU13" s="137"/>
      <c r="UV13" s="137"/>
      <c r="UW13" s="137"/>
      <c r="UX13" s="137"/>
      <c r="UY13" s="137"/>
      <c r="UZ13" s="137"/>
      <c r="VA13" s="137"/>
      <c r="VB13" s="137"/>
      <c r="VC13" s="137"/>
      <c r="VD13" s="137"/>
      <c r="VE13" s="137"/>
      <c r="VF13" s="137"/>
      <c r="VG13" s="137"/>
      <c r="VH13" s="137"/>
      <c r="VI13" s="137"/>
      <c r="VJ13" s="137"/>
      <c r="VK13" s="137"/>
      <c r="VL13" s="137"/>
      <c r="VM13" s="137"/>
      <c r="VN13" s="137"/>
      <c r="VO13" s="137"/>
      <c r="VP13" s="137"/>
      <c r="VQ13" s="137"/>
      <c r="VR13" s="137"/>
      <c r="VS13" s="137"/>
      <c r="VT13" s="137"/>
      <c r="VU13" s="137"/>
      <c r="VV13" s="137"/>
      <c r="VW13" s="137"/>
      <c r="VX13" s="137"/>
      <c r="VY13" s="137"/>
      <c r="VZ13" s="137"/>
      <c r="WA13" s="137"/>
      <c r="WB13" s="137"/>
      <c r="WC13" s="137"/>
      <c r="WD13" s="137"/>
      <c r="WE13" s="137"/>
      <c r="WF13" s="137"/>
      <c r="WG13" s="137"/>
      <c r="WH13" s="137"/>
      <c r="WI13" s="137"/>
      <c r="WJ13" s="137"/>
      <c r="WK13" s="137"/>
      <c r="WL13" s="137"/>
      <c r="WM13" s="137"/>
      <c r="WN13" s="137"/>
      <c r="WO13" s="137"/>
      <c r="WP13" s="137"/>
      <c r="WQ13" s="137"/>
      <c r="WR13" s="137"/>
      <c r="WS13" s="137"/>
      <c r="WT13" s="137"/>
      <c r="WU13" s="137"/>
      <c r="WV13" s="137"/>
      <c r="WW13" s="137"/>
      <c r="WX13" s="137"/>
      <c r="WY13" s="137"/>
      <c r="WZ13" s="137"/>
      <c r="XA13" s="137"/>
      <c r="XB13" s="137"/>
      <c r="XC13" s="137"/>
      <c r="XD13" s="137"/>
      <c r="XE13" s="137"/>
      <c r="XF13" s="137"/>
      <c r="XG13" s="137"/>
      <c r="XH13" s="137"/>
      <c r="XI13" s="137"/>
      <c r="XJ13" s="137"/>
      <c r="XK13" s="137"/>
      <c r="XL13" s="137"/>
      <c r="XM13" s="137"/>
      <c r="XN13" s="137"/>
      <c r="XO13" s="137"/>
      <c r="XP13" s="137"/>
      <c r="XQ13" s="137"/>
      <c r="XR13" s="137"/>
      <c r="XS13" s="137"/>
      <c r="XT13" s="137"/>
      <c r="XU13" s="137"/>
      <c r="XV13" s="137"/>
      <c r="XW13" s="137"/>
      <c r="XX13" s="137"/>
      <c r="XY13" s="137"/>
      <c r="XZ13" s="137"/>
      <c r="YA13" s="137"/>
      <c r="YB13" s="137"/>
      <c r="YC13" s="137"/>
      <c r="YD13" s="137"/>
      <c r="YE13" s="137"/>
      <c r="YF13" s="137"/>
      <c r="YG13" s="137"/>
      <c r="YH13" s="137"/>
      <c r="YI13" s="137"/>
      <c r="YJ13" s="137"/>
      <c r="YK13" s="137"/>
      <c r="YL13" s="137"/>
      <c r="YM13" s="137"/>
      <c r="YN13" s="137"/>
      <c r="YO13" s="137"/>
      <c r="YP13" s="137"/>
      <c r="YQ13" s="137"/>
      <c r="YR13" s="137"/>
      <c r="YS13" s="137"/>
      <c r="YT13" s="137"/>
      <c r="YU13" s="137"/>
      <c r="YV13" s="137"/>
      <c r="YW13" s="137"/>
      <c r="YX13" s="137"/>
      <c r="YY13" s="137"/>
      <c r="YZ13" s="137"/>
      <c r="ZA13" s="137"/>
      <c r="ZB13" s="137"/>
      <c r="ZC13" s="137"/>
      <c r="ZD13" s="137"/>
      <c r="ZE13" s="137"/>
      <c r="ZF13" s="137"/>
      <c r="ZG13" s="137"/>
      <c r="ZH13" s="137"/>
      <c r="ZI13" s="137"/>
      <c r="ZJ13" s="137"/>
      <c r="ZK13" s="248"/>
    </row>
    <row r="14" spans="1:687">
      <c r="B14" s="28"/>
      <c r="C14" s="196"/>
      <c r="D14" s="47"/>
      <c r="E14" s="28"/>
      <c r="F14" s="215"/>
      <c r="G14" s="215"/>
      <c r="H14" s="2"/>
      <c r="I14" s="35"/>
      <c r="K14" s="35"/>
      <c r="M14" s="35"/>
      <c r="N14" s="35"/>
      <c r="O14" s="35"/>
      <c r="P14" s="35"/>
      <c r="Y14" s="35"/>
      <c r="Z14" s="35"/>
      <c r="AA14" s="35"/>
      <c r="AB14" s="35"/>
      <c r="AC14" s="35"/>
      <c r="AD14" s="35"/>
    </row>
    <row r="15" spans="1:687">
      <c r="B15" s="28"/>
      <c r="C15" s="196"/>
      <c r="D15" s="47"/>
      <c r="E15" s="28"/>
      <c r="F15" s="215"/>
      <c r="G15" s="215"/>
      <c r="H15" s="2"/>
      <c r="I15" s="35"/>
      <c r="K15" s="35"/>
      <c r="M15" s="35"/>
      <c r="N15" s="35"/>
      <c r="O15" s="35"/>
      <c r="P15" s="35"/>
      <c r="Y15" s="35"/>
      <c r="Z15" s="35"/>
      <c r="AA15" s="35"/>
      <c r="AB15" s="35"/>
      <c r="AC15" s="35"/>
      <c r="AD15" s="35"/>
    </row>
    <row r="16" spans="1:687">
      <c r="B16" s="28"/>
      <c r="C16" s="196"/>
      <c r="D16" s="47"/>
      <c r="E16" s="28"/>
      <c r="F16" s="215"/>
      <c r="G16" s="215"/>
      <c r="H16" s="2"/>
      <c r="I16" s="35"/>
      <c r="K16" s="35"/>
      <c r="M16" s="35"/>
      <c r="N16" s="35"/>
      <c r="O16" s="35"/>
      <c r="P16" s="35"/>
      <c r="Y16" s="35"/>
      <c r="Z16" s="35"/>
      <c r="AA16" s="35"/>
      <c r="AB16" s="35"/>
      <c r="AC16" s="35"/>
      <c r="AD16" s="35"/>
    </row>
    <row r="17" spans="2:16">
      <c r="B17" s="28"/>
      <c r="C17" s="196"/>
      <c r="D17" s="47"/>
      <c r="E17" s="28"/>
      <c r="F17" s="215"/>
      <c r="G17" s="215"/>
      <c r="H17" s="2"/>
      <c r="I17" s="35"/>
      <c r="K17" s="35"/>
      <c r="M17" s="35"/>
      <c r="N17" s="35"/>
      <c r="O17" s="35"/>
      <c r="P17" s="35"/>
    </row>
    <row r="18" spans="2:16">
      <c r="B18" s="28"/>
      <c r="C18" s="196"/>
      <c r="D18" s="47"/>
      <c r="E18" s="28"/>
      <c r="F18" s="215"/>
      <c r="G18" s="215"/>
      <c r="H18" s="2"/>
      <c r="I18" s="35"/>
      <c r="K18" s="35"/>
      <c r="M18" s="35"/>
      <c r="N18" s="35"/>
      <c r="O18" s="35"/>
      <c r="P18" s="35"/>
    </row>
    <row r="19" spans="2:16">
      <c r="B19" s="28"/>
      <c r="C19" s="196"/>
      <c r="D19" s="47"/>
      <c r="E19" s="28"/>
      <c r="F19" s="215"/>
      <c r="G19" s="215"/>
      <c r="H19" s="2"/>
      <c r="I19" s="35"/>
      <c r="K19" s="35"/>
      <c r="M19" s="35"/>
      <c r="N19" s="35"/>
      <c r="O19" s="35"/>
      <c r="P19" s="35"/>
    </row>
    <row r="20" spans="2:16">
      <c r="B20" s="28"/>
      <c r="C20" s="196"/>
      <c r="D20" s="47"/>
      <c r="E20" s="28"/>
      <c r="F20" s="215"/>
      <c r="G20" s="215"/>
      <c r="H20" s="2"/>
      <c r="I20" s="35"/>
      <c r="K20" s="35"/>
      <c r="M20" s="35"/>
      <c r="N20" s="35"/>
      <c r="O20" s="35"/>
      <c r="P20" s="35"/>
    </row>
    <row r="21" spans="2:16">
      <c r="B21" s="28"/>
      <c r="C21" s="196"/>
      <c r="D21" s="47"/>
      <c r="E21" s="28"/>
      <c r="F21" s="215"/>
      <c r="G21" s="215"/>
      <c r="H21" s="2"/>
      <c r="I21" s="35"/>
      <c r="K21" s="35"/>
      <c r="M21" s="35"/>
      <c r="N21" s="35"/>
      <c r="O21" s="35"/>
      <c r="P21" s="35"/>
    </row>
    <row r="22" spans="2:16">
      <c r="B22" s="28"/>
      <c r="C22" s="196"/>
      <c r="D22" s="47"/>
      <c r="E22" s="28"/>
      <c r="F22" s="215"/>
      <c r="G22" s="215"/>
      <c r="H22" s="2"/>
      <c r="I22" s="35"/>
      <c r="K22" s="35"/>
      <c r="M22" s="35"/>
      <c r="N22" s="35"/>
      <c r="O22" s="35"/>
      <c r="P22" s="35"/>
    </row>
    <row r="23" spans="2:16">
      <c r="B23" s="28"/>
      <c r="C23" s="196"/>
      <c r="D23" s="47"/>
      <c r="E23" s="28"/>
      <c r="F23" s="215"/>
      <c r="G23" s="215"/>
      <c r="H23" s="2"/>
      <c r="I23" s="35"/>
      <c r="K23" s="35"/>
      <c r="M23" s="35"/>
      <c r="N23" s="35"/>
      <c r="O23" s="35"/>
      <c r="P23" s="35"/>
    </row>
    <row r="24" spans="2:16">
      <c r="B24" s="28"/>
      <c r="C24" s="196"/>
      <c r="D24" s="47"/>
      <c r="E24" s="28"/>
      <c r="F24" s="215"/>
      <c r="G24" s="215"/>
      <c r="H24" s="2"/>
      <c r="I24" s="35"/>
      <c r="K24" s="35"/>
      <c r="M24" s="35"/>
      <c r="N24" s="35"/>
      <c r="O24" s="35"/>
      <c r="P24" s="35"/>
    </row>
    <row r="25" spans="2:16">
      <c r="B25" s="28"/>
      <c r="C25" s="196"/>
      <c r="D25" s="47"/>
      <c r="E25" s="28"/>
      <c r="F25" s="215"/>
      <c r="G25" s="215"/>
      <c r="H25" s="2"/>
      <c r="I25" s="35"/>
      <c r="K25" s="35"/>
      <c r="M25" s="35"/>
      <c r="N25" s="35"/>
      <c r="O25" s="35"/>
      <c r="P25" s="35"/>
    </row>
    <row r="26" spans="2:16">
      <c r="B26" s="28"/>
      <c r="C26" s="196"/>
      <c r="D26" s="47"/>
      <c r="E26" s="28"/>
      <c r="F26" s="215"/>
      <c r="G26" s="215"/>
      <c r="H26" s="2"/>
      <c r="I26" s="35"/>
      <c r="K26" s="35"/>
      <c r="M26" s="35"/>
      <c r="N26" s="35"/>
      <c r="O26" s="35"/>
      <c r="P26" s="35"/>
    </row>
    <row r="27" spans="2:16">
      <c r="B27" s="28"/>
      <c r="C27" s="196"/>
      <c r="D27" s="47"/>
      <c r="E27" s="28"/>
      <c r="F27" s="215"/>
      <c r="G27" s="215"/>
      <c r="H27" s="2"/>
      <c r="I27" s="35"/>
      <c r="K27" s="35"/>
      <c r="M27" s="35"/>
      <c r="N27" s="35"/>
      <c r="O27" s="35"/>
      <c r="P27" s="35"/>
    </row>
    <row r="28" spans="2:16">
      <c r="B28" s="28"/>
      <c r="C28" s="196"/>
      <c r="D28" s="47"/>
      <c r="E28" s="28"/>
      <c r="F28" s="215"/>
      <c r="G28" s="215"/>
      <c r="H28" s="2"/>
      <c r="I28" s="35"/>
      <c r="K28" s="35"/>
      <c r="M28" s="35"/>
      <c r="N28" s="35"/>
      <c r="O28" s="35"/>
      <c r="P28" s="35"/>
    </row>
    <row r="29" spans="2:16">
      <c r="B29" s="28"/>
      <c r="C29" s="196"/>
      <c r="D29" s="47"/>
      <c r="E29" s="28"/>
      <c r="F29" s="215"/>
      <c r="G29" s="215"/>
      <c r="H29" s="2"/>
      <c r="I29" s="35"/>
      <c r="K29" s="35"/>
      <c r="M29" s="35"/>
      <c r="N29" s="35"/>
      <c r="O29" s="35"/>
      <c r="P29" s="35"/>
    </row>
    <row r="30" spans="2:16">
      <c r="B30" s="28"/>
      <c r="C30" s="196"/>
      <c r="D30" s="47"/>
      <c r="E30" s="28"/>
      <c r="F30" s="215"/>
      <c r="G30" s="215"/>
      <c r="H30" s="2"/>
      <c r="I30" s="35"/>
      <c r="K30" s="35"/>
      <c r="M30" s="35"/>
      <c r="N30" s="35"/>
      <c r="O30" s="35"/>
      <c r="P30" s="35"/>
    </row>
    <row r="31" spans="2:16">
      <c r="B31" s="28"/>
      <c r="C31" s="196"/>
      <c r="D31" s="47"/>
      <c r="E31" s="28"/>
      <c r="F31" s="215"/>
      <c r="G31" s="215"/>
      <c r="H31" s="2"/>
      <c r="I31" s="35"/>
      <c r="K31" s="35"/>
      <c r="M31" s="35"/>
      <c r="N31" s="35"/>
      <c r="O31" s="35"/>
      <c r="P31" s="35"/>
    </row>
    <row r="32" spans="2:16">
      <c r="B32" s="28"/>
      <c r="C32" s="196"/>
      <c r="D32" s="47"/>
      <c r="E32" s="28"/>
      <c r="F32" s="215"/>
      <c r="G32" s="215"/>
      <c r="H32" s="2"/>
      <c r="I32" s="35"/>
      <c r="K32" s="35"/>
      <c r="M32" s="35"/>
      <c r="N32" s="35"/>
      <c r="O32" s="35"/>
      <c r="P32" s="35"/>
    </row>
    <row r="33" spans="2:16">
      <c r="B33" s="28"/>
      <c r="C33" s="196"/>
      <c r="D33" s="47"/>
      <c r="E33" s="28"/>
      <c r="F33" s="215"/>
      <c r="G33" s="215"/>
      <c r="H33" s="2"/>
      <c r="I33" s="35"/>
      <c r="K33" s="35"/>
      <c r="M33" s="35"/>
      <c r="N33" s="35"/>
      <c r="O33" s="35"/>
      <c r="P33" s="35"/>
    </row>
    <row r="34" spans="2:16">
      <c r="B34" s="28"/>
      <c r="C34" s="196"/>
      <c r="D34" s="47"/>
      <c r="E34" s="28"/>
      <c r="F34" s="215"/>
      <c r="G34" s="215"/>
      <c r="H34" s="2"/>
      <c r="I34" s="35"/>
      <c r="K34" s="35"/>
      <c r="M34" s="35"/>
      <c r="N34" s="35"/>
      <c r="O34" s="35"/>
      <c r="P34" s="35"/>
    </row>
    <row r="35" spans="2:16">
      <c r="B35" s="28"/>
      <c r="C35" s="196"/>
      <c r="D35" s="47"/>
      <c r="E35" s="28"/>
      <c r="F35" s="215"/>
      <c r="G35" s="215"/>
      <c r="H35" s="2"/>
      <c r="I35" s="35"/>
      <c r="K35" s="35"/>
      <c r="M35" s="35"/>
      <c r="N35" s="35"/>
      <c r="O35" s="35"/>
      <c r="P35" s="35"/>
    </row>
    <row r="36" spans="2:16">
      <c r="B36" s="28"/>
      <c r="C36" s="196"/>
      <c r="D36" s="47"/>
      <c r="E36" s="28"/>
      <c r="F36" s="215"/>
      <c r="G36" s="215"/>
      <c r="H36" s="2"/>
      <c r="I36" s="35"/>
      <c r="K36" s="35"/>
      <c r="M36" s="35"/>
      <c r="N36" s="35"/>
      <c r="O36" s="35"/>
      <c r="P36" s="35"/>
    </row>
    <row r="37" spans="2:16">
      <c r="B37" s="28"/>
      <c r="C37" s="196"/>
      <c r="D37" s="47"/>
      <c r="E37" s="28"/>
      <c r="F37" s="215"/>
      <c r="G37" s="215"/>
      <c r="H37" s="2"/>
      <c r="I37" s="35"/>
      <c r="K37" s="35"/>
      <c r="M37" s="35"/>
      <c r="N37" s="35"/>
      <c r="O37" s="35"/>
      <c r="P37" s="35"/>
    </row>
    <row r="38" spans="2:16">
      <c r="B38" s="28"/>
      <c r="C38" s="196"/>
      <c r="D38" s="47"/>
      <c r="E38" s="28"/>
      <c r="F38" s="215"/>
      <c r="G38" s="215"/>
      <c r="H38" s="2"/>
      <c r="I38" s="35"/>
      <c r="K38" s="35"/>
      <c r="M38" s="35"/>
      <c r="N38" s="35"/>
      <c r="O38" s="35"/>
      <c r="P38" s="35"/>
    </row>
    <row r="39" spans="2:16">
      <c r="B39" s="28"/>
      <c r="C39" s="196"/>
      <c r="D39" s="47"/>
      <c r="E39" s="28"/>
      <c r="F39" s="215"/>
      <c r="G39" s="215"/>
      <c r="H39" s="2"/>
      <c r="I39" s="35"/>
      <c r="K39" s="35"/>
      <c r="M39" s="35"/>
      <c r="N39" s="35"/>
      <c r="O39" s="35"/>
      <c r="P39" s="35"/>
    </row>
    <row r="40" spans="2:16">
      <c r="B40" s="28"/>
      <c r="C40" s="196"/>
      <c r="D40" s="47"/>
      <c r="E40" s="28"/>
      <c r="F40" s="215"/>
      <c r="G40" s="215"/>
      <c r="H40" s="2"/>
      <c r="I40" s="35"/>
      <c r="K40" s="35"/>
      <c r="M40" s="35"/>
      <c r="N40" s="35"/>
      <c r="O40" s="35"/>
      <c r="P40" s="35"/>
    </row>
    <row r="41" spans="2:16">
      <c r="B41" s="28"/>
      <c r="C41" s="196"/>
      <c r="D41" s="47"/>
      <c r="E41" s="28"/>
      <c r="F41" s="215"/>
      <c r="G41" s="215"/>
      <c r="H41" s="2"/>
      <c r="I41" s="35"/>
      <c r="K41" s="35"/>
      <c r="M41" s="35"/>
      <c r="N41" s="35"/>
      <c r="O41" s="35"/>
      <c r="P41" s="35"/>
    </row>
    <row r="42" spans="2:16">
      <c r="B42" s="28"/>
      <c r="C42" s="196"/>
      <c r="D42" s="47"/>
      <c r="E42" s="28"/>
      <c r="F42" s="215"/>
      <c r="G42" s="215"/>
      <c r="H42" s="2"/>
      <c r="I42" s="35"/>
      <c r="K42" s="35"/>
      <c r="M42" s="35"/>
      <c r="N42" s="35"/>
      <c r="O42" s="35"/>
      <c r="P42" s="35"/>
    </row>
    <row r="43" spans="2:16">
      <c r="B43" s="28"/>
      <c r="C43" s="196"/>
      <c r="D43" s="47"/>
      <c r="E43" s="28"/>
      <c r="F43" s="215"/>
      <c r="G43" s="215"/>
      <c r="H43" s="2"/>
      <c r="I43" s="35"/>
      <c r="K43" s="35"/>
      <c r="M43" s="35"/>
      <c r="N43" s="35"/>
      <c r="O43" s="35"/>
      <c r="P43" s="35"/>
    </row>
    <row r="44" spans="2:16">
      <c r="B44" s="28"/>
      <c r="C44" s="196"/>
      <c r="D44" s="47"/>
      <c r="E44" s="28"/>
      <c r="F44" s="215"/>
      <c r="G44" s="215"/>
      <c r="H44" s="2"/>
      <c r="I44" s="35"/>
      <c r="K44" s="35"/>
      <c r="M44" s="35"/>
      <c r="N44" s="35"/>
      <c r="O44" s="35"/>
      <c r="P44" s="35"/>
    </row>
    <row r="45" spans="2:16">
      <c r="B45" s="28"/>
      <c r="C45" s="196"/>
      <c r="D45" s="47"/>
      <c r="E45" s="28"/>
      <c r="F45" s="215"/>
      <c r="G45" s="215"/>
      <c r="H45" s="2"/>
      <c r="I45" s="35"/>
      <c r="K45" s="35"/>
      <c r="M45" s="35"/>
      <c r="N45" s="35"/>
      <c r="O45" s="35"/>
      <c r="P45" s="35"/>
    </row>
    <row r="46" spans="2:16">
      <c r="B46" s="28"/>
      <c r="C46" s="196"/>
      <c r="D46" s="47"/>
      <c r="E46" s="28"/>
      <c r="F46" s="215"/>
      <c r="G46" s="215"/>
      <c r="H46" s="2"/>
      <c r="I46" s="35"/>
      <c r="K46" s="35"/>
      <c r="M46" s="35"/>
      <c r="N46" s="35"/>
      <c r="O46" s="35"/>
      <c r="P46" s="35"/>
    </row>
    <row r="47" spans="2:16">
      <c r="B47" s="28"/>
      <c r="C47" s="196"/>
      <c r="D47" s="47"/>
      <c r="E47" s="28"/>
      <c r="F47" s="215"/>
      <c r="G47" s="215"/>
      <c r="H47" s="2"/>
      <c r="I47" s="35"/>
      <c r="K47" s="35"/>
      <c r="M47" s="35"/>
      <c r="N47" s="35"/>
      <c r="O47" s="35"/>
      <c r="P47" s="35"/>
    </row>
    <row r="48" spans="2:16">
      <c r="B48" s="28"/>
      <c r="C48" s="196"/>
      <c r="D48" s="47"/>
      <c r="E48" s="28"/>
      <c r="F48" s="215"/>
      <c r="G48" s="215"/>
      <c r="H48" s="2"/>
      <c r="I48" s="35"/>
      <c r="K48" s="35"/>
      <c r="M48" s="35"/>
      <c r="N48" s="35"/>
      <c r="O48" s="35"/>
      <c r="P48" s="35"/>
    </row>
    <row r="49" spans="2:16">
      <c r="B49" s="28"/>
      <c r="C49" s="196"/>
      <c r="D49" s="47"/>
      <c r="E49" s="28"/>
      <c r="F49" s="215"/>
      <c r="G49" s="215"/>
      <c r="H49" s="2"/>
      <c r="I49" s="35"/>
      <c r="K49" s="35"/>
      <c r="M49" s="35"/>
      <c r="N49" s="35"/>
      <c r="O49" s="35"/>
      <c r="P49" s="35"/>
    </row>
    <row r="50" spans="2:16">
      <c r="B50" s="28"/>
      <c r="C50" s="196"/>
      <c r="D50" s="47"/>
      <c r="E50" s="28"/>
      <c r="F50" s="215"/>
      <c r="G50" s="215"/>
      <c r="H50" s="2"/>
      <c r="I50" s="35"/>
      <c r="K50" s="35"/>
      <c r="M50" s="35"/>
      <c r="N50" s="35"/>
      <c r="O50" s="35"/>
      <c r="P50" s="35"/>
    </row>
    <row r="51" spans="2:16">
      <c r="B51" s="28"/>
      <c r="C51" s="196"/>
      <c r="D51" s="47"/>
      <c r="E51" s="28"/>
      <c r="F51" s="215"/>
      <c r="G51" s="215"/>
      <c r="H51" s="2"/>
      <c r="I51" s="35"/>
      <c r="K51" s="35"/>
      <c r="M51" s="35"/>
      <c r="N51" s="35"/>
      <c r="O51" s="35"/>
      <c r="P51" s="35"/>
    </row>
    <row r="52" spans="2:16">
      <c r="B52" s="28"/>
      <c r="C52" s="196"/>
      <c r="D52" s="47"/>
      <c r="E52" s="28"/>
      <c r="F52" s="215"/>
      <c r="G52" s="215"/>
      <c r="H52" s="2"/>
      <c r="I52" s="35"/>
      <c r="K52" s="35"/>
      <c r="M52" s="35"/>
      <c r="N52" s="35"/>
      <c r="O52" s="35"/>
      <c r="P52" s="35"/>
    </row>
    <row r="53" spans="2:16">
      <c r="B53" s="28"/>
      <c r="C53" s="196"/>
      <c r="D53" s="47"/>
      <c r="E53" s="28"/>
      <c r="F53" s="215"/>
      <c r="G53" s="215"/>
      <c r="H53" s="2"/>
      <c r="I53" s="35"/>
      <c r="K53" s="35"/>
      <c r="M53" s="35"/>
      <c r="N53" s="35"/>
      <c r="O53" s="35"/>
      <c r="P53" s="35"/>
    </row>
    <row r="54" spans="2:16">
      <c r="B54" s="28"/>
      <c r="C54" s="196"/>
      <c r="D54" s="47"/>
      <c r="E54" s="28"/>
      <c r="F54" s="215"/>
      <c r="G54" s="215"/>
      <c r="H54" s="2"/>
      <c r="I54" s="35"/>
      <c r="K54" s="35"/>
      <c r="M54" s="35"/>
      <c r="N54" s="35"/>
      <c r="O54" s="35"/>
      <c r="P54" s="35"/>
    </row>
    <row r="55" spans="2:16">
      <c r="B55" s="28"/>
      <c r="C55" s="196"/>
      <c r="D55" s="47"/>
      <c r="E55" s="28"/>
      <c r="F55" s="215"/>
      <c r="G55" s="215"/>
      <c r="H55" s="2"/>
      <c r="I55" s="35"/>
      <c r="K55" s="35"/>
      <c r="M55" s="35"/>
      <c r="N55" s="35"/>
      <c r="O55" s="35"/>
      <c r="P55" s="35"/>
    </row>
    <row r="56" spans="2:16">
      <c r="B56" s="28"/>
      <c r="C56" s="196"/>
      <c r="D56" s="47"/>
      <c r="E56" s="28"/>
      <c r="F56" s="215"/>
      <c r="G56" s="215"/>
      <c r="H56" s="2"/>
      <c r="I56" s="35"/>
      <c r="K56" s="35"/>
      <c r="M56" s="35"/>
      <c r="N56" s="35"/>
      <c r="O56" s="35"/>
      <c r="P56" s="35"/>
    </row>
    <row r="57" spans="2:16">
      <c r="B57" s="28"/>
      <c r="C57" s="196"/>
      <c r="D57" s="47"/>
      <c r="E57" s="28"/>
      <c r="F57" s="215"/>
      <c r="G57" s="215"/>
      <c r="H57" s="2"/>
      <c r="I57" s="35"/>
      <c r="K57" s="35"/>
      <c r="M57" s="35"/>
      <c r="N57" s="35"/>
      <c r="O57" s="35"/>
      <c r="P57" s="35"/>
    </row>
    <row r="58" spans="2:16">
      <c r="B58" s="28"/>
      <c r="C58" s="196"/>
      <c r="D58" s="47"/>
      <c r="E58" s="28"/>
      <c r="F58" s="215"/>
      <c r="G58" s="215"/>
      <c r="H58" s="2"/>
      <c r="I58" s="35"/>
      <c r="K58" s="35"/>
      <c r="M58" s="35"/>
      <c r="N58" s="35"/>
      <c r="O58" s="35"/>
      <c r="P58" s="35"/>
    </row>
    <row r="59" spans="2:16">
      <c r="B59" s="28"/>
      <c r="C59" s="196"/>
      <c r="D59" s="47"/>
      <c r="E59" s="28"/>
      <c r="F59" s="215"/>
      <c r="G59" s="215"/>
      <c r="H59" s="2"/>
      <c r="I59" s="35"/>
      <c r="K59" s="35"/>
      <c r="M59" s="35"/>
      <c r="N59" s="35"/>
      <c r="O59" s="35"/>
      <c r="P59" s="35"/>
    </row>
    <row r="60" spans="2:16">
      <c r="B60" s="28"/>
      <c r="C60" s="196"/>
      <c r="D60" s="47"/>
      <c r="E60" s="28"/>
      <c r="F60" s="215"/>
      <c r="G60" s="215"/>
      <c r="H60" s="2"/>
      <c r="I60" s="35"/>
      <c r="K60" s="35"/>
      <c r="M60" s="35"/>
      <c r="N60" s="35"/>
      <c r="O60" s="35"/>
      <c r="P60" s="35"/>
    </row>
    <row r="61" spans="2:16">
      <c r="B61" s="28"/>
      <c r="C61" s="196"/>
      <c r="D61" s="47"/>
      <c r="E61" s="28"/>
      <c r="F61" s="215"/>
      <c r="G61" s="215"/>
      <c r="H61" s="2"/>
      <c r="I61" s="35"/>
      <c r="K61" s="35"/>
      <c r="M61" s="35"/>
      <c r="N61" s="35"/>
      <c r="O61" s="35"/>
      <c r="P61" s="35"/>
    </row>
    <row r="62" spans="2:16">
      <c r="B62" s="28"/>
      <c r="C62" s="196"/>
      <c r="D62" s="47"/>
      <c r="E62" s="28"/>
      <c r="F62" s="215"/>
      <c r="G62" s="215"/>
      <c r="H62" s="2"/>
      <c r="I62" s="35"/>
      <c r="K62" s="35"/>
      <c r="M62" s="35"/>
      <c r="N62" s="35"/>
      <c r="O62" s="35"/>
      <c r="P62" s="35"/>
    </row>
    <row r="63" spans="2:16">
      <c r="B63" s="28"/>
      <c r="C63" s="196"/>
      <c r="D63" s="47"/>
      <c r="E63" s="28"/>
      <c r="F63" s="215"/>
      <c r="G63" s="215"/>
      <c r="H63" s="2"/>
      <c r="I63" s="35"/>
      <c r="K63" s="35"/>
      <c r="M63" s="35"/>
      <c r="N63" s="35"/>
      <c r="O63" s="35"/>
      <c r="P63" s="35"/>
    </row>
    <row r="64" spans="2:16">
      <c r="B64" s="28"/>
      <c r="C64" s="196"/>
      <c r="D64" s="47"/>
      <c r="E64" s="28"/>
      <c r="F64" s="215"/>
      <c r="G64" s="215"/>
      <c r="H64" s="2"/>
      <c r="I64" s="35"/>
      <c r="K64" s="35"/>
      <c r="M64" s="35"/>
      <c r="N64" s="35"/>
      <c r="O64" s="35"/>
      <c r="P64" s="35"/>
    </row>
    <row r="65" spans="2:16">
      <c r="B65" s="28"/>
      <c r="C65" s="196"/>
      <c r="D65" s="47"/>
      <c r="E65" s="28"/>
      <c r="F65" s="215"/>
      <c r="G65" s="215"/>
      <c r="H65" s="2"/>
      <c r="I65" s="35"/>
      <c r="K65" s="35"/>
      <c r="M65" s="35"/>
      <c r="N65" s="35"/>
      <c r="O65" s="35"/>
      <c r="P65" s="35"/>
    </row>
    <row r="66" spans="2:16">
      <c r="B66" s="28"/>
      <c r="C66" s="196"/>
      <c r="D66" s="47"/>
      <c r="E66" s="28"/>
      <c r="F66" s="215"/>
      <c r="G66" s="215"/>
      <c r="H66" s="2"/>
      <c r="I66" s="35"/>
      <c r="K66" s="35"/>
      <c r="M66" s="35"/>
      <c r="N66" s="35"/>
      <c r="O66" s="35"/>
      <c r="P66" s="35"/>
    </row>
    <row r="67" spans="2:16">
      <c r="B67" s="28"/>
      <c r="C67" s="196"/>
      <c r="D67" s="47"/>
      <c r="E67" s="28"/>
      <c r="F67" s="215"/>
      <c r="G67" s="215"/>
      <c r="H67" s="2"/>
      <c r="I67" s="35"/>
      <c r="K67" s="35"/>
      <c r="M67" s="35"/>
      <c r="N67" s="35"/>
      <c r="O67" s="35"/>
      <c r="P67" s="35"/>
    </row>
    <row r="68" spans="2:16">
      <c r="B68" s="28"/>
      <c r="C68" s="196"/>
      <c r="D68" s="47"/>
      <c r="E68" s="28"/>
      <c r="F68" s="215"/>
      <c r="G68" s="215"/>
      <c r="H68" s="2"/>
      <c r="I68" s="35"/>
      <c r="K68" s="35"/>
      <c r="M68" s="35"/>
      <c r="N68" s="35"/>
      <c r="O68" s="35"/>
      <c r="P68" s="35"/>
    </row>
    <row r="69" spans="2:16">
      <c r="B69" s="28"/>
      <c r="C69" s="196"/>
      <c r="D69" s="47"/>
      <c r="E69" s="28"/>
      <c r="F69" s="215"/>
      <c r="G69" s="215"/>
      <c r="H69" s="2"/>
      <c r="I69" s="35"/>
      <c r="K69" s="35"/>
      <c r="M69" s="35"/>
      <c r="N69" s="35"/>
      <c r="O69" s="35"/>
      <c r="P69" s="35"/>
    </row>
    <row r="70" spans="2:16">
      <c r="B70" s="28"/>
      <c r="C70" s="196"/>
      <c r="D70" s="47"/>
      <c r="E70" s="28"/>
      <c r="F70" s="215"/>
      <c r="G70" s="215"/>
      <c r="H70" s="2"/>
      <c r="I70" s="35"/>
      <c r="K70" s="35"/>
      <c r="M70" s="35"/>
      <c r="N70" s="35"/>
      <c r="O70" s="35"/>
      <c r="P70" s="35"/>
    </row>
    <row r="71" spans="2:16">
      <c r="B71" s="28"/>
      <c r="C71" s="196"/>
      <c r="D71" s="47"/>
      <c r="E71" s="28"/>
      <c r="F71" s="215"/>
      <c r="G71" s="215"/>
      <c r="H71" s="2"/>
      <c r="I71" s="35"/>
      <c r="K71" s="35"/>
      <c r="M71" s="35"/>
      <c r="N71" s="35"/>
      <c r="O71" s="35"/>
      <c r="P71" s="35"/>
    </row>
    <row r="72" spans="2:16">
      <c r="B72" s="28"/>
      <c r="C72" s="196"/>
      <c r="D72" s="47"/>
      <c r="E72" s="28"/>
      <c r="F72" s="215"/>
      <c r="G72" s="215"/>
      <c r="H72" s="2"/>
      <c r="I72" s="35"/>
      <c r="K72" s="35"/>
      <c r="M72" s="35"/>
      <c r="N72" s="35"/>
      <c r="O72" s="35"/>
      <c r="P72" s="35"/>
    </row>
    <row r="73" spans="2:16">
      <c r="B73" s="28"/>
      <c r="C73" s="196"/>
      <c r="D73" s="47"/>
      <c r="E73" s="28"/>
      <c r="F73" s="215"/>
      <c r="G73" s="215"/>
      <c r="H73" s="2"/>
      <c r="I73" s="35"/>
      <c r="K73" s="35"/>
      <c r="M73" s="35"/>
      <c r="N73" s="35"/>
      <c r="O73" s="35"/>
      <c r="P73" s="35"/>
    </row>
    <row r="74" spans="2:16">
      <c r="B74" s="28"/>
      <c r="C74" s="196"/>
      <c r="D74" s="47"/>
      <c r="E74" s="28"/>
      <c r="F74" s="215"/>
      <c r="G74" s="215"/>
      <c r="H74" s="2"/>
      <c r="I74" s="35"/>
      <c r="K74" s="35"/>
      <c r="M74" s="35"/>
      <c r="N74" s="35"/>
      <c r="O74" s="35"/>
      <c r="P74" s="35"/>
    </row>
    <row r="75" spans="2:16">
      <c r="B75" s="28"/>
      <c r="C75" s="196"/>
      <c r="D75" s="47"/>
      <c r="E75" s="28"/>
      <c r="F75" s="215"/>
      <c r="G75" s="215"/>
      <c r="H75" s="2"/>
      <c r="I75" s="35"/>
      <c r="K75" s="35"/>
      <c r="M75" s="35"/>
      <c r="N75" s="35"/>
      <c r="O75" s="35"/>
      <c r="P75" s="35"/>
    </row>
    <row r="76" spans="2:16">
      <c r="B76" s="28"/>
      <c r="C76" s="196"/>
      <c r="D76" s="47"/>
      <c r="E76" s="28"/>
      <c r="F76" s="215"/>
      <c r="G76" s="215"/>
      <c r="H76" s="2"/>
      <c r="I76" s="35"/>
      <c r="K76" s="35"/>
      <c r="M76" s="35"/>
      <c r="N76" s="35"/>
      <c r="O76" s="35"/>
      <c r="P76" s="35"/>
    </row>
    <row r="77" spans="2:16">
      <c r="B77" s="28"/>
      <c r="C77" s="196"/>
      <c r="D77" s="47"/>
      <c r="E77" s="28"/>
      <c r="F77" s="215"/>
      <c r="G77" s="215"/>
      <c r="H77" s="2"/>
      <c r="I77" s="35"/>
      <c r="K77" s="35"/>
      <c r="M77" s="35"/>
      <c r="N77" s="35"/>
      <c r="O77" s="35"/>
      <c r="P77" s="35"/>
    </row>
    <row r="78" spans="2:16">
      <c r="B78" s="28"/>
      <c r="C78" s="196"/>
      <c r="D78" s="47"/>
      <c r="E78" s="28"/>
      <c r="F78" s="215"/>
      <c r="G78" s="215"/>
      <c r="H78" s="2"/>
      <c r="I78" s="35"/>
      <c r="K78" s="35"/>
      <c r="M78" s="35"/>
      <c r="N78" s="35"/>
      <c r="O78" s="35"/>
      <c r="P78" s="35"/>
    </row>
    <row r="79" spans="2:16">
      <c r="B79" s="28"/>
      <c r="C79" s="196"/>
      <c r="D79" s="47"/>
      <c r="E79" s="28"/>
      <c r="F79" s="215"/>
      <c r="G79" s="215"/>
      <c r="H79" s="2"/>
      <c r="I79" s="35"/>
      <c r="K79" s="35"/>
      <c r="M79" s="35"/>
      <c r="N79" s="35"/>
      <c r="O79" s="35"/>
      <c r="P79" s="35"/>
    </row>
    <row r="80" spans="2:16">
      <c r="B80" s="28"/>
      <c r="C80" s="196"/>
      <c r="D80" s="47"/>
      <c r="E80" s="28"/>
      <c r="F80" s="215"/>
      <c r="G80" s="215"/>
      <c r="H80" s="2"/>
      <c r="I80" s="35"/>
      <c r="K80" s="35"/>
      <c r="M80" s="35"/>
      <c r="N80" s="35"/>
      <c r="O80" s="35"/>
      <c r="P80" s="35"/>
    </row>
    <row r="81" spans="2:16">
      <c r="B81" s="28"/>
      <c r="C81" s="196"/>
      <c r="D81" s="47"/>
      <c r="E81" s="28"/>
      <c r="F81" s="215"/>
      <c r="G81" s="215"/>
      <c r="H81" s="2"/>
      <c r="I81" s="35"/>
      <c r="K81" s="35"/>
      <c r="M81" s="35"/>
      <c r="N81" s="35"/>
      <c r="O81" s="35"/>
      <c r="P81" s="35"/>
    </row>
    <row r="82" spans="2:16">
      <c r="B82" s="28"/>
      <c r="C82" s="196"/>
      <c r="D82" s="47"/>
      <c r="E82" s="28"/>
      <c r="F82" s="215"/>
      <c r="G82" s="215"/>
      <c r="H82" s="2"/>
      <c r="I82" s="35"/>
      <c r="K82" s="35"/>
      <c r="M82" s="35"/>
      <c r="N82" s="35"/>
      <c r="O82" s="35"/>
      <c r="P82" s="35"/>
    </row>
    <row r="83" spans="2:16">
      <c r="B83" s="28"/>
      <c r="C83" s="196"/>
      <c r="D83" s="47"/>
      <c r="E83" s="28"/>
      <c r="F83" s="215"/>
      <c r="G83" s="215"/>
      <c r="H83" s="2"/>
      <c r="I83" s="35"/>
      <c r="K83" s="35"/>
      <c r="M83" s="35"/>
      <c r="N83" s="35"/>
      <c r="O83" s="35"/>
      <c r="P83" s="35"/>
    </row>
    <row r="84" spans="2:16">
      <c r="B84" s="28"/>
      <c r="C84" s="196"/>
      <c r="D84" s="47"/>
      <c r="E84" s="28"/>
      <c r="F84" s="215"/>
      <c r="G84" s="215"/>
      <c r="H84" s="2"/>
      <c r="I84" s="35"/>
      <c r="K84" s="35"/>
      <c r="M84" s="35"/>
      <c r="N84" s="35"/>
      <c r="O84" s="35"/>
      <c r="P84" s="35"/>
    </row>
    <row r="85" spans="2:16">
      <c r="B85" s="28"/>
      <c r="C85" s="196"/>
      <c r="D85" s="47"/>
      <c r="E85" s="28"/>
      <c r="F85" s="215"/>
      <c r="G85" s="215"/>
      <c r="H85" s="2"/>
      <c r="I85" s="35"/>
      <c r="K85" s="35"/>
      <c r="M85" s="35"/>
      <c r="N85" s="35"/>
      <c r="O85" s="35"/>
      <c r="P85" s="35"/>
    </row>
    <row r="86" spans="2:16">
      <c r="B86" s="28"/>
      <c r="C86" s="196"/>
      <c r="D86" s="47"/>
      <c r="E86" s="28"/>
      <c r="F86" s="215"/>
      <c r="G86" s="215"/>
      <c r="H86" s="2"/>
      <c r="I86" s="35"/>
      <c r="K86" s="35"/>
      <c r="M86" s="35"/>
      <c r="N86" s="35"/>
      <c r="O86" s="35"/>
      <c r="P86" s="35"/>
    </row>
    <row r="87" spans="2:16">
      <c r="B87" s="28"/>
      <c r="C87" s="196"/>
      <c r="D87" s="47"/>
      <c r="E87" s="28"/>
      <c r="F87" s="215"/>
      <c r="G87" s="215"/>
      <c r="H87" s="2"/>
      <c r="I87" s="35"/>
      <c r="K87" s="35"/>
      <c r="M87" s="35"/>
      <c r="N87" s="35"/>
      <c r="O87" s="35"/>
      <c r="P87" s="35"/>
    </row>
    <row r="88" spans="2:16">
      <c r="B88" s="28"/>
      <c r="C88" s="196"/>
      <c r="D88" s="47"/>
      <c r="E88" s="28"/>
      <c r="F88" s="215"/>
      <c r="G88" s="215"/>
      <c r="H88" s="2"/>
      <c r="I88" s="35"/>
      <c r="K88" s="35"/>
      <c r="M88" s="35"/>
      <c r="N88" s="35"/>
      <c r="O88" s="35"/>
      <c r="P88" s="35"/>
    </row>
    <row r="89" spans="2:16">
      <c r="B89" s="28"/>
      <c r="C89" s="196"/>
      <c r="D89" s="47"/>
      <c r="E89" s="28"/>
      <c r="F89" s="215"/>
      <c r="G89" s="215"/>
      <c r="H89" s="2"/>
      <c r="I89" s="35"/>
      <c r="K89" s="35"/>
      <c r="M89" s="35"/>
      <c r="N89" s="35"/>
      <c r="O89" s="35"/>
      <c r="P89" s="35"/>
    </row>
    <row r="90" spans="2:16">
      <c r="B90" s="28"/>
      <c r="C90" s="196"/>
      <c r="D90" s="47"/>
      <c r="E90" s="28"/>
      <c r="F90" s="215"/>
      <c r="G90" s="215"/>
      <c r="H90" s="2"/>
      <c r="I90" s="35"/>
      <c r="K90" s="35"/>
      <c r="M90" s="35"/>
      <c r="N90" s="35"/>
      <c r="O90" s="35"/>
      <c r="P90" s="35"/>
    </row>
    <row r="91" spans="2:16">
      <c r="B91" s="28"/>
      <c r="C91" s="196"/>
      <c r="D91" s="47"/>
      <c r="E91" s="28"/>
      <c r="F91" s="215"/>
      <c r="G91" s="215"/>
      <c r="H91" s="2"/>
      <c r="I91" s="35"/>
      <c r="K91" s="35"/>
      <c r="M91" s="35"/>
      <c r="N91" s="35"/>
      <c r="O91" s="35"/>
      <c r="P91" s="35"/>
    </row>
    <row r="92" spans="2:16">
      <c r="B92" s="28"/>
      <c r="C92" s="196"/>
      <c r="D92" s="47"/>
      <c r="E92" s="28"/>
      <c r="F92" s="215"/>
      <c r="G92" s="215"/>
      <c r="H92" s="2"/>
      <c r="I92" s="35"/>
      <c r="K92" s="35"/>
      <c r="M92" s="35"/>
      <c r="N92" s="35"/>
      <c r="O92" s="35"/>
      <c r="P92" s="35"/>
    </row>
    <row r="93" spans="2:16">
      <c r="B93" s="28"/>
      <c r="C93" s="196"/>
      <c r="D93" s="47"/>
      <c r="E93" s="28"/>
      <c r="F93" s="215"/>
      <c r="G93" s="215"/>
      <c r="H93" s="2"/>
      <c r="I93" s="35"/>
      <c r="K93" s="35"/>
      <c r="M93" s="35"/>
      <c r="N93" s="35"/>
      <c r="O93" s="35"/>
      <c r="P93" s="35"/>
    </row>
    <row r="94" spans="2:16">
      <c r="B94" s="28"/>
      <c r="C94" s="196"/>
      <c r="D94" s="47"/>
      <c r="E94" s="28"/>
      <c r="F94" s="215"/>
      <c r="G94" s="215"/>
      <c r="H94" s="2"/>
      <c r="I94" s="35"/>
      <c r="K94" s="35"/>
      <c r="M94" s="35"/>
      <c r="N94" s="35"/>
      <c r="O94" s="35"/>
      <c r="P94" s="35"/>
    </row>
    <row r="95" spans="2:16">
      <c r="B95" s="28"/>
      <c r="C95" s="196"/>
      <c r="D95" s="47"/>
      <c r="E95" s="28"/>
      <c r="F95" s="215"/>
      <c r="G95" s="215"/>
      <c r="H95" s="2"/>
      <c r="I95" s="35"/>
      <c r="K95" s="35"/>
      <c r="M95" s="35"/>
      <c r="N95" s="35"/>
      <c r="O95" s="35"/>
      <c r="P95" s="35"/>
    </row>
    <row r="96" spans="2:16">
      <c r="B96" s="28"/>
      <c r="C96" s="196"/>
      <c r="D96" s="47"/>
      <c r="E96" s="28"/>
      <c r="F96" s="215"/>
      <c r="G96" s="215"/>
      <c r="H96" s="2"/>
      <c r="I96" s="35"/>
      <c r="K96" s="35"/>
      <c r="M96" s="35"/>
      <c r="N96" s="35"/>
      <c r="O96" s="35"/>
      <c r="P96" s="35"/>
    </row>
    <row r="97" spans="2:16">
      <c r="B97" s="28"/>
      <c r="C97" s="196"/>
      <c r="D97" s="47"/>
      <c r="E97" s="28"/>
      <c r="F97" s="215"/>
      <c r="G97" s="215"/>
      <c r="H97" s="2"/>
      <c r="I97" s="35"/>
      <c r="K97" s="35"/>
      <c r="M97" s="35"/>
      <c r="N97" s="35"/>
      <c r="O97" s="35"/>
      <c r="P97" s="35"/>
    </row>
    <row r="98" spans="2:16">
      <c r="B98" s="28"/>
      <c r="C98" s="196"/>
      <c r="D98" s="47"/>
      <c r="E98" s="28"/>
      <c r="F98" s="215"/>
      <c r="G98" s="215"/>
      <c r="H98" s="2"/>
      <c r="I98" s="35"/>
      <c r="K98" s="35"/>
      <c r="M98" s="35"/>
      <c r="N98" s="35"/>
      <c r="O98" s="35"/>
      <c r="P98" s="35"/>
    </row>
    <row r="99" spans="2:16">
      <c r="B99" s="28"/>
      <c r="C99" s="196"/>
      <c r="D99" s="47"/>
      <c r="E99" s="28"/>
      <c r="F99" s="215"/>
      <c r="G99" s="215"/>
      <c r="H99" s="2"/>
      <c r="I99" s="35"/>
      <c r="K99" s="35"/>
      <c r="M99" s="35"/>
      <c r="N99" s="35"/>
      <c r="O99" s="35"/>
      <c r="P99" s="35"/>
    </row>
    <row r="100" spans="2:16">
      <c r="B100" s="28"/>
      <c r="C100" s="196"/>
      <c r="D100" s="47"/>
      <c r="E100" s="28"/>
      <c r="F100" s="215"/>
      <c r="G100" s="215"/>
      <c r="H100" s="2"/>
      <c r="I100" s="35"/>
      <c r="K100" s="35"/>
      <c r="M100" s="35"/>
      <c r="N100" s="35"/>
      <c r="O100" s="35"/>
      <c r="P100" s="35"/>
    </row>
    <row r="101" spans="2:16">
      <c r="B101" s="28"/>
      <c r="C101" s="196"/>
      <c r="D101" s="47"/>
      <c r="E101" s="28"/>
      <c r="F101" s="215"/>
      <c r="G101" s="215"/>
      <c r="H101" s="2"/>
      <c r="I101" s="107"/>
      <c r="K101" s="35"/>
      <c r="M101" s="35"/>
      <c r="N101" s="35"/>
      <c r="O101" s="35"/>
      <c r="P101" s="35"/>
    </row>
    <row r="102" spans="2:16">
      <c r="B102" s="28"/>
      <c r="C102" s="196"/>
      <c r="D102" s="47"/>
      <c r="E102" s="28"/>
      <c r="F102" s="215"/>
      <c r="G102" s="215"/>
      <c r="H102" s="2"/>
      <c r="I102" s="19"/>
      <c r="K102" s="35"/>
      <c r="M102" s="35"/>
      <c r="N102" s="35"/>
      <c r="O102" s="35"/>
      <c r="P102" s="35"/>
    </row>
    <row r="103" spans="2:16">
      <c r="B103" s="28"/>
      <c r="C103" s="196"/>
      <c r="D103" s="47"/>
      <c r="E103" s="28"/>
      <c r="F103" s="215"/>
      <c r="G103" s="215"/>
      <c r="H103" s="2"/>
      <c r="I103" s="19"/>
      <c r="K103" s="35"/>
      <c r="M103" s="35"/>
      <c r="N103" s="35"/>
      <c r="O103" s="35"/>
      <c r="P103" s="35"/>
    </row>
    <row r="104" spans="2:16">
      <c r="B104" s="28"/>
      <c r="C104" s="196"/>
      <c r="D104" s="47"/>
      <c r="E104" s="28"/>
      <c r="F104" s="215"/>
      <c r="G104" s="215"/>
      <c r="H104" s="2"/>
      <c r="I104" s="19"/>
      <c r="K104" s="35"/>
      <c r="M104" s="35"/>
      <c r="N104" s="35"/>
      <c r="O104" s="35"/>
      <c r="P104" s="35"/>
    </row>
    <row r="105" spans="2:16">
      <c r="B105" s="28"/>
      <c r="C105" s="196"/>
      <c r="D105" s="47"/>
      <c r="E105" s="28"/>
      <c r="F105" s="215"/>
      <c r="G105" s="215"/>
      <c r="H105" s="2"/>
      <c r="I105" s="19"/>
      <c r="K105" s="35"/>
      <c r="M105" s="35"/>
      <c r="N105" s="35"/>
      <c r="O105" s="35"/>
      <c r="P105" s="35"/>
    </row>
    <row r="106" spans="2:16">
      <c r="B106" s="28"/>
      <c r="C106" s="196"/>
      <c r="D106" s="47"/>
      <c r="E106" s="28"/>
      <c r="F106" s="215"/>
      <c r="G106" s="215"/>
      <c r="H106" s="2"/>
      <c r="I106" s="19"/>
      <c r="K106" s="35"/>
      <c r="M106" s="35"/>
      <c r="N106" s="35"/>
      <c r="O106" s="35"/>
      <c r="P106" s="35"/>
    </row>
    <row r="107" spans="2:16">
      <c r="B107" s="28"/>
      <c r="C107" s="196"/>
      <c r="D107" s="47"/>
      <c r="E107" s="28"/>
      <c r="F107" s="215"/>
      <c r="G107" s="215"/>
      <c r="H107" s="2"/>
      <c r="I107" s="19"/>
      <c r="K107" s="35"/>
      <c r="M107" s="35"/>
      <c r="N107" s="35"/>
      <c r="O107" s="35"/>
      <c r="P107" s="35"/>
    </row>
    <row r="108" spans="2:16">
      <c r="B108" s="28"/>
      <c r="C108" s="196"/>
      <c r="D108" s="47"/>
      <c r="E108" s="28"/>
      <c r="F108" s="215"/>
      <c r="G108" s="215"/>
      <c r="H108" s="2"/>
      <c r="I108" s="19"/>
      <c r="K108" s="35"/>
      <c r="M108" s="35"/>
      <c r="N108" s="35"/>
      <c r="O108" s="35"/>
      <c r="P108" s="35"/>
    </row>
    <row r="109" spans="2:16">
      <c r="B109" s="28"/>
      <c r="C109" s="196"/>
      <c r="D109" s="47"/>
      <c r="E109" s="28"/>
      <c r="F109" s="215"/>
      <c r="G109" s="215"/>
      <c r="H109" s="2"/>
      <c r="I109" s="19"/>
      <c r="K109" s="35"/>
      <c r="M109" s="35"/>
      <c r="N109" s="35"/>
      <c r="O109" s="35"/>
      <c r="P109" s="35"/>
    </row>
    <row r="110" spans="2:16">
      <c r="B110" s="28"/>
      <c r="C110" s="196"/>
      <c r="D110" s="47"/>
      <c r="E110" s="28"/>
      <c r="F110" s="215"/>
      <c r="G110" s="215"/>
      <c r="H110" s="2"/>
      <c r="I110" s="19"/>
      <c r="K110" s="35"/>
      <c r="M110" s="35"/>
      <c r="N110" s="35"/>
      <c r="O110" s="35"/>
      <c r="P110" s="35"/>
    </row>
    <row r="111" spans="2:16">
      <c r="B111" s="28"/>
      <c r="C111" s="196"/>
      <c r="D111" s="47"/>
      <c r="E111" s="28"/>
      <c r="F111" s="215"/>
      <c r="G111" s="215"/>
      <c r="H111" s="2"/>
      <c r="I111" s="19"/>
      <c r="K111" s="35"/>
      <c r="M111" s="35"/>
      <c r="N111" s="35"/>
      <c r="O111" s="35"/>
      <c r="P111" s="35"/>
    </row>
    <row r="112" spans="2:16">
      <c r="B112" s="28"/>
      <c r="C112" s="196"/>
      <c r="D112" s="47"/>
      <c r="E112" s="28"/>
      <c r="F112" s="215"/>
      <c r="G112" s="215"/>
      <c r="H112" s="2"/>
      <c r="I112" s="19"/>
      <c r="K112" s="35"/>
      <c r="M112" s="35"/>
      <c r="N112" s="35"/>
      <c r="O112" s="35"/>
      <c r="P112" s="35"/>
    </row>
    <row r="113" spans="2:16">
      <c r="B113" s="28"/>
      <c r="C113" s="196"/>
      <c r="D113" s="47"/>
      <c r="E113" s="28"/>
      <c r="F113" s="215"/>
      <c r="G113" s="215"/>
      <c r="H113" s="2"/>
      <c r="I113" s="19"/>
      <c r="K113" s="35"/>
      <c r="M113" s="35"/>
      <c r="N113" s="35"/>
      <c r="O113" s="35"/>
      <c r="P113" s="35"/>
    </row>
    <row r="114" spans="2:16">
      <c r="B114" s="28"/>
      <c r="C114" s="196"/>
      <c r="D114" s="47"/>
      <c r="E114" s="28"/>
      <c r="F114" s="215"/>
      <c r="G114" s="215"/>
      <c r="H114" s="2"/>
      <c r="I114" s="19"/>
      <c r="K114" s="35"/>
      <c r="M114" s="35"/>
      <c r="N114" s="35"/>
      <c r="O114" s="35"/>
      <c r="P114" s="35"/>
    </row>
    <row r="115" spans="2:16">
      <c r="B115" s="28"/>
      <c r="C115" s="196"/>
      <c r="D115" s="47"/>
      <c r="E115" s="28"/>
      <c r="F115" s="215"/>
      <c r="G115" s="215"/>
      <c r="H115" s="2"/>
      <c r="I115" s="19"/>
      <c r="K115" s="35"/>
      <c r="M115" s="35"/>
      <c r="N115" s="35"/>
      <c r="O115" s="35"/>
      <c r="P115" s="35"/>
    </row>
    <row r="116" spans="2:16">
      <c r="B116" s="28"/>
      <c r="C116" s="196"/>
      <c r="D116" s="47"/>
      <c r="E116" s="28"/>
      <c r="F116" s="215"/>
      <c r="G116" s="215"/>
      <c r="H116" s="2"/>
      <c r="I116" s="19"/>
      <c r="K116" s="35"/>
      <c r="M116" s="35"/>
      <c r="N116" s="35"/>
      <c r="O116" s="35"/>
      <c r="P116" s="35"/>
    </row>
    <row r="117" spans="2:16">
      <c r="B117" s="28"/>
      <c r="C117" s="196"/>
      <c r="D117" s="47"/>
      <c r="E117" s="28"/>
      <c r="F117" s="215"/>
      <c r="G117" s="215"/>
      <c r="H117" s="2"/>
      <c r="I117" s="19"/>
      <c r="K117" s="35"/>
      <c r="M117" s="35"/>
      <c r="N117" s="35"/>
      <c r="O117" s="35"/>
      <c r="P117" s="35"/>
    </row>
    <row r="118" spans="2:16">
      <c r="B118" s="28"/>
      <c r="C118" s="196"/>
      <c r="D118" s="47"/>
      <c r="E118" s="28"/>
      <c r="F118" s="215"/>
      <c r="G118" s="215"/>
      <c r="H118" s="2"/>
      <c r="I118" s="19"/>
      <c r="K118" s="35"/>
      <c r="M118" s="35"/>
      <c r="N118" s="35"/>
      <c r="O118" s="35"/>
      <c r="P118" s="35"/>
    </row>
    <row r="119" spans="2:16">
      <c r="B119" s="28"/>
      <c r="C119" s="196"/>
      <c r="D119" s="47"/>
      <c r="E119" s="28"/>
      <c r="F119" s="215"/>
      <c r="G119" s="215"/>
      <c r="H119" s="2"/>
      <c r="I119" s="19"/>
      <c r="K119" s="35"/>
      <c r="M119" s="35"/>
      <c r="N119" s="35"/>
      <c r="O119" s="35"/>
      <c r="P119" s="35"/>
    </row>
    <row r="120" spans="2:16">
      <c r="B120" s="28"/>
      <c r="C120" s="196"/>
      <c r="D120" s="47"/>
      <c r="E120" s="28"/>
      <c r="F120" s="215"/>
      <c r="G120" s="215"/>
      <c r="H120" s="2"/>
      <c r="I120" s="19"/>
      <c r="K120" s="35"/>
      <c r="M120" s="35"/>
      <c r="N120" s="35"/>
      <c r="O120" s="35"/>
      <c r="P120" s="35"/>
    </row>
    <row r="121" spans="2:16">
      <c r="B121" s="28"/>
      <c r="C121" s="196"/>
      <c r="D121" s="47"/>
      <c r="E121" s="28"/>
      <c r="F121" s="215"/>
      <c r="G121" s="215"/>
      <c r="H121" s="2"/>
      <c r="I121" s="19"/>
      <c r="K121" s="35"/>
      <c r="M121" s="35"/>
      <c r="N121" s="35"/>
      <c r="O121" s="35"/>
      <c r="P121" s="35"/>
    </row>
    <row r="122" spans="2:16">
      <c r="B122" s="28"/>
      <c r="C122" s="196"/>
      <c r="D122" s="47"/>
      <c r="E122" s="28"/>
      <c r="F122" s="215"/>
      <c r="G122" s="215"/>
      <c r="H122" s="2"/>
      <c r="I122" s="19"/>
      <c r="K122" s="35"/>
      <c r="M122" s="35"/>
      <c r="N122" s="35"/>
      <c r="O122" s="35"/>
      <c r="P122" s="35"/>
    </row>
    <row r="123" spans="2:16">
      <c r="B123" s="28"/>
      <c r="C123" s="196"/>
      <c r="D123" s="47"/>
      <c r="E123" s="28"/>
      <c r="F123" s="215"/>
      <c r="G123" s="215"/>
      <c r="H123" s="2"/>
      <c r="I123" s="19"/>
      <c r="K123" s="35"/>
      <c r="M123" s="35"/>
      <c r="N123" s="35"/>
      <c r="O123" s="35"/>
      <c r="P123" s="35"/>
    </row>
    <row r="124" spans="2:16">
      <c r="B124" s="28"/>
      <c r="C124" s="196"/>
      <c r="D124" s="47"/>
      <c r="E124" s="28"/>
      <c r="F124" s="215"/>
      <c r="G124" s="215"/>
      <c r="H124" s="2"/>
      <c r="I124" s="19"/>
      <c r="K124" s="35"/>
      <c r="M124" s="35"/>
      <c r="N124" s="35"/>
      <c r="O124" s="35"/>
      <c r="P124" s="35"/>
    </row>
    <row r="125" spans="2:16">
      <c r="B125" s="28"/>
      <c r="C125" s="196"/>
      <c r="D125" s="47"/>
      <c r="E125" s="28"/>
      <c r="F125" s="215"/>
      <c r="G125" s="215"/>
      <c r="H125" s="2"/>
      <c r="I125" s="19"/>
      <c r="K125" s="35"/>
      <c r="M125" s="35"/>
      <c r="N125" s="35"/>
      <c r="O125" s="35"/>
      <c r="P125" s="35"/>
    </row>
    <row r="126" spans="2:16">
      <c r="B126" s="28"/>
      <c r="C126" s="196"/>
      <c r="D126" s="47"/>
      <c r="E126" s="28"/>
      <c r="F126" s="215"/>
      <c r="G126" s="215"/>
      <c r="H126" s="2"/>
      <c r="I126" s="19"/>
      <c r="K126" s="35"/>
      <c r="M126" s="35"/>
      <c r="N126" s="35"/>
      <c r="O126" s="35"/>
      <c r="P126" s="35"/>
    </row>
    <row r="127" spans="2:16">
      <c r="B127" s="28"/>
      <c r="C127" s="196"/>
      <c r="D127" s="47"/>
      <c r="E127" s="28"/>
      <c r="F127" s="215"/>
      <c r="G127" s="215"/>
      <c r="H127" s="2"/>
      <c r="I127" s="19"/>
      <c r="K127" s="35"/>
      <c r="M127" s="35"/>
      <c r="N127" s="35"/>
      <c r="O127" s="35"/>
      <c r="P127" s="35"/>
    </row>
    <row r="128" spans="2:16">
      <c r="B128" s="28"/>
      <c r="C128" s="196"/>
      <c r="D128" s="47"/>
      <c r="E128" s="28"/>
      <c r="F128" s="215"/>
      <c r="G128" s="215"/>
      <c r="H128" s="2"/>
      <c r="I128" s="19"/>
      <c r="K128" s="35"/>
      <c r="M128" s="35"/>
      <c r="N128" s="35"/>
      <c r="O128" s="35"/>
      <c r="P128" s="35"/>
    </row>
    <row r="129" spans="2:16">
      <c r="B129" s="28"/>
      <c r="C129" s="196"/>
      <c r="D129" s="47"/>
      <c r="E129" s="28"/>
      <c r="F129" s="215"/>
      <c r="G129" s="215"/>
      <c r="H129" s="2"/>
      <c r="I129" s="19"/>
      <c r="K129" s="35"/>
      <c r="M129" s="35"/>
      <c r="N129" s="35"/>
      <c r="O129" s="35"/>
      <c r="P129" s="35"/>
    </row>
    <row r="130" spans="2:16">
      <c r="B130" s="28"/>
      <c r="C130" s="196"/>
      <c r="D130" s="47"/>
      <c r="E130" s="28"/>
      <c r="F130" s="215"/>
      <c r="G130" s="215"/>
      <c r="H130" s="2"/>
      <c r="I130" s="19"/>
      <c r="K130" s="35"/>
      <c r="M130" s="35"/>
      <c r="N130" s="35"/>
      <c r="O130" s="35"/>
      <c r="P130" s="35"/>
    </row>
    <row r="131" spans="2:16">
      <c r="B131" s="28"/>
      <c r="C131" s="196"/>
      <c r="D131" s="47"/>
      <c r="E131" s="28"/>
      <c r="F131" s="215"/>
      <c r="G131" s="215"/>
      <c r="H131" s="2"/>
      <c r="I131" s="19"/>
      <c r="K131" s="35"/>
      <c r="M131" s="35"/>
      <c r="N131" s="35"/>
      <c r="O131" s="35"/>
      <c r="P131" s="35"/>
    </row>
    <row r="132" spans="2:16">
      <c r="B132" s="28"/>
      <c r="C132" s="196"/>
      <c r="D132" s="47"/>
      <c r="E132" s="28"/>
      <c r="F132" s="215"/>
      <c r="G132" s="215"/>
      <c r="H132" s="2"/>
      <c r="I132" s="19"/>
      <c r="K132" s="35"/>
      <c r="M132" s="35"/>
      <c r="N132" s="35"/>
      <c r="O132" s="35"/>
      <c r="P132" s="35"/>
    </row>
    <row r="133" spans="2:16">
      <c r="B133" s="28"/>
      <c r="C133" s="196"/>
      <c r="D133" s="47"/>
      <c r="E133" s="28"/>
      <c r="F133" s="215"/>
      <c r="G133" s="215"/>
      <c r="H133" s="2"/>
      <c r="I133" s="19"/>
      <c r="K133" s="35"/>
      <c r="M133" s="35"/>
      <c r="N133" s="35"/>
      <c r="O133" s="35"/>
      <c r="P133" s="35"/>
    </row>
    <row r="134" spans="2:16">
      <c r="B134" s="28"/>
      <c r="C134" s="196"/>
      <c r="D134" s="47"/>
      <c r="E134" s="28"/>
      <c r="F134" s="215"/>
      <c r="G134" s="215"/>
      <c r="H134" s="2"/>
      <c r="I134" s="19"/>
      <c r="K134" s="35"/>
      <c r="M134" s="35"/>
      <c r="N134" s="35"/>
      <c r="O134" s="35"/>
      <c r="P134" s="35"/>
    </row>
    <row r="135" spans="2:16">
      <c r="B135" s="28"/>
      <c r="C135" s="196"/>
      <c r="D135" s="47"/>
      <c r="E135" s="28"/>
      <c r="F135" s="215"/>
      <c r="G135" s="215"/>
      <c r="H135" s="2"/>
      <c r="I135" s="19"/>
      <c r="K135" s="35"/>
      <c r="M135" s="35"/>
      <c r="N135" s="35"/>
      <c r="O135" s="35"/>
      <c r="P135" s="35"/>
    </row>
    <row r="136" spans="2:16">
      <c r="B136" s="28"/>
      <c r="C136" s="196"/>
      <c r="D136" s="47"/>
      <c r="E136" s="28"/>
      <c r="F136" s="215"/>
      <c r="G136" s="215"/>
      <c r="H136" s="2"/>
      <c r="I136" s="19"/>
      <c r="K136" s="35"/>
      <c r="M136" s="35"/>
      <c r="N136" s="35"/>
      <c r="O136" s="35"/>
      <c r="P136" s="35"/>
    </row>
    <row r="137" spans="2:16">
      <c r="B137" s="28"/>
      <c r="C137" s="196"/>
      <c r="D137" s="47"/>
      <c r="E137" s="28"/>
      <c r="F137" s="215"/>
      <c r="G137" s="215"/>
      <c r="H137" s="2"/>
      <c r="I137" s="19"/>
      <c r="K137" s="35"/>
      <c r="M137" s="35"/>
      <c r="N137" s="35"/>
      <c r="O137" s="35"/>
      <c r="P137" s="35"/>
    </row>
    <row r="138" spans="2:16">
      <c r="B138" s="28"/>
      <c r="C138" s="196"/>
      <c r="D138" s="47"/>
      <c r="E138" s="28"/>
      <c r="F138" s="215"/>
      <c r="G138" s="215"/>
      <c r="H138" s="2"/>
      <c r="I138" s="19"/>
      <c r="K138" s="35"/>
      <c r="M138" s="35"/>
      <c r="N138" s="35"/>
      <c r="O138" s="35"/>
      <c r="P138" s="35"/>
    </row>
    <row r="139" spans="2:16">
      <c r="B139" s="28"/>
      <c r="C139" s="196"/>
      <c r="D139" s="47"/>
      <c r="E139" s="28"/>
      <c r="F139" s="215"/>
      <c r="G139" s="215"/>
      <c r="H139" s="2"/>
      <c r="I139" s="19"/>
      <c r="K139" s="35"/>
      <c r="M139" s="35"/>
      <c r="N139" s="35"/>
      <c r="O139" s="35"/>
      <c r="P139" s="35"/>
    </row>
    <row r="140" spans="2:16">
      <c r="B140" s="28"/>
      <c r="C140" s="196"/>
      <c r="D140" s="47"/>
      <c r="E140" s="28"/>
      <c r="F140" s="215"/>
      <c r="G140" s="215"/>
      <c r="H140" s="2"/>
      <c r="I140" s="19"/>
      <c r="K140" s="35"/>
      <c r="M140" s="35"/>
      <c r="N140" s="35"/>
      <c r="O140" s="35"/>
      <c r="P140" s="35"/>
    </row>
    <row r="141" spans="2:16">
      <c r="B141" s="28"/>
      <c r="C141" s="196"/>
      <c r="D141" s="47"/>
      <c r="E141" s="28"/>
      <c r="F141" s="215"/>
      <c r="G141" s="215"/>
      <c r="H141" s="2"/>
      <c r="I141" s="19"/>
      <c r="K141" s="35"/>
      <c r="M141" s="35"/>
      <c r="N141" s="35"/>
      <c r="O141" s="35"/>
      <c r="P141" s="35"/>
    </row>
    <row r="142" spans="2:16">
      <c r="B142" s="28"/>
      <c r="C142" s="196"/>
      <c r="D142" s="47"/>
      <c r="E142" s="28"/>
      <c r="F142" s="215"/>
      <c r="G142" s="215"/>
      <c r="H142" s="2"/>
      <c r="I142" s="19"/>
      <c r="K142" s="35"/>
      <c r="M142" s="35"/>
      <c r="N142" s="35"/>
      <c r="O142" s="35"/>
      <c r="P142" s="35"/>
    </row>
    <row r="143" spans="2:16">
      <c r="B143" s="28"/>
      <c r="C143" s="196"/>
      <c r="D143" s="47"/>
      <c r="E143" s="28"/>
      <c r="F143" s="215"/>
      <c r="G143" s="215"/>
      <c r="H143" s="2"/>
      <c r="I143" s="19"/>
      <c r="K143" s="35"/>
      <c r="M143" s="35"/>
      <c r="N143" s="35"/>
      <c r="O143" s="35"/>
      <c r="P143" s="35"/>
    </row>
    <row r="144" spans="2:16">
      <c r="B144" s="28"/>
      <c r="C144" s="196"/>
      <c r="D144" s="47"/>
      <c r="E144" s="28"/>
      <c r="F144" s="215"/>
      <c r="G144" s="215"/>
      <c r="H144" s="2"/>
      <c r="I144" s="19"/>
      <c r="K144" s="35"/>
      <c r="M144" s="35"/>
      <c r="N144" s="35"/>
      <c r="O144" s="35"/>
      <c r="P144" s="35"/>
    </row>
    <row r="145" spans="2:16">
      <c r="B145" s="28"/>
      <c r="C145" s="196"/>
      <c r="D145" s="47"/>
      <c r="E145" s="28"/>
      <c r="F145" s="215"/>
      <c r="G145" s="215"/>
      <c r="H145" s="2"/>
      <c r="I145" s="19"/>
      <c r="K145" s="35"/>
      <c r="M145" s="35"/>
      <c r="N145" s="35"/>
      <c r="O145" s="35"/>
      <c r="P145" s="35"/>
    </row>
    <row r="146" spans="2:16">
      <c r="B146" s="28"/>
      <c r="C146" s="196"/>
      <c r="D146" s="47"/>
      <c r="E146" s="28"/>
      <c r="F146" s="215"/>
      <c r="G146" s="215"/>
      <c r="H146" s="2"/>
      <c r="I146" s="19"/>
      <c r="K146" s="35"/>
      <c r="M146" s="35"/>
      <c r="N146" s="35"/>
      <c r="O146" s="35"/>
      <c r="P146" s="35"/>
    </row>
    <row r="147" spans="2:16">
      <c r="B147" s="28"/>
      <c r="C147" s="196"/>
      <c r="D147" s="47"/>
      <c r="E147" s="28"/>
      <c r="F147" s="215"/>
      <c r="G147" s="215"/>
      <c r="H147" s="2"/>
      <c r="I147" s="19"/>
      <c r="K147" s="35"/>
      <c r="M147" s="35"/>
      <c r="N147" s="35"/>
      <c r="O147" s="35"/>
      <c r="P147" s="35"/>
    </row>
    <row r="148" spans="2:16">
      <c r="B148" s="28"/>
      <c r="C148" s="196"/>
      <c r="D148" s="47"/>
      <c r="E148" s="28"/>
      <c r="F148" s="215"/>
      <c r="G148" s="215"/>
      <c r="H148" s="2"/>
      <c r="I148" s="19"/>
      <c r="K148" s="35"/>
      <c r="M148" s="35"/>
      <c r="N148" s="35"/>
      <c r="O148" s="35"/>
      <c r="P148" s="35"/>
    </row>
    <row r="149" spans="2:16">
      <c r="B149" s="28"/>
      <c r="C149" s="196"/>
      <c r="D149" s="47"/>
      <c r="E149" s="28"/>
      <c r="F149" s="215"/>
      <c r="G149" s="215"/>
      <c r="H149" s="2"/>
      <c r="I149" s="19"/>
      <c r="K149" s="35"/>
      <c r="M149" s="35"/>
      <c r="N149" s="35"/>
      <c r="O149" s="35"/>
      <c r="P149" s="35"/>
    </row>
    <row r="150" spans="2:16">
      <c r="B150" s="28"/>
      <c r="C150" s="196"/>
      <c r="D150" s="47"/>
      <c r="E150" s="28"/>
      <c r="F150" s="215"/>
      <c r="G150" s="215"/>
      <c r="H150" s="2"/>
      <c r="I150" s="19"/>
      <c r="K150" s="35"/>
      <c r="M150" s="35"/>
      <c r="N150" s="35"/>
      <c r="O150" s="35"/>
      <c r="P150" s="35"/>
    </row>
    <row r="151" spans="2:16">
      <c r="B151" s="28"/>
      <c r="C151" s="196"/>
      <c r="D151" s="47"/>
      <c r="E151" s="28"/>
      <c r="F151" s="215"/>
      <c r="G151" s="215"/>
      <c r="H151" s="2"/>
      <c r="I151" s="19"/>
      <c r="K151" s="35"/>
      <c r="M151" s="35"/>
      <c r="N151" s="35"/>
      <c r="O151" s="35"/>
      <c r="P151" s="35"/>
    </row>
    <row r="152" spans="2:16">
      <c r="B152" s="28"/>
      <c r="C152" s="196"/>
      <c r="D152" s="47"/>
      <c r="E152" s="28"/>
      <c r="F152" s="215"/>
      <c r="G152" s="215"/>
      <c r="H152" s="2"/>
      <c r="I152" s="19"/>
      <c r="K152" s="35"/>
      <c r="M152" s="35"/>
      <c r="N152" s="35"/>
      <c r="O152" s="35"/>
      <c r="P152" s="35"/>
    </row>
    <row r="153" spans="2:16">
      <c r="B153" s="28"/>
      <c r="C153" s="196"/>
      <c r="D153" s="47"/>
      <c r="E153" s="28"/>
      <c r="F153" s="215"/>
      <c r="G153" s="215"/>
      <c r="H153" s="2"/>
      <c r="I153" s="19"/>
      <c r="K153" s="35"/>
      <c r="M153" s="35"/>
      <c r="N153" s="35"/>
      <c r="O153" s="35"/>
      <c r="P153" s="35"/>
    </row>
    <row r="154" spans="2:16">
      <c r="B154" s="28"/>
      <c r="C154" s="196"/>
      <c r="D154" s="47"/>
      <c r="E154" s="28"/>
      <c r="F154" s="215"/>
      <c r="G154" s="215"/>
      <c r="H154" s="2"/>
      <c r="I154" s="19"/>
      <c r="K154" s="35"/>
      <c r="M154" s="35"/>
      <c r="N154" s="35"/>
      <c r="O154" s="35"/>
      <c r="P154" s="35"/>
    </row>
    <row r="155" spans="2:16">
      <c r="B155" s="28"/>
      <c r="C155" s="196"/>
      <c r="D155" s="47"/>
      <c r="E155" s="28"/>
      <c r="F155" s="215"/>
      <c r="G155" s="215"/>
      <c r="H155" s="2"/>
      <c r="I155" s="19"/>
      <c r="K155" s="35"/>
      <c r="M155" s="35"/>
      <c r="N155" s="35"/>
      <c r="O155" s="35"/>
      <c r="P155" s="35"/>
    </row>
    <row r="156" spans="2:16">
      <c r="B156" s="28"/>
      <c r="C156" s="196"/>
      <c r="D156" s="47"/>
      <c r="E156" s="28"/>
      <c r="F156" s="215"/>
      <c r="G156" s="215"/>
      <c r="H156" s="2"/>
      <c r="I156" s="19"/>
      <c r="K156" s="35"/>
      <c r="M156" s="35"/>
      <c r="N156" s="35"/>
      <c r="O156" s="35"/>
      <c r="P156" s="35"/>
    </row>
    <row r="157" spans="2:16">
      <c r="B157" s="28"/>
      <c r="C157" s="196"/>
      <c r="D157" s="47"/>
      <c r="E157" s="28"/>
      <c r="F157" s="215"/>
      <c r="G157" s="215"/>
      <c r="H157" s="2"/>
      <c r="I157" s="19"/>
      <c r="K157" s="35"/>
      <c r="M157" s="35"/>
      <c r="N157" s="35"/>
      <c r="O157" s="35"/>
      <c r="P157" s="35"/>
    </row>
    <row r="158" spans="2:16">
      <c r="B158" s="28"/>
      <c r="C158" s="196"/>
      <c r="D158" s="47"/>
      <c r="E158" s="28"/>
      <c r="F158" s="215"/>
      <c r="G158" s="215"/>
      <c r="H158" s="2"/>
      <c r="I158" s="19"/>
      <c r="K158" s="35"/>
      <c r="M158" s="35"/>
      <c r="N158" s="35"/>
      <c r="O158" s="35"/>
      <c r="P158" s="35"/>
    </row>
    <row r="159" spans="2:16">
      <c r="B159" s="28"/>
      <c r="C159" s="196"/>
      <c r="D159" s="47"/>
      <c r="E159" s="28"/>
      <c r="F159" s="215"/>
      <c r="G159" s="215"/>
      <c r="H159" s="2"/>
      <c r="I159" s="19"/>
      <c r="K159" s="35"/>
      <c r="M159" s="35"/>
      <c r="N159" s="35"/>
      <c r="O159" s="35"/>
      <c r="P159" s="35"/>
    </row>
    <row r="160" spans="2:16">
      <c r="B160" s="28"/>
      <c r="C160" s="196"/>
      <c r="D160" s="47"/>
      <c r="E160" s="28"/>
      <c r="F160" s="215"/>
      <c r="G160" s="215"/>
      <c r="H160" s="2"/>
      <c r="I160" s="19"/>
      <c r="K160" s="35"/>
      <c r="M160" s="35"/>
      <c r="N160" s="35"/>
      <c r="O160" s="35"/>
      <c r="P160" s="35"/>
    </row>
    <row r="161" spans="2:16">
      <c r="B161" s="28"/>
      <c r="C161" s="196"/>
      <c r="D161" s="47"/>
      <c r="E161" s="28"/>
      <c r="F161" s="215"/>
      <c r="G161" s="215"/>
      <c r="H161" s="2"/>
      <c r="I161" s="19"/>
      <c r="K161" s="35"/>
      <c r="M161" s="35"/>
      <c r="N161" s="35"/>
      <c r="O161" s="35"/>
      <c r="P161" s="35"/>
    </row>
    <row r="162" spans="2:16">
      <c r="B162" s="28"/>
      <c r="C162" s="196"/>
      <c r="D162" s="47"/>
      <c r="E162" s="28"/>
      <c r="F162" s="215"/>
      <c r="G162" s="215"/>
      <c r="H162" s="2"/>
      <c r="I162" s="19"/>
      <c r="K162" s="35"/>
      <c r="M162" s="35"/>
      <c r="N162" s="35"/>
      <c r="O162" s="35"/>
      <c r="P162" s="35"/>
    </row>
    <row r="163" spans="2:16">
      <c r="B163" s="28"/>
      <c r="C163" s="196"/>
      <c r="D163" s="47"/>
      <c r="E163" s="28"/>
      <c r="F163" s="215"/>
      <c r="G163" s="215"/>
      <c r="H163" s="2"/>
      <c r="I163" s="19"/>
      <c r="K163" s="35"/>
      <c r="M163" s="35"/>
      <c r="N163" s="35"/>
      <c r="O163" s="35"/>
      <c r="P163" s="35"/>
    </row>
    <row r="164" spans="2:16">
      <c r="B164" s="28"/>
      <c r="C164" s="196"/>
      <c r="D164" s="47"/>
      <c r="E164" s="28"/>
      <c r="F164" s="215"/>
      <c r="G164" s="215"/>
      <c r="H164" s="2"/>
      <c r="I164" s="19"/>
      <c r="K164" s="35"/>
      <c r="M164" s="35"/>
      <c r="N164" s="35"/>
      <c r="O164" s="35"/>
      <c r="P164" s="35"/>
    </row>
    <row r="165" spans="2:16">
      <c r="B165" s="28"/>
      <c r="C165" s="196"/>
      <c r="D165" s="47"/>
      <c r="E165" s="28"/>
      <c r="F165" s="215"/>
      <c r="G165" s="215"/>
      <c r="H165" s="2"/>
      <c r="I165" s="19"/>
      <c r="K165" s="35"/>
      <c r="M165" s="35"/>
      <c r="N165" s="35"/>
      <c r="O165" s="35"/>
      <c r="P165" s="35"/>
    </row>
    <row r="166" spans="2:16">
      <c r="B166" s="28"/>
      <c r="C166" s="196"/>
      <c r="D166" s="47"/>
      <c r="E166" s="28"/>
      <c r="F166" s="215"/>
      <c r="G166" s="215"/>
      <c r="H166" s="2"/>
      <c r="I166" s="19"/>
      <c r="K166" s="35"/>
      <c r="M166" s="35"/>
      <c r="N166" s="35"/>
      <c r="O166" s="35"/>
      <c r="P166" s="35"/>
    </row>
    <row r="167" spans="2:16">
      <c r="B167" s="28"/>
      <c r="C167" s="196"/>
      <c r="D167" s="47"/>
      <c r="E167" s="28"/>
      <c r="F167" s="215"/>
      <c r="G167" s="215"/>
      <c r="H167" s="2"/>
      <c r="I167" s="19"/>
      <c r="K167" s="35"/>
      <c r="M167" s="35"/>
      <c r="N167" s="35"/>
      <c r="O167" s="35"/>
      <c r="P167" s="35"/>
    </row>
    <row r="168" spans="2:16">
      <c r="B168" s="28"/>
      <c r="C168" s="196"/>
      <c r="D168" s="47"/>
      <c r="E168" s="28"/>
      <c r="F168" s="215"/>
      <c r="G168" s="215"/>
      <c r="H168" s="2"/>
      <c r="I168" s="19"/>
      <c r="K168" s="35"/>
      <c r="M168" s="35"/>
      <c r="N168" s="35"/>
      <c r="O168" s="35"/>
      <c r="P168" s="35"/>
    </row>
    <row r="169" spans="2:16">
      <c r="B169" s="28"/>
      <c r="C169" s="196"/>
      <c r="D169" s="47"/>
      <c r="E169" s="28"/>
      <c r="F169" s="215"/>
      <c r="G169" s="215"/>
      <c r="H169" s="2"/>
      <c r="I169" s="19"/>
      <c r="K169" s="35"/>
      <c r="M169" s="35"/>
      <c r="N169" s="35"/>
      <c r="O169" s="35"/>
      <c r="P169" s="35"/>
    </row>
    <row r="170" spans="2:16">
      <c r="B170" s="28"/>
      <c r="C170" s="196"/>
      <c r="D170" s="47"/>
      <c r="E170" s="28"/>
      <c r="F170" s="215"/>
      <c r="G170" s="215"/>
      <c r="H170" s="2"/>
      <c r="I170" s="19"/>
      <c r="K170" s="35"/>
      <c r="M170" s="35"/>
      <c r="N170" s="35"/>
      <c r="O170" s="35"/>
      <c r="P170" s="35"/>
    </row>
    <row r="171" spans="2:16">
      <c r="B171" s="28"/>
      <c r="C171" s="196"/>
      <c r="D171" s="47"/>
      <c r="E171" s="28"/>
      <c r="F171" s="215"/>
      <c r="G171" s="215"/>
      <c r="H171" s="2"/>
      <c r="I171" s="19"/>
      <c r="K171" s="35"/>
      <c r="M171" s="35"/>
      <c r="N171" s="35"/>
      <c r="O171" s="35"/>
      <c r="P171" s="35"/>
    </row>
    <row r="172" spans="2:16">
      <c r="B172" s="28"/>
      <c r="C172" s="196"/>
      <c r="D172" s="47"/>
      <c r="E172" s="28"/>
      <c r="F172" s="215"/>
      <c r="G172" s="215"/>
      <c r="H172" s="2"/>
      <c r="I172" s="19"/>
      <c r="K172" s="35"/>
      <c r="M172" s="35"/>
      <c r="N172" s="35"/>
      <c r="O172" s="35"/>
      <c r="P172" s="35"/>
    </row>
    <row r="173" spans="2:16">
      <c r="B173" s="28"/>
      <c r="C173" s="196"/>
      <c r="D173" s="47"/>
      <c r="E173" s="28"/>
      <c r="F173" s="215"/>
      <c r="G173" s="215"/>
      <c r="H173" s="2"/>
      <c r="I173" s="19"/>
      <c r="K173" s="35"/>
      <c r="M173" s="35"/>
      <c r="N173" s="35"/>
      <c r="O173" s="35"/>
      <c r="P173" s="35"/>
    </row>
    <row r="174" spans="2:16">
      <c r="B174" s="28"/>
      <c r="C174" s="196"/>
      <c r="D174" s="47"/>
      <c r="E174" s="28"/>
      <c r="F174" s="215"/>
      <c r="G174" s="215"/>
      <c r="H174" s="2"/>
      <c r="I174" s="19"/>
      <c r="K174" s="35"/>
      <c r="M174" s="35"/>
      <c r="N174" s="35"/>
      <c r="O174" s="35"/>
      <c r="P174" s="35"/>
    </row>
    <row r="175" spans="2:16">
      <c r="B175" s="28"/>
      <c r="C175" s="196"/>
      <c r="D175" s="47"/>
      <c r="E175" s="28"/>
      <c r="F175" s="215"/>
      <c r="G175" s="215"/>
      <c r="H175" s="2"/>
      <c r="I175" s="19"/>
      <c r="K175" s="35"/>
      <c r="M175" s="35"/>
      <c r="N175" s="35"/>
      <c r="O175" s="35"/>
      <c r="P175" s="35"/>
    </row>
    <row r="176" spans="2:16">
      <c r="B176" s="28"/>
      <c r="C176" s="196"/>
      <c r="D176" s="47"/>
      <c r="E176" s="28"/>
      <c r="F176" s="215"/>
      <c r="G176" s="215"/>
      <c r="H176" s="2"/>
      <c r="I176" s="19"/>
      <c r="K176" s="35"/>
      <c r="M176" s="35"/>
      <c r="N176" s="35"/>
      <c r="O176" s="35"/>
      <c r="P176" s="35"/>
    </row>
    <row r="177" spans="2:16">
      <c r="B177" s="28"/>
      <c r="C177" s="196"/>
      <c r="D177" s="47"/>
      <c r="E177" s="28"/>
      <c r="F177" s="215"/>
      <c r="G177" s="215"/>
      <c r="H177" s="2"/>
      <c r="I177" s="19"/>
      <c r="K177" s="35"/>
      <c r="M177" s="35"/>
      <c r="N177" s="35"/>
      <c r="O177" s="35"/>
      <c r="P177" s="35"/>
    </row>
    <row r="178" spans="2:16">
      <c r="B178" s="28"/>
      <c r="C178" s="196"/>
      <c r="D178" s="47"/>
      <c r="E178" s="28"/>
      <c r="F178" s="215"/>
      <c r="G178" s="215"/>
      <c r="H178" s="2"/>
      <c r="I178" s="19"/>
      <c r="K178" s="35"/>
      <c r="M178" s="35"/>
      <c r="N178" s="35"/>
      <c r="O178" s="35"/>
      <c r="P178" s="35"/>
    </row>
    <row r="179" spans="2:16">
      <c r="B179" s="28"/>
      <c r="C179" s="196"/>
      <c r="D179" s="47"/>
      <c r="E179" s="28"/>
      <c r="F179" s="215"/>
      <c r="G179" s="215"/>
      <c r="H179" s="2"/>
      <c r="I179" s="19"/>
      <c r="K179" s="35"/>
      <c r="M179" s="35"/>
      <c r="N179" s="35"/>
      <c r="O179" s="35"/>
      <c r="P179" s="35"/>
    </row>
    <row r="180" spans="2:16">
      <c r="B180" s="28"/>
      <c r="C180" s="196"/>
      <c r="D180" s="47"/>
      <c r="E180" s="28"/>
      <c r="F180" s="215"/>
      <c r="G180" s="215"/>
      <c r="H180" s="2"/>
      <c r="I180" s="19"/>
      <c r="K180" s="35"/>
      <c r="M180" s="35"/>
      <c r="N180" s="35"/>
      <c r="O180" s="35"/>
      <c r="P180" s="35"/>
    </row>
    <row r="181" spans="2:16">
      <c r="B181" s="28"/>
      <c r="C181" s="196"/>
      <c r="D181" s="47"/>
      <c r="E181" s="28"/>
      <c r="F181" s="215"/>
      <c r="G181" s="215"/>
      <c r="H181" s="2"/>
      <c r="I181" s="19"/>
      <c r="K181" s="35"/>
      <c r="M181" s="35"/>
      <c r="N181" s="35"/>
      <c r="O181" s="35"/>
      <c r="P181" s="35"/>
    </row>
    <row r="182" spans="2:16">
      <c r="B182" s="28"/>
      <c r="C182" s="196"/>
      <c r="D182" s="47"/>
      <c r="E182" s="28"/>
      <c r="F182" s="215"/>
      <c r="G182" s="215"/>
      <c r="H182" s="2"/>
      <c r="I182" s="19"/>
      <c r="K182" s="35"/>
      <c r="M182" s="35"/>
      <c r="N182" s="35"/>
      <c r="O182" s="35"/>
      <c r="P182" s="35"/>
    </row>
    <row r="183" spans="2:16">
      <c r="B183" s="28"/>
      <c r="C183" s="196"/>
      <c r="D183" s="47"/>
      <c r="E183" s="28"/>
      <c r="F183" s="215"/>
      <c r="G183" s="215"/>
      <c r="H183" s="2"/>
      <c r="I183" s="19"/>
      <c r="K183" s="35"/>
      <c r="M183" s="35"/>
      <c r="N183" s="35"/>
      <c r="O183" s="35"/>
      <c r="P183" s="35"/>
    </row>
    <row r="184" spans="2:16">
      <c r="B184" s="28"/>
      <c r="C184" s="196"/>
      <c r="D184" s="47"/>
      <c r="E184" s="28"/>
      <c r="F184" s="215"/>
      <c r="G184" s="215"/>
      <c r="H184" s="2"/>
      <c r="I184" s="19"/>
      <c r="K184" s="35"/>
      <c r="M184" s="35"/>
      <c r="N184" s="35"/>
      <c r="O184" s="35"/>
      <c r="P184" s="35"/>
    </row>
    <row r="185" spans="2:16">
      <c r="B185" s="28"/>
      <c r="C185" s="196"/>
      <c r="D185" s="47"/>
      <c r="E185" s="28"/>
      <c r="F185" s="215"/>
      <c r="G185" s="215"/>
      <c r="H185" s="2"/>
      <c r="I185" s="19"/>
      <c r="K185" s="35"/>
      <c r="M185" s="35"/>
      <c r="N185" s="35"/>
      <c r="O185" s="35"/>
      <c r="P185" s="35"/>
    </row>
    <row r="186" spans="2:16">
      <c r="B186" s="28"/>
      <c r="C186" s="196"/>
      <c r="D186" s="47"/>
      <c r="E186" s="28"/>
      <c r="F186" s="215"/>
      <c r="G186" s="215"/>
      <c r="H186" s="2"/>
      <c r="I186" s="19"/>
      <c r="K186" s="35"/>
      <c r="M186" s="35"/>
      <c r="N186" s="35"/>
      <c r="O186" s="35"/>
      <c r="P186" s="35"/>
    </row>
    <row r="187" spans="2:16">
      <c r="B187" s="28"/>
      <c r="C187" s="196"/>
      <c r="D187" s="47"/>
      <c r="E187" s="28"/>
      <c r="F187" s="215"/>
      <c r="G187" s="215"/>
      <c r="H187" s="2"/>
      <c r="I187" s="19"/>
      <c r="K187" s="35"/>
      <c r="M187" s="35"/>
      <c r="N187" s="35"/>
      <c r="O187" s="35"/>
      <c r="P187" s="35"/>
    </row>
    <row r="188" spans="2:16">
      <c r="B188" s="28"/>
      <c r="C188" s="196"/>
      <c r="D188" s="47"/>
      <c r="E188" s="28"/>
      <c r="F188" s="215"/>
      <c r="G188" s="215"/>
      <c r="H188" s="2"/>
      <c r="I188" s="19"/>
      <c r="K188" s="35"/>
      <c r="M188" s="35"/>
      <c r="N188" s="35"/>
      <c r="O188" s="35"/>
      <c r="P188" s="35"/>
    </row>
    <row r="189" spans="2:16">
      <c r="B189" s="28"/>
      <c r="C189" s="196"/>
      <c r="D189" s="47"/>
      <c r="E189" s="28"/>
      <c r="F189" s="215"/>
      <c r="G189" s="215"/>
      <c r="H189" s="2"/>
      <c r="I189" s="19"/>
      <c r="K189" s="35"/>
      <c r="M189" s="35"/>
      <c r="N189" s="35"/>
      <c r="O189" s="35"/>
      <c r="P189" s="35"/>
    </row>
    <row r="190" spans="2:16">
      <c r="B190" s="28"/>
      <c r="C190" s="196"/>
      <c r="D190" s="47"/>
      <c r="E190" s="28"/>
      <c r="F190" s="215"/>
      <c r="G190" s="215"/>
      <c r="H190" s="2"/>
      <c r="I190" s="19"/>
      <c r="K190" s="35"/>
      <c r="M190" s="35"/>
      <c r="N190" s="35"/>
      <c r="O190" s="35"/>
      <c r="P190" s="35"/>
    </row>
    <row r="191" spans="2:16">
      <c r="D191" s="47"/>
      <c r="E191" s="143"/>
      <c r="H191" s="2"/>
      <c r="I191" s="30"/>
    </row>
    <row r="192" spans="2:16">
      <c r="D192" s="47"/>
      <c r="E192" s="143"/>
      <c r="H192" s="2"/>
      <c r="I192" s="30"/>
    </row>
    <row r="193" spans="4:9">
      <c r="D193" s="47"/>
      <c r="E193" s="143"/>
      <c r="H193" s="2"/>
      <c r="I193" s="30"/>
    </row>
    <row r="194" spans="4:9">
      <c r="D194" s="47"/>
      <c r="E194" s="143"/>
      <c r="H194" s="2"/>
      <c r="I194" s="30"/>
    </row>
    <row r="195" spans="4:9">
      <c r="D195" s="47"/>
      <c r="E195" s="143"/>
      <c r="H195" s="2"/>
      <c r="I195" s="30"/>
    </row>
    <row r="196" spans="4:9">
      <c r="D196" s="47"/>
      <c r="E196" s="143"/>
      <c r="H196" s="2"/>
      <c r="I196" s="30"/>
    </row>
    <row r="197" spans="4:9">
      <c r="D197" s="47"/>
      <c r="E197" s="143"/>
      <c r="H197" s="2"/>
      <c r="I197" s="30"/>
    </row>
    <row r="198" spans="4:9">
      <c r="D198" s="47"/>
      <c r="E198" s="143"/>
      <c r="H198" s="2"/>
      <c r="I198" s="30"/>
    </row>
    <row r="199" spans="4:9">
      <c r="D199" s="47"/>
      <c r="E199" s="143"/>
      <c r="H199" s="2"/>
      <c r="I199" s="30"/>
    </row>
    <row r="200" spans="4:9">
      <c r="D200" s="47"/>
      <c r="E200" s="143"/>
      <c r="H200" s="2"/>
      <c r="I200" s="30"/>
    </row>
    <row r="201" spans="4:9">
      <c r="D201" s="47"/>
      <c r="E201" s="143"/>
      <c r="H201" s="2"/>
      <c r="I201" s="30"/>
    </row>
    <row r="202" spans="4:9">
      <c r="D202" s="47"/>
      <c r="E202" s="143"/>
      <c r="H202" s="2"/>
      <c r="I202" s="30"/>
    </row>
    <row r="203" spans="4:9">
      <c r="D203" s="47"/>
      <c r="E203" s="143"/>
      <c r="H203" s="2"/>
      <c r="I203" s="30"/>
    </row>
    <row r="204" spans="4:9">
      <c r="D204" s="47"/>
      <c r="E204" s="143"/>
      <c r="H204" s="2"/>
      <c r="I204" s="30"/>
    </row>
    <row r="205" spans="4:9">
      <c r="D205" s="47"/>
      <c r="E205" s="143"/>
      <c r="H205" s="2"/>
      <c r="I205" s="30"/>
    </row>
    <row r="206" spans="4:9">
      <c r="D206" s="47"/>
      <c r="E206" s="143"/>
      <c r="H206" s="2"/>
      <c r="I206" s="30"/>
    </row>
    <row r="207" spans="4:9">
      <c r="D207" s="47"/>
      <c r="E207" s="143"/>
      <c r="H207" s="2"/>
      <c r="I207" s="30"/>
    </row>
    <row r="208" spans="4:9">
      <c r="D208" s="47"/>
      <c r="E208" s="143"/>
      <c r="H208" s="2"/>
      <c r="I208" s="30"/>
    </row>
    <row r="209" spans="4:9">
      <c r="D209" s="47"/>
      <c r="E209" s="143"/>
      <c r="H209" s="2"/>
      <c r="I209" s="30"/>
    </row>
    <row r="210" spans="4:9">
      <c r="D210" s="47"/>
      <c r="E210" s="143"/>
      <c r="H210" s="2"/>
      <c r="I210" s="30"/>
    </row>
    <row r="211" spans="4:9">
      <c r="D211" s="47"/>
      <c r="E211" s="143"/>
      <c r="H211" s="2"/>
      <c r="I211" s="30"/>
    </row>
    <row r="212" spans="4:9">
      <c r="D212" s="47"/>
      <c r="E212" s="143"/>
      <c r="H212" s="2"/>
      <c r="I212" s="30"/>
    </row>
    <row r="213" spans="4:9">
      <c r="D213" s="47"/>
      <c r="E213" s="143"/>
      <c r="H213" s="2"/>
      <c r="I213" s="30"/>
    </row>
    <row r="214" spans="4:9">
      <c r="D214" s="47"/>
      <c r="E214" s="143"/>
      <c r="H214" s="2"/>
      <c r="I214" s="30"/>
    </row>
    <row r="215" spans="4:9">
      <c r="D215" s="47"/>
      <c r="E215" s="143"/>
      <c r="H215" s="2"/>
      <c r="I215" s="30"/>
    </row>
    <row r="216" spans="4:9">
      <c r="D216" s="47"/>
      <c r="E216" s="143"/>
      <c r="H216" s="2"/>
      <c r="I216" s="30"/>
    </row>
    <row r="217" spans="4:9">
      <c r="D217" s="47"/>
      <c r="E217" s="143"/>
      <c r="H217" s="2"/>
      <c r="I217" s="30"/>
    </row>
    <row r="218" spans="4:9">
      <c r="D218" s="47"/>
      <c r="E218" s="143"/>
      <c r="H218" s="2"/>
      <c r="I218" s="30"/>
    </row>
    <row r="219" spans="4:9">
      <c r="D219" s="47"/>
      <c r="E219" s="143"/>
      <c r="H219" s="2"/>
      <c r="I219" s="30"/>
    </row>
    <row r="220" spans="4:9">
      <c r="D220" s="47"/>
      <c r="E220" s="143"/>
      <c r="H220" s="2"/>
      <c r="I220" s="30"/>
    </row>
    <row r="221" spans="4:9">
      <c r="D221" s="47"/>
      <c r="E221" s="143"/>
      <c r="H221" s="2"/>
      <c r="I221" s="30"/>
    </row>
    <row r="222" spans="4:9">
      <c r="D222" s="47"/>
      <c r="E222" s="143"/>
      <c r="H222" s="2"/>
      <c r="I222" s="30"/>
    </row>
    <row r="223" spans="4:9">
      <c r="D223" s="47"/>
      <c r="E223" s="143"/>
      <c r="H223" s="2"/>
      <c r="I223" s="30"/>
    </row>
    <row r="224" spans="4:9">
      <c r="D224" s="47"/>
      <c r="E224" s="143"/>
      <c r="H224" s="2"/>
      <c r="I224" s="30"/>
    </row>
    <row r="225" spans="4:9">
      <c r="D225" s="47"/>
      <c r="E225" s="143"/>
      <c r="H225" s="2"/>
      <c r="I225" s="30"/>
    </row>
    <row r="226" spans="4:9">
      <c r="D226" s="47"/>
      <c r="E226" s="143"/>
      <c r="H226" s="2"/>
      <c r="I226" s="30"/>
    </row>
    <row r="227" spans="4:9">
      <c r="D227" s="47"/>
      <c r="E227" s="143"/>
      <c r="H227" s="2"/>
      <c r="I227" s="30"/>
    </row>
    <row r="228" spans="4:9">
      <c r="D228" s="47"/>
      <c r="E228" s="143"/>
      <c r="H228" s="2"/>
      <c r="I228" s="30"/>
    </row>
    <row r="229" spans="4:9">
      <c r="D229" s="47"/>
      <c r="E229" s="143"/>
      <c r="H229" s="2"/>
      <c r="I229" s="30"/>
    </row>
    <row r="230" spans="4:9">
      <c r="D230" s="47"/>
      <c r="E230" s="143"/>
      <c r="H230" s="2"/>
      <c r="I230" s="30"/>
    </row>
    <row r="231" spans="4:9">
      <c r="D231" s="47"/>
      <c r="E231" s="143"/>
      <c r="H231" s="2"/>
      <c r="I231" s="30"/>
    </row>
    <row r="232" spans="4:9">
      <c r="D232" s="47"/>
      <c r="E232" s="143"/>
      <c r="H232" s="2"/>
      <c r="I232" s="30"/>
    </row>
    <row r="233" spans="4:9">
      <c r="D233" s="47"/>
      <c r="E233" s="143"/>
      <c r="H233" s="2"/>
      <c r="I233" s="30"/>
    </row>
    <row r="234" spans="4:9">
      <c r="D234" s="47"/>
      <c r="E234" s="143"/>
      <c r="H234" s="2"/>
      <c r="I234" s="30"/>
    </row>
    <row r="235" spans="4:9">
      <c r="D235" s="47"/>
      <c r="E235" s="143"/>
      <c r="H235" s="2"/>
      <c r="I235" s="30"/>
    </row>
    <row r="236" spans="4:9">
      <c r="D236" s="47"/>
      <c r="E236" s="143"/>
      <c r="H236" s="2"/>
      <c r="I236" s="30"/>
    </row>
    <row r="237" spans="4:9">
      <c r="D237" s="47"/>
      <c r="E237" s="143"/>
      <c r="H237" s="2"/>
      <c r="I237" s="30"/>
    </row>
    <row r="238" spans="4:9">
      <c r="D238" s="47"/>
      <c r="E238" s="143"/>
      <c r="H238" s="2"/>
      <c r="I238" s="30"/>
    </row>
    <row r="239" spans="4:9">
      <c r="D239" s="47"/>
      <c r="E239" s="143"/>
      <c r="H239" s="2"/>
      <c r="I239" s="30"/>
    </row>
    <row r="240" spans="4:9">
      <c r="D240" s="47"/>
      <c r="E240" s="143"/>
      <c r="H240" s="2"/>
      <c r="I240" s="30"/>
    </row>
    <row r="241" spans="4:9">
      <c r="D241" s="47"/>
      <c r="E241" s="143"/>
      <c r="H241" s="2"/>
      <c r="I241" s="30"/>
    </row>
    <row r="242" spans="4:9">
      <c r="D242" s="47"/>
      <c r="E242" s="143"/>
      <c r="H242" s="2"/>
      <c r="I242" s="30"/>
    </row>
    <row r="243" spans="4:9">
      <c r="D243" s="47"/>
      <c r="E243" s="143"/>
      <c r="H243" s="2"/>
      <c r="I243" s="30"/>
    </row>
    <row r="244" spans="4:9">
      <c r="D244" s="47"/>
      <c r="E244" s="143"/>
      <c r="H244" s="2"/>
      <c r="I244" s="30"/>
    </row>
    <row r="245" spans="4:9">
      <c r="D245" s="47"/>
      <c r="E245" s="143"/>
      <c r="H245" s="2"/>
      <c r="I245" s="30"/>
    </row>
    <row r="246" spans="4:9">
      <c r="D246" s="47"/>
      <c r="E246" s="143"/>
      <c r="H246" s="2"/>
      <c r="I246" s="30"/>
    </row>
    <row r="247" spans="4:9">
      <c r="D247" s="47"/>
      <c r="E247" s="143"/>
      <c r="H247" s="2"/>
      <c r="I247" s="30"/>
    </row>
    <row r="248" spans="4:9">
      <c r="D248" s="47"/>
      <c r="E248" s="143"/>
      <c r="H248" s="2"/>
      <c r="I248" s="30"/>
    </row>
    <row r="249" spans="4:9">
      <c r="D249" s="47"/>
      <c r="E249" s="143"/>
      <c r="H249" s="2"/>
      <c r="I249" s="30"/>
    </row>
    <row r="250" spans="4:9">
      <c r="D250" s="47"/>
      <c r="E250" s="143"/>
      <c r="H250" s="2"/>
      <c r="I250" s="30"/>
    </row>
    <row r="251" spans="4:9">
      <c r="D251" s="47"/>
      <c r="E251" s="143"/>
      <c r="H251" s="2"/>
      <c r="I251" s="30"/>
    </row>
    <row r="252" spans="4:9">
      <c r="D252" s="47"/>
      <c r="E252" s="143"/>
      <c r="H252" s="2"/>
      <c r="I252" s="30"/>
    </row>
    <row r="253" spans="4:9">
      <c r="D253" s="47"/>
      <c r="E253" s="143"/>
      <c r="H253" s="2"/>
      <c r="I253" s="30"/>
    </row>
    <row r="254" spans="4:9">
      <c r="D254" s="47"/>
      <c r="E254" s="143"/>
      <c r="H254" s="2"/>
      <c r="I254" s="30"/>
    </row>
    <row r="255" spans="4:9">
      <c r="D255" s="47"/>
      <c r="E255" s="143"/>
      <c r="H255" s="2"/>
      <c r="I255" s="30"/>
    </row>
    <row r="256" spans="4:9">
      <c r="D256" s="47"/>
      <c r="E256" s="143"/>
      <c r="H256" s="2"/>
      <c r="I256" s="30"/>
    </row>
    <row r="257" spans="4:9">
      <c r="D257" s="47"/>
      <c r="E257" s="143"/>
      <c r="H257" s="2"/>
      <c r="I257" s="30"/>
    </row>
    <row r="258" spans="4:9">
      <c r="D258" s="47"/>
      <c r="E258" s="143"/>
      <c r="H258" s="2"/>
      <c r="I258" s="30"/>
    </row>
    <row r="259" spans="4:9">
      <c r="D259" s="47"/>
      <c r="E259" s="143"/>
      <c r="H259" s="2"/>
      <c r="I259" s="30"/>
    </row>
    <row r="260" spans="4:9">
      <c r="D260" s="47"/>
      <c r="E260" s="143"/>
      <c r="H260" s="2"/>
      <c r="I260" s="30"/>
    </row>
    <row r="261" spans="4:9">
      <c r="D261" s="47"/>
      <c r="E261" s="143"/>
      <c r="H261" s="2"/>
      <c r="I261" s="30"/>
    </row>
    <row r="262" spans="4:9">
      <c r="D262" s="47"/>
      <c r="E262" s="143"/>
      <c r="H262" s="2"/>
      <c r="I262" s="30"/>
    </row>
    <row r="263" spans="4:9">
      <c r="D263" s="47"/>
      <c r="E263" s="143"/>
      <c r="H263" s="2"/>
      <c r="I263" s="30"/>
    </row>
    <row r="264" spans="4:9">
      <c r="D264" s="47"/>
      <c r="E264" s="143"/>
      <c r="H264" s="2"/>
      <c r="I264" s="30"/>
    </row>
    <row r="265" spans="4:9">
      <c r="D265" s="47"/>
      <c r="E265" s="143"/>
      <c r="H265" s="2"/>
      <c r="I265" s="30"/>
    </row>
    <row r="266" spans="4:9">
      <c r="D266" s="47"/>
      <c r="E266" s="143"/>
      <c r="H266" s="2"/>
      <c r="I266" s="30"/>
    </row>
    <row r="267" spans="4:9">
      <c r="D267" s="47"/>
      <c r="E267" s="143"/>
      <c r="H267" s="2"/>
      <c r="I267" s="30"/>
    </row>
    <row r="268" spans="4:9">
      <c r="D268" s="47"/>
      <c r="E268" s="143"/>
      <c r="H268" s="2"/>
      <c r="I268" s="30"/>
    </row>
    <row r="269" spans="4:9">
      <c r="D269" s="47"/>
      <c r="E269" s="143"/>
      <c r="H269" s="2"/>
      <c r="I269" s="30"/>
    </row>
    <row r="270" spans="4:9">
      <c r="D270" s="47"/>
      <c r="E270" s="143"/>
      <c r="H270" s="2"/>
      <c r="I270" s="30"/>
    </row>
    <row r="271" spans="4:9">
      <c r="D271" s="47"/>
      <c r="E271" s="143"/>
      <c r="H271" s="2"/>
      <c r="I271" s="30"/>
    </row>
    <row r="272" spans="4:9">
      <c r="D272" s="47"/>
      <c r="E272" s="143"/>
      <c r="H272" s="2"/>
      <c r="I272" s="30"/>
    </row>
    <row r="273" spans="4:9">
      <c r="D273" s="47"/>
      <c r="E273" s="143"/>
      <c r="H273" s="2"/>
      <c r="I273" s="30"/>
    </row>
    <row r="274" spans="4:9">
      <c r="D274" s="47"/>
      <c r="E274" s="143"/>
      <c r="H274" s="2"/>
      <c r="I274" s="30"/>
    </row>
    <row r="275" spans="4:9">
      <c r="D275" s="47"/>
      <c r="E275" s="143"/>
      <c r="H275" s="2"/>
      <c r="I275" s="30"/>
    </row>
    <row r="276" spans="4:9">
      <c r="D276" s="47"/>
      <c r="E276" s="143"/>
      <c r="H276" s="2"/>
      <c r="I276" s="30"/>
    </row>
    <row r="277" spans="4:9">
      <c r="D277" s="47"/>
      <c r="E277" s="143"/>
      <c r="H277" s="2"/>
      <c r="I277" s="30"/>
    </row>
    <row r="278" spans="4:9">
      <c r="D278" s="47"/>
      <c r="E278" s="143"/>
      <c r="H278" s="2"/>
      <c r="I278" s="30"/>
    </row>
    <row r="279" spans="4:9">
      <c r="D279" s="47"/>
      <c r="E279" s="143"/>
      <c r="H279" s="2"/>
      <c r="I279" s="30"/>
    </row>
    <row r="280" spans="4:9">
      <c r="D280" s="47"/>
      <c r="E280" s="143"/>
      <c r="H280" s="2"/>
      <c r="I280" s="30"/>
    </row>
    <row r="281" spans="4:9">
      <c r="D281" s="47"/>
      <c r="E281" s="143"/>
      <c r="H281" s="2"/>
      <c r="I281" s="30"/>
    </row>
    <row r="282" spans="4:9">
      <c r="D282" s="47"/>
      <c r="E282" s="143"/>
      <c r="H282" s="2"/>
      <c r="I282" s="30"/>
    </row>
    <row r="283" spans="4:9">
      <c r="D283" s="47"/>
      <c r="E283" s="143"/>
      <c r="H283" s="2"/>
      <c r="I283" s="30"/>
    </row>
    <row r="284" spans="4:9">
      <c r="D284" s="47"/>
      <c r="E284" s="143"/>
      <c r="H284" s="2"/>
      <c r="I284" s="30"/>
    </row>
    <row r="285" spans="4:9">
      <c r="D285" s="47"/>
      <c r="E285" s="143"/>
      <c r="H285" s="2"/>
      <c r="I285" s="30"/>
    </row>
    <row r="286" spans="4:9">
      <c r="D286" s="47"/>
      <c r="E286" s="143"/>
      <c r="H286" s="2"/>
      <c r="I286" s="30"/>
    </row>
    <row r="287" spans="4:9">
      <c r="D287" s="47"/>
      <c r="E287" s="143"/>
      <c r="H287" s="2"/>
      <c r="I287" s="30"/>
    </row>
    <row r="288" spans="4:9">
      <c r="D288" s="47"/>
      <c r="E288" s="143"/>
      <c r="H288" s="2"/>
      <c r="I288" s="30"/>
    </row>
    <row r="289" spans="4:9">
      <c r="D289" s="47"/>
      <c r="E289" s="143"/>
      <c r="H289" s="2"/>
      <c r="I289" s="30"/>
    </row>
    <row r="290" spans="4:9">
      <c r="D290" s="47"/>
      <c r="E290" s="143"/>
      <c r="H290" s="2"/>
      <c r="I290" s="30"/>
    </row>
    <row r="291" spans="4:9">
      <c r="D291" s="47"/>
      <c r="E291" s="143"/>
      <c r="H291" s="2"/>
      <c r="I291" s="30"/>
    </row>
    <row r="292" spans="4:9">
      <c r="D292" s="47"/>
      <c r="E292" s="143"/>
      <c r="H292" s="2"/>
      <c r="I292" s="30"/>
    </row>
    <row r="293" spans="4:9">
      <c r="D293" s="47"/>
      <c r="E293" s="143"/>
      <c r="H293" s="2"/>
      <c r="I293" s="30"/>
    </row>
    <row r="294" spans="4:9">
      <c r="D294" s="47"/>
      <c r="E294" s="143"/>
      <c r="H294" s="2"/>
      <c r="I294" s="30"/>
    </row>
    <row r="295" spans="4:9">
      <c r="D295" s="47"/>
      <c r="E295" s="143"/>
      <c r="H295" s="2"/>
      <c r="I295" s="30"/>
    </row>
    <row r="296" spans="4:9">
      <c r="D296" s="47"/>
      <c r="E296" s="143"/>
      <c r="H296" s="2"/>
      <c r="I296" s="30"/>
    </row>
    <row r="297" spans="4:9">
      <c r="D297" s="47"/>
      <c r="E297" s="143"/>
      <c r="H297" s="2"/>
      <c r="I297" s="30"/>
    </row>
    <row r="298" spans="4:9">
      <c r="D298" s="47"/>
      <c r="E298" s="143"/>
      <c r="H298" s="2"/>
      <c r="I298" s="30"/>
    </row>
    <row r="299" spans="4:9">
      <c r="D299" s="47"/>
      <c r="E299" s="143"/>
      <c r="H299" s="2"/>
      <c r="I299" s="30"/>
    </row>
    <row r="300" spans="4:9">
      <c r="D300" s="47"/>
      <c r="E300" s="143"/>
      <c r="H300" s="2"/>
      <c r="I300" s="30"/>
    </row>
    <row r="301" spans="4:9">
      <c r="D301" s="47"/>
      <c r="E301" s="143"/>
      <c r="H301" s="2"/>
      <c r="I301" s="30"/>
    </row>
    <row r="302" spans="4:9">
      <c r="D302" s="47"/>
      <c r="E302" s="143"/>
      <c r="H302" s="2"/>
      <c r="I302" s="30"/>
    </row>
    <row r="303" spans="4:9">
      <c r="D303" s="47"/>
      <c r="E303" s="143"/>
      <c r="H303" s="2"/>
      <c r="I303" s="30"/>
    </row>
    <row r="304" spans="4:9">
      <c r="D304" s="47"/>
      <c r="E304" s="143"/>
      <c r="H304" s="2"/>
      <c r="I304" s="30"/>
    </row>
    <row r="305" spans="4:9">
      <c r="D305" s="47"/>
      <c r="E305" s="143"/>
      <c r="H305" s="2"/>
      <c r="I305" s="30"/>
    </row>
    <row r="306" spans="4:9">
      <c r="D306" s="47"/>
      <c r="E306" s="143"/>
      <c r="H306" s="2"/>
      <c r="I306" s="30"/>
    </row>
    <row r="307" spans="4:9">
      <c r="D307" s="47"/>
      <c r="E307" s="143"/>
      <c r="H307" s="2"/>
      <c r="I307" s="30"/>
    </row>
    <row r="308" spans="4:9">
      <c r="D308" s="47"/>
      <c r="E308" s="143"/>
      <c r="H308" s="2"/>
      <c r="I308" s="30"/>
    </row>
    <row r="309" spans="4:9">
      <c r="D309" s="47"/>
      <c r="E309" s="143"/>
      <c r="H309" s="2"/>
      <c r="I309" s="30"/>
    </row>
    <row r="310" spans="4:9">
      <c r="D310" s="47"/>
      <c r="E310" s="143"/>
      <c r="H310" s="2"/>
      <c r="I310" s="30"/>
    </row>
    <row r="311" spans="4:9">
      <c r="D311" s="47"/>
      <c r="E311" s="143"/>
      <c r="H311" s="2"/>
      <c r="I311" s="30"/>
    </row>
    <row r="312" spans="4:9">
      <c r="D312" s="47"/>
      <c r="E312" s="143"/>
      <c r="H312" s="2"/>
      <c r="I312" s="30"/>
    </row>
    <row r="313" spans="4:9">
      <c r="D313" s="47"/>
      <c r="E313" s="143"/>
      <c r="H313" s="2"/>
      <c r="I313" s="30"/>
    </row>
    <row r="314" spans="4:9">
      <c r="D314" s="47"/>
      <c r="E314" s="143"/>
      <c r="H314" s="2"/>
      <c r="I314" s="30"/>
    </row>
    <row r="315" spans="4:9">
      <c r="D315" s="47"/>
      <c r="E315" s="143"/>
      <c r="H315" s="2"/>
      <c r="I315" s="30"/>
    </row>
    <row r="316" spans="4:9">
      <c r="D316" s="47"/>
      <c r="E316" s="143"/>
      <c r="H316" s="2"/>
      <c r="I316" s="30"/>
    </row>
    <row r="317" spans="4:9">
      <c r="D317" s="47"/>
      <c r="E317" s="143"/>
      <c r="H317" s="2"/>
      <c r="I317" s="30"/>
    </row>
    <row r="318" spans="4:9">
      <c r="D318" s="47"/>
      <c r="E318" s="143"/>
      <c r="H318" s="2"/>
      <c r="I318" s="30"/>
    </row>
    <row r="319" spans="4:9">
      <c r="D319" s="47"/>
      <c r="E319" s="143"/>
      <c r="H319" s="2"/>
      <c r="I319" s="30"/>
    </row>
    <row r="320" spans="4:9">
      <c r="D320" s="47"/>
      <c r="E320" s="143"/>
      <c r="H320" s="2"/>
      <c r="I320" s="30"/>
    </row>
    <row r="321" spans="4:9">
      <c r="D321" s="47"/>
      <c r="E321" s="143"/>
      <c r="H321" s="2"/>
      <c r="I321" s="30"/>
    </row>
    <row r="322" spans="4:9">
      <c r="D322" s="47"/>
      <c r="E322" s="143"/>
      <c r="H322" s="2"/>
      <c r="I322" s="30"/>
    </row>
    <row r="323" spans="4:9">
      <c r="D323" s="47"/>
      <c r="E323" s="143"/>
      <c r="H323" s="2"/>
      <c r="I323" s="30"/>
    </row>
    <row r="324" spans="4:9">
      <c r="D324" s="47"/>
      <c r="E324" s="143"/>
      <c r="H324" s="2"/>
      <c r="I324" s="30"/>
    </row>
    <row r="325" spans="4:9">
      <c r="D325" s="47"/>
      <c r="E325" s="143"/>
      <c r="H325" s="2"/>
      <c r="I325" s="30"/>
    </row>
    <row r="326" spans="4:9">
      <c r="D326" s="47"/>
      <c r="E326" s="143"/>
      <c r="H326" s="2"/>
      <c r="I326" s="30"/>
    </row>
    <row r="327" spans="4:9">
      <c r="D327" s="47"/>
      <c r="E327" s="143"/>
      <c r="H327" s="2"/>
      <c r="I327" s="30"/>
    </row>
    <row r="328" spans="4:9">
      <c r="D328" s="47"/>
      <c r="E328" s="143"/>
      <c r="H328" s="2"/>
      <c r="I328" s="30"/>
    </row>
    <row r="329" spans="4:9">
      <c r="D329" s="47"/>
      <c r="E329" s="143"/>
      <c r="H329" s="2"/>
      <c r="I329" s="30"/>
    </row>
    <row r="330" spans="4:9">
      <c r="D330" s="47"/>
      <c r="E330" s="143"/>
      <c r="H330" s="2"/>
      <c r="I330" s="30"/>
    </row>
    <row r="331" spans="4:9">
      <c r="D331" s="47"/>
      <c r="E331" s="143"/>
      <c r="H331" s="2"/>
      <c r="I331" s="30"/>
    </row>
    <row r="332" spans="4:9">
      <c r="D332" s="47"/>
      <c r="E332" s="143"/>
      <c r="H332" s="2"/>
      <c r="I332" s="30"/>
    </row>
    <row r="333" spans="4:9">
      <c r="D333" s="47"/>
      <c r="E333" s="143"/>
      <c r="H333" s="2"/>
      <c r="I333" s="30"/>
    </row>
    <row r="334" spans="4:9">
      <c r="D334" s="47"/>
      <c r="E334" s="143"/>
      <c r="H334" s="2"/>
      <c r="I334" s="30"/>
    </row>
    <row r="335" spans="4:9">
      <c r="D335" s="47"/>
      <c r="E335" s="143"/>
      <c r="H335" s="2"/>
      <c r="I335" s="30"/>
    </row>
    <row r="336" spans="4:9">
      <c r="D336" s="47"/>
      <c r="E336" s="143"/>
      <c r="H336" s="2"/>
      <c r="I336" s="30"/>
    </row>
    <row r="337" spans="4:9">
      <c r="D337" s="47"/>
      <c r="E337" s="143"/>
      <c r="H337" s="2"/>
      <c r="I337" s="30"/>
    </row>
    <row r="338" spans="4:9">
      <c r="D338" s="47"/>
      <c r="E338" s="143"/>
      <c r="H338" s="2"/>
      <c r="I338" s="30"/>
    </row>
    <row r="339" spans="4:9">
      <c r="D339" s="47"/>
      <c r="E339" s="143"/>
      <c r="H339" s="2"/>
      <c r="I339" s="30"/>
    </row>
    <row r="340" spans="4:9">
      <c r="D340" s="47"/>
      <c r="E340" s="143"/>
      <c r="H340" s="2"/>
      <c r="I340" s="30"/>
    </row>
    <row r="341" spans="4:9">
      <c r="D341" s="47"/>
      <c r="E341" s="143"/>
      <c r="H341" s="2"/>
      <c r="I341" s="30"/>
    </row>
    <row r="342" spans="4:9">
      <c r="D342" s="47"/>
      <c r="E342" s="143"/>
      <c r="H342" s="2"/>
      <c r="I342" s="30"/>
    </row>
    <row r="343" spans="4:9">
      <c r="D343" s="47"/>
      <c r="E343" s="143"/>
      <c r="H343" s="2"/>
      <c r="I343" s="30"/>
    </row>
    <row r="344" spans="4:9">
      <c r="D344" s="47"/>
      <c r="E344" s="143"/>
      <c r="H344" s="2"/>
      <c r="I344" s="30"/>
    </row>
    <row r="345" spans="4:9">
      <c r="D345" s="47"/>
      <c r="E345" s="143"/>
      <c r="H345" s="2"/>
      <c r="I345" s="30"/>
    </row>
    <row r="346" spans="4:9">
      <c r="D346" s="47"/>
      <c r="E346" s="143"/>
      <c r="H346" s="2"/>
      <c r="I346" s="30"/>
    </row>
    <row r="347" spans="4:9">
      <c r="D347" s="47"/>
      <c r="E347" s="143"/>
      <c r="H347" s="2"/>
      <c r="I347" s="30"/>
    </row>
    <row r="348" spans="4:9">
      <c r="D348" s="47"/>
      <c r="E348" s="143"/>
      <c r="H348" s="2"/>
      <c r="I348" s="30"/>
    </row>
    <row r="349" spans="4:9">
      <c r="D349" s="47"/>
      <c r="E349" s="143"/>
      <c r="H349" s="2"/>
      <c r="I349" s="30"/>
    </row>
    <row r="350" spans="4:9">
      <c r="D350" s="47"/>
      <c r="E350" s="143"/>
      <c r="H350" s="2"/>
      <c r="I350" s="30"/>
    </row>
    <row r="351" spans="4:9">
      <c r="D351" s="47"/>
      <c r="E351" s="143"/>
      <c r="H351" s="2"/>
      <c r="I351" s="30"/>
    </row>
    <row r="352" spans="4:9">
      <c r="D352" s="47"/>
      <c r="E352" s="143"/>
      <c r="H352" s="2"/>
      <c r="I352" s="30"/>
    </row>
    <row r="353" spans="4:9">
      <c r="D353" s="47"/>
      <c r="E353" s="143"/>
      <c r="H353" s="2"/>
      <c r="I353" s="30"/>
    </row>
    <row r="354" spans="4:9">
      <c r="D354" s="47"/>
      <c r="E354" s="143"/>
      <c r="H354" s="2"/>
      <c r="I354" s="30"/>
    </row>
    <row r="355" spans="4:9">
      <c r="D355" s="47"/>
      <c r="E355" s="143"/>
      <c r="H355" s="2"/>
      <c r="I355" s="30"/>
    </row>
    <row r="356" spans="4:9">
      <c r="D356" s="47"/>
      <c r="E356" s="143"/>
      <c r="H356" s="2"/>
      <c r="I356" s="30"/>
    </row>
    <row r="357" spans="4:9">
      <c r="D357" s="47"/>
      <c r="E357" s="143"/>
      <c r="H357" s="2"/>
      <c r="I357" s="30"/>
    </row>
    <row r="358" spans="4:9">
      <c r="D358" s="47"/>
      <c r="E358" s="143"/>
      <c r="H358" s="2"/>
      <c r="I358" s="30"/>
    </row>
    <row r="359" spans="4:9">
      <c r="D359" s="47"/>
      <c r="E359" s="143"/>
      <c r="H359" s="2"/>
      <c r="I359" s="30"/>
    </row>
    <row r="360" spans="4:9">
      <c r="D360" s="47"/>
      <c r="E360" s="143"/>
      <c r="H360" s="2"/>
      <c r="I360" s="30"/>
    </row>
    <row r="361" spans="4:9">
      <c r="D361" s="47"/>
      <c r="E361" s="143"/>
      <c r="H361" s="2"/>
      <c r="I361" s="30"/>
    </row>
    <row r="362" spans="4:9">
      <c r="D362" s="47"/>
      <c r="E362" s="143"/>
      <c r="H362" s="2"/>
      <c r="I362" s="30"/>
    </row>
    <row r="363" spans="4:9">
      <c r="D363" s="47"/>
      <c r="E363" s="143"/>
      <c r="H363" s="2"/>
      <c r="I363" s="30"/>
    </row>
    <row r="364" spans="4:9">
      <c r="D364" s="47"/>
      <c r="E364" s="143"/>
      <c r="H364" s="2"/>
      <c r="I364" s="30"/>
    </row>
    <row r="365" spans="4:9">
      <c r="D365" s="47"/>
      <c r="E365" s="143"/>
      <c r="H365" s="2"/>
      <c r="I365" s="30"/>
    </row>
    <row r="366" spans="4:9">
      <c r="D366" s="47"/>
      <c r="E366" s="143"/>
      <c r="H366" s="2"/>
      <c r="I366" s="30"/>
    </row>
    <row r="367" spans="4:9">
      <c r="D367" s="47"/>
      <c r="E367" s="143"/>
      <c r="H367" s="2"/>
      <c r="I367" s="30"/>
    </row>
    <row r="368" spans="4:9">
      <c r="D368" s="47"/>
      <c r="E368" s="143"/>
      <c r="H368" s="2"/>
      <c r="I368" s="30"/>
    </row>
    <row r="369" spans="4:9">
      <c r="D369" s="47"/>
      <c r="E369" s="143"/>
      <c r="H369" s="2"/>
      <c r="I369" s="30"/>
    </row>
    <row r="370" spans="4:9">
      <c r="D370" s="47"/>
      <c r="E370" s="143"/>
      <c r="H370" s="2"/>
      <c r="I370" s="30"/>
    </row>
    <row r="371" spans="4:9">
      <c r="D371" s="47"/>
      <c r="E371" s="143"/>
      <c r="H371" s="2"/>
      <c r="I371" s="30"/>
    </row>
    <row r="372" spans="4:9">
      <c r="D372" s="47"/>
      <c r="E372" s="143"/>
      <c r="H372" s="2"/>
      <c r="I372" s="30"/>
    </row>
    <row r="373" spans="4:9">
      <c r="D373" s="47"/>
      <c r="E373" s="143"/>
      <c r="H373" s="2"/>
      <c r="I373" s="30"/>
    </row>
    <row r="374" spans="4:9">
      <c r="D374" s="47"/>
      <c r="E374" s="143"/>
      <c r="H374" s="2"/>
      <c r="I374" s="30"/>
    </row>
    <row r="375" spans="4:9">
      <c r="D375" s="47"/>
      <c r="E375" s="143"/>
      <c r="H375" s="2"/>
      <c r="I375" s="30"/>
    </row>
    <row r="376" spans="4:9">
      <c r="D376" s="47"/>
      <c r="E376" s="143"/>
      <c r="H376" s="2"/>
      <c r="I376" s="30"/>
    </row>
    <row r="377" spans="4:9">
      <c r="D377" s="47"/>
      <c r="E377" s="143"/>
      <c r="H377" s="2"/>
      <c r="I377" s="30"/>
    </row>
    <row r="378" spans="4:9">
      <c r="D378" s="47"/>
      <c r="E378" s="143"/>
      <c r="H378" s="2"/>
      <c r="I378" s="30"/>
    </row>
    <row r="379" spans="4:9">
      <c r="D379" s="47"/>
      <c r="E379" s="143"/>
      <c r="H379" s="2"/>
      <c r="I379" s="30"/>
    </row>
    <row r="380" spans="4:9">
      <c r="D380" s="47"/>
      <c r="E380" s="143"/>
      <c r="H380" s="2"/>
      <c r="I380" s="30"/>
    </row>
    <row r="381" spans="4:9">
      <c r="D381" s="47"/>
      <c r="E381" s="143"/>
      <c r="H381" s="2"/>
      <c r="I381" s="30"/>
    </row>
    <row r="382" spans="4:9">
      <c r="D382" s="47"/>
      <c r="E382" s="143"/>
      <c r="H382" s="2"/>
      <c r="I382" s="30"/>
    </row>
    <row r="383" spans="4:9">
      <c r="D383" s="47"/>
      <c r="E383" s="143"/>
      <c r="H383" s="2"/>
      <c r="I383" s="30"/>
    </row>
    <row r="384" spans="4:9">
      <c r="D384" s="47"/>
      <c r="E384" s="143"/>
      <c r="H384" s="2"/>
      <c r="I384" s="30"/>
    </row>
    <row r="385" spans="4:9">
      <c r="D385" s="47"/>
      <c r="E385" s="143"/>
      <c r="H385" s="2"/>
      <c r="I385" s="30"/>
    </row>
    <row r="386" spans="4:9">
      <c r="D386" s="47"/>
      <c r="E386" s="143"/>
      <c r="H386" s="2"/>
      <c r="I386" s="30"/>
    </row>
    <row r="387" spans="4:9">
      <c r="D387" s="47"/>
      <c r="E387" s="143"/>
      <c r="H387" s="2"/>
      <c r="I387" s="30"/>
    </row>
    <row r="388" spans="4:9">
      <c r="D388" s="47"/>
      <c r="E388" s="143"/>
      <c r="H388" s="2"/>
      <c r="I388" s="30"/>
    </row>
    <row r="389" spans="4:9">
      <c r="D389" s="47"/>
      <c r="E389" s="143"/>
      <c r="H389" s="2"/>
      <c r="I389" s="30"/>
    </row>
    <row r="390" spans="4:9">
      <c r="D390" s="47"/>
      <c r="E390" s="143"/>
      <c r="H390" s="2"/>
      <c r="I390" s="30"/>
    </row>
    <row r="391" spans="4:9">
      <c r="D391" s="47"/>
      <c r="E391" s="143"/>
      <c r="H391" s="2"/>
      <c r="I391" s="30"/>
    </row>
    <row r="392" spans="4:9">
      <c r="D392" s="47"/>
      <c r="E392" s="143"/>
      <c r="H392" s="2"/>
      <c r="I392" s="30"/>
    </row>
    <row r="393" spans="4:9">
      <c r="D393" s="47"/>
      <c r="E393" s="143"/>
      <c r="H393" s="2"/>
      <c r="I393" s="30"/>
    </row>
    <row r="394" spans="4:9">
      <c r="D394" s="47"/>
      <c r="E394" s="143"/>
      <c r="H394" s="2"/>
      <c r="I394" s="30"/>
    </row>
    <row r="395" spans="4:9">
      <c r="D395" s="47"/>
      <c r="E395" s="143"/>
      <c r="H395" s="2"/>
      <c r="I395" s="30"/>
    </row>
    <row r="396" spans="4:9">
      <c r="D396" s="47"/>
      <c r="E396" s="143"/>
      <c r="H396" s="2"/>
      <c r="I396" s="30"/>
    </row>
    <row r="397" spans="4:9">
      <c r="D397" s="47"/>
      <c r="E397" s="143"/>
      <c r="H397" s="2"/>
      <c r="I397" s="30"/>
    </row>
    <row r="398" spans="4:9">
      <c r="D398" s="47"/>
      <c r="E398" s="143"/>
      <c r="H398" s="2"/>
      <c r="I398" s="30"/>
    </row>
    <row r="399" spans="4:9">
      <c r="D399" s="47"/>
      <c r="E399" s="143"/>
      <c r="H399" s="2"/>
      <c r="I399" s="30"/>
    </row>
    <row r="400" spans="4:9">
      <c r="D400" s="47"/>
      <c r="E400" s="143"/>
      <c r="H400" s="2"/>
      <c r="I400" s="30"/>
    </row>
    <row r="401" spans="4:9">
      <c r="D401" s="47"/>
      <c r="E401" s="143"/>
      <c r="H401" s="2"/>
      <c r="I401" s="30"/>
    </row>
    <row r="402" spans="4:9">
      <c r="D402" s="47"/>
      <c r="E402" s="143"/>
      <c r="H402" s="2"/>
      <c r="I402" s="30"/>
    </row>
    <row r="403" spans="4:9">
      <c r="D403" s="47"/>
      <c r="E403" s="143"/>
      <c r="H403" s="2"/>
      <c r="I403" s="30"/>
    </row>
    <row r="404" spans="4:9">
      <c r="D404" s="47"/>
      <c r="E404" s="143"/>
      <c r="H404" s="2"/>
      <c r="I404" s="30"/>
    </row>
    <row r="405" spans="4:9">
      <c r="D405" s="47"/>
      <c r="E405" s="143"/>
      <c r="H405" s="2"/>
      <c r="I405" s="30"/>
    </row>
    <row r="406" spans="4:9">
      <c r="D406" s="47"/>
      <c r="E406" s="143"/>
      <c r="H406" s="2"/>
      <c r="I406" s="30"/>
    </row>
    <row r="407" spans="4:9">
      <c r="D407" s="47"/>
      <c r="E407" s="143"/>
      <c r="H407" s="2"/>
      <c r="I407" s="30"/>
    </row>
    <row r="408" spans="4:9">
      <c r="D408" s="47"/>
      <c r="E408" s="143"/>
      <c r="H408" s="2"/>
      <c r="I408" s="30"/>
    </row>
    <row r="409" spans="4:9">
      <c r="D409" s="47"/>
      <c r="E409" s="143"/>
      <c r="H409" s="2"/>
      <c r="I409" s="30"/>
    </row>
    <row r="410" spans="4:9">
      <c r="D410" s="47"/>
      <c r="E410" s="143"/>
      <c r="H410" s="2"/>
      <c r="I410" s="30"/>
    </row>
    <row r="411" spans="4:9">
      <c r="D411" s="47"/>
      <c r="E411" s="143"/>
      <c r="H411" s="2"/>
      <c r="I411" s="30"/>
    </row>
    <row r="412" spans="4:9">
      <c r="D412" s="47"/>
      <c r="E412" s="143"/>
      <c r="H412" s="2"/>
      <c r="I412" s="30"/>
    </row>
    <row r="413" spans="4:9">
      <c r="D413" s="47"/>
      <c r="E413" s="143"/>
      <c r="H413" s="2"/>
      <c r="I413" s="30"/>
    </row>
    <row r="414" spans="4:9">
      <c r="D414" s="47"/>
      <c r="E414" s="143"/>
      <c r="H414" s="2"/>
      <c r="I414" s="30"/>
    </row>
    <row r="415" spans="4:9">
      <c r="D415" s="47"/>
      <c r="E415" s="143"/>
      <c r="H415" s="2"/>
      <c r="I415" s="30"/>
    </row>
    <row r="416" spans="4:9">
      <c r="D416" s="47"/>
      <c r="E416" s="143"/>
      <c r="H416" s="2"/>
      <c r="I416" s="30"/>
    </row>
    <row r="417" spans="4:9">
      <c r="D417" s="47"/>
      <c r="E417" s="143"/>
      <c r="H417" s="2"/>
      <c r="I417" s="30"/>
    </row>
    <row r="418" spans="4:9">
      <c r="D418" s="47"/>
      <c r="E418" s="143"/>
      <c r="H418" s="2"/>
      <c r="I418" s="30"/>
    </row>
    <row r="419" spans="4:9">
      <c r="D419" s="47"/>
      <c r="E419" s="143"/>
      <c r="H419" s="2"/>
      <c r="I419" s="30"/>
    </row>
    <row r="420" spans="4:9">
      <c r="D420" s="47"/>
      <c r="E420" s="143"/>
      <c r="H420" s="2"/>
      <c r="I420" s="30"/>
    </row>
    <row r="421" spans="4:9">
      <c r="D421" s="47"/>
      <c r="E421" s="143"/>
      <c r="H421" s="2"/>
      <c r="I421" s="30"/>
    </row>
    <row r="422" spans="4:9">
      <c r="D422" s="47"/>
      <c r="E422" s="143"/>
      <c r="H422" s="2"/>
      <c r="I422" s="30"/>
    </row>
    <row r="423" spans="4:9">
      <c r="D423" s="47"/>
      <c r="E423" s="143"/>
      <c r="H423" s="2"/>
      <c r="I423" s="30"/>
    </row>
    <row r="424" spans="4:9">
      <c r="D424" s="47"/>
      <c r="E424" s="143"/>
      <c r="H424" s="2"/>
      <c r="I424" s="30"/>
    </row>
    <row r="425" spans="4:9">
      <c r="D425" s="47"/>
      <c r="E425" s="143"/>
      <c r="H425" s="2"/>
      <c r="I425" s="30"/>
    </row>
    <row r="426" spans="4:9">
      <c r="D426" s="47"/>
      <c r="E426" s="143"/>
      <c r="H426" s="2"/>
      <c r="I426" s="30"/>
    </row>
    <row r="427" spans="4:9">
      <c r="D427" s="47"/>
      <c r="E427" s="143"/>
      <c r="H427" s="2"/>
      <c r="I427" s="30"/>
    </row>
    <row r="428" spans="4:9">
      <c r="D428" s="47"/>
      <c r="E428" s="143"/>
      <c r="H428" s="2"/>
      <c r="I428" s="30"/>
    </row>
    <row r="429" spans="4:9">
      <c r="D429" s="47"/>
      <c r="E429" s="143"/>
      <c r="H429" s="2"/>
      <c r="I429" s="30"/>
    </row>
    <row r="430" spans="4:9">
      <c r="D430" s="47"/>
      <c r="E430" s="143"/>
      <c r="H430" s="2"/>
      <c r="I430" s="30"/>
    </row>
    <row r="431" spans="4:9">
      <c r="D431" s="47"/>
      <c r="E431" s="143"/>
      <c r="H431" s="2"/>
      <c r="I431" s="30"/>
    </row>
    <row r="432" spans="4:9">
      <c r="D432" s="47"/>
      <c r="E432" s="143"/>
      <c r="H432" s="2"/>
      <c r="I432" s="30"/>
    </row>
    <row r="433" spans="4:9">
      <c r="D433" s="47"/>
      <c r="E433" s="143"/>
      <c r="H433" s="2"/>
      <c r="I433" s="30"/>
    </row>
    <row r="434" spans="4:9">
      <c r="D434" s="47"/>
      <c r="E434" s="143"/>
      <c r="H434" s="2"/>
      <c r="I434" s="30"/>
    </row>
    <row r="435" spans="4:9">
      <c r="D435" s="47"/>
      <c r="E435" s="143"/>
      <c r="H435" s="2"/>
      <c r="I435" s="30"/>
    </row>
    <row r="436" spans="4:9">
      <c r="D436" s="47"/>
      <c r="E436" s="143"/>
      <c r="H436" s="2"/>
      <c r="I436" s="30"/>
    </row>
    <row r="437" spans="4:9">
      <c r="D437" s="47"/>
      <c r="E437" s="143"/>
      <c r="H437" s="2"/>
      <c r="I437" s="30"/>
    </row>
    <row r="438" spans="4:9">
      <c r="D438" s="47"/>
      <c r="E438" s="143"/>
      <c r="H438" s="2"/>
      <c r="I438" s="30"/>
    </row>
    <row r="439" spans="4:9">
      <c r="D439" s="47"/>
      <c r="E439" s="143"/>
      <c r="H439" s="2"/>
      <c r="I439" s="30"/>
    </row>
    <row r="440" spans="4:9">
      <c r="D440" s="47"/>
      <c r="E440" s="143"/>
      <c r="H440" s="2"/>
      <c r="I440" s="30"/>
    </row>
    <row r="441" spans="4:9">
      <c r="D441" s="47"/>
      <c r="E441" s="143"/>
      <c r="H441" s="2"/>
      <c r="I441" s="30"/>
    </row>
    <row r="442" spans="4:9">
      <c r="D442" s="47"/>
      <c r="E442" s="143"/>
      <c r="H442" s="2"/>
      <c r="I442" s="30"/>
    </row>
    <row r="443" spans="4:9">
      <c r="D443" s="47"/>
      <c r="E443" s="143"/>
      <c r="H443" s="2"/>
      <c r="I443" s="30"/>
    </row>
    <row r="444" spans="4:9">
      <c r="D444" s="47"/>
      <c r="E444" s="143"/>
      <c r="H444" s="2"/>
      <c r="I444" s="30"/>
    </row>
    <row r="445" spans="4:9">
      <c r="D445" s="47"/>
      <c r="E445" s="143"/>
      <c r="H445" s="2"/>
      <c r="I445" s="30"/>
    </row>
    <row r="446" spans="4:9">
      <c r="D446" s="47"/>
      <c r="E446" s="143"/>
      <c r="H446" s="2"/>
      <c r="I446" s="30"/>
    </row>
    <row r="447" spans="4:9">
      <c r="D447" s="47"/>
      <c r="E447" s="143"/>
      <c r="H447" s="2"/>
      <c r="I447" s="30"/>
    </row>
    <row r="448" spans="4:9">
      <c r="D448" s="47"/>
      <c r="E448" s="143"/>
      <c r="H448" s="2"/>
      <c r="I448" s="30"/>
    </row>
    <row r="449" spans="4:9">
      <c r="D449" s="47"/>
      <c r="E449" s="143"/>
      <c r="H449" s="2"/>
      <c r="I449" s="30"/>
    </row>
    <row r="450" spans="4:9">
      <c r="D450" s="47"/>
      <c r="E450" s="143"/>
      <c r="H450" s="2"/>
      <c r="I450" s="30"/>
    </row>
    <row r="451" spans="4:9">
      <c r="D451" s="47"/>
      <c r="E451" s="143"/>
      <c r="H451" s="2"/>
      <c r="I451" s="30"/>
    </row>
    <row r="452" spans="4:9">
      <c r="D452" s="47"/>
      <c r="E452" s="143"/>
      <c r="H452" s="2"/>
      <c r="I452" s="30"/>
    </row>
    <row r="453" spans="4:9">
      <c r="D453" s="47"/>
      <c r="E453" s="143"/>
      <c r="H453" s="2"/>
      <c r="I453" s="30"/>
    </row>
    <row r="454" spans="4:9">
      <c r="D454" s="47"/>
      <c r="E454" s="143"/>
      <c r="H454" s="2"/>
      <c r="I454" s="30"/>
    </row>
    <row r="455" spans="4:9">
      <c r="D455" s="47"/>
      <c r="E455" s="143"/>
      <c r="H455" s="2"/>
      <c r="I455" s="30"/>
    </row>
    <row r="456" spans="4:9">
      <c r="D456" s="47"/>
      <c r="E456" s="143"/>
      <c r="H456" s="2"/>
      <c r="I456" s="30"/>
    </row>
    <row r="457" spans="4:9">
      <c r="D457" s="47"/>
      <c r="E457" s="143"/>
      <c r="H457" s="2"/>
      <c r="I457" s="30"/>
    </row>
    <row r="458" spans="4:9">
      <c r="D458" s="47"/>
      <c r="E458" s="143"/>
      <c r="H458" s="2"/>
      <c r="I458" s="30"/>
    </row>
    <row r="459" spans="4:9">
      <c r="D459" s="47"/>
      <c r="E459" s="143"/>
      <c r="H459" s="2"/>
      <c r="I459" s="30"/>
    </row>
    <row r="460" spans="4:9">
      <c r="D460" s="47"/>
      <c r="E460" s="143"/>
      <c r="H460" s="2"/>
      <c r="I460" s="30"/>
    </row>
    <row r="461" spans="4:9">
      <c r="D461" s="47"/>
      <c r="E461" s="143"/>
      <c r="H461" s="2"/>
      <c r="I461" s="30"/>
    </row>
    <row r="462" spans="4:9">
      <c r="D462" s="47"/>
      <c r="E462" s="143"/>
      <c r="H462" s="2"/>
      <c r="I462" s="30"/>
    </row>
    <row r="463" spans="4:9">
      <c r="D463" s="47"/>
      <c r="E463" s="143"/>
      <c r="H463" s="2"/>
      <c r="I463" s="30"/>
    </row>
    <row r="464" spans="4:9">
      <c r="D464" s="47"/>
      <c r="E464" s="143"/>
      <c r="H464" s="2"/>
      <c r="I464" s="30"/>
    </row>
    <row r="465" spans="4:9">
      <c r="D465" s="47"/>
      <c r="E465" s="143"/>
      <c r="H465" s="2"/>
      <c r="I465" s="30"/>
    </row>
    <row r="466" spans="4:9">
      <c r="D466" s="47"/>
      <c r="E466" s="143"/>
      <c r="H466" s="2"/>
      <c r="I466" s="30"/>
    </row>
    <row r="467" spans="4:9">
      <c r="D467" s="47"/>
      <c r="E467" s="143"/>
      <c r="H467" s="2"/>
      <c r="I467" s="30"/>
    </row>
    <row r="468" spans="4:9">
      <c r="D468" s="47"/>
      <c r="E468" s="143"/>
      <c r="H468" s="2"/>
      <c r="I468" s="30"/>
    </row>
    <row r="469" spans="4:9">
      <c r="D469" s="47"/>
      <c r="E469" s="143"/>
      <c r="H469" s="2"/>
      <c r="I469" s="30"/>
    </row>
    <row r="470" spans="4:9">
      <c r="D470" s="47"/>
      <c r="E470" s="143"/>
      <c r="H470" s="2"/>
      <c r="I470" s="30"/>
    </row>
    <row r="471" spans="4:9">
      <c r="D471" s="47"/>
      <c r="E471" s="143"/>
      <c r="H471" s="2"/>
      <c r="I471" s="30"/>
    </row>
    <row r="472" spans="4:9">
      <c r="D472" s="47"/>
      <c r="E472" s="143"/>
      <c r="H472" s="2"/>
      <c r="I472" s="30"/>
    </row>
    <row r="473" spans="4:9">
      <c r="D473" s="47"/>
      <c r="E473" s="143"/>
      <c r="H473" s="2"/>
      <c r="I473" s="30"/>
    </row>
    <row r="474" spans="4:9">
      <c r="D474" s="47"/>
      <c r="E474" s="143"/>
      <c r="H474" s="2"/>
      <c r="I474" s="30"/>
    </row>
    <row r="475" spans="4:9">
      <c r="D475" s="47"/>
      <c r="E475" s="143"/>
      <c r="H475" s="2"/>
      <c r="I475" s="30"/>
    </row>
    <row r="476" spans="4:9">
      <c r="D476" s="47"/>
      <c r="E476" s="143"/>
      <c r="H476" s="2"/>
      <c r="I476" s="30"/>
    </row>
    <row r="477" spans="4:9">
      <c r="D477" s="47"/>
      <c r="E477" s="143"/>
      <c r="H477" s="2"/>
      <c r="I477" s="30"/>
    </row>
    <row r="478" spans="4:9">
      <c r="D478" s="47"/>
      <c r="E478" s="143"/>
      <c r="H478" s="2"/>
      <c r="I478" s="30"/>
    </row>
    <row r="479" spans="4:9">
      <c r="D479" s="47"/>
      <c r="E479" s="143"/>
      <c r="H479" s="2"/>
      <c r="I479" s="30"/>
    </row>
    <row r="480" spans="4:9">
      <c r="D480" s="47"/>
      <c r="E480" s="143"/>
      <c r="H480" s="2"/>
      <c r="I480" s="30"/>
    </row>
    <row r="481" spans="4:9">
      <c r="D481" s="47"/>
      <c r="E481" s="143"/>
      <c r="H481" s="2"/>
      <c r="I481" s="30"/>
    </row>
    <row r="482" spans="4:9">
      <c r="D482" s="47"/>
      <c r="E482" s="143"/>
      <c r="H482" s="2"/>
      <c r="I482" s="30"/>
    </row>
    <row r="483" spans="4:9">
      <c r="D483" s="47"/>
      <c r="E483" s="143"/>
      <c r="H483" s="2"/>
      <c r="I483" s="30"/>
    </row>
    <row r="484" spans="4:9">
      <c r="D484" s="47"/>
      <c r="E484" s="143"/>
      <c r="H484" s="2"/>
      <c r="I484" s="30"/>
    </row>
    <row r="485" spans="4:9">
      <c r="D485" s="47"/>
      <c r="E485" s="143"/>
      <c r="H485" s="2"/>
      <c r="I485" s="30"/>
    </row>
    <row r="486" spans="4:9">
      <c r="D486" s="47"/>
      <c r="E486" s="143"/>
      <c r="H486" s="2"/>
      <c r="I486" s="30"/>
    </row>
    <row r="487" spans="4:9">
      <c r="D487" s="47"/>
      <c r="E487" s="143"/>
      <c r="H487" s="2"/>
      <c r="I487" s="30"/>
    </row>
    <row r="488" spans="4:9">
      <c r="D488" s="47"/>
      <c r="E488" s="143"/>
      <c r="H488" s="2"/>
      <c r="I488" s="30"/>
    </row>
    <row r="489" spans="4:9">
      <c r="D489" s="47"/>
      <c r="E489" s="143"/>
      <c r="H489" s="2"/>
      <c r="I489" s="30"/>
    </row>
    <row r="490" spans="4:9">
      <c r="D490" s="47"/>
      <c r="E490" s="143"/>
      <c r="H490" s="2"/>
      <c r="I490" s="30"/>
    </row>
    <row r="491" spans="4:9">
      <c r="D491" s="47"/>
      <c r="E491" s="143"/>
      <c r="H491" s="2"/>
      <c r="I491" s="30"/>
    </row>
    <row r="492" spans="4:9">
      <c r="D492" s="47"/>
      <c r="E492" s="143"/>
      <c r="H492" s="2"/>
      <c r="I492" s="30"/>
    </row>
    <row r="493" spans="4:9">
      <c r="D493" s="47"/>
      <c r="E493" s="143"/>
      <c r="H493" s="2"/>
      <c r="I493" s="30"/>
    </row>
    <row r="494" spans="4:9">
      <c r="D494" s="47"/>
      <c r="E494" s="143"/>
      <c r="H494" s="2"/>
      <c r="I494" s="30"/>
    </row>
    <row r="495" spans="4:9">
      <c r="D495" s="47"/>
      <c r="E495" s="143"/>
      <c r="H495" s="2"/>
      <c r="I495" s="30"/>
    </row>
    <row r="496" spans="4:9">
      <c r="D496" s="47"/>
      <c r="E496" s="143"/>
      <c r="H496" s="2"/>
      <c r="I496" s="30"/>
    </row>
    <row r="497" spans="4:9">
      <c r="D497" s="47"/>
      <c r="E497" s="143"/>
      <c r="H497" s="2"/>
      <c r="I497" s="30"/>
    </row>
    <row r="498" spans="4:9">
      <c r="D498" s="47"/>
      <c r="E498" s="143"/>
      <c r="H498" s="2"/>
      <c r="I498" s="30"/>
    </row>
    <row r="499" spans="4:9">
      <c r="D499" s="47"/>
      <c r="E499" s="143"/>
      <c r="H499" s="2"/>
      <c r="I499" s="30"/>
    </row>
    <row r="500" spans="4:9">
      <c r="D500" s="47"/>
      <c r="E500" s="143"/>
      <c r="H500" s="2"/>
      <c r="I500" s="30"/>
    </row>
    <row r="501" spans="4:9">
      <c r="D501" s="47"/>
      <c r="E501" s="143"/>
      <c r="H501" s="2"/>
      <c r="I501" s="30"/>
    </row>
    <row r="502" spans="4:9">
      <c r="D502" s="47"/>
      <c r="E502" s="143"/>
      <c r="H502" s="2"/>
      <c r="I502" s="30"/>
    </row>
    <row r="503" spans="4:9">
      <c r="D503" s="47"/>
      <c r="E503" s="143"/>
      <c r="H503" s="2"/>
      <c r="I503" s="30"/>
    </row>
    <row r="504" spans="4:9">
      <c r="D504" s="47"/>
      <c r="E504" s="143"/>
      <c r="H504" s="2"/>
      <c r="I504" s="30"/>
    </row>
    <row r="505" spans="4:9">
      <c r="D505" s="47"/>
      <c r="E505" s="143"/>
      <c r="H505" s="2"/>
      <c r="I505" s="30"/>
    </row>
    <row r="506" spans="4:9">
      <c r="D506" s="47"/>
      <c r="E506" s="143"/>
      <c r="H506" s="2"/>
      <c r="I506" s="30"/>
    </row>
    <row r="507" spans="4:9">
      <c r="D507" s="47"/>
      <c r="E507" s="143"/>
      <c r="H507" s="2"/>
      <c r="I507" s="30"/>
    </row>
    <row r="508" spans="4:9">
      <c r="D508" s="47"/>
      <c r="E508" s="143"/>
      <c r="H508" s="2"/>
      <c r="I508" s="30"/>
    </row>
    <row r="509" spans="4:9">
      <c r="D509" s="47"/>
      <c r="E509" s="143"/>
      <c r="H509" s="2"/>
      <c r="I509" s="30"/>
    </row>
    <row r="510" spans="4:9">
      <c r="D510" s="47"/>
      <c r="E510" s="143"/>
      <c r="H510" s="2"/>
      <c r="I510" s="30"/>
    </row>
    <row r="511" spans="4:9">
      <c r="D511" s="47"/>
      <c r="E511" s="143"/>
      <c r="H511" s="2"/>
      <c r="I511" s="30"/>
    </row>
    <row r="512" spans="4:9">
      <c r="D512" s="47"/>
      <c r="E512" s="143"/>
      <c r="H512" s="2"/>
      <c r="I512" s="30"/>
    </row>
    <row r="513" spans="4:9">
      <c r="D513" s="47"/>
      <c r="E513" s="143"/>
      <c r="H513" s="2"/>
      <c r="I513" s="30"/>
    </row>
    <row r="514" spans="4:9">
      <c r="D514" s="47"/>
      <c r="E514" s="143"/>
      <c r="H514" s="2"/>
      <c r="I514" s="30"/>
    </row>
    <row r="515" spans="4:9">
      <c r="D515" s="47"/>
      <c r="E515" s="143"/>
      <c r="H515" s="2"/>
      <c r="I515" s="30"/>
    </row>
    <row r="516" spans="4:9">
      <c r="D516" s="47"/>
      <c r="E516" s="143"/>
      <c r="H516" s="2"/>
      <c r="I516" s="30"/>
    </row>
    <row r="517" spans="4:9">
      <c r="D517" s="47"/>
      <c r="E517" s="143"/>
      <c r="H517" s="2"/>
      <c r="I517" s="30"/>
    </row>
    <row r="518" spans="4:9">
      <c r="D518" s="47"/>
      <c r="E518" s="143"/>
      <c r="H518" s="2"/>
      <c r="I518" s="30"/>
    </row>
    <row r="519" spans="4:9">
      <c r="D519" s="47"/>
      <c r="E519" s="143"/>
      <c r="H519" s="2"/>
      <c r="I519" s="30"/>
    </row>
    <row r="520" spans="4:9">
      <c r="D520" s="47"/>
      <c r="E520" s="143"/>
      <c r="H520" s="2"/>
      <c r="I520" s="30"/>
    </row>
    <row r="521" spans="4:9">
      <c r="D521" s="47"/>
      <c r="E521" s="143"/>
      <c r="H521" s="2"/>
      <c r="I521" s="30"/>
    </row>
    <row r="522" spans="4:9">
      <c r="D522" s="47"/>
      <c r="E522" s="143"/>
      <c r="H522" s="2"/>
      <c r="I522" s="30"/>
    </row>
    <row r="523" spans="4:9">
      <c r="D523" s="47"/>
      <c r="E523" s="143"/>
      <c r="H523" s="2"/>
      <c r="I523" s="30"/>
    </row>
    <row r="524" spans="4:9">
      <c r="D524" s="47"/>
      <c r="E524" s="143"/>
      <c r="H524" s="2"/>
      <c r="I524" s="30"/>
    </row>
    <row r="525" spans="4:9">
      <c r="D525" s="47"/>
      <c r="E525" s="143"/>
      <c r="H525" s="2"/>
      <c r="I525" s="30"/>
    </row>
    <row r="526" spans="4:9">
      <c r="D526" s="47"/>
      <c r="E526" s="143"/>
      <c r="H526" s="2"/>
      <c r="I526" s="30"/>
    </row>
    <row r="527" spans="4:9">
      <c r="D527" s="47"/>
      <c r="E527" s="143"/>
      <c r="H527" s="2"/>
      <c r="I527" s="30"/>
    </row>
    <row r="528" spans="4:9">
      <c r="D528" s="47"/>
      <c r="E528" s="143"/>
      <c r="H528" s="2"/>
      <c r="I528" s="30"/>
    </row>
    <row r="529" spans="4:9">
      <c r="D529" s="47"/>
      <c r="E529" s="143"/>
      <c r="H529" s="2"/>
      <c r="I529" s="30"/>
    </row>
    <row r="530" spans="4:9">
      <c r="D530" s="47"/>
      <c r="E530" s="143"/>
      <c r="H530" s="2"/>
      <c r="I530" s="30"/>
    </row>
    <row r="531" spans="4:9">
      <c r="D531" s="47"/>
      <c r="E531" s="143"/>
      <c r="H531" s="2"/>
      <c r="I531" s="30"/>
    </row>
    <row r="532" spans="4:9">
      <c r="D532" s="47"/>
      <c r="E532" s="143"/>
      <c r="H532" s="2"/>
      <c r="I532" s="30"/>
    </row>
    <row r="533" spans="4:9">
      <c r="D533" s="47"/>
      <c r="E533" s="143"/>
      <c r="H533" s="2"/>
      <c r="I533" s="30"/>
    </row>
    <row r="534" spans="4:9">
      <c r="D534" s="47"/>
      <c r="E534" s="143"/>
      <c r="H534" s="2"/>
      <c r="I534" s="30"/>
    </row>
    <row r="535" spans="4:9">
      <c r="D535" s="47"/>
      <c r="E535" s="143"/>
      <c r="H535" s="2"/>
      <c r="I535" s="30"/>
    </row>
    <row r="536" spans="4:9">
      <c r="D536" s="47"/>
      <c r="E536" s="143"/>
      <c r="H536" s="2"/>
      <c r="I536" s="30"/>
    </row>
    <row r="537" spans="4:9">
      <c r="D537" s="47"/>
      <c r="E537" s="143"/>
      <c r="H537" s="2"/>
      <c r="I537" s="30"/>
    </row>
    <row r="538" spans="4:9">
      <c r="D538" s="47"/>
      <c r="E538" s="143"/>
      <c r="H538" s="2"/>
      <c r="I538" s="30"/>
    </row>
    <row r="539" spans="4:9">
      <c r="D539" s="47"/>
      <c r="E539" s="143"/>
      <c r="H539" s="2"/>
      <c r="I539" s="30"/>
    </row>
    <row r="540" spans="4:9">
      <c r="D540" s="47"/>
      <c r="E540" s="143"/>
      <c r="H540" s="2"/>
      <c r="I540" s="30"/>
    </row>
    <row r="541" spans="4:9">
      <c r="D541" s="47"/>
      <c r="E541" s="143"/>
      <c r="H541" s="2"/>
      <c r="I541" s="30"/>
    </row>
    <row r="542" spans="4:9">
      <c r="D542" s="47"/>
      <c r="E542" s="143"/>
      <c r="H542" s="2"/>
      <c r="I542" s="30"/>
    </row>
    <row r="543" spans="4:9">
      <c r="D543" s="47"/>
      <c r="E543" s="143"/>
      <c r="H543" s="2"/>
      <c r="I543" s="30"/>
    </row>
    <row r="544" spans="4:9">
      <c r="D544" s="47"/>
      <c r="E544" s="143"/>
      <c r="H544" s="2"/>
      <c r="I544" s="30"/>
    </row>
    <row r="545" spans="4:9">
      <c r="D545" s="47"/>
      <c r="E545" s="143"/>
      <c r="H545" s="2"/>
      <c r="I545" s="30"/>
    </row>
    <row r="546" spans="4:9">
      <c r="D546" s="47"/>
      <c r="E546" s="143"/>
      <c r="H546" s="2"/>
      <c r="I546" s="30"/>
    </row>
    <row r="547" spans="4:9">
      <c r="D547" s="47"/>
      <c r="E547" s="143"/>
      <c r="H547" s="2"/>
      <c r="I547" s="30"/>
    </row>
    <row r="548" spans="4:9">
      <c r="D548" s="47"/>
      <c r="E548" s="143"/>
      <c r="H548" s="2"/>
      <c r="I548" s="30"/>
    </row>
    <row r="549" spans="4:9">
      <c r="D549" s="47"/>
      <c r="E549" s="143"/>
      <c r="H549" s="2"/>
      <c r="I549" s="30"/>
    </row>
    <row r="550" spans="4:9">
      <c r="D550" s="47"/>
      <c r="E550" s="143"/>
      <c r="H550" s="2"/>
      <c r="I550" s="30"/>
    </row>
    <row r="551" spans="4:9">
      <c r="D551" s="47"/>
      <c r="E551" s="143"/>
      <c r="H551" s="2"/>
      <c r="I551" s="30"/>
    </row>
    <row r="552" spans="4:9">
      <c r="D552" s="47"/>
      <c r="E552" s="143"/>
      <c r="H552" s="2"/>
      <c r="I552" s="30"/>
    </row>
    <row r="553" spans="4:9">
      <c r="D553" s="47"/>
      <c r="E553" s="143"/>
      <c r="H553" s="2"/>
      <c r="I553" s="30"/>
    </row>
    <row r="554" spans="4:9">
      <c r="D554" s="47"/>
      <c r="E554" s="143"/>
      <c r="H554" s="2"/>
      <c r="I554" s="30"/>
    </row>
    <row r="555" spans="4:9">
      <c r="D555" s="47"/>
      <c r="E555" s="143"/>
      <c r="H555" s="2"/>
      <c r="I555" s="30"/>
    </row>
    <row r="556" spans="4:9">
      <c r="D556" s="47"/>
      <c r="E556" s="143"/>
      <c r="H556" s="2"/>
      <c r="I556" s="30"/>
    </row>
    <row r="557" spans="4:9">
      <c r="D557" s="47"/>
      <c r="E557" s="143"/>
      <c r="H557" s="2"/>
      <c r="I557" s="30"/>
    </row>
    <row r="558" spans="4:9">
      <c r="D558" s="47"/>
      <c r="E558" s="143"/>
      <c r="H558" s="2"/>
      <c r="I558" s="30"/>
    </row>
    <row r="559" spans="4:9">
      <c r="D559" s="47"/>
      <c r="E559" s="143"/>
      <c r="H559" s="2"/>
      <c r="I559" s="30"/>
    </row>
    <row r="560" spans="4:9">
      <c r="D560" s="47"/>
      <c r="E560" s="143"/>
      <c r="H560" s="2"/>
      <c r="I560" s="30"/>
    </row>
    <row r="561" spans="4:9">
      <c r="D561" s="47"/>
      <c r="E561" s="143"/>
      <c r="H561" s="2"/>
      <c r="I561" s="30"/>
    </row>
    <row r="562" spans="4:9">
      <c r="D562" s="47"/>
      <c r="E562" s="143"/>
      <c r="H562" s="2"/>
      <c r="I562" s="30"/>
    </row>
    <row r="563" spans="4:9">
      <c r="D563" s="47"/>
      <c r="E563" s="143"/>
      <c r="H563" s="2"/>
      <c r="I563" s="30"/>
    </row>
    <row r="564" spans="4:9">
      <c r="D564" s="47"/>
      <c r="E564" s="143"/>
      <c r="H564" s="2"/>
      <c r="I564" s="30"/>
    </row>
    <row r="565" spans="4:9">
      <c r="D565" s="47"/>
      <c r="E565" s="143"/>
      <c r="H565" s="2"/>
      <c r="I565" s="30"/>
    </row>
    <row r="566" spans="4:9">
      <c r="D566" s="47"/>
      <c r="E566" s="143"/>
      <c r="H566" s="2"/>
      <c r="I566" s="30"/>
    </row>
    <row r="567" spans="4:9">
      <c r="D567" s="47"/>
      <c r="E567" s="143"/>
      <c r="H567" s="2"/>
      <c r="I567" s="30"/>
    </row>
    <row r="568" spans="4:9">
      <c r="D568" s="47"/>
      <c r="E568" s="143"/>
      <c r="H568" s="2"/>
      <c r="I568" s="30"/>
    </row>
    <row r="569" spans="4:9">
      <c r="D569" s="47"/>
      <c r="E569" s="143"/>
      <c r="H569" s="2"/>
      <c r="I569" s="30"/>
    </row>
    <row r="570" spans="4:9">
      <c r="D570" s="47"/>
      <c r="E570" s="143"/>
      <c r="H570" s="2"/>
      <c r="I570" s="30"/>
    </row>
    <row r="571" spans="4:9">
      <c r="D571" s="47"/>
      <c r="E571" s="143"/>
      <c r="H571" s="2"/>
      <c r="I571" s="30"/>
    </row>
    <row r="572" spans="4:9">
      <c r="D572" s="47"/>
      <c r="E572" s="143"/>
      <c r="H572" s="2"/>
      <c r="I572" s="30"/>
    </row>
    <row r="573" spans="4:9">
      <c r="D573" s="47"/>
      <c r="E573" s="143"/>
      <c r="H573" s="2"/>
      <c r="I573" s="30"/>
    </row>
    <row r="574" spans="4:9">
      <c r="D574" s="47"/>
      <c r="E574" s="143"/>
      <c r="H574" s="2"/>
      <c r="I574" s="30"/>
    </row>
    <row r="575" spans="4:9">
      <c r="D575" s="47"/>
      <c r="E575" s="143"/>
      <c r="H575" s="2"/>
      <c r="I575" s="30"/>
    </row>
    <row r="576" spans="4:9">
      <c r="D576" s="47"/>
      <c r="E576" s="143"/>
      <c r="H576" s="2"/>
      <c r="I576" s="30"/>
    </row>
    <row r="577" spans="4:9">
      <c r="D577" s="47"/>
      <c r="E577" s="143"/>
      <c r="H577" s="2"/>
      <c r="I577" s="30"/>
    </row>
    <row r="578" spans="4:9">
      <c r="D578" s="47"/>
      <c r="E578" s="143"/>
      <c r="H578" s="2"/>
      <c r="I578" s="30"/>
    </row>
    <row r="579" spans="4:9">
      <c r="D579" s="47"/>
      <c r="E579" s="143"/>
      <c r="H579" s="2"/>
      <c r="I579" s="30"/>
    </row>
    <row r="580" spans="4:9">
      <c r="D580" s="47"/>
      <c r="E580" s="143"/>
      <c r="H580" s="2"/>
      <c r="I580" s="30"/>
    </row>
    <row r="581" spans="4:9">
      <c r="D581" s="47"/>
      <c r="E581" s="143"/>
      <c r="H581" s="2"/>
      <c r="I581" s="30"/>
    </row>
    <row r="582" spans="4:9">
      <c r="D582" s="47"/>
      <c r="E582" s="143"/>
      <c r="H582" s="2"/>
      <c r="I582" s="30"/>
    </row>
    <row r="583" spans="4:9">
      <c r="D583" s="47"/>
      <c r="E583" s="143"/>
      <c r="H583" s="2"/>
      <c r="I583" s="30"/>
    </row>
    <row r="584" spans="4:9">
      <c r="D584" s="47"/>
      <c r="E584" s="143"/>
      <c r="H584" s="2"/>
      <c r="I584" s="30"/>
    </row>
    <row r="585" spans="4:9">
      <c r="D585" s="47"/>
      <c r="E585" s="143"/>
      <c r="H585" s="2"/>
      <c r="I585" s="30"/>
    </row>
    <row r="586" spans="4:9">
      <c r="D586" s="47"/>
      <c r="E586" s="143"/>
      <c r="H586" s="2"/>
      <c r="I586" s="30"/>
    </row>
    <row r="587" spans="4:9">
      <c r="D587" s="47"/>
      <c r="E587" s="143"/>
      <c r="H587" s="2"/>
      <c r="I587" s="30"/>
    </row>
    <row r="588" spans="4:9">
      <c r="D588" s="47"/>
      <c r="E588" s="143"/>
      <c r="H588" s="2"/>
      <c r="I588" s="30"/>
    </row>
    <row r="589" spans="4:9">
      <c r="D589" s="47"/>
      <c r="E589" s="143"/>
      <c r="H589" s="2"/>
      <c r="I589" s="30"/>
    </row>
    <row r="590" spans="4:9">
      <c r="D590" s="47"/>
      <c r="E590" s="143"/>
      <c r="H590" s="2"/>
      <c r="I590" s="30"/>
    </row>
    <row r="591" spans="4:9">
      <c r="D591" s="47"/>
      <c r="E591" s="143"/>
      <c r="H591" s="2"/>
      <c r="I591" s="30"/>
    </row>
    <row r="592" spans="4:9">
      <c r="D592" s="47"/>
      <c r="E592" s="143"/>
      <c r="H592" s="2"/>
      <c r="I592" s="30"/>
    </row>
    <row r="593" spans="4:9">
      <c r="D593" s="47"/>
      <c r="E593" s="143"/>
      <c r="H593" s="2"/>
      <c r="I593" s="30"/>
    </row>
    <row r="594" spans="4:9">
      <c r="D594" s="47"/>
      <c r="E594" s="143"/>
      <c r="H594" s="2"/>
      <c r="I594" s="30"/>
    </row>
    <row r="595" spans="4:9">
      <c r="D595" s="47"/>
      <c r="E595" s="143"/>
      <c r="H595" s="2"/>
      <c r="I595" s="30"/>
    </row>
    <row r="596" spans="4:9">
      <c r="D596" s="47"/>
      <c r="E596" s="143"/>
      <c r="H596" s="2"/>
      <c r="I596" s="30"/>
    </row>
    <row r="597" spans="4:9">
      <c r="D597" s="47"/>
      <c r="E597" s="143"/>
      <c r="H597" s="2"/>
      <c r="I597" s="30"/>
    </row>
    <row r="598" spans="4:9">
      <c r="D598" s="47"/>
      <c r="E598" s="143"/>
      <c r="H598" s="2"/>
      <c r="I598" s="30"/>
    </row>
    <row r="599" spans="4:9">
      <c r="D599" s="47"/>
      <c r="E599" s="143"/>
      <c r="H599" s="2"/>
      <c r="I599" s="30"/>
    </row>
    <row r="600" spans="4:9">
      <c r="D600" s="47"/>
      <c r="E600" s="143"/>
      <c r="H600" s="2"/>
      <c r="I600" s="30"/>
    </row>
    <row r="601" spans="4:9">
      <c r="D601" s="47"/>
      <c r="E601" s="143"/>
      <c r="H601" s="2"/>
      <c r="I601" s="30"/>
    </row>
    <row r="602" spans="4:9">
      <c r="D602" s="47"/>
      <c r="E602" s="143"/>
      <c r="H602" s="2"/>
      <c r="I602" s="30"/>
    </row>
    <row r="603" spans="4:9">
      <c r="D603" s="47"/>
      <c r="E603" s="143"/>
      <c r="H603" s="2"/>
      <c r="I603" s="30"/>
    </row>
    <row r="604" spans="4:9">
      <c r="D604" s="47"/>
      <c r="E604" s="143"/>
      <c r="H604" s="2"/>
      <c r="I604" s="30"/>
    </row>
    <row r="605" spans="4:9">
      <c r="D605" s="47"/>
      <c r="E605" s="143"/>
      <c r="H605" s="2"/>
      <c r="I605" s="30"/>
    </row>
    <row r="606" spans="4:9">
      <c r="D606" s="47"/>
      <c r="E606" s="143"/>
      <c r="H606" s="2"/>
      <c r="I606" s="30"/>
    </row>
    <row r="607" spans="4:9">
      <c r="D607" s="47"/>
      <c r="E607" s="143"/>
      <c r="H607" s="2"/>
      <c r="I607" s="30"/>
    </row>
    <row r="608" spans="4:9">
      <c r="D608" s="47"/>
      <c r="E608" s="143"/>
      <c r="H608" s="2"/>
      <c r="I608" s="30"/>
    </row>
    <row r="609" spans="4:9">
      <c r="D609" s="47"/>
      <c r="E609" s="143"/>
      <c r="H609" s="2"/>
      <c r="I609" s="30"/>
    </row>
    <row r="610" spans="4:9">
      <c r="D610" s="47"/>
      <c r="E610" s="143"/>
      <c r="H610" s="2"/>
      <c r="I610" s="30"/>
    </row>
    <row r="611" spans="4:9">
      <c r="D611" s="47"/>
      <c r="E611" s="143"/>
      <c r="H611" s="2"/>
      <c r="I611" s="30"/>
    </row>
    <row r="612" spans="4:9">
      <c r="D612" s="47"/>
      <c r="E612" s="143"/>
      <c r="H612" s="2"/>
      <c r="I612" s="30"/>
    </row>
    <row r="613" spans="4:9">
      <c r="D613" s="47"/>
      <c r="E613" s="143"/>
      <c r="H613" s="2"/>
      <c r="I613" s="30"/>
    </row>
    <row r="614" spans="4:9">
      <c r="D614" s="47"/>
      <c r="E614" s="143"/>
      <c r="H614" s="2"/>
      <c r="I614" s="30"/>
    </row>
    <row r="615" spans="4:9">
      <c r="D615" s="47"/>
      <c r="E615" s="143"/>
      <c r="H615" s="2"/>
      <c r="I615" s="30"/>
    </row>
    <row r="616" spans="4:9">
      <c r="D616" s="47"/>
      <c r="E616" s="143"/>
      <c r="H616" s="2"/>
      <c r="I616" s="30"/>
    </row>
    <row r="617" spans="4:9">
      <c r="D617" s="47"/>
      <c r="E617" s="143"/>
      <c r="H617" s="2"/>
      <c r="I617" s="30"/>
    </row>
    <row r="618" spans="4:9">
      <c r="D618" s="47"/>
      <c r="E618" s="143"/>
      <c r="H618" s="2"/>
      <c r="I618" s="30"/>
    </row>
    <row r="619" spans="4:9">
      <c r="D619" s="47"/>
      <c r="E619" s="143"/>
      <c r="H619" s="2"/>
      <c r="I619" s="30"/>
    </row>
    <row r="620" spans="4:9">
      <c r="D620" s="47"/>
      <c r="E620" s="143"/>
      <c r="H620" s="2"/>
      <c r="I620" s="30"/>
    </row>
    <row r="621" spans="4:9">
      <c r="D621" s="47"/>
      <c r="E621" s="143"/>
      <c r="H621" s="2"/>
      <c r="I621" s="30"/>
    </row>
    <row r="622" spans="4:9">
      <c r="D622" s="47"/>
      <c r="E622" s="143"/>
      <c r="H622" s="2"/>
      <c r="I622" s="30"/>
    </row>
    <row r="623" spans="4:9">
      <c r="D623" s="47"/>
      <c r="E623" s="143"/>
      <c r="H623" s="2"/>
      <c r="I623" s="30"/>
    </row>
    <row r="624" spans="4:9">
      <c r="D624" s="47"/>
      <c r="E624" s="143"/>
      <c r="H624" s="2"/>
      <c r="I624" s="30"/>
    </row>
    <row r="625" spans="4:9">
      <c r="D625" s="47"/>
      <c r="E625" s="143"/>
      <c r="H625" s="2"/>
      <c r="I625" s="30"/>
    </row>
    <row r="626" spans="4:9">
      <c r="D626" s="47"/>
      <c r="E626" s="143"/>
      <c r="H626" s="2"/>
      <c r="I626" s="30"/>
    </row>
    <row r="627" spans="4:9">
      <c r="D627" s="47"/>
      <c r="E627" s="143"/>
      <c r="H627" s="2"/>
      <c r="I627" s="30"/>
    </row>
    <row r="628" spans="4:9">
      <c r="D628" s="47"/>
      <c r="E628" s="143"/>
      <c r="H628" s="2"/>
      <c r="I628" s="30"/>
    </row>
    <row r="629" spans="4:9">
      <c r="D629" s="47"/>
      <c r="E629" s="143"/>
      <c r="H629" s="2"/>
      <c r="I629" s="30"/>
    </row>
    <row r="630" spans="4:9">
      <c r="D630" s="47"/>
      <c r="E630" s="143"/>
      <c r="H630" s="2"/>
      <c r="I630" s="30"/>
    </row>
    <row r="631" spans="4:9">
      <c r="D631" s="47"/>
      <c r="E631" s="143"/>
      <c r="H631" s="2"/>
      <c r="I631" s="30"/>
    </row>
    <row r="632" spans="4:9">
      <c r="D632" s="47"/>
      <c r="E632" s="143"/>
      <c r="H632" s="2"/>
      <c r="I632" s="30"/>
    </row>
    <row r="633" spans="4:9">
      <c r="D633" s="47"/>
      <c r="E633" s="143"/>
      <c r="H633" s="2"/>
      <c r="I633" s="30"/>
    </row>
    <row r="634" spans="4:9">
      <c r="D634" s="47"/>
      <c r="E634" s="143"/>
      <c r="H634" s="2"/>
      <c r="I634" s="30"/>
    </row>
    <row r="635" spans="4:9">
      <c r="D635" s="47"/>
      <c r="E635" s="143"/>
      <c r="H635" s="2"/>
      <c r="I635" s="30"/>
    </row>
    <row r="636" spans="4:9">
      <c r="D636" s="47"/>
      <c r="E636" s="143"/>
      <c r="H636" s="2"/>
      <c r="I636" s="30"/>
    </row>
    <row r="637" spans="4:9">
      <c r="D637" s="47"/>
      <c r="E637" s="143"/>
      <c r="H637" s="2"/>
      <c r="I637" s="30"/>
    </row>
    <row r="638" spans="4:9">
      <c r="D638" s="47"/>
      <c r="E638" s="143"/>
      <c r="H638" s="2"/>
      <c r="I638" s="30"/>
    </row>
    <row r="639" spans="4:9">
      <c r="D639" s="47"/>
      <c r="E639" s="143"/>
      <c r="H639" s="2"/>
      <c r="I639" s="30"/>
    </row>
    <row r="640" spans="4:9">
      <c r="D640" s="47"/>
      <c r="E640" s="143"/>
      <c r="H640" s="2"/>
      <c r="I640" s="30"/>
    </row>
    <row r="641" spans="4:9">
      <c r="D641" s="47"/>
      <c r="E641" s="143"/>
      <c r="H641" s="2"/>
      <c r="I641" s="30"/>
    </row>
    <row r="642" spans="4:9">
      <c r="D642" s="47"/>
      <c r="E642" s="143"/>
      <c r="H642" s="2"/>
      <c r="I642" s="30"/>
    </row>
    <row r="643" spans="4:9">
      <c r="D643" s="47"/>
      <c r="E643" s="143"/>
      <c r="H643" s="2"/>
      <c r="I643" s="30"/>
    </row>
    <row r="644" spans="4:9">
      <c r="D644" s="47"/>
      <c r="E644" s="143"/>
      <c r="H644" s="2"/>
      <c r="I644" s="30"/>
    </row>
    <row r="645" spans="4:9">
      <c r="D645" s="47"/>
      <c r="E645" s="143"/>
      <c r="H645" s="2"/>
      <c r="I645" s="30"/>
    </row>
    <row r="646" spans="4:9">
      <c r="D646" s="47"/>
      <c r="E646" s="143"/>
      <c r="H646" s="2"/>
      <c r="I646" s="30"/>
    </row>
    <row r="647" spans="4:9">
      <c r="D647" s="47"/>
      <c r="E647" s="143"/>
      <c r="H647" s="2"/>
      <c r="I647" s="30"/>
    </row>
    <row r="648" spans="4:9">
      <c r="D648" s="47"/>
      <c r="E648" s="143"/>
      <c r="H648" s="2"/>
      <c r="I648" s="30"/>
    </row>
    <row r="649" spans="4:9">
      <c r="D649" s="47"/>
      <c r="E649" s="143"/>
      <c r="H649" s="2"/>
      <c r="I649" s="30"/>
    </row>
    <row r="650" spans="4:9">
      <c r="D650" s="47"/>
      <c r="E650" s="143"/>
      <c r="H650" s="2"/>
      <c r="I650" s="30"/>
    </row>
    <row r="651" spans="4:9">
      <c r="D651" s="47"/>
      <c r="E651" s="143"/>
      <c r="H651" s="2"/>
      <c r="I651" s="30"/>
    </row>
    <row r="652" spans="4:9">
      <c r="D652" s="47"/>
      <c r="E652" s="143"/>
      <c r="H652" s="2"/>
      <c r="I652" s="30"/>
    </row>
    <row r="653" spans="4:9">
      <c r="D653" s="47"/>
      <c r="E653" s="143"/>
      <c r="H653" s="2"/>
      <c r="I653" s="30"/>
    </row>
    <row r="654" spans="4:9">
      <c r="D654" s="47"/>
      <c r="E654" s="143"/>
      <c r="H654" s="2"/>
      <c r="I654" s="30"/>
    </row>
    <row r="655" spans="4:9">
      <c r="D655" s="47"/>
      <c r="E655" s="143"/>
      <c r="H655" s="2"/>
      <c r="I655" s="30"/>
    </row>
    <row r="656" spans="4:9">
      <c r="D656" s="47"/>
      <c r="E656" s="143"/>
      <c r="H656" s="2"/>
      <c r="I656" s="30"/>
    </row>
    <row r="657" spans="4:9">
      <c r="D657" s="47"/>
      <c r="E657" s="143"/>
      <c r="H657" s="2"/>
      <c r="I657" s="30"/>
    </row>
    <row r="658" spans="4:9">
      <c r="D658" s="47"/>
      <c r="E658" s="143"/>
      <c r="H658" s="2"/>
      <c r="I658" s="30"/>
    </row>
    <row r="659" spans="4:9">
      <c r="D659" s="47"/>
      <c r="E659" s="143"/>
      <c r="H659" s="2"/>
      <c r="I659" s="30"/>
    </row>
    <row r="660" spans="4:9">
      <c r="D660" s="47"/>
      <c r="E660" s="143"/>
      <c r="H660" s="2"/>
      <c r="I660" s="30"/>
    </row>
    <row r="661" spans="4:9">
      <c r="D661" s="47"/>
      <c r="E661" s="143"/>
      <c r="H661" s="2"/>
      <c r="I661" s="30"/>
    </row>
    <row r="662" spans="4:9">
      <c r="D662" s="47"/>
      <c r="E662" s="143"/>
      <c r="H662" s="2"/>
      <c r="I662" s="30"/>
    </row>
    <row r="663" spans="4:9">
      <c r="D663" s="47"/>
      <c r="E663" s="143"/>
      <c r="H663" s="2"/>
      <c r="I663" s="30"/>
    </row>
    <row r="664" spans="4:9">
      <c r="D664" s="47"/>
      <c r="E664" s="143"/>
      <c r="H664" s="2"/>
      <c r="I664" s="30"/>
    </row>
    <row r="665" spans="4:9">
      <c r="D665" s="47"/>
      <c r="E665" s="143"/>
      <c r="H665" s="2"/>
      <c r="I665" s="30"/>
    </row>
    <row r="666" spans="4:9">
      <c r="D666" s="47"/>
      <c r="E666" s="143"/>
      <c r="H666" s="2"/>
      <c r="I666" s="30"/>
    </row>
    <row r="667" spans="4:9">
      <c r="D667" s="47"/>
      <c r="E667" s="143"/>
      <c r="H667" s="2"/>
      <c r="I667" s="30"/>
    </row>
    <row r="668" spans="4:9">
      <c r="D668" s="47"/>
      <c r="E668" s="143"/>
      <c r="H668" s="2"/>
      <c r="I668" s="30"/>
    </row>
    <row r="669" spans="4:9">
      <c r="D669" s="47"/>
      <c r="E669" s="143"/>
      <c r="H669" s="2"/>
      <c r="I669" s="30"/>
    </row>
    <row r="670" spans="4:9">
      <c r="D670" s="47"/>
      <c r="E670" s="143"/>
      <c r="H670" s="2"/>
      <c r="I670" s="30"/>
    </row>
    <row r="671" spans="4:9">
      <c r="D671" s="47"/>
      <c r="E671" s="143"/>
      <c r="H671" s="2"/>
      <c r="I671" s="30"/>
    </row>
    <row r="672" spans="4:9">
      <c r="D672" s="47"/>
      <c r="E672" s="143"/>
      <c r="H672" s="2"/>
      <c r="I672" s="30"/>
    </row>
    <row r="673" spans="4:9">
      <c r="D673" s="47"/>
      <c r="E673" s="143"/>
      <c r="H673" s="2"/>
      <c r="I673" s="30"/>
    </row>
    <row r="674" spans="4:9">
      <c r="D674" s="47"/>
      <c r="E674" s="143"/>
      <c r="H674" s="2"/>
      <c r="I674" s="30"/>
    </row>
    <row r="675" spans="4:9">
      <c r="D675" s="47"/>
      <c r="E675" s="143"/>
      <c r="H675" s="2"/>
      <c r="I675" s="30"/>
    </row>
    <row r="676" spans="4:9">
      <c r="D676" s="47"/>
      <c r="E676" s="143"/>
      <c r="H676" s="2"/>
      <c r="I676" s="30"/>
    </row>
    <row r="677" spans="4:9">
      <c r="D677" s="47"/>
      <c r="E677" s="143"/>
      <c r="H677" s="2"/>
      <c r="I677" s="30"/>
    </row>
    <row r="678" spans="4:9">
      <c r="D678" s="47"/>
      <c r="E678" s="143"/>
      <c r="H678" s="2"/>
      <c r="I678" s="30"/>
    </row>
    <row r="679" spans="4:9">
      <c r="D679" s="47"/>
      <c r="E679" s="143"/>
      <c r="H679" s="2"/>
      <c r="I679" s="30"/>
    </row>
    <row r="680" spans="4:9">
      <c r="D680" s="47"/>
      <c r="E680" s="143"/>
      <c r="H680" s="2"/>
      <c r="I680" s="30"/>
    </row>
    <row r="681" spans="4:9">
      <c r="D681" s="47"/>
      <c r="E681" s="143"/>
      <c r="H681" s="2"/>
      <c r="I681" s="30"/>
    </row>
    <row r="682" spans="4:9">
      <c r="D682" s="47"/>
      <c r="E682" s="143"/>
      <c r="H682" s="2"/>
      <c r="I682" s="30"/>
    </row>
    <row r="683" spans="4:9">
      <c r="D683" s="47"/>
      <c r="E683" s="143"/>
      <c r="H683" s="2"/>
      <c r="I683" s="30"/>
    </row>
    <row r="684" spans="4:9">
      <c r="D684" s="47"/>
      <c r="E684" s="143"/>
      <c r="H684" s="2"/>
      <c r="I684" s="30"/>
    </row>
    <row r="685" spans="4:9">
      <c r="D685" s="47"/>
      <c r="E685" s="143"/>
      <c r="H685" s="2"/>
      <c r="I685" s="30"/>
    </row>
    <row r="686" spans="4:9">
      <c r="D686" s="47"/>
      <c r="E686" s="143"/>
      <c r="H686" s="2"/>
      <c r="I686" s="30"/>
    </row>
    <row r="687" spans="4:9">
      <c r="D687" s="47"/>
      <c r="E687" s="143"/>
      <c r="H687" s="2"/>
      <c r="I687" s="30"/>
    </row>
    <row r="688" spans="4:9">
      <c r="D688" s="47"/>
      <c r="E688" s="143"/>
      <c r="H688" s="2"/>
      <c r="I688" s="30"/>
    </row>
    <row r="689" spans="4:9">
      <c r="D689" s="47"/>
      <c r="E689" s="143"/>
      <c r="H689" s="2"/>
      <c r="I689" s="30"/>
    </row>
    <row r="690" spans="4:9">
      <c r="D690" s="47"/>
      <c r="E690" s="143"/>
      <c r="H690" s="2"/>
      <c r="I690" s="30"/>
    </row>
    <row r="691" spans="4:9">
      <c r="D691" s="47"/>
      <c r="E691" s="143"/>
      <c r="H691" s="2"/>
      <c r="I691" s="30"/>
    </row>
    <row r="692" spans="4:9">
      <c r="D692" s="47"/>
      <c r="E692" s="143"/>
      <c r="H692" s="2"/>
      <c r="I692" s="30"/>
    </row>
    <row r="693" spans="4:9">
      <c r="D693" s="47"/>
      <c r="E693" s="143"/>
      <c r="H693" s="2"/>
      <c r="I693" s="30"/>
    </row>
    <row r="694" spans="4:9">
      <c r="D694" s="47"/>
      <c r="E694" s="143"/>
      <c r="H694" s="2"/>
      <c r="I694" s="30"/>
    </row>
    <row r="695" spans="4:9">
      <c r="D695" s="47"/>
      <c r="E695" s="143"/>
      <c r="H695" s="2"/>
      <c r="I695" s="30"/>
    </row>
    <row r="696" spans="4:9">
      <c r="D696" s="47"/>
      <c r="E696" s="143"/>
      <c r="H696" s="2"/>
      <c r="I696" s="30"/>
    </row>
    <row r="697" spans="4:9">
      <c r="D697" s="47"/>
      <c r="E697" s="143"/>
      <c r="H697" s="2"/>
      <c r="I697" s="30"/>
    </row>
    <row r="698" spans="4:9">
      <c r="D698" s="47"/>
      <c r="E698" s="143"/>
      <c r="H698" s="2"/>
      <c r="I698" s="30"/>
    </row>
    <row r="699" spans="4:9">
      <c r="D699" s="47"/>
      <c r="E699" s="143"/>
      <c r="H699" s="2"/>
      <c r="I699" s="30"/>
    </row>
    <row r="700" spans="4:9">
      <c r="D700" s="47"/>
      <c r="E700" s="143"/>
      <c r="H700" s="2"/>
      <c r="I700" s="30"/>
    </row>
    <row r="701" spans="4:9">
      <c r="D701" s="47"/>
      <c r="E701" s="143"/>
      <c r="H701" s="2"/>
      <c r="I701" s="30"/>
    </row>
    <row r="702" spans="4:9">
      <c r="D702" s="47"/>
      <c r="E702" s="143"/>
      <c r="H702" s="2"/>
      <c r="I702" s="30"/>
    </row>
    <row r="703" spans="4:9">
      <c r="D703" s="47"/>
      <c r="E703" s="143"/>
      <c r="H703" s="2"/>
      <c r="I703" s="30"/>
    </row>
    <row r="704" spans="4:9">
      <c r="D704" s="47"/>
      <c r="E704" s="143"/>
      <c r="H704" s="2"/>
      <c r="I704" s="30"/>
    </row>
    <row r="705" spans="4:9">
      <c r="D705" s="47"/>
      <c r="E705" s="143"/>
      <c r="H705" s="2"/>
      <c r="I705" s="30"/>
    </row>
    <row r="706" spans="4:9">
      <c r="D706" s="47"/>
      <c r="E706" s="143"/>
      <c r="H706" s="2"/>
      <c r="I706" s="30"/>
    </row>
    <row r="707" spans="4:9">
      <c r="D707" s="47"/>
      <c r="E707" s="143"/>
      <c r="H707" s="2"/>
      <c r="I707" s="30"/>
    </row>
    <row r="708" spans="4:9">
      <c r="D708" s="47"/>
      <c r="E708" s="143"/>
      <c r="H708" s="2"/>
      <c r="I708" s="30"/>
    </row>
    <row r="709" spans="4:9">
      <c r="D709" s="47"/>
      <c r="E709" s="143"/>
      <c r="H709" s="2"/>
      <c r="I709" s="30"/>
    </row>
    <row r="710" spans="4:9">
      <c r="D710" s="47"/>
      <c r="E710" s="143"/>
      <c r="H710" s="2"/>
      <c r="I710" s="30"/>
    </row>
    <row r="711" spans="4:9">
      <c r="D711" s="47"/>
      <c r="E711" s="143"/>
      <c r="H711" s="2"/>
      <c r="I711" s="30"/>
    </row>
    <row r="712" spans="4:9">
      <c r="D712" s="47"/>
      <c r="E712" s="143"/>
      <c r="H712" s="2"/>
      <c r="I712" s="30"/>
    </row>
    <row r="713" spans="4:9">
      <c r="D713" s="47"/>
      <c r="E713" s="143"/>
      <c r="H713" s="2"/>
      <c r="I713" s="30"/>
    </row>
    <row r="714" spans="4:9">
      <c r="D714" s="47"/>
      <c r="E714" s="143"/>
      <c r="H714" s="2"/>
      <c r="I714" s="30"/>
    </row>
    <row r="715" spans="4:9">
      <c r="D715" s="47"/>
      <c r="E715" s="143"/>
      <c r="H715" s="2"/>
      <c r="I715" s="30"/>
    </row>
    <row r="716" spans="4:9">
      <c r="D716" s="47"/>
      <c r="E716" s="143"/>
      <c r="H716" s="2"/>
      <c r="I716" s="30"/>
    </row>
    <row r="717" spans="4:9">
      <c r="D717" s="47"/>
      <c r="E717" s="143"/>
      <c r="H717" s="2"/>
      <c r="I717" s="30"/>
    </row>
    <row r="718" spans="4:9">
      <c r="D718" s="47"/>
      <c r="E718" s="143"/>
      <c r="H718" s="2"/>
      <c r="I718" s="30"/>
    </row>
    <row r="719" spans="4:9">
      <c r="D719" s="47"/>
      <c r="E719" s="143"/>
      <c r="H719" s="2"/>
      <c r="I719" s="30"/>
    </row>
    <row r="720" spans="4:9">
      <c r="D720" s="47"/>
      <c r="E720" s="143"/>
      <c r="H720" s="2"/>
      <c r="I720" s="30"/>
    </row>
    <row r="721" spans="4:9">
      <c r="D721" s="47"/>
      <c r="E721" s="143"/>
      <c r="H721" s="2"/>
      <c r="I721" s="30"/>
    </row>
    <row r="722" spans="4:9">
      <c r="D722" s="47"/>
      <c r="E722" s="143"/>
      <c r="H722" s="2"/>
      <c r="I722" s="30"/>
    </row>
    <row r="723" spans="4:9">
      <c r="D723" s="47"/>
      <c r="E723" s="143"/>
      <c r="H723" s="2"/>
      <c r="I723" s="30"/>
    </row>
    <row r="724" spans="4:9">
      <c r="D724" s="47"/>
      <c r="E724" s="143"/>
      <c r="H724" s="2"/>
      <c r="I724" s="30"/>
    </row>
    <row r="725" spans="4:9">
      <c r="D725" s="47"/>
      <c r="E725" s="143"/>
      <c r="H725" s="2"/>
      <c r="I725" s="30"/>
    </row>
    <row r="726" spans="4:9">
      <c r="D726" s="47"/>
      <c r="E726" s="143"/>
      <c r="H726" s="2"/>
      <c r="I726" s="30"/>
    </row>
    <row r="727" spans="4:9">
      <c r="D727" s="47"/>
      <c r="E727" s="143"/>
      <c r="H727" s="2"/>
      <c r="I727" s="30"/>
    </row>
    <row r="728" spans="4:9">
      <c r="D728" s="47"/>
      <c r="E728" s="143"/>
      <c r="H728" s="2"/>
      <c r="I728" s="30"/>
    </row>
    <row r="729" spans="4:9">
      <c r="D729" s="47"/>
      <c r="E729" s="143"/>
      <c r="H729" s="2"/>
      <c r="I729" s="30"/>
    </row>
    <row r="730" spans="4:9">
      <c r="D730" s="47"/>
      <c r="E730" s="143"/>
      <c r="H730" s="2"/>
      <c r="I730" s="30"/>
    </row>
    <row r="731" spans="4:9">
      <c r="D731" s="47"/>
      <c r="E731" s="143"/>
      <c r="H731" s="2"/>
      <c r="I731" s="30"/>
    </row>
    <row r="732" spans="4:9">
      <c r="D732" s="47"/>
      <c r="E732" s="143"/>
      <c r="H732" s="2"/>
      <c r="I732" s="30"/>
    </row>
    <row r="733" spans="4:9">
      <c r="D733" s="47"/>
      <c r="E733" s="143"/>
      <c r="H733" s="2"/>
      <c r="I733" s="30"/>
    </row>
    <row r="734" spans="4:9">
      <c r="D734" s="47"/>
      <c r="E734" s="143"/>
      <c r="H734" s="2"/>
      <c r="I734" s="30"/>
    </row>
    <row r="735" spans="4:9">
      <c r="D735" s="47"/>
      <c r="E735" s="143"/>
      <c r="H735" s="2"/>
      <c r="I735" s="30"/>
    </row>
    <row r="736" spans="4:9">
      <c r="D736" s="47"/>
      <c r="E736" s="143"/>
      <c r="H736" s="2"/>
      <c r="I736" s="30"/>
    </row>
    <row r="737" spans="4:9">
      <c r="D737" s="47"/>
      <c r="E737" s="143"/>
      <c r="H737" s="2"/>
      <c r="I737" s="30"/>
    </row>
    <row r="738" spans="4:9">
      <c r="D738" s="47"/>
      <c r="E738" s="143"/>
      <c r="H738" s="2"/>
      <c r="I738" s="30"/>
    </row>
    <row r="739" spans="4:9">
      <c r="D739" s="47"/>
      <c r="E739" s="143"/>
      <c r="H739" s="2"/>
      <c r="I739" s="30"/>
    </row>
    <row r="740" spans="4:9">
      <c r="D740" s="47"/>
      <c r="E740" s="143"/>
      <c r="H740" s="2"/>
      <c r="I740" s="30"/>
    </row>
    <row r="741" spans="4:9">
      <c r="D741" s="47"/>
      <c r="E741" s="143"/>
      <c r="H741" s="2"/>
      <c r="I741" s="30"/>
    </row>
    <row r="742" spans="4:9">
      <c r="D742" s="47"/>
      <c r="E742" s="143"/>
      <c r="H742" s="2"/>
      <c r="I742" s="30"/>
    </row>
    <row r="743" spans="4:9">
      <c r="D743" s="47"/>
      <c r="E743" s="143"/>
      <c r="H743" s="2"/>
      <c r="I743" s="30"/>
    </row>
    <row r="744" spans="4:9">
      <c r="D744" s="47"/>
      <c r="E744" s="143"/>
      <c r="H744" s="2"/>
      <c r="I744" s="30"/>
    </row>
    <row r="745" spans="4:9">
      <c r="D745" s="47"/>
      <c r="E745" s="143"/>
      <c r="H745" s="2"/>
      <c r="I745" s="30"/>
    </row>
    <row r="746" spans="4:9">
      <c r="D746" s="47"/>
      <c r="E746" s="143"/>
      <c r="H746" s="2"/>
      <c r="I746" s="30"/>
    </row>
    <row r="747" spans="4:9">
      <c r="D747" s="47"/>
      <c r="E747" s="143"/>
      <c r="H747" s="2"/>
      <c r="I747" s="30"/>
    </row>
    <row r="748" spans="4:9">
      <c r="D748" s="47"/>
      <c r="E748" s="143"/>
      <c r="H748" s="2"/>
      <c r="I748" s="30"/>
    </row>
    <row r="749" spans="4:9">
      <c r="D749" s="47"/>
      <c r="E749" s="143"/>
      <c r="H749" s="2"/>
      <c r="I749" s="30"/>
    </row>
    <row r="750" spans="4:9">
      <c r="D750" s="47"/>
      <c r="E750" s="143"/>
      <c r="H750" s="2"/>
      <c r="I750" s="30"/>
    </row>
    <row r="751" spans="4:9">
      <c r="D751" s="47"/>
      <c r="E751" s="143"/>
      <c r="H751" s="2"/>
      <c r="I751" s="30"/>
    </row>
    <row r="752" spans="4:9">
      <c r="D752" s="47"/>
      <c r="E752" s="143"/>
      <c r="H752" s="2"/>
      <c r="I752" s="30"/>
    </row>
    <row r="753" spans="4:9">
      <c r="D753" s="47"/>
      <c r="E753" s="143"/>
      <c r="H753" s="2"/>
      <c r="I753" s="30"/>
    </row>
    <row r="754" spans="4:9">
      <c r="D754" s="47"/>
      <c r="E754" s="143"/>
      <c r="H754" s="2"/>
      <c r="I754" s="30"/>
    </row>
    <row r="755" spans="4:9">
      <c r="D755" s="47"/>
      <c r="E755" s="143"/>
      <c r="H755" s="2"/>
      <c r="I755" s="30"/>
    </row>
    <row r="756" spans="4:9">
      <c r="D756" s="47"/>
      <c r="E756" s="143"/>
      <c r="H756" s="2"/>
      <c r="I756" s="30"/>
    </row>
    <row r="757" spans="4:9">
      <c r="D757" s="47"/>
      <c r="E757" s="143"/>
      <c r="H757" s="2"/>
      <c r="I757" s="30"/>
    </row>
    <row r="758" spans="4:9">
      <c r="D758" s="47"/>
      <c r="E758" s="143"/>
      <c r="H758" s="2"/>
      <c r="I758" s="30"/>
    </row>
    <row r="759" spans="4:9">
      <c r="D759" s="47"/>
      <c r="E759" s="143"/>
      <c r="H759" s="2"/>
      <c r="I759" s="30"/>
    </row>
    <row r="760" spans="4:9">
      <c r="D760" s="47"/>
      <c r="E760" s="143"/>
      <c r="H760" s="2"/>
      <c r="I760" s="30"/>
    </row>
    <row r="761" spans="4:9">
      <c r="D761" s="47"/>
      <c r="E761" s="143"/>
      <c r="H761" s="2"/>
      <c r="I761" s="30"/>
    </row>
    <row r="762" spans="4:9">
      <c r="D762" s="47"/>
      <c r="E762" s="143"/>
      <c r="H762" s="2"/>
      <c r="I762" s="30"/>
    </row>
    <row r="763" spans="4:9">
      <c r="D763" s="47"/>
      <c r="E763" s="143"/>
      <c r="H763" s="2"/>
      <c r="I763" s="30"/>
    </row>
    <row r="764" spans="4:9">
      <c r="D764" s="47"/>
      <c r="E764" s="143"/>
      <c r="H764" s="2"/>
      <c r="I764" s="30"/>
    </row>
    <row r="765" spans="4:9">
      <c r="D765" s="47"/>
      <c r="E765" s="143"/>
      <c r="H765" s="2"/>
      <c r="I765" s="30"/>
    </row>
    <row r="766" spans="4:9">
      <c r="D766" s="47"/>
      <c r="E766" s="143"/>
      <c r="H766" s="2"/>
      <c r="I766" s="30"/>
    </row>
    <row r="767" spans="4:9">
      <c r="D767" s="47"/>
      <c r="E767" s="143"/>
      <c r="H767" s="2"/>
      <c r="I767" s="30"/>
    </row>
    <row r="768" spans="4:9">
      <c r="D768" s="47"/>
      <c r="E768" s="143"/>
      <c r="H768" s="2"/>
      <c r="I768" s="30"/>
    </row>
    <row r="769" spans="4:9">
      <c r="D769" s="47"/>
      <c r="E769" s="143"/>
      <c r="H769" s="2"/>
      <c r="I769" s="30"/>
    </row>
    <row r="770" spans="4:9">
      <c r="D770" s="47"/>
      <c r="E770" s="143"/>
      <c r="H770" s="2"/>
      <c r="I770" s="30"/>
    </row>
    <row r="771" spans="4:9">
      <c r="D771" s="47"/>
      <c r="E771" s="143"/>
      <c r="H771" s="2"/>
      <c r="I771" s="30"/>
    </row>
    <row r="772" spans="4:9">
      <c r="D772" s="47"/>
      <c r="E772" s="143"/>
      <c r="H772" s="2"/>
      <c r="I772" s="30"/>
    </row>
    <row r="773" spans="4:9">
      <c r="D773" s="47"/>
      <c r="E773" s="143"/>
      <c r="H773" s="2"/>
      <c r="I773" s="30"/>
    </row>
    <row r="774" spans="4:9">
      <c r="D774" s="47"/>
      <c r="E774" s="143"/>
      <c r="H774" s="2"/>
      <c r="I774" s="30"/>
    </row>
    <row r="775" spans="4:9">
      <c r="D775" s="47"/>
      <c r="E775" s="143"/>
      <c r="H775" s="2"/>
      <c r="I775" s="30"/>
    </row>
    <row r="776" spans="4:9">
      <c r="D776" s="47"/>
      <c r="E776" s="143"/>
      <c r="H776" s="2"/>
      <c r="I776" s="30"/>
    </row>
    <row r="777" spans="4:9">
      <c r="D777" s="47"/>
      <c r="E777" s="143"/>
      <c r="H777" s="2"/>
      <c r="I777" s="30"/>
    </row>
    <row r="778" spans="4:9">
      <c r="D778" s="47"/>
      <c r="E778" s="143"/>
      <c r="H778" s="2"/>
      <c r="I778" s="30"/>
    </row>
    <row r="779" spans="4:9">
      <c r="D779" s="47"/>
      <c r="E779" s="143"/>
      <c r="H779" s="2"/>
      <c r="I779" s="30"/>
    </row>
    <row r="780" spans="4:9">
      <c r="D780" s="47"/>
      <c r="E780" s="143"/>
      <c r="H780" s="2"/>
      <c r="I780" s="30"/>
    </row>
    <row r="781" spans="4:9">
      <c r="D781" s="47"/>
      <c r="E781" s="143"/>
      <c r="H781" s="2"/>
      <c r="I781" s="30"/>
    </row>
    <row r="782" spans="4:9">
      <c r="D782" s="47"/>
      <c r="E782" s="143"/>
      <c r="H782" s="2"/>
      <c r="I782" s="30"/>
    </row>
    <row r="783" spans="4:9">
      <c r="D783" s="47"/>
      <c r="E783" s="143"/>
      <c r="H783" s="2"/>
      <c r="I783" s="30"/>
    </row>
    <row r="784" spans="4:9">
      <c r="D784" s="47"/>
      <c r="E784" s="143"/>
      <c r="H784" s="2"/>
      <c r="I784" s="30"/>
    </row>
    <row r="785" spans="4:9">
      <c r="D785" s="47"/>
      <c r="E785" s="143"/>
      <c r="H785" s="2"/>
      <c r="I785" s="30"/>
    </row>
    <row r="786" spans="4:9">
      <c r="D786" s="47"/>
      <c r="E786" s="143"/>
      <c r="H786" s="2"/>
      <c r="I786" s="30"/>
    </row>
    <row r="787" spans="4:9">
      <c r="D787" s="47"/>
      <c r="E787" s="143"/>
      <c r="H787" s="2"/>
      <c r="I787" s="30"/>
    </row>
    <row r="788" spans="4:9">
      <c r="D788" s="47"/>
      <c r="E788" s="143"/>
      <c r="H788" s="2"/>
      <c r="I788" s="30"/>
    </row>
    <row r="789" spans="4:9">
      <c r="D789" s="47"/>
      <c r="E789" s="143"/>
      <c r="H789" s="2"/>
      <c r="I789" s="30"/>
    </row>
    <row r="790" spans="4:9">
      <c r="D790" s="47"/>
      <c r="E790" s="143"/>
      <c r="H790" s="2"/>
      <c r="I790" s="30"/>
    </row>
    <row r="791" spans="4:9">
      <c r="D791" s="47"/>
      <c r="E791" s="143"/>
      <c r="H791" s="2"/>
      <c r="I791" s="30"/>
    </row>
    <row r="792" spans="4:9">
      <c r="D792" s="47"/>
      <c r="E792" s="143"/>
      <c r="H792" s="2"/>
      <c r="I792" s="30"/>
    </row>
    <row r="793" spans="4:9">
      <c r="D793" s="47"/>
      <c r="E793" s="143"/>
      <c r="H793" s="2"/>
      <c r="I793" s="30"/>
    </row>
    <row r="794" spans="4:9">
      <c r="D794" s="47"/>
      <c r="E794" s="143"/>
      <c r="H794" s="2"/>
      <c r="I794" s="30"/>
    </row>
    <row r="795" spans="4:9">
      <c r="D795" s="47"/>
      <c r="E795" s="143"/>
      <c r="H795" s="2"/>
      <c r="I795" s="30"/>
    </row>
    <row r="796" spans="4:9">
      <c r="D796" s="47"/>
      <c r="E796" s="143"/>
      <c r="H796" s="2"/>
      <c r="I796" s="30"/>
    </row>
    <row r="797" spans="4:9">
      <c r="D797" s="47"/>
      <c r="E797" s="143"/>
      <c r="H797" s="2"/>
      <c r="I797" s="30"/>
    </row>
    <row r="798" spans="4:9">
      <c r="D798" s="47"/>
      <c r="E798" s="143"/>
      <c r="H798" s="2"/>
      <c r="I798" s="30"/>
    </row>
    <row r="799" spans="4:9">
      <c r="D799" s="47"/>
      <c r="E799" s="143"/>
      <c r="H799" s="2"/>
      <c r="I799" s="30"/>
    </row>
    <row r="800" spans="4:9">
      <c r="D800" s="47"/>
      <c r="E800" s="143"/>
      <c r="H800" s="2"/>
      <c r="I800" s="30"/>
    </row>
    <row r="801" spans="4:9">
      <c r="D801" s="47"/>
      <c r="E801" s="143"/>
      <c r="H801" s="2"/>
      <c r="I801" s="30"/>
    </row>
    <row r="802" spans="4:9">
      <c r="D802" s="47"/>
      <c r="E802" s="143"/>
      <c r="H802" s="2"/>
      <c r="I802" s="30"/>
    </row>
    <row r="803" spans="4:9">
      <c r="D803" s="47"/>
      <c r="E803" s="143"/>
      <c r="H803" s="2"/>
      <c r="I803" s="30"/>
    </row>
    <row r="804" spans="4:9">
      <c r="D804" s="47"/>
      <c r="E804" s="143"/>
      <c r="H804" s="2"/>
      <c r="I804" s="30"/>
    </row>
    <row r="805" spans="4:9">
      <c r="D805" s="47"/>
      <c r="E805" s="143"/>
      <c r="H805" s="2"/>
      <c r="I805" s="30"/>
    </row>
    <row r="806" spans="4:9">
      <c r="D806" s="47"/>
      <c r="E806" s="143"/>
      <c r="H806" s="2"/>
      <c r="I806" s="30"/>
    </row>
    <row r="807" spans="4:9">
      <c r="D807" s="47"/>
      <c r="E807" s="143"/>
      <c r="H807" s="2"/>
      <c r="I807" s="30"/>
    </row>
    <row r="808" spans="4:9">
      <c r="D808" s="47"/>
      <c r="E808" s="143"/>
      <c r="H808" s="2"/>
      <c r="I808" s="30"/>
    </row>
    <row r="809" spans="4:9">
      <c r="D809" s="47"/>
      <c r="E809" s="143"/>
      <c r="H809" s="2"/>
      <c r="I809" s="30"/>
    </row>
    <row r="810" spans="4:9">
      <c r="D810" s="47"/>
      <c r="E810" s="143"/>
      <c r="H810" s="2"/>
      <c r="I810" s="30"/>
    </row>
    <row r="811" spans="4:9">
      <c r="D811" s="47"/>
      <c r="E811" s="143"/>
      <c r="H811" s="2"/>
      <c r="I811" s="30"/>
    </row>
    <row r="812" spans="4:9">
      <c r="D812" s="47"/>
      <c r="E812" s="143"/>
      <c r="H812" s="2"/>
      <c r="I812" s="30"/>
    </row>
    <row r="813" spans="4:9">
      <c r="D813" s="47"/>
      <c r="E813" s="143"/>
      <c r="H813" s="2"/>
      <c r="I813" s="30"/>
    </row>
    <row r="814" spans="4:9">
      <c r="D814" s="47"/>
      <c r="E814" s="143"/>
      <c r="H814" s="2"/>
      <c r="I814" s="30"/>
    </row>
    <row r="815" spans="4:9">
      <c r="D815" s="47"/>
      <c r="E815" s="143"/>
      <c r="H815" s="2"/>
      <c r="I815" s="30"/>
    </row>
    <row r="816" spans="4:9">
      <c r="D816" s="47"/>
      <c r="E816" s="143"/>
      <c r="H816" s="2"/>
      <c r="I816" s="30"/>
    </row>
    <row r="817" spans="4:9">
      <c r="D817" s="47"/>
      <c r="E817" s="143"/>
      <c r="H817" s="2"/>
      <c r="I817" s="30"/>
    </row>
    <row r="818" spans="4:9">
      <c r="D818" s="47"/>
      <c r="E818" s="143"/>
      <c r="H818" s="2"/>
      <c r="I818" s="30"/>
    </row>
    <row r="819" spans="4:9">
      <c r="D819" s="47"/>
      <c r="E819" s="143"/>
      <c r="H819" s="2"/>
      <c r="I819" s="30"/>
    </row>
    <row r="820" spans="4:9">
      <c r="D820" s="47"/>
      <c r="E820" s="143"/>
      <c r="H820" s="2"/>
      <c r="I820" s="30"/>
    </row>
    <row r="821" spans="4:9">
      <c r="D821" s="47"/>
      <c r="E821" s="143"/>
      <c r="H821" s="2"/>
      <c r="I821" s="30"/>
    </row>
    <row r="822" spans="4:9">
      <c r="D822" s="47"/>
      <c r="E822" s="143"/>
      <c r="H822" s="2"/>
      <c r="I822" s="30"/>
    </row>
    <row r="823" spans="4:9">
      <c r="D823" s="47"/>
      <c r="E823" s="143"/>
      <c r="H823" s="2"/>
      <c r="I823" s="30"/>
    </row>
    <row r="824" spans="4:9">
      <c r="D824" s="47"/>
      <c r="E824" s="143"/>
      <c r="H824" s="2"/>
      <c r="I824" s="30"/>
    </row>
    <row r="825" spans="4:9">
      <c r="D825" s="47"/>
      <c r="E825" s="143"/>
      <c r="H825" s="2"/>
      <c r="I825" s="30"/>
    </row>
    <row r="826" spans="4:9">
      <c r="D826" s="47"/>
      <c r="E826" s="143"/>
      <c r="H826" s="2"/>
      <c r="I826" s="30"/>
    </row>
    <row r="827" spans="4:9">
      <c r="D827" s="47"/>
      <c r="E827" s="143"/>
      <c r="H827" s="2"/>
      <c r="I827" s="30"/>
    </row>
    <row r="828" spans="4:9">
      <c r="D828" s="47"/>
      <c r="E828" s="143"/>
      <c r="H828" s="2"/>
      <c r="I828" s="30"/>
    </row>
    <row r="829" spans="4:9">
      <c r="D829" s="47"/>
      <c r="E829" s="143"/>
      <c r="H829" s="2"/>
      <c r="I829" s="30"/>
    </row>
    <row r="830" spans="4:9">
      <c r="D830" s="47"/>
      <c r="E830" s="143"/>
      <c r="H830" s="2"/>
      <c r="I830" s="30"/>
    </row>
    <row r="831" spans="4:9">
      <c r="D831" s="47"/>
      <c r="E831" s="143"/>
      <c r="H831" s="2"/>
      <c r="I831" s="30"/>
    </row>
    <row r="832" spans="4:9">
      <c r="D832" s="47"/>
      <c r="E832" s="143"/>
      <c r="H832" s="2"/>
      <c r="I832" s="30"/>
    </row>
    <row r="833" spans="4:9">
      <c r="D833" s="47"/>
      <c r="E833" s="143"/>
      <c r="H833" s="2"/>
      <c r="I833" s="30"/>
    </row>
    <row r="834" spans="4:9">
      <c r="D834" s="47"/>
      <c r="E834" s="143"/>
      <c r="H834" s="2"/>
      <c r="I834" s="30"/>
    </row>
    <row r="835" spans="4:9">
      <c r="D835" s="47"/>
      <c r="E835" s="143"/>
      <c r="H835" s="2"/>
      <c r="I835" s="30"/>
    </row>
    <row r="836" spans="4:9">
      <c r="D836" s="47"/>
      <c r="E836" s="143"/>
      <c r="H836" s="2"/>
      <c r="I836" s="30"/>
    </row>
    <row r="837" spans="4:9">
      <c r="D837" s="47"/>
      <c r="E837" s="143"/>
      <c r="H837" s="2"/>
      <c r="I837" s="30"/>
    </row>
    <row r="838" spans="4:9">
      <c r="D838" s="47"/>
      <c r="E838" s="143"/>
      <c r="H838" s="2"/>
      <c r="I838" s="30"/>
    </row>
    <row r="839" spans="4:9">
      <c r="D839" s="47"/>
      <c r="E839" s="143"/>
      <c r="H839" s="2"/>
      <c r="I839" s="30"/>
    </row>
    <row r="840" spans="4:9">
      <c r="D840" s="47"/>
      <c r="E840" s="143"/>
      <c r="H840" s="2"/>
      <c r="I840" s="30"/>
    </row>
    <row r="841" spans="4:9">
      <c r="D841" s="47"/>
      <c r="E841" s="143"/>
      <c r="H841" s="2"/>
      <c r="I841" s="30"/>
    </row>
    <row r="842" spans="4:9">
      <c r="D842" s="47"/>
      <c r="E842" s="143"/>
      <c r="H842" s="2"/>
      <c r="I842" s="30"/>
    </row>
    <row r="843" spans="4:9">
      <c r="D843" s="47"/>
      <c r="E843" s="143"/>
      <c r="H843" s="2"/>
      <c r="I843" s="30"/>
    </row>
    <row r="844" spans="4:9">
      <c r="D844" s="47"/>
      <c r="E844" s="143"/>
      <c r="H844" s="2"/>
      <c r="I844" s="30"/>
    </row>
    <row r="845" spans="4:9">
      <c r="D845" s="47"/>
      <c r="E845" s="143"/>
      <c r="H845" s="2"/>
      <c r="I845" s="30"/>
    </row>
    <row r="846" spans="4:9">
      <c r="D846" s="47"/>
      <c r="E846" s="143"/>
      <c r="H846" s="2"/>
      <c r="I846" s="30"/>
    </row>
    <row r="847" spans="4:9">
      <c r="D847" s="47"/>
      <c r="E847" s="143"/>
      <c r="H847" s="2"/>
      <c r="I847" s="30"/>
    </row>
    <row r="848" spans="4:9">
      <c r="D848" s="47"/>
      <c r="E848" s="143"/>
      <c r="H848" s="2"/>
      <c r="I848" s="30"/>
    </row>
    <row r="849" spans="4:9">
      <c r="D849" s="47"/>
      <c r="E849" s="143"/>
      <c r="H849" s="2"/>
      <c r="I849" s="30"/>
    </row>
    <row r="850" spans="4:9">
      <c r="D850" s="47"/>
      <c r="E850" s="143"/>
      <c r="H850" s="2"/>
      <c r="I850" s="30"/>
    </row>
    <row r="851" spans="4:9">
      <c r="D851" s="47"/>
      <c r="E851" s="143"/>
      <c r="H851" s="2"/>
      <c r="I851" s="30"/>
    </row>
    <row r="852" spans="4:9">
      <c r="D852" s="47"/>
      <c r="E852" s="143"/>
      <c r="H852" s="2"/>
      <c r="I852" s="30"/>
    </row>
    <row r="853" spans="4:9">
      <c r="D853" s="47"/>
      <c r="E853" s="143"/>
      <c r="H853" s="2"/>
      <c r="I853" s="30"/>
    </row>
    <row r="854" spans="4:9">
      <c r="D854" s="47"/>
      <c r="E854" s="143"/>
      <c r="H854" s="2"/>
      <c r="I854" s="30"/>
    </row>
    <row r="855" spans="4:9">
      <c r="D855" s="47"/>
      <c r="E855" s="143"/>
      <c r="H855" s="2"/>
      <c r="I855" s="30"/>
    </row>
    <row r="856" spans="4:9">
      <c r="D856" s="47"/>
      <c r="E856" s="143"/>
      <c r="H856" s="2"/>
      <c r="I856" s="30"/>
    </row>
    <row r="857" spans="4:9">
      <c r="D857" s="47"/>
      <c r="E857" s="143"/>
      <c r="H857" s="2"/>
      <c r="I857" s="30"/>
    </row>
    <row r="858" spans="4:9">
      <c r="D858" s="47"/>
      <c r="E858" s="143"/>
      <c r="H858" s="2"/>
      <c r="I858" s="30"/>
    </row>
    <row r="859" spans="4:9">
      <c r="D859" s="47"/>
      <c r="E859" s="143"/>
      <c r="H859" s="2"/>
      <c r="I859" s="30"/>
    </row>
    <row r="860" spans="4:9">
      <c r="D860" s="47"/>
      <c r="E860" s="143"/>
      <c r="H860" s="2"/>
      <c r="I860" s="30"/>
    </row>
    <row r="861" spans="4:9">
      <c r="D861" s="47"/>
      <c r="E861" s="143"/>
      <c r="H861" s="2"/>
      <c r="I861" s="30"/>
    </row>
    <row r="862" spans="4:9">
      <c r="D862" s="47"/>
      <c r="E862" s="143"/>
      <c r="H862" s="2"/>
      <c r="I862" s="30"/>
    </row>
    <row r="863" spans="4:9">
      <c r="D863" s="47"/>
      <c r="E863" s="143"/>
      <c r="H863" s="2"/>
      <c r="I863" s="30"/>
    </row>
    <row r="864" spans="4:9">
      <c r="D864" s="47"/>
      <c r="E864" s="143"/>
      <c r="H864" s="2"/>
      <c r="I864" s="30"/>
    </row>
    <row r="865" spans="4:9">
      <c r="D865" s="47"/>
      <c r="E865" s="143"/>
      <c r="H865" s="2"/>
      <c r="I865" s="30"/>
    </row>
    <row r="866" spans="4:9">
      <c r="D866" s="47"/>
      <c r="E866" s="143"/>
      <c r="H866" s="2"/>
      <c r="I866" s="30"/>
    </row>
    <row r="867" spans="4:9">
      <c r="D867" s="47"/>
      <c r="E867" s="143"/>
      <c r="H867" s="2"/>
      <c r="I867" s="30"/>
    </row>
    <row r="868" spans="4:9">
      <c r="D868" s="47"/>
      <c r="E868" s="143"/>
      <c r="H868" s="2"/>
      <c r="I868" s="30"/>
    </row>
    <row r="869" spans="4:9">
      <c r="D869" s="47"/>
      <c r="E869" s="143"/>
      <c r="H869" s="2"/>
      <c r="I869" s="30"/>
    </row>
    <row r="870" spans="4:9">
      <c r="D870" s="47"/>
      <c r="E870" s="143"/>
      <c r="H870" s="2"/>
      <c r="I870" s="30"/>
    </row>
    <row r="871" spans="4:9">
      <c r="D871" s="47"/>
      <c r="E871" s="143"/>
      <c r="H871" s="2"/>
      <c r="I871" s="30"/>
    </row>
    <row r="872" spans="4:9">
      <c r="D872" s="47"/>
      <c r="E872" s="143"/>
      <c r="H872" s="2"/>
      <c r="I872" s="30"/>
    </row>
    <row r="873" spans="4:9">
      <c r="D873" s="47"/>
      <c r="E873" s="143"/>
      <c r="H873" s="2"/>
      <c r="I873" s="30"/>
    </row>
    <row r="874" spans="4:9">
      <c r="D874" s="47"/>
      <c r="E874" s="143"/>
      <c r="H874" s="2"/>
      <c r="I874" s="30"/>
    </row>
    <row r="875" spans="4:9">
      <c r="D875" s="47"/>
      <c r="E875" s="143"/>
      <c r="H875" s="2"/>
      <c r="I875" s="30"/>
    </row>
    <row r="876" spans="4:9">
      <c r="D876" s="47"/>
      <c r="E876" s="143"/>
      <c r="H876" s="2"/>
      <c r="I876" s="30"/>
    </row>
    <row r="877" spans="4:9">
      <c r="D877" s="47"/>
      <c r="E877" s="143"/>
      <c r="H877" s="2"/>
      <c r="I877" s="30"/>
    </row>
    <row r="878" spans="4:9">
      <c r="D878" s="47"/>
      <c r="E878" s="143"/>
      <c r="H878" s="2"/>
      <c r="I878" s="30"/>
    </row>
    <row r="879" spans="4:9">
      <c r="D879" s="47"/>
      <c r="E879" s="143"/>
      <c r="H879" s="2"/>
      <c r="I879" s="30"/>
    </row>
    <row r="880" spans="4:9">
      <c r="D880" s="47"/>
      <c r="E880" s="143"/>
      <c r="H880" s="2"/>
      <c r="I880" s="30"/>
    </row>
    <row r="881" spans="4:9">
      <c r="D881" s="47"/>
      <c r="E881" s="143"/>
      <c r="H881" s="2"/>
      <c r="I881" s="30"/>
    </row>
    <row r="882" spans="4:9">
      <c r="D882" s="47"/>
      <c r="E882" s="143"/>
      <c r="H882" s="2"/>
      <c r="I882" s="30"/>
    </row>
    <row r="883" spans="4:9">
      <c r="D883" s="47"/>
      <c r="E883" s="143"/>
      <c r="H883" s="2"/>
      <c r="I883" s="30"/>
    </row>
    <row r="884" spans="4:9">
      <c r="D884" s="47"/>
      <c r="E884" s="143"/>
      <c r="H884" s="2"/>
      <c r="I884" s="30"/>
    </row>
    <row r="885" spans="4:9">
      <c r="D885" s="47"/>
      <c r="E885" s="143"/>
      <c r="H885" s="2"/>
      <c r="I885" s="30"/>
    </row>
    <row r="886" spans="4:9">
      <c r="D886" s="47"/>
      <c r="E886" s="143"/>
      <c r="H886" s="2"/>
      <c r="I886" s="30"/>
    </row>
    <row r="887" spans="4:9">
      <c r="D887" s="47"/>
      <c r="E887" s="143"/>
      <c r="H887" s="2"/>
      <c r="I887" s="30"/>
    </row>
    <row r="888" spans="4:9">
      <c r="D888" s="47"/>
      <c r="E888" s="143"/>
      <c r="H888" s="2"/>
      <c r="I888" s="30"/>
    </row>
    <row r="889" spans="4:9">
      <c r="D889" s="47"/>
      <c r="E889" s="143"/>
      <c r="H889" s="2"/>
      <c r="I889" s="30"/>
    </row>
    <row r="890" spans="4:9">
      <c r="D890" s="47"/>
      <c r="E890" s="143"/>
      <c r="H890" s="2"/>
      <c r="I890" s="30"/>
    </row>
    <row r="891" spans="4:9">
      <c r="D891" s="47"/>
      <c r="E891" s="143"/>
      <c r="H891" s="2"/>
      <c r="I891" s="30"/>
    </row>
    <row r="892" spans="4:9">
      <c r="D892" s="47"/>
      <c r="E892" s="143"/>
      <c r="H892" s="2"/>
      <c r="I892" s="30"/>
    </row>
    <row r="893" spans="4:9">
      <c r="D893" s="47"/>
      <c r="E893" s="143"/>
      <c r="H893" s="2"/>
      <c r="I893" s="30"/>
    </row>
    <row r="894" spans="4:9">
      <c r="D894" s="47"/>
      <c r="E894" s="143"/>
      <c r="H894" s="2"/>
      <c r="I894" s="30"/>
    </row>
    <row r="895" spans="4:9">
      <c r="D895" s="47"/>
      <c r="E895" s="143"/>
      <c r="H895" s="2"/>
      <c r="I895" s="30"/>
    </row>
    <row r="896" spans="4:9">
      <c r="D896" s="47"/>
      <c r="E896" s="143"/>
      <c r="H896" s="2"/>
      <c r="I896" s="30"/>
    </row>
    <row r="897" spans="4:9">
      <c r="D897" s="47"/>
      <c r="E897" s="143"/>
      <c r="H897" s="2"/>
      <c r="I897" s="30"/>
    </row>
    <row r="898" spans="4:9">
      <c r="D898" s="47"/>
      <c r="E898" s="143"/>
      <c r="H898" s="2"/>
      <c r="I898" s="30"/>
    </row>
    <row r="899" spans="4:9">
      <c r="D899" s="47"/>
      <c r="E899" s="143"/>
      <c r="H899" s="2"/>
      <c r="I899" s="30"/>
    </row>
    <row r="900" spans="4:9">
      <c r="D900" s="47"/>
      <c r="E900" s="143"/>
      <c r="H900" s="2"/>
      <c r="I900" s="30"/>
    </row>
    <row r="901" spans="4:9">
      <c r="D901" s="47"/>
      <c r="E901" s="143"/>
      <c r="H901" s="2"/>
      <c r="I901" s="30"/>
    </row>
    <row r="902" spans="4:9">
      <c r="D902" s="47"/>
      <c r="E902" s="143"/>
      <c r="H902" s="2"/>
      <c r="I902" s="30"/>
    </row>
    <row r="903" spans="4:9">
      <c r="D903" s="47"/>
      <c r="E903" s="143"/>
      <c r="H903" s="2"/>
      <c r="I903" s="30"/>
    </row>
    <row r="904" spans="4:9">
      <c r="D904" s="47"/>
      <c r="E904" s="143"/>
      <c r="H904" s="2"/>
      <c r="I904" s="30"/>
    </row>
    <row r="905" spans="4:9">
      <c r="D905" s="47"/>
      <c r="E905" s="143"/>
      <c r="H905" s="2"/>
      <c r="I905" s="30"/>
    </row>
    <row r="906" spans="4:9">
      <c r="D906" s="47"/>
      <c r="E906" s="143"/>
      <c r="H906" s="2"/>
      <c r="I906" s="30"/>
    </row>
    <row r="907" spans="4:9">
      <c r="D907" s="47"/>
      <c r="E907" s="143"/>
      <c r="H907" s="2"/>
      <c r="I907" s="30"/>
    </row>
    <row r="908" spans="4:9">
      <c r="D908" s="47"/>
      <c r="E908" s="143"/>
      <c r="H908" s="2"/>
      <c r="I908" s="30"/>
    </row>
    <row r="909" spans="4:9">
      <c r="D909" s="47"/>
      <c r="E909" s="143"/>
      <c r="H909" s="2"/>
      <c r="I909" s="30"/>
    </row>
    <row r="910" spans="4:9">
      <c r="D910" s="47"/>
      <c r="E910" s="143"/>
      <c r="H910" s="2"/>
      <c r="I910" s="30"/>
    </row>
    <row r="911" spans="4:9">
      <c r="D911" s="47"/>
      <c r="E911" s="143"/>
      <c r="H911" s="2"/>
      <c r="I911" s="30"/>
    </row>
    <row r="912" spans="4:9">
      <c r="D912" s="47"/>
      <c r="E912" s="143"/>
      <c r="H912" s="2"/>
      <c r="I912" s="30"/>
    </row>
    <row r="913" spans="4:9">
      <c r="D913" s="47"/>
      <c r="E913" s="143"/>
      <c r="H913" s="2"/>
      <c r="I913" s="30"/>
    </row>
    <row r="914" spans="4:9">
      <c r="D914" s="47"/>
      <c r="E914" s="143"/>
      <c r="H914" s="2"/>
      <c r="I914" s="30"/>
    </row>
    <row r="915" spans="4:9">
      <c r="D915" s="47"/>
      <c r="E915" s="143"/>
      <c r="H915" s="2"/>
      <c r="I915" s="30"/>
    </row>
    <row r="916" spans="4:9">
      <c r="D916" s="47"/>
      <c r="E916" s="143"/>
      <c r="H916" s="2"/>
      <c r="I916" s="30"/>
    </row>
    <row r="917" spans="4:9">
      <c r="D917" s="47"/>
      <c r="E917" s="143"/>
      <c r="H917" s="2"/>
      <c r="I917" s="30"/>
    </row>
    <row r="918" spans="4:9">
      <c r="D918" s="47"/>
      <c r="E918" s="143"/>
      <c r="H918" s="2"/>
      <c r="I918" s="30"/>
    </row>
    <row r="919" spans="4:9">
      <c r="D919" s="47"/>
      <c r="E919" s="143"/>
      <c r="H919" s="2"/>
      <c r="I919" s="30"/>
    </row>
    <row r="920" spans="4:9">
      <c r="D920" s="47"/>
      <c r="E920" s="143"/>
      <c r="H920" s="2"/>
      <c r="I920" s="30"/>
    </row>
    <row r="921" spans="4:9">
      <c r="D921" s="47"/>
      <c r="E921" s="143"/>
      <c r="H921" s="2"/>
      <c r="I921" s="30"/>
    </row>
    <row r="922" spans="4:9">
      <c r="D922" s="47"/>
      <c r="E922" s="143"/>
      <c r="H922" s="2"/>
      <c r="I922" s="30"/>
    </row>
    <row r="923" spans="4:9">
      <c r="D923" s="47"/>
      <c r="E923" s="143"/>
      <c r="H923" s="2"/>
      <c r="I923" s="30"/>
    </row>
    <row r="924" spans="4:9">
      <c r="D924" s="47"/>
      <c r="E924" s="143"/>
      <c r="H924" s="2"/>
      <c r="I924" s="30"/>
    </row>
    <row r="925" spans="4:9">
      <c r="D925" s="47"/>
      <c r="E925" s="143"/>
      <c r="H925" s="2"/>
      <c r="I925" s="30"/>
    </row>
    <row r="926" spans="4:9">
      <c r="D926" s="47"/>
      <c r="E926" s="143"/>
      <c r="H926" s="2"/>
      <c r="I926" s="30"/>
    </row>
    <row r="927" spans="4:9">
      <c r="D927" s="47"/>
      <c r="E927" s="143"/>
      <c r="H927" s="2"/>
      <c r="I927" s="30"/>
    </row>
    <row r="928" spans="4:9">
      <c r="D928" s="47"/>
      <c r="E928" s="143"/>
      <c r="H928" s="2"/>
      <c r="I928" s="30"/>
    </row>
    <row r="929" spans="4:9">
      <c r="D929" s="47"/>
      <c r="E929" s="143"/>
      <c r="H929" s="2"/>
      <c r="I929" s="30"/>
    </row>
    <row r="930" spans="4:9">
      <c r="D930" s="47"/>
      <c r="E930" s="143"/>
      <c r="H930" s="2"/>
      <c r="I930" s="30"/>
    </row>
    <row r="931" spans="4:9">
      <c r="D931" s="47"/>
      <c r="E931" s="143"/>
      <c r="H931" s="2"/>
      <c r="I931" s="30"/>
    </row>
    <row r="932" spans="4:9">
      <c r="D932" s="47"/>
      <c r="E932" s="143"/>
      <c r="H932" s="2"/>
      <c r="I932" s="30"/>
    </row>
    <row r="933" spans="4:9">
      <c r="D933" s="47"/>
      <c r="E933" s="143"/>
      <c r="H933" s="2"/>
      <c r="I933" s="30"/>
    </row>
    <row r="934" spans="4:9">
      <c r="D934" s="47"/>
      <c r="E934" s="143"/>
      <c r="H934" s="2"/>
      <c r="I934" s="30"/>
    </row>
    <row r="935" spans="4:9">
      <c r="D935" s="47"/>
      <c r="E935" s="143"/>
      <c r="H935" s="2"/>
      <c r="I935" s="30"/>
    </row>
    <row r="936" spans="4:9">
      <c r="D936" s="47"/>
      <c r="E936" s="143"/>
      <c r="H936" s="2"/>
      <c r="I936" s="30"/>
    </row>
    <row r="937" spans="4:9">
      <c r="D937" s="47"/>
      <c r="E937" s="143"/>
      <c r="H937" s="2"/>
      <c r="I937" s="30"/>
    </row>
    <row r="938" spans="4:9">
      <c r="D938" s="47"/>
      <c r="E938" s="143"/>
      <c r="H938" s="2"/>
      <c r="I938" s="30"/>
    </row>
    <row r="939" spans="4:9">
      <c r="D939" s="47"/>
      <c r="E939" s="143"/>
      <c r="H939" s="2"/>
      <c r="I939" s="30"/>
    </row>
    <row r="940" spans="4:9">
      <c r="D940" s="47"/>
      <c r="E940" s="143"/>
      <c r="H940" s="2"/>
      <c r="I940" s="30"/>
    </row>
    <row r="941" spans="4:9">
      <c r="D941" s="47"/>
      <c r="E941" s="143"/>
      <c r="H941" s="2"/>
      <c r="I941" s="30"/>
    </row>
    <row r="942" spans="4:9">
      <c r="D942" s="47"/>
      <c r="E942" s="143"/>
      <c r="H942" s="2"/>
      <c r="I942" s="30"/>
    </row>
    <row r="943" spans="4:9">
      <c r="D943" s="47"/>
      <c r="E943" s="143"/>
      <c r="H943" s="2"/>
      <c r="I943" s="30"/>
    </row>
    <row r="944" spans="4:9">
      <c r="D944" s="47"/>
      <c r="E944" s="143"/>
      <c r="H944" s="2"/>
      <c r="I944" s="30"/>
    </row>
    <row r="945" spans="4:9">
      <c r="D945" s="47"/>
      <c r="E945" s="143"/>
      <c r="H945" s="2"/>
      <c r="I945" s="30"/>
    </row>
    <row r="946" spans="4:9">
      <c r="D946" s="47"/>
      <c r="E946" s="143"/>
      <c r="H946" s="2"/>
      <c r="I946" s="30"/>
    </row>
    <row r="947" spans="4:9">
      <c r="D947" s="47"/>
      <c r="E947" s="143"/>
      <c r="H947" s="2"/>
      <c r="I947" s="30"/>
    </row>
    <row r="948" spans="4:9">
      <c r="D948" s="47"/>
      <c r="E948" s="143"/>
      <c r="H948" s="2"/>
      <c r="I948" s="30"/>
    </row>
    <row r="949" spans="4:9">
      <c r="D949" s="47"/>
      <c r="E949" s="143"/>
      <c r="H949" s="2"/>
      <c r="I949" s="30"/>
    </row>
    <row r="950" spans="4:9">
      <c r="D950" s="47"/>
      <c r="E950" s="143"/>
      <c r="H950" s="2"/>
      <c r="I950" s="30"/>
    </row>
    <row r="951" spans="4:9">
      <c r="D951" s="47"/>
      <c r="E951" s="143"/>
      <c r="H951" s="2"/>
      <c r="I951" s="30"/>
    </row>
    <row r="952" spans="4:9">
      <c r="D952" s="47"/>
      <c r="E952" s="143"/>
      <c r="H952" s="2"/>
      <c r="I952" s="30"/>
    </row>
    <row r="953" spans="4:9">
      <c r="D953" s="47"/>
      <c r="E953" s="143"/>
      <c r="H953" s="2"/>
      <c r="I953" s="30"/>
    </row>
    <row r="954" spans="4:9">
      <c r="D954" s="47"/>
      <c r="E954" s="143"/>
      <c r="H954" s="2"/>
      <c r="I954" s="30"/>
    </row>
    <row r="955" spans="4:9">
      <c r="D955" s="47"/>
      <c r="E955" s="143"/>
      <c r="H955" s="2"/>
      <c r="I955" s="30"/>
    </row>
    <row r="956" spans="4:9">
      <c r="D956" s="47"/>
      <c r="E956" s="143"/>
      <c r="H956" s="2"/>
      <c r="I956" s="30"/>
    </row>
    <row r="957" spans="4:9">
      <c r="D957" s="47"/>
      <c r="E957" s="143"/>
      <c r="H957" s="2"/>
      <c r="I957" s="30"/>
    </row>
    <row r="958" spans="4:9">
      <c r="D958" s="47"/>
      <c r="E958" s="143"/>
      <c r="H958" s="2"/>
      <c r="I958" s="30"/>
    </row>
    <row r="959" spans="4:9">
      <c r="D959" s="47"/>
      <c r="E959" s="143"/>
      <c r="H959" s="2"/>
      <c r="I959" s="30"/>
    </row>
    <row r="960" spans="4:9">
      <c r="D960" s="47"/>
      <c r="E960" s="143"/>
      <c r="H960" s="2"/>
      <c r="I960" s="30"/>
    </row>
    <row r="961" spans="4:15">
      <c r="D961" s="47"/>
      <c r="E961" s="143"/>
      <c r="H961" s="2"/>
      <c r="I961" s="30"/>
    </row>
    <row r="962" spans="4:15">
      <c r="D962" s="47"/>
      <c r="E962" s="143"/>
      <c r="H962" s="2"/>
      <c r="I962" s="30"/>
    </row>
    <row r="963" spans="4:15">
      <c r="D963" s="47"/>
      <c r="E963" s="143"/>
      <c r="H963" s="2"/>
      <c r="I963" s="30"/>
    </row>
    <row r="964" spans="4:15">
      <c r="D964" s="47"/>
      <c r="E964" s="143"/>
      <c r="H964" s="2"/>
      <c r="I964" s="30"/>
    </row>
    <row r="965" spans="4:15">
      <c r="D965" s="47"/>
      <c r="E965" s="143"/>
      <c r="H965" s="2"/>
      <c r="I965" s="30"/>
    </row>
    <row r="966" spans="4:15">
      <c r="D966" s="47"/>
      <c r="E966" s="143"/>
      <c r="H966" s="2"/>
      <c r="I966" s="30"/>
    </row>
    <row r="967" spans="4:15">
      <c r="D967" s="47"/>
      <c r="E967" s="143"/>
      <c r="H967" s="2"/>
      <c r="I967" s="30"/>
    </row>
    <row r="968" spans="4:15">
      <c r="D968" s="47"/>
      <c r="E968" s="143"/>
      <c r="H968" s="2"/>
      <c r="I968" s="30"/>
    </row>
    <row r="969" spans="4:15">
      <c r="D969" s="47"/>
      <c r="E969" s="143"/>
      <c r="H969" s="2"/>
      <c r="I969" s="30"/>
    </row>
    <row r="970" spans="4:15">
      <c r="D970" s="47"/>
      <c r="E970" s="143"/>
      <c r="H970" s="2"/>
      <c r="I970" s="30"/>
    </row>
    <row r="971" spans="4:15">
      <c r="K971" s="143"/>
      <c r="N971" s="2"/>
      <c r="O971" s="30"/>
    </row>
    <row r="972" spans="4:15">
      <c r="K972" s="143"/>
      <c r="N972" s="2"/>
      <c r="O972" s="30"/>
    </row>
    <row r="973" spans="4:15">
      <c r="K973" s="143"/>
      <c r="N973" s="2"/>
      <c r="O973" s="30"/>
    </row>
    <row r="974" spans="4:15">
      <c r="K974" s="143"/>
      <c r="N974" s="2"/>
      <c r="O974" s="30"/>
    </row>
    <row r="975" spans="4:15">
      <c r="K975" s="143"/>
      <c r="N975" s="2"/>
      <c r="O975" s="30"/>
    </row>
    <row r="976" spans="4:15">
      <c r="K976" s="143"/>
      <c r="N976" s="2"/>
      <c r="O976" s="30"/>
    </row>
    <row r="977" spans="11:15">
      <c r="K977" s="143"/>
      <c r="N977" s="2"/>
      <c r="O977" s="30"/>
    </row>
    <row r="978" spans="11:15">
      <c r="K978" s="143"/>
      <c r="N978" s="2"/>
      <c r="O978" s="30"/>
    </row>
    <row r="979" spans="11:15">
      <c r="K979" s="143"/>
      <c r="N979" s="2"/>
      <c r="O979" s="30"/>
    </row>
    <row r="980" spans="11:15">
      <c r="K980" s="143"/>
      <c r="N980" s="2"/>
      <c r="O980" s="30"/>
    </row>
    <row r="981" spans="11:15">
      <c r="K981" s="143"/>
      <c r="N981" s="2"/>
      <c r="O981" s="30"/>
    </row>
    <row r="982" spans="11:15">
      <c r="K982" s="143"/>
      <c r="N982" s="2"/>
      <c r="O982" s="30"/>
    </row>
    <row r="983" spans="11:15">
      <c r="K983" s="143"/>
      <c r="N983" s="2"/>
      <c r="O983" s="30"/>
    </row>
    <row r="984" spans="11:15">
      <c r="K984" s="143"/>
      <c r="N984" s="2"/>
      <c r="O984" s="30"/>
    </row>
    <row r="985" spans="11:15">
      <c r="K985" s="143"/>
      <c r="N985" s="2"/>
      <c r="O985" s="30"/>
    </row>
    <row r="986" spans="11:15">
      <c r="K986" s="143"/>
      <c r="N986" s="2"/>
      <c r="O986" s="30"/>
    </row>
    <row r="987" spans="11:15">
      <c r="K987" s="143"/>
      <c r="N987" s="2"/>
      <c r="O987" s="30"/>
    </row>
    <row r="988" spans="11:15">
      <c r="K988" s="143"/>
      <c r="N988" s="2"/>
      <c r="O988" s="30"/>
    </row>
    <row r="989" spans="11:15">
      <c r="K989" s="143"/>
      <c r="N989" s="2"/>
      <c r="O989" s="30"/>
    </row>
    <row r="990" spans="11:15">
      <c r="K990" s="143"/>
      <c r="N990" s="2"/>
      <c r="O990" s="30"/>
    </row>
    <row r="991" spans="11:15">
      <c r="K991" s="143"/>
      <c r="N991" s="2"/>
      <c r="O991" s="30"/>
    </row>
    <row r="992" spans="11:15">
      <c r="K992" s="143"/>
      <c r="N992" s="2"/>
      <c r="O992" s="30"/>
    </row>
  </sheetData>
  <hyperlinks>
    <hyperlink ref="M11" r:id="rId1" xr:uid="{AE62D3F9-DD45-4C43-8801-14F2026BEFD9}"/>
    <hyperlink ref="M5" r:id="rId2" xr:uid="{80861324-5E8E-4100-80F3-C030E20A7D5A}"/>
    <hyperlink ref="M13" r:id="rId3" xr:uid="{C1FCA876-EA14-4C56-AA37-F5A5BA1AC8DF}"/>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FDEF4-0357-466A-A814-DC76E71CD0DF}">
  <dimension ref="A1:Q5"/>
  <sheetViews>
    <sheetView workbookViewId="0">
      <selection activeCell="A3" sqref="A3"/>
    </sheetView>
  </sheetViews>
  <sheetFormatPr defaultRowHeight="12.75"/>
  <cols>
    <col min="2" max="2" width="16.7109375" customWidth="1"/>
    <col min="3" max="3" width="14" customWidth="1"/>
    <col min="4" max="4" width="15.140625" customWidth="1"/>
    <col min="5" max="5" width="16.85546875" customWidth="1"/>
    <col min="6" max="6" width="48.7109375" customWidth="1"/>
    <col min="7" max="7" width="20.85546875" customWidth="1"/>
    <col min="8" max="8" width="13.28515625" customWidth="1"/>
    <col min="9" max="9" width="18.140625" customWidth="1"/>
    <col min="10" max="10" width="20.28515625" customWidth="1"/>
    <col min="11" max="11" width="13.28515625" customWidth="1"/>
  </cols>
  <sheetData>
    <row r="1" spans="1:17" ht="14.25">
      <c r="A1" s="59" t="s">
        <v>248</v>
      </c>
      <c r="B1" s="154" t="s">
        <v>11</v>
      </c>
      <c r="C1" s="155" t="s">
        <v>306</v>
      </c>
      <c r="D1" s="154" t="s">
        <v>250</v>
      </c>
      <c r="E1" s="155" t="s">
        <v>308</v>
      </c>
      <c r="F1" s="155" t="s">
        <v>309</v>
      </c>
      <c r="G1" s="154" t="s">
        <v>310</v>
      </c>
      <c r="H1" s="154" t="s">
        <v>312</v>
      </c>
      <c r="I1" s="154" t="s">
        <v>253</v>
      </c>
      <c r="J1" s="156" t="s">
        <v>313</v>
      </c>
      <c r="K1" s="157" t="s">
        <v>274</v>
      </c>
      <c r="L1" s="35"/>
      <c r="M1" s="35"/>
      <c r="N1" s="35"/>
      <c r="O1" s="35"/>
      <c r="P1" s="35"/>
      <c r="Q1" s="35"/>
    </row>
    <row r="2" spans="1:17">
      <c r="A2" t="s">
        <v>1689</v>
      </c>
    </row>
    <row r="5" spans="1:17">
      <c r="D5" t="s">
        <v>1667</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FBA29-CDD6-44FF-8D03-7CA8B54869D7}">
  <dimension ref="A1:AD993"/>
  <sheetViews>
    <sheetView topLeftCell="M1" workbookViewId="0">
      <selection activeCell="X5" sqref="X5"/>
    </sheetView>
  </sheetViews>
  <sheetFormatPr defaultRowHeight="12.75"/>
  <cols>
    <col min="1" max="1" width="9.140625" style="181"/>
    <col min="2" max="2" width="15.140625" customWidth="1"/>
    <col min="3" max="3" width="23.42578125" style="47" customWidth="1"/>
    <col min="4" max="4" width="12.85546875" customWidth="1"/>
    <col min="5" max="5" width="30.42578125" customWidth="1"/>
    <col min="6" max="7" width="9.140625" style="53"/>
    <col min="12" max="12" width="35.85546875" customWidth="1"/>
    <col min="13" max="13" width="19.140625" customWidth="1"/>
    <col min="14" max="15" width="9.42578125" bestFit="1" customWidth="1"/>
    <col min="17" max="17" width="13.28515625" customWidth="1"/>
    <col min="19" max="19" width="9.42578125" bestFit="1" customWidth="1"/>
    <col min="20" max="20" width="14.7109375" customWidth="1"/>
    <col min="21" max="21" width="15.28515625" customWidth="1"/>
    <col min="22" max="22" width="18.5703125" customWidth="1"/>
    <col min="23" max="23" width="15.28515625" style="137" customWidth="1"/>
    <col min="24" max="24" width="38.7109375" customWidth="1"/>
  </cols>
  <sheetData>
    <row r="1" spans="1:30" ht="14.25">
      <c r="A1" s="184"/>
      <c r="B1" s="4"/>
      <c r="C1" s="5"/>
      <c r="D1" s="5"/>
      <c r="E1" s="4"/>
      <c r="F1" s="48"/>
      <c r="G1" s="48"/>
      <c r="H1" s="197"/>
      <c r="I1" s="198"/>
      <c r="J1" s="197"/>
      <c r="K1" s="197"/>
      <c r="L1" s="197"/>
      <c r="M1" s="197"/>
      <c r="N1" s="197"/>
      <c r="O1" s="197"/>
      <c r="P1" s="197"/>
      <c r="Q1" s="197"/>
      <c r="R1" s="197"/>
      <c r="S1" s="197"/>
      <c r="T1" s="197"/>
      <c r="U1" s="197"/>
      <c r="V1" s="197"/>
      <c r="W1" s="188"/>
      <c r="X1" s="209"/>
    </row>
    <row r="2" spans="1:30" ht="46.5">
      <c r="A2" s="193" t="s">
        <v>248</v>
      </c>
      <c r="B2" s="59" t="s">
        <v>249</v>
      </c>
      <c r="C2" s="195" t="s">
        <v>250</v>
      </c>
      <c r="D2" s="68" t="s">
        <v>251</v>
      </c>
      <c r="E2" s="70" t="s">
        <v>252</v>
      </c>
      <c r="F2" s="71" t="s">
        <v>254</v>
      </c>
      <c r="G2" s="71" t="s">
        <v>255</v>
      </c>
      <c r="H2" s="199" t="s">
        <v>259</v>
      </c>
      <c r="I2" s="199" t="s">
        <v>260</v>
      </c>
      <c r="J2" s="199" t="s">
        <v>261</v>
      </c>
      <c r="K2" s="199" t="s">
        <v>262</v>
      </c>
      <c r="L2" s="199" t="s">
        <v>263</v>
      </c>
      <c r="M2" s="199" t="s">
        <v>264</v>
      </c>
      <c r="N2" s="199" t="s">
        <v>265</v>
      </c>
      <c r="O2" s="199" t="s">
        <v>266</v>
      </c>
      <c r="P2" s="199" t="s">
        <v>1571</v>
      </c>
      <c r="Q2" s="199" t="s">
        <v>268</v>
      </c>
      <c r="R2" s="199" t="s">
        <v>1572</v>
      </c>
      <c r="S2" s="199" t="s">
        <v>270</v>
      </c>
      <c r="T2" s="199" t="s">
        <v>268</v>
      </c>
      <c r="U2" s="199" t="s">
        <v>272</v>
      </c>
      <c r="V2" s="199" t="s">
        <v>273</v>
      </c>
      <c r="W2" s="189" t="s">
        <v>253</v>
      </c>
      <c r="X2" s="210" t="s">
        <v>274</v>
      </c>
    </row>
    <row r="3" spans="1:30" s="181" customFormat="1" ht="53.25" customHeight="1">
      <c r="A3" s="185">
        <v>1</v>
      </c>
      <c r="B3" s="180" t="s">
        <v>1719</v>
      </c>
      <c r="C3" s="191" t="s">
        <v>1035</v>
      </c>
      <c r="D3" s="90" t="s">
        <v>1720</v>
      </c>
      <c r="E3" s="183" t="s">
        <v>1721</v>
      </c>
      <c r="F3" s="213">
        <v>2</v>
      </c>
      <c r="G3" s="213">
        <v>2</v>
      </c>
      <c r="H3" s="19" t="s">
        <v>318</v>
      </c>
      <c r="I3" s="19" t="s">
        <v>595</v>
      </c>
      <c r="J3" s="83" t="s">
        <v>1423</v>
      </c>
      <c r="K3" s="19" t="s">
        <v>595</v>
      </c>
      <c r="L3" s="204" t="s">
        <v>1557</v>
      </c>
      <c r="M3" s="205" t="s">
        <v>1722</v>
      </c>
      <c r="N3" s="206">
        <v>45426</v>
      </c>
      <c r="O3" s="207">
        <v>45426</v>
      </c>
      <c r="P3" s="136" t="s">
        <v>322</v>
      </c>
      <c r="Q3" s="204" t="s">
        <v>1557</v>
      </c>
      <c r="R3" s="136" t="s">
        <v>1723</v>
      </c>
      <c r="S3" s="206">
        <v>45427</v>
      </c>
      <c r="T3" s="204" t="s">
        <v>1557</v>
      </c>
      <c r="U3" s="204" t="s">
        <v>1557</v>
      </c>
      <c r="V3" s="204" t="s">
        <v>1557</v>
      </c>
      <c r="W3" s="83" t="s">
        <v>557</v>
      </c>
      <c r="X3" s="211"/>
    </row>
    <row r="4" spans="1:30" ht="24">
      <c r="A4" s="185">
        <v>2</v>
      </c>
      <c r="B4" s="97" t="s">
        <v>1719</v>
      </c>
      <c r="C4" s="45" t="s">
        <v>1724</v>
      </c>
      <c r="D4" s="62" t="s">
        <v>1725</v>
      </c>
      <c r="E4" s="45" t="s">
        <v>1726</v>
      </c>
      <c r="F4" s="125">
        <v>2</v>
      </c>
      <c r="G4" s="125">
        <v>2</v>
      </c>
      <c r="H4" s="19" t="s">
        <v>318</v>
      </c>
      <c r="I4" s="18" t="s">
        <v>1035</v>
      </c>
      <c r="J4" s="19" t="s">
        <v>1423</v>
      </c>
      <c r="K4" s="19" t="s">
        <v>595</v>
      </c>
      <c r="L4" s="19" t="s">
        <v>1591</v>
      </c>
      <c r="M4" s="19" t="s">
        <v>1591</v>
      </c>
      <c r="N4" s="19" t="s">
        <v>1591</v>
      </c>
      <c r="O4" s="19" t="s">
        <v>1591</v>
      </c>
      <c r="P4" s="19" t="s">
        <v>1591</v>
      </c>
      <c r="Q4" s="19" t="s">
        <v>1591</v>
      </c>
      <c r="R4" s="19" t="s">
        <v>1591</v>
      </c>
      <c r="S4" s="19" t="s">
        <v>1591</v>
      </c>
      <c r="T4" s="19" t="s">
        <v>1591</v>
      </c>
      <c r="U4" s="19" t="s">
        <v>1591</v>
      </c>
      <c r="V4" s="19" t="s">
        <v>1591</v>
      </c>
      <c r="W4" s="83" t="s">
        <v>557</v>
      </c>
      <c r="X4" s="211" t="s">
        <v>1727</v>
      </c>
    </row>
    <row r="5" spans="1:30" ht="24">
      <c r="A5" s="185">
        <v>3</v>
      </c>
      <c r="B5" s="97" t="s">
        <v>1719</v>
      </c>
      <c r="C5" s="45" t="s">
        <v>1728</v>
      </c>
      <c r="D5" s="12" t="s">
        <v>1729</v>
      </c>
      <c r="E5" s="18" t="s">
        <v>1730</v>
      </c>
      <c r="F5" s="125">
        <v>13</v>
      </c>
      <c r="G5" s="125">
        <v>13</v>
      </c>
      <c r="H5" s="19" t="s">
        <v>318</v>
      </c>
      <c r="I5" s="19" t="s">
        <v>1591</v>
      </c>
      <c r="J5" s="19" t="s">
        <v>1591</v>
      </c>
      <c r="K5" s="19" t="s">
        <v>1591</v>
      </c>
      <c r="L5" s="19" t="s">
        <v>1591</v>
      </c>
      <c r="M5" s="19" t="s">
        <v>1591</v>
      </c>
      <c r="N5" s="19" t="s">
        <v>1591</v>
      </c>
      <c r="O5" s="19" t="s">
        <v>1591</v>
      </c>
      <c r="P5" s="19" t="s">
        <v>1591</v>
      </c>
      <c r="Q5" s="19" t="s">
        <v>1591</v>
      </c>
      <c r="R5" s="19" t="s">
        <v>1591</v>
      </c>
      <c r="S5" s="19" t="s">
        <v>1591</v>
      </c>
      <c r="T5" s="19" t="s">
        <v>1591</v>
      </c>
      <c r="U5" s="19" t="s">
        <v>1591</v>
      </c>
      <c r="V5" s="19" t="s">
        <v>1591</v>
      </c>
      <c r="W5" s="83" t="s">
        <v>557</v>
      </c>
      <c r="X5" s="18" t="s">
        <v>1731</v>
      </c>
    </row>
    <row r="6" spans="1:30">
      <c r="A6" s="194"/>
      <c r="B6" s="104"/>
      <c r="C6" s="109"/>
      <c r="D6" s="109"/>
      <c r="E6" s="108"/>
      <c r="F6" s="214"/>
      <c r="G6" s="214"/>
      <c r="H6" s="107"/>
      <c r="I6" s="107"/>
      <c r="J6" s="107"/>
      <c r="K6" s="107"/>
      <c r="L6" s="107"/>
      <c r="M6" s="107"/>
      <c r="N6" s="107"/>
      <c r="O6" s="107"/>
      <c r="P6" s="107"/>
      <c r="Q6" s="107"/>
      <c r="R6" s="107"/>
      <c r="S6" s="107"/>
      <c r="T6" s="107"/>
      <c r="U6" s="107"/>
      <c r="V6" s="107"/>
      <c r="W6" s="208"/>
      <c r="X6" s="107"/>
    </row>
    <row r="7" spans="1:30">
      <c r="A7" s="185"/>
      <c r="B7" s="60"/>
      <c r="C7" s="12"/>
      <c r="D7" s="12"/>
      <c r="E7" s="18"/>
      <c r="F7" s="125"/>
      <c r="G7" s="125"/>
      <c r="H7" s="19"/>
      <c r="I7" s="19"/>
      <c r="J7" s="19"/>
      <c r="K7" s="19"/>
      <c r="L7" s="19"/>
      <c r="M7" s="19"/>
      <c r="N7" s="19"/>
      <c r="O7" s="19"/>
      <c r="P7" s="19"/>
      <c r="Q7" s="19"/>
      <c r="R7" s="19"/>
      <c r="S7" s="19"/>
      <c r="T7" s="19"/>
      <c r="U7" s="19"/>
      <c r="V7" s="19"/>
      <c r="W7" s="41"/>
      <c r="X7" s="19"/>
    </row>
    <row r="8" spans="1:30">
      <c r="A8" s="185"/>
      <c r="B8" s="60"/>
      <c r="C8" s="12"/>
      <c r="D8" s="12"/>
      <c r="E8" s="18"/>
      <c r="F8" s="125"/>
      <c r="G8" s="125"/>
      <c r="H8" s="19"/>
      <c r="I8" s="19"/>
      <c r="J8" s="19"/>
      <c r="K8" s="19"/>
      <c r="L8" s="19"/>
      <c r="M8" s="19"/>
      <c r="N8" s="19"/>
      <c r="O8" s="19"/>
      <c r="P8" s="19"/>
      <c r="Q8" s="19"/>
      <c r="R8" s="19"/>
      <c r="S8" s="19"/>
      <c r="T8" s="19"/>
      <c r="U8" s="19"/>
      <c r="V8" s="19"/>
      <c r="W8" s="41"/>
      <c r="X8" s="19"/>
    </row>
    <row r="9" spans="1:30">
      <c r="A9" s="221"/>
      <c r="B9" s="222"/>
      <c r="C9" s="220"/>
      <c r="D9" s="220"/>
      <c r="E9" s="223"/>
      <c r="F9" s="224"/>
      <c r="G9" s="224"/>
      <c r="H9" s="219"/>
      <c r="I9" s="219"/>
      <c r="J9" s="219"/>
      <c r="K9" s="219"/>
      <c r="L9" s="219"/>
      <c r="M9" s="219"/>
      <c r="N9" s="219"/>
      <c r="O9" s="219"/>
      <c r="P9" s="219"/>
      <c r="Q9" s="219"/>
      <c r="R9" s="219"/>
      <c r="S9" s="219"/>
      <c r="T9" s="219"/>
      <c r="U9" s="219"/>
      <c r="V9" s="219"/>
      <c r="W9" s="126"/>
      <c r="X9" s="219"/>
    </row>
    <row r="10" spans="1:30">
      <c r="B10" s="28"/>
      <c r="C10" s="196"/>
      <c r="D10" s="47"/>
      <c r="E10" s="28"/>
      <c r="F10" s="215"/>
      <c r="G10" s="215"/>
      <c r="H10" s="2"/>
      <c r="I10" s="35"/>
      <c r="K10" s="35"/>
      <c r="M10" s="35"/>
      <c r="N10" s="35"/>
      <c r="O10" s="35"/>
      <c r="P10" s="35"/>
    </row>
    <row r="11" spans="1:30">
      <c r="B11" s="28"/>
      <c r="C11" s="196"/>
      <c r="D11" s="47"/>
      <c r="E11" s="28"/>
      <c r="F11" s="215"/>
      <c r="G11" s="215"/>
      <c r="H11" s="2"/>
      <c r="I11" s="35"/>
      <c r="K11" s="35"/>
      <c r="M11" s="35"/>
      <c r="N11" s="35"/>
      <c r="O11" s="35"/>
      <c r="P11" s="35"/>
    </row>
    <row r="12" spans="1:30">
      <c r="B12" s="28"/>
      <c r="C12" s="196"/>
      <c r="D12" s="47"/>
      <c r="E12" s="28"/>
      <c r="F12" s="215"/>
      <c r="G12" s="215"/>
      <c r="H12" s="2"/>
      <c r="I12" s="35"/>
      <c r="K12" s="35"/>
      <c r="M12" s="35"/>
      <c r="N12" s="35"/>
      <c r="O12" s="35"/>
      <c r="P12" s="35"/>
    </row>
    <row r="13" spans="1:30">
      <c r="B13" s="28"/>
      <c r="C13" s="196"/>
      <c r="D13" s="47"/>
      <c r="E13" s="28"/>
      <c r="F13" s="215"/>
      <c r="G13" s="215"/>
      <c r="H13" s="2"/>
      <c r="I13" s="35"/>
      <c r="K13" s="35"/>
      <c r="M13" s="35"/>
      <c r="N13" s="35"/>
      <c r="O13" s="35"/>
      <c r="P13" s="35"/>
    </row>
    <row r="14" spans="1:30">
      <c r="B14" s="28"/>
      <c r="C14" s="196"/>
      <c r="D14" s="47"/>
      <c r="E14" s="28"/>
      <c r="F14" s="215"/>
      <c r="G14" s="215"/>
      <c r="H14" s="2"/>
      <c r="I14" s="35"/>
      <c r="K14" s="35"/>
      <c r="M14" s="35"/>
      <c r="N14" s="35"/>
      <c r="O14" s="35"/>
      <c r="P14" s="35"/>
      <c r="Y14" s="35"/>
      <c r="Z14" s="35"/>
      <c r="AA14" s="35"/>
      <c r="AB14" s="35"/>
      <c r="AC14" s="35"/>
      <c r="AD14" s="35"/>
    </row>
    <row r="15" spans="1:30">
      <c r="B15" s="28"/>
      <c r="C15" s="196"/>
      <c r="D15" s="47"/>
      <c r="E15" s="28"/>
      <c r="F15" s="215"/>
      <c r="G15" s="215"/>
      <c r="H15" s="2"/>
      <c r="I15" s="35"/>
      <c r="K15" s="35"/>
      <c r="M15" s="35"/>
      <c r="N15" s="35"/>
      <c r="O15" s="35"/>
      <c r="P15" s="35"/>
      <c r="Y15" s="35"/>
      <c r="Z15" s="35"/>
      <c r="AA15" s="35"/>
      <c r="AB15" s="35"/>
      <c r="AC15" s="35"/>
      <c r="AD15" s="35"/>
    </row>
    <row r="16" spans="1:30">
      <c r="B16" s="28"/>
      <c r="C16" s="196"/>
      <c r="D16" s="47"/>
      <c r="E16" s="28"/>
      <c r="F16" s="215"/>
      <c r="G16" s="215"/>
      <c r="H16" s="2"/>
      <c r="I16" s="35"/>
      <c r="K16" s="35"/>
      <c r="M16" s="35"/>
      <c r="N16" s="35"/>
      <c r="O16" s="35"/>
      <c r="P16" s="35"/>
      <c r="Y16" s="35"/>
      <c r="Z16" s="35"/>
      <c r="AA16" s="35"/>
      <c r="AB16" s="35"/>
      <c r="AC16" s="35"/>
      <c r="AD16" s="35"/>
    </row>
    <row r="17" spans="2:30">
      <c r="B17" s="28"/>
      <c r="C17" s="196"/>
      <c r="D17" s="47"/>
      <c r="E17" s="28"/>
      <c r="F17" s="215"/>
      <c r="G17" s="215"/>
      <c r="H17" s="2"/>
      <c r="I17" s="35"/>
      <c r="K17" s="35"/>
      <c r="M17" s="35"/>
      <c r="N17" s="35"/>
      <c r="O17" s="35"/>
      <c r="P17" s="35"/>
      <c r="Y17" s="35"/>
      <c r="Z17" s="35"/>
      <c r="AA17" s="35"/>
      <c r="AB17" s="35"/>
      <c r="AC17" s="35"/>
      <c r="AD17" s="35"/>
    </row>
    <row r="18" spans="2:30">
      <c r="B18" s="28"/>
      <c r="C18" s="196"/>
      <c r="D18" s="47"/>
      <c r="E18" s="28"/>
      <c r="F18" s="215"/>
      <c r="G18" s="215"/>
      <c r="H18" s="2"/>
      <c r="I18" s="35"/>
      <c r="K18" s="35"/>
      <c r="M18" s="35"/>
      <c r="N18" s="35"/>
      <c r="O18" s="35"/>
      <c r="P18" s="35"/>
    </row>
    <row r="19" spans="2:30">
      <c r="B19" s="28"/>
      <c r="C19" s="196"/>
      <c r="D19" s="47"/>
      <c r="E19" s="28"/>
      <c r="F19" s="215"/>
      <c r="G19" s="215"/>
      <c r="H19" s="2"/>
      <c r="I19" s="35"/>
      <c r="K19" s="35"/>
      <c r="M19" s="35"/>
      <c r="N19" s="35"/>
      <c r="O19" s="35"/>
      <c r="P19" s="35"/>
    </row>
    <row r="20" spans="2:30">
      <c r="B20" s="28"/>
      <c r="C20" s="196"/>
      <c r="D20" s="47"/>
      <c r="E20" s="28"/>
      <c r="F20" s="215"/>
      <c r="G20" s="215"/>
      <c r="H20" s="2"/>
      <c r="I20" s="35"/>
      <c r="K20" s="35"/>
      <c r="M20" s="35"/>
      <c r="N20" s="35"/>
      <c r="O20" s="35"/>
      <c r="P20" s="35"/>
    </row>
    <row r="21" spans="2:30">
      <c r="B21" s="28"/>
      <c r="C21" s="196"/>
      <c r="D21" s="47"/>
      <c r="E21" s="28"/>
      <c r="F21" s="215"/>
      <c r="G21" s="215"/>
      <c r="H21" s="2"/>
      <c r="I21" s="35"/>
      <c r="K21" s="35"/>
      <c r="M21" s="35"/>
      <c r="N21" s="35"/>
      <c r="O21" s="35"/>
      <c r="P21" s="35"/>
    </row>
    <row r="22" spans="2:30">
      <c r="B22" s="28"/>
      <c r="C22" s="196"/>
      <c r="D22" s="47"/>
      <c r="E22" s="28"/>
      <c r="F22" s="215"/>
      <c r="G22" s="215"/>
      <c r="H22" s="2"/>
      <c r="I22" s="35"/>
      <c r="K22" s="35"/>
      <c r="M22" s="35"/>
      <c r="N22" s="35"/>
      <c r="O22" s="35"/>
      <c r="P22" s="35"/>
    </row>
    <row r="23" spans="2:30">
      <c r="B23" s="28"/>
      <c r="C23" s="196"/>
      <c r="D23" s="47"/>
      <c r="E23" s="28"/>
      <c r="F23" s="215"/>
      <c r="G23" s="215"/>
      <c r="H23" s="2"/>
      <c r="I23" s="35"/>
      <c r="K23" s="35"/>
      <c r="M23" s="35"/>
      <c r="N23" s="35"/>
      <c r="O23" s="35"/>
      <c r="P23" s="35"/>
    </row>
    <row r="24" spans="2:30">
      <c r="B24" s="28"/>
      <c r="C24" s="196"/>
      <c r="D24" s="47"/>
      <c r="E24" s="28"/>
      <c r="F24" s="215"/>
      <c r="G24" s="215"/>
      <c r="H24" s="2"/>
      <c r="I24" s="35"/>
      <c r="K24" s="35"/>
      <c r="M24" s="35"/>
      <c r="N24" s="35"/>
      <c r="O24" s="35"/>
      <c r="P24" s="35"/>
    </row>
    <row r="25" spans="2:30">
      <c r="B25" s="28"/>
      <c r="C25" s="196"/>
      <c r="D25" s="47"/>
      <c r="E25" s="28"/>
      <c r="F25" s="215"/>
      <c r="G25" s="215"/>
      <c r="H25" s="2"/>
      <c r="I25" s="35"/>
      <c r="K25" s="35"/>
      <c r="M25" s="35"/>
      <c r="N25" s="35"/>
      <c r="O25" s="35"/>
      <c r="P25" s="35"/>
    </row>
    <row r="26" spans="2:30">
      <c r="B26" s="28"/>
      <c r="C26" s="196"/>
      <c r="D26" s="47"/>
      <c r="E26" s="28"/>
      <c r="F26" s="215"/>
      <c r="G26" s="215"/>
      <c r="H26" s="2"/>
      <c r="I26" s="35"/>
      <c r="K26" s="35"/>
      <c r="M26" s="35"/>
      <c r="N26" s="35"/>
      <c r="O26" s="35"/>
      <c r="P26" s="35"/>
    </row>
    <row r="27" spans="2:30">
      <c r="B27" s="28"/>
      <c r="C27" s="196"/>
      <c r="D27" s="47"/>
      <c r="E27" s="28"/>
      <c r="F27" s="215"/>
      <c r="G27" s="215"/>
      <c r="H27" s="2"/>
      <c r="I27" s="35"/>
      <c r="K27" s="35"/>
      <c r="M27" s="35"/>
      <c r="N27" s="35"/>
      <c r="O27" s="35"/>
      <c r="P27" s="35"/>
    </row>
    <row r="28" spans="2:30">
      <c r="B28" s="28"/>
      <c r="C28" s="196"/>
      <c r="D28" s="47"/>
      <c r="E28" s="28"/>
      <c r="F28" s="215"/>
      <c r="G28" s="215"/>
      <c r="H28" s="2"/>
      <c r="I28" s="35"/>
      <c r="K28" s="35"/>
      <c r="M28" s="35"/>
      <c r="N28" s="35"/>
      <c r="O28" s="35"/>
      <c r="P28" s="35"/>
    </row>
    <row r="29" spans="2:30">
      <c r="B29" s="28"/>
      <c r="C29" s="196"/>
      <c r="D29" s="47"/>
      <c r="E29" s="28"/>
      <c r="F29" s="215"/>
      <c r="G29" s="215"/>
      <c r="H29" s="2"/>
      <c r="I29" s="35"/>
      <c r="K29" s="35"/>
      <c r="M29" s="35"/>
      <c r="N29" s="35"/>
      <c r="O29" s="35"/>
      <c r="P29" s="35"/>
    </row>
    <row r="30" spans="2:30">
      <c r="B30" s="28"/>
      <c r="C30" s="196"/>
      <c r="D30" s="47"/>
      <c r="E30" s="28"/>
      <c r="F30" s="215"/>
      <c r="G30" s="215"/>
      <c r="H30" s="2"/>
      <c r="I30" s="35"/>
      <c r="K30" s="35"/>
      <c r="M30" s="35"/>
      <c r="N30" s="35"/>
      <c r="O30" s="35"/>
      <c r="P30" s="35"/>
    </row>
    <row r="31" spans="2:30">
      <c r="B31" s="28"/>
      <c r="C31" s="196"/>
      <c r="D31" s="47"/>
      <c r="E31" s="28"/>
      <c r="F31" s="215"/>
      <c r="G31" s="215"/>
      <c r="H31" s="2"/>
      <c r="I31" s="35"/>
      <c r="K31" s="35"/>
      <c r="M31" s="35"/>
      <c r="N31" s="35"/>
      <c r="O31" s="35"/>
      <c r="P31" s="35"/>
    </row>
    <row r="32" spans="2:30">
      <c r="B32" s="28"/>
      <c r="C32" s="196"/>
      <c r="D32" s="47"/>
      <c r="E32" s="28"/>
      <c r="F32" s="215"/>
      <c r="G32" s="215"/>
      <c r="H32" s="2"/>
      <c r="I32" s="35"/>
      <c r="K32" s="35"/>
      <c r="M32" s="35"/>
      <c r="N32" s="35"/>
      <c r="O32" s="35"/>
      <c r="P32" s="35"/>
    </row>
    <row r="33" spans="2:16">
      <c r="B33" s="28"/>
      <c r="C33" s="196"/>
      <c r="D33" s="47"/>
      <c r="E33" s="28"/>
      <c r="F33" s="215"/>
      <c r="G33" s="215"/>
      <c r="H33" s="2"/>
      <c r="I33" s="35"/>
      <c r="K33" s="35"/>
      <c r="M33" s="35"/>
      <c r="N33" s="35"/>
      <c r="O33" s="35"/>
      <c r="P33" s="35"/>
    </row>
    <row r="34" spans="2:16">
      <c r="B34" s="28"/>
      <c r="C34" s="196"/>
      <c r="D34" s="47"/>
      <c r="E34" s="28"/>
      <c r="F34" s="215"/>
      <c r="G34" s="215"/>
      <c r="H34" s="2"/>
      <c r="I34" s="35"/>
      <c r="K34" s="35"/>
      <c r="M34" s="35"/>
      <c r="N34" s="35"/>
      <c r="O34" s="35"/>
      <c r="P34" s="35"/>
    </row>
    <row r="35" spans="2:16">
      <c r="B35" s="28"/>
      <c r="C35" s="196"/>
      <c r="D35" s="47"/>
      <c r="E35" s="28"/>
      <c r="F35" s="215"/>
      <c r="G35" s="215"/>
      <c r="H35" s="2"/>
      <c r="I35" s="35"/>
      <c r="K35" s="35"/>
      <c r="M35" s="35"/>
      <c r="N35" s="35"/>
      <c r="O35" s="35"/>
      <c r="P35" s="35"/>
    </row>
    <row r="36" spans="2:16">
      <c r="B36" s="28"/>
      <c r="C36" s="196"/>
      <c r="D36" s="47"/>
      <c r="E36" s="28"/>
      <c r="F36" s="215"/>
      <c r="G36" s="215"/>
      <c r="H36" s="2"/>
      <c r="I36" s="35"/>
      <c r="K36" s="35"/>
      <c r="M36" s="35"/>
      <c r="N36" s="35"/>
      <c r="O36" s="35"/>
      <c r="P36" s="35"/>
    </row>
    <row r="37" spans="2:16">
      <c r="B37" s="28"/>
      <c r="C37" s="196"/>
      <c r="D37" s="47"/>
      <c r="E37" s="28"/>
      <c r="F37" s="215"/>
      <c r="G37" s="215"/>
      <c r="H37" s="2"/>
      <c r="I37" s="35"/>
      <c r="K37" s="35"/>
      <c r="M37" s="35"/>
      <c r="N37" s="35"/>
      <c r="O37" s="35"/>
      <c r="P37" s="35"/>
    </row>
    <row r="38" spans="2:16">
      <c r="B38" s="28"/>
      <c r="C38" s="196"/>
      <c r="D38" s="47"/>
      <c r="E38" s="28"/>
      <c r="F38" s="215"/>
      <c r="G38" s="215"/>
      <c r="H38" s="2"/>
      <c r="I38" s="35"/>
      <c r="K38" s="35"/>
      <c r="M38" s="35"/>
      <c r="N38" s="35"/>
      <c r="O38" s="35"/>
      <c r="P38" s="35"/>
    </row>
    <row r="39" spans="2:16">
      <c r="B39" s="28"/>
      <c r="C39" s="196"/>
      <c r="D39" s="47"/>
      <c r="E39" s="28"/>
      <c r="F39" s="215"/>
      <c r="G39" s="215"/>
      <c r="H39" s="2"/>
      <c r="I39" s="35"/>
      <c r="K39" s="35"/>
      <c r="M39" s="35"/>
      <c r="N39" s="35"/>
      <c r="O39" s="35"/>
      <c r="P39" s="35"/>
    </row>
    <row r="40" spans="2:16">
      <c r="B40" s="28"/>
      <c r="C40" s="196"/>
      <c r="D40" s="47"/>
      <c r="E40" s="28"/>
      <c r="F40" s="215"/>
      <c r="G40" s="215"/>
      <c r="H40" s="2"/>
      <c r="I40" s="35"/>
      <c r="K40" s="35"/>
      <c r="M40" s="35"/>
      <c r="N40" s="35"/>
      <c r="O40" s="35"/>
      <c r="P40" s="35"/>
    </row>
    <row r="41" spans="2:16">
      <c r="B41" s="28"/>
      <c r="C41" s="196"/>
      <c r="D41" s="47"/>
      <c r="E41" s="28"/>
      <c r="F41" s="215"/>
      <c r="G41" s="215"/>
      <c r="H41" s="2"/>
      <c r="I41" s="35"/>
      <c r="K41" s="35"/>
      <c r="M41" s="35"/>
      <c r="N41" s="35"/>
      <c r="O41" s="35"/>
      <c r="P41" s="35"/>
    </row>
    <row r="42" spans="2:16">
      <c r="B42" s="28"/>
      <c r="C42" s="196"/>
      <c r="D42" s="47"/>
      <c r="E42" s="28"/>
      <c r="F42" s="215"/>
      <c r="G42" s="215"/>
      <c r="H42" s="2"/>
      <c r="I42" s="35"/>
      <c r="K42" s="35"/>
      <c r="M42" s="35"/>
      <c r="N42" s="35"/>
      <c r="O42" s="35"/>
      <c r="P42" s="35"/>
    </row>
    <row r="43" spans="2:16">
      <c r="B43" s="28"/>
      <c r="C43" s="196"/>
      <c r="D43" s="47"/>
      <c r="E43" s="28"/>
      <c r="F43" s="215"/>
      <c r="G43" s="215"/>
      <c r="H43" s="2"/>
      <c r="I43" s="35"/>
      <c r="K43" s="35"/>
      <c r="M43" s="35"/>
      <c r="N43" s="35"/>
      <c r="O43" s="35"/>
      <c r="P43" s="35"/>
    </row>
    <row r="44" spans="2:16">
      <c r="B44" s="28"/>
      <c r="C44" s="196"/>
      <c r="D44" s="47"/>
      <c r="E44" s="28"/>
      <c r="F44" s="215"/>
      <c r="G44" s="215"/>
      <c r="H44" s="2"/>
      <c r="I44" s="35"/>
      <c r="K44" s="35"/>
      <c r="M44" s="35"/>
      <c r="N44" s="35"/>
      <c r="O44" s="35"/>
      <c r="P44" s="35"/>
    </row>
    <row r="45" spans="2:16">
      <c r="B45" s="28"/>
      <c r="C45" s="196"/>
      <c r="D45" s="47"/>
      <c r="E45" s="28"/>
      <c r="F45" s="215"/>
      <c r="G45" s="215"/>
      <c r="H45" s="2"/>
      <c r="I45" s="35"/>
      <c r="K45" s="35"/>
      <c r="M45" s="35"/>
      <c r="N45" s="35"/>
      <c r="O45" s="35"/>
      <c r="P45" s="35"/>
    </row>
    <row r="46" spans="2:16">
      <c r="B46" s="28"/>
      <c r="C46" s="196"/>
      <c r="D46" s="47"/>
      <c r="E46" s="28"/>
      <c r="F46" s="215"/>
      <c r="G46" s="215"/>
      <c r="H46" s="2"/>
      <c r="I46" s="35"/>
      <c r="K46" s="35"/>
      <c r="M46" s="35"/>
      <c r="N46" s="35"/>
      <c r="O46" s="35"/>
      <c r="P46" s="35"/>
    </row>
    <row r="47" spans="2:16">
      <c r="B47" s="28"/>
      <c r="C47" s="196"/>
      <c r="D47" s="47"/>
      <c r="E47" s="28"/>
      <c r="F47" s="215"/>
      <c r="G47" s="215"/>
      <c r="H47" s="2"/>
      <c r="I47" s="35"/>
      <c r="K47" s="35"/>
      <c r="M47" s="35"/>
      <c r="N47" s="35"/>
      <c r="O47" s="35"/>
      <c r="P47" s="35"/>
    </row>
    <row r="48" spans="2:16">
      <c r="B48" s="28"/>
      <c r="C48" s="196"/>
      <c r="D48" s="47"/>
      <c r="E48" s="28"/>
      <c r="F48" s="215"/>
      <c r="G48" s="215"/>
      <c r="H48" s="2"/>
      <c r="I48" s="35"/>
      <c r="K48" s="35"/>
      <c r="M48" s="35"/>
      <c r="N48" s="35"/>
      <c r="O48" s="35"/>
      <c r="P48" s="35"/>
    </row>
    <row r="49" spans="2:16">
      <c r="B49" s="28"/>
      <c r="C49" s="196"/>
      <c r="D49" s="47"/>
      <c r="E49" s="28"/>
      <c r="F49" s="215"/>
      <c r="G49" s="215"/>
      <c r="H49" s="2"/>
      <c r="I49" s="35"/>
      <c r="K49" s="35"/>
      <c r="M49" s="35"/>
      <c r="N49" s="35"/>
      <c r="O49" s="35"/>
      <c r="P49" s="35"/>
    </row>
    <row r="50" spans="2:16">
      <c r="B50" s="28"/>
      <c r="C50" s="196"/>
      <c r="D50" s="47"/>
      <c r="E50" s="28"/>
      <c r="F50" s="215"/>
      <c r="G50" s="215"/>
      <c r="H50" s="2"/>
      <c r="I50" s="35"/>
      <c r="K50" s="35"/>
      <c r="M50" s="35"/>
      <c r="N50" s="35"/>
      <c r="O50" s="35"/>
      <c r="P50" s="35"/>
    </row>
    <row r="51" spans="2:16">
      <c r="B51" s="28"/>
      <c r="C51" s="196"/>
      <c r="D51" s="47"/>
      <c r="E51" s="28"/>
      <c r="F51" s="215"/>
      <c r="G51" s="215"/>
      <c r="H51" s="2"/>
      <c r="I51" s="35"/>
      <c r="K51" s="35"/>
      <c r="M51" s="35"/>
      <c r="N51" s="35"/>
      <c r="O51" s="35"/>
      <c r="P51" s="35"/>
    </row>
    <row r="52" spans="2:16">
      <c r="B52" s="28"/>
      <c r="C52" s="196"/>
      <c r="D52" s="47"/>
      <c r="E52" s="28"/>
      <c r="F52" s="215"/>
      <c r="G52" s="215"/>
      <c r="H52" s="2"/>
      <c r="I52" s="35"/>
      <c r="K52" s="35"/>
      <c r="M52" s="35"/>
      <c r="N52" s="35"/>
      <c r="O52" s="35"/>
      <c r="P52" s="35"/>
    </row>
    <row r="53" spans="2:16">
      <c r="B53" s="28"/>
      <c r="C53" s="196"/>
      <c r="D53" s="47"/>
      <c r="E53" s="28"/>
      <c r="F53" s="215"/>
      <c r="G53" s="215"/>
      <c r="H53" s="2"/>
      <c r="I53" s="35"/>
      <c r="K53" s="35"/>
      <c r="M53" s="35"/>
      <c r="N53" s="35"/>
      <c r="O53" s="35"/>
      <c r="P53" s="35"/>
    </row>
    <row r="54" spans="2:16">
      <c r="B54" s="28"/>
      <c r="C54" s="196"/>
      <c r="D54" s="47"/>
      <c r="E54" s="28"/>
      <c r="F54" s="215"/>
      <c r="G54" s="215"/>
      <c r="H54" s="2"/>
      <c r="I54" s="35"/>
      <c r="K54" s="35"/>
      <c r="M54" s="35"/>
      <c r="N54" s="35"/>
      <c r="O54" s="35"/>
      <c r="P54" s="35"/>
    </row>
    <row r="55" spans="2:16">
      <c r="B55" s="28"/>
      <c r="C55" s="196"/>
      <c r="D55" s="47"/>
      <c r="E55" s="28"/>
      <c r="F55" s="215"/>
      <c r="G55" s="215"/>
      <c r="H55" s="2"/>
      <c r="I55" s="35"/>
      <c r="K55" s="35"/>
      <c r="M55" s="35"/>
      <c r="N55" s="35"/>
      <c r="O55" s="35"/>
      <c r="P55" s="35"/>
    </row>
    <row r="56" spans="2:16">
      <c r="B56" s="28"/>
      <c r="C56" s="196"/>
      <c r="D56" s="47"/>
      <c r="E56" s="28"/>
      <c r="F56" s="215"/>
      <c r="G56" s="215"/>
      <c r="H56" s="2"/>
      <c r="I56" s="35"/>
      <c r="K56" s="35"/>
      <c r="M56" s="35"/>
      <c r="N56" s="35"/>
      <c r="O56" s="35"/>
      <c r="P56" s="35"/>
    </row>
    <row r="57" spans="2:16">
      <c r="B57" s="28"/>
      <c r="C57" s="196"/>
      <c r="D57" s="47"/>
      <c r="E57" s="28"/>
      <c r="F57" s="215"/>
      <c r="G57" s="215"/>
      <c r="H57" s="2"/>
      <c r="I57" s="35"/>
      <c r="K57" s="35"/>
      <c r="M57" s="35"/>
      <c r="N57" s="35"/>
      <c r="O57" s="35"/>
      <c r="P57" s="35"/>
    </row>
    <row r="58" spans="2:16">
      <c r="B58" s="28"/>
      <c r="C58" s="196"/>
      <c r="D58" s="47"/>
      <c r="E58" s="28"/>
      <c r="F58" s="215"/>
      <c r="G58" s="215"/>
      <c r="H58" s="2"/>
      <c r="I58" s="35"/>
      <c r="K58" s="35"/>
      <c r="M58" s="35"/>
      <c r="N58" s="35"/>
      <c r="O58" s="35"/>
      <c r="P58" s="35"/>
    </row>
    <row r="59" spans="2:16">
      <c r="B59" s="28"/>
      <c r="C59" s="196"/>
      <c r="D59" s="47"/>
      <c r="E59" s="28"/>
      <c r="F59" s="215"/>
      <c r="G59" s="215"/>
      <c r="H59" s="2"/>
      <c r="I59" s="35"/>
      <c r="K59" s="35"/>
      <c r="M59" s="35"/>
      <c r="N59" s="35"/>
      <c r="O59" s="35"/>
      <c r="P59" s="35"/>
    </row>
    <row r="60" spans="2:16">
      <c r="B60" s="28"/>
      <c r="C60" s="196"/>
      <c r="D60" s="47"/>
      <c r="E60" s="28"/>
      <c r="F60" s="215"/>
      <c r="G60" s="215"/>
      <c r="H60" s="2"/>
      <c r="I60" s="35"/>
      <c r="K60" s="35"/>
      <c r="M60" s="35"/>
      <c r="N60" s="35"/>
      <c r="O60" s="35"/>
      <c r="P60" s="35"/>
    </row>
    <row r="61" spans="2:16">
      <c r="B61" s="28"/>
      <c r="C61" s="196"/>
      <c r="D61" s="47"/>
      <c r="E61" s="28"/>
      <c r="F61" s="215"/>
      <c r="G61" s="215"/>
      <c r="H61" s="2"/>
      <c r="I61" s="35"/>
      <c r="K61" s="35"/>
      <c r="M61" s="35"/>
      <c r="N61" s="35"/>
      <c r="O61" s="35"/>
      <c r="P61" s="35"/>
    </row>
    <row r="62" spans="2:16">
      <c r="B62" s="28"/>
      <c r="C62" s="196"/>
      <c r="D62" s="47"/>
      <c r="E62" s="28"/>
      <c r="F62" s="215"/>
      <c r="G62" s="215"/>
      <c r="H62" s="2"/>
      <c r="I62" s="35"/>
      <c r="K62" s="35"/>
      <c r="M62" s="35"/>
      <c r="N62" s="35"/>
      <c r="O62" s="35"/>
      <c r="P62" s="35"/>
    </row>
    <row r="63" spans="2:16">
      <c r="B63" s="28"/>
      <c r="C63" s="196"/>
      <c r="D63" s="47"/>
      <c r="E63" s="28"/>
      <c r="F63" s="215"/>
      <c r="G63" s="215"/>
      <c r="H63" s="2"/>
      <c r="I63" s="35"/>
      <c r="K63" s="35"/>
      <c r="M63" s="35"/>
      <c r="N63" s="35"/>
      <c r="O63" s="35"/>
      <c r="P63" s="35"/>
    </row>
    <row r="64" spans="2:16">
      <c r="B64" s="28"/>
      <c r="C64" s="196"/>
      <c r="D64" s="47"/>
      <c r="E64" s="28"/>
      <c r="F64" s="215"/>
      <c r="G64" s="215"/>
      <c r="H64" s="2"/>
      <c r="I64" s="35"/>
      <c r="K64" s="35"/>
      <c r="M64" s="35"/>
      <c r="N64" s="35"/>
      <c r="O64" s="35"/>
      <c r="P64" s="35"/>
    </row>
    <row r="65" spans="2:16">
      <c r="B65" s="28"/>
      <c r="C65" s="196"/>
      <c r="D65" s="47"/>
      <c r="E65" s="28"/>
      <c r="F65" s="215"/>
      <c r="G65" s="215"/>
      <c r="H65" s="2"/>
      <c r="I65" s="35"/>
      <c r="K65" s="35"/>
      <c r="M65" s="35"/>
      <c r="N65" s="35"/>
      <c r="O65" s="35"/>
      <c r="P65" s="35"/>
    </row>
    <row r="66" spans="2:16">
      <c r="B66" s="28"/>
      <c r="C66" s="196"/>
      <c r="D66" s="47"/>
      <c r="E66" s="28"/>
      <c r="F66" s="215"/>
      <c r="G66" s="215"/>
      <c r="H66" s="2"/>
      <c r="I66" s="35"/>
      <c r="K66" s="35"/>
      <c r="M66" s="35"/>
      <c r="N66" s="35"/>
      <c r="O66" s="35"/>
      <c r="P66" s="35"/>
    </row>
    <row r="67" spans="2:16">
      <c r="B67" s="28"/>
      <c r="C67" s="196"/>
      <c r="D67" s="47"/>
      <c r="E67" s="28"/>
      <c r="F67" s="215"/>
      <c r="G67" s="215"/>
      <c r="H67" s="2"/>
      <c r="I67" s="35"/>
      <c r="K67" s="35"/>
      <c r="M67" s="35"/>
      <c r="N67" s="35"/>
      <c r="O67" s="35"/>
      <c r="P67" s="35"/>
    </row>
    <row r="68" spans="2:16">
      <c r="B68" s="28"/>
      <c r="C68" s="196"/>
      <c r="D68" s="47"/>
      <c r="E68" s="28"/>
      <c r="F68" s="215"/>
      <c r="G68" s="215"/>
      <c r="H68" s="2"/>
      <c r="I68" s="35"/>
      <c r="K68" s="35"/>
      <c r="M68" s="35"/>
      <c r="N68" s="35"/>
      <c r="O68" s="35"/>
      <c r="P68" s="35"/>
    </row>
    <row r="69" spans="2:16">
      <c r="B69" s="28"/>
      <c r="C69" s="196"/>
      <c r="D69" s="47"/>
      <c r="E69" s="28"/>
      <c r="F69" s="215"/>
      <c r="G69" s="215"/>
      <c r="H69" s="2"/>
      <c r="I69" s="35"/>
      <c r="K69" s="35"/>
      <c r="M69" s="35"/>
      <c r="N69" s="35"/>
      <c r="O69" s="35"/>
      <c r="P69" s="35"/>
    </row>
    <row r="70" spans="2:16">
      <c r="B70" s="28"/>
      <c r="C70" s="196"/>
      <c r="D70" s="47"/>
      <c r="E70" s="28"/>
      <c r="F70" s="215"/>
      <c r="G70" s="215"/>
      <c r="H70" s="2"/>
      <c r="I70" s="35"/>
      <c r="K70" s="35"/>
      <c r="M70" s="35"/>
      <c r="N70" s="35"/>
      <c r="O70" s="35"/>
      <c r="P70" s="35"/>
    </row>
    <row r="71" spans="2:16">
      <c r="B71" s="28"/>
      <c r="C71" s="196"/>
      <c r="D71" s="47"/>
      <c r="E71" s="28"/>
      <c r="F71" s="215"/>
      <c r="G71" s="215"/>
      <c r="H71" s="2"/>
      <c r="I71" s="35"/>
      <c r="K71" s="35"/>
      <c r="M71" s="35"/>
      <c r="N71" s="35"/>
      <c r="O71" s="35"/>
      <c r="P71" s="35"/>
    </row>
    <row r="72" spans="2:16">
      <c r="B72" s="28"/>
      <c r="C72" s="196"/>
      <c r="D72" s="47"/>
      <c r="E72" s="28"/>
      <c r="F72" s="215"/>
      <c r="G72" s="215"/>
      <c r="H72" s="2"/>
      <c r="I72" s="35"/>
      <c r="K72" s="35"/>
      <c r="M72" s="35"/>
      <c r="N72" s="35"/>
      <c r="O72" s="35"/>
      <c r="P72" s="35"/>
    </row>
    <row r="73" spans="2:16">
      <c r="B73" s="28"/>
      <c r="C73" s="196"/>
      <c r="D73" s="47"/>
      <c r="E73" s="28"/>
      <c r="F73" s="215"/>
      <c r="G73" s="215"/>
      <c r="H73" s="2"/>
      <c r="I73" s="35"/>
      <c r="K73" s="35"/>
      <c r="M73" s="35"/>
      <c r="N73" s="35"/>
      <c r="O73" s="35"/>
      <c r="P73" s="35"/>
    </row>
    <row r="74" spans="2:16">
      <c r="B74" s="28"/>
      <c r="C74" s="196"/>
      <c r="D74" s="47"/>
      <c r="E74" s="28"/>
      <c r="F74" s="215"/>
      <c r="G74" s="215"/>
      <c r="H74" s="2"/>
      <c r="I74" s="35"/>
      <c r="K74" s="35"/>
      <c r="M74" s="35"/>
      <c r="N74" s="35"/>
      <c r="O74" s="35"/>
      <c r="P74" s="35"/>
    </row>
    <row r="75" spans="2:16">
      <c r="B75" s="28"/>
      <c r="C75" s="196"/>
      <c r="D75" s="47"/>
      <c r="E75" s="28"/>
      <c r="F75" s="215"/>
      <c r="G75" s="215"/>
      <c r="H75" s="2"/>
      <c r="I75" s="35"/>
      <c r="K75" s="35"/>
      <c r="M75" s="35"/>
      <c r="N75" s="35"/>
      <c r="O75" s="35"/>
      <c r="P75" s="35"/>
    </row>
    <row r="76" spans="2:16">
      <c r="B76" s="28"/>
      <c r="C76" s="196"/>
      <c r="D76" s="47"/>
      <c r="E76" s="28"/>
      <c r="F76" s="215"/>
      <c r="G76" s="215"/>
      <c r="H76" s="2"/>
      <c r="I76" s="35"/>
      <c r="K76" s="35"/>
      <c r="M76" s="35"/>
      <c r="N76" s="35"/>
      <c r="O76" s="35"/>
      <c r="P76" s="35"/>
    </row>
    <row r="77" spans="2:16">
      <c r="B77" s="28"/>
      <c r="C77" s="196"/>
      <c r="D77" s="47"/>
      <c r="E77" s="28"/>
      <c r="F77" s="215"/>
      <c r="G77" s="215"/>
      <c r="H77" s="2"/>
      <c r="I77" s="35"/>
      <c r="K77" s="35"/>
      <c r="M77" s="35"/>
      <c r="N77" s="35"/>
      <c r="O77" s="35"/>
      <c r="P77" s="35"/>
    </row>
    <row r="78" spans="2:16">
      <c r="B78" s="28"/>
      <c r="C78" s="196"/>
      <c r="D78" s="47"/>
      <c r="E78" s="28"/>
      <c r="F78" s="215"/>
      <c r="G78" s="215"/>
      <c r="H78" s="2"/>
      <c r="I78" s="35"/>
      <c r="K78" s="35"/>
      <c r="M78" s="35"/>
      <c r="N78" s="35"/>
      <c r="O78" s="35"/>
      <c r="P78" s="35"/>
    </row>
    <row r="79" spans="2:16">
      <c r="B79" s="28"/>
      <c r="C79" s="196"/>
      <c r="D79" s="47"/>
      <c r="E79" s="28"/>
      <c r="F79" s="215"/>
      <c r="G79" s="215"/>
      <c r="H79" s="2"/>
      <c r="I79" s="35"/>
      <c r="K79" s="35"/>
      <c r="M79" s="35"/>
      <c r="N79" s="35"/>
      <c r="O79" s="35"/>
      <c r="P79" s="35"/>
    </row>
    <row r="80" spans="2:16">
      <c r="B80" s="28"/>
      <c r="C80" s="196"/>
      <c r="D80" s="47"/>
      <c r="E80" s="28"/>
      <c r="F80" s="215"/>
      <c r="G80" s="215"/>
      <c r="H80" s="2"/>
      <c r="I80" s="35"/>
      <c r="K80" s="35"/>
      <c r="M80" s="35"/>
      <c r="N80" s="35"/>
      <c r="O80" s="35"/>
      <c r="P80" s="35"/>
    </row>
    <row r="81" spans="2:16">
      <c r="B81" s="28"/>
      <c r="C81" s="196"/>
      <c r="D81" s="47"/>
      <c r="E81" s="28"/>
      <c r="F81" s="215"/>
      <c r="G81" s="215"/>
      <c r="H81" s="2"/>
      <c r="I81" s="35"/>
      <c r="K81" s="35"/>
      <c r="M81" s="35"/>
      <c r="N81" s="35"/>
      <c r="O81" s="35"/>
      <c r="P81" s="35"/>
    </row>
    <row r="82" spans="2:16">
      <c r="B82" s="28"/>
      <c r="C82" s="196"/>
      <c r="D82" s="47"/>
      <c r="E82" s="28"/>
      <c r="F82" s="215"/>
      <c r="G82" s="215"/>
      <c r="H82" s="2"/>
      <c r="I82" s="35"/>
      <c r="K82" s="35"/>
      <c r="M82" s="35"/>
      <c r="N82" s="35"/>
      <c r="O82" s="35"/>
      <c r="P82" s="35"/>
    </row>
    <row r="83" spans="2:16">
      <c r="B83" s="28"/>
      <c r="C83" s="196"/>
      <c r="D83" s="47"/>
      <c r="E83" s="28"/>
      <c r="F83" s="215"/>
      <c r="G83" s="215"/>
      <c r="H83" s="2"/>
      <c r="I83" s="35"/>
      <c r="K83" s="35"/>
      <c r="M83" s="35"/>
      <c r="N83" s="35"/>
      <c r="O83" s="35"/>
      <c r="P83" s="35"/>
    </row>
    <row r="84" spans="2:16">
      <c r="B84" s="28"/>
      <c r="C84" s="196"/>
      <c r="D84" s="47"/>
      <c r="E84" s="28"/>
      <c r="F84" s="215"/>
      <c r="G84" s="215"/>
      <c r="H84" s="2"/>
      <c r="I84" s="35"/>
      <c r="K84" s="35"/>
      <c r="M84" s="35"/>
      <c r="N84" s="35"/>
      <c r="O84" s="35"/>
      <c r="P84" s="35"/>
    </row>
    <row r="85" spans="2:16">
      <c r="B85" s="28"/>
      <c r="C85" s="196"/>
      <c r="D85" s="47"/>
      <c r="E85" s="28"/>
      <c r="F85" s="215"/>
      <c r="G85" s="215"/>
      <c r="H85" s="2"/>
      <c r="I85" s="35"/>
      <c r="K85" s="35"/>
      <c r="M85" s="35"/>
      <c r="N85" s="35"/>
      <c r="O85" s="35"/>
      <c r="P85" s="35"/>
    </row>
    <row r="86" spans="2:16">
      <c r="B86" s="28"/>
      <c r="C86" s="196"/>
      <c r="D86" s="47"/>
      <c r="E86" s="28"/>
      <c r="F86" s="215"/>
      <c r="G86" s="215"/>
      <c r="H86" s="2"/>
      <c r="I86" s="35"/>
      <c r="K86" s="35"/>
      <c r="M86" s="35"/>
      <c r="N86" s="35"/>
      <c r="O86" s="35"/>
      <c r="P86" s="35"/>
    </row>
    <row r="87" spans="2:16">
      <c r="B87" s="28"/>
      <c r="C87" s="196"/>
      <c r="D87" s="47"/>
      <c r="E87" s="28"/>
      <c r="F87" s="215"/>
      <c r="G87" s="215"/>
      <c r="H87" s="2"/>
      <c r="I87" s="35"/>
      <c r="K87" s="35"/>
      <c r="M87" s="35"/>
      <c r="N87" s="35"/>
      <c r="O87" s="35"/>
      <c r="P87" s="35"/>
    </row>
    <row r="88" spans="2:16">
      <c r="B88" s="28"/>
      <c r="C88" s="196"/>
      <c r="D88" s="47"/>
      <c r="E88" s="28"/>
      <c r="F88" s="215"/>
      <c r="G88" s="215"/>
      <c r="H88" s="2"/>
      <c r="I88" s="35"/>
      <c r="K88" s="35"/>
      <c r="M88" s="35"/>
      <c r="N88" s="35"/>
      <c r="O88" s="35"/>
      <c r="P88" s="35"/>
    </row>
    <row r="89" spans="2:16">
      <c r="B89" s="28"/>
      <c r="C89" s="196"/>
      <c r="D89" s="47"/>
      <c r="E89" s="28"/>
      <c r="F89" s="215"/>
      <c r="G89" s="215"/>
      <c r="H89" s="2"/>
      <c r="I89" s="35"/>
      <c r="K89" s="35"/>
      <c r="M89" s="35"/>
      <c r="N89" s="35"/>
      <c r="O89" s="35"/>
      <c r="P89" s="35"/>
    </row>
    <row r="90" spans="2:16">
      <c r="B90" s="28"/>
      <c r="C90" s="196"/>
      <c r="D90" s="47"/>
      <c r="E90" s="28"/>
      <c r="F90" s="215"/>
      <c r="G90" s="215"/>
      <c r="H90" s="2"/>
      <c r="I90" s="35"/>
      <c r="K90" s="35"/>
      <c r="M90" s="35"/>
      <c r="N90" s="35"/>
      <c r="O90" s="35"/>
      <c r="P90" s="35"/>
    </row>
    <row r="91" spans="2:16">
      <c r="B91" s="28"/>
      <c r="C91" s="196"/>
      <c r="D91" s="47"/>
      <c r="E91" s="28"/>
      <c r="F91" s="215"/>
      <c r="G91" s="215"/>
      <c r="H91" s="2"/>
      <c r="I91" s="35"/>
      <c r="K91" s="35"/>
      <c r="M91" s="35"/>
      <c r="N91" s="35"/>
      <c r="O91" s="35"/>
      <c r="P91" s="35"/>
    </row>
    <row r="92" spans="2:16">
      <c r="B92" s="28"/>
      <c r="C92" s="196"/>
      <c r="D92" s="47"/>
      <c r="E92" s="28"/>
      <c r="F92" s="215"/>
      <c r="G92" s="215"/>
      <c r="H92" s="2"/>
      <c r="I92" s="35"/>
      <c r="K92" s="35"/>
      <c r="M92" s="35"/>
      <c r="N92" s="35"/>
      <c r="O92" s="35"/>
      <c r="P92" s="35"/>
    </row>
    <row r="93" spans="2:16">
      <c r="B93" s="28"/>
      <c r="C93" s="196"/>
      <c r="D93" s="47"/>
      <c r="E93" s="28"/>
      <c r="F93" s="215"/>
      <c r="G93" s="215"/>
      <c r="H93" s="2"/>
      <c r="I93" s="35"/>
      <c r="K93" s="35"/>
      <c r="M93" s="35"/>
      <c r="N93" s="35"/>
      <c r="O93" s="35"/>
      <c r="P93" s="35"/>
    </row>
    <row r="94" spans="2:16">
      <c r="B94" s="28"/>
      <c r="C94" s="196"/>
      <c r="D94" s="47"/>
      <c r="E94" s="28"/>
      <c r="F94" s="215"/>
      <c r="G94" s="215"/>
      <c r="H94" s="2"/>
      <c r="I94" s="35"/>
      <c r="K94" s="35"/>
      <c r="M94" s="35"/>
      <c r="N94" s="35"/>
      <c r="O94" s="35"/>
      <c r="P94" s="35"/>
    </row>
    <row r="95" spans="2:16">
      <c r="B95" s="28"/>
      <c r="C95" s="196"/>
      <c r="D95" s="47"/>
      <c r="E95" s="28"/>
      <c r="F95" s="215"/>
      <c r="G95" s="215"/>
      <c r="H95" s="2"/>
      <c r="I95" s="35"/>
      <c r="K95" s="35"/>
      <c r="M95" s="35"/>
      <c r="N95" s="35"/>
      <c r="O95" s="35"/>
      <c r="P95" s="35"/>
    </row>
    <row r="96" spans="2:16">
      <c r="B96" s="28"/>
      <c r="C96" s="196"/>
      <c r="D96" s="47"/>
      <c r="E96" s="28"/>
      <c r="F96" s="215"/>
      <c r="G96" s="215"/>
      <c r="H96" s="2"/>
      <c r="I96" s="35"/>
      <c r="K96" s="35"/>
      <c r="M96" s="35"/>
      <c r="N96" s="35"/>
      <c r="O96" s="35"/>
      <c r="P96" s="35"/>
    </row>
    <row r="97" spans="2:16">
      <c r="B97" s="28"/>
      <c r="C97" s="196"/>
      <c r="D97" s="47"/>
      <c r="E97" s="28"/>
      <c r="F97" s="215"/>
      <c r="G97" s="215"/>
      <c r="H97" s="2"/>
      <c r="I97" s="35"/>
      <c r="K97" s="35"/>
      <c r="M97" s="35"/>
      <c r="N97" s="35"/>
      <c r="O97" s="35"/>
      <c r="P97" s="35"/>
    </row>
    <row r="98" spans="2:16">
      <c r="B98" s="28"/>
      <c r="C98" s="196"/>
      <c r="D98" s="47"/>
      <c r="E98" s="28"/>
      <c r="F98" s="215"/>
      <c r="G98" s="215"/>
      <c r="H98" s="2"/>
      <c r="I98" s="35"/>
      <c r="K98" s="35"/>
      <c r="M98" s="35"/>
      <c r="N98" s="35"/>
      <c r="O98" s="35"/>
      <c r="P98" s="35"/>
    </row>
    <row r="99" spans="2:16">
      <c r="B99" s="28"/>
      <c r="C99" s="196"/>
      <c r="D99" s="47"/>
      <c r="E99" s="28"/>
      <c r="F99" s="215"/>
      <c r="G99" s="215"/>
      <c r="H99" s="2"/>
      <c r="I99" s="35"/>
      <c r="K99" s="35"/>
      <c r="M99" s="35"/>
      <c r="N99" s="35"/>
      <c r="O99" s="35"/>
      <c r="P99" s="35"/>
    </row>
    <row r="100" spans="2:16">
      <c r="B100" s="28"/>
      <c r="C100" s="196"/>
      <c r="D100" s="47"/>
      <c r="E100" s="28"/>
      <c r="F100" s="215"/>
      <c r="G100" s="215"/>
      <c r="H100" s="2"/>
      <c r="I100" s="35"/>
      <c r="K100" s="35"/>
      <c r="M100" s="35"/>
      <c r="N100" s="35"/>
      <c r="O100" s="35"/>
      <c r="P100" s="35"/>
    </row>
    <row r="101" spans="2:16">
      <c r="B101" s="28"/>
      <c r="C101" s="196"/>
      <c r="D101" s="47"/>
      <c r="E101" s="28"/>
      <c r="F101" s="215"/>
      <c r="G101" s="215"/>
      <c r="H101" s="2"/>
      <c r="I101" s="35"/>
      <c r="K101" s="35"/>
      <c r="M101" s="35"/>
      <c r="N101" s="35"/>
      <c r="O101" s="35"/>
      <c r="P101" s="35"/>
    </row>
    <row r="102" spans="2:16">
      <c r="B102" s="28"/>
      <c r="C102" s="196"/>
      <c r="D102" s="47"/>
      <c r="E102" s="28"/>
      <c r="F102" s="215"/>
      <c r="G102" s="215"/>
      <c r="H102" s="2"/>
      <c r="I102" s="107"/>
      <c r="K102" s="35"/>
      <c r="M102" s="35"/>
      <c r="N102" s="35"/>
      <c r="O102" s="35"/>
      <c r="P102" s="35"/>
    </row>
    <row r="103" spans="2:16">
      <c r="B103" s="28"/>
      <c r="C103" s="196"/>
      <c r="D103" s="47"/>
      <c r="E103" s="28"/>
      <c r="F103" s="215"/>
      <c r="G103" s="215"/>
      <c r="H103" s="2"/>
      <c r="I103" s="19"/>
      <c r="K103" s="35"/>
      <c r="M103" s="35"/>
      <c r="N103" s="35"/>
      <c r="O103" s="35"/>
      <c r="P103" s="35"/>
    </row>
    <row r="104" spans="2:16">
      <c r="B104" s="28"/>
      <c r="C104" s="196"/>
      <c r="D104" s="47"/>
      <c r="E104" s="28"/>
      <c r="F104" s="215"/>
      <c r="G104" s="215"/>
      <c r="H104" s="2"/>
      <c r="I104" s="19"/>
      <c r="K104" s="35"/>
      <c r="M104" s="35"/>
      <c r="N104" s="35"/>
      <c r="O104" s="35"/>
      <c r="P104" s="35"/>
    </row>
    <row r="105" spans="2:16">
      <c r="B105" s="28"/>
      <c r="C105" s="196"/>
      <c r="D105" s="47"/>
      <c r="E105" s="28"/>
      <c r="F105" s="215"/>
      <c r="G105" s="215"/>
      <c r="H105" s="2"/>
      <c r="I105" s="19"/>
      <c r="K105" s="35"/>
      <c r="M105" s="35"/>
      <c r="N105" s="35"/>
      <c r="O105" s="35"/>
      <c r="P105" s="35"/>
    </row>
    <row r="106" spans="2:16">
      <c r="B106" s="28"/>
      <c r="C106" s="196"/>
      <c r="D106" s="47"/>
      <c r="E106" s="28"/>
      <c r="F106" s="215"/>
      <c r="G106" s="215"/>
      <c r="H106" s="2"/>
      <c r="I106" s="19"/>
      <c r="K106" s="35"/>
      <c r="M106" s="35"/>
      <c r="N106" s="35"/>
      <c r="O106" s="35"/>
      <c r="P106" s="35"/>
    </row>
    <row r="107" spans="2:16">
      <c r="B107" s="28"/>
      <c r="C107" s="196"/>
      <c r="D107" s="47"/>
      <c r="E107" s="28"/>
      <c r="F107" s="215"/>
      <c r="G107" s="215"/>
      <c r="H107" s="2"/>
      <c r="I107" s="19"/>
      <c r="K107" s="35"/>
      <c r="M107" s="35"/>
      <c r="N107" s="35"/>
      <c r="O107" s="35"/>
      <c r="P107" s="35"/>
    </row>
    <row r="108" spans="2:16">
      <c r="B108" s="28"/>
      <c r="C108" s="196"/>
      <c r="D108" s="47"/>
      <c r="E108" s="28"/>
      <c r="F108" s="215"/>
      <c r="G108" s="215"/>
      <c r="H108" s="2"/>
      <c r="I108" s="19"/>
      <c r="K108" s="35"/>
      <c r="M108" s="35"/>
      <c r="N108" s="35"/>
      <c r="O108" s="35"/>
      <c r="P108" s="35"/>
    </row>
    <row r="109" spans="2:16">
      <c r="B109" s="28"/>
      <c r="C109" s="196"/>
      <c r="D109" s="47"/>
      <c r="E109" s="28"/>
      <c r="F109" s="215"/>
      <c r="G109" s="215"/>
      <c r="H109" s="2"/>
      <c r="I109" s="19"/>
      <c r="K109" s="35"/>
      <c r="M109" s="35"/>
      <c r="N109" s="35"/>
      <c r="O109" s="35"/>
      <c r="P109" s="35"/>
    </row>
    <row r="110" spans="2:16">
      <c r="B110" s="28"/>
      <c r="C110" s="196"/>
      <c r="D110" s="47"/>
      <c r="E110" s="28"/>
      <c r="F110" s="215"/>
      <c r="G110" s="215"/>
      <c r="H110" s="2"/>
      <c r="I110" s="19"/>
      <c r="K110" s="35"/>
      <c r="M110" s="35"/>
      <c r="N110" s="35"/>
      <c r="O110" s="35"/>
      <c r="P110" s="35"/>
    </row>
    <row r="111" spans="2:16">
      <c r="B111" s="28"/>
      <c r="C111" s="196"/>
      <c r="D111" s="47"/>
      <c r="E111" s="28"/>
      <c r="F111" s="215"/>
      <c r="G111" s="215"/>
      <c r="H111" s="2"/>
      <c r="I111" s="19"/>
      <c r="K111" s="35"/>
      <c r="M111" s="35"/>
      <c r="N111" s="35"/>
      <c r="O111" s="35"/>
      <c r="P111" s="35"/>
    </row>
    <row r="112" spans="2:16">
      <c r="B112" s="28"/>
      <c r="C112" s="196"/>
      <c r="D112" s="47"/>
      <c r="E112" s="28"/>
      <c r="F112" s="215"/>
      <c r="G112" s="215"/>
      <c r="H112" s="2"/>
      <c r="I112" s="19"/>
      <c r="K112" s="35"/>
      <c r="M112" s="35"/>
      <c r="N112" s="35"/>
      <c r="O112" s="35"/>
      <c r="P112" s="35"/>
    </row>
    <row r="113" spans="2:16">
      <c r="B113" s="28"/>
      <c r="C113" s="196"/>
      <c r="D113" s="47"/>
      <c r="E113" s="28"/>
      <c r="F113" s="215"/>
      <c r="G113" s="215"/>
      <c r="H113" s="2"/>
      <c r="I113" s="19"/>
      <c r="K113" s="35"/>
      <c r="M113" s="35"/>
      <c r="N113" s="35"/>
      <c r="O113" s="35"/>
      <c r="P113" s="35"/>
    </row>
    <row r="114" spans="2:16">
      <c r="B114" s="28"/>
      <c r="C114" s="196"/>
      <c r="D114" s="47"/>
      <c r="E114" s="28"/>
      <c r="F114" s="215"/>
      <c r="G114" s="215"/>
      <c r="H114" s="2"/>
      <c r="I114" s="19"/>
      <c r="K114" s="35"/>
      <c r="M114" s="35"/>
      <c r="N114" s="35"/>
      <c r="O114" s="35"/>
      <c r="P114" s="35"/>
    </row>
    <row r="115" spans="2:16">
      <c r="B115" s="28"/>
      <c r="C115" s="196"/>
      <c r="D115" s="47"/>
      <c r="E115" s="28"/>
      <c r="F115" s="215"/>
      <c r="G115" s="215"/>
      <c r="H115" s="2"/>
      <c r="I115" s="19"/>
      <c r="K115" s="35"/>
      <c r="M115" s="35"/>
      <c r="N115" s="35"/>
      <c r="O115" s="35"/>
      <c r="P115" s="35"/>
    </row>
    <row r="116" spans="2:16">
      <c r="B116" s="28"/>
      <c r="C116" s="196"/>
      <c r="D116" s="47"/>
      <c r="E116" s="28"/>
      <c r="F116" s="215"/>
      <c r="G116" s="215"/>
      <c r="H116" s="2"/>
      <c r="I116" s="19"/>
      <c r="K116" s="35"/>
      <c r="M116" s="35"/>
      <c r="N116" s="35"/>
      <c r="O116" s="35"/>
      <c r="P116" s="35"/>
    </row>
    <row r="117" spans="2:16">
      <c r="B117" s="28"/>
      <c r="C117" s="196"/>
      <c r="D117" s="47"/>
      <c r="E117" s="28"/>
      <c r="F117" s="215"/>
      <c r="G117" s="215"/>
      <c r="H117" s="2"/>
      <c r="I117" s="19"/>
      <c r="K117" s="35"/>
      <c r="M117" s="35"/>
      <c r="N117" s="35"/>
      <c r="O117" s="35"/>
      <c r="P117" s="35"/>
    </row>
    <row r="118" spans="2:16">
      <c r="B118" s="28"/>
      <c r="C118" s="196"/>
      <c r="D118" s="47"/>
      <c r="E118" s="28"/>
      <c r="F118" s="215"/>
      <c r="G118" s="215"/>
      <c r="H118" s="2"/>
      <c r="I118" s="19"/>
      <c r="K118" s="35"/>
      <c r="M118" s="35"/>
      <c r="N118" s="35"/>
      <c r="O118" s="35"/>
      <c r="P118" s="35"/>
    </row>
    <row r="119" spans="2:16">
      <c r="B119" s="28"/>
      <c r="C119" s="196"/>
      <c r="D119" s="47"/>
      <c r="E119" s="28"/>
      <c r="F119" s="215"/>
      <c r="G119" s="215"/>
      <c r="H119" s="2"/>
      <c r="I119" s="19"/>
      <c r="K119" s="35"/>
      <c r="M119" s="35"/>
      <c r="N119" s="35"/>
      <c r="O119" s="35"/>
      <c r="P119" s="35"/>
    </row>
    <row r="120" spans="2:16">
      <c r="B120" s="28"/>
      <c r="C120" s="196"/>
      <c r="D120" s="47"/>
      <c r="E120" s="28"/>
      <c r="F120" s="215"/>
      <c r="G120" s="215"/>
      <c r="H120" s="2"/>
      <c r="I120" s="19"/>
      <c r="K120" s="35"/>
      <c r="M120" s="35"/>
      <c r="N120" s="35"/>
      <c r="O120" s="35"/>
      <c r="P120" s="35"/>
    </row>
    <row r="121" spans="2:16">
      <c r="B121" s="28"/>
      <c r="C121" s="196"/>
      <c r="D121" s="47"/>
      <c r="E121" s="28"/>
      <c r="F121" s="215"/>
      <c r="G121" s="215"/>
      <c r="H121" s="2"/>
      <c r="I121" s="19"/>
      <c r="K121" s="35"/>
      <c r="M121" s="35"/>
      <c r="N121" s="35"/>
      <c r="O121" s="35"/>
      <c r="P121" s="35"/>
    </row>
    <row r="122" spans="2:16">
      <c r="B122" s="28"/>
      <c r="C122" s="196"/>
      <c r="D122" s="47"/>
      <c r="E122" s="28"/>
      <c r="F122" s="215"/>
      <c r="G122" s="215"/>
      <c r="H122" s="2"/>
      <c r="I122" s="19"/>
      <c r="K122" s="35"/>
      <c r="M122" s="35"/>
      <c r="N122" s="35"/>
      <c r="O122" s="35"/>
      <c r="P122" s="35"/>
    </row>
    <row r="123" spans="2:16">
      <c r="B123" s="28"/>
      <c r="C123" s="196"/>
      <c r="D123" s="47"/>
      <c r="E123" s="28"/>
      <c r="F123" s="215"/>
      <c r="G123" s="215"/>
      <c r="H123" s="2"/>
      <c r="I123" s="19"/>
      <c r="K123" s="35"/>
      <c r="M123" s="35"/>
      <c r="N123" s="35"/>
      <c r="O123" s="35"/>
      <c r="P123" s="35"/>
    </row>
    <row r="124" spans="2:16">
      <c r="B124" s="28"/>
      <c r="C124" s="196"/>
      <c r="D124" s="47"/>
      <c r="E124" s="28"/>
      <c r="F124" s="215"/>
      <c r="G124" s="215"/>
      <c r="H124" s="2"/>
      <c r="I124" s="19"/>
      <c r="K124" s="35"/>
      <c r="M124" s="35"/>
      <c r="N124" s="35"/>
      <c r="O124" s="35"/>
      <c r="P124" s="35"/>
    </row>
    <row r="125" spans="2:16">
      <c r="B125" s="28"/>
      <c r="C125" s="196"/>
      <c r="D125" s="47"/>
      <c r="E125" s="28"/>
      <c r="F125" s="215"/>
      <c r="G125" s="215"/>
      <c r="H125" s="2"/>
      <c r="I125" s="19"/>
      <c r="K125" s="35"/>
      <c r="M125" s="35"/>
      <c r="N125" s="35"/>
      <c r="O125" s="35"/>
      <c r="P125" s="35"/>
    </row>
    <row r="126" spans="2:16">
      <c r="B126" s="28"/>
      <c r="C126" s="196"/>
      <c r="D126" s="47"/>
      <c r="E126" s="28"/>
      <c r="F126" s="215"/>
      <c r="G126" s="215"/>
      <c r="H126" s="2"/>
      <c r="I126" s="19"/>
      <c r="K126" s="35"/>
      <c r="M126" s="35"/>
      <c r="N126" s="35"/>
      <c r="O126" s="35"/>
      <c r="P126" s="35"/>
    </row>
    <row r="127" spans="2:16">
      <c r="B127" s="28"/>
      <c r="C127" s="196"/>
      <c r="D127" s="47"/>
      <c r="E127" s="28"/>
      <c r="F127" s="215"/>
      <c r="G127" s="215"/>
      <c r="H127" s="2"/>
      <c r="I127" s="19"/>
      <c r="K127" s="35"/>
      <c r="M127" s="35"/>
      <c r="N127" s="35"/>
      <c r="O127" s="35"/>
      <c r="P127" s="35"/>
    </row>
    <row r="128" spans="2:16">
      <c r="B128" s="28"/>
      <c r="C128" s="196"/>
      <c r="D128" s="47"/>
      <c r="E128" s="28"/>
      <c r="F128" s="215"/>
      <c r="G128" s="215"/>
      <c r="H128" s="2"/>
      <c r="I128" s="19"/>
      <c r="K128" s="35"/>
      <c r="M128" s="35"/>
      <c r="N128" s="35"/>
      <c r="O128" s="35"/>
      <c r="P128" s="35"/>
    </row>
    <row r="129" spans="2:16">
      <c r="B129" s="28"/>
      <c r="C129" s="196"/>
      <c r="D129" s="47"/>
      <c r="E129" s="28"/>
      <c r="F129" s="215"/>
      <c r="G129" s="215"/>
      <c r="H129" s="2"/>
      <c r="I129" s="19"/>
      <c r="K129" s="35"/>
      <c r="M129" s="35"/>
      <c r="N129" s="35"/>
      <c r="O129" s="35"/>
      <c r="P129" s="35"/>
    </row>
    <row r="130" spans="2:16">
      <c r="B130" s="28"/>
      <c r="C130" s="196"/>
      <c r="D130" s="47"/>
      <c r="E130" s="28"/>
      <c r="F130" s="215"/>
      <c r="G130" s="215"/>
      <c r="H130" s="2"/>
      <c r="I130" s="19"/>
      <c r="K130" s="35"/>
      <c r="M130" s="35"/>
      <c r="N130" s="35"/>
      <c r="O130" s="35"/>
      <c r="P130" s="35"/>
    </row>
    <row r="131" spans="2:16">
      <c r="B131" s="28"/>
      <c r="C131" s="196"/>
      <c r="D131" s="47"/>
      <c r="E131" s="28"/>
      <c r="F131" s="215"/>
      <c r="G131" s="215"/>
      <c r="H131" s="2"/>
      <c r="I131" s="19"/>
      <c r="K131" s="35"/>
      <c r="M131" s="35"/>
      <c r="N131" s="35"/>
      <c r="O131" s="35"/>
      <c r="P131" s="35"/>
    </row>
    <row r="132" spans="2:16">
      <c r="B132" s="28"/>
      <c r="C132" s="196"/>
      <c r="D132" s="47"/>
      <c r="E132" s="28"/>
      <c r="F132" s="215"/>
      <c r="G132" s="215"/>
      <c r="H132" s="2"/>
      <c r="I132" s="19"/>
      <c r="K132" s="35"/>
      <c r="M132" s="35"/>
      <c r="N132" s="35"/>
      <c r="O132" s="35"/>
      <c r="P132" s="35"/>
    </row>
    <row r="133" spans="2:16">
      <c r="B133" s="28"/>
      <c r="C133" s="196"/>
      <c r="D133" s="47"/>
      <c r="E133" s="28"/>
      <c r="F133" s="215"/>
      <c r="G133" s="215"/>
      <c r="H133" s="2"/>
      <c r="I133" s="19"/>
      <c r="K133" s="35"/>
      <c r="M133" s="35"/>
      <c r="N133" s="35"/>
      <c r="O133" s="35"/>
      <c r="P133" s="35"/>
    </row>
    <row r="134" spans="2:16">
      <c r="B134" s="28"/>
      <c r="C134" s="196"/>
      <c r="D134" s="47"/>
      <c r="E134" s="28"/>
      <c r="F134" s="215"/>
      <c r="G134" s="215"/>
      <c r="H134" s="2"/>
      <c r="I134" s="19"/>
      <c r="K134" s="35"/>
      <c r="M134" s="35"/>
      <c r="N134" s="35"/>
      <c r="O134" s="35"/>
      <c r="P134" s="35"/>
    </row>
    <row r="135" spans="2:16">
      <c r="B135" s="28"/>
      <c r="C135" s="196"/>
      <c r="D135" s="47"/>
      <c r="E135" s="28"/>
      <c r="F135" s="215"/>
      <c r="G135" s="215"/>
      <c r="H135" s="2"/>
      <c r="I135" s="19"/>
      <c r="K135" s="35"/>
      <c r="M135" s="35"/>
      <c r="N135" s="35"/>
      <c r="O135" s="35"/>
      <c r="P135" s="35"/>
    </row>
    <row r="136" spans="2:16">
      <c r="B136" s="28"/>
      <c r="C136" s="196"/>
      <c r="D136" s="47"/>
      <c r="E136" s="28"/>
      <c r="F136" s="215"/>
      <c r="G136" s="215"/>
      <c r="H136" s="2"/>
      <c r="I136" s="19"/>
      <c r="K136" s="35"/>
      <c r="M136" s="35"/>
      <c r="N136" s="35"/>
      <c r="O136" s="35"/>
      <c r="P136" s="35"/>
    </row>
    <row r="137" spans="2:16">
      <c r="B137" s="28"/>
      <c r="C137" s="196"/>
      <c r="D137" s="47"/>
      <c r="E137" s="28"/>
      <c r="F137" s="215"/>
      <c r="G137" s="215"/>
      <c r="H137" s="2"/>
      <c r="I137" s="19"/>
      <c r="K137" s="35"/>
      <c r="M137" s="35"/>
      <c r="N137" s="35"/>
      <c r="O137" s="35"/>
      <c r="P137" s="35"/>
    </row>
    <row r="138" spans="2:16">
      <c r="B138" s="28"/>
      <c r="C138" s="196"/>
      <c r="D138" s="47"/>
      <c r="E138" s="28"/>
      <c r="F138" s="215"/>
      <c r="G138" s="215"/>
      <c r="H138" s="2"/>
      <c r="I138" s="19"/>
      <c r="K138" s="35"/>
      <c r="M138" s="35"/>
      <c r="N138" s="35"/>
      <c r="O138" s="35"/>
      <c r="P138" s="35"/>
    </row>
    <row r="139" spans="2:16">
      <c r="B139" s="28"/>
      <c r="C139" s="196"/>
      <c r="D139" s="47"/>
      <c r="E139" s="28"/>
      <c r="F139" s="215"/>
      <c r="G139" s="215"/>
      <c r="H139" s="2"/>
      <c r="I139" s="19"/>
      <c r="K139" s="35"/>
      <c r="M139" s="35"/>
      <c r="N139" s="35"/>
      <c r="O139" s="35"/>
      <c r="P139" s="35"/>
    </row>
    <row r="140" spans="2:16">
      <c r="B140" s="28"/>
      <c r="C140" s="196"/>
      <c r="D140" s="47"/>
      <c r="E140" s="28"/>
      <c r="F140" s="215"/>
      <c r="G140" s="215"/>
      <c r="H140" s="2"/>
      <c r="I140" s="19"/>
      <c r="K140" s="35"/>
      <c r="M140" s="35"/>
      <c r="N140" s="35"/>
      <c r="O140" s="35"/>
      <c r="P140" s="35"/>
    </row>
    <row r="141" spans="2:16">
      <c r="B141" s="28"/>
      <c r="C141" s="196"/>
      <c r="D141" s="47"/>
      <c r="E141" s="28"/>
      <c r="F141" s="215"/>
      <c r="G141" s="215"/>
      <c r="H141" s="2"/>
      <c r="I141" s="19"/>
      <c r="K141" s="35"/>
      <c r="M141" s="35"/>
      <c r="N141" s="35"/>
      <c r="O141" s="35"/>
      <c r="P141" s="35"/>
    </row>
    <row r="142" spans="2:16">
      <c r="B142" s="28"/>
      <c r="C142" s="196"/>
      <c r="D142" s="47"/>
      <c r="E142" s="28"/>
      <c r="F142" s="215"/>
      <c r="G142" s="215"/>
      <c r="H142" s="2"/>
      <c r="I142" s="19"/>
      <c r="K142" s="35"/>
      <c r="M142" s="35"/>
      <c r="N142" s="35"/>
      <c r="O142" s="35"/>
      <c r="P142" s="35"/>
    </row>
    <row r="143" spans="2:16">
      <c r="B143" s="28"/>
      <c r="C143" s="196"/>
      <c r="D143" s="47"/>
      <c r="E143" s="28"/>
      <c r="F143" s="215"/>
      <c r="G143" s="215"/>
      <c r="H143" s="2"/>
      <c r="I143" s="19"/>
      <c r="K143" s="35"/>
      <c r="M143" s="35"/>
      <c r="N143" s="35"/>
      <c r="O143" s="35"/>
      <c r="P143" s="35"/>
    </row>
    <row r="144" spans="2:16">
      <c r="B144" s="28"/>
      <c r="C144" s="196"/>
      <c r="D144" s="47"/>
      <c r="E144" s="28"/>
      <c r="F144" s="215"/>
      <c r="G144" s="215"/>
      <c r="H144" s="2"/>
      <c r="I144" s="19"/>
      <c r="K144" s="35"/>
      <c r="M144" s="35"/>
      <c r="N144" s="35"/>
      <c r="O144" s="35"/>
      <c r="P144" s="35"/>
    </row>
    <row r="145" spans="2:16">
      <c r="B145" s="28"/>
      <c r="C145" s="196"/>
      <c r="D145" s="47"/>
      <c r="E145" s="28"/>
      <c r="F145" s="215"/>
      <c r="G145" s="215"/>
      <c r="H145" s="2"/>
      <c r="I145" s="19"/>
      <c r="K145" s="35"/>
      <c r="M145" s="35"/>
      <c r="N145" s="35"/>
      <c r="O145" s="35"/>
      <c r="P145" s="35"/>
    </row>
    <row r="146" spans="2:16">
      <c r="B146" s="28"/>
      <c r="C146" s="196"/>
      <c r="D146" s="47"/>
      <c r="E146" s="28"/>
      <c r="F146" s="215"/>
      <c r="G146" s="215"/>
      <c r="H146" s="2"/>
      <c r="I146" s="19"/>
      <c r="K146" s="35"/>
      <c r="M146" s="35"/>
      <c r="N146" s="35"/>
      <c r="O146" s="35"/>
      <c r="P146" s="35"/>
    </row>
    <row r="147" spans="2:16">
      <c r="B147" s="28"/>
      <c r="C147" s="196"/>
      <c r="D147" s="47"/>
      <c r="E147" s="28"/>
      <c r="F147" s="215"/>
      <c r="G147" s="215"/>
      <c r="H147" s="2"/>
      <c r="I147" s="19"/>
      <c r="K147" s="35"/>
      <c r="M147" s="35"/>
      <c r="N147" s="35"/>
      <c r="O147" s="35"/>
      <c r="P147" s="35"/>
    </row>
    <row r="148" spans="2:16">
      <c r="B148" s="28"/>
      <c r="C148" s="196"/>
      <c r="D148" s="47"/>
      <c r="E148" s="28"/>
      <c r="F148" s="215"/>
      <c r="G148" s="215"/>
      <c r="H148" s="2"/>
      <c r="I148" s="19"/>
      <c r="K148" s="35"/>
      <c r="M148" s="35"/>
      <c r="N148" s="35"/>
      <c r="O148" s="35"/>
      <c r="P148" s="35"/>
    </row>
    <row r="149" spans="2:16">
      <c r="B149" s="28"/>
      <c r="C149" s="196"/>
      <c r="D149" s="47"/>
      <c r="E149" s="28"/>
      <c r="F149" s="215"/>
      <c r="G149" s="215"/>
      <c r="H149" s="2"/>
      <c r="I149" s="19"/>
      <c r="K149" s="35"/>
      <c r="M149" s="35"/>
      <c r="N149" s="35"/>
      <c r="O149" s="35"/>
      <c r="P149" s="35"/>
    </row>
    <row r="150" spans="2:16">
      <c r="B150" s="28"/>
      <c r="C150" s="196"/>
      <c r="D150" s="47"/>
      <c r="E150" s="28"/>
      <c r="F150" s="215"/>
      <c r="G150" s="215"/>
      <c r="H150" s="2"/>
      <c r="I150" s="19"/>
      <c r="K150" s="35"/>
      <c r="M150" s="35"/>
      <c r="N150" s="35"/>
      <c r="O150" s="35"/>
      <c r="P150" s="35"/>
    </row>
    <row r="151" spans="2:16">
      <c r="B151" s="28"/>
      <c r="C151" s="196"/>
      <c r="D151" s="47"/>
      <c r="E151" s="28"/>
      <c r="F151" s="215"/>
      <c r="G151" s="215"/>
      <c r="H151" s="2"/>
      <c r="I151" s="19"/>
      <c r="K151" s="35"/>
      <c r="M151" s="35"/>
      <c r="N151" s="35"/>
      <c r="O151" s="35"/>
      <c r="P151" s="35"/>
    </row>
    <row r="152" spans="2:16">
      <c r="B152" s="28"/>
      <c r="C152" s="196"/>
      <c r="D152" s="47"/>
      <c r="E152" s="28"/>
      <c r="F152" s="215"/>
      <c r="G152" s="215"/>
      <c r="H152" s="2"/>
      <c r="I152" s="19"/>
      <c r="K152" s="35"/>
      <c r="M152" s="35"/>
      <c r="N152" s="35"/>
      <c r="O152" s="35"/>
      <c r="P152" s="35"/>
    </row>
    <row r="153" spans="2:16">
      <c r="B153" s="28"/>
      <c r="C153" s="196"/>
      <c r="D153" s="47"/>
      <c r="E153" s="28"/>
      <c r="F153" s="215"/>
      <c r="G153" s="215"/>
      <c r="H153" s="2"/>
      <c r="I153" s="19"/>
      <c r="K153" s="35"/>
      <c r="M153" s="35"/>
      <c r="N153" s="35"/>
      <c r="O153" s="35"/>
      <c r="P153" s="35"/>
    </row>
    <row r="154" spans="2:16">
      <c r="B154" s="28"/>
      <c r="C154" s="196"/>
      <c r="D154" s="47"/>
      <c r="E154" s="28"/>
      <c r="F154" s="215"/>
      <c r="G154" s="215"/>
      <c r="H154" s="2"/>
      <c r="I154" s="19"/>
      <c r="K154" s="35"/>
      <c r="M154" s="35"/>
      <c r="N154" s="35"/>
      <c r="O154" s="35"/>
      <c r="P154" s="35"/>
    </row>
    <row r="155" spans="2:16">
      <c r="B155" s="28"/>
      <c r="C155" s="196"/>
      <c r="D155" s="47"/>
      <c r="E155" s="28"/>
      <c r="F155" s="215"/>
      <c r="G155" s="215"/>
      <c r="H155" s="2"/>
      <c r="I155" s="19"/>
      <c r="K155" s="35"/>
      <c r="M155" s="35"/>
      <c r="N155" s="35"/>
      <c r="O155" s="35"/>
      <c r="P155" s="35"/>
    </row>
    <row r="156" spans="2:16">
      <c r="B156" s="28"/>
      <c r="C156" s="196"/>
      <c r="D156" s="47"/>
      <c r="E156" s="28"/>
      <c r="F156" s="215"/>
      <c r="G156" s="215"/>
      <c r="H156" s="2"/>
      <c r="I156" s="19"/>
      <c r="K156" s="35"/>
      <c r="M156" s="35"/>
      <c r="N156" s="35"/>
      <c r="O156" s="35"/>
      <c r="P156" s="35"/>
    </row>
    <row r="157" spans="2:16">
      <c r="B157" s="28"/>
      <c r="C157" s="196"/>
      <c r="D157" s="47"/>
      <c r="E157" s="28"/>
      <c r="F157" s="215"/>
      <c r="G157" s="215"/>
      <c r="H157" s="2"/>
      <c r="I157" s="19"/>
      <c r="K157" s="35"/>
      <c r="M157" s="35"/>
      <c r="N157" s="35"/>
      <c r="O157" s="35"/>
      <c r="P157" s="35"/>
    </row>
    <row r="158" spans="2:16">
      <c r="B158" s="28"/>
      <c r="C158" s="196"/>
      <c r="D158" s="47"/>
      <c r="E158" s="28"/>
      <c r="F158" s="215"/>
      <c r="G158" s="215"/>
      <c r="H158" s="2"/>
      <c r="I158" s="19"/>
      <c r="K158" s="35"/>
      <c r="M158" s="35"/>
      <c r="N158" s="35"/>
      <c r="O158" s="35"/>
      <c r="P158" s="35"/>
    </row>
    <row r="159" spans="2:16">
      <c r="B159" s="28"/>
      <c r="C159" s="196"/>
      <c r="D159" s="47"/>
      <c r="E159" s="28"/>
      <c r="F159" s="215"/>
      <c r="G159" s="215"/>
      <c r="H159" s="2"/>
      <c r="I159" s="19"/>
      <c r="K159" s="35"/>
      <c r="M159" s="35"/>
      <c r="N159" s="35"/>
      <c r="O159" s="35"/>
      <c r="P159" s="35"/>
    </row>
    <row r="160" spans="2:16">
      <c r="B160" s="28"/>
      <c r="C160" s="196"/>
      <c r="D160" s="47"/>
      <c r="E160" s="28"/>
      <c r="F160" s="215"/>
      <c r="G160" s="215"/>
      <c r="H160" s="2"/>
      <c r="I160" s="19"/>
      <c r="K160" s="35"/>
      <c r="M160" s="35"/>
      <c r="N160" s="35"/>
      <c r="O160" s="35"/>
      <c r="P160" s="35"/>
    </row>
    <row r="161" spans="2:16">
      <c r="B161" s="28"/>
      <c r="C161" s="196"/>
      <c r="D161" s="47"/>
      <c r="E161" s="28"/>
      <c r="F161" s="215"/>
      <c r="G161" s="215"/>
      <c r="H161" s="2"/>
      <c r="I161" s="19"/>
      <c r="K161" s="35"/>
      <c r="M161" s="35"/>
      <c r="N161" s="35"/>
      <c r="O161" s="35"/>
      <c r="P161" s="35"/>
    </row>
    <row r="162" spans="2:16">
      <c r="B162" s="28"/>
      <c r="C162" s="196"/>
      <c r="D162" s="47"/>
      <c r="E162" s="28"/>
      <c r="F162" s="215"/>
      <c r="G162" s="215"/>
      <c r="H162" s="2"/>
      <c r="I162" s="19"/>
      <c r="K162" s="35"/>
      <c r="M162" s="35"/>
      <c r="N162" s="35"/>
      <c r="O162" s="35"/>
      <c r="P162" s="35"/>
    </row>
    <row r="163" spans="2:16">
      <c r="B163" s="28"/>
      <c r="C163" s="196"/>
      <c r="D163" s="47"/>
      <c r="E163" s="28"/>
      <c r="F163" s="215"/>
      <c r="G163" s="215"/>
      <c r="H163" s="2"/>
      <c r="I163" s="19"/>
      <c r="K163" s="35"/>
      <c r="M163" s="35"/>
      <c r="N163" s="35"/>
      <c r="O163" s="35"/>
      <c r="P163" s="35"/>
    </row>
    <row r="164" spans="2:16">
      <c r="B164" s="28"/>
      <c r="C164" s="196"/>
      <c r="D164" s="47"/>
      <c r="E164" s="28"/>
      <c r="F164" s="215"/>
      <c r="G164" s="215"/>
      <c r="H164" s="2"/>
      <c r="I164" s="19"/>
      <c r="K164" s="35"/>
      <c r="M164" s="35"/>
      <c r="N164" s="35"/>
      <c r="O164" s="35"/>
      <c r="P164" s="35"/>
    </row>
    <row r="165" spans="2:16">
      <c r="B165" s="28"/>
      <c r="C165" s="196"/>
      <c r="D165" s="47"/>
      <c r="E165" s="28"/>
      <c r="F165" s="215"/>
      <c r="G165" s="215"/>
      <c r="H165" s="2"/>
      <c r="I165" s="19"/>
      <c r="K165" s="35"/>
      <c r="M165" s="35"/>
      <c r="N165" s="35"/>
      <c r="O165" s="35"/>
      <c r="P165" s="35"/>
    </row>
    <row r="166" spans="2:16">
      <c r="B166" s="28"/>
      <c r="C166" s="196"/>
      <c r="D166" s="47"/>
      <c r="E166" s="28"/>
      <c r="F166" s="215"/>
      <c r="G166" s="215"/>
      <c r="H166" s="2"/>
      <c r="I166" s="19"/>
      <c r="K166" s="35"/>
      <c r="M166" s="35"/>
      <c r="N166" s="35"/>
      <c r="O166" s="35"/>
      <c r="P166" s="35"/>
    </row>
    <row r="167" spans="2:16">
      <c r="B167" s="28"/>
      <c r="C167" s="196"/>
      <c r="D167" s="47"/>
      <c r="E167" s="28"/>
      <c r="F167" s="215"/>
      <c r="G167" s="215"/>
      <c r="H167" s="2"/>
      <c r="I167" s="19"/>
      <c r="K167" s="35"/>
      <c r="M167" s="35"/>
      <c r="N167" s="35"/>
      <c r="O167" s="35"/>
      <c r="P167" s="35"/>
    </row>
    <row r="168" spans="2:16">
      <c r="B168" s="28"/>
      <c r="C168" s="196"/>
      <c r="D168" s="47"/>
      <c r="E168" s="28"/>
      <c r="F168" s="215"/>
      <c r="G168" s="215"/>
      <c r="H168" s="2"/>
      <c r="I168" s="19"/>
      <c r="K168" s="35"/>
      <c r="M168" s="35"/>
      <c r="N168" s="35"/>
      <c r="O168" s="35"/>
      <c r="P168" s="35"/>
    </row>
    <row r="169" spans="2:16">
      <c r="B169" s="28"/>
      <c r="C169" s="196"/>
      <c r="D169" s="47"/>
      <c r="E169" s="28"/>
      <c r="F169" s="215"/>
      <c r="G169" s="215"/>
      <c r="H169" s="2"/>
      <c r="I169" s="19"/>
      <c r="K169" s="35"/>
      <c r="M169" s="35"/>
      <c r="N169" s="35"/>
      <c r="O169" s="35"/>
      <c r="P169" s="35"/>
    </row>
    <row r="170" spans="2:16">
      <c r="B170" s="28"/>
      <c r="C170" s="196"/>
      <c r="D170" s="47"/>
      <c r="E170" s="28"/>
      <c r="F170" s="215"/>
      <c r="G170" s="215"/>
      <c r="H170" s="2"/>
      <c r="I170" s="19"/>
      <c r="K170" s="35"/>
      <c r="M170" s="35"/>
      <c r="N170" s="35"/>
      <c r="O170" s="35"/>
      <c r="P170" s="35"/>
    </row>
    <row r="171" spans="2:16">
      <c r="B171" s="28"/>
      <c r="C171" s="196"/>
      <c r="D171" s="47"/>
      <c r="E171" s="28"/>
      <c r="F171" s="215"/>
      <c r="G171" s="215"/>
      <c r="H171" s="2"/>
      <c r="I171" s="19"/>
      <c r="K171" s="35"/>
      <c r="M171" s="35"/>
      <c r="N171" s="35"/>
      <c r="O171" s="35"/>
      <c r="P171" s="35"/>
    </row>
    <row r="172" spans="2:16">
      <c r="B172" s="28"/>
      <c r="C172" s="196"/>
      <c r="D172" s="47"/>
      <c r="E172" s="28"/>
      <c r="F172" s="215"/>
      <c r="G172" s="215"/>
      <c r="H172" s="2"/>
      <c r="I172" s="19"/>
      <c r="K172" s="35"/>
      <c r="M172" s="35"/>
      <c r="N172" s="35"/>
      <c r="O172" s="35"/>
      <c r="P172" s="35"/>
    </row>
    <row r="173" spans="2:16">
      <c r="B173" s="28"/>
      <c r="C173" s="196"/>
      <c r="D173" s="47"/>
      <c r="E173" s="28"/>
      <c r="F173" s="215"/>
      <c r="G173" s="215"/>
      <c r="H173" s="2"/>
      <c r="I173" s="19"/>
      <c r="K173" s="35"/>
      <c r="M173" s="35"/>
      <c r="N173" s="35"/>
      <c r="O173" s="35"/>
      <c r="P173" s="35"/>
    </row>
    <row r="174" spans="2:16">
      <c r="B174" s="28"/>
      <c r="C174" s="196"/>
      <c r="D174" s="47"/>
      <c r="E174" s="28"/>
      <c r="F174" s="215"/>
      <c r="G174" s="215"/>
      <c r="H174" s="2"/>
      <c r="I174" s="19"/>
      <c r="K174" s="35"/>
      <c r="M174" s="35"/>
      <c r="N174" s="35"/>
      <c r="O174" s="35"/>
      <c r="P174" s="35"/>
    </row>
    <row r="175" spans="2:16">
      <c r="B175" s="28"/>
      <c r="C175" s="196"/>
      <c r="D175" s="47"/>
      <c r="E175" s="28"/>
      <c r="F175" s="215"/>
      <c r="G175" s="215"/>
      <c r="H175" s="2"/>
      <c r="I175" s="19"/>
      <c r="K175" s="35"/>
      <c r="M175" s="35"/>
      <c r="N175" s="35"/>
      <c r="O175" s="35"/>
      <c r="P175" s="35"/>
    </row>
    <row r="176" spans="2:16">
      <c r="B176" s="28"/>
      <c r="C176" s="196"/>
      <c r="D176" s="47"/>
      <c r="E176" s="28"/>
      <c r="F176" s="215"/>
      <c r="G176" s="215"/>
      <c r="H176" s="2"/>
      <c r="I176" s="19"/>
      <c r="K176" s="35"/>
      <c r="M176" s="35"/>
      <c r="N176" s="35"/>
      <c r="O176" s="35"/>
      <c r="P176" s="35"/>
    </row>
    <row r="177" spans="2:16">
      <c r="B177" s="28"/>
      <c r="C177" s="196"/>
      <c r="D177" s="47"/>
      <c r="E177" s="28"/>
      <c r="F177" s="215"/>
      <c r="G177" s="215"/>
      <c r="H177" s="2"/>
      <c r="I177" s="19"/>
      <c r="K177" s="35"/>
      <c r="M177" s="35"/>
      <c r="N177" s="35"/>
      <c r="O177" s="35"/>
      <c r="P177" s="35"/>
    </row>
    <row r="178" spans="2:16">
      <c r="B178" s="28"/>
      <c r="C178" s="196"/>
      <c r="D178" s="47"/>
      <c r="E178" s="28"/>
      <c r="F178" s="215"/>
      <c r="G178" s="215"/>
      <c r="H178" s="2"/>
      <c r="I178" s="19"/>
      <c r="K178" s="35"/>
      <c r="M178" s="35"/>
      <c r="N178" s="35"/>
      <c r="O178" s="35"/>
      <c r="P178" s="35"/>
    </row>
    <row r="179" spans="2:16">
      <c r="B179" s="28"/>
      <c r="C179" s="196"/>
      <c r="D179" s="47"/>
      <c r="E179" s="28"/>
      <c r="F179" s="215"/>
      <c r="G179" s="215"/>
      <c r="H179" s="2"/>
      <c r="I179" s="19"/>
      <c r="K179" s="35"/>
      <c r="M179" s="35"/>
      <c r="N179" s="35"/>
      <c r="O179" s="35"/>
      <c r="P179" s="35"/>
    </row>
    <row r="180" spans="2:16">
      <c r="B180" s="28"/>
      <c r="C180" s="196"/>
      <c r="D180" s="47"/>
      <c r="E180" s="28"/>
      <c r="F180" s="215"/>
      <c r="G180" s="215"/>
      <c r="H180" s="2"/>
      <c r="I180" s="19"/>
      <c r="K180" s="35"/>
      <c r="M180" s="35"/>
      <c r="N180" s="35"/>
      <c r="O180" s="35"/>
      <c r="P180" s="35"/>
    </row>
    <row r="181" spans="2:16">
      <c r="B181" s="28"/>
      <c r="C181" s="196"/>
      <c r="D181" s="47"/>
      <c r="E181" s="28"/>
      <c r="F181" s="215"/>
      <c r="G181" s="215"/>
      <c r="H181" s="2"/>
      <c r="I181" s="19"/>
      <c r="K181" s="35"/>
      <c r="M181" s="35"/>
      <c r="N181" s="35"/>
      <c r="O181" s="35"/>
      <c r="P181" s="35"/>
    </row>
    <row r="182" spans="2:16">
      <c r="B182" s="28"/>
      <c r="C182" s="196"/>
      <c r="D182" s="47"/>
      <c r="E182" s="28"/>
      <c r="F182" s="215"/>
      <c r="G182" s="215"/>
      <c r="H182" s="2"/>
      <c r="I182" s="19"/>
      <c r="K182" s="35"/>
      <c r="M182" s="35"/>
      <c r="N182" s="35"/>
      <c r="O182" s="35"/>
      <c r="P182" s="35"/>
    </row>
    <row r="183" spans="2:16">
      <c r="B183" s="28"/>
      <c r="C183" s="196"/>
      <c r="D183" s="47"/>
      <c r="E183" s="28"/>
      <c r="F183" s="215"/>
      <c r="G183" s="215"/>
      <c r="H183" s="2"/>
      <c r="I183" s="19"/>
      <c r="K183" s="35"/>
      <c r="M183" s="35"/>
      <c r="N183" s="35"/>
      <c r="O183" s="35"/>
      <c r="P183" s="35"/>
    </row>
    <row r="184" spans="2:16">
      <c r="B184" s="28"/>
      <c r="C184" s="196"/>
      <c r="D184" s="47"/>
      <c r="E184" s="28"/>
      <c r="F184" s="215"/>
      <c r="G184" s="215"/>
      <c r="H184" s="2"/>
      <c r="I184" s="19"/>
      <c r="K184" s="35"/>
      <c r="M184" s="35"/>
      <c r="N184" s="35"/>
      <c r="O184" s="35"/>
      <c r="P184" s="35"/>
    </row>
    <row r="185" spans="2:16">
      <c r="B185" s="28"/>
      <c r="C185" s="196"/>
      <c r="D185" s="47"/>
      <c r="E185" s="28"/>
      <c r="F185" s="215"/>
      <c r="G185" s="215"/>
      <c r="H185" s="2"/>
      <c r="I185" s="19"/>
      <c r="K185" s="35"/>
      <c r="M185" s="35"/>
      <c r="N185" s="35"/>
      <c r="O185" s="35"/>
      <c r="P185" s="35"/>
    </row>
    <row r="186" spans="2:16">
      <c r="B186" s="28"/>
      <c r="C186" s="196"/>
      <c r="D186" s="47"/>
      <c r="E186" s="28"/>
      <c r="F186" s="215"/>
      <c r="G186" s="215"/>
      <c r="H186" s="2"/>
      <c r="I186" s="19"/>
      <c r="K186" s="35"/>
      <c r="M186" s="35"/>
      <c r="N186" s="35"/>
      <c r="O186" s="35"/>
      <c r="P186" s="35"/>
    </row>
    <row r="187" spans="2:16">
      <c r="B187" s="28"/>
      <c r="C187" s="196"/>
      <c r="D187" s="47"/>
      <c r="E187" s="28"/>
      <c r="F187" s="215"/>
      <c r="G187" s="215"/>
      <c r="H187" s="2"/>
      <c r="I187" s="19"/>
      <c r="K187" s="35"/>
      <c r="M187" s="35"/>
      <c r="N187" s="35"/>
      <c r="O187" s="35"/>
      <c r="P187" s="35"/>
    </row>
    <row r="188" spans="2:16">
      <c r="B188" s="28"/>
      <c r="C188" s="196"/>
      <c r="D188" s="47"/>
      <c r="E188" s="28"/>
      <c r="F188" s="215"/>
      <c r="G188" s="215"/>
      <c r="H188" s="2"/>
      <c r="I188" s="19"/>
      <c r="K188" s="35"/>
      <c r="M188" s="35"/>
      <c r="N188" s="35"/>
      <c r="O188" s="35"/>
      <c r="P188" s="35"/>
    </row>
    <row r="189" spans="2:16">
      <c r="B189" s="28"/>
      <c r="C189" s="196"/>
      <c r="D189" s="47"/>
      <c r="E189" s="28"/>
      <c r="F189" s="215"/>
      <c r="G189" s="215"/>
      <c r="H189" s="2"/>
      <c r="I189" s="19"/>
      <c r="K189" s="35"/>
      <c r="M189" s="35"/>
      <c r="N189" s="35"/>
      <c r="O189" s="35"/>
      <c r="P189" s="35"/>
    </row>
    <row r="190" spans="2:16">
      <c r="B190" s="28"/>
      <c r="C190" s="196"/>
      <c r="D190" s="47"/>
      <c r="E190" s="28"/>
      <c r="F190" s="215"/>
      <c r="G190" s="215"/>
      <c r="H190" s="2"/>
      <c r="I190" s="19"/>
      <c r="K190" s="35"/>
      <c r="M190" s="35"/>
      <c r="N190" s="35"/>
      <c r="O190" s="35"/>
      <c r="P190" s="35"/>
    </row>
    <row r="191" spans="2:16">
      <c r="B191" s="28"/>
      <c r="C191" s="196"/>
      <c r="D191" s="47"/>
      <c r="E191" s="28"/>
      <c r="F191" s="215"/>
      <c r="G191" s="215"/>
      <c r="H191" s="2"/>
      <c r="I191" s="19"/>
      <c r="K191" s="35"/>
      <c r="M191" s="35"/>
      <c r="N191" s="35"/>
      <c r="O191" s="35"/>
      <c r="P191" s="35"/>
    </row>
    <row r="192" spans="2:16">
      <c r="D192" s="47"/>
      <c r="E192" s="143"/>
      <c r="H192" s="2"/>
      <c r="I192" s="30"/>
    </row>
    <row r="193" spans="4:9">
      <c r="D193" s="47"/>
      <c r="E193" s="143"/>
      <c r="H193" s="2"/>
      <c r="I193" s="30"/>
    </row>
    <row r="194" spans="4:9">
      <c r="D194" s="47"/>
      <c r="E194" s="143"/>
      <c r="H194" s="2"/>
      <c r="I194" s="30"/>
    </row>
    <row r="195" spans="4:9">
      <c r="D195" s="47"/>
      <c r="E195" s="143"/>
      <c r="H195" s="2"/>
      <c r="I195" s="30"/>
    </row>
    <row r="196" spans="4:9">
      <c r="D196" s="47"/>
      <c r="E196" s="143"/>
      <c r="H196" s="2"/>
      <c r="I196" s="30"/>
    </row>
    <row r="197" spans="4:9">
      <c r="D197" s="47"/>
      <c r="E197" s="143"/>
      <c r="H197" s="2"/>
      <c r="I197" s="30"/>
    </row>
    <row r="198" spans="4:9">
      <c r="D198" s="47"/>
      <c r="E198" s="143"/>
      <c r="H198" s="2"/>
      <c r="I198" s="30"/>
    </row>
    <row r="199" spans="4:9">
      <c r="D199" s="47"/>
      <c r="E199" s="143"/>
      <c r="H199" s="2"/>
      <c r="I199" s="30"/>
    </row>
    <row r="200" spans="4:9">
      <c r="D200" s="47"/>
      <c r="E200" s="143"/>
      <c r="H200" s="2"/>
      <c r="I200" s="30"/>
    </row>
    <row r="201" spans="4:9">
      <c r="D201" s="47"/>
      <c r="E201" s="143"/>
      <c r="H201" s="2"/>
      <c r="I201" s="30"/>
    </row>
    <row r="202" spans="4:9">
      <c r="D202" s="47"/>
      <c r="E202" s="143"/>
      <c r="H202" s="2"/>
      <c r="I202" s="30"/>
    </row>
    <row r="203" spans="4:9">
      <c r="D203" s="47"/>
      <c r="E203" s="143"/>
      <c r="H203" s="2"/>
      <c r="I203" s="30"/>
    </row>
    <row r="204" spans="4:9">
      <c r="D204" s="47"/>
      <c r="E204" s="143"/>
      <c r="H204" s="2"/>
      <c r="I204" s="30"/>
    </row>
    <row r="205" spans="4:9">
      <c r="D205" s="47"/>
      <c r="E205" s="143"/>
      <c r="H205" s="2"/>
      <c r="I205" s="30"/>
    </row>
    <row r="206" spans="4:9">
      <c r="D206" s="47"/>
      <c r="E206" s="143"/>
      <c r="H206" s="2"/>
      <c r="I206" s="30"/>
    </row>
    <row r="207" spans="4:9">
      <c r="D207" s="47"/>
      <c r="E207" s="143"/>
      <c r="H207" s="2"/>
      <c r="I207" s="30"/>
    </row>
    <row r="208" spans="4:9">
      <c r="D208" s="47"/>
      <c r="E208" s="143"/>
      <c r="H208" s="2"/>
      <c r="I208" s="30"/>
    </row>
    <row r="209" spans="4:9">
      <c r="D209" s="47"/>
      <c r="E209" s="143"/>
      <c r="H209" s="2"/>
      <c r="I209" s="30"/>
    </row>
    <row r="210" spans="4:9">
      <c r="D210" s="47"/>
      <c r="E210" s="143"/>
      <c r="H210" s="2"/>
      <c r="I210" s="30"/>
    </row>
    <row r="211" spans="4:9">
      <c r="D211" s="47"/>
      <c r="E211" s="143"/>
      <c r="H211" s="2"/>
      <c r="I211" s="30"/>
    </row>
    <row r="212" spans="4:9">
      <c r="D212" s="47"/>
      <c r="E212" s="143"/>
      <c r="H212" s="2"/>
      <c r="I212" s="30"/>
    </row>
    <row r="213" spans="4:9">
      <c r="D213" s="47"/>
      <c r="E213" s="143"/>
      <c r="H213" s="2"/>
      <c r="I213" s="30"/>
    </row>
    <row r="214" spans="4:9">
      <c r="D214" s="47"/>
      <c r="E214" s="143"/>
      <c r="H214" s="2"/>
      <c r="I214" s="30"/>
    </row>
    <row r="215" spans="4:9">
      <c r="D215" s="47"/>
      <c r="E215" s="143"/>
      <c r="H215" s="2"/>
      <c r="I215" s="30"/>
    </row>
    <row r="216" spans="4:9">
      <c r="D216" s="47"/>
      <c r="E216" s="143"/>
      <c r="H216" s="2"/>
      <c r="I216" s="30"/>
    </row>
    <row r="217" spans="4:9">
      <c r="D217" s="47"/>
      <c r="E217" s="143"/>
      <c r="H217" s="2"/>
      <c r="I217" s="30"/>
    </row>
    <row r="218" spans="4:9">
      <c r="D218" s="47"/>
      <c r="E218" s="143"/>
      <c r="H218" s="2"/>
      <c r="I218" s="30"/>
    </row>
    <row r="219" spans="4:9">
      <c r="D219" s="47"/>
      <c r="E219" s="143"/>
      <c r="H219" s="2"/>
      <c r="I219" s="30"/>
    </row>
    <row r="220" spans="4:9">
      <c r="D220" s="47"/>
      <c r="E220" s="143"/>
      <c r="H220" s="2"/>
      <c r="I220" s="30"/>
    </row>
    <row r="221" spans="4:9">
      <c r="D221" s="47"/>
      <c r="E221" s="143"/>
      <c r="H221" s="2"/>
      <c r="I221" s="30"/>
    </row>
    <row r="222" spans="4:9">
      <c r="D222" s="47"/>
      <c r="E222" s="143"/>
      <c r="H222" s="2"/>
      <c r="I222" s="30"/>
    </row>
    <row r="223" spans="4:9">
      <c r="D223" s="47"/>
      <c r="E223" s="143"/>
      <c r="H223" s="2"/>
      <c r="I223" s="30"/>
    </row>
    <row r="224" spans="4:9">
      <c r="D224" s="47"/>
      <c r="E224" s="143"/>
      <c r="H224" s="2"/>
      <c r="I224" s="30"/>
    </row>
    <row r="225" spans="4:9">
      <c r="D225" s="47"/>
      <c r="E225" s="143"/>
      <c r="H225" s="2"/>
      <c r="I225" s="30"/>
    </row>
    <row r="226" spans="4:9">
      <c r="D226" s="47"/>
      <c r="E226" s="143"/>
      <c r="H226" s="2"/>
      <c r="I226" s="30"/>
    </row>
    <row r="227" spans="4:9">
      <c r="D227" s="47"/>
      <c r="E227" s="143"/>
      <c r="H227" s="2"/>
      <c r="I227" s="30"/>
    </row>
    <row r="228" spans="4:9">
      <c r="D228" s="47"/>
      <c r="E228" s="143"/>
      <c r="H228" s="2"/>
      <c r="I228" s="30"/>
    </row>
    <row r="229" spans="4:9">
      <c r="D229" s="47"/>
      <c r="E229" s="143"/>
      <c r="H229" s="2"/>
      <c r="I229" s="30"/>
    </row>
    <row r="230" spans="4:9">
      <c r="D230" s="47"/>
      <c r="E230" s="143"/>
      <c r="H230" s="2"/>
      <c r="I230" s="30"/>
    </row>
    <row r="231" spans="4:9">
      <c r="D231" s="47"/>
      <c r="E231" s="143"/>
      <c r="H231" s="2"/>
      <c r="I231" s="30"/>
    </row>
    <row r="232" spans="4:9">
      <c r="D232" s="47"/>
      <c r="E232" s="143"/>
      <c r="H232" s="2"/>
      <c r="I232" s="30"/>
    </row>
    <row r="233" spans="4:9">
      <c r="D233" s="47"/>
      <c r="E233" s="143"/>
      <c r="H233" s="2"/>
      <c r="I233" s="30"/>
    </row>
    <row r="234" spans="4:9">
      <c r="D234" s="47"/>
      <c r="E234" s="143"/>
      <c r="H234" s="2"/>
      <c r="I234" s="30"/>
    </row>
    <row r="235" spans="4:9">
      <c r="D235" s="47"/>
      <c r="E235" s="143"/>
      <c r="H235" s="2"/>
      <c r="I235" s="30"/>
    </row>
    <row r="236" spans="4:9">
      <c r="D236" s="47"/>
      <c r="E236" s="143"/>
      <c r="H236" s="2"/>
      <c r="I236" s="30"/>
    </row>
    <row r="237" spans="4:9">
      <c r="D237" s="47"/>
      <c r="E237" s="143"/>
      <c r="H237" s="2"/>
      <c r="I237" s="30"/>
    </row>
    <row r="238" spans="4:9">
      <c r="D238" s="47"/>
      <c r="E238" s="143"/>
      <c r="H238" s="2"/>
      <c r="I238" s="30"/>
    </row>
    <row r="239" spans="4:9">
      <c r="D239" s="47"/>
      <c r="E239" s="143"/>
      <c r="H239" s="2"/>
      <c r="I239" s="30"/>
    </row>
    <row r="240" spans="4:9">
      <c r="D240" s="47"/>
      <c r="E240" s="143"/>
      <c r="H240" s="2"/>
      <c r="I240" s="30"/>
    </row>
    <row r="241" spans="4:9">
      <c r="D241" s="47"/>
      <c r="E241" s="143"/>
      <c r="H241" s="2"/>
      <c r="I241" s="30"/>
    </row>
    <row r="242" spans="4:9">
      <c r="D242" s="47"/>
      <c r="E242" s="143"/>
      <c r="H242" s="2"/>
      <c r="I242" s="30"/>
    </row>
    <row r="243" spans="4:9">
      <c r="D243" s="47"/>
      <c r="E243" s="143"/>
      <c r="H243" s="2"/>
      <c r="I243" s="30"/>
    </row>
    <row r="244" spans="4:9">
      <c r="D244" s="47"/>
      <c r="E244" s="143"/>
      <c r="H244" s="2"/>
      <c r="I244" s="30"/>
    </row>
    <row r="245" spans="4:9">
      <c r="D245" s="47"/>
      <c r="E245" s="143"/>
      <c r="H245" s="2"/>
      <c r="I245" s="30"/>
    </row>
    <row r="246" spans="4:9">
      <c r="D246" s="47"/>
      <c r="E246" s="143"/>
      <c r="H246" s="2"/>
      <c r="I246" s="30"/>
    </row>
    <row r="247" spans="4:9">
      <c r="D247" s="47"/>
      <c r="E247" s="143"/>
      <c r="H247" s="2"/>
      <c r="I247" s="30"/>
    </row>
    <row r="248" spans="4:9">
      <c r="D248" s="47"/>
      <c r="E248" s="143"/>
      <c r="H248" s="2"/>
      <c r="I248" s="30"/>
    </row>
    <row r="249" spans="4:9">
      <c r="D249" s="47"/>
      <c r="E249" s="143"/>
      <c r="H249" s="2"/>
      <c r="I249" s="30"/>
    </row>
    <row r="250" spans="4:9">
      <c r="D250" s="47"/>
      <c r="E250" s="143"/>
      <c r="H250" s="2"/>
      <c r="I250" s="30"/>
    </row>
    <row r="251" spans="4:9">
      <c r="D251" s="47"/>
      <c r="E251" s="143"/>
      <c r="H251" s="2"/>
      <c r="I251" s="30"/>
    </row>
    <row r="252" spans="4:9">
      <c r="D252" s="47"/>
      <c r="E252" s="143"/>
      <c r="H252" s="2"/>
      <c r="I252" s="30"/>
    </row>
    <row r="253" spans="4:9">
      <c r="D253" s="47"/>
      <c r="E253" s="143"/>
      <c r="H253" s="2"/>
      <c r="I253" s="30"/>
    </row>
    <row r="254" spans="4:9">
      <c r="D254" s="47"/>
      <c r="E254" s="143"/>
      <c r="H254" s="2"/>
      <c r="I254" s="30"/>
    </row>
    <row r="255" spans="4:9">
      <c r="D255" s="47"/>
      <c r="E255" s="143"/>
      <c r="H255" s="2"/>
      <c r="I255" s="30"/>
    </row>
    <row r="256" spans="4:9">
      <c r="D256" s="47"/>
      <c r="E256" s="143"/>
      <c r="H256" s="2"/>
      <c r="I256" s="30"/>
    </row>
    <row r="257" spans="4:9">
      <c r="D257" s="47"/>
      <c r="E257" s="143"/>
      <c r="H257" s="2"/>
      <c r="I257" s="30"/>
    </row>
    <row r="258" spans="4:9">
      <c r="D258" s="47"/>
      <c r="E258" s="143"/>
      <c r="H258" s="2"/>
      <c r="I258" s="30"/>
    </row>
    <row r="259" spans="4:9">
      <c r="D259" s="47"/>
      <c r="E259" s="143"/>
      <c r="H259" s="2"/>
      <c r="I259" s="30"/>
    </row>
    <row r="260" spans="4:9">
      <c r="D260" s="47"/>
      <c r="E260" s="143"/>
      <c r="H260" s="2"/>
      <c r="I260" s="30"/>
    </row>
    <row r="261" spans="4:9">
      <c r="D261" s="47"/>
      <c r="E261" s="143"/>
      <c r="H261" s="2"/>
      <c r="I261" s="30"/>
    </row>
    <row r="262" spans="4:9">
      <c r="D262" s="47"/>
      <c r="E262" s="143"/>
      <c r="H262" s="2"/>
      <c r="I262" s="30"/>
    </row>
    <row r="263" spans="4:9">
      <c r="D263" s="47"/>
      <c r="E263" s="143"/>
      <c r="H263" s="2"/>
      <c r="I263" s="30"/>
    </row>
    <row r="264" spans="4:9">
      <c r="D264" s="47"/>
      <c r="E264" s="143"/>
      <c r="H264" s="2"/>
      <c r="I264" s="30"/>
    </row>
    <row r="265" spans="4:9">
      <c r="D265" s="47"/>
      <c r="E265" s="143"/>
      <c r="H265" s="2"/>
      <c r="I265" s="30"/>
    </row>
    <row r="266" spans="4:9">
      <c r="D266" s="47"/>
      <c r="E266" s="143"/>
      <c r="H266" s="2"/>
      <c r="I266" s="30"/>
    </row>
    <row r="267" spans="4:9">
      <c r="D267" s="47"/>
      <c r="E267" s="143"/>
      <c r="H267" s="2"/>
      <c r="I267" s="30"/>
    </row>
    <row r="268" spans="4:9">
      <c r="D268" s="47"/>
      <c r="E268" s="143"/>
      <c r="H268" s="2"/>
      <c r="I268" s="30"/>
    </row>
    <row r="269" spans="4:9">
      <c r="D269" s="47"/>
      <c r="E269" s="143"/>
      <c r="H269" s="2"/>
      <c r="I269" s="30"/>
    </row>
    <row r="270" spans="4:9">
      <c r="D270" s="47"/>
      <c r="E270" s="143"/>
      <c r="H270" s="2"/>
      <c r="I270" s="30"/>
    </row>
    <row r="271" spans="4:9">
      <c r="D271" s="47"/>
      <c r="E271" s="143"/>
      <c r="H271" s="2"/>
      <c r="I271" s="30"/>
    </row>
    <row r="272" spans="4:9">
      <c r="D272" s="47"/>
      <c r="E272" s="143"/>
      <c r="H272" s="2"/>
      <c r="I272" s="30"/>
    </row>
    <row r="273" spans="4:9">
      <c r="D273" s="47"/>
      <c r="E273" s="143"/>
      <c r="H273" s="2"/>
      <c r="I273" s="30"/>
    </row>
    <row r="274" spans="4:9">
      <c r="D274" s="47"/>
      <c r="E274" s="143"/>
      <c r="H274" s="2"/>
      <c r="I274" s="30"/>
    </row>
    <row r="275" spans="4:9">
      <c r="D275" s="47"/>
      <c r="E275" s="143"/>
      <c r="H275" s="2"/>
      <c r="I275" s="30"/>
    </row>
    <row r="276" spans="4:9">
      <c r="D276" s="47"/>
      <c r="E276" s="143"/>
      <c r="H276" s="2"/>
      <c r="I276" s="30"/>
    </row>
    <row r="277" spans="4:9">
      <c r="D277" s="47"/>
      <c r="E277" s="143"/>
      <c r="H277" s="2"/>
      <c r="I277" s="30"/>
    </row>
    <row r="278" spans="4:9">
      <c r="D278" s="47"/>
      <c r="E278" s="143"/>
      <c r="H278" s="2"/>
      <c r="I278" s="30"/>
    </row>
    <row r="279" spans="4:9">
      <c r="D279" s="47"/>
      <c r="E279" s="143"/>
      <c r="H279" s="2"/>
      <c r="I279" s="30"/>
    </row>
    <row r="280" spans="4:9">
      <c r="D280" s="47"/>
      <c r="E280" s="143"/>
      <c r="H280" s="2"/>
      <c r="I280" s="30"/>
    </row>
    <row r="281" spans="4:9">
      <c r="D281" s="47"/>
      <c r="E281" s="143"/>
      <c r="H281" s="2"/>
      <c r="I281" s="30"/>
    </row>
    <row r="282" spans="4:9">
      <c r="D282" s="47"/>
      <c r="E282" s="143"/>
      <c r="H282" s="2"/>
      <c r="I282" s="30"/>
    </row>
    <row r="283" spans="4:9">
      <c r="D283" s="47"/>
      <c r="E283" s="143"/>
      <c r="H283" s="2"/>
      <c r="I283" s="30"/>
    </row>
    <row r="284" spans="4:9">
      <c r="D284" s="47"/>
      <c r="E284" s="143"/>
      <c r="H284" s="2"/>
      <c r="I284" s="30"/>
    </row>
    <row r="285" spans="4:9">
      <c r="D285" s="47"/>
      <c r="E285" s="143"/>
      <c r="H285" s="2"/>
      <c r="I285" s="30"/>
    </row>
    <row r="286" spans="4:9">
      <c r="D286" s="47"/>
      <c r="E286" s="143"/>
      <c r="H286" s="2"/>
      <c r="I286" s="30"/>
    </row>
    <row r="287" spans="4:9">
      <c r="D287" s="47"/>
      <c r="E287" s="143"/>
      <c r="H287" s="2"/>
      <c r="I287" s="30"/>
    </row>
    <row r="288" spans="4:9">
      <c r="D288" s="47"/>
      <c r="E288" s="143"/>
      <c r="H288" s="2"/>
      <c r="I288" s="30"/>
    </row>
    <row r="289" spans="4:9">
      <c r="D289" s="47"/>
      <c r="E289" s="143"/>
      <c r="H289" s="2"/>
      <c r="I289" s="30"/>
    </row>
    <row r="290" spans="4:9">
      <c r="D290" s="47"/>
      <c r="E290" s="143"/>
      <c r="H290" s="2"/>
      <c r="I290" s="30"/>
    </row>
    <row r="291" spans="4:9">
      <c r="D291" s="47"/>
      <c r="E291" s="143"/>
      <c r="H291" s="2"/>
      <c r="I291" s="30"/>
    </row>
    <row r="292" spans="4:9">
      <c r="D292" s="47"/>
      <c r="E292" s="143"/>
      <c r="H292" s="2"/>
      <c r="I292" s="30"/>
    </row>
    <row r="293" spans="4:9">
      <c r="D293" s="47"/>
      <c r="E293" s="143"/>
      <c r="H293" s="2"/>
      <c r="I293" s="30"/>
    </row>
    <row r="294" spans="4:9">
      <c r="D294" s="47"/>
      <c r="E294" s="143"/>
      <c r="H294" s="2"/>
      <c r="I294" s="30"/>
    </row>
    <row r="295" spans="4:9">
      <c r="D295" s="47"/>
      <c r="E295" s="143"/>
      <c r="H295" s="2"/>
      <c r="I295" s="30"/>
    </row>
    <row r="296" spans="4:9">
      <c r="D296" s="47"/>
      <c r="E296" s="143"/>
      <c r="H296" s="2"/>
      <c r="I296" s="30"/>
    </row>
    <row r="297" spans="4:9">
      <c r="D297" s="47"/>
      <c r="E297" s="143"/>
      <c r="H297" s="2"/>
      <c r="I297" s="30"/>
    </row>
    <row r="298" spans="4:9">
      <c r="D298" s="47"/>
      <c r="E298" s="143"/>
      <c r="H298" s="2"/>
      <c r="I298" s="30"/>
    </row>
    <row r="299" spans="4:9">
      <c r="D299" s="47"/>
      <c r="E299" s="143"/>
      <c r="H299" s="2"/>
      <c r="I299" s="30"/>
    </row>
    <row r="300" spans="4:9">
      <c r="D300" s="47"/>
      <c r="E300" s="143"/>
      <c r="H300" s="2"/>
      <c r="I300" s="30"/>
    </row>
    <row r="301" spans="4:9">
      <c r="D301" s="47"/>
      <c r="E301" s="143"/>
      <c r="H301" s="2"/>
      <c r="I301" s="30"/>
    </row>
    <row r="302" spans="4:9">
      <c r="D302" s="47"/>
      <c r="E302" s="143"/>
      <c r="H302" s="2"/>
      <c r="I302" s="30"/>
    </row>
    <row r="303" spans="4:9">
      <c r="D303" s="47"/>
      <c r="E303" s="143"/>
      <c r="H303" s="2"/>
      <c r="I303" s="30"/>
    </row>
    <row r="304" spans="4:9">
      <c r="D304" s="47"/>
      <c r="E304" s="143"/>
      <c r="H304" s="2"/>
      <c r="I304" s="30"/>
    </row>
    <row r="305" spans="4:9">
      <c r="D305" s="47"/>
      <c r="E305" s="143"/>
      <c r="H305" s="2"/>
      <c r="I305" s="30"/>
    </row>
    <row r="306" spans="4:9">
      <c r="D306" s="47"/>
      <c r="E306" s="143"/>
      <c r="H306" s="2"/>
      <c r="I306" s="30"/>
    </row>
    <row r="307" spans="4:9">
      <c r="D307" s="47"/>
      <c r="E307" s="143"/>
      <c r="H307" s="2"/>
      <c r="I307" s="30"/>
    </row>
    <row r="308" spans="4:9">
      <c r="D308" s="47"/>
      <c r="E308" s="143"/>
      <c r="H308" s="2"/>
      <c r="I308" s="30"/>
    </row>
    <row r="309" spans="4:9">
      <c r="D309" s="47"/>
      <c r="E309" s="143"/>
      <c r="H309" s="2"/>
      <c r="I309" s="30"/>
    </row>
    <row r="310" spans="4:9">
      <c r="D310" s="47"/>
      <c r="E310" s="143"/>
      <c r="H310" s="2"/>
      <c r="I310" s="30"/>
    </row>
    <row r="311" spans="4:9">
      <c r="D311" s="47"/>
      <c r="E311" s="143"/>
      <c r="H311" s="2"/>
      <c r="I311" s="30"/>
    </row>
    <row r="312" spans="4:9">
      <c r="D312" s="47"/>
      <c r="E312" s="143"/>
      <c r="H312" s="2"/>
      <c r="I312" s="30"/>
    </row>
    <row r="313" spans="4:9">
      <c r="D313" s="47"/>
      <c r="E313" s="143"/>
      <c r="H313" s="2"/>
      <c r="I313" s="30"/>
    </row>
    <row r="314" spans="4:9">
      <c r="D314" s="47"/>
      <c r="E314" s="143"/>
      <c r="H314" s="2"/>
      <c r="I314" s="30"/>
    </row>
    <row r="315" spans="4:9">
      <c r="D315" s="47"/>
      <c r="E315" s="143"/>
      <c r="H315" s="2"/>
      <c r="I315" s="30"/>
    </row>
    <row r="316" spans="4:9">
      <c r="D316" s="47"/>
      <c r="E316" s="143"/>
      <c r="H316" s="2"/>
      <c r="I316" s="30"/>
    </row>
    <row r="317" spans="4:9">
      <c r="D317" s="47"/>
      <c r="E317" s="143"/>
      <c r="H317" s="2"/>
      <c r="I317" s="30"/>
    </row>
    <row r="318" spans="4:9">
      <c r="D318" s="47"/>
      <c r="E318" s="143"/>
      <c r="H318" s="2"/>
      <c r="I318" s="30"/>
    </row>
    <row r="319" spans="4:9">
      <c r="D319" s="47"/>
      <c r="E319" s="143"/>
      <c r="H319" s="2"/>
      <c r="I319" s="30"/>
    </row>
    <row r="320" spans="4:9">
      <c r="D320" s="47"/>
      <c r="E320" s="143"/>
      <c r="H320" s="2"/>
      <c r="I320" s="30"/>
    </row>
    <row r="321" spans="4:9">
      <c r="D321" s="47"/>
      <c r="E321" s="143"/>
      <c r="H321" s="2"/>
      <c r="I321" s="30"/>
    </row>
    <row r="322" spans="4:9">
      <c r="D322" s="47"/>
      <c r="E322" s="143"/>
      <c r="H322" s="2"/>
      <c r="I322" s="30"/>
    </row>
    <row r="323" spans="4:9">
      <c r="D323" s="47"/>
      <c r="E323" s="143"/>
      <c r="H323" s="2"/>
      <c r="I323" s="30"/>
    </row>
    <row r="324" spans="4:9">
      <c r="D324" s="47"/>
      <c r="E324" s="143"/>
      <c r="H324" s="2"/>
      <c r="I324" s="30"/>
    </row>
    <row r="325" spans="4:9">
      <c r="D325" s="47"/>
      <c r="E325" s="143"/>
      <c r="H325" s="2"/>
      <c r="I325" s="30"/>
    </row>
    <row r="326" spans="4:9">
      <c r="D326" s="47"/>
      <c r="E326" s="143"/>
      <c r="H326" s="2"/>
      <c r="I326" s="30"/>
    </row>
    <row r="327" spans="4:9">
      <c r="D327" s="47"/>
      <c r="E327" s="143"/>
      <c r="H327" s="2"/>
      <c r="I327" s="30"/>
    </row>
    <row r="328" spans="4:9">
      <c r="D328" s="47"/>
      <c r="E328" s="143"/>
      <c r="H328" s="2"/>
      <c r="I328" s="30"/>
    </row>
    <row r="329" spans="4:9">
      <c r="D329" s="47"/>
      <c r="E329" s="143"/>
      <c r="H329" s="2"/>
      <c r="I329" s="30"/>
    </row>
    <row r="330" spans="4:9">
      <c r="D330" s="47"/>
      <c r="E330" s="143"/>
      <c r="H330" s="2"/>
      <c r="I330" s="30"/>
    </row>
    <row r="331" spans="4:9">
      <c r="D331" s="47"/>
      <c r="E331" s="143"/>
      <c r="H331" s="2"/>
      <c r="I331" s="30"/>
    </row>
    <row r="332" spans="4:9">
      <c r="D332" s="47"/>
      <c r="E332" s="143"/>
      <c r="H332" s="2"/>
      <c r="I332" s="30"/>
    </row>
    <row r="333" spans="4:9">
      <c r="D333" s="47"/>
      <c r="E333" s="143"/>
      <c r="H333" s="2"/>
      <c r="I333" s="30"/>
    </row>
    <row r="334" spans="4:9">
      <c r="D334" s="47"/>
      <c r="E334" s="143"/>
      <c r="H334" s="2"/>
      <c r="I334" s="30"/>
    </row>
    <row r="335" spans="4:9">
      <c r="D335" s="47"/>
      <c r="E335" s="143"/>
      <c r="H335" s="2"/>
      <c r="I335" s="30"/>
    </row>
    <row r="336" spans="4:9">
      <c r="D336" s="47"/>
      <c r="E336" s="143"/>
      <c r="H336" s="2"/>
      <c r="I336" s="30"/>
    </row>
    <row r="337" spans="4:9">
      <c r="D337" s="47"/>
      <c r="E337" s="143"/>
      <c r="H337" s="2"/>
      <c r="I337" s="30"/>
    </row>
    <row r="338" spans="4:9">
      <c r="D338" s="47"/>
      <c r="E338" s="143"/>
      <c r="H338" s="2"/>
      <c r="I338" s="30"/>
    </row>
    <row r="339" spans="4:9">
      <c r="D339" s="47"/>
      <c r="E339" s="143"/>
      <c r="H339" s="2"/>
      <c r="I339" s="30"/>
    </row>
    <row r="340" spans="4:9">
      <c r="D340" s="47"/>
      <c r="E340" s="143"/>
      <c r="H340" s="2"/>
      <c r="I340" s="30"/>
    </row>
    <row r="341" spans="4:9">
      <c r="D341" s="47"/>
      <c r="E341" s="143"/>
      <c r="H341" s="2"/>
      <c r="I341" s="30"/>
    </row>
    <row r="342" spans="4:9">
      <c r="D342" s="47"/>
      <c r="E342" s="143"/>
      <c r="H342" s="2"/>
      <c r="I342" s="30"/>
    </row>
    <row r="343" spans="4:9">
      <c r="D343" s="47"/>
      <c r="E343" s="143"/>
      <c r="H343" s="2"/>
      <c r="I343" s="30"/>
    </row>
    <row r="344" spans="4:9">
      <c r="D344" s="47"/>
      <c r="E344" s="143"/>
      <c r="H344" s="2"/>
      <c r="I344" s="30"/>
    </row>
    <row r="345" spans="4:9">
      <c r="D345" s="47"/>
      <c r="E345" s="143"/>
      <c r="H345" s="2"/>
      <c r="I345" s="30"/>
    </row>
    <row r="346" spans="4:9">
      <c r="D346" s="47"/>
      <c r="E346" s="143"/>
      <c r="H346" s="2"/>
      <c r="I346" s="30"/>
    </row>
    <row r="347" spans="4:9">
      <c r="D347" s="47"/>
      <c r="E347" s="143"/>
      <c r="H347" s="2"/>
      <c r="I347" s="30"/>
    </row>
    <row r="348" spans="4:9">
      <c r="D348" s="47"/>
      <c r="E348" s="143"/>
      <c r="H348" s="2"/>
      <c r="I348" s="30"/>
    </row>
    <row r="349" spans="4:9">
      <c r="D349" s="47"/>
      <c r="E349" s="143"/>
      <c r="H349" s="2"/>
      <c r="I349" s="30"/>
    </row>
    <row r="350" spans="4:9">
      <c r="D350" s="47"/>
      <c r="E350" s="143"/>
      <c r="H350" s="2"/>
      <c r="I350" s="30"/>
    </row>
    <row r="351" spans="4:9">
      <c r="D351" s="47"/>
      <c r="E351" s="143"/>
      <c r="H351" s="2"/>
      <c r="I351" s="30"/>
    </row>
    <row r="352" spans="4:9">
      <c r="D352" s="47"/>
      <c r="E352" s="143"/>
      <c r="H352" s="2"/>
      <c r="I352" s="30"/>
    </row>
    <row r="353" spans="4:9">
      <c r="D353" s="47"/>
      <c r="E353" s="143"/>
      <c r="H353" s="2"/>
      <c r="I353" s="30"/>
    </row>
    <row r="354" spans="4:9">
      <c r="D354" s="47"/>
      <c r="E354" s="143"/>
      <c r="H354" s="2"/>
      <c r="I354" s="30"/>
    </row>
    <row r="355" spans="4:9">
      <c r="D355" s="47"/>
      <c r="E355" s="143"/>
      <c r="H355" s="2"/>
      <c r="I355" s="30"/>
    </row>
    <row r="356" spans="4:9">
      <c r="D356" s="47"/>
      <c r="E356" s="143"/>
      <c r="H356" s="2"/>
      <c r="I356" s="30"/>
    </row>
    <row r="357" spans="4:9">
      <c r="D357" s="47"/>
      <c r="E357" s="143"/>
      <c r="H357" s="2"/>
      <c r="I357" s="30"/>
    </row>
    <row r="358" spans="4:9">
      <c r="D358" s="47"/>
      <c r="E358" s="143"/>
      <c r="H358" s="2"/>
      <c r="I358" s="30"/>
    </row>
    <row r="359" spans="4:9">
      <c r="D359" s="47"/>
      <c r="E359" s="143"/>
      <c r="H359" s="2"/>
      <c r="I359" s="30"/>
    </row>
    <row r="360" spans="4:9">
      <c r="D360" s="47"/>
      <c r="E360" s="143"/>
      <c r="H360" s="2"/>
      <c r="I360" s="30"/>
    </row>
    <row r="361" spans="4:9">
      <c r="D361" s="47"/>
      <c r="E361" s="143"/>
      <c r="H361" s="2"/>
      <c r="I361" s="30"/>
    </row>
    <row r="362" spans="4:9">
      <c r="D362" s="47"/>
      <c r="E362" s="143"/>
      <c r="H362" s="2"/>
      <c r="I362" s="30"/>
    </row>
    <row r="363" spans="4:9">
      <c r="D363" s="47"/>
      <c r="E363" s="143"/>
      <c r="H363" s="2"/>
      <c r="I363" s="30"/>
    </row>
    <row r="364" spans="4:9">
      <c r="D364" s="47"/>
      <c r="E364" s="143"/>
      <c r="H364" s="2"/>
      <c r="I364" s="30"/>
    </row>
    <row r="365" spans="4:9">
      <c r="D365" s="47"/>
      <c r="E365" s="143"/>
      <c r="H365" s="2"/>
      <c r="I365" s="30"/>
    </row>
    <row r="366" spans="4:9">
      <c r="D366" s="47"/>
      <c r="E366" s="143"/>
      <c r="H366" s="2"/>
      <c r="I366" s="30"/>
    </row>
    <row r="367" spans="4:9">
      <c r="D367" s="47"/>
      <c r="E367" s="143"/>
      <c r="H367" s="2"/>
      <c r="I367" s="30"/>
    </row>
    <row r="368" spans="4:9">
      <c r="D368" s="47"/>
      <c r="E368" s="143"/>
      <c r="H368" s="2"/>
      <c r="I368" s="30"/>
    </row>
    <row r="369" spans="4:9">
      <c r="D369" s="47"/>
      <c r="E369" s="143"/>
      <c r="H369" s="2"/>
      <c r="I369" s="30"/>
    </row>
    <row r="370" spans="4:9">
      <c r="D370" s="47"/>
      <c r="E370" s="143"/>
      <c r="H370" s="2"/>
      <c r="I370" s="30"/>
    </row>
    <row r="371" spans="4:9">
      <c r="D371" s="47"/>
      <c r="E371" s="143"/>
      <c r="H371" s="2"/>
      <c r="I371" s="30"/>
    </row>
    <row r="372" spans="4:9">
      <c r="D372" s="47"/>
      <c r="E372" s="143"/>
      <c r="H372" s="2"/>
      <c r="I372" s="30"/>
    </row>
    <row r="373" spans="4:9">
      <c r="D373" s="47"/>
      <c r="E373" s="143"/>
      <c r="H373" s="2"/>
      <c r="I373" s="30"/>
    </row>
    <row r="374" spans="4:9">
      <c r="D374" s="47"/>
      <c r="E374" s="143"/>
      <c r="H374" s="2"/>
      <c r="I374" s="30"/>
    </row>
    <row r="375" spans="4:9">
      <c r="D375" s="47"/>
      <c r="E375" s="143"/>
      <c r="H375" s="2"/>
      <c r="I375" s="30"/>
    </row>
    <row r="376" spans="4:9">
      <c r="D376" s="47"/>
      <c r="E376" s="143"/>
      <c r="H376" s="2"/>
      <c r="I376" s="30"/>
    </row>
    <row r="377" spans="4:9">
      <c r="D377" s="47"/>
      <c r="E377" s="143"/>
      <c r="H377" s="2"/>
      <c r="I377" s="30"/>
    </row>
    <row r="378" spans="4:9">
      <c r="D378" s="47"/>
      <c r="E378" s="143"/>
      <c r="H378" s="2"/>
      <c r="I378" s="30"/>
    </row>
    <row r="379" spans="4:9">
      <c r="D379" s="47"/>
      <c r="E379" s="143"/>
      <c r="H379" s="2"/>
      <c r="I379" s="30"/>
    </row>
    <row r="380" spans="4:9">
      <c r="D380" s="47"/>
      <c r="E380" s="143"/>
      <c r="H380" s="2"/>
      <c r="I380" s="30"/>
    </row>
    <row r="381" spans="4:9">
      <c r="D381" s="47"/>
      <c r="E381" s="143"/>
      <c r="H381" s="2"/>
      <c r="I381" s="30"/>
    </row>
    <row r="382" spans="4:9">
      <c r="D382" s="47"/>
      <c r="E382" s="143"/>
      <c r="H382" s="2"/>
      <c r="I382" s="30"/>
    </row>
    <row r="383" spans="4:9">
      <c r="D383" s="47"/>
      <c r="E383" s="143"/>
      <c r="H383" s="2"/>
      <c r="I383" s="30"/>
    </row>
    <row r="384" spans="4:9">
      <c r="D384" s="47"/>
      <c r="E384" s="143"/>
      <c r="H384" s="2"/>
      <c r="I384" s="30"/>
    </row>
    <row r="385" spans="4:9">
      <c r="D385" s="47"/>
      <c r="E385" s="143"/>
      <c r="H385" s="2"/>
      <c r="I385" s="30"/>
    </row>
    <row r="386" spans="4:9">
      <c r="D386" s="47"/>
      <c r="E386" s="143"/>
      <c r="H386" s="2"/>
      <c r="I386" s="30"/>
    </row>
    <row r="387" spans="4:9">
      <c r="D387" s="47"/>
      <c r="E387" s="143"/>
      <c r="H387" s="2"/>
      <c r="I387" s="30"/>
    </row>
    <row r="388" spans="4:9">
      <c r="D388" s="47"/>
      <c r="E388" s="143"/>
      <c r="H388" s="2"/>
      <c r="I388" s="30"/>
    </row>
    <row r="389" spans="4:9">
      <c r="D389" s="47"/>
      <c r="E389" s="143"/>
      <c r="H389" s="2"/>
      <c r="I389" s="30"/>
    </row>
    <row r="390" spans="4:9">
      <c r="D390" s="47"/>
      <c r="E390" s="143"/>
      <c r="H390" s="2"/>
      <c r="I390" s="30"/>
    </row>
    <row r="391" spans="4:9">
      <c r="D391" s="47"/>
      <c r="E391" s="143"/>
      <c r="H391" s="2"/>
      <c r="I391" s="30"/>
    </row>
    <row r="392" spans="4:9">
      <c r="D392" s="47"/>
      <c r="E392" s="143"/>
      <c r="H392" s="2"/>
      <c r="I392" s="30"/>
    </row>
    <row r="393" spans="4:9">
      <c r="D393" s="47"/>
      <c r="E393" s="143"/>
      <c r="H393" s="2"/>
      <c r="I393" s="30"/>
    </row>
    <row r="394" spans="4:9">
      <c r="D394" s="47"/>
      <c r="E394" s="143"/>
      <c r="H394" s="2"/>
      <c r="I394" s="30"/>
    </row>
    <row r="395" spans="4:9">
      <c r="D395" s="47"/>
      <c r="E395" s="143"/>
      <c r="H395" s="2"/>
      <c r="I395" s="30"/>
    </row>
    <row r="396" spans="4:9">
      <c r="D396" s="47"/>
      <c r="E396" s="143"/>
      <c r="H396" s="2"/>
      <c r="I396" s="30"/>
    </row>
    <row r="397" spans="4:9">
      <c r="D397" s="47"/>
      <c r="E397" s="143"/>
      <c r="H397" s="2"/>
      <c r="I397" s="30"/>
    </row>
    <row r="398" spans="4:9">
      <c r="D398" s="47"/>
      <c r="E398" s="143"/>
      <c r="H398" s="2"/>
      <c r="I398" s="30"/>
    </row>
    <row r="399" spans="4:9">
      <c r="D399" s="47"/>
      <c r="E399" s="143"/>
      <c r="H399" s="2"/>
      <c r="I399" s="30"/>
    </row>
    <row r="400" spans="4:9">
      <c r="D400" s="47"/>
      <c r="E400" s="143"/>
      <c r="H400" s="2"/>
      <c r="I400" s="30"/>
    </row>
    <row r="401" spans="4:9">
      <c r="D401" s="47"/>
      <c r="E401" s="143"/>
      <c r="H401" s="2"/>
      <c r="I401" s="30"/>
    </row>
    <row r="402" spans="4:9">
      <c r="D402" s="47"/>
      <c r="E402" s="143"/>
      <c r="H402" s="2"/>
      <c r="I402" s="30"/>
    </row>
    <row r="403" spans="4:9">
      <c r="D403" s="47"/>
      <c r="E403" s="143"/>
      <c r="H403" s="2"/>
      <c r="I403" s="30"/>
    </row>
    <row r="404" spans="4:9">
      <c r="D404" s="47"/>
      <c r="E404" s="143"/>
      <c r="H404" s="2"/>
      <c r="I404" s="30"/>
    </row>
    <row r="405" spans="4:9">
      <c r="D405" s="47"/>
      <c r="E405" s="143"/>
      <c r="H405" s="2"/>
      <c r="I405" s="30"/>
    </row>
    <row r="406" spans="4:9">
      <c r="D406" s="47"/>
      <c r="E406" s="143"/>
      <c r="H406" s="2"/>
      <c r="I406" s="30"/>
    </row>
    <row r="407" spans="4:9">
      <c r="D407" s="47"/>
      <c r="E407" s="143"/>
      <c r="H407" s="2"/>
      <c r="I407" s="30"/>
    </row>
    <row r="408" spans="4:9">
      <c r="D408" s="47"/>
      <c r="E408" s="143"/>
      <c r="H408" s="2"/>
      <c r="I408" s="30"/>
    </row>
    <row r="409" spans="4:9">
      <c r="D409" s="47"/>
      <c r="E409" s="143"/>
      <c r="H409" s="2"/>
      <c r="I409" s="30"/>
    </row>
    <row r="410" spans="4:9">
      <c r="D410" s="47"/>
      <c r="E410" s="143"/>
      <c r="H410" s="2"/>
      <c r="I410" s="30"/>
    </row>
    <row r="411" spans="4:9">
      <c r="D411" s="47"/>
      <c r="E411" s="143"/>
      <c r="H411" s="2"/>
      <c r="I411" s="30"/>
    </row>
    <row r="412" spans="4:9">
      <c r="D412" s="47"/>
      <c r="E412" s="143"/>
      <c r="H412" s="2"/>
      <c r="I412" s="30"/>
    </row>
    <row r="413" spans="4:9">
      <c r="D413" s="47"/>
      <c r="E413" s="143"/>
      <c r="H413" s="2"/>
      <c r="I413" s="30"/>
    </row>
    <row r="414" spans="4:9">
      <c r="D414" s="47"/>
      <c r="E414" s="143"/>
      <c r="H414" s="2"/>
      <c r="I414" s="30"/>
    </row>
    <row r="415" spans="4:9">
      <c r="D415" s="47"/>
      <c r="E415" s="143"/>
      <c r="H415" s="2"/>
      <c r="I415" s="30"/>
    </row>
    <row r="416" spans="4:9">
      <c r="D416" s="47"/>
      <c r="E416" s="143"/>
      <c r="H416" s="2"/>
      <c r="I416" s="30"/>
    </row>
    <row r="417" spans="4:9">
      <c r="D417" s="47"/>
      <c r="E417" s="143"/>
      <c r="H417" s="2"/>
      <c r="I417" s="30"/>
    </row>
    <row r="418" spans="4:9">
      <c r="D418" s="47"/>
      <c r="E418" s="143"/>
      <c r="H418" s="2"/>
      <c r="I418" s="30"/>
    </row>
    <row r="419" spans="4:9">
      <c r="D419" s="47"/>
      <c r="E419" s="143"/>
      <c r="H419" s="2"/>
      <c r="I419" s="30"/>
    </row>
    <row r="420" spans="4:9">
      <c r="D420" s="47"/>
      <c r="E420" s="143"/>
      <c r="H420" s="2"/>
      <c r="I420" s="30"/>
    </row>
    <row r="421" spans="4:9">
      <c r="D421" s="47"/>
      <c r="E421" s="143"/>
      <c r="H421" s="2"/>
      <c r="I421" s="30"/>
    </row>
    <row r="422" spans="4:9">
      <c r="D422" s="47"/>
      <c r="E422" s="143"/>
      <c r="H422" s="2"/>
      <c r="I422" s="30"/>
    </row>
    <row r="423" spans="4:9">
      <c r="D423" s="47"/>
      <c r="E423" s="143"/>
      <c r="H423" s="2"/>
      <c r="I423" s="30"/>
    </row>
    <row r="424" spans="4:9">
      <c r="D424" s="47"/>
      <c r="E424" s="143"/>
      <c r="H424" s="2"/>
      <c r="I424" s="30"/>
    </row>
    <row r="425" spans="4:9">
      <c r="D425" s="47"/>
      <c r="E425" s="143"/>
      <c r="H425" s="2"/>
      <c r="I425" s="30"/>
    </row>
    <row r="426" spans="4:9">
      <c r="D426" s="47"/>
      <c r="E426" s="143"/>
      <c r="H426" s="2"/>
      <c r="I426" s="30"/>
    </row>
    <row r="427" spans="4:9">
      <c r="D427" s="47"/>
      <c r="E427" s="143"/>
      <c r="H427" s="2"/>
      <c r="I427" s="30"/>
    </row>
    <row r="428" spans="4:9">
      <c r="D428" s="47"/>
      <c r="E428" s="143"/>
      <c r="H428" s="2"/>
      <c r="I428" s="30"/>
    </row>
    <row r="429" spans="4:9">
      <c r="D429" s="47"/>
      <c r="E429" s="143"/>
      <c r="H429" s="2"/>
      <c r="I429" s="30"/>
    </row>
    <row r="430" spans="4:9">
      <c r="D430" s="47"/>
      <c r="E430" s="143"/>
      <c r="H430" s="2"/>
      <c r="I430" s="30"/>
    </row>
    <row r="431" spans="4:9">
      <c r="D431" s="47"/>
      <c r="E431" s="143"/>
      <c r="H431" s="2"/>
      <c r="I431" s="30"/>
    </row>
    <row r="432" spans="4:9">
      <c r="D432" s="47"/>
      <c r="E432" s="143"/>
      <c r="H432" s="2"/>
      <c r="I432" s="30"/>
    </row>
    <row r="433" spans="4:9">
      <c r="D433" s="47"/>
      <c r="E433" s="143"/>
      <c r="H433" s="2"/>
      <c r="I433" s="30"/>
    </row>
    <row r="434" spans="4:9">
      <c r="D434" s="47"/>
      <c r="E434" s="143"/>
      <c r="H434" s="2"/>
      <c r="I434" s="30"/>
    </row>
    <row r="435" spans="4:9">
      <c r="D435" s="47"/>
      <c r="E435" s="143"/>
      <c r="H435" s="2"/>
      <c r="I435" s="30"/>
    </row>
    <row r="436" spans="4:9">
      <c r="D436" s="47"/>
      <c r="E436" s="143"/>
      <c r="H436" s="2"/>
      <c r="I436" s="30"/>
    </row>
    <row r="437" spans="4:9">
      <c r="D437" s="47"/>
      <c r="E437" s="143"/>
      <c r="H437" s="2"/>
      <c r="I437" s="30"/>
    </row>
    <row r="438" spans="4:9">
      <c r="D438" s="47"/>
      <c r="E438" s="143"/>
      <c r="H438" s="2"/>
      <c r="I438" s="30"/>
    </row>
    <row r="439" spans="4:9">
      <c r="D439" s="47"/>
      <c r="E439" s="143"/>
      <c r="H439" s="2"/>
      <c r="I439" s="30"/>
    </row>
    <row r="440" spans="4:9">
      <c r="D440" s="47"/>
      <c r="E440" s="143"/>
      <c r="H440" s="2"/>
      <c r="I440" s="30"/>
    </row>
    <row r="441" spans="4:9">
      <c r="D441" s="47"/>
      <c r="E441" s="143"/>
      <c r="H441" s="2"/>
      <c r="I441" s="30"/>
    </row>
    <row r="442" spans="4:9">
      <c r="D442" s="47"/>
      <c r="E442" s="143"/>
      <c r="H442" s="2"/>
      <c r="I442" s="30"/>
    </row>
    <row r="443" spans="4:9">
      <c r="D443" s="47"/>
      <c r="E443" s="143"/>
      <c r="H443" s="2"/>
      <c r="I443" s="30"/>
    </row>
    <row r="444" spans="4:9">
      <c r="D444" s="47"/>
      <c r="E444" s="143"/>
      <c r="H444" s="2"/>
      <c r="I444" s="30"/>
    </row>
    <row r="445" spans="4:9">
      <c r="D445" s="47"/>
      <c r="E445" s="143"/>
      <c r="H445" s="2"/>
      <c r="I445" s="30"/>
    </row>
    <row r="446" spans="4:9">
      <c r="D446" s="47"/>
      <c r="E446" s="143"/>
      <c r="H446" s="2"/>
      <c r="I446" s="30"/>
    </row>
    <row r="447" spans="4:9">
      <c r="D447" s="47"/>
      <c r="E447" s="143"/>
      <c r="H447" s="2"/>
      <c r="I447" s="30"/>
    </row>
    <row r="448" spans="4:9">
      <c r="D448" s="47"/>
      <c r="E448" s="143"/>
      <c r="H448" s="2"/>
      <c r="I448" s="30"/>
    </row>
    <row r="449" spans="4:9">
      <c r="D449" s="47"/>
      <c r="E449" s="143"/>
      <c r="H449" s="2"/>
      <c r="I449" s="30"/>
    </row>
    <row r="450" spans="4:9">
      <c r="D450" s="47"/>
      <c r="E450" s="143"/>
      <c r="H450" s="2"/>
      <c r="I450" s="30"/>
    </row>
    <row r="451" spans="4:9">
      <c r="D451" s="47"/>
      <c r="E451" s="143"/>
      <c r="H451" s="2"/>
      <c r="I451" s="30"/>
    </row>
    <row r="452" spans="4:9">
      <c r="D452" s="47"/>
      <c r="E452" s="143"/>
      <c r="H452" s="2"/>
      <c r="I452" s="30"/>
    </row>
    <row r="453" spans="4:9">
      <c r="D453" s="47"/>
      <c r="E453" s="143"/>
      <c r="H453" s="2"/>
      <c r="I453" s="30"/>
    </row>
    <row r="454" spans="4:9">
      <c r="D454" s="47"/>
      <c r="E454" s="143"/>
      <c r="H454" s="2"/>
      <c r="I454" s="30"/>
    </row>
    <row r="455" spans="4:9">
      <c r="D455" s="47"/>
      <c r="E455" s="143"/>
      <c r="H455" s="2"/>
      <c r="I455" s="30"/>
    </row>
    <row r="456" spans="4:9">
      <c r="D456" s="47"/>
      <c r="E456" s="143"/>
      <c r="H456" s="2"/>
      <c r="I456" s="30"/>
    </row>
    <row r="457" spans="4:9">
      <c r="D457" s="47"/>
      <c r="E457" s="143"/>
      <c r="H457" s="2"/>
      <c r="I457" s="30"/>
    </row>
    <row r="458" spans="4:9">
      <c r="D458" s="47"/>
      <c r="E458" s="143"/>
      <c r="H458" s="2"/>
      <c r="I458" s="30"/>
    </row>
    <row r="459" spans="4:9">
      <c r="D459" s="47"/>
      <c r="E459" s="143"/>
      <c r="H459" s="2"/>
      <c r="I459" s="30"/>
    </row>
    <row r="460" spans="4:9">
      <c r="D460" s="47"/>
      <c r="E460" s="143"/>
      <c r="H460" s="2"/>
      <c r="I460" s="30"/>
    </row>
    <row r="461" spans="4:9">
      <c r="D461" s="47"/>
      <c r="E461" s="143"/>
      <c r="H461" s="2"/>
      <c r="I461" s="30"/>
    </row>
    <row r="462" spans="4:9">
      <c r="D462" s="47"/>
      <c r="E462" s="143"/>
      <c r="H462" s="2"/>
      <c r="I462" s="30"/>
    </row>
    <row r="463" spans="4:9">
      <c r="D463" s="47"/>
      <c r="E463" s="143"/>
      <c r="H463" s="2"/>
      <c r="I463" s="30"/>
    </row>
    <row r="464" spans="4:9">
      <c r="D464" s="47"/>
      <c r="E464" s="143"/>
      <c r="H464" s="2"/>
      <c r="I464" s="30"/>
    </row>
    <row r="465" spans="4:9">
      <c r="D465" s="47"/>
      <c r="E465" s="143"/>
      <c r="H465" s="2"/>
      <c r="I465" s="30"/>
    </row>
    <row r="466" spans="4:9">
      <c r="D466" s="47"/>
      <c r="E466" s="143"/>
      <c r="H466" s="2"/>
      <c r="I466" s="30"/>
    </row>
    <row r="467" spans="4:9">
      <c r="D467" s="47"/>
      <c r="E467" s="143"/>
      <c r="H467" s="2"/>
      <c r="I467" s="30"/>
    </row>
    <row r="468" spans="4:9">
      <c r="D468" s="47"/>
      <c r="E468" s="143"/>
      <c r="H468" s="2"/>
      <c r="I468" s="30"/>
    </row>
    <row r="469" spans="4:9">
      <c r="D469" s="47"/>
      <c r="E469" s="143"/>
      <c r="H469" s="2"/>
      <c r="I469" s="30"/>
    </row>
    <row r="470" spans="4:9">
      <c r="D470" s="47"/>
      <c r="E470" s="143"/>
      <c r="H470" s="2"/>
      <c r="I470" s="30"/>
    </row>
    <row r="471" spans="4:9">
      <c r="D471" s="47"/>
      <c r="E471" s="143"/>
      <c r="H471" s="2"/>
      <c r="I471" s="30"/>
    </row>
    <row r="472" spans="4:9">
      <c r="D472" s="47"/>
      <c r="E472" s="143"/>
      <c r="H472" s="2"/>
      <c r="I472" s="30"/>
    </row>
    <row r="473" spans="4:9">
      <c r="D473" s="47"/>
      <c r="E473" s="143"/>
      <c r="H473" s="2"/>
      <c r="I473" s="30"/>
    </row>
    <row r="474" spans="4:9">
      <c r="D474" s="47"/>
      <c r="E474" s="143"/>
      <c r="H474" s="2"/>
      <c r="I474" s="30"/>
    </row>
    <row r="475" spans="4:9">
      <c r="D475" s="47"/>
      <c r="E475" s="143"/>
      <c r="H475" s="2"/>
      <c r="I475" s="30"/>
    </row>
    <row r="476" spans="4:9">
      <c r="D476" s="47"/>
      <c r="E476" s="143"/>
      <c r="H476" s="2"/>
      <c r="I476" s="30"/>
    </row>
    <row r="477" spans="4:9">
      <c r="D477" s="47"/>
      <c r="E477" s="143"/>
      <c r="H477" s="2"/>
      <c r="I477" s="30"/>
    </row>
    <row r="478" spans="4:9">
      <c r="D478" s="47"/>
      <c r="E478" s="143"/>
      <c r="H478" s="2"/>
      <c r="I478" s="30"/>
    </row>
    <row r="479" spans="4:9">
      <c r="D479" s="47"/>
      <c r="E479" s="143"/>
      <c r="H479" s="2"/>
      <c r="I479" s="30"/>
    </row>
    <row r="480" spans="4:9">
      <c r="D480" s="47"/>
      <c r="E480" s="143"/>
      <c r="H480" s="2"/>
      <c r="I480" s="30"/>
    </row>
    <row r="481" spans="4:9">
      <c r="D481" s="47"/>
      <c r="E481" s="143"/>
      <c r="H481" s="2"/>
      <c r="I481" s="30"/>
    </row>
    <row r="482" spans="4:9">
      <c r="D482" s="47"/>
      <c r="E482" s="143"/>
      <c r="H482" s="2"/>
      <c r="I482" s="30"/>
    </row>
    <row r="483" spans="4:9">
      <c r="D483" s="47"/>
      <c r="E483" s="143"/>
      <c r="H483" s="2"/>
      <c r="I483" s="30"/>
    </row>
    <row r="484" spans="4:9">
      <c r="D484" s="47"/>
      <c r="E484" s="143"/>
      <c r="H484" s="2"/>
      <c r="I484" s="30"/>
    </row>
    <row r="485" spans="4:9">
      <c r="D485" s="47"/>
      <c r="E485" s="143"/>
      <c r="H485" s="2"/>
      <c r="I485" s="30"/>
    </row>
    <row r="486" spans="4:9">
      <c r="D486" s="47"/>
      <c r="E486" s="143"/>
      <c r="H486" s="2"/>
      <c r="I486" s="30"/>
    </row>
    <row r="487" spans="4:9">
      <c r="D487" s="47"/>
      <c r="E487" s="143"/>
      <c r="H487" s="2"/>
      <c r="I487" s="30"/>
    </row>
    <row r="488" spans="4:9">
      <c r="D488" s="47"/>
      <c r="E488" s="143"/>
      <c r="H488" s="2"/>
      <c r="I488" s="30"/>
    </row>
    <row r="489" spans="4:9">
      <c r="D489" s="47"/>
      <c r="E489" s="143"/>
      <c r="H489" s="2"/>
      <c r="I489" s="30"/>
    </row>
    <row r="490" spans="4:9">
      <c r="D490" s="47"/>
      <c r="E490" s="143"/>
      <c r="H490" s="2"/>
      <c r="I490" s="30"/>
    </row>
    <row r="491" spans="4:9">
      <c r="D491" s="47"/>
      <c r="E491" s="143"/>
      <c r="H491" s="2"/>
      <c r="I491" s="30"/>
    </row>
    <row r="492" spans="4:9">
      <c r="D492" s="47"/>
      <c r="E492" s="143"/>
      <c r="H492" s="2"/>
      <c r="I492" s="30"/>
    </row>
    <row r="493" spans="4:9">
      <c r="D493" s="47"/>
      <c r="E493" s="143"/>
      <c r="H493" s="2"/>
      <c r="I493" s="30"/>
    </row>
    <row r="494" spans="4:9">
      <c r="D494" s="47"/>
      <c r="E494" s="143"/>
      <c r="H494" s="2"/>
      <c r="I494" s="30"/>
    </row>
    <row r="495" spans="4:9">
      <c r="D495" s="47"/>
      <c r="E495" s="143"/>
      <c r="H495" s="2"/>
      <c r="I495" s="30"/>
    </row>
    <row r="496" spans="4:9">
      <c r="D496" s="47"/>
      <c r="E496" s="143"/>
      <c r="H496" s="2"/>
      <c r="I496" s="30"/>
    </row>
    <row r="497" spans="4:9">
      <c r="D497" s="47"/>
      <c r="E497" s="143"/>
      <c r="H497" s="2"/>
      <c r="I497" s="30"/>
    </row>
    <row r="498" spans="4:9">
      <c r="D498" s="47"/>
      <c r="E498" s="143"/>
      <c r="H498" s="2"/>
      <c r="I498" s="30"/>
    </row>
    <row r="499" spans="4:9">
      <c r="D499" s="47"/>
      <c r="E499" s="143"/>
      <c r="H499" s="2"/>
      <c r="I499" s="30"/>
    </row>
    <row r="500" spans="4:9">
      <c r="D500" s="47"/>
      <c r="E500" s="143"/>
      <c r="H500" s="2"/>
      <c r="I500" s="30"/>
    </row>
    <row r="501" spans="4:9">
      <c r="D501" s="47"/>
      <c r="E501" s="143"/>
      <c r="H501" s="2"/>
      <c r="I501" s="30"/>
    </row>
    <row r="502" spans="4:9">
      <c r="D502" s="47"/>
      <c r="E502" s="143"/>
      <c r="H502" s="2"/>
      <c r="I502" s="30"/>
    </row>
    <row r="503" spans="4:9">
      <c r="D503" s="47"/>
      <c r="E503" s="143"/>
      <c r="H503" s="2"/>
      <c r="I503" s="30"/>
    </row>
    <row r="504" spans="4:9">
      <c r="D504" s="47"/>
      <c r="E504" s="143"/>
      <c r="H504" s="2"/>
      <c r="I504" s="30"/>
    </row>
    <row r="505" spans="4:9">
      <c r="D505" s="47"/>
      <c r="E505" s="143"/>
      <c r="H505" s="2"/>
      <c r="I505" s="30"/>
    </row>
    <row r="506" spans="4:9">
      <c r="D506" s="47"/>
      <c r="E506" s="143"/>
      <c r="H506" s="2"/>
      <c r="I506" s="30"/>
    </row>
    <row r="507" spans="4:9">
      <c r="D507" s="47"/>
      <c r="E507" s="143"/>
      <c r="H507" s="2"/>
      <c r="I507" s="30"/>
    </row>
    <row r="508" spans="4:9">
      <c r="D508" s="47"/>
      <c r="E508" s="143"/>
      <c r="H508" s="2"/>
      <c r="I508" s="30"/>
    </row>
    <row r="509" spans="4:9">
      <c r="D509" s="47"/>
      <c r="E509" s="143"/>
      <c r="H509" s="2"/>
      <c r="I509" s="30"/>
    </row>
    <row r="510" spans="4:9">
      <c r="D510" s="47"/>
      <c r="E510" s="143"/>
      <c r="H510" s="2"/>
      <c r="I510" s="30"/>
    </row>
    <row r="511" spans="4:9">
      <c r="D511" s="47"/>
      <c r="E511" s="143"/>
      <c r="H511" s="2"/>
      <c r="I511" s="30"/>
    </row>
    <row r="512" spans="4:9">
      <c r="D512" s="47"/>
      <c r="E512" s="143"/>
      <c r="H512" s="2"/>
      <c r="I512" s="30"/>
    </row>
    <row r="513" spans="4:9">
      <c r="D513" s="47"/>
      <c r="E513" s="143"/>
      <c r="H513" s="2"/>
      <c r="I513" s="30"/>
    </row>
    <row r="514" spans="4:9">
      <c r="D514" s="47"/>
      <c r="E514" s="143"/>
      <c r="H514" s="2"/>
      <c r="I514" s="30"/>
    </row>
    <row r="515" spans="4:9">
      <c r="D515" s="47"/>
      <c r="E515" s="143"/>
      <c r="H515" s="2"/>
      <c r="I515" s="30"/>
    </row>
    <row r="516" spans="4:9">
      <c r="D516" s="47"/>
      <c r="E516" s="143"/>
      <c r="H516" s="2"/>
      <c r="I516" s="30"/>
    </row>
    <row r="517" spans="4:9">
      <c r="D517" s="47"/>
      <c r="E517" s="143"/>
      <c r="H517" s="2"/>
      <c r="I517" s="30"/>
    </row>
    <row r="518" spans="4:9">
      <c r="D518" s="47"/>
      <c r="E518" s="143"/>
      <c r="H518" s="2"/>
      <c r="I518" s="30"/>
    </row>
    <row r="519" spans="4:9">
      <c r="D519" s="47"/>
      <c r="E519" s="143"/>
      <c r="H519" s="2"/>
      <c r="I519" s="30"/>
    </row>
    <row r="520" spans="4:9">
      <c r="D520" s="47"/>
      <c r="E520" s="143"/>
      <c r="H520" s="2"/>
      <c r="I520" s="30"/>
    </row>
    <row r="521" spans="4:9">
      <c r="D521" s="47"/>
      <c r="E521" s="143"/>
      <c r="H521" s="2"/>
      <c r="I521" s="30"/>
    </row>
    <row r="522" spans="4:9">
      <c r="D522" s="47"/>
      <c r="E522" s="143"/>
      <c r="H522" s="2"/>
      <c r="I522" s="30"/>
    </row>
    <row r="523" spans="4:9">
      <c r="D523" s="47"/>
      <c r="E523" s="143"/>
      <c r="H523" s="2"/>
      <c r="I523" s="30"/>
    </row>
    <row r="524" spans="4:9">
      <c r="D524" s="47"/>
      <c r="E524" s="143"/>
      <c r="H524" s="2"/>
      <c r="I524" s="30"/>
    </row>
    <row r="525" spans="4:9">
      <c r="D525" s="47"/>
      <c r="E525" s="143"/>
      <c r="H525" s="2"/>
      <c r="I525" s="30"/>
    </row>
    <row r="526" spans="4:9">
      <c r="D526" s="47"/>
      <c r="E526" s="143"/>
      <c r="H526" s="2"/>
      <c r="I526" s="30"/>
    </row>
    <row r="527" spans="4:9">
      <c r="D527" s="47"/>
      <c r="E527" s="143"/>
      <c r="H527" s="2"/>
      <c r="I527" s="30"/>
    </row>
    <row r="528" spans="4:9">
      <c r="D528" s="47"/>
      <c r="E528" s="143"/>
      <c r="H528" s="2"/>
      <c r="I528" s="30"/>
    </row>
    <row r="529" spans="4:9">
      <c r="D529" s="47"/>
      <c r="E529" s="143"/>
      <c r="H529" s="2"/>
      <c r="I529" s="30"/>
    </row>
    <row r="530" spans="4:9">
      <c r="D530" s="47"/>
      <c r="E530" s="143"/>
      <c r="H530" s="2"/>
      <c r="I530" s="30"/>
    </row>
    <row r="531" spans="4:9">
      <c r="D531" s="47"/>
      <c r="E531" s="143"/>
      <c r="H531" s="2"/>
      <c r="I531" s="30"/>
    </row>
    <row r="532" spans="4:9">
      <c r="D532" s="47"/>
      <c r="E532" s="143"/>
      <c r="H532" s="2"/>
      <c r="I532" s="30"/>
    </row>
    <row r="533" spans="4:9">
      <c r="D533" s="47"/>
      <c r="E533" s="143"/>
      <c r="H533" s="2"/>
      <c r="I533" s="30"/>
    </row>
    <row r="534" spans="4:9">
      <c r="D534" s="47"/>
      <c r="E534" s="143"/>
      <c r="H534" s="2"/>
      <c r="I534" s="30"/>
    </row>
    <row r="535" spans="4:9">
      <c r="D535" s="47"/>
      <c r="E535" s="143"/>
      <c r="H535" s="2"/>
      <c r="I535" s="30"/>
    </row>
    <row r="536" spans="4:9">
      <c r="D536" s="47"/>
      <c r="E536" s="143"/>
      <c r="H536" s="2"/>
      <c r="I536" s="30"/>
    </row>
    <row r="537" spans="4:9">
      <c r="D537" s="47"/>
      <c r="E537" s="143"/>
      <c r="H537" s="2"/>
      <c r="I537" s="30"/>
    </row>
    <row r="538" spans="4:9">
      <c r="D538" s="47"/>
      <c r="E538" s="143"/>
      <c r="H538" s="2"/>
      <c r="I538" s="30"/>
    </row>
    <row r="539" spans="4:9">
      <c r="D539" s="47"/>
      <c r="E539" s="143"/>
      <c r="H539" s="2"/>
      <c r="I539" s="30"/>
    </row>
    <row r="540" spans="4:9">
      <c r="D540" s="47"/>
      <c r="E540" s="143"/>
      <c r="H540" s="2"/>
      <c r="I540" s="30"/>
    </row>
    <row r="541" spans="4:9">
      <c r="D541" s="47"/>
      <c r="E541" s="143"/>
      <c r="H541" s="2"/>
      <c r="I541" s="30"/>
    </row>
    <row r="542" spans="4:9">
      <c r="D542" s="47"/>
      <c r="E542" s="143"/>
      <c r="H542" s="2"/>
      <c r="I542" s="30"/>
    </row>
    <row r="543" spans="4:9">
      <c r="D543" s="47"/>
      <c r="E543" s="143"/>
      <c r="H543" s="2"/>
      <c r="I543" s="30"/>
    </row>
    <row r="544" spans="4:9">
      <c r="D544" s="47"/>
      <c r="E544" s="143"/>
      <c r="H544" s="2"/>
      <c r="I544" s="30"/>
    </row>
    <row r="545" spans="4:9">
      <c r="D545" s="47"/>
      <c r="E545" s="143"/>
      <c r="H545" s="2"/>
      <c r="I545" s="30"/>
    </row>
    <row r="546" spans="4:9">
      <c r="D546" s="47"/>
      <c r="E546" s="143"/>
      <c r="H546" s="2"/>
      <c r="I546" s="30"/>
    </row>
    <row r="547" spans="4:9">
      <c r="D547" s="47"/>
      <c r="E547" s="143"/>
      <c r="H547" s="2"/>
      <c r="I547" s="30"/>
    </row>
    <row r="548" spans="4:9">
      <c r="D548" s="47"/>
      <c r="E548" s="143"/>
      <c r="H548" s="2"/>
      <c r="I548" s="30"/>
    </row>
    <row r="549" spans="4:9">
      <c r="D549" s="47"/>
      <c r="E549" s="143"/>
      <c r="H549" s="2"/>
      <c r="I549" s="30"/>
    </row>
    <row r="550" spans="4:9">
      <c r="D550" s="47"/>
      <c r="E550" s="143"/>
      <c r="H550" s="2"/>
      <c r="I550" s="30"/>
    </row>
    <row r="551" spans="4:9">
      <c r="D551" s="47"/>
      <c r="E551" s="143"/>
      <c r="H551" s="2"/>
      <c r="I551" s="30"/>
    </row>
    <row r="552" spans="4:9">
      <c r="D552" s="47"/>
      <c r="E552" s="143"/>
      <c r="H552" s="2"/>
      <c r="I552" s="30"/>
    </row>
    <row r="553" spans="4:9">
      <c r="D553" s="47"/>
      <c r="E553" s="143"/>
      <c r="H553" s="2"/>
      <c r="I553" s="30"/>
    </row>
    <row r="554" spans="4:9">
      <c r="D554" s="47"/>
      <c r="E554" s="143"/>
      <c r="H554" s="2"/>
      <c r="I554" s="30"/>
    </row>
    <row r="555" spans="4:9">
      <c r="D555" s="47"/>
      <c r="E555" s="143"/>
      <c r="H555" s="2"/>
      <c r="I555" s="30"/>
    </row>
    <row r="556" spans="4:9">
      <c r="D556" s="47"/>
      <c r="E556" s="143"/>
      <c r="H556" s="2"/>
      <c r="I556" s="30"/>
    </row>
    <row r="557" spans="4:9">
      <c r="D557" s="47"/>
      <c r="E557" s="143"/>
      <c r="H557" s="2"/>
      <c r="I557" s="30"/>
    </row>
    <row r="558" spans="4:9">
      <c r="D558" s="47"/>
      <c r="E558" s="143"/>
      <c r="H558" s="2"/>
      <c r="I558" s="30"/>
    </row>
    <row r="559" spans="4:9">
      <c r="D559" s="47"/>
      <c r="E559" s="143"/>
      <c r="H559" s="2"/>
      <c r="I559" s="30"/>
    </row>
    <row r="560" spans="4:9">
      <c r="D560" s="47"/>
      <c r="E560" s="143"/>
      <c r="H560" s="2"/>
      <c r="I560" s="30"/>
    </row>
    <row r="561" spans="4:9">
      <c r="D561" s="47"/>
      <c r="E561" s="143"/>
      <c r="H561" s="2"/>
      <c r="I561" s="30"/>
    </row>
    <row r="562" spans="4:9">
      <c r="D562" s="47"/>
      <c r="E562" s="143"/>
      <c r="H562" s="2"/>
      <c r="I562" s="30"/>
    </row>
    <row r="563" spans="4:9">
      <c r="D563" s="47"/>
      <c r="E563" s="143"/>
      <c r="H563" s="2"/>
      <c r="I563" s="30"/>
    </row>
    <row r="564" spans="4:9">
      <c r="D564" s="47"/>
      <c r="E564" s="143"/>
      <c r="H564" s="2"/>
      <c r="I564" s="30"/>
    </row>
    <row r="565" spans="4:9">
      <c r="D565" s="47"/>
      <c r="E565" s="143"/>
      <c r="H565" s="2"/>
      <c r="I565" s="30"/>
    </row>
    <row r="566" spans="4:9">
      <c r="D566" s="47"/>
      <c r="E566" s="143"/>
      <c r="H566" s="2"/>
      <c r="I566" s="30"/>
    </row>
    <row r="567" spans="4:9">
      <c r="D567" s="47"/>
      <c r="E567" s="143"/>
      <c r="H567" s="2"/>
      <c r="I567" s="30"/>
    </row>
    <row r="568" spans="4:9">
      <c r="D568" s="47"/>
      <c r="E568" s="143"/>
      <c r="H568" s="2"/>
      <c r="I568" s="30"/>
    </row>
    <row r="569" spans="4:9">
      <c r="D569" s="47"/>
      <c r="E569" s="143"/>
      <c r="H569" s="2"/>
      <c r="I569" s="30"/>
    </row>
    <row r="570" spans="4:9">
      <c r="D570" s="47"/>
      <c r="E570" s="143"/>
      <c r="H570" s="2"/>
      <c r="I570" s="30"/>
    </row>
    <row r="571" spans="4:9">
      <c r="D571" s="47"/>
      <c r="E571" s="143"/>
      <c r="H571" s="2"/>
      <c r="I571" s="30"/>
    </row>
    <row r="572" spans="4:9">
      <c r="D572" s="47"/>
      <c r="E572" s="143"/>
      <c r="H572" s="2"/>
      <c r="I572" s="30"/>
    </row>
    <row r="573" spans="4:9">
      <c r="D573" s="47"/>
      <c r="E573" s="143"/>
      <c r="H573" s="2"/>
      <c r="I573" s="30"/>
    </row>
    <row r="574" spans="4:9">
      <c r="D574" s="47"/>
      <c r="E574" s="143"/>
      <c r="H574" s="2"/>
      <c r="I574" s="30"/>
    </row>
    <row r="575" spans="4:9">
      <c r="D575" s="47"/>
      <c r="E575" s="143"/>
      <c r="H575" s="2"/>
      <c r="I575" s="30"/>
    </row>
    <row r="576" spans="4:9">
      <c r="D576" s="47"/>
      <c r="E576" s="143"/>
      <c r="H576" s="2"/>
      <c r="I576" s="30"/>
    </row>
    <row r="577" spans="4:9">
      <c r="D577" s="47"/>
      <c r="E577" s="143"/>
      <c r="H577" s="2"/>
      <c r="I577" s="30"/>
    </row>
    <row r="578" spans="4:9">
      <c r="D578" s="47"/>
      <c r="E578" s="143"/>
      <c r="H578" s="2"/>
      <c r="I578" s="30"/>
    </row>
    <row r="579" spans="4:9">
      <c r="D579" s="47"/>
      <c r="E579" s="143"/>
      <c r="H579" s="2"/>
      <c r="I579" s="30"/>
    </row>
    <row r="580" spans="4:9">
      <c r="D580" s="47"/>
      <c r="E580" s="143"/>
      <c r="H580" s="2"/>
      <c r="I580" s="30"/>
    </row>
    <row r="581" spans="4:9">
      <c r="D581" s="47"/>
      <c r="E581" s="143"/>
      <c r="H581" s="2"/>
      <c r="I581" s="30"/>
    </row>
    <row r="582" spans="4:9">
      <c r="D582" s="47"/>
      <c r="E582" s="143"/>
      <c r="H582" s="2"/>
      <c r="I582" s="30"/>
    </row>
    <row r="583" spans="4:9">
      <c r="D583" s="47"/>
      <c r="E583" s="143"/>
      <c r="H583" s="2"/>
      <c r="I583" s="30"/>
    </row>
    <row r="584" spans="4:9">
      <c r="D584" s="47"/>
      <c r="E584" s="143"/>
      <c r="H584" s="2"/>
      <c r="I584" s="30"/>
    </row>
    <row r="585" spans="4:9">
      <c r="D585" s="47"/>
      <c r="E585" s="143"/>
      <c r="H585" s="2"/>
      <c r="I585" s="30"/>
    </row>
    <row r="586" spans="4:9">
      <c r="D586" s="47"/>
      <c r="E586" s="143"/>
      <c r="H586" s="2"/>
      <c r="I586" s="30"/>
    </row>
    <row r="587" spans="4:9">
      <c r="D587" s="47"/>
      <c r="E587" s="143"/>
      <c r="H587" s="2"/>
      <c r="I587" s="30"/>
    </row>
    <row r="588" spans="4:9">
      <c r="D588" s="47"/>
      <c r="E588" s="143"/>
      <c r="H588" s="2"/>
      <c r="I588" s="30"/>
    </row>
    <row r="589" spans="4:9">
      <c r="D589" s="47"/>
      <c r="E589" s="143"/>
      <c r="H589" s="2"/>
      <c r="I589" s="30"/>
    </row>
    <row r="590" spans="4:9">
      <c r="D590" s="47"/>
      <c r="E590" s="143"/>
      <c r="H590" s="2"/>
      <c r="I590" s="30"/>
    </row>
    <row r="591" spans="4:9">
      <c r="D591" s="47"/>
      <c r="E591" s="143"/>
      <c r="H591" s="2"/>
      <c r="I591" s="30"/>
    </row>
    <row r="592" spans="4:9">
      <c r="D592" s="47"/>
      <c r="E592" s="143"/>
      <c r="H592" s="2"/>
      <c r="I592" s="30"/>
    </row>
    <row r="593" spans="4:9">
      <c r="D593" s="47"/>
      <c r="E593" s="143"/>
      <c r="H593" s="2"/>
      <c r="I593" s="30"/>
    </row>
    <row r="594" spans="4:9">
      <c r="D594" s="47"/>
      <c r="E594" s="143"/>
      <c r="H594" s="2"/>
      <c r="I594" s="30"/>
    </row>
    <row r="595" spans="4:9">
      <c r="D595" s="47"/>
      <c r="E595" s="143"/>
      <c r="H595" s="2"/>
      <c r="I595" s="30"/>
    </row>
    <row r="596" spans="4:9">
      <c r="D596" s="47"/>
      <c r="E596" s="143"/>
      <c r="H596" s="2"/>
      <c r="I596" s="30"/>
    </row>
    <row r="597" spans="4:9">
      <c r="D597" s="47"/>
      <c r="E597" s="143"/>
      <c r="H597" s="2"/>
      <c r="I597" s="30"/>
    </row>
    <row r="598" spans="4:9">
      <c r="D598" s="47"/>
      <c r="E598" s="143"/>
      <c r="H598" s="2"/>
      <c r="I598" s="30"/>
    </row>
    <row r="599" spans="4:9">
      <c r="D599" s="47"/>
      <c r="E599" s="143"/>
      <c r="H599" s="2"/>
      <c r="I599" s="30"/>
    </row>
    <row r="600" spans="4:9">
      <c r="D600" s="47"/>
      <c r="E600" s="143"/>
      <c r="H600" s="2"/>
      <c r="I600" s="30"/>
    </row>
    <row r="601" spans="4:9">
      <c r="D601" s="47"/>
      <c r="E601" s="143"/>
      <c r="H601" s="2"/>
      <c r="I601" s="30"/>
    </row>
    <row r="602" spans="4:9">
      <c r="D602" s="47"/>
      <c r="E602" s="143"/>
      <c r="H602" s="2"/>
      <c r="I602" s="30"/>
    </row>
    <row r="603" spans="4:9">
      <c r="D603" s="47"/>
      <c r="E603" s="143"/>
      <c r="H603" s="2"/>
      <c r="I603" s="30"/>
    </row>
    <row r="604" spans="4:9">
      <c r="D604" s="47"/>
      <c r="E604" s="143"/>
      <c r="H604" s="2"/>
      <c r="I604" s="30"/>
    </row>
    <row r="605" spans="4:9">
      <c r="D605" s="47"/>
      <c r="E605" s="143"/>
      <c r="H605" s="2"/>
      <c r="I605" s="30"/>
    </row>
    <row r="606" spans="4:9">
      <c r="D606" s="47"/>
      <c r="E606" s="143"/>
      <c r="H606" s="2"/>
      <c r="I606" s="30"/>
    </row>
    <row r="607" spans="4:9">
      <c r="D607" s="47"/>
      <c r="E607" s="143"/>
      <c r="H607" s="2"/>
      <c r="I607" s="30"/>
    </row>
    <row r="608" spans="4:9">
      <c r="D608" s="47"/>
      <c r="E608" s="143"/>
      <c r="H608" s="2"/>
      <c r="I608" s="30"/>
    </row>
    <row r="609" spans="4:9">
      <c r="D609" s="47"/>
      <c r="E609" s="143"/>
      <c r="H609" s="2"/>
      <c r="I609" s="30"/>
    </row>
    <row r="610" spans="4:9">
      <c r="D610" s="47"/>
      <c r="E610" s="143"/>
      <c r="H610" s="2"/>
      <c r="I610" s="30"/>
    </row>
    <row r="611" spans="4:9">
      <c r="D611" s="47"/>
      <c r="E611" s="143"/>
      <c r="H611" s="2"/>
      <c r="I611" s="30"/>
    </row>
    <row r="612" spans="4:9">
      <c r="D612" s="47"/>
      <c r="E612" s="143"/>
      <c r="H612" s="2"/>
      <c r="I612" s="30"/>
    </row>
    <row r="613" spans="4:9">
      <c r="D613" s="47"/>
      <c r="E613" s="143"/>
      <c r="H613" s="2"/>
      <c r="I613" s="30"/>
    </row>
    <row r="614" spans="4:9">
      <c r="D614" s="47"/>
      <c r="E614" s="143"/>
      <c r="H614" s="2"/>
      <c r="I614" s="30"/>
    </row>
    <row r="615" spans="4:9">
      <c r="D615" s="47"/>
      <c r="E615" s="143"/>
      <c r="H615" s="2"/>
      <c r="I615" s="30"/>
    </row>
    <row r="616" spans="4:9">
      <c r="D616" s="47"/>
      <c r="E616" s="143"/>
      <c r="H616" s="2"/>
      <c r="I616" s="30"/>
    </row>
    <row r="617" spans="4:9">
      <c r="D617" s="47"/>
      <c r="E617" s="143"/>
      <c r="H617" s="2"/>
      <c r="I617" s="30"/>
    </row>
    <row r="618" spans="4:9">
      <c r="D618" s="47"/>
      <c r="E618" s="143"/>
      <c r="H618" s="2"/>
      <c r="I618" s="30"/>
    </row>
    <row r="619" spans="4:9">
      <c r="D619" s="47"/>
      <c r="E619" s="143"/>
      <c r="H619" s="2"/>
      <c r="I619" s="30"/>
    </row>
    <row r="620" spans="4:9">
      <c r="D620" s="47"/>
      <c r="E620" s="143"/>
      <c r="H620" s="2"/>
      <c r="I620" s="30"/>
    </row>
    <row r="621" spans="4:9">
      <c r="D621" s="47"/>
      <c r="E621" s="143"/>
      <c r="H621" s="2"/>
      <c r="I621" s="30"/>
    </row>
    <row r="622" spans="4:9">
      <c r="D622" s="47"/>
      <c r="E622" s="143"/>
      <c r="H622" s="2"/>
      <c r="I622" s="30"/>
    </row>
    <row r="623" spans="4:9">
      <c r="D623" s="47"/>
      <c r="E623" s="143"/>
      <c r="H623" s="2"/>
      <c r="I623" s="30"/>
    </row>
    <row r="624" spans="4:9">
      <c r="D624" s="47"/>
      <c r="E624" s="143"/>
      <c r="H624" s="2"/>
      <c r="I624" s="30"/>
    </row>
    <row r="625" spans="4:9">
      <c r="D625" s="47"/>
      <c r="E625" s="143"/>
      <c r="H625" s="2"/>
      <c r="I625" s="30"/>
    </row>
    <row r="626" spans="4:9">
      <c r="D626" s="47"/>
      <c r="E626" s="143"/>
      <c r="H626" s="2"/>
      <c r="I626" s="30"/>
    </row>
    <row r="627" spans="4:9">
      <c r="D627" s="47"/>
      <c r="E627" s="143"/>
      <c r="H627" s="2"/>
      <c r="I627" s="30"/>
    </row>
    <row r="628" spans="4:9">
      <c r="D628" s="47"/>
      <c r="E628" s="143"/>
      <c r="H628" s="2"/>
      <c r="I628" s="30"/>
    </row>
    <row r="629" spans="4:9">
      <c r="D629" s="47"/>
      <c r="E629" s="143"/>
      <c r="H629" s="2"/>
      <c r="I629" s="30"/>
    </row>
    <row r="630" spans="4:9">
      <c r="D630" s="47"/>
      <c r="E630" s="143"/>
      <c r="H630" s="2"/>
      <c r="I630" s="30"/>
    </row>
    <row r="631" spans="4:9">
      <c r="D631" s="47"/>
      <c r="E631" s="143"/>
      <c r="H631" s="2"/>
      <c r="I631" s="30"/>
    </row>
    <row r="632" spans="4:9">
      <c r="D632" s="47"/>
      <c r="E632" s="143"/>
      <c r="H632" s="2"/>
      <c r="I632" s="30"/>
    </row>
    <row r="633" spans="4:9">
      <c r="D633" s="47"/>
      <c r="E633" s="143"/>
      <c r="H633" s="2"/>
      <c r="I633" s="30"/>
    </row>
    <row r="634" spans="4:9">
      <c r="D634" s="47"/>
      <c r="E634" s="143"/>
      <c r="H634" s="2"/>
      <c r="I634" s="30"/>
    </row>
    <row r="635" spans="4:9">
      <c r="D635" s="47"/>
      <c r="E635" s="143"/>
      <c r="H635" s="2"/>
      <c r="I635" s="30"/>
    </row>
    <row r="636" spans="4:9">
      <c r="D636" s="47"/>
      <c r="E636" s="143"/>
      <c r="H636" s="2"/>
      <c r="I636" s="30"/>
    </row>
    <row r="637" spans="4:9">
      <c r="D637" s="47"/>
      <c r="E637" s="143"/>
      <c r="H637" s="2"/>
      <c r="I637" s="30"/>
    </row>
    <row r="638" spans="4:9">
      <c r="D638" s="47"/>
      <c r="E638" s="143"/>
      <c r="H638" s="2"/>
      <c r="I638" s="30"/>
    </row>
    <row r="639" spans="4:9">
      <c r="D639" s="47"/>
      <c r="E639" s="143"/>
      <c r="H639" s="2"/>
      <c r="I639" s="30"/>
    </row>
    <row r="640" spans="4:9">
      <c r="D640" s="47"/>
      <c r="E640" s="143"/>
      <c r="H640" s="2"/>
      <c r="I640" s="30"/>
    </row>
    <row r="641" spans="4:9">
      <c r="D641" s="47"/>
      <c r="E641" s="143"/>
      <c r="H641" s="2"/>
      <c r="I641" s="30"/>
    </row>
    <row r="642" spans="4:9">
      <c r="D642" s="47"/>
      <c r="E642" s="143"/>
      <c r="H642" s="2"/>
      <c r="I642" s="30"/>
    </row>
    <row r="643" spans="4:9">
      <c r="D643" s="47"/>
      <c r="E643" s="143"/>
      <c r="H643" s="2"/>
      <c r="I643" s="30"/>
    </row>
    <row r="644" spans="4:9">
      <c r="D644" s="47"/>
      <c r="E644" s="143"/>
      <c r="H644" s="2"/>
      <c r="I644" s="30"/>
    </row>
    <row r="645" spans="4:9">
      <c r="D645" s="47"/>
      <c r="E645" s="143"/>
      <c r="H645" s="2"/>
      <c r="I645" s="30"/>
    </row>
    <row r="646" spans="4:9">
      <c r="D646" s="47"/>
      <c r="E646" s="143"/>
      <c r="H646" s="2"/>
      <c r="I646" s="30"/>
    </row>
    <row r="647" spans="4:9">
      <c r="D647" s="47"/>
      <c r="E647" s="143"/>
      <c r="H647" s="2"/>
      <c r="I647" s="30"/>
    </row>
    <row r="648" spans="4:9">
      <c r="D648" s="47"/>
      <c r="E648" s="143"/>
      <c r="H648" s="2"/>
      <c r="I648" s="30"/>
    </row>
    <row r="649" spans="4:9">
      <c r="D649" s="47"/>
      <c r="E649" s="143"/>
      <c r="H649" s="2"/>
      <c r="I649" s="30"/>
    </row>
    <row r="650" spans="4:9">
      <c r="D650" s="47"/>
      <c r="E650" s="143"/>
      <c r="H650" s="2"/>
      <c r="I650" s="30"/>
    </row>
    <row r="651" spans="4:9">
      <c r="D651" s="47"/>
      <c r="E651" s="143"/>
      <c r="H651" s="2"/>
      <c r="I651" s="30"/>
    </row>
    <row r="652" spans="4:9">
      <c r="D652" s="47"/>
      <c r="E652" s="143"/>
      <c r="H652" s="2"/>
      <c r="I652" s="30"/>
    </row>
    <row r="653" spans="4:9">
      <c r="D653" s="47"/>
      <c r="E653" s="143"/>
      <c r="H653" s="2"/>
      <c r="I653" s="30"/>
    </row>
    <row r="654" spans="4:9">
      <c r="D654" s="47"/>
      <c r="E654" s="143"/>
      <c r="H654" s="2"/>
      <c r="I654" s="30"/>
    </row>
    <row r="655" spans="4:9">
      <c r="D655" s="47"/>
      <c r="E655" s="143"/>
      <c r="H655" s="2"/>
      <c r="I655" s="30"/>
    </row>
    <row r="656" spans="4:9">
      <c r="D656" s="47"/>
      <c r="E656" s="143"/>
      <c r="H656" s="2"/>
      <c r="I656" s="30"/>
    </row>
    <row r="657" spans="4:9">
      <c r="D657" s="47"/>
      <c r="E657" s="143"/>
      <c r="H657" s="2"/>
      <c r="I657" s="30"/>
    </row>
    <row r="658" spans="4:9">
      <c r="D658" s="47"/>
      <c r="E658" s="143"/>
      <c r="H658" s="2"/>
      <c r="I658" s="30"/>
    </row>
    <row r="659" spans="4:9">
      <c r="D659" s="47"/>
      <c r="E659" s="143"/>
      <c r="H659" s="2"/>
      <c r="I659" s="30"/>
    </row>
    <row r="660" spans="4:9">
      <c r="D660" s="47"/>
      <c r="E660" s="143"/>
      <c r="H660" s="2"/>
      <c r="I660" s="30"/>
    </row>
    <row r="661" spans="4:9">
      <c r="D661" s="47"/>
      <c r="E661" s="143"/>
      <c r="H661" s="2"/>
      <c r="I661" s="30"/>
    </row>
    <row r="662" spans="4:9">
      <c r="D662" s="47"/>
      <c r="E662" s="143"/>
      <c r="H662" s="2"/>
      <c r="I662" s="30"/>
    </row>
    <row r="663" spans="4:9">
      <c r="D663" s="47"/>
      <c r="E663" s="143"/>
      <c r="H663" s="2"/>
      <c r="I663" s="30"/>
    </row>
    <row r="664" spans="4:9">
      <c r="D664" s="47"/>
      <c r="E664" s="143"/>
      <c r="H664" s="2"/>
      <c r="I664" s="30"/>
    </row>
    <row r="665" spans="4:9">
      <c r="D665" s="47"/>
      <c r="E665" s="143"/>
      <c r="H665" s="2"/>
      <c r="I665" s="30"/>
    </row>
    <row r="666" spans="4:9">
      <c r="D666" s="47"/>
      <c r="E666" s="143"/>
      <c r="H666" s="2"/>
      <c r="I666" s="30"/>
    </row>
    <row r="667" spans="4:9">
      <c r="D667" s="47"/>
      <c r="E667" s="143"/>
      <c r="H667" s="2"/>
      <c r="I667" s="30"/>
    </row>
    <row r="668" spans="4:9">
      <c r="D668" s="47"/>
      <c r="E668" s="143"/>
      <c r="H668" s="2"/>
      <c r="I668" s="30"/>
    </row>
    <row r="669" spans="4:9">
      <c r="D669" s="47"/>
      <c r="E669" s="143"/>
      <c r="H669" s="2"/>
      <c r="I669" s="30"/>
    </row>
    <row r="670" spans="4:9">
      <c r="D670" s="47"/>
      <c r="E670" s="143"/>
      <c r="H670" s="2"/>
      <c r="I670" s="30"/>
    </row>
    <row r="671" spans="4:9">
      <c r="D671" s="47"/>
      <c r="E671" s="143"/>
      <c r="H671" s="2"/>
      <c r="I671" s="30"/>
    </row>
    <row r="672" spans="4:9">
      <c r="D672" s="47"/>
      <c r="E672" s="143"/>
      <c r="H672" s="2"/>
      <c r="I672" s="30"/>
    </row>
    <row r="673" spans="4:9">
      <c r="D673" s="47"/>
      <c r="E673" s="143"/>
      <c r="H673" s="2"/>
      <c r="I673" s="30"/>
    </row>
    <row r="674" spans="4:9">
      <c r="D674" s="47"/>
      <c r="E674" s="143"/>
      <c r="H674" s="2"/>
      <c r="I674" s="30"/>
    </row>
    <row r="675" spans="4:9">
      <c r="D675" s="47"/>
      <c r="E675" s="143"/>
      <c r="H675" s="2"/>
      <c r="I675" s="30"/>
    </row>
    <row r="676" spans="4:9">
      <c r="D676" s="47"/>
      <c r="E676" s="143"/>
      <c r="H676" s="2"/>
      <c r="I676" s="30"/>
    </row>
    <row r="677" spans="4:9">
      <c r="D677" s="47"/>
      <c r="E677" s="143"/>
      <c r="H677" s="2"/>
      <c r="I677" s="30"/>
    </row>
    <row r="678" spans="4:9">
      <c r="D678" s="47"/>
      <c r="E678" s="143"/>
      <c r="H678" s="2"/>
      <c r="I678" s="30"/>
    </row>
    <row r="679" spans="4:9">
      <c r="D679" s="47"/>
      <c r="E679" s="143"/>
      <c r="H679" s="2"/>
      <c r="I679" s="30"/>
    </row>
    <row r="680" spans="4:9">
      <c r="D680" s="47"/>
      <c r="E680" s="143"/>
      <c r="H680" s="2"/>
      <c r="I680" s="30"/>
    </row>
    <row r="681" spans="4:9">
      <c r="D681" s="47"/>
      <c r="E681" s="143"/>
      <c r="H681" s="2"/>
      <c r="I681" s="30"/>
    </row>
    <row r="682" spans="4:9">
      <c r="D682" s="47"/>
      <c r="E682" s="143"/>
      <c r="H682" s="2"/>
      <c r="I682" s="30"/>
    </row>
    <row r="683" spans="4:9">
      <c r="D683" s="47"/>
      <c r="E683" s="143"/>
      <c r="H683" s="2"/>
      <c r="I683" s="30"/>
    </row>
    <row r="684" spans="4:9">
      <c r="D684" s="47"/>
      <c r="E684" s="143"/>
      <c r="H684" s="2"/>
      <c r="I684" s="30"/>
    </row>
    <row r="685" spans="4:9">
      <c r="D685" s="47"/>
      <c r="E685" s="143"/>
      <c r="H685" s="2"/>
      <c r="I685" s="30"/>
    </row>
    <row r="686" spans="4:9">
      <c r="D686" s="47"/>
      <c r="E686" s="143"/>
      <c r="H686" s="2"/>
      <c r="I686" s="30"/>
    </row>
    <row r="687" spans="4:9">
      <c r="D687" s="47"/>
      <c r="E687" s="143"/>
      <c r="H687" s="2"/>
      <c r="I687" s="30"/>
    </row>
    <row r="688" spans="4:9">
      <c r="D688" s="47"/>
      <c r="E688" s="143"/>
      <c r="H688" s="2"/>
      <c r="I688" s="30"/>
    </row>
    <row r="689" spans="4:9">
      <c r="D689" s="47"/>
      <c r="E689" s="143"/>
      <c r="H689" s="2"/>
      <c r="I689" s="30"/>
    </row>
    <row r="690" spans="4:9">
      <c r="D690" s="47"/>
      <c r="E690" s="143"/>
      <c r="H690" s="2"/>
      <c r="I690" s="30"/>
    </row>
    <row r="691" spans="4:9">
      <c r="D691" s="47"/>
      <c r="E691" s="143"/>
      <c r="H691" s="2"/>
      <c r="I691" s="30"/>
    </row>
    <row r="692" spans="4:9">
      <c r="D692" s="47"/>
      <c r="E692" s="143"/>
      <c r="H692" s="2"/>
      <c r="I692" s="30"/>
    </row>
    <row r="693" spans="4:9">
      <c r="D693" s="47"/>
      <c r="E693" s="143"/>
      <c r="H693" s="2"/>
      <c r="I693" s="30"/>
    </row>
    <row r="694" spans="4:9">
      <c r="D694" s="47"/>
      <c r="E694" s="143"/>
      <c r="H694" s="2"/>
      <c r="I694" s="30"/>
    </row>
    <row r="695" spans="4:9">
      <c r="D695" s="47"/>
      <c r="E695" s="143"/>
      <c r="H695" s="2"/>
      <c r="I695" s="30"/>
    </row>
    <row r="696" spans="4:9">
      <c r="D696" s="47"/>
      <c r="E696" s="143"/>
      <c r="H696" s="2"/>
      <c r="I696" s="30"/>
    </row>
    <row r="697" spans="4:9">
      <c r="D697" s="47"/>
      <c r="E697" s="143"/>
      <c r="H697" s="2"/>
      <c r="I697" s="30"/>
    </row>
    <row r="698" spans="4:9">
      <c r="D698" s="47"/>
      <c r="E698" s="143"/>
      <c r="H698" s="2"/>
      <c r="I698" s="30"/>
    </row>
    <row r="699" spans="4:9">
      <c r="D699" s="47"/>
      <c r="E699" s="143"/>
      <c r="H699" s="2"/>
      <c r="I699" s="30"/>
    </row>
    <row r="700" spans="4:9">
      <c r="D700" s="47"/>
      <c r="E700" s="143"/>
      <c r="H700" s="2"/>
      <c r="I700" s="30"/>
    </row>
    <row r="701" spans="4:9">
      <c r="D701" s="47"/>
      <c r="E701" s="143"/>
      <c r="H701" s="2"/>
      <c r="I701" s="30"/>
    </row>
    <row r="702" spans="4:9">
      <c r="D702" s="47"/>
      <c r="E702" s="143"/>
      <c r="H702" s="2"/>
      <c r="I702" s="30"/>
    </row>
    <row r="703" spans="4:9">
      <c r="D703" s="47"/>
      <c r="E703" s="143"/>
      <c r="H703" s="2"/>
      <c r="I703" s="30"/>
    </row>
    <row r="704" spans="4:9">
      <c r="D704" s="47"/>
      <c r="E704" s="143"/>
      <c r="H704" s="2"/>
      <c r="I704" s="30"/>
    </row>
    <row r="705" spans="4:9">
      <c r="D705" s="47"/>
      <c r="E705" s="143"/>
      <c r="H705" s="2"/>
      <c r="I705" s="30"/>
    </row>
    <row r="706" spans="4:9">
      <c r="D706" s="47"/>
      <c r="E706" s="143"/>
      <c r="H706" s="2"/>
      <c r="I706" s="30"/>
    </row>
    <row r="707" spans="4:9">
      <c r="D707" s="47"/>
      <c r="E707" s="143"/>
      <c r="H707" s="2"/>
      <c r="I707" s="30"/>
    </row>
    <row r="708" spans="4:9">
      <c r="D708" s="47"/>
      <c r="E708" s="143"/>
      <c r="H708" s="2"/>
      <c r="I708" s="30"/>
    </row>
    <row r="709" spans="4:9">
      <c r="D709" s="47"/>
      <c r="E709" s="143"/>
      <c r="H709" s="2"/>
      <c r="I709" s="30"/>
    </row>
    <row r="710" spans="4:9">
      <c r="D710" s="47"/>
      <c r="E710" s="143"/>
      <c r="H710" s="2"/>
      <c r="I710" s="30"/>
    </row>
    <row r="711" spans="4:9">
      <c r="D711" s="47"/>
      <c r="E711" s="143"/>
      <c r="H711" s="2"/>
      <c r="I711" s="30"/>
    </row>
    <row r="712" spans="4:9">
      <c r="D712" s="47"/>
      <c r="E712" s="143"/>
      <c r="H712" s="2"/>
      <c r="I712" s="30"/>
    </row>
    <row r="713" spans="4:9">
      <c r="D713" s="47"/>
      <c r="E713" s="143"/>
      <c r="H713" s="2"/>
      <c r="I713" s="30"/>
    </row>
    <row r="714" spans="4:9">
      <c r="D714" s="47"/>
      <c r="E714" s="143"/>
      <c r="H714" s="2"/>
      <c r="I714" s="30"/>
    </row>
    <row r="715" spans="4:9">
      <c r="D715" s="47"/>
      <c r="E715" s="143"/>
      <c r="H715" s="2"/>
      <c r="I715" s="30"/>
    </row>
    <row r="716" spans="4:9">
      <c r="D716" s="47"/>
      <c r="E716" s="143"/>
      <c r="H716" s="2"/>
      <c r="I716" s="30"/>
    </row>
    <row r="717" spans="4:9">
      <c r="D717" s="47"/>
      <c r="E717" s="143"/>
      <c r="H717" s="2"/>
      <c r="I717" s="30"/>
    </row>
    <row r="718" spans="4:9">
      <c r="D718" s="47"/>
      <c r="E718" s="143"/>
      <c r="H718" s="2"/>
      <c r="I718" s="30"/>
    </row>
    <row r="719" spans="4:9">
      <c r="D719" s="47"/>
      <c r="E719" s="143"/>
      <c r="H719" s="2"/>
      <c r="I719" s="30"/>
    </row>
    <row r="720" spans="4:9">
      <c r="D720" s="47"/>
      <c r="E720" s="143"/>
      <c r="H720" s="2"/>
      <c r="I720" s="30"/>
    </row>
    <row r="721" spans="4:9">
      <c r="D721" s="47"/>
      <c r="E721" s="143"/>
      <c r="H721" s="2"/>
      <c r="I721" s="30"/>
    </row>
    <row r="722" spans="4:9">
      <c r="D722" s="47"/>
      <c r="E722" s="143"/>
      <c r="H722" s="2"/>
      <c r="I722" s="30"/>
    </row>
    <row r="723" spans="4:9">
      <c r="D723" s="47"/>
      <c r="E723" s="143"/>
      <c r="H723" s="2"/>
      <c r="I723" s="30"/>
    </row>
    <row r="724" spans="4:9">
      <c r="D724" s="47"/>
      <c r="E724" s="143"/>
      <c r="H724" s="2"/>
      <c r="I724" s="30"/>
    </row>
    <row r="725" spans="4:9">
      <c r="D725" s="47"/>
      <c r="E725" s="143"/>
      <c r="H725" s="2"/>
      <c r="I725" s="30"/>
    </row>
    <row r="726" spans="4:9">
      <c r="D726" s="47"/>
      <c r="E726" s="143"/>
      <c r="H726" s="2"/>
      <c r="I726" s="30"/>
    </row>
    <row r="727" spans="4:9">
      <c r="D727" s="47"/>
      <c r="E727" s="143"/>
      <c r="H727" s="2"/>
      <c r="I727" s="30"/>
    </row>
    <row r="728" spans="4:9">
      <c r="D728" s="47"/>
      <c r="E728" s="143"/>
      <c r="H728" s="2"/>
      <c r="I728" s="30"/>
    </row>
    <row r="729" spans="4:9">
      <c r="D729" s="47"/>
      <c r="E729" s="143"/>
      <c r="H729" s="2"/>
      <c r="I729" s="30"/>
    </row>
    <row r="730" spans="4:9">
      <c r="D730" s="47"/>
      <c r="E730" s="143"/>
      <c r="H730" s="2"/>
      <c r="I730" s="30"/>
    </row>
    <row r="731" spans="4:9">
      <c r="D731" s="47"/>
      <c r="E731" s="143"/>
      <c r="H731" s="2"/>
      <c r="I731" s="30"/>
    </row>
    <row r="732" spans="4:9">
      <c r="D732" s="47"/>
      <c r="E732" s="143"/>
      <c r="H732" s="2"/>
      <c r="I732" s="30"/>
    </row>
    <row r="733" spans="4:9">
      <c r="D733" s="47"/>
      <c r="E733" s="143"/>
      <c r="H733" s="2"/>
      <c r="I733" s="30"/>
    </row>
    <row r="734" spans="4:9">
      <c r="D734" s="47"/>
      <c r="E734" s="143"/>
      <c r="H734" s="2"/>
      <c r="I734" s="30"/>
    </row>
    <row r="735" spans="4:9">
      <c r="D735" s="47"/>
      <c r="E735" s="143"/>
      <c r="H735" s="2"/>
      <c r="I735" s="30"/>
    </row>
    <row r="736" spans="4:9">
      <c r="D736" s="47"/>
      <c r="E736" s="143"/>
      <c r="H736" s="2"/>
      <c r="I736" s="30"/>
    </row>
    <row r="737" spans="4:9">
      <c r="D737" s="47"/>
      <c r="E737" s="143"/>
      <c r="H737" s="2"/>
      <c r="I737" s="30"/>
    </row>
    <row r="738" spans="4:9">
      <c r="D738" s="47"/>
      <c r="E738" s="143"/>
      <c r="H738" s="2"/>
      <c r="I738" s="30"/>
    </row>
    <row r="739" spans="4:9">
      <c r="D739" s="47"/>
      <c r="E739" s="143"/>
      <c r="H739" s="2"/>
      <c r="I739" s="30"/>
    </row>
    <row r="740" spans="4:9">
      <c r="D740" s="47"/>
      <c r="E740" s="143"/>
      <c r="H740" s="2"/>
      <c r="I740" s="30"/>
    </row>
    <row r="741" spans="4:9">
      <c r="D741" s="47"/>
      <c r="E741" s="143"/>
      <c r="H741" s="2"/>
      <c r="I741" s="30"/>
    </row>
    <row r="742" spans="4:9">
      <c r="D742" s="47"/>
      <c r="E742" s="143"/>
      <c r="H742" s="2"/>
      <c r="I742" s="30"/>
    </row>
    <row r="743" spans="4:9">
      <c r="D743" s="47"/>
      <c r="E743" s="143"/>
      <c r="H743" s="2"/>
      <c r="I743" s="30"/>
    </row>
    <row r="744" spans="4:9">
      <c r="D744" s="47"/>
      <c r="E744" s="143"/>
      <c r="H744" s="2"/>
      <c r="I744" s="30"/>
    </row>
    <row r="745" spans="4:9">
      <c r="D745" s="47"/>
      <c r="E745" s="143"/>
      <c r="H745" s="2"/>
      <c r="I745" s="30"/>
    </row>
    <row r="746" spans="4:9">
      <c r="D746" s="47"/>
      <c r="E746" s="143"/>
      <c r="H746" s="2"/>
      <c r="I746" s="30"/>
    </row>
    <row r="747" spans="4:9">
      <c r="D747" s="47"/>
      <c r="E747" s="143"/>
      <c r="H747" s="2"/>
      <c r="I747" s="30"/>
    </row>
    <row r="748" spans="4:9">
      <c r="D748" s="47"/>
      <c r="E748" s="143"/>
      <c r="H748" s="2"/>
      <c r="I748" s="30"/>
    </row>
    <row r="749" spans="4:9">
      <c r="D749" s="47"/>
      <c r="E749" s="143"/>
      <c r="H749" s="2"/>
      <c r="I749" s="30"/>
    </row>
    <row r="750" spans="4:9">
      <c r="D750" s="47"/>
      <c r="E750" s="143"/>
      <c r="H750" s="2"/>
      <c r="I750" s="30"/>
    </row>
    <row r="751" spans="4:9">
      <c r="D751" s="47"/>
      <c r="E751" s="143"/>
      <c r="H751" s="2"/>
      <c r="I751" s="30"/>
    </row>
    <row r="752" spans="4:9">
      <c r="D752" s="47"/>
      <c r="E752" s="143"/>
      <c r="H752" s="2"/>
      <c r="I752" s="30"/>
    </row>
    <row r="753" spans="4:9">
      <c r="D753" s="47"/>
      <c r="E753" s="143"/>
      <c r="H753" s="2"/>
      <c r="I753" s="30"/>
    </row>
    <row r="754" spans="4:9">
      <c r="D754" s="47"/>
      <c r="E754" s="143"/>
      <c r="H754" s="2"/>
      <c r="I754" s="30"/>
    </row>
    <row r="755" spans="4:9">
      <c r="D755" s="47"/>
      <c r="E755" s="143"/>
      <c r="H755" s="2"/>
      <c r="I755" s="30"/>
    </row>
    <row r="756" spans="4:9">
      <c r="D756" s="47"/>
      <c r="E756" s="143"/>
      <c r="H756" s="2"/>
      <c r="I756" s="30"/>
    </row>
    <row r="757" spans="4:9">
      <c r="D757" s="47"/>
      <c r="E757" s="143"/>
      <c r="H757" s="2"/>
      <c r="I757" s="30"/>
    </row>
    <row r="758" spans="4:9">
      <c r="D758" s="47"/>
      <c r="E758" s="143"/>
      <c r="H758" s="2"/>
      <c r="I758" s="30"/>
    </row>
    <row r="759" spans="4:9">
      <c r="D759" s="47"/>
      <c r="E759" s="143"/>
      <c r="H759" s="2"/>
      <c r="I759" s="30"/>
    </row>
    <row r="760" spans="4:9">
      <c r="D760" s="47"/>
      <c r="E760" s="143"/>
      <c r="H760" s="2"/>
      <c r="I760" s="30"/>
    </row>
    <row r="761" spans="4:9">
      <c r="D761" s="47"/>
      <c r="E761" s="143"/>
      <c r="H761" s="2"/>
      <c r="I761" s="30"/>
    </row>
    <row r="762" spans="4:9">
      <c r="D762" s="47"/>
      <c r="E762" s="143"/>
      <c r="H762" s="2"/>
      <c r="I762" s="30"/>
    </row>
    <row r="763" spans="4:9">
      <c r="D763" s="47"/>
      <c r="E763" s="143"/>
      <c r="H763" s="2"/>
      <c r="I763" s="30"/>
    </row>
    <row r="764" spans="4:9">
      <c r="D764" s="47"/>
      <c r="E764" s="143"/>
      <c r="H764" s="2"/>
      <c r="I764" s="30"/>
    </row>
    <row r="765" spans="4:9">
      <c r="D765" s="47"/>
      <c r="E765" s="143"/>
      <c r="H765" s="2"/>
      <c r="I765" s="30"/>
    </row>
    <row r="766" spans="4:9">
      <c r="D766" s="47"/>
      <c r="E766" s="143"/>
      <c r="H766" s="2"/>
      <c r="I766" s="30"/>
    </row>
    <row r="767" spans="4:9">
      <c r="D767" s="47"/>
      <c r="E767" s="143"/>
      <c r="H767" s="2"/>
      <c r="I767" s="30"/>
    </row>
    <row r="768" spans="4:9">
      <c r="D768" s="47"/>
      <c r="E768" s="143"/>
      <c r="H768" s="2"/>
      <c r="I768" s="30"/>
    </row>
    <row r="769" spans="4:9">
      <c r="D769" s="47"/>
      <c r="E769" s="143"/>
      <c r="H769" s="2"/>
      <c r="I769" s="30"/>
    </row>
    <row r="770" spans="4:9">
      <c r="D770" s="47"/>
      <c r="E770" s="143"/>
      <c r="H770" s="2"/>
      <c r="I770" s="30"/>
    </row>
    <row r="771" spans="4:9">
      <c r="D771" s="47"/>
      <c r="E771" s="143"/>
      <c r="H771" s="2"/>
      <c r="I771" s="30"/>
    </row>
    <row r="772" spans="4:9">
      <c r="D772" s="47"/>
      <c r="E772" s="143"/>
      <c r="H772" s="2"/>
      <c r="I772" s="30"/>
    </row>
    <row r="773" spans="4:9">
      <c r="D773" s="47"/>
      <c r="E773" s="143"/>
      <c r="H773" s="2"/>
      <c r="I773" s="30"/>
    </row>
    <row r="774" spans="4:9">
      <c r="D774" s="47"/>
      <c r="E774" s="143"/>
      <c r="H774" s="2"/>
      <c r="I774" s="30"/>
    </row>
    <row r="775" spans="4:9">
      <c r="D775" s="47"/>
      <c r="E775" s="143"/>
      <c r="H775" s="2"/>
      <c r="I775" s="30"/>
    </row>
    <row r="776" spans="4:9">
      <c r="D776" s="47"/>
      <c r="E776" s="143"/>
      <c r="H776" s="2"/>
      <c r="I776" s="30"/>
    </row>
    <row r="777" spans="4:9">
      <c r="D777" s="47"/>
      <c r="E777" s="143"/>
      <c r="H777" s="2"/>
      <c r="I777" s="30"/>
    </row>
    <row r="778" spans="4:9">
      <c r="D778" s="47"/>
      <c r="E778" s="143"/>
      <c r="H778" s="2"/>
      <c r="I778" s="30"/>
    </row>
    <row r="779" spans="4:9">
      <c r="D779" s="47"/>
      <c r="E779" s="143"/>
      <c r="H779" s="2"/>
      <c r="I779" s="30"/>
    </row>
    <row r="780" spans="4:9">
      <c r="D780" s="47"/>
      <c r="E780" s="143"/>
      <c r="H780" s="2"/>
      <c r="I780" s="30"/>
    </row>
    <row r="781" spans="4:9">
      <c r="D781" s="47"/>
      <c r="E781" s="143"/>
      <c r="H781" s="2"/>
      <c r="I781" s="30"/>
    </row>
    <row r="782" spans="4:9">
      <c r="D782" s="47"/>
      <c r="E782" s="143"/>
      <c r="H782" s="2"/>
      <c r="I782" s="30"/>
    </row>
    <row r="783" spans="4:9">
      <c r="D783" s="47"/>
      <c r="E783" s="143"/>
      <c r="H783" s="2"/>
      <c r="I783" s="30"/>
    </row>
    <row r="784" spans="4:9">
      <c r="D784" s="47"/>
      <c r="E784" s="143"/>
      <c r="H784" s="2"/>
      <c r="I784" s="30"/>
    </row>
    <row r="785" spans="4:9">
      <c r="D785" s="47"/>
      <c r="E785" s="143"/>
      <c r="H785" s="2"/>
      <c r="I785" s="30"/>
    </row>
    <row r="786" spans="4:9">
      <c r="D786" s="47"/>
      <c r="E786" s="143"/>
      <c r="H786" s="2"/>
      <c r="I786" s="30"/>
    </row>
    <row r="787" spans="4:9">
      <c r="D787" s="47"/>
      <c r="E787" s="143"/>
      <c r="H787" s="2"/>
      <c r="I787" s="30"/>
    </row>
    <row r="788" spans="4:9">
      <c r="D788" s="47"/>
      <c r="E788" s="143"/>
      <c r="H788" s="2"/>
      <c r="I788" s="30"/>
    </row>
    <row r="789" spans="4:9">
      <c r="D789" s="47"/>
      <c r="E789" s="143"/>
      <c r="H789" s="2"/>
      <c r="I789" s="30"/>
    </row>
    <row r="790" spans="4:9">
      <c r="D790" s="47"/>
      <c r="E790" s="143"/>
      <c r="H790" s="2"/>
      <c r="I790" s="30"/>
    </row>
    <row r="791" spans="4:9">
      <c r="D791" s="47"/>
      <c r="E791" s="143"/>
      <c r="H791" s="2"/>
      <c r="I791" s="30"/>
    </row>
    <row r="792" spans="4:9">
      <c r="D792" s="47"/>
      <c r="E792" s="143"/>
      <c r="H792" s="2"/>
      <c r="I792" s="30"/>
    </row>
    <row r="793" spans="4:9">
      <c r="D793" s="47"/>
      <c r="E793" s="143"/>
      <c r="H793" s="2"/>
      <c r="I793" s="30"/>
    </row>
    <row r="794" spans="4:9">
      <c r="D794" s="47"/>
      <c r="E794" s="143"/>
      <c r="H794" s="2"/>
      <c r="I794" s="30"/>
    </row>
    <row r="795" spans="4:9">
      <c r="D795" s="47"/>
      <c r="E795" s="143"/>
      <c r="H795" s="2"/>
      <c r="I795" s="30"/>
    </row>
    <row r="796" spans="4:9">
      <c r="D796" s="47"/>
      <c r="E796" s="143"/>
      <c r="H796" s="2"/>
      <c r="I796" s="30"/>
    </row>
    <row r="797" spans="4:9">
      <c r="D797" s="47"/>
      <c r="E797" s="143"/>
      <c r="H797" s="2"/>
      <c r="I797" s="30"/>
    </row>
    <row r="798" spans="4:9">
      <c r="D798" s="47"/>
      <c r="E798" s="143"/>
      <c r="H798" s="2"/>
      <c r="I798" s="30"/>
    </row>
    <row r="799" spans="4:9">
      <c r="D799" s="47"/>
      <c r="E799" s="143"/>
      <c r="H799" s="2"/>
      <c r="I799" s="30"/>
    </row>
    <row r="800" spans="4:9">
      <c r="D800" s="47"/>
      <c r="E800" s="143"/>
      <c r="H800" s="2"/>
      <c r="I800" s="30"/>
    </row>
    <row r="801" spans="4:9">
      <c r="D801" s="47"/>
      <c r="E801" s="143"/>
      <c r="H801" s="2"/>
      <c r="I801" s="30"/>
    </row>
    <row r="802" spans="4:9">
      <c r="D802" s="47"/>
      <c r="E802" s="143"/>
      <c r="H802" s="2"/>
      <c r="I802" s="30"/>
    </row>
    <row r="803" spans="4:9">
      <c r="D803" s="47"/>
      <c r="E803" s="143"/>
      <c r="H803" s="2"/>
      <c r="I803" s="30"/>
    </row>
    <row r="804" spans="4:9">
      <c r="D804" s="47"/>
      <c r="E804" s="143"/>
      <c r="H804" s="2"/>
      <c r="I804" s="30"/>
    </row>
    <row r="805" spans="4:9">
      <c r="D805" s="47"/>
      <c r="E805" s="143"/>
      <c r="H805" s="2"/>
      <c r="I805" s="30"/>
    </row>
    <row r="806" spans="4:9">
      <c r="D806" s="47"/>
      <c r="E806" s="143"/>
      <c r="H806" s="2"/>
      <c r="I806" s="30"/>
    </row>
    <row r="807" spans="4:9">
      <c r="D807" s="47"/>
      <c r="E807" s="143"/>
      <c r="H807" s="2"/>
      <c r="I807" s="30"/>
    </row>
    <row r="808" spans="4:9">
      <c r="D808" s="47"/>
      <c r="E808" s="143"/>
      <c r="H808" s="2"/>
      <c r="I808" s="30"/>
    </row>
    <row r="809" spans="4:9">
      <c r="D809" s="47"/>
      <c r="E809" s="143"/>
      <c r="H809" s="2"/>
      <c r="I809" s="30"/>
    </row>
    <row r="810" spans="4:9">
      <c r="D810" s="47"/>
      <c r="E810" s="143"/>
      <c r="H810" s="2"/>
      <c r="I810" s="30"/>
    </row>
    <row r="811" spans="4:9">
      <c r="D811" s="47"/>
      <c r="E811" s="143"/>
      <c r="H811" s="2"/>
      <c r="I811" s="30"/>
    </row>
    <row r="812" spans="4:9">
      <c r="D812" s="47"/>
      <c r="E812" s="143"/>
      <c r="H812" s="2"/>
      <c r="I812" s="30"/>
    </row>
    <row r="813" spans="4:9">
      <c r="D813" s="47"/>
      <c r="E813" s="143"/>
      <c r="H813" s="2"/>
      <c r="I813" s="30"/>
    </row>
    <row r="814" spans="4:9">
      <c r="D814" s="47"/>
      <c r="E814" s="143"/>
      <c r="H814" s="2"/>
      <c r="I814" s="30"/>
    </row>
    <row r="815" spans="4:9">
      <c r="D815" s="47"/>
      <c r="E815" s="143"/>
      <c r="H815" s="2"/>
      <c r="I815" s="30"/>
    </row>
    <row r="816" spans="4:9">
      <c r="D816" s="47"/>
      <c r="E816" s="143"/>
      <c r="H816" s="2"/>
      <c r="I816" s="30"/>
    </row>
    <row r="817" spans="4:9">
      <c r="D817" s="47"/>
      <c r="E817" s="143"/>
      <c r="H817" s="2"/>
      <c r="I817" s="30"/>
    </row>
    <row r="818" spans="4:9">
      <c r="D818" s="47"/>
      <c r="E818" s="143"/>
      <c r="H818" s="2"/>
      <c r="I818" s="30"/>
    </row>
    <row r="819" spans="4:9">
      <c r="D819" s="47"/>
      <c r="E819" s="143"/>
      <c r="H819" s="2"/>
      <c r="I819" s="30"/>
    </row>
    <row r="820" spans="4:9">
      <c r="D820" s="47"/>
      <c r="E820" s="143"/>
      <c r="H820" s="2"/>
      <c r="I820" s="30"/>
    </row>
    <row r="821" spans="4:9">
      <c r="D821" s="47"/>
      <c r="E821" s="143"/>
      <c r="H821" s="2"/>
      <c r="I821" s="30"/>
    </row>
    <row r="822" spans="4:9">
      <c r="D822" s="47"/>
      <c r="E822" s="143"/>
      <c r="H822" s="2"/>
      <c r="I822" s="30"/>
    </row>
    <row r="823" spans="4:9">
      <c r="D823" s="47"/>
      <c r="E823" s="143"/>
      <c r="H823" s="2"/>
      <c r="I823" s="30"/>
    </row>
    <row r="824" spans="4:9">
      <c r="D824" s="47"/>
      <c r="E824" s="143"/>
      <c r="H824" s="2"/>
      <c r="I824" s="30"/>
    </row>
    <row r="825" spans="4:9">
      <c r="D825" s="47"/>
      <c r="E825" s="143"/>
      <c r="H825" s="2"/>
      <c r="I825" s="30"/>
    </row>
    <row r="826" spans="4:9">
      <c r="D826" s="47"/>
      <c r="E826" s="143"/>
      <c r="H826" s="2"/>
      <c r="I826" s="30"/>
    </row>
    <row r="827" spans="4:9">
      <c r="D827" s="47"/>
      <c r="E827" s="143"/>
      <c r="H827" s="2"/>
      <c r="I827" s="30"/>
    </row>
    <row r="828" spans="4:9">
      <c r="D828" s="47"/>
      <c r="E828" s="143"/>
      <c r="H828" s="2"/>
      <c r="I828" s="30"/>
    </row>
    <row r="829" spans="4:9">
      <c r="D829" s="47"/>
      <c r="E829" s="143"/>
      <c r="H829" s="2"/>
      <c r="I829" s="30"/>
    </row>
    <row r="830" spans="4:9">
      <c r="D830" s="47"/>
      <c r="E830" s="143"/>
      <c r="H830" s="2"/>
      <c r="I830" s="30"/>
    </row>
    <row r="831" spans="4:9">
      <c r="D831" s="47"/>
      <c r="E831" s="143"/>
      <c r="H831" s="2"/>
      <c r="I831" s="30"/>
    </row>
    <row r="832" spans="4:9">
      <c r="D832" s="47"/>
      <c r="E832" s="143"/>
      <c r="H832" s="2"/>
      <c r="I832" s="30"/>
    </row>
    <row r="833" spans="4:9">
      <c r="D833" s="47"/>
      <c r="E833" s="143"/>
      <c r="H833" s="2"/>
      <c r="I833" s="30"/>
    </row>
    <row r="834" spans="4:9">
      <c r="D834" s="47"/>
      <c r="E834" s="143"/>
      <c r="H834" s="2"/>
      <c r="I834" s="30"/>
    </row>
    <row r="835" spans="4:9">
      <c r="D835" s="47"/>
      <c r="E835" s="143"/>
      <c r="H835" s="2"/>
      <c r="I835" s="30"/>
    </row>
    <row r="836" spans="4:9">
      <c r="D836" s="47"/>
      <c r="E836" s="143"/>
      <c r="H836" s="2"/>
      <c r="I836" s="30"/>
    </row>
    <row r="837" spans="4:9">
      <c r="D837" s="47"/>
      <c r="E837" s="143"/>
      <c r="H837" s="2"/>
      <c r="I837" s="30"/>
    </row>
    <row r="838" spans="4:9">
      <c r="D838" s="47"/>
      <c r="E838" s="143"/>
      <c r="H838" s="2"/>
      <c r="I838" s="30"/>
    </row>
    <row r="839" spans="4:9">
      <c r="D839" s="47"/>
      <c r="E839" s="143"/>
      <c r="H839" s="2"/>
      <c r="I839" s="30"/>
    </row>
    <row r="840" spans="4:9">
      <c r="D840" s="47"/>
      <c r="E840" s="143"/>
      <c r="H840" s="2"/>
      <c r="I840" s="30"/>
    </row>
    <row r="841" spans="4:9">
      <c r="D841" s="47"/>
      <c r="E841" s="143"/>
      <c r="H841" s="2"/>
      <c r="I841" s="30"/>
    </row>
    <row r="842" spans="4:9">
      <c r="D842" s="47"/>
      <c r="E842" s="143"/>
      <c r="H842" s="2"/>
      <c r="I842" s="30"/>
    </row>
    <row r="843" spans="4:9">
      <c r="D843" s="47"/>
      <c r="E843" s="143"/>
      <c r="H843" s="2"/>
      <c r="I843" s="30"/>
    </row>
    <row r="844" spans="4:9">
      <c r="D844" s="47"/>
      <c r="E844" s="143"/>
      <c r="H844" s="2"/>
      <c r="I844" s="30"/>
    </row>
    <row r="845" spans="4:9">
      <c r="D845" s="47"/>
      <c r="E845" s="143"/>
      <c r="H845" s="2"/>
      <c r="I845" s="30"/>
    </row>
    <row r="846" spans="4:9">
      <c r="D846" s="47"/>
      <c r="E846" s="143"/>
      <c r="H846" s="2"/>
      <c r="I846" s="30"/>
    </row>
    <row r="847" spans="4:9">
      <c r="D847" s="47"/>
      <c r="E847" s="143"/>
      <c r="H847" s="2"/>
      <c r="I847" s="30"/>
    </row>
    <row r="848" spans="4:9">
      <c r="D848" s="47"/>
      <c r="E848" s="143"/>
      <c r="H848" s="2"/>
      <c r="I848" s="30"/>
    </row>
    <row r="849" spans="4:9">
      <c r="D849" s="47"/>
      <c r="E849" s="143"/>
      <c r="H849" s="2"/>
      <c r="I849" s="30"/>
    </row>
    <row r="850" spans="4:9">
      <c r="D850" s="47"/>
      <c r="E850" s="143"/>
      <c r="H850" s="2"/>
      <c r="I850" s="30"/>
    </row>
    <row r="851" spans="4:9">
      <c r="D851" s="47"/>
      <c r="E851" s="143"/>
      <c r="H851" s="2"/>
      <c r="I851" s="30"/>
    </row>
    <row r="852" spans="4:9">
      <c r="D852" s="47"/>
      <c r="E852" s="143"/>
      <c r="H852" s="2"/>
      <c r="I852" s="30"/>
    </row>
    <row r="853" spans="4:9">
      <c r="D853" s="47"/>
      <c r="E853" s="143"/>
      <c r="H853" s="2"/>
      <c r="I853" s="30"/>
    </row>
    <row r="854" spans="4:9">
      <c r="D854" s="47"/>
      <c r="E854" s="143"/>
      <c r="H854" s="2"/>
      <c r="I854" s="30"/>
    </row>
    <row r="855" spans="4:9">
      <c r="D855" s="47"/>
      <c r="E855" s="143"/>
      <c r="H855" s="2"/>
      <c r="I855" s="30"/>
    </row>
    <row r="856" spans="4:9">
      <c r="D856" s="47"/>
      <c r="E856" s="143"/>
      <c r="H856" s="2"/>
      <c r="I856" s="30"/>
    </row>
    <row r="857" spans="4:9">
      <c r="D857" s="47"/>
      <c r="E857" s="143"/>
      <c r="H857" s="2"/>
      <c r="I857" s="30"/>
    </row>
    <row r="858" spans="4:9">
      <c r="D858" s="47"/>
      <c r="E858" s="143"/>
      <c r="H858" s="2"/>
      <c r="I858" s="30"/>
    </row>
    <row r="859" spans="4:9">
      <c r="D859" s="47"/>
      <c r="E859" s="143"/>
      <c r="H859" s="2"/>
      <c r="I859" s="30"/>
    </row>
    <row r="860" spans="4:9">
      <c r="D860" s="47"/>
      <c r="E860" s="143"/>
      <c r="H860" s="2"/>
      <c r="I860" s="30"/>
    </row>
    <row r="861" spans="4:9">
      <c r="D861" s="47"/>
      <c r="E861" s="143"/>
      <c r="H861" s="2"/>
      <c r="I861" s="30"/>
    </row>
    <row r="862" spans="4:9">
      <c r="D862" s="47"/>
      <c r="E862" s="143"/>
      <c r="H862" s="2"/>
      <c r="I862" s="30"/>
    </row>
    <row r="863" spans="4:9">
      <c r="D863" s="47"/>
      <c r="E863" s="143"/>
      <c r="H863" s="2"/>
      <c r="I863" s="30"/>
    </row>
    <row r="864" spans="4:9">
      <c r="D864" s="47"/>
      <c r="E864" s="143"/>
      <c r="H864" s="2"/>
      <c r="I864" s="30"/>
    </row>
    <row r="865" spans="4:9">
      <c r="D865" s="47"/>
      <c r="E865" s="143"/>
      <c r="H865" s="2"/>
      <c r="I865" s="30"/>
    </row>
    <row r="866" spans="4:9">
      <c r="D866" s="47"/>
      <c r="E866" s="143"/>
      <c r="H866" s="2"/>
      <c r="I866" s="30"/>
    </row>
    <row r="867" spans="4:9">
      <c r="D867" s="47"/>
      <c r="E867" s="143"/>
      <c r="H867" s="2"/>
      <c r="I867" s="30"/>
    </row>
    <row r="868" spans="4:9">
      <c r="D868" s="47"/>
      <c r="E868" s="143"/>
      <c r="H868" s="2"/>
      <c r="I868" s="30"/>
    </row>
    <row r="869" spans="4:9">
      <c r="D869" s="47"/>
      <c r="E869" s="143"/>
      <c r="H869" s="2"/>
      <c r="I869" s="30"/>
    </row>
    <row r="870" spans="4:9">
      <c r="D870" s="47"/>
      <c r="E870" s="143"/>
      <c r="H870" s="2"/>
      <c r="I870" s="30"/>
    </row>
    <row r="871" spans="4:9">
      <c r="D871" s="47"/>
      <c r="E871" s="143"/>
      <c r="H871" s="2"/>
      <c r="I871" s="30"/>
    </row>
    <row r="872" spans="4:9">
      <c r="D872" s="47"/>
      <c r="E872" s="143"/>
      <c r="H872" s="2"/>
      <c r="I872" s="30"/>
    </row>
    <row r="873" spans="4:9">
      <c r="D873" s="47"/>
      <c r="E873" s="143"/>
      <c r="H873" s="2"/>
      <c r="I873" s="30"/>
    </row>
    <row r="874" spans="4:9">
      <c r="D874" s="47"/>
      <c r="E874" s="143"/>
      <c r="H874" s="2"/>
      <c r="I874" s="30"/>
    </row>
    <row r="875" spans="4:9">
      <c r="D875" s="47"/>
      <c r="E875" s="143"/>
      <c r="H875" s="2"/>
      <c r="I875" s="30"/>
    </row>
    <row r="876" spans="4:9">
      <c r="D876" s="47"/>
      <c r="E876" s="143"/>
      <c r="H876" s="2"/>
      <c r="I876" s="30"/>
    </row>
    <row r="877" spans="4:9">
      <c r="D877" s="47"/>
      <c r="E877" s="143"/>
      <c r="H877" s="2"/>
      <c r="I877" s="30"/>
    </row>
    <row r="878" spans="4:9">
      <c r="D878" s="47"/>
      <c r="E878" s="143"/>
      <c r="H878" s="2"/>
      <c r="I878" s="30"/>
    </row>
    <row r="879" spans="4:9">
      <c r="D879" s="47"/>
      <c r="E879" s="143"/>
      <c r="H879" s="2"/>
      <c r="I879" s="30"/>
    </row>
    <row r="880" spans="4:9">
      <c r="D880" s="47"/>
      <c r="E880" s="143"/>
      <c r="H880" s="2"/>
      <c r="I880" s="30"/>
    </row>
    <row r="881" spans="4:9">
      <c r="D881" s="47"/>
      <c r="E881" s="143"/>
      <c r="H881" s="2"/>
      <c r="I881" s="30"/>
    </row>
    <row r="882" spans="4:9">
      <c r="D882" s="47"/>
      <c r="E882" s="143"/>
      <c r="H882" s="2"/>
      <c r="I882" s="30"/>
    </row>
    <row r="883" spans="4:9">
      <c r="D883" s="47"/>
      <c r="E883" s="143"/>
      <c r="H883" s="2"/>
      <c r="I883" s="30"/>
    </row>
    <row r="884" spans="4:9">
      <c r="D884" s="47"/>
      <c r="E884" s="143"/>
      <c r="H884" s="2"/>
      <c r="I884" s="30"/>
    </row>
    <row r="885" spans="4:9">
      <c r="D885" s="47"/>
      <c r="E885" s="143"/>
      <c r="H885" s="2"/>
      <c r="I885" s="30"/>
    </row>
    <row r="886" spans="4:9">
      <c r="D886" s="47"/>
      <c r="E886" s="143"/>
      <c r="H886" s="2"/>
      <c r="I886" s="30"/>
    </row>
    <row r="887" spans="4:9">
      <c r="D887" s="47"/>
      <c r="E887" s="143"/>
      <c r="H887" s="2"/>
      <c r="I887" s="30"/>
    </row>
    <row r="888" spans="4:9">
      <c r="D888" s="47"/>
      <c r="E888" s="143"/>
      <c r="H888" s="2"/>
      <c r="I888" s="30"/>
    </row>
    <row r="889" spans="4:9">
      <c r="D889" s="47"/>
      <c r="E889" s="143"/>
      <c r="H889" s="2"/>
      <c r="I889" s="30"/>
    </row>
    <row r="890" spans="4:9">
      <c r="D890" s="47"/>
      <c r="E890" s="143"/>
      <c r="H890" s="2"/>
      <c r="I890" s="30"/>
    </row>
    <row r="891" spans="4:9">
      <c r="D891" s="47"/>
      <c r="E891" s="143"/>
      <c r="H891" s="2"/>
      <c r="I891" s="30"/>
    </row>
    <row r="892" spans="4:9">
      <c r="D892" s="47"/>
      <c r="E892" s="143"/>
      <c r="H892" s="2"/>
      <c r="I892" s="30"/>
    </row>
    <row r="893" spans="4:9">
      <c r="D893" s="47"/>
      <c r="E893" s="143"/>
      <c r="H893" s="2"/>
      <c r="I893" s="30"/>
    </row>
    <row r="894" spans="4:9">
      <c r="D894" s="47"/>
      <c r="E894" s="143"/>
      <c r="H894" s="2"/>
      <c r="I894" s="30"/>
    </row>
    <row r="895" spans="4:9">
      <c r="D895" s="47"/>
      <c r="E895" s="143"/>
      <c r="H895" s="2"/>
      <c r="I895" s="30"/>
    </row>
    <row r="896" spans="4:9">
      <c r="D896" s="47"/>
      <c r="E896" s="143"/>
      <c r="H896" s="2"/>
      <c r="I896" s="30"/>
    </row>
    <row r="897" spans="4:9">
      <c r="D897" s="47"/>
      <c r="E897" s="143"/>
      <c r="H897" s="2"/>
      <c r="I897" s="30"/>
    </row>
    <row r="898" spans="4:9">
      <c r="D898" s="47"/>
      <c r="E898" s="143"/>
      <c r="H898" s="2"/>
      <c r="I898" s="30"/>
    </row>
    <row r="899" spans="4:9">
      <c r="D899" s="47"/>
      <c r="E899" s="143"/>
      <c r="H899" s="2"/>
      <c r="I899" s="30"/>
    </row>
    <row r="900" spans="4:9">
      <c r="D900" s="47"/>
      <c r="E900" s="143"/>
      <c r="H900" s="2"/>
      <c r="I900" s="30"/>
    </row>
    <row r="901" spans="4:9">
      <c r="D901" s="47"/>
      <c r="E901" s="143"/>
      <c r="H901" s="2"/>
      <c r="I901" s="30"/>
    </row>
    <row r="902" spans="4:9">
      <c r="D902" s="47"/>
      <c r="E902" s="143"/>
      <c r="H902" s="2"/>
      <c r="I902" s="30"/>
    </row>
    <row r="903" spans="4:9">
      <c r="D903" s="47"/>
      <c r="E903" s="143"/>
      <c r="H903" s="2"/>
      <c r="I903" s="30"/>
    </row>
    <row r="904" spans="4:9">
      <c r="D904" s="47"/>
      <c r="E904" s="143"/>
      <c r="H904" s="2"/>
      <c r="I904" s="30"/>
    </row>
    <row r="905" spans="4:9">
      <c r="D905" s="47"/>
      <c r="E905" s="143"/>
      <c r="H905" s="2"/>
      <c r="I905" s="30"/>
    </row>
    <row r="906" spans="4:9">
      <c r="D906" s="47"/>
      <c r="E906" s="143"/>
      <c r="H906" s="2"/>
      <c r="I906" s="30"/>
    </row>
    <row r="907" spans="4:9">
      <c r="D907" s="47"/>
      <c r="E907" s="143"/>
      <c r="H907" s="2"/>
      <c r="I907" s="30"/>
    </row>
    <row r="908" spans="4:9">
      <c r="D908" s="47"/>
      <c r="E908" s="143"/>
      <c r="H908" s="2"/>
      <c r="I908" s="30"/>
    </row>
    <row r="909" spans="4:9">
      <c r="D909" s="47"/>
      <c r="E909" s="143"/>
      <c r="H909" s="2"/>
      <c r="I909" s="30"/>
    </row>
    <row r="910" spans="4:9">
      <c r="D910" s="47"/>
      <c r="E910" s="143"/>
      <c r="H910" s="2"/>
      <c r="I910" s="30"/>
    </row>
    <row r="911" spans="4:9">
      <c r="D911" s="47"/>
      <c r="E911" s="143"/>
      <c r="H911" s="2"/>
      <c r="I911" s="30"/>
    </row>
    <row r="912" spans="4:9">
      <c r="D912" s="47"/>
      <c r="E912" s="143"/>
      <c r="H912" s="2"/>
      <c r="I912" s="30"/>
    </row>
    <row r="913" spans="4:9">
      <c r="D913" s="47"/>
      <c r="E913" s="143"/>
      <c r="H913" s="2"/>
      <c r="I913" s="30"/>
    </row>
    <row r="914" spans="4:9">
      <c r="D914" s="47"/>
      <c r="E914" s="143"/>
      <c r="H914" s="2"/>
      <c r="I914" s="30"/>
    </row>
    <row r="915" spans="4:9">
      <c r="D915" s="47"/>
      <c r="E915" s="143"/>
      <c r="H915" s="2"/>
      <c r="I915" s="30"/>
    </row>
    <row r="916" spans="4:9">
      <c r="D916" s="47"/>
      <c r="E916" s="143"/>
      <c r="H916" s="2"/>
      <c r="I916" s="30"/>
    </row>
    <row r="917" spans="4:9">
      <c r="D917" s="47"/>
      <c r="E917" s="143"/>
      <c r="H917" s="2"/>
      <c r="I917" s="30"/>
    </row>
    <row r="918" spans="4:9">
      <c r="D918" s="47"/>
      <c r="E918" s="143"/>
      <c r="H918" s="2"/>
      <c r="I918" s="30"/>
    </row>
    <row r="919" spans="4:9">
      <c r="D919" s="47"/>
      <c r="E919" s="143"/>
      <c r="H919" s="2"/>
      <c r="I919" s="30"/>
    </row>
    <row r="920" spans="4:9">
      <c r="D920" s="47"/>
      <c r="E920" s="143"/>
      <c r="H920" s="2"/>
      <c r="I920" s="30"/>
    </row>
    <row r="921" spans="4:9">
      <c r="D921" s="47"/>
      <c r="E921" s="143"/>
      <c r="H921" s="2"/>
      <c r="I921" s="30"/>
    </row>
    <row r="922" spans="4:9">
      <c r="D922" s="47"/>
      <c r="E922" s="143"/>
      <c r="H922" s="2"/>
      <c r="I922" s="30"/>
    </row>
    <row r="923" spans="4:9">
      <c r="D923" s="47"/>
      <c r="E923" s="143"/>
      <c r="H923" s="2"/>
      <c r="I923" s="30"/>
    </row>
    <row r="924" spans="4:9">
      <c r="D924" s="47"/>
      <c r="E924" s="143"/>
      <c r="H924" s="2"/>
      <c r="I924" s="30"/>
    </row>
    <row r="925" spans="4:9">
      <c r="D925" s="47"/>
      <c r="E925" s="143"/>
      <c r="H925" s="2"/>
      <c r="I925" s="30"/>
    </row>
    <row r="926" spans="4:9">
      <c r="D926" s="47"/>
      <c r="E926" s="143"/>
      <c r="H926" s="2"/>
      <c r="I926" s="30"/>
    </row>
    <row r="927" spans="4:9">
      <c r="D927" s="47"/>
      <c r="E927" s="143"/>
      <c r="H927" s="2"/>
      <c r="I927" s="30"/>
    </row>
    <row r="928" spans="4:9">
      <c r="D928" s="47"/>
      <c r="E928" s="143"/>
      <c r="H928" s="2"/>
      <c r="I928" s="30"/>
    </row>
    <row r="929" spans="4:9">
      <c r="D929" s="47"/>
      <c r="E929" s="143"/>
      <c r="H929" s="2"/>
      <c r="I929" s="30"/>
    </row>
    <row r="930" spans="4:9">
      <c r="D930" s="47"/>
      <c r="E930" s="143"/>
      <c r="H930" s="2"/>
      <c r="I930" s="30"/>
    </row>
    <row r="931" spans="4:9">
      <c r="D931" s="47"/>
      <c r="E931" s="143"/>
      <c r="H931" s="2"/>
      <c r="I931" s="30"/>
    </row>
    <row r="932" spans="4:9">
      <c r="D932" s="47"/>
      <c r="E932" s="143"/>
      <c r="H932" s="2"/>
      <c r="I932" s="30"/>
    </row>
    <row r="933" spans="4:9">
      <c r="D933" s="47"/>
      <c r="E933" s="143"/>
      <c r="H933" s="2"/>
      <c r="I933" s="30"/>
    </row>
    <row r="934" spans="4:9">
      <c r="D934" s="47"/>
      <c r="E934" s="143"/>
      <c r="H934" s="2"/>
      <c r="I934" s="30"/>
    </row>
    <row r="935" spans="4:9">
      <c r="D935" s="47"/>
      <c r="E935" s="143"/>
      <c r="H935" s="2"/>
      <c r="I935" s="30"/>
    </row>
    <row r="936" spans="4:9">
      <c r="D936" s="47"/>
      <c r="E936" s="143"/>
      <c r="H936" s="2"/>
      <c r="I936" s="30"/>
    </row>
    <row r="937" spans="4:9">
      <c r="D937" s="47"/>
      <c r="E937" s="143"/>
      <c r="H937" s="2"/>
      <c r="I937" s="30"/>
    </row>
    <row r="938" spans="4:9">
      <c r="D938" s="47"/>
      <c r="E938" s="143"/>
      <c r="H938" s="2"/>
      <c r="I938" s="30"/>
    </row>
    <row r="939" spans="4:9">
      <c r="D939" s="47"/>
      <c r="E939" s="143"/>
      <c r="H939" s="2"/>
      <c r="I939" s="30"/>
    </row>
    <row r="940" spans="4:9">
      <c r="D940" s="47"/>
      <c r="E940" s="143"/>
      <c r="H940" s="2"/>
      <c r="I940" s="30"/>
    </row>
    <row r="941" spans="4:9">
      <c r="D941" s="47"/>
      <c r="E941" s="143"/>
      <c r="H941" s="2"/>
      <c r="I941" s="30"/>
    </row>
    <row r="942" spans="4:9">
      <c r="D942" s="47"/>
      <c r="E942" s="143"/>
      <c r="H942" s="2"/>
      <c r="I942" s="30"/>
    </row>
    <row r="943" spans="4:9">
      <c r="D943" s="47"/>
      <c r="E943" s="143"/>
      <c r="H943" s="2"/>
      <c r="I943" s="30"/>
    </row>
    <row r="944" spans="4:9">
      <c r="D944" s="47"/>
      <c r="E944" s="143"/>
      <c r="H944" s="2"/>
      <c r="I944" s="30"/>
    </row>
    <row r="945" spans="4:9">
      <c r="D945" s="47"/>
      <c r="E945" s="143"/>
      <c r="H945" s="2"/>
      <c r="I945" s="30"/>
    </row>
    <row r="946" spans="4:9">
      <c r="D946" s="47"/>
      <c r="E946" s="143"/>
      <c r="H946" s="2"/>
      <c r="I946" s="30"/>
    </row>
    <row r="947" spans="4:9">
      <c r="D947" s="47"/>
      <c r="E947" s="143"/>
      <c r="H947" s="2"/>
      <c r="I947" s="30"/>
    </row>
    <row r="948" spans="4:9">
      <c r="D948" s="47"/>
      <c r="E948" s="143"/>
      <c r="H948" s="2"/>
      <c r="I948" s="30"/>
    </row>
    <row r="949" spans="4:9">
      <c r="D949" s="47"/>
      <c r="E949" s="143"/>
      <c r="H949" s="2"/>
      <c r="I949" s="30"/>
    </row>
    <row r="950" spans="4:9">
      <c r="D950" s="47"/>
      <c r="E950" s="143"/>
      <c r="H950" s="2"/>
      <c r="I950" s="30"/>
    </row>
    <row r="951" spans="4:9">
      <c r="D951" s="47"/>
      <c r="E951" s="143"/>
      <c r="H951" s="2"/>
      <c r="I951" s="30"/>
    </row>
    <row r="952" spans="4:9">
      <c r="D952" s="47"/>
      <c r="E952" s="143"/>
      <c r="H952" s="2"/>
      <c r="I952" s="30"/>
    </row>
    <row r="953" spans="4:9">
      <c r="D953" s="47"/>
      <c r="E953" s="143"/>
      <c r="H953" s="2"/>
      <c r="I953" s="30"/>
    </row>
    <row r="954" spans="4:9">
      <c r="D954" s="47"/>
      <c r="E954" s="143"/>
      <c r="H954" s="2"/>
      <c r="I954" s="30"/>
    </row>
    <row r="955" spans="4:9">
      <c r="D955" s="47"/>
      <c r="E955" s="143"/>
      <c r="H955" s="2"/>
      <c r="I955" s="30"/>
    </row>
    <row r="956" spans="4:9">
      <c r="D956" s="47"/>
      <c r="E956" s="143"/>
      <c r="H956" s="2"/>
      <c r="I956" s="30"/>
    </row>
    <row r="957" spans="4:9">
      <c r="D957" s="47"/>
      <c r="E957" s="143"/>
      <c r="H957" s="2"/>
      <c r="I957" s="30"/>
    </row>
    <row r="958" spans="4:9">
      <c r="D958" s="47"/>
      <c r="E958" s="143"/>
      <c r="H958" s="2"/>
      <c r="I958" s="30"/>
    </row>
    <row r="959" spans="4:9">
      <c r="D959" s="47"/>
      <c r="E959" s="143"/>
      <c r="H959" s="2"/>
      <c r="I959" s="30"/>
    </row>
    <row r="960" spans="4:9">
      <c r="D960" s="47"/>
      <c r="E960" s="143"/>
      <c r="H960" s="2"/>
      <c r="I960" s="30"/>
    </row>
    <row r="961" spans="4:15">
      <c r="D961" s="47"/>
      <c r="E961" s="143"/>
      <c r="H961" s="2"/>
      <c r="I961" s="30"/>
    </row>
    <row r="962" spans="4:15">
      <c r="D962" s="47"/>
      <c r="E962" s="143"/>
      <c r="H962" s="2"/>
      <c r="I962" s="30"/>
    </row>
    <row r="963" spans="4:15">
      <c r="D963" s="47"/>
      <c r="E963" s="143"/>
      <c r="H963" s="2"/>
      <c r="I963" s="30"/>
    </row>
    <row r="964" spans="4:15">
      <c r="D964" s="47"/>
      <c r="E964" s="143"/>
      <c r="H964" s="2"/>
      <c r="I964" s="30"/>
    </row>
    <row r="965" spans="4:15">
      <c r="D965" s="47"/>
      <c r="E965" s="143"/>
      <c r="H965" s="2"/>
      <c r="I965" s="30"/>
    </row>
    <row r="966" spans="4:15">
      <c r="D966" s="47"/>
      <c r="E966" s="143"/>
      <c r="H966" s="2"/>
      <c r="I966" s="30"/>
    </row>
    <row r="967" spans="4:15">
      <c r="D967" s="47"/>
      <c r="E967" s="143"/>
      <c r="H967" s="2"/>
      <c r="I967" s="30"/>
    </row>
    <row r="968" spans="4:15">
      <c r="D968" s="47"/>
      <c r="E968" s="143"/>
      <c r="H968" s="2"/>
      <c r="I968" s="30"/>
    </row>
    <row r="969" spans="4:15">
      <c r="D969" s="47"/>
      <c r="E969" s="143"/>
      <c r="H969" s="2"/>
      <c r="I969" s="30"/>
    </row>
    <row r="970" spans="4:15">
      <c r="D970" s="47"/>
      <c r="E970" s="143"/>
      <c r="H970" s="2"/>
      <c r="I970" s="30"/>
    </row>
    <row r="971" spans="4:15">
      <c r="D971" s="47"/>
      <c r="E971" s="143"/>
      <c r="H971" s="2"/>
      <c r="I971" s="30"/>
    </row>
    <row r="972" spans="4:15">
      <c r="K972" s="143"/>
      <c r="N972" s="2"/>
      <c r="O972" s="30"/>
    </row>
    <row r="973" spans="4:15">
      <c r="K973" s="143"/>
      <c r="N973" s="2"/>
      <c r="O973" s="30"/>
    </row>
    <row r="974" spans="4:15">
      <c r="K974" s="143"/>
      <c r="N974" s="2"/>
      <c r="O974" s="30"/>
    </row>
    <row r="975" spans="4:15">
      <c r="K975" s="143"/>
      <c r="N975" s="2"/>
      <c r="O975" s="30"/>
    </row>
    <row r="976" spans="4:15">
      <c r="K976" s="143"/>
      <c r="N976" s="2"/>
      <c r="O976" s="30"/>
    </row>
    <row r="977" spans="11:15">
      <c r="K977" s="143"/>
      <c r="N977" s="2"/>
      <c r="O977" s="30"/>
    </row>
    <row r="978" spans="11:15">
      <c r="K978" s="143"/>
      <c r="N978" s="2"/>
      <c r="O978" s="30"/>
    </row>
    <row r="979" spans="11:15">
      <c r="K979" s="143"/>
      <c r="N979" s="2"/>
      <c r="O979" s="30"/>
    </row>
    <row r="980" spans="11:15">
      <c r="K980" s="143"/>
      <c r="N980" s="2"/>
      <c r="O980" s="30"/>
    </row>
    <row r="981" spans="11:15">
      <c r="K981" s="143"/>
      <c r="N981" s="2"/>
      <c r="O981" s="30"/>
    </row>
    <row r="982" spans="11:15">
      <c r="K982" s="143"/>
      <c r="N982" s="2"/>
      <c r="O982" s="30"/>
    </row>
    <row r="983" spans="11:15">
      <c r="K983" s="143"/>
      <c r="N983" s="2"/>
      <c r="O983" s="30"/>
    </row>
    <row r="984" spans="11:15">
      <c r="K984" s="143"/>
      <c r="N984" s="2"/>
      <c r="O984" s="30"/>
    </row>
    <row r="985" spans="11:15">
      <c r="K985" s="143"/>
      <c r="N985" s="2"/>
      <c r="O985" s="30"/>
    </row>
    <row r="986" spans="11:15">
      <c r="K986" s="143"/>
      <c r="N986" s="2"/>
      <c r="O986" s="30"/>
    </row>
    <row r="987" spans="11:15">
      <c r="K987" s="143"/>
      <c r="N987" s="2"/>
      <c r="O987" s="30"/>
    </row>
    <row r="988" spans="11:15">
      <c r="K988" s="143"/>
      <c r="N988" s="2"/>
      <c r="O988" s="30"/>
    </row>
    <row r="989" spans="11:15">
      <c r="K989" s="143"/>
      <c r="N989" s="2"/>
      <c r="O989" s="30"/>
    </row>
    <row r="990" spans="11:15">
      <c r="K990" s="143"/>
      <c r="N990" s="2"/>
      <c r="O990" s="30"/>
    </row>
    <row r="991" spans="11:15">
      <c r="K991" s="143"/>
      <c r="N991" s="2"/>
      <c r="O991" s="30"/>
    </row>
    <row r="992" spans="11:15">
      <c r="K992" s="143"/>
      <c r="N992" s="2"/>
      <c r="O992" s="30"/>
    </row>
    <row r="993" spans="11:15">
      <c r="K993" s="143"/>
      <c r="N993" s="2"/>
      <c r="O993" s="30"/>
    </row>
  </sheetData>
  <dataValidations count="1">
    <dataValidation type="list" allowBlank="1" showErrorMessage="1" sqref="W3:W5" xr:uid="{641B2B57-E21F-4900-825E-194CAE13C4C2}">
      <formula1>"Open,Inprogress,Closed"</formula1>
    </dataValidation>
  </dataValidations>
  <hyperlinks>
    <hyperlink ref="M3" r:id="rId1" xr:uid="{BB635A9F-7174-4639-BA5F-B53EEA1DA3EC}"/>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3B2BB-C53A-49BA-A38A-2E3B6F7C9644}">
  <dimension ref="A1:Q10"/>
  <sheetViews>
    <sheetView workbookViewId="0">
      <selection activeCell="E2" sqref="E2:J2"/>
    </sheetView>
  </sheetViews>
  <sheetFormatPr defaultRowHeight="12.75"/>
  <cols>
    <col min="2" max="2" width="16.7109375" customWidth="1"/>
    <col min="3" max="3" width="14" customWidth="1"/>
    <col min="4" max="4" width="15.140625" customWidth="1"/>
    <col min="5" max="5" width="16.85546875" customWidth="1"/>
    <col min="6" max="6" width="48.7109375" customWidth="1"/>
    <col min="7" max="7" width="20.85546875" customWidth="1"/>
    <col min="8" max="8" width="13.28515625" customWidth="1"/>
    <col min="9" max="9" width="18.140625" customWidth="1"/>
    <col min="10" max="10" width="20.28515625" customWidth="1"/>
    <col min="11" max="11" width="13.28515625" customWidth="1"/>
  </cols>
  <sheetData>
    <row r="1" spans="1:17" ht="14.25">
      <c r="A1" s="59" t="s">
        <v>248</v>
      </c>
      <c r="B1" s="154" t="s">
        <v>11</v>
      </c>
      <c r="C1" s="155" t="s">
        <v>306</v>
      </c>
      <c r="D1" s="154" t="s">
        <v>250</v>
      </c>
      <c r="E1" s="155" t="s">
        <v>308</v>
      </c>
      <c r="F1" s="155" t="s">
        <v>309</v>
      </c>
      <c r="G1" s="154" t="s">
        <v>310</v>
      </c>
      <c r="H1" s="154" t="s">
        <v>312</v>
      </c>
      <c r="I1" s="154" t="s">
        <v>253</v>
      </c>
      <c r="J1" s="156" t="s">
        <v>313</v>
      </c>
      <c r="K1" s="157" t="s">
        <v>274</v>
      </c>
      <c r="L1" s="35"/>
      <c r="M1" s="35"/>
      <c r="N1" s="35"/>
      <c r="O1" s="35"/>
      <c r="P1" s="35"/>
      <c r="Q1" s="35"/>
    </row>
    <row r="2" spans="1:17" ht="24">
      <c r="A2" s="61">
        <v>1</v>
      </c>
      <c r="B2" s="61" t="s">
        <v>1719</v>
      </c>
      <c r="C2" s="58" t="s">
        <v>1732</v>
      </c>
      <c r="D2" s="58" t="s">
        <v>323</v>
      </c>
      <c r="E2" s="58" t="s">
        <v>553</v>
      </c>
      <c r="F2" s="216" t="s">
        <v>1733</v>
      </c>
      <c r="G2" s="19" t="s">
        <v>560</v>
      </c>
      <c r="H2" s="19" t="s">
        <v>556</v>
      </c>
      <c r="I2" s="19" t="s">
        <v>1291</v>
      </c>
      <c r="J2" s="19" t="s">
        <v>1213</v>
      </c>
      <c r="K2" s="19" t="s">
        <v>13</v>
      </c>
    </row>
    <row r="3" spans="1:17">
      <c r="A3" s="217">
        <v>2</v>
      </c>
      <c r="B3" s="217" t="s">
        <v>1719</v>
      </c>
      <c r="C3" s="218" t="s">
        <v>1734</v>
      </c>
      <c r="D3" s="218" t="s">
        <v>323</v>
      </c>
      <c r="E3" s="218" t="s">
        <v>553</v>
      </c>
      <c r="F3" s="218" t="s">
        <v>1735</v>
      </c>
      <c r="G3" s="219" t="s">
        <v>560</v>
      </c>
      <c r="H3" s="219" t="s">
        <v>556</v>
      </c>
      <c r="I3" s="219" t="s">
        <v>1291</v>
      </c>
      <c r="J3" s="219" t="s">
        <v>1213</v>
      </c>
      <c r="K3" s="19" t="s">
        <v>13</v>
      </c>
    </row>
    <row r="4" spans="1:17" ht="24">
      <c r="A4" s="217">
        <v>3</v>
      </c>
      <c r="B4" s="217" t="s">
        <v>1719</v>
      </c>
      <c r="C4" s="217" t="s">
        <v>1736</v>
      </c>
      <c r="D4" s="217" t="s">
        <v>322</v>
      </c>
      <c r="E4" s="217" t="s">
        <v>553</v>
      </c>
      <c r="F4" s="151" t="s">
        <v>1737</v>
      </c>
      <c r="G4" s="220" t="s">
        <v>554</v>
      </c>
      <c r="H4" s="220" t="s">
        <v>556</v>
      </c>
      <c r="I4" s="220" t="s">
        <v>1291</v>
      </c>
      <c r="J4" s="220" t="s">
        <v>558</v>
      </c>
      <c r="K4" s="219" t="s">
        <v>13</v>
      </c>
    </row>
    <row r="5" spans="1:17">
      <c r="A5" s="61">
        <v>4</v>
      </c>
      <c r="B5" s="61" t="s">
        <v>1719</v>
      </c>
      <c r="C5" s="61" t="s">
        <v>1738</v>
      </c>
      <c r="D5" s="217" t="s">
        <v>322</v>
      </c>
      <c r="E5" s="61" t="s">
        <v>553</v>
      </c>
      <c r="F5" s="61" t="s">
        <v>1739</v>
      </c>
      <c r="G5" s="12" t="s">
        <v>554</v>
      </c>
      <c r="H5" s="12" t="s">
        <v>556</v>
      </c>
      <c r="I5" s="12" t="s">
        <v>1291</v>
      </c>
      <c r="J5" s="61" t="s">
        <v>1213</v>
      </c>
      <c r="K5" s="61"/>
    </row>
    <row r="6" spans="1:17">
      <c r="A6" s="61">
        <v>5</v>
      </c>
      <c r="B6" s="61" t="s">
        <v>1719</v>
      </c>
      <c r="C6" s="61" t="s">
        <v>1740</v>
      </c>
      <c r="D6" s="61" t="s">
        <v>595</v>
      </c>
      <c r="E6" s="61" t="s">
        <v>553</v>
      </c>
      <c r="F6" s="61" t="s">
        <v>1741</v>
      </c>
      <c r="G6" s="61" t="s">
        <v>560</v>
      </c>
      <c r="H6" s="12" t="s">
        <v>556</v>
      </c>
      <c r="I6" s="12" t="s">
        <v>1291</v>
      </c>
      <c r="J6" s="61" t="s">
        <v>1213</v>
      </c>
      <c r="K6" s="61" t="s">
        <v>13</v>
      </c>
    </row>
    <row r="10" spans="1:17">
      <c r="D10" t="s">
        <v>1667</v>
      </c>
    </row>
  </sheetData>
  <dataValidations count="3">
    <dataValidation type="list" allowBlank="1" showErrorMessage="1" sqref="G2:G5" xr:uid="{E4D40610-A1D5-4E6E-8B59-AD8F7362A7AA}">
      <formula1>"Minor,Significant,Major"</formula1>
    </dataValidation>
    <dataValidation type="list" allowBlank="1" showErrorMessage="1" sqref="I2:I6" xr:uid="{5F53BCB9-DDA7-4A4D-BE19-5515A9090329}">
      <formula1>"Open,Inprogress,Closed"</formula1>
    </dataValidation>
    <dataValidation type="list" allowBlank="1" showErrorMessage="1" sqref="H2:H6" xr:uid="{F7B5E08A-6D56-440B-97B6-A6A5260C2FA3}">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D7EC3CF2-8E41-4158-9F17-51157E9E66B5}">
          <x14:formula1>
            <xm:f>Details!$A$2:$A$10</xm:f>
          </x14:formula1>
          <xm:sqref>J2:J4</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C277F-44A8-490B-8293-2089C4A56167}">
  <dimension ref="A1:Z3"/>
  <sheetViews>
    <sheetView workbookViewId="0">
      <selection activeCell="J2" sqref="J2"/>
    </sheetView>
  </sheetViews>
  <sheetFormatPr defaultRowHeight="12.75"/>
  <cols>
    <col min="2" max="2" width="17.140625" customWidth="1"/>
    <col min="3" max="3" width="12.85546875" customWidth="1"/>
    <col min="4" max="4" width="17.85546875" customWidth="1"/>
    <col min="5" max="5" width="23.42578125" customWidth="1"/>
    <col min="6" max="6" width="33.42578125" customWidth="1"/>
    <col min="7" max="7" width="18.140625" customWidth="1"/>
    <col min="9" max="9" width="11.85546875" customWidth="1"/>
    <col min="10" max="10" width="18.28515625" customWidth="1"/>
    <col min="11" max="11" width="29.42578125" customWidth="1"/>
  </cols>
  <sheetData>
    <row r="1" spans="1:26" ht="14.25">
      <c r="A1" s="59" t="s">
        <v>248</v>
      </c>
      <c r="B1" s="154" t="s">
        <v>11</v>
      </c>
      <c r="C1" s="155" t="s">
        <v>306</v>
      </c>
      <c r="D1" s="154" t="s">
        <v>250</v>
      </c>
      <c r="E1" s="155" t="s">
        <v>308</v>
      </c>
      <c r="F1" s="155" t="s">
        <v>309</v>
      </c>
      <c r="G1" s="154" t="s">
        <v>310</v>
      </c>
      <c r="H1" s="154" t="s">
        <v>312</v>
      </c>
      <c r="I1" s="154" t="s">
        <v>253</v>
      </c>
      <c r="J1" s="156" t="s">
        <v>313</v>
      </c>
      <c r="K1" s="157" t="s">
        <v>274</v>
      </c>
      <c r="L1" s="35"/>
      <c r="M1" s="35"/>
      <c r="N1" s="35"/>
      <c r="O1" s="35"/>
      <c r="P1" s="35"/>
      <c r="Q1" s="35"/>
      <c r="R1" s="35"/>
      <c r="S1" s="35"/>
      <c r="T1" s="35"/>
      <c r="U1" s="35"/>
      <c r="V1" s="35"/>
      <c r="W1" s="35"/>
      <c r="X1" s="35"/>
      <c r="Y1" s="35"/>
      <c r="Z1" s="35"/>
    </row>
    <row r="2" spans="1:26" ht="35.25">
      <c r="A2" s="61">
        <v>1</v>
      </c>
      <c r="B2" s="61" t="s">
        <v>1742</v>
      </c>
      <c r="C2" s="186" t="s">
        <v>1743</v>
      </c>
      <c r="D2" s="12" t="s">
        <v>1035</v>
      </c>
      <c r="E2" s="12" t="s">
        <v>553</v>
      </c>
      <c r="F2" s="45" t="s">
        <v>1744</v>
      </c>
      <c r="G2" s="12" t="s">
        <v>560</v>
      </c>
      <c r="H2" s="12" t="s">
        <v>556</v>
      </c>
      <c r="I2" s="12" t="s">
        <v>589</v>
      </c>
      <c r="J2" s="12" t="s">
        <v>1213</v>
      </c>
      <c r="K2" s="19" t="s">
        <v>1745</v>
      </c>
      <c r="L2" s="35"/>
      <c r="M2" s="35"/>
      <c r="N2" s="35"/>
      <c r="O2" s="35"/>
      <c r="P2" s="35"/>
      <c r="Q2" s="35"/>
      <c r="R2" s="35"/>
      <c r="S2" s="35"/>
      <c r="T2" s="35"/>
      <c r="U2" s="35"/>
      <c r="V2" s="35"/>
    </row>
    <row r="3" spans="1:26">
      <c r="A3" s="61">
        <v>2</v>
      </c>
      <c r="B3" s="61" t="s">
        <v>1742</v>
      </c>
      <c r="C3" s="61" t="s">
        <v>1746</v>
      </c>
      <c r="D3" s="12" t="s">
        <v>1035</v>
      </c>
      <c r="E3" s="12" t="s">
        <v>553</v>
      </c>
      <c r="F3" s="61" t="s">
        <v>1747</v>
      </c>
      <c r="G3" s="61" t="s">
        <v>1441</v>
      </c>
      <c r="H3" s="12" t="s">
        <v>556</v>
      </c>
      <c r="I3" s="12" t="s">
        <v>589</v>
      </c>
      <c r="J3" s="61" t="s">
        <v>1748</v>
      </c>
      <c r="K3" s="19" t="s">
        <v>13</v>
      </c>
    </row>
  </sheetData>
  <dataValidations count="4">
    <dataValidation type="list" allowBlank="1" showErrorMessage="1" sqref="H2:H3" xr:uid="{13E26EE9-EC29-49DE-9DA2-E473A702DA23}">
      <formula1>"Internal,External"</formula1>
    </dataValidation>
    <dataValidation type="list" allowBlank="1" showErrorMessage="1" sqref="E2:E3" xr:uid="{5A16FF25-14DA-4EF6-B45D-579E99A48F8B}">
      <formula1>"Bounceback,Defect,None"</formula1>
    </dataValidation>
    <dataValidation type="list" allowBlank="1" showErrorMessage="1" sqref="I2:I3" xr:uid="{C9931D98-95B2-41DB-8D5F-881173EA96E4}">
      <formula1>"Open,Inprogress,Closed"</formula1>
    </dataValidation>
    <dataValidation type="list" allowBlank="1" showErrorMessage="1" sqref="G2" xr:uid="{C211713C-356D-40E3-BCD6-0D2CB39D5A3F}">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67282C09-D78E-4C96-A324-FA4BDE61DEA6}">
          <x14:formula1>
            <xm:f>Details!$A$2:$A$10</xm:f>
          </x14:formula1>
          <xm:sqref>J2</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F0371-0C50-4223-9606-A3A3928DF20F}">
  <dimension ref="A1:AD999"/>
  <sheetViews>
    <sheetView topLeftCell="A4" workbookViewId="0">
      <selection activeCell="E10" sqref="E10"/>
    </sheetView>
  </sheetViews>
  <sheetFormatPr defaultRowHeight="12.75"/>
  <cols>
    <col min="1" max="1" width="9.140625" style="181"/>
    <col min="2" max="2" width="15.140625" customWidth="1"/>
    <col min="3" max="3" width="23.42578125" style="47" customWidth="1"/>
    <col min="4" max="4" width="12.85546875" customWidth="1"/>
    <col min="5" max="5" width="30.42578125" customWidth="1"/>
    <col min="6" max="7" width="9.140625" style="53"/>
    <col min="12" max="12" width="35.85546875" customWidth="1"/>
    <col min="13" max="13" width="19.140625" customWidth="1"/>
    <col min="14" max="15" width="9.42578125" bestFit="1" customWidth="1"/>
    <col min="17" max="17" width="13.28515625" customWidth="1"/>
    <col min="19" max="19" width="9.42578125" bestFit="1" customWidth="1"/>
    <col min="20" max="20" width="14.7109375" customWidth="1"/>
    <col min="21" max="21" width="15.28515625" customWidth="1"/>
    <col min="22" max="22" width="18.5703125" customWidth="1"/>
    <col min="23" max="23" width="15.28515625" style="137" customWidth="1"/>
    <col min="24" max="24" width="38.7109375" customWidth="1"/>
  </cols>
  <sheetData>
    <row r="1" spans="1:24" ht="14.25">
      <c r="A1" s="184"/>
      <c r="B1" s="4"/>
      <c r="C1" s="5"/>
      <c r="D1" s="5"/>
      <c r="E1" s="4"/>
      <c r="F1" s="48"/>
      <c r="G1" s="48"/>
      <c r="H1" s="197"/>
      <c r="I1" s="198"/>
      <c r="J1" s="197"/>
      <c r="K1" s="197"/>
      <c r="L1" s="197"/>
      <c r="M1" s="197"/>
      <c r="N1" s="197"/>
      <c r="O1" s="197"/>
      <c r="P1" s="197"/>
      <c r="Q1" s="197"/>
      <c r="R1" s="197"/>
      <c r="S1" s="197"/>
      <c r="T1" s="197"/>
      <c r="U1" s="197"/>
      <c r="V1" s="197"/>
      <c r="W1" s="188"/>
      <c r="X1" s="209"/>
    </row>
    <row r="2" spans="1:24" ht="46.5">
      <c r="A2" s="193" t="s">
        <v>248</v>
      </c>
      <c r="B2" s="59" t="s">
        <v>249</v>
      </c>
      <c r="C2" s="195" t="s">
        <v>250</v>
      </c>
      <c r="D2" s="68" t="s">
        <v>251</v>
      </c>
      <c r="E2" s="70" t="s">
        <v>252</v>
      </c>
      <c r="F2" s="71" t="s">
        <v>254</v>
      </c>
      <c r="G2" s="71" t="s">
        <v>255</v>
      </c>
      <c r="H2" s="199" t="s">
        <v>259</v>
      </c>
      <c r="I2" s="199" t="s">
        <v>260</v>
      </c>
      <c r="J2" s="199" t="s">
        <v>261</v>
      </c>
      <c r="K2" s="199" t="s">
        <v>262</v>
      </c>
      <c r="L2" s="199" t="s">
        <v>263</v>
      </c>
      <c r="M2" s="199" t="s">
        <v>264</v>
      </c>
      <c r="N2" s="199" t="s">
        <v>265</v>
      </c>
      <c r="O2" s="199" t="s">
        <v>266</v>
      </c>
      <c r="P2" s="199" t="s">
        <v>1571</v>
      </c>
      <c r="Q2" s="199" t="s">
        <v>268</v>
      </c>
      <c r="R2" s="199" t="s">
        <v>1572</v>
      </c>
      <c r="S2" s="199" t="s">
        <v>270</v>
      </c>
      <c r="T2" s="199" t="s">
        <v>268</v>
      </c>
      <c r="U2" s="199" t="s">
        <v>272</v>
      </c>
      <c r="V2" s="199" t="s">
        <v>273</v>
      </c>
      <c r="W2" s="189" t="s">
        <v>253</v>
      </c>
      <c r="X2" s="210" t="s">
        <v>274</v>
      </c>
    </row>
    <row r="3" spans="1:24" ht="48.75" customHeight="1">
      <c r="A3" s="185">
        <v>1</v>
      </c>
      <c r="B3" s="190" t="s">
        <v>1742</v>
      </c>
      <c r="C3" s="191" t="s">
        <v>1749</v>
      </c>
      <c r="D3" s="87" t="s">
        <v>1750</v>
      </c>
      <c r="E3" s="161" t="s">
        <v>1751</v>
      </c>
      <c r="F3" s="212">
        <v>3</v>
      </c>
      <c r="G3" s="212">
        <v>3</v>
      </c>
      <c r="H3" s="83" t="s">
        <v>318</v>
      </c>
      <c r="I3" s="83" t="s">
        <v>1035</v>
      </c>
      <c r="J3" s="83" t="s">
        <v>1423</v>
      </c>
      <c r="K3" s="83" t="s">
        <v>595</v>
      </c>
      <c r="L3" s="136" t="s">
        <v>1591</v>
      </c>
      <c r="M3" s="200" t="s">
        <v>1752</v>
      </c>
      <c r="N3" s="201">
        <v>45408</v>
      </c>
      <c r="O3" s="201">
        <v>45411</v>
      </c>
      <c r="P3" s="136" t="s">
        <v>322</v>
      </c>
      <c r="Q3" s="202" t="s">
        <v>1557</v>
      </c>
      <c r="R3" s="136" t="s">
        <v>1723</v>
      </c>
      <c r="S3" s="135">
        <v>45411</v>
      </c>
      <c r="T3" s="202" t="s">
        <v>1557</v>
      </c>
      <c r="U3" s="202" t="s">
        <v>1591</v>
      </c>
      <c r="V3" s="202" t="s">
        <v>1591</v>
      </c>
      <c r="W3" s="139" t="s">
        <v>557</v>
      </c>
      <c r="X3" s="30"/>
    </row>
    <row r="4" spans="1:24" ht="60" customHeight="1">
      <c r="A4" s="185">
        <v>2</v>
      </c>
      <c r="B4" s="190" t="s">
        <v>1742</v>
      </c>
      <c r="C4" s="191" t="s">
        <v>1629</v>
      </c>
      <c r="D4" s="90" t="s">
        <v>1753</v>
      </c>
      <c r="E4" s="179" t="s">
        <v>1754</v>
      </c>
      <c r="F4" s="213">
        <v>2</v>
      </c>
      <c r="G4" s="213">
        <v>2</v>
      </c>
      <c r="H4" s="83" t="s">
        <v>318</v>
      </c>
      <c r="I4" s="83" t="s">
        <v>1577</v>
      </c>
      <c r="J4" s="83" t="s">
        <v>1423</v>
      </c>
      <c r="K4" s="83" t="s">
        <v>595</v>
      </c>
      <c r="L4" s="136" t="s">
        <v>1591</v>
      </c>
      <c r="M4" s="200" t="s">
        <v>1755</v>
      </c>
      <c r="N4" s="201">
        <v>45411</v>
      </c>
      <c r="O4" s="201">
        <v>45415</v>
      </c>
      <c r="P4" s="136" t="s">
        <v>322</v>
      </c>
      <c r="Q4" s="202" t="s">
        <v>1557</v>
      </c>
      <c r="R4" s="136" t="s">
        <v>1723</v>
      </c>
      <c r="S4" s="135">
        <v>45418</v>
      </c>
      <c r="T4" s="202" t="s">
        <v>1557</v>
      </c>
      <c r="U4" s="202" t="s">
        <v>1591</v>
      </c>
      <c r="V4" s="202" t="s">
        <v>1591</v>
      </c>
      <c r="W4" s="139" t="s">
        <v>557</v>
      </c>
      <c r="X4" s="211"/>
    </row>
    <row r="5" spans="1:24" ht="24.75">
      <c r="A5" s="185">
        <v>3</v>
      </c>
      <c r="B5" s="190" t="s">
        <v>1742</v>
      </c>
      <c r="C5" s="192" t="s">
        <v>1756</v>
      </c>
      <c r="D5" s="87" t="s">
        <v>1757</v>
      </c>
      <c r="E5" s="136" t="s">
        <v>1758</v>
      </c>
      <c r="F5" s="213">
        <v>5</v>
      </c>
      <c r="G5" s="213">
        <v>5</v>
      </c>
      <c r="H5" s="83" t="s">
        <v>318</v>
      </c>
      <c r="I5" s="83" t="s">
        <v>1423</v>
      </c>
      <c r="J5" s="83" t="s">
        <v>1423</v>
      </c>
      <c r="K5" s="83" t="s">
        <v>595</v>
      </c>
      <c r="L5" s="19" t="s">
        <v>1591</v>
      </c>
      <c r="M5" s="19" t="s">
        <v>1591</v>
      </c>
      <c r="N5" s="19" t="s">
        <v>1591</v>
      </c>
      <c r="O5" s="64" t="s">
        <v>1591</v>
      </c>
      <c r="P5" s="64" t="s">
        <v>1591</v>
      </c>
      <c r="Q5" s="202" t="s">
        <v>1591</v>
      </c>
      <c r="R5" s="202" t="s">
        <v>1591</v>
      </c>
      <c r="S5" s="202" t="s">
        <v>1591</v>
      </c>
      <c r="T5" s="202" t="s">
        <v>1591</v>
      </c>
      <c r="U5" s="202" t="s">
        <v>1591</v>
      </c>
      <c r="V5" s="202" t="s">
        <v>1591</v>
      </c>
      <c r="W5" s="187" t="s">
        <v>557</v>
      </c>
      <c r="X5" s="19" t="s">
        <v>1759</v>
      </c>
    </row>
    <row r="6" spans="1:24" s="181" customFormat="1" ht="53.25" customHeight="1">
      <c r="A6" s="185">
        <v>4</v>
      </c>
      <c r="B6" s="180" t="s">
        <v>1742</v>
      </c>
      <c r="C6" s="191" t="s">
        <v>1035</v>
      </c>
      <c r="D6" s="90" t="s">
        <v>1760</v>
      </c>
      <c r="E6" s="183" t="s">
        <v>1761</v>
      </c>
      <c r="F6" s="213">
        <v>1</v>
      </c>
      <c r="G6" s="213">
        <v>1</v>
      </c>
      <c r="H6" s="203"/>
      <c r="I6" s="203"/>
      <c r="J6" s="83"/>
      <c r="K6" s="83"/>
      <c r="L6" s="204"/>
      <c r="M6" s="205"/>
      <c r="N6" s="206"/>
      <c r="O6" s="207"/>
      <c r="P6" s="136"/>
      <c r="Q6" s="83"/>
      <c r="R6" s="136"/>
      <c r="S6" s="206"/>
      <c r="T6" s="83"/>
      <c r="U6" s="136"/>
      <c r="V6" s="136"/>
      <c r="W6" s="83" t="s">
        <v>589</v>
      </c>
      <c r="X6" s="211" t="s">
        <v>1762</v>
      </c>
    </row>
    <row r="7" spans="1:24" ht="34.5" customHeight="1">
      <c r="A7" s="185">
        <v>5</v>
      </c>
      <c r="B7" s="97" t="s">
        <v>1742</v>
      </c>
      <c r="C7" s="46" t="s">
        <v>1035</v>
      </c>
      <c r="D7" s="225" t="s">
        <v>1746</v>
      </c>
      <c r="E7" s="182" t="s">
        <v>1763</v>
      </c>
      <c r="F7" s="125">
        <v>1</v>
      </c>
      <c r="G7" s="125">
        <v>1</v>
      </c>
      <c r="H7" s="83" t="s">
        <v>318</v>
      </c>
      <c r="I7" s="83" t="s">
        <v>595</v>
      </c>
      <c r="J7" s="83" t="s">
        <v>1423</v>
      </c>
      <c r="K7" s="83" t="s">
        <v>595</v>
      </c>
      <c r="L7" s="136" t="s">
        <v>1591</v>
      </c>
      <c r="M7" s="200" t="s">
        <v>1764</v>
      </c>
      <c r="N7" s="65">
        <v>45420</v>
      </c>
      <c r="O7" s="65">
        <v>45420</v>
      </c>
      <c r="P7" s="19" t="s">
        <v>322</v>
      </c>
      <c r="Q7" s="202" t="s">
        <v>1557</v>
      </c>
      <c r="R7" s="136" t="s">
        <v>1723</v>
      </c>
      <c r="S7" s="65">
        <v>45420</v>
      </c>
      <c r="T7" s="202" t="s">
        <v>1557</v>
      </c>
      <c r="U7" s="202" t="s">
        <v>1591</v>
      </c>
      <c r="V7" s="202" t="s">
        <v>1591</v>
      </c>
      <c r="W7" s="139" t="s">
        <v>557</v>
      </c>
      <c r="X7" s="19"/>
    </row>
    <row r="8" spans="1:24" ht="34.5" customHeight="1">
      <c r="A8" s="185">
        <v>6</v>
      </c>
      <c r="B8" s="97" t="s">
        <v>1742</v>
      </c>
      <c r="C8" s="45" t="s">
        <v>1765</v>
      </c>
      <c r="D8" s="90" t="s">
        <v>1766</v>
      </c>
      <c r="E8" s="18" t="s">
        <v>1767</v>
      </c>
      <c r="F8" s="125">
        <v>1</v>
      </c>
      <c r="G8" s="125">
        <v>1</v>
      </c>
      <c r="H8" s="19" t="s">
        <v>318</v>
      </c>
      <c r="I8" s="18" t="s">
        <v>1577</v>
      </c>
      <c r="J8" s="19" t="s">
        <v>1423</v>
      </c>
      <c r="K8" s="19" t="s">
        <v>595</v>
      </c>
      <c r="L8" s="19" t="s">
        <v>1591</v>
      </c>
      <c r="M8" s="19" t="s">
        <v>1591</v>
      </c>
      <c r="N8" s="19" t="s">
        <v>1591</v>
      </c>
      <c r="O8" s="64" t="s">
        <v>1591</v>
      </c>
      <c r="P8" s="64" t="s">
        <v>1591</v>
      </c>
      <c r="Q8" s="202" t="s">
        <v>1591</v>
      </c>
      <c r="R8" s="202" t="s">
        <v>1591</v>
      </c>
      <c r="S8" s="202" t="s">
        <v>1591</v>
      </c>
      <c r="T8" s="202" t="s">
        <v>1591</v>
      </c>
      <c r="U8" s="202" t="s">
        <v>1591</v>
      </c>
      <c r="V8" s="202" t="s">
        <v>1591</v>
      </c>
      <c r="W8" s="187" t="s">
        <v>557</v>
      </c>
      <c r="X8" s="19" t="s">
        <v>1759</v>
      </c>
    </row>
    <row r="9" spans="1:24" ht="24.75">
      <c r="A9" s="185">
        <v>6</v>
      </c>
      <c r="B9" s="97" t="s">
        <v>1742</v>
      </c>
      <c r="C9" s="45" t="s">
        <v>1724</v>
      </c>
      <c r="D9" s="90" t="s">
        <v>1768</v>
      </c>
      <c r="E9" s="18" t="s">
        <v>1769</v>
      </c>
      <c r="F9" s="125">
        <v>1</v>
      </c>
      <c r="G9" s="125">
        <v>1</v>
      </c>
      <c r="H9" s="19" t="s">
        <v>318</v>
      </c>
      <c r="I9" s="18" t="s">
        <v>1035</v>
      </c>
      <c r="J9" s="19" t="s">
        <v>1423</v>
      </c>
      <c r="K9" s="19" t="s">
        <v>595</v>
      </c>
      <c r="L9" s="19" t="s">
        <v>1591</v>
      </c>
      <c r="M9" s="19" t="s">
        <v>1591</v>
      </c>
      <c r="N9" s="19" t="s">
        <v>1591</v>
      </c>
      <c r="O9" s="64" t="s">
        <v>1591</v>
      </c>
      <c r="P9" s="64" t="s">
        <v>1591</v>
      </c>
      <c r="Q9" s="202" t="s">
        <v>1591</v>
      </c>
      <c r="R9" s="202" t="s">
        <v>1591</v>
      </c>
      <c r="S9" s="202" t="s">
        <v>1591</v>
      </c>
      <c r="T9" s="202" t="s">
        <v>1591</v>
      </c>
      <c r="U9" s="202" t="s">
        <v>1591</v>
      </c>
      <c r="V9" s="202" t="s">
        <v>1591</v>
      </c>
      <c r="W9" s="187" t="s">
        <v>557</v>
      </c>
      <c r="X9" s="18" t="s">
        <v>1770</v>
      </c>
    </row>
    <row r="10" spans="1:24" ht="24">
      <c r="A10" s="185">
        <v>7</v>
      </c>
      <c r="B10" s="97" t="s">
        <v>1742</v>
      </c>
      <c r="C10" s="45" t="s">
        <v>1724</v>
      </c>
      <c r="D10" s="62" t="s">
        <v>1725</v>
      </c>
      <c r="E10" s="45" t="s">
        <v>1726</v>
      </c>
      <c r="F10" s="125">
        <v>2</v>
      </c>
      <c r="G10" s="125">
        <v>2</v>
      </c>
      <c r="H10" s="19" t="s">
        <v>318</v>
      </c>
      <c r="I10" s="18" t="s">
        <v>1035</v>
      </c>
      <c r="J10" s="19" t="s">
        <v>1423</v>
      </c>
      <c r="K10" s="19" t="s">
        <v>595</v>
      </c>
      <c r="L10" s="19" t="s">
        <v>1591</v>
      </c>
      <c r="M10" s="19" t="s">
        <v>1591</v>
      </c>
      <c r="N10" s="19" t="s">
        <v>1591</v>
      </c>
      <c r="O10" s="19" t="s">
        <v>1591</v>
      </c>
      <c r="P10" s="19" t="s">
        <v>1591</v>
      </c>
      <c r="Q10" s="19" t="s">
        <v>1591</v>
      </c>
      <c r="R10" s="19" t="s">
        <v>1591</v>
      </c>
      <c r="S10" s="19" t="s">
        <v>1591</v>
      </c>
      <c r="T10" s="19" t="s">
        <v>1591</v>
      </c>
      <c r="U10" s="19" t="s">
        <v>1591</v>
      </c>
      <c r="V10" s="19" t="s">
        <v>1591</v>
      </c>
      <c r="W10" s="187" t="s">
        <v>557</v>
      </c>
      <c r="X10" s="211" t="s">
        <v>1771</v>
      </c>
    </row>
    <row r="11" spans="1:24">
      <c r="A11" s="185"/>
      <c r="B11" s="18"/>
      <c r="C11" s="12"/>
      <c r="D11" s="12"/>
      <c r="E11" s="18"/>
      <c r="F11" s="125"/>
      <c r="G11" s="125"/>
      <c r="H11" s="19"/>
      <c r="I11" s="19"/>
      <c r="J11" s="19"/>
      <c r="K11" s="19"/>
      <c r="L11" s="19"/>
      <c r="M11" s="19"/>
      <c r="N11" s="19"/>
      <c r="O11" s="19"/>
      <c r="P11" s="19"/>
      <c r="Q11" s="19"/>
      <c r="R11" s="19"/>
      <c r="S11" s="19"/>
      <c r="T11" s="19"/>
      <c r="U11" s="19"/>
      <c r="V11" s="19"/>
      <c r="W11" s="41"/>
      <c r="X11" s="19"/>
    </row>
    <row r="12" spans="1:24">
      <c r="A12" s="194"/>
      <c r="B12" s="104"/>
      <c r="C12" s="109"/>
      <c r="D12" s="109"/>
      <c r="E12" s="108"/>
      <c r="F12" s="214"/>
      <c r="G12" s="214"/>
      <c r="H12" s="107"/>
      <c r="I12" s="107"/>
      <c r="J12" s="107"/>
      <c r="K12" s="107"/>
      <c r="L12" s="107"/>
      <c r="M12" s="107"/>
      <c r="N12" s="107"/>
      <c r="O12" s="107"/>
      <c r="P12" s="107"/>
      <c r="Q12" s="107"/>
      <c r="R12" s="107"/>
      <c r="S12" s="107"/>
      <c r="T12" s="107"/>
      <c r="U12" s="107"/>
      <c r="V12" s="107"/>
      <c r="W12" s="208"/>
      <c r="X12" s="107"/>
    </row>
    <row r="13" spans="1:24">
      <c r="A13" s="185"/>
      <c r="B13" s="60"/>
      <c r="C13" s="12"/>
      <c r="D13" s="12"/>
      <c r="E13" s="18"/>
      <c r="F13" s="125"/>
      <c r="G13" s="125"/>
      <c r="H13" s="19"/>
      <c r="I13" s="19"/>
      <c r="J13" s="19"/>
      <c r="K13" s="19"/>
      <c r="L13" s="19"/>
      <c r="M13" s="19"/>
      <c r="N13" s="19"/>
      <c r="O13" s="19"/>
      <c r="P13" s="19"/>
      <c r="Q13" s="19"/>
      <c r="R13" s="19"/>
      <c r="S13" s="19"/>
      <c r="T13" s="19"/>
      <c r="U13" s="19"/>
      <c r="V13" s="19"/>
      <c r="W13" s="41"/>
      <c r="X13" s="19"/>
    </row>
    <row r="14" spans="1:24">
      <c r="A14" s="185"/>
      <c r="B14" s="60"/>
      <c r="C14" s="12"/>
      <c r="D14" s="12"/>
      <c r="E14" s="18"/>
      <c r="F14" s="125"/>
      <c r="G14" s="125"/>
      <c r="H14" s="19"/>
      <c r="I14" s="19"/>
      <c r="J14" s="19"/>
      <c r="K14" s="19"/>
      <c r="L14" s="19"/>
      <c r="M14" s="19"/>
      <c r="N14" s="19"/>
      <c r="O14" s="19"/>
      <c r="P14" s="19"/>
      <c r="Q14" s="19"/>
      <c r="R14" s="19"/>
      <c r="S14" s="19"/>
      <c r="T14" s="19"/>
      <c r="U14" s="19"/>
      <c r="V14" s="19"/>
      <c r="W14" s="41"/>
      <c r="X14" s="19"/>
    </row>
    <row r="15" spans="1:24">
      <c r="A15" s="185"/>
      <c r="B15" s="60"/>
      <c r="C15" s="12"/>
      <c r="D15" s="12"/>
      <c r="E15" s="18"/>
      <c r="F15" s="125"/>
      <c r="G15" s="125"/>
      <c r="H15" s="19"/>
      <c r="I15" s="19"/>
      <c r="J15" s="19"/>
      <c r="K15" s="19"/>
      <c r="L15" s="19"/>
      <c r="M15" s="19"/>
      <c r="N15" s="19"/>
      <c r="O15" s="19"/>
      <c r="P15" s="19"/>
      <c r="Q15" s="19"/>
      <c r="R15" s="19"/>
      <c r="S15" s="19"/>
      <c r="T15" s="19"/>
      <c r="U15" s="19"/>
      <c r="V15" s="19"/>
      <c r="W15" s="41"/>
      <c r="X15" s="19"/>
    </row>
    <row r="16" spans="1:24">
      <c r="B16" s="28"/>
      <c r="C16" s="196"/>
      <c r="D16" s="47"/>
      <c r="E16" s="28"/>
      <c r="F16" s="215"/>
      <c r="G16" s="215"/>
      <c r="H16" s="2"/>
      <c r="I16" s="107"/>
      <c r="K16" s="35"/>
      <c r="M16" s="35"/>
      <c r="N16" s="35"/>
      <c r="O16" s="35"/>
      <c r="P16" s="35"/>
    </row>
    <row r="17" spans="2:30">
      <c r="B17" s="28"/>
      <c r="C17" s="196"/>
      <c r="D17" s="47"/>
      <c r="E17" s="28"/>
      <c r="F17" s="215"/>
      <c r="G17" s="215"/>
      <c r="H17" s="2"/>
      <c r="I17" s="19"/>
      <c r="K17" s="35"/>
      <c r="M17" s="35"/>
      <c r="N17" s="35"/>
      <c r="O17" s="35"/>
      <c r="P17" s="35"/>
    </row>
    <row r="18" spans="2:30">
      <c r="B18" s="28"/>
      <c r="C18" s="196"/>
      <c r="D18" s="47"/>
      <c r="E18" s="28"/>
      <c r="F18" s="215"/>
      <c r="G18" s="215"/>
      <c r="H18" s="2"/>
      <c r="I18" s="19"/>
      <c r="K18" s="35"/>
      <c r="M18" s="35"/>
      <c r="N18" s="35"/>
      <c r="O18" s="35"/>
      <c r="P18" s="35"/>
    </row>
    <row r="19" spans="2:30">
      <c r="B19" s="28"/>
      <c r="C19" s="196"/>
      <c r="D19" s="47"/>
      <c r="E19" s="28"/>
      <c r="F19" s="215"/>
      <c r="G19" s="215"/>
      <c r="H19" s="2"/>
      <c r="I19" s="19"/>
      <c r="K19" s="35"/>
      <c r="M19" s="35"/>
      <c r="N19" s="35"/>
      <c r="O19" s="35"/>
      <c r="P19" s="35"/>
    </row>
    <row r="20" spans="2:30">
      <c r="B20" s="28"/>
      <c r="C20" s="196"/>
      <c r="D20" s="47"/>
      <c r="E20" s="28"/>
      <c r="F20" s="215"/>
      <c r="G20" s="215"/>
      <c r="H20" s="2"/>
      <c r="I20" s="19"/>
      <c r="K20" s="35"/>
      <c r="M20" s="35"/>
      <c r="N20" s="35"/>
      <c r="O20" s="35"/>
      <c r="P20" s="35"/>
      <c r="Y20" s="19"/>
      <c r="Z20" s="19"/>
      <c r="AA20" s="19"/>
      <c r="AB20" s="19"/>
      <c r="AC20" s="19"/>
      <c r="AD20" s="19"/>
    </row>
    <row r="21" spans="2:30">
      <c r="B21" s="28"/>
      <c r="C21" s="196"/>
      <c r="D21" s="47"/>
      <c r="E21" s="28"/>
      <c r="F21" s="215"/>
      <c r="G21" s="215"/>
      <c r="H21" s="2"/>
      <c r="I21" s="19"/>
      <c r="K21" s="35"/>
      <c r="M21" s="35"/>
      <c r="N21" s="35"/>
      <c r="O21" s="35"/>
      <c r="P21" s="35"/>
      <c r="Y21" s="19"/>
      <c r="Z21" s="19"/>
      <c r="AA21" s="19"/>
      <c r="AB21" s="19"/>
      <c r="AC21" s="19"/>
      <c r="AD21" s="19"/>
    </row>
    <row r="22" spans="2:30">
      <c r="B22" s="28"/>
      <c r="C22" s="196"/>
      <c r="D22" s="47"/>
      <c r="E22" s="28"/>
      <c r="F22" s="215"/>
      <c r="G22" s="215"/>
      <c r="H22" s="2"/>
      <c r="I22" s="19"/>
      <c r="K22" s="35"/>
      <c r="M22" s="35"/>
      <c r="N22" s="35"/>
      <c r="O22" s="35"/>
      <c r="P22" s="35"/>
      <c r="Y22" s="19"/>
      <c r="Z22" s="19"/>
      <c r="AA22" s="19"/>
      <c r="AB22" s="19"/>
      <c r="AC22" s="19"/>
      <c r="AD22" s="19"/>
    </row>
    <row r="23" spans="2:30">
      <c r="B23" s="28"/>
      <c r="C23" s="196"/>
      <c r="D23" s="47"/>
      <c r="E23" s="28"/>
      <c r="F23" s="215"/>
      <c r="G23" s="215"/>
      <c r="H23" s="2"/>
      <c r="I23" s="19"/>
      <c r="K23" s="35"/>
      <c r="M23" s="35"/>
      <c r="N23" s="35"/>
      <c r="O23" s="35"/>
      <c r="P23" s="35"/>
      <c r="Y23" s="19"/>
      <c r="Z23" s="19"/>
      <c r="AA23" s="19"/>
      <c r="AB23" s="19"/>
      <c r="AC23" s="19"/>
      <c r="AD23" s="19"/>
    </row>
    <row r="24" spans="2:30">
      <c r="B24" s="28"/>
      <c r="C24" s="196"/>
      <c r="D24" s="47"/>
      <c r="E24" s="28"/>
      <c r="F24" s="215"/>
      <c r="G24" s="215"/>
      <c r="H24" s="2"/>
      <c r="I24" s="19"/>
      <c r="K24" s="35"/>
      <c r="M24" s="35"/>
      <c r="N24" s="35"/>
      <c r="O24" s="35"/>
      <c r="P24" s="35"/>
    </row>
    <row r="25" spans="2:30">
      <c r="B25" s="28"/>
      <c r="C25" s="196"/>
      <c r="D25" s="47"/>
      <c r="E25" s="28"/>
      <c r="F25" s="215"/>
      <c r="G25" s="215"/>
      <c r="H25" s="2"/>
      <c r="I25" s="19"/>
      <c r="K25" s="35"/>
      <c r="M25" s="35"/>
      <c r="N25" s="35"/>
      <c r="O25" s="35"/>
      <c r="P25" s="35"/>
    </row>
    <row r="26" spans="2:30">
      <c r="B26" s="28"/>
      <c r="C26" s="196"/>
      <c r="D26" s="47"/>
      <c r="E26" s="28"/>
      <c r="F26" s="215"/>
      <c r="G26" s="215"/>
      <c r="H26" s="2"/>
      <c r="I26" s="19"/>
      <c r="K26" s="35"/>
      <c r="M26" s="35"/>
      <c r="N26" s="35"/>
      <c r="O26" s="35"/>
      <c r="P26" s="35"/>
    </row>
    <row r="27" spans="2:30">
      <c r="B27" s="28"/>
      <c r="C27" s="196"/>
      <c r="D27" s="47"/>
      <c r="E27" s="28"/>
      <c r="F27" s="215"/>
      <c r="G27" s="215"/>
      <c r="H27" s="2"/>
      <c r="I27" s="19"/>
      <c r="K27" s="35"/>
      <c r="M27" s="35"/>
      <c r="N27" s="35"/>
      <c r="O27" s="35"/>
      <c r="P27" s="35"/>
    </row>
    <row r="28" spans="2:30">
      <c r="B28" s="28"/>
      <c r="C28" s="196"/>
      <c r="D28" s="47"/>
      <c r="E28" s="28"/>
      <c r="F28" s="215"/>
      <c r="G28" s="215"/>
      <c r="H28" s="2"/>
      <c r="I28" s="19"/>
      <c r="K28" s="35"/>
      <c r="M28" s="35"/>
      <c r="N28" s="35"/>
      <c r="O28" s="35"/>
      <c r="P28" s="35"/>
    </row>
    <row r="29" spans="2:30">
      <c r="B29" s="28"/>
      <c r="C29" s="196"/>
      <c r="D29" s="47"/>
      <c r="E29" s="28"/>
      <c r="F29" s="215"/>
      <c r="G29" s="215"/>
      <c r="H29" s="2"/>
      <c r="I29" s="19"/>
      <c r="K29" s="35"/>
      <c r="M29" s="35"/>
      <c r="N29" s="35"/>
      <c r="O29" s="35"/>
      <c r="P29" s="35"/>
    </row>
    <row r="30" spans="2:30">
      <c r="B30" s="28"/>
      <c r="C30" s="196"/>
      <c r="D30" s="47"/>
      <c r="E30" s="28"/>
      <c r="F30" s="215"/>
      <c r="G30" s="215"/>
      <c r="H30" s="2"/>
      <c r="I30" s="19"/>
      <c r="K30" s="35"/>
      <c r="M30" s="35"/>
      <c r="N30" s="35"/>
      <c r="O30" s="35"/>
      <c r="P30" s="35"/>
    </row>
    <row r="31" spans="2:30">
      <c r="B31" s="28"/>
      <c r="C31" s="196"/>
      <c r="D31" s="47"/>
      <c r="E31" s="28"/>
      <c r="F31" s="215"/>
      <c r="G31" s="215"/>
      <c r="H31" s="2"/>
      <c r="I31" s="19"/>
      <c r="K31" s="35"/>
      <c r="M31" s="35"/>
      <c r="N31" s="35"/>
      <c r="O31" s="35"/>
      <c r="P31" s="35"/>
    </row>
    <row r="32" spans="2:30">
      <c r="B32" s="28"/>
      <c r="C32" s="196"/>
      <c r="D32" s="47"/>
      <c r="E32" s="28"/>
      <c r="F32" s="215"/>
      <c r="G32" s="215"/>
      <c r="H32" s="2"/>
      <c r="I32" s="19"/>
      <c r="K32" s="35"/>
      <c r="M32" s="35"/>
      <c r="N32" s="35"/>
      <c r="O32" s="35"/>
      <c r="P32" s="35"/>
    </row>
    <row r="33" spans="2:16">
      <c r="B33" s="28"/>
      <c r="C33" s="196"/>
      <c r="D33" s="47"/>
      <c r="E33" s="28"/>
      <c r="F33" s="215"/>
      <c r="G33" s="215"/>
      <c r="H33" s="2"/>
      <c r="I33" s="19"/>
      <c r="K33" s="35"/>
      <c r="M33" s="35"/>
      <c r="N33" s="35"/>
      <c r="O33" s="35"/>
      <c r="P33" s="35"/>
    </row>
    <row r="34" spans="2:16">
      <c r="B34" s="28"/>
      <c r="C34" s="196"/>
      <c r="D34" s="47"/>
      <c r="E34" s="28"/>
      <c r="F34" s="215"/>
      <c r="G34" s="215"/>
      <c r="H34" s="2"/>
      <c r="I34" s="19"/>
      <c r="K34" s="35"/>
      <c r="M34" s="35"/>
      <c r="N34" s="35"/>
      <c r="O34" s="35"/>
      <c r="P34" s="35"/>
    </row>
    <row r="35" spans="2:16">
      <c r="B35" s="28"/>
      <c r="C35" s="196"/>
      <c r="D35" s="47"/>
      <c r="E35" s="28"/>
      <c r="F35" s="215"/>
      <c r="G35" s="215"/>
      <c r="H35" s="2"/>
      <c r="I35" s="19"/>
      <c r="K35" s="35"/>
      <c r="M35" s="35"/>
      <c r="N35" s="35"/>
      <c r="O35" s="35"/>
      <c r="P35" s="35"/>
    </row>
    <row r="36" spans="2:16">
      <c r="B36" s="28"/>
      <c r="C36" s="196"/>
      <c r="D36" s="47"/>
      <c r="E36" s="28"/>
      <c r="F36" s="215"/>
      <c r="G36" s="215"/>
      <c r="H36" s="2"/>
      <c r="I36" s="19"/>
      <c r="K36" s="35"/>
      <c r="M36" s="35"/>
      <c r="N36" s="35"/>
      <c r="O36" s="35"/>
      <c r="P36" s="35"/>
    </row>
    <row r="37" spans="2:16">
      <c r="B37" s="28"/>
      <c r="C37" s="196"/>
      <c r="D37" s="47"/>
      <c r="E37" s="28"/>
      <c r="F37" s="215"/>
      <c r="G37" s="215"/>
      <c r="H37" s="2"/>
      <c r="I37" s="19"/>
      <c r="K37" s="35"/>
      <c r="M37" s="35"/>
      <c r="N37" s="35"/>
      <c r="O37" s="35"/>
      <c r="P37" s="35"/>
    </row>
    <row r="38" spans="2:16">
      <c r="B38" s="28"/>
      <c r="C38" s="196"/>
      <c r="D38" s="47"/>
      <c r="E38" s="28"/>
      <c r="F38" s="215"/>
      <c r="G38" s="215"/>
      <c r="H38" s="2"/>
      <c r="I38" s="19"/>
      <c r="K38" s="35"/>
      <c r="M38" s="35"/>
      <c r="N38" s="35"/>
      <c r="O38" s="35"/>
      <c r="P38" s="35"/>
    </row>
    <row r="39" spans="2:16">
      <c r="B39" s="28"/>
      <c r="C39" s="196"/>
      <c r="D39" s="47"/>
      <c r="E39" s="28"/>
      <c r="F39" s="215"/>
      <c r="G39" s="215"/>
      <c r="H39" s="2"/>
      <c r="I39" s="19"/>
      <c r="K39" s="35"/>
      <c r="M39" s="35"/>
      <c r="N39" s="35"/>
      <c r="O39" s="35"/>
      <c r="P39" s="35"/>
    </row>
    <row r="40" spans="2:16">
      <c r="B40" s="28"/>
      <c r="C40" s="196"/>
      <c r="D40" s="47"/>
      <c r="E40" s="28"/>
      <c r="F40" s="215"/>
      <c r="G40" s="215"/>
      <c r="H40" s="2"/>
      <c r="I40" s="19"/>
      <c r="K40" s="35"/>
      <c r="M40" s="35"/>
      <c r="N40" s="35"/>
      <c r="O40" s="35"/>
      <c r="P40" s="35"/>
    </row>
    <row r="41" spans="2:16">
      <c r="B41" s="28"/>
      <c r="C41" s="196"/>
      <c r="D41" s="47"/>
      <c r="E41" s="28"/>
      <c r="F41" s="215"/>
      <c r="G41" s="215"/>
      <c r="H41" s="2"/>
      <c r="I41" s="19"/>
      <c r="K41" s="35"/>
      <c r="M41" s="35"/>
      <c r="N41" s="35"/>
      <c r="O41" s="35"/>
      <c r="P41" s="35"/>
    </row>
    <row r="42" spans="2:16">
      <c r="B42" s="28"/>
      <c r="C42" s="196"/>
      <c r="D42" s="47"/>
      <c r="E42" s="28"/>
      <c r="F42" s="215"/>
      <c r="G42" s="215"/>
      <c r="H42" s="2"/>
      <c r="I42" s="19"/>
      <c r="K42" s="35"/>
      <c r="M42" s="35"/>
      <c r="N42" s="35"/>
      <c r="O42" s="35"/>
      <c r="P42" s="35"/>
    </row>
    <row r="43" spans="2:16">
      <c r="B43" s="28"/>
      <c r="C43" s="196"/>
      <c r="D43" s="47"/>
      <c r="E43" s="28"/>
      <c r="F43" s="215"/>
      <c r="G43" s="215"/>
      <c r="H43" s="2"/>
      <c r="I43" s="19"/>
      <c r="K43" s="35"/>
      <c r="M43" s="35"/>
      <c r="N43" s="35"/>
      <c r="O43" s="35"/>
      <c r="P43" s="35"/>
    </row>
    <row r="44" spans="2:16">
      <c r="B44" s="28"/>
      <c r="C44" s="196"/>
      <c r="D44" s="47"/>
      <c r="E44" s="28"/>
      <c r="F44" s="215"/>
      <c r="G44" s="215"/>
      <c r="H44" s="2"/>
      <c r="I44" s="19"/>
      <c r="K44" s="35"/>
      <c r="M44" s="35"/>
      <c r="N44" s="35"/>
      <c r="O44" s="35"/>
      <c r="P44" s="35"/>
    </row>
    <row r="45" spans="2:16">
      <c r="B45" s="28"/>
      <c r="C45" s="196"/>
      <c r="D45" s="47"/>
      <c r="E45" s="28"/>
      <c r="F45" s="215"/>
      <c r="G45" s="215"/>
      <c r="H45" s="2"/>
      <c r="I45" s="19"/>
      <c r="K45" s="35"/>
      <c r="M45" s="35"/>
      <c r="N45" s="35"/>
      <c r="O45" s="35"/>
      <c r="P45" s="35"/>
    </row>
    <row r="46" spans="2:16">
      <c r="B46" s="28"/>
      <c r="C46" s="196"/>
      <c r="D46" s="47"/>
      <c r="E46" s="28"/>
      <c r="F46" s="215"/>
      <c r="G46" s="215"/>
      <c r="H46" s="2"/>
      <c r="I46" s="19"/>
      <c r="K46" s="35"/>
      <c r="M46" s="35"/>
      <c r="N46" s="35"/>
      <c r="O46" s="35"/>
      <c r="P46" s="35"/>
    </row>
    <row r="47" spans="2:16">
      <c r="B47" s="28"/>
      <c r="C47" s="196"/>
      <c r="D47" s="47"/>
      <c r="E47" s="28"/>
      <c r="F47" s="215"/>
      <c r="G47" s="215"/>
      <c r="H47" s="2"/>
      <c r="I47" s="19"/>
      <c r="K47" s="35"/>
      <c r="M47" s="35"/>
      <c r="N47" s="35"/>
      <c r="O47" s="35"/>
      <c r="P47" s="35"/>
    </row>
    <row r="48" spans="2:16">
      <c r="B48" s="28"/>
      <c r="C48" s="196"/>
      <c r="D48" s="47"/>
      <c r="E48" s="28"/>
      <c r="F48" s="215"/>
      <c r="G48" s="215"/>
      <c r="H48" s="2"/>
      <c r="I48" s="19"/>
      <c r="K48" s="35"/>
      <c r="M48" s="35"/>
      <c r="N48" s="35"/>
      <c r="O48" s="35"/>
      <c r="P48" s="35"/>
    </row>
    <row r="49" spans="2:16">
      <c r="B49" s="28"/>
      <c r="C49" s="196"/>
      <c r="D49" s="47"/>
      <c r="E49" s="28"/>
      <c r="F49" s="215"/>
      <c r="G49" s="215"/>
      <c r="H49" s="2"/>
      <c r="I49" s="19"/>
      <c r="K49" s="35"/>
      <c r="M49" s="35"/>
      <c r="N49" s="35"/>
      <c r="O49" s="35"/>
      <c r="P49" s="35"/>
    </row>
    <row r="50" spans="2:16">
      <c r="B50" s="28"/>
      <c r="C50" s="196"/>
      <c r="D50" s="47"/>
      <c r="E50" s="28"/>
      <c r="F50" s="215"/>
      <c r="G50" s="215"/>
      <c r="H50" s="2"/>
      <c r="I50" s="19"/>
      <c r="K50" s="35"/>
      <c r="M50" s="35"/>
      <c r="N50" s="35"/>
      <c r="O50" s="35"/>
      <c r="P50" s="35"/>
    </row>
    <row r="51" spans="2:16">
      <c r="B51" s="28"/>
      <c r="C51" s="196"/>
      <c r="D51" s="47"/>
      <c r="E51" s="28"/>
      <c r="F51" s="215"/>
      <c r="G51" s="215"/>
      <c r="H51" s="2"/>
      <c r="I51" s="19"/>
      <c r="K51" s="35"/>
      <c r="M51" s="35"/>
      <c r="N51" s="35"/>
      <c r="O51" s="35"/>
      <c r="P51" s="35"/>
    </row>
    <row r="52" spans="2:16">
      <c r="B52" s="28"/>
      <c r="C52" s="196"/>
      <c r="D52" s="47"/>
      <c r="E52" s="28"/>
      <c r="F52" s="215"/>
      <c r="G52" s="215"/>
      <c r="H52" s="2"/>
      <c r="I52" s="19"/>
      <c r="K52" s="35"/>
      <c r="M52" s="35"/>
      <c r="N52" s="35"/>
      <c r="O52" s="35"/>
      <c r="P52" s="35"/>
    </row>
    <row r="53" spans="2:16">
      <c r="B53" s="28"/>
      <c r="C53" s="196"/>
      <c r="D53" s="47"/>
      <c r="E53" s="28"/>
      <c r="F53" s="215"/>
      <c r="G53" s="215"/>
      <c r="H53" s="2"/>
      <c r="I53" s="19"/>
      <c r="K53" s="35"/>
      <c r="M53" s="35"/>
      <c r="N53" s="35"/>
      <c r="O53" s="35"/>
      <c r="P53" s="35"/>
    </row>
    <row r="54" spans="2:16">
      <c r="B54" s="28"/>
      <c r="C54" s="196"/>
      <c r="D54" s="47"/>
      <c r="E54" s="28"/>
      <c r="F54" s="215"/>
      <c r="G54" s="215"/>
      <c r="H54" s="2"/>
      <c r="I54" s="19"/>
      <c r="K54" s="35"/>
      <c r="M54" s="35"/>
      <c r="N54" s="35"/>
      <c r="O54" s="35"/>
      <c r="P54" s="35"/>
    </row>
    <row r="55" spans="2:16">
      <c r="B55" s="28"/>
      <c r="C55" s="196"/>
      <c r="D55" s="47"/>
      <c r="E55" s="28"/>
      <c r="F55" s="215"/>
      <c r="G55" s="215"/>
      <c r="H55" s="2"/>
      <c r="I55" s="19"/>
      <c r="K55" s="35"/>
      <c r="M55" s="35"/>
      <c r="N55" s="35"/>
      <c r="O55" s="35"/>
      <c r="P55" s="35"/>
    </row>
    <row r="56" spans="2:16">
      <c r="B56" s="28"/>
      <c r="C56" s="196"/>
      <c r="D56" s="47"/>
      <c r="E56" s="28"/>
      <c r="F56" s="215"/>
      <c r="G56" s="215"/>
      <c r="H56" s="2"/>
      <c r="I56" s="19"/>
      <c r="K56" s="35"/>
      <c r="M56" s="35"/>
      <c r="N56" s="35"/>
      <c r="O56" s="35"/>
      <c r="P56" s="35"/>
    </row>
    <row r="57" spans="2:16">
      <c r="B57" s="28"/>
      <c r="C57" s="196"/>
      <c r="D57" s="47"/>
      <c r="E57" s="28"/>
      <c r="F57" s="215"/>
      <c r="G57" s="215"/>
      <c r="H57" s="2"/>
      <c r="I57" s="19"/>
      <c r="K57" s="35"/>
      <c r="M57" s="35"/>
      <c r="N57" s="35"/>
      <c r="O57" s="35"/>
      <c r="P57" s="35"/>
    </row>
    <row r="58" spans="2:16">
      <c r="B58" s="28"/>
      <c r="C58" s="196"/>
      <c r="D58" s="47"/>
      <c r="E58" s="28"/>
      <c r="F58" s="215"/>
      <c r="G58" s="215"/>
      <c r="H58" s="2"/>
      <c r="I58" s="19"/>
      <c r="K58" s="35"/>
      <c r="M58" s="35"/>
      <c r="N58" s="35"/>
      <c r="O58" s="35"/>
      <c r="P58" s="35"/>
    </row>
    <row r="59" spans="2:16">
      <c r="B59" s="28"/>
      <c r="C59" s="196"/>
      <c r="D59" s="47"/>
      <c r="E59" s="28"/>
      <c r="F59" s="215"/>
      <c r="G59" s="215"/>
      <c r="H59" s="2"/>
      <c r="I59" s="19"/>
      <c r="K59" s="35"/>
      <c r="M59" s="35"/>
      <c r="N59" s="35"/>
      <c r="O59" s="35"/>
      <c r="P59" s="35"/>
    </row>
    <row r="60" spans="2:16">
      <c r="B60" s="28"/>
      <c r="C60" s="196"/>
      <c r="D60" s="47"/>
      <c r="E60" s="28"/>
      <c r="F60" s="215"/>
      <c r="G60" s="215"/>
      <c r="H60" s="2"/>
      <c r="I60" s="19"/>
      <c r="K60" s="35"/>
      <c r="M60" s="35"/>
      <c r="N60" s="35"/>
      <c r="O60" s="35"/>
      <c r="P60" s="35"/>
    </row>
    <row r="61" spans="2:16">
      <c r="B61" s="28"/>
      <c r="C61" s="196"/>
      <c r="D61" s="47"/>
      <c r="E61" s="28"/>
      <c r="F61" s="215"/>
      <c r="G61" s="215"/>
      <c r="H61" s="2"/>
      <c r="I61" s="19"/>
      <c r="K61" s="35"/>
      <c r="M61" s="35"/>
      <c r="N61" s="35"/>
      <c r="O61" s="35"/>
      <c r="P61" s="35"/>
    </row>
    <row r="62" spans="2:16">
      <c r="B62" s="28"/>
      <c r="C62" s="196"/>
      <c r="D62" s="47"/>
      <c r="E62" s="28"/>
      <c r="F62" s="215"/>
      <c r="G62" s="215"/>
      <c r="H62" s="2"/>
      <c r="I62" s="19"/>
      <c r="K62" s="35"/>
      <c r="M62" s="35"/>
      <c r="N62" s="35"/>
      <c r="O62" s="35"/>
      <c r="P62" s="35"/>
    </row>
    <row r="63" spans="2:16">
      <c r="B63" s="28"/>
      <c r="C63" s="196"/>
      <c r="D63" s="47"/>
      <c r="E63" s="28"/>
      <c r="F63" s="215"/>
      <c r="G63" s="215"/>
      <c r="H63" s="2"/>
      <c r="I63" s="19"/>
      <c r="K63" s="35"/>
      <c r="M63" s="35"/>
      <c r="N63" s="35"/>
      <c r="O63" s="35"/>
      <c r="P63" s="35"/>
    </row>
    <row r="64" spans="2:16">
      <c r="B64" s="28"/>
      <c r="C64" s="196"/>
      <c r="D64" s="47"/>
      <c r="E64" s="28"/>
      <c r="F64" s="215"/>
      <c r="G64" s="215"/>
      <c r="H64" s="2"/>
      <c r="I64" s="19"/>
      <c r="K64" s="35"/>
      <c r="M64" s="35"/>
      <c r="N64" s="35"/>
      <c r="O64" s="35"/>
      <c r="P64" s="35"/>
    </row>
    <row r="65" spans="2:16">
      <c r="B65" s="28"/>
      <c r="C65" s="196"/>
      <c r="D65" s="47"/>
      <c r="E65" s="28"/>
      <c r="F65" s="215"/>
      <c r="G65" s="215"/>
      <c r="H65" s="2"/>
      <c r="I65" s="19"/>
      <c r="K65" s="35"/>
      <c r="M65" s="35"/>
      <c r="N65" s="35"/>
      <c r="O65" s="35"/>
      <c r="P65" s="35"/>
    </row>
    <row r="66" spans="2:16">
      <c r="B66" s="28"/>
      <c r="C66" s="196"/>
      <c r="D66" s="47"/>
      <c r="E66" s="28"/>
      <c r="F66" s="215"/>
      <c r="G66" s="215"/>
      <c r="H66" s="2"/>
      <c r="I66" s="19"/>
      <c r="K66" s="35"/>
      <c r="M66" s="35"/>
      <c r="N66" s="35"/>
      <c r="O66" s="35"/>
      <c r="P66" s="35"/>
    </row>
    <row r="67" spans="2:16">
      <c r="B67" s="28"/>
      <c r="C67" s="196"/>
      <c r="D67" s="47"/>
      <c r="E67" s="28"/>
      <c r="F67" s="215"/>
      <c r="G67" s="215"/>
      <c r="H67" s="2"/>
      <c r="I67" s="19"/>
      <c r="K67" s="35"/>
      <c r="M67" s="35"/>
      <c r="N67" s="35"/>
      <c r="O67" s="35"/>
      <c r="P67" s="35"/>
    </row>
    <row r="68" spans="2:16">
      <c r="B68" s="28"/>
      <c r="C68" s="196"/>
      <c r="D68" s="47"/>
      <c r="E68" s="28"/>
      <c r="F68" s="215"/>
      <c r="G68" s="215"/>
      <c r="H68" s="2"/>
      <c r="I68" s="19"/>
      <c r="K68" s="35"/>
      <c r="M68" s="35"/>
      <c r="N68" s="35"/>
      <c r="O68" s="35"/>
      <c r="P68" s="35"/>
    </row>
    <row r="69" spans="2:16">
      <c r="B69" s="28"/>
      <c r="C69" s="196"/>
      <c r="D69" s="47"/>
      <c r="E69" s="28"/>
      <c r="F69" s="215"/>
      <c r="G69" s="215"/>
      <c r="H69" s="2"/>
      <c r="I69" s="19"/>
      <c r="K69" s="35"/>
      <c r="M69" s="35"/>
      <c r="N69" s="35"/>
      <c r="O69" s="35"/>
      <c r="P69" s="35"/>
    </row>
    <row r="70" spans="2:16">
      <c r="B70" s="28"/>
      <c r="C70" s="196"/>
      <c r="D70" s="47"/>
      <c r="E70" s="28"/>
      <c r="F70" s="215"/>
      <c r="G70" s="215"/>
      <c r="H70" s="2"/>
      <c r="I70" s="19"/>
      <c r="K70" s="35"/>
      <c r="M70" s="35"/>
      <c r="N70" s="35"/>
      <c r="O70" s="35"/>
      <c r="P70" s="35"/>
    </row>
    <row r="71" spans="2:16">
      <c r="B71" s="28"/>
      <c r="C71" s="196"/>
      <c r="D71" s="47"/>
      <c r="E71" s="28"/>
      <c r="F71" s="215"/>
      <c r="G71" s="215"/>
      <c r="H71" s="2"/>
      <c r="I71" s="19"/>
      <c r="K71" s="35"/>
      <c r="M71" s="35"/>
      <c r="N71" s="35"/>
      <c r="O71" s="35"/>
      <c r="P71" s="35"/>
    </row>
    <row r="72" spans="2:16">
      <c r="B72" s="28"/>
      <c r="C72" s="196"/>
      <c r="D72" s="47"/>
      <c r="E72" s="28"/>
      <c r="F72" s="215"/>
      <c r="G72" s="215"/>
      <c r="H72" s="2"/>
      <c r="I72" s="19"/>
      <c r="K72" s="35"/>
      <c r="M72" s="35"/>
      <c r="N72" s="35"/>
      <c r="O72" s="35"/>
      <c r="P72" s="35"/>
    </row>
    <row r="73" spans="2:16">
      <c r="B73" s="28"/>
      <c r="C73" s="196"/>
      <c r="D73" s="47"/>
      <c r="E73" s="28"/>
      <c r="F73" s="215"/>
      <c r="G73" s="215"/>
      <c r="H73" s="2"/>
      <c r="I73" s="19"/>
      <c r="K73" s="35"/>
      <c r="M73" s="35"/>
      <c r="N73" s="35"/>
      <c r="O73" s="35"/>
      <c r="P73" s="35"/>
    </row>
    <row r="74" spans="2:16">
      <c r="B74" s="28"/>
      <c r="C74" s="196"/>
      <c r="D74" s="47"/>
      <c r="E74" s="28"/>
      <c r="F74" s="215"/>
      <c r="G74" s="215"/>
      <c r="H74" s="2"/>
      <c r="I74" s="19"/>
      <c r="K74" s="35"/>
      <c r="M74" s="35"/>
      <c r="N74" s="35"/>
      <c r="O74" s="35"/>
      <c r="P74" s="35"/>
    </row>
    <row r="75" spans="2:16">
      <c r="B75" s="28"/>
      <c r="C75" s="196"/>
      <c r="D75" s="47"/>
      <c r="E75" s="28"/>
      <c r="F75" s="215"/>
      <c r="G75" s="215"/>
      <c r="H75" s="2"/>
      <c r="I75" s="19"/>
      <c r="K75" s="35"/>
      <c r="M75" s="35"/>
      <c r="N75" s="35"/>
      <c r="O75" s="35"/>
      <c r="P75" s="35"/>
    </row>
    <row r="76" spans="2:16">
      <c r="B76" s="28"/>
      <c r="C76" s="196"/>
      <c r="D76" s="47"/>
      <c r="E76" s="28"/>
      <c r="F76" s="215"/>
      <c r="G76" s="215"/>
      <c r="H76" s="2"/>
      <c r="I76" s="19"/>
      <c r="K76" s="35"/>
      <c r="M76" s="35"/>
      <c r="N76" s="35"/>
      <c r="O76" s="35"/>
      <c r="P76" s="35"/>
    </row>
    <row r="77" spans="2:16">
      <c r="B77" s="28"/>
      <c r="C77" s="196"/>
      <c r="D77" s="47"/>
      <c r="E77" s="28"/>
      <c r="F77" s="215"/>
      <c r="G77" s="215"/>
      <c r="H77" s="2"/>
      <c r="I77" s="19"/>
      <c r="K77" s="35"/>
      <c r="M77" s="35"/>
      <c r="N77" s="35"/>
      <c r="O77" s="35"/>
      <c r="P77" s="35"/>
    </row>
    <row r="78" spans="2:16">
      <c r="B78" s="28"/>
      <c r="C78" s="196"/>
      <c r="D78" s="47"/>
      <c r="E78" s="28"/>
      <c r="F78" s="215"/>
      <c r="G78" s="215"/>
      <c r="H78" s="2"/>
      <c r="I78" s="19"/>
      <c r="K78" s="35"/>
      <c r="M78" s="35"/>
      <c r="N78" s="35"/>
      <c r="O78" s="35"/>
      <c r="P78" s="35"/>
    </row>
    <row r="79" spans="2:16">
      <c r="B79" s="28"/>
      <c r="C79" s="196"/>
      <c r="D79" s="47"/>
      <c r="E79" s="28"/>
      <c r="F79" s="215"/>
      <c r="G79" s="215"/>
      <c r="H79" s="2"/>
      <c r="I79" s="19"/>
      <c r="K79" s="35"/>
      <c r="M79" s="35"/>
      <c r="N79" s="35"/>
      <c r="O79" s="35"/>
      <c r="P79" s="35"/>
    </row>
    <row r="80" spans="2:16">
      <c r="B80" s="28"/>
      <c r="C80" s="196"/>
      <c r="D80" s="47"/>
      <c r="E80" s="28"/>
      <c r="F80" s="215"/>
      <c r="G80" s="215"/>
      <c r="H80" s="2"/>
      <c r="I80" s="19"/>
      <c r="K80" s="35"/>
      <c r="M80" s="35"/>
      <c r="N80" s="35"/>
      <c r="O80" s="35"/>
      <c r="P80" s="35"/>
    </row>
    <row r="81" spans="2:16">
      <c r="B81" s="28"/>
      <c r="C81" s="196"/>
      <c r="D81" s="47"/>
      <c r="E81" s="28"/>
      <c r="F81" s="215"/>
      <c r="G81" s="215"/>
      <c r="H81" s="2"/>
      <c r="I81" s="19"/>
      <c r="K81" s="35"/>
      <c r="M81" s="35"/>
      <c r="N81" s="35"/>
      <c r="O81" s="35"/>
      <c r="P81" s="35"/>
    </row>
    <row r="82" spans="2:16">
      <c r="B82" s="28"/>
      <c r="C82" s="196"/>
      <c r="D82" s="47"/>
      <c r="E82" s="28"/>
      <c r="F82" s="215"/>
      <c r="G82" s="215"/>
      <c r="H82" s="2"/>
      <c r="I82" s="19"/>
      <c r="K82" s="35"/>
      <c r="M82" s="35"/>
      <c r="N82" s="35"/>
      <c r="O82" s="35"/>
      <c r="P82" s="35"/>
    </row>
    <row r="83" spans="2:16">
      <c r="B83" s="28"/>
      <c r="C83" s="196"/>
      <c r="D83" s="47"/>
      <c r="E83" s="28"/>
      <c r="F83" s="215"/>
      <c r="G83" s="215"/>
      <c r="H83" s="2"/>
      <c r="I83" s="19"/>
      <c r="K83" s="35"/>
      <c r="M83" s="35"/>
      <c r="N83" s="35"/>
      <c r="O83" s="35"/>
      <c r="P83" s="35"/>
    </row>
    <row r="84" spans="2:16">
      <c r="B84" s="28"/>
      <c r="C84" s="196"/>
      <c r="D84" s="47"/>
      <c r="E84" s="28"/>
      <c r="F84" s="215"/>
      <c r="G84" s="215"/>
      <c r="H84" s="2"/>
      <c r="I84" s="19"/>
      <c r="K84" s="35"/>
      <c r="M84" s="35"/>
      <c r="N84" s="35"/>
      <c r="O84" s="35"/>
      <c r="P84" s="35"/>
    </row>
    <row r="85" spans="2:16">
      <c r="B85" s="28"/>
      <c r="C85" s="196"/>
      <c r="D85" s="47"/>
      <c r="E85" s="28"/>
      <c r="F85" s="215"/>
      <c r="G85" s="215"/>
      <c r="H85" s="2"/>
      <c r="I85" s="19"/>
      <c r="K85" s="35"/>
      <c r="M85" s="35"/>
      <c r="N85" s="35"/>
      <c r="O85" s="35"/>
      <c r="P85" s="35"/>
    </row>
    <row r="86" spans="2:16">
      <c r="B86" s="28"/>
      <c r="C86" s="196"/>
      <c r="D86" s="47"/>
      <c r="E86" s="28"/>
      <c r="F86" s="215"/>
      <c r="G86" s="215"/>
      <c r="H86" s="2"/>
      <c r="I86" s="19"/>
      <c r="K86" s="35"/>
      <c r="M86" s="35"/>
      <c r="N86" s="35"/>
      <c r="O86" s="35"/>
      <c r="P86" s="35"/>
    </row>
    <row r="87" spans="2:16">
      <c r="B87" s="28"/>
      <c r="C87" s="196"/>
      <c r="D87" s="47"/>
      <c r="E87" s="28"/>
      <c r="F87" s="215"/>
      <c r="G87" s="215"/>
      <c r="H87" s="2"/>
      <c r="I87" s="19"/>
      <c r="K87" s="35"/>
      <c r="M87" s="35"/>
      <c r="N87" s="35"/>
      <c r="O87" s="35"/>
      <c r="P87" s="35"/>
    </row>
    <row r="88" spans="2:16">
      <c r="B88" s="28"/>
      <c r="C88" s="196"/>
      <c r="D88" s="47"/>
      <c r="E88" s="28"/>
      <c r="F88" s="215"/>
      <c r="G88" s="215"/>
      <c r="H88" s="2"/>
      <c r="I88" s="19"/>
      <c r="K88" s="35"/>
      <c r="M88" s="35"/>
      <c r="N88" s="35"/>
      <c r="O88" s="35"/>
      <c r="P88" s="35"/>
    </row>
    <row r="89" spans="2:16">
      <c r="B89" s="28"/>
      <c r="C89" s="196"/>
      <c r="D89" s="47"/>
      <c r="E89" s="28"/>
      <c r="F89" s="215"/>
      <c r="G89" s="215"/>
      <c r="H89" s="2"/>
      <c r="I89" s="19"/>
      <c r="K89" s="35"/>
      <c r="M89" s="35"/>
      <c r="N89" s="35"/>
      <c r="O89" s="35"/>
      <c r="P89" s="35"/>
    </row>
    <row r="90" spans="2:16">
      <c r="B90" s="28"/>
      <c r="C90" s="196"/>
      <c r="D90" s="47"/>
      <c r="E90" s="28"/>
      <c r="F90" s="215"/>
      <c r="G90" s="215"/>
      <c r="H90" s="2"/>
      <c r="I90" s="19"/>
      <c r="K90" s="35"/>
      <c r="M90" s="35"/>
      <c r="N90" s="35"/>
      <c r="O90" s="35"/>
      <c r="P90" s="35"/>
    </row>
    <row r="91" spans="2:16">
      <c r="B91" s="28"/>
      <c r="C91" s="196"/>
      <c r="D91" s="47"/>
      <c r="E91" s="28"/>
      <c r="F91" s="215"/>
      <c r="G91" s="215"/>
      <c r="H91" s="2"/>
      <c r="I91" s="19"/>
      <c r="K91" s="35"/>
      <c r="M91" s="35"/>
      <c r="N91" s="35"/>
      <c r="O91" s="35"/>
      <c r="P91" s="35"/>
    </row>
    <row r="92" spans="2:16">
      <c r="B92" s="28"/>
      <c r="C92" s="196"/>
      <c r="D92" s="47"/>
      <c r="E92" s="28"/>
      <c r="F92" s="215"/>
      <c r="G92" s="215"/>
      <c r="H92" s="2"/>
      <c r="I92" s="19"/>
      <c r="K92" s="35"/>
      <c r="M92" s="35"/>
      <c r="N92" s="35"/>
      <c r="O92" s="35"/>
      <c r="P92" s="35"/>
    </row>
    <row r="93" spans="2:16">
      <c r="B93" s="28"/>
      <c r="C93" s="196"/>
      <c r="D93" s="47"/>
      <c r="E93" s="28"/>
      <c r="F93" s="215"/>
      <c r="G93" s="215"/>
      <c r="H93" s="2"/>
      <c r="I93" s="19"/>
      <c r="K93" s="35"/>
      <c r="M93" s="35"/>
      <c r="N93" s="35"/>
      <c r="O93" s="35"/>
      <c r="P93" s="35"/>
    </row>
    <row r="94" spans="2:16">
      <c r="B94" s="28"/>
      <c r="C94" s="196"/>
      <c r="D94" s="47"/>
      <c r="E94" s="28"/>
      <c r="F94" s="215"/>
      <c r="G94" s="215"/>
      <c r="H94" s="2"/>
      <c r="I94" s="19"/>
      <c r="K94" s="35"/>
      <c r="M94" s="35"/>
      <c r="N94" s="35"/>
      <c r="O94" s="35"/>
      <c r="P94" s="35"/>
    </row>
    <row r="95" spans="2:16">
      <c r="B95" s="28"/>
      <c r="C95" s="196"/>
      <c r="D95" s="47"/>
      <c r="E95" s="28"/>
      <c r="F95" s="215"/>
      <c r="G95" s="215"/>
      <c r="H95" s="2"/>
      <c r="I95" s="19"/>
      <c r="K95" s="35"/>
      <c r="M95" s="35"/>
      <c r="N95" s="35"/>
      <c r="O95" s="35"/>
      <c r="P95" s="35"/>
    </row>
    <row r="96" spans="2:16">
      <c r="B96" s="28"/>
      <c r="C96" s="196"/>
      <c r="D96" s="47"/>
      <c r="E96" s="28"/>
      <c r="F96" s="215"/>
      <c r="G96" s="215"/>
      <c r="H96" s="2"/>
      <c r="I96" s="19"/>
      <c r="K96" s="35"/>
      <c r="M96" s="35"/>
      <c r="N96" s="35"/>
      <c r="O96" s="35"/>
      <c r="P96" s="35"/>
    </row>
    <row r="97" spans="2:16">
      <c r="B97" s="28"/>
      <c r="C97" s="196"/>
      <c r="D97" s="47"/>
      <c r="E97" s="28"/>
      <c r="F97" s="215"/>
      <c r="G97" s="215"/>
      <c r="H97" s="2"/>
      <c r="I97" s="19"/>
      <c r="K97" s="35"/>
      <c r="M97" s="35"/>
      <c r="N97" s="35"/>
      <c r="O97" s="35"/>
      <c r="P97" s="35"/>
    </row>
    <row r="98" spans="2:16">
      <c r="B98" s="28"/>
      <c r="C98" s="196"/>
      <c r="D98" s="47"/>
      <c r="E98" s="28"/>
      <c r="F98" s="215"/>
      <c r="G98" s="215"/>
      <c r="H98" s="2"/>
      <c r="I98" s="19"/>
      <c r="K98" s="35"/>
      <c r="M98" s="35"/>
      <c r="N98" s="35"/>
      <c r="O98" s="35"/>
      <c r="P98" s="35"/>
    </row>
    <row r="99" spans="2:16">
      <c r="B99" s="28"/>
      <c r="C99" s="196"/>
      <c r="D99" s="47"/>
      <c r="E99" s="28"/>
      <c r="F99" s="215"/>
      <c r="G99" s="215"/>
      <c r="H99" s="2"/>
      <c r="I99" s="19"/>
      <c r="K99" s="35"/>
      <c r="M99" s="35"/>
      <c r="N99" s="35"/>
      <c r="O99" s="35"/>
      <c r="P99" s="35"/>
    </row>
    <row r="100" spans="2:16">
      <c r="B100" s="28"/>
      <c r="C100" s="196"/>
      <c r="D100" s="47"/>
      <c r="E100" s="28"/>
      <c r="F100" s="215"/>
      <c r="G100" s="215"/>
      <c r="H100" s="2"/>
      <c r="I100" s="19"/>
      <c r="K100" s="35"/>
      <c r="M100" s="35"/>
      <c r="N100" s="35"/>
      <c r="O100" s="35"/>
      <c r="P100" s="35"/>
    </row>
    <row r="101" spans="2:16">
      <c r="B101" s="28"/>
      <c r="C101" s="196"/>
      <c r="D101" s="47"/>
      <c r="E101" s="28"/>
      <c r="F101" s="215"/>
      <c r="G101" s="215"/>
      <c r="H101" s="2"/>
      <c r="I101" s="19"/>
      <c r="K101" s="35"/>
      <c r="M101" s="35"/>
      <c r="N101" s="35"/>
      <c r="O101" s="35"/>
      <c r="P101" s="35"/>
    </row>
    <row r="102" spans="2:16">
      <c r="B102" s="28"/>
      <c r="C102" s="196"/>
      <c r="D102" s="47"/>
      <c r="E102" s="28"/>
      <c r="F102" s="215"/>
      <c r="G102" s="215"/>
      <c r="H102" s="2"/>
      <c r="I102" s="19"/>
      <c r="K102" s="35"/>
      <c r="M102" s="35"/>
      <c r="N102" s="35"/>
      <c r="O102" s="35"/>
      <c r="P102" s="35"/>
    </row>
    <row r="103" spans="2:16">
      <c r="B103" s="28"/>
      <c r="C103" s="196"/>
      <c r="D103" s="47"/>
      <c r="E103" s="28"/>
      <c r="F103" s="215"/>
      <c r="G103" s="215"/>
      <c r="H103" s="2"/>
      <c r="I103" s="19"/>
      <c r="K103" s="35"/>
      <c r="M103" s="35"/>
      <c r="N103" s="35"/>
      <c r="O103" s="35"/>
      <c r="P103" s="35"/>
    </row>
    <row r="104" spans="2:16">
      <c r="B104" s="28"/>
      <c r="C104" s="196"/>
      <c r="D104" s="47"/>
      <c r="E104" s="28"/>
      <c r="F104" s="215"/>
      <c r="G104" s="215"/>
      <c r="H104" s="2"/>
      <c r="I104" s="19"/>
      <c r="K104" s="35"/>
      <c r="M104" s="35"/>
      <c r="N104" s="35"/>
      <c r="O104" s="35"/>
      <c r="P104" s="35"/>
    </row>
    <row r="105" spans="2:16">
      <c r="B105" s="28"/>
      <c r="C105" s="196"/>
      <c r="D105" s="47"/>
      <c r="E105" s="28"/>
      <c r="F105" s="215"/>
      <c r="G105" s="215"/>
      <c r="H105" s="2"/>
      <c r="I105" s="19"/>
      <c r="K105" s="35"/>
      <c r="M105" s="35"/>
      <c r="N105" s="35"/>
      <c r="O105" s="35"/>
      <c r="P105" s="35"/>
    </row>
    <row r="106" spans="2:16">
      <c r="B106" s="28"/>
      <c r="C106" s="196"/>
      <c r="D106" s="47"/>
      <c r="E106" s="28"/>
      <c r="F106" s="215"/>
      <c r="G106" s="215"/>
      <c r="H106" s="2"/>
      <c r="I106" s="19"/>
      <c r="K106" s="35"/>
      <c r="M106" s="35"/>
      <c r="N106" s="35"/>
      <c r="O106" s="35"/>
      <c r="P106" s="35"/>
    </row>
    <row r="107" spans="2:16">
      <c r="B107" s="28"/>
      <c r="C107" s="196"/>
      <c r="D107" s="47"/>
      <c r="E107" s="28"/>
      <c r="F107" s="215"/>
      <c r="G107" s="215"/>
      <c r="H107" s="2"/>
      <c r="I107" s="19"/>
      <c r="K107" s="35"/>
      <c r="M107" s="35"/>
      <c r="N107" s="35"/>
      <c r="O107" s="35"/>
      <c r="P107" s="35"/>
    </row>
    <row r="108" spans="2:16">
      <c r="B108" s="28"/>
      <c r="C108" s="196"/>
      <c r="D108" s="47"/>
      <c r="E108" s="28"/>
      <c r="F108" s="215"/>
      <c r="G108" s="215"/>
      <c r="H108" s="2"/>
      <c r="I108" s="19"/>
      <c r="K108" s="35"/>
      <c r="M108" s="35"/>
      <c r="N108" s="35"/>
      <c r="O108" s="35"/>
      <c r="P108" s="35"/>
    </row>
    <row r="109" spans="2:16">
      <c r="B109" s="28"/>
      <c r="C109" s="196"/>
      <c r="D109" s="47"/>
      <c r="E109" s="28"/>
      <c r="F109" s="215"/>
      <c r="G109" s="215"/>
      <c r="H109" s="2"/>
      <c r="I109" s="19"/>
      <c r="K109" s="35"/>
      <c r="M109" s="35"/>
      <c r="N109" s="35"/>
      <c r="O109" s="35"/>
      <c r="P109" s="35"/>
    </row>
    <row r="110" spans="2:16">
      <c r="B110" s="28"/>
      <c r="C110" s="196"/>
      <c r="D110" s="47"/>
      <c r="E110" s="28"/>
      <c r="F110" s="215"/>
      <c r="G110" s="215"/>
      <c r="H110" s="2"/>
      <c r="I110" s="19"/>
      <c r="K110" s="35"/>
      <c r="M110" s="35"/>
      <c r="N110" s="35"/>
      <c r="O110" s="35"/>
      <c r="P110" s="35"/>
    </row>
    <row r="111" spans="2:16">
      <c r="B111" s="28"/>
      <c r="C111" s="196"/>
      <c r="D111" s="47"/>
      <c r="E111" s="28"/>
      <c r="F111" s="215"/>
      <c r="G111" s="215"/>
      <c r="H111" s="2"/>
      <c r="I111" s="19"/>
      <c r="K111" s="35"/>
      <c r="M111" s="35"/>
      <c r="N111" s="35"/>
      <c r="O111" s="35"/>
      <c r="P111" s="35"/>
    </row>
    <row r="112" spans="2:16">
      <c r="B112" s="28"/>
      <c r="C112" s="196"/>
      <c r="D112" s="47"/>
      <c r="E112" s="28"/>
      <c r="F112" s="215"/>
      <c r="G112" s="215"/>
      <c r="H112" s="2"/>
      <c r="I112" s="19"/>
      <c r="K112" s="35"/>
      <c r="M112" s="35"/>
      <c r="N112" s="35"/>
      <c r="O112" s="35"/>
      <c r="P112" s="35"/>
    </row>
    <row r="113" spans="2:16">
      <c r="B113" s="28"/>
      <c r="C113" s="196"/>
      <c r="D113" s="47"/>
      <c r="E113" s="28"/>
      <c r="F113" s="215"/>
      <c r="G113" s="215"/>
      <c r="H113" s="2"/>
      <c r="I113" s="19"/>
      <c r="K113" s="35"/>
      <c r="M113" s="35"/>
      <c r="N113" s="35"/>
      <c r="O113" s="35"/>
      <c r="P113" s="35"/>
    </row>
    <row r="114" spans="2:16">
      <c r="B114" s="28"/>
      <c r="C114" s="196"/>
      <c r="D114" s="47"/>
      <c r="E114" s="28"/>
      <c r="F114" s="215"/>
      <c r="G114" s="215"/>
      <c r="H114" s="2"/>
      <c r="I114" s="19"/>
      <c r="K114" s="35"/>
      <c r="M114" s="35"/>
      <c r="N114" s="35"/>
      <c r="O114" s="35"/>
      <c r="P114" s="35"/>
    </row>
    <row r="115" spans="2:16">
      <c r="B115" s="28"/>
      <c r="C115" s="196"/>
      <c r="D115" s="47"/>
      <c r="E115" s="28"/>
      <c r="F115" s="215"/>
      <c r="G115" s="215"/>
      <c r="H115" s="2"/>
      <c r="I115" s="19"/>
      <c r="K115" s="35"/>
      <c r="M115" s="35"/>
      <c r="N115" s="35"/>
      <c r="O115" s="35"/>
      <c r="P115" s="35"/>
    </row>
    <row r="116" spans="2:16">
      <c r="B116" s="28"/>
      <c r="C116" s="196"/>
      <c r="D116" s="47"/>
      <c r="E116" s="28"/>
      <c r="F116" s="215"/>
      <c r="G116" s="215"/>
      <c r="H116" s="2"/>
      <c r="I116" s="19"/>
      <c r="K116" s="35"/>
      <c r="M116" s="35"/>
      <c r="N116" s="35"/>
      <c r="O116" s="35"/>
      <c r="P116" s="35"/>
    </row>
    <row r="117" spans="2:16">
      <c r="B117" s="28"/>
      <c r="C117" s="196"/>
      <c r="D117" s="47"/>
      <c r="E117" s="28"/>
      <c r="F117" s="215"/>
      <c r="G117" s="215"/>
      <c r="H117" s="2"/>
      <c r="I117" s="19"/>
      <c r="K117" s="35"/>
      <c r="M117" s="35"/>
      <c r="N117" s="35"/>
      <c r="O117" s="35"/>
      <c r="P117" s="35"/>
    </row>
    <row r="118" spans="2:16">
      <c r="B118" s="28"/>
      <c r="C118" s="196"/>
      <c r="D118" s="47"/>
      <c r="E118" s="28"/>
      <c r="F118" s="215"/>
      <c r="G118" s="215"/>
      <c r="H118" s="2"/>
      <c r="I118" s="19"/>
      <c r="K118" s="35"/>
      <c r="M118" s="35"/>
      <c r="N118" s="35"/>
      <c r="O118" s="35"/>
      <c r="P118" s="35"/>
    </row>
    <row r="119" spans="2:16">
      <c r="B119" s="28"/>
      <c r="C119" s="196"/>
      <c r="D119" s="47"/>
      <c r="E119" s="28"/>
      <c r="F119" s="215"/>
      <c r="G119" s="215"/>
      <c r="H119" s="2"/>
      <c r="I119" s="19"/>
      <c r="K119" s="35"/>
      <c r="M119" s="35"/>
      <c r="N119" s="35"/>
      <c r="O119" s="35"/>
      <c r="P119" s="35"/>
    </row>
    <row r="120" spans="2:16">
      <c r="B120" s="28"/>
      <c r="C120" s="196"/>
      <c r="D120" s="47"/>
      <c r="E120" s="28"/>
      <c r="F120" s="215"/>
      <c r="G120" s="215"/>
      <c r="H120" s="2"/>
      <c r="I120" s="19"/>
      <c r="K120" s="35"/>
      <c r="M120" s="35"/>
      <c r="N120" s="35"/>
      <c r="O120" s="35"/>
      <c r="P120" s="35"/>
    </row>
    <row r="121" spans="2:16">
      <c r="B121" s="28"/>
      <c r="C121" s="196"/>
      <c r="D121" s="47"/>
      <c r="E121" s="28"/>
      <c r="F121" s="215"/>
      <c r="G121" s="215"/>
      <c r="H121" s="2"/>
      <c r="I121" s="19"/>
      <c r="K121" s="35"/>
      <c r="M121" s="35"/>
      <c r="N121" s="35"/>
      <c r="O121" s="35"/>
      <c r="P121" s="35"/>
    </row>
    <row r="122" spans="2:16">
      <c r="B122" s="28"/>
      <c r="C122" s="196"/>
      <c r="D122" s="47"/>
      <c r="E122" s="28"/>
      <c r="F122" s="215"/>
      <c r="G122" s="215"/>
      <c r="H122" s="2"/>
      <c r="I122" s="19"/>
      <c r="K122" s="35"/>
      <c r="M122" s="35"/>
      <c r="N122" s="35"/>
      <c r="O122" s="35"/>
      <c r="P122" s="35"/>
    </row>
    <row r="123" spans="2:16">
      <c r="B123" s="28"/>
      <c r="C123" s="196"/>
      <c r="D123" s="47"/>
      <c r="E123" s="28"/>
      <c r="F123" s="215"/>
      <c r="G123" s="215"/>
      <c r="H123" s="2"/>
      <c r="I123" s="19"/>
      <c r="K123" s="35"/>
      <c r="M123" s="35"/>
      <c r="N123" s="35"/>
      <c r="O123" s="35"/>
      <c r="P123" s="35"/>
    </row>
    <row r="124" spans="2:16">
      <c r="B124" s="28"/>
      <c r="C124" s="196"/>
      <c r="D124" s="47"/>
      <c r="E124" s="28"/>
      <c r="F124" s="215"/>
      <c r="G124" s="215"/>
      <c r="H124" s="2"/>
      <c r="I124" s="19"/>
      <c r="K124" s="35"/>
      <c r="M124" s="35"/>
      <c r="N124" s="35"/>
      <c r="O124" s="35"/>
      <c r="P124" s="35"/>
    </row>
    <row r="125" spans="2:16">
      <c r="B125" s="28"/>
      <c r="C125" s="196"/>
      <c r="D125" s="47"/>
      <c r="E125" s="28"/>
      <c r="F125" s="215"/>
      <c r="G125" s="215"/>
      <c r="H125" s="2"/>
      <c r="I125" s="19"/>
      <c r="K125" s="35"/>
      <c r="M125" s="35"/>
      <c r="N125" s="35"/>
      <c r="O125" s="35"/>
      <c r="P125" s="35"/>
    </row>
    <row r="126" spans="2:16">
      <c r="B126" s="28"/>
      <c r="C126" s="196"/>
      <c r="D126" s="47"/>
      <c r="E126" s="28"/>
      <c r="F126" s="215"/>
      <c r="G126" s="215"/>
      <c r="H126" s="2"/>
      <c r="I126" s="19"/>
      <c r="K126" s="35"/>
      <c r="M126" s="35"/>
      <c r="N126" s="35"/>
      <c r="O126" s="35"/>
      <c r="P126" s="35"/>
    </row>
    <row r="127" spans="2:16">
      <c r="B127" s="28"/>
      <c r="C127" s="196"/>
      <c r="D127" s="47"/>
      <c r="E127" s="28"/>
      <c r="F127" s="215"/>
      <c r="G127" s="215"/>
      <c r="H127" s="2"/>
      <c r="I127" s="19"/>
      <c r="K127" s="35"/>
      <c r="M127" s="35"/>
      <c r="N127" s="35"/>
      <c r="O127" s="35"/>
      <c r="P127" s="35"/>
    </row>
    <row r="128" spans="2:16">
      <c r="B128" s="28"/>
      <c r="C128" s="196"/>
      <c r="D128" s="47"/>
      <c r="E128" s="28"/>
      <c r="F128" s="215"/>
      <c r="G128" s="215"/>
      <c r="H128" s="2"/>
      <c r="I128" s="19"/>
      <c r="K128" s="35"/>
      <c r="M128" s="35"/>
      <c r="N128" s="35"/>
      <c r="O128" s="35"/>
      <c r="P128" s="35"/>
    </row>
    <row r="129" spans="2:16">
      <c r="B129" s="28"/>
      <c r="C129" s="196"/>
      <c r="D129" s="47"/>
      <c r="E129" s="28"/>
      <c r="F129" s="215"/>
      <c r="G129" s="215"/>
      <c r="H129" s="2"/>
      <c r="I129" s="19"/>
      <c r="K129" s="35"/>
      <c r="M129" s="35"/>
      <c r="N129" s="35"/>
      <c r="O129" s="35"/>
      <c r="P129" s="35"/>
    </row>
    <row r="130" spans="2:16">
      <c r="B130" s="28"/>
      <c r="C130" s="196"/>
      <c r="D130" s="47"/>
      <c r="E130" s="28"/>
      <c r="F130" s="215"/>
      <c r="G130" s="215"/>
      <c r="H130" s="2"/>
      <c r="I130" s="19"/>
      <c r="K130" s="35"/>
      <c r="M130" s="35"/>
      <c r="N130" s="35"/>
      <c r="O130" s="35"/>
      <c r="P130" s="35"/>
    </row>
    <row r="131" spans="2:16">
      <c r="B131" s="28"/>
      <c r="C131" s="196"/>
      <c r="D131" s="47"/>
      <c r="E131" s="28"/>
      <c r="F131" s="215"/>
      <c r="G131" s="215"/>
      <c r="H131" s="2"/>
      <c r="I131" s="19"/>
      <c r="K131" s="35"/>
      <c r="M131" s="35"/>
      <c r="N131" s="35"/>
      <c r="O131" s="35"/>
      <c r="P131" s="35"/>
    </row>
    <row r="132" spans="2:16">
      <c r="B132" s="28"/>
      <c r="C132" s="196"/>
      <c r="D132" s="47"/>
      <c r="E132" s="28"/>
      <c r="F132" s="215"/>
      <c r="G132" s="215"/>
      <c r="H132" s="2"/>
      <c r="I132" s="19"/>
      <c r="K132" s="35"/>
      <c r="M132" s="35"/>
      <c r="N132" s="35"/>
      <c r="O132" s="35"/>
      <c r="P132" s="35"/>
    </row>
    <row r="133" spans="2:16">
      <c r="B133" s="28"/>
      <c r="C133" s="196"/>
      <c r="D133" s="47"/>
      <c r="E133" s="28"/>
      <c r="F133" s="215"/>
      <c r="G133" s="215"/>
      <c r="H133" s="2"/>
      <c r="I133" s="19"/>
      <c r="K133" s="35"/>
      <c r="M133" s="35"/>
      <c r="N133" s="35"/>
      <c r="O133" s="35"/>
      <c r="P133" s="35"/>
    </row>
    <row r="134" spans="2:16">
      <c r="B134" s="28"/>
      <c r="C134" s="196"/>
      <c r="D134" s="47"/>
      <c r="E134" s="28"/>
      <c r="F134" s="215"/>
      <c r="G134" s="215"/>
      <c r="H134" s="2"/>
      <c r="I134" s="19"/>
      <c r="K134" s="35"/>
      <c r="M134" s="35"/>
      <c r="N134" s="35"/>
      <c r="O134" s="35"/>
      <c r="P134" s="35"/>
    </row>
    <row r="135" spans="2:16">
      <c r="B135" s="28"/>
      <c r="C135" s="196"/>
      <c r="D135" s="47"/>
      <c r="E135" s="28"/>
      <c r="F135" s="215"/>
      <c r="G135" s="215"/>
      <c r="H135" s="2"/>
      <c r="I135" s="19"/>
      <c r="K135" s="35"/>
      <c r="M135" s="35"/>
      <c r="N135" s="35"/>
      <c r="O135" s="35"/>
      <c r="P135" s="35"/>
    </row>
    <row r="136" spans="2:16">
      <c r="B136" s="28"/>
      <c r="C136" s="196"/>
      <c r="D136" s="47"/>
      <c r="E136" s="28"/>
      <c r="F136" s="215"/>
      <c r="G136" s="215"/>
      <c r="H136" s="2"/>
      <c r="I136" s="19"/>
      <c r="K136" s="35"/>
      <c r="M136" s="35"/>
      <c r="N136" s="35"/>
      <c r="O136" s="35"/>
      <c r="P136" s="35"/>
    </row>
    <row r="137" spans="2:16">
      <c r="B137" s="28"/>
      <c r="C137" s="196"/>
      <c r="D137" s="47"/>
      <c r="E137" s="28"/>
      <c r="F137" s="215"/>
      <c r="G137" s="215"/>
      <c r="H137" s="2"/>
      <c r="I137" s="19"/>
      <c r="K137" s="35"/>
      <c r="M137" s="35"/>
      <c r="N137" s="35"/>
      <c r="O137" s="35"/>
      <c r="P137" s="35"/>
    </row>
    <row r="138" spans="2:16">
      <c r="B138" s="28"/>
      <c r="C138" s="196"/>
      <c r="D138" s="47"/>
      <c r="E138" s="28"/>
      <c r="F138" s="215"/>
      <c r="G138" s="215"/>
      <c r="H138" s="2"/>
      <c r="I138" s="19"/>
      <c r="K138" s="35"/>
      <c r="M138" s="35"/>
      <c r="N138" s="35"/>
      <c r="O138" s="35"/>
      <c r="P138" s="35"/>
    </row>
    <row r="139" spans="2:16">
      <c r="B139" s="28"/>
      <c r="C139" s="196"/>
      <c r="D139" s="47"/>
      <c r="E139" s="28"/>
      <c r="F139" s="215"/>
      <c r="G139" s="215"/>
      <c r="H139" s="2"/>
      <c r="I139" s="19"/>
      <c r="K139" s="35"/>
      <c r="M139" s="35"/>
      <c r="N139" s="35"/>
      <c r="O139" s="35"/>
      <c r="P139" s="35"/>
    </row>
    <row r="140" spans="2:16">
      <c r="B140" s="28"/>
      <c r="C140" s="196"/>
      <c r="D140" s="47"/>
      <c r="E140" s="28"/>
      <c r="F140" s="215"/>
      <c r="G140" s="215"/>
      <c r="H140" s="2"/>
      <c r="I140" s="19"/>
      <c r="K140" s="35"/>
      <c r="M140" s="35"/>
      <c r="N140" s="35"/>
      <c r="O140" s="35"/>
      <c r="P140" s="35"/>
    </row>
    <row r="141" spans="2:16">
      <c r="B141" s="28"/>
      <c r="C141" s="196"/>
      <c r="D141" s="47"/>
      <c r="E141" s="28"/>
      <c r="F141" s="215"/>
      <c r="G141" s="215"/>
      <c r="H141" s="2"/>
      <c r="I141" s="19"/>
      <c r="K141" s="35"/>
      <c r="M141" s="35"/>
      <c r="N141" s="35"/>
      <c r="O141" s="35"/>
      <c r="P141" s="35"/>
    </row>
    <row r="142" spans="2:16">
      <c r="B142" s="28"/>
      <c r="C142" s="196"/>
      <c r="D142" s="47"/>
      <c r="E142" s="28"/>
      <c r="F142" s="215"/>
      <c r="G142" s="215"/>
      <c r="H142" s="2"/>
      <c r="I142" s="19"/>
      <c r="K142" s="35"/>
      <c r="M142" s="35"/>
      <c r="N142" s="35"/>
      <c r="O142" s="35"/>
      <c r="P142" s="35"/>
    </row>
    <row r="143" spans="2:16">
      <c r="B143" s="28"/>
      <c r="C143" s="196"/>
      <c r="D143" s="47"/>
      <c r="E143" s="28"/>
      <c r="F143" s="215"/>
      <c r="G143" s="215"/>
      <c r="H143" s="2"/>
      <c r="I143" s="19"/>
      <c r="K143" s="35"/>
      <c r="M143" s="35"/>
      <c r="N143" s="35"/>
      <c r="O143" s="35"/>
      <c r="P143" s="35"/>
    </row>
    <row r="144" spans="2:16">
      <c r="B144" s="28"/>
      <c r="C144" s="196"/>
      <c r="D144" s="47"/>
      <c r="E144" s="28"/>
      <c r="F144" s="215"/>
      <c r="G144" s="215"/>
      <c r="H144" s="2"/>
      <c r="I144" s="19"/>
      <c r="K144" s="35"/>
      <c r="M144" s="35"/>
      <c r="N144" s="35"/>
      <c r="O144" s="35"/>
      <c r="P144" s="35"/>
    </row>
    <row r="145" spans="2:16">
      <c r="B145" s="28"/>
      <c r="C145" s="196"/>
      <c r="D145" s="47"/>
      <c r="E145" s="28"/>
      <c r="F145" s="215"/>
      <c r="G145" s="215"/>
      <c r="H145" s="2"/>
      <c r="I145" s="19"/>
      <c r="K145" s="35"/>
      <c r="M145" s="35"/>
      <c r="N145" s="35"/>
      <c r="O145" s="35"/>
      <c r="P145" s="35"/>
    </row>
    <row r="146" spans="2:16">
      <c r="B146" s="28"/>
      <c r="C146" s="196"/>
      <c r="D146" s="47"/>
      <c r="E146" s="28"/>
      <c r="F146" s="215"/>
      <c r="G146" s="215"/>
      <c r="H146" s="2"/>
      <c r="I146" s="19"/>
      <c r="K146" s="35"/>
      <c r="M146" s="35"/>
      <c r="N146" s="35"/>
      <c r="O146" s="35"/>
      <c r="P146" s="35"/>
    </row>
    <row r="147" spans="2:16">
      <c r="B147" s="28"/>
      <c r="C147" s="196"/>
      <c r="D147" s="47"/>
      <c r="E147" s="28"/>
      <c r="F147" s="215"/>
      <c r="G147" s="215"/>
      <c r="H147" s="2"/>
      <c r="I147" s="19"/>
      <c r="K147" s="35"/>
      <c r="M147" s="35"/>
      <c r="N147" s="35"/>
      <c r="O147" s="35"/>
      <c r="P147" s="35"/>
    </row>
    <row r="148" spans="2:16">
      <c r="B148" s="28"/>
      <c r="C148" s="196"/>
      <c r="D148" s="47"/>
      <c r="E148" s="28"/>
      <c r="F148" s="215"/>
      <c r="G148" s="215"/>
      <c r="H148" s="2"/>
      <c r="I148" s="19"/>
      <c r="K148" s="35"/>
      <c r="M148" s="35"/>
      <c r="N148" s="35"/>
      <c r="O148" s="35"/>
      <c r="P148" s="35"/>
    </row>
    <row r="149" spans="2:16">
      <c r="B149" s="28"/>
      <c r="C149" s="196"/>
      <c r="D149" s="47"/>
      <c r="E149" s="28"/>
      <c r="F149" s="215"/>
      <c r="G149" s="215"/>
      <c r="H149" s="2"/>
      <c r="I149" s="19"/>
      <c r="K149" s="35"/>
      <c r="M149" s="35"/>
      <c r="N149" s="35"/>
      <c r="O149" s="35"/>
      <c r="P149" s="35"/>
    </row>
    <row r="150" spans="2:16">
      <c r="B150" s="28"/>
      <c r="C150" s="196"/>
      <c r="D150" s="47"/>
      <c r="E150" s="28"/>
      <c r="F150" s="215"/>
      <c r="G150" s="215"/>
      <c r="H150" s="2"/>
      <c r="I150" s="19"/>
      <c r="K150" s="35"/>
      <c r="M150" s="35"/>
      <c r="N150" s="35"/>
      <c r="O150" s="35"/>
      <c r="P150" s="35"/>
    </row>
    <row r="151" spans="2:16">
      <c r="B151" s="28"/>
      <c r="C151" s="196"/>
      <c r="D151" s="47"/>
      <c r="E151" s="28"/>
      <c r="F151" s="215"/>
      <c r="G151" s="215"/>
      <c r="H151" s="2"/>
      <c r="I151" s="19"/>
      <c r="K151" s="35"/>
      <c r="M151" s="35"/>
      <c r="N151" s="35"/>
      <c r="O151" s="35"/>
      <c r="P151" s="35"/>
    </row>
    <row r="152" spans="2:16">
      <c r="B152" s="28"/>
      <c r="C152" s="196"/>
      <c r="D152" s="47"/>
      <c r="E152" s="28"/>
      <c r="F152" s="215"/>
      <c r="G152" s="215"/>
      <c r="H152" s="2"/>
      <c r="I152" s="19"/>
      <c r="K152" s="35"/>
      <c r="M152" s="35"/>
      <c r="N152" s="35"/>
      <c r="O152" s="35"/>
      <c r="P152" s="35"/>
    </row>
    <row r="153" spans="2:16">
      <c r="B153" s="28"/>
      <c r="C153" s="196"/>
      <c r="D153" s="47"/>
      <c r="E153" s="28"/>
      <c r="F153" s="215"/>
      <c r="G153" s="215"/>
      <c r="H153" s="2"/>
      <c r="I153" s="19"/>
      <c r="K153" s="35"/>
      <c r="M153" s="35"/>
      <c r="N153" s="35"/>
      <c r="O153" s="35"/>
      <c r="P153" s="35"/>
    </row>
    <row r="154" spans="2:16">
      <c r="B154" s="28"/>
      <c r="C154" s="196"/>
      <c r="D154" s="47"/>
      <c r="E154" s="28"/>
      <c r="F154" s="215"/>
      <c r="G154" s="215"/>
      <c r="H154" s="2"/>
      <c r="I154" s="19"/>
      <c r="K154" s="35"/>
      <c r="M154" s="35"/>
      <c r="N154" s="35"/>
      <c r="O154" s="35"/>
      <c r="P154" s="35"/>
    </row>
    <row r="155" spans="2:16">
      <c r="B155" s="28"/>
      <c r="C155" s="196"/>
      <c r="D155" s="47"/>
      <c r="E155" s="28"/>
      <c r="F155" s="215"/>
      <c r="G155" s="215"/>
      <c r="H155" s="2"/>
      <c r="I155" s="19"/>
      <c r="K155" s="35"/>
      <c r="M155" s="35"/>
      <c r="N155" s="35"/>
      <c r="O155" s="35"/>
      <c r="P155" s="35"/>
    </row>
    <row r="156" spans="2:16">
      <c r="B156" s="28"/>
      <c r="C156" s="196"/>
      <c r="D156" s="47"/>
      <c r="E156" s="28"/>
      <c r="F156" s="215"/>
      <c r="G156" s="215"/>
      <c r="H156" s="2"/>
      <c r="I156" s="19"/>
      <c r="K156" s="35"/>
      <c r="M156" s="35"/>
      <c r="N156" s="35"/>
      <c r="O156" s="35"/>
      <c r="P156" s="35"/>
    </row>
    <row r="157" spans="2:16">
      <c r="B157" s="28"/>
      <c r="C157" s="196"/>
      <c r="D157" s="47"/>
      <c r="E157" s="28"/>
      <c r="F157" s="215"/>
      <c r="G157" s="215"/>
      <c r="H157" s="2"/>
      <c r="I157" s="19"/>
      <c r="K157" s="35"/>
      <c r="M157" s="35"/>
      <c r="N157" s="35"/>
      <c r="O157" s="35"/>
      <c r="P157" s="35"/>
    </row>
    <row r="158" spans="2:16">
      <c r="B158" s="28"/>
      <c r="C158" s="196"/>
      <c r="D158" s="47"/>
      <c r="E158" s="28"/>
      <c r="F158" s="215"/>
      <c r="G158" s="215"/>
      <c r="H158" s="2"/>
      <c r="I158" s="19"/>
      <c r="K158" s="35"/>
      <c r="M158" s="35"/>
      <c r="N158" s="35"/>
      <c r="O158" s="35"/>
      <c r="P158" s="35"/>
    </row>
    <row r="159" spans="2:16">
      <c r="B159" s="28"/>
      <c r="C159" s="196"/>
      <c r="D159" s="47"/>
      <c r="E159" s="28"/>
      <c r="F159" s="215"/>
      <c r="G159" s="215"/>
      <c r="H159" s="2"/>
      <c r="I159" s="19"/>
      <c r="K159" s="35"/>
      <c r="M159" s="35"/>
      <c r="N159" s="35"/>
      <c r="O159" s="35"/>
      <c r="P159" s="35"/>
    </row>
    <row r="160" spans="2:16">
      <c r="B160" s="28"/>
      <c r="C160" s="196"/>
      <c r="D160" s="47"/>
      <c r="E160" s="28"/>
      <c r="F160" s="215"/>
      <c r="G160" s="215"/>
      <c r="H160" s="2"/>
      <c r="I160" s="19"/>
      <c r="K160" s="35"/>
      <c r="M160" s="35"/>
      <c r="N160" s="35"/>
      <c r="O160" s="35"/>
      <c r="P160" s="35"/>
    </row>
    <row r="161" spans="2:16">
      <c r="B161" s="28"/>
      <c r="C161" s="196"/>
      <c r="D161" s="47"/>
      <c r="E161" s="28"/>
      <c r="F161" s="215"/>
      <c r="G161" s="215"/>
      <c r="H161" s="2"/>
      <c r="I161" s="19"/>
      <c r="K161" s="35"/>
      <c r="M161" s="35"/>
      <c r="N161" s="35"/>
      <c r="O161" s="35"/>
      <c r="P161" s="35"/>
    </row>
    <row r="162" spans="2:16">
      <c r="B162" s="28"/>
      <c r="C162" s="196"/>
      <c r="D162" s="47"/>
      <c r="E162" s="28"/>
      <c r="F162" s="215"/>
      <c r="G162" s="215"/>
      <c r="H162" s="2"/>
      <c r="I162" s="19"/>
      <c r="K162" s="35"/>
      <c r="M162" s="35"/>
      <c r="N162" s="35"/>
      <c r="O162" s="35"/>
      <c r="P162" s="35"/>
    </row>
    <row r="163" spans="2:16">
      <c r="B163" s="28"/>
      <c r="C163" s="196"/>
      <c r="D163" s="47"/>
      <c r="E163" s="28"/>
      <c r="F163" s="215"/>
      <c r="G163" s="215"/>
      <c r="H163" s="2"/>
      <c r="I163" s="19"/>
      <c r="K163" s="35"/>
      <c r="M163" s="35"/>
      <c r="N163" s="35"/>
      <c r="O163" s="35"/>
      <c r="P163" s="35"/>
    </row>
    <row r="164" spans="2:16">
      <c r="B164" s="28"/>
      <c r="C164" s="196"/>
      <c r="D164" s="47"/>
      <c r="E164" s="28"/>
      <c r="F164" s="215"/>
      <c r="G164" s="215"/>
      <c r="H164" s="2"/>
      <c r="I164" s="19"/>
      <c r="K164" s="35"/>
      <c r="M164" s="35"/>
      <c r="N164" s="35"/>
      <c r="O164" s="35"/>
      <c r="P164" s="35"/>
    </row>
    <row r="165" spans="2:16">
      <c r="B165" s="28"/>
      <c r="C165" s="196"/>
      <c r="D165" s="47"/>
      <c r="E165" s="28"/>
      <c r="F165" s="215"/>
      <c r="G165" s="215"/>
      <c r="H165" s="2"/>
      <c r="I165" s="19"/>
      <c r="K165" s="35"/>
      <c r="M165" s="35"/>
      <c r="N165" s="35"/>
      <c r="O165" s="35"/>
      <c r="P165" s="35"/>
    </row>
    <row r="166" spans="2:16">
      <c r="B166" s="28"/>
      <c r="C166" s="196"/>
      <c r="D166" s="47"/>
      <c r="E166" s="28"/>
      <c r="F166" s="215"/>
      <c r="G166" s="215"/>
      <c r="H166" s="2"/>
      <c r="I166" s="19"/>
      <c r="K166" s="35"/>
      <c r="M166" s="35"/>
      <c r="N166" s="35"/>
      <c r="O166" s="35"/>
      <c r="P166" s="35"/>
    </row>
    <row r="167" spans="2:16">
      <c r="B167" s="28"/>
      <c r="C167" s="196"/>
      <c r="D167" s="47"/>
      <c r="E167" s="28"/>
      <c r="F167" s="215"/>
      <c r="G167" s="215"/>
      <c r="H167" s="2"/>
      <c r="I167" s="19"/>
      <c r="K167" s="35"/>
      <c r="M167" s="35"/>
      <c r="N167" s="35"/>
      <c r="O167" s="35"/>
      <c r="P167" s="35"/>
    </row>
    <row r="168" spans="2:16">
      <c r="B168" s="28"/>
      <c r="C168" s="196"/>
      <c r="D168" s="47"/>
      <c r="E168" s="28"/>
      <c r="F168" s="215"/>
      <c r="G168" s="215"/>
      <c r="H168" s="2"/>
      <c r="I168" s="19"/>
      <c r="K168" s="35"/>
      <c r="M168" s="35"/>
      <c r="N168" s="35"/>
      <c r="O168" s="35"/>
      <c r="P168" s="35"/>
    </row>
    <row r="169" spans="2:16">
      <c r="B169" s="28"/>
      <c r="C169" s="196"/>
      <c r="D169" s="47"/>
      <c r="E169" s="28"/>
      <c r="F169" s="215"/>
      <c r="G169" s="215"/>
      <c r="H169" s="2"/>
      <c r="I169" s="19"/>
      <c r="K169" s="35"/>
      <c r="M169" s="35"/>
      <c r="N169" s="35"/>
      <c r="O169" s="35"/>
      <c r="P169" s="35"/>
    </row>
    <row r="170" spans="2:16">
      <c r="B170" s="28"/>
      <c r="C170" s="196"/>
      <c r="D170" s="47"/>
      <c r="E170" s="28"/>
      <c r="F170" s="215"/>
      <c r="G170" s="215"/>
      <c r="H170" s="2"/>
      <c r="I170" s="19"/>
      <c r="K170" s="35"/>
      <c r="M170" s="35"/>
      <c r="N170" s="35"/>
      <c r="O170" s="35"/>
      <c r="P170" s="35"/>
    </row>
    <row r="171" spans="2:16">
      <c r="B171" s="28"/>
      <c r="C171" s="196"/>
      <c r="D171" s="47"/>
      <c r="E171" s="28"/>
      <c r="F171" s="215"/>
      <c r="G171" s="215"/>
      <c r="H171" s="2"/>
      <c r="I171" s="19"/>
      <c r="K171" s="35"/>
      <c r="M171" s="35"/>
      <c r="N171" s="35"/>
      <c r="O171" s="35"/>
      <c r="P171" s="35"/>
    </row>
    <row r="172" spans="2:16">
      <c r="B172" s="28"/>
      <c r="C172" s="196"/>
      <c r="D172" s="47"/>
      <c r="E172" s="28"/>
      <c r="F172" s="215"/>
      <c r="G172" s="215"/>
      <c r="H172" s="2"/>
      <c r="I172" s="19"/>
      <c r="K172" s="35"/>
      <c r="M172" s="35"/>
      <c r="N172" s="35"/>
      <c r="O172" s="35"/>
      <c r="P172" s="35"/>
    </row>
    <row r="173" spans="2:16">
      <c r="B173" s="28"/>
      <c r="C173" s="196"/>
      <c r="D173" s="47"/>
      <c r="E173" s="28"/>
      <c r="F173" s="215"/>
      <c r="G173" s="215"/>
      <c r="H173" s="2"/>
      <c r="I173" s="19"/>
      <c r="K173" s="35"/>
      <c r="M173" s="35"/>
      <c r="N173" s="35"/>
      <c r="O173" s="35"/>
      <c r="P173" s="35"/>
    </row>
    <row r="174" spans="2:16">
      <c r="B174" s="28"/>
      <c r="C174" s="196"/>
      <c r="D174" s="47"/>
      <c r="E174" s="28"/>
      <c r="F174" s="215"/>
      <c r="G174" s="215"/>
      <c r="H174" s="2"/>
      <c r="I174" s="19"/>
      <c r="K174" s="35"/>
      <c r="M174" s="35"/>
      <c r="N174" s="35"/>
      <c r="O174" s="35"/>
      <c r="P174" s="35"/>
    </row>
    <row r="175" spans="2:16">
      <c r="B175" s="28"/>
      <c r="C175" s="196"/>
      <c r="D175" s="47"/>
      <c r="E175" s="28"/>
      <c r="F175" s="215"/>
      <c r="G175" s="215"/>
      <c r="H175" s="2"/>
      <c r="I175" s="19"/>
      <c r="K175" s="35"/>
      <c r="M175" s="35"/>
      <c r="N175" s="35"/>
      <c r="O175" s="35"/>
      <c r="P175" s="35"/>
    </row>
    <row r="176" spans="2:16">
      <c r="B176" s="28"/>
      <c r="C176" s="196"/>
      <c r="D176" s="47"/>
      <c r="E176" s="28"/>
      <c r="F176" s="215"/>
      <c r="G176" s="215"/>
      <c r="H176" s="2"/>
      <c r="I176" s="19"/>
      <c r="K176" s="35"/>
      <c r="M176" s="35"/>
      <c r="N176" s="35"/>
      <c r="O176" s="35"/>
      <c r="P176" s="35"/>
    </row>
    <row r="177" spans="2:16">
      <c r="B177" s="28"/>
      <c r="C177" s="196"/>
      <c r="D177" s="47"/>
      <c r="E177" s="28"/>
      <c r="F177" s="215"/>
      <c r="G177" s="215"/>
      <c r="H177" s="2"/>
      <c r="I177" s="19"/>
      <c r="K177" s="35"/>
      <c r="M177" s="35"/>
      <c r="N177" s="35"/>
      <c r="O177" s="35"/>
      <c r="P177" s="35"/>
    </row>
    <row r="178" spans="2:16">
      <c r="B178" s="28"/>
      <c r="C178" s="196"/>
      <c r="D178" s="47"/>
      <c r="E178" s="28"/>
      <c r="F178" s="215"/>
      <c r="G178" s="215"/>
      <c r="H178" s="2"/>
      <c r="I178" s="19"/>
      <c r="K178" s="35"/>
      <c r="M178" s="35"/>
      <c r="N178" s="35"/>
      <c r="O178" s="35"/>
      <c r="P178" s="35"/>
    </row>
    <row r="179" spans="2:16">
      <c r="B179" s="28"/>
      <c r="C179" s="196"/>
      <c r="D179" s="47"/>
      <c r="E179" s="28"/>
      <c r="F179" s="215"/>
      <c r="G179" s="215"/>
      <c r="H179" s="2"/>
      <c r="I179" s="19"/>
      <c r="K179" s="35"/>
      <c r="M179" s="35"/>
      <c r="N179" s="35"/>
      <c r="O179" s="35"/>
      <c r="P179" s="35"/>
    </row>
    <row r="180" spans="2:16">
      <c r="B180" s="28"/>
      <c r="C180" s="196"/>
      <c r="D180" s="47"/>
      <c r="E180" s="28"/>
      <c r="F180" s="215"/>
      <c r="G180" s="215"/>
      <c r="H180" s="2"/>
      <c r="I180" s="19"/>
      <c r="K180" s="35"/>
      <c r="M180" s="35"/>
      <c r="N180" s="35"/>
      <c r="O180" s="35"/>
      <c r="P180" s="35"/>
    </row>
    <row r="181" spans="2:16">
      <c r="B181" s="28"/>
      <c r="C181" s="196"/>
      <c r="D181" s="47"/>
      <c r="E181" s="28"/>
      <c r="F181" s="215"/>
      <c r="G181" s="215"/>
      <c r="H181" s="2"/>
      <c r="I181" s="19"/>
      <c r="K181" s="35"/>
      <c r="M181" s="35"/>
      <c r="N181" s="35"/>
      <c r="O181" s="35"/>
      <c r="P181" s="35"/>
    </row>
    <row r="182" spans="2:16">
      <c r="B182" s="28"/>
      <c r="C182" s="196"/>
      <c r="D182" s="47"/>
      <c r="E182" s="28"/>
      <c r="F182" s="215"/>
      <c r="G182" s="215"/>
      <c r="H182" s="2"/>
      <c r="I182" s="19"/>
      <c r="K182" s="35"/>
      <c r="M182" s="35"/>
      <c r="N182" s="35"/>
      <c r="O182" s="35"/>
      <c r="P182" s="35"/>
    </row>
    <row r="183" spans="2:16">
      <c r="B183" s="28"/>
      <c r="C183" s="196"/>
      <c r="D183" s="47"/>
      <c r="E183" s="28"/>
      <c r="F183" s="215"/>
      <c r="G183" s="215"/>
      <c r="H183" s="2"/>
      <c r="I183" s="19"/>
      <c r="K183" s="35"/>
      <c r="M183" s="35"/>
      <c r="N183" s="35"/>
      <c r="O183" s="35"/>
      <c r="P183" s="35"/>
    </row>
    <row r="184" spans="2:16">
      <c r="B184" s="28"/>
      <c r="C184" s="196"/>
      <c r="D184" s="47"/>
      <c r="E184" s="28"/>
      <c r="F184" s="215"/>
      <c r="G184" s="215"/>
      <c r="H184" s="2"/>
      <c r="I184" s="19"/>
      <c r="K184" s="35"/>
      <c r="M184" s="35"/>
      <c r="N184" s="35"/>
      <c r="O184" s="35"/>
      <c r="P184" s="35"/>
    </row>
    <row r="185" spans="2:16">
      <c r="B185" s="28"/>
      <c r="C185" s="196"/>
      <c r="D185" s="47"/>
      <c r="E185" s="28"/>
      <c r="F185" s="215"/>
      <c r="G185" s="215"/>
      <c r="H185" s="2"/>
      <c r="I185" s="19"/>
      <c r="K185" s="35"/>
      <c r="M185" s="35"/>
      <c r="N185" s="35"/>
      <c r="O185" s="35"/>
      <c r="P185" s="35"/>
    </row>
    <row r="186" spans="2:16">
      <c r="B186" s="28"/>
      <c r="C186" s="196"/>
      <c r="D186" s="47"/>
      <c r="E186" s="28"/>
      <c r="F186" s="215"/>
      <c r="G186" s="215"/>
      <c r="H186" s="2"/>
      <c r="I186" s="19"/>
      <c r="K186" s="35"/>
      <c r="M186" s="35"/>
      <c r="N186" s="35"/>
      <c r="O186" s="35"/>
      <c r="P186" s="35"/>
    </row>
    <row r="187" spans="2:16">
      <c r="B187" s="28"/>
      <c r="C187" s="196"/>
      <c r="D187" s="47"/>
      <c r="E187" s="28"/>
      <c r="F187" s="215"/>
      <c r="G187" s="215"/>
      <c r="H187" s="2"/>
      <c r="I187" s="19"/>
      <c r="K187" s="35"/>
      <c r="M187" s="35"/>
      <c r="N187" s="35"/>
      <c r="O187" s="35"/>
      <c r="P187" s="35"/>
    </row>
    <row r="188" spans="2:16">
      <c r="B188" s="28"/>
      <c r="C188" s="196"/>
      <c r="D188" s="47"/>
      <c r="E188" s="28"/>
      <c r="F188" s="215"/>
      <c r="G188" s="215"/>
      <c r="H188" s="2"/>
      <c r="I188" s="19"/>
      <c r="K188" s="35"/>
      <c r="M188" s="35"/>
      <c r="N188" s="35"/>
      <c r="O188" s="35"/>
      <c r="P188" s="35"/>
    </row>
    <row r="189" spans="2:16">
      <c r="B189" s="28"/>
      <c r="C189" s="196"/>
      <c r="D189" s="47"/>
      <c r="E189" s="28"/>
      <c r="F189" s="215"/>
      <c r="G189" s="215"/>
      <c r="H189" s="2"/>
      <c r="I189" s="19"/>
      <c r="K189" s="35"/>
      <c r="M189" s="35"/>
      <c r="N189" s="35"/>
      <c r="O189" s="35"/>
      <c r="P189" s="35"/>
    </row>
    <row r="190" spans="2:16">
      <c r="B190" s="28"/>
      <c r="C190" s="196"/>
      <c r="D190" s="47"/>
      <c r="E190" s="28"/>
      <c r="F190" s="215"/>
      <c r="G190" s="215"/>
      <c r="H190" s="2"/>
      <c r="I190" s="19"/>
      <c r="K190" s="35"/>
      <c r="M190" s="35"/>
      <c r="N190" s="35"/>
      <c r="O190" s="35"/>
      <c r="P190" s="35"/>
    </row>
    <row r="191" spans="2:16">
      <c r="B191" s="28"/>
      <c r="C191" s="196"/>
      <c r="D191" s="47"/>
      <c r="E191" s="28"/>
      <c r="F191" s="215"/>
      <c r="G191" s="215"/>
      <c r="H191" s="2"/>
      <c r="I191" s="19"/>
      <c r="K191" s="35"/>
      <c r="M191" s="35"/>
      <c r="N191" s="35"/>
      <c r="O191" s="35"/>
      <c r="P191" s="35"/>
    </row>
    <row r="192" spans="2:16">
      <c r="B192" s="28"/>
      <c r="C192" s="196"/>
      <c r="D192" s="47"/>
      <c r="E192" s="28"/>
      <c r="F192" s="215"/>
      <c r="G192" s="215"/>
      <c r="H192" s="2"/>
      <c r="I192" s="19"/>
      <c r="K192" s="35"/>
      <c r="M192" s="35"/>
      <c r="N192" s="35"/>
      <c r="O192" s="35"/>
      <c r="P192" s="35"/>
    </row>
    <row r="193" spans="2:16">
      <c r="B193" s="28"/>
      <c r="C193" s="196"/>
      <c r="D193" s="47"/>
      <c r="E193" s="28"/>
      <c r="F193" s="215"/>
      <c r="G193" s="215"/>
      <c r="H193" s="2"/>
      <c r="I193" s="19"/>
      <c r="K193" s="35"/>
      <c r="M193" s="35"/>
      <c r="N193" s="35"/>
      <c r="O193" s="35"/>
      <c r="P193" s="35"/>
    </row>
    <row r="194" spans="2:16">
      <c r="B194" s="28"/>
      <c r="C194" s="196"/>
      <c r="D194" s="47"/>
      <c r="E194" s="28"/>
      <c r="F194" s="215"/>
      <c r="G194" s="215"/>
      <c r="H194" s="2"/>
      <c r="I194" s="19"/>
      <c r="K194" s="35"/>
      <c r="M194" s="35"/>
      <c r="N194" s="35"/>
      <c r="O194" s="35"/>
      <c r="P194" s="35"/>
    </row>
    <row r="195" spans="2:16">
      <c r="B195" s="28"/>
      <c r="C195" s="196"/>
      <c r="D195" s="47"/>
      <c r="E195" s="28"/>
      <c r="F195" s="215"/>
      <c r="G195" s="215"/>
      <c r="H195" s="2"/>
      <c r="I195" s="19"/>
      <c r="K195" s="35"/>
      <c r="M195" s="35"/>
      <c r="N195" s="35"/>
      <c r="O195" s="35"/>
      <c r="P195" s="35"/>
    </row>
    <row r="196" spans="2:16">
      <c r="B196" s="28"/>
      <c r="C196" s="196"/>
      <c r="D196" s="47"/>
      <c r="E196" s="28"/>
      <c r="F196" s="215"/>
      <c r="G196" s="215"/>
      <c r="H196" s="2"/>
      <c r="I196" s="19"/>
      <c r="K196" s="35"/>
      <c r="M196" s="35"/>
      <c r="N196" s="35"/>
      <c r="O196" s="35"/>
      <c r="P196" s="35"/>
    </row>
    <row r="197" spans="2:16">
      <c r="B197" s="28"/>
      <c r="C197" s="196"/>
      <c r="D197" s="47"/>
      <c r="E197" s="28"/>
      <c r="F197" s="215"/>
      <c r="G197" s="215"/>
      <c r="H197" s="2"/>
      <c r="I197" s="19"/>
      <c r="K197" s="35"/>
      <c r="M197" s="35"/>
      <c r="N197" s="35"/>
      <c r="O197" s="35"/>
      <c r="P197" s="35"/>
    </row>
    <row r="198" spans="2:16">
      <c r="D198" s="47"/>
      <c r="E198" s="143"/>
      <c r="H198" s="2"/>
      <c r="I198" s="30"/>
    </row>
    <row r="199" spans="2:16">
      <c r="D199" s="47"/>
      <c r="E199" s="143"/>
      <c r="H199" s="2"/>
      <c r="I199" s="30"/>
    </row>
    <row r="200" spans="2:16">
      <c r="D200" s="47"/>
      <c r="E200" s="143"/>
      <c r="H200" s="2"/>
      <c r="I200" s="30"/>
    </row>
    <row r="201" spans="2:16">
      <c r="D201" s="47"/>
      <c r="E201" s="143"/>
      <c r="H201" s="2"/>
      <c r="I201" s="30"/>
    </row>
    <row r="202" spans="2:16">
      <c r="D202" s="47"/>
      <c r="E202" s="143"/>
      <c r="H202" s="2"/>
      <c r="I202" s="30"/>
    </row>
    <row r="203" spans="2:16">
      <c r="D203" s="47"/>
      <c r="E203" s="143"/>
      <c r="H203" s="2"/>
      <c r="I203" s="30"/>
    </row>
    <row r="204" spans="2:16">
      <c r="D204" s="47"/>
      <c r="E204" s="143"/>
      <c r="H204" s="2"/>
      <c r="I204" s="30"/>
    </row>
    <row r="205" spans="2:16">
      <c r="D205" s="47"/>
      <c r="E205" s="143"/>
      <c r="H205" s="2"/>
      <c r="I205" s="30"/>
    </row>
    <row r="206" spans="2:16">
      <c r="D206" s="47"/>
      <c r="E206" s="143"/>
      <c r="H206" s="2"/>
      <c r="I206" s="30"/>
    </row>
    <row r="207" spans="2:16">
      <c r="D207" s="47"/>
      <c r="E207" s="143"/>
      <c r="H207" s="2"/>
      <c r="I207" s="30"/>
    </row>
    <row r="208" spans="2:16">
      <c r="D208" s="47"/>
      <c r="E208" s="143"/>
      <c r="H208" s="2"/>
      <c r="I208" s="30"/>
    </row>
    <row r="209" spans="4:9">
      <c r="D209" s="47"/>
      <c r="E209" s="143"/>
      <c r="H209" s="2"/>
      <c r="I209" s="30"/>
    </row>
    <row r="210" spans="4:9">
      <c r="D210" s="47"/>
      <c r="E210" s="143"/>
      <c r="H210" s="2"/>
      <c r="I210" s="30"/>
    </row>
    <row r="211" spans="4:9">
      <c r="D211" s="47"/>
      <c r="E211" s="143"/>
      <c r="H211" s="2"/>
      <c r="I211" s="30"/>
    </row>
    <row r="212" spans="4:9">
      <c r="D212" s="47"/>
      <c r="E212" s="143"/>
      <c r="H212" s="2"/>
      <c r="I212" s="30"/>
    </row>
    <row r="213" spans="4:9">
      <c r="D213" s="47"/>
      <c r="E213" s="143"/>
      <c r="H213" s="2"/>
      <c r="I213" s="30"/>
    </row>
    <row r="214" spans="4:9">
      <c r="D214" s="47"/>
      <c r="E214" s="143"/>
      <c r="H214" s="2"/>
      <c r="I214" s="30"/>
    </row>
    <row r="215" spans="4:9">
      <c r="D215" s="47"/>
      <c r="E215" s="143"/>
      <c r="H215" s="2"/>
      <c r="I215" s="30"/>
    </row>
    <row r="216" spans="4:9">
      <c r="D216" s="47"/>
      <c r="E216" s="143"/>
      <c r="H216" s="2"/>
      <c r="I216" s="30"/>
    </row>
    <row r="217" spans="4:9">
      <c r="D217" s="47"/>
      <c r="E217" s="143"/>
      <c r="H217" s="2"/>
      <c r="I217" s="30"/>
    </row>
    <row r="218" spans="4:9">
      <c r="D218" s="47"/>
      <c r="E218" s="143"/>
      <c r="H218" s="2"/>
      <c r="I218" s="30"/>
    </row>
    <row r="219" spans="4:9">
      <c r="D219" s="47"/>
      <c r="E219" s="143"/>
      <c r="H219" s="2"/>
      <c r="I219" s="30"/>
    </row>
    <row r="220" spans="4:9">
      <c r="D220" s="47"/>
      <c r="E220" s="143"/>
      <c r="H220" s="2"/>
      <c r="I220" s="30"/>
    </row>
    <row r="221" spans="4:9">
      <c r="D221" s="47"/>
      <c r="E221" s="143"/>
      <c r="H221" s="2"/>
      <c r="I221" s="30"/>
    </row>
    <row r="222" spans="4:9">
      <c r="D222" s="47"/>
      <c r="E222" s="143"/>
      <c r="H222" s="2"/>
      <c r="I222" s="30"/>
    </row>
    <row r="223" spans="4:9">
      <c r="D223" s="47"/>
      <c r="E223" s="143"/>
      <c r="H223" s="2"/>
      <c r="I223" s="30"/>
    </row>
    <row r="224" spans="4:9">
      <c r="D224" s="47"/>
      <c r="E224" s="143"/>
      <c r="H224" s="2"/>
      <c r="I224" s="30"/>
    </row>
    <row r="225" spans="4:9">
      <c r="D225" s="47"/>
      <c r="E225" s="143"/>
      <c r="H225" s="2"/>
      <c r="I225" s="30"/>
    </row>
    <row r="226" spans="4:9">
      <c r="D226" s="47"/>
      <c r="E226" s="143"/>
      <c r="H226" s="2"/>
      <c r="I226" s="30"/>
    </row>
    <row r="227" spans="4:9">
      <c r="D227" s="47"/>
      <c r="E227" s="143"/>
      <c r="H227" s="2"/>
      <c r="I227" s="30"/>
    </row>
    <row r="228" spans="4:9">
      <c r="D228" s="47"/>
      <c r="E228" s="143"/>
      <c r="H228" s="2"/>
      <c r="I228" s="30"/>
    </row>
    <row r="229" spans="4:9">
      <c r="D229" s="47"/>
      <c r="E229" s="143"/>
      <c r="H229" s="2"/>
      <c r="I229" s="30"/>
    </row>
    <row r="230" spans="4:9">
      <c r="D230" s="47"/>
      <c r="E230" s="143"/>
      <c r="H230" s="2"/>
      <c r="I230" s="30"/>
    </row>
    <row r="231" spans="4:9">
      <c r="D231" s="47"/>
      <c r="E231" s="143"/>
      <c r="H231" s="2"/>
      <c r="I231" s="30"/>
    </row>
    <row r="232" spans="4:9">
      <c r="D232" s="47"/>
      <c r="E232" s="143"/>
      <c r="H232" s="2"/>
      <c r="I232" s="30"/>
    </row>
    <row r="233" spans="4:9">
      <c r="D233" s="47"/>
      <c r="E233" s="143"/>
      <c r="H233" s="2"/>
      <c r="I233" s="30"/>
    </row>
    <row r="234" spans="4:9">
      <c r="D234" s="47"/>
      <c r="E234" s="143"/>
      <c r="H234" s="2"/>
      <c r="I234" s="30"/>
    </row>
    <row r="235" spans="4:9">
      <c r="D235" s="47"/>
      <c r="E235" s="143"/>
      <c r="H235" s="2"/>
      <c r="I235" s="30"/>
    </row>
    <row r="236" spans="4:9">
      <c r="D236" s="47"/>
      <c r="E236" s="143"/>
      <c r="H236" s="2"/>
      <c r="I236" s="30"/>
    </row>
    <row r="237" spans="4:9">
      <c r="D237" s="47"/>
      <c r="E237" s="143"/>
      <c r="H237" s="2"/>
      <c r="I237" s="30"/>
    </row>
    <row r="238" spans="4:9">
      <c r="D238" s="47"/>
      <c r="E238" s="143"/>
      <c r="H238" s="2"/>
      <c r="I238" s="30"/>
    </row>
    <row r="239" spans="4:9">
      <c r="D239" s="47"/>
      <c r="E239" s="143"/>
      <c r="H239" s="2"/>
      <c r="I239" s="30"/>
    </row>
    <row r="240" spans="4:9">
      <c r="D240" s="47"/>
      <c r="E240" s="143"/>
      <c r="H240" s="2"/>
      <c r="I240" s="30"/>
    </row>
    <row r="241" spans="4:9">
      <c r="D241" s="47"/>
      <c r="E241" s="143"/>
      <c r="H241" s="2"/>
      <c r="I241" s="30"/>
    </row>
    <row r="242" spans="4:9">
      <c r="D242" s="47"/>
      <c r="E242" s="143"/>
      <c r="H242" s="2"/>
      <c r="I242" s="30"/>
    </row>
    <row r="243" spans="4:9">
      <c r="D243" s="47"/>
      <c r="E243" s="143"/>
      <c r="H243" s="2"/>
      <c r="I243" s="30"/>
    </row>
    <row r="244" spans="4:9">
      <c r="D244" s="47"/>
      <c r="E244" s="143"/>
      <c r="H244" s="2"/>
      <c r="I244" s="30"/>
    </row>
    <row r="245" spans="4:9">
      <c r="D245" s="47"/>
      <c r="E245" s="143"/>
      <c r="H245" s="2"/>
      <c r="I245" s="30"/>
    </row>
    <row r="246" spans="4:9">
      <c r="D246" s="47"/>
      <c r="E246" s="143"/>
      <c r="H246" s="2"/>
      <c r="I246" s="30"/>
    </row>
    <row r="247" spans="4:9">
      <c r="D247" s="47"/>
      <c r="E247" s="143"/>
      <c r="H247" s="2"/>
      <c r="I247" s="30"/>
    </row>
    <row r="248" spans="4:9">
      <c r="D248" s="47"/>
      <c r="E248" s="143"/>
      <c r="H248" s="2"/>
      <c r="I248" s="30"/>
    </row>
    <row r="249" spans="4:9">
      <c r="D249" s="47"/>
      <c r="E249" s="143"/>
      <c r="H249" s="2"/>
      <c r="I249" s="30"/>
    </row>
    <row r="250" spans="4:9">
      <c r="D250" s="47"/>
      <c r="E250" s="143"/>
      <c r="H250" s="2"/>
      <c r="I250" s="30"/>
    </row>
    <row r="251" spans="4:9">
      <c r="D251" s="47"/>
      <c r="E251" s="143"/>
      <c r="H251" s="2"/>
      <c r="I251" s="30"/>
    </row>
    <row r="252" spans="4:9">
      <c r="D252" s="47"/>
      <c r="E252" s="143"/>
      <c r="H252" s="2"/>
      <c r="I252" s="30"/>
    </row>
    <row r="253" spans="4:9">
      <c r="D253" s="47"/>
      <c r="E253" s="143"/>
      <c r="H253" s="2"/>
      <c r="I253" s="30"/>
    </row>
    <row r="254" spans="4:9">
      <c r="D254" s="47"/>
      <c r="E254" s="143"/>
      <c r="H254" s="2"/>
      <c r="I254" s="30"/>
    </row>
    <row r="255" spans="4:9">
      <c r="D255" s="47"/>
      <c r="E255" s="143"/>
      <c r="H255" s="2"/>
      <c r="I255" s="30"/>
    </row>
    <row r="256" spans="4:9">
      <c r="D256" s="47"/>
      <c r="E256" s="143"/>
      <c r="H256" s="2"/>
      <c r="I256" s="30"/>
    </row>
    <row r="257" spans="4:9">
      <c r="D257" s="47"/>
      <c r="E257" s="143"/>
      <c r="H257" s="2"/>
      <c r="I257" s="30"/>
    </row>
    <row r="258" spans="4:9">
      <c r="D258" s="47"/>
      <c r="E258" s="143"/>
      <c r="H258" s="2"/>
      <c r="I258" s="30"/>
    </row>
    <row r="259" spans="4:9">
      <c r="D259" s="47"/>
      <c r="E259" s="143"/>
      <c r="H259" s="2"/>
      <c r="I259" s="30"/>
    </row>
    <row r="260" spans="4:9">
      <c r="D260" s="47"/>
      <c r="E260" s="143"/>
      <c r="H260" s="2"/>
      <c r="I260" s="30"/>
    </row>
    <row r="261" spans="4:9">
      <c r="D261" s="47"/>
      <c r="E261" s="143"/>
      <c r="H261" s="2"/>
      <c r="I261" s="30"/>
    </row>
    <row r="262" spans="4:9">
      <c r="D262" s="47"/>
      <c r="E262" s="143"/>
      <c r="H262" s="2"/>
      <c r="I262" s="30"/>
    </row>
    <row r="263" spans="4:9">
      <c r="D263" s="47"/>
      <c r="E263" s="143"/>
      <c r="H263" s="2"/>
      <c r="I263" s="30"/>
    </row>
    <row r="264" spans="4:9">
      <c r="D264" s="47"/>
      <c r="E264" s="143"/>
      <c r="H264" s="2"/>
      <c r="I264" s="30"/>
    </row>
    <row r="265" spans="4:9">
      <c r="D265" s="47"/>
      <c r="E265" s="143"/>
      <c r="H265" s="2"/>
      <c r="I265" s="30"/>
    </row>
    <row r="266" spans="4:9">
      <c r="D266" s="47"/>
      <c r="E266" s="143"/>
      <c r="H266" s="2"/>
      <c r="I266" s="30"/>
    </row>
    <row r="267" spans="4:9">
      <c r="D267" s="47"/>
      <c r="E267" s="143"/>
      <c r="H267" s="2"/>
      <c r="I267" s="30"/>
    </row>
    <row r="268" spans="4:9">
      <c r="D268" s="47"/>
      <c r="E268" s="143"/>
      <c r="H268" s="2"/>
      <c r="I268" s="30"/>
    </row>
    <row r="269" spans="4:9">
      <c r="D269" s="47"/>
      <c r="E269" s="143"/>
      <c r="H269" s="2"/>
      <c r="I269" s="30"/>
    </row>
    <row r="270" spans="4:9">
      <c r="D270" s="47"/>
      <c r="E270" s="143"/>
      <c r="H270" s="2"/>
      <c r="I270" s="30"/>
    </row>
    <row r="271" spans="4:9">
      <c r="D271" s="47"/>
      <c r="E271" s="143"/>
      <c r="H271" s="2"/>
      <c r="I271" s="30"/>
    </row>
    <row r="272" spans="4:9">
      <c r="D272" s="47"/>
      <c r="E272" s="143"/>
      <c r="H272" s="2"/>
      <c r="I272" s="30"/>
    </row>
    <row r="273" spans="4:9">
      <c r="D273" s="47"/>
      <c r="E273" s="143"/>
      <c r="H273" s="2"/>
      <c r="I273" s="30"/>
    </row>
    <row r="274" spans="4:9">
      <c r="D274" s="47"/>
      <c r="E274" s="143"/>
      <c r="H274" s="2"/>
      <c r="I274" s="30"/>
    </row>
    <row r="275" spans="4:9">
      <c r="D275" s="47"/>
      <c r="E275" s="143"/>
      <c r="H275" s="2"/>
      <c r="I275" s="30"/>
    </row>
    <row r="276" spans="4:9">
      <c r="D276" s="47"/>
      <c r="E276" s="143"/>
      <c r="H276" s="2"/>
      <c r="I276" s="30"/>
    </row>
    <row r="277" spans="4:9">
      <c r="D277" s="47"/>
      <c r="E277" s="143"/>
      <c r="H277" s="2"/>
      <c r="I277" s="30"/>
    </row>
    <row r="278" spans="4:9">
      <c r="D278" s="47"/>
      <c r="E278" s="143"/>
      <c r="H278" s="2"/>
      <c r="I278" s="30"/>
    </row>
    <row r="279" spans="4:9">
      <c r="D279" s="47"/>
      <c r="E279" s="143"/>
      <c r="H279" s="2"/>
      <c r="I279" s="30"/>
    </row>
    <row r="280" spans="4:9">
      <c r="D280" s="47"/>
      <c r="E280" s="143"/>
      <c r="H280" s="2"/>
      <c r="I280" s="30"/>
    </row>
    <row r="281" spans="4:9">
      <c r="D281" s="47"/>
      <c r="E281" s="143"/>
      <c r="H281" s="2"/>
      <c r="I281" s="30"/>
    </row>
    <row r="282" spans="4:9">
      <c r="D282" s="47"/>
      <c r="E282" s="143"/>
      <c r="H282" s="2"/>
      <c r="I282" s="30"/>
    </row>
    <row r="283" spans="4:9">
      <c r="D283" s="47"/>
      <c r="E283" s="143"/>
      <c r="H283" s="2"/>
      <c r="I283" s="30"/>
    </row>
    <row r="284" spans="4:9">
      <c r="D284" s="47"/>
      <c r="E284" s="143"/>
      <c r="H284" s="2"/>
      <c r="I284" s="30"/>
    </row>
    <row r="285" spans="4:9">
      <c r="D285" s="47"/>
      <c r="E285" s="143"/>
      <c r="H285" s="2"/>
      <c r="I285" s="30"/>
    </row>
    <row r="286" spans="4:9">
      <c r="D286" s="47"/>
      <c r="E286" s="143"/>
      <c r="H286" s="2"/>
      <c r="I286" s="30"/>
    </row>
    <row r="287" spans="4:9">
      <c r="D287" s="47"/>
      <c r="E287" s="143"/>
      <c r="H287" s="2"/>
      <c r="I287" s="30"/>
    </row>
    <row r="288" spans="4:9">
      <c r="D288" s="47"/>
      <c r="E288" s="143"/>
      <c r="H288" s="2"/>
      <c r="I288" s="30"/>
    </row>
    <row r="289" spans="4:9">
      <c r="D289" s="47"/>
      <c r="E289" s="143"/>
      <c r="H289" s="2"/>
      <c r="I289" s="30"/>
    </row>
    <row r="290" spans="4:9">
      <c r="D290" s="47"/>
      <c r="E290" s="143"/>
      <c r="H290" s="2"/>
      <c r="I290" s="30"/>
    </row>
    <row r="291" spans="4:9">
      <c r="D291" s="47"/>
      <c r="E291" s="143"/>
      <c r="H291" s="2"/>
      <c r="I291" s="30"/>
    </row>
    <row r="292" spans="4:9">
      <c r="D292" s="47"/>
      <c r="E292" s="143"/>
      <c r="H292" s="2"/>
      <c r="I292" s="30"/>
    </row>
    <row r="293" spans="4:9">
      <c r="D293" s="47"/>
      <c r="E293" s="143"/>
      <c r="H293" s="2"/>
      <c r="I293" s="30"/>
    </row>
    <row r="294" spans="4:9">
      <c r="D294" s="47"/>
      <c r="E294" s="143"/>
      <c r="H294" s="2"/>
      <c r="I294" s="30"/>
    </row>
    <row r="295" spans="4:9">
      <c r="D295" s="47"/>
      <c r="E295" s="143"/>
      <c r="H295" s="2"/>
      <c r="I295" s="30"/>
    </row>
    <row r="296" spans="4:9">
      <c r="D296" s="47"/>
      <c r="E296" s="143"/>
      <c r="H296" s="2"/>
      <c r="I296" s="30"/>
    </row>
    <row r="297" spans="4:9">
      <c r="D297" s="47"/>
      <c r="E297" s="143"/>
      <c r="H297" s="2"/>
      <c r="I297" s="30"/>
    </row>
    <row r="298" spans="4:9">
      <c r="D298" s="47"/>
      <c r="E298" s="143"/>
      <c r="H298" s="2"/>
      <c r="I298" s="30"/>
    </row>
    <row r="299" spans="4:9">
      <c r="D299" s="47"/>
      <c r="E299" s="143"/>
      <c r="H299" s="2"/>
      <c r="I299" s="30"/>
    </row>
    <row r="300" spans="4:9">
      <c r="D300" s="47"/>
      <c r="E300" s="143"/>
      <c r="H300" s="2"/>
      <c r="I300" s="30"/>
    </row>
    <row r="301" spans="4:9">
      <c r="D301" s="47"/>
      <c r="E301" s="143"/>
      <c r="H301" s="2"/>
      <c r="I301" s="30"/>
    </row>
    <row r="302" spans="4:9">
      <c r="D302" s="47"/>
      <c r="E302" s="143"/>
      <c r="H302" s="2"/>
      <c r="I302" s="30"/>
    </row>
    <row r="303" spans="4:9">
      <c r="D303" s="47"/>
      <c r="E303" s="143"/>
      <c r="H303" s="2"/>
      <c r="I303" s="30"/>
    </row>
    <row r="304" spans="4:9">
      <c r="D304" s="47"/>
      <c r="E304" s="143"/>
      <c r="H304" s="2"/>
      <c r="I304" s="30"/>
    </row>
    <row r="305" spans="4:9">
      <c r="D305" s="47"/>
      <c r="E305" s="143"/>
      <c r="H305" s="2"/>
      <c r="I305" s="30"/>
    </row>
    <row r="306" spans="4:9">
      <c r="D306" s="47"/>
      <c r="E306" s="143"/>
      <c r="H306" s="2"/>
      <c r="I306" s="30"/>
    </row>
    <row r="307" spans="4:9">
      <c r="D307" s="47"/>
      <c r="E307" s="143"/>
      <c r="H307" s="2"/>
      <c r="I307" s="30"/>
    </row>
    <row r="308" spans="4:9">
      <c r="D308" s="47"/>
      <c r="E308" s="143"/>
      <c r="H308" s="2"/>
      <c r="I308" s="30"/>
    </row>
    <row r="309" spans="4:9">
      <c r="D309" s="47"/>
      <c r="E309" s="143"/>
      <c r="H309" s="2"/>
      <c r="I309" s="30"/>
    </row>
    <row r="310" spans="4:9">
      <c r="D310" s="47"/>
      <c r="E310" s="143"/>
      <c r="H310" s="2"/>
      <c r="I310" s="30"/>
    </row>
    <row r="311" spans="4:9">
      <c r="D311" s="47"/>
      <c r="E311" s="143"/>
      <c r="H311" s="2"/>
      <c r="I311" s="30"/>
    </row>
    <row r="312" spans="4:9">
      <c r="D312" s="47"/>
      <c r="E312" s="143"/>
      <c r="H312" s="2"/>
      <c r="I312" s="30"/>
    </row>
    <row r="313" spans="4:9">
      <c r="D313" s="47"/>
      <c r="E313" s="143"/>
      <c r="H313" s="2"/>
      <c r="I313" s="30"/>
    </row>
    <row r="314" spans="4:9">
      <c r="D314" s="47"/>
      <c r="E314" s="143"/>
      <c r="H314" s="2"/>
      <c r="I314" s="30"/>
    </row>
    <row r="315" spans="4:9">
      <c r="D315" s="47"/>
      <c r="E315" s="143"/>
      <c r="H315" s="2"/>
      <c r="I315" s="30"/>
    </row>
    <row r="316" spans="4:9">
      <c r="D316" s="47"/>
      <c r="E316" s="143"/>
      <c r="H316" s="2"/>
      <c r="I316" s="30"/>
    </row>
    <row r="317" spans="4:9">
      <c r="D317" s="47"/>
      <c r="E317" s="143"/>
      <c r="H317" s="2"/>
      <c r="I317" s="30"/>
    </row>
    <row r="318" spans="4:9">
      <c r="D318" s="47"/>
      <c r="E318" s="143"/>
      <c r="H318" s="2"/>
      <c r="I318" s="30"/>
    </row>
    <row r="319" spans="4:9">
      <c r="D319" s="47"/>
      <c r="E319" s="143"/>
      <c r="H319" s="2"/>
      <c r="I319" s="30"/>
    </row>
    <row r="320" spans="4:9">
      <c r="D320" s="47"/>
      <c r="E320" s="143"/>
      <c r="H320" s="2"/>
      <c r="I320" s="30"/>
    </row>
    <row r="321" spans="4:9">
      <c r="D321" s="47"/>
      <c r="E321" s="143"/>
      <c r="H321" s="2"/>
      <c r="I321" s="30"/>
    </row>
    <row r="322" spans="4:9">
      <c r="D322" s="47"/>
      <c r="E322" s="143"/>
      <c r="H322" s="2"/>
      <c r="I322" s="30"/>
    </row>
    <row r="323" spans="4:9">
      <c r="D323" s="47"/>
      <c r="E323" s="143"/>
      <c r="H323" s="2"/>
      <c r="I323" s="30"/>
    </row>
    <row r="324" spans="4:9">
      <c r="D324" s="47"/>
      <c r="E324" s="143"/>
      <c r="H324" s="2"/>
      <c r="I324" s="30"/>
    </row>
    <row r="325" spans="4:9">
      <c r="D325" s="47"/>
      <c r="E325" s="143"/>
      <c r="H325" s="2"/>
      <c r="I325" s="30"/>
    </row>
    <row r="326" spans="4:9">
      <c r="D326" s="47"/>
      <c r="E326" s="143"/>
      <c r="H326" s="2"/>
      <c r="I326" s="30"/>
    </row>
    <row r="327" spans="4:9">
      <c r="D327" s="47"/>
      <c r="E327" s="143"/>
      <c r="H327" s="2"/>
      <c r="I327" s="30"/>
    </row>
    <row r="328" spans="4:9">
      <c r="D328" s="47"/>
      <c r="E328" s="143"/>
      <c r="H328" s="2"/>
      <c r="I328" s="30"/>
    </row>
    <row r="329" spans="4:9">
      <c r="D329" s="47"/>
      <c r="E329" s="143"/>
      <c r="H329" s="2"/>
      <c r="I329" s="30"/>
    </row>
    <row r="330" spans="4:9">
      <c r="D330" s="47"/>
      <c r="E330" s="143"/>
      <c r="H330" s="2"/>
      <c r="I330" s="30"/>
    </row>
    <row r="331" spans="4:9">
      <c r="D331" s="47"/>
      <c r="E331" s="143"/>
      <c r="H331" s="2"/>
      <c r="I331" s="30"/>
    </row>
    <row r="332" spans="4:9">
      <c r="D332" s="47"/>
      <c r="E332" s="143"/>
      <c r="H332" s="2"/>
      <c r="I332" s="30"/>
    </row>
    <row r="333" spans="4:9">
      <c r="D333" s="47"/>
      <c r="E333" s="143"/>
      <c r="H333" s="2"/>
      <c r="I333" s="30"/>
    </row>
    <row r="334" spans="4:9">
      <c r="D334" s="47"/>
      <c r="E334" s="143"/>
      <c r="H334" s="2"/>
      <c r="I334" s="30"/>
    </row>
    <row r="335" spans="4:9">
      <c r="D335" s="47"/>
      <c r="E335" s="143"/>
      <c r="H335" s="2"/>
      <c r="I335" s="30"/>
    </row>
    <row r="336" spans="4:9">
      <c r="D336" s="47"/>
      <c r="E336" s="143"/>
      <c r="H336" s="2"/>
      <c r="I336" s="30"/>
    </row>
    <row r="337" spans="4:9">
      <c r="D337" s="47"/>
      <c r="E337" s="143"/>
      <c r="H337" s="2"/>
      <c r="I337" s="30"/>
    </row>
    <row r="338" spans="4:9">
      <c r="D338" s="47"/>
      <c r="E338" s="143"/>
      <c r="H338" s="2"/>
      <c r="I338" s="30"/>
    </row>
    <row r="339" spans="4:9">
      <c r="D339" s="47"/>
      <c r="E339" s="143"/>
      <c r="H339" s="2"/>
      <c r="I339" s="30"/>
    </row>
    <row r="340" spans="4:9">
      <c r="D340" s="47"/>
      <c r="E340" s="143"/>
      <c r="H340" s="2"/>
      <c r="I340" s="30"/>
    </row>
    <row r="341" spans="4:9">
      <c r="D341" s="47"/>
      <c r="E341" s="143"/>
      <c r="H341" s="2"/>
      <c r="I341" s="30"/>
    </row>
    <row r="342" spans="4:9">
      <c r="D342" s="47"/>
      <c r="E342" s="143"/>
      <c r="H342" s="2"/>
      <c r="I342" s="30"/>
    </row>
    <row r="343" spans="4:9">
      <c r="D343" s="47"/>
      <c r="E343" s="143"/>
      <c r="H343" s="2"/>
      <c r="I343" s="30"/>
    </row>
    <row r="344" spans="4:9">
      <c r="D344" s="47"/>
      <c r="E344" s="143"/>
      <c r="H344" s="2"/>
      <c r="I344" s="30"/>
    </row>
    <row r="345" spans="4:9">
      <c r="D345" s="47"/>
      <c r="E345" s="143"/>
      <c r="H345" s="2"/>
      <c r="I345" s="30"/>
    </row>
    <row r="346" spans="4:9">
      <c r="D346" s="47"/>
      <c r="E346" s="143"/>
      <c r="H346" s="2"/>
      <c r="I346" s="30"/>
    </row>
    <row r="347" spans="4:9">
      <c r="D347" s="47"/>
      <c r="E347" s="143"/>
      <c r="H347" s="2"/>
      <c r="I347" s="30"/>
    </row>
    <row r="348" spans="4:9">
      <c r="D348" s="47"/>
      <c r="E348" s="143"/>
      <c r="H348" s="2"/>
      <c r="I348" s="30"/>
    </row>
    <row r="349" spans="4:9">
      <c r="D349" s="47"/>
      <c r="E349" s="143"/>
      <c r="H349" s="2"/>
      <c r="I349" s="30"/>
    </row>
    <row r="350" spans="4:9">
      <c r="D350" s="47"/>
      <c r="E350" s="143"/>
      <c r="H350" s="2"/>
      <c r="I350" s="30"/>
    </row>
    <row r="351" spans="4:9">
      <c r="D351" s="47"/>
      <c r="E351" s="143"/>
      <c r="H351" s="2"/>
      <c r="I351" s="30"/>
    </row>
    <row r="352" spans="4:9">
      <c r="D352" s="47"/>
      <c r="E352" s="143"/>
      <c r="H352" s="2"/>
      <c r="I352" s="30"/>
    </row>
    <row r="353" spans="4:9">
      <c r="D353" s="47"/>
      <c r="E353" s="143"/>
      <c r="H353" s="2"/>
      <c r="I353" s="30"/>
    </row>
    <row r="354" spans="4:9">
      <c r="D354" s="47"/>
      <c r="E354" s="143"/>
      <c r="H354" s="2"/>
      <c r="I354" s="30"/>
    </row>
    <row r="355" spans="4:9">
      <c r="D355" s="47"/>
      <c r="E355" s="143"/>
      <c r="H355" s="2"/>
      <c r="I355" s="30"/>
    </row>
    <row r="356" spans="4:9">
      <c r="D356" s="47"/>
      <c r="E356" s="143"/>
      <c r="H356" s="2"/>
      <c r="I356" s="30"/>
    </row>
    <row r="357" spans="4:9">
      <c r="D357" s="47"/>
      <c r="E357" s="143"/>
      <c r="H357" s="2"/>
      <c r="I357" s="30"/>
    </row>
    <row r="358" spans="4:9">
      <c r="D358" s="47"/>
      <c r="E358" s="143"/>
      <c r="H358" s="2"/>
      <c r="I358" s="30"/>
    </row>
    <row r="359" spans="4:9">
      <c r="D359" s="47"/>
      <c r="E359" s="143"/>
      <c r="H359" s="2"/>
      <c r="I359" s="30"/>
    </row>
    <row r="360" spans="4:9">
      <c r="D360" s="47"/>
      <c r="E360" s="143"/>
      <c r="H360" s="2"/>
      <c r="I360" s="30"/>
    </row>
    <row r="361" spans="4:9">
      <c r="D361" s="47"/>
      <c r="E361" s="143"/>
      <c r="H361" s="2"/>
      <c r="I361" s="30"/>
    </row>
    <row r="362" spans="4:9">
      <c r="D362" s="47"/>
      <c r="E362" s="143"/>
      <c r="H362" s="2"/>
      <c r="I362" s="30"/>
    </row>
    <row r="363" spans="4:9">
      <c r="D363" s="47"/>
      <c r="E363" s="143"/>
      <c r="H363" s="2"/>
      <c r="I363" s="30"/>
    </row>
    <row r="364" spans="4:9">
      <c r="D364" s="47"/>
      <c r="E364" s="143"/>
      <c r="H364" s="2"/>
      <c r="I364" s="30"/>
    </row>
    <row r="365" spans="4:9">
      <c r="D365" s="47"/>
      <c r="E365" s="143"/>
      <c r="H365" s="2"/>
      <c r="I365" s="30"/>
    </row>
    <row r="366" spans="4:9">
      <c r="D366" s="47"/>
      <c r="E366" s="143"/>
      <c r="H366" s="2"/>
      <c r="I366" s="30"/>
    </row>
    <row r="367" spans="4:9">
      <c r="D367" s="47"/>
      <c r="E367" s="143"/>
      <c r="H367" s="2"/>
      <c r="I367" s="30"/>
    </row>
    <row r="368" spans="4:9">
      <c r="D368" s="47"/>
      <c r="E368" s="143"/>
      <c r="H368" s="2"/>
      <c r="I368" s="30"/>
    </row>
    <row r="369" spans="4:9">
      <c r="D369" s="47"/>
      <c r="E369" s="143"/>
      <c r="H369" s="2"/>
      <c r="I369" s="30"/>
    </row>
    <row r="370" spans="4:9">
      <c r="D370" s="47"/>
      <c r="E370" s="143"/>
      <c r="H370" s="2"/>
      <c r="I370" s="30"/>
    </row>
    <row r="371" spans="4:9">
      <c r="D371" s="47"/>
      <c r="E371" s="143"/>
      <c r="H371" s="2"/>
      <c r="I371" s="30"/>
    </row>
    <row r="372" spans="4:9">
      <c r="D372" s="47"/>
      <c r="E372" s="143"/>
      <c r="H372" s="2"/>
      <c r="I372" s="30"/>
    </row>
    <row r="373" spans="4:9">
      <c r="D373" s="47"/>
      <c r="E373" s="143"/>
      <c r="H373" s="2"/>
      <c r="I373" s="30"/>
    </row>
    <row r="374" spans="4:9">
      <c r="D374" s="47"/>
      <c r="E374" s="143"/>
      <c r="H374" s="2"/>
      <c r="I374" s="30"/>
    </row>
    <row r="375" spans="4:9">
      <c r="D375" s="47"/>
      <c r="E375" s="143"/>
      <c r="H375" s="2"/>
      <c r="I375" s="30"/>
    </row>
    <row r="376" spans="4:9">
      <c r="D376" s="47"/>
      <c r="E376" s="143"/>
      <c r="H376" s="2"/>
      <c r="I376" s="30"/>
    </row>
    <row r="377" spans="4:9">
      <c r="D377" s="47"/>
      <c r="E377" s="143"/>
      <c r="H377" s="2"/>
      <c r="I377" s="30"/>
    </row>
    <row r="378" spans="4:9">
      <c r="D378" s="47"/>
      <c r="E378" s="143"/>
      <c r="H378" s="2"/>
      <c r="I378" s="30"/>
    </row>
    <row r="379" spans="4:9">
      <c r="D379" s="47"/>
      <c r="E379" s="143"/>
      <c r="H379" s="2"/>
      <c r="I379" s="30"/>
    </row>
    <row r="380" spans="4:9">
      <c r="D380" s="47"/>
      <c r="E380" s="143"/>
      <c r="H380" s="2"/>
      <c r="I380" s="30"/>
    </row>
    <row r="381" spans="4:9">
      <c r="D381" s="47"/>
      <c r="E381" s="143"/>
      <c r="H381" s="2"/>
      <c r="I381" s="30"/>
    </row>
    <row r="382" spans="4:9">
      <c r="D382" s="47"/>
      <c r="E382" s="143"/>
      <c r="H382" s="2"/>
      <c r="I382" s="30"/>
    </row>
    <row r="383" spans="4:9">
      <c r="D383" s="47"/>
      <c r="E383" s="143"/>
      <c r="H383" s="2"/>
      <c r="I383" s="30"/>
    </row>
    <row r="384" spans="4:9">
      <c r="D384" s="47"/>
      <c r="E384" s="143"/>
      <c r="H384" s="2"/>
      <c r="I384" s="30"/>
    </row>
    <row r="385" spans="4:9">
      <c r="D385" s="47"/>
      <c r="E385" s="143"/>
      <c r="H385" s="2"/>
      <c r="I385" s="30"/>
    </row>
    <row r="386" spans="4:9">
      <c r="D386" s="47"/>
      <c r="E386" s="143"/>
      <c r="H386" s="2"/>
      <c r="I386" s="30"/>
    </row>
    <row r="387" spans="4:9">
      <c r="D387" s="47"/>
      <c r="E387" s="143"/>
      <c r="H387" s="2"/>
      <c r="I387" s="30"/>
    </row>
    <row r="388" spans="4:9">
      <c r="D388" s="47"/>
      <c r="E388" s="143"/>
      <c r="H388" s="2"/>
      <c r="I388" s="30"/>
    </row>
    <row r="389" spans="4:9">
      <c r="D389" s="47"/>
      <c r="E389" s="143"/>
      <c r="H389" s="2"/>
      <c r="I389" s="30"/>
    </row>
    <row r="390" spans="4:9">
      <c r="D390" s="47"/>
      <c r="E390" s="143"/>
      <c r="H390" s="2"/>
      <c r="I390" s="30"/>
    </row>
    <row r="391" spans="4:9">
      <c r="D391" s="47"/>
      <c r="E391" s="143"/>
      <c r="H391" s="2"/>
      <c r="I391" s="30"/>
    </row>
    <row r="392" spans="4:9">
      <c r="D392" s="47"/>
      <c r="E392" s="143"/>
      <c r="H392" s="2"/>
      <c r="I392" s="30"/>
    </row>
    <row r="393" spans="4:9">
      <c r="D393" s="47"/>
      <c r="E393" s="143"/>
      <c r="H393" s="2"/>
      <c r="I393" s="30"/>
    </row>
    <row r="394" spans="4:9">
      <c r="D394" s="47"/>
      <c r="E394" s="143"/>
      <c r="H394" s="2"/>
      <c r="I394" s="30"/>
    </row>
    <row r="395" spans="4:9">
      <c r="D395" s="47"/>
      <c r="E395" s="143"/>
      <c r="H395" s="2"/>
      <c r="I395" s="30"/>
    </row>
    <row r="396" spans="4:9">
      <c r="D396" s="47"/>
      <c r="E396" s="143"/>
      <c r="H396" s="2"/>
      <c r="I396" s="30"/>
    </row>
    <row r="397" spans="4:9">
      <c r="D397" s="47"/>
      <c r="E397" s="143"/>
      <c r="H397" s="2"/>
      <c r="I397" s="30"/>
    </row>
    <row r="398" spans="4:9">
      <c r="D398" s="47"/>
      <c r="E398" s="143"/>
      <c r="H398" s="2"/>
      <c r="I398" s="30"/>
    </row>
    <row r="399" spans="4:9">
      <c r="D399" s="47"/>
      <c r="E399" s="143"/>
      <c r="H399" s="2"/>
      <c r="I399" s="30"/>
    </row>
    <row r="400" spans="4:9">
      <c r="D400" s="47"/>
      <c r="E400" s="143"/>
      <c r="H400" s="2"/>
      <c r="I400" s="30"/>
    </row>
    <row r="401" spans="4:9">
      <c r="D401" s="47"/>
      <c r="E401" s="143"/>
      <c r="H401" s="2"/>
      <c r="I401" s="30"/>
    </row>
    <row r="402" spans="4:9">
      <c r="D402" s="47"/>
      <c r="E402" s="143"/>
      <c r="H402" s="2"/>
      <c r="I402" s="30"/>
    </row>
    <row r="403" spans="4:9">
      <c r="D403" s="47"/>
      <c r="E403" s="143"/>
      <c r="H403" s="2"/>
      <c r="I403" s="30"/>
    </row>
    <row r="404" spans="4:9">
      <c r="D404" s="47"/>
      <c r="E404" s="143"/>
      <c r="H404" s="2"/>
      <c r="I404" s="30"/>
    </row>
    <row r="405" spans="4:9">
      <c r="D405" s="47"/>
      <c r="E405" s="143"/>
      <c r="H405" s="2"/>
      <c r="I405" s="30"/>
    </row>
    <row r="406" spans="4:9">
      <c r="D406" s="47"/>
      <c r="E406" s="143"/>
      <c r="H406" s="2"/>
      <c r="I406" s="30"/>
    </row>
    <row r="407" spans="4:9">
      <c r="D407" s="47"/>
      <c r="E407" s="143"/>
      <c r="H407" s="2"/>
      <c r="I407" s="30"/>
    </row>
    <row r="408" spans="4:9">
      <c r="D408" s="47"/>
      <c r="E408" s="143"/>
      <c r="H408" s="2"/>
      <c r="I408" s="30"/>
    </row>
    <row r="409" spans="4:9">
      <c r="D409" s="47"/>
      <c r="E409" s="143"/>
      <c r="H409" s="2"/>
      <c r="I409" s="30"/>
    </row>
    <row r="410" spans="4:9">
      <c r="D410" s="47"/>
      <c r="E410" s="143"/>
      <c r="H410" s="2"/>
      <c r="I410" s="30"/>
    </row>
    <row r="411" spans="4:9">
      <c r="D411" s="47"/>
      <c r="E411" s="143"/>
      <c r="H411" s="2"/>
      <c r="I411" s="30"/>
    </row>
    <row r="412" spans="4:9">
      <c r="D412" s="47"/>
      <c r="E412" s="143"/>
      <c r="H412" s="2"/>
      <c r="I412" s="30"/>
    </row>
    <row r="413" spans="4:9">
      <c r="D413" s="47"/>
      <c r="E413" s="143"/>
      <c r="H413" s="2"/>
      <c r="I413" s="30"/>
    </row>
    <row r="414" spans="4:9">
      <c r="D414" s="47"/>
      <c r="E414" s="143"/>
      <c r="H414" s="2"/>
      <c r="I414" s="30"/>
    </row>
    <row r="415" spans="4:9">
      <c r="D415" s="47"/>
      <c r="E415" s="143"/>
      <c r="H415" s="2"/>
      <c r="I415" s="30"/>
    </row>
    <row r="416" spans="4:9">
      <c r="D416" s="47"/>
      <c r="E416" s="143"/>
      <c r="H416" s="2"/>
      <c r="I416" s="30"/>
    </row>
    <row r="417" spans="4:9">
      <c r="D417" s="47"/>
      <c r="E417" s="143"/>
      <c r="H417" s="2"/>
      <c r="I417" s="30"/>
    </row>
    <row r="418" spans="4:9">
      <c r="D418" s="47"/>
      <c r="E418" s="143"/>
      <c r="H418" s="2"/>
      <c r="I418" s="30"/>
    </row>
    <row r="419" spans="4:9">
      <c r="D419" s="47"/>
      <c r="E419" s="143"/>
      <c r="H419" s="2"/>
      <c r="I419" s="30"/>
    </row>
    <row r="420" spans="4:9">
      <c r="D420" s="47"/>
      <c r="E420" s="143"/>
      <c r="H420" s="2"/>
      <c r="I420" s="30"/>
    </row>
    <row r="421" spans="4:9">
      <c r="D421" s="47"/>
      <c r="E421" s="143"/>
      <c r="H421" s="2"/>
      <c r="I421" s="30"/>
    </row>
    <row r="422" spans="4:9">
      <c r="D422" s="47"/>
      <c r="E422" s="143"/>
      <c r="H422" s="2"/>
      <c r="I422" s="30"/>
    </row>
    <row r="423" spans="4:9">
      <c r="D423" s="47"/>
      <c r="E423" s="143"/>
      <c r="H423" s="2"/>
      <c r="I423" s="30"/>
    </row>
    <row r="424" spans="4:9">
      <c r="D424" s="47"/>
      <c r="E424" s="143"/>
      <c r="H424" s="2"/>
      <c r="I424" s="30"/>
    </row>
    <row r="425" spans="4:9">
      <c r="D425" s="47"/>
      <c r="E425" s="143"/>
      <c r="H425" s="2"/>
      <c r="I425" s="30"/>
    </row>
    <row r="426" spans="4:9">
      <c r="D426" s="47"/>
      <c r="E426" s="143"/>
      <c r="H426" s="2"/>
      <c r="I426" s="30"/>
    </row>
    <row r="427" spans="4:9">
      <c r="D427" s="47"/>
      <c r="E427" s="143"/>
      <c r="H427" s="2"/>
      <c r="I427" s="30"/>
    </row>
    <row r="428" spans="4:9">
      <c r="D428" s="47"/>
      <c r="E428" s="143"/>
      <c r="H428" s="2"/>
      <c r="I428" s="30"/>
    </row>
    <row r="429" spans="4:9">
      <c r="D429" s="47"/>
      <c r="E429" s="143"/>
      <c r="H429" s="2"/>
      <c r="I429" s="30"/>
    </row>
    <row r="430" spans="4:9">
      <c r="D430" s="47"/>
      <c r="E430" s="143"/>
      <c r="H430" s="2"/>
      <c r="I430" s="30"/>
    </row>
    <row r="431" spans="4:9">
      <c r="D431" s="47"/>
      <c r="E431" s="143"/>
      <c r="H431" s="2"/>
      <c r="I431" s="30"/>
    </row>
    <row r="432" spans="4:9">
      <c r="D432" s="47"/>
      <c r="E432" s="143"/>
      <c r="H432" s="2"/>
      <c r="I432" s="30"/>
    </row>
    <row r="433" spans="4:9">
      <c r="D433" s="47"/>
      <c r="E433" s="143"/>
      <c r="H433" s="2"/>
      <c r="I433" s="30"/>
    </row>
    <row r="434" spans="4:9">
      <c r="D434" s="47"/>
      <c r="E434" s="143"/>
      <c r="H434" s="2"/>
      <c r="I434" s="30"/>
    </row>
    <row r="435" spans="4:9">
      <c r="D435" s="47"/>
      <c r="E435" s="143"/>
      <c r="H435" s="2"/>
      <c r="I435" s="30"/>
    </row>
    <row r="436" spans="4:9">
      <c r="D436" s="47"/>
      <c r="E436" s="143"/>
      <c r="H436" s="2"/>
      <c r="I436" s="30"/>
    </row>
    <row r="437" spans="4:9">
      <c r="D437" s="47"/>
      <c r="E437" s="143"/>
      <c r="H437" s="2"/>
      <c r="I437" s="30"/>
    </row>
    <row r="438" spans="4:9">
      <c r="D438" s="47"/>
      <c r="E438" s="143"/>
      <c r="H438" s="2"/>
      <c r="I438" s="30"/>
    </row>
    <row r="439" spans="4:9">
      <c r="D439" s="47"/>
      <c r="E439" s="143"/>
      <c r="H439" s="2"/>
      <c r="I439" s="30"/>
    </row>
    <row r="440" spans="4:9">
      <c r="D440" s="47"/>
      <c r="E440" s="143"/>
      <c r="H440" s="2"/>
      <c r="I440" s="30"/>
    </row>
    <row r="441" spans="4:9">
      <c r="D441" s="47"/>
      <c r="E441" s="143"/>
      <c r="H441" s="2"/>
      <c r="I441" s="30"/>
    </row>
    <row r="442" spans="4:9">
      <c r="D442" s="47"/>
      <c r="E442" s="143"/>
      <c r="H442" s="2"/>
      <c r="I442" s="30"/>
    </row>
    <row r="443" spans="4:9">
      <c r="D443" s="47"/>
      <c r="E443" s="143"/>
      <c r="H443" s="2"/>
      <c r="I443" s="30"/>
    </row>
    <row r="444" spans="4:9">
      <c r="D444" s="47"/>
      <c r="E444" s="143"/>
      <c r="H444" s="2"/>
      <c r="I444" s="30"/>
    </row>
    <row r="445" spans="4:9">
      <c r="D445" s="47"/>
      <c r="E445" s="143"/>
      <c r="H445" s="2"/>
      <c r="I445" s="30"/>
    </row>
    <row r="446" spans="4:9">
      <c r="D446" s="47"/>
      <c r="E446" s="143"/>
      <c r="H446" s="2"/>
      <c r="I446" s="30"/>
    </row>
    <row r="447" spans="4:9">
      <c r="D447" s="47"/>
      <c r="E447" s="143"/>
      <c r="H447" s="2"/>
      <c r="I447" s="30"/>
    </row>
    <row r="448" spans="4:9">
      <c r="D448" s="47"/>
      <c r="E448" s="143"/>
      <c r="H448" s="2"/>
      <c r="I448" s="30"/>
    </row>
    <row r="449" spans="4:9">
      <c r="D449" s="47"/>
      <c r="E449" s="143"/>
      <c r="H449" s="2"/>
      <c r="I449" s="30"/>
    </row>
    <row r="450" spans="4:9">
      <c r="D450" s="47"/>
      <c r="E450" s="143"/>
      <c r="H450" s="2"/>
      <c r="I450" s="30"/>
    </row>
    <row r="451" spans="4:9">
      <c r="D451" s="47"/>
      <c r="E451" s="143"/>
      <c r="H451" s="2"/>
      <c r="I451" s="30"/>
    </row>
    <row r="452" spans="4:9">
      <c r="D452" s="47"/>
      <c r="E452" s="143"/>
      <c r="H452" s="2"/>
      <c r="I452" s="30"/>
    </row>
    <row r="453" spans="4:9">
      <c r="D453" s="47"/>
      <c r="E453" s="143"/>
      <c r="H453" s="2"/>
      <c r="I453" s="30"/>
    </row>
    <row r="454" spans="4:9">
      <c r="D454" s="47"/>
      <c r="E454" s="143"/>
      <c r="H454" s="2"/>
      <c r="I454" s="30"/>
    </row>
    <row r="455" spans="4:9">
      <c r="D455" s="47"/>
      <c r="E455" s="143"/>
      <c r="H455" s="2"/>
      <c r="I455" s="30"/>
    </row>
    <row r="456" spans="4:9">
      <c r="D456" s="47"/>
      <c r="E456" s="143"/>
      <c r="H456" s="2"/>
      <c r="I456" s="30"/>
    </row>
    <row r="457" spans="4:9">
      <c r="D457" s="47"/>
      <c r="E457" s="143"/>
      <c r="H457" s="2"/>
      <c r="I457" s="30"/>
    </row>
    <row r="458" spans="4:9">
      <c r="D458" s="47"/>
      <c r="E458" s="143"/>
      <c r="H458" s="2"/>
      <c r="I458" s="30"/>
    </row>
    <row r="459" spans="4:9">
      <c r="D459" s="47"/>
      <c r="E459" s="143"/>
      <c r="H459" s="2"/>
      <c r="I459" s="30"/>
    </row>
    <row r="460" spans="4:9">
      <c r="D460" s="47"/>
      <c r="E460" s="143"/>
      <c r="H460" s="2"/>
      <c r="I460" s="30"/>
    </row>
    <row r="461" spans="4:9">
      <c r="D461" s="47"/>
      <c r="E461" s="143"/>
      <c r="H461" s="2"/>
      <c r="I461" s="30"/>
    </row>
    <row r="462" spans="4:9">
      <c r="D462" s="47"/>
      <c r="E462" s="143"/>
      <c r="H462" s="2"/>
      <c r="I462" s="30"/>
    </row>
    <row r="463" spans="4:9">
      <c r="D463" s="47"/>
      <c r="E463" s="143"/>
      <c r="H463" s="2"/>
      <c r="I463" s="30"/>
    </row>
    <row r="464" spans="4:9">
      <c r="D464" s="47"/>
      <c r="E464" s="143"/>
      <c r="H464" s="2"/>
      <c r="I464" s="30"/>
    </row>
    <row r="465" spans="4:9">
      <c r="D465" s="47"/>
      <c r="E465" s="143"/>
      <c r="H465" s="2"/>
      <c r="I465" s="30"/>
    </row>
    <row r="466" spans="4:9">
      <c r="D466" s="47"/>
      <c r="E466" s="143"/>
      <c r="H466" s="2"/>
      <c r="I466" s="30"/>
    </row>
    <row r="467" spans="4:9">
      <c r="D467" s="47"/>
      <c r="E467" s="143"/>
      <c r="H467" s="2"/>
      <c r="I467" s="30"/>
    </row>
    <row r="468" spans="4:9">
      <c r="D468" s="47"/>
      <c r="E468" s="143"/>
      <c r="H468" s="2"/>
      <c r="I468" s="30"/>
    </row>
    <row r="469" spans="4:9">
      <c r="D469" s="47"/>
      <c r="E469" s="143"/>
      <c r="H469" s="2"/>
      <c r="I469" s="30"/>
    </row>
    <row r="470" spans="4:9">
      <c r="D470" s="47"/>
      <c r="E470" s="143"/>
      <c r="H470" s="2"/>
      <c r="I470" s="30"/>
    </row>
    <row r="471" spans="4:9">
      <c r="D471" s="47"/>
      <c r="E471" s="143"/>
      <c r="H471" s="2"/>
      <c r="I471" s="30"/>
    </row>
    <row r="472" spans="4:9">
      <c r="D472" s="47"/>
      <c r="E472" s="143"/>
      <c r="H472" s="2"/>
      <c r="I472" s="30"/>
    </row>
    <row r="473" spans="4:9">
      <c r="D473" s="47"/>
      <c r="E473" s="143"/>
      <c r="H473" s="2"/>
      <c r="I473" s="30"/>
    </row>
    <row r="474" spans="4:9">
      <c r="D474" s="47"/>
      <c r="E474" s="143"/>
      <c r="H474" s="2"/>
      <c r="I474" s="30"/>
    </row>
    <row r="475" spans="4:9">
      <c r="D475" s="47"/>
      <c r="E475" s="143"/>
      <c r="H475" s="2"/>
      <c r="I475" s="30"/>
    </row>
    <row r="476" spans="4:9">
      <c r="D476" s="47"/>
      <c r="E476" s="143"/>
      <c r="H476" s="2"/>
      <c r="I476" s="30"/>
    </row>
    <row r="477" spans="4:9">
      <c r="D477" s="47"/>
      <c r="E477" s="143"/>
      <c r="H477" s="2"/>
      <c r="I477" s="30"/>
    </row>
    <row r="478" spans="4:9">
      <c r="D478" s="47"/>
      <c r="E478" s="143"/>
      <c r="H478" s="2"/>
      <c r="I478" s="30"/>
    </row>
    <row r="479" spans="4:9">
      <c r="D479" s="47"/>
      <c r="E479" s="143"/>
      <c r="H479" s="2"/>
      <c r="I479" s="30"/>
    </row>
    <row r="480" spans="4:9">
      <c r="D480" s="47"/>
      <c r="E480" s="143"/>
      <c r="H480" s="2"/>
      <c r="I480" s="30"/>
    </row>
    <row r="481" spans="4:9">
      <c r="D481" s="47"/>
      <c r="E481" s="143"/>
      <c r="H481" s="2"/>
      <c r="I481" s="30"/>
    </row>
    <row r="482" spans="4:9">
      <c r="D482" s="47"/>
      <c r="E482" s="143"/>
      <c r="H482" s="2"/>
      <c r="I482" s="30"/>
    </row>
    <row r="483" spans="4:9">
      <c r="D483" s="47"/>
      <c r="E483" s="143"/>
      <c r="H483" s="2"/>
      <c r="I483" s="30"/>
    </row>
    <row r="484" spans="4:9">
      <c r="D484" s="47"/>
      <c r="E484" s="143"/>
      <c r="H484" s="2"/>
      <c r="I484" s="30"/>
    </row>
    <row r="485" spans="4:9">
      <c r="D485" s="47"/>
      <c r="E485" s="143"/>
      <c r="H485" s="2"/>
      <c r="I485" s="30"/>
    </row>
    <row r="486" spans="4:9">
      <c r="D486" s="47"/>
      <c r="E486" s="143"/>
      <c r="H486" s="2"/>
      <c r="I486" s="30"/>
    </row>
    <row r="487" spans="4:9">
      <c r="D487" s="47"/>
      <c r="E487" s="143"/>
      <c r="H487" s="2"/>
      <c r="I487" s="30"/>
    </row>
    <row r="488" spans="4:9">
      <c r="D488" s="47"/>
      <c r="E488" s="143"/>
      <c r="H488" s="2"/>
      <c r="I488" s="30"/>
    </row>
    <row r="489" spans="4:9">
      <c r="D489" s="47"/>
      <c r="E489" s="143"/>
      <c r="H489" s="2"/>
      <c r="I489" s="30"/>
    </row>
    <row r="490" spans="4:9">
      <c r="D490" s="47"/>
      <c r="E490" s="143"/>
      <c r="H490" s="2"/>
      <c r="I490" s="30"/>
    </row>
    <row r="491" spans="4:9">
      <c r="D491" s="47"/>
      <c r="E491" s="143"/>
      <c r="H491" s="2"/>
      <c r="I491" s="30"/>
    </row>
    <row r="492" spans="4:9">
      <c r="D492" s="47"/>
      <c r="E492" s="143"/>
      <c r="H492" s="2"/>
      <c r="I492" s="30"/>
    </row>
    <row r="493" spans="4:9">
      <c r="D493" s="47"/>
      <c r="E493" s="143"/>
      <c r="H493" s="2"/>
      <c r="I493" s="30"/>
    </row>
    <row r="494" spans="4:9">
      <c r="D494" s="47"/>
      <c r="E494" s="143"/>
      <c r="H494" s="2"/>
      <c r="I494" s="30"/>
    </row>
    <row r="495" spans="4:9">
      <c r="D495" s="47"/>
      <c r="E495" s="143"/>
      <c r="H495" s="2"/>
      <c r="I495" s="30"/>
    </row>
    <row r="496" spans="4:9">
      <c r="D496" s="47"/>
      <c r="E496" s="143"/>
      <c r="H496" s="2"/>
      <c r="I496" s="30"/>
    </row>
    <row r="497" spans="4:9">
      <c r="D497" s="47"/>
      <c r="E497" s="143"/>
      <c r="H497" s="2"/>
      <c r="I497" s="30"/>
    </row>
    <row r="498" spans="4:9">
      <c r="D498" s="47"/>
      <c r="E498" s="143"/>
      <c r="H498" s="2"/>
      <c r="I498" s="30"/>
    </row>
    <row r="499" spans="4:9">
      <c r="D499" s="47"/>
      <c r="E499" s="143"/>
      <c r="H499" s="2"/>
      <c r="I499" s="30"/>
    </row>
    <row r="500" spans="4:9">
      <c r="D500" s="47"/>
      <c r="E500" s="143"/>
      <c r="H500" s="2"/>
      <c r="I500" s="30"/>
    </row>
    <row r="501" spans="4:9">
      <c r="D501" s="47"/>
      <c r="E501" s="143"/>
      <c r="H501" s="2"/>
      <c r="I501" s="30"/>
    </row>
    <row r="502" spans="4:9">
      <c r="D502" s="47"/>
      <c r="E502" s="143"/>
      <c r="H502" s="2"/>
      <c r="I502" s="30"/>
    </row>
    <row r="503" spans="4:9">
      <c r="D503" s="47"/>
      <c r="E503" s="143"/>
      <c r="H503" s="2"/>
      <c r="I503" s="30"/>
    </row>
    <row r="504" spans="4:9">
      <c r="D504" s="47"/>
      <c r="E504" s="143"/>
      <c r="H504" s="2"/>
      <c r="I504" s="30"/>
    </row>
    <row r="505" spans="4:9">
      <c r="D505" s="47"/>
      <c r="E505" s="143"/>
      <c r="H505" s="2"/>
      <c r="I505" s="30"/>
    </row>
    <row r="506" spans="4:9">
      <c r="D506" s="47"/>
      <c r="E506" s="143"/>
      <c r="H506" s="2"/>
      <c r="I506" s="30"/>
    </row>
    <row r="507" spans="4:9">
      <c r="D507" s="47"/>
      <c r="E507" s="143"/>
      <c r="H507" s="2"/>
      <c r="I507" s="30"/>
    </row>
    <row r="508" spans="4:9">
      <c r="D508" s="47"/>
      <c r="E508" s="143"/>
      <c r="H508" s="2"/>
      <c r="I508" s="30"/>
    </row>
    <row r="509" spans="4:9">
      <c r="D509" s="47"/>
      <c r="E509" s="143"/>
      <c r="H509" s="2"/>
      <c r="I509" s="30"/>
    </row>
    <row r="510" spans="4:9">
      <c r="D510" s="47"/>
      <c r="E510" s="143"/>
      <c r="H510" s="2"/>
      <c r="I510" s="30"/>
    </row>
    <row r="511" spans="4:9">
      <c r="D511" s="47"/>
      <c r="E511" s="143"/>
      <c r="H511" s="2"/>
      <c r="I511" s="30"/>
    </row>
    <row r="512" spans="4:9">
      <c r="D512" s="47"/>
      <c r="E512" s="143"/>
      <c r="H512" s="2"/>
      <c r="I512" s="30"/>
    </row>
    <row r="513" spans="4:9">
      <c r="D513" s="47"/>
      <c r="E513" s="143"/>
      <c r="H513" s="2"/>
      <c r="I513" s="30"/>
    </row>
    <row r="514" spans="4:9">
      <c r="D514" s="47"/>
      <c r="E514" s="143"/>
      <c r="H514" s="2"/>
      <c r="I514" s="30"/>
    </row>
    <row r="515" spans="4:9">
      <c r="D515" s="47"/>
      <c r="E515" s="143"/>
      <c r="H515" s="2"/>
      <c r="I515" s="30"/>
    </row>
    <row r="516" spans="4:9">
      <c r="D516" s="47"/>
      <c r="E516" s="143"/>
      <c r="H516" s="2"/>
      <c r="I516" s="30"/>
    </row>
    <row r="517" spans="4:9">
      <c r="D517" s="47"/>
      <c r="E517" s="143"/>
      <c r="H517" s="2"/>
      <c r="I517" s="30"/>
    </row>
    <row r="518" spans="4:9">
      <c r="D518" s="47"/>
      <c r="E518" s="143"/>
      <c r="H518" s="2"/>
      <c r="I518" s="30"/>
    </row>
    <row r="519" spans="4:9">
      <c r="D519" s="47"/>
      <c r="E519" s="143"/>
      <c r="H519" s="2"/>
      <c r="I519" s="30"/>
    </row>
    <row r="520" spans="4:9">
      <c r="D520" s="47"/>
      <c r="E520" s="143"/>
      <c r="H520" s="2"/>
      <c r="I520" s="30"/>
    </row>
    <row r="521" spans="4:9">
      <c r="D521" s="47"/>
      <c r="E521" s="143"/>
      <c r="H521" s="2"/>
      <c r="I521" s="30"/>
    </row>
    <row r="522" spans="4:9">
      <c r="D522" s="47"/>
      <c r="E522" s="143"/>
      <c r="H522" s="2"/>
      <c r="I522" s="30"/>
    </row>
    <row r="523" spans="4:9">
      <c r="D523" s="47"/>
      <c r="E523" s="143"/>
      <c r="H523" s="2"/>
      <c r="I523" s="30"/>
    </row>
    <row r="524" spans="4:9">
      <c r="D524" s="47"/>
      <c r="E524" s="143"/>
      <c r="H524" s="2"/>
      <c r="I524" s="30"/>
    </row>
    <row r="525" spans="4:9">
      <c r="D525" s="47"/>
      <c r="E525" s="143"/>
      <c r="H525" s="2"/>
      <c r="I525" s="30"/>
    </row>
    <row r="526" spans="4:9">
      <c r="D526" s="47"/>
      <c r="E526" s="143"/>
      <c r="H526" s="2"/>
      <c r="I526" s="30"/>
    </row>
    <row r="527" spans="4:9">
      <c r="D527" s="47"/>
      <c r="E527" s="143"/>
      <c r="H527" s="2"/>
      <c r="I527" s="30"/>
    </row>
    <row r="528" spans="4:9">
      <c r="D528" s="47"/>
      <c r="E528" s="143"/>
      <c r="H528" s="2"/>
      <c r="I528" s="30"/>
    </row>
    <row r="529" spans="4:9">
      <c r="D529" s="47"/>
      <c r="E529" s="143"/>
      <c r="H529" s="2"/>
      <c r="I529" s="30"/>
    </row>
    <row r="530" spans="4:9">
      <c r="D530" s="47"/>
      <c r="E530" s="143"/>
      <c r="H530" s="2"/>
      <c r="I530" s="30"/>
    </row>
    <row r="531" spans="4:9">
      <c r="D531" s="47"/>
      <c r="E531" s="143"/>
      <c r="H531" s="2"/>
      <c r="I531" s="30"/>
    </row>
    <row r="532" spans="4:9">
      <c r="D532" s="47"/>
      <c r="E532" s="143"/>
      <c r="H532" s="2"/>
      <c r="I532" s="30"/>
    </row>
    <row r="533" spans="4:9">
      <c r="D533" s="47"/>
      <c r="E533" s="143"/>
      <c r="H533" s="2"/>
      <c r="I533" s="30"/>
    </row>
    <row r="534" spans="4:9">
      <c r="D534" s="47"/>
      <c r="E534" s="143"/>
      <c r="H534" s="2"/>
      <c r="I534" s="30"/>
    </row>
    <row r="535" spans="4:9">
      <c r="D535" s="47"/>
      <c r="E535" s="143"/>
      <c r="H535" s="2"/>
      <c r="I535" s="30"/>
    </row>
    <row r="536" spans="4:9">
      <c r="D536" s="47"/>
      <c r="E536" s="143"/>
      <c r="H536" s="2"/>
      <c r="I536" s="30"/>
    </row>
    <row r="537" spans="4:9">
      <c r="D537" s="47"/>
      <c r="E537" s="143"/>
      <c r="H537" s="2"/>
      <c r="I537" s="30"/>
    </row>
    <row r="538" spans="4:9">
      <c r="D538" s="47"/>
      <c r="E538" s="143"/>
      <c r="H538" s="2"/>
      <c r="I538" s="30"/>
    </row>
    <row r="539" spans="4:9">
      <c r="D539" s="47"/>
      <c r="E539" s="143"/>
      <c r="H539" s="2"/>
      <c r="I539" s="30"/>
    </row>
    <row r="540" spans="4:9">
      <c r="D540" s="47"/>
      <c r="E540" s="143"/>
      <c r="H540" s="2"/>
      <c r="I540" s="30"/>
    </row>
    <row r="541" spans="4:9">
      <c r="D541" s="47"/>
      <c r="E541" s="143"/>
      <c r="H541" s="2"/>
      <c r="I541" s="30"/>
    </row>
    <row r="542" spans="4:9">
      <c r="D542" s="47"/>
      <c r="E542" s="143"/>
      <c r="H542" s="2"/>
      <c r="I542" s="30"/>
    </row>
    <row r="543" spans="4:9">
      <c r="D543" s="47"/>
      <c r="E543" s="143"/>
      <c r="H543" s="2"/>
      <c r="I543" s="30"/>
    </row>
    <row r="544" spans="4:9">
      <c r="D544" s="47"/>
      <c r="E544" s="143"/>
      <c r="H544" s="2"/>
      <c r="I544" s="30"/>
    </row>
    <row r="545" spans="4:9">
      <c r="D545" s="47"/>
      <c r="E545" s="143"/>
      <c r="H545" s="2"/>
      <c r="I545" s="30"/>
    </row>
    <row r="546" spans="4:9">
      <c r="D546" s="47"/>
      <c r="E546" s="143"/>
      <c r="H546" s="2"/>
      <c r="I546" s="30"/>
    </row>
    <row r="547" spans="4:9">
      <c r="D547" s="47"/>
      <c r="E547" s="143"/>
      <c r="H547" s="2"/>
      <c r="I547" s="30"/>
    </row>
    <row r="548" spans="4:9">
      <c r="D548" s="47"/>
      <c r="E548" s="143"/>
      <c r="H548" s="2"/>
      <c r="I548" s="30"/>
    </row>
    <row r="549" spans="4:9">
      <c r="D549" s="47"/>
      <c r="E549" s="143"/>
      <c r="H549" s="2"/>
      <c r="I549" s="30"/>
    </row>
    <row r="550" spans="4:9">
      <c r="D550" s="47"/>
      <c r="E550" s="143"/>
      <c r="H550" s="2"/>
      <c r="I550" s="30"/>
    </row>
    <row r="551" spans="4:9">
      <c r="D551" s="47"/>
      <c r="E551" s="143"/>
      <c r="H551" s="2"/>
      <c r="I551" s="30"/>
    </row>
    <row r="552" spans="4:9">
      <c r="D552" s="47"/>
      <c r="E552" s="143"/>
      <c r="H552" s="2"/>
      <c r="I552" s="30"/>
    </row>
    <row r="553" spans="4:9">
      <c r="D553" s="47"/>
      <c r="E553" s="143"/>
      <c r="H553" s="2"/>
      <c r="I553" s="30"/>
    </row>
    <row r="554" spans="4:9">
      <c r="D554" s="47"/>
      <c r="E554" s="143"/>
      <c r="H554" s="2"/>
      <c r="I554" s="30"/>
    </row>
    <row r="555" spans="4:9">
      <c r="D555" s="47"/>
      <c r="E555" s="143"/>
      <c r="H555" s="2"/>
      <c r="I555" s="30"/>
    </row>
    <row r="556" spans="4:9">
      <c r="D556" s="47"/>
      <c r="E556" s="143"/>
      <c r="H556" s="2"/>
      <c r="I556" s="30"/>
    </row>
    <row r="557" spans="4:9">
      <c r="D557" s="47"/>
      <c r="E557" s="143"/>
      <c r="H557" s="2"/>
      <c r="I557" s="30"/>
    </row>
    <row r="558" spans="4:9">
      <c r="D558" s="47"/>
      <c r="E558" s="143"/>
      <c r="H558" s="2"/>
      <c r="I558" s="30"/>
    </row>
    <row r="559" spans="4:9">
      <c r="D559" s="47"/>
      <c r="E559" s="143"/>
      <c r="H559" s="2"/>
      <c r="I559" s="30"/>
    </row>
    <row r="560" spans="4:9">
      <c r="D560" s="47"/>
      <c r="E560" s="143"/>
      <c r="H560" s="2"/>
      <c r="I560" s="30"/>
    </row>
    <row r="561" spans="4:9">
      <c r="D561" s="47"/>
      <c r="E561" s="143"/>
      <c r="H561" s="2"/>
      <c r="I561" s="30"/>
    </row>
    <row r="562" spans="4:9">
      <c r="D562" s="47"/>
      <c r="E562" s="143"/>
      <c r="H562" s="2"/>
      <c r="I562" s="30"/>
    </row>
    <row r="563" spans="4:9">
      <c r="D563" s="47"/>
      <c r="E563" s="143"/>
      <c r="H563" s="2"/>
      <c r="I563" s="30"/>
    </row>
    <row r="564" spans="4:9">
      <c r="D564" s="47"/>
      <c r="E564" s="143"/>
      <c r="H564" s="2"/>
      <c r="I564" s="30"/>
    </row>
    <row r="565" spans="4:9">
      <c r="D565" s="47"/>
      <c r="E565" s="143"/>
      <c r="H565" s="2"/>
      <c r="I565" s="30"/>
    </row>
    <row r="566" spans="4:9">
      <c r="D566" s="47"/>
      <c r="E566" s="143"/>
      <c r="H566" s="2"/>
      <c r="I566" s="30"/>
    </row>
    <row r="567" spans="4:9">
      <c r="D567" s="47"/>
      <c r="E567" s="143"/>
      <c r="H567" s="2"/>
      <c r="I567" s="30"/>
    </row>
    <row r="568" spans="4:9">
      <c r="D568" s="47"/>
      <c r="E568" s="143"/>
      <c r="H568" s="2"/>
      <c r="I568" s="30"/>
    </row>
    <row r="569" spans="4:9">
      <c r="D569" s="47"/>
      <c r="E569" s="143"/>
      <c r="H569" s="2"/>
      <c r="I569" s="30"/>
    </row>
    <row r="570" spans="4:9">
      <c r="D570" s="47"/>
      <c r="E570" s="143"/>
      <c r="H570" s="2"/>
      <c r="I570" s="30"/>
    </row>
    <row r="571" spans="4:9">
      <c r="D571" s="47"/>
      <c r="E571" s="143"/>
      <c r="H571" s="2"/>
      <c r="I571" s="30"/>
    </row>
    <row r="572" spans="4:9">
      <c r="D572" s="47"/>
      <c r="E572" s="143"/>
      <c r="H572" s="2"/>
      <c r="I572" s="30"/>
    </row>
    <row r="573" spans="4:9">
      <c r="D573" s="47"/>
      <c r="E573" s="143"/>
      <c r="H573" s="2"/>
      <c r="I573" s="30"/>
    </row>
    <row r="574" spans="4:9">
      <c r="D574" s="47"/>
      <c r="E574" s="143"/>
      <c r="H574" s="2"/>
      <c r="I574" s="30"/>
    </row>
    <row r="575" spans="4:9">
      <c r="D575" s="47"/>
      <c r="E575" s="143"/>
      <c r="H575" s="2"/>
      <c r="I575" s="30"/>
    </row>
    <row r="576" spans="4:9">
      <c r="D576" s="47"/>
      <c r="E576" s="143"/>
      <c r="H576" s="2"/>
      <c r="I576" s="30"/>
    </row>
    <row r="577" spans="4:9">
      <c r="D577" s="47"/>
      <c r="E577" s="143"/>
      <c r="H577" s="2"/>
      <c r="I577" s="30"/>
    </row>
    <row r="578" spans="4:9">
      <c r="D578" s="47"/>
      <c r="E578" s="143"/>
      <c r="H578" s="2"/>
      <c r="I578" s="30"/>
    </row>
    <row r="579" spans="4:9">
      <c r="D579" s="47"/>
      <c r="E579" s="143"/>
      <c r="H579" s="2"/>
      <c r="I579" s="30"/>
    </row>
    <row r="580" spans="4:9">
      <c r="D580" s="47"/>
      <c r="E580" s="143"/>
      <c r="H580" s="2"/>
      <c r="I580" s="30"/>
    </row>
    <row r="581" spans="4:9">
      <c r="D581" s="47"/>
      <c r="E581" s="143"/>
      <c r="H581" s="2"/>
      <c r="I581" s="30"/>
    </row>
    <row r="582" spans="4:9">
      <c r="D582" s="47"/>
      <c r="E582" s="143"/>
      <c r="H582" s="2"/>
      <c r="I582" s="30"/>
    </row>
    <row r="583" spans="4:9">
      <c r="D583" s="47"/>
      <c r="E583" s="143"/>
      <c r="H583" s="2"/>
      <c r="I583" s="30"/>
    </row>
    <row r="584" spans="4:9">
      <c r="D584" s="47"/>
      <c r="E584" s="143"/>
      <c r="H584" s="2"/>
      <c r="I584" s="30"/>
    </row>
    <row r="585" spans="4:9">
      <c r="D585" s="47"/>
      <c r="E585" s="143"/>
      <c r="H585" s="2"/>
      <c r="I585" s="30"/>
    </row>
    <row r="586" spans="4:9">
      <c r="D586" s="47"/>
      <c r="E586" s="143"/>
      <c r="H586" s="2"/>
      <c r="I586" s="30"/>
    </row>
    <row r="587" spans="4:9">
      <c r="D587" s="47"/>
      <c r="E587" s="143"/>
      <c r="H587" s="2"/>
      <c r="I587" s="30"/>
    </row>
    <row r="588" spans="4:9">
      <c r="D588" s="47"/>
      <c r="E588" s="143"/>
      <c r="H588" s="2"/>
      <c r="I588" s="30"/>
    </row>
    <row r="589" spans="4:9">
      <c r="D589" s="47"/>
      <c r="E589" s="143"/>
      <c r="H589" s="2"/>
      <c r="I589" s="30"/>
    </row>
    <row r="590" spans="4:9">
      <c r="D590" s="47"/>
      <c r="E590" s="143"/>
      <c r="H590" s="2"/>
      <c r="I590" s="30"/>
    </row>
    <row r="591" spans="4:9">
      <c r="D591" s="47"/>
      <c r="E591" s="143"/>
      <c r="H591" s="2"/>
      <c r="I591" s="30"/>
    </row>
    <row r="592" spans="4:9">
      <c r="D592" s="47"/>
      <c r="E592" s="143"/>
      <c r="H592" s="2"/>
      <c r="I592" s="30"/>
    </row>
    <row r="593" spans="4:9">
      <c r="D593" s="47"/>
      <c r="E593" s="143"/>
      <c r="H593" s="2"/>
      <c r="I593" s="30"/>
    </row>
    <row r="594" spans="4:9">
      <c r="D594" s="47"/>
      <c r="E594" s="143"/>
      <c r="H594" s="2"/>
      <c r="I594" s="30"/>
    </row>
    <row r="595" spans="4:9">
      <c r="D595" s="47"/>
      <c r="E595" s="143"/>
      <c r="H595" s="2"/>
      <c r="I595" s="30"/>
    </row>
    <row r="596" spans="4:9">
      <c r="D596" s="47"/>
      <c r="E596" s="143"/>
      <c r="H596" s="2"/>
      <c r="I596" s="30"/>
    </row>
    <row r="597" spans="4:9">
      <c r="D597" s="47"/>
      <c r="E597" s="143"/>
      <c r="H597" s="2"/>
      <c r="I597" s="30"/>
    </row>
    <row r="598" spans="4:9">
      <c r="D598" s="47"/>
      <c r="E598" s="143"/>
      <c r="H598" s="2"/>
      <c r="I598" s="30"/>
    </row>
    <row r="599" spans="4:9">
      <c r="D599" s="47"/>
      <c r="E599" s="143"/>
      <c r="H599" s="2"/>
      <c r="I599" s="30"/>
    </row>
    <row r="600" spans="4:9">
      <c r="D600" s="47"/>
      <c r="E600" s="143"/>
      <c r="H600" s="2"/>
      <c r="I600" s="30"/>
    </row>
    <row r="601" spans="4:9">
      <c r="D601" s="47"/>
      <c r="E601" s="143"/>
      <c r="H601" s="2"/>
      <c r="I601" s="30"/>
    </row>
    <row r="602" spans="4:9">
      <c r="D602" s="47"/>
      <c r="E602" s="143"/>
      <c r="H602" s="2"/>
      <c r="I602" s="30"/>
    </row>
    <row r="603" spans="4:9">
      <c r="D603" s="47"/>
      <c r="E603" s="143"/>
      <c r="H603" s="2"/>
      <c r="I603" s="30"/>
    </row>
    <row r="604" spans="4:9">
      <c r="D604" s="47"/>
      <c r="E604" s="143"/>
      <c r="H604" s="2"/>
      <c r="I604" s="30"/>
    </row>
    <row r="605" spans="4:9">
      <c r="D605" s="47"/>
      <c r="E605" s="143"/>
      <c r="H605" s="2"/>
      <c r="I605" s="30"/>
    </row>
    <row r="606" spans="4:9">
      <c r="D606" s="47"/>
      <c r="E606" s="143"/>
      <c r="H606" s="2"/>
      <c r="I606" s="30"/>
    </row>
    <row r="607" spans="4:9">
      <c r="D607" s="47"/>
      <c r="E607" s="143"/>
      <c r="H607" s="2"/>
      <c r="I607" s="30"/>
    </row>
    <row r="608" spans="4:9">
      <c r="D608" s="47"/>
      <c r="E608" s="143"/>
      <c r="H608" s="2"/>
      <c r="I608" s="30"/>
    </row>
    <row r="609" spans="4:9">
      <c r="D609" s="47"/>
      <c r="E609" s="143"/>
      <c r="H609" s="2"/>
      <c r="I609" s="30"/>
    </row>
    <row r="610" spans="4:9">
      <c r="D610" s="47"/>
      <c r="E610" s="143"/>
      <c r="H610" s="2"/>
      <c r="I610" s="30"/>
    </row>
    <row r="611" spans="4:9">
      <c r="D611" s="47"/>
      <c r="E611" s="143"/>
      <c r="H611" s="2"/>
      <c r="I611" s="30"/>
    </row>
    <row r="612" spans="4:9">
      <c r="D612" s="47"/>
      <c r="E612" s="143"/>
      <c r="H612" s="2"/>
      <c r="I612" s="30"/>
    </row>
    <row r="613" spans="4:9">
      <c r="D613" s="47"/>
      <c r="E613" s="143"/>
      <c r="H613" s="2"/>
      <c r="I613" s="30"/>
    </row>
    <row r="614" spans="4:9">
      <c r="D614" s="47"/>
      <c r="E614" s="143"/>
      <c r="H614" s="2"/>
      <c r="I614" s="30"/>
    </row>
    <row r="615" spans="4:9">
      <c r="D615" s="47"/>
      <c r="E615" s="143"/>
      <c r="H615" s="2"/>
      <c r="I615" s="30"/>
    </row>
    <row r="616" spans="4:9">
      <c r="D616" s="47"/>
      <c r="E616" s="143"/>
      <c r="H616" s="2"/>
      <c r="I616" s="30"/>
    </row>
    <row r="617" spans="4:9">
      <c r="D617" s="47"/>
      <c r="E617" s="143"/>
      <c r="H617" s="2"/>
      <c r="I617" s="30"/>
    </row>
    <row r="618" spans="4:9">
      <c r="D618" s="47"/>
      <c r="E618" s="143"/>
      <c r="H618" s="2"/>
      <c r="I618" s="30"/>
    </row>
    <row r="619" spans="4:9">
      <c r="D619" s="47"/>
      <c r="E619" s="143"/>
      <c r="H619" s="2"/>
      <c r="I619" s="30"/>
    </row>
    <row r="620" spans="4:9">
      <c r="D620" s="47"/>
      <c r="E620" s="143"/>
      <c r="H620" s="2"/>
      <c r="I620" s="30"/>
    </row>
    <row r="621" spans="4:9">
      <c r="D621" s="47"/>
      <c r="E621" s="143"/>
      <c r="H621" s="2"/>
      <c r="I621" s="30"/>
    </row>
    <row r="622" spans="4:9">
      <c r="D622" s="47"/>
      <c r="E622" s="143"/>
      <c r="H622" s="2"/>
      <c r="I622" s="30"/>
    </row>
    <row r="623" spans="4:9">
      <c r="D623" s="47"/>
      <c r="E623" s="143"/>
      <c r="H623" s="2"/>
      <c r="I623" s="30"/>
    </row>
    <row r="624" spans="4:9">
      <c r="D624" s="47"/>
      <c r="E624" s="143"/>
      <c r="H624" s="2"/>
      <c r="I624" s="30"/>
    </row>
    <row r="625" spans="4:9">
      <c r="D625" s="47"/>
      <c r="E625" s="143"/>
      <c r="H625" s="2"/>
      <c r="I625" s="30"/>
    </row>
    <row r="626" spans="4:9">
      <c r="D626" s="47"/>
      <c r="E626" s="143"/>
      <c r="H626" s="2"/>
      <c r="I626" s="30"/>
    </row>
    <row r="627" spans="4:9">
      <c r="D627" s="47"/>
      <c r="E627" s="143"/>
      <c r="H627" s="2"/>
      <c r="I627" s="30"/>
    </row>
    <row r="628" spans="4:9">
      <c r="D628" s="47"/>
      <c r="E628" s="143"/>
      <c r="H628" s="2"/>
      <c r="I628" s="30"/>
    </row>
    <row r="629" spans="4:9">
      <c r="D629" s="47"/>
      <c r="E629" s="143"/>
      <c r="H629" s="2"/>
      <c r="I629" s="30"/>
    </row>
    <row r="630" spans="4:9">
      <c r="D630" s="47"/>
      <c r="E630" s="143"/>
      <c r="H630" s="2"/>
      <c r="I630" s="30"/>
    </row>
    <row r="631" spans="4:9">
      <c r="D631" s="47"/>
      <c r="E631" s="143"/>
      <c r="H631" s="2"/>
      <c r="I631" s="30"/>
    </row>
    <row r="632" spans="4:9">
      <c r="D632" s="47"/>
      <c r="E632" s="143"/>
      <c r="H632" s="2"/>
      <c r="I632" s="30"/>
    </row>
    <row r="633" spans="4:9">
      <c r="D633" s="47"/>
      <c r="E633" s="143"/>
      <c r="H633" s="2"/>
      <c r="I633" s="30"/>
    </row>
    <row r="634" spans="4:9">
      <c r="D634" s="47"/>
      <c r="E634" s="143"/>
      <c r="H634" s="2"/>
      <c r="I634" s="30"/>
    </row>
    <row r="635" spans="4:9">
      <c r="D635" s="47"/>
      <c r="E635" s="143"/>
      <c r="H635" s="2"/>
      <c r="I635" s="30"/>
    </row>
    <row r="636" spans="4:9">
      <c r="D636" s="47"/>
      <c r="E636" s="143"/>
      <c r="H636" s="2"/>
      <c r="I636" s="30"/>
    </row>
    <row r="637" spans="4:9">
      <c r="D637" s="47"/>
      <c r="E637" s="143"/>
      <c r="H637" s="2"/>
      <c r="I637" s="30"/>
    </row>
    <row r="638" spans="4:9">
      <c r="D638" s="47"/>
      <c r="E638" s="143"/>
      <c r="H638" s="2"/>
      <c r="I638" s="30"/>
    </row>
    <row r="639" spans="4:9">
      <c r="D639" s="47"/>
      <c r="E639" s="143"/>
      <c r="H639" s="2"/>
      <c r="I639" s="30"/>
    </row>
    <row r="640" spans="4:9">
      <c r="D640" s="47"/>
      <c r="E640" s="143"/>
      <c r="H640" s="2"/>
      <c r="I640" s="30"/>
    </row>
    <row r="641" spans="4:9">
      <c r="D641" s="47"/>
      <c r="E641" s="143"/>
      <c r="H641" s="2"/>
      <c r="I641" s="30"/>
    </row>
    <row r="642" spans="4:9">
      <c r="D642" s="47"/>
      <c r="E642" s="143"/>
      <c r="H642" s="2"/>
      <c r="I642" s="30"/>
    </row>
    <row r="643" spans="4:9">
      <c r="D643" s="47"/>
      <c r="E643" s="143"/>
      <c r="H643" s="2"/>
      <c r="I643" s="30"/>
    </row>
    <row r="644" spans="4:9">
      <c r="D644" s="47"/>
      <c r="E644" s="143"/>
      <c r="H644" s="2"/>
      <c r="I644" s="30"/>
    </row>
    <row r="645" spans="4:9">
      <c r="D645" s="47"/>
      <c r="E645" s="143"/>
      <c r="H645" s="2"/>
      <c r="I645" s="30"/>
    </row>
    <row r="646" spans="4:9">
      <c r="D646" s="47"/>
      <c r="E646" s="143"/>
      <c r="H646" s="2"/>
      <c r="I646" s="30"/>
    </row>
    <row r="647" spans="4:9">
      <c r="D647" s="47"/>
      <c r="E647" s="143"/>
      <c r="H647" s="2"/>
      <c r="I647" s="30"/>
    </row>
    <row r="648" spans="4:9">
      <c r="D648" s="47"/>
      <c r="E648" s="143"/>
      <c r="H648" s="2"/>
      <c r="I648" s="30"/>
    </row>
    <row r="649" spans="4:9">
      <c r="D649" s="47"/>
      <c r="E649" s="143"/>
      <c r="H649" s="2"/>
      <c r="I649" s="30"/>
    </row>
    <row r="650" spans="4:9">
      <c r="D650" s="47"/>
      <c r="E650" s="143"/>
      <c r="H650" s="2"/>
      <c r="I650" s="30"/>
    </row>
    <row r="651" spans="4:9">
      <c r="D651" s="47"/>
      <c r="E651" s="143"/>
      <c r="H651" s="2"/>
      <c r="I651" s="30"/>
    </row>
    <row r="652" spans="4:9">
      <c r="D652" s="47"/>
      <c r="E652" s="143"/>
      <c r="H652" s="2"/>
      <c r="I652" s="30"/>
    </row>
    <row r="653" spans="4:9">
      <c r="D653" s="47"/>
      <c r="E653" s="143"/>
      <c r="H653" s="2"/>
      <c r="I653" s="30"/>
    </row>
    <row r="654" spans="4:9">
      <c r="D654" s="47"/>
      <c r="E654" s="143"/>
      <c r="H654" s="2"/>
      <c r="I654" s="30"/>
    </row>
    <row r="655" spans="4:9">
      <c r="D655" s="47"/>
      <c r="E655" s="143"/>
      <c r="H655" s="2"/>
      <c r="I655" s="30"/>
    </row>
    <row r="656" spans="4:9">
      <c r="D656" s="47"/>
      <c r="E656" s="143"/>
      <c r="H656" s="2"/>
      <c r="I656" s="30"/>
    </row>
    <row r="657" spans="4:9">
      <c r="D657" s="47"/>
      <c r="E657" s="143"/>
      <c r="H657" s="2"/>
      <c r="I657" s="30"/>
    </row>
    <row r="658" spans="4:9">
      <c r="D658" s="47"/>
      <c r="E658" s="143"/>
      <c r="H658" s="2"/>
      <c r="I658" s="30"/>
    </row>
    <row r="659" spans="4:9">
      <c r="D659" s="47"/>
      <c r="E659" s="143"/>
      <c r="H659" s="2"/>
      <c r="I659" s="30"/>
    </row>
    <row r="660" spans="4:9">
      <c r="D660" s="47"/>
      <c r="E660" s="143"/>
      <c r="H660" s="2"/>
      <c r="I660" s="30"/>
    </row>
    <row r="661" spans="4:9">
      <c r="D661" s="47"/>
      <c r="E661" s="143"/>
      <c r="H661" s="2"/>
      <c r="I661" s="30"/>
    </row>
    <row r="662" spans="4:9">
      <c r="D662" s="47"/>
      <c r="E662" s="143"/>
      <c r="H662" s="2"/>
      <c r="I662" s="30"/>
    </row>
    <row r="663" spans="4:9">
      <c r="D663" s="47"/>
      <c r="E663" s="143"/>
      <c r="H663" s="2"/>
      <c r="I663" s="30"/>
    </row>
    <row r="664" spans="4:9">
      <c r="D664" s="47"/>
      <c r="E664" s="143"/>
      <c r="H664" s="2"/>
      <c r="I664" s="30"/>
    </row>
    <row r="665" spans="4:9">
      <c r="D665" s="47"/>
      <c r="E665" s="143"/>
      <c r="H665" s="2"/>
      <c r="I665" s="30"/>
    </row>
    <row r="666" spans="4:9">
      <c r="D666" s="47"/>
      <c r="E666" s="143"/>
      <c r="H666" s="2"/>
      <c r="I666" s="30"/>
    </row>
    <row r="667" spans="4:9">
      <c r="D667" s="47"/>
      <c r="E667" s="143"/>
      <c r="H667" s="2"/>
      <c r="I667" s="30"/>
    </row>
    <row r="668" spans="4:9">
      <c r="D668" s="47"/>
      <c r="E668" s="143"/>
      <c r="H668" s="2"/>
      <c r="I668" s="30"/>
    </row>
    <row r="669" spans="4:9">
      <c r="D669" s="47"/>
      <c r="E669" s="143"/>
      <c r="H669" s="2"/>
      <c r="I669" s="30"/>
    </row>
    <row r="670" spans="4:9">
      <c r="D670" s="47"/>
      <c r="E670" s="143"/>
      <c r="H670" s="2"/>
      <c r="I670" s="30"/>
    </row>
    <row r="671" spans="4:9">
      <c r="D671" s="47"/>
      <c r="E671" s="143"/>
      <c r="H671" s="2"/>
      <c r="I671" s="30"/>
    </row>
    <row r="672" spans="4:9">
      <c r="D672" s="47"/>
      <c r="E672" s="143"/>
      <c r="H672" s="2"/>
      <c r="I672" s="30"/>
    </row>
    <row r="673" spans="4:9">
      <c r="D673" s="47"/>
      <c r="E673" s="143"/>
      <c r="H673" s="2"/>
      <c r="I673" s="30"/>
    </row>
    <row r="674" spans="4:9">
      <c r="D674" s="47"/>
      <c r="E674" s="143"/>
      <c r="H674" s="2"/>
      <c r="I674" s="30"/>
    </row>
    <row r="675" spans="4:9">
      <c r="D675" s="47"/>
      <c r="E675" s="143"/>
      <c r="H675" s="2"/>
      <c r="I675" s="30"/>
    </row>
    <row r="676" spans="4:9">
      <c r="D676" s="47"/>
      <c r="E676" s="143"/>
      <c r="H676" s="2"/>
      <c r="I676" s="30"/>
    </row>
    <row r="677" spans="4:9">
      <c r="D677" s="47"/>
      <c r="E677" s="143"/>
      <c r="H677" s="2"/>
      <c r="I677" s="30"/>
    </row>
    <row r="678" spans="4:9">
      <c r="D678" s="47"/>
      <c r="E678" s="143"/>
      <c r="H678" s="2"/>
      <c r="I678" s="30"/>
    </row>
    <row r="679" spans="4:9">
      <c r="D679" s="47"/>
      <c r="E679" s="143"/>
      <c r="H679" s="2"/>
      <c r="I679" s="30"/>
    </row>
    <row r="680" spans="4:9">
      <c r="D680" s="47"/>
      <c r="E680" s="143"/>
      <c r="H680" s="2"/>
      <c r="I680" s="30"/>
    </row>
    <row r="681" spans="4:9">
      <c r="D681" s="47"/>
      <c r="E681" s="143"/>
      <c r="H681" s="2"/>
      <c r="I681" s="30"/>
    </row>
    <row r="682" spans="4:9">
      <c r="D682" s="47"/>
      <c r="E682" s="143"/>
      <c r="H682" s="2"/>
      <c r="I682" s="30"/>
    </row>
    <row r="683" spans="4:9">
      <c r="D683" s="47"/>
      <c r="E683" s="143"/>
      <c r="H683" s="2"/>
      <c r="I683" s="30"/>
    </row>
    <row r="684" spans="4:9">
      <c r="D684" s="47"/>
      <c r="E684" s="143"/>
      <c r="H684" s="2"/>
      <c r="I684" s="30"/>
    </row>
    <row r="685" spans="4:9">
      <c r="D685" s="47"/>
      <c r="E685" s="143"/>
      <c r="H685" s="2"/>
      <c r="I685" s="30"/>
    </row>
    <row r="686" spans="4:9">
      <c r="D686" s="47"/>
      <c r="E686" s="143"/>
      <c r="H686" s="2"/>
      <c r="I686" s="30"/>
    </row>
    <row r="687" spans="4:9">
      <c r="D687" s="47"/>
      <c r="E687" s="143"/>
      <c r="H687" s="2"/>
      <c r="I687" s="30"/>
    </row>
    <row r="688" spans="4:9">
      <c r="D688" s="47"/>
      <c r="E688" s="143"/>
      <c r="H688" s="2"/>
      <c r="I688" s="30"/>
    </row>
    <row r="689" spans="4:9">
      <c r="D689" s="47"/>
      <c r="E689" s="143"/>
      <c r="H689" s="2"/>
      <c r="I689" s="30"/>
    </row>
    <row r="690" spans="4:9">
      <c r="D690" s="47"/>
      <c r="E690" s="143"/>
      <c r="H690" s="2"/>
      <c r="I690" s="30"/>
    </row>
    <row r="691" spans="4:9">
      <c r="D691" s="47"/>
      <c r="E691" s="143"/>
      <c r="H691" s="2"/>
      <c r="I691" s="30"/>
    </row>
    <row r="692" spans="4:9">
      <c r="D692" s="47"/>
      <c r="E692" s="143"/>
      <c r="H692" s="2"/>
      <c r="I692" s="30"/>
    </row>
    <row r="693" spans="4:9">
      <c r="D693" s="47"/>
      <c r="E693" s="143"/>
      <c r="H693" s="2"/>
      <c r="I693" s="30"/>
    </row>
    <row r="694" spans="4:9">
      <c r="D694" s="47"/>
      <c r="E694" s="143"/>
      <c r="H694" s="2"/>
      <c r="I694" s="30"/>
    </row>
    <row r="695" spans="4:9">
      <c r="D695" s="47"/>
      <c r="E695" s="143"/>
      <c r="H695" s="2"/>
      <c r="I695" s="30"/>
    </row>
    <row r="696" spans="4:9">
      <c r="D696" s="47"/>
      <c r="E696" s="143"/>
      <c r="H696" s="2"/>
      <c r="I696" s="30"/>
    </row>
    <row r="697" spans="4:9">
      <c r="D697" s="47"/>
      <c r="E697" s="143"/>
      <c r="H697" s="2"/>
      <c r="I697" s="30"/>
    </row>
    <row r="698" spans="4:9">
      <c r="D698" s="47"/>
      <c r="E698" s="143"/>
      <c r="H698" s="2"/>
      <c r="I698" s="30"/>
    </row>
    <row r="699" spans="4:9">
      <c r="D699" s="47"/>
      <c r="E699" s="143"/>
      <c r="H699" s="2"/>
      <c r="I699" s="30"/>
    </row>
    <row r="700" spans="4:9">
      <c r="D700" s="47"/>
      <c r="E700" s="143"/>
      <c r="H700" s="2"/>
      <c r="I700" s="30"/>
    </row>
    <row r="701" spans="4:9">
      <c r="D701" s="47"/>
      <c r="E701" s="143"/>
      <c r="H701" s="2"/>
      <c r="I701" s="30"/>
    </row>
    <row r="702" spans="4:9">
      <c r="D702" s="47"/>
      <c r="E702" s="143"/>
      <c r="H702" s="2"/>
      <c r="I702" s="30"/>
    </row>
    <row r="703" spans="4:9">
      <c r="D703" s="47"/>
      <c r="E703" s="143"/>
      <c r="H703" s="2"/>
      <c r="I703" s="30"/>
    </row>
    <row r="704" spans="4:9">
      <c r="D704" s="47"/>
      <c r="E704" s="143"/>
      <c r="H704" s="2"/>
      <c r="I704" s="30"/>
    </row>
    <row r="705" spans="4:9">
      <c r="D705" s="47"/>
      <c r="E705" s="143"/>
      <c r="H705" s="2"/>
      <c r="I705" s="30"/>
    </row>
    <row r="706" spans="4:9">
      <c r="D706" s="47"/>
      <c r="E706" s="143"/>
      <c r="H706" s="2"/>
      <c r="I706" s="30"/>
    </row>
    <row r="707" spans="4:9">
      <c r="D707" s="47"/>
      <c r="E707" s="143"/>
      <c r="H707" s="2"/>
      <c r="I707" s="30"/>
    </row>
    <row r="708" spans="4:9">
      <c r="D708" s="47"/>
      <c r="E708" s="143"/>
      <c r="H708" s="2"/>
      <c r="I708" s="30"/>
    </row>
    <row r="709" spans="4:9">
      <c r="D709" s="47"/>
      <c r="E709" s="143"/>
      <c r="H709" s="2"/>
      <c r="I709" s="30"/>
    </row>
    <row r="710" spans="4:9">
      <c r="D710" s="47"/>
      <c r="E710" s="143"/>
      <c r="H710" s="2"/>
      <c r="I710" s="30"/>
    </row>
    <row r="711" spans="4:9">
      <c r="D711" s="47"/>
      <c r="E711" s="143"/>
      <c r="H711" s="2"/>
      <c r="I711" s="30"/>
    </row>
    <row r="712" spans="4:9">
      <c r="D712" s="47"/>
      <c r="E712" s="143"/>
      <c r="H712" s="2"/>
      <c r="I712" s="30"/>
    </row>
    <row r="713" spans="4:9">
      <c r="D713" s="47"/>
      <c r="E713" s="143"/>
      <c r="H713" s="2"/>
      <c r="I713" s="30"/>
    </row>
    <row r="714" spans="4:9">
      <c r="D714" s="47"/>
      <c r="E714" s="143"/>
      <c r="H714" s="2"/>
      <c r="I714" s="30"/>
    </row>
    <row r="715" spans="4:9">
      <c r="D715" s="47"/>
      <c r="E715" s="143"/>
      <c r="H715" s="2"/>
      <c r="I715" s="30"/>
    </row>
    <row r="716" spans="4:9">
      <c r="D716" s="47"/>
      <c r="E716" s="143"/>
      <c r="H716" s="2"/>
      <c r="I716" s="30"/>
    </row>
    <row r="717" spans="4:9">
      <c r="D717" s="47"/>
      <c r="E717" s="143"/>
      <c r="H717" s="2"/>
      <c r="I717" s="30"/>
    </row>
    <row r="718" spans="4:9">
      <c r="D718" s="47"/>
      <c r="E718" s="143"/>
      <c r="H718" s="2"/>
      <c r="I718" s="30"/>
    </row>
    <row r="719" spans="4:9">
      <c r="D719" s="47"/>
      <c r="E719" s="143"/>
      <c r="H719" s="2"/>
      <c r="I719" s="30"/>
    </row>
    <row r="720" spans="4:9">
      <c r="D720" s="47"/>
      <c r="E720" s="143"/>
      <c r="H720" s="2"/>
      <c r="I720" s="30"/>
    </row>
    <row r="721" spans="4:9">
      <c r="D721" s="47"/>
      <c r="E721" s="143"/>
      <c r="H721" s="2"/>
      <c r="I721" s="30"/>
    </row>
    <row r="722" spans="4:9">
      <c r="D722" s="47"/>
      <c r="E722" s="143"/>
      <c r="H722" s="2"/>
      <c r="I722" s="30"/>
    </row>
    <row r="723" spans="4:9">
      <c r="D723" s="47"/>
      <c r="E723" s="143"/>
      <c r="H723" s="2"/>
      <c r="I723" s="30"/>
    </row>
    <row r="724" spans="4:9">
      <c r="D724" s="47"/>
      <c r="E724" s="143"/>
      <c r="H724" s="2"/>
      <c r="I724" s="30"/>
    </row>
    <row r="725" spans="4:9">
      <c r="D725" s="47"/>
      <c r="E725" s="143"/>
      <c r="H725" s="2"/>
      <c r="I725" s="30"/>
    </row>
    <row r="726" spans="4:9">
      <c r="D726" s="47"/>
      <c r="E726" s="143"/>
      <c r="H726" s="2"/>
      <c r="I726" s="30"/>
    </row>
    <row r="727" spans="4:9">
      <c r="D727" s="47"/>
      <c r="E727" s="143"/>
      <c r="H727" s="2"/>
      <c r="I727" s="30"/>
    </row>
    <row r="728" spans="4:9">
      <c r="D728" s="47"/>
      <c r="E728" s="143"/>
      <c r="H728" s="2"/>
      <c r="I728" s="30"/>
    </row>
    <row r="729" spans="4:9">
      <c r="D729" s="47"/>
      <c r="E729" s="143"/>
      <c r="H729" s="2"/>
      <c r="I729" s="30"/>
    </row>
    <row r="730" spans="4:9">
      <c r="D730" s="47"/>
      <c r="E730" s="143"/>
      <c r="H730" s="2"/>
      <c r="I730" s="30"/>
    </row>
    <row r="731" spans="4:9">
      <c r="D731" s="47"/>
      <c r="E731" s="143"/>
      <c r="H731" s="2"/>
      <c r="I731" s="30"/>
    </row>
    <row r="732" spans="4:9">
      <c r="D732" s="47"/>
      <c r="E732" s="143"/>
      <c r="H732" s="2"/>
      <c r="I732" s="30"/>
    </row>
    <row r="733" spans="4:9">
      <c r="D733" s="47"/>
      <c r="E733" s="143"/>
      <c r="H733" s="2"/>
      <c r="I733" s="30"/>
    </row>
    <row r="734" spans="4:9">
      <c r="D734" s="47"/>
      <c r="E734" s="143"/>
      <c r="H734" s="2"/>
      <c r="I734" s="30"/>
    </row>
    <row r="735" spans="4:9">
      <c r="D735" s="47"/>
      <c r="E735" s="143"/>
      <c r="H735" s="2"/>
      <c r="I735" s="30"/>
    </row>
    <row r="736" spans="4:9">
      <c r="D736" s="47"/>
      <c r="E736" s="143"/>
      <c r="H736" s="2"/>
      <c r="I736" s="30"/>
    </row>
    <row r="737" spans="4:9">
      <c r="D737" s="47"/>
      <c r="E737" s="143"/>
      <c r="H737" s="2"/>
      <c r="I737" s="30"/>
    </row>
    <row r="738" spans="4:9">
      <c r="D738" s="47"/>
      <c r="E738" s="143"/>
      <c r="H738" s="2"/>
      <c r="I738" s="30"/>
    </row>
    <row r="739" spans="4:9">
      <c r="D739" s="47"/>
      <c r="E739" s="143"/>
      <c r="H739" s="2"/>
      <c r="I739" s="30"/>
    </row>
    <row r="740" spans="4:9">
      <c r="D740" s="47"/>
      <c r="E740" s="143"/>
      <c r="H740" s="2"/>
      <c r="I740" s="30"/>
    </row>
    <row r="741" spans="4:9">
      <c r="D741" s="47"/>
      <c r="E741" s="143"/>
      <c r="H741" s="2"/>
      <c r="I741" s="30"/>
    </row>
    <row r="742" spans="4:9">
      <c r="D742" s="47"/>
      <c r="E742" s="143"/>
      <c r="H742" s="2"/>
      <c r="I742" s="30"/>
    </row>
    <row r="743" spans="4:9">
      <c r="D743" s="47"/>
      <c r="E743" s="143"/>
      <c r="H743" s="2"/>
      <c r="I743" s="30"/>
    </row>
    <row r="744" spans="4:9">
      <c r="D744" s="47"/>
      <c r="E744" s="143"/>
      <c r="H744" s="2"/>
      <c r="I744" s="30"/>
    </row>
    <row r="745" spans="4:9">
      <c r="D745" s="47"/>
      <c r="E745" s="143"/>
      <c r="H745" s="2"/>
      <c r="I745" s="30"/>
    </row>
    <row r="746" spans="4:9">
      <c r="D746" s="47"/>
      <c r="E746" s="143"/>
      <c r="H746" s="2"/>
      <c r="I746" s="30"/>
    </row>
    <row r="747" spans="4:9">
      <c r="D747" s="47"/>
      <c r="E747" s="143"/>
      <c r="H747" s="2"/>
      <c r="I747" s="30"/>
    </row>
    <row r="748" spans="4:9">
      <c r="D748" s="47"/>
      <c r="E748" s="143"/>
      <c r="H748" s="2"/>
      <c r="I748" s="30"/>
    </row>
    <row r="749" spans="4:9">
      <c r="D749" s="47"/>
      <c r="E749" s="143"/>
      <c r="H749" s="2"/>
      <c r="I749" s="30"/>
    </row>
    <row r="750" spans="4:9">
      <c r="D750" s="47"/>
      <c r="E750" s="143"/>
      <c r="H750" s="2"/>
      <c r="I750" s="30"/>
    </row>
    <row r="751" spans="4:9">
      <c r="D751" s="47"/>
      <c r="E751" s="143"/>
      <c r="H751" s="2"/>
      <c r="I751" s="30"/>
    </row>
    <row r="752" spans="4:9">
      <c r="D752" s="47"/>
      <c r="E752" s="143"/>
      <c r="H752" s="2"/>
      <c r="I752" s="30"/>
    </row>
    <row r="753" spans="4:9">
      <c r="D753" s="47"/>
      <c r="E753" s="143"/>
      <c r="H753" s="2"/>
      <c r="I753" s="30"/>
    </row>
    <row r="754" spans="4:9">
      <c r="D754" s="47"/>
      <c r="E754" s="143"/>
      <c r="H754" s="2"/>
      <c r="I754" s="30"/>
    </row>
    <row r="755" spans="4:9">
      <c r="D755" s="47"/>
      <c r="E755" s="143"/>
      <c r="H755" s="2"/>
      <c r="I755" s="30"/>
    </row>
    <row r="756" spans="4:9">
      <c r="D756" s="47"/>
      <c r="E756" s="143"/>
      <c r="H756" s="2"/>
      <c r="I756" s="30"/>
    </row>
    <row r="757" spans="4:9">
      <c r="D757" s="47"/>
      <c r="E757" s="143"/>
      <c r="H757" s="2"/>
      <c r="I757" s="30"/>
    </row>
    <row r="758" spans="4:9">
      <c r="D758" s="47"/>
      <c r="E758" s="143"/>
      <c r="H758" s="2"/>
      <c r="I758" s="30"/>
    </row>
    <row r="759" spans="4:9">
      <c r="D759" s="47"/>
      <c r="E759" s="143"/>
      <c r="H759" s="2"/>
      <c r="I759" s="30"/>
    </row>
    <row r="760" spans="4:9">
      <c r="D760" s="47"/>
      <c r="E760" s="143"/>
      <c r="H760" s="2"/>
      <c r="I760" s="30"/>
    </row>
    <row r="761" spans="4:9">
      <c r="D761" s="47"/>
      <c r="E761" s="143"/>
      <c r="H761" s="2"/>
      <c r="I761" s="30"/>
    </row>
    <row r="762" spans="4:9">
      <c r="D762" s="47"/>
      <c r="E762" s="143"/>
      <c r="H762" s="2"/>
      <c r="I762" s="30"/>
    </row>
    <row r="763" spans="4:9">
      <c r="D763" s="47"/>
      <c r="E763" s="143"/>
      <c r="H763" s="2"/>
      <c r="I763" s="30"/>
    </row>
    <row r="764" spans="4:9">
      <c r="D764" s="47"/>
      <c r="E764" s="143"/>
      <c r="H764" s="2"/>
      <c r="I764" s="30"/>
    </row>
    <row r="765" spans="4:9">
      <c r="D765" s="47"/>
      <c r="E765" s="143"/>
      <c r="H765" s="2"/>
      <c r="I765" s="30"/>
    </row>
    <row r="766" spans="4:9">
      <c r="D766" s="47"/>
      <c r="E766" s="143"/>
      <c r="H766" s="2"/>
      <c r="I766" s="30"/>
    </row>
    <row r="767" spans="4:9">
      <c r="D767" s="47"/>
      <c r="E767" s="143"/>
      <c r="H767" s="2"/>
      <c r="I767" s="30"/>
    </row>
    <row r="768" spans="4:9">
      <c r="D768" s="47"/>
      <c r="E768" s="143"/>
      <c r="H768" s="2"/>
      <c r="I768" s="30"/>
    </row>
    <row r="769" spans="4:9">
      <c r="D769" s="47"/>
      <c r="E769" s="143"/>
      <c r="H769" s="2"/>
      <c r="I769" s="30"/>
    </row>
    <row r="770" spans="4:9">
      <c r="D770" s="47"/>
      <c r="E770" s="143"/>
      <c r="H770" s="2"/>
      <c r="I770" s="30"/>
    </row>
    <row r="771" spans="4:9">
      <c r="D771" s="47"/>
      <c r="E771" s="143"/>
      <c r="H771" s="2"/>
      <c r="I771" s="30"/>
    </row>
    <row r="772" spans="4:9">
      <c r="D772" s="47"/>
      <c r="E772" s="143"/>
      <c r="H772" s="2"/>
      <c r="I772" s="30"/>
    </row>
    <row r="773" spans="4:9">
      <c r="D773" s="47"/>
      <c r="E773" s="143"/>
      <c r="H773" s="2"/>
      <c r="I773" s="30"/>
    </row>
    <row r="774" spans="4:9">
      <c r="D774" s="47"/>
      <c r="E774" s="143"/>
      <c r="H774" s="2"/>
      <c r="I774" s="30"/>
    </row>
    <row r="775" spans="4:9">
      <c r="D775" s="47"/>
      <c r="E775" s="143"/>
      <c r="H775" s="2"/>
      <c r="I775" s="30"/>
    </row>
    <row r="776" spans="4:9">
      <c r="D776" s="47"/>
      <c r="E776" s="143"/>
      <c r="H776" s="2"/>
      <c r="I776" s="30"/>
    </row>
    <row r="777" spans="4:9">
      <c r="D777" s="47"/>
      <c r="E777" s="143"/>
      <c r="H777" s="2"/>
      <c r="I777" s="30"/>
    </row>
    <row r="778" spans="4:9">
      <c r="D778" s="47"/>
      <c r="E778" s="143"/>
      <c r="H778" s="2"/>
      <c r="I778" s="30"/>
    </row>
    <row r="779" spans="4:9">
      <c r="D779" s="47"/>
      <c r="E779" s="143"/>
      <c r="H779" s="2"/>
      <c r="I779" s="30"/>
    </row>
    <row r="780" spans="4:9">
      <c r="D780" s="47"/>
      <c r="E780" s="143"/>
      <c r="H780" s="2"/>
      <c r="I780" s="30"/>
    </row>
    <row r="781" spans="4:9">
      <c r="D781" s="47"/>
      <c r="E781" s="143"/>
      <c r="H781" s="2"/>
      <c r="I781" s="30"/>
    </row>
    <row r="782" spans="4:9">
      <c r="D782" s="47"/>
      <c r="E782" s="143"/>
      <c r="H782" s="2"/>
      <c r="I782" s="30"/>
    </row>
    <row r="783" spans="4:9">
      <c r="D783" s="47"/>
      <c r="E783" s="143"/>
      <c r="H783" s="2"/>
      <c r="I783" s="30"/>
    </row>
    <row r="784" spans="4:9">
      <c r="D784" s="47"/>
      <c r="E784" s="143"/>
      <c r="H784" s="2"/>
      <c r="I784" s="30"/>
    </row>
    <row r="785" spans="4:9">
      <c r="D785" s="47"/>
      <c r="E785" s="143"/>
      <c r="H785" s="2"/>
      <c r="I785" s="30"/>
    </row>
    <row r="786" spans="4:9">
      <c r="D786" s="47"/>
      <c r="E786" s="143"/>
      <c r="H786" s="2"/>
      <c r="I786" s="30"/>
    </row>
    <row r="787" spans="4:9">
      <c r="D787" s="47"/>
      <c r="E787" s="143"/>
      <c r="H787" s="2"/>
      <c r="I787" s="30"/>
    </row>
    <row r="788" spans="4:9">
      <c r="D788" s="47"/>
      <c r="E788" s="143"/>
      <c r="H788" s="2"/>
      <c r="I788" s="30"/>
    </row>
    <row r="789" spans="4:9">
      <c r="D789" s="47"/>
      <c r="E789" s="143"/>
      <c r="H789" s="2"/>
      <c r="I789" s="30"/>
    </row>
    <row r="790" spans="4:9">
      <c r="D790" s="47"/>
      <c r="E790" s="143"/>
      <c r="H790" s="2"/>
      <c r="I790" s="30"/>
    </row>
    <row r="791" spans="4:9">
      <c r="D791" s="47"/>
      <c r="E791" s="143"/>
      <c r="H791" s="2"/>
      <c r="I791" s="30"/>
    </row>
    <row r="792" spans="4:9">
      <c r="D792" s="47"/>
      <c r="E792" s="143"/>
      <c r="H792" s="2"/>
      <c r="I792" s="30"/>
    </row>
    <row r="793" spans="4:9">
      <c r="D793" s="47"/>
      <c r="E793" s="143"/>
      <c r="H793" s="2"/>
      <c r="I793" s="30"/>
    </row>
    <row r="794" spans="4:9">
      <c r="D794" s="47"/>
      <c r="E794" s="143"/>
      <c r="H794" s="2"/>
      <c r="I794" s="30"/>
    </row>
    <row r="795" spans="4:9">
      <c r="D795" s="47"/>
      <c r="E795" s="143"/>
      <c r="H795" s="2"/>
      <c r="I795" s="30"/>
    </row>
    <row r="796" spans="4:9">
      <c r="D796" s="47"/>
      <c r="E796" s="143"/>
      <c r="H796" s="2"/>
      <c r="I796" s="30"/>
    </row>
    <row r="797" spans="4:9">
      <c r="D797" s="47"/>
      <c r="E797" s="143"/>
      <c r="H797" s="2"/>
      <c r="I797" s="30"/>
    </row>
    <row r="798" spans="4:9">
      <c r="D798" s="47"/>
      <c r="E798" s="143"/>
      <c r="H798" s="2"/>
      <c r="I798" s="30"/>
    </row>
    <row r="799" spans="4:9">
      <c r="D799" s="47"/>
      <c r="E799" s="143"/>
      <c r="H799" s="2"/>
      <c r="I799" s="30"/>
    </row>
    <row r="800" spans="4:9">
      <c r="D800" s="47"/>
      <c r="E800" s="143"/>
      <c r="H800" s="2"/>
      <c r="I800" s="30"/>
    </row>
    <row r="801" spans="4:9">
      <c r="D801" s="47"/>
      <c r="E801" s="143"/>
      <c r="H801" s="2"/>
      <c r="I801" s="30"/>
    </row>
    <row r="802" spans="4:9">
      <c r="D802" s="47"/>
      <c r="E802" s="143"/>
      <c r="H802" s="2"/>
      <c r="I802" s="30"/>
    </row>
    <row r="803" spans="4:9">
      <c r="D803" s="47"/>
      <c r="E803" s="143"/>
      <c r="H803" s="2"/>
      <c r="I803" s="30"/>
    </row>
    <row r="804" spans="4:9">
      <c r="D804" s="47"/>
      <c r="E804" s="143"/>
      <c r="H804" s="2"/>
      <c r="I804" s="30"/>
    </row>
    <row r="805" spans="4:9">
      <c r="D805" s="47"/>
      <c r="E805" s="143"/>
      <c r="H805" s="2"/>
      <c r="I805" s="30"/>
    </row>
    <row r="806" spans="4:9">
      <c r="D806" s="47"/>
      <c r="E806" s="143"/>
      <c r="H806" s="2"/>
      <c r="I806" s="30"/>
    </row>
    <row r="807" spans="4:9">
      <c r="D807" s="47"/>
      <c r="E807" s="143"/>
      <c r="H807" s="2"/>
      <c r="I807" s="30"/>
    </row>
    <row r="808" spans="4:9">
      <c r="D808" s="47"/>
      <c r="E808" s="143"/>
      <c r="H808" s="2"/>
      <c r="I808" s="30"/>
    </row>
    <row r="809" spans="4:9">
      <c r="D809" s="47"/>
      <c r="E809" s="143"/>
      <c r="H809" s="2"/>
      <c r="I809" s="30"/>
    </row>
    <row r="810" spans="4:9">
      <c r="D810" s="47"/>
      <c r="E810" s="143"/>
      <c r="H810" s="2"/>
      <c r="I810" s="30"/>
    </row>
    <row r="811" spans="4:9">
      <c r="D811" s="47"/>
      <c r="E811" s="143"/>
      <c r="H811" s="2"/>
      <c r="I811" s="30"/>
    </row>
    <row r="812" spans="4:9">
      <c r="D812" s="47"/>
      <c r="E812" s="143"/>
      <c r="H812" s="2"/>
      <c r="I812" s="30"/>
    </row>
    <row r="813" spans="4:9">
      <c r="D813" s="47"/>
      <c r="E813" s="143"/>
      <c r="H813" s="2"/>
      <c r="I813" s="30"/>
    </row>
    <row r="814" spans="4:9">
      <c r="D814" s="47"/>
      <c r="E814" s="143"/>
      <c r="H814" s="2"/>
      <c r="I814" s="30"/>
    </row>
    <row r="815" spans="4:9">
      <c r="D815" s="47"/>
      <c r="E815" s="143"/>
      <c r="H815" s="2"/>
      <c r="I815" s="30"/>
    </row>
    <row r="816" spans="4:9">
      <c r="D816" s="47"/>
      <c r="E816" s="143"/>
      <c r="H816" s="2"/>
      <c r="I816" s="30"/>
    </row>
    <row r="817" spans="4:9">
      <c r="D817" s="47"/>
      <c r="E817" s="143"/>
      <c r="H817" s="2"/>
      <c r="I817" s="30"/>
    </row>
    <row r="818" spans="4:9">
      <c r="D818" s="47"/>
      <c r="E818" s="143"/>
      <c r="H818" s="2"/>
      <c r="I818" s="30"/>
    </row>
    <row r="819" spans="4:9">
      <c r="D819" s="47"/>
      <c r="E819" s="143"/>
      <c r="H819" s="2"/>
      <c r="I819" s="30"/>
    </row>
    <row r="820" spans="4:9">
      <c r="D820" s="47"/>
      <c r="E820" s="143"/>
      <c r="H820" s="2"/>
      <c r="I820" s="30"/>
    </row>
    <row r="821" spans="4:9">
      <c r="D821" s="47"/>
      <c r="E821" s="143"/>
      <c r="H821" s="2"/>
      <c r="I821" s="30"/>
    </row>
    <row r="822" spans="4:9">
      <c r="D822" s="47"/>
      <c r="E822" s="143"/>
      <c r="H822" s="2"/>
      <c r="I822" s="30"/>
    </row>
    <row r="823" spans="4:9">
      <c r="D823" s="47"/>
      <c r="E823" s="143"/>
      <c r="H823" s="2"/>
      <c r="I823" s="30"/>
    </row>
    <row r="824" spans="4:9">
      <c r="D824" s="47"/>
      <c r="E824" s="143"/>
      <c r="H824" s="2"/>
      <c r="I824" s="30"/>
    </row>
    <row r="825" spans="4:9">
      <c r="D825" s="47"/>
      <c r="E825" s="143"/>
      <c r="H825" s="2"/>
      <c r="I825" s="30"/>
    </row>
    <row r="826" spans="4:9">
      <c r="D826" s="47"/>
      <c r="E826" s="143"/>
      <c r="H826" s="2"/>
      <c r="I826" s="30"/>
    </row>
    <row r="827" spans="4:9">
      <c r="D827" s="47"/>
      <c r="E827" s="143"/>
      <c r="H827" s="2"/>
      <c r="I827" s="30"/>
    </row>
    <row r="828" spans="4:9">
      <c r="D828" s="47"/>
      <c r="E828" s="143"/>
      <c r="H828" s="2"/>
      <c r="I828" s="30"/>
    </row>
    <row r="829" spans="4:9">
      <c r="D829" s="47"/>
      <c r="E829" s="143"/>
      <c r="H829" s="2"/>
      <c r="I829" s="30"/>
    </row>
    <row r="830" spans="4:9">
      <c r="D830" s="47"/>
      <c r="E830" s="143"/>
      <c r="H830" s="2"/>
      <c r="I830" s="30"/>
    </row>
    <row r="831" spans="4:9">
      <c r="D831" s="47"/>
      <c r="E831" s="143"/>
      <c r="H831" s="2"/>
      <c r="I831" s="30"/>
    </row>
    <row r="832" spans="4:9">
      <c r="D832" s="47"/>
      <c r="E832" s="143"/>
      <c r="H832" s="2"/>
      <c r="I832" s="30"/>
    </row>
    <row r="833" spans="4:9">
      <c r="D833" s="47"/>
      <c r="E833" s="143"/>
      <c r="H833" s="2"/>
      <c r="I833" s="30"/>
    </row>
    <row r="834" spans="4:9">
      <c r="D834" s="47"/>
      <c r="E834" s="143"/>
      <c r="H834" s="2"/>
      <c r="I834" s="30"/>
    </row>
    <row r="835" spans="4:9">
      <c r="D835" s="47"/>
      <c r="E835" s="143"/>
      <c r="H835" s="2"/>
      <c r="I835" s="30"/>
    </row>
    <row r="836" spans="4:9">
      <c r="D836" s="47"/>
      <c r="E836" s="143"/>
      <c r="H836" s="2"/>
      <c r="I836" s="30"/>
    </row>
    <row r="837" spans="4:9">
      <c r="D837" s="47"/>
      <c r="E837" s="143"/>
      <c r="H837" s="2"/>
      <c r="I837" s="30"/>
    </row>
    <row r="838" spans="4:9">
      <c r="D838" s="47"/>
      <c r="E838" s="143"/>
      <c r="H838" s="2"/>
      <c r="I838" s="30"/>
    </row>
    <row r="839" spans="4:9">
      <c r="D839" s="47"/>
      <c r="E839" s="143"/>
      <c r="H839" s="2"/>
      <c r="I839" s="30"/>
    </row>
    <row r="840" spans="4:9">
      <c r="D840" s="47"/>
      <c r="E840" s="143"/>
      <c r="H840" s="2"/>
      <c r="I840" s="30"/>
    </row>
    <row r="841" spans="4:9">
      <c r="D841" s="47"/>
      <c r="E841" s="143"/>
      <c r="H841" s="2"/>
      <c r="I841" s="30"/>
    </row>
    <row r="842" spans="4:9">
      <c r="D842" s="47"/>
      <c r="E842" s="143"/>
      <c r="H842" s="2"/>
      <c r="I842" s="30"/>
    </row>
    <row r="843" spans="4:9">
      <c r="D843" s="47"/>
      <c r="E843" s="143"/>
      <c r="H843" s="2"/>
      <c r="I843" s="30"/>
    </row>
    <row r="844" spans="4:9">
      <c r="D844" s="47"/>
      <c r="E844" s="143"/>
      <c r="H844" s="2"/>
      <c r="I844" s="30"/>
    </row>
    <row r="845" spans="4:9">
      <c r="D845" s="47"/>
      <c r="E845" s="143"/>
      <c r="H845" s="2"/>
      <c r="I845" s="30"/>
    </row>
    <row r="846" spans="4:9">
      <c r="D846" s="47"/>
      <c r="E846" s="143"/>
      <c r="H846" s="2"/>
      <c r="I846" s="30"/>
    </row>
    <row r="847" spans="4:9">
      <c r="D847" s="47"/>
      <c r="E847" s="143"/>
      <c r="H847" s="2"/>
      <c r="I847" s="30"/>
    </row>
    <row r="848" spans="4:9">
      <c r="D848" s="47"/>
      <c r="E848" s="143"/>
      <c r="H848" s="2"/>
      <c r="I848" s="30"/>
    </row>
    <row r="849" spans="4:9">
      <c r="D849" s="47"/>
      <c r="E849" s="143"/>
      <c r="H849" s="2"/>
      <c r="I849" s="30"/>
    </row>
    <row r="850" spans="4:9">
      <c r="D850" s="47"/>
      <c r="E850" s="143"/>
      <c r="H850" s="2"/>
      <c r="I850" s="30"/>
    </row>
    <row r="851" spans="4:9">
      <c r="D851" s="47"/>
      <c r="E851" s="143"/>
      <c r="H851" s="2"/>
      <c r="I851" s="30"/>
    </row>
    <row r="852" spans="4:9">
      <c r="D852" s="47"/>
      <c r="E852" s="143"/>
      <c r="H852" s="2"/>
      <c r="I852" s="30"/>
    </row>
    <row r="853" spans="4:9">
      <c r="D853" s="47"/>
      <c r="E853" s="143"/>
      <c r="H853" s="2"/>
      <c r="I853" s="30"/>
    </row>
    <row r="854" spans="4:9">
      <c r="D854" s="47"/>
      <c r="E854" s="143"/>
      <c r="H854" s="2"/>
      <c r="I854" s="30"/>
    </row>
    <row r="855" spans="4:9">
      <c r="D855" s="47"/>
      <c r="E855" s="143"/>
      <c r="H855" s="2"/>
      <c r="I855" s="30"/>
    </row>
    <row r="856" spans="4:9">
      <c r="D856" s="47"/>
      <c r="E856" s="143"/>
      <c r="H856" s="2"/>
      <c r="I856" s="30"/>
    </row>
    <row r="857" spans="4:9">
      <c r="D857" s="47"/>
      <c r="E857" s="143"/>
      <c r="H857" s="2"/>
      <c r="I857" s="30"/>
    </row>
    <row r="858" spans="4:9">
      <c r="D858" s="47"/>
      <c r="E858" s="143"/>
      <c r="H858" s="2"/>
      <c r="I858" s="30"/>
    </row>
    <row r="859" spans="4:9">
      <c r="D859" s="47"/>
      <c r="E859" s="143"/>
      <c r="H859" s="2"/>
      <c r="I859" s="30"/>
    </row>
    <row r="860" spans="4:9">
      <c r="D860" s="47"/>
      <c r="E860" s="143"/>
      <c r="H860" s="2"/>
      <c r="I860" s="30"/>
    </row>
    <row r="861" spans="4:9">
      <c r="D861" s="47"/>
      <c r="E861" s="143"/>
      <c r="H861" s="2"/>
      <c r="I861" s="30"/>
    </row>
    <row r="862" spans="4:9">
      <c r="D862" s="47"/>
      <c r="E862" s="143"/>
      <c r="H862" s="2"/>
      <c r="I862" s="30"/>
    </row>
    <row r="863" spans="4:9">
      <c r="D863" s="47"/>
      <c r="E863" s="143"/>
      <c r="H863" s="2"/>
      <c r="I863" s="30"/>
    </row>
    <row r="864" spans="4:9">
      <c r="D864" s="47"/>
      <c r="E864" s="143"/>
      <c r="H864" s="2"/>
      <c r="I864" s="30"/>
    </row>
    <row r="865" spans="4:9">
      <c r="D865" s="47"/>
      <c r="E865" s="143"/>
      <c r="H865" s="2"/>
      <c r="I865" s="30"/>
    </row>
    <row r="866" spans="4:9">
      <c r="D866" s="47"/>
      <c r="E866" s="143"/>
      <c r="H866" s="2"/>
      <c r="I866" s="30"/>
    </row>
    <row r="867" spans="4:9">
      <c r="D867" s="47"/>
      <c r="E867" s="143"/>
      <c r="H867" s="2"/>
      <c r="I867" s="30"/>
    </row>
    <row r="868" spans="4:9">
      <c r="D868" s="47"/>
      <c r="E868" s="143"/>
      <c r="H868" s="2"/>
      <c r="I868" s="30"/>
    </row>
    <row r="869" spans="4:9">
      <c r="D869" s="47"/>
      <c r="E869" s="143"/>
      <c r="H869" s="2"/>
      <c r="I869" s="30"/>
    </row>
    <row r="870" spans="4:9">
      <c r="D870" s="47"/>
      <c r="E870" s="143"/>
      <c r="H870" s="2"/>
      <c r="I870" s="30"/>
    </row>
    <row r="871" spans="4:9">
      <c r="D871" s="47"/>
      <c r="E871" s="143"/>
      <c r="H871" s="2"/>
      <c r="I871" s="30"/>
    </row>
    <row r="872" spans="4:9">
      <c r="D872" s="47"/>
      <c r="E872" s="143"/>
      <c r="H872" s="2"/>
      <c r="I872" s="30"/>
    </row>
    <row r="873" spans="4:9">
      <c r="D873" s="47"/>
      <c r="E873" s="143"/>
      <c r="H873" s="2"/>
      <c r="I873" s="30"/>
    </row>
    <row r="874" spans="4:9">
      <c r="D874" s="47"/>
      <c r="E874" s="143"/>
      <c r="H874" s="2"/>
      <c r="I874" s="30"/>
    </row>
    <row r="875" spans="4:9">
      <c r="D875" s="47"/>
      <c r="E875" s="143"/>
      <c r="H875" s="2"/>
      <c r="I875" s="30"/>
    </row>
    <row r="876" spans="4:9">
      <c r="D876" s="47"/>
      <c r="E876" s="143"/>
      <c r="H876" s="2"/>
      <c r="I876" s="30"/>
    </row>
    <row r="877" spans="4:9">
      <c r="D877" s="47"/>
      <c r="E877" s="143"/>
      <c r="H877" s="2"/>
      <c r="I877" s="30"/>
    </row>
    <row r="878" spans="4:9">
      <c r="D878" s="47"/>
      <c r="E878" s="143"/>
      <c r="H878" s="2"/>
      <c r="I878" s="30"/>
    </row>
    <row r="879" spans="4:9">
      <c r="D879" s="47"/>
      <c r="E879" s="143"/>
      <c r="H879" s="2"/>
      <c r="I879" s="30"/>
    </row>
    <row r="880" spans="4:9">
      <c r="D880" s="47"/>
      <c r="E880" s="143"/>
      <c r="H880" s="2"/>
      <c r="I880" s="30"/>
    </row>
    <row r="881" spans="4:9">
      <c r="D881" s="47"/>
      <c r="E881" s="143"/>
      <c r="H881" s="2"/>
      <c r="I881" s="30"/>
    </row>
    <row r="882" spans="4:9">
      <c r="D882" s="47"/>
      <c r="E882" s="143"/>
      <c r="H882" s="2"/>
      <c r="I882" s="30"/>
    </row>
    <row r="883" spans="4:9">
      <c r="D883" s="47"/>
      <c r="E883" s="143"/>
      <c r="H883" s="2"/>
      <c r="I883" s="30"/>
    </row>
    <row r="884" spans="4:9">
      <c r="D884" s="47"/>
      <c r="E884" s="143"/>
      <c r="H884" s="2"/>
      <c r="I884" s="30"/>
    </row>
    <row r="885" spans="4:9">
      <c r="D885" s="47"/>
      <c r="E885" s="143"/>
      <c r="H885" s="2"/>
      <c r="I885" s="30"/>
    </row>
    <row r="886" spans="4:9">
      <c r="D886" s="47"/>
      <c r="E886" s="143"/>
      <c r="H886" s="2"/>
      <c r="I886" s="30"/>
    </row>
    <row r="887" spans="4:9">
      <c r="D887" s="47"/>
      <c r="E887" s="143"/>
      <c r="H887" s="2"/>
      <c r="I887" s="30"/>
    </row>
    <row r="888" spans="4:9">
      <c r="D888" s="47"/>
      <c r="E888" s="143"/>
      <c r="H888" s="2"/>
      <c r="I888" s="30"/>
    </row>
    <row r="889" spans="4:9">
      <c r="D889" s="47"/>
      <c r="E889" s="143"/>
      <c r="H889" s="2"/>
      <c r="I889" s="30"/>
    </row>
    <row r="890" spans="4:9">
      <c r="D890" s="47"/>
      <c r="E890" s="143"/>
      <c r="H890" s="2"/>
      <c r="I890" s="30"/>
    </row>
    <row r="891" spans="4:9">
      <c r="D891" s="47"/>
      <c r="E891" s="143"/>
      <c r="H891" s="2"/>
      <c r="I891" s="30"/>
    </row>
    <row r="892" spans="4:9">
      <c r="D892" s="47"/>
      <c r="E892" s="143"/>
      <c r="H892" s="2"/>
      <c r="I892" s="30"/>
    </row>
    <row r="893" spans="4:9">
      <c r="D893" s="47"/>
      <c r="E893" s="143"/>
      <c r="H893" s="2"/>
      <c r="I893" s="30"/>
    </row>
    <row r="894" spans="4:9">
      <c r="D894" s="47"/>
      <c r="E894" s="143"/>
      <c r="H894" s="2"/>
      <c r="I894" s="30"/>
    </row>
    <row r="895" spans="4:9">
      <c r="D895" s="47"/>
      <c r="E895" s="143"/>
      <c r="H895" s="2"/>
      <c r="I895" s="30"/>
    </row>
    <row r="896" spans="4:9">
      <c r="D896" s="47"/>
      <c r="E896" s="143"/>
      <c r="H896" s="2"/>
      <c r="I896" s="30"/>
    </row>
    <row r="897" spans="4:9">
      <c r="D897" s="47"/>
      <c r="E897" s="143"/>
      <c r="H897" s="2"/>
      <c r="I897" s="30"/>
    </row>
    <row r="898" spans="4:9">
      <c r="D898" s="47"/>
      <c r="E898" s="143"/>
      <c r="H898" s="2"/>
      <c r="I898" s="30"/>
    </row>
    <row r="899" spans="4:9">
      <c r="D899" s="47"/>
      <c r="E899" s="143"/>
      <c r="H899" s="2"/>
      <c r="I899" s="30"/>
    </row>
    <row r="900" spans="4:9">
      <c r="D900" s="47"/>
      <c r="E900" s="143"/>
      <c r="H900" s="2"/>
      <c r="I900" s="30"/>
    </row>
    <row r="901" spans="4:9">
      <c r="D901" s="47"/>
      <c r="E901" s="143"/>
      <c r="H901" s="2"/>
      <c r="I901" s="30"/>
    </row>
    <row r="902" spans="4:9">
      <c r="D902" s="47"/>
      <c r="E902" s="143"/>
      <c r="H902" s="2"/>
      <c r="I902" s="30"/>
    </row>
    <row r="903" spans="4:9">
      <c r="D903" s="47"/>
      <c r="E903" s="143"/>
      <c r="H903" s="2"/>
      <c r="I903" s="30"/>
    </row>
    <row r="904" spans="4:9">
      <c r="D904" s="47"/>
      <c r="E904" s="143"/>
      <c r="H904" s="2"/>
      <c r="I904" s="30"/>
    </row>
    <row r="905" spans="4:9">
      <c r="D905" s="47"/>
      <c r="E905" s="143"/>
      <c r="H905" s="2"/>
      <c r="I905" s="30"/>
    </row>
    <row r="906" spans="4:9">
      <c r="D906" s="47"/>
      <c r="E906" s="143"/>
      <c r="H906" s="2"/>
      <c r="I906" s="30"/>
    </row>
    <row r="907" spans="4:9">
      <c r="D907" s="47"/>
      <c r="E907" s="143"/>
      <c r="H907" s="2"/>
      <c r="I907" s="30"/>
    </row>
    <row r="908" spans="4:9">
      <c r="D908" s="47"/>
      <c r="E908" s="143"/>
      <c r="H908" s="2"/>
      <c r="I908" s="30"/>
    </row>
    <row r="909" spans="4:9">
      <c r="D909" s="47"/>
      <c r="E909" s="143"/>
      <c r="H909" s="2"/>
      <c r="I909" s="30"/>
    </row>
    <row r="910" spans="4:9">
      <c r="D910" s="47"/>
      <c r="E910" s="143"/>
      <c r="H910" s="2"/>
      <c r="I910" s="30"/>
    </row>
    <row r="911" spans="4:9">
      <c r="D911" s="47"/>
      <c r="E911" s="143"/>
      <c r="H911" s="2"/>
      <c r="I911" s="30"/>
    </row>
    <row r="912" spans="4:9">
      <c r="D912" s="47"/>
      <c r="E912" s="143"/>
      <c r="H912" s="2"/>
      <c r="I912" s="30"/>
    </row>
    <row r="913" spans="4:9">
      <c r="D913" s="47"/>
      <c r="E913" s="143"/>
      <c r="H913" s="2"/>
      <c r="I913" s="30"/>
    </row>
    <row r="914" spans="4:9">
      <c r="D914" s="47"/>
      <c r="E914" s="143"/>
      <c r="H914" s="2"/>
      <c r="I914" s="30"/>
    </row>
    <row r="915" spans="4:9">
      <c r="D915" s="47"/>
      <c r="E915" s="143"/>
      <c r="H915" s="2"/>
      <c r="I915" s="30"/>
    </row>
    <row r="916" spans="4:9">
      <c r="D916" s="47"/>
      <c r="E916" s="143"/>
      <c r="H916" s="2"/>
      <c r="I916" s="30"/>
    </row>
    <row r="917" spans="4:9">
      <c r="D917" s="47"/>
      <c r="E917" s="143"/>
      <c r="H917" s="2"/>
      <c r="I917" s="30"/>
    </row>
    <row r="918" spans="4:9">
      <c r="D918" s="47"/>
      <c r="E918" s="143"/>
      <c r="H918" s="2"/>
      <c r="I918" s="30"/>
    </row>
    <row r="919" spans="4:9">
      <c r="D919" s="47"/>
      <c r="E919" s="143"/>
      <c r="H919" s="2"/>
      <c r="I919" s="30"/>
    </row>
    <row r="920" spans="4:9">
      <c r="D920" s="47"/>
      <c r="E920" s="143"/>
      <c r="H920" s="2"/>
      <c r="I920" s="30"/>
    </row>
    <row r="921" spans="4:9">
      <c r="D921" s="47"/>
      <c r="E921" s="143"/>
      <c r="H921" s="2"/>
      <c r="I921" s="30"/>
    </row>
    <row r="922" spans="4:9">
      <c r="D922" s="47"/>
      <c r="E922" s="143"/>
      <c r="H922" s="2"/>
      <c r="I922" s="30"/>
    </row>
    <row r="923" spans="4:9">
      <c r="D923" s="47"/>
      <c r="E923" s="143"/>
      <c r="H923" s="2"/>
      <c r="I923" s="30"/>
    </row>
    <row r="924" spans="4:9">
      <c r="D924" s="47"/>
      <c r="E924" s="143"/>
      <c r="H924" s="2"/>
      <c r="I924" s="30"/>
    </row>
    <row r="925" spans="4:9">
      <c r="D925" s="47"/>
      <c r="E925" s="143"/>
      <c r="H925" s="2"/>
      <c r="I925" s="30"/>
    </row>
    <row r="926" spans="4:9">
      <c r="D926" s="47"/>
      <c r="E926" s="143"/>
      <c r="H926" s="2"/>
      <c r="I926" s="30"/>
    </row>
    <row r="927" spans="4:9">
      <c r="D927" s="47"/>
      <c r="E927" s="143"/>
      <c r="H927" s="2"/>
      <c r="I927" s="30"/>
    </row>
    <row r="928" spans="4:9">
      <c r="D928" s="47"/>
      <c r="E928" s="143"/>
      <c r="H928" s="2"/>
      <c r="I928" s="30"/>
    </row>
    <row r="929" spans="4:9">
      <c r="D929" s="47"/>
      <c r="E929" s="143"/>
      <c r="H929" s="2"/>
      <c r="I929" s="30"/>
    </row>
    <row r="930" spans="4:9">
      <c r="D930" s="47"/>
      <c r="E930" s="143"/>
      <c r="H930" s="2"/>
      <c r="I930" s="30"/>
    </row>
    <row r="931" spans="4:9">
      <c r="D931" s="47"/>
      <c r="E931" s="143"/>
      <c r="H931" s="2"/>
      <c r="I931" s="30"/>
    </row>
    <row r="932" spans="4:9">
      <c r="D932" s="47"/>
      <c r="E932" s="143"/>
      <c r="H932" s="2"/>
      <c r="I932" s="30"/>
    </row>
    <row r="933" spans="4:9">
      <c r="D933" s="47"/>
      <c r="E933" s="143"/>
      <c r="H933" s="2"/>
      <c r="I933" s="30"/>
    </row>
    <row r="934" spans="4:9">
      <c r="D934" s="47"/>
      <c r="E934" s="143"/>
      <c r="H934" s="2"/>
      <c r="I934" s="30"/>
    </row>
    <row r="935" spans="4:9">
      <c r="D935" s="47"/>
      <c r="E935" s="143"/>
      <c r="H935" s="2"/>
      <c r="I935" s="30"/>
    </row>
    <row r="936" spans="4:9">
      <c r="D936" s="47"/>
      <c r="E936" s="143"/>
      <c r="H936" s="2"/>
      <c r="I936" s="30"/>
    </row>
    <row r="937" spans="4:9">
      <c r="D937" s="47"/>
      <c r="E937" s="143"/>
      <c r="H937" s="2"/>
      <c r="I937" s="30"/>
    </row>
    <row r="938" spans="4:9">
      <c r="D938" s="47"/>
      <c r="E938" s="143"/>
      <c r="H938" s="2"/>
      <c r="I938" s="30"/>
    </row>
    <row r="939" spans="4:9">
      <c r="D939" s="47"/>
      <c r="E939" s="143"/>
      <c r="H939" s="2"/>
      <c r="I939" s="30"/>
    </row>
    <row r="940" spans="4:9">
      <c r="D940" s="47"/>
      <c r="E940" s="143"/>
      <c r="H940" s="2"/>
      <c r="I940" s="30"/>
    </row>
    <row r="941" spans="4:9">
      <c r="D941" s="47"/>
      <c r="E941" s="143"/>
      <c r="H941" s="2"/>
      <c r="I941" s="30"/>
    </row>
    <row r="942" spans="4:9">
      <c r="D942" s="47"/>
      <c r="E942" s="143"/>
      <c r="H942" s="2"/>
      <c r="I942" s="30"/>
    </row>
    <row r="943" spans="4:9">
      <c r="D943" s="47"/>
      <c r="E943" s="143"/>
      <c r="H943" s="2"/>
      <c r="I943" s="30"/>
    </row>
    <row r="944" spans="4:9">
      <c r="D944" s="47"/>
      <c r="E944" s="143"/>
      <c r="H944" s="2"/>
      <c r="I944" s="30"/>
    </row>
    <row r="945" spans="4:9">
      <c r="D945" s="47"/>
      <c r="E945" s="143"/>
      <c r="H945" s="2"/>
      <c r="I945" s="30"/>
    </row>
    <row r="946" spans="4:9">
      <c r="D946" s="47"/>
      <c r="E946" s="143"/>
      <c r="H946" s="2"/>
      <c r="I946" s="30"/>
    </row>
    <row r="947" spans="4:9">
      <c r="D947" s="47"/>
      <c r="E947" s="143"/>
      <c r="H947" s="2"/>
      <c r="I947" s="30"/>
    </row>
    <row r="948" spans="4:9">
      <c r="D948" s="47"/>
      <c r="E948" s="143"/>
      <c r="H948" s="2"/>
      <c r="I948" s="30"/>
    </row>
    <row r="949" spans="4:9">
      <c r="D949" s="47"/>
      <c r="E949" s="143"/>
      <c r="H949" s="2"/>
      <c r="I949" s="30"/>
    </row>
    <row r="950" spans="4:9">
      <c r="D950" s="47"/>
      <c r="E950" s="143"/>
      <c r="H950" s="2"/>
      <c r="I950" s="30"/>
    </row>
    <row r="951" spans="4:9">
      <c r="D951" s="47"/>
      <c r="E951" s="143"/>
      <c r="H951" s="2"/>
      <c r="I951" s="30"/>
    </row>
    <row r="952" spans="4:9">
      <c r="D952" s="47"/>
      <c r="E952" s="143"/>
      <c r="H952" s="2"/>
      <c r="I952" s="30"/>
    </row>
    <row r="953" spans="4:9">
      <c r="D953" s="47"/>
      <c r="E953" s="143"/>
      <c r="H953" s="2"/>
      <c r="I953" s="30"/>
    </row>
    <row r="954" spans="4:9">
      <c r="D954" s="47"/>
      <c r="E954" s="143"/>
      <c r="H954" s="2"/>
      <c r="I954" s="30"/>
    </row>
    <row r="955" spans="4:9">
      <c r="D955" s="47"/>
      <c r="E955" s="143"/>
      <c r="H955" s="2"/>
      <c r="I955" s="30"/>
    </row>
    <row r="956" spans="4:9">
      <c r="D956" s="47"/>
      <c r="E956" s="143"/>
      <c r="H956" s="2"/>
      <c r="I956" s="30"/>
    </row>
    <row r="957" spans="4:9">
      <c r="D957" s="47"/>
      <c r="E957" s="143"/>
      <c r="H957" s="2"/>
      <c r="I957" s="30"/>
    </row>
    <row r="958" spans="4:9">
      <c r="D958" s="47"/>
      <c r="E958" s="143"/>
      <c r="H958" s="2"/>
      <c r="I958" s="30"/>
    </row>
    <row r="959" spans="4:9">
      <c r="D959" s="47"/>
      <c r="E959" s="143"/>
      <c r="H959" s="2"/>
      <c r="I959" s="30"/>
    </row>
    <row r="960" spans="4:9">
      <c r="D960" s="47"/>
      <c r="E960" s="143"/>
      <c r="H960" s="2"/>
      <c r="I960" s="30"/>
    </row>
    <row r="961" spans="4:9">
      <c r="D961" s="47"/>
      <c r="E961" s="143"/>
      <c r="H961" s="2"/>
      <c r="I961" s="30"/>
    </row>
    <row r="962" spans="4:9">
      <c r="D962" s="47"/>
      <c r="E962" s="143"/>
      <c r="H962" s="2"/>
      <c r="I962" s="30"/>
    </row>
    <row r="963" spans="4:9">
      <c r="D963" s="47"/>
      <c r="E963" s="143"/>
      <c r="H963" s="2"/>
      <c r="I963" s="30"/>
    </row>
    <row r="964" spans="4:9">
      <c r="D964" s="47"/>
      <c r="E964" s="143"/>
      <c r="H964" s="2"/>
      <c r="I964" s="30"/>
    </row>
    <row r="965" spans="4:9">
      <c r="D965" s="47"/>
      <c r="E965" s="143"/>
      <c r="H965" s="2"/>
      <c r="I965" s="30"/>
    </row>
    <row r="966" spans="4:9">
      <c r="D966" s="47"/>
      <c r="E966" s="143"/>
      <c r="H966" s="2"/>
      <c r="I966" s="30"/>
    </row>
    <row r="967" spans="4:9">
      <c r="D967" s="47"/>
      <c r="E967" s="143"/>
      <c r="H967" s="2"/>
      <c r="I967" s="30"/>
    </row>
    <row r="968" spans="4:9">
      <c r="D968" s="47"/>
      <c r="E968" s="143"/>
      <c r="H968" s="2"/>
      <c r="I968" s="30"/>
    </row>
    <row r="969" spans="4:9">
      <c r="D969" s="47"/>
      <c r="E969" s="143"/>
      <c r="H969" s="2"/>
      <c r="I969" s="30"/>
    </row>
    <row r="970" spans="4:9">
      <c r="D970" s="47"/>
      <c r="E970" s="143"/>
      <c r="H970" s="2"/>
      <c r="I970" s="30"/>
    </row>
    <row r="971" spans="4:9">
      <c r="D971" s="47"/>
      <c r="E971" s="143"/>
      <c r="H971" s="2"/>
      <c r="I971" s="30"/>
    </row>
    <row r="972" spans="4:9">
      <c r="D972" s="47"/>
      <c r="E972" s="143"/>
      <c r="H972" s="2"/>
      <c r="I972" s="30"/>
    </row>
    <row r="973" spans="4:9">
      <c r="D973" s="47"/>
      <c r="E973" s="143"/>
      <c r="H973" s="2"/>
      <c r="I973" s="30"/>
    </row>
    <row r="974" spans="4:9">
      <c r="D974" s="47"/>
      <c r="E974" s="143"/>
      <c r="H974" s="2"/>
      <c r="I974" s="30"/>
    </row>
    <row r="975" spans="4:9">
      <c r="D975" s="47"/>
      <c r="E975" s="143"/>
      <c r="H975" s="2"/>
      <c r="I975" s="30"/>
    </row>
    <row r="976" spans="4:9">
      <c r="D976" s="47"/>
      <c r="E976" s="143"/>
      <c r="H976" s="2"/>
      <c r="I976" s="30"/>
    </row>
    <row r="977" spans="4:15">
      <c r="D977" s="47"/>
      <c r="E977" s="143"/>
      <c r="H977" s="2"/>
      <c r="I977" s="30"/>
    </row>
    <row r="978" spans="4:15">
      <c r="K978" s="143"/>
      <c r="N978" s="2"/>
      <c r="O978" s="30"/>
    </row>
    <row r="979" spans="4:15">
      <c r="K979" s="143"/>
      <c r="N979" s="2"/>
      <c r="O979" s="30"/>
    </row>
    <row r="980" spans="4:15">
      <c r="K980" s="143"/>
      <c r="N980" s="2"/>
      <c r="O980" s="30"/>
    </row>
    <row r="981" spans="4:15">
      <c r="K981" s="143"/>
      <c r="N981" s="2"/>
      <c r="O981" s="30"/>
    </row>
    <row r="982" spans="4:15">
      <c r="K982" s="143"/>
      <c r="N982" s="2"/>
      <c r="O982" s="30"/>
    </row>
    <row r="983" spans="4:15">
      <c r="K983" s="143"/>
      <c r="N983" s="2"/>
      <c r="O983" s="30"/>
    </row>
    <row r="984" spans="4:15">
      <c r="K984" s="143"/>
      <c r="N984" s="2"/>
      <c r="O984" s="30"/>
    </row>
    <row r="985" spans="4:15">
      <c r="K985" s="143"/>
      <c r="N985" s="2"/>
      <c r="O985" s="30"/>
    </row>
    <row r="986" spans="4:15">
      <c r="K986" s="143"/>
      <c r="N986" s="2"/>
      <c r="O986" s="30"/>
    </row>
    <row r="987" spans="4:15">
      <c r="K987" s="143"/>
      <c r="N987" s="2"/>
      <c r="O987" s="30"/>
    </row>
    <row r="988" spans="4:15">
      <c r="K988" s="143"/>
      <c r="N988" s="2"/>
      <c r="O988" s="30"/>
    </row>
    <row r="989" spans="4:15">
      <c r="K989" s="143"/>
      <c r="N989" s="2"/>
      <c r="O989" s="30"/>
    </row>
    <row r="990" spans="4:15">
      <c r="K990" s="143"/>
      <c r="N990" s="2"/>
      <c r="O990" s="30"/>
    </row>
    <row r="991" spans="4:15">
      <c r="K991" s="143"/>
      <c r="N991" s="2"/>
      <c r="O991" s="30"/>
    </row>
    <row r="992" spans="4:15">
      <c r="K992" s="143"/>
      <c r="N992" s="2"/>
      <c r="O992" s="30"/>
    </row>
    <row r="993" spans="11:15">
      <c r="K993" s="143"/>
      <c r="N993" s="2"/>
      <c r="O993" s="30"/>
    </row>
    <row r="994" spans="11:15">
      <c r="K994" s="143"/>
      <c r="N994" s="2"/>
      <c r="O994" s="30"/>
    </row>
    <row r="995" spans="11:15">
      <c r="K995" s="143"/>
      <c r="N995" s="2"/>
      <c r="O995" s="30"/>
    </row>
    <row r="996" spans="11:15">
      <c r="K996" s="143"/>
      <c r="N996" s="2"/>
      <c r="O996" s="30"/>
    </row>
    <row r="997" spans="11:15">
      <c r="K997" s="143"/>
      <c r="N997" s="2"/>
      <c r="O997" s="30"/>
    </row>
    <row r="998" spans="11:15">
      <c r="K998" s="143"/>
      <c r="N998" s="2"/>
      <c r="O998" s="30"/>
    </row>
    <row r="999" spans="11:15">
      <c r="K999" s="143"/>
      <c r="N999" s="2"/>
      <c r="O999" s="30"/>
    </row>
  </sheetData>
  <dataValidations count="1">
    <dataValidation type="list" allowBlank="1" showErrorMessage="1" sqref="W3:W4 W6:W7" xr:uid="{3FE32AFD-E334-4EB6-95E4-AF509195778B}">
      <formula1>"Open,Inprogress,Closed"</formula1>
    </dataValidation>
  </dataValidations>
  <hyperlinks>
    <hyperlink ref="M3" r:id="rId1" xr:uid="{F08562B1-7415-4749-BF0F-498B82725B35}"/>
    <hyperlink ref="M4" r:id="rId2" xr:uid="{143231C1-3892-4F3F-B872-F4308B3840D6}"/>
    <hyperlink ref="M7" r:id="rId3" xr:uid="{04A9ED57-B114-4E31-AFEF-5703E9E8CB18}"/>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78329-14D0-486D-A238-AFCDEF065B48}">
  <dimension ref="A1:AD1015"/>
  <sheetViews>
    <sheetView topLeftCell="M1" workbookViewId="0">
      <selection activeCell="X5" sqref="X5"/>
    </sheetView>
  </sheetViews>
  <sheetFormatPr defaultRowHeight="12.75"/>
  <cols>
    <col min="2" max="2" width="15.140625" customWidth="1"/>
    <col min="3" max="3" width="23.42578125" customWidth="1"/>
    <col min="5" max="5" width="18.42578125" customWidth="1"/>
    <col min="12" max="12" width="35.85546875" customWidth="1"/>
    <col min="13" max="13" width="19.140625" customWidth="1"/>
    <col min="14" max="15" width="9.42578125" bestFit="1" customWidth="1"/>
    <col min="17" max="17" width="13.28515625" customWidth="1"/>
    <col min="19" max="19" width="9.42578125" bestFit="1" customWidth="1"/>
    <col min="20" max="20" width="14.7109375" customWidth="1"/>
    <col min="21" max="21" width="15.28515625" customWidth="1"/>
    <col min="22" max="22" width="18.5703125" customWidth="1"/>
    <col min="23" max="23" width="15.28515625" customWidth="1"/>
    <col min="24" max="24" width="38.7109375" customWidth="1"/>
  </cols>
  <sheetData>
    <row r="1" spans="1:24" ht="14.25">
      <c r="A1" s="4"/>
      <c r="B1" s="4"/>
      <c r="C1" s="4"/>
      <c r="D1" s="5"/>
      <c r="E1" s="4"/>
      <c r="F1" s="4"/>
      <c r="G1" s="4"/>
      <c r="H1" s="5"/>
      <c r="I1" s="1"/>
      <c r="J1" s="4"/>
      <c r="K1" s="4"/>
      <c r="L1" s="4"/>
      <c r="M1" s="4"/>
      <c r="N1" s="4"/>
      <c r="O1" s="48"/>
      <c r="P1" s="4"/>
      <c r="Q1" s="4"/>
      <c r="R1" s="4"/>
      <c r="S1" s="4"/>
      <c r="T1" s="4"/>
      <c r="U1" s="4"/>
      <c r="V1" s="4"/>
      <c r="W1" s="4"/>
      <c r="X1" s="6"/>
    </row>
    <row r="2" spans="1:24" ht="46.5">
      <c r="A2" s="1" t="s">
        <v>248</v>
      </c>
      <c r="B2" s="59" t="s">
        <v>249</v>
      </c>
      <c r="C2" s="59" t="s">
        <v>250</v>
      </c>
      <c r="D2" s="68" t="s">
        <v>251</v>
      </c>
      <c r="E2" s="70" t="s">
        <v>252</v>
      </c>
      <c r="F2" s="70" t="s">
        <v>254</v>
      </c>
      <c r="G2" s="70" t="s">
        <v>255</v>
      </c>
      <c r="H2" s="68" t="s">
        <v>259</v>
      </c>
      <c r="I2" s="70" t="s">
        <v>260</v>
      </c>
      <c r="J2" s="70" t="s">
        <v>261</v>
      </c>
      <c r="K2" s="70" t="s">
        <v>262</v>
      </c>
      <c r="L2" s="70" t="s">
        <v>263</v>
      </c>
      <c r="M2" s="70" t="s">
        <v>264</v>
      </c>
      <c r="N2" s="70" t="s">
        <v>265</v>
      </c>
      <c r="O2" s="71" t="s">
        <v>266</v>
      </c>
      <c r="P2" s="70" t="s">
        <v>1571</v>
      </c>
      <c r="Q2" s="70" t="s">
        <v>268</v>
      </c>
      <c r="R2" s="70" t="s">
        <v>1572</v>
      </c>
      <c r="S2" s="70" t="s">
        <v>270</v>
      </c>
      <c r="T2" s="70" t="s">
        <v>268</v>
      </c>
      <c r="U2" s="70" t="s">
        <v>272</v>
      </c>
      <c r="V2" s="70" t="s">
        <v>273</v>
      </c>
      <c r="W2" s="70" t="s">
        <v>253</v>
      </c>
      <c r="X2" s="72" t="s">
        <v>274</v>
      </c>
    </row>
    <row r="3" spans="1:24" ht="48" customHeight="1">
      <c r="A3" s="158">
        <v>1</v>
      </c>
      <c r="B3" s="159" t="s">
        <v>1772</v>
      </c>
      <c r="C3" s="160" t="s">
        <v>1773</v>
      </c>
      <c r="D3" s="87" t="s">
        <v>1774</v>
      </c>
      <c r="E3" s="161" t="s">
        <v>1775</v>
      </c>
      <c r="F3" s="161">
        <v>2</v>
      </c>
      <c r="G3" s="161">
        <v>2</v>
      </c>
      <c r="H3" s="87" t="s">
        <v>318</v>
      </c>
      <c r="I3" s="87" t="s">
        <v>1035</v>
      </c>
      <c r="J3" s="87" t="s">
        <v>1423</v>
      </c>
      <c r="K3" s="87" t="s">
        <v>595</v>
      </c>
      <c r="L3" s="130" t="s">
        <v>1591</v>
      </c>
      <c r="M3" s="129" t="s">
        <v>1776</v>
      </c>
      <c r="N3" s="162">
        <v>45398</v>
      </c>
      <c r="O3" s="162">
        <v>45399</v>
      </c>
      <c r="P3" s="130" t="s">
        <v>322</v>
      </c>
      <c r="Q3" s="178" t="s">
        <v>1557</v>
      </c>
      <c r="R3" s="130" t="s">
        <v>1723</v>
      </c>
      <c r="S3" s="163">
        <v>45399</v>
      </c>
      <c r="T3" s="164" t="s">
        <v>1557</v>
      </c>
      <c r="U3" s="164" t="s">
        <v>1591</v>
      </c>
      <c r="V3" s="164" t="s">
        <v>1591</v>
      </c>
      <c r="W3" s="165" t="s">
        <v>557</v>
      </c>
      <c r="X3" s="87"/>
    </row>
    <row r="4" spans="1:24" ht="48.75" customHeight="1">
      <c r="A4" s="158">
        <v>2</v>
      </c>
      <c r="B4" s="159" t="s">
        <v>1772</v>
      </c>
      <c r="C4" s="166" t="s">
        <v>1749</v>
      </c>
      <c r="D4" s="87" t="s">
        <v>1750</v>
      </c>
      <c r="E4" s="161" t="s">
        <v>1751</v>
      </c>
      <c r="F4" s="161">
        <v>5</v>
      </c>
      <c r="G4" s="161">
        <v>5</v>
      </c>
      <c r="H4" s="87" t="s">
        <v>318</v>
      </c>
      <c r="I4" s="87" t="s">
        <v>1035</v>
      </c>
      <c r="J4" s="87" t="s">
        <v>1423</v>
      </c>
      <c r="K4" s="87" t="s">
        <v>595</v>
      </c>
      <c r="L4" s="130" t="s">
        <v>1591</v>
      </c>
      <c r="M4" s="129" t="s">
        <v>1777</v>
      </c>
      <c r="N4" s="167">
        <v>45406</v>
      </c>
      <c r="O4" s="167">
        <v>45407</v>
      </c>
      <c r="P4" s="130" t="s">
        <v>322</v>
      </c>
      <c r="Q4" s="178" t="s">
        <v>1557</v>
      </c>
      <c r="R4" s="130" t="s">
        <v>1723</v>
      </c>
      <c r="S4" s="169">
        <v>45407</v>
      </c>
      <c r="T4" s="164" t="s">
        <v>1557</v>
      </c>
      <c r="U4" s="164" t="s">
        <v>1591</v>
      </c>
      <c r="V4" s="164" t="s">
        <v>1591</v>
      </c>
      <c r="W4" s="165" t="s">
        <v>557</v>
      </c>
      <c r="X4" s="170"/>
    </row>
    <row r="5" spans="1:24" ht="60" customHeight="1">
      <c r="A5" s="171">
        <v>3</v>
      </c>
      <c r="B5" s="159" t="s">
        <v>1778</v>
      </c>
      <c r="C5" s="166" t="s">
        <v>1629</v>
      </c>
      <c r="D5" s="146" t="s">
        <v>1753</v>
      </c>
      <c r="E5" s="179" t="s">
        <v>1779</v>
      </c>
      <c r="F5" s="130">
        <v>3</v>
      </c>
      <c r="G5" s="130">
        <v>3</v>
      </c>
      <c r="H5" s="87" t="s">
        <v>318</v>
      </c>
      <c r="I5" s="87" t="s">
        <v>1577</v>
      </c>
      <c r="J5" s="87" t="s">
        <v>1423</v>
      </c>
      <c r="K5" s="87" t="s">
        <v>595</v>
      </c>
      <c r="L5" s="130" t="s">
        <v>1591</v>
      </c>
      <c r="M5" s="172" t="s">
        <v>1755</v>
      </c>
      <c r="N5" s="167">
        <v>45407</v>
      </c>
      <c r="O5" s="167"/>
      <c r="P5" s="130"/>
      <c r="Q5" s="168"/>
      <c r="R5" s="130"/>
      <c r="S5" s="169"/>
      <c r="T5" s="168"/>
      <c r="U5" s="164"/>
      <c r="V5" s="164"/>
      <c r="W5" s="165" t="s">
        <v>589</v>
      </c>
      <c r="X5" s="174" t="s">
        <v>1780</v>
      </c>
    </row>
    <row r="6" spans="1:24" ht="15">
      <c r="A6" s="171"/>
      <c r="B6" s="175"/>
      <c r="C6" s="166"/>
      <c r="D6" s="87"/>
      <c r="E6" s="130"/>
      <c r="F6" s="130"/>
      <c r="G6" s="96"/>
      <c r="H6" s="87"/>
      <c r="I6" s="87"/>
      <c r="J6" s="87"/>
      <c r="K6" s="87"/>
      <c r="L6" s="87"/>
      <c r="M6" s="176"/>
      <c r="N6" s="87"/>
      <c r="O6" s="87"/>
      <c r="P6" s="87"/>
      <c r="Q6" s="87"/>
      <c r="R6" s="87"/>
      <c r="S6" s="87"/>
      <c r="T6" s="87"/>
      <c r="U6" s="87"/>
      <c r="V6" s="87"/>
      <c r="W6" s="73"/>
      <c r="X6" s="177"/>
    </row>
    <row r="7" spans="1:24">
      <c r="A7" s="98"/>
      <c r="B7" s="97"/>
      <c r="C7" s="101"/>
      <c r="D7" s="87"/>
      <c r="E7" s="136"/>
      <c r="F7" s="84"/>
      <c r="G7" s="80"/>
      <c r="H7" s="77"/>
      <c r="I7" s="78"/>
      <c r="J7" s="78"/>
      <c r="K7" s="78"/>
      <c r="L7" s="138"/>
      <c r="M7" s="40"/>
      <c r="N7" s="134"/>
      <c r="O7" s="134"/>
      <c r="P7" s="88"/>
      <c r="Q7" s="73"/>
      <c r="R7" s="81"/>
      <c r="S7" s="135"/>
      <c r="T7" s="73"/>
      <c r="U7" s="81"/>
      <c r="V7" s="81"/>
      <c r="W7" s="30"/>
    </row>
    <row r="8" spans="1:24" ht="13.5">
      <c r="A8" s="98"/>
      <c r="B8" s="97"/>
      <c r="C8" s="100"/>
      <c r="D8" s="87"/>
      <c r="E8" s="136"/>
      <c r="F8" s="84"/>
      <c r="G8" s="80"/>
      <c r="H8" s="77"/>
      <c r="I8" s="78"/>
      <c r="J8" s="78"/>
      <c r="K8" s="78"/>
      <c r="L8" s="89"/>
      <c r="M8" s="40"/>
      <c r="N8" s="94"/>
      <c r="O8" s="85"/>
      <c r="P8" s="80"/>
      <c r="Q8" s="78"/>
      <c r="R8" s="81"/>
      <c r="S8" s="95"/>
      <c r="T8" s="78"/>
      <c r="U8" s="81"/>
      <c r="V8" s="81"/>
      <c r="W8" s="30"/>
      <c r="X8" s="30"/>
    </row>
    <row r="9" spans="1:24" ht="16.5">
      <c r="A9" s="99"/>
      <c r="B9" s="97"/>
      <c r="C9" s="102"/>
      <c r="D9" s="46"/>
      <c r="E9" s="18"/>
      <c r="F9" s="18"/>
      <c r="G9" s="18"/>
      <c r="H9" s="12"/>
      <c r="I9" s="14"/>
      <c r="J9" s="14"/>
      <c r="K9" s="14"/>
      <c r="L9" s="67"/>
      <c r="M9" s="40"/>
      <c r="N9" s="65"/>
      <c r="O9" s="66"/>
      <c r="P9" s="14"/>
      <c r="Q9" s="14"/>
      <c r="R9" s="19"/>
      <c r="S9" s="65"/>
      <c r="T9" s="14"/>
      <c r="U9" s="19"/>
      <c r="V9" s="19"/>
      <c r="W9" s="64"/>
      <c r="X9" s="19"/>
    </row>
    <row r="10" spans="1:24">
      <c r="A10" s="99"/>
      <c r="B10" s="97"/>
      <c r="C10" s="103"/>
      <c r="D10" s="46"/>
      <c r="E10" s="18"/>
      <c r="F10" s="18"/>
      <c r="G10" s="18"/>
      <c r="H10" s="12"/>
      <c r="I10" s="14"/>
      <c r="J10" s="14"/>
      <c r="K10" s="14"/>
      <c r="L10" s="58"/>
      <c r="M10" s="14"/>
      <c r="N10" s="14"/>
      <c r="O10" s="9"/>
      <c r="P10" s="14"/>
      <c r="Q10" s="19"/>
      <c r="R10" s="19"/>
      <c r="S10" s="19"/>
      <c r="T10" s="19"/>
      <c r="U10" s="19"/>
      <c r="V10" s="19"/>
      <c r="W10" s="64"/>
      <c r="X10" s="19"/>
    </row>
    <row r="11" spans="1:24">
      <c r="A11" s="99"/>
      <c r="B11" s="97"/>
      <c r="C11" s="103"/>
      <c r="D11" s="62"/>
      <c r="E11" s="18"/>
      <c r="F11" s="18"/>
      <c r="G11" s="18"/>
      <c r="H11" s="12"/>
      <c r="I11" s="10"/>
      <c r="J11" s="14"/>
      <c r="K11" s="14"/>
      <c r="L11" s="19"/>
      <c r="M11" s="14"/>
      <c r="N11" s="14"/>
      <c r="O11" s="9"/>
      <c r="P11" s="14"/>
      <c r="Q11" s="18"/>
      <c r="R11" s="19"/>
      <c r="S11" s="19"/>
      <c r="T11" s="19"/>
      <c r="U11" s="19"/>
      <c r="V11" s="19"/>
      <c r="W11" s="64"/>
      <c r="X11" s="19"/>
    </row>
    <row r="12" spans="1:24">
      <c r="A12" s="99"/>
      <c r="B12" s="97"/>
      <c r="C12" s="102"/>
      <c r="D12" s="62"/>
      <c r="E12" s="45"/>
      <c r="F12" s="18"/>
      <c r="G12" s="18"/>
      <c r="H12" s="12"/>
      <c r="I12" s="14"/>
      <c r="J12" s="19"/>
      <c r="K12" s="14"/>
      <c r="L12" s="19"/>
      <c r="M12" s="14"/>
      <c r="N12" s="14"/>
      <c r="O12" s="9"/>
      <c r="P12" s="14"/>
      <c r="Q12" s="19"/>
      <c r="R12" s="19"/>
      <c r="S12" s="19"/>
      <c r="T12" s="19"/>
      <c r="U12" s="19"/>
      <c r="V12" s="19"/>
      <c r="W12" s="64"/>
      <c r="X12" s="19"/>
    </row>
    <row r="13" spans="1:24">
      <c r="A13" s="19"/>
      <c r="B13" s="104"/>
      <c r="C13" s="14"/>
      <c r="D13" s="12"/>
      <c r="E13" s="18"/>
      <c r="F13" s="18"/>
      <c r="G13" s="18"/>
      <c r="H13" s="12"/>
      <c r="I13" s="14"/>
      <c r="J13" s="19"/>
      <c r="K13" s="14"/>
      <c r="L13" s="19"/>
      <c r="M13" s="14"/>
      <c r="N13" s="14"/>
      <c r="O13" s="9"/>
      <c r="P13" s="14"/>
      <c r="Q13" s="19"/>
      <c r="R13" s="19"/>
      <c r="S13" s="19"/>
      <c r="T13" s="19"/>
      <c r="U13" s="19"/>
      <c r="V13" s="19"/>
      <c r="W13" s="19"/>
      <c r="X13" s="19"/>
    </row>
    <row r="14" spans="1:24">
      <c r="A14" s="19"/>
      <c r="B14" s="60"/>
      <c r="C14" s="14"/>
      <c r="D14" s="12"/>
      <c r="E14" s="18"/>
      <c r="F14" s="18"/>
      <c r="G14" s="18"/>
      <c r="H14" s="12"/>
      <c r="I14" s="14"/>
      <c r="J14" s="19"/>
      <c r="K14" s="14"/>
      <c r="L14" s="19"/>
      <c r="M14" s="14"/>
      <c r="N14" s="14"/>
      <c r="O14" s="9"/>
      <c r="P14" s="14"/>
      <c r="Q14" s="19"/>
      <c r="R14" s="19"/>
      <c r="S14" s="19"/>
      <c r="T14" s="19"/>
      <c r="U14" s="19"/>
      <c r="V14" s="19"/>
      <c r="W14" s="19"/>
      <c r="X14" s="19"/>
    </row>
    <row r="15" spans="1:24">
      <c r="A15" s="19"/>
      <c r="B15" s="60"/>
      <c r="C15" s="14"/>
      <c r="D15" s="12"/>
      <c r="E15" s="18"/>
      <c r="F15" s="18"/>
      <c r="G15" s="18"/>
      <c r="H15" s="12"/>
      <c r="I15" s="14"/>
      <c r="J15" s="19"/>
      <c r="K15" s="14"/>
      <c r="L15" s="19"/>
      <c r="M15" s="14"/>
      <c r="N15" s="14"/>
      <c r="O15" s="9"/>
      <c r="P15" s="14"/>
      <c r="Q15" s="19"/>
      <c r="R15" s="19"/>
      <c r="S15" s="19"/>
      <c r="T15" s="19"/>
      <c r="U15" s="19"/>
      <c r="V15" s="19"/>
      <c r="W15" s="19"/>
      <c r="X15" s="19"/>
    </row>
    <row r="16" spans="1:24">
      <c r="A16" s="19"/>
      <c r="B16" s="60"/>
      <c r="C16" s="14"/>
      <c r="D16" s="12"/>
      <c r="E16" s="18"/>
      <c r="F16" s="18"/>
      <c r="G16" s="18"/>
      <c r="H16" s="12"/>
      <c r="I16" s="14"/>
      <c r="J16" s="19"/>
      <c r="K16" s="14"/>
      <c r="L16" s="19"/>
      <c r="M16" s="14"/>
      <c r="N16" s="14"/>
      <c r="O16" s="9"/>
      <c r="P16" s="14"/>
      <c r="Q16" s="19"/>
      <c r="R16" s="19"/>
      <c r="S16" s="19"/>
      <c r="T16" s="19"/>
      <c r="U16" s="19"/>
      <c r="V16" s="19"/>
      <c r="W16" s="19"/>
      <c r="X16" s="19"/>
    </row>
    <row r="17" spans="1:30">
      <c r="A17" s="19"/>
      <c r="B17" s="60"/>
      <c r="C17" s="14"/>
      <c r="D17" s="12"/>
      <c r="E17" s="18"/>
      <c r="F17" s="18"/>
      <c r="G17" s="18"/>
      <c r="H17" s="12"/>
      <c r="I17" s="14"/>
      <c r="J17" s="19"/>
      <c r="K17" s="14"/>
      <c r="L17" s="19"/>
      <c r="M17" s="14"/>
      <c r="N17" s="14"/>
      <c r="O17" s="9"/>
      <c r="P17" s="14"/>
      <c r="Q17" s="19"/>
      <c r="R17" s="19"/>
      <c r="S17" s="19"/>
      <c r="T17" s="19"/>
      <c r="U17" s="19"/>
      <c r="V17" s="19"/>
      <c r="W17" s="19"/>
      <c r="X17" s="19"/>
    </row>
    <row r="18" spans="1:30">
      <c r="B18" s="28"/>
      <c r="C18" s="3"/>
      <c r="D18" s="47"/>
      <c r="E18" s="28"/>
      <c r="F18" s="28"/>
      <c r="G18" s="28"/>
      <c r="H18" s="29"/>
      <c r="I18" s="63"/>
      <c r="K18" s="3"/>
      <c r="M18" s="3"/>
      <c r="N18" s="3"/>
      <c r="O18" s="52"/>
      <c r="P18" s="3"/>
    </row>
    <row r="19" spans="1:30">
      <c r="B19" s="28"/>
      <c r="C19" s="3"/>
      <c r="D19" s="47"/>
      <c r="E19" s="28"/>
      <c r="F19" s="28"/>
      <c r="G19" s="28"/>
      <c r="H19" s="29"/>
      <c r="I19" s="14"/>
      <c r="K19" s="3"/>
      <c r="M19" s="3"/>
      <c r="N19" s="3"/>
      <c r="O19" s="52"/>
      <c r="P19" s="3"/>
    </row>
    <row r="20" spans="1:30">
      <c r="B20" s="28"/>
      <c r="C20" s="3"/>
      <c r="D20" s="47"/>
      <c r="E20" s="28"/>
      <c r="F20" s="28"/>
      <c r="G20" s="28"/>
      <c r="H20" s="29"/>
      <c r="I20" s="14"/>
      <c r="K20" s="3"/>
      <c r="M20" s="3"/>
      <c r="N20" s="3"/>
      <c r="O20" s="52"/>
      <c r="P20" s="3"/>
    </row>
    <row r="21" spans="1:30">
      <c r="B21" s="28"/>
      <c r="C21" s="3"/>
      <c r="D21" s="47"/>
      <c r="E21" s="28"/>
      <c r="F21" s="28"/>
      <c r="G21" s="28"/>
      <c r="H21" s="29"/>
      <c r="I21" s="14"/>
      <c r="K21" s="3"/>
      <c r="M21" s="3"/>
      <c r="N21" s="3"/>
      <c r="O21" s="52"/>
      <c r="P21" s="3"/>
    </row>
    <row r="22" spans="1:30">
      <c r="B22" s="28"/>
      <c r="C22" s="3"/>
      <c r="D22" s="47"/>
      <c r="E22" s="28"/>
      <c r="F22" s="28"/>
      <c r="G22" s="28"/>
      <c r="H22" s="29"/>
      <c r="I22" s="14"/>
      <c r="K22" s="3"/>
      <c r="M22" s="3"/>
      <c r="N22" s="3"/>
      <c r="O22" s="52"/>
      <c r="P22" s="3"/>
    </row>
    <row r="23" spans="1:30" ht="14.25">
      <c r="B23" s="28"/>
      <c r="C23" s="3"/>
      <c r="D23" s="47"/>
      <c r="E23" s="28"/>
      <c r="F23" s="28"/>
      <c r="G23" s="28"/>
      <c r="H23" s="29"/>
      <c r="I23" s="14"/>
      <c r="K23" s="3"/>
      <c r="M23" s="3"/>
      <c r="N23" s="3"/>
      <c r="O23" s="52"/>
      <c r="P23" s="3"/>
      <c r="Y23" s="4"/>
      <c r="Z23" s="4"/>
      <c r="AA23" s="4"/>
      <c r="AB23" s="4"/>
      <c r="AC23" s="4"/>
      <c r="AD23" s="6"/>
    </row>
    <row r="24" spans="1:30" ht="46.5">
      <c r="B24" s="28"/>
      <c r="C24" s="3"/>
      <c r="D24" s="47"/>
      <c r="E24" s="28"/>
      <c r="F24" s="28"/>
      <c r="G24" s="28"/>
      <c r="H24" s="29"/>
      <c r="I24" s="14"/>
      <c r="K24" s="3"/>
      <c r="M24" s="3"/>
      <c r="N24" s="3"/>
      <c r="O24" s="52"/>
      <c r="P24" s="3"/>
      <c r="Y24" s="70" t="s">
        <v>270</v>
      </c>
      <c r="Z24" s="70" t="s">
        <v>268</v>
      </c>
      <c r="AA24" s="70" t="s">
        <v>272</v>
      </c>
      <c r="AB24" s="70" t="s">
        <v>273</v>
      </c>
      <c r="AC24" s="70" t="s">
        <v>253</v>
      </c>
      <c r="AD24" s="72" t="s">
        <v>274</v>
      </c>
    </row>
    <row r="25" spans="1:30">
      <c r="B25" s="28"/>
      <c r="C25" s="3"/>
      <c r="D25" s="47"/>
      <c r="E25" s="28"/>
      <c r="F25" s="28"/>
      <c r="G25" s="28"/>
      <c r="H25" s="29"/>
      <c r="I25" s="14"/>
      <c r="K25" s="3"/>
      <c r="M25" s="3"/>
      <c r="N25" s="3"/>
      <c r="O25" s="52"/>
      <c r="P25" s="3"/>
      <c r="Y25" s="140"/>
      <c r="Z25" s="77"/>
      <c r="AA25" s="77"/>
      <c r="AB25" s="77"/>
      <c r="AC25" s="139"/>
      <c r="AD25" s="83"/>
    </row>
    <row r="26" spans="1:30">
      <c r="B26" s="28"/>
      <c r="C26" s="3"/>
      <c r="D26" s="47"/>
      <c r="E26" s="28"/>
      <c r="F26" s="28"/>
      <c r="G26" s="28"/>
      <c r="H26" s="29"/>
      <c r="I26" s="14"/>
      <c r="K26" s="3"/>
      <c r="M26" s="3"/>
      <c r="N26" s="3"/>
      <c r="O26" s="52"/>
      <c r="P26" s="3"/>
      <c r="Y26" s="135"/>
      <c r="Z26" s="77"/>
      <c r="AA26" s="84"/>
      <c r="AB26" s="150"/>
      <c r="AC26" s="83"/>
      <c r="AD26" s="83"/>
    </row>
    <row r="27" spans="1:30">
      <c r="B27" s="28"/>
      <c r="C27" s="3"/>
      <c r="D27" s="47"/>
      <c r="E27" s="28"/>
      <c r="F27" s="28"/>
      <c r="G27" s="28"/>
      <c r="H27" s="29"/>
      <c r="I27" s="14"/>
      <c r="K27" s="3"/>
      <c r="M27" s="3"/>
      <c r="N27" s="3"/>
      <c r="O27" s="52"/>
      <c r="P27" s="3"/>
      <c r="Y27" s="77"/>
      <c r="Z27" s="77"/>
      <c r="AA27" s="77"/>
      <c r="AB27" s="77"/>
      <c r="AC27" s="30"/>
      <c r="AD27" s="30"/>
    </row>
    <row r="28" spans="1:30">
      <c r="B28" s="28"/>
      <c r="C28" s="3"/>
      <c r="D28" s="47"/>
      <c r="E28" s="28"/>
      <c r="F28" s="28"/>
      <c r="G28" s="28"/>
      <c r="H28" s="29"/>
      <c r="I28" s="14"/>
      <c r="K28" s="3"/>
      <c r="M28" s="3"/>
      <c r="N28" s="3"/>
      <c r="O28" s="52"/>
      <c r="P28" s="3"/>
      <c r="Y28" s="77"/>
      <c r="Z28" s="77"/>
      <c r="AA28" s="77"/>
      <c r="AB28" s="77"/>
      <c r="AC28" s="30"/>
      <c r="AD28" s="30"/>
    </row>
    <row r="29" spans="1:30">
      <c r="B29" s="28"/>
      <c r="C29" s="3"/>
      <c r="D29" s="47"/>
      <c r="E29" s="28"/>
      <c r="F29" s="28"/>
      <c r="G29" s="28"/>
      <c r="H29" s="29"/>
      <c r="I29" s="14"/>
      <c r="K29" s="3"/>
      <c r="M29" s="3"/>
      <c r="N29" s="3"/>
      <c r="O29" s="52"/>
      <c r="P29" s="3"/>
      <c r="Y29" s="135"/>
      <c r="Z29" s="73"/>
      <c r="AA29" s="81"/>
      <c r="AB29" s="81"/>
      <c r="AC29" s="30"/>
      <c r="AD29" s="81"/>
    </row>
    <row r="30" spans="1:30">
      <c r="B30" s="28"/>
      <c r="C30" s="3"/>
      <c r="D30" s="47"/>
      <c r="E30" s="28"/>
      <c r="F30" s="28"/>
      <c r="G30" s="28"/>
      <c r="H30" s="29"/>
      <c r="I30" s="14"/>
      <c r="K30" s="3"/>
      <c r="M30" s="3"/>
      <c r="N30" s="3"/>
      <c r="O30" s="52"/>
      <c r="P30" s="3"/>
      <c r="Y30" s="95"/>
      <c r="Z30" s="78"/>
      <c r="AA30" s="81"/>
      <c r="AB30" s="81"/>
      <c r="AC30" s="30"/>
      <c r="AD30" s="30"/>
    </row>
    <row r="31" spans="1:30">
      <c r="B31" s="28"/>
      <c r="C31" s="3"/>
      <c r="D31" s="47"/>
      <c r="E31" s="28"/>
      <c r="F31" s="28"/>
      <c r="G31" s="28"/>
      <c r="H31" s="29"/>
      <c r="I31" s="14"/>
      <c r="K31" s="3"/>
      <c r="M31" s="3"/>
      <c r="N31" s="3"/>
      <c r="O31" s="52"/>
      <c r="P31" s="3"/>
      <c r="Y31" s="65"/>
      <c r="Z31" s="14"/>
      <c r="AA31" s="19"/>
      <c r="AB31" s="19"/>
      <c r="AC31" s="64"/>
      <c r="AD31" s="19"/>
    </row>
    <row r="32" spans="1:30">
      <c r="B32" s="28"/>
      <c r="C32" s="3"/>
      <c r="D32" s="47"/>
      <c r="E32" s="28"/>
      <c r="F32" s="28"/>
      <c r="G32" s="28"/>
      <c r="H32" s="29"/>
      <c r="I32" s="14"/>
      <c r="K32" s="3"/>
      <c r="M32" s="3"/>
      <c r="N32" s="3"/>
      <c r="O32" s="52"/>
      <c r="P32" s="3"/>
      <c r="Y32" s="19"/>
      <c r="Z32" s="19"/>
      <c r="AA32" s="19"/>
      <c r="AB32" s="19"/>
      <c r="AC32" s="64"/>
      <c r="AD32" s="19"/>
    </row>
    <row r="33" spans="2:30">
      <c r="B33" s="28"/>
      <c r="C33" s="3"/>
      <c r="D33" s="47"/>
      <c r="E33" s="28"/>
      <c r="F33" s="28"/>
      <c r="G33" s="28"/>
      <c r="H33" s="29"/>
      <c r="I33" s="14"/>
      <c r="K33" s="3"/>
      <c r="M33" s="3"/>
      <c r="N33" s="3"/>
      <c r="O33" s="52"/>
      <c r="P33" s="3"/>
      <c r="Y33" s="19"/>
      <c r="Z33" s="19"/>
      <c r="AA33" s="19"/>
      <c r="AB33" s="19"/>
      <c r="AC33" s="64"/>
      <c r="AD33" s="19"/>
    </row>
    <row r="34" spans="2:30">
      <c r="B34" s="28"/>
      <c r="C34" s="3"/>
      <c r="D34" s="47"/>
      <c r="E34" s="28"/>
      <c r="F34" s="28"/>
      <c r="G34" s="28"/>
      <c r="H34" s="29"/>
      <c r="I34" s="14"/>
      <c r="K34" s="3"/>
      <c r="M34" s="3"/>
      <c r="N34" s="3"/>
      <c r="O34" s="52"/>
      <c r="P34" s="3"/>
      <c r="Y34" s="19"/>
      <c r="Z34" s="19"/>
      <c r="AA34" s="19"/>
      <c r="AB34" s="19"/>
      <c r="AC34" s="64"/>
      <c r="AD34" s="19"/>
    </row>
    <row r="35" spans="2:30">
      <c r="B35" s="28"/>
      <c r="C35" s="3"/>
      <c r="D35" s="47"/>
      <c r="E35" s="28"/>
      <c r="F35" s="28"/>
      <c r="G35" s="28"/>
      <c r="H35" s="29"/>
      <c r="I35" s="14"/>
      <c r="K35" s="3"/>
      <c r="M35" s="3"/>
      <c r="N35" s="3"/>
      <c r="O35" s="52"/>
      <c r="P35" s="3"/>
      <c r="Y35" s="19"/>
      <c r="Z35" s="19"/>
      <c r="AA35" s="19"/>
      <c r="AB35" s="19"/>
      <c r="AC35" s="19"/>
      <c r="AD35" s="19"/>
    </row>
    <row r="36" spans="2:30">
      <c r="B36" s="28"/>
      <c r="C36" s="3"/>
      <c r="D36" s="47"/>
      <c r="E36" s="28"/>
      <c r="F36" s="28"/>
      <c r="G36" s="28"/>
      <c r="H36" s="29"/>
      <c r="I36" s="14"/>
      <c r="K36" s="3"/>
      <c r="M36" s="3"/>
      <c r="N36" s="3"/>
      <c r="O36" s="52"/>
      <c r="P36" s="3"/>
      <c r="Y36" s="19"/>
      <c r="Z36" s="19"/>
      <c r="AA36" s="19"/>
      <c r="AB36" s="19"/>
      <c r="AC36" s="19"/>
      <c r="AD36" s="19"/>
    </row>
    <row r="37" spans="2:30">
      <c r="B37" s="28"/>
      <c r="C37" s="3"/>
      <c r="D37" s="47"/>
      <c r="E37" s="28"/>
      <c r="F37" s="28"/>
      <c r="G37" s="28"/>
      <c r="H37" s="29"/>
      <c r="I37" s="14"/>
      <c r="K37" s="3"/>
      <c r="M37" s="3"/>
      <c r="N37" s="3"/>
      <c r="O37" s="52"/>
      <c r="P37" s="3"/>
      <c r="Y37" s="19"/>
      <c r="Z37" s="19"/>
      <c r="AA37" s="19"/>
      <c r="AB37" s="19"/>
      <c r="AC37" s="19"/>
      <c r="AD37" s="19"/>
    </row>
    <row r="38" spans="2:30">
      <c r="B38" s="28"/>
      <c r="C38" s="3"/>
      <c r="D38" s="47"/>
      <c r="E38" s="28"/>
      <c r="F38" s="28"/>
      <c r="G38" s="28"/>
      <c r="H38" s="29"/>
      <c r="I38" s="14"/>
      <c r="K38" s="3"/>
      <c r="M38" s="3"/>
      <c r="N38" s="3"/>
      <c r="O38" s="52"/>
      <c r="P38" s="3"/>
      <c r="Y38" s="19"/>
      <c r="Z38" s="19"/>
      <c r="AA38" s="19"/>
      <c r="AB38" s="19"/>
      <c r="AC38" s="19"/>
      <c r="AD38" s="19"/>
    </row>
    <row r="39" spans="2:30">
      <c r="B39" s="28"/>
      <c r="C39" s="3"/>
      <c r="D39" s="47"/>
      <c r="E39" s="28"/>
      <c r="F39" s="28"/>
      <c r="G39" s="28"/>
      <c r="H39" s="29"/>
      <c r="I39" s="14"/>
      <c r="K39" s="3"/>
      <c r="M39" s="3"/>
      <c r="N39" s="3"/>
      <c r="O39" s="52"/>
      <c r="P39" s="3"/>
      <c r="Y39" s="19"/>
      <c r="Z39" s="19"/>
      <c r="AA39" s="19"/>
      <c r="AB39" s="19"/>
      <c r="AC39" s="19"/>
      <c r="AD39" s="19"/>
    </row>
    <row r="40" spans="2:30">
      <c r="B40" s="28"/>
      <c r="C40" s="3"/>
      <c r="D40" s="47"/>
      <c r="E40" s="28"/>
      <c r="F40" s="28"/>
      <c r="G40" s="28"/>
      <c r="H40" s="29"/>
      <c r="I40" s="14"/>
      <c r="K40" s="3"/>
      <c r="M40" s="3"/>
      <c r="N40" s="3"/>
      <c r="O40" s="52"/>
      <c r="P40" s="3"/>
    </row>
    <row r="41" spans="2:30">
      <c r="B41" s="28"/>
      <c r="C41" s="3"/>
      <c r="D41" s="47"/>
      <c r="E41" s="28"/>
      <c r="F41" s="28"/>
      <c r="G41" s="28"/>
      <c r="H41" s="29"/>
      <c r="I41" s="14"/>
      <c r="K41" s="3"/>
      <c r="M41" s="3"/>
      <c r="N41" s="3"/>
      <c r="O41" s="52"/>
      <c r="P41" s="3"/>
    </row>
    <row r="42" spans="2:30">
      <c r="B42" s="28"/>
      <c r="C42" s="3"/>
      <c r="D42" s="47"/>
      <c r="E42" s="28"/>
      <c r="F42" s="28"/>
      <c r="G42" s="28"/>
      <c r="H42" s="29"/>
      <c r="I42" s="14"/>
      <c r="K42" s="3"/>
      <c r="M42" s="3"/>
      <c r="N42" s="3"/>
      <c r="O42" s="52"/>
      <c r="P42" s="3"/>
    </row>
    <row r="43" spans="2:30">
      <c r="B43" s="28"/>
      <c r="C43" s="3"/>
      <c r="D43" s="47"/>
      <c r="E43" s="28"/>
      <c r="F43" s="28"/>
      <c r="G43" s="28"/>
      <c r="H43" s="29"/>
      <c r="I43" s="14"/>
      <c r="K43" s="3"/>
      <c r="M43" s="3"/>
      <c r="N43" s="3"/>
      <c r="O43" s="52"/>
      <c r="P43" s="3"/>
    </row>
    <row r="44" spans="2:30">
      <c r="B44" s="28"/>
      <c r="C44" s="3"/>
      <c r="D44" s="47"/>
      <c r="E44" s="28"/>
      <c r="F44" s="28"/>
      <c r="G44" s="28"/>
      <c r="H44" s="29"/>
      <c r="I44" s="14"/>
      <c r="K44" s="3"/>
      <c r="M44" s="3"/>
      <c r="N44" s="3"/>
      <c r="O44" s="52"/>
      <c r="P44" s="3"/>
    </row>
    <row r="45" spans="2:30">
      <c r="B45" s="28"/>
      <c r="C45" s="3"/>
      <c r="D45" s="47"/>
      <c r="E45" s="28"/>
      <c r="F45" s="28"/>
      <c r="G45" s="28"/>
      <c r="H45" s="29"/>
      <c r="I45" s="14"/>
      <c r="K45" s="3"/>
      <c r="M45" s="3"/>
      <c r="N45" s="3"/>
      <c r="O45" s="52"/>
      <c r="P45" s="3"/>
    </row>
    <row r="46" spans="2:30">
      <c r="B46" s="28"/>
      <c r="C46" s="3"/>
      <c r="D46" s="47"/>
      <c r="E46" s="28"/>
      <c r="F46" s="28"/>
      <c r="G46" s="28"/>
      <c r="H46" s="29"/>
      <c r="I46" s="14"/>
      <c r="K46" s="3"/>
      <c r="M46" s="3"/>
      <c r="N46" s="3"/>
      <c r="O46" s="52"/>
      <c r="P46" s="3"/>
    </row>
    <row r="47" spans="2:30">
      <c r="B47" s="28"/>
      <c r="C47" s="3"/>
      <c r="D47" s="47"/>
      <c r="E47" s="28"/>
      <c r="F47" s="28"/>
      <c r="G47" s="28"/>
      <c r="H47" s="29"/>
      <c r="I47" s="14"/>
      <c r="K47" s="3"/>
      <c r="M47" s="3"/>
      <c r="N47" s="3"/>
      <c r="O47" s="52"/>
      <c r="P47" s="3"/>
    </row>
    <row r="48" spans="2:30">
      <c r="B48" s="28"/>
      <c r="C48" s="3"/>
      <c r="D48" s="47"/>
      <c r="E48" s="28"/>
      <c r="F48" s="28"/>
      <c r="G48" s="28"/>
      <c r="H48" s="29"/>
      <c r="I48" s="14"/>
      <c r="K48" s="3"/>
      <c r="M48" s="3"/>
      <c r="N48" s="3"/>
      <c r="O48" s="52"/>
      <c r="P48" s="3"/>
    </row>
    <row r="49" spans="2:16">
      <c r="B49" s="28"/>
      <c r="C49" s="3"/>
      <c r="D49" s="47"/>
      <c r="E49" s="28"/>
      <c r="F49" s="28"/>
      <c r="G49" s="28"/>
      <c r="H49" s="29"/>
      <c r="I49" s="14"/>
      <c r="K49" s="3"/>
      <c r="M49" s="3"/>
      <c r="N49" s="3"/>
      <c r="O49" s="52"/>
      <c r="P49" s="3"/>
    </row>
    <row r="50" spans="2:16">
      <c r="B50" s="28"/>
      <c r="C50" s="3"/>
      <c r="D50" s="47"/>
      <c r="E50" s="28"/>
      <c r="F50" s="28"/>
      <c r="G50" s="28"/>
      <c r="H50" s="29"/>
      <c r="I50" s="14"/>
      <c r="K50" s="3"/>
      <c r="M50" s="3"/>
      <c r="N50" s="3"/>
      <c r="O50" s="52"/>
      <c r="P50" s="3"/>
    </row>
    <row r="51" spans="2:16">
      <c r="B51" s="28"/>
      <c r="C51" s="3"/>
      <c r="D51" s="47"/>
      <c r="E51" s="28"/>
      <c r="F51" s="28"/>
      <c r="G51" s="28"/>
      <c r="H51" s="29"/>
      <c r="I51" s="14"/>
      <c r="K51" s="3"/>
      <c r="M51" s="3"/>
      <c r="N51" s="3"/>
      <c r="O51" s="52"/>
      <c r="P51" s="3"/>
    </row>
    <row r="52" spans="2:16">
      <c r="B52" s="28"/>
      <c r="C52" s="3"/>
      <c r="D52" s="47"/>
      <c r="E52" s="28"/>
      <c r="F52" s="28"/>
      <c r="G52" s="28"/>
      <c r="H52" s="29"/>
      <c r="I52" s="14"/>
      <c r="K52" s="3"/>
      <c r="M52" s="3"/>
      <c r="N52" s="3"/>
      <c r="O52" s="52"/>
      <c r="P52" s="3"/>
    </row>
    <row r="53" spans="2:16">
      <c r="B53" s="28"/>
      <c r="C53" s="3"/>
      <c r="D53" s="47"/>
      <c r="E53" s="28"/>
      <c r="F53" s="28"/>
      <c r="G53" s="28"/>
      <c r="H53" s="29"/>
      <c r="I53" s="14"/>
      <c r="K53" s="3"/>
      <c r="M53" s="3"/>
      <c r="N53" s="3"/>
      <c r="O53" s="52"/>
      <c r="P53" s="3"/>
    </row>
    <row r="54" spans="2:16">
      <c r="B54" s="28"/>
      <c r="C54" s="3"/>
      <c r="D54" s="47"/>
      <c r="E54" s="28"/>
      <c r="F54" s="28"/>
      <c r="G54" s="28"/>
      <c r="H54" s="29"/>
      <c r="I54" s="14"/>
      <c r="K54" s="3"/>
      <c r="M54" s="3"/>
      <c r="N54" s="3"/>
      <c r="O54" s="52"/>
      <c r="P54" s="3"/>
    </row>
    <row r="55" spans="2:16">
      <c r="B55" s="28"/>
      <c r="C55" s="3"/>
      <c r="D55" s="47"/>
      <c r="E55" s="28"/>
      <c r="F55" s="28"/>
      <c r="G55" s="28"/>
      <c r="H55" s="29"/>
      <c r="I55" s="14"/>
      <c r="K55" s="3"/>
      <c r="M55" s="3"/>
      <c r="N55" s="3"/>
      <c r="O55" s="52"/>
      <c r="P55" s="3"/>
    </row>
    <row r="56" spans="2:16">
      <c r="B56" s="28"/>
      <c r="C56" s="3"/>
      <c r="D56" s="47"/>
      <c r="E56" s="28"/>
      <c r="F56" s="28"/>
      <c r="G56" s="28"/>
      <c r="H56" s="29"/>
      <c r="I56" s="14"/>
      <c r="K56" s="3"/>
      <c r="M56" s="3"/>
      <c r="N56" s="3"/>
      <c r="O56" s="52"/>
      <c r="P56" s="3"/>
    </row>
    <row r="57" spans="2:16">
      <c r="B57" s="28"/>
      <c r="C57" s="3"/>
      <c r="D57" s="47"/>
      <c r="E57" s="28"/>
      <c r="F57" s="28"/>
      <c r="G57" s="28"/>
      <c r="H57" s="29"/>
      <c r="I57" s="14"/>
      <c r="K57" s="3"/>
      <c r="M57" s="3"/>
      <c r="N57" s="3"/>
      <c r="O57" s="52"/>
      <c r="P57" s="3"/>
    </row>
    <row r="58" spans="2:16">
      <c r="B58" s="28"/>
      <c r="C58" s="3"/>
      <c r="D58" s="47"/>
      <c r="E58" s="28"/>
      <c r="F58" s="28"/>
      <c r="G58" s="28"/>
      <c r="H58" s="29"/>
      <c r="I58" s="14"/>
      <c r="K58" s="3"/>
      <c r="M58" s="3"/>
      <c r="N58" s="3"/>
      <c r="O58" s="52"/>
      <c r="P58" s="3"/>
    </row>
    <row r="59" spans="2:16">
      <c r="B59" s="28"/>
      <c r="C59" s="3"/>
      <c r="D59" s="47"/>
      <c r="E59" s="28"/>
      <c r="F59" s="28"/>
      <c r="G59" s="28"/>
      <c r="H59" s="29"/>
      <c r="I59" s="14"/>
      <c r="K59" s="3"/>
      <c r="M59" s="3"/>
      <c r="N59" s="3"/>
      <c r="O59" s="52"/>
      <c r="P59" s="3"/>
    </row>
    <row r="60" spans="2:16">
      <c r="B60" s="28"/>
      <c r="C60" s="3"/>
      <c r="D60" s="47"/>
      <c r="E60" s="28"/>
      <c r="F60" s="28"/>
      <c r="G60" s="28"/>
      <c r="H60" s="29"/>
      <c r="I60" s="14"/>
      <c r="K60" s="3"/>
      <c r="M60" s="3"/>
      <c r="N60" s="3"/>
      <c r="O60" s="52"/>
      <c r="P60" s="3"/>
    </row>
    <row r="61" spans="2:16">
      <c r="B61" s="28"/>
      <c r="C61" s="3"/>
      <c r="D61" s="47"/>
      <c r="E61" s="28"/>
      <c r="F61" s="28"/>
      <c r="G61" s="28"/>
      <c r="H61" s="29"/>
      <c r="I61" s="14"/>
      <c r="K61" s="3"/>
      <c r="M61" s="3"/>
      <c r="N61" s="3"/>
      <c r="O61" s="52"/>
      <c r="P61" s="3"/>
    </row>
    <row r="62" spans="2:16">
      <c r="B62" s="28"/>
      <c r="C62" s="3"/>
      <c r="D62" s="47"/>
      <c r="E62" s="28"/>
      <c r="F62" s="28"/>
      <c r="G62" s="28"/>
      <c r="H62" s="29"/>
      <c r="I62" s="14"/>
      <c r="K62" s="3"/>
      <c r="M62" s="3"/>
      <c r="N62" s="3"/>
      <c r="O62" s="52"/>
      <c r="P62" s="3"/>
    </row>
    <row r="63" spans="2:16">
      <c r="B63" s="28"/>
      <c r="C63" s="3"/>
      <c r="D63" s="47"/>
      <c r="E63" s="28"/>
      <c r="F63" s="28"/>
      <c r="G63" s="28"/>
      <c r="H63" s="29"/>
      <c r="I63" s="14"/>
      <c r="K63" s="3"/>
      <c r="M63" s="3"/>
      <c r="N63" s="3"/>
      <c r="O63" s="52"/>
      <c r="P63" s="3"/>
    </row>
    <row r="64" spans="2:16">
      <c r="B64" s="28"/>
      <c r="C64" s="3"/>
      <c r="D64" s="47"/>
      <c r="E64" s="28"/>
      <c r="F64" s="28"/>
      <c r="G64" s="28"/>
      <c r="H64" s="29"/>
      <c r="I64" s="14"/>
      <c r="K64" s="3"/>
      <c r="M64" s="3"/>
      <c r="N64" s="3"/>
      <c r="O64" s="52"/>
      <c r="P64" s="3"/>
    </row>
    <row r="65" spans="2:16">
      <c r="B65" s="28"/>
      <c r="C65" s="3"/>
      <c r="D65" s="47"/>
      <c r="E65" s="28"/>
      <c r="F65" s="28"/>
      <c r="G65" s="28"/>
      <c r="H65" s="29"/>
      <c r="I65" s="14"/>
      <c r="K65" s="3"/>
      <c r="M65" s="3"/>
      <c r="N65" s="3"/>
      <c r="O65" s="52"/>
      <c r="P65" s="3"/>
    </row>
    <row r="66" spans="2:16">
      <c r="B66" s="28"/>
      <c r="C66" s="3"/>
      <c r="D66" s="47"/>
      <c r="E66" s="28"/>
      <c r="F66" s="28"/>
      <c r="G66" s="28"/>
      <c r="H66" s="29"/>
      <c r="I66" s="14"/>
      <c r="K66" s="3"/>
      <c r="M66" s="3"/>
      <c r="N66" s="3"/>
      <c r="O66" s="52"/>
      <c r="P66" s="3"/>
    </row>
    <row r="67" spans="2:16">
      <c r="B67" s="28"/>
      <c r="C67" s="3"/>
      <c r="D67" s="47"/>
      <c r="E67" s="28"/>
      <c r="F67" s="28"/>
      <c r="G67" s="28"/>
      <c r="H67" s="29"/>
      <c r="I67" s="14"/>
      <c r="K67" s="3"/>
      <c r="M67" s="3"/>
      <c r="N67" s="3"/>
      <c r="O67" s="52"/>
      <c r="P67" s="3"/>
    </row>
    <row r="68" spans="2:16">
      <c r="B68" s="28"/>
      <c r="C68" s="3"/>
      <c r="D68" s="47"/>
      <c r="E68" s="28"/>
      <c r="F68" s="28"/>
      <c r="G68" s="28"/>
      <c r="H68" s="29"/>
      <c r="I68" s="14"/>
      <c r="K68" s="3"/>
      <c r="M68" s="3"/>
      <c r="N68" s="3"/>
      <c r="O68" s="52"/>
      <c r="P68" s="3"/>
    </row>
    <row r="69" spans="2:16">
      <c r="B69" s="28"/>
      <c r="C69" s="3"/>
      <c r="D69" s="47"/>
      <c r="E69" s="28"/>
      <c r="F69" s="28"/>
      <c r="G69" s="28"/>
      <c r="H69" s="29"/>
      <c r="I69" s="14"/>
      <c r="K69" s="3"/>
      <c r="M69" s="3"/>
      <c r="N69" s="3"/>
      <c r="O69" s="52"/>
      <c r="P69" s="3"/>
    </row>
    <row r="70" spans="2:16">
      <c r="B70" s="28"/>
      <c r="C70" s="3"/>
      <c r="D70" s="47"/>
      <c r="E70" s="28"/>
      <c r="F70" s="28"/>
      <c r="G70" s="28"/>
      <c r="H70" s="29"/>
      <c r="I70" s="14"/>
      <c r="K70" s="3"/>
      <c r="M70" s="3"/>
      <c r="N70" s="3"/>
      <c r="O70" s="52"/>
      <c r="P70" s="3"/>
    </row>
    <row r="71" spans="2:16">
      <c r="B71" s="28"/>
      <c r="C71" s="3"/>
      <c r="D71" s="47"/>
      <c r="E71" s="28"/>
      <c r="F71" s="28"/>
      <c r="G71" s="28"/>
      <c r="H71" s="29"/>
      <c r="I71" s="14"/>
      <c r="K71" s="3"/>
      <c r="M71" s="3"/>
      <c r="N71" s="3"/>
      <c r="O71" s="52"/>
      <c r="P71" s="3"/>
    </row>
    <row r="72" spans="2:16">
      <c r="B72" s="28"/>
      <c r="C72" s="3"/>
      <c r="D72" s="47"/>
      <c r="E72" s="28"/>
      <c r="F72" s="28"/>
      <c r="G72" s="28"/>
      <c r="H72" s="29"/>
      <c r="I72" s="14"/>
      <c r="K72" s="3"/>
      <c r="M72" s="3"/>
      <c r="N72" s="3"/>
      <c r="O72" s="52"/>
      <c r="P72" s="3"/>
    </row>
    <row r="73" spans="2:16">
      <c r="B73" s="28"/>
      <c r="C73" s="3"/>
      <c r="D73" s="47"/>
      <c r="E73" s="28"/>
      <c r="F73" s="28"/>
      <c r="G73" s="28"/>
      <c r="H73" s="29"/>
      <c r="I73" s="14"/>
      <c r="K73" s="3"/>
      <c r="M73" s="3"/>
      <c r="N73" s="3"/>
      <c r="O73" s="52"/>
      <c r="P73" s="3"/>
    </row>
    <row r="74" spans="2:16">
      <c r="B74" s="28"/>
      <c r="C74" s="3"/>
      <c r="D74" s="47"/>
      <c r="E74" s="28"/>
      <c r="F74" s="28"/>
      <c r="G74" s="28"/>
      <c r="H74" s="29"/>
      <c r="I74" s="14"/>
      <c r="K74" s="3"/>
      <c r="M74" s="3"/>
      <c r="N74" s="3"/>
      <c r="O74" s="52"/>
      <c r="P74" s="3"/>
    </row>
    <row r="75" spans="2:16">
      <c r="B75" s="28"/>
      <c r="C75" s="3"/>
      <c r="D75" s="47"/>
      <c r="E75" s="28"/>
      <c r="F75" s="28"/>
      <c r="G75" s="28"/>
      <c r="H75" s="29"/>
      <c r="I75" s="14"/>
      <c r="K75" s="3"/>
      <c r="M75" s="3"/>
      <c r="N75" s="3"/>
      <c r="O75" s="52"/>
      <c r="P75" s="3"/>
    </row>
    <row r="76" spans="2:16">
      <c r="B76" s="28"/>
      <c r="C76" s="3"/>
      <c r="D76" s="47"/>
      <c r="E76" s="28"/>
      <c r="F76" s="28"/>
      <c r="G76" s="28"/>
      <c r="H76" s="29"/>
      <c r="I76" s="14"/>
      <c r="K76" s="3"/>
      <c r="M76" s="3"/>
      <c r="N76" s="3"/>
      <c r="O76" s="52"/>
      <c r="P76" s="3"/>
    </row>
    <row r="77" spans="2:16">
      <c r="B77" s="28"/>
      <c r="C77" s="3"/>
      <c r="D77" s="47"/>
      <c r="E77" s="28"/>
      <c r="F77" s="28"/>
      <c r="G77" s="28"/>
      <c r="H77" s="29"/>
      <c r="I77" s="14"/>
      <c r="K77" s="3"/>
      <c r="M77" s="3"/>
      <c r="N77" s="3"/>
      <c r="O77" s="52"/>
      <c r="P77" s="3"/>
    </row>
    <row r="78" spans="2:16">
      <c r="B78" s="28"/>
      <c r="C78" s="3"/>
      <c r="D78" s="47"/>
      <c r="E78" s="28"/>
      <c r="F78" s="28"/>
      <c r="G78" s="28"/>
      <c r="H78" s="29"/>
      <c r="I78" s="14"/>
      <c r="K78" s="3"/>
      <c r="M78" s="3"/>
      <c r="N78" s="3"/>
      <c r="O78" s="52"/>
      <c r="P78" s="3"/>
    </row>
    <row r="79" spans="2:16">
      <c r="B79" s="28"/>
      <c r="C79" s="3"/>
      <c r="D79" s="47"/>
      <c r="E79" s="28"/>
      <c r="F79" s="28"/>
      <c r="G79" s="28"/>
      <c r="H79" s="29"/>
      <c r="I79" s="14"/>
      <c r="K79" s="3"/>
      <c r="M79" s="3"/>
      <c r="N79" s="3"/>
      <c r="O79" s="52"/>
      <c r="P79" s="3"/>
    </row>
    <row r="80" spans="2:16">
      <c r="B80" s="28"/>
      <c r="C80" s="3"/>
      <c r="D80" s="47"/>
      <c r="E80" s="28"/>
      <c r="F80" s="28"/>
      <c r="G80" s="28"/>
      <c r="H80" s="29"/>
      <c r="I80" s="14"/>
      <c r="K80" s="3"/>
      <c r="M80" s="3"/>
      <c r="N80" s="3"/>
      <c r="O80" s="52"/>
      <c r="P80" s="3"/>
    </row>
    <row r="81" spans="2:16">
      <c r="B81" s="28"/>
      <c r="C81" s="3"/>
      <c r="D81" s="47"/>
      <c r="E81" s="28"/>
      <c r="F81" s="28"/>
      <c r="G81" s="28"/>
      <c r="H81" s="29"/>
      <c r="I81" s="14"/>
      <c r="K81" s="3"/>
      <c r="M81" s="3"/>
      <c r="N81" s="3"/>
      <c r="O81" s="52"/>
      <c r="P81" s="3"/>
    </row>
    <row r="82" spans="2:16">
      <c r="B82" s="28"/>
      <c r="C82" s="3"/>
      <c r="D82" s="47"/>
      <c r="E82" s="28"/>
      <c r="F82" s="28"/>
      <c r="G82" s="28"/>
      <c r="H82" s="29"/>
      <c r="I82" s="14"/>
      <c r="K82" s="3"/>
      <c r="M82" s="3"/>
      <c r="N82" s="3"/>
      <c r="O82" s="52"/>
      <c r="P82" s="3"/>
    </row>
    <row r="83" spans="2:16">
      <c r="B83" s="28"/>
      <c r="C83" s="3"/>
      <c r="D83" s="47"/>
      <c r="E83" s="28"/>
      <c r="F83" s="28"/>
      <c r="G83" s="28"/>
      <c r="H83" s="29"/>
      <c r="I83" s="14"/>
      <c r="K83" s="3"/>
      <c r="M83" s="3"/>
      <c r="N83" s="3"/>
      <c r="O83" s="52"/>
      <c r="P83" s="3"/>
    </row>
    <row r="84" spans="2:16">
      <c r="B84" s="28"/>
      <c r="C84" s="3"/>
      <c r="D84" s="47"/>
      <c r="E84" s="28"/>
      <c r="F84" s="28"/>
      <c r="G84" s="28"/>
      <c r="H84" s="29"/>
      <c r="I84" s="14"/>
      <c r="K84" s="3"/>
      <c r="M84" s="3"/>
      <c r="N84" s="3"/>
      <c r="O84" s="52"/>
      <c r="P84" s="3"/>
    </row>
    <row r="85" spans="2:16">
      <c r="B85" s="28"/>
      <c r="C85" s="3"/>
      <c r="D85" s="47"/>
      <c r="E85" s="28"/>
      <c r="F85" s="28"/>
      <c r="G85" s="28"/>
      <c r="H85" s="29"/>
      <c r="I85" s="14"/>
      <c r="K85" s="3"/>
      <c r="M85" s="3"/>
      <c r="N85" s="3"/>
      <c r="O85" s="52"/>
      <c r="P85" s="3"/>
    </row>
    <row r="86" spans="2:16">
      <c r="B86" s="28"/>
      <c r="C86" s="3"/>
      <c r="D86" s="47"/>
      <c r="E86" s="28"/>
      <c r="F86" s="28"/>
      <c r="G86" s="28"/>
      <c r="H86" s="29"/>
      <c r="I86" s="14"/>
      <c r="K86" s="3"/>
      <c r="M86" s="3"/>
      <c r="N86" s="3"/>
      <c r="O86" s="52"/>
      <c r="P86" s="3"/>
    </row>
    <row r="87" spans="2:16">
      <c r="B87" s="28"/>
      <c r="C87" s="3"/>
      <c r="D87" s="47"/>
      <c r="E87" s="28"/>
      <c r="F87" s="28"/>
      <c r="G87" s="28"/>
      <c r="H87" s="29"/>
      <c r="I87" s="14"/>
      <c r="K87" s="3"/>
      <c r="M87" s="3"/>
      <c r="N87" s="3"/>
      <c r="O87" s="52"/>
      <c r="P87" s="3"/>
    </row>
    <row r="88" spans="2:16">
      <c r="B88" s="28"/>
      <c r="C88" s="3"/>
      <c r="D88" s="47"/>
      <c r="E88" s="28"/>
      <c r="F88" s="28"/>
      <c r="G88" s="28"/>
      <c r="H88" s="29"/>
      <c r="I88" s="14"/>
      <c r="K88" s="3"/>
      <c r="M88" s="3"/>
      <c r="N88" s="3"/>
      <c r="O88" s="52"/>
      <c r="P88" s="3"/>
    </row>
    <row r="89" spans="2:16">
      <c r="B89" s="28"/>
      <c r="C89" s="3"/>
      <c r="D89" s="47"/>
      <c r="E89" s="28"/>
      <c r="F89" s="28"/>
      <c r="G89" s="28"/>
      <c r="H89" s="29"/>
      <c r="I89" s="14"/>
      <c r="K89" s="3"/>
      <c r="M89" s="3"/>
      <c r="N89" s="3"/>
      <c r="O89" s="52"/>
      <c r="P89" s="3"/>
    </row>
    <row r="90" spans="2:16">
      <c r="B90" s="28"/>
      <c r="C90" s="3"/>
      <c r="D90" s="47"/>
      <c r="E90" s="28"/>
      <c r="F90" s="28"/>
      <c r="G90" s="28"/>
      <c r="H90" s="29"/>
      <c r="I90" s="14"/>
      <c r="K90" s="3"/>
      <c r="M90" s="3"/>
      <c r="N90" s="3"/>
      <c r="O90" s="52"/>
      <c r="P90" s="3"/>
    </row>
    <row r="91" spans="2:16">
      <c r="B91" s="28"/>
      <c r="C91" s="3"/>
      <c r="D91" s="47"/>
      <c r="E91" s="28"/>
      <c r="F91" s="28"/>
      <c r="G91" s="28"/>
      <c r="H91" s="29"/>
      <c r="I91" s="14"/>
      <c r="K91" s="3"/>
      <c r="M91" s="3"/>
      <c r="N91" s="3"/>
      <c r="O91" s="52"/>
      <c r="P91" s="3"/>
    </row>
    <row r="92" spans="2:16">
      <c r="B92" s="28"/>
      <c r="C92" s="3"/>
      <c r="D92" s="47"/>
      <c r="E92" s="28"/>
      <c r="F92" s="28"/>
      <c r="G92" s="28"/>
      <c r="H92" s="29"/>
      <c r="I92" s="14"/>
      <c r="K92" s="3"/>
      <c r="M92" s="3"/>
      <c r="N92" s="3"/>
      <c r="O92" s="52"/>
      <c r="P92" s="3"/>
    </row>
    <row r="93" spans="2:16">
      <c r="B93" s="28"/>
      <c r="C93" s="3"/>
      <c r="D93" s="47"/>
      <c r="E93" s="28"/>
      <c r="F93" s="28"/>
      <c r="G93" s="28"/>
      <c r="H93" s="29"/>
      <c r="I93" s="14"/>
      <c r="K93" s="3"/>
      <c r="M93" s="3"/>
      <c r="N93" s="3"/>
      <c r="O93" s="52"/>
      <c r="P93" s="3"/>
    </row>
    <row r="94" spans="2:16">
      <c r="B94" s="28"/>
      <c r="C94" s="3"/>
      <c r="D94" s="47"/>
      <c r="E94" s="28"/>
      <c r="F94" s="28"/>
      <c r="G94" s="28"/>
      <c r="H94" s="29"/>
      <c r="I94" s="14"/>
      <c r="K94" s="3"/>
      <c r="M94" s="3"/>
      <c r="N94" s="3"/>
      <c r="O94" s="52"/>
      <c r="P94" s="3"/>
    </row>
    <row r="95" spans="2:16">
      <c r="B95" s="28"/>
      <c r="C95" s="3"/>
      <c r="D95" s="47"/>
      <c r="E95" s="28"/>
      <c r="F95" s="28"/>
      <c r="G95" s="28"/>
      <c r="H95" s="29"/>
      <c r="I95" s="14"/>
      <c r="K95" s="3"/>
      <c r="M95" s="3"/>
      <c r="N95" s="3"/>
      <c r="O95" s="52"/>
      <c r="P95" s="3"/>
    </row>
    <row r="96" spans="2:16">
      <c r="B96" s="28"/>
      <c r="C96" s="3"/>
      <c r="D96" s="47"/>
      <c r="E96" s="28"/>
      <c r="F96" s="28"/>
      <c r="G96" s="28"/>
      <c r="H96" s="29"/>
      <c r="I96" s="14"/>
      <c r="K96" s="3"/>
      <c r="M96" s="3"/>
      <c r="N96" s="3"/>
      <c r="O96" s="52"/>
      <c r="P96" s="3"/>
    </row>
    <row r="97" spans="2:16">
      <c r="B97" s="28"/>
      <c r="C97" s="3"/>
      <c r="D97" s="47"/>
      <c r="E97" s="28"/>
      <c r="F97" s="28"/>
      <c r="G97" s="28"/>
      <c r="H97" s="29"/>
      <c r="I97" s="14"/>
      <c r="K97" s="3"/>
      <c r="M97" s="3"/>
      <c r="N97" s="3"/>
      <c r="O97" s="52"/>
      <c r="P97" s="3"/>
    </row>
    <row r="98" spans="2:16">
      <c r="B98" s="28"/>
      <c r="C98" s="3"/>
      <c r="D98" s="47"/>
      <c r="E98" s="28"/>
      <c r="F98" s="28"/>
      <c r="G98" s="28"/>
      <c r="H98" s="29"/>
      <c r="I98" s="14"/>
      <c r="K98" s="3"/>
      <c r="M98" s="3"/>
      <c r="N98" s="3"/>
      <c r="O98" s="52"/>
      <c r="P98" s="3"/>
    </row>
    <row r="99" spans="2:16">
      <c r="B99" s="28"/>
      <c r="C99" s="3"/>
      <c r="D99" s="47"/>
      <c r="E99" s="28"/>
      <c r="F99" s="28"/>
      <c r="G99" s="28"/>
      <c r="H99" s="29"/>
      <c r="I99" s="14"/>
      <c r="K99" s="3"/>
      <c r="M99" s="3"/>
      <c r="N99" s="3"/>
      <c r="O99" s="52"/>
      <c r="P99" s="3"/>
    </row>
    <row r="100" spans="2:16">
      <c r="B100" s="28"/>
      <c r="C100" s="3"/>
      <c r="D100" s="47"/>
      <c r="E100" s="28"/>
      <c r="F100" s="28"/>
      <c r="G100" s="28"/>
      <c r="H100" s="29"/>
      <c r="I100" s="14"/>
      <c r="K100" s="3"/>
      <c r="M100" s="3"/>
      <c r="N100" s="3"/>
      <c r="O100" s="52"/>
      <c r="P100" s="3"/>
    </row>
    <row r="101" spans="2:16">
      <c r="B101" s="28"/>
      <c r="C101" s="3"/>
      <c r="D101" s="47"/>
      <c r="E101" s="28"/>
      <c r="F101" s="28"/>
      <c r="G101" s="28"/>
      <c r="H101" s="29"/>
      <c r="I101" s="14"/>
      <c r="K101" s="3"/>
      <c r="M101" s="3"/>
      <c r="N101" s="3"/>
      <c r="O101" s="52"/>
      <c r="P101" s="3"/>
    </row>
    <row r="102" spans="2:16">
      <c r="B102" s="28"/>
      <c r="C102" s="3"/>
      <c r="D102" s="47"/>
      <c r="E102" s="28"/>
      <c r="F102" s="28"/>
      <c r="G102" s="28"/>
      <c r="H102" s="29"/>
      <c r="I102" s="14"/>
      <c r="K102" s="3"/>
      <c r="M102" s="3"/>
      <c r="N102" s="3"/>
      <c r="O102" s="52"/>
      <c r="P102" s="3"/>
    </row>
    <row r="103" spans="2:16">
      <c r="B103" s="28"/>
      <c r="C103" s="3"/>
      <c r="D103" s="47"/>
      <c r="E103" s="28"/>
      <c r="F103" s="28"/>
      <c r="G103" s="28"/>
      <c r="H103" s="29"/>
      <c r="I103" s="14"/>
      <c r="K103" s="3"/>
      <c r="M103" s="3"/>
      <c r="N103" s="3"/>
      <c r="O103" s="52"/>
      <c r="P103" s="3"/>
    </row>
    <row r="104" spans="2:16">
      <c r="B104" s="28"/>
      <c r="C104" s="3"/>
      <c r="D104" s="47"/>
      <c r="E104" s="28"/>
      <c r="F104" s="28"/>
      <c r="G104" s="28"/>
      <c r="H104" s="29"/>
      <c r="I104" s="14"/>
      <c r="K104" s="3"/>
      <c r="M104" s="3"/>
      <c r="N104" s="3"/>
      <c r="O104" s="52"/>
      <c r="P104" s="3"/>
    </row>
    <row r="105" spans="2:16">
      <c r="B105" s="28"/>
      <c r="C105" s="3"/>
      <c r="D105" s="47"/>
      <c r="E105" s="28"/>
      <c r="F105" s="28"/>
      <c r="G105" s="28"/>
      <c r="H105" s="29"/>
      <c r="I105" s="14"/>
      <c r="K105" s="3"/>
      <c r="M105" s="3"/>
      <c r="N105" s="3"/>
      <c r="O105" s="52"/>
      <c r="P105" s="3"/>
    </row>
    <row r="106" spans="2:16">
      <c r="B106" s="28"/>
      <c r="C106" s="3"/>
      <c r="D106" s="47"/>
      <c r="E106" s="28"/>
      <c r="F106" s="28"/>
      <c r="G106" s="28"/>
      <c r="H106" s="29"/>
      <c r="I106" s="14"/>
      <c r="K106" s="3"/>
      <c r="M106" s="3"/>
      <c r="N106" s="3"/>
      <c r="O106" s="52"/>
      <c r="P106" s="3"/>
    </row>
    <row r="107" spans="2:16">
      <c r="B107" s="28"/>
      <c r="C107" s="3"/>
      <c r="D107" s="47"/>
      <c r="E107" s="28"/>
      <c r="F107" s="28"/>
      <c r="G107" s="28"/>
      <c r="H107" s="29"/>
      <c r="I107" s="14"/>
      <c r="K107" s="3"/>
      <c r="M107" s="3"/>
      <c r="N107" s="3"/>
      <c r="O107" s="52"/>
      <c r="P107" s="3"/>
    </row>
    <row r="108" spans="2:16">
      <c r="B108" s="28"/>
      <c r="C108" s="3"/>
      <c r="D108" s="47"/>
      <c r="E108" s="28"/>
      <c r="F108" s="28"/>
      <c r="G108" s="28"/>
      <c r="H108" s="29"/>
      <c r="I108" s="14"/>
      <c r="K108" s="3"/>
      <c r="M108" s="3"/>
      <c r="N108" s="3"/>
      <c r="O108" s="52"/>
      <c r="P108" s="3"/>
    </row>
    <row r="109" spans="2:16">
      <c r="B109" s="28"/>
      <c r="C109" s="3"/>
      <c r="D109" s="47"/>
      <c r="E109" s="28"/>
      <c r="F109" s="28"/>
      <c r="G109" s="28"/>
      <c r="H109" s="29"/>
      <c r="I109" s="14"/>
      <c r="K109" s="3"/>
      <c r="M109" s="3"/>
      <c r="N109" s="3"/>
      <c r="O109" s="52"/>
      <c r="P109" s="3"/>
    </row>
    <row r="110" spans="2:16">
      <c r="B110" s="28"/>
      <c r="C110" s="3"/>
      <c r="D110" s="47"/>
      <c r="E110" s="28"/>
      <c r="F110" s="28"/>
      <c r="G110" s="28"/>
      <c r="H110" s="29"/>
      <c r="I110" s="14"/>
      <c r="K110" s="3"/>
      <c r="M110" s="3"/>
      <c r="N110" s="3"/>
      <c r="O110" s="52"/>
      <c r="P110" s="3"/>
    </row>
    <row r="111" spans="2:16">
      <c r="B111" s="28"/>
      <c r="C111" s="3"/>
      <c r="D111" s="47"/>
      <c r="E111" s="28"/>
      <c r="F111" s="28"/>
      <c r="G111" s="28"/>
      <c r="H111" s="29"/>
      <c r="I111" s="14"/>
      <c r="K111" s="3"/>
      <c r="M111" s="3"/>
      <c r="N111" s="3"/>
      <c r="O111" s="52"/>
      <c r="P111" s="3"/>
    </row>
    <row r="112" spans="2:16">
      <c r="B112" s="28"/>
      <c r="C112" s="3"/>
      <c r="D112" s="47"/>
      <c r="E112" s="28"/>
      <c r="F112" s="28"/>
      <c r="G112" s="28"/>
      <c r="H112" s="29"/>
      <c r="I112" s="14"/>
      <c r="K112" s="3"/>
      <c r="M112" s="3"/>
      <c r="N112" s="3"/>
      <c r="O112" s="52"/>
      <c r="P112" s="3"/>
    </row>
    <row r="113" spans="2:16">
      <c r="B113" s="28"/>
      <c r="C113" s="3"/>
      <c r="D113" s="47"/>
      <c r="E113" s="28"/>
      <c r="F113" s="28"/>
      <c r="G113" s="28"/>
      <c r="H113" s="29"/>
      <c r="I113" s="14"/>
      <c r="K113" s="3"/>
      <c r="M113" s="3"/>
      <c r="N113" s="3"/>
      <c r="O113" s="52"/>
      <c r="P113" s="3"/>
    </row>
    <row r="114" spans="2:16">
      <c r="B114" s="28"/>
      <c r="C114" s="3"/>
      <c r="D114" s="47"/>
      <c r="E114" s="28"/>
      <c r="F114" s="28"/>
      <c r="G114" s="28"/>
      <c r="H114" s="29"/>
      <c r="I114" s="14"/>
      <c r="K114" s="3"/>
      <c r="M114" s="3"/>
      <c r="N114" s="3"/>
      <c r="O114" s="52"/>
      <c r="P114" s="3"/>
    </row>
    <row r="115" spans="2:16">
      <c r="B115" s="28"/>
      <c r="C115" s="3"/>
      <c r="D115" s="47"/>
      <c r="E115" s="28"/>
      <c r="F115" s="28"/>
      <c r="G115" s="28"/>
      <c r="H115" s="29"/>
      <c r="I115" s="14"/>
      <c r="K115" s="3"/>
      <c r="M115" s="3"/>
      <c r="N115" s="3"/>
      <c r="O115" s="52"/>
      <c r="P115" s="3"/>
    </row>
    <row r="116" spans="2:16">
      <c r="B116" s="28"/>
      <c r="C116" s="3"/>
      <c r="D116" s="47"/>
      <c r="E116" s="28"/>
      <c r="F116" s="28"/>
      <c r="G116" s="28"/>
      <c r="H116" s="29"/>
      <c r="I116" s="14"/>
      <c r="K116" s="3"/>
      <c r="M116" s="3"/>
      <c r="N116" s="3"/>
      <c r="O116" s="52"/>
      <c r="P116" s="3"/>
    </row>
    <row r="117" spans="2:16">
      <c r="B117" s="28"/>
      <c r="C117" s="3"/>
      <c r="D117" s="47"/>
      <c r="E117" s="28"/>
      <c r="F117" s="28"/>
      <c r="G117" s="28"/>
      <c r="H117" s="29"/>
      <c r="I117" s="14"/>
      <c r="K117" s="3"/>
      <c r="M117" s="3"/>
      <c r="N117" s="3"/>
      <c r="O117" s="52"/>
      <c r="P117" s="3"/>
    </row>
    <row r="118" spans="2:16">
      <c r="B118" s="28"/>
      <c r="C118" s="3"/>
      <c r="D118" s="47"/>
      <c r="E118" s="28"/>
      <c r="F118" s="28"/>
      <c r="G118" s="28"/>
      <c r="H118" s="29"/>
      <c r="I118" s="14"/>
      <c r="K118" s="3"/>
      <c r="M118" s="3"/>
      <c r="N118" s="3"/>
      <c r="O118" s="52"/>
      <c r="P118" s="3"/>
    </row>
    <row r="119" spans="2:16">
      <c r="B119" s="28"/>
      <c r="C119" s="3"/>
      <c r="D119" s="47"/>
      <c r="E119" s="28"/>
      <c r="F119" s="28"/>
      <c r="G119" s="28"/>
      <c r="H119" s="29"/>
      <c r="I119" s="14"/>
      <c r="K119" s="3"/>
      <c r="M119" s="3"/>
      <c r="N119" s="3"/>
      <c r="O119" s="52"/>
      <c r="P119" s="3"/>
    </row>
    <row r="120" spans="2:16">
      <c r="B120" s="28"/>
      <c r="C120" s="3"/>
      <c r="D120" s="47"/>
      <c r="E120" s="28"/>
      <c r="F120" s="28"/>
      <c r="G120" s="28"/>
      <c r="H120" s="29"/>
      <c r="I120" s="14"/>
      <c r="K120" s="3"/>
      <c r="M120" s="3"/>
      <c r="N120" s="3"/>
      <c r="O120" s="52"/>
      <c r="P120" s="3"/>
    </row>
    <row r="121" spans="2:16">
      <c r="B121" s="28"/>
      <c r="C121" s="3"/>
      <c r="D121" s="47"/>
      <c r="E121" s="28"/>
      <c r="F121" s="28"/>
      <c r="G121" s="28"/>
      <c r="H121" s="29"/>
      <c r="I121" s="14"/>
      <c r="K121" s="3"/>
      <c r="M121" s="3"/>
      <c r="N121" s="3"/>
      <c r="O121" s="52"/>
      <c r="P121" s="3"/>
    </row>
    <row r="122" spans="2:16">
      <c r="B122" s="28"/>
      <c r="C122" s="3"/>
      <c r="D122" s="47"/>
      <c r="E122" s="28"/>
      <c r="F122" s="28"/>
      <c r="G122" s="28"/>
      <c r="H122" s="29"/>
      <c r="I122" s="14"/>
      <c r="K122" s="3"/>
      <c r="M122" s="3"/>
      <c r="N122" s="3"/>
      <c r="O122" s="52"/>
      <c r="P122" s="3"/>
    </row>
    <row r="123" spans="2:16">
      <c r="B123" s="28"/>
      <c r="C123" s="3"/>
      <c r="D123" s="47"/>
      <c r="E123" s="28"/>
      <c r="F123" s="28"/>
      <c r="G123" s="28"/>
      <c r="H123" s="29"/>
      <c r="I123" s="14"/>
      <c r="K123" s="3"/>
      <c r="M123" s="3"/>
      <c r="N123" s="3"/>
      <c r="O123" s="52"/>
      <c r="P123" s="3"/>
    </row>
    <row r="124" spans="2:16">
      <c r="B124" s="28"/>
      <c r="C124" s="3"/>
      <c r="D124" s="47"/>
      <c r="E124" s="28"/>
      <c r="F124" s="28"/>
      <c r="G124" s="28"/>
      <c r="H124" s="29"/>
      <c r="I124" s="14"/>
      <c r="K124" s="3"/>
      <c r="M124" s="3"/>
      <c r="N124" s="3"/>
      <c r="O124" s="52"/>
      <c r="P124" s="3"/>
    </row>
    <row r="125" spans="2:16">
      <c r="B125" s="28"/>
      <c r="C125" s="3"/>
      <c r="D125" s="47"/>
      <c r="E125" s="28"/>
      <c r="F125" s="28"/>
      <c r="G125" s="28"/>
      <c r="H125" s="29"/>
      <c r="I125" s="14"/>
      <c r="K125" s="3"/>
      <c r="M125" s="3"/>
      <c r="N125" s="3"/>
      <c r="O125" s="52"/>
      <c r="P125" s="3"/>
    </row>
    <row r="126" spans="2:16">
      <c r="B126" s="28"/>
      <c r="C126" s="3"/>
      <c r="D126" s="47"/>
      <c r="E126" s="28"/>
      <c r="F126" s="28"/>
      <c r="G126" s="28"/>
      <c r="H126" s="29"/>
      <c r="I126" s="14"/>
      <c r="K126" s="3"/>
      <c r="M126" s="3"/>
      <c r="N126" s="3"/>
      <c r="O126" s="52"/>
      <c r="P126" s="3"/>
    </row>
    <row r="127" spans="2:16">
      <c r="B127" s="28"/>
      <c r="C127" s="3"/>
      <c r="D127" s="47"/>
      <c r="E127" s="28"/>
      <c r="F127" s="28"/>
      <c r="G127" s="28"/>
      <c r="H127" s="29"/>
      <c r="I127" s="14"/>
      <c r="K127" s="3"/>
      <c r="M127" s="3"/>
      <c r="N127" s="3"/>
      <c r="O127" s="52"/>
      <c r="P127" s="3"/>
    </row>
    <row r="128" spans="2:16">
      <c r="B128" s="28"/>
      <c r="C128" s="3"/>
      <c r="D128" s="47"/>
      <c r="E128" s="28"/>
      <c r="F128" s="28"/>
      <c r="G128" s="28"/>
      <c r="H128" s="29"/>
      <c r="I128" s="14"/>
      <c r="K128" s="3"/>
      <c r="M128" s="3"/>
      <c r="N128" s="3"/>
      <c r="O128" s="52"/>
      <c r="P128" s="3"/>
    </row>
    <row r="129" spans="2:16">
      <c r="B129" s="28"/>
      <c r="C129" s="3"/>
      <c r="D129" s="47"/>
      <c r="E129" s="28"/>
      <c r="F129" s="28"/>
      <c r="G129" s="28"/>
      <c r="H129" s="29"/>
      <c r="I129" s="14"/>
      <c r="K129" s="3"/>
      <c r="M129" s="3"/>
      <c r="N129" s="3"/>
      <c r="O129" s="52"/>
      <c r="P129" s="3"/>
    </row>
    <row r="130" spans="2:16">
      <c r="B130" s="28"/>
      <c r="C130" s="3"/>
      <c r="D130" s="47"/>
      <c r="E130" s="28"/>
      <c r="F130" s="28"/>
      <c r="G130" s="28"/>
      <c r="H130" s="29"/>
      <c r="I130" s="14"/>
      <c r="K130" s="3"/>
      <c r="M130" s="3"/>
      <c r="N130" s="3"/>
      <c r="O130" s="52"/>
      <c r="P130" s="3"/>
    </row>
    <row r="131" spans="2:16">
      <c r="B131" s="28"/>
      <c r="C131" s="3"/>
      <c r="D131" s="47"/>
      <c r="E131" s="28"/>
      <c r="F131" s="28"/>
      <c r="G131" s="28"/>
      <c r="H131" s="29"/>
      <c r="I131" s="14"/>
      <c r="K131" s="3"/>
      <c r="M131" s="3"/>
      <c r="N131" s="3"/>
      <c r="O131" s="52"/>
      <c r="P131" s="3"/>
    </row>
    <row r="132" spans="2:16">
      <c r="B132" s="28"/>
      <c r="C132" s="3"/>
      <c r="D132" s="47"/>
      <c r="E132" s="28"/>
      <c r="F132" s="28"/>
      <c r="G132" s="28"/>
      <c r="H132" s="29"/>
      <c r="I132" s="14"/>
      <c r="K132" s="3"/>
      <c r="M132" s="3"/>
      <c r="N132" s="3"/>
      <c r="O132" s="52"/>
      <c r="P132" s="3"/>
    </row>
    <row r="133" spans="2:16">
      <c r="B133" s="28"/>
      <c r="C133" s="3"/>
      <c r="D133" s="47"/>
      <c r="E133" s="28"/>
      <c r="F133" s="28"/>
      <c r="G133" s="28"/>
      <c r="H133" s="29"/>
      <c r="I133" s="14"/>
      <c r="K133" s="3"/>
      <c r="M133" s="3"/>
      <c r="N133" s="3"/>
      <c r="O133" s="52"/>
      <c r="P133" s="3"/>
    </row>
    <row r="134" spans="2:16">
      <c r="B134" s="28"/>
      <c r="C134" s="3"/>
      <c r="D134" s="47"/>
      <c r="E134" s="28"/>
      <c r="F134" s="28"/>
      <c r="G134" s="28"/>
      <c r="H134" s="29"/>
      <c r="I134" s="14"/>
      <c r="K134" s="3"/>
      <c r="M134" s="3"/>
      <c r="N134" s="3"/>
      <c r="O134" s="52"/>
      <c r="P134" s="3"/>
    </row>
    <row r="135" spans="2:16">
      <c r="B135" s="28"/>
      <c r="C135" s="3"/>
      <c r="D135" s="47"/>
      <c r="E135" s="28"/>
      <c r="F135" s="28"/>
      <c r="G135" s="28"/>
      <c r="H135" s="29"/>
      <c r="I135" s="14"/>
      <c r="K135" s="3"/>
      <c r="M135" s="3"/>
      <c r="N135" s="3"/>
      <c r="O135" s="52"/>
      <c r="P135" s="3"/>
    </row>
    <row r="136" spans="2:16">
      <c r="B136" s="28"/>
      <c r="C136" s="3"/>
      <c r="D136" s="47"/>
      <c r="E136" s="28"/>
      <c r="F136" s="28"/>
      <c r="G136" s="28"/>
      <c r="H136" s="29"/>
      <c r="I136" s="14"/>
      <c r="K136" s="3"/>
      <c r="M136" s="3"/>
      <c r="N136" s="3"/>
      <c r="O136" s="52"/>
      <c r="P136" s="3"/>
    </row>
    <row r="137" spans="2:16">
      <c r="B137" s="28"/>
      <c r="C137" s="3"/>
      <c r="D137" s="47"/>
      <c r="E137" s="28"/>
      <c r="F137" s="28"/>
      <c r="G137" s="28"/>
      <c r="H137" s="29"/>
      <c r="I137" s="14"/>
      <c r="K137" s="3"/>
      <c r="M137" s="3"/>
      <c r="N137" s="3"/>
      <c r="O137" s="52"/>
      <c r="P137" s="3"/>
    </row>
    <row r="138" spans="2:16">
      <c r="B138" s="28"/>
      <c r="C138" s="3"/>
      <c r="D138" s="47"/>
      <c r="E138" s="28"/>
      <c r="F138" s="28"/>
      <c r="G138" s="28"/>
      <c r="H138" s="29"/>
      <c r="I138" s="14"/>
      <c r="K138" s="3"/>
      <c r="M138" s="3"/>
      <c r="N138" s="3"/>
      <c r="O138" s="52"/>
      <c r="P138" s="3"/>
    </row>
    <row r="139" spans="2:16">
      <c r="B139" s="28"/>
      <c r="C139" s="3"/>
      <c r="D139" s="47"/>
      <c r="E139" s="28"/>
      <c r="F139" s="28"/>
      <c r="G139" s="28"/>
      <c r="H139" s="29"/>
      <c r="I139" s="14"/>
      <c r="K139" s="3"/>
      <c r="M139" s="3"/>
      <c r="N139" s="3"/>
      <c r="O139" s="52"/>
      <c r="P139" s="3"/>
    </row>
    <row r="140" spans="2:16">
      <c r="B140" s="28"/>
      <c r="C140" s="3"/>
      <c r="D140" s="47"/>
      <c r="E140" s="28"/>
      <c r="F140" s="28"/>
      <c r="G140" s="28"/>
      <c r="H140" s="29"/>
      <c r="I140" s="14"/>
      <c r="K140" s="3"/>
      <c r="M140" s="3"/>
      <c r="N140" s="3"/>
      <c r="O140" s="52"/>
      <c r="P140" s="3"/>
    </row>
    <row r="141" spans="2:16">
      <c r="B141" s="28"/>
      <c r="C141" s="3"/>
      <c r="D141" s="47"/>
      <c r="E141" s="28"/>
      <c r="F141" s="28"/>
      <c r="G141" s="28"/>
      <c r="H141" s="29"/>
      <c r="I141" s="14"/>
      <c r="K141" s="3"/>
      <c r="M141" s="3"/>
      <c r="N141" s="3"/>
      <c r="O141" s="52"/>
      <c r="P141" s="3"/>
    </row>
    <row r="142" spans="2:16">
      <c r="B142" s="28"/>
      <c r="C142" s="3"/>
      <c r="D142" s="47"/>
      <c r="E142" s="28"/>
      <c r="F142" s="28"/>
      <c r="G142" s="28"/>
      <c r="H142" s="29"/>
      <c r="I142" s="14"/>
      <c r="K142" s="3"/>
      <c r="M142" s="3"/>
      <c r="N142" s="3"/>
      <c r="O142" s="52"/>
      <c r="P142" s="3"/>
    </row>
    <row r="143" spans="2:16">
      <c r="B143" s="28"/>
      <c r="C143" s="3"/>
      <c r="D143" s="47"/>
      <c r="E143" s="28"/>
      <c r="F143" s="28"/>
      <c r="G143" s="28"/>
      <c r="H143" s="29"/>
      <c r="I143" s="14"/>
      <c r="K143" s="3"/>
      <c r="M143" s="3"/>
      <c r="N143" s="3"/>
      <c r="O143" s="52"/>
      <c r="P143" s="3"/>
    </row>
    <row r="144" spans="2:16">
      <c r="B144" s="28"/>
      <c r="C144" s="3"/>
      <c r="D144" s="47"/>
      <c r="E144" s="28"/>
      <c r="F144" s="28"/>
      <c r="G144" s="28"/>
      <c r="H144" s="29"/>
      <c r="I144" s="14"/>
      <c r="K144" s="3"/>
      <c r="M144" s="3"/>
      <c r="N144" s="3"/>
      <c r="O144" s="52"/>
      <c r="P144" s="3"/>
    </row>
    <row r="145" spans="2:16">
      <c r="B145" s="28"/>
      <c r="C145" s="3"/>
      <c r="D145" s="47"/>
      <c r="E145" s="28"/>
      <c r="F145" s="28"/>
      <c r="G145" s="28"/>
      <c r="H145" s="29"/>
      <c r="I145" s="14"/>
      <c r="K145" s="3"/>
      <c r="M145" s="3"/>
      <c r="N145" s="3"/>
      <c r="O145" s="52"/>
      <c r="P145" s="3"/>
    </row>
    <row r="146" spans="2:16">
      <c r="B146" s="28"/>
      <c r="C146" s="3"/>
      <c r="D146" s="47"/>
      <c r="E146" s="28"/>
      <c r="F146" s="28"/>
      <c r="G146" s="28"/>
      <c r="H146" s="29"/>
      <c r="I146" s="14"/>
      <c r="K146" s="3"/>
      <c r="M146" s="3"/>
      <c r="N146" s="3"/>
      <c r="O146" s="52"/>
      <c r="P146" s="3"/>
    </row>
    <row r="147" spans="2:16">
      <c r="B147" s="28"/>
      <c r="C147" s="3"/>
      <c r="D147" s="47"/>
      <c r="E147" s="28"/>
      <c r="F147" s="28"/>
      <c r="G147" s="28"/>
      <c r="H147" s="29"/>
      <c r="I147" s="14"/>
      <c r="K147" s="3"/>
      <c r="M147" s="3"/>
      <c r="N147" s="3"/>
      <c r="O147" s="52"/>
      <c r="P147" s="3"/>
    </row>
    <row r="148" spans="2:16">
      <c r="B148" s="28"/>
      <c r="C148" s="3"/>
      <c r="D148" s="47"/>
      <c r="E148" s="28"/>
      <c r="F148" s="28"/>
      <c r="G148" s="28"/>
      <c r="H148" s="29"/>
      <c r="I148" s="14"/>
      <c r="K148" s="3"/>
      <c r="M148" s="3"/>
      <c r="N148" s="3"/>
      <c r="O148" s="52"/>
      <c r="P148" s="3"/>
    </row>
    <row r="149" spans="2:16">
      <c r="B149" s="28"/>
      <c r="C149" s="3"/>
      <c r="D149" s="47"/>
      <c r="E149" s="28"/>
      <c r="F149" s="28"/>
      <c r="G149" s="28"/>
      <c r="H149" s="29"/>
      <c r="I149" s="14"/>
      <c r="K149" s="3"/>
      <c r="M149" s="3"/>
      <c r="N149" s="3"/>
      <c r="O149" s="52"/>
      <c r="P149" s="3"/>
    </row>
    <row r="150" spans="2:16">
      <c r="B150" s="28"/>
      <c r="C150" s="3"/>
      <c r="D150" s="47"/>
      <c r="E150" s="28"/>
      <c r="F150" s="28"/>
      <c r="G150" s="28"/>
      <c r="H150" s="29"/>
      <c r="I150" s="14"/>
      <c r="K150" s="3"/>
      <c r="M150" s="3"/>
      <c r="N150" s="3"/>
      <c r="O150" s="52"/>
      <c r="P150" s="3"/>
    </row>
    <row r="151" spans="2:16">
      <c r="B151" s="28"/>
      <c r="C151" s="3"/>
      <c r="D151" s="47"/>
      <c r="E151" s="28"/>
      <c r="F151" s="28"/>
      <c r="G151" s="28"/>
      <c r="H151" s="29"/>
      <c r="I151" s="14"/>
      <c r="K151" s="3"/>
      <c r="M151" s="3"/>
      <c r="N151" s="3"/>
      <c r="O151" s="52"/>
      <c r="P151" s="3"/>
    </row>
    <row r="152" spans="2:16">
      <c r="B152" s="28"/>
      <c r="C152" s="3"/>
      <c r="D152" s="47"/>
      <c r="E152" s="28"/>
      <c r="F152" s="28"/>
      <c r="G152" s="28"/>
      <c r="H152" s="29"/>
      <c r="I152" s="14"/>
      <c r="K152" s="3"/>
      <c r="M152" s="3"/>
      <c r="N152" s="3"/>
      <c r="O152" s="52"/>
      <c r="P152" s="3"/>
    </row>
    <row r="153" spans="2:16">
      <c r="B153" s="28"/>
      <c r="C153" s="3"/>
      <c r="D153" s="47"/>
      <c r="E153" s="28"/>
      <c r="F153" s="28"/>
      <c r="G153" s="28"/>
      <c r="H153" s="29"/>
      <c r="I153" s="14"/>
      <c r="K153" s="3"/>
      <c r="M153" s="3"/>
      <c r="N153" s="3"/>
      <c r="O153" s="52"/>
      <c r="P153" s="3"/>
    </row>
    <row r="154" spans="2:16">
      <c r="B154" s="28"/>
      <c r="C154" s="3"/>
      <c r="D154" s="47"/>
      <c r="E154" s="28"/>
      <c r="F154" s="28"/>
      <c r="G154" s="28"/>
      <c r="H154" s="29"/>
      <c r="I154" s="14"/>
      <c r="K154" s="3"/>
      <c r="M154" s="3"/>
      <c r="N154" s="3"/>
      <c r="O154" s="52"/>
      <c r="P154" s="3"/>
    </row>
    <row r="155" spans="2:16">
      <c r="B155" s="28"/>
      <c r="C155" s="3"/>
      <c r="D155" s="47"/>
      <c r="E155" s="28"/>
      <c r="F155" s="28"/>
      <c r="G155" s="28"/>
      <c r="H155" s="29"/>
      <c r="I155" s="14"/>
      <c r="K155" s="3"/>
      <c r="M155" s="3"/>
      <c r="N155" s="3"/>
      <c r="O155" s="52"/>
      <c r="P155" s="3"/>
    </row>
    <row r="156" spans="2:16">
      <c r="B156" s="28"/>
      <c r="C156" s="3"/>
      <c r="D156" s="47"/>
      <c r="E156" s="28"/>
      <c r="F156" s="28"/>
      <c r="G156" s="28"/>
      <c r="H156" s="29"/>
      <c r="I156" s="14"/>
      <c r="K156" s="3"/>
      <c r="M156" s="3"/>
      <c r="N156" s="3"/>
      <c r="O156" s="52"/>
      <c r="P156" s="3"/>
    </row>
    <row r="157" spans="2:16">
      <c r="B157" s="28"/>
      <c r="C157" s="3"/>
      <c r="D157" s="47"/>
      <c r="E157" s="28"/>
      <c r="F157" s="28"/>
      <c r="G157" s="28"/>
      <c r="H157" s="29"/>
      <c r="I157" s="14"/>
      <c r="K157" s="3"/>
      <c r="M157" s="3"/>
      <c r="N157" s="3"/>
      <c r="O157" s="52"/>
      <c r="P157" s="3"/>
    </row>
    <row r="158" spans="2:16">
      <c r="B158" s="28"/>
      <c r="C158" s="3"/>
      <c r="D158" s="47"/>
      <c r="E158" s="28"/>
      <c r="F158" s="28"/>
      <c r="G158" s="28"/>
      <c r="H158" s="29"/>
      <c r="I158" s="14"/>
      <c r="K158" s="3"/>
      <c r="M158" s="3"/>
      <c r="N158" s="3"/>
      <c r="O158" s="52"/>
      <c r="P158" s="3"/>
    </row>
    <row r="159" spans="2:16">
      <c r="B159" s="28"/>
      <c r="C159" s="3"/>
      <c r="D159" s="47"/>
      <c r="E159" s="28"/>
      <c r="F159" s="28"/>
      <c r="G159" s="28"/>
      <c r="H159" s="29"/>
      <c r="I159" s="14"/>
      <c r="K159" s="3"/>
      <c r="M159" s="3"/>
      <c r="N159" s="3"/>
      <c r="O159" s="52"/>
      <c r="P159" s="3"/>
    </row>
    <row r="160" spans="2:16">
      <c r="B160" s="28"/>
      <c r="C160" s="3"/>
      <c r="D160" s="47"/>
      <c r="E160" s="28"/>
      <c r="F160" s="28"/>
      <c r="G160" s="28"/>
      <c r="H160" s="29"/>
      <c r="I160" s="14"/>
      <c r="K160" s="3"/>
      <c r="M160" s="3"/>
      <c r="N160" s="3"/>
      <c r="O160" s="52"/>
      <c r="P160" s="3"/>
    </row>
    <row r="161" spans="2:16">
      <c r="B161" s="28"/>
      <c r="C161" s="3"/>
      <c r="D161" s="47"/>
      <c r="E161" s="28"/>
      <c r="F161" s="28"/>
      <c r="G161" s="28"/>
      <c r="H161" s="29"/>
      <c r="I161" s="14"/>
      <c r="K161" s="3"/>
      <c r="M161" s="3"/>
      <c r="N161" s="3"/>
      <c r="O161" s="52"/>
      <c r="P161" s="3"/>
    </row>
    <row r="162" spans="2:16">
      <c r="B162" s="28"/>
      <c r="C162" s="3"/>
      <c r="D162" s="47"/>
      <c r="E162" s="28"/>
      <c r="F162" s="28"/>
      <c r="G162" s="28"/>
      <c r="H162" s="29"/>
      <c r="I162" s="14"/>
      <c r="K162" s="3"/>
      <c r="M162" s="3"/>
      <c r="N162" s="3"/>
      <c r="O162" s="52"/>
      <c r="P162" s="3"/>
    </row>
    <row r="163" spans="2:16">
      <c r="B163" s="28"/>
      <c r="C163" s="3"/>
      <c r="D163" s="47"/>
      <c r="E163" s="28"/>
      <c r="F163" s="28"/>
      <c r="G163" s="28"/>
      <c r="H163" s="29"/>
      <c r="I163" s="14"/>
      <c r="K163" s="3"/>
      <c r="M163" s="3"/>
      <c r="N163" s="3"/>
      <c r="O163" s="52"/>
      <c r="P163" s="3"/>
    </row>
    <row r="164" spans="2:16">
      <c r="B164" s="28"/>
      <c r="C164" s="3"/>
      <c r="D164" s="47"/>
      <c r="E164" s="28"/>
      <c r="F164" s="28"/>
      <c r="G164" s="28"/>
      <c r="H164" s="29"/>
      <c r="I164" s="14"/>
      <c r="K164" s="3"/>
      <c r="M164" s="3"/>
      <c r="N164" s="3"/>
      <c r="O164" s="52"/>
      <c r="P164" s="3"/>
    </row>
    <row r="165" spans="2:16">
      <c r="B165" s="28"/>
      <c r="C165" s="3"/>
      <c r="D165" s="47"/>
      <c r="E165" s="28"/>
      <c r="F165" s="28"/>
      <c r="G165" s="28"/>
      <c r="H165" s="29"/>
      <c r="I165" s="14"/>
      <c r="K165" s="3"/>
      <c r="M165" s="3"/>
      <c r="N165" s="3"/>
      <c r="O165" s="52"/>
      <c r="P165" s="3"/>
    </row>
    <row r="166" spans="2:16">
      <c r="B166" s="28"/>
      <c r="C166" s="3"/>
      <c r="D166" s="47"/>
      <c r="E166" s="28"/>
      <c r="F166" s="28"/>
      <c r="G166" s="28"/>
      <c r="H166" s="29"/>
      <c r="I166" s="14"/>
      <c r="K166" s="3"/>
      <c r="M166" s="3"/>
      <c r="N166" s="3"/>
      <c r="O166" s="52"/>
      <c r="P166" s="3"/>
    </row>
    <row r="167" spans="2:16">
      <c r="B167" s="28"/>
      <c r="C167" s="3"/>
      <c r="D167" s="47"/>
      <c r="E167" s="28"/>
      <c r="F167" s="28"/>
      <c r="G167" s="28"/>
      <c r="H167" s="29"/>
      <c r="I167" s="14"/>
      <c r="K167" s="3"/>
      <c r="M167" s="3"/>
      <c r="N167" s="3"/>
      <c r="O167" s="52"/>
      <c r="P167" s="3"/>
    </row>
    <row r="168" spans="2:16">
      <c r="B168" s="28"/>
      <c r="C168" s="3"/>
      <c r="D168" s="47"/>
      <c r="E168" s="28"/>
      <c r="F168" s="28"/>
      <c r="G168" s="28"/>
      <c r="H168" s="29"/>
      <c r="I168" s="14"/>
      <c r="K168" s="3"/>
      <c r="M168" s="3"/>
      <c r="N168" s="3"/>
      <c r="O168" s="52"/>
      <c r="P168" s="3"/>
    </row>
    <row r="169" spans="2:16">
      <c r="B169" s="28"/>
      <c r="C169" s="3"/>
      <c r="D169" s="47"/>
      <c r="E169" s="28"/>
      <c r="F169" s="28"/>
      <c r="G169" s="28"/>
      <c r="H169" s="29"/>
      <c r="I169" s="14"/>
      <c r="K169" s="3"/>
      <c r="M169" s="3"/>
      <c r="N169" s="3"/>
      <c r="O169" s="52"/>
      <c r="P169" s="3"/>
    </row>
    <row r="170" spans="2:16">
      <c r="B170" s="28"/>
      <c r="C170" s="3"/>
      <c r="D170" s="47"/>
      <c r="E170" s="28"/>
      <c r="F170" s="28"/>
      <c r="G170" s="28"/>
      <c r="H170" s="29"/>
      <c r="I170" s="14"/>
      <c r="K170" s="3"/>
      <c r="M170" s="3"/>
      <c r="N170" s="3"/>
      <c r="O170" s="52"/>
      <c r="P170" s="3"/>
    </row>
    <row r="171" spans="2:16">
      <c r="B171" s="28"/>
      <c r="C171" s="3"/>
      <c r="D171" s="47"/>
      <c r="E171" s="28"/>
      <c r="F171" s="28"/>
      <c r="G171" s="28"/>
      <c r="H171" s="29"/>
      <c r="I171" s="14"/>
      <c r="K171" s="3"/>
      <c r="M171" s="3"/>
      <c r="N171" s="3"/>
      <c r="O171" s="52"/>
      <c r="P171" s="3"/>
    </row>
    <row r="172" spans="2:16">
      <c r="B172" s="28"/>
      <c r="C172" s="3"/>
      <c r="D172" s="47"/>
      <c r="E172" s="28"/>
      <c r="F172" s="28"/>
      <c r="G172" s="28"/>
      <c r="H172" s="29"/>
      <c r="I172" s="14"/>
      <c r="K172" s="3"/>
      <c r="M172" s="3"/>
      <c r="N172" s="3"/>
      <c r="O172" s="52"/>
      <c r="P172" s="3"/>
    </row>
    <row r="173" spans="2:16">
      <c r="B173" s="28"/>
      <c r="C173" s="3"/>
      <c r="D173" s="47"/>
      <c r="E173" s="28"/>
      <c r="F173" s="28"/>
      <c r="G173" s="28"/>
      <c r="H173" s="29"/>
      <c r="I173" s="14"/>
      <c r="K173" s="3"/>
      <c r="M173" s="3"/>
      <c r="N173" s="3"/>
      <c r="O173" s="52"/>
      <c r="P173" s="3"/>
    </row>
    <row r="174" spans="2:16">
      <c r="B174" s="28"/>
      <c r="C174" s="3"/>
      <c r="D174" s="47"/>
      <c r="E174" s="28"/>
      <c r="F174" s="28"/>
      <c r="G174" s="28"/>
      <c r="H174" s="29"/>
      <c r="I174" s="14"/>
      <c r="K174" s="3"/>
      <c r="M174" s="3"/>
      <c r="N174" s="3"/>
      <c r="O174" s="52"/>
      <c r="P174" s="3"/>
    </row>
    <row r="175" spans="2:16">
      <c r="B175" s="28"/>
      <c r="C175" s="3"/>
      <c r="D175" s="47"/>
      <c r="E175" s="28"/>
      <c r="F175" s="28"/>
      <c r="G175" s="28"/>
      <c r="H175" s="29"/>
      <c r="I175" s="14"/>
      <c r="K175" s="3"/>
      <c r="M175" s="3"/>
      <c r="N175" s="3"/>
      <c r="O175" s="52"/>
      <c r="P175" s="3"/>
    </row>
    <row r="176" spans="2:16">
      <c r="B176" s="28"/>
      <c r="C176" s="3"/>
      <c r="D176" s="47"/>
      <c r="E176" s="28"/>
      <c r="F176" s="28"/>
      <c r="G176" s="28"/>
      <c r="H176" s="29"/>
      <c r="I176" s="14"/>
      <c r="K176" s="3"/>
      <c r="M176" s="3"/>
      <c r="N176" s="3"/>
      <c r="O176" s="52"/>
      <c r="P176" s="3"/>
    </row>
    <row r="177" spans="2:16">
      <c r="B177" s="28"/>
      <c r="C177" s="3"/>
      <c r="D177" s="47"/>
      <c r="E177" s="28"/>
      <c r="F177" s="28"/>
      <c r="G177" s="28"/>
      <c r="H177" s="29"/>
      <c r="I177" s="14"/>
      <c r="K177" s="3"/>
      <c r="M177" s="3"/>
      <c r="N177" s="3"/>
      <c r="O177" s="52"/>
      <c r="P177" s="3"/>
    </row>
    <row r="178" spans="2:16">
      <c r="B178" s="28"/>
      <c r="C178" s="3"/>
      <c r="D178" s="47"/>
      <c r="E178" s="28"/>
      <c r="F178" s="28"/>
      <c r="G178" s="28"/>
      <c r="H178" s="29"/>
      <c r="I178" s="14"/>
      <c r="K178" s="3"/>
      <c r="M178" s="3"/>
      <c r="N178" s="3"/>
      <c r="O178" s="52"/>
      <c r="P178" s="3"/>
    </row>
    <row r="179" spans="2:16">
      <c r="B179" s="28"/>
      <c r="C179" s="3"/>
      <c r="D179" s="47"/>
      <c r="E179" s="28"/>
      <c r="F179" s="28"/>
      <c r="G179" s="28"/>
      <c r="H179" s="29"/>
      <c r="I179" s="14"/>
      <c r="K179" s="3"/>
      <c r="M179" s="3"/>
      <c r="N179" s="3"/>
      <c r="O179" s="52"/>
      <c r="P179" s="3"/>
    </row>
    <row r="180" spans="2:16">
      <c r="B180" s="28"/>
      <c r="C180" s="3"/>
      <c r="D180" s="47"/>
      <c r="E180" s="28"/>
      <c r="F180" s="28"/>
      <c r="G180" s="28"/>
      <c r="H180" s="29"/>
      <c r="I180" s="14"/>
      <c r="K180" s="3"/>
      <c r="M180" s="3"/>
      <c r="N180" s="3"/>
      <c r="O180" s="52"/>
      <c r="P180" s="3"/>
    </row>
    <row r="181" spans="2:16">
      <c r="B181" s="28"/>
      <c r="C181" s="3"/>
      <c r="D181" s="47"/>
      <c r="E181" s="28"/>
      <c r="F181" s="28"/>
      <c r="G181" s="28"/>
      <c r="H181" s="29"/>
      <c r="I181" s="14"/>
      <c r="K181" s="3"/>
      <c r="M181" s="3"/>
      <c r="N181" s="3"/>
      <c r="O181" s="52"/>
      <c r="P181" s="3"/>
    </row>
    <row r="182" spans="2:16">
      <c r="B182" s="28"/>
      <c r="C182" s="3"/>
      <c r="D182" s="47"/>
      <c r="E182" s="28"/>
      <c r="F182" s="28"/>
      <c r="G182" s="28"/>
      <c r="H182" s="29"/>
      <c r="I182" s="14"/>
      <c r="K182" s="3"/>
      <c r="M182" s="3"/>
      <c r="N182" s="3"/>
      <c r="O182" s="52"/>
      <c r="P182" s="3"/>
    </row>
    <row r="183" spans="2:16">
      <c r="B183" s="28"/>
      <c r="C183" s="3"/>
      <c r="D183" s="47"/>
      <c r="E183" s="28"/>
      <c r="F183" s="28"/>
      <c r="G183" s="28"/>
      <c r="H183" s="29"/>
      <c r="I183" s="14"/>
      <c r="K183" s="3"/>
      <c r="M183" s="3"/>
      <c r="N183" s="3"/>
      <c r="O183" s="52"/>
      <c r="P183" s="3"/>
    </row>
    <row r="184" spans="2:16">
      <c r="B184" s="28"/>
      <c r="C184" s="3"/>
      <c r="D184" s="47"/>
      <c r="E184" s="28"/>
      <c r="F184" s="28"/>
      <c r="G184" s="28"/>
      <c r="H184" s="29"/>
      <c r="I184" s="14"/>
      <c r="K184" s="3"/>
      <c r="M184" s="3"/>
      <c r="N184" s="3"/>
      <c r="O184" s="52"/>
      <c r="P184" s="3"/>
    </row>
    <row r="185" spans="2:16">
      <c r="B185" s="28"/>
      <c r="C185" s="3"/>
      <c r="D185" s="47"/>
      <c r="E185" s="28"/>
      <c r="F185" s="28"/>
      <c r="G185" s="28"/>
      <c r="H185" s="29"/>
      <c r="I185" s="14"/>
      <c r="K185" s="3"/>
      <c r="M185" s="3"/>
      <c r="N185" s="3"/>
      <c r="O185" s="52"/>
      <c r="P185" s="3"/>
    </row>
    <row r="186" spans="2:16">
      <c r="B186" s="28"/>
      <c r="C186" s="3"/>
      <c r="D186" s="47"/>
      <c r="E186" s="28"/>
      <c r="F186" s="28"/>
      <c r="G186" s="28"/>
      <c r="H186" s="29"/>
      <c r="I186" s="14"/>
      <c r="K186" s="3"/>
      <c r="M186" s="3"/>
      <c r="N186" s="3"/>
      <c r="O186" s="52"/>
      <c r="P186" s="3"/>
    </row>
    <row r="187" spans="2:16">
      <c r="B187" s="28"/>
      <c r="C187" s="3"/>
      <c r="D187" s="47"/>
      <c r="E187" s="28"/>
      <c r="F187" s="28"/>
      <c r="G187" s="28"/>
      <c r="H187" s="29"/>
      <c r="I187" s="14"/>
      <c r="K187" s="3"/>
      <c r="M187" s="3"/>
      <c r="N187" s="3"/>
      <c r="O187" s="52"/>
      <c r="P187" s="3"/>
    </row>
    <row r="188" spans="2:16">
      <c r="B188" s="28"/>
      <c r="C188" s="3"/>
      <c r="D188" s="47"/>
      <c r="E188" s="28"/>
      <c r="F188" s="28"/>
      <c r="G188" s="28"/>
      <c r="H188" s="29"/>
      <c r="I188" s="14"/>
      <c r="K188" s="3"/>
      <c r="M188" s="3"/>
      <c r="N188" s="3"/>
      <c r="O188" s="52"/>
      <c r="P188" s="3"/>
    </row>
    <row r="189" spans="2:16">
      <c r="B189" s="28"/>
      <c r="C189" s="3"/>
      <c r="D189" s="47"/>
      <c r="E189" s="28"/>
      <c r="F189" s="28"/>
      <c r="G189" s="28"/>
      <c r="H189" s="29"/>
      <c r="I189" s="14"/>
      <c r="K189" s="3"/>
      <c r="M189" s="3"/>
      <c r="N189" s="3"/>
      <c r="O189" s="52"/>
      <c r="P189" s="3"/>
    </row>
    <row r="190" spans="2:16">
      <c r="B190" s="28"/>
      <c r="C190" s="3"/>
      <c r="D190" s="47"/>
      <c r="E190" s="28"/>
      <c r="F190" s="28"/>
      <c r="G190" s="28"/>
      <c r="H190" s="29"/>
      <c r="I190" s="14"/>
      <c r="K190" s="3"/>
      <c r="M190" s="3"/>
      <c r="N190" s="3"/>
      <c r="O190" s="52"/>
      <c r="P190" s="3"/>
    </row>
    <row r="191" spans="2:16">
      <c r="B191" s="28"/>
      <c r="C191" s="3"/>
      <c r="D191" s="47"/>
      <c r="E191" s="28"/>
      <c r="F191" s="28"/>
      <c r="G191" s="28"/>
      <c r="H191" s="29"/>
      <c r="I191" s="14"/>
      <c r="K191" s="3"/>
      <c r="M191" s="3"/>
      <c r="N191" s="3"/>
      <c r="O191" s="52"/>
      <c r="P191" s="3"/>
    </row>
    <row r="192" spans="2:16">
      <c r="B192" s="28"/>
      <c r="C192" s="3"/>
      <c r="D192" s="47"/>
      <c r="E192" s="28"/>
      <c r="F192" s="28"/>
      <c r="G192" s="28"/>
      <c r="H192" s="29"/>
      <c r="I192" s="14"/>
      <c r="K192" s="3"/>
      <c r="M192" s="3"/>
      <c r="N192" s="3"/>
      <c r="O192" s="52"/>
      <c r="P192" s="3"/>
    </row>
    <row r="193" spans="2:16">
      <c r="B193" s="28"/>
      <c r="C193" s="3"/>
      <c r="D193" s="47"/>
      <c r="E193" s="28"/>
      <c r="F193" s="28"/>
      <c r="G193" s="28"/>
      <c r="H193" s="29"/>
      <c r="I193" s="14"/>
      <c r="K193" s="3"/>
      <c r="M193" s="3"/>
      <c r="N193" s="3"/>
      <c r="O193" s="52"/>
      <c r="P193" s="3"/>
    </row>
    <row r="194" spans="2:16">
      <c r="B194" s="28"/>
      <c r="C194" s="3"/>
      <c r="D194" s="47"/>
      <c r="E194" s="28"/>
      <c r="F194" s="28"/>
      <c r="G194" s="28"/>
      <c r="H194" s="29"/>
      <c r="I194" s="14"/>
      <c r="K194" s="3"/>
      <c r="M194" s="3"/>
      <c r="N194" s="3"/>
      <c r="O194" s="52"/>
      <c r="P194" s="3"/>
    </row>
    <row r="195" spans="2:16">
      <c r="B195" s="28"/>
      <c r="C195" s="3"/>
      <c r="D195" s="47"/>
      <c r="E195" s="28"/>
      <c r="F195" s="28"/>
      <c r="G195" s="28"/>
      <c r="H195" s="29"/>
      <c r="I195" s="14"/>
      <c r="K195" s="3"/>
      <c r="M195" s="3"/>
      <c r="N195" s="3"/>
      <c r="O195" s="52"/>
      <c r="P195" s="3"/>
    </row>
    <row r="196" spans="2:16">
      <c r="B196" s="28"/>
      <c r="C196" s="3"/>
      <c r="D196" s="47"/>
      <c r="E196" s="28"/>
      <c r="F196" s="28"/>
      <c r="G196" s="28"/>
      <c r="H196" s="29"/>
      <c r="I196" s="14"/>
      <c r="K196" s="3"/>
      <c r="M196" s="3"/>
      <c r="N196" s="3"/>
      <c r="O196" s="52"/>
      <c r="P196" s="3"/>
    </row>
    <row r="197" spans="2:16">
      <c r="B197" s="28"/>
      <c r="C197" s="3"/>
      <c r="D197" s="47"/>
      <c r="E197" s="28"/>
      <c r="F197" s="28"/>
      <c r="G197" s="28"/>
      <c r="H197" s="29"/>
      <c r="I197" s="14"/>
      <c r="K197" s="3"/>
      <c r="M197" s="3"/>
      <c r="N197" s="3"/>
      <c r="O197" s="52"/>
      <c r="P197" s="3"/>
    </row>
    <row r="198" spans="2:16">
      <c r="B198" s="28"/>
      <c r="C198" s="3"/>
      <c r="D198" s="47"/>
      <c r="E198" s="28"/>
      <c r="F198" s="28"/>
      <c r="G198" s="28"/>
      <c r="H198" s="29"/>
      <c r="I198" s="14"/>
      <c r="K198" s="3"/>
      <c r="M198" s="3"/>
      <c r="N198" s="3"/>
      <c r="O198" s="52"/>
      <c r="P198" s="3"/>
    </row>
    <row r="199" spans="2:16">
      <c r="B199" s="28"/>
      <c r="C199" s="3"/>
      <c r="D199" s="47"/>
      <c r="E199" s="28"/>
      <c r="F199" s="28"/>
      <c r="G199" s="28"/>
      <c r="H199" s="29"/>
      <c r="I199" s="14"/>
      <c r="K199" s="3"/>
      <c r="M199" s="3"/>
      <c r="N199" s="3"/>
      <c r="O199" s="52"/>
      <c r="P199" s="3"/>
    </row>
    <row r="200" spans="2:16">
      <c r="B200" s="28"/>
      <c r="C200" s="3"/>
      <c r="D200" s="47"/>
      <c r="E200" s="28"/>
      <c r="F200" s="28"/>
      <c r="G200" s="28"/>
      <c r="H200" s="29"/>
      <c r="I200" s="14"/>
      <c r="K200" s="3"/>
      <c r="M200" s="3"/>
      <c r="N200" s="3"/>
      <c r="O200" s="52"/>
      <c r="P200" s="3"/>
    </row>
    <row r="201" spans="2:16">
      <c r="B201" s="28"/>
      <c r="C201" s="3"/>
      <c r="D201" s="47"/>
      <c r="E201" s="28"/>
      <c r="F201" s="28"/>
      <c r="G201" s="28"/>
      <c r="H201" s="29"/>
      <c r="I201" s="14"/>
      <c r="K201" s="3"/>
      <c r="M201" s="3"/>
      <c r="N201" s="3"/>
      <c r="O201" s="52"/>
      <c r="P201" s="3"/>
    </row>
    <row r="202" spans="2:16">
      <c r="B202" s="28"/>
      <c r="C202" s="3"/>
      <c r="D202" s="47"/>
      <c r="E202" s="28"/>
      <c r="F202" s="28"/>
      <c r="G202" s="28"/>
      <c r="H202" s="29"/>
      <c r="I202" s="14"/>
      <c r="K202" s="3"/>
      <c r="M202" s="3"/>
      <c r="N202" s="3"/>
      <c r="O202" s="52"/>
      <c r="P202" s="3"/>
    </row>
    <row r="203" spans="2:16">
      <c r="B203" s="28"/>
      <c r="C203" s="3"/>
      <c r="D203" s="47"/>
      <c r="E203" s="28"/>
      <c r="F203" s="28"/>
      <c r="G203" s="28"/>
      <c r="H203" s="29"/>
      <c r="I203" s="14"/>
      <c r="K203" s="3"/>
      <c r="M203" s="3"/>
      <c r="N203" s="3"/>
      <c r="O203" s="52"/>
      <c r="P203" s="3"/>
    </row>
    <row r="204" spans="2:16">
      <c r="B204" s="28"/>
      <c r="C204" s="3"/>
      <c r="D204" s="47"/>
      <c r="E204" s="28"/>
      <c r="F204" s="28"/>
      <c r="G204" s="28"/>
      <c r="H204" s="29"/>
      <c r="I204" s="14"/>
      <c r="K204" s="3"/>
      <c r="M204" s="3"/>
      <c r="N204" s="3"/>
      <c r="O204" s="52"/>
      <c r="P204" s="3"/>
    </row>
    <row r="205" spans="2:16">
      <c r="B205" s="28"/>
      <c r="C205" s="3"/>
      <c r="D205" s="47"/>
      <c r="E205" s="28"/>
      <c r="F205" s="28"/>
      <c r="G205" s="28"/>
      <c r="H205" s="29"/>
      <c r="I205" s="14"/>
      <c r="K205" s="3"/>
      <c r="M205" s="3"/>
      <c r="N205" s="3"/>
      <c r="O205" s="52"/>
      <c r="P205" s="3"/>
    </row>
    <row r="206" spans="2:16">
      <c r="B206" s="28"/>
      <c r="C206" s="3"/>
      <c r="D206" s="47"/>
      <c r="E206" s="28"/>
      <c r="F206" s="28"/>
      <c r="G206" s="28"/>
      <c r="H206" s="29"/>
      <c r="I206" s="14"/>
      <c r="K206" s="3"/>
      <c r="M206" s="3"/>
      <c r="N206" s="3"/>
      <c r="O206" s="52"/>
      <c r="P206" s="3"/>
    </row>
    <row r="207" spans="2:16">
      <c r="B207" s="28"/>
      <c r="C207" s="3"/>
      <c r="D207" s="47"/>
      <c r="E207" s="28"/>
      <c r="F207" s="28"/>
      <c r="G207" s="28"/>
      <c r="H207" s="29"/>
      <c r="I207" s="14"/>
      <c r="K207" s="3"/>
      <c r="M207" s="3"/>
      <c r="N207" s="3"/>
      <c r="O207" s="52"/>
      <c r="P207" s="3"/>
    </row>
    <row r="208" spans="2:16">
      <c r="B208" s="28"/>
      <c r="C208" s="3"/>
      <c r="D208" s="47"/>
      <c r="E208" s="28"/>
      <c r="F208" s="28"/>
      <c r="G208" s="28"/>
      <c r="H208" s="29"/>
      <c r="I208" s="14"/>
      <c r="K208" s="3"/>
      <c r="M208" s="3"/>
      <c r="N208" s="3"/>
      <c r="O208" s="52"/>
      <c r="P208" s="3"/>
    </row>
    <row r="209" spans="2:16">
      <c r="B209" s="28"/>
      <c r="C209" s="3"/>
      <c r="D209" s="47"/>
      <c r="E209" s="28"/>
      <c r="F209" s="28"/>
      <c r="G209" s="28"/>
      <c r="H209" s="29"/>
      <c r="I209" s="14"/>
      <c r="K209" s="3"/>
      <c r="M209" s="3"/>
      <c r="N209" s="3"/>
      <c r="O209" s="52"/>
      <c r="P209" s="3"/>
    </row>
    <row r="210" spans="2:16">
      <c r="B210" s="28"/>
      <c r="C210" s="3"/>
      <c r="D210" s="47"/>
      <c r="E210" s="28"/>
      <c r="F210" s="28"/>
      <c r="G210" s="28"/>
      <c r="H210" s="29"/>
      <c r="I210" s="14"/>
      <c r="K210" s="3"/>
      <c r="M210" s="3"/>
      <c r="N210" s="3"/>
      <c r="O210" s="52"/>
      <c r="P210" s="3"/>
    </row>
    <row r="211" spans="2:16">
      <c r="B211" s="28"/>
      <c r="C211" s="3"/>
      <c r="D211" s="47"/>
      <c r="E211" s="28"/>
      <c r="F211" s="28"/>
      <c r="G211" s="28"/>
      <c r="H211" s="29"/>
      <c r="I211" s="14"/>
      <c r="K211" s="3"/>
      <c r="M211" s="3"/>
      <c r="N211" s="3"/>
      <c r="O211" s="52"/>
      <c r="P211" s="3"/>
    </row>
    <row r="212" spans="2:16">
      <c r="B212" s="28"/>
      <c r="C212" s="3"/>
      <c r="D212" s="47"/>
      <c r="E212" s="28"/>
      <c r="F212" s="28"/>
      <c r="G212" s="28"/>
      <c r="H212" s="29"/>
      <c r="I212" s="14"/>
      <c r="K212" s="3"/>
      <c r="M212" s="3"/>
      <c r="N212" s="3"/>
      <c r="O212" s="52"/>
      <c r="P212" s="3"/>
    </row>
    <row r="213" spans="2:16">
      <c r="B213" s="28"/>
      <c r="C213" s="3"/>
      <c r="D213" s="47"/>
      <c r="E213" s="28"/>
      <c r="F213" s="28"/>
      <c r="G213" s="28"/>
      <c r="H213" s="29"/>
      <c r="I213" s="14"/>
      <c r="K213" s="3"/>
      <c r="M213" s="3"/>
      <c r="N213" s="3"/>
      <c r="O213" s="52"/>
      <c r="P213" s="3"/>
    </row>
    <row r="214" spans="2:16">
      <c r="D214" s="47"/>
      <c r="E214" s="143"/>
      <c r="H214" s="29"/>
      <c r="I214" s="30"/>
      <c r="O214" s="53"/>
    </row>
    <row r="215" spans="2:16">
      <c r="D215" s="47"/>
      <c r="E215" s="143"/>
      <c r="H215" s="29"/>
      <c r="I215" s="30"/>
      <c r="O215" s="53"/>
    </row>
    <row r="216" spans="2:16">
      <c r="D216" s="47"/>
      <c r="E216" s="143"/>
      <c r="H216" s="29"/>
      <c r="I216" s="30"/>
      <c r="O216" s="53"/>
    </row>
    <row r="217" spans="2:16">
      <c r="D217" s="47"/>
      <c r="E217" s="143"/>
      <c r="H217" s="29"/>
      <c r="I217" s="30"/>
      <c r="O217" s="53"/>
    </row>
    <row r="218" spans="2:16">
      <c r="D218" s="47"/>
      <c r="E218" s="143"/>
      <c r="H218" s="29"/>
      <c r="I218" s="30"/>
      <c r="O218" s="53"/>
    </row>
    <row r="219" spans="2:16">
      <c r="D219" s="47"/>
      <c r="E219" s="143"/>
      <c r="H219" s="29"/>
      <c r="I219" s="30"/>
      <c r="O219" s="53"/>
    </row>
    <row r="220" spans="2:16">
      <c r="D220" s="47"/>
      <c r="E220" s="143"/>
      <c r="H220" s="29"/>
      <c r="I220" s="30"/>
      <c r="O220" s="53"/>
    </row>
    <row r="221" spans="2:16">
      <c r="D221" s="47"/>
      <c r="E221" s="143"/>
      <c r="H221" s="29"/>
      <c r="I221" s="30"/>
      <c r="O221" s="53"/>
    </row>
    <row r="222" spans="2:16">
      <c r="D222" s="47"/>
      <c r="E222" s="143"/>
      <c r="H222" s="29"/>
      <c r="I222" s="30"/>
      <c r="O222" s="53"/>
    </row>
    <row r="223" spans="2:16">
      <c r="D223" s="47"/>
      <c r="E223" s="143"/>
      <c r="H223" s="29"/>
      <c r="I223" s="30"/>
      <c r="O223" s="53"/>
    </row>
    <row r="224" spans="2:16">
      <c r="D224" s="47"/>
      <c r="E224" s="143"/>
      <c r="H224" s="29"/>
      <c r="I224" s="30"/>
      <c r="O224" s="53"/>
    </row>
    <row r="225" spans="4:15">
      <c r="D225" s="47"/>
      <c r="E225" s="143"/>
      <c r="H225" s="29"/>
      <c r="I225" s="30"/>
      <c r="O225" s="53"/>
    </row>
    <row r="226" spans="4:15">
      <c r="D226" s="47"/>
      <c r="E226" s="143"/>
      <c r="H226" s="29"/>
      <c r="I226" s="30"/>
      <c r="O226" s="53"/>
    </row>
    <row r="227" spans="4:15">
      <c r="D227" s="47"/>
      <c r="E227" s="143"/>
      <c r="H227" s="29"/>
      <c r="I227" s="30"/>
      <c r="O227" s="53"/>
    </row>
    <row r="228" spans="4:15">
      <c r="D228" s="47"/>
      <c r="E228" s="143"/>
      <c r="H228" s="29"/>
      <c r="I228" s="30"/>
      <c r="O228" s="53"/>
    </row>
    <row r="229" spans="4:15">
      <c r="D229" s="47"/>
      <c r="E229" s="143"/>
      <c r="H229" s="29"/>
      <c r="I229" s="30"/>
      <c r="O229" s="53"/>
    </row>
    <row r="230" spans="4:15">
      <c r="D230" s="47"/>
      <c r="E230" s="143"/>
      <c r="H230" s="29"/>
      <c r="I230" s="30"/>
      <c r="O230" s="53"/>
    </row>
    <row r="231" spans="4:15">
      <c r="D231" s="47"/>
      <c r="E231" s="143"/>
      <c r="H231" s="29"/>
      <c r="I231" s="30"/>
      <c r="O231" s="53"/>
    </row>
    <row r="232" spans="4:15">
      <c r="D232" s="47"/>
      <c r="E232" s="143"/>
      <c r="H232" s="29"/>
      <c r="I232" s="30"/>
      <c r="O232" s="53"/>
    </row>
    <row r="233" spans="4:15">
      <c r="D233" s="47"/>
      <c r="E233" s="143"/>
      <c r="H233" s="29"/>
      <c r="I233" s="30"/>
      <c r="O233" s="53"/>
    </row>
    <row r="234" spans="4:15">
      <c r="D234" s="47"/>
      <c r="E234" s="143"/>
      <c r="H234" s="29"/>
      <c r="I234" s="30"/>
      <c r="O234" s="53"/>
    </row>
    <row r="235" spans="4:15">
      <c r="D235" s="47"/>
      <c r="E235" s="143"/>
      <c r="H235" s="29"/>
      <c r="I235" s="30"/>
      <c r="O235" s="53"/>
    </row>
    <row r="236" spans="4:15">
      <c r="D236" s="47"/>
      <c r="E236" s="143"/>
      <c r="H236" s="29"/>
      <c r="I236" s="30"/>
      <c r="O236" s="53"/>
    </row>
    <row r="237" spans="4:15">
      <c r="D237" s="47"/>
      <c r="E237" s="143"/>
      <c r="H237" s="29"/>
      <c r="I237" s="30"/>
      <c r="O237" s="53"/>
    </row>
    <row r="238" spans="4:15">
      <c r="D238" s="47"/>
      <c r="E238" s="143"/>
      <c r="H238" s="29"/>
      <c r="I238" s="30"/>
      <c r="O238" s="53"/>
    </row>
    <row r="239" spans="4:15">
      <c r="D239" s="47"/>
      <c r="E239" s="143"/>
      <c r="H239" s="29"/>
      <c r="I239" s="30"/>
      <c r="O239" s="53"/>
    </row>
    <row r="240" spans="4:15">
      <c r="D240" s="47"/>
      <c r="E240" s="143"/>
      <c r="H240" s="29"/>
      <c r="I240" s="30"/>
      <c r="O240" s="53"/>
    </row>
    <row r="241" spans="4:15">
      <c r="D241" s="47"/>
      <c r="E241" s="143"/>
      <c r="H241" s="29"/>
      <c r="I241" s="30"/>
      <c r="O241" s="53"/>
    </row>
    <row r="242" spans="4:15">
      <c r="D242" s="47"/>
      <c r="E242" s="143"/>
      <c r="H242" s="29"/>
      <c r="I242" s="30"/>
      <c r="O242" s="53"/>
    </row>
    <row r="243" spans="4:15">
      <c r="D243" s="47"/>
      <c r="E243" s="143"/>
      <c r="H243" s="29"/>
      <c r="I243" s="30"/>
      <c r="O243" s="53"/>
    </row>
    <row r="244" spans="4:15">
      <c r="D244" s="47"/>
      <c r="E244" s="143"/>
      <c r="H244" s="29"/>
      <c r="I244" s="30"/>
      <c r="O244" s="53"/>
    </row>
    <row r="245" spans="4:15">
      <c r="D245" s="47"/>
      <c r="E245" s="143"/>
      <c r="H245" s="29"/>
      <c r="I245" s="30"/>
      <c r="O245" s="53"/>
    </row>
    <row r="246" spans="4:15">
      <c r="D246" s="47"/>
      <c r="E246" s="143"/>
      <c r="H246" s="29"/>
      <c r="I246" s="30"/>
      <c r="O246" s="53"/>
    </row>
    <row r="247" spans="4:15">
      <c r="D247" s="47"/>
      <c r="E247" s="143"/>
      <c r="H247" s="29"/>
      <c r="I247" s="30"/>
      <c r="O247" s="53"/>
    </row>
    <row r="248" spans="4:15">
      <c r="D248" s="47"/>
      <c r="E248" s="143"/>
      <c r="H248" s="29"/>
      <c r="I248" s="30"/>
      <c r="O248" s="53"/>
    </row>
    <row r="249" spans="4:15">
      <c r="D249" s="47"/>
      <c r="E249" s="143"/>
      <c r="H249" s="29"/>
      <c r="I249" s="30"/>
      <c r="O249" s="53"/>
    </row>
    <row r="250" spans="4:15">
      <c r="D250" s="47"/>
      <c r="E250" s="143"/>
      <c r="H250" s="29"/>
      <c r="I250" s="30"/>
      <c r="O250" s="53"/>
    </row>
    <row r="251" spans="4:15">
      <c r="D251" s="47"/>
      <c r="E251" s="143"/>
      <c r="H251" s="29"/>
      <c r="I251" s="30"/>
      <c r="O251" s="53"/>
    </row>
    <row r="252" spans="4:15">
      <c r="D252" s="47"/>
      <c r="E252" s="143"/>
      <c r="H252" s="29"/>
      <c r="I252" s="30"/>
      <c r="O252" s="53"/>
    </row>
    <row r="253" spans="4:15">
      <c r="D253" s="47"/>
      <c r="E253" s="143"/>
      <c r="H253" s="29"/>
      <c r="I253" s="30"/>
      <c r="O253" s="53"/>
    </row>
    <row r="254" spans="4:15">
      <c r="D254" s="47"/>
      <c r="E254" s="143"/>
      <c r="H254" s="29"/>
      <c r="I254" s="30"/>
      <c r="O254" s="53"/>
    </row>
    <row r="255" spans="4:15">
      <c r="D255" s="47"/>
      <c r="E255" s="143"/>
      <c r="H255" s="29"/>
      <c r="I255" s="30"/>
      <c r="O255" s="53"/>
    </row>
    <row r="256" spans="4:15">
      <c r="D256" s="47"/>
      <c r="E256" s="143"/>
      <c r="H256" s="29"/>
      <c r="I256" s="30"/>
      <c r="O256" s="53"/>
    </row>
    <row r="257" spans="4:15">
      <c r="D257" s="47"/>
      <c r="E257" s="143"/>
      <c r="H257" s="29"/>
      <c r="I257" s="30"/>
      <c r="O257" s="53"/>
    </row>
    <row r="258" spans="4:15">
      <c r="D258" s="47"/>
      <c r="E258" s="143"/>
      <c r="H258" s="29"/>
      <c r="I258" s="30"/>
      <c r="O258" s="53"/>
    </row>
    <row r="259" spans="4:15">
      <c r="D259" s="47"/>
      <c r="E259" s="143"/>
      <c r="H259" s="29"/>
      <c r="I259" s="30"/>
      <c r="O259" s="53"/>
    </row>
    <row r="260" spans="4:15">
      <c r="D260" s="47"/>
      <c r="E260" s="143"/>
      <c r="H260" s="29"/>
      <c r="I260" s="30"/>
      <c r="O260" s="53"/>
    </row>
    <row r="261" spans="4:15">
      <c r="D261" s="47"/>
      <c r="E261" s="143"/>
      <c r="H261" s="29"/>
      <c r="I261" s="30"/>
      <c r="O261" s="53"/>
    </row>
    <row r="262" spans="4:15">
      <c r="D262" s="47"/>
      <c r="E262" s="143"/>
      <c r="H262" s="29"/>
      <c r="I262" s="30"/>
      <c r="O262" s="53"/>
    </row>
    <row r="263" spans="4:15">
      <c r="D263" s="47"/>
      <c r="E263" s="143"/>
      <c r="H263" s="29"/>
      <c r="I263" s="30"/>
      <c r="O263" s="53"/>
    </row>
    <row r="264" spans="4:15">
      <c r="D264" s="47"/>
      <c r="E264" s="143"/>
      <c r="H264" s="29"/>
      <c r="I264" s="30"/>
      <c r="O264" s="53"/>
    </row>
    <row r="265" spans="4:15">
      <c r="D265" s="47"/>
      <c r="E265" s="143"/>
      <c r="H265" s="29"/>
      <c r="I265" s="30"/>
      <c r="O265" s="53"/>
    </row>
    <row r="266" spans="4:15">
      <c r="D266" s="47"/>
      <c r="E266" s="143"/>
      <c r="H266" s="29"/>
      <c r="I266" s="30"/>
      <c r="O266" s="53"/>
    </row>
    <row r="267" spans="4:15">
      <c r="D267" s="47"/>
      <c r="E267" s="143"/>
      <c r="H267" s="29"/>
      <c r="I267" s="30"/>
      <c r="O267" s="53"/>
    </row>
    <row r="268" spans="4:15">
      <c r="D268" s="47"/>
      <c r="E268" s="143"/>
      <c r="H268" s="29"/>
      <c r="I268" s="30"/>
      <c r="O268" s="53"/>
    </row>
    <row r="269" spans="4:15">
      <c r="D269" s="47"/>
      <c r="E269" s="143"/>
      <c r="H269" s="29"/>
      <c r="I269" s="30"/>
      <c r="O269" s="53"/>
    </row>
    <row r="270" spans="4:15">
      <c r="D270" s="47"/>
      <c r="E270" s="143"/>
      <c r="H270" s="29"/>
      <c r="I270" s="30"/>
      <c r="O270" s="53"/>
    </row>
    <row r="271" spans="4:15">
      <c r="D271" s="47"/>
      <c r="E271" s="143"/>
      <c r="H271" s="29"/>
      <c r="I271" s="30"/>
      <c r="O271" s="53"/>
    </row>
    <row r="272" spans="4:15">
      <c r="D272" s="47"/>
      <c r="E272" s="143"/>
      <c r="H272" s="29"/>
      <c r="I272" s="30"/>
      <c r="O272" s="53"/>
    </row>
    <row r="273" spans="4:15">
      <c r="D273" s="47"/>
      <c r="E273" s="143"/>
      <c r="H273" s="29"/>
      <c r="I273" s="30"/>
      <c r="O273" s="53"/>
    </row>
    <row r="274" spans="4:15">
      <c r="D274" s="47"/>
      <c r="E274" s="143"/>
      <c r="H274" s="29"/>
      <c r="I274" s="30"/>
      <c r="O274" s="53"/>
    </row>
    <row r="275" spans="4:15">
      <c r="D275" s="47"/>
      <c r="E275" s="143"/>
      <c r="H275" s="29"/>
      <c r="I275" s="30"/>
      <c r="O275" s="53"/>
    </row>
    <row r="276" spans="4:15">
      <c r="D276" s="47"/>
      <c r="E276" s="143"/>
      <c r="H276" s="29"/>
      <c r="I276" s="30"/>
      <c r="O276" s="53"/>
    </row>
    <row r="277" spans="4:15">
      <c r="D277" s="47"/>
      <c r="E277" s="143"/>
      <c r="H277" s="29"/>
      <c r="I277" s="30"/>
      <c r="O277" s="53"/>
    </row>
    <row r="278" spans="4:15">
      <c r="D278" s="47"/>
      <c r="E278" s="143"/>
      <c r="H278" s="29"/>
      <c r="I278" s="30"/>
      <c r="O278" s="53"/>
    </row>
    <row r="279" spans="4:15">
      <c r="D279" s="47"/>
      <c r="E279" s="143"/>
      <c r="H279" s="29"/>
      <c r="I279" s="30"/>
      <c r="O279" s="53"/>
    </row>
    <row r="280" spans="4:15">
      <c r="D280" s="47"/>
      <c r="E280" s="143"/>
      <c r="H280" s="29"/>
      <c r="I280" s="30"/>
      <c r="O280" s="53"/>
    </row>
    <row r="281" spans="4:15">
      <c r="D281" s="47"/>
      <c r="E281" s="143"/>
      <c r="H281" s="29"/>
      <c r="I281" s="30"/>
      <c r="O281" s="53"/>
    </row>
    <row r="282" spans="4:15">
      <c r="D282" s="47"/>
      <c r="E282" s="143"/>
      <c r="H282" s="29"/>
      <c r="I282" s="30"/>
      <c r="O282" s="53"/>
    </row>
    <row r="283" spans="4:15">
      <c r="D283" s="47"/>
      <c r="E283" s="143"/>
      <c r="H283" s="29"/>
      <c r="I283" s="30"/>
      <c r="O283" s="53"/>
    </row>
    <row r="284" spans="4:15">
      <c r="D284" s="47"/>
      <c r="E284" s="143"/>
      <c r="H284" s="29"/>
      <c r="I284" s="30"/>
      <c r="O284" s="53"/>
    </row>
    <row r="285" spans="4:15">
      <c r="D285" s="47"/>
      <c r="E285" s="143"/>
      <c r="H285" s="29"/>
      <c r="I285" s="30"/>
      <c r="O285" s="53"/>
    </row>
    <row r="286" spans="4:15">
      <c r="D286" s="47"/>
      <c r="E286" s="143"/>
      <c r="H286" s="29"/>
      <c r="I286" s="30"/>
      <c r="O286" s="53"/>
    </row>
    <row r="287" spans="4:15">
      <c r="D287" s="47"/>
      <c r="E287" s="143"/>
      <c r="H287" s="29"/>
      <c r="I287" s="30"/>
      <c r="O287" s="53"/>
    </row>
    <row r="288" spans="4:15">
      <c r="D288" s="47"/>
      <c r="E288" s="143"/>
      <c r="H288" s="29"/>
      <c r="I288" s="30"/>
      <c r="O288" s="53"/>
    </row>
    <row r="289" spans="4:15">
      <c r="D289" s="47"/>
      <c r="E289" s="143"/>
      <c r="H289" s="29"/>
      <c r="I289" s="30"/>
      <c r="O289" s="53"/>
    </row>
    <row r="290" spans="4:15">
      <c r="D290" s="47"/>
      <c r="E290" s="143"/>
      <c r="H290" s="29"/>
      <c r="I290" s="30"/>
      <c r="O290" s="53"/>
    </row>
    <row r="291" spans="4:15">
      <c r="D291" s="47"/>
      <c r="E291" s="143"/>
      <c r="H291" s="29"/>
      <c r="I291" s="30"/>
      <c r="O291" s="53"/>
    </row>
    <row r="292" spans="4:15">
      <c r="D292" s="47"/>
      <c r="E292" s="143"/>
      <c r="H292" s="29"/>
      <c r="I292" s="30"/>
      <c r="O292" s="53"/>
    </row>
    <row r="293" spans="4:15">
      <c r="D293" s="47"/>
      <c r="E293" s="143"/>
      <c r="H293" s="29"/>
      <c r="I293" s="30"/>
      <c r="O293" s="53"/>
    </row>
    <row r="294" spans="4:15">
      <c r="D294" s="47"/>
      <c r="E294" s="143"/>
      <c r="H294" s="29"/>
      <c r="I294" s="30"/>
      <c r="O294" s="53"/>
    </row>
    <row r="295" spans="4:15">
      <c r="D295" s="47"/>
      <c r="E295" s="143"/>
      <c r="H295" s="29"/>
      <c r="I295" s="30"/>
      <c r="O295" s="53"/>
    </row>
    <row r="296" spans="4:15">
      <c r="D296" s="47"/>
      <c r="E296" s="143"/>
      <c r="H296" s="29"/>
      <c r="I296" s="30"/>
      <c r="O296" s="53"/>
    </row>
    <row r="297" spans="4:15">
      <c r="D297" s="47"/>
      <c r="E297" s="143"/>
      <c r="H297" s="29"/>
      <c r="I297" s="30"/>
      <c r="O297" s="53"/>
    </row>
    <row r="298" spans="4:15">
      <c r="D298" s="47"/>
      <c r="E298" s="143"/>
      <c r="H298" s="29"/>
      <c r="I298" s="30"/>
      <c r="O298" s="53"/>
    </row>
    <row r="299" spans="4:15">
      <c r="D299" s="47"/>
      <c r="E299" s="143"/>
      <c r="H299" s="29"/>
      <c r="I299" s="30"/>
      <c r="O299" s="53"/>
    </row>
    <row r="300" spans="4:15">
      <c r="D300" s="47"/>
      <c r="E300" s="143"/>
      <c r="H300" s="29"/>
      <c r="I300" s="30"/>
      <c r="O300" s="53"/>
    </row>
    <row r="301" spans="4:15">
      <c r="D301" s="47"/>
      <c r="E301" s="143"/>
      <c r="H301" s="29"/>
      <c r="I301" s="30"/>
      <c r="O301" s="53"/>
    </row>
    <row r="302" spans="4:15">
      <c r="D302" s="47"/>
      <c r="E302" s="143"/>
      <c r="H302" s="29"/>
      <c r="I302" s="30"/>
      <c r="O302" s="53"/>
    </row>
    <row r="303" spans="4:15">
      <c r="D303" s="47"/>
      <c r="E303" s="143"/>
      <c r="H303" s="29"/>
      <c r="I303" s="30"/>
      <c r="O303" s="53"/>
    </row>
    <row r="304" spans="4:15">
      <c r="D304" s="47"/>
      <c r="E304" s="143"/>
      <c r="H304" s="29"/>
      <c r="I304" s="30"/>
      <c r="O304" s="53"/>
    </row>
    <row r="305" spans="4:15">
      <c r="D305" s="47"/>
      <c r="E305" s="143"/>
      <c r="H305" s="29"/>
      <c r="I305" s="30"/>
      <c r="O305" s="53"/>
    </row>
    <row r="306" spans="4:15">
      <c r="D306" s="47"/>
      <c r="E306" s="143"/>
      <c r="H306" s="29"/>
      <c r="I306" s="30"/>
      <c r="O306" s="53"/>
    </row>
    <row r="307" spans="4:15">
      <c r="D307" s="47"/>
      <c r="E307" s="143"/>
      <c r="H307" s="29"/>
      <c r="I307" s="30"/>
      <c r="O307" s="53"/>
    </row>
    <row r="308" spans="4:15">
      <c r="D308" s="47"/>
      <c r="E308" s="143"/>
      <c r="H308" s="29"/>
      <c r="I308" s="30"/>
      <c r="O308" s="53"/>
    </row>
    <row r="309" spans="4:15">
      <c r="D309" s="47"/>
      <c r="E309" s="143"/>
      <c r="H309" s="29"/>
      <c r="I309" s="30"/>
      <c r="O309" s="53"/>
    </row>
    <row r="310" spans="4:15">
      <c r="D310" s="47"/>
      <c r="E310" s="143"/>
      <c r="H310" s="29"/>
      <c r="I310" s="30"/>
      <c r="O310" s="53"/>
    </row>
    <row r="311" spans="4:15">
      <c r="D311" s="47"/>
      <c r="E311" s="143"/>
      <c r="H311" s="29"/>
      <c r="I311" s="30"/>
      <c r="O311" s="53"/>
    </row>
    <row r="312" spans="4:15">
      <c r="D312" s="47"/>
      <c r="E312" s="143"/>
      <c r="H312" s="29"/>
      <c r="I312" s="30"/>
      <c r="O312" s="53"/>
    </row>
    <row r="313" spans="4:15">
      <c r="D313" s="47"/>
      <c r="E313" s="143"/>
      <c r="H313" s="29"/>
      <c r="I313" s="30"/>
      <c r="O313" s="53"/>
    </row>
    <row r="314" spans="4:15">
      <c r="D314" s="47"/>
      <c r="E314" s="143"/>
      <c r="H314" s="29"/>
      <c r="I314" s="30"/>
      <c r="O314" s="53"/>
    </row>
    <row r="315" spans="4:15">
      <c r="D315" s="47"/>
      <c r="E315" s="143"/>
      <c r="H315" s="29"/>
      <c r="I315" s="30"/>
      <c r="O315" s="53"/>
    </row>
    <row r="316" spans="4:15">
      <c r="D316" s="47"/>
      <c r="E316" s="143"/>
      <c r="H316" s="29"/>
      <c r="I316" s="30"/>
      <c r="O316" s="53"/>
    </row>
    <row r="317" spans="4:15">
      <c r="D317" s="47"/>
      <c r="E317" s="143"/>
      <c r="H317" s="29"/>
      <c r="I317" s="30"/>
      <c r="O317" s="53"/>
    </row>
    <row r="318" spans="4:15">
      <c r="D318" s="47"/>
      <c r="E318" s="143"/>
      <c r="H318" s="29"/>
      <c r="I318" s="30"/>
      <c r="O318" s="53"/>
    </row>
    <row r="319" spans="4:15">
      <c r="D319" s="47"/>
      <c r="E319" s="143"/>
      <c r="H319" s="29"/>
      <c r="I319" s="30"/>
      <c r="O319" s="53"/>
    </row>
    <row r="320" spans="4:15">
      <c r="D320" s="47"/>
      <c r="E320" s="143"/>
      <c r="H320" s="29"/>
      <c r="I320" s="30"/>
      <c r="O320" s="53"/>
    </row>
    <row r="321" spans="4:15">
      <c r="D321" s="47"/>
      <c r="E321" s="143"/>
      <c r="H321" s="29"/>
      <c r="I321" s="30"/>
      <c r="O321" s="53"/>
    </row>
    <row r="322" spans="4:15">
      <c r="D322" s="47"/>
      <c r="E322" s="143"/>
      <c r="H322" s="29"/>
      <c r="I322" s="30"/>
      <c r="O322" s="53"/>
    </row>
    <row r="323" spans="4:15">
      <c r="D323" s="47"/>
      <c r="E323" s="143"/>
      <c r="H323" s="29"/>
      <c r="I323" s="30"/>
      <c r="O323" s="53"/>
    </row>
    <row r="324" spans="4:15">
      <c r="D324" s="47"/>
      <c r="E324" s="143"/>
      <c r="H324" s="29"/>
      <c r="I324" s="30"/>
      <c r="O324" s="53"/>
    </row>
    <row r="325" spans="4:15">
      <c r="D325" s="47"/>
      <c r="E325" s="143"/>
      <c r="H325" s="29"/>
      <c r="I325" s="30"/>
      <c r="O325" s="53"/>
    </row>
    <row r="326" spans="4:15">
      <c r="D326" s="47"/>
      <c r="E326" s="143"/>
      <c r="H326" s="29"/>
      <c r="I326" s="30"/>
      <c r="O326" s="53"/>
    </row>
    <row r="327" spans="4:15">
      <c r="D327" s="47"/>
      <c r="E327" s="143"/>
      <c r="H327" s="29"/>
      <c r="I327" s="30"/>
      <c r="O327" s="53"/>
    </row>
    <row r="328" spans="4:15">
      <c r="D328" s="47"/>
      <c r="E328" s="143"/>
      <c r="H328" s="29"/>
      <c r="I328" s="30"/>
      <c r="O328" s="53"/>
    </row>
    <row r="329" spans="4:15">
      <c r="D329" s="47"/>
      <c r="E329" s="143"/>
      <c r="H329" s="29"/>
      <c r="I329" s="30"/>
      <c r="O329" s="53"/>
    </row>
    <row r="330" spans="4:15">
      <c r="D330" s="47"/>
      <c r="E330" s="143"/>
      <c r="H330" s="29"/>
      <c r="I330" s="30"/>
      <c r="O330" s="53"/>
    </row>
    <row r="331" spans="4:15">
      <c r="D331" s="47"/>
      <c r="E331" s="143"/>
      <c r="H331" s="29"/>
      <c r="I331" s="30"/>
      <c r="O331" s="53"/>
    </row>
    <row r="332" spans="4:15">
      <c r="D332" s="47"/>
      <c r="E332" s="143"/>
      <c r="H332" s="29"/>
      <c r="I332" s="30"/>
      <c r="O332" s="53"/>
    </row>
    <row r="333" spans="4:15">
      <c r="D333" s="47"/>
      <c r="E333" s="143"/>
      <c r="H333" s="29"/>
      <c r="I333" s="30"/>
      <c r="O333" s="53"/>
    </row>
    <row r="334" spans="4:15">
      <c r="D334" s="47"/>
      <c r="E334" s="143"/>
      <c r="H334" s="29"/>
      <c r="I334" s="30"/>
      <c r="O334" s="53"/>
    </row>
    <row r="335" spans="4:15">
      <c r="D335" s="47"/>
      <c r="E335" s="143"/>
      <c r="H335" s="29"/>
      <c r="I335" s="30"/>
      <c r="O335" s="53"/>
    </row>
    <row r="336" spans="4:15">
      <c r="D336" s="47"/>
      <c r="E336" s="143"/>
      <c r="H336" s="29"/>
      <c r="I336" s="30"/>
      <c r="O336" s="53"/>
    </row>
    <row r="337" spans="4:15">
      <c r="D337" s="47"/>
      <c r="E337" s="143"/>
      <c r="H337" s="29"/>
      <c r="I337" s="30"/>
      <c r="O337" s="53"/>
    </row>
    <row r="338" spans="4:15">
      <c r="D338" s="47"/>
      <c r="E338" s="143"/>
      <c r="H338" s="29"/>
      <c r="I338" s="30"/>
      <c r="O338" s="53"/>
    </row>
    <row r="339" spans="4:15">
      <c r="D339" s="47"/>
      <c r="E339" s="143"/>
      <c r="H339" s="29"/>
      <c r="I339" s="30"/>
      <c r="O339" s="53"/>
    </row>
    <row r="340" spans="4:15">
      <c r="D340" s="47"/>
      <c r="E340" s="143"/>
      <c r="H340" s="29"/>
      <c r="I340" s="30"/>
      <c r="O340" s="53"/>
    </row>
    <row r="341" spans="4:15">
      <c r="D341" s="47"/>
      <c r="E341" s="143"/>
      <c r="H341" s="29"/>
      <c r="I341" s="30"/>
      <c r="O341" s="53"/>
    </row>
    <row r="342" spans="4:15">
      <c r="D342" s="47"/>
      <c r="E342" s="143"/>
      <c r="H342" s="29"/>
      <c r="I342" s="30"/>
      <c r="O342" s="53"/>
    </row>
    <row r="343" spans="4:15">
      <c r="D343" s="47"/>
      <c r="E343" s="143"/>
      <c r="H343" s="29"/>
      <c r="I343" s="30"/>
      <c r="O343" s="53"/>
    </row>
    <row r="344" spans="4:15">
      <c r="D344" s="47"/>
      <c r="E344" s="143"/>
      <c r="H344" s="29"/>
      <c r="I344" s="30"/>
      <c r="O344" s="53"/>
    </row>
    <row r="345" spans="4:15">
      <c r="D345" s="47"/>
      <c r="E345" s="143"/>
      <c r="H345" s="29"/>
      <c r="I345" s="30"/>
      <c r="O345" s="53"/>
    </row>
    <row r="346" spans="4:15">
      <c r="D346" s="47"/>
      <c r="E346" s="143"/>
      <c r="H346" s="29"/>
      <c r="I346" s="30"/>
      <c r="O346" s="53"/>
    </row>
    <row r="347" spans="4:15">
      <c r="D347" s="47"/>
      <c r="E347" s="143"/>
      <c r="H347" s="29"/>
      <c r="I347" s="30"/>
      <c r="O347" s="53"/>
    </row>
    <row r="348" spans="4:15">
      <c r="D348" s="47"/>
      <c r="E348" s="143"/>
      <c r="H348" s="29"/>
      <c r="I348" s="30"/>
      <c r="O348" s="53"/>
    </row>
    <row r="349" spans="4:15">
      <c r="D349" s="47"/>
      <c r="E349" s="143"/>
      <c r="H349" s="29"/>
      <c r="I349" s="30"/>
      <c r="O349" s="53"/>
    </row>
    <row r="350" spans="4:15">
      <c r="D350" s="47"/>
      <c r="E350" s="143"/>
      <c r="H350" s="29"/>
      <c r="I350" s="30"/>
      <c r="O350" s="53"/>
    </row>
    <row r="351" spans="4:15">
      <c r="D351" s="47"/>
      <c r="E351" s="143"/>
      <c r="H351" s="29"/>
      <c r="I351" s="30"/>
      <c r="O351" s="53"/>
    </row>
    <row r="352" spans="4:15">
      <c r="D352" s="47"/>
      <c r="E352" s="143"/>
      <c r="H352" s="29"/>
      <c r="I352" s="30"/>
      <c r="O352" s="53"/>
    </row>
    <row r="353" spans="4:15">
      <c r="D353" s="47"/>
      <c r="E353" s="143"/>
      <c r="H353" s="29"/>
      <c r="I353" s="30"/>
      <c r="O353" s="53"/>
    </row>
    <row r="354" spans="4:15">
      <c r="D354" s="47"/>
      <c r="E354" s="143"/>
      <c r="H354" s="29"/>
      <c r="I354" s="30"/>
      <c r="O354" s="53"/>
    </row>
    <row r="355" spans="4:15">
      <c r="D355" s="47"/>
      <c r="E355" s="143"/>
      <c r="H355" s="29"/>
      <c r="I355" s="30"/>
      <c r="O355" s="53"/>
    </row>
    <row r="356" spans="4:15">
      <c r="D356" s="47"/>
      <c r="E356" s="143"/>
      <c r="H356" s="29"/>
      <c r="I356" s="30"/>
      <c r="O356" s="53"/>
    </row>
    <row r="357" spans="4:15">
      <c r="D357" s="47"/>
      <c r="E357" s="143"/>
      <c r="H357" s="29"/>
      <c r="I357" s="30"/>
      <c r="O357" s="53"/>
    </row>
    <row r="358" spans="4:15">
      <c r="D358" s="47"/>
      <c r="E358" s="143"/>
      <c r="H358" s="29"/>
      <c r="I358" s="30"/>
      <c r="O358" s="53"/>
    </row>
    <row r="359" spans="4:15">
      <c r="D359" s="47"/>
      <c r="E359" s="143"/>
      <c r="H359" s="29"/>
      <c r="I359" s="30"/>
      <c r="O359" s="53"/>
    </row>
    <row r="360" spans="4:15">
      <c r="D360" s="47"/>
      <c r="E360" s="143"/>
      <c r="H360" s="29"/>
      <c r="I360" s="30"/>
      <c r="O360" s="53"/>
    </row>
    <row r="361" spans="4:15">
      <c r="D361" s="47"/>
      <c r="E361" s="143"/>
      <c r="H361" s="29"/>
      <c r="I361" s="30"/>
      <c r="O361" s="53"/>
    </row>
    <row r="362" spans="4:15">
      <c r="D362" s="47"/>
      <c r="E362" s="143"/>
      <c r="H362" s="29"/>
      <c r="I362" s="30"/>
      <c r="O362" s="53"/>
    </row>
    <row r="363" spans="4:15">
      <c r="D363" s="47"/>
      <c r="E363" s="143"/>
      <c r="H363" s="29"/>
      <c r="I363" s="30"/>
      <c r="O363" s="53"/>
    </row>
    <row r="364" spans="4:15">
      <c r="D364" s="47"/>
      <c r="E364" s="143"/>
      <c r="H364" s="29"/>
      <c r="I364" s="30"/>
      <c r="O364" s="53"/>
    </row>
    <row r="365" spans="4:15">
      <c r="D365" s="47"/>
      <c r="E365" s="143"/>
      <c r="H365" s="29"/>
      <c r="I365" s="30"/>
      <c r="O365" s="53"/>
    </row>
    <row r="366" spans="4:15">
      <c r="D366" s="47"/>
      <c r="E366" s="143"/>
      <c r="H366" s="29"/>
      <c r="I366" s="30"/>
      <c r="O366" s="53"/>
    </row>
    <row r="367" spans="4:15">
      <c r="D367" s="47"/>
      <c r="E367" s="143"/>
      <c r="H367" s="29"/>
      <c r="I367" s="30"/>
      <c r="O367" s="53"/>
    </row>
    <row r="368" spans="4:15">
      <c r="D368" s="47"/>
      <c r="E368" s="143"/>
      <c r="H368" s="29"/>
      <c r="I368" s="30"/>
      <c r="O368" s="53"/>
    </row>
    <row r="369" spans="4:15">
      <c r="D369" s="47"/>
      <c r="E369" s="143"/>
      <c r="H369" s="29"/>
      <c r="I369" s="30"/>
      <c r="O369" s="53"/>
    </row>
    <row r="370" spans="4:15">
      <c r="D370" s="47"/>
      <c r="E370" s="143"/>
      <c r="H370" s="29"/>
      <c r="I370" s="30"/>
      <c r="O370" s="53"/>
    </row>
    <row r="371" spans="4:15">
      <c r="D371" s="47"/>
      <c r="E371" s="143"/>
      <c r="H371" s="29"/>
      <c r="I371" s="30"/>
      <c r="O371" s="53"/>
    </row>
    <row r="372" spans="4:15">
      <c r="D372" s="47"/>
      <c r="E372" s="143"/>
      <c r="H372" s="29"/>
      <c r="I372" s="30"/>
      <c r="O372" s="53"/>
    </row>
    <row r="373" spans="4:15">
      <c r="D373" s="47"/>
      <c r="E373" s="143"/>
      <c r="H373" s="29"/>
      <c r="I373" s="30"/>
      <c r="O373" s="53"/>
    </row>
    <row r="374" spans="4:15">
      <c r="D374" s="47"/>
      <c r="E374" s="143"/>
      <c r="H374" s="29"/>
      <c r="I374" s="30"/>
      <c r="O374" s="53"/>
    </row>
    <row r="375" spans="4:15">
      <c r="D375" s="47"/>
      <c r="E375" s="143"/>
      <c r="H375" s="29"/>
      <c r="I375" s="30"/>
      <c r="O375" s="53"/>
    </row>
    <row r="376" spans="4:15">
      <c r="D376" s="47"/>
      <c r="E376" s="143"/>
      <c r="H376" s="29"/>
      <c r="I376" s="30"/>
      <c r="O376" s="53"/>
    </row>
    <row r="377" spans="4:15">
      <c r="D377" s="47"/>
      <c r="E377" s="143"/>
      <c r="H377" s="29"/>
      <c r="I377" s="30"/>
      <c r="O377" s="53"/>
    </row>
    <row r="378" spans="4:15">
      <c r="D378" s="47"/>
      <c r="E378" s="143"/>
      <c r="H378" s="29"/>
      <c r="I378" s="30"/>
      <c r="O378" s="53"/>
    </row>
    <row r="379" spans="4:15">
      <c r="D379" s="47"/>
      <c r="E379" s="143"/>
      <c r="H379" s="29"/>
      <c r="I379" s="30"/>
      <c r="O379" s="53"/>
    </row>
    <row r="380" spans="4:15">
      <c r="D380" s="47"/>
      <c r="E380" s="143"/>
      <c r="H380" s="29"/>
      <c r="I380" s="30"/>
      <c r="O380" s="53"/>
    </row>
    <row r="381" spans="4:15">
      <c r="D381" s="47"/>
      <c r="E381" s="143"/>
      <c r="H381" s="29"/>
      <c r="I381" s="30"/>
      <c r="O381" s="53"/>
    </row>
    <row r="382" spans="4:15">
      <c r="D382" s="47"/>
      <c r="E382" s="143"/>
      <c r="H382" s="29"/>
      <c r="I382" s="30"/>
      <c r="O382" s="53"/>
    </row>
    <row r="383" spans="4:15">
      <c r="D383" s="47"/>
      <c r="E383" s="143"/>
      <c r="H383" s="29"/>
      <c r="I383" s="30"/>
      <c r="O383" s="53"/>
    </row>
    <row r="384" spans="4:15">
      <c r="D384" s="47"/>
      <c r="E384" s="143"/>
      <c r="H384" s="29"/>
      <c r="I384" s="30"/>
      <c r="O384" s="53"/>
    </row>
    <row r="385" spans="4:15">
      <c r="D385" s="47"/>
      <c r="E385" s="143"/>
      <c r="H385" s="29"/>
      <c r="I385" s="30"/>
      <c r="O385" s="53"/>
    </row>
    <row r="386" spans="4:15">
      <c r="D386" s="47"/>
      <c r="E386" s="143"/>
      <c r="H386" s="29"/>
      <c r="I386" s="30"/>
      <c r="O386" s="53"/>
    </row>
    <row r="387" spans="4:15">
      <c r="D387" s="47"/>
      <c r="E387" s="143"/>
      <c r="H387" s="29"/>
      <c r="I387" s="30"/>
      <c r="O387" s="53"/>
    </row>
    <row r="388" spans="4:15">
      <c r="D388" s="47"/>
      <c r="E388" s="143"/>
      <c r="H388" s="29"/>
      <c r="I388" s="30"/>
      <c r="O388" s="53"/>
    </row>
    <row r="389" spans="4:15">
      <c r="D389" s="47"/>
      <c r="E389" s="143"/>
      <c r="H389" s="29"/>
      <c r="I389" s="30"/>
      <c r="O389" s="53"/>
    </row>
    <row r="390" spans="4:15">
      <c r="D390" s="47"/>
      <c r="E390" s="143"/>
      <c r="H390" s="29"/>
      <c r="I390" s="30"/>
      <c r="O390" s="53"/>
    </row>
    <row r="391" spans="4:15">
      <c r="D391" s="47"/>
      <c r="E391" s="143"/>
      <c r="H391" s="29"/>
      <c r="I391" s="30"/>
      <c r="O391" s="53"/>
    </row>
    <row r="392" spans="4:15">
      <c r="D392" s="47"/>
      <c r="E392" s="143"/>
      <c r="H392" s="29"/>
      <c r="I392" s="30"/>
      <c r="O392" s="53"/>
    </row>
    <row r="393" spans="4:15">
      <c r="D393" s="47"/>
      <c r="E393" s="143"/>
      <c r="H393" s="29"/>
      <c r="I393" s="30"/>
      <c r="O393" s="53"/>
    </row>
    <row r="394" spans="4:15">
      <c r="D394" s="47"/>
      <c r="E394" s="143"/>
      <c r="H394" s="29"/>
      <c r="I394" s="30"/>
      <c r="O394" s="53"/>
    </row>
    <row r="395" spans="4:15">
      <c r="D395" s="47"/>
      <c r="E395" s="143"/>
      <c r="H395" s="29"/>
      <c r="I395" s="30"/>
      <c r="O395" s="53"/>
    </row>
    <row r="396" spans="4:15">
      <c r="D396" s="47"/>
      <c r="E396" s="143"/>
      <c r="H396" s="29"/>
      <c r="I396" s="30"/>
      <c r="O396" s="53"/>
    </row>
    <row r="397" spans="4:15">
      <c r="D397" s="47"/>
      <c r="E397" s="143"/>
      <c r="H397" s="29"/>
      <c r="I397" s="30"/>
      <c r="O397" s="53"/>
    </row>
    <row r="398" spans="4:15">
      <c r="D398" s="47"/>
      <c r="E398" s="143"/>
      <c r="H398" s="29"/>
      <c r="I398" s="30"/>
      <c r="O398" s="53"/>
    </row>
    <row r="399" spans="4:15">
      <c r="D399" s="47"/>
      <c r="E399" s="143"/>
      <c r="H399" s="29"/>
      <c r="I399" s="30"/>
      <c r="O399" s="53"/>
    </row>
    <row r="400" spans="4:15">
      <c r="D400" s="47"/>
      <c r="E400" s="143"/>
      <c r="H400" s="29"/>
      <c r="I400" s="30"/>
      <c r="O400" s="53"/>
    </row>
    <row r="401" spans="4:15">
      <c r="D401" s="47"/>
      <c r="E401" s="143"/>
      <c r="H401" s="29"/>
      <c r="I401" s="30"/>
      <c r="O401" s="53"/>
    </row>
    <row r="402" spans="4:15">
      <c r="D402" s="47"/>
      <c r="E402" s="143"/>
      <c r="H402" s="29"/>
      <c r="I402" s="30"/>
      <c r="O402" s="53"/>
    </row>
    <row r="403" spans="4:15">
      <c r="D403" s="47"/>
      <c r="E403" s="143"/>
      <c r="H403" s="29"/>
      <c r="I403" s="30"/>
      <c r="O403" s="53"/>
    </row>
    <row r="404" spans="4:15">
      <c r="D404" s="47"/>
      <c r="E404" s="143"/>
      <c r="H404" s="29"/>
      <c r="I404" s="30"/>
      <c r="O404" s="53"/>
    </row>
    <row r="405" spans="4:15">
      <c r="D405" s="47"/>
      <c r="E405" s="143"/>
      <c r="H405" s="29"/>
      <c r="I405" s="30"/>
      <c r="O405" s="53"/>
    </row>
    <row r="406" spans="4:15">
      <c r="D406" s="47"/>
      <c r="E406" s="143"/>
      <c r="H406" s="29"/>
      <c r="I406" s="30"/>
      <c r="O406" s="53"/>
    </row>
    <row r="407" spans="4:15">
      <c r="D407" s="47"/>
      <c r="E407" s="143"/>
      <c r="H407" s="29"/>
      <c r="I407" s="30"/>
      <c r="O407" s="53"/>
    </row>
    <row r="408" spans="4:15">
      <c r="D408" s="47"/>
      <c r="E408" s="143"/>
      <c r="H408" s="29"/>
      <c r="I408" s="30"/>
      <c r="O408" s="53"/>
    </row>
    <row r="409" spans="4:15">
      <c r="D409" s="47"/>
      <c r="E409" s="143"/>
      <c r="H409" s="29"/>
      <c r="I409" s="30"/>
      <c r="O409" s="53"/>
    </row>
    <row r="410" spans="4:15">
      <c r="D410" s="47"/>
      <c r="E410" s="143"/>
      <c r="H410" s="29"/>
      <c r="I410" s="30"/>
      <c r="O410" s="53"/>
    </row>
    <row r="411" spans="4:15">
      <c r="D411" s="47"/>
      <c r="E411" s="143"/>
      <c r="H411" s="29"/>
      <c r="I411" s="30"/>
      <c r="O411" s="53"/>
    </row>
    <row r="412" spans="4:15">
      <c r="D412" s="47"/>
      <c r="E412" s="143"/>
      <c r="H412" s="29"/>
      <c r="I412" s="30"/>
      <c r="O412" s="53"/>
    </row>
    <row r="413" spans="4:15">
      <c r="D413" s="47"/>
      <c r="E413" s="143"/>
      <c r="H413" s="29"/>
      <c r="I413" s="30"/>
      <c r="O413" s="53"/>
    </row>
    <row r="414" spans="4:15">
      <c r="D414" s="47"/>
      <c r="E414" s="143"/>
      <c r="H414" s="29"/>
      <c r="I414" s="30"/>
      <c r="O414" s="53"/>
    </row>
    <row r="415" spans="4:15">
      <c r="D415" s="47"/>
      <c r="E415" s="143"/>
      <c r="H415" s="29"/>
      <c r="I415" s="30"/>
      <c r="O415" s="53"/>
    </row>
    <row r="416" spans="4:15">
      <c r="D416" s="47"/>
      <c r="E416" s="143"/>
      <c r="H416" s="29"/>
      <c r="I416" s="30"/>
      <c r="O416" s="53"/>
    </row>
    <row r="417" spans="4:15">
      <c r="D417" s="47"/>
      <c r="E417" s="143"/>
      <c r="H417" s="29"/>
      <c r="I417" s="30"/>
      <c r="O417" s="53"/>
    </row>
    <row r="418" spans="4:15">
      <c r="D418" s="47"/>
      <c r="E418" s="143"/>
      <c r="H418" s="29"/>
      <c r="I418" s="30"/>
      <c r="O418" s="53"/>
    </row>
    <row r="419" spans="4:15">
      <c r="D419" s="47"/>
      <c r="E419" s="143"/>
      <c r="H419" s="29"/>
      <c r="I419" s="30"/>
      <c r="O419" s="53"/>
    </row>
    <row r="420" spans="4:15">
      <c r="D420" s="47"/>
      <c r="E420" s="143"/>
      <c r="H420" s="29"/>
      <c r="I420" s="30"/>
      <c r="O420" s="53"/>
    </row>
    <row r="421" spans="4:15">
      <c r="D421" s="47"/>
      <c r="E421" s="143"/>
      <c r="H421" s="29"/>
      <c r="I421" s="30"/>
      <c r="O421" s="53"/>
    </row>
    <row r="422" spans="4:15">
      <c r="D422" s="47"/>
      <c r="E422" s="143"/>
      <c r="H422" s="29"/>
      <c r="I422" s="30"/>
      <c r="O422" s="53"/>
    </row>
    <row r="423" spans="4:15">
      <c r="D423" s="47"/>
      <c r="E423" s="143"/>
      <c r="H423" s="29"/>
      <c r="I423" s="30"/>
      <c r="O423" s="53"/>
    </row>
    <row r="424" spans="4:15">
      <c r="D424" s="47"/>
      <c r="E424" s="143"/>
      <c r="H424" s="29"/>
      <c r="I424" s="30"/>
      <c r="O424" s="53"/>
    </row>
    <row r="425" spans="4:15">
      <c r="D425" s="47"/>
      <c r="E425" s="143"/>
      <c r="H425" s="29"/>
      <c r="I425" s="30"/>
      <c r="O425" s="53"/>
    </row>
    <row r="426" spans="4:15">
      <c r="D426" s="47"/>
      <c r="E426" s="143"/>
      <c r="H426" s="29"/>
      <c r="I426" s="30"/>
      <c r="O426" s="53"/>
    </row>
    <row r="427" spans="4:15">
      <c r="D427" s="47"/>
      <c r="E427" s="143"/>
      <c r="H427" s="29"/>
      <c r="I427" s="30"/>
      <c r="O427" s="53"/>
    </row>
    <row r="428" spans="4:15">
      <c r="D428" s="47"/>
      <c r="E428" s="143"/>
      <c r="H428" s="29"/>
      <c r="I428" s="30"/>
      <c r="O428" s="53"/>
    </row>
    <row r="429" spans="4:15">
      <c r="D429" s="47"/>
      <c r="E429" s="143"/>
      <c r="H429" s="29"/>
      <c r="I429" s="30"/>
      <c r="O429" s="53"/>
    </row>
    <row r="430" spans="4:15">
      <c r="D430" s="47"/>
      <c r="E430" s="143"/>
      <c r="H430" s="29"/>
      <c r="I430" s="30"/>
      <c r="O430" s="53"/>
    </row>
    <row r="431" spans="4:15">
      <c r="D431" s="47"/>
      <c r="E431" s="143"/>
      <c r="H431" s="29"/>
      <c r="I431" s="30"/>
      <c r="O431" s="53"/>
    </row>
    <row r="432" spans="4:15">
      <c r="D432" s="47"/>
      <c r="E432" s="143"/>
      <c r="H432" s="29"/>
      <c r="I432" s="30"/>
      <c r="O432" s="53"/>
    </row>
    <row r="433" spans="4:15">
      <c r="D433" s="47"/>
      <c r="E433" s="143"/>
      <c r="H433" s="29"/>
      <c r="I433" s="30"/>
      <c r="O433" s="53"/>
    </row>
    <row r="434" spans="4:15">
      <c r="D434" s="47"/>
      <c r="E434" s="143"/>
      <c r="H434" s="29"/>
      <c r="I434" s="30"/>
      <c r="O434" s="53"/>
    </row>
    <row r="435" spans="4:15">
      <c r="D435" s="47"/>
      <c r="E435" s="143"/>
      <c r="H435" s="29"/>
      <c r="I435" s="30"/>
      <c r="O435" s="53"/>
    </row>
    <row r="436" spans="4:15">
      <c r="D436" s="47"/>
      <c r="E436" s="143"/>
      <c r="H436" s="29"/>
      <c r="I436" s="30"/>
      <c r="O436" s="53"/>
    </row>
    <row r="437" spans="4:15">
      <c r="D437" s="47"/>
      <c r="E437" s="143"/>
      <c r="H437" s="29"/>
      <c r="I437" s="30"/>
      <c r="O437" s="53"/>
    </row>
    <row r="438" spans="4:15">
      <c r="D438" s="47"/>
      <c r="E438" s="143"/>
      <c r="H438" s="29"/>
      <c r="I438" s="30"/>
      <c r="O438" s="53"/>
    </row>
    <row r="439" spans="4:15">
      <c r="D439" s="47"/>
      <c r="E439" s="143"/>
      <c r="H439" s="29"/>
      <c r="I439" s="30"/>
      <c r="O439" s="53"/>
    </row>
    <row r="440" spans="4:15">
      <c r="D440" s="47"/>
      <c r="E440" s="143"/>
      <c r="H440" s="29"/>
      <c r="I440" s="30"/>
      <c r="O440" s="53"/>
    </row>
    <row r="441" spans="4:15">
      <c r="D441" s="47"/>
      <c r="E441" s="143"/>
      <c r="H441" s="29"/>
      <c r="I441" s="30"/>
      <c r="O441" s="53"/>
    </row>
    <row r="442" spans="4:15">
      <c r="D442" s="47"/>
      <c r="E442" s="143"/>
      <c r="H442" s="29"/>
      <c r="I442" s="30"/>
      <c r="O442" s="53"/>
    </row>
    <row r="443" spans="4:15">
      <c r="D443" s="47"/>
      <c r="E443" s="143"/>
      <c r="H443" s="29"/>
      <c r="I443" s="30"/>
      <c r="O443" s="53"/>
    </row>
    <row r="444" spans="4:15">
      <c r="D444" s="47"/>
      <c r="E444" s="143"/>
      <c r="H444" s="29"/>
      <c r="I444" s="30"/>
      <c r="O444" s="53"/>
    </row>
    <row r="445" spans="4:15">
      <c r="D445" s="47"/>
      <c r="E445" s="143"/>
      <c r="H445" s="29"/>
      <c r="I445" s="30"/>
      <c r="O445" s="53"/>
    </row>
    <row r="446" spans="4:15">
      <c r="D446" s="47"/>
      <c r="E446" s="143"/>
      <c r="H446" s="29"/>
      <c r="I446" s="30"/>
      <c r="O446" s="53"/>
    </row>
    <row r="447" spans="4:15">
      <c r="D447" s="47"/>
      <c r="E447" s="143"/>
      <c r="H447" s="29"/>
      <c r="I447" s="30"/>
      <c r="O447" s="53"/>
    </row>
    <row r="448" spans="4:15">
      <c r="D448" s="47"/>
      <c r="E448" s="143"/>
      <c r="H448" s="29"/>
      <c r="I448" s="30"/>
      <c r="O448" s="53"/>
    </row>
    <row r="449" spans="4:15">
      <c r="D449" s="47"/>
      <c r="E449" s="143"/>
      <c r="H449" s="29"/>
      <c r="I449" s="30"/>
      <c r="O449" s="53"/>
    </row>
    <row r="450" spans="4:15">
      <c r="D450" s="47"/>
      <c r="E450" s="143"/>
      <c r="H450" s="29"/>
      <c r="I450" s="30"/>
      <c r="O450" s="53"/>
    </row>
    <row r="451" spans="4:15">
      <c r="D451" s="47"/>
      <c r="E451" s="143"/>
      <c r="H451" s="29"/>
      <c r="I451" s="30"/>
      <c r="O451" s="53"/>
    </row>
    <row r="452" spans="4:15">
      <c r="D452" s="47"/>
      <c r="E452" s="143"/>
      <c r="H452" s="29"/>
      <c r="I452" s="30"/>
      <c r="O452" s="53"/>
    </row>
    <row r="453" spans="4:15">
      <c r="D453" s="47"/>
      <c r="E453" s="143"/>
      <c r="H453" s="29"/>
      <c r="I453" s="30"/>
      <c r="O453" s="53"/>
    </row>
    <row r="454" spans="4:15">
      <c r="D454" s="47"/>
      <c r="E454" s="143"/>
      <c r="H454" s="29"/>
      <c r="I454" s="30"/>
      <c r="O454" s="53"/>
    </row>
    <row r="455" spans="4:15">
      <c r="D455" s="47"/>
      <c r="E455" s="143"/>
      <c r="H455" s="29"/>
      <c r="I455" s="30"/>
      <c r="O455" s="53"/>
    </row>
    <row r="456" spans="4:15">
      <c r="D456" s="47"/>
      <c r="E456" s="143"/>
      <c r="H456" s="29"/>
      <c r="I456" s="30"/>
      <c r="O456" s="53"/>
    </row>
    <row r="457" spans="4:15">
      <c r="D457" s="47"/>
      <c r="E457" s="143"/>
      <c r="H457" s="29"/>
      <c r="I457" s="30"/>
      <c r="O457" s="53"/>
    </row>
    <row r="458" spans="4:15">
      <c r="D458" s="47"/>
      <c r="E458" s="143"/>
      <c r="H458" s="29"/>
      <c r="I458" s="30"/>
      <c r="O458" s="53"/>
    </row>
    <row r="459" spans="4:15">
      <c r="D459" s="47"/>
      <c r="E459" s="143"/>
      <c r="H459" s="29"/>
      <c r="I459" s="30"/>
      <c r="O459" s="53"/>
    </row>
    <row r="460" spans="4:15">
      <c r="D460" s="47"/>
      <c r="E460" s="143"/>
      <c r="H460" s="29"/>
      <c r="I460" s="30"/>
      <c r="O460" s="53"/>
    </row>
    <row r="461" spans="4:15">
      <c r="D461" s="47"/>
      <c r="E461" s="143"/>
      <c r="H461" s="29"/>
      <c r="I461" s="30"/>
      <c r="O461" s="53"/>
    </row>
    <row r="462" spans="4:15">
      <c r="D462" s="47"/>
      <c r="E462" s="143"/>
      <c r="H462" s="29"/>
      <c r="I462" s="30"/>
      <c r="O462" s="53"/>
    </row>
    <row r="463" spans="4:15">
      <c r="D463" s="47"/>
      <c r="E463" s="143"/>
      <c r="H463" s="29"/>
      <c r="I463" s="30"/>
      <c r="O463" s="53"/>
    </row>
    <row r="464" spans="4:15">
      <c r="D464" s="47"/>
      <c r="E464" s="143"/>
      <c r="H464" s="29"/>
      <c r="I464" s="30"/>
      <c r="O464" s="53"/>
    </row>
    <row r="465" spans="4:15">
      <c r="D465" s="47"/>
      <c r="E465" s="143"/>
      <c r="H465" s="29"/>
      <c r="I465" s="30"/>
      <c r="O465" s="53"/>
    </row>
    <row r="466" spans="4:15">
      <c r="D466" s="47"/>
      <c r="E466" s="143"/>
      <c r="H466" s="29"/>
      <c r="I466" s="30"/>
      <c r="O466" s="53"/>
    </row>
    <row r="467" spans="4:15">
      <c r="D467" s="47"/>
      <c r="E467" s="143"/>
      <c r="H467" s="29"/>
      <c r="I467" s="30"/>
      <c r="O467" s="53"/>
    </row>
    <row r="468" spans="4:15">
      <c r="D468" s="47"/>
      <c r="E468" s="143"/>
      <c r="H468" s="29"/>
      <c r="I468" s="30"/>
      <c r="O468" s="53"/>
    </row>
    <row r="469" spans="4:15">
      <c r="D469" s="47"/>
      <c r="E469" s="143"/>
      <c r="H469" s="29"/>
      <c r="I469" s="30"/>
      <c r="O469" s="53"/>
    </row>
    <row r="470" spans="4:15">
      <c r="D470" s="47"/>
      <c r="E470" s="143"/>
      <c r="H470" s="29"/>
      <c r="I470" s="30"/>
      <c r="O470" s="53"/>
    </row>
    <row r="471" spans="4:15">
      <c r="D471" s="47"/>
      <c r="E471" s="143"/>
      <c r="H471" s="29"/>
      <c r="I471" s="30"/>
      <c r="O471" s="53"/>
    </row>
    <row r="472" spans="4:15">
      <c r="D472" s="47"/>
      <c r="E472" s="143"/>
      <c r="H472" s="29"/>
      <c r="I472" s="30"/>
      <c r="O472" s="53"/>
    </row>
    <row r="473" spans="4:15">
      <c r="D473" s="47"/>
      <c r="E473" s="143"/>
      <c r="H473" s="29"/>
      <c r="I473" s="30"/>
      <c r="O473" s="53"/>
    </row>
    <row r="474" spans="4:15">
      <c r="D474" s="47"/>
      <c r="E474" s="143"/>
      <c r="H474" s="29"/>
      <c r="I474" s="30"/>
      <c r="O474" s="53"/>
    </row>
    <row r="475" spans="4:15">
      <c r="D475" s="47"/>
      <c r="E475" s="143"/>
      <c r="H475" s="29"/>
      <c r="I475" s="30"/>
      <c r="O475" s="53"/>
    </row>
    <row r="476" spans="4:15">
      <c r="D476" s="47"/>
      <c r="E476" s="143"/>
      <c r="H476" s="29"/>
      <c r="I476" s="30"/>
      <c r="O476" s="53"/>
    </row>
    <row r="477" spans="4:15">
      <c r="D477" s="47"/>
      <c r="E477" s="143"/>
      <c r="H477" s="29"/>
      <c r="I477" s="30"/>
      <c r="O477" s="53"/>
    </row>
    <row r="478" spans="4:15">
      <c r="D478" s="47"/>
      <c r="E478" s="143"/>
      <c r="H478" s="29"/>
      <c r="I478" s="30"/>
      <c r="O478" s="53"/>
    </row>
    <row r="479" spans="4:15">
      <c r="D479" s="47"/>
      <c r="E479" s="143"/>
      <c r="H479" s="29"/>
      <c r="I479" s="30"/>
      <c r="O479" s="53"/>
    </row>
    <row r="480" spans="4:15">
      <c r="D480" s="47"/>
      <c r="E480" s="143"/>
      <c r="H480" s="29"/>
      <c r="I480" s="30"/>
      <c r="O480" s="53"/>
    </row>
    <row r="481" spans="4:15">
      <c r="D481" s="47"/>
      <c r="E481" s="143"/>
      <c r="H481" s="29"/>
      <c r="I481" s="30"/>
      <c r="O481" s="53"/>
    </row>
    <row r="482" spans="4:15">
      <c r="D482" s="47"/>
      <c r="E482" s="143"/>
      <c r="H482" s="29"/>
      <c r="I482" s="30"/>
      <c r="O482" s="53"/>
    </row>
    <row r="483" spans="4:15">
      <c r="D483" s="47"/>
      <c r="E483" s="143"/>
      <c r="H483" s="29"/>
      <c r="I483" s="30"/>
      <c r="O483" s="53"/>
    </row>
    <row r="484" spans="4:15">
      <c r="D484" s="47"/>
      <c r="E484" s="143"/>
      <c r="H484" s="29"/>
      <c r="I484" s="30"/>
      <c r="O484" s="53"/>
    </row>
    <row r="485" spans="4:15">
      <c r="D485" s="47"/>
      <c r="E485" s="143"/>
      <c r="H485" s="29"/>
      <c r="I485" s="30"/>
      <c r="O485" s="53"/>
    </row>
    <row r="486" spans="4:15">
      <c r="D486" s="47"/>
      <c r="E486" s="143"/>
      <c r="H486" s="29"/>
      <c r="I486" s="30"/>
      <c r="O486" s="53"/>
    </row>
    <row r="487" spans="4:15">
      <c r="D487" s="47"/>
      <c r="E487" s="143"/>
      <c r="H487" s="29"/>
      <c r="I487" s="30"/>
      <c r="O487" s="53"/>
    </row>
    <row r="488" spans="4:15">
      <c r="D488" s="47"/>
      <c r="E488" s="143"/>
      <c r="H488" s="29"/>
      <c r="I488" s="30"/>
      <c r="O488" s="53"/>
    </row>
    <row r="489" spans="4:15">
      <c r="D489" s="47"/>
      <c r="E489" s="143"/>
      <c r="H489" s="29"/>
      <c r="I489" s="30"/>
      <c r="O489" s="53"/>
    </row>
    <row r="490" spans="4:15">
      <c r="D490" s="47"/>
      <c r="E490" s="143"/>
      <c r="H490" s="29"/>
      <c r="I490" s="30"/>
      <c r="O490" s="53"/>
    </row>
    <row r="491" spans="4:15">
      <c r="D491" s="47"/>
      <c r="E491" s="143"/>
      <c r="H491" s="29"/>
      <c r="I491" s="30"/>
      <c r="O491" s="53"/>
    </row>
    <row r="492" spans="4:15">
      <c r="D492" s="47"/>
      <c r="E492" s="143"/>
      <c r="H492" s="29"/>
      <c r="I492" s="30"/>
      <c r="O492" s="53"/>
    </row>
    <row r="493" spans="4:15">
      <c r="D493" s="47"/>
      <c r="E493" s="143"/>
      <c r="H493" s="29"/>
      <c r="I493" s="30"/>
      <c r="O493" s="53"/>
    </row>
    <row r="494" spans="4:15">
      <c r="D494" s="47"/>
      <c r="E494" s="143"/>
      <c r="H494" s="29"/>
      <c r="I494" s="30"/>
      <c r="O494" s="53"/>
    </row>
    <row r="495" spans="4:15">
      <c r="D495" s="47"/>
      <c r="E495" s="143"/>
      <c r="H495" s="29"/>
      <c r="I495" s="30"/>
      <c r="O495" s="53"/>
    </row>
    <row r="496" spans="4:15">
      <c r="D496" s="47"/>
      <c r="E496" s="143"/>
      <c r="H496" s="29"/>
      <c r="I496" s="30"/>
      <c r="O496" s="53"/>
    </row>
    <row r="497" spans="4:15">
      <c r="D497" s="47"/>
      <c r="E497" s="143"/>
      <c r="H497" s="29"/>
      <c r="I497" s="30"/>
      <c r="O497" s="53"/>
    </row>
    <row r="498" spans="4:15">
      <c r="D498" s="47"/>
      <c r="E498" s="143"/>
      <c r="H498" s="29"/>
      <c r="I498" s="30"/>
      <c r="O498" s="53"/>
    </row>
    <row r="499" spans="4:15">
      <c r="D499" s="47"/>
      <c r="E499" s="143"/>
      <c r="H499" s="29"/>
      <c r="I499" s="30"/>
      <c r="O499" s="53"/>
    </row>
    <row r="500" spans="4:15">
      <c r="D500" s="47"/>
      <c r="E500" s="143"/>
      <c r="H500" s="29"/>
      <c r="I500" s="30"/>
      <c r="O500" s="53"/>
    </row>
    <row r="501" spans="4:15">
      <c r="D501" s="47"/>
      <c r="E501" s="143"/>
      <c r="H501" s="29"/>
      <c r="I501" s="30"/>
      <c r="O501" s="53"/>
    </row>
    <row r="502" spans="4:15">
      <c r="D502" s="47"/>
      <c r="E502" s="143"/>
      <c r="H502" s="29"/>
      <c r="I502" s="30"/>
      <c r="O502" s="53"/>
    </row>
    <row r="503" spans="4:15">
      <c r="D503" s="47"/>
      <c r="E503" s="143"/>
      <c r="H503" s="29"/>
      <c r="I503" s="30"/>
      <c r="O503" s="53"/>
    </row>
    <row r="504" spans="4:15">
      <c r="D504" s="47"/>
      <c r="E504" s="143"/>
      <c r="H504" s="29"/>
      <c r="I504" s="30"/>
      <c r="O504" s="53"/>
    </row>
    <row r="505" spans="4:15">
      <c r="D505" s="47"/>
      <c r="E505" s="143"/>
      <c r="H505" s="29"/>
      <c r="I505" s="30"/>
      <c r="O505" s="53"/>
    </row>
    <row r="506" spans="4:15">
      <c r="D506" s="47"/>
      <c r="E506" s="143"/>
      <c r="H506" s="29"/>
      <c r="I506" s="30"/>
      <c r="O506" s="53"/>
    </row>
    <row r="507" spans="4:15">
      <c r="D507" s="47"/>
      <c r="E507" s="143"/>
      <c r="H507" s="29"/>
      <c r="I507" s="30"/>
      <c r="O507" s="53"/>
    </row>
    <row r="508" spans="4:15">
      <c r="D508" s="47"/>
      <c r="E508" s="143"/>
      <c r="H508" s="29"/>
      <c r="I508" s="30"/>
      <c r="O508" s="53"/>
    </row>
    <row r="509" spans="4:15">
      <c r="D509" s="47"/>
      <c r="E509" s="143"/>
      <c r="H509" s="29"/>
      <c r="I509" s="30"/>
      <c r="O509" s="53"/>
    </row>
    <row r="510" spans="4:15">
      <c r="D510" s="47"/>
      <c r="E510" s="143"/>
      <c r="H510" s="29"/>
      <c r="I510" s="30"/>
      <c r="O510" s="53"/>
    </row>
    <row r="511" spans="4:15">
      <c r="D511" s="47"/>
      <c r="E511" s="143"/>
      <c r="H511" s="29"/>
      <c r="I511" s="30"/>
      <c r="O511" s="53"/>
    </row>
    <row r="512" spans="4:15">
      <c r="D512" s="47"/>
      <c r="E512" s="143"/>
      <c r="H512" s="29"/>
      <c r="I512" s="30"/>
      <c r="O512" s="53"/>
    </row>
    <row r="513" spans="4:15">
      <c r="D513" s="47"/>
      <c r="E513" s="143"/>
      <c r="H513" s="29"/>
      <c r="I513" s="30"/>
      <c r="O513" s="53"/>
    </row>
    <row r="514" spans="4:15">
      <c r="D514" s="47"/>
      <c r="E514" s="143"/>
      <c r="H514" s="29"/>
      <c r="I514" s="30"/>
      <c r="O514" s="53"/>
    </row>
    <row r="515" spans="4:15">
      <c r="D515" s="47"/>
      <c r="E515" s="143"/>
      <c r="H515" s="29"/>
      <c r="I515" s="30"/>
      <c r="O515" s="53"/>
    </row>
    <row r="516" spans="4:15">
      <c r="D516" s="47"/>
      <c r="E516" s="143"/>
      <c r="H516" s="29"/>
      <c r="I516" s="30"/>
      <c r="O516" s="53"/>
    </row>
    <row r="517" spans="4:15">
      <c r="D517" s="47"/>
      <c r="E517" s="143"/>
      <c r="H517" s="29"/>
      <c r="I517" s="30"/>
      <c r="O517" s="53"/>
    </row>
    <row r="518" spans="4:15">
      <c r="D518" s="47"/>
      <c r="E518" s="143"/>
      <c r="H518" s="29"/>
      <c r="I518" s="30"/>
      <c r="O518" s="53"/>
    </row>
    <row r="519" spans="4:15">
      <c r="D519" s="47"/>
      <c r="E519" s="143"/>
      <c r="H519" s="29"/>
      <c r="I519" s="30"/>
      <c r="O519" s="53"/>
    </row>
    <row r="520" spans="4:15">
      <c r="D520" s="47"/>
      <c r="E520" s="143"/>
      <c r="H520" s="29"/>
      <c r="I520" s="30"/>
      <c r="O520" s="53"/>
    </row>
    <row r="521" spans="4:15">
      <c r="D521" s="47"/>
      <c r="E521" s="143"/>
      <c r="H521" s="29"/>
      <c r="I521" s="30"/>
      <c r="O521" s="53"/>
    </row>
    <row r="522" spans="4:15">
      <c r="D522" s="47"/>
      <c r="E522" s="143"/>
      <c r="H522" s="29"/>
      <c r="I522" s="30"/>
      <c r="O522" s="53"/>
    </row>
    <row r="523" spans="4:15">
      <c r="D523" s="47"/>
      <c r="E523" s="143"/>
      <c r="H523" s="29"/>
      <c r="I523" s="30"/>
      <c r="O523" s="53"/>
    </row>
    <row r="524" spans="4:15">
      <c r="D524" s="47"/>
      <c r="E524" s="143"/>
      <c r="H524" s="29"/>
      <c r="I524" s="30"/>
      <c r="O524" s="53"/>
    </row>
    <row r="525" spans="4:15">
      <c r="D525" s="47"/>
      <c r="E525" s="143"/>
      <c r="H525" s="29"/>
      <c r="I525" s="30"/>
      <c r="O525" s="53"/>
    </row>
    <row r="526" spans="4:15">
      <c r="D526" s="47"/>
      <c r="E526" s="143"/>
      <c r="H526" s="29"/>
      <c r="I526" s="30"/>
      <c r="O526" s="53"/>
    </row>
    <row r="527" spans="4:15">
      <c r="D527" s="47"/>
      <c r="E527" s="143"/>
      <c r="H527" s="29"/>
      <c r="I527" s="30"/>
      <c r="O527" s="53"/>
    </row>
    <row r="528" spans="4:15">
      <c r="D528" s="47"/>
      <c r="E528" s="143"/>
      <c r="H528" s="29"/>
      <c r="I528" s="30"/>
      <c r="O528" s="53"/>
    </row>
    <row r="529" spans="4:15">
      <c r="D529" s="47"/>
      <c r="E529" s="143"/>
      <c r="H529" s="29"/>
      <c r="I529" s="30"/>
      <c r="O529" s="53"/>
    </row>
    <row r="530" spans="4:15">
      <c r="D530" s="47"/>
      <c r="E530" s="143"/>
      <c r="H530" s="29"/>
      <c r="I530" s="30"/>
      <c r="O530" s="53"/>
    </row>
    <row r="531" spans="4:15">
      <c r="D531" s="47"/>
      <c r="E531" s="143"/>
      <c r="H531" s="29"/>
      <c r="I531" s="30"/>
      <c r="O531" s="53"/>
    </row>
    <row r="532" spans="4:15">
      <c r="D532" s="47"/>
      <c r="E532" s="143"/>
      <c r="H532" s="29"/>
      <c r="I532" s="30"/>
      <c r="O532" s="53"/>
    </row>
    <row r="533" spans="4:15">
      <c r="D533" s="47"/>
      <c r="E533" s="143"/>
      <c r="H533" s="29"/>
      <c r="I533" s="30"/>
      <c r="O533" s="53"/>
    </row>
    <row r="534" spans="4:15">
      <c r="D534" s="47"/>
      <c r="E534" s="143"/>
      <c r="H534" s="29"/>
      <c r="I534" s="30"/>
      <c r="O534" s="53"/>
    </row>
    <row r="535" spans="4:15">
      <c r="D535" s="47"/>
      <c r="E535" s="143"/>
      <c r="H535" s="29"/>
      <c r="I535" s="30"/>
      <c r="O535" s="53"/>
    </row>
    <row r="536" spans="4:15">
      <c r="D536" s="47"/>
      <c r="E536" s="143"/>
      <c r="H536" s="29"/>
      <c r="I536" s="30"/>
      <c r="O536" s="53"/>
    </row>
    <row r="537" spans="4:15">
      <c r="D537" s="47"/>
      <c r="E537" s="143"/>
      <c r="H537" s="29"/>
      <c r="I537" s="30"/>
      <c r="O537" s="53"/>
    </row>
    <row r="538" spans="4:15">
      <c r="D538" s="47"/>
      <c r="E538" s="143"/>
      <c r="H538" s="29"/>
      <c r="I538" s="30"/>
      <c r="O538" s="53"/>
    </row>
    <row r="539" spans="4:15">
      <c r="D539" s="47"/>
      <c r="E539" s="143"/>
      <c r="H539" s="29"/>
      <c r="I539" s="30"/>
      <c r="O539" s="53"/>
    </row>
    <row r="540" spans="4:15">
      <c r="D540" s="47"/>
      <c r="E540" s="143"/>
      <c r="H540" s="29"/>
      <c r="I540" s="30"/>
      <c r="O540" s="53"/>
    </row>
    <row r="541" spans="4:15">
      <c r="D541" s="47"/>
      <c r="E541" s="143"/>
      <c r="H541" s="29"/>
      <c r="I541" s="30"/>
      <c r="O541" s="53"/>
    </row>
    <row r="542" spans="4:15">
      <c r="D542" s="47"/>
      <c r="E542" s="143"/>
      <c r="H542" s="29"/>
      <c r="I542" s="30"/>
      <c r="O542" s="53"/>
    </row>
    <row r="543" spans="4:15">
      <c r="D543" s="47"/>
      <c r="E543" s="143"/>
      <c r="H543" s="29"/>
      <c r="I543" s="30"/>
      <c r="O543" s="53"/>
    </row>
    <row r="544" spans="4:15">
      <c r="D544" s="47"/>
      <c r="E544" s="143"/>
      <c r="H544" s="29"/>
      <c r="I544" s="30"/>
      <c r="O544" s="53"/>
    </row>
    <row r="545" spans="4:15">
      <c r="D545" s="47"/>
      <c r="E545" s="143"/>
      <c r="H545" s="29"/>
      <c r="I545" s="30"/>
      <c r="O545" s="53"/>
    </row>
    <row r="546" spans="4:15">
      <c r="D546" s="47"/>
      <c r="E546" s="143"/>
      <c r="H546" s="29"/>
      <c r="I546" s="30"/>
      <c r="O546" s="53"/>
    </row>
    <row r="547" spans="4:15">
      <c r="D547" s="47"/>
      <c r="E547" s="143"/>
      <c r="H547" s="29"/>
      <c r="I547" s="30"/>
      <c r="O547" s="53"/>
    </row>
    <row r="548" spans="4:15">
      <c r="D548" s="47"/>
      <c r="E548" s="143"/>
      <c r="H548" s="29"/>
      <c r="I548" s="30"/>
      <c r="O548" s="53"/>
    </row>
    <row r="549" spans="4:15">
      <c r="D549" s="47"/>
      <c r="E549" s="143"/>
      <c r="H549" s="29"/>
      <c r="I549" s="30"/>
      <c r="O549" s="53"/>
    </row>
    <row r="550" spans="4:15">
      <c r="D550" s="47"/>
      <c r="E550" s="143"/>
      <c r="H550" s="29"/>
      <c r="I550" s="30"/>
      <c r="O550" s="53"/>
    </row>
    <row r="551" spans="4:15">
      <c r="D551" s="47"/>
      <c r="E551" s="143"/>
      <c r="H551" s="29"/>
      <c r="I551" s="30"/>
      <c r="O551" s="53"/>
    </row>
    <row r="552" spans="4:15">
      <c r="D552" s="47"/>
      <c r="E552" s="143"/>
      <c r="H552" s="29"/>
      <c r="I552" s="30"/>
      <c r="O552" s="53"/>
    </row>
    <row r="553" spans="4:15">
      <c r="D553" s="47"/>
      <c r="E553" s="143"/>
      <c r="H553" s="29"/>
      <c r="I553" s="30"/>
      <c r="O553" s="53"/>
    </row>
    <row r="554" spans="4:15">
      <c r="D554" s="47"/>
      <c r="E554" s="143"/>
      <c r="H554" s="29"/>
      <c r="I554" s="30"/>
      <c r="O554" s="53"/>
    </row>
    <row r="555" spans="4:15">
      <c r="D555" s="47"/>
      <c r="E555" s="143"/>
      <c r="H555" s="29"/>
      <c r="I555" s="30"/>
      <c r="O555" s="53"/>
    </row>
    <row r="556" spans="4:15">
      <c r="D556" s="47"/>
      <c r="E556" s="143"/>
      <c r="H556" s="29"/>
      <c r="I556" s="30"/>
      <c r="O556" s="53"/>
    </row>
    <row r="557" spans="4:15">
      <c r="D557" s="47"/>
      <c r="E557" s="143"/>
      <c r="H557" s="29"/>
      <c r="I557" s="30"/>
      <c r="O557" s="53"/>
    </row>
    <row r="558" spans="4:15">
      <c r="D558" s="47"/>
      <c r="E558" s="143"/>
      <c r="H558" s="29"/>
      <c r="I558" s="30"/>
      <c r="O558" s="53"/>
    </row>
    <row r="559" spans="4:15">
      <c r="D559" s="47"/>
      <c r="E559" s="143"/>
      <c r="H559" s="29"/>
      <c r="I559" s="30"/>
      <c r="O559" s="53"/>
    </row>
    <row r="560" spans="4:15">
      <c r="D560" s="47"/>
      <c r="E560" s="143"/>
      <c r="H560" s="29"/>
      <c r="I560" s="30"/>
      <c r="O560" s="53"/>
    </row>
    <row r="561" spans="4:15">
      <c r="D561" s="47"/>
      <c r="E561" s="143"/>
      <c r="H561" s="29"/>
      <c r="I561" s="30"/>
      <c r="O561" s="53"/>
    </row>
    <row r="562" spans="4:15">
      <c r="D562" s="47"/>
      <c r="E562" s="143"/>
      <c r="H562" s="29"/>
      <c r="I562" s="30"/>
      <c r="O562" s="53"/>
    </row>
    <row r="563" spans="4:15">
      <c r="D563" s="47"/>
      <c r="E563" s="143"/>
      <c r="H563" s="29"/>
      <c r="I563" s="30"/>
      <c r="O563" s="53"/>
    </row>
    <row r="564" spans="4:15">
      <c r="D564" s="47"/>
      <c r="E564" s="143"/>
      <c r="H564" s="29"/>
      <c r="I564" s="30"/>
      <c r="O564" s="53"/>
    </row>
    <row r="565" spans="4:15">
      <c r="D565" s="47"/>
      <c r="E565" s="143"/>
      <c r="H565" s="29"/>
      <c r="I565" s="30"/>
      <c r="O565" s="53"/>
    </row>
    <row r="566" spans="4:15">
      <c r="D566" s="47"/>
      <c r="E566" s="143"/>
      <c r="H566" s="29"/>
      <c r="I566" s="30"/>
      <c r="O566" s="53"/>
    </row>
    <row r="567" spans="4:15">
      <c r="D567" s="47"/>
      <c r="E567" s="143"/>
      <c r="H567" s="29"/>
      <c r="I567" s="30"/>
      <c r="O567" s="53"/>
    </row>
    <row r="568" spans="4:15">
      <c r="D568" s="47"/>
      <c r="E568" s="143"/>
      <c r="H568" s="29"/>
      <c r="I568" s="30"/>
      <c r="O568" s="53"/>
    </row>
    <row r="569" spans="4:15">
      <c r="D569" s="47"/>
      <c r="E569" s="143"/>
      <c r="H569" s="29"/>
      <c r="I569" s="30"/>
      <c r="O569" s="53"/>
    </row>
    <row r="570" spans="4:15">
      <c r="D570" s="47"/>
      <c r="E570" s="143"/>
      <c r="H570" s="29"/>
      <c r="I570" s="30"/>
      <c r="O570" s="53"/>
    </row>
    <row r="571" spans="4:15">
      <c r="D571" s="47"/>
      <c r="E571" s="143"/>
      <c r="H571" s="29"/>
      <c r="I571" s="30"/>
      <c r="O571" s="53"/>
    </row>
    <row r="572" spans="4:15">
      <c r="D572" s="47"/>
      <c r="E572" s="143"/>
      <c r="H572" s="29"/>
      <c r="I572" s="30"/>
      <c r="O572" s="53"/>
    </row>
    <row r="573" spans="4:15">
      <c r="D573" s="47"/>
      <c r="E573" s="143"/>
      <c r="H573" s="29"/>
      <c r="I573" s="30"/>
      <c r="O573" s="53"/>
    </row>
    <row r="574" spans="4:15">
      <c r="D574" s="47"/>
      <c r="E574" s="143"/>
      <c r="H574" s="29"/>
      <c r="I574" s="30"/>
      <c r="O574" s="53"/>
    </row>
    <row r="575" spans="4:15">
      <c r="D575" s="47"/>
      <c r="E575" s="143"/>
      <c r="H575" s="29"/>
      <c r="I575" s="30"/>
      <c r="O575" s="53"/>
    </row>
    <row r="576" spans="4:15">
      <c r="D576" s="47"/>
      <c r="E576" s="143"/>
      <c r="H576" s="29"/>
      <c r="I576" s="30"/>
      <c r="O576" s="53"/>
    </row>
    <row r="577" spans="4:15">
      <c r="D577" s="47"/>
      <c r="E577" s="143"/>
      <c r="H577" s="29"/>
      <c r="I577" s="30"/>
      <c r="O577" s="53"/>
    </row>
    <row r="578" spans="4:15">
      <c r="D578" s="47"/>
      <c r="E578" s="143"/>
      <c r="H578" s="29"/>
      <c r="I578" s="30"/>
      <c r="O578" s="53"/>
    </row>
    <row r="579" spans="4:15">
      <c r="D579" s="47"/>
      <c r="E579" s="143"/>
      <c r="H579" s="29"/>
      <c r="I579" s="30"/>
      <c r="O579" s="53"/>
    </row>
    <row r="580" spans="4:15">
      <c r="D580" s="47"/>
      <c r="E580" s="143"/>
      <c r="H580" s="29"/>
      <c r="I580" s="30"/>
      <c r="O580" s="53"/>
    </row>
    <row r="581" spans="4:15">
      <c r="D581" s="47"/>
      <c r="E581" s="143"/>
      <c r="H581" s="29"/>
      <c r="I581" s="30"/>
      <c r="O581" s="53"/>
    </row>
    <row r="582" spans="4:15">
      <c r="D582" s="47"/>
      <c r="E582" s="143"/>
      <c r="H582" s="29"/>
      <c r="I582" s="30"/>
      <c r="O582" s="53"/>
    </row>
    <row r="583" spans="4:15">
      <c r="D583" s="47"/>
      <c r="E583" s="143"/>
      <c r="H583" s="29"/>
      <c r="I583" s="30"/>
      <c r="O583" s="53"/>
    </row>
    <row r="584" spans="4:15">
      <c r="D584" s="47"/>
      <c r="E584" s="143"/>
      <c r="H584" s="29"/>
      <c r="I584" s="30"/>
      <c r="O584" s="53"/>
    </row>
    <row r="585" spans="4:15">
      <c r="D585" s="47"/>
      <c r="E585" s="143"/>
      <c r="H585" s="29"/>
      <c r="I585" s="30"/>
      <c r="O585" s="53"/>
    </row>
    <row r="586" spans="4:15">
      <c r="D586" s="47"/>
      <c r="E586" s="143"/>
      <c r="H586" s="29"/>
      <c r="I586" s="30"/>
      <c r="O586" s="53"/>
    </row>
    <row r="587" spans="4:15">
      <c r="D587" s="47"/>
      <c r="E587" s="143"/>
      <c r="H587" s="29"/>
      <c r="I587" s="30"/>
      <c r="O587" s="53"/>
    </row>
    <row r="588" spans="4:15">
      <c r="D588" s="47"/>
      <c r="E588" s="143"/>
      <c r="H588" s="29"/>
      <c r="I588" s="30"/>
      <c r="O588" s="53"/>
    </row>
    <row r="589" spans="4:15">
      <c r="D589" s="47"/>
      <c r="E589" s="143"/>
      <c r="H589" s="29"/>
      <c r="I589" s="30"/>
      <c r="O589" s="53"/>
    </row>
    <row r="590" spans="4:15">
      <c r="D590" s="47"/>
      <c r="E590" s="143"/>
      <c r="H590" s="29"/>
      <c r="I590" s="30"/>
      <c r="O590" s="53"/>
    </row>
    <row r="591" spans="4:15">
      <c r="D591" s="47"/>
      <c r="E591" s="143"/>
      <c r="H591" s="29"/>
      <c r="I591" s="30"/>
      <c r="O591" s="53"/>
    </row>
    <row r="592" spans="4:15">
      <c r="D592" s="47"/>
      <c r="E592" s="143"/>
      <c r="H592" s="29"/>
      <c r="I592" s="30"/>
      <c r="O592" s="53"/>
    </row>
    <row r="593" spans="4:15">
      <c r="D593" s="47"/>
      <c r="E593" s="143"/>
      <c r="H593" s="29"/>
      <c r="I593" s="30"/>
      <c r="O593" s="53"/>
    </row>
    <row r="594" spans="4:15">
      <c r="D594" s="47"/>
      <c r="E594" s="143"/>
      <c r="H594" s="29"/>
      <c r="I594" s="30"/>
      <c r="O594" s="53"/>
    </row>
    <row r="595" spans="4:15">
      <c r="D595" s="47"/>
      <c r="E595" s="143"/>
      <c r="H595" s="29"/>
      <c r="I595" s="30"/>
      <c r="O595" s="53"/>
    </row>
    <row r="596" spans="4:15">
      <c r="D596" s="47"/>
      <c r="E596" s="143"/>
      <c r="H596" s="29"/>
      <c r="I596" s="30"/>
      <c r="O596" s="53"/>
    </row>
    <row r="597" spans="4:15">
      <c r="D597" s="47"/>
      <c r="E597" s="143"/>
      <c r="H597" s="29"/>
      <c r="I597" s="30"/>
      <c r="O597" s="53"/>
    </row>
    <row r="598" spans="4:15">
      <c r="D598" s="47"/>
      <c r="E598" s="143"/>
      <c r="H598" s="29"/>
      <c r="I598" s="30"/>
      <c r="O598" s="53"/>
    </row>
    <row r="599" spans="4:15">
      <c r="D599" s="47"/>
      <c r="E599" s="143"/>
      <c r="H599" s="29"/>
      <c r="I599" s="30"/>
      <c r="O599" s="53"/>
    </row>
    <row r="600" spans="4:15">
      <c r="D600" s="47"/>
      <c r="E600" s="143"/>
      <c r="H600" s="29"/>
      <c r="I600" s="30"/>
      <c r="O600" s="53"/>
    </row>
    <row r="601" spans="4:15">
      <c r="D601" s="47"/>
      <c r="E601" s="143"/>
      <c r="H601" s="29"/>
      <c r="I601" s="30"/>
      <c r="O601" s="53"/>
    </row>
    <row r="602" spans="4:15">
      <c r="D602" s="47"/>
      <c r="E602" s="143"/>
      <c r="H602" s="29"/>
      <c r="I602" s="30"/>
      <c r="O602" s="53"/>
    </row>
    <row r="603" spans="4:15">
      <c r="D603" s="47"/>
      <c r="E603" s="143"/>
      <c r="H603" s="29"/>
      <c r="I603" s="30"/>
      <c r="O603" s="53"/>
    </row>
    <row r="604" spans="4:15">
      <c r="D604" s="47"/>
      <c r="E604" s="143"/>
      <c r="H604" s="29"/>
      <c r="I604" s="30"/>
      <c r="O604" s="53"/>
    </row>
    <row r="605" spans="4:15">
      <c r="D605" s="47"/>
      <c r="E605" s="143"/>
      <c r="H605" s="29"/>
      <c r="I605" s="30"/>
      <c r="O605" s="53"/>
    </row>
    <row r="606" spans="4:15">
      <c r="D606" s="47"/>
      <c r="E606" s="143"/>
      <c r="H606" s="29"/>
      <c r="I606" s="30"/>
      <c r="O606" s="53"/>
    </row>
    <row r="607" spans="4:15">
      <c r="D607" s="47"/>
      <c r="E607" s="143"/>
      <c r="H607" s="29"/>
      <c r="I607" s="30"/>
      <c r="O607" s="53"/>
    </row>
    <row r="608" spans="4:15">
      <c r="D608" s="47"/>
      <c r="E608" s="143"/>
      <c r="H608" s="29"/>
      <c r="I608" s="30"/>
      <c r="O608" s="53"/>
    </row>
    <row r="609" spans="4:15">
      <c r="D609" s="47"/>
      <c r="E609" s="143"/>
      <c r="H609" s="29"/>
      <c r="I609" s="30"/>
      <c r="O609" s="53"/>
    </row>
    <row r="610" spans="4:15">
      <c r="D610" s="47"/>
      <c r="E610" s="143"/>
      <c r="H610" s="29"/>
      <c r="I610" s="30"/>
      <c r="O610" s="53"/>
    </row>
    <row r="611" spans="4:15">
      <c r="D611" s="47"/>
      <c r="E611" s="143"/>
      <c r="H611" s="29"/>
      <c r="I611" s="30"/>
      <c r="O611" s="53"/>
    </row>
    <row r="612" spans="4:15">
      <c r="D612" s="47"/>
      <c r="E612" s="143"/>
      <c r="H612" s="29"/>
      <c r="I612" s="30"/>
      <c r="O612" s="53"/>
    </row>
    <row r="613" spans="4:15">
      <c r="D613" s="47"/>
      <c r="E613" s="143"/>
      <c r="H613" s="29"/>
      <c r="I613" s="30"/>
      <c r="O613" s="53"/>
    </row>
    <row r="614" spans="4:15">
      <c r="D614" s="47"/>
      <c r="E614" s="143"/>
      <c r="H614" s="29"/>
      <c r="I614" s="30"/>
      <c r="O614" s="53"/>
    </row>
    <row r="615" spans="4:15">
      <c r="D615" s="47"/>
      <c r="E615" s="143"/>
      <c r="H615" s="29"/>
      <c r="I615" s="30"/>
      <c r="O615" s="53"/>
    </row>
    <row r="616" spans="4:15">
      <c r="D616" s="47"/>
      <c r="E616" s="143"/>
      <c r="H616" s="29"/>
      <c r="I616" s="30"/>
      <c r="O616" s="53"/>
    </row>
    <row r="617" spans="4:15">
      <c r="D617" s="47"/>
      <c r="E617" s="143"/>
      <c r="H617" s="29"/>
      <c r="I617" s="30"/>
      <c r="O617" s="53"/>
    </row>
    <row r="618" spans="4:15">
      <c r="D618" s="47"/>
      <c r="E618" s="143"/>
      <c r="H618" s="29"/>
      <c r="I618" s="30"/>
      <c r="O618" s="53"/>
    </row>
    <row r="619" spans="4:15">
      <c r="D619" s="47"/>
      <c r="E619" s="143"/>
      <c r="H619" s="29"/>
      <c r="I619" s="30"/>
      <c r="O619" s="53"/>
    </row>
    <row r="620" spans="4:15">
      <c r="D620" s="47"/>
      <c r="E620" s="143"/>
      <c r="H620" s="29"/>
      <c r="I620" s="30"/>
      <c r="O620" s="53"/>
    </row>
    <row r="621" spans="4:15">
      <c r="D621" s="47"/>
      <c r="E621" s="143"/>
      <c r="H621" s="29"/>
      <c r="I621" s="30"/>
      <c r="O621" s="53"/>
    </row>
    <row r="622" spans="4:15">
      <c r="D622" s="47"/>
      <c r="E622" s="143"/>
      <c r="H622" s="29"/>
      <c r="I622" s="30"/>
      <c r="O622" s="53"/>
    </row>
    <row r="623" spans="4:15">
      <c r="D623" s="47"/>
      <c r="E623" s="143"/>
      <c r="H623" s="29"/>
      <c r="I623" s="30"/>
      <c r="O623" s="53"/>
    </row>
    <row r="624" spans="4:15">
      <c r="D624" s="47"/>
      <c r="E624" s="143"/>
      <c r="H624" s="29"/>
      <c r="I624" s="30"/>
      <c r="O624" s="53"/>
    </row>
    <row r="625" spans="4:15">
      <c r="D625" s="47"/>
      <c r="E625" s="143"/>
      <c r="H625" s="29"/>
      <c r="I625" s="30"/>
      <c r="O625" s="53"/>
    </row>
    <row r="626" spans="4:15">
      <c r="D626" s="47"/>
      <c r="E626" s="143"/>
      <c r="H626" s="29"/>
      <c r="I626" s="30"/>
      <c r="O626" s="53"/>
    </row>
    <row r="627" spans="4:15">
      <c r="D627" s="47"/>
      <c r="E627" s="143"/>
      <c r="H627" s="29"/>
      <c r="I627" s="30"/>
      <c r="O627" s="53"/>
    </row>
    <row r="628" spans="4:15">
      <c r="D628" s="47"/>
      <c r="E628" s="143"/>
      <c r="H628" s="29"/>
      <c r="I628" s="30"/>
      <c r="O628" s="53"/>
    </row>
    <row r="629" spans="4:15">
      <c r="D629" s="47"/>
      <c r="E629" s="143"/>
      <c r="H629" s="29"/>
      <c r="I629" s="30"/>
      <c r="O629" s="53"/>
    </row>
    <row r="630" spans="4:15">
      <c r="D630" s="47"/>
      <c r="E630" s="143"/>
      <c r="H630" s="29"/>
      <c r="I630" s="30"/>
      <c r="O630" s="53"/>
    </row>
    <row r="631" spans="4:15">
      <c r="D631" s="47"/>
      <c r="E631" s="143"/>
      <c r="H631" s="29"/>
      <c r="I631" s="30"/>
      <c r="O631" s="53"/>
    </row>
    <row r="632" spans="4:15">
      <c r="D632" s="47"/>
      <c r="E632" s="143"/>
      <c r="H632" s="29"/>
      <c r="I632" s="30"/>
      <c r="O632" s="53"/>
    </row>
    <row r="633" spans="4:15">
      <c r="D633" s="47"/>
      <c r="E633" s="143"/>
      <c r="H633" s="29"/>
      <c r="I633" s="30"/>
      <c r="O633" s="53"/>
    </row>
    <row r="634" spans="4:15">
      <c r="D634" s="47"/>
      <c r="E634" s="143"/>
      <c r="H634" s="29"/>
      <c r="I634" s="30"/>
      <c r="O634" s="53"/>
    </row>
    <row r="635" spans="4:15">
      <c r="D635" s="47"/>
      <c r="E635" s="143"/>
      <c r="H635" s="29"/>
      <c r="I635" s="30"/>
      <c r="O635" s="53"/>
    </row>
    <row r="636" spans="4:15">
      <c r="D636" s="47"/>
      <c r="E636" s="143"/>
      <c r="H636" s="29"/>
      <c r="I636" s="30"/>
      <c r="O636" s="53"/>
    </row>
    <row r="637" spans="4:15">
      <c r="D637" s="47"/>
      <c r="E637" s="143"/>
      <c r="H637" s="29"/>
      <c r="I637" s="30"/>
      <c r="O637" s="53"/>
    </row>
    <row r="638" spans="4:15">
      <c r="D638" s="47"/>
      <c r="E638" s="143"/>
      <c r="H638" s="29"/>
      <c r="I638" s="30"/>
      <c r="O638" s="53"/>
    </row>
    <row r="639" spans="4:15">
      <c r="D639" s="47"/>
      <c r="E639" s="143"/>
      <c r="H639" s="29"/>
      <c r="I639" s="30"/>
      <c r="O639" s="53"/>
    </row>
    <row r="640" spans="4:15">
      <c r="D640" s="47"/>
      <c r="E640" s="143"/>
      <c r="H640" s="29"/>
      <c r="I640" s="30"/>
      <c r="O640" s="53"/>
    </row>
    <row r="641" spans="4:15">
      <c r="D641" s="47"/>
      <c r="E641" s="143"/>
      <c r="H641" s="29"/>
      <c r="I641" s="30"/>
      <c r="O641" s="53"/>
    </row>
    <row r="642" spans="4:15">
      <c r="D642" s="47"/>
      <c r="E642" s="143"/>
      <c r="H642" s="29"/>
      <c r="I642" s="30"/>
      <c r="O642" s="53"/>
    </row>
    <row r="643" spans="4:15">
      <c r="D643" s="47"/>
      <c r="E643" s="143"/>
      <c r="H643" s="29"/>
      <c r="I643" s="30"/>
      <c r="O643" s="53"/>
    </row>
    <row r="644" spans="4:15">
      <c r="D644" s="47"/>
      <c r="E644" s="143"/>
      <c r="H644" s="29"/>
      <c r="I644" s="30"/>
      <c r="O644" s="53"/>
    </row>
    <row r="645" spans="4:15">
      <c r="D645" s="47"/>
      <c r="E645" s="143"/>
      <c r="H645" s="29"/>
      <c r="I645" s="30"/>
      <c r="O645" s="53"/>
    </row>
    <row r="646" spans="4:15">
      <c r="D646" s="47"/>
      <c r="E646" s="143"/>
      <c r="H646" s="29"/>
      <c r="I646" s="30"/>
      <c r="O646" s="53"/>
    </row>
    <row r="647" spans="4:15">
      <c r="D647" s="47"/>
      <c r="E647" s="143"/>
      <c r="H647" s="29"/>
      <c r="I647" s="30"/>
      <c r="O647" s="53"/>
    </row>
    <row r="648" spans="4:15">
      <c r="D648" s="47"/>
      <c r="E648" s="143"/>
      <c r="H648" s="29"/>
      <c r="I648" s="30"/>
      <c r="O648" s="53"/>
    </row>
    <row r="649" spans="4:15">
      <c r="D649" s="47"/>
      <c r="E649" s="143"/>
      <c r="H649" s="29"/>
      <c r="I649" s="30"/>
      <c r="O649" s="53"/>
    </row>
    <row r="650" spans="4:15">
      <c r="D650" s="47"/>
      <c r="E650" s="143"/>
      <c r="H650" s="29"/>
      <c r="I650" s="30"/>
      <c r="O650" s="53"/>
    </row>
    <row r="651" spans="4:15">
      <c r="D651" s="47"/>
      <c r="E651" s="143"/>
      <c r="H651" s="29"/>
      <c r="I651" s="30"/>
      <c r="O651" s="53"/>
    </row>
    <row r="652" spans="4:15">
      <c r="D652" s="47"/>
      <c r="E652" s="143"/>
      <c r="H652" s="29"/>
      <c r="I652" s="30"/>
      <c r="O652" s="53"/>
    </row>
    <row r="653" spans="4:15">
      <c r="D653" s="47"/>
      <c r="E653" s="143"/>
      <c r="H653" s="29"/>
      <c r="I653" s="30"/>
      <c r="O653" s="53"/>
    </row>
    <row r="654" spans="4:15">
      <c r="D654" s="47"/>
      <c r="E654" s="143"/>
      <c r="H654" s="29"/>
      <c r="I654" s="30"/>
      <c r="O654" s="53"/>
    </row>
    <row r="655" spans="4:15">
      <c r="D655" s="47"/>
      <c r="E655" s="143"/>
      <c r="H655" s="29"/>
      <c r="I655" s="30"/>
      <c r="O655" s="53"/>
    </row>
    <row r="656" spans="4:15">
      <c r="D656" s="47"/>
      <c r="E656" s="143"/>
      <c r="H656" s="29"/>
      <c r="I656" s="30"/>
      <c r="O656" s="53"/>
    </row>
    <row r="657" spans="4:15">
      <c r="D657" s="47"/>
      <c r="E657" s="143"/>
      <c r="H657" s="29"/>
      <c r="I657" s="30"/>
      <c r="O657" s="53"/>
    </row>
    <row r="658" spans="4:15">
      <c r="D658" s="47"/>
      <c r="E658" s="143"/>
      <c r="H658" s="29"/>
      <c r="I658" s="30"/>
      <c r="O658" s="53"/>
    </row>
    <row r="659" spans="4:15">
      <c r="D659" s="47"/>
      <c r="E659" s="143"/>
      <c r="H659" s="29"/>
      <c r="I659" s="30"/>
      <c r="O659" s="53"/>
    </row>
    <row r="660" spans="4:15">
      <c r="D660" s="47"/>
      <c r="E660" s="143"/>
      <c r="H660" s="29"/>
      <c r="I660" s="30"/>
      <c r="O660" s="53"/>
    </row>
    <row r="661" spans="4:15">
      <c r="D661" s="47"/>
      <c r="E661" s="143"/>
      <c r="H661" s="29"/>
      <c r="I661" s="30"/>
      <c r="O661" s="53"/>
    </row>
    <row r="662" spans="4:15">
      <c r="D662" s="47"/>
      <c r="E662" s="143"/>
      <c r="H662" s="29"/>
      <c r="I662" s="30"/>
      <c r="O662" s="53"/>
    </row>
    <row r="663" spans="4:15">
      <c r="D663" s="47"/>
      <c r="E663" s="143"/>
      <c r="H663" s="29"/>
      <c r="I663" s="30"/>
      <c r="O663" s="53"/>
    </row>
    <row r="664" spans="4:15">
      <c r="D664" s="47"/>
      <c r="E664" s="143"/>
      <c r="H664" s="29"/>
      <c r="I664" s="30"/>
      <c r="O664" s="53"/>
    </row>
    <row r="665" spans="4:15">
      <c r="D665" s="47"/>
      <c r="E665" s="143"/>
      <c r="H665" s="29"/>
      <c r="I665" s="30"/>
      <c r="O665" s="53"/>
    </row>
    <row r="666" spans="4:15">
      <c r="D666" s="47"/>
      <c r="E666" s="143"/>
      <c r="H666" s="29"/>
      <c r="I666" s="30"/>
      <c r="O666" s="53"/>
    </row>
    <row r="667" spans="4:15">
      <c r="D667" s="47"/>
      <c r="E667" s="143"/>
      <c r="H667" s="29"/>
      <c r="I667" s="30"/>
      <c r="O667" s="53"/>
    </row>
    <row r="668" spans="4:15">
      <c r="D668" s="47"/>
      <c r="E668" s="143"/>
      <c r="H668" s="29"/>
      <c r="I668" s="30"/>
      <c r="O668" s="53"/>
    </row>
    <row r="669" spans="4:15">
      <c r="D669" s="47"/>
      <c r="E669" s="143"/>
      <c r="H669" s="29"/>
      <c r="I669" s="30"/>
      <c r="O669" s="53"/>
    </row>
    <row r="670" spans="4:15">
      <c r="D670" s="47"/>
      <c r="E670" s="143"/>
      <c r="H670" s="29"/>
      <c r="I670" s="30"/>
      <c r="O670" s="53"/>
    </row>
    <row r="671" spans="4:15">
      <c r="D671" s="47"/>
      <c r="E671" s="143"/>
      <c r="H671" s="29"/>
      <c r="I671" s="30"/>
      <c r="O671" s="53"/>
    </row>
    <row r="672" spans="4:15">
      <c r="D672" s="47"/>
      <c r="E672" s="143"/>
      <c r="H672" s="29"/>
      <c r="I672" s="30"/>
      <c r="O672" s="53"/>
    </row>
    <row r="673" spans="4:15">
      <c r="D673" s="47"/>
      <c r="E673" s="143"/>
      <c r="H673" s="29"/>
      <c r="I673" s="30"/>
      <c r="O673" s="53"/>
    </row>
    <row r="674" spans="4:15">
      <c r="D674" s="47"/>
      <c r="E674" s="143"/>
      <c r="H674" s="29"/>
      <c r="I674" s="30"/>
      <c r="O674" s="53"/>
    </row>
    <row r="675" spans="4:15">
      <c r="D675" s="47"/>
      <c r="E675" s="143"/>
      <c r="H675" s="29"/>
      <c r="I675" s="30"/>
      <c r="O675" s="53"/>
    </row>
    <row r="676" spans="4:15">
      <c r="D676" s="47"/>
      <c r="E676" s="143"/>
      <c r="H676" s="29"/>
      <c r="I676" s="30"/>
      <c r="O676" s="53"/>
    </row>
    <row r="677" spans="4:15">
      <c r="D677" s="47"/>
      <c r="E677" s="143"/>
      <c r="H677" s="29"/>
      <c r="I677" s="30"/>
      <c r="O677" s="53"/>
    </row>
    <row r="678" spans="4:15">
      <c r="D678" s="47"/>
      <c r="E678" s="143"/>
      <c r="H678" s="29"/>
      <c r="I678" s="30"/>
      <c r="O678" s="53"/>
    </row>
    <row r="679" spans="4:15">
      <c r="D679" s="47"/>
      <c r="E679" s="143"/>
      <c r="H679" s="29"/>
      <c r="I679" s="30"/>
      <c r="O679" s="53"/>
    </row>
    <row r="680" spans="4:15">
      <c r="D680" s="47"/>
      <c r="E680" s="143"/>
      <c r="H680" s="29"/>
      <c r="I680" s="30"/>
      <c r="O680" s="53"/>
    </row>
    <row r="681" spans="4:15">
      <c r="D681" s="47"/>
      <c r="E681" s="143"/>
      <c r="H681" s="29"/>
      <c r="I681" s="30"/>
      <c r="O681" s="53"/>
    </row>
    <row r="682" spans="4:15">
      <c r="D682" s="47"/>
      <c r="E682" s="143"/>
      <c r="H682" s="29"/>
      <c r="I682" s="30"/>
      <c r="O682" s="53"/>
    </row>
    <row r="683" spans="4:15">
      <c r="D683" s="47"/>
      <c r="E683" s="143"/>
      <c r="H683" s="29"/>
      <c r="I683" s="30"/>
      <c r="O683" s="53"/>
    </row>
    <row r="684" spans="4:15">
      <c r="D684" s="47"/>
      <c r="E684" s="143"/>
      <c r="H684" s="29"/>
      <c r="I684" s="30"/>
      <c r="O684" s="53"/>
    </row>
    <row r="685" spans="4:15">
      <c r="D685" s="47"/>
      <c r="E685" s="143"/>
      <c r="H685" s="29"/>
      <c r="I685" s="30"/>
      <c r="O685" s="53"/>
    </row>
    <row r="686" spans="4:15">
      <c r="D686" s="47"/>
      <c r="E686" s="143"/>
      <c r="H686" s="29"/>
      <c r="I686" s="30"/>
      <c r="O686" s="53"/>
    </row>
    <row r="687" spans="4:15">
      <c r="D687" s="47"/>
      <c r="E687" s="143"/>
      <c r="H687" s="29"/>
      <c r="I687" s="30"/>
      <c r="O687" s="53"/>
    </row>
    <row r="688" spans="4:15">
      <c r="D688" s="47"/>
      <c r="E688" s="143"/>
      <c r="H688" s="29"/>
      <c r="I688" s="30"/>
      <c r="O688" s="53"/>
    </row>
    <row r="689" spans="4:15">
      <c r="D689" s="47"/>
      <c r="E689" s="143"/>
      <c r="H689" s="29"/>
      <c r="I689" s="30"/>
      <c r="O689" s="53"/>
    </row>
    <row r="690" spans="4:15">
      <c r="D690" s="47"/>
      <c r="E690" s="143"/>
      <c r="H690" s="29"/>
      <c r="I690" s="30"/>
      <c r="O690" s="53"/>
    </row>
    <row r="691" spans="4:15">
      <c r="D691" s="47"/>
      <c r="E691" s="143"/>
      <c r="H691" s="29"/>
      <c r="I691" s="30"/>
      <c r="O691" s="53"/>
    </row>
    <row r="692" spans="4:15">
      <c r="D692" s="47"/>
      <c r="E692" s="143"/>
      <c r="H692" s="29"/>
      <c r="I692" s="30"/>
      <c r="O692" s="53"/>
    </row>
    <row r="693" spans="4:15">
      <c r="D693" s="47"/>
      <c r="E693" s="143"/>
      <c r="H693" s="29"/>
      <c r="I693" s="30"/>
      <c r="O693" s="53"/>
    </row>
    <row r="694" spans="4:15">
      <c r="D694" s="47"/>
      <c r="E694" s="143"/>
      <c r="H694" s="29"/>
      <c r="I694" s="30"/>
      <c r="O694" s="53"/>
    </row>
    <row r="695" spans="4:15">
      <c r="D695" s="47"/>
      <c r="E695" s="143"/>
      <c r="H695" s="29"/>
      <c r="I695" s="30"/>
      <c r="O695" s="53"/>
    </row>
    <row r="696" spans="4:15">
      <c r="D696" s="47"/>
      <c r="E696" s="143"/>
      <c r="H696" s="29"/>
      <c r="I696" s="30"/>
      <c r="O696" s="53"/>
    </row>
    <row r="697" spans="4:15">
      <c r="D697" s="47"/>
      <c r="E697" s="143"/>
      <c r="H697" s="29"/>
      <c r="I697" s="30"/>
      <c r="O697" s="53"/>
    </row>
    <row r="698" spans="4:15">
      <c r="D698" s="47"/>
      <c r="E698" s="143"/>
      <c r="H698" s="29"/>
      <c r="I698" s="30"/>
      <c r="O698" s="53"/>
    </row>
    <row r="699" spans="4:15">
      <c r="D699" s="47"/>
      <c r="E699" s="143"/>
      <c r="H699" s="29"/>
      <c r="I699" s="30"/>
      <c r="O699" s="53"/>
    </row>
    <row r="700" spans="4:15">
      <c r="D700" s="47"/>
      <c r="E700" s="143"/>
      <c r="H700" s="29"/>
      <c r="I700" s="30"/>
      <c r="O700" s="53"/>
    </row>
    <row r="701" spans="4:15">
      <c r="D701" s="47"/>
      <c r="E701" s="143"/>
      <c r="H701" s="29"/>
      <c r="I701" s="30"/>
      <c r="O701" s="53"/>
    </row>
    <row r="702" spans="4:15">
      <c r="D702" s="47"/>
      <c r="E702" s="143"/>
      <c r="H702" s="29"/>
      <c r="I702" s="30"/>
      <c r="O702" s="53"/>
    </row>
    <row r="703" spans="4:15">
      <c r="D703" s="47"/>
      <c r="E703" s="143"/>
      <c r="H703" s="29"/>
      <c r="I703" s="30"/>
      <c r="O703" s="53"/>
    </row>
    <row r="704" spans="4:15">
      <c r="D704" s="47"/>
      <c r="E704" s="143"/>
      <c r="H704" s="29"/>
      <c r="I704" s="30"/>
      <c r="O704" s="53"/>
    </row>
    <row r="705" spans="4:15">
      <c r="D705" s="47"/>
      <c r="E705" s="143"/>
      <c r="H705" s="29"/>
      <c r="I705" s="30"/>
      <c r="O705" s="53"/>
    </row>
    <row r="706" spans="4:15">
      <c r="D706" s="47"/>
      <c r="E706" s="143"/>
      <c r="H706" s="29"/>
      <c r="I706" s="30"/>
      <c r="O706" s="53"/>
    </row>
    <row r="707" spans="4:15">
      <c r="D707" s="47"/>
      <c r="E707" s="143"/>
      <c r="H707" s="29"/>
      <c r="I707" s="30"/>
      <c r="O707" s="53"/>
    </row>
    <row r="708" spans="4:15">
      <c r="D708" s="47"/>
      <c r="E708" s="143"/>
      <c r="H708" s="29"/>
      <c r="I708" s="30"/>
      <c r="O708" s="53"/>
    </row>
    <row r="709" spans="4:15">
      <c r="D709" s="47"/>
      <c r="E709" s="143"/>
      <c r="H709" s="29"/>
      <c r="I709" s="30"/>
      <c r="O709" s="53"/>
    </row>
    <row r="710" spans="4:15">
      <c r="D710" s="47"/>
      <c r="E710" s="143"/>
      <c r="H710" s="29"/>
      <c r="I710" s="30"/>
      <c r="O710" s="53"/>
    </row>
    <row r="711" spans="4:15">
      <c r="D711" s="47"/>
      <c r="E711" s="143"/>
      <c r="H711" s="29"/>
      <c r="I711" s="30"/>
      <c r="O711" s="53"/>
    </row>
    <row r="712" spans="4:15">
      <c r="D712" s="47"/>
      <c r="E712" s="143"/>
      <c r="H712" s="29"/>
      <c r="I712" s="30"/>
      <c r="O712" s="53"/>
    </row>
    <row r="713" spans="4:15">
      <c r="D713" s="47"/>
      <c r="E713" s="143"/>
      <c r="H713" s="29"/>
      <c r="I713" s="30"/>
      <c r="O713" s="53"/>
    </row>
    <row r="714" spans="4:15">
      <c r="D714" s="47"/>
      <c r="E714" s="143"/>
      <c r="H714" s="29"/>
      <c r="I714" s="30"/>
      <c r="O714" s="53"/>
    </row>
    <row r="715" spans="4:15">
      <c r="D715" s="47"/>
      <c r="E715" s="143"/>
      <c r="H715" s="29"/>
      <c r="I715" s="30"/>
      <c r="O715" s="53"/>
    </row>
    <row r="716" spans="4:15">
      <c r="D716" s="47"/>
      <c r="E716" s="143"/>
      <c r="H716" s="29"/>
      <c r="I716" s="30"/>
      <c r="O716" s="53"/>
    </row>
    <row r="717" spans="4:15">
      <c r="D717" s="47"/>
      <c r="E717" s="143"/>
      <c r="H717" s="29"/>
      <c r="I717" s="30"/>
      <c r="O717" s="53"/>
    </row>
    <row r="718" spans="4:15">
      <c r="D718" s="47"/>
      <c r="E718" s="143"/>
      <c r="H718" s="29"/>
      <c r="I718" s="30"/>
      <c r="O718" s="53"/>
    </row>
    <row r="719" spans="4:15">
      <c r="D719" s="47"/>
      <c r="E719" s="143"/>
      <c r="H719" s="29"/>
      <c r="I719" s="30"/>
      <c r="O719" s="53"/>
    </row>
    <row r="720" spans="4:15">
      <c r="D720" s="47"/>
      <c r="E720" s="143"/>
      <c r="H720" s="29"/>
      <c r="I720" s="30"/>
      <c r="O720" s="53"/>
    </row>
    <row r="721" spans="4:15">
      <c r="D721" s="47"/>
      <c r="E721" s="143"/>
      <c r="H721" s="29"/>
      <c r="I721" s="30"/>
      <c r="O721" s="53"/>
    </row>
    <row r="722" spans="4:15">
      <c r="D722" s="47"/>
      <c r="E722" s="143"/>
      <c r="H722" s="29"/>
      <c r="I722" s="30"/>
      <c r="O722" s="53"/>
    </row>
    <row r="723" spans="4:15">
      <c r="D723" s="47"/>
      <c r="E723" s="143"/>
      <c r="H723" s="29"/>
      <c r="I723" s="30"/>
      <c r="O723" s="53"/>
    </row>
    <row r="724" spans="4:15">
      <c r="D724" s="47"/>
      <c r="E724" s="143"/>
      <c r="H724" s="29"/>
      <c r="I724" s="30"/>
      <c r="O724" s="53"/>
    </row>
    <row r="725" spans="4:15">
      <c r="D725" s="47"/>
      <c r="E725" s="143"/>
      <c r="H725" s="29"/>
      <c r="I725" s="30"/>
      <c r="O725" s="53"/>
    </row>
    <row r="726" spans="4:15">
      <c r="D726" s="47"/>
      <c r="E726" s="143"/>
      <c r="H726" s="29"/>
      <c r="I726" s="30"/>
      <c r="O726" s="53"/>
    </row>
    <row r="727" spans="4:15">
      <c r="D727" s="47"/>
      <c r="E727" s="143"/>
      <c r="H727" s="29"/>
      <c r="I727" s="30"/>
      <c r="O727" s="53"/>
    </row>
    <row r="728" spans="4:15">
      <c r="D728" s="47"/>
      <c r="E728" s="143"/>
      <c r="H728" s="29"/>
      <c r="I728" s="30"/>
      <c r="O728" s="53"/>
    </row>
    <row r="729" spans="4:15">
      <c r="D729" s="47"/>
      <c r="E729" s="143"/>
      <c r="H729" s="29"/>
      <c r="I729" s="30"/>
      <c r="O729" s="53"/>
    </row>
    <row r="730" spans="4:15">
      <c r="D730" s="47"/>
      <c r="E730" s="143"/>
      <c r="H730" s="29"/>
      <c r="I730" s="30"/>
      <c r="O730" s="53"/>
    </row>
    <row r="731" spans="4:15">
      <c r="D731" s="47"/>
      <c r="E731" s="143"/>
      <c r="H731" s="29"/>
      <c r="I731" s="30"/>
      <c r="O731" s="53"/>
    </row>
    <row r="732" spans="4:15">
      <c r="D732" s="47"/>
      <c r="E732" s="143"/>
      <c r="H732" s="29"/>
      <c r="I732" s="30"/>
      <c r="O732" s="53"/>
    </row>
    <row r="733" spans="4:15">
      <c r="D733" s="47"/>
      <c r="E733" s="143"/>
      <c r="H733" s="29"/>
      <c r="I733" s="30"/>
      <c r="O733" s="53"/>
    </row>
    <row r="734" spans="4:15">
      <c r="D734" s="47"/>
      <c r="E734" s="143"/>
      <c r="H734" s="29"/>
      <c r="I734" s="30"/>
      <c r="O734" s="53"/>
    </row>
    <row r="735" spans="4:15">
      <c r="D735" s="47"/>
      <c r="E735" s="143"/>
      <c r="H735" s="29"/>
      <c r="I735" s="30"/>
      <c r="O735" s="53"/>
    </row>
    <row r="736" spans="4:15">
      <c r="D736" s="47"/>
      <c r="E736" s="143"/>
      <c r="H736" s="29"/>
      <c r="I736" s="30"/>
      <c r="O736" s="53"/>
    </row>
    <row r="737" spans="4:15">
      <c r="D737" s="47"/>
      <c r="E737" s="143"/>
      <c r="H737" s="29"/>
      <c r="I737" s="30"/>
      <c r="O737" s="53"/>
    </row>
    <row r="738" spans="4:15">
      <c r="D738" s="47"/>
      <c r="E738" s="143"/>
      <c r="H738" s="29"/>
      <c r="I738" s="30"/>
      <c r="O738" s="53"/>
    </row>
    <row r="739" spans="4:15">
      <c r="D739" s="47"/>
      <c r="E739" s="143"/>
      <c r="H739" s="29"/>
      <c r="I739" s="30"/>
      <c r="O739" s="53"/>
    </row>
    <row r="740" spans="4:15">
      <c r="D740" s="47"/>
      <c r="E740" s="143"/>
      <c r="H740" s="29"/>
      <c r="I740" s="30"/>
      <c r="O740" s="53"/>
    </row>
    <row r="741" spans="4:15">
      <c r="D741" s="47"/>
      <c r="E741" s="143"/>
      <c r="H741" s="29"/>
      <c r="I741" s="30"/>
      <c r="O741" s="53"/>
    </row>
    <row r="742" spans="4:15">
      <c r="D742" s="47"/>
      <c r="E742" s="143"/>
      <c r="H742" s="29"/>
      <c r="I742" s="30"/>
      <c r="O742" s="53"/>
    </row>
    <row r="743" spans="4:15">
      <c r="D743" s="47"/>
      <c r="E743" s="143"/>
      <c r="H743" s="29"/>
      <c r="I743" s="30"/>
      <c r="O743" s="53"/>
    </row>
    <row r="744" spans="4:15">
      <c r="D744" s="47"/>
      <c r="E744" s="143"/>
      <c r="H744" s="29"/>
      <c r="I744" s="30"/>
      <c r="O744" s="53"/>
    </row>
    <row r="745" spans="4:15">
      <c r="D745" s="47"/>
      <c r="E745" s="143"/>
      <c r="H745" s="29"/>
      <c r="I745" s="30"/>
      <c r="O745" s="53"/>
    </row>
    <row r="746" spans="4:15">
      <c r="D746" s="47"/>
      <c r="E746" s="143"/>
      <c r="H746" s="29"/>
      <c r="I746" s="30"/>
      <c r="O746" s="53"/>
    </row>
    <row r="747" spans="4:15">
      <c r="D747" s="47"/>
      <c r="E747" s="143"/>
      <c r="H747" s="29"/>
      <c r="I747" s="30"/>
      <c r="O747" s="53"/>
    </row>
    <row r="748" spans="4:15">
      <c r="D748" s="47"/>
      <c r="E748" s="143"/>
      <c r="H748" s="29"/>
      <c r="I748" s="30"/>
      <c r="O748" s="53"/>
    </row>
    <row r="749" spans="4:15">
      <c r="D749" s="47"/>
      <c r="E749" s="143"/>
      <c r="H749" s="29"/>
      <c r="I749" s="30"/>
      <c r="O749" s="53"/>
    </row>
    <row r="750" spans="4:15">
      <c r="D750" s="47"/>
      <c r="E750" s="143"/>
      <c r="H750" s="29"/>
      <c r="I750" s="30"/>
      <c r="O750" s="53"/>
    </row>
    <row r="751" spans="4:15">
      <c r="D751" s="47"/>
      <c r="E751" s="143"/>
      <c r="H751" s="29"/>
      <c r="I751" s="30"/>
      <c r="O751" s="53"/>
    </row>
    <row r="752" spans="4:15">
      <c r="D752" s="47"/>
      <c r="E752" s="143"/>
      <c r="H752" s="29"/>
      <c r="I752" s="30"/>
      <c r="O752" s="53"/>
    </row>
    <row r="753" spans="4:15">
      <c r="D753" s="47"/>
      <c r="E753" s="143"/>
      <c r="H753" s="29"/>
      <c r="I753" s="30"/>
      <c r="O753" s="53"/>
    </row>
    <row r="754" spans="4:15">
      <c r="D754" s="47"/>
      <c r="E754" s="143"/>
      <c r="H754" s="29"/>
      <c r="I754" s="30"/>
      <c r="O754" s="53"/>
    </row>
    <row r="755" spans="4:15">
      <c r="D755" s="47"/>
      <c r="E755" s="143"/>
      <c r="H755" s="29"/>
      <c r="I755" s="30"/>
      <c r="O755" s="53"/>
    </row>
    <row r="756" spans="4:15">
      <c r="D756" s="47"/>
      <c r="E756" s="143"/>
      <c r="H756" s="29"/>
      <c r="I756" s="30"/>
      <c r="O756" s="53"/>
    </row>
    <row r="757" spans="4:15">
      <c r="D757" s="47"/>
      <c r="E757" s="143"/>
      <c r="H757" s="29"/>
      <c r="I757" s="30"/>
      <c r="O757" s="53"/>
    </row>
    <row r="758" spans="4:15">
      <c r="D758" s="47"/>
      <c r="E758" s="143"/>
      <c r="H758" s="29"/>
      <c r="I758" s="30"/>
      <c r="O758" s="53"/>
    </row>
    <row r="759" spans="4:15">
      <c r="D759" s="47"/>
      <c r="E759" s="143"/>
      <c r="H759" s="29"/>
      <c r="I759" s="30"/>
      <c r="O759" s="53"/>
    </row>
    <row r="760" spans="4:15">
      <c r="D760" s="47"/>
      <c r="E760" s="143"/>
      <c r="H760" s="29"/>
      <c r="I760" s="30"/>
      <c r="O760" s="53"/>
    </row>
    <row r="761" spans="4:15">
      <c r="D761" s="47"/>
      <c r="E761" s="143"/>
      <c r="H761" s="29"/>
      <c r="I761" s="30"/>
      <c r="O761" s="53"/>
    </row>
    <row r="762" spans="4:15">
      <c r="D762" s="47"/>
      <c r="E762" s="143"/>
      <c r="H762" s="29"/>
      <c r="I762" s="30"/>
      <c r="O762" s="53"/>
    </row>
    <row r="763" spans="4:15">
      <c r="D763" s="47"/>
      <c r="E763" s="143"/>
      <c r="H763" s="29"/>
      <c r="I763" s="30"/>
      <c r="O763" s="53"/>
    </row>
    <row r="764" spans="4:15">
      <c r="D764" s="47"/>
      <c r="E764" s="143"/>
      <c r="H764" s="29"/>
      <c r="I764" s="30"/>
      <c r="O764" s="53"/>
    </row>
    <row r="765" spans="4:15">
      <c r="D765" s="47"/>
      <c r="E765" s="143"/>
      <c r="H765" s="29"/>
      <c r="I765" s="30"/>
      <c r="O765" s="53"/>
    </row>
    <row r="766" spans="4:15">
      <c r="D766" s="47"/>
      <c r="E766" s="143"/>
      <c r="H766" s="29"/>
      <c r="I766" s="30"/>
      <c r="O766" s="53"/>
    </row>
    <row r="767" spans="4:15">
      <c r="D767" s="47"/>
      <c r="E767" s="143"/>
      <c r="H767" s="29"/>
      <c r="I767" s="30"/>
      <c r="O767" s="53"/>
    </row>
    <row r="768" spans="4:15">
      <c r="D768" s="47"/>
      <c r="E768" s="143"/>
      <c r="H768" s="29"/>
      <c r="I768" s="30"/>
      <c r="O768" s="53"/>
    </row>
    <row r="769" spans="4:15">
      <c r="D769" s="47"/>
      <c r="E769" s="143"/>
      <c r="H769" s="29"/>
      <c r="I769" s="30"/>
      <c r="O769" s="53"/>
    </row>
    <row r="770" spans="4:15">
      <c r="D770" s="47"/>
      <c r="E770" s="143"/>
      <c r="H770" s="29"/>
      <c r="I770" s="30"/>
      <c r="O770" s="53"/>
    </row>
    <row r="771" spans="4:15">
      <c r="D771" s="47"/>
      <c r="E771" s="143"/>
      <c r="H771" s="29"/>
      <c r="I771" s="30"/>
      <c r="O771" s="53"/>
    </row>
    <row r="772" spans="4:15">
      <c r="D772" s="47"/>
      <c r="E772" s="143"/>
      <c r="H772" s="29"/>
      <c r="I772" s="30"/>
      <c r="O772" s="53"/>
    </row>
    <row r="773" spans="4:15">
      <c r="D773" s="47"/>
      <c r="E773" s="143"/>
      <c r="H773" s="29"/>
      <c r="I773" s="30"/>
      <c r="O773" s="53"/>
    </row>
    <row r="774" spans="4:15">
      <c r="D774" s="47"/>
      <c r="E774" s="143"/>
      <c r="H774" s="29"/>
      <c r="I774" s="30"/>
      <c r="O774" s="53"/>
    </row>
    <row r="775" spans="4:15">
      <c r="D775" s="47"/>
      <c r="E775" s="143"/>
      <c r="H775" s="29"/>
      <c r="I775" s="30"/>
      <c r="O775" s="53"/>
    </row>
    <row r="776" spans="4:15">
      <c r="D776" s="47"/>
      <c r="E776" s="143"/>
      <c r="H776" s="29"/>
      <c r="I776" s="30"/>
      <c r="O776" s="53"/>
    </row>
    <row r="777" spans="4:15">
      <c r="D777" s="47"/>
      <c r="E777" s="143"/>
      <c r="H777" s="29"/>
      <c r="I777" s="30"/>
      <c r="O777" s="53"/>
    </row>
    <row r="778" spans="4:15">
      <c r="D778" s="47"/>
      <c r="E778" s="143"/>
      <c r="H778" s="29"/>
      <c r="I778" s="30"/>
      <c r="O778" s="53"/>
    </row>
    <row r="779" spans="4:15">
      <c r="D779" s="47"/>
      <c r="E779" s="143"/>
      <c r="H779" s="29"/>
      <c r="I779" s="30"/>
      <c r="O779" s="53"/>
    </row>
    <row r="780" spans="4:15">
      <c r="D780" s="47"/>
      <c r="E780" s="143"/>
      <c r="H780" s="29"/>
      <c r="I780" s="30"/>
      <c r="O780" s="53"/>
    </row>
    <row r="781" spans="4:15">
      <c r="D781" s="47"/>
      <c r="E781" s="143"/>
      <c r="H781" s="29"/>
      <c r="I781" s="30"/>
      <c r="O781" s="53"/>
    </row>
    <row r="782" spans="4:15">
      <c r="D782" s="47"/>
      <c r="E782" s="143"/>
      <c r="H782" s="29"/>
      <c r="I782" s="30"/>
      <c r="O782" s="53"/>
    </row>
    <row r="783" spans="4:15">
      <c r="D783" s="47"/>
      <c r="E783" s="143"/>
      <c r="H783" s="29"/>
      <c r="I783" s="30"/>
      <c r="O783" s="53"/>
    </row>
    <row r="784" spans="4:15">
      <c r="D784" s="47"/>
      <c r="E784" s="143"/>
      <c r="H784" s="29"/>
      <c r="I784" s="30"/>
      <c r="O784" s="53"/>
    </row>
    <row r="785" spans="4:15">
      <c r="D785" s="47"/>
      <c r="E785" s="143"/>
      <c r="H785" s="29"/>
      <c r="I785" s="30"/>
      <c r="O785" s="53"/>
    </row>
    <row r="786" spans="4:15">
      <c r="D786" s="47"/>
      <c r="E786" s="143"/>
      <c r="H786" s="29"/>
      <c r="I786" s="30"/>
      <c r="O786" s="53"/>
    </row>
    <row r="787" spans="4:15">
      <c r="D787" s="47"/>
      <c r="E787" s="143"/>
      <c r="H787" s="29"/>
      <c r="I787" s="30"/>
      <c r="O787" s="53"/>
    </row>
    <row r="788" spans="4:15">
      <c r="D788" s="47"/>
      <c r="E788" s="143"/>
      <c r="H788" s="29"/>
      <c r="I788" s="30"/>
      <c r="O788" s="53"/>
    </row>
    <row r="789" spans="4:15">
      <c r="D789" s="47"/>
      <c r="E789" s="143"/>
      <c r="H789" s="29"/>
      <c r="I789" s="30"/>
      <c r="O789" s="53"/>
    </row>
    <row r="790" spans="4:15">
      <c r="D790" s="47"/>
      <c r="E790" s="143"/>
      <c r="H790" s="29"/>
      <c r="I790" s="30"/>
      <c r="O790" s="53"/>
    </row>
    <row r="791" spans="4:15">
      <c r="D791" s="47"/>
      <c r="E791" s="143"/>
      <c r="H791" s="29"/>
      <c r="I791" s="30"/>
      <c r="O791" s="53"/>
    </row>
    <row r="792" spans="4:15">
      <c r="D792" s="47"/>
      <c r="E792" s="143"/>
      <c r="H792" s="29"/>
      <c r="I792" s="30"/>
      <c r="O792" s="53"/>
    </row>
    <row r="793" spans="4:15">
      <c r="D793" s="47"/>
      <c r="E793" s="143"/>
      <c r="H793" s="29"/>
      <c r="I793" s="30"/>
      <c r="O793" s="53"/>
    </row>
    <row r="794" spans="4:15">
      <c r="D794" s="47"/>
      <c r="E794" s="143"/>
      <c r="H794" s="29"/>
      <c r="I794" s="30"/>
      <c r="O794" s="53"/>
    </row>
    <row r="795" spans="4:15">
      <c r="D795" s="47"/>
      <c r="E795" s="143"/>
      <c r="H795" s="29"/>
      <c r="I795" s="30"/>
      <c r="O795" s="53"/>
    </row>
    <row r="796" spans="4:15">
      <c r="D796" s="47"/>
      <c r="E796" s="143"/>
      <c r="H796" s="29"/>
      <c r="I796" s="30"/>
      <c r="O796" s="53"/>
    </row>
    <row r="797" spans="4:15">
      <c r="D797" s="47"/>
      <c r="E797" s="143"/>
      <c r="H797" s="29"/>
      <c r="I797" s="30"/>
      <c r="O797" s="53"/>
    </row>
    <row r="798" spans="4:15">
      <c r="D798" s="47"/>
      <c r="E798" s="143"/>
      <c r="H798" s="29"/>
      <c r="I798" s="30"/>
      <c r="O798" s="53"/>
    </row>
    <row r="799" spans="4:15">
      <c r="D799" s="47"/>
      <c r="E799" s="143"/>
      <c r="H799" s="29"/>
      <c r="I799" s="30"/>
      <c r="O799" s="53"/>
    </row>
    <row r="800" spans="4:15">
      <c r="D800" s="47"/>
      <c r="E800" s="143"/>
      <c r="H800" s="29"/>
      <c r="I800" s="30"/>
      <c r="O800" s="53"/>
    </row>
    <row r="801" spans="4:15">
      <c r="D801" s="47"/>
      <c r="E801" s="143"/>
      <c r="H801" s="29"/>
      <c r="I801" s="30"/>
      <c r="O801" s="53"/>
    </row>
    <row r="802" spans="4:15">
      <c r="D802" s="47"/>
      <c r="E802" s="143"/>
      <c r="H802" s="29"/>
      <c r="I802" s="30"/>
      <c r="O802" s="53"/>
    </row>
    <row r="803" spans="4:15">
      <c r="D803" s="47"/>
      <c r="E803" s="143"/>
      <c r="H803" s="29"/>
      <c r="I803" s="30"/>
      <c r="O803" s="53"/>
    </row>
    <row r="804" spans="4:15">
      <c r="D804" s="47"/>
      <c r="E804" s="143"/>
      <c r="H804" s="29"/>
      <c r="I804" s="30"/>
      <c r="O804" s="53"/>
    </row>
    <row r="805" spans="4:15">
      <c r="D805" s="47"/>
      <c r="E805" s="143"/>
      <c r="H805" s="29"/>
      <c r="I805" s="30"/>
      <c r="O805" s="53"/>
    </row>
    <row r="806" spans="4:15">
      <c r="D806" s="47"/>
      <c r="E806" s="143"/>
      <c r="H806" s="29"/>
      <c r="I806" s="30"/>
      <c r="O806" s="53"/>
    </row>
    <row r="807" spans="4:15">
      <c r="D807" s="47"/>
      <c r="E807" s="143"/>
      <c r="H807" s="29"/>
      <c r="I807" s="30"/>
      <c r="O807" s="53"/>
    </row>
    <row r="808" spans="4:15">
      <c r="D808" s="47"/>
      <c r="E808" s="143"/>
      <c r="H808" s="29"/>
      <c r="I808" s="30"/>
      <c r="O808" s="53"/>
    </row>
    <row r="809" spans="4:15">
      <c r="D809" s="47"/>
      <c r="E809" s="143"/>
      <c r="H809" s="29"/>
      <c r="I809" s="30"/>
      <c r="O809" s="53"/>
    </row>
    <row r="810" spans="4:15">
      <c r="D810" s="47"/>
      <c r="E810" s="143"/>
      <c r="H810" s="29"/>
      <c r="I810" s="30"/>
      <c r="O810" s="53"/>
    </row>
    <row r="811" spans="4:15">
      <c r="D811" s="47"/>
      <c r="E811" s="143"/>
      <c r="H811" s="29"/>
      <c r="I811" s="30"/>
      <c r="O811" s="53"/>
    </row>
    <row r="812" spans="4:15">
      <c r="D812" s="47"/>
      <c r="E812" s="143"/>
      <c r="H812" s="29"/>
      <c r="I812" s="30"/>
      <c r="O812" s="53"/>
    </row>
    <row r="813" spans="4:15">
      <c r="D813" s="47"/>
      <c r="E813" s="143"/>
      <c r="H813" s="29"/>
      <c r="I813" s="30"/>
      <c r="O813" s="53"/>
    </row>
    <row r="814" spans="4:15">
      <c r="D814" s="47"/>
      <c r="E814" s="143"/>
      <c r="H814" s="29"/>
      <c r="I814" s="30"/>
      <c r="O814" s="53"/>
    </row>
    <row r="815" spans="4:15">
      <c r="D815" s="47"/>
      <c r="E815" s="143"/>
      <c r="H815" s="29"/>
      <c r="I815" s="30"/>
      <c r="O815" s="53"/>
    </row>
    <row r="816" spans="4:15">
      <c r="D816" s="47"/>
      <c r="E816" s="143"/>
      <c r="H816" s="29"/>
      <c r="I816" s="30"/>
      <c r="O816" s="53"/>
    </row>
    <row r="817" spans="4:15">
      <c r="D817" s="47"/>
      <c r="E817" s="143"/>
      <c r="H817" s="29"/>
      <c r="I817" s="30"/>
      <c r="O817" s="53"/>
    </row>
    <row r="818" spans="4:15">
      <c r="D818" s="47"/>
      <c r="E818" s="143"/>
      <c r="H818" s="29"/>
      <c r="I818" s="30"/>
      <c r="O818" s="53"/>
    </row>
    <row r="819" spans="4:15">
      <c r="D819" s="47"/>
      <c r="E819" s="143"/>
      <c r="H819" s="29"/>
      <c r="I819" s="30"/>
      <c r="O819" s="53"/>
    </row>
    <row r="820" spans="4:15">
      <c r="D820" s="47"/>
      <c r="E820" s="143"/>
      <c r="H820" s="29"/>
      <c r="I820" s="30"/>
      <c r="O820" s="53"/>
    </row>
    <row r="821" spans="4:15">
      <c r="D821" s="47"/>
      <c r="E821" s="143"/>
      <c r="H821" s="29"/>
      <c r="I821" s="30"/>
      <c r="O821" s="53"/>
    </row>
    <row r="822" spans="4:15">
      <c r="D822" s="47"/>
      <c r="E822" s="143"/>
      <c r="H822" s="29"/>
      <c r="I822" s="30"/>
      <c r="O822" s="53"/>
    </row>
    <row r="823" spans="4:15">
      <c r="D823" s="47"/>
      <c r="E823" s="143"/>
      <c r="H823" s="29"/>
      <c r="I823" s="30"/>
      <c r="O823" s="53"/>
    </row>
    <row r="824" spans="4:15">
      <c r="D824" s="47"/>
      <c r="E824" s="143"/>
      <c r="H824" s="29"/>
      <c r="I824" s="30"/>
      <c r="O824" s="53"/>
    </row>
    <row r="825" spans="4:15">
      <c r="D825" s="47"/>
      <c r="E825" s="143"/>
      <c r="H825" s="29"/>
      <c r="I825" s="30"/>
      <c r="O825" s="53"/>
    </row>
    <row r="826" spans="4:15">
      <c r="D826" s="47"/>
      <c r="E826" s="143"/>
      <c r="H826" s="29"/>
      <c r="I826" s="30"/>
      <c r="O826" s="53"/>
    </row>
    <row r="827" spans="4:15">
      <c r="D827" s="47"/>
      <c r="E827" s="143"/>
      <c r="H827" s="29"/>
      <c r="I827" s="30"/>
      <c r="O827" s="53"/>
    </row>
    <row r="828" spans="4:15">
      <c r="D828" s="47"/>
      <c r="E828" s="143"/>
      <c r="H828" s="29"/>
      <c r="I828" s="30"/>
      <c r="O828" s="53"/>
    </row>
    <row r="829" spans="4:15">
      <c r="D829" s="47"/>
      <c r="E829" s="143"/>
      <c r="H829" s="29"/>
      <c r="I829" s="30"/>
      <c r="O829" s="53"/>
    </row>
    <row r="830" spans="4:15">
      <c r="D830" s="47"/>
      <c r="E830" s="143"/>
      <c r="H830" s="29"/>
      <c r="I830" s="30"/>
      <c r="O830" s="53"/>
    </row>
    <row r="831" spans="4:15">
      <c r="D831" s="47"/>
      <c r="E831" s="143"/>
      <c r="H831" s="29"/>
      <c r="I831" s="30"/>
      <c r="O831" s="53"/>
    </row>
    <row r="832" spans="4:15">
      <c r="D832" s="47"/>
      <c r="E832" s="143"/>
      <c r="H832" s="29"/>
      <c r="I832" s="30"/>
      <c r="O832" s="53"/>
    </row>
    <row r="833" spans="4:15">
      <c r="D833" s="47"/>
      <c r="E833" s="143"/>
      <c r="H833" s="29"/>
      <c r="I833" s="30"/>
      <c r="O833" s="53"/>
    </row>
    <row r="834" spans="4:15">
      <c r="D834" s="47"/>
      <c r="E834" s="143"/>
      <c r="H834" s="29"/>
      <c r="I834" s="30"/>
      <c r="O834" s="53"/>
    </row>
    <row r="835" spans="4:15">
      <c r="D835" s="47"/>
      <c r="E835" s="143"/>
      <c r="H835" s="29"/>
      <c r="I835" s="30"/>
      <c r="O835" s="53"/>
    </row>
    <row r="836" spans="4:15">
      <c r="D836" s="47"/>
      <c r="E836" s="143"/>
      <c r="H836" s="29"/>
      <c r="I836" s="30"/>
      <c r="O836" s="53"/>
    </row>
    <row r="837" spans="4:15">
      <c r="D837" s="47"/>
      <c r="E837" s="143"/>
      <c r="H837" s="29"/>
      <c r="I837" s="30"/>
      <c r="O837" s="53"/>
    </row>
    <row r="838" spans="4:15">
      <c r="D838" s="47"/>
      <c r="E838" s="143"/>
      <c r="H838" s="29"/>
      <c r="I838" s="30"/>
      <c r="O838" s="53"/>
    </row>
    <row r="839" spans="4:15">
      <c r="D839" s="47"/>
      <c r="E839" s="143"/>
      <c r="H839" s="29"/>
      <c r="I839" s="30"/>
      <c r="O839" s="53"/>
    </row>
    <row r="840" spans="4:15">
      <c r="D840" s="47"/>
      <c r="E840" s="143"/>
      <c r="H840" s="29"/>
      <c r="I840" s="30"/>
      <c r="O840" s="53"/>
    </row>
    <row r="841" spans="4:15">
      <c r="D841" s="47"/>
      <c r="E841" s="143"/>
      <c r="H841" s="29"/>
      <c r="I841" s="30"/>
      <c r="O841" s="53"/>
    </row>
    <row r="842" spans="4:15">
      <c r="D842" s="47"/>
      <c r="E842" s="143"/>
      <c r="H842" s="29"/>
      <c r="I842" s="30"/>
      <c r="O842" s="53"/>
    </row>
    <row r="843" spans="4:15">
      <c r="D843" s="47"/>
      <c r="E843" s="143"/>
      <c r="H843" s="29"/>
      <c r="I843" s="30"/>
      <c r="O843" s="53"/>
    </row>
    <row r="844" spans="4:15">
      <c r="D844" s="47"/>
      <c r="E844" s="143"/>
      <c r="H844" s="29"/>
      <c r="I844" s="30"/>
      <c r="O844" s="53"/>
    </row>
    <row r="845" spans="4:15">
      <c r="D845" s="47"/>
      <c r="E845" s="143"/>
      <c r="H845" s="29"/>
      <c r="I845" s="30"/>
      <c r="O845" s="53"/>
    </row>
    <row r="846" spans="4:15">
      <c r="D846" s="47"/>
      <c r="E846" s="143"/>
      <c r="H846" s="29"/>
      <c r="I846" s="30"/>
      <c r="O846" s="53"/>
    </row>
    <row r="847" spans="4:15">
      <c r="D847" s="47"/>
      <c r="E847" s="143"/>
      <c r="H847" s="29"/>
      <c r="I847" s="30"/>
      <c r="O847" s="53"/>
    </row>
    <row r="848" spans="4:15">
      <c r="D848" s="47"/>
      <c r="E848" s="143"/>
      <c r="H848" s="29"/>
      <c r="I848" s="30"/>
      <c r="O848" s="53"/>
    </row>
    <row r="849" spans="4:15">
      <c r="D849" s="47"/>
      <c r="E849" s="143"/>
      <c r="H849" s="29"/>
      <c r="I849" s="30"/>
      <c r="O849" s="53"/>
    </row>
    <row r="850" spans="4:15">
      <c r="D850" s="47"/>
      <c r="E850" s="143"/>
      <c r="H850" s="29"/>
      <c r="I850" s="30"/>
      <c r="O850" s="53"/>
    </row>
    <row r="851" spans="4:15">
      <c r="D851" s="47"/>
      <c r="E851" s="143"/>
      <c r="H851" s="29"/>
      <c r="I851" s="30"/>
      <c r="O851" s="53"/>
    </row>
    <row r="852" spans="4:15">
      <c r="D852" s="47"/>
      <c r="E852" s="143"/>
      <c r="H852" s="29"/>
      <c r="I852" s="30"/>
      <c r="O852" s="53"/>
    </row>
    <row r="853" spans="4:15">
      <c r="D853" s="47"/>
      <c r="E853" s="143"/>
      <c r="H853" s="29"/>
      <c r="I853" s="30"/>
      <c r="O853" s="53"/>
    </row>
    <row r="854" spans="4:15">
      <c r="D854" s="47"/>
      <c r="E854" s="143"/>
      <c r="H854" s="29"/>
      <c r="I854" s="30"/>
      <c r="O854" s="53"/>
    </row>
    <row r="855" spans="4:15">
      <c r="D855" s="47"/>
      <c r="E855" s="143"/>
      <c r="H855" s="29"/>
      <c r="I855" s="30"/>
      <c r="O855" s="53"/>
    </row>
    <row r="856" spans="4:15">
      <c r="D856" s="47"/>
      <c r="E856" s="143"/>
      <c r="H856" s="29"/>
      <c r="I856" s="30"/>
      <c r="O856" s="53"/>
    </row>
    <row r="857" spans="4:15">
      <c r="D857" s="47"/>
      <c r="E857" s="143"/>
      <c r="H857" s="29"/>
      <c r="I857" s="30"/>
      <c r="O857" s="53"/>
    </row>
    <row r="858" spans="4:15">
      <c r="D858" s="47"/>
      <c r="E858" s="143"/>
      <c r="H858" s="29"/>
      <c r="I858" s="30"/>
      <c r="O858" s="53"/>
    </row>
    <row r="859" spans="4:15">
      <c r="D859" s="47"/>
      <c r="E859" s="143"/>
      <c r="H859" s="29"/>
      <c r="I859" s="30"/>
      <c r="O859" s="53"/>
    </row>
    <row r="860" spans="4:15">
      <c r="D860" s="47"/>
      <c r="E860" s="143"/>
      <c r="H860" s="29"/>
      <c r="I860" s="30"/>
      <c r="O860" s="53"/>
    </row>
    <row r="861" spans="4:15">
      <c r="D861" s="47"/>
      <c r="E861" s="143"/>
      <c r="H861" s="29"/>
      <c r="I861" s="30"/>
      <c r="O861" s="53"/>
    </row>
    <row r="862" spans="4:15">
      <c r="D862" s="47"/>
      <c r="E862" s="143"/>
      <c r="H862" s="29"/>
      <c r="I862" s="30"/>
      <c r="O862" s="53"/>
    </row>
    <row r="863" spans="4:15">
      <c r="D863" s="47"/>
      <c r="E863" s="143"/>
      <c r="H863" s="29"/>
      <c r="I863" s="30"/>
      <c r="O863" s="53"/>
    </row>
    <row r="864" spans="4:15">
      <c r="D864" s="47"/>
      <c r="E864" s="143"/>
      <c r="H864" s="29"/>
      <c r="I864" s="30"/>
      <c r="O864" s="53"/>
    </row>
    <row r="865" spans="4:15">
      <c r="D865" s="47"/>
      <c r="E865" s="143"/>
      <c r="H865" s="29"/>
      <c r="I865" s="30"/>
      <c r="O865" s="53"/>
    </row>
    <row r="866" spans="4:15">
      <c r="D866" s="47"/>
      <c r="E866" s="143"/>
      <c r="H866" s="29"/>
      <c r="I866" s="30"/>
      <c r="O866" s="53"/>
    </row>
    <row r="867" spans="4:15">
      <c r="D867" s="47"/>
      <c r="E867" s="143"/>
      <c r="H867" s="29"/>
      <c r="I867" s="30"/>
      <c r="O867" s="53"/>
    </row>
    <row r="868" spans="4:15">
      <c r="D868" s="47"/>
      <c r="E868" s="143"/>
      <c r="H868" s="29"/>
      <c r="I868" s="30"/>
      <c r="O868" s="53"/>
    </row>
    <row r="869" spans="4:15">
      <c r="D869" s="47"/>
      <c r="E869" s="143"/>
      <c r="H869" s="29"/>
      <c r="I869" s="30"/>
      <c r="O869" s="53"/>
    </row>
    <row r="870" spans="4:15">
      <c r="D870" s="47"/>
      <c r="E870" s="143"/>
      <c r="H870" s="29"/>
      <c r="I870" s="30"/>
      <c r="O870" s="53"/>
    </row>
    <row r="871" spans="4:15">
      <c r="D871" s="47"/>
      <c r="E871" s="143"/>
      <c r="H871" s="29"/>
      <c r="I871" s="30"/>
      <c r="O871" s="53"/>
    </row>
    <row r="872" spans="4:15">
      <c r="D872" s="47"/>
      <c r="E872" s="143"/>
      <c r="H872" s="29"/>
      <c r="I872" s="30"/>
      <c r="O872" s="53"/>
    </row>
    <row r="873" spans="4:15">
      <c r="D873" s="47"/>
      <c r="E873" s="143"/>
      <c r="H873" s="29"/>
      <c r="I873" s="30"/>
      <c r="O873" s="53"/>
    </row>
    <row r="874" spans="4:15">
      <c r="D874" s="47"/>
      <c r="E874" s="143"/>
      <c r="H874" s="29"/>
      <c r="I874" s="30"/>
      <c r="O874" s="53"/>
    </row>
    <row r="875" spans="4:15">
      <c r="D875" s="47"/>
      <c r="E875" s="143"/>
      <c r="H875" s="29"/>
      <c r="I875" s="30"/>
      <c r="O875" s="53"/>
    </row>
    <row r="876" spans="4:15">
      <c r="D876" s="47"/>
      <c r="E876" s="143"/>
      <c r="H876" s="29"/>
      <c r="I876" s="30"/>
      <c r="O876" s="53"/>
    </row>
    <row r="877" spans="4:15">
      <c r="D877" s="47"/>
      <c r="E877" s="143"/>
      <c r="H877" s="29"/>
      <c r="I877" s="30"/>
      <c r="O877" s="53"/>
    </row>
    <row r="878" spans="4:15">
      <c r="D878" s="47"/>
      <c r="E878" s="143"/>
      <c r="H878" s="29"/>
      <c r="I878" s="30"/>
      <c r="O878" s="53"/>
    </row>
    <row r="879" spans="4:15">
      <c r="D879" s="47"/>
      <c r="E879" s="143"/>
      <c r="H879" s="29"/>
      <c r="I879" s="30"/>
      <c r="O879" s="53"/>
    </row>
    <row r="880" spans="4:15">
      <c r="D880" s="47"/>
      <c r="E880" s="143"/>
      <c r="H880" s="29"/>
      <c r="I880" s="30"/>
      <c r="O880" s="53"/>
    </row>
    <row r="881" spans="4:15">
      <c r="D881" s="47"/>
      <c r="E881" s="143"/>
      <c r="H881" s="29"/>
      <c r="I881" s="30"/>
      <c r="O881" s="53"/>
    </row>
    <row r="882" spans="4:15">
      <c r="D882" s="47"/>
      <c r="E882" s="143"/>
      <c r="H882" s="29"/>
      <c r="I882" s="30"/>
      <c r="O882" s="53"/>
    </row>
    <row r="883" spans="4:15">
      <c r="D883" s="47"/>
      <c r="E883" s="143"/>
      <c r="H883" s="29"/>
      <c r="I883" s="30"/>
      <c r="O883" s="53"/>
    </row>
    <row r="884" spans="4:15">
      <c r="D884" s="47"/>
      <c r="E884" s="143"/>
      <c r="H884" s="29"/>
      <c r="I884" s="30"/>
      <c r="O884" s="53"/>
    </row>
    <row r="885" spans="4:15">
      <c r="D885" s="47"/>
      <c r="E885" s="143"/>
      <c r="H885" s="29"/>
      <c r="I885" s="30"/>
      <c r="O885" s="53"/>
    </row>
    <row r="886" spans="4:15">
      <c r="D886" s="47"/>
      <c r="E886" s="143"/>
      <c r="H886" s="29"/>
      <c r="I886" s="30"/>
      <c r="O886" s="53"/>
    </row>
    <row r="887" spans="4:15">
      <c r="D887" s="47"/>
      <c r="E887" s="143"/>
      <c r="H887" s="29"/>
      <c r="I887" s="30"/>
      <c r="O887" s="53"/>
    </row>
    <row r="888" spans="4:15">
      <c r="D888" s="47"/>
      <c r="E888" s="143"/>
      <c r="H888" s="29"/>
      <c r="I888" s="30"/>
      <c r="O888" s="53"/>
    </row>
    <row r="889" spans="4:15">
      <c r="D889" s="47"/>
      <c r="E889" s="143"/>
      <c r="H889" s="29"/>
      <c r="I889" s="30"/>
      <c r="O889" s="53"/>
    </row>
    <row r="890" spans="4:15">
      <c r="D890" s="47"/>
      <c r="E890" s="143"/>
      <c r="H890" s="29"/>
      <c r="I890" s="30"/>
      <c r="O890" s="53"/>
    </row>
    <row r="891" spans="4:15">
      <c r="D891" s="47"/>
      <c r="E891" s="143"/>
      <c r="H891" s="29"/>
      <c r="I891" s="30"/>
      <c r="O891" s="53"/>
    </row>
    <row r="892" spans="4:15">
      <c r="D892" s="47"/>
      <c r="E892" s="143"/>
      <c r="H892" s="29"/>
      <c r="I892" s="30"/>
      <c r="O892" s="53"/>
    </row>
    <row r="893" spans="4:15">
      <c r="D893" s="47"/>
      <c r="E893" s="143"/>
      <c r="H893" s="29"/>
      <c r="I893" s="30"/>
      <c r="O893" s="53"/>
    </row>
    <row r="894" spans="4:15">
      <c r="D894" s="47"/>
      <c r="E894" s="143"/>
      <c r="H894" s="29"/>
      <c r="I894" s="30"/>
      <c r="O894" s="53"/>
    </row>
    <row r="895" spans="4:15">
      <c r="D895" s="47"/>
      <c r="E895" s="143"/>
      <c r="H895" s="29"/>
      <c r="I895" s="30"/>
      <c r="O895" s="53"/>
    </row>
    <row r="896" spans="4:15">
      <c r="D896" s="47"/>
      <c r="E896" s="143"/>
      <c r="H896" s="29"/>
      <c r="I896" s="30"/>
      <c r="O896" s="53"/>
    </row>
    <row r="897" spans="4:15">
      <c r="D897" s="47"/>
      <c r="E897" s="143"/>
      <c r="H897" s="29"/>
      <c r="I897" s="30"/>
      <c r="O897" s="53"/>
    </row>
    <row r="898" spans="4:15">
      <c r="D898" s="47"/>
      <c r="E898" s="143"/>
      <c r="H898" s="29"/>
      <c r="I898" s="30"/>
      <c r="O898" s="53"/>
    </row>
    <row r="899" spans="4:15">
      <c r="D899" s="47"/>
      <c r="E899" s="143"/>
      <c r="H899" s="29"/>
      <c r="I899" s="30"/>
      <c r="O899" s="53"/>
    </row>
    <row r="900" spans="4:15">
      <c r="D900" s="47"/>
      <c r="E900" s="143"/>
      <c r="H900" s="29"/>
      <c r="I900" s="30"/>
      <c r="O900" s="53"/>
    </row>
    <row r="901" spans="4:15">
      <c r="D901" s="47"/>
      <c r="E901" s="143"/>
      <c r="H901" s="29"/>
      <c r="I901" s="30"/>
      <c r="O901" s="53"/>
    </row>
    <row r="902" spans="4:15">
      <c r="D902" s="47"/>
      <c r="E902" s="143"/>
      <c r="H902" s="29"/>
      <c r="I902" s="30"/>
      <c r="O902" s="53"/>
    </row>
    <row r="903" spans="4:15">
      <c r="D903" s="47"/>
      <c r="E903" s="143"/>
      <c r="H903" s="29"/>
      <c r="I903" s="30"/>
      <c r="O903" s="53"/>
    </row>
    <row r="904" spans="4:15">
      <c r="D904" s="47"/>
      <c r="E904" s="143"/>
      <c r="H904" s="29"/>
      <c r="I904" s="30"/>
      <c r="O904" s="53"/>
    </row>
    <row r="905" spans="4:15">
      <c r="D905" s="47"/>
      <c r="E905" s="143"/>
      <c r="H905" s="29"/>
      <c r="I905" s="30"/>
      <c r="O905" s="53"/>
    </row>
    <row r="906" spans="4:15">
      <c r="D906" s="47"/>
      <c r="E906" s="143"/>
      <c r="H906" s="29"/>
      <c r="I906" s="30"/>
      <c r="O906" s="53"/>
    </row>
    <row r="907" spans="4:15">
      <c r="D907" s="47"/>
      <c r="E907" s="143"/>
      <c r="H907" s="29"/>
      <c r="I907" s="30"/>
      <c r="O907" s="53"/>
    </row>
    <row r="908" spans="4:15">
      <c r="D908" s="47"/>
      <c r="E908" s="143"/>
      <c r="H908" s="29"/>
      <c r="I908" s="30"/>
      <c r="O908" s="53"/>
    </row>
    <row r="909" spans="4:15">
      <c r="D909" s="47"/>
      <c r="E909" s="143"/>
      <c r="H909" s="29"/>
      <c r="I909" s="30"/>
      <c r="O909" s="53"/>
    </row>
    <row r="910" spans="4:15">
      <c r="D910" s="47"/>
      <c r="E910" s="143"/>
      <c r="H910" s="29"/>
      <c r="I910" s="30"/>
      <c r="O910" s="53"/>
    </row>
    <row r="911" spans="4:15">
      <c r="D911" s="47"/>
      <c r="E911" s="143"/>
      <c r="H911" s="29"/>
      <c r="I911" s="30"/>
      <c r="O911" s="53"/>
    </row>
    <row r="912" spans="4:15">
      <c r="D912" s="47"/>
      <c r="E912" s="143"/>
      <c r="H912" s="29"/>
      <c r="I912" s="30"/>
      <c r="O912" s="53"/>
    </row>
    <row r="913" spans="4:15">
      <c r="D913" s="47"/>
      <c r="E913" s="143"/>
      <c r="H913" s="29"/>
      <c r="I913" s="30"/>
      <c r="O913" s="53"/>
    </row>
    <row r="914" spans="4:15">
      <c r="D914" s="47"/>
      <c r="E914" s="143"/>
      <c r="H914" s="29"/>
      <c r="I914" s="30"/>
      <c r="O914" s="53"/>
    </row>
    <row r="915" spans="4:15">
      <c r="D915" s="47"/>
      <c r="E915" s="143"/>
      <c r="H915" s="29"/>
      <c r="I915" s="30"/>
      <c r="O915" s="53"/>
    </row>
    <row r="916" spans="4:15">
      <c r="D916" s="47"/>
      <c r="E916" s="143"/>
      <c r="H916" s="29"/>
      <c r="I916" s="30"/>
      <c r="O916" s="53"/>
    </row>
    <row r="917" spans="4:15">
      <c r="D917" s="47"/>
      <c r="E917" s="143"/>
      <c r="H917" s="29"/>
      <c r="I917" s="30"/>
      <c r="O917" s="53"/>
    </row>
    <row r="918" spans="4:15">
      <c r="D918" s="47"/>
      <c r="E918" s="143"/>
      <c r="H918" s="29"/>
      <c r="I918" s="30"/>
      <c r="O918" s="53"/>
    </row>
    <row r="919" spans="4:15">
      <c r="D919" s="47"/>
      <c r="E919" s="143"/>
      <c r="H919" s="29"/>
      <c r="I919" s="30"/>
      <c r="O919" s="53"/>
    </row>
    <row r="920" spans="4:15">
      <c r="D920" s="47"/>
      <c r="E920" s="143"/>
      <c r="H920" s="29"/>
      <c r="I920" s="30"/>
      <c r="O920" s="53"/>
    </row>
    <row r="921" spans="4:15">
      <c r="D921" s="47"/>
      <c r="E921" s="143"/>
      <c r="H921" s="29"/>
      <c r="I921" s="30"/>
      <c r="O921" s="53"/>
    </row>
    <row r="922" spans="4:15">
      <c r="D922" s="47"/>
      <c r="E922" s="143"/>
      <c r="H922" s="29"/>
      <c r="I922" s="30"/>
      <c r="O922" s="53"/>
    </row>
    <row r="923" spans="4:15">
      <c r="D923" s="47"/>
      <c r="E923" s="143"/>
      <c r="H923" s="29"/>
      <c r="I923" s="30"/>
      <c r="O923" s="53"/>
    </row>
    <row r="924" spans="4:15">
      <c r="D924" s="47"/>
      <c r="E924" s="143"/>
      <c r="H924" s="29"/>
      <c r="I924" s="30"/>
      <c r="O924" s="53"/>
    </row>
    <row r="925" spans="4:15">
      <c r="D925" s="47"/>
      <c r="E925" s="143"/>
      <c r="H925" s="29"/>
      <c r="I925" s="30"/>
      <c r="O925" s="53"/>
    </row>
    <row r="926" spans="4:15">
      <c r="D926" s="47"/>
      <c r="E926" s="143"/>
      <c r="H926" s="29"/>
      <c r="I926" s="30"/>
      <c r="O926" s="53"/>
    </row>
    <row r="927" spans="4:15">
      <c r="D927" s="47"/>
      <c r="E927" s="143"/>
      <c r="H927" s="29"/>
      <c r="I927" s="30"/>
      <c r="O927" s="53"/>
    </row>
    <row r="928" spans="4:15">
      <c r="D928" s="47"/>
      <c r="E928" s="143"/>
      <c r="H928" s="29"/>
      <c r="I928" s="30"/>
      <c r="O928" s="53"/>
    </row>
    <row r="929" spans="4:15">
      <c r="D929" s="47"/>
      <c r="E929" s="143"/>
      <c r="H929" s="29"/>
      <c r="I929" s="30"/>
      <c r="O929" s="53"/>
    </row>
    <row r="930" spans="4:15">
      <c r="D930" s="47"/>
      <c r="E930" s="143"/>
      <c r="H930" s="29"/>
      <c r="I930" s="30"/>
      <c r="O930" s="53"/>
    </row>
    <row r="931" spans="4:15">
      <c r="D931" s="47"/>
      <c r="E931" s="143"/>
      <c r="H931" s="29"/>
      <c r="I931" s="30"/>
      <c r="O931" s="53"/>
    </row>
    <row r="932" spans="4:15">
      <c r="D932" s="47"/>
      <c r="E932" s="143"/>
      <c r="H932" s="29"/>
      <c r="I932" s="30"/>
      <c r="O932" s="53"/>
    </row>
    <row r="933" spans="4:15">
      <c r="D933" s="47"/>
      <c r="E933" s="143"/>
      <c r="H933" s="29"/>
      <c r="I933" s="30"/>
      <c r="O933" s="53"/>
    </row>
    <row r="934" spans="4:15">
      <c r="D934" s="47"/>
      <c r="E934" s="143"/>
      <c r="H934" s="29"/>
      <c r="I934" s="30"/>
      <c r="O934" s="53"/>
    </row>
    <row r="935" spans="4:15">
      <c r="D935" s="47"/>
      <c r="E935" s="143"/>
      <c r="H935" s="29"/>
      <c r="I935" s="30"/>
      <c r="O935" s="53"/>
    </row>
    <row r="936" spans="4:15">
      <c r="D936" s="47"/>
      <c r="E936" s="143"/>
      <c r="H936" s="29"/>
      <c r="I936" s="30"/>
      <c r="O936" s="53"/>
    </row>
    <row r="937" spans="4:15">
      <c r="D937" s="47"/>
      <c r="E937" s="143"/>
      <c r="H937" s="29"/>
      <c r="I937" s="30"/>
      <c r="O937" s="53"/>
    </row>
    <row r="938" spans="4:15">
      <c r="D938" s="47"/>
      <c r="E938" s="143"/>
      <c r="H938" s="29"/>
      <c r="I938" s="30"/>
      <c r="O938" s="53"/>
    </row>
    <row r="939" spans="4:15">
      <c r="D939" s="47"/>
      <c r="E939" s="143"/>
      <c r="H939" s="29"/>
      <c r="I939" s="30"/>
      <c r="O939" s="53"/>
    </row>
    <row r="940" spans="4:15">
      <c r="D940" s="47"/>
      <c r="E940" s="143"/>
      <c r="H940" s="29"/>
      <c r="I940" s="30"/>
      <c r="O940" s="53"/>
    </row>
    <row r="941" spans="4:15">
      <c r="D941" s="47"/>
      <c r="E941" s="143"/>
      <c r="H941" s="29"/>
      <c r="I941" s="30"/>
      <c r="O941" s="53"/>
    </row>
    <row r="942" spans="4:15">
      <c r="D942" s="47"/>
      <c r="E942" s="143"/>
      <c r="H942" s="29"/>
      <c r="I942" s="30"/>
      <c r="O942" s="53"/>
    </row>
    <row r="943" spans="4:15">
      <c r="D943" s="47"/>
      <c r="E943" s="143"/>
      <c r="H943" s="29"/>
      <c r="I943" s="30"/>
      <c r="O943" s="53"/>
    </row>
    <row r="944" spans="4:15">
      <c r="D944" s="47"/>
      <c r="E944" s="143"/>
      <c r="H944" s="29"/>
      <c r="I944" s="30"/>
      <c r="O944" s="53"/>
    </row>
    <row r="945" spans="4:15">
      <c r="D945" s="47"/>
      <c r="E945" s="143"/>
      <c r="H945" s="29"/>
      <c r="I945" s="30"/>
      <c r="O945" s="53"/>
    </row>
    <row r="946" spans="4:15">
      <c r="D946" s="47"/>
      <c r="E946" s="143"/>
      <c r="H946" s="29"/>
      <c r="I946" s="30"/>
      <c r="O946" s="53"/>
    </row>
    <row r="947" spans="4:15">
      <c r="D947" s="47"/>
      <c r="E947" s="143"/>
      <c r="H947" s="29"/>
      <c r="I947" s="30"/>
      <c r="O947" s="53"/>
    </row>
    <row r="948" spans="4:15">
      <c r="D948" s="47"/>
      <c r="E948" s="143"/>
      <c r="H948" s="29"/>
      <c r="I948" s="30"/>
      <c r="O948" s="53"/>
    </row>
    <row r="949" spans="4:15">
      <c r="D949" s="47"/>
      <c r="E949" s="143"/>
      <c r="H949" s="29"/>
      <c r="I949" s="30"/>
      <c r="O949" s="53"/>
    </row>
    <row r="950" spans="4:15">
      <c r="D950" s="47"/>
      <c r="E950" s="143"/>
      <c r="H950" s="29"/>
      <c r="I950" s="30"/>
      <c r="O950" s="53"/>
    </row>
    <row r="951" spans="4:15">
      <c r="D951" s="47"/>
      <c r="E951" s="143"/>
      <c r="H951" s="29"/>
      <c r="I951" s="30"/>
      <c r="O951" s="53"/>
    </row>
    <row r="952" spans="4:15">
      <c r="D952" s="47"/>
      <c r="E952" s="143"/>
      <c r="H952" s="29"/>
      <c r="I952" s="30"/>
      <c r="O952" s="53"/>
    </row>
    <row r="953" spans="4:15">
      <c r="D953" s="47"/>
      <c r="E953" s="143"/>
      <c r="H953" s="29"/>
      <c r="I953" s="30"/>
      <c r="O953" s="53"/>
    </row>
    <row r="954" spans="4:15">
      <c r="D954" s="47"/>
      <c r="E954" s="143"/>
      <c r="H954" s="29"/>
      <c r="I954" s="30"/>
      <c r="O954" s="53"/>
    </row>
    <row r="955" spans="4:15">
      <c r="D955" s="47"/>
      <c r="E955" s="143"/>
      <c r="H955" s="29"/>
      <c r="I955" s="30"/>
      <c r="O955" s="53"/>
    </row>
    <row r="956" spans="4:15">
      <c r="D956" s="47"/>
      <c r="E956" s="143"/>
      <c r="H956" s="29"/>
      <c r="I956" s="30"/>
      <c r="O956" s="53"/>
    </row>
    <row r="957" spans="4:15">
      <c r="D957" s="47"/>
      <c r="E957" s="143"/>
      <c r="H957" s="29"/>
      <c r="I957" s="30"/>
      <c r="O957" s="53"/>
    </row>
    <row r="958" spans="4:15">
      <c r="D958" s="47"/>
      <c r="E958" s="143"/>
      <c r="H958" s="29"/>
      <c r="I958" s="30"/>
      <c r="O958" s="53"/>
    </row>
    <row r="959" spans="4:15">
      <c r="D959" s="47"/>
      <c r="E959" s="143"/>
      <c r="H959" s="29"/>
      <c r="I959" s="30"/>
      <c r="O959" s="53"/>
    </row>
    <row r="960" spans="4:15">
      <c r="D960" s="47"/>
      <c r="E960" s="143"/>
      <c r="H960" s="29"/>
      <c r="I960" s="30"/>
      <c r="O960" s="53"/>
    </row>
    <row r="961" spans="4:15">
      <c r="D961" s="47"/>
      <c r="E961" s="143"/>
      <c r="H961" s="29"/>
      <c r="I961" s="30"/>
      <c r="O961" s="53"/>
    </row>
    <row r="962" spans="4:15">
      <c r="D962" s="47"/>
      <c r="E962" s="143"/>
      <c r="H962" s="29"/>
      <c r="I962" s="30"/>
      <c r="O962" s="53"/>
    </row>
    <row r="963" spans="4:15">
      <c r="D963" s="47"/>
      <c r="E963" s="143"/>
      <c r="H963" s="29"/>
      <c r="I963" s="30"/>
      <c r="O963" s="53"/>
    </row>
    <row r="964" spans="4:15">
      <c r="D964" s="47"/>
      <c r="E964" s="143"/>
      <c r="H964" s="29"/>
      <c r="I964" s="30"/>
      <c r="O964" s="53"/>
    </row>
    <row r="965" spans="4:15">
      <c r="D965" s="47"/>
      <c r="E965" s="143"/>
      <c r="H965" s="29"/>
      <c r="I965" s="30"/>
      <c r="O965" s="53"/>
    </row>
    <row r="966" spans="4:15">
      <c r="D966" s="47"/>
      <c r="E966" s="143"/>
      <c r="H966" s="29"/>
      <c r="I966" s="30"/>
      <c r="O966" s="53"/>
    </row>
    <row r="967" spans="4:15">
      <c r="D967" s="47"/>
      <c r="E967" s="143"/>
      <c r="H967" s="29"/>
      <c r="I967" s="30"/>
      <c r="O967" s="53"/>
    </row>
    <row r="968" spans="4:15">
      <c r="D968" s="47"/>
      <c r="E968" s="143"/>
      <c r="H968" s="29"/>
      <c r="I968" s="30"/>
      <c r="O968" s="53"/>
    </row>
    <row r="969" spans="4:15">
      <c r="D969" s="47"/>
      <c r="E969" s="143"/>
      <c r="H969" s="29"/>
      <c r="I969" s="30"/>
      <c r="O969" s="53"/>
    </row>
    <row r="970" spans="4:15">
      <c r="D970" s="47"/>
      <c r="E970" s="143"/>
      <c r="H970" s="29"/>
      <c r="I970" s="30"/>
      <c r="O970" s="53"/>
    </row>
    <row r="971" spans="4:15">
      <c r="D971" s="47"/>
      <c r="E971" s="143"/>
      <c r="H971" s="29"/>
      <c r="I971" s="30"/>
      <c r="O971" s="53"/>
    </row>
    <row r="972" spans="4:15">
      <c r="D972" s="47"/>
      <c r="E972" s="143"/>
      <c r="H972" s="29"/>
      <c r="I972" s="30"/>
      <c r="O972" s="53"/>
    </row>
    <row r="973" spans="4:15">
      <c r="D973" s="47"/>
      <c r="E973" s="143"/>
      <c r="H973" s="29"/>
      <c r="I973" s="30"/>
      <c r="O973" s="53"/>
    </row>
    <row r="974" spans="4:15">
      <c r="D974" s="47"/>
      <c r="E974" s="143"/>
      <c r="H974" s="29"/>
      <c r="I974" s="30"/>
      <c r="O974" s="53"/>
    </row>
    <row r="975" spans="4:15">
      <c r="D975" s="47"/>
      <c r="E975" s="143"/>
      <c r="H975" s="29"/>
      <c r="I975" s="30"/>
      <c r="O975" s="53"/>
    </row>
    <row r="976" spans="4:15">
      <c r="D976" s="47"/>
      <c r="E976" s="143"/>
      <c r="H976" s="29"/>
      <c r="I976" s="30"/>
      <c r="O976" s="53"/>
    </row>
    <row r="977" spans="4:15">
      <c r="D977" s="47"/>
      <c r="E977" s="143"/>
      <c r="H977" s="29"/>
      <c r="I977" s="30"/>
      <c r="O977" s="53"/>
    </row>
    <row r="978" spans="4:15">
      <c r="D978" s="47"/>
      <c r="E978" s="143"/>
      <c r="H978" s="29"/>
      <c r="I978" s="30"/>
      <c r="O978" s="53"/>
    </row>
    <row r="979" spans="4:15">
      <c r="D979" s="47"/>
      <c r="E979" s="143"/>
      <c r="H979" s="29"/>
      <c r="I979" s="30"/>
      <c r="O979" s="53"/>
    </row>
    <row r="980" spans="4:15">
      <c r="D980" s="47"/>
      <c r="E980" s="143"/>
      <c r="H980" s="29"/>
      <c r="I980" s="30"/>
      <c r="O980" s="53"/>
    </row>
    <row r="981" spans="4:15">
      <c r="D981" s="47"/>
      <c r="E981" s="143"/>
      <c r="H981" s="29"/>
      <c r="I981" s="30"/>
      <c r="O981" s="53"/>
    </row>
    <row r="982" spans="4:15">
      <c r="D982" s="47"/>
      <c r="E982" s="143"/>
      <c r="H982" s="29"/>
      <c r="I982" s="30"/>
      <c r="O982" s="53"/>
    </row>
    <row r="983" spans="4:15">
      <c r="D983" s="47"/>
      <c r="E983" s="143"/>
      <c r="H983" s="29"/>
      <c r="I983" s="30"/>
      <c r="O983" s="53"/>
    </row>
    <row r="984" spans="4:15">
      <c r="D984" s="47"/>
      <c r="E984" s="143"/>
      <c r="H984" s="29"/>
      <c r="I984" s="30"/>
      <c r="O984" s="53"/>
    </row>
    <row r="985" spans="4:15">
      <c r="D985" s="47"/>
      <c r="E985" s="143"/>
      <c r="H985" s="29"/>
      <c r="I985" s="30"/>
      <c r="O985" s="53"/>
    </row>
    <row r="986" spans="4:15">
      <c r="D986" s="47"/>
      <c r="E986" s="143"/>
      <c r="H986" s="29"/>
      <c r="I986" s="30"/>
      <c r="O986" s="53"/>
    </row>
    <row r="987" spans="4:15">
      <c r="D987" s="47"/>
      <c r="E987" s="143"/>
      <c r="H987" s="29"/>
      <c r="I987" s="30"/>
      <c r="O987" s="53"/>
    </row>
    <row r="988" spans="4:15">
      <c r="D988" s="47"/>
      <c r="E988" s="143"/>
      <c r="H988" s="29"/>
      <c r="I988" s="30"/>
      <c r="O988" s="53"/>
    </row>
    <row r="989" spans="4:15">
      <c r="D989" s="47"/>
      <c r="E989" s="143"/>
      <c r="H989" s="29"/>
      <c r="I989" s="30"/>
      <c r="O989" s="53"/>
    </row>
    <row r="990" spans="4:15">
      <c r="D990" s="47"/>
      <c r="E990" s="143"/>
      <c r="H990" s="29"/>
      <c r="I990" s="30"/>
      <c r="O990" s="53"/>
    </row>
    <row r="991" spans="4:15">
      <c r="D991" s="47"/>
      <c r="E991" s="143"/>
      <c r="H991" s="29"/>
      <c r="I991" s="30"/>
      <c r="O991" s="53"/>
    </row>
    <row r="992" spans="4:15">
      <c r="D992" s="47"/>
      <c r="E992" s="143"/>
      <c r="H992" s="29"/>
      <c r="I992" s="30"/>
      <c r="O992" s="53"/>
    </row>
    <row r="993" spans="4:21">
      <c r="D993" s="47"/>
      <c r="E993" s="143"/>
      <c r="H993" s="29"/>
      <c r="I993" s="30"/>
      <c r="O993" s="53"/>
    </row>
    <row r="994" spans="4:21">
      <c r="J994" s="47"/>
      <c r="K994" s="143"/>
      <c r="N994" s="29"/>
      <c r="O994" s="30"/>
      <c r="U994" s="53"/>
    </row>
    <row r="995" spans="4:21">
      <c r="J995" s="47"/>
      <c r="K995" s="143"/>
      <c r="N995" s="29"/>
      <c r="O995" s="30"/>
      <c r="U995" s="53"/>
    </row>
    <row r="996" spans="4:21">
      <c r="J996" s="47"/>
      <c r="K996" s="143"/>
      <c r="N996" s="29"/>
      <c r="O996" s="30"/>
      <c r="U996" s="53"/>
    </row>
    <row r="997" spans="4:21">
      <c r="J997" s="47"/>
      <c r="K997" s="143"/>
      <c r="N997" s="29"/>
      <c r="O997" s="30"/>
      <c r="U997" s="53"/>
    </row>
    <row r="998" spans="4:21">
      <c r="J998" s="47"/>
      <c r="K998" s="143"/>
      <c r="N998" s="29"/>
      <c r="O998" s="30"/>
      <c r="U998" s="53"/>
    </row>
    <row r="999" spans="4:21">
      <c r="J999" s="47"/>
      <c r="K999" s="143"/>
      <c r="N999" s="29"/>
      <c r="O999" s="30"/>
      <c r="U999" s="53"/>
    </row>
    <row r="1000" spans="4:21">
      <c r="J1000" s="47"/>
      <c r="K1000" s="143"/>
      <c r="N1000" s="29"/>
      <c r="O1000" s="30"/>
      <c r="U1000" s="53"/>
    </row>
    <row r="1001" spans="4:21">
      <c r="J1001" s="47"/>
      <c r="K1001" s="143"/>
      <c r="N1001" s="29"/>
      <c r="O1001" s="30"/>
      <c r="U1001" s="53"/>
    </row>
    <row r="1002" spans="4:21">
      <c r="J1002" s="47"/>
      <c r="K1002" s="143"/>
      <c r="N1002" s="29"/>
      <c r="O1002" s="30"/>
      <c r="U1002" s="53"/>
    </row>
    <row r="1003" spans="4:21">
      <c r="J1003" s="47"/>
      <c r="K1003" s="143"/>
      <c r="N1003" s="29"/>
      <c r="O1003" s="30"/>
      <c r="U1003" s="53"/>
    </row>
    <row r="1004" spans="4:21">
      <c r="J1004" s="47"/>
      <c r="K1004" s="143"/>
      <c r="N1004" s="29"/>
      <c r="O1004" s="30"/>
      <c r="U1004" s="53"/>
    </row>
    <row r="1005" spans="4:21">
      <c r="J1005" s="47"/>
      <c r="K1005" s="143"/>
      <c r="N1005" s="29"/>
      <c r="O1005" s="30"/>
      <c r="U1005" s="53"/>
    </row>
    <row r="1006" spans="4:21">
      <c r="J1006" s="47"/>
      <c r="K1006" s="143"/>
      <c r="N1006" s="29"/>
      <c r="O1006" s="30"/>
      <c r="U1006" s="53"/>
    </row>
    <row r="1007" spans="4:21">
      <c r="J1007" s="47"/>
      <c r="K1007" s="143"/>
      <c r="N1007" s="29"/>
      <c r="O1007" s="30"/>
      <c r="U1007" s="53"/>
    </row>
    <row r="1008" spans="4:21">
      <c r="J1008" s="47"/>
      <c r="K1008" s="143"/>
      <c r="N1008" s="29"/>
      <c r="O1008" s="30"/>
      <c r="U1008" s="53"/>
    </row>
    <row r="1009" spans="10:21">
      <c r="J1009" s="47"/>
      <c r="K1009" s="143"/>
      <c r="N1009" s="29"/>
      <c r="O1009" s="30"/>
      <c r="U1009" s="53"/>
    </row>
    <row r="1010" spans="10:21">
      <c r="J1010" s="47"/>
      <c r="K1010" s="143"/>
      <c r="N1010" s="29"/>
      <c r="O1010" s="30"/>
      <c r="U1010" s="53"/>
    </row>
    <row r="1011" spans="10:21">
      <c r="J1011" s="47"/>
      <c r="K1011" s="143"/>
      <c r="N1011" s="29"/>
      <c r="O1011" s="30"/>
      <c r="U1011" s="53"/>
    </row>
    <row r="1012" spans="10:21">
      <c r="J1012" s="47"/>
      <c r="K1012" s="143"/>
      <c r="N1012" s="29"/>
      <c r="O1012" s="30"/>
      <c r="U1012" s="53"/>
    </row>
    <row r="1013" spans="10:21">
      <c r="J1013" s="47"/>
      <c r="K1013" s="143"/>
      <c r="N1013" s="29"/>
      <c r="O1013" s="30"/>
      <c r="U1013" s="53"/>
    </row>
    <row r="1014" spans="10:21">
      <c r="J1014" s="47"/>
      <c r="K1014" s="143"/>
      <c r="N1014" s="29"/>
      <c r="O1014" s="30"/>
      <c r="U1014" s="53"/>
    </row>
    <row r="1015" spans="10:21">
      <c r="J1015" s="47"/>
      <c r="K1015" s="143"/>
      <c r="N1015" s="29"/>
      <c r="O1015" s="30"/>
      <c r="U1015" s="53"/>
    </row>
  </sheetData>
  <dataValidations count="1">
    <dataValidation type="list" allowBlank="1" showErrorMessage="1" sqref="AC25:AC30 W3:W8" xr:uid="{7EBAE91D-8036-4BAC-9362-198A37B9C49D}">
      <formula1>"Open,Inprogress,Closed"</formula1>
    </dataValidation>
  </dataValidations>
  <hyperlinks>
    <hyperlink ref="M3" r:id="rId1" xr:uid="{6063E129-1A16-4A76-AF46-A25C68FB564C}"/>
    <hyperlink ref="M4" r:id="rId2" xr:uid="{748B00AC-97B6-4CD8-AC28-A1ED513A4E9E}"/>
    <hyperlink ref="M5" r:id="rId3" xr:uid="{A708EDAA-6200-4EFB-A60B-3831231E6899}"/>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08646-16AC-4AFB-A565-BD02909216F2}">
  <dimension ref="A1"/>
  <sheetViews>
    <sheetView workbookViewId="0"/>
  </sheetViews>
  <sheetFormatPr defaultRowHeight="12.75"/>
  <sheetData/>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49683-8A56-4299-9D15-4336B2C2F57A}">
  <dimension ref="A1:Z3"/>
  <sheetViews>
    <sheetView workbookViewId="0">
      <selection activeCell="F2" sqref="F2"/>
    </sheetView>
  </sheetViews>
  <sheetFormatPr defaultRowHeight="12.75"/>
  <cols>
    <col min="2" max="2" width="20.7109375" customWidth="1"/>
    <col min="3" max="3" width="21.140625" customWidth="1"/>
    <col min="4" max="4" width="17.85546875" customWidth="1"/>
    <col min="5" max="5" width="23.42578125" customWidth="1"/>
    <col min="6" max="6" width="26.140625" customWidth="1"/>
    <col min="7" max="7" width="22.85546875" customWidth="1"/>
    <col min="10" max="10" width="18.28515625" customWidth="1"/>
    <col min="11" max="11" width="23.5703125" customWidth="1"/>
  </cols>
  <sheetData>
    <row r="1" spans="1:26" ht="14.25">
      <c r="A1" s="1" t="s">
        <v>248</v>
      </c>
      <c r="B1" s="31" t="s">
        <v>11</v>
      </c>
      <c r="C1" s="32" t="s">
        <v>306</v>
      </c>
      <c r="D1" s="154" t="s">
        <v>250</v>
      </c>
      <c r="E1" s="155" t="s">
        <v>308</v>
      </c>
      <c r="F1" s="155" t="s">
        <v>309</v>
      </c>
      <c r="G1" s="154" t="s">
        <v>310</v>
      </c>
      <c r="H1" s="154" t="s">
        <v>312</v>
      </c>
      <c r="I1" s="154" t="s">
        <v>253</v>
      </c>
      <c r="J1" s="156" t="s">
        <v>313</v>
      </c>
      <c r="K1" s="157" t="s">
        <v>274</v>
      </c>
      <c r="L1" s="35"/>
      <c r="M1" s="35"/>
      <c r="N1" s="35"/>
      <c r="O1" s="35"/>
      <c r="P1" s="35"/>
      <c r="Q1" s="35"/>
      <c r="R1" s="35"/>
      <c r="S1" s="35"/>
      <c r="T1" s="35"/>
      <c r="U1" s="35"/>
      <c r="V1" s="35"/>
      <c r="W1" s="35"/>
      <c r="X1" s="35"/>
      <c r="Y1" s="35"/>
      <c r="Z1" s="35"/>
    </row>
    <row r="2" spans="1:26">
      <c r="A2" s="919"/>
      <c r="B2" s="919"/>
      <c r="C2" s="919"/>
      <c r="D2" s="35"/>
      <c r="E2" s="35"/>
      <c r="F2" s="28"/>
      <c r="G2" s="35"/>
      <c r="H2" s="35"/>
      <c r="I2" s="35"/>
      <c r="J2" s="35"/>
      <c r="K2" s="35"/>
      <c r="L2" s="35"/>
      <c r="M2" s="35"/>
      <c r="N2" s="35"/>
      <c r="O2" s="35"/>
      <c r="P2" s="35"/>
      <c r="Q2" s="35"/>
      <c r="R2" s="35"/>
      <c r="S2" s="35"/>
      <c r="T2" s="35"/>
      <c r="U2" s="35"/>
      <c r="V2" s="35"/>
    </row>
    <row r="3" spans="1:26" ht="15">
      <c r="B3" s="153" t="s">
        <v>1781</v>
      </c>
    </row>
  </sheetData>
  <mergeCells count="1">
    <mergeCell ref="A2:C2"/>
  </mergeCells>
  <dataValidations count="4">
    <dataValidation type="list" allowBlank="1" showErrorMessage="1" sqref="G2" xr:uid="{AA434DE9-6BAA-4733-A18B-8A2F27280EAB}">
      <formula1>"Minor,Significant,Major"</formula1>
    </dataValidation>
    <dataValidation type="list" allowBlank="1" showErrorMessage="1" sqref="I2" xr:uid="{BED4C80B-CCB6-410D-9A06-72DC8BF603B3}">
      <formula1>"Open,Inprogress,Closed"</formula1>
    </dataValidation>
    <dataValidation type="list" allowBlank="1" showErrorMessage="1" sqref="E2" xr:uid="{5BAC317C-597B-4338-8C74-820C501FFB05}">
      <formula1>"Bounceback,Defect,None"</formula1>
    </dataValidation>
    <dataValidation type="list" allowBlank="1" showErrorMessage="1" sqref="H2" xr:uid="{1E4103FD-A463-4887-967A-5E3F69FCE4C1}">
      <formula1>"Internal,External"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A9BD255B-864C-44ED-B6E9-C82E7350E729}">
          <x14:formula1>
            <xm:f>Details!$A$2:$A$10</xm:f>
          </x14:formula1>
          <xm:sqref>J2</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25363-4BD7-4227-B0B7-B4F6CB41991F}">
  <dimension ref="A1:AD1015"/>
  <sheetViews>
    <sheetView topLeftCell="R2" workbookViewId="0">
      <selection activeCell="R5" sqref="R5"/>
    </sheetView>
  </sheetViews>
  <sheetFormatPr defaultRowHeight="12.75"/>
  <cols>
    <col min="2" max="2" width="15.140625" customWidth="1"/>
    <col min="3" max="3" width="23.42578125" customWidth="1"/>
    <col min="5" max="5" width="18.42578125" customWidth="1"/>
    <col min="13" max="13" width="19.140625" customWidth="1"/>
    <col min="17" max="17" width="13.28515625" customWidth="1"/>
    <col min="20" max="20" width="14.7109375" customWidth="1"/>
    <col min="21" max="21" width="15.28515625" customWidth="1"/>
    <col min="22" max="22" width="18.5703125" customWidth="1"/>
    <col min="23" max="23" width="15.28515625" customWidth="1"/>
    <col min="24" max="24" width="38.7109375" customWidth="1"/>
  </cols>
  <sheetData>
    <row r="1" spans="1:24" ht="14.25">
      <c r="A1" s="4"/>
      <c r="B1" s="4"/>
      <c r="C1" s="4"/>
      <c r="D1" s="5"/>
      <c r="E1" s="4"/>
      <c r="F1" s="4"/>
      <c r="G1" s="4"/>
      <c r="H1" s="5"/>
      <c r="I1" s="1"/>
      <c r="J1" s="4"/>
      <c r="K1" s="4"/>
      <c r="L1" s="4"/>
      <c r="M1" s="4"/>
      <c r="N1" s="4"/>
      <c r="O1" s="48"/>
      <c r="P1" s="4"/>
      <c r="Q1" s="4"/>
      <c r="R1" s="4"/>
      <c r="S1" s="4"/>
      <c r="T1" s="4"/>
      <c r="U1" s="4"/>
      <c r="V1" s="4"/>
      <c r="W1" s="4"/>
      <c r="X1" s="6"/>
    </row>
    <row r="2" spans="1:24" ht="58.5">
      <c r="A2" s="1" t="s">
        <v>248</v>
      </c>
      <c r="B2" s="59" t="s">
        <v>249</v>
      </c>
      <c r="C2" s="59" t="s">
        <v>250</v>
      </c>
      <c r="D2" s="68" t="s">
        <v>251</v>
      </c>
      <c r="E2" s="70" t="s">
        <v>252</v>
      </c>
      <c r="F2" s="70" t="s">
        <v>254</v>
      </c>
      <c r="G2" s="70" t="s">
        <v>255</v>
      </c>
      <c r="H2" s="68" t="s">
        <v>259</v>
      </c>
      <c r="I2" s="70" t="s">
        <v>260</v>
      </c>
      <c r="J2" s="70" t="s">
        <v>261</v>
      </c>
      <c r="K2" s="70" t="s">
        <v>262</v>
      </c>
      <c r="L2" s="70" t="s">
        <v>263</v>
      </c>
      <c r="M2" s="70" t="s">
        <v>264</v>
      </c>
      <c r="N2" s="70" t="s">
        <v>265</v>
      </c>
      <c r="O2" s="71" t="s">
        <v>266</v>
      </c>
      <c r="P2" s="70" t="s">
        <v>1571</v>
      </c>
      <c r="Q2" s="70" t="s">
        <v>268</v>
      </c>
      <c r="R2" s="70" t="s">
        <v>1572</v>
      </c>
      <c r="S2" s="70" t="s">
        <v>270</v>
      </c>
      <c r="T2" s="70" t="s">
        <v>268</v>
      </c>
      <c r="U2" s="70" t="s">
        <v>272</v>
      </c>
      <c r="V2" s="70" t="s">
        <v>273</v>
      </c>
      <c r="W2" s="70" t="s">
        <v>253</v>
      </c>
      <c r="X2" s="72" t="s">
        <v>274</v>
      </c>
    </row>
    <row r="3" spans="1:24" ht="48" customHeight="1">
      <c r="A3" s="158">
        <v>1</v>
      </c>
      <c r="B3" s="159" t="s">
        <v>1782</v>
      </c>
      <c r="C3" s="160" t="s">
        <v>1035</v>
      </c>
      <c r="D3" s="87" t="s">
        <v>1783</v>
      </c>
      <c r="E3" s="161" t="s">
        <v>1784</v>
      </c>
      <c r="F3" s="161">
        <v>2</v>
      </c>
      <c r="G3" s="161">
        <v>2</v>
      </c>
      <c r="H3" s="87" t="s">
        <v>318</v>
      </c>
      <c r="I3" s="87" t="s">
        <v>1577</v>
      </c>
      <c r="J3" s="87" t="s">
        <v>1423</v>
      </c>
      <c r="K3" s="87" t="s">
        <v>595</v>
      </c>
      <c r="L3" s="168" t="s">
        <v>1557</v>
      </c>
      <c r="M3" s="129" t="s">
        <v>1785</v>
      </c>
      <c r="N3" s="162">
        <v>45387</v>
      </c>
      <c r="O3" s="162">
        <v>45387</v>
      </c>
      <c r="P3" s="87" t="s">
        <v>322</v>
      </c>
      <c r="Q3" s="87" t="s">
        <v>1557</v>
      </c>
      <c r="R3" s="130" t="s">
        <v>1723</v>
      </c>
      <c r="S3" s="163">
        <v>45390</v>
      </c>
      <c r="T3" s="164" t="s">
        <v>1557</v>
      </c>
      <c r="U3" s="164" t="s">
        <v>1557</v>
      </c>
      <c r="V3" s="164" t="s">
        <v>1557</v>
      </c>
      <c r="W3" s="165" t="s">
        <v>557</v>
      </c>
      <c r="X3" s="87"/>
    </row>
    <row r="4" spans="1:24" ht="54" customHeight="1">
      <c r="A4" s="158">
        <v>2</v>
      </c>
      <c r="B4" s="159" t="s">
        <v>1782</v>
      </c>
      <c r="C4" s="166" t="s">
        <v>1577</v>
      </c>
      <c r="D4" s="87" t="s">
        <v>1786</v>
      </c>
      <c r="E4" s="161" t="s">
        <v>1787</v>
      </c>
      <c r="F4" s="161">
        <v>3</v>
      </c>
      <c r="G4" s="161">
        <v>3</v>
      </c>
      <c r="H4" s="87" t="s">
        <v>318</v>
      </c>
      <c r="I4" s="87" t="s">
        <v>1035</v>
      </c>
      <c r="J4" s="87" t="s">
        <v>1423</v>
      </c>
      <c r="K4" s="87" t="s">
        <v>595</v>
      </c>
      <c r="L4" s="168" t="s">
        <v>1557</v>
      </c>
      <c r="M4" s="129" t="s">
        <v>1788</v>
      </c>
      <c r="N4" s="167">
        <v>45387</v>
      </c>
      <c r="O4" s="167">
        <v>45387</v>
      </c>
      <c r="P4" s="130" t="s">
        <v>322</v>
      </c>
      <c r="Q4" s="168" t="s">
        <v>1557</v>
      </c>
      <c r="R4" s="130" t="s">
        <v>1723</v>
      </c>
      <c r="S4" s="169">
        <v>45390</v>
      </c>
      <c r="T4" s="168" t="s">
        <v>1557</v>
      </c>
      <c r="U4" s="164" t="s">
        <v>1557</v>
      </c>
      <c r="V4" s="164" t="s">
        <v>1557</v>
      </c>
      <c r="W4" s="165" t="s">
        <v>557</v>
      </c>
      <c r="X4" s="170"/>
    </row>
    <row r="5" spans="1:24" ht="48" customHeight="1">
      <c r="A5" s="171">
        <v>3</v>
      </c>
      <c r="B5" s="159" t="s">
        <v>1782</v>
      </c>
      <c r="C5" s="166" t="s">
        <v>1577</v>
      </c>
      <c r="D5" s="146" t="s">
        <v>1789</v>
      </c>
      <c r="E5" s="130" t="s">
        <v>1790</v>
      </c>
      <c r="F5" s="130">
        <v>3</v>
      </c>
      <c r="G5" s="96">
        <v>2</v>
      </c>
      <c r="H5" s="87" t="s">
        <v>318</v>
      </c>
      <c r="I5" s="87" t="s">
        <v>1035</v>
      </c>
      <c r="J5" s="87" t="s">
        <v>1423</v>
      </c>
      <c r="K5" s="87" t="s">
        <v>595</v>
      </c>
      <c r="L5" s="168" t="s">
        <v>1557</v>
      </c>
      <c r="M5" s="172" t="s">
        <v>1788</v>
      </c>
      <c r="N5" s="167">
        <v>45387</v>
      </c>
      <c r="O5" s="167">
        <v>45388</v>
      </c>
      <c r="P5" s="130" t="s">
        <v>322</v>
      </c>
      <c r="Q5" s="168" t="s">
        <v>1557</v>
      </c>
      <c r="R5" s="130" t="s">
        <v>1723</v>
      </c>
      <c r="S5" s="169">
        <v>45390</v>
      </c>
      <c r="T5" s="168" t="s">
        <v>1557</v>
      </c>
      <c r="U5" s="164" t="s">
        <v>1557</v>
      </c>
      <c r="V5" s="164" t="s">
        <v>1557</v>
      </c>
      <c r="W5" s="173" t="s">
        <v>557</v>
      </c>
      <c r="X5" s="174" t="s">
        <v>1791</v>
      </c>
    </row>
    <row r="6" spans="1:24" ht="36">
      <c r="A6" s="171">
        <v>4</v>
      </c>
      <c r="B6" s="175" t="s">
        <v>1792</v>
      </c>
      <c r="C6" s="166" t="s">
        <v>1793</v>
      </c>
      <c r="D6" s="87" t="s">
        <v>1794</v>
      </c>
      <c r="E6" s="130" t="s">
        <v>1795</v>
      </c>
      <c r="F6" s="130">
        <v>5</v>
      </c>
      <c r="G6" s="96">
        <v>3</v>
      </c>
      <c r="H6" s="87"/>
      <c r="I6" s="87"/>
      <c r="J6" s="87"/>
      <c r="K6" s="87"/>
      <c r="L6" s="87"/>
      <c r="M6" s="176"/>
      <c r="N6" s="87"/>
      <c r="O6" s="87"/>
      <c r="P6" s="87"/>
      <c r="Q6" s="87"/>
      <c r="R6" s="87"/>
      <c r="S6" s="87"/>
      <c r="T6" s="87"/>
      <c r="U6" s="87"/>
      <c r="V6" s="87"/>
      <c r="W6" s="73" t="s">
        <v>589</v>
      </c>
      <c r="X6" s="177" t="s">
        <v>1796</v>
      </c>
    </row>
    <row r="7" spans="1:24">
      <c r="A7" s="98"/>
      <c r="B7" s="97"/>
      <c r="C7" s="101"/>
      <c r="D7" s="87"/>
      <c r="E7" s="136"/>
      <c r="F7" s="84"/>
      <c r="G7" s="80"/>
      <c r="H7" s="77"/>
      <c r="I7" s="78"/>
      <c r="J7" s="78"/>
      <c r="K7" s="78"/>
      <c r="L7" s="138"/>
      <c r="M7" s="40"/>
      <c r="N7" s="134"/>
      <c r="O7" s="134"/>
      <c r="P7" s="88"/>
      <c r="Q7" s="73"/>
      <c r="R7" s="81"/>
      <c r="S7" s="135"/>
      <c r="T7" s="73"/>
      <c r="U7" s="81"/>
      <c r="V7" s="81"/>
      <c r="W7" s="30"/>
    </row>
    <row r="8" spans="1:24" ht="13.5">
      <c r="A8" s="98"/>
      <c r="B8" s="97"/>
      <c r="C8" s="100"/>
      <c r="D8" s="87"/>
      <c r="E8" s="136"/>
      <c r="F8" s="84"/>
      <c r="G8" s="80"/>
      <c r="H8" s="77"/>
      <c r="I8" s="78"/>
      <c r="J8" s="78"/>
      <c r="K8" s="78"/>
      <c r="L8" s="89"/>
      <c r="M8" s="40"/>
      <c r="N8" s="94"/>
      <c r="O8" s="85"/>
      <c r="P8" s="80"/>
      <c r="Q8" s="78"/>
      <c r="R8" s="81"/>
      <c r="S8" s="95"/>
      <c r="T8" s="78"/>
      <c r="U8" s="81"/>
      <c r="V8" s="81"/>
      <c r="W8" s="30"/>
      <c r="X8" s="30"/>
    </row>
    <row r="9" spans="1:24" ht="16.5">
      <c r="A9" s="99"/>
      <c r="B9" s="97"/>
      <c r="C9" s="102"/>
      <c r="D9" s="46"/>
      <c r="E9" s="18"/>
      <c r="F9" s="18"/>
      <c r="G9" s="18"/>
      <c r="H9" s="12"/>
      <c r="I9" s="14"/>
      <c r="J9" s="14"/>
      <c r="K9" s="14"/>
      <c r="L9" s="67"/>
      <c r="M9" s="40"/>
      <c r="N9" s="65"/>
      <c r="O9" s="66"/>
      <c r="P9" s="14"/>
      <c r="Q9" s="14"/>
      <c r="R9" s="19"/>
      <c r="S9" s="65"/>
      <c r="T9" s="14"/>
      <c r="U9" s="19"/>
      <c r="V9" s="19"/>
      <c r="W9" s="64"/>
      <c r="X9" s="19"/>
    </row>
    <row r="10" spans="1:24">
      <c r="A10" s="99"/>
      <c r="B10" s="97"/>
      <c r="C10" s="103"/>
      <c r="D10" s="46"/>
      <c r="E10" s="18"/>
      <c r="F10" s="18"/>
      <c r="G10" s="18"/>
      <c r="H10" s="12"/>
      <c r="I10" s="14"/>
      <c r="J10" s="14"/>
      <c r="K10" s="14"/>
      <c r="L10" s="58"/>
      <c r="M10" s="14"/>
      <c r="N10" s="14"/>
      <c r="O10" s="9"/>
      <c r="P10" s="14"/>
      <c r="Q10" s="19"/>
      <c r="R10" s="19"/>
      <c r="S10" s="19"/>
      <c r="T10" s="19"/>
      <c r="U10" s="19"/>
      <c r="V10" s="19"/>
      <c r="W10" s="64"/>
      <c r="X10" s="19"/>
    </row>
    <row r="11" spans="1:24">
      <c r="A11" s="99"/>
      <c r="B11" s="97"/>
      <c r="C11" s="103"/>
      <c r="D11" s="62"/>
      <c r="E11" s="18"/>
      <c r="F11" s="18"/>
      <c r="G11" s="18"/>
      <c r="H11" s="12"/>
      <c r="I11" s="10"/>
      <c r="J11" s="14"/>
      <c r="K11" s="14"/>
      <c r="L11" s="19"/>
      <c r="M11" s="14"/>
      <c r="N11" s="14"/>
      <c r="O11" s="9"/>
      <c r="P11" s="14"/>
      <c r="Q11" s="18"/>
      <c r="R11" s="19"/>
      <c r="S11" s="19"/>
      <c r="T11" s="19"/>
      <c r="U11" s="19"/>
      <c r="V11" s="19"/>
      <c r="W11" s="64"/>
      <c r="X11" s="19"/>
    </row>
    <row r="12" spans="1:24">
      <c r="A12" s="99"/>
      <c r="B12" s="97"/>
      <c r="C12" s="102"/>
      <c r="D12" s="62"/>
      <c r="E12" s="45"/>
      <c r="F12" s="18"/>
      <c r="G12" s="18"/>
      <c r="H12" s="12"/>
      <c r="I12" s="14"/>
      <c r="J12" s="19"/>
      <c r="K12" s="14"/>
      <c r="L12" s="19"/>
      <c r="M12" s="14"/>
      <c r="N12" s="14"/>
      <c r="O12" s="9"/>
      <c r="P12" s="14"/>
      <c r="Q12" s="19"/>
      <c r="R12" s="19"/>
      <c r="S12" s="19"/>
      <c r="T12" s="19"/>
      <c r="U12" s="19"/>
      <c r="V12" s="19"/>
      <c r="W12" s="64"/>
      <c r="X12" s="19"/>
    </row>
    <row r="13" spans="1:24">
      <c r="A13" s="19"/>
      <c r="B13" s="104"/>
      <c r="C13" s="14"/>
      <c r="D13" s="12"/>
      <c r="E13" s="18"/>
      <c r="F13" s="18"/>
      <c r="G13" s="18"/>
      <c r="H13" s="12"/>
      <c r="I13" s="14"/>
      <c r="J13" s="19"/>
      <c r="K13" s="14"/>
      <c r="L13" s="19"/>
      <c r="M13" s="14"/>
      <c r="N13" s="14"/>
      <c r="O13" s="9"/>
      <c r="P13" s="14"/>
      <c r="Q13" s="19"/>
      <c r="R13" s="19"/>
      <c r="S13" s="19"/>
      <c r="T13" s="19"/>
      <c r="U13" s="19"/>
      <c r="V13" s="19"/>
      <c r="W13" s="19"/>
      <c r="X13" s="19"/>
    </row>
    <row r="14" spans="1:24">
      <c r="A14" s="19"/>
      <c r="B14" s="60"/>
      <c r="C14" s="14"/>
      <c r="D14" s="12"/>
      <c r="E14" s="18"/>
      <c r="F14" s="18"/>
      <c r="G14" s="18"/>
      <c r="H14" s="12"/>
      <c r="I14" s="14"/>
      <c r="J14" s="19"/>
      <c r="K14" s="14"/>
      <c r="L14" s="19"/>
      <c r="M14" s="14"/>
      <c r="N14" s="14"/>
      <c r="O14" s="9"/>
      <c r="P14" s="14"/>
      <c r="Q14" s="19"/>
      <c r="R14" s="19"/>
      <c r="S14" s="19"/>
      <c r="T14" s="19"/>
      <c r="U14" s="19"/>
      <c r="V14" s="19"/>
      <c r="W14" s="19"/>
      <c r="X14" s="19"/>
    </row>
    <row r="15" spans="1:24">
      <c r="A15" s="19"/>
      <c r="B15" s="60"/>
      <c r="C15" s="14"/>
      <c r="D15" s="12"/>
      <c r="E15" s="18"/>
      <c r="F15" s="18"/>
      <c r="G15" s="18"/>
      <c r="H15" s="12"/>
      <c r="I15" s="14"/>
      <c r="J15" s="19"/>
      <c r="K15" s="14"/>
      <c r="L15" s="19"/>
      <c r="M15" s="14"/>
      <c r="N15" s="14"/>
      <c r="O15" s="9"/>
      <c r="P15" s="14"/>
      <c r="Q15" s="19"/>
      <c r="R15" s="19"/>
      <c r="S15" s="19"/>
      <c r="T15" s="19"/>
      <c r="U15" s="19"/>
      <c r="V15" s="19"/>
      <c r="W15" s="19"/>
      <c r="X15" s="19"/>
    </row>
    <row r="16" spans="1:24">
      <c r="A16" s="19"/>
      <c r="B16" s="60"/>
      <c r="C16" s="14"/>
      <c r="D16" s="12"/>
      <c r="E16" s="18"/>
      <c r="F16" s="18"/>
      <c r="G16" s="18"/>
      <c r="H16" s="12"/>
      <c r="I16" s="14"/>
      <c r="J16" s="19"/>
      <c r="K16" s="14"/>
      <c r="L16" s="19"/>
      <c r="M16" s="14"/>
      <c r="N16" s="14"/>
      <c r="O16" s="9"/>
      <c r="P16" s="14"/>
      <c r="Q16" s="19"/>
      <c r="R16" s="19"/>
      <c r="S16" s="19"/>
      <c r="T16" s="19"/>
      <c r="U16" s="19"/>
      <c r="V16" s="19"/>
      <c r="W16" s="19"/>
      <c r="X16" s="19"/>
    </row>
    <row r="17" spans="1:30">
      <c r="A17" s="19"/>
      <c r="B17" s="60"/>
      <c r="C17" s="14"/>
      <c r="D17" s="12"/>
      <c r="E17" s="18"/>
      <c r="F17" s="18"/>
      <c r="G17" s="18"/>
      <c r="H17" s="12"/>
      <c r="I17" s="14"/>
      <c r="J17" s="19"/>
      <c r="K17" s="14"/>
      <c r="L17" s="19"/>
      <c r="M17" s="14"/>
      <c r="N17" s="14"/>
      <c r="O17" s="9"/>
      <c r="P17" s="14"/>
      <c r="Q17" s="19"/>
      <c r="R17" s="19"/>
      <c r="S17" s="19"/>
      <c r="T17" s="19"/>
      <c r="U17" s="19"/>
      <c r="V17" s="19"/>
      <c r="W17" s="19"/>
      <c r="X17" s="19"/>
    </row>
    <row r="18" spans="1:30">
      <c r="B18" s="28"/>
      <c r="C18" s="3"/>
      <c r="D18" s="47"/>
      <c r="E18" s="28"/>
      <c r="F18" s="28"/>
      <c r="G18" s="28"/>
      <c r="H18" s="29"/>
      <c r="I18" s="63"/>
      <c r="K18" s="3"/>
      <c r="M18" s="3"/>
      <c r="N18" s="3"/>
      <c r="O18" s="52"/>
      <c r="P18" s="3"/>
    </row>
    <row r="19" spans="1:30">
      <c r="B19" s="28"/>
      <c r="C19" s="3"/>
      <c r="D19" s="47"/>
      <c r="E19" s="28"/>
      <c r="F19" s="28"/>
      <c r="G19" s="28"/>
      <c r="H19" s="29"/>
      <c r="I19" s="14"/>
      <c r="K19" s="3"/>
      <c r="M19" s="3"/>
      <c r="N19" s="3"/>
      <c r="O19" s="52"/>
      <c r="P19" s="3"/>
    </row>
    <row r="20" spans="1:30">
      <c r="B20" s="28"/>
      <c r="C20" s="3"/>
      <c r="D20" s="47"/>
      <c r="E20" s="28"/>
      <c r="F20" s="28"/>
      <c r="G20" s="28"/>
      <c r="H20" s="29"/>
      <c r="I20" s="14"/>
      <c r="K20" s="3"/>
      <c r="M20" s="3"/>
      <c r="N20" s="3"/>
      <c r="O20" s="52"/>
      <c r="P20" s="3"/>
    </row>
    <row r="21" spans="1:30">
      <c r="B21" s="28"/>
      <c r="C21" s="3"/>
      <c r="D21" s="47"/>
      <c r="E21" s="28"/>
      <c r="F21" s="28"/>
      <c r="G21" s="28"/>
      <c r="H21" s="29"/>
      <c r="I21" s="14"/>
      <c r="K21" s="3"/>
      <c r="M21" s="3"/>
      <c r="N21" s="3"/>
      <c r="O21" s="52"/>
      <c r="P21" s="3"/>
    </row>
    <row r="22" spans="1:30">
      <c r="B22" s="28"/>
      <c r="C22" s="3"/>
      <c r="D22" s="47"/>
      <c r="E22" s="28"/>
      <c r="F22" s="28"/>
      <c r="G22" s="28"/>
      <c r="H22" s="29"/>
      <c r="I22" s="14"/>
      <c r="K22" s="3"/>
      <c r="M22" s="3"/>
      <c r="N22" s="3"/>
      <c r="O22" s="52"/>
      <c r="P22" s="3"/>
    </row>
    <row r="23" spans="1:30" ht="14.25">
      <c r="B23" s="28"/>
      <c r="C23" s="3"/>
      <c r="D23" s="47"/>
      <c r="E23" s="28"/>
      <c r="F23" s="28"/>
      <c r="G23" s="28"/>
      <c r="H23" s="29"/>
      <c r="I23" s="14"/>
      <c r="K23" s="3"/>
      <c r="M23" s="3"/>
      <c r="N23" s="3"/>
      <c r="O23" s="52"/>
      <c r="P23" s="3"/>
      <c r="Y23" s="4"/>
      <c r="Z23" s="4"/>
      <c r="AA23" s="4"/>
      <c r="AB23" s="4"/>
      <c r="AC23" s="4"/>
      <c r="AD23" s="6"/>
    </row>
    <row r="24" spans="1:30" ht="46.5">
      <c r="B24" s="28"/>
      <c r="C24" s="3"/>
      <c r="D24" s="47"/>
      <c r="E24" s="28"/>
      <c r="F24" s="28"/>
      <c r="G24" s="28"/>
      <c r="H24" s="29"/>
      <c r="I24" s="14"/>
      <c r="K24" s="3"/>
      <c r="M24" s="3"/>
      <c r="N24" s="3"/>
      <c r="O24" s="52"/>
      <c r="P24" s="3"/>
      <c r="Y24" s="70" t="s">
        <v>270</v>
      </c>
      <c r="Z24" s="70" t="s">
        <v>268</v>
      </c>
      <c r="AA24" s="70" t="s">
        <v>272</v>
      </c>
      <c r="AB24" s="70" t="s">
        <v>273</v>
      </c>
      <c r="AC24" s="70" t="s">
        <v>253</v>
      </c>
      <c r="AD24" s="72" t="s">
        <v>274</v>
      </c>
    </row>
    <row r="25" spans="1:30">
      <c r="B25" s="28"/>
      <c r="C25" s="3"/>
      <c r="D25" s="47"/>
      <c r="E25" s="28"/>
      <c r="F25" s="28"/>
      <c r="G25" s="28"/>
      <c r="H25" s="29"/>
      <c r="I25" s="14"/>
      <c r="K25" s="3"/>
      <c r="M25" s="3"/>
      <c r="N25" s="3"/>
      <c r="O25" s="52"/>
      <c r="P25" s="3"/>
      <c r="Y25" s="140"/>
      <c r="Z25" s="77"/>
      <c r="AA25" s="77"/>
      <c r="AB25" s="77"/>
      <c r="AC25" s="139"/>
      <c r="AD25" s="83"/>
    </row>
    <row r="26" spans="1:30">
      <c r="B26" s="28"/>
      <c r="C26" s="3"/>
      <c r="D26" s="47"/>
      <c r="E26" s="28"/>
      <c r="F26" s="28"/>
      <c r="G26" s="28"/>
      <c r="H26" s="29"/>
      <c r="I26" s="14"/>
      <c r="K26" s="3"/>
      <c r="M26" s="3"/>
      <c r="N26" s="3"/>
      <c r="O26" s="52"/>
      <c r="P26" s="3"/>
      <c r="Y26" s="135"/>
      <c r="Z26" s="77"/>
      <c r="AA26" s="84"/>
      <c r="AB26" s="150"/>
      <c r="AC26" s="83"/>
      <c r="AD26" s="83"/>
    </row>
    <row r="27" spans="1:30">
      <c r="B27" s="28"/>
      <c r="C27" s="3"/>
      <c r="D27" s="47"/>
      <c r="E27" s="28"/>
      <c r="F27" s="28"/>
      <c r="G27" s="28"/>
      <c r="H27" s="29"/>
      <c r="I27" s="14"/>
      <c r="K27" s="3"/>
      <c r="M27" s="3"/>
      <c r="N27" s="3"/>
      <c r="O27" s="52"/>
      <c r="P27" s="3"/>
      <c r="Y27" s="77"/>
      <c r="Z27" s="77"/>
      <c r="AA27" s="77"/>
      <c r="AB27" s="77"/>
      <c r="AC27" s="30"/>
      <c r="AD27" s="30"/>
    </row>
    <row r="28" spans="1:30">
      <c r="B28" s="28"/>
      <c r="C28" s="3"/>
      <c r="D28" s="47"/>
      <c r="E28" s="28"/>
      <c r="F28" s="28"/>
      <c r="G28" s="28"/>
      <c r="H28" s="29"/>
      <c r="I28" s="14"/>
      <c r="K28" s="3"/>
      <c r="M28" s="3"/>
      <c r="N28" s="3"/>
      <c r="O28" s="52"/>
      <c r="P28" s="3"/>
      <c r="Y28" s="77"/>
      <c r="Z28" s="77"/>
      <c r="AA28" s="77"/>
      <c r="AB28" s="77"/>
      <c r="AC28" s="30"/>
      <c r="AD28" s="30"/>
    </row>
    <row r="29" spans="1:30">
      <c r="B29" s="28"/>
      <c r="C29" s="3"/>
      <c r="D29" s="47"/>
      <c r="E29" s="28"/>
      <c r="F29" s="28"/>
      <c r="G29" s="28"/>
      <c r="H29" s="29"/>
      <c r="I29" s="14"/>
      <c r="K29" s="3"/>
      <c r="M29" s="3"/>
      <c r="N29" s="3"/>
      <c r="O29" s="52"/>
      <c r="P29" s="3"/>
      <c r="Y29" s="135"/>
      <c r="Z29" s="73"/>
      <c r="AA29" s="81"/>
      <c r="AB29" s="81"/>
      <c r="AC29" s="30"/>
      <c r="AD29" s="81"/>
    </row>
    <row r="30" spans="1:30">
      <c r="B30" s="28"/>
      <c r="C30" s="3"/>
      <c r="D30" s="47"/>
      <c r="E30" s="28"/>
      <c r="F30" s="28"/>
      <c r="G30" s="28"/>
      <c r="H30" s="29"/>
      <c r="I30" s="14"/>
      <c r="K30" s="3"/>
      <c r="M30" s="3"/>
      <c r="N30" s="3"/>
      <c r="O30" s="52"/>
      <c r="P30" s="3"/>
      <c r="Y30" s="95"/>
      <c r="Z30" s="78"/>
      <c r="AA30" s="81"/>
      <c r="AB30" s="81"/>
      <c r="AC30" s="30"/>
      <c r="AD30" s="30"/>
    </row>
    <row r="31" spans="1:30">
      <c r="B31" s="28"/>
      <c r="C31" s="3"/>
      <c r="D31" s="47"/>
      <c r="E31" s="28"/>
      <c r="F31" s="28"/>
      <c r="G31" s="28"/>
      <c r="H31" s="29"/>
      <c r="I31" s="14"/>
      <c r="K31" s="3"/>
      <c r="M31" s="3"/>
      <c r="N31" s="3"/>
      <c r="O31" s="52"/>
      <c r="P31" s="3"/>
      <c r="Y31" s="65"/>
      <c r="Z31" s="14"/>
      <c r="AA31" s="19"/>
      <c r="AB31" s="19"/>
      <c r="AC31" s="64"/>
      <c r="AD31" s="19"/>
    </row>
    <row r="32" spans="1:30">
      <c r="B32" s="28"/>
      <c r="C32" s="3"/>
      <c r="D32" s="47"/>
      <c r="E32" s="28"/>
      <c r="F32" s="28"/>
      <c r="G32" s="28"/>
      <c r="H32" s="29"/>
      <c r="I32" s="14"/>
      <c r="K32" s="3"/>
      <c r="M32" s="3"/>
      <c r="N32" s="3"/>
      <c r="O32" s="52"/>
      <c r="P32" s="3"/>
      <c r="Y32" s="19"/>
      <c r="Z32" s="19"/>
      <c r="AA32" s="19"/>
      <c r="AB32" s="19"/>
      <c r="AC32" s="64"/>
      <c r="AD32" s="19"/>
    </row>
    <row r="33" spans="2:30">
      <c r="B33" s="28"/>
      <c r="C33" s="3"/>
      <c r="D33" s="47"/>
      <c r="E33" s="28"/>
      <c r="F33" s="28"/>
      <c r="G33" s="28"/>
      <c r="H33" s="29"/>
      <c r="I33" s="14"/>
      <c r="K33" s="3"/>
      <c r="M33" s="3"/>
      <c r="N33" s="3"/>
      <c r="O33" s="52"/>
      <c r="P33" s="3"/>
      <c r="Y33" s="19"/>
      <c r="Z33" s="19"/>
      <c r="AA33" s="19"/>
      <c r="AB33" s="19"/>
      <c r="AC33" s="64"/>
      <c r="AD33" s="19"/>
    </row>
    <row r="34" spans="2:30">
      <c r="B34" s="28"/>
      <c r="C34" s="3"/>
      <c r="D34" s="47"/>
      <c r="E34" s="28"/>
      <c r="F34" s="28"/>
      <c r="G34" s="28"/>
      <c r="H34" s="29"/>
      <c r="I34" s="14"/>
      <c r="K34" s="3"/>
      <c r="M34" s="3"/>
      <c r="N34" s="3"/>
      <c r="O34" s="52"/>
      <c r="P34" s="3"/>
      <c r="Y34" s="19"/>
      <c r="Z34" s="19"/>
      <c r="AA34" s="19"/>
      <c r="AB34" s="19"/>
      <c r="AC34" s="64"/>
      <c r="AD34" s="19"/>
    </row>
    <row r="35" spans="2:30">
      <c r="B35" s="28"/>
      <c r="C35" s="3"/>
      <c r="D35" s="47"/>
      <c r="E35" s="28"/>
      <c r="F35" s="28"/>
      <c r="G35" s="28"/>
      <c r="H35" s="29"/>
      <c r="I35" s="14"/>
      <c r="K35" s="3"/>
      <c r="M35" s="3"/>
      <c r="N35" s="3"/>
      <c r="O35" s="52"/>
      <c r="P35" s="3"/>
      <c r="Y35" s="19"/>
      <c r="Z35" s="19"/>
      <c r="AA35" s="19"/>
      <c r="AB35" s="19"/>
      <c r="AC35" s="19"/>
      <c r="AD35" s="19"/>
    </row>
    <row r="36" spans="2:30">
      <c r="B36" s="28"/>
      <c r="C36" s="3"/>
      <c r="D36" s="47"/>
      <c r="E36" s="28"/>
      <c r="F36" s="28"/>
      <c r="G36" s="28"/>
      <c r="H36" s="29"/>
      <c r="I36" s="14"/>
      <c r="K36" s="3"/>
      <c r="M36" s="3"/>
      <c r="N36" s="3"/>
      <c r="O36" s="52"/>
      <c r="P36" s="3"/>
      <c r="Y36" s="19"/>
      <c r="Z36" s="19"/>
      <c r="AA36" s="19"/>
      <c r="AB36" s="19"/>
      <c r="AC36" s="19"/>
      <c r="AD36" s="19"/>
    </row>
    <row r="37" spans="2:30">
      <c r="B37" s="28"/>
      <c r="C37" s="3"/>
      <c r="D37" s="47"/>
      <c r="E37" s="28"/>
      <c r="F37" s="28"/>
      <c r="G37" s="28"/>
      <c r="H37" s="29"/>
      <c r="I37" s="14"/>
      <c r="K37" s="3"/>
      <c r="M37" s="3"/>
      <c r="N37" s="3"/>
      <c r="O37" s="52"/>
      <c r="P37" s="3"/>
      <c r="Y37" s="19"/>
      <c r="Z37" s="19"/>
      <c r="AA37" s="19"/>
      <c r="AB37" s="19"/>
      <c r="AC37" s="19"/>
      <c r="AD37" s="19"/>
    </row>
    <row r="38" spans="2:30">
      <c r="B38" s="28"/>
      <c r="C38" s="3"/>
      <c r="D38" s="47"/>
      <c r="E38" s="28"/>
      <c r="F38" s="28"/>
      <c r="G38" s="28"/>
      <c r="H38" s="29"/>
      <c r="I38" s="14"/>
      <c r="K38" s="3"/>
      <c r="M38" s="3"/>
      <c r="N38" s="3"/>
      <c r="O38" s="52"/>
      <c r="P38" s="3"/>
      <c r="Y38" s="19"/>
      <c r="Z38" s="19"/>
      <c r="AA38" s="19"/>
      <c r="AB38" s="19"/>
      <c r="AC38" s="19"/>
      <c r="AD38" s="19"/>
    </row>
    <row r="39" spans="2:30">
      <c r="B39" s="28"/>
      <c r="C39" s="3"/>
      <c r="D39" s="47"/>
      <c r="E39" s="28"/>
      <c r="F39" s="28"/>
      <c r="G39" s="28"/>
      <c r="H39" s="29"/>
      <c r="I39" s="14"/>
      <c r="K39" s="3"/>
      <c r="M39" s="3"/>
      <c r="N39" s="3"/>
      <c r="O39" s="52"/>
      <c r="P39" s="3"/>
      <c r="Y39" s="19"/>
      <c r="Z39" s="19"/>
      <c r="AA39" s="19"/>
      <c r="AB39" s="19"/>
      <c r="AC39" s="19"/>
      <c r="AD39" s="19"/>
    </row>
    <row r="40" spans="2:30">
      <c r="B40" s="28"/>
      <c r="C40" s="3"/>
      <c r="D40" s="47"/>
      <c r="E40" s="28"/>
      <c r="F40" s="28"/>
      <c r="G40" s="28"/>
      <c r="H40" s="29"/>
      <c r="I40" s="14"/>
      <c r="K40" s="3"/>
      <c r="M40" s="3"/>
      <c r="N40" s="3"/>
      <c r="O40" s="52"/>
      <c r="P40" s="3"/>
    </row>
    <row r="41" spans="2:30">
      <c r="B41" s="28"/>
      <c r="C41" s="3"/>
      <c r="D41" s="47"/>
      <c r="E41" s="28"/>
      <c r="F41" s="28"/>
      <c r="G41" s="28"/>
      <c r="H41" s="29"/>
      <c r="I41" s="14"/>
      <c r="K41" s="3"/>
      <c r="M41" s="3"/>
      <c r="N41" s="3"/>
      <c r="O41" s="52"/>
      <c r="P41" s="3"/>
    </row>
    <row r="42" spans="2:30">
      <c r="B42" s="28"/>
      <c r="C42" s="3"/>
      <c r="D42" s="47"/>
      <c r="E42" s="28"/>
      <c r="F42" s="28"/>
      <c r="G42" s="28"/>
      <c r="H42" s="29"/>
      <c r="I42" s="14"/>
      <c r="K42" s="3"/>
      <c r="M42" s="3"/>
      <c r="N42" s="3"/>
      <c r="O42" s="52"/>
      <c r="P42" s="3"/>
    </row>
    <row r="43" spans="2:30">
      <c r="B43" s="28"/>
      <c r="C43" s="3"/>
      <c r="D43" s="47"/>
      <c r="E43" s="28"/>
      <c r="F43" s="28"/>
      <c r="G43" s="28"/>
      <c r="H43" s="29"/>
      <c r="I43" s="14"/>
      <c r="K43" s="3"/>
      <c r="M43" s="3"/>
      <c r="N43" s="3"/>
      <c r="O43" s="52"/>
      <c r="P43" s="3"/>
    </row>
    <row r="44" spans="2:30">
      <c r="B44" s="28"/>
      <c r="C44" s="3"/>
      <c r="D44" s="47"/>
      <c r="E44" s="28"/>
      <c r="F44" s="28"/>
      <c r="G44" s="28"/>
      <c r="H44" s="29"/>
      <c r="I44" s="14"/>
      <c r="K44" s="3"/>
      <c r="M44" s="3"/>
      <c r="N44" s="3"/>
      <c r="O44" s="52"/>
      <c r="P44" s="3"/>
    </row>
    <row r="45" spans="2:30">
      <c r="B45" s="28"/>
      <c r="C45" s="3"/>
      <c r="D45" s="47"/>
      <c r="E45" s="28"/>
      <c r="F45" s="28"/>
      <c r="G45" s="28"/>
      <c r="H45" s="29"/>
      <c r="I45" s="14"/>
      <c r="K45" s="3"/>
      <c r="M45" s="3"/>
      <c r="N45" s="3"/>
      <c r="O45" s="52"/>
      <c r="P45" s="3"/>
    </row>
    <row r="46" spans="2:30">
      <c r="B46" s="28"/>
      <c r="C46" s="3"/>
      <c r="D46" s="47"/>
      <c r="E46" s="28"/>
      <c r="F46" s="28"/>
      <c r="G46" s="28"/>
      <c r="H46" s="29"/>
      <c r="I46" s="14"/>
      <c r="K46" s="3"/>
      <c r="M46" s="3"/>
      <c r="N46" s="3"/>
      <c r="O46" s="52"/>
      <c r="P46" s="3"/>
    </row>
    <row r="47" spans="2:30">
      <c r="B47" s="28"/>
      <c r="C47" s="3"/>
      <c r="D47" s="47"/>
      <c r="E47" s="28"/>
      <c r="F47" s="28"/>
      <c r="G47" s="28"/>
      <c r="H47" s="29"/>
      <c r="I47" s="14"/>
      <c r="K47" s="3"/>
      <c r="M47" s="3"/>
      <c r="N47" s="3"/>
      <c r="O47" s="52"/>
      <c r="P47" s="3"/>
    </row>
    <row r="48" spans="2:30">
      <c r="B48" s="28"/>
      <c r="C48" s="3"/>
      <c r="D48" s="47"/>
      <c r="E48" s="28"/>
      <c r="F48" s="28"/>
      <c r="G48" s="28"/>
      <c r="H48" s="29"/>
      <c r="I48" s="14"/>
      <c r="K48" s="3"/>
      <c r="M48" s="3"/>
      <c r="N48" s="3"/>
      <c r="O48" s="52"/>
      <c r="P48" s="3"/>
    </row>
    <row r="49" spans="2:16">
      <c r="B49" s="28"/>
      <c r="C49" s="3"/>
      <c r="D49" s="47"/>
      <c r="E49" s="28"/>
      <c r="F49" s="28"/>
      <c r="G49" s="28"/>
      <c r="H49" s="29"/>
      <c r="I49" s="14"/>
      <c r="K49" s="3"/>
      <c r="M49" s="3"/>
      <c r="N49" s="3"/>
      <c r="O49" s="52"/>
      <c r="P49" s="3"/>
    </row>
    <row r="50" spans="2:16">
      <c r="B50" s="28"/>
      <c r="C50" s="3"/>
      <c r="D50" s="47"/>
      <c r="E50" s="28"/>
      <c r="F50" s="28"/>
      <c r="G50" s="28"/>
      <c r="H50" s="29"/>
      <c r="I50" s="14"/>
      <c r="K50" s="3"/>
      <c r="M50" s="3"/>
      <c r="N50" s="3"/>
      <c r="O50" s="52"/>
      <c r="P50" s="3"/>
    </row>
    <row r="51" spans="2:16">
      <c r="B51" s="28"/>
      <c r="C51" s="3"/>
      <c r="D51" s="47"/>
      <c r="E51" s="28"/>
      <c r="F51" s="28"/>
      <c r="G51" s="28"/>
      <c r="H51" s="29"/>
      <c r="I51" s="14"/>
      <c r="K51" s="3"/>
      <c r="M51" s="3"/>
      <c r="N51" s="3"/>
      <c r="O51" s="52"/>
      <c r="P51" s="3"/>
    </row>
    <row r="52" spans="2:16">
      <c r="B52" s="28"/>
      <c r="C52" s="3"/>
      <c r="D52" s="47"/>
      <c r="E52" s="28"/>
      <c r="F52" s="28"/>
      <c r="G52" s="28"/>
      <c r="H52" s="29"/>
      <c r="I52" s="14"/>
      <c r="K52" s="3"/>
      <c r="M52" s="3"/>
      <c r="N52" s="3"/>
      <c r="O52" s="52"/>
      <c r="P52" s="3"/>
    </row>
    <row r="53" spans="2:16">
      <c r="B53" s="28"/>
      <c r="C53" s="3"/>
      <c r="D53" s="47"/>
      <c r="E53" s="28"/>
      <c r="F53" s="28"/>
      <c r="G53" s="28"/>
      <c r="H53" s="29"/>
      <c r="I53" s="14"/>
      <c r="K53" s="3"/>
      <c r="M53" s="3"/>
      <c r="N53" s="3"/>
      <c r="O53" s="52"/>
      <c r="P53" s="3"/>
    </row>
    <row r="54" spans="2:16">
      <c r="B54" s="28"/>
      <c r="C54" s="3"/>
      <c r="D54" s="47"/>
      <c r="E54" s="28"/>
      <c r="F54" s="28"/>
      <c r="G54" s="28"/>
      <c r="H54" s="29"/>
      <c r="I54" s="14"/>
      <c r="K54" s="3"/>
      <c r="M54" s="3"/>
      <c r="N54" s="3"/>
      <c r="O54" s="52"/>
      <c r="P54" s="3"/>
    </row>
    <row r="55" spans="2:16">
      <c r="B55" s="28"/>
      <c r="C55" s="3"/>
      <c r="D55" s="47"/>
      <c r="E55" s="28"/>
      <c r="F55" s="28"/>
      <c r="G55" s="28"/>
      <c r="H55" s="29"/>
      <c r="I55" s="14"/>
      <c r="K55" s="3"/>
      <c r="M55" s="3"/>
      <c r="N55" s="3"/>
      <c r="O55" s="52"/>
      <c r="P55" s="3"/>
    </row>
    <row r="56" spans="2:16">
      <c r="B56" s="28"/>
      <c r="C56" s="3"/>
      <c r="D56" s="47"/>
      <c r="E56" s="28"/>
      <c r="F56" s="28"/>
      <c r="G56" s="28"/>
      <c r="H56" s="29"/>
      <c r="I56" s="14"/>
      <c r="K56" s="3"/>
      <c r="M56" s="3"/>
      <c r="N56" s="3"/>
      <c r="O56" s="52"/>
      <c r="P56" s="3"/>
    </row>
    <row r="57" spans="2:16">
      <c r="B57" s="28"/>
      <c r="C57" s="3"/>
      <c r="D57" s="47"/>
      <c r="E57" s="28"/>
      <c r="F57" s="28"/>
      <c r="G57" s="28"/>
      <c r="H57" s="29"/>
      <c r="I57" s="14"/>
      <c r="K57" s="3"/>
      <c r="M57" s="3"/>
      <c r="N57" s="3"/>
      <c r="O57" s="52"/>
      <c r="P57" s="3"/>
    </row>
    <row r="58" spans="2:16">
      <c r="B58" s="28"/>
      <c r="C58" s="3"/>
      <c r="D58" s="47"/>
      <c r="E58" s="28"/>
      <c r="F58" s="28"/>
      <c r="G58" s="28"/>
      <c r="H58" s="29"/>
      <c r="I58" s="14"/>
      <c r="K58" s="3"/>
      <c r="M58" s="3"/>
      <c r="N58" s="3"/>
      <c r="O58" s="52"/>
      <c r="P58" s="3"/>
    </row>
    <row r="59" spans="2:16">
      <c r="B59" s="28"/>
      <c r="C59" s="3"/>
      <c r="D59" s="47"/>
      <c r="E59" s="28"/>
      <c r="F59" s="28"/>
      <c r="G59" s="28"/>
      <c r="H59" s="29"/>
      <c r="I59" s="14"/>
      <c r="K59" s="3"/>
      <c r="M59" s="3"/>
      <c r="N59" s="3"/>
      <c r="O59" s="52"/>
      <c r="P59" s="3"/>
    </row>
    <row r="60" spans="2:16">
      <c r="B60" s="28"/>
      <c r="C60" s="3"/>
      <c r="D60" s="47"/>
      <c r="E60" s="28"/>
      <c r="F60" s="28"/>
      <c r="G60" s="28"/>
      <c r="H60" s="29"/>
      <c r="I60" s="14"/>
      <c r="K60" s="3"/>
      <c r="M60" s="3"/>
      <c r="N60" s="3"/>
      <c r="O60" s="52"/>
      <c r="P60" s="3"/>
    </row>
    <row r="61" spans="2:16">
      <c r="B61" s="28"/>
      <c r="C61" s="3"/>
      <c r="D61" s="47"/>
      <c r="E61" s="28"/>
      <c r="F61" s="28"/>
      <c r="G61" s="28"/>
      <c r="H61" s="29"/>
      <c r="I61" s="14"/>
      <c r="K61" s="3"/>
      <c r="M61" s="3"/>
      <c r="N61" s="3"/>
      <c r="O61" s="52"/>
      <c r="P61" s="3"/>
    </row>
    <row r="62" spans="2:16">
      <c r="B62" s="28"/>
      <c r="C62" s="3"/>
      <c r="D62" s="47"/>
      <c r="E62" s="28"/>
      <c r="F62" s="28"/>
      <c r="G62" s="28"/>
      <c r="H62" s="29"/>
      <c r="I62" s="14"/>
      <c r="K62" s="3"/>
      <c r="M62" s="3"/>
      <c r="N62" s="3"/>
      <c r="O62" s="52"/>
      <c r="P62" s="3"/>
    </row>
    <row r="63" spans="2:16">
      <c r="B63" s="28"/>
      <c r="C63" s="3"/>
      <c r="D63" s="47"/>
      <c r="E63" s="28"/>
      <c r="F63" s="28"/>
      <c r="G63" s="28"/>
      <c r="H63" s="29"/>
      <c r="I63" s="14"/>
      <c r="K63" s="3"/>
      <c r="M63" s="3"/>
      <c r="N63" s="3"/>
      <c r="O63" s="52"/>
      <c r="P63" s="3"/>
    </row>
    <row r="64" spans="2:16">
      <c r="B64" s="28"/>
      <c r="C64" s="3"/>
      <c r="D64" s="47"/>
      <c r="E64" s="28"/>
      <c r="F64" s="28"/>
      <c r="G64" s="28"/>
      <c r="H64" s="29"/>
      <c r="I64" s="14"/>
      <c r="K64" s="3"/>
      <c r="M64" s="3"/>
      <c r="N64" s="3"/>
      <c r="O64" s="52"/>
      <c r="P64" s="3"/>
    </row>
    <row r="65" spans="2:16">
      <c r="B65" s="28"/>
      <c r="C65" s="3"/>
      <c r="D65" s="47"/>
      <c r="E65" s="28"/>
      <c r="F65" s="28"/>
      <c r="G65" s="28"/>
      <c r="H65" s="29"/>
      <c r="I65" s="14"/>
      <c r="K65" s="3"/>
      <c r="M65" s="3"/>
      <c r="N65" s="3"/>
      <c r="O65" s="52"/>
      <c r="P65" s="3"/>
    </row>
    <row r="66" spans="2:16">
      <c r="B66" s="28"/>
      <c r="C66" s="3"/>
      <c r="D66" s="47"/>
      <c r="E66" s="28"/>
      <c r="F66" s="28"/>
      <c r="G66" s="28"/>
      <c r="H66" s="29"/>
      <c r="I66" s="14"/>
      <c r="K66" s="3"/>
      <c r="M66" s="3"/>
      <c r="N66" s="3"/>
      <c r="O66" s="52"/>
      <c r="P66" s="3"/>
    </row>
    <row r="67" spans="2:16">
      <c r="B67" s="28"/>
      <c r="C67" s="3"/>
      <c r="D67" s="47"/>
      <c r="E67" s="28"/>
      <c r="F67" s="28"/>
      <c r="G67" s="28"/>
      <c r="H67" s="29"/>
      <c r="I67" s="14"/>
      <c r="K67" s="3"/>
      <c r="M67" s="3"/>
      <c r="N67" s="3"/>
      <c r="O67" s="52"/>
      <c r="P67" s="3"/>
    </row>
    <row r="68" spans="2:16">
      <c r="B68" s="28"/>
      <c r="C68" s="3"/>
      <c r="D68" s="47"/>
      <c r="E68" s="28"/>
      <c r="F68" s="28"/>
      <c r="G68" s="28"/>
      <c r="H68" s="29"/>
      <c r="I68" s="14"/>
      <c r="K68" s="3"/>
      <c r="M68" s="3"/>
      <c r="N68" s="3"/>
      <c r="O68" s="52"/>
      <c r="P68" s="3"/>
    </row>
    <row r="69" spans="2:16">
      <c r="B69" s="28"/>
      <c r="C69" s="3"/>
      <c r="D69" s="47"/>
      <c r="E69" s="28"/>
      <c r="F69" s="28"/>
      <c r="G69" s="28"/>
      <c r="H69" s="29"/>
      <c r="I69" s="14"/>
      <c r="K69" s="3"/>
      <c r="M69" s="3"/>
      <c r="N69" s="3"/>
      <c r="O69" s="52"/>
      <c r="P69" s="3"/>
    </row>
    <row r="70" spans="2:16">
      <c r="B70" s="28"/>
      <c r="C70" s="3"/>
      <c r="D70" s="47"/>
      <c r="E70" s="28"/>
      <c r="F70" s="28"/>
      <c r="G70" s="28"/>
      <c r="H70" s="29"/>
      <c r="I70" s="14"/>
      <c r="K70" s="3"/>
      <c r="M70" s="3"/>
      <c r="N70" s="3"/>
      <c r="O70" s="52"/>
      <c r="P70" s="3"/>
    </row>
    <row r="71" spans="2:16">
      <c r="B71" s="28"/>
      <c r="C71" s="3"/>
      <c r="D71" s="47"/>
      <c r="E71" s="28"/>
      <c r="F71" s="28"/>
      <c r="G71" s="28"/>
      <c r="H71" s="29"/>
      <c r="I71" s="14"/>
      <c r="K71" s="3"/>
      <c r="M71" s="3"/>
      <c r="N71" s="3"/>
      <c r="O71" s="52"/>
      <c r="P71" s="3"/>
    </row>
    <row r="72" spans="2:16">
      <c r="B72" s="28"/>
      <c r="C72" s="3"/>
      <c r="D72" s="47"/>
      <c r="E72" s="28"/>
      <c r="F72" s="28"/>
      <c r="G72" s="28"/>
      <c r="H72" s="29"/>
      <c r="I72" s="14"/>
      <c r="K72" s="3"/>
      <c r="M72" s="3"/>
      <c r="N72" s="3"/>
      <c r="O72" s="52"/>
      <c r="P72" s="3"/>
    </row>
    <row r="73" spans="2:16">
      <c r="B73" s="28"/>
      <c r="C73" s="3"/>
      <c r="D73" s="47"/>
      <c r="E73" s="28"/>
      <c r="F73" s="28"/>
      <c r="G73" s="28"/>
      <c r="H73" s="29"/>
      <c r="I73" s="14"/>
      <c r="K73" s="3"/>
      <c r="M73" s="3"/>
      <c r="N73" s="3"/>
      <c r="O73" s="52"/>
      <c r="P73" s="3"/>
    </row>
    <row r="74" spans="2:16">
      <c r="B74" s="28"/>
      <c r="C74" s="3"/>
      <c r="D74" s="47"/>
      <c r="E74" s="28"/>
      <c r="F74" s="28"/>
      <c r="G74" s="28"/>
      <c r="H74" s="29"/>
      <c r="I74" s="14"/>
      <c r="K74" s="3"/>
      <c r="M74" s="3"/>
      <c r="N74" s="3"/>
      <c r="O74" s="52"/>
      <c r="P74" s="3"/>
    </row>
    <row r="75" spans="2:16">
      <c r="B75" s="28"/>
      <c r="C75" s="3"/>
      <c r="D75" s="47"/>
      <c r="E75" s="28"/>
      <c r="F75" s="28"/>
      <c r="G75" s="28"/>
      <c r="H75" s="29"/>
      <c r="I75" s="14"/>
      <c r="K75" s="3"/>
      <c r="M75" s="3"/>
      <c r="N75" s="3"/>
      <c r="O75" s="52"/>
      <c r="P75" s="3"/>
    </row>
    <row r="76" spans="2:16">
      <c r="B76" s="28"/>
      <c r="C76" s="3"/>
      <c r="D76" s="47"/>
      <c r="E76" s="28"/>
      <c r="F76" s="28"/>
      <c r="G76" s="28"/>
      <c r="H76" s="29"/>
      <c r="I76" s="14"/>
      <c r="K76" s="3"/>
      <c r="M76" s="3"/>
      <c r="N76" s="3"/>
      <c r="O76" s="52"/>
      <c r="P76" s="3"/>
    </row>
    <row r="77" spans="2:16">
      <c r="B77" s="28"/>
      <c r="C77" s="3"/>
      <c r="D77" s="47"/>
      <c r="E77" s="28"/>
      <c r="F77" s="28"/>
      <c r="G77" s="28"/>
      <c r="H77" s="29"/>
      <c r="I77" s="14"/>
      <c r="K77" s="3"/>
      <c r="M77" s="3"/>
      <c r="N77" s="3"/>
      <c r="O77" s="52"/>
      <c r="P77" s="3"/>
    </row>
    <row r="78" spans="2:16">
      <c r="B78" s="28"/>
      <c r="C78" s="3"/>
      <c r="D78" s="47"/>
      <c r="E78" s="28"/>
      <c r="F78" s="28"/>
      <c r="G78" s="28"/>
      <c r="H78" s="29"/>
      <c r="I78" s="14"/>
      <c r="K78" s="3"/>
      <c r="M78" s="3"/>
      <c r="N78" s="3"/>
      <c r="O78" s="52"/>
      <c r="P78" s="3"/>
    </row>
    <row r="79" spans="2:16">
      <c r="B79" s="28"/>
      <c r="C79" s="3"/>
      <c r="D79" s="47"/>
      <c r="E79" s="28"/>
      <c r="F79" s="28"/>
      <c r="G79" s="28"/>
      <c r="H79" s="29"/>
      <c r="I79" s="14"/>
      <c r="K79" s="3"/>
      <c r="M79" s="3"/>
      <c r="N79" s="3"/>
      <c r="O79" s="52"/>
      <c r="P79" s="3"/>
    </row>
    <row r="80" spans="2:16">
      <c r="B80" s="28"/>
      <c r="C80" s="3"/>
      <c r="D80" s="47"/>
      <c r="E80" s="28"/>
      <c r="F80" s="28"/>
      <c r="G80" s="28"/>
      <c r="H80" s="29"/>
      <c r="I80" s="14"/>
      <c r="K80" s="3"/>
      <c r="M80" s="3"/>
      <c r="N80" s="3"/>
      <c r="O80" s="52"/>
      <c r="P80" s="3"/>
    </row>
    <row r="81" spans="2:16">
      <c r="B81" s="28"/>
      <c r="C81" s="3"/>
      <c r="D81" s="47"/>
      <c r="E81" s="28"/>
      <c r="F81" s="28"/>
      <c r="G81" s="28"/>
      <c r="H81" s="29"/>
      <c r="I81" s="14"/>
      <c r="K81" s="3"/>
      <c r="M81" s="3"/>
      <c r="N81" s="3"/>
      <c r="O81" s="52"/>
      <c r="P81" s="3"/>
    </row>
    <row r="82" spans="2:16">
      <c r="B82" s="28"/>
      <c r="C82" s="3"/>
      <c r="D82" s="47"/>
      <c r="E82" s="28"/>
      <c r="F82" s="28"/>
      <c r="G82" s="28"/>
      <c r="H82" s="29"/>
      <c r="I82" s="14"/>
      <c r="K82" s="3"/>
      <c r="M82" s="3"/>
      <c r="N82" s="3"/>
      <c r="O82" s="52"/>
      <c r="P82" s="3"/>
    </row>
    <row r="83" spans="2:16">
      <c r="B83" s="28"/>
      <c r="C83" s="3"/>
      <c r="D83" s="47"/>
      <c r="E83" s="28"/>
      <c r="F83" s="28"/>
      <c r="G83" s="28"/>
      <c r="H83" s="29"/>
      <c r="I83" s="14"/>
      <c r="K83" s="3"/>
      <c r="M83" s="3"/>
      <c r="N83" s="3"/>
      <c r="O83" s="52"/>
      <c r="P83" s="3"/>
    </row>
    <row r="84" spans="2:16">
      <c r="B84" s="28"/>
      <c r="C84" s="3"/>
      <c r="D84" s="47"/>
      <c r="E84" s="28"/>
      <c r="F84" s="28"/>
      <c r="G84" s="28"/>
      <c r="H84" s="29"/>
      <c r="I84" s="14"/>
      <c r="K84" s="3"/>
      <c r="M84" s="3"/>
      <c r="N84" s="3"/>
      <c r="O84" s="52"/>
      <c r="P84" s="3"/>
    </row>
    <row r="85" spans="2:16">
      <c r="B85" s="28"/>
      <c r="C85" s="3"/>
      <c r="D85" s="47"/>
      <c r="E85" s="28"/>
      <c r="F85" s="28"/>
      <c r="G85" s="28"/>
      <c r="H85" s="29"/>
      <c r="I85" s="14"/>
      <c r="K85" s="3"/>
      <c r="M85" s="3"/>
      <c r="N85" s="3"/>
      <c r="O85" s="52"/>
      <c r="P85" s="3"/>
    </row>
    <row r="86" spans="2:16">
      <c r="B86" s="28"/>
      <c r="C86" s="3"/>
      <c r="D86" s="47"/>
      <c r="E86" s="28"/>
      <c r="F86" s="28"/>
      <c r="G86" s="28"/>
      <c r="H86" s="29"/>
      <c r="I86" s="14"/>
      <c r="K86" s="3"/>
      <c r="M86" s="3"/>
      <c r="N86" s="3"/>
      <c r="O86" s="52"/>
      <c r="P86" s="3"/>
    </row>
    <row r="87" spans="2:16">
      <c r="B87" s="28"/>
      <c r="C87" s="3"/>
      <c r="D87" s="47"/>
      <c r="E87" s="28"/>
      <c r="F87" s="28"/>
      <c r="G87" s="28"/>
      <c r="H87" s="29"/>
      <c r="I87" s="14"/>
      <c r="K87" s="3"/>
      <c r="M87" s="3"/>
      <c r="N87" s="3"/>
      <c r="O87" s="52"/>
      <c r="P87" s="3"/>
    </row>
    <row r="88" spans="2:16">
      <c r="B88" s="28"/>
      <c r="C88" s="3"/>
      <c r="D88" s="47"/>
      <c r="E88" s="28"/>
      <c r="F88" s="28"/>
      <c r="G88" s="28"/>
      <c r="H88" s="29"/>
      <c r="I88" s="14"/>
      <c r="K88" s="3"/>
      <c r="M88" s="3"/>
      <c r="N88" s="3"/>
      <c r="O88" s="52"/>
      <c r="P88" s="3"/>
    </row>
    <row r="89" spans="2:16">
      <c r="B89" s="28"/>
      <c r="C89" s="3"/>
      <c r="D89" s="47"/>
      <c r="E89" s="28"/>
      <c r="F89" s="28"/>
      <c r="G89" s="28"/>
      <c r="H89" s="29"/>
      <c r="I89" s="14"/>
      <c r="K89" s="3"/>
      <c r="M89" s="3"/>
      <c r="N89" s="3"/>
      <c r="O89" s="52"/>
      <c r="P89" s="3"/>
    </row>
    <row r="90" spans="2:16">
      <c r="B90" s="28"/>
      <c r="C90" s="3"/>
      <c r="D90" s="47"/>
      <c r="E90" s="28"/>
      <c r="F90" s="28"/>
      <c r="G90" s="28"/>
      <c r="H90" s="29"/>
      <c r="I90" s="14"/>
      <c r="K90" s="3"/>
      <c r="M90" s="3"/>
      <c r="N90" s="3"/>
      <c r="O90" s="52"/>
      <c r="P90" s="3"/>
    </row>
    <row r="91" spans="2:16">
      <c r="B91" s="28"/>
      <c r="C91" s="3"/>
      <c r="D91" s="47"/>
      <c r="E91" s="28"/>
      <c r="F91" s="28"/>
      <c r="G91" s="28"/>
      <c r="H91" s="29"/>
      <c r="I91" s="14"/>
      <c r="K91" s="3"/>
      <c r="M91" s="3"/>
      <c r="N91" s="3"/>
      <c r="O91" s="52"/>
      <c r="P91" s="3"/>
    </row>
    <row r="92" spans="2:16">
      <c r="B92" s="28"/>
      <c r="C92" s="3"/>
      <c r="D92" s="47"/>
      <c r="E92" s="28"/>
      <c r="F92" s="28"/>
      <c r="G92" s="28"/>
      <c r="H92" s="29"/>
      <c r="I92" s="14"/>
      <c r="K92" s="3"/>
      <c r="M92" s="3"/>
      <c r="N92" s="3"/>
      <c r="O92" s="52"/>
      <c r="P92" s="3"/>
    </row>
    <row r="93" spans="2:16">
      <c r="B93" s="28"/>
      <c r="C93" s="3"/>
      <c r="D93" s="47"/>
      <c r="E93" s="28"/>
      <c r="F93" s="28"/>
      <c r="G93" s="28"/>
      <c r="H93" s="29"/>
      <c r="I93" s="14"/>
      <c r="K93" s="3"/>
      <c r="M93" s="3"/>
      <c r="N93" s="3"/>
      <c r="O93" s="52"/>
      <c r="P93" s="3"/>
    </row>
    <row r="94" spans="2:16">
      <c r="B94" s="28"/>
      <c r="C94" s="3"/>
      <c r="D94" s="47"/>
      <c r="E94" s="28"/>
      <c r="F94" s="28"/>
      <c r="G94" s="28"/>
      <c r="H94" s="29"/>
      <c r="I94" s="14"/>
      <c r="K94" s="3"/>
      <c r="M94" s="3"/>
      <c r="N94" s="3"/>
      <c r="O94" s="52"/>
      <c r="P94" s="3"/>
    </row>
    <row r="95" spans="2:16">
      <c r="B95" s="28"/>
      <c r="C95" s="3"/>
      <c r="D95" s="47"/>
      <c r="E95" s="28"/>
      <c r="F95" s="28"/>
      <c r="G95" s="28"/>
      <c r="H95" s="29"/>
      <c r="I95" s="14"/>
      <c r="K95" s="3"/>
      <c r="M95" s="3"/>
      <c r="N95" s="3"/>
      <c r="O95" s="52"/>
      <c r="P95" s="3"/>
    </row>
    <row r="96" spans="2:16">
      <c r="B96" s="28"/>
      <c r="C96" s="3"/>
      <c r="D96" s="47"/>
      <c r="E96" s="28"/>
      <c r="F96" s="28"/>
      <c r="G96" s="28"/>
      <c r="H96" s="29"/>
      <c r="I96" s="14"/>
      <c r="K96" s="3"/>
      <c r="M96" s="3"/>
      <c r="N96" s="3"/>
      <c r="O96" s="52"/>
      <c r="P96" s="3"/>
    </row>
    <row r="97" spans="2:16">
      <c r="B97" s="28"/>
      <c r="C97" s="3"/>
      <c r="D97" s="47"/>
      <c r="E97" s="28"/>
      <c r="F97" s="28"/>
      <c r="G97" s="28"/>
      <c r="H97" s="29"/>
      <c r="I97" s="14"/>
      <c r="K97" s="3"/>
      <c r="M97" s="3"/>
      <c r="N97" s="3"/>
      <c r="O97" s="52"/>
      <c r="P97" s="3"/>
    </row>
    <row r="98" spans="2:16">
      <c r="B98" s="28"/>
      <c r="C98" s="3"/>
      <c r="D98" s="47"/>
      <c r="E98" s="28"/>
      <c r="F98" s="28"/>
      <c r="G98" s="28"/>
      <c r="H98" s="29"/>
      <c r="I98" s="14"/>
      <c r="K98" s="3"/>
      <c r="M98" s="3"/>
      <c r="N98" s="3"/>
      <c r="O98" s="52"/>
      <c r="P98" s="3"/>
    </row>
    <row r="99" spans="2:16">
      <c r="B99" s="28"/>
      <c r="C99" s="3"/>
      <c r="D99" s="47"/>
      <c r="E99" s="28"/>
      <c r="F99" s="28"/>
      <c r="G99" s="28"/>
      <c r="H99" s="29"/>
      <c r="I99" s="14"/>
      <c r="K99" s="3"/>
      <c r="M99" s="3"/>
      <c r="N99" s="3"/>
      <c r="O99" s="52"/>
      <c r="P99" s="3"/>
    </row>
    <row r="100" spans="2:16">
      <c r="B100" s="28"/>
      <c r="C100" s="3"/>
      <c r="D100" s="47"/>
      <c r="E100" s="28"/>
      <c r="F100" s="28"/>
      <c r="G100" s="28"/>
      <c r="H100" s="29"/>
      <c r="I100" s="14"/>
      <c r="K100" s="3"/>
      <c r="M100" s="3"/>
      <c r="N100" s="3"/>
      <c r="O100" s="52"/>
      <c r="P100" s="3"/>
    </row>
    <row r="101" spans="2:16">
      <c r="B101" s="28"/>
      <c r="C101" s="3"/>
      <c r="D101" s="47"/>
      <c r="E101" s="28"/>
      <c r="F101" s="28"/>
      <c r="G101" s="28"/>
      <c r="H101" s="29"/>
      <c r="I101" s="14"/>
      <c r="K101" s="3"/>
      <c r="M101" s="3"/>
      <c r="N101" s="3"/>
      <c r="O101" s="52"/>
      <c r="P101" s="3"/>
    </row>
    <row r="102" spans="2:16">
      <c r="B102" s="28"/>
      <c r="C102" s="3"/>
      <c r="D102" s="47"/>
      <c r="E102" s="28"/>
      <c r="F102" s="28"/>
      <c r="G102" s="28"/>
      <c r="H102" s="29"/>
      <c r="I102" s="14"/>
      <c r="K102" s="3"/>
      <c r="M102" s="3"/>
      <c r="N102" s="3"/>
      <c r="O102" s="52"/>
      <c r="P102" s="3"/>
    </row>
    <row r="103" spans="2:16">
      <c r="B103" s="28"/>
      <c r="C103" s="3"/>
      <c r="D103" s="47"/>
      <c r="E103" s="28"/>
      <c r="F103" s="28"/>
      <c r="G103" s="28"/>
      <c r="H103" s="29"/>
      <c r="I103" s="14"/>
      <c r="K103" s="3"/>
      <c r="M103" s="3"/>
      <c r="N103" s="3"/>
      <c r="O103" s="52"/>
      <c r="P103" s="3"/>
    </row>
    <row r="104" spans="2:16">
      <c r="B104" s="28"/>
      <c r="C104" s="3"/>
      <c r="D104" s="47"/>
      <c r="E104" s="28"/>
      <c r="F104" s="28"/>
      <c r="G104" s="28"/>
      <c r="H104" s="29"/>
      <c r="I104" s="14"/>
      <c r="K104" s="3"/>
      <c r="M104" s="3"/>
      <c r="N104" s="3"/>
      <c r="O104" s="52"/>
      <c r="P104" s="3"/>
    </row>
    <row r="105" spans="2:16">
      <c r="B105" s="28"/>
      <c r="C105" s="3"/>
      <c r="D105" s="47"/>
      <c r="E105" s="28"/>
      <c r="F105" s="28"/>
      <c r="G105" s="28"/>
      <c r="H105" s="29"/>
      <c r="I105" s="14"/>
      <c r="K105" s="3"/>
      <c r="M105" s="3"/>
      <c r="N105" s="3"/>
      <c r="O105" s="52"/>
      <c r="P105" s="3"/>
    </row>
    <row r="106" spans="2:16">
      <c r="B106" s="28"/>
      <c r="C106" s="3"/>
      <c r="D106" s="47"/>
      <c r="E106" s="28"/>
      <c r="F106" s="28"/>
      <c r="G106" s="28"/>
      <c r="H106" s="29"/>
      <c r="I106" s="14"/>
      <c r="K106" s="3"/>
      <c r="M106" s="3"/>
      <c r="N106" s="3"/>
      <c r="O106" s="52"/>
      <c r="P106" s="3"/>
    </row>
    <row r="107" spans="2:16">
      <c r="B107" s="28"/>
      <c r="C107" s="3"/>
      <c r="D107" s="47"/>
      <c r="E107" s="28"/>
      <c r="F107" s="28"/>
      <c r="G107" s="28"/>
      <c r="H107" s="29"/>
      <c r="I107" s="14"/>
      <c r="K107" s="3"/>
      <c r="M107" s="3"/>
      <c r="N107" s="3"/>
      <c r="O107" s="52"/>
      <c r="P107" s="3"/>
    </row>
    <row r="108" spans="2:16">
      <c r="B108" s="28"/>
      <c r="C108" s="3"/>
      <c r="D108" s="47"/>
      <c r="E108" s="28"/>
      <c r="F108" s="28"/>
      <c r="G108" s="28"/>
      <c r="H108" s="29"/>
      <c r="I108" s="14"/>
      <c r="K108" s="3"/>
      <c r="M108" s="3"/>
      <c r="N108" s="3"/>
      <c r="O108" s="52"/>
      <c r="P108" s="3"/>
    </row>
    <row r="109" spans="2:16">
      <c r="B109" s="28"/>
      <c r="C109" s="3"/>
      <c r="D109" s="47"/>
      <c r="E109" s="28"/>
      <c r="F109" s="28"/>
      <c r="G109" s="28"/>
      <c r="H109" s="29"/>
      <c r="I109" s="14"/>
      <c r="K109" s="3"/>
      <c r="M109" s="3"/>
      <c r="N109" s="3"/>
      <c r="O109" s="52"/>
      <c r="P109" s="3"/>
    </row>
    <row r="110" spans="2:16">
      <c r="B110" s="28"/>
      <c r="C110" s="3"/>
      <c r="D110" s="47"/>
      <c r="E110" s="28"/>
      <c r="F110" s="28"/>
      <c r="G110" s="28"/>
      <c r="H110" s="29"/>
      <c r="I110" s="14"/>
      <c r="K110" s="3"/>
      <c r="M110" s="3"/>
      <c r="N110" s="3"/>
      <c r="O110" s="52"/>
      <c r="P110" s="3"/>
    </row>
    <row r="111" spans="2:16">
      <c r="B111" s="28"/>
      <c r="C111" s="3"/>
      <c r="D111" s="47"/>
      <c r="E111" s="28"/>
      <c r="F111" s="28"/>
      <c r="G111" s="28"/>
      <c r="H111" s="29"/>
      <c r="I111" s="14"/>
      <c r="K111" s="3"/>
      <c r="M111" s="3"/>
      <c r="N111" s="3"/>
      <c r="O111" s="52"/>
      <c r="P111" s="3"/>
    </row>
    <row r="112" spans="2:16">
      <c r="B112" s="28"/>
      <c r="C112" s="3"/>
      <c r="D112" s="47"/>
      <c r="E112" s="28"/>
      <c r="F112" s="28"/>
      <c r="G112" s="28"/>
      <c r="H112" s="29"/>
      <c r="I112" s="14"/>
      <c r="K112" s="3"/>
      <c r="M112" s="3"/>
      <c r="N112" s="3"/>
      <c r="O112" s="52"/>
      <c r="P112" s="3"/>
    </row>
    <row r="113" spans="2:16">
      <c r="B113" s="28"/>
      <c r="C113" s="3"/>
      <c r="D113" s="47"/>
      <c r="E113" s="28"/>
      <c r="F113" s="28"/>
      <c r="G113" s="28"/>
      <c r="H113" s="29"/>
      <c r="I113" s="14"/>
      <c r="K113" s="3"/>
      <c r="M113" s="3"/>
      <c r="N113" s="3"/>
      <c r="O113" s="52"/>
      <c r="P113" s="3"/>
    </row>
    <row r="114" spans="2:16">
      <c r="B114" s="28"/>
      <c r="C114" s="3"/>
      <c r="D114" s="47"/>
      <c r="E114" s="28"/>
      <c r="F114" s="28"/>
      <c r="G114" s="28"/>
      <c r="H114" s="29"/>
      <c r="I114" s="14"/>
      <c r="K114" s="3"/>
      <c r="M114" s="3"/>
      <c r="N114" s="3"/>
      <c r="O114" s="52"/>
      <c r="P114" s="3"/>
    </row>
    <row r="115" spans="2:16">
      <c r="B115" s="28"/>
      <c r="C115" s="3"/>
      <c r="D115" s="47"/>
      <c r="E115" s="28"/>
      <c r="F115" s="28"/>
      <c r="G115" s="28"/>
      <c r="H115" s="29"/>
      <c r="I115" s="14"/>
      <c r="K115" s="3"/>
      <c r="M115" s="3"/>
      <c r="N115" s="3"/>
      <c r="O115" s="52"/>
      <c r="P115" s="3"/>
    </row>
    <row r="116" spans="2:16">
      <c r="B116" s="28"/>
      <c r="C116" s="3"/>
      <c r="D116" s="47"/>
      <c r="E116" s="28"/>
      <c r="F116" s="28"/>
      <c r="G116" s="28"/>
      <c r="H116" s="29"/>
      <c r="I116" s="14"/>
      <c r="K116" s="3"/>
      <c r="M116" s="3"/>
      <c r="N116" s="3"/>
      <c r="O116" s="52"/>
      <c r="P116" s="3"/>
    </row>
    <row r="117" spans="2:16">
      <c r="B117" s="28"/>
      <c r="C117" s="3"/>
      <c r="D117" s="47"/>
      <c r="E117" s="28"/>
      <c r="F117" s="28"/>
      <c r="G117" s="28"/>
      <c r="H117" s="29"/>
      <c r="I117" s="14"/>
      <c r="K117" s="3"/>
      <c r="M117" s="3"/>
      <c r="N117" s="3"/>
      <c r="O117" s="52"/>
      <c r="P117" s="3"/>
    </row>
    <row r="118" spans="2:16">
      <c r="B118" s="28"/>
      <c r="C118" s="3"/>
      <c r="D118" s="47"/>
      <c r="E118" s="28"/>
      <c r="F118" s="28"/>
      <c r="G118" s="28"/>
      <c r="H118" s="29"/>
      <c r="I118" s="14"/>
      <c r="K118" s="3"/>
      <c r="M118" s="3"/>
      <c r="N118" s="3"/>
      <c r="O118" s="52"/>
      <c r="P118" s="3"/>
    </row>
    <row r="119" spans="2:16">
      <c r="B119" s="28"/>
      <c r="C119" s="3"/>
      <c r="D119" s="47"/>
      <c r="E119" s="28"/>
      <c r="F119" s="28"/>
      <c r="G119" s="28"/>
      <c r="H119" s="29"/>
      <c r="I119" s="14"/>
      <c r="K119" s="3"/>
      <c r="M119" s="3"/>
      <c r="N119" s="3"/>
      <c r="O119" s="52"/>
      <c r="P119" s="3"/>
    </row>
    <row r="120" spans="2:16">
      <c r="B120" s="28"/>
      <c r="C120" s="3"/>
      <c r="D120" s="47"/>
      <c r="E120" s="28"/>
      <c r="F120" s="28"/>
      <c r="G120" s="28"/>
      <c r="H120" s="29"/>
      <c r="I120" s="14"/>
      <c r="K120" s="3"/>
      <c r="M120" s="3"/>
      <c r="N120" s="3"/>
      <c r="O120" s="52"/>
      <c r="P120" s="3"/>
    </row>
    <row r="121" spans="2:16">
      <c r="B121" s="28"/>
      <c r="C121" s="3"/>
      <c r="D121" s="47"/>
      <c r="E121" s="28"/>
      <c r="F121" s="28"/>
      <c r="G121" s="28"/>
      <c r="H121" s="29"/>
      <c r="I121" s="14"/>
      <c r="K121" s="3"/>
      <c r="M121" s="3"/>
      <c r="N121" s="3"/>
      <c r="O121" s="52"/>
      <c r="P121" s="3"/>
    </row>
    <row r="122" spans="2:16">
      <c r="B122" s="28"/>
      <c r="C122" s="3"/>
      <c r="D122" s="47"/>
      <c r="E122" s="28"/>
      <c r="F122" s="28"/>
      <c r="G122" s="28"/>
      <c r="H122" s="29"/>
      <c r="I122" s="14"/>
      <c r="K122" s="3"/>
      <c r="M122" s="3"/>
      <c r="N122" s="3"/>
      <c r="O122" s="52"/>
      <c r="P122" s="3"/>
    </row>
    <row r="123" spans="2:16">
      <c r="B123" s="28"/>
      <c r="C123" s="3"/>
      <c r="D123" s="47"/>
      <c r="E123" s="28"/>
      <c r="F123" s="28"/>
      <c r="G123" s="28"/>
      <c r="H123" s="29"/>
      <c r="I123" s="14"/>
      <c r="K123" s="3"/>
      <c r="M123" s="3"/>
      <c r="N123" s="3"/>
      <c r="O123" s="52"/>
      <c r="P123" s="3"/>
    </row>
    <row r="124" spans="2:16">
      <c r="B124" s="28"/>
      <c r="C124" s="3"/>
      <c r="D124" s="47"/>
      <c r="E124" s="28"/>
      <c r="F124" s="28"/>
      <c r="G124" s="28"/>
      <c r="H124" s="29"/>
      <c r="I124" s="14"/>
      <c r="K124" s="3"/>
      <c r="M124" s="3"/>
      <c r="N124" s="3"/>
      <c r="O124" s="52"/>
      <c r="P124" s="3"/>
    </row>
    <row r="125" spans="2:16">
      <c r="B125" s="28"/>
      <c r="C125" s="3"/>
      <c r="D125" s="47"/>
      <c r="E125" s="28"/>
      <c r="F125" s="28"/>
      <c r="G125" s="28"/>
      <c r="H125" s="29"/>
      <c r="I125" s="14"/>
      <c r="K125" s="3"/>
      <c r="M125" s="3"/>
      <c r="N125" s="3"/>
      <c r="O125" s="52"/>
      <c r="P125" s="3"/>
    </row>
    <row r="126" spans="2:16">
      <c r="B126" s="28"/>
      <c r="C126" s="3"/>
      <c r="D126" s="47"/>
      <c r="E126" s="28"/>
      <c r="F126" s="28"/>
      <c r="G126" s="28"/>
      <c r="H126" s="29"/>
      <c r="I126" s="14"/>
      <c r="K126" s="3"/>
      <c r="M126" s="3"/>
      <c r="N126" s="3"/>
      <c r="O126" s="52"/>
      <c r="P126" s="3"/>
    </row>
    <row r="127" spans="2:16">
      <c r="B127" s="28"/>
      <c r="C127" s="3"/>
      <c r="D127" s="47"/>
      <c r="E127" s="28"/>
      <c r="F127" s="28"/>
      <c r="G127" s="28"/>
      <c r="H127" s="29"/>
      <c r="I127" s="14"/>
      <c r="K127" s="3"/>
      <c r="M127" s="3"/>
      <c r="N127" s="3"/>
      <c r="O127" s="52"/>
      <c r="P127" s="3"/>
    </row>
    <row r="128" spans="2:16">
      <c r="B128" s="28"/>
      <c r="C128" s="3"/>
      <c r="D128" s="47"/>
      <c r="E128" s="28"/>
      <c r="F128" s="28"/>
      <c r="G128" s="28"/>
      <c r="H128" s="29"/>
      <c r="I128" s="14"/>
      <c r="K128" s="3"/>
      <c r="M128" s="3"/>
      <c r="N128" s="3"/>
      <c r="O128" s="52"/>
      <c r="P128" s="3"/>
    </row>
    <row r="129" spans="2:16">
      <c r="B129" s="28"/>
      <c r="C129" s="3"/>
      <c r="D129" s="47"/>
      <c r="E129" s="28"/>
      <c r="F129" s="28"/>
      <c r="G129" s="28"/>
      <c r="H129" s="29"/>
      <c r="I129" s="14"/>
      <c r="K129" s="3"/>
      <c r="M129" s="3"/>
      <c r="N129" s="3"/>
      <c r="O129" s="52"/>
      <c r="P129" s="3"/>
    </row>
    <row r="130" spans="2:16">
      <c r="B130" s="28"/>
      <c r="C130" s="3"/>
      <c r="D130" s="47"/>
      <c r="E130" s="28"/>
      <c r="F130" s="28"/>
      <c r="G130" s="28"/>
      <c r="H130" s="29"/>
      <c r="I130" s="14"/>
      <c r="K130" s="3"/>
      <c r="M130" s="3"/>
      <c r="N130" s="3"/>
      <c r="O130" s="52"/>
      <c r="P130" s="3"/>
    </row>
    <row r="131" spans="2:16">
      <c r="B131" s="28"/>
      <c r="C131" s="3"/>
      <c r="D131" s="47"/>
      <c r="E131" s="28"/>
      <c r="F131" s="28"/>
      <c r="G131" s="28"/>
      <c r="H131" s="29"/>
      <c r="I131" s="14"/>
      <c r="K131" s="3"/>
      <c r="M131" s="3"/>
      <c r="N131" s="3"/>
      <c r="O131" s="52"/>
      <c r="P131" s="3"/>
    </row>
    <row r="132" spans="2:16">
      <c r="B132" s="28"/>
      <c r="C132" s="3"/>
      <c r="D132" s="47"/>
      <c r="E132" s="28"/>
      <c r="F132" s="28"/>
      <c r="G132" s="28"/>
      <c r="H132" s="29"/>
      <c r="I132" s="14"/>
      <c r="K132" s="3"/>
      <c r="M132" s="3"/>
      <c r="N132" s="3"/>
      <c r="O132" s="52"/>
      <c r="P132" s="3"/>
    </row>
    <row r="133" spans="2:16">
      <c r="B133" s="28"/>
      <c r="C133" s="3"/>
      <c r="D133" s="47"/>
      <c r="E133" s="28"/>
      <c r="F133" s="28"/>
      <c r="G133" s="28"/>
      <c r="H133" s="29"/>
      <c r="I133" s="14"/>
      <c r="K133" s="3"/>
      <c r="M133" s="3"/>
      <c r="N133" s="3"/>
      <c r="O133" s="52"/>
      <c r="P133" s="3"/>
    </row>
    <row r="134" spans="2:16">
      <c r="B134" s="28"/>
      <c r="C134" s="3"/>
      <c r="D134" s="47"/>
      <c r="E134" s="28"/>
      <c r="F134" s="28"/>
      <c r="G134" s="28"/>
      <c r="H134" s="29"/>
      <c r="I134" s="14"/>
      <c r="K134" s="3"/>
      <c r="M134" s="3"/>
      <c r="N134" s="3"/>
      <c r="O134" s="52"/>
      <c r="P134" s="3"/>
    </row>
    <row r="135" spans="2:16">
      <c r="B135" s="28"/>
      <c r="C135" s="3"/>
      <c r="D135" s="47"/>
      <c r="E135" s="28"/>
      <c r="F135" s="28"/>
      <c r="G135" s="28"/>
      <c r="H135" s="29"/>
      <c r="I135" s="14"/>
      <c r="K135" s="3"/>
      <c r="M135" s="3"/>
      <c r="N135" s="3"/>
      <c r="O135" s="52"/>
      <c r="P135" s="3"/>
    </row>
    <row r="136" spans="2:16">
      <c r="B136" s="28"/>
      <c r="C136" s="3"/>
      <c r="D136" s="47"/>
      <c r="E136" s="28"/>
      <c r="F136" s="28"/>
      <c r="G136" s="28"/>
      <c r="H136" s="29"/>
      <c r="I136" s="14"/>
      <c r="K136" s="3"/>
      <c r="M136" s="3"/>
      <c r="N136" s="3"/>
      <c r="O136" s="52"/>
      <c r="P136" s="3"/>
    </row>
    <row r="137" spans="2:16">
      <c r="B137" s="28"/>
      <c r="C137" s="3"/>
      <c r="D137" s="47"/>
      <c r="E137" s="28"/>
      <c r="F137" s="28"/>
      <c r="G137" s="28"/>
      <c r="H137" s="29"/>
      <c r="I137" s="14"/>
      <c r="K137" s="3"/>
      <c r="M137" s="3"/>
      <c r="N137" s="3"/>
      <c r="O137" s="52"/>
      <c r="P137" s="3"/>
    </row>
    <row r="138" spans="2:16">
      <c r="B138" s="28"/>
      <c r="C138" s="3"/>
      <c r="D138" s="47"/>
      <c r="E138" s="28"/>
      <c r="F138" s="28"/>
      <c r="G138" s="28"/>
      <c r="H138" s="29"/>
      <c r="I138" s="14"/>
      <c r="K138" s="3"/>
      <c r="M138" s="3"/>
      <c r="N138" s="3"/>
      <c r="O138" s="52"/>
      <c r="P138" s="3"/>
    </row>
    <row r="139" spans="2:16">
      <c r="B139" s="28"/>
      <c r="C139" s="3"/>
      <c r="D139" s="47"/>
      <c r="E139" s="28"/>
      <c r="F139" s="28"/>
      <c r="G139" s="28"/>
      <c r="H139" s="29"/>
      <c r="I139" s="14"/>
      <c r="K139" s="3"/>
      <c r="M139" s="3"/>
      <c r="N139" s="3"/>
      <c r="O139" s="52"/>
      <c r="P139" s="3"/>
    </row>
    <row r="140" spans="2:16">
      <c r="B140" s="28"/>
      <c r="C140" s="3"/>
      <c r="D140" s="47"/>
      <c r="E140" s="28"/>
      <c r="F140" s="28"/>
      <c r="G140" s="28"/>
      <c r="H140" s="29"/>
      <c r="I140" s="14"/>
      <c r="K140" s="3"/>
      <c r="M140" s="3"/>
      <c r="N140" s="3"/>
      <c r="O140" s="52"/>
      <c r="P140" s="3"/>
    </row>
    <row r="141" spans="2:16">
      <c r="B141" s="28"/>
      <c r="C141" s="3"/>
      <c r="D141" s="47"/>
      <c r="E141" s="28"/>
      <c r="F141" s="28"/>
      <c r="G141" s="28"/>
      <c r="H141" s="29"/>
      <c r="I141" s="14"/>
      <c r="K141" s="3"/>
      <c r="M141" s="3"/>
      <c r="N141" s="3"/>
      <c r="O141" s="52"/>
      <c r="P141" s="3"/>
    </row>
    <row r="142" spans="2:16">
      <c r="B142" s="28"/>
      <c r="C142" s="3"/>
      <c r="D142" s="47"/>
      <c r="E142" s="28"/>
      <c r="F142" s="28"/>
      <c r="G142" s="28"/>
      <c r="H142" s="29"/>
      <c r="I142" s="14"/>
      <c r="K142" s="3"/>
      <c r="M142" s="3"/>
      <c r="N142" s="3"/>
      <c r="O142" s="52"/>
      <c r="P142" s="3"/>
    </row>
    <row r="143" spans="2:16">
      <c r="B143" s="28"/>
      <c r="C143" s="3"/>
      <c r="D143" s="47"/>
      <c r="E143" s="28"/>
      <c r="F143" s="28"/>
      <c r="G143" s="28"/>
      <c r="H143" s="29"/>
      <c r="I143" s="14"/>
      <c r="K143" s="3"/>
      <c r="M143" s="3"/>
      <c r="N143" s="3"/>
      <c r="O143" s="52"/>
      <c r="P143" s="3"/>
    </row>
    <row r="144" spans="2:16">
      <c r="B144" s="28"/>
      <c r="C144" s="3"/>
      <c r="D144" s="47"/>
      <c r="E144" s="28"/>
      <c r="F144" s="28"/>
      <c r="G144" s="28"/>
      <c r="H144" s="29"/>
      <c r="I144" s="14"/>
      <c r="K144" s="3"/>
      <c r="M144" s="3"/>
      <c r="N144" s="3"/>
      <c r="O144" s="52"/>
      <c r="P144" s="3"/>
    </row>
    <row r="145" spans="2:16">
      <c r="B145" s="28"/>
      <c r="C145" s="3"/>
      <c r="D145" s="47"/>
      <c r="E145" s="28"/>
      <c r="F145" s="28"/>
      <c r="G145" s="28"/>
      <c r="H145" s="29"/>
      <c r="I145" s="14"/>
      <c r="K145" s="3"/>
      <c r="M145" s="3"/>
      <c r="N145" s="3"/>
      <c r="O145" s="52"/>
      <c r="P145" s="3"/>
    </row>
    <row r="146" spans="2:16">
      <c r="B146" s="28"/>
      <c r="C146" s="3"/>
      <c r="D146" s="47"/>
      <c r="E146" s="28"/>
      <c r="F146" s="28"/>
      <c r="G146" s="28"/>
      <c r="H146" s="29"/>
      <c r="I146" s="14"/>
      <c r="K146" s="3"/>
      <c r="M146" s="3"/>
      <c r="N146" s="3"/>
      <c r="O146" s="52"/>
      <c r="P146" s="3"/>
    </row>
    <row r="147" spans="2:16">
      <c r="B147" s="28"/>
      <c r="C147" s="3"/>
      <c r="D147" s="47"/>
      <c r="E147" s="28"/>
      <c r="F147" s="28"/>
      <c r="G147" s="28"/>
      <c r="H147" s="29"/>
      <c r="I147" s="14"/>
      <c r="K147" s="3"/>
      <c r="M147" s="3"/>
      <c r="N147" s="3"/>
      <c r="O147" s="52"/>
      <c r="P147" s="3"/>
    </row>
    <row r="148" spans="2:16">
      <c r="B148" s="28"/>
      <c r="C148" s="3"/>
      <c r="D148" s="47"/>
      <c r="E148" s="28"/>
      <c r="F148" s="28"/>
      <c r="G148" s="28"/>
      <c r="H148" s="29"/>
      <c r="I148" s="14"/>
      <c r="K148" s="3"/>
      <c r="M148" s="3"/>
      <c r="N148" s="3"/>
      <c r="O148" s="52"/>
      <c r="P148" s="3"/>
    </row>
    <row r="149" spans="2:16">
      <c r="B149" s="28"/>
      <c r="C149" s="3"/>
      <c r="D149" s="47"/>
      <c r="E149" s="28"/>
      <c r="F149" s="28"/>
      <c r="G149" s="28"/>
      <c r="H149" s="29"/>
      <c r="I149" s="14"/>
      <c r="K149" s="3"/>
      <c r="M149" s="3"/>
      <c r="N149" s="3"/>
      <c r="O149" s="52"/>
      <c r="P149" s="3"/>
    </row>
    <row r="150" spans="2:16">
      <c r="B150" s="28"/>
      <c r="C150" s="3"/>
      <c r="D150" s="47"/>
      <c r="E150" s="28"/>
      <c r="F150" s="28"/>
      <c r="G150" s="28"/>
      <c r="H150" s="29"/>
      <c r="I150" s="14"/>
      <c r="K150" s="3"/>
      <c r="M150" s="3"/>
      <c r="N150" s="3"/>
      <c r="O150" s="52"/>
      <c r="P150" s="3"/>
    </row>
    <row r="151" spans="2:16">
      <c r="B151" s="28"/>
      <c r="C151" s="3"/>
      <c r="D151" s="47"/>
      <c r="E151" s="28"/>
      <c r="F151" s="28"/>
      <c r="G151" s="28"/>
      <c r="H151" s="29"/>
      <c r="I151" s="14"/>
      <c r="K151" s="3"/>
      <c r="M151" s="3"/>
      <c r="N151" s="3"/>
      <c r="O151" s="52"/>
      <c r="P151" s="3"/>
    </row>
    <row r="152" spans="2:16">
      <c r="B152" s="28"/>
      <c r="C152" s="3"/>
      <c r="D152" s="47"/>
      <c r="E152" s="28"/>
      <c r="F152" s="28"/>
      <c r="G152" s="28"/>
      <c r="H152" s="29"/>
      <c r="I152" s="14"/>
      <c r="K152" s="3"/>
      <c r="M152" s="3"/>
      <c r="N152" s="3"/>
      <c r="O152" s="52"/>
      <c r="P152" s="3"/>
    </row>
    <row r="153" spans="2:16">
      <c r="B153" s="28"/>
      <c r="C153" s="3"/>
      <c r="D153" s="47"/>
      <c r="E153" s="28"/>
      <c r="F153" s="28"/>
      <c r="G153" s="28"/>
      <c r="H153" s="29"/>
      <c r="I153" s="14"/>
      <c r="K153" s="3"/>
      <c r="M153" s="3"/>
      <c r="N153" s="3"/>
      <c r="O153" s="52"/>
      <c r="P153" s="3"/>
    </row>
    <row r="154" spans="2:16">
      <c r="B154" s="28"/>
      <c r="C154" s="3"/>
      <c r="D154" s="47"/>
      <c r="E154" s="28"/>
      <c r="F154" s="28"/>
      <c r="G154" s="28"/>
      <c r="H154" s="29"/>
      <c r="I154" s="14"/>
      <c r="K154" s="3"/>
      <c r="M154" s="3"/>
      <c r="N154" s="3"/>
      <c r="O154" s="52"/>
      <c r="P154" s="3"/>
    </row>
    <row r="155" spans="2:16">
      <c r="B155" s="28"/>
      <c r="C155" s="3"/>
      <c r="D155" s="47"/>
      <c r="E155" s="28"/>
      <c r="F155" s="28"/>
      <c r="G155" s="28"/>
      <c r="H155" s="29"/>
      <c r="I155" s="14"/>
      <c r="K155" s="3"/>
      <c r="M155" s="3"/>
      <c r="N155" s="3"/>
      <c r="O155" s="52"/>
      <c r="P155" s="3"/>
    </row>
    <row r="156" spans="2:16">
      <c r="B156" s="28"/>
      <c r="C156" s="3"/>
      <c r="D156" s="47"/>
      <c r="E156" s="28"/>
      <c r="F156" s="28"/>
      <c r="G156" s="28"/>
      <c r="H156" s="29"/>
      <c r="I156" s="14"/>
      <c r="K156" s="3"/>
      <c r="M156" s="3"/>
      <c r="N156" s="3"/>
      <c r="O156" s="52"/>
      <c r="P156" s="3"/>
    </row>
    <row r="157" spans="2:16">
      <c r="B157" s="28"/>
      <c r="C157" s="3"/>
      <c r="D157" s="47"/>
      <c r="E157" s="28"/>
      <c r="F157" s="28"/>
      <c r="G157" s="28"/>
      <c r="H157" s="29"/>
      <c r="I157" s="14"/>
      <c r="K157" s="3"/>
      <c r="M157" s="3"/>
      <c r="N157" s="3"/>
      <c r="O157" s="52"/>
      <c r="P157" s="3"/>
    </row>
    <row r="158" spans="2:16">
      <c r="B158" s="28"/>
      <c r="C158" s="3"/>
      <c r="D158" s="47"/>
      <c r="E158" s="28"/>
      <c r="F158" s="28"/>
      <c r="G158" s="28"/>
      <c r="H158" s="29"/>
      <c r="I158" s="14"/>
      <c r="K158" s="3"/>
      <c r="M158" s="3"/>
      <c r="N158" s="3"/>
      <c r="O158" s="52"/>
      <c r="P158" s="3"/>
    </row>
    <row r="159" spans="2:16">
      <c r="B159" s="28"/>
      <c r="C159" s="3"/>
      <c r="D159" s="47"/>
      <c r="E159" s="28"/>
      <c r="F159" s="28"/>
      <c r="G159" s="28"/>
      <c r="H159" s="29"/>
      <c r="I159" s="14"/>
      <c r="K159" s="3"/>
      <c r="M159" s="3"/>
      <c r="N159" s="3"/>
      <c r="O159" s="52"/>
      <c r="P159" s="3"/>
    </row>
    <row r="160" spans="2:16">
      <c r="B160" s="28"/>
      <c r="C160" s="3"/>
      <c r="D160" s="47"/>
      <c r="E160" s="28"/>
      <c r="F160" s="28"/>
      <c r="G160" s="28"/>
      <c r="H160" s="29"/>
      <c r="I160" s="14"/>
      <c r="K160" s="3"/>
      <c r="M160" s="3"/>
      <c r="N160" s="3"/>
      <c r="O160" s="52"/>
      <c r="P160" s="3"/>
    </row>
    <row r="161" spans="2:16">
      <c r="B161" s="28"/>
      <c r="C161" s="3"/>
      <c r="D161" s="47"/>
      <c r="E161" s="28"/>
      <c r="F161" s="28"/>
      <c r="G161" s="28"/>
      <c r="H161" s="29"/>
      <c r="I161" s="14"/>
      <c r="K161" s="3"/>
      <c r="M161" s="3"/>
      <c r="N161" s="3"/>
      <c r="O161" s="52"/>
      <c r="P161" s="3"/>
    </row>
    <row r="162" spans="2:16">
      <c r="B162" s="28"/>
      <c r="C162" s="3"/>
      <c r="D162" s="47"/>
      <c r="E162" s="28"/>
      <c r="F162" s="28"/>
      <c r="G162" s="28"/>
      <c r="H162" s="29"/>
      <c r="I162" s="14"/>
      <c r="K162" s="3"/>
      <c r="M162" s="3"/>
      <c r="N162" s="3"/>
      <c r="O162" s="52"/>
      <c r="P162" s="3"/>
    </row>
    <row r="163" spans="2:16">
      <c r="B163" s="28"/>
      <c r="C163" s="3"/>
      <c r="D163" s="47"/>
      <c r="E163" s="28"/>
      <c r="F163" s="28"/>
      <c r="G163" s="28"/>
      <c r="H163" s="29"/>
      <c r="I163" s="14"/>
      <c r="K163" s="3"/>
      <c r="M163" s="3"/>
      <c r="N163" s="3"/>
      <c r="O163" s="52"/>
      <c r="P163" s="3"/>
    </row>
    <row r="164" spans="2:16">
      <c r="B164" s="28"/>
      <c r="C164" s="3"/>
      <c r="D164" s="47"/>
      <c r="E164" s="28"/>
      <c r="F164" s="28"/>
      <c r="G164" s="28"/>
      <c r="H164" s="29"/>
      <c r="I164" s="14"/>
      <c r="K164" s="3"/>
      <c r="M164" s="3"/>
      <c r="N164" s="3"/>
      <c r="O164" s="52"/>
      <c r="P164" s="3"/>
    </row>
    <row r="165" spans="2:16">
      <c r="B165" s="28"/>
      <c r="C165" s="3"/>
      <c r="D165" s="47"/>
      <c r="E165" s="28"/>
      <c r="F165" s="28"/>
      <c r="G165" s="28"/>
      <c r="H165" s="29"/>
      <c r="I165" s="14"/>
      <c r="K165" s="3"/>
      <c r="M165" s="3"/>
      <c r="N165" s="3"/>
      <c r="O165" s="52"/>
      <c r="P165" s="3"/>
    </row>
    <row r="166" spans="2:16">
      <c r="B166" s="28"/>
      <c r="C166" s="3"/>
      <c r="D166" s="47"/>
      <c r="E166" s="28"/>
      <c r="F166" s="28"/>
      <c r="G166" s="28"/>
      <c r="H166" s="29"/>
      <c r="I166" s="14"/>
      <c r="K166" s="3"/>
      <c r="M166" s="3"/>
      <c r="N166" s="3"/>
      <c r="O166" s="52"/>
      <c r="P166" s="3"/>
    </row>
    <row r="167" spans="2:16">
      <c r="B167" s="28"/>
      <c r="C167" s="3"/>
      <c r="D167" s="47"/>
      <c r="E167" s="28"/>
      <c r="F167" s="28"/>
      <c r="G167" s="28"/>
      <c r="H167" s="29"/>
      <c r="I167" s="14"/>
      <c r="K167" s="3"/>
      <c r="M167" s="3"/>
      <c r="N167" s="3"/>
      <c r="O167" s="52"/>
      <c r="P167" s="3"/>
    </row>
    <row r="168" spans="2:16">
      <c r="B168" s="28"/>
      <c r="C168" s="3"/>
      <c r="D168" s="47"/>
      <c r="E168" s="28"/>
      <c r="F168" s="28"/>
      <c r="G168" s="28"/>
      <c r="H168" s="29"/>
      <c r="I168" s="14"/>
      <c r="K168" s="3"/>
      <c r="M168" s="3"/>
      <c r="N168" s="3"/>
      <c r="O168" s="52"/>
      <c r="P168" s="3"/>
    </row>
    <row r="169" spans="2:16">
      <c r="B169" s="28"/>
      <c r="C169" s="3"/>
      <c r="D169" s="47"/>
      <c r="E169" s="28"/>
      <c r="F169" s="28"/>
      <c r="G169" s="28"/>
      <c r="H169" s="29"/>
      <c r="I169" s="14"/>
      <c r="K169" s="3"/>
      <c r="M169" s="3"/>
      <c r="N169" s="3"/>
      <c r="O169" s="52"/>
      <c r="P169" s="3"/>
    </row>
    <row r="170" spans="2:16">
      <c r="B170" s="28"/>
      <c r="C170" s="3"/>
      <c r="D170" s="47"/>
      <c r="E170" s="28"/>
      <c r="F170" s="28"/>
      <c r="G170" s="28"/>
      <c r="H170" s="29"/>
      <c r="I170" s="14"/>
      <c r="K170" s="3"/>
      <c r="M170" s="3"/>
      <c r="N170" s="3"/>
      <c r="O170" s="52"/>
      <c r="P170" s="3"/>
    </row>
    <row r="171" spans="2:16">
      <c r="B171" s="28"/>
      <c r="C171" s="3"/>
      <c r="D171" s="47"/>
      <c r="E171" s="28"/>
      <c r="F171" s="28"/>
      <c r="G171" s="28"/>
      <c r="H171" s="29"/>
      <c r="I171" s="14"/>
      <c r="K171" s="3"/>
      <c r="M171" s="3"/>
      <c r="N171" s="3"/>
      <c r="O171" s="52"/>
      <c r="P171" s="3"/>
    </row>
    <row r="172" spans="2:16">
      <c r="B172" s="28"/>
      <c r="C172" s="3"/>
      <c r="D172" s="47"/>
      <c r="E172" s="28"/>
      <c r="F172" s="28"/>
      <c r="G172" s="28"/>
      <c r="H172" s="29"/>
      <c r="I172" s="14"/>
      <c r="K172" s="3"/>
      <c r="M172" s="3"/>
      <c r="N172" s="3"/>
      <c r="O172" s="52"/>
      <c r="P172" s="3"/>
    </row>
    <row r="173" spans="2:16">
      <c r="B173" s="28"/>
      <c r="C173" s="3"/>
      <c r="D173" s="47"/>
      <c r="E173" s="28"/>
      <c r="F173" s="28"/>
      <c r="G173" s="28"/>
      <c r="H173" s="29"/>
      <c r="I173" s="14"/>
      <c r="K173" s="3"/>
      <c r="M173" s="3"/>
      <c r="N173" s="3"/>
      <c r="O173" s="52"/>
      <c r="P173" s="3"/>
    </row>
    <row r="174" spans="2:16">
      <c r="B174" s="28"/>
      <c r="C174" s="3"/>
      <c r="D174" s="47"/>
      <c r="E174" s="28"/>
      <c r="F174" s="28"/>
      <c r="G174" s="28"/>
      <c r="H174" s="29"/>
      <c r="I174" s="14"/>
      <c r="K174" s="3"/>
      <c r="M174" s="3"/>
      <c r="N174" s="3"/>
      <c r="O174" s="52"/>
      <c r="P174" s="3"/>
    </row>
    <row r="175" spans="2:16">
      <c r="B175" s="28"/>
      <c r="C175" s="3"/>
      <c r="D175" s="47"/>
      <c r="E175" s="28"/>
      <c r="F175" s="28"/>
      <c r="G175" s="28"/>
      <c r="H175" s="29"/>
      <c r="I175" s="14"/>
      <c r="K175" s="3"/>
      <c r="M175" s="3"/>
      <c r="N175" s="3"/>
      <c r="O175" s="52"/>
      <c r="P175" s="3"/>
    </row>
    <row r="176" spans="2:16">
      <c r="B176" s="28"/>
      <c r="C176" s="3"/>
      <c r="D176" s="47"/>
      <c r="E176" s="28"/>
      <c r="F176" s="28"/>
      <c r="G176" s="28"/>
      <c r="H176" s="29"/>
      <c r="I176" s="14"/>
      <c r="K176" s="3"/>
      <c r="M176" s="3"/>
      <c r="N176" s="3"/>
      <c r="O176" s="52"/>
      <c r="P176" s="3"/>
    </row>
    <row r="177" spans="2:16">
      <c r="B177" s="28"/>
      <c r="C177" s="3"/>
      <c r="D177" s="47"/>
      <c r="E177" s="28"/>
      <c r="F177" s="28"/>
      <c r="G177" s="28"/>
      <c r="H177" s="29"/>
      <c r="I177" s="14"/>
      <c r="K177" s="3"/>
      <c r="M177" s="3"/>
      <c r="N177" s="3"/>
      <c r="O177" s="52"/>
      <c r="P177" s="3"/>
    </row>
    <row r="178" spans="2:16">
      <c r="B178" s="28"/>
      <c r="C178" s="3"/>
      <c r="D178" s="47"/>
      <c r="E178" s="28"/>
      <c r="F178" s="28"/>
      <c r="G178" s="28"/>
      <c r="H178" s="29"/>
      <c r="I178" s="14"/>
      <c r="K178" s="3"/>
      <c r="M178" s="3"/>
      <c r="N178" s="3"/>
      <c r="O178" s="52"/>
      <c r="P178" s="3"/>
    </row>
    <row r="179" spans="2:16">
      <c r="B179" s="28"/>
      <c r="C179" s="3"/>
      <c r="D179" s="47"/>
      <c r="E179" s="28"/>
      <c r="F179" s="28"/>
      <c r="G179" s="28"/>
      <c r="H179" s="29"/>
      <c r="I179" s="14"/>
      <c r="K179" s="3"/>
      <c r="M179" s="3"/>
      <c r="N179" s="3"/>
      <c r="O179" s="52"/>
      <c r="P179" s="3"/>
    </row>
    <row r="180" spans="2:16">
      <c r="B180" s="28"/>
      <c r="C180" s="3"/>
      <c r="D180" s="47"/>
      <c r="E180" s="28"/>
      <c r="F180" s="28"/>
      <c r="G180" s="28"/>
      <c r="H180" s="29"/>
      <c r="I180" s="14"/>
      <c r="K180" s="3"/>
      <c r="M180" s="3"/>
      <c r="N180" s="3"/>
      <c r="O180" s="52"/>
      <c r="P180" s="3"/>
    </row>
    <row r="181" spans="2:16">
      <c r="B181" s="28"/>
      <c r="C181" s="3"/>
      <c r="D181" s="47"/>
      <c r="E181" s="28"/>
      <c r="F181" s="28"/>
      <c r="G181" s="28"/>
      <c r="H181" s="29"/>
      <c r="I181" s="14"/>
      <c r="K181" s="3"/>
      <c r="M181" s="3"/>
      <c r="N181" s="3"/>
      <c r="O181" s="52"/>
      <c r="P181" s="3"/>
    </row>
    <row r="182" spans="2:16">
      <c r="B182" s="28"/>
      <c r="C182" s="3"/>
      <c r="D182" s="47"/>
      <c r="E182" s="28"/>
      <c r="F182" s="28"/>
      <c r="G182" s="28"/>
      <c r="H182" s="29"/>
      <c r="I182" s="14"/>
      <c r="K182" s="3"/>
      <c r="M182" s="3"/>
      <c r="N182" s="3"/>
      <c r="O182" s="52"/>
      <c r="P182" s="3"/>
    </row>
    <row r="183" spans="2:16">
      <c r="B183" s="28"/>
      <c r="C183" s="3"/>
      <c r="D183" s="47"/>
      <c r="E183" s="28"/>
      <c r="F183" s="28"/>
      <c r="G183" s="28"/>
      <c r="H183" s="29"/>
      <c r="I183" s="14"/>
      <c r="K183" s="3"/>
      <c r="M183" s="3"/>
      <c r="N183" s="3"/>
      <c r="O183" s="52"/>
      <c r="P183" s="3"/>
    </row>
    <row r="184" spans="2:16">
      <c r="B184" s="28"/>
      <c r="C184" s="3"/>
      <c r="D184" s="47"/>
      <c r="E184" s="28"/>
      <c r="F184" s="28"/>
      <c r="G184" s="28"/>
      <c r="H184" s="29"/>
      <c r="I184" s="14"/>
      <c r="K184" s="3"/>
      <c r="M184" s="3"/>
      <c r="N184" s="3"/>
      <c r="O184" s="52"/>
      <c r="P184" s="3"/>
    </row>
    <row r="185" spans="2:16">
      <c r="B185" s="28"/>
      <c r="C185" s="3"/>
      <c r="D185" s="47"/>
      <c r="E185" s="28"/>
      <c r="F185" s="28"/>
      <c r="G185" s="28"/>
      <c r="H185" s="29"/>
      <c r="I185" s="14"/>
      <c r="K185" s="3"/>
      <c r="M185" s="3"/>
      <c r="N185" s="3"/>
      <c r="O185" s="52"/>
      <c r="P185" s="3"/>
    </row>
    <row r="186" spans="2:16">
      <c r="B186" s="28"/>
      <c r="C186" s="3"/>
      <c r="D186" s="47"/>
      <c r="E186" s="28"/>
      <c r="F186" s="28"/>
      <c r="G186" s="28"/>
      <c r="H186" s="29"/>
      <c r="I186" s="14"/>
      <c r="K186" s="3"/>
      <c r="M186" s="3"/>
      <c r="N186" s="3"/>
      <c r="O186" s="52"/>
      <c r="P186" s="3"/>
    </row>
    <row r="187" spans="2:16">
      <c r="B187" s="28"/>
      <c r="C187" s="3"/>
      <c r="D187" s="47"/>
      <c r="E187" s="28"/>
      <c r="F187" s="28"/>
      <c r="G187" s="28"/>
      <c r="H187" s="29"/>
      <c r="I187" s="14"/>
      <c r="K187" s="3"/>
      <c r="M187" s="3"/>
      <c r="N187" s="3"/>
      <c r="O187" s="52"/>
      <c r="P187" s="3"/>
    </row>
    <row r="188" spans="2:16">
      <c r="B188" s="28"/>
      <c r="C188" s="3"/>
      <c r="D188" s="47"/>
      <c r="E188" s="28"/>
      <c r="F188" s="28"/>
      <c r="G188" s="28"/>
      <c r="H188" s="29"/>
      <c r="I188" s="14"/>
      <c r="K188" s="3"/>
      <c r="M188" s="3"/>
      <c r="N188" s="3"/>
      <c r="O188" s="52"/>
      <c r="P188" s="3"/>
    </row>
    <row r="189" spans="2:16">
      <c r="B189" s="28"/>
      <c r="C189" s="3"/>
      <c r="D189" s="47"/>
      <c r="E189" s="28"/>
      <c r="F189" s="28"/>
      <c r="G189" s="28"/>
      <c r="H189" s="29"/>
      <c r="I189" s="14"/>
      <c r="K189" s="3"/>
      <c r="M189" s="3"/>
      <c r="N189" s="3"/>
      <c r="O189" s="52"/>
      <c r="P189" s="3"/>
    </row>
    <row r="190" spans="2:16">
      <c r="B190" s="28"/>
      <c r="C190" s="3"/>
      <c r="D190" s="47"/>
      <c r="E190" s="28"/>
      <c r="F190" s="28"/>
      <c r="G190" s="28"/>
      <c r="H190" s="29"/>
      <c r="I190" s="14"/>
      <c r="K190" s="3"/>
      <c r="M190" s="3"/>
      <c r="N190" s="3"/>
      <c r="O190" s="52"/>
      <c r="P190" s="3"/>
    </row>
    <row r="191" spans="2:16">
      <c r="B191" s="28"/>
      <c r="C191" s="3"/>
      <c r="D191" s="47"/>
      <c r="E191" s="28"/>
      <c r="F191" s="28"/>
      <c r="G191" s="28"/>
      <c r="H191" s="29"/>
      <c r="I191" s="14"/>
      <c r="K191" s="3"/>
      <c r="M191" s="3"/>
      <c r="N191" s="3"/>
      <c r="O191" s="52"/>
      <c r="P191" s="3"/>
    </row>
    <row r="192" spans="2:16">
      <c r="B192" s="28"/>
      <c r="C192" s="3"/>
      <c r="D192" s="47"/>
      <c r="E192" s="28"/>
      <c r="F192" s="28"/>
      <c r="G192" s="28"/>
      <c r="H192" s="29"/>
      <c r="I192" s="14"/>
      <c r="K192" s="3"/>
      <c r="M192" s="3"/>
      <c r="N192" s="3"/>
      <c r="O192" s="52"/>
      <c r="P192" s="3"/>
    </row>
    <row r="193" spans="2:16">
      <c r="B193" s="28"/>
      <c r="C193" s="3"/>
      <c r="D193" s="47"/>
      <c r="E193" s="28"/>
      <c r="F193" s="28"/>
      <c r="G193" s="28"/>
      <c r="H193" s="29"/>
      <c r="I193" s="14"/>
      <c r="K193" s="3"/>
      <c r="M193" s="3"/>
      <c r="N193" s="3"/>
      <c r="O193" s="52"/>
      <c r="P193" s="3"/>
    </row>
    <row r="194" spans="2:16">
      <c r="B194" s="28"/>
      <c r="C194" s="3"/>
      <c r="D194" s="47"/>
      <c r="E194" s="28"/>
      <c r="F194" s="28"/>
      <c r="G194" s="28"/>
      <c r="H194" s="29"/>
      <c r="I194" s="14"/>
      <c r="K194" s="3"/>
      <c r="M194" s="3"/>
      <c r="N194" s="3"/>
      <c r="O194" s="52"/>
      <c r="P194" s="3"/>
    </row>
    <row r="195" spans="2:16">
      <c r="B195" s="28"/>
      <c r="C195" s="3"/>
      <c r="D195" s="47"/>
      <c r="E195" s="28"/>
      <c r="F195" s="28"/>
      <c r="G195" s="28"/>
      <c r="H195" s="29"/>
      <c r="I195" s="14"/>
      <c r="K195" s="3"/>
      <c r="M195" s="3"/>
      <c r="N195" s="3"/>
      <c r="O195" s="52"/>
      <c r="P195" s="3"/>
    </row>
    <row r="196" spans="2:16">
      <c r="B196" s="28"/>
      <c r="C196" s="3"/>
      <c r="D196" s="47"/>
      <c r="E196" s="28"/>
      <c r="F196" s="28"/>
      <c r="G196" s="28"/>
      <c r="H196" s="29"/>
      <c r="I196" s="14"/>
      <c r="K196" s="3"/>
      <c r="M196" s="3"/>
      <c r="N196" s="3"/>
      <c r="O196" s="52"/>
      <c r="P196" s="3"/>
    </row>
    <row r="197" spans="2:16">
      <c r="B197" s="28"/>
      <c r="C197" s="3"/>
      <c r="D197" s="47"/>
      <c r="E197" s="28"/>
      <c r="F197" s="28"/>
      <c r="G197" s="28"/>
      <c r="H197" s="29"/>
      <c r="I197" s="14"/>
      <c r="K197" s="3"/>
      <c r="M197" s="3"/>
      <c r="N197" s="3"/>
      <c r="O197" s="52"/>
      <c r="P197" s="3"/>
    </row>
    <row r="198" spans="2:16">
      <c r="B198" s="28"/>
      <c r="C198" s="3"/>
      <c r="D198" s="47"/>
      <c r="E198" s="28"/>
      <c r="F198" s="28"/>
      <c r="G198" s="28"/>
      <c r="H198" s="29"/>
      <c r="I198" s="14"/>
      <c r="K198" s="3"/>
      <c r="M198" s="3"/>
      <c r="N198" s="3"/>
      <c r="O198" s="52"/>
      <c r="P198" s="3"/>
    </row>
    <row r="199" spans="2:16">
      <c r="B199" s="28"/>
      <c r="C199" s="3"/>
      <c r="D199" s="47"/>
      <c r="E199" s="28"/>
      <c r="F199" s="28"/>
      <c r="G199" s="28"/>
      <c r="H199" s="29"/>
      <c r="I199" s="14"/>
      <c r="K199" s="3"/>
      <c r="M199" s="3"/>
      <c r="N199" s="3"/>
      <c r="O199" s="52"/>
      <c r="P199" s="3"/>
    </row>
    <row r="200" spans="2:16">
      <c r="B200" s="28"/>
      <c r="C200" s="3"/>
      <c r="D200" s="47"/>
      <c r="E200" s="28"/>
      <c r="F200" s="28"/>
      <c r="G200" s="28"/>
      <c r="H200" s="29"/>
      <c r="I200" s="14"/>
      <c r="K200" s="3"/>
      <c r="M200" s="3"/>
      <c r="N200" s="3"/>
      <c r="O200" s="52"/>
      <c r="P200" s="3"/>
    </row>
    <row r="201" spans="2:16">
      <c r="B201" s="28"/>
      <c r="C201" s="3"/>
      <c r="D201" s="47"/>
      <c r="E201" s="28"/>
      <c r="F201" s="28"/>
      <c r="G201" s="28"/>
      <c r="H201" s="29"/>
      <c r="I201" s="14"/>
      <c r="K201" s="3"/>
      <c r="M201" s="3"/>
      <c r="N201" s="3"/>
      <c r="O201" s="52"/>
      <c r="P201" s="3"/>
    </row>
    <row r="202" spans="2:16">
      <c r="B202" s="28"/>
      <c r="C202" s="3"/>
      <c r="D202" s="47"/>
      <c r="E202" s="28"/>
      <c r="F202" s="28"/>
      <c r="G202" s="28"/>
      <c r="H202" s="29"/>
      <c r="I202" s="14"/>
      <c r="K202" s="3"/>
      <c r="M202" s="3"/>
      <c r="N202" s="3"/>
      <c r="O202" s="52"/>
      <c r="P202" s="3"/>
    </row>
    <row r="203" spans="2:16">
      <c r="B203" s="28"/>
      <c r="C203" s="3"/>
      <c r="D203" s="47"/>
      <c r="E203" s="28"/>
      <c r="F203" s="28"/>
      <c r="G203" s="28"/>
      <c r="H203" s="29"/>
      <c r="I203" s="14"/>
      <c r="K203" s="3"/>
      <c r="M203" s="3"/>
      <c r="N203" s="3"/>
      <c r="O203" s="52"/>
      <c r="P203" s="3"/>
    </row>
    <row r="204" spans="2:16">
      <c r="B204" s="28"/>
      <c r="C204" s="3"/>
      <c r="D204" s="47"/>
      <c r="E204" s="28"/>
      <c r="F204" s="28"/>
      <c r="G204" s="28"/>
      <c r="H204" s="29"/>
      <c r="I204" s="14"/>
      <c r="K204" s="3"/>
      <c r="M204" s="3"/>
      <c r="N204" s="3"/>
      <c r="O204" s="52"/>
      <c r="P204" s="3"/>
    </row>
    <row r="205" spans="2:16">
      <c r="B205" s="28"/>
      <c r="C205" s="3"/>
      <c r="D205" s="47"/>
      <c r="E205" s="28"/>
      <c r="F205" s="28"/>
      <c r="G205" s="28"/>
      <c r="H205" s="29"/>
      <c r="I205" s="14"/>
      <c r="K205" s="3"/>
      <c r="M205" s="3"/>
      <c r="N205" s="3"/>
      <c r="O205" s="52"/>
      <c r="P205" s="3"/>
    </row>
    <row r="206" spans="2:16">
      <c r="B206" s="28"/>
      <c r="C206" s="3"/>
      <c r="D206" s="47"/>
      <c r="E206" s="28"/>
      <c r="F206" s="28"/>
      <c r="G206" s="28"/>
      <c r="H206" s="29"/>
      <c r="I206" s="14"/>
      <c r="K206" s="3"/>
      <c r="M206" s="3"/>
      <c r="N206" s="3"/>
      <c r="O206" s="52"/>
      <c r="P206" s="3"/>
    </row>
    <row r="207" spans="2:16">
      <c r="B207" s="28"/>
      <c r="C207" s="3"/>
      <c r="D207" s="47"/>
      <c r="E207" s="28"/>
      <c r="F207" s="28"/>
      <c r="G207" s="28"/>
      <c r="H207" s="29"/>
      <c r="I207" s="14"/>
      <c r="K207" s="3"/>
      <c r="M207" s="3"/>
      <c r="N207" s="3"/>
      <c r="O207" s="52"/>
      <c r="P207" s="3"/>
    </row>
    <row r="208" spans="2:16">
      <c r="B208" s="28"/>
      <c r="C208" s="3"/>
      <c r="D208" s="47"/>
      <c r="E208" s="28"/>
      <c r="F208" s="28"/>
      <c r="G208" s="28"/>
      <c r="H208" s="29"/>
      <c r="I208" s="14"/>
      <c r="K208" s="3"/>
      <c r="M208" s="3"/>
      <c r="N208" s="3"/>
      <c r="O208" s="52"/>
      <c r="P208" s="3"/>
    </row>
    <row r="209" spans="2:16">
      <c r="B209" s="28"/>
      <c r="C209" s="3"/>
      <c r="D209" s="47"/>
      <c r="E209" s="28"/>
      <c r="F209" s="28"/>
      <c r="G209" s="28"/>
      <c r="H209" s="29"/>
      <c r="I209" s="14"/>
      <c r="K209" s="3"/>
      <c r="M209" s="3"/>
      <c r="N209" s="3"/>
      <c r="O209" s="52"/>
      <c r="P209" s="3"/>
    </row>
    <row r="210" spans="2:16">
      <c r="B210" s="28"/>
      <c r="C210" s="3"/>
      <c r="D210" s="47"/>
      <c r="E210" s="28"/>
      <c r="F210" s="28"/>
      <c r="G210" s="28"/>
      <c r="H210" s="29"/>
      <c r="I210" s="14"/>
      <c r="K210" s="3"/>
      <c r="M210" s="3"/>
      <c r="N210" s="3"/>
      <c r="O210" s="52"/>
      <c r="P210" s="3"/>
    </row>
    <row r="211" spans="2:16">
      <c r="B211" s="28"/>
      <c r="C211" s="3"/>
      <c r="D211" s="47"/>
      <c r="E211" s="28"/>
      <c r="F211" s="28"/>
      <c r="G211" s="28"/>
      <c r="H211" s="29"/>
      <c r="I211" s="14"/>
      <c r="K211" s="3"/>
      <c r="M211" s="3"/>
      <c r="N211" s="3"/>
      <c r="O211" s="52"/>
      <c r="P211" s="3"/>
    </row>
    <row r="212" spans="2:16">
      <c r="B212" s="28"/>
      <c r="C212" s="3"/>
      <c r="D212" s="47"/>
      <c r="E212" s="28"/>
      <c r="F212" s="28"/>
      <c r="G212" s="28"/>
      <c r="H212" s="29"/>
      <c r="I212" s="14"/>
      <c r="K212" s="3"/>
      <c r="M212" s="3"/>
      <c r="N212" s="3"/>
      <c r="O212" s="52"/>
      <c r="P212" s="3"/>
    </row>
    <row r="213" spans="2:16">
      <c r="B213" s="28"/>
      <c r="C213" s="3"/>
      <c r="D213" s="47"/>
      <c r="E213" s="28"/>
      <c r="F213" s="28"/>
      <c r="G213" s="28"/>
      <c r="H213" s="29"/>
      <c r="I213" s="14"/>
      <c r="K213" s="3"/>
      <c r="M213" s="3"/>
      <c r="N213" s="3"/>
      <c r="O213" s="52"/>
      <c r="P213" s="3"/>
    </row>
    <row r="214" spans="2:16">
      <c r="D214" s="47"/>
      <c r="E214" s="143"/>
      <c r="H214" s="29"/>
      <c r="I214" s="30"/>
      <c r="O214" s="53"/>
    </row>
    <row r="215" spans="2:16">
      <c r="D215" s="47"/>
      <c r="E215" s="143"/>
      <c r="H215" s="29"/>
      <c r="I215" s="30"/>
      <c r="O215" s="53"/>
    </row>
    <row r="216" spans="2:16">
      <c r="D216" s="47"/>
      <c r="E216" s="143"/>
      <c r="H216" s="29"/>
      <c r="I216" s="30"/>
      <c r="O216" s="53"/>
    </row>
    <row r="217" spans="2:16">
      <c r="D217" s="47"/>
      <c r="E217" s="143"/>
      <c r="H217" s="29"/>
      <c r="I217" s="30"/>
      <c r="O217" s="53"/>
    </row>
    <row r="218" spans="2:16">
      <c r="D218" s="47"/>
      <c r="E218" s="143"/>
      <c r="H218" s="29"/>
      <c r="I218" s="30"/>
      <c r="O218" s="53"/>
    </row>
    <row r="219" spans="2:16">
      <c r="D219" s="47"/>
      <c r="E219" s="143"/>
      <c r="H219" s="29"/>
      <c r="I219" s="30"/>
      <c r="O219" s="53"/>
    </row>
    <row r="220" spans="2:16">
      <c r="D220" s="47"/>
      <c r="E220" s="143"/>
      <c r="H220" s="29"/>
      <c r="I220" s="30"/>
      <c r="O220" s="53"/>
    </row>
    <row r="221" spans="2:16">
      <c r="D221" s="47"/>
      <c r="E221" s="143"/>
      <c r="H221" s="29"/>
      <c r="I221" s="30"/>
      <c r="O221" s="53"/>
    </row>
    <row r="222" spans="2:16">
      <c r="D222" s="47"/>
      <c r="E222" s="143"/>
      <c r="H222" s="29"/>
      <c r="I222" s="30"/>
      <c r="O222" s="53"/>
    </row>
    <row r="223" spans="2:16">
      <c r="D223" s="47"/>
      <c r="E223" s="143"/>
      <c r="H223" s="29"/>
      <c r="I223" s="30"/>
      <c r="O223" s="53"/>
    </row>
    <row r="224" spans="2:16">
      <c r="D224" s="47"/>
      <c r="E224" s="143"/>
      <c r="H224" s="29"/>
      <c r="I224" s="30"/>
      <c r="O224" s="53"/>
    </row>
    <row r="225" spans="4:15">
      <c r="D225" s="47"/>
      <c r="E225" s="143"/>
      <c r="H225" s="29"/>
      <c r="I225" s="30"/>
      <c r="O225" s="53"/>
    </row>
    <row r="226" spans="4:15">
      <c r="D226" s="47"/>
      <c r="E226" s="143"/>
      <c r="H226" s="29"/>
      <c r="I226" s="30"/>
      <c r="O226" s="53"/>
    </row>
    <row r="227" spans="4:15">
      <c r="D227" s="47"/>
      <c r="E227" s="143"/>
      <c r="H227" s="29"/>
      <c r="I227" s="30"/>
      <c r="O227" s="53"/>
    </row>
    <row r="228" spans="4:15">
      <c r="D228" s="47"/>
      <c r="E228" s="143"/>
      <c r="H228" s="29"/>
      <c r="I228" s="30"/>
      <c r="O228" s="53"/>
    </row>
    <row r="229" spans="4:15">
      <c r="D229" s="47"/>
      <c r="E229" s="143"/>
      <c r="H229" s="29"/>
      <c r="I229" s="30"/>
      <c r="O229" s="53"/>
    </row>
    <row r="230" spans="4:15">
      <c r="D230" s="47"/>
      <c r="E230" s="143"/>
      <c r="H230" s="29"/>
      <c r="I230" s="30"/>
      <c r="O230" s="53"/>
    </row>
    <row r="231" spans="4:15">
      <c r="D231" s="47"/>
      <c r="E231" s="143"/>
      <c r="H231" s="29"/>
      <c r="I231" s="30"/>
      <c r="O231" s="53"/>
    </row>
    <row r="232" spans="4:15">
      <c r="D232" s="47"/>
      <c r="E232" s="143"/>
      <c r="H232" s="29"/>
      <c r="I232" s="30"/>
      <c r="O232" s="53"/>
    </row>
    <row r="233" spans="4:15">
      <c r="D233" s="47"/>
      <c r="E233" s="143"/>
      <c r="H233" s="29"/>
      <c r="I233" s="30"/>
      <c r="O233" s="53"/>
    </row>
    <row r="234" spans="4:15">
      <c r="D234" s="47"/>
      <c r="E234" s="143"/>
      <c r="H234" s="29"/>
      <c r="I234" s="30"/>
      <c r="O234" s="53"/>
    </row>
    <row r="235" spans="4:15">
      <c r="D235" s="47"/>
      <c r="E235" s="143"/>
      <c r="H235" s="29"/>
      <c r="I235" s="30"/>
      <c r="O235" s="53"/>
    </row>
    <row r="236" spans="4:15">
      <c r="D236" s="47"/>
      <c r="E236" s="143"/>
      <c r="H236" s="29"/>
      <c r="I236" s="30"/>
      <c r="O236" s="53"/>
    </row>
    <row r="237" spans="4:15">
      <c r="D237" s="47"/>
      <c r="E237" s="143"/>
      <c r="H237" s="29"/>
      <c r="I237" s="30"/>
      <c r="O237" s="53"/>
    </row>
    <row r="238" spans="4:15">
      <c r="D238" s="47"/>
      <c r="E238" s="143"/>
      <c r="H238" s="29"/>
      <c r="I238" s="30"/>
      <c r="O238" s="53"/>
    </row>
    <row r="239" spans="4:15">
      <c r="D239" s="47"/>
      <c r="E239" s="143"/>
      <c r="H239" s="29"/>
      <c r="I239" s="30"/>
      <c r="O239" s="53"/>
    </row>
    <row r="240" spans="4:15">
      <c r="D240" s="47"/>
      <c r="E240" s="143"/>
      <c r="H240" s="29"/>
      <c r="I240" s="30"/>
      <c r="O240" s="53"/>
    </row>
    <row r="241" spans="4:15">
      <c r="D241" s="47"/>
      <c r="E241" s="143"/>
      <c r="H241" s="29"/>
      <c r="I241" s="30"/>
      <c r="O241" s="53"/>
    </row>
    <row r="242" spans="4:15">
      <c r="D242" s="47"/>
      <c r="E242" s="143"/>
      <c r="H242" s="29"/>
      <c r="I242" s="30"/>
      <c r="O242" s="53"/>
    </row>
    <row r="243" spans="4:15">
      <c r="D243" s="47"/>
      <c r="E243" s="143"/>
      <c r="H243" s="29"/>
      <c r="I243" s="30"/>
      <c r="O243" s="53"/>
    </row>
    <row r="244" spans="4:15">
      <c r="D244" s="47"/>
      <c r="E244" s="143"/>
      <c r="H244" s="29"/>
      <c r="I244" s="30"/>
      <c r="O244" s="53"/>
    </row>
    <row r="245" spans="4:15">
      <c r="D245" s="47"/>
      <c r="E245" s="143"/>
      <c r="H245" s="29"/>
      <c r="I245" s="30"/>
      <c r="O245" s="53"/>
    </row>
    <row r="246" spans="4:15">
      <c r="D246" s="47"/>
      <c r="E246" s="143"/>
      <c r="H246" s="29"/>
      <c r="I246" s="30"/>
      <c r="O246" s="53"/>
    </row>
    <row r="247" spans="4:15">
      <c r="D247" s="47"/>
      <c r="E247" s="143"/>
      <c r="H247" s="29"/>
      <c r="I247" s="30"/>
      <c r="O247" s="53"/>
    </row>
    <row r="248" spans="4:15">
      <c r="D248" s="47"/>
      <c r="E248" s="143"/>
      <c r="H248" s="29"/>
      <c r="I248" s="30"/>
      <c r="O248" s="53"/>
    </row>
    <row r="249" spans="4:15">
      <c r="D249" s="47"/>
      <c r="E249" s="143"/>
      <c r="H249" s="29"/>
      <c r="I249" s="30"/>
      <c r="O249" s="53"/>
    </row>
    <row r="250" spans="4:15">
      <c r="D250" s="47"/>
      <c r="E250" s="143"/>
      <c r="H250" s="29"/>
      <c r="I250" s="30"/>
      <c r="O250" s="53"/>
    </row>
    <row r="251" spans="4:15">
      <c r="D251" s="47"/>
      <c r="E251" s="143"/>
      <c r="H251" s="29"/>
      <c r="I251" s="30"/>
      <c r="O251" s="53"/>
    </row>
    <row r="252" spans="4:15">
      <c r="D252" s="47"/>
      <c r="E252" s="143"/>
      <c r="H252" s="29"/>
      <c r="I252" s="30"/>
      <c r="O252" s="53"/>
    </row>
    <row r="253" spans="4:15">
      <c r="D253" s="47"/>
      <c r="E253" s="143"/>
      <c r="H253" s="29"/>
      <c r="I253" s="30"/>
      <c r="O253" s="53"/>
    </row>
    <row r="254" spans="4:15">
      <c r="D254" s="47"/>
      <c r="E254" s="143"/>
      <c r="H254" s="29"/>
      <c r="I254" s="30"/>
      <c r="O254" s="53"/>
    </row>
    <row r="255" spans="4:15">
      <c r="D255" s="47"/>
      <c r="E255" s="143"/>
      <c r="H255" s="29"/>
      <c r="I255" s="30"/>
      <c r="O255" s="53"/>
    </row>
    <row r="256" spans="4:15">
      <c r="D256" s="47"/>
      <c r="E256" s="143"/>
      <c r="H256" s="29"/>
      <c r="I256" s="30"/>
      <c r="O256" s="53"/>
    </row>
    <row r="257" spans="4:15">
      <c r="D257" s="47"/>
      <c r="E257" s="143"/>
      <c r="H257" s="29"/>
      <c r="I257" s="30"/>
      <c r="O257" s="53"/>
    </row>
    <row r="258" spans="4:15">
      <c r="D258" s="47"/>
      <c r="E258" s="143"/>
      <c r="H258" s="29"/>
      <c r="I258" s="30"/>
      <c r="O258" s="53"/>
    </row>
    <row r="259" spans="4:15">
      <c r="D259" s="47"/>
      <c r="E259" s="143"/>
      <c r="H259" s="29"/>
      <c r="I259" s="30"/>
      <c r="O259" s="53"/>
    </row>
    <row r="260" spans="4:15">
      <c r="D260" s="47"/>
      <c r="E260" s="143"/>
      <c r="H260" s="29"/>
      <c r="I260" s="30"/>
      <c r="O260" s="53"/>
    </row>
    <row r="261" spans="4:15">
      <c r="D261" s="47"/>
      <c r="E261" s="143"/>
      <c r="H261" s="29"/>
      <c r="I261" s="30"/>
      <c r="O261" s="53"/>
    </row>
    <row r="262" spans="4:15">
      <c r="D262" s="47"/>
      <c r="E262" s="143"/>
      <c r="H262" s="29"/>
      <c r="I262" s="30"/>
      <c r="O262" s="53"/>
    </row>
    <row r="263" spans="4:15">
      <c r="D263" s="47"/>
      <c r="E263" s="143"/>
      <c r="H263" s="29"/>
      <c r="I263" s="30"/>
      <c r="O263" s="53"/>
    </row>
    <row r="264" spans="4:15">
      <c r="D264" s="47"/>
      <c r="E264" s="143"/>
      <c r="H264" s="29"/>
      <c r="I264" s="30"/>
      <c r="O264" s="53"/>
    </row>
    <row r="265" spans="4:15">
      <c r="D265" s="47"/>
      <c r="E265" s="143"/>
      <c r="H265" s="29"/>
      <c r="I265" s="30"/>
      <c r="O265" s="53"/>
    </row>
    <row r="266" spans="4:15">
      <c r="D266" s="47"/>
      <c r="E266" s="143"/>
      <c r="H266" s="29"/>
      <c r="I266" s="30"/>
      <c r="O266" s="53"/>
    </row>
    <row r="267" spans="4:15">
      <c r="D267" s="47"/>
      <c r="E267" s="143"/>
      <c r="H267" s="29"/>
      <c r="I267" s="30"/>
      <c r="O267" s="53"/>
    </row>
    <row r="268" spans="4:15">
      <c r="D268" s="47"/>
      <c r="E268" s="143"/>
      <c r="H268" s="29"/>
      <c r="I268" s="30"/>
      <c r="O268" s="53"/>
    </row>
    <row r="269" spans="4:15">
      <c r="D269" s="47"/>
      <c r="E269" s="143"/>
      <c r="H269" s="29"/>
      <c r="I269" s="30"/>
      <c r="O269" s="53"/>
    </row>
    <row r="270" spans="4:15">
      <c r="D270" s="47"/>
      <c r="E270" s="143"/>
      <c r="H270" s="29"/>
      <c r="I270" s="30"/>
      <c r="O270" s="53"/>
    </row>
    <row r="271" spans="4:15">
      <c r="D271" s="47"/>
      <c r="E271" s="143"/>
      <c r="H271" s="29"/>
      <c r="I271" s="30"/>
      <c r="O271" s="53"/>
    </row>
    <row r="272" spans="4:15">
      <c r="D272" s="47"/>
      <c r="E272" s="143"/>
      <c r="H272" s="29"/>
      <c r="I272" s="30"/>
      <c r="O272" s="53"/>
    </row>
    <row r="273" spans="4:15">
      <c r="D273" s="47"/>
      <c r="E273" s="143"/>
      <c r="H273" s="29"/>
      <c r="I273" s="30"/>
      <c r="O273" s="53"/>
    </row>
    <row r="274" spans="4:15">
      <c r="D274" s="47"/>
      <c r="E274" s="143"/>
      <c r="H274" s="29"/>
      <c r="I274" s="30"/>
      <c r="O274" s="53"/>
    </row>
    <row r="275" spans="4:15">
      <c r="D275" s="47"/>
      <c r="E275" s="143"/>
      <c r="H275" s="29"/>
      <c r="I275" s="30"/>
      <c r="O275" s="53"/>
    </row>
    <row r="276" spans="4:15">
      <c r="D276" s="47"/>
      <c r="E276" s="143"/>
      <c r="H276" s="29"/>
      <c r="I276" s="30"/>
      <c r="O276" s="53"/>
    </row>
    <row r="277" spans="4:15">
      <c r="D277" s="47"/>
      <c r="E277" s="143"/>
      <c r="H277" s="29"/>
      <c r="I277" s="30"/>
      <c r="O277" s="53"/>
    </row>
    <row r="278" spans="4:15">
      <c r="D278" s="47"/>
      <c r="E278" s="143"/>
      <c r="H278" s="29"/>
      <c r="I278" s="30"/>
      <c r="O278" s="53"/>
    </row>
    <row r="279" spans="4:15">
      <c r="D279" s="47"/>
      <c r="E279" s="143"/>
      <c r="H279" s="29"/>
      <c r="I279" s="30"/>
      <c r="O279" s="53"/>
    </row>
    <row r="280" spans="4:15">
      <c r="D280" s="47"/>
      <c r="E280" s="143"/>
      <c r="H280" s="29"/>
      <c r="I280" s="30"/>
      <c r="O280" s="53"/>
    </row>
    <row r="281" spans="4:15">
      <c r="D281" s="47"/>
      <c r="E281" s="143"/>
      <c r="H281" s="29"/>
      <c r="I281" s="30"/>
      <c r="O281" s="53"/>
    </row>
    <row r="282" spans="4:15">
      <c r="D282" s="47"/>
      <c r="E282" s="143"/>
      <c r="H282" s="29"/>
      <c r="I282" s="30"/>
      <c r="O282" s="53"/>
    </row>
    <row r="283" spans="4:15">
      <c r="D283" s="47"/>
      <c r="E283" s="143"/>
      <c r="H283" s="29"/>
      <c r="I283" s="30"/>
      <c r="O283" s="53"/>
    </row>
    <row r="284" spans="4:15">
      <c r="D284" s="47"/>
      <c r="E284" s="143"/>
      <c r="H284" s="29"/>
      <c r="I284" s="30"/>
      <c r="O284" s="53"/>
    </row>
    <row r="285" spans="4:15">
      <c r="D285" s="47"/>
      <c r="E285" s="143"/>
      <c r="H285" s="29"/>
      <c r="I285" s="30"/>
      <c r="O285" s="53"/>
    </row>
    <row r="286" spans="4:15">
      <c r="D286" s="47"/>
      <c r="E286" s="143"/>
      <c r="H286" s="29"/>
      <c r="I286" s="30"/>
      <c r="O286" s="53"/>
    </row>
    <row r="287" spans="4:15">
      <c r="D287" s="47"/>
      <c r="E287" s="143"/>
      <c r="H287" s="29"/>
      <c r="I287" s="30"/>
      <c r="O287" s="53"/>
    </row>
    <row r="288" spans="4:15">
      <c r="D288" s="47"/>
      <c r="E288" s="143"/>
      <c r="H288" s="29"/>
      <c r="I288" s="30"/>
      <c r="O288" s="53"/>
    </row>
    <row r="289" spans="4:15">
      <c r="D289" s="47"/>
      <c r="E289" s="143"/>
      <c r="H289" s="29"/>
      <c r="I289" s="30"/>
      <c r="O289" s="53"/>
    </row>
    <row r="290" spans="4:15">
      <c r="D290" s="47"/>
      <c r="E290" s="143"/>
      <c r="H290" s="29"/>
      <c r="I290" s="30"/>
      <c r="O290" s="53"/>
    </row>
    <row r="291" spans="4:15">
      <c r="D291" s="47"/>
      <c r="E291" s="143"/>
      <c r="H291" s="29"/>
      <c r="I291" s="30"/>
      <c r="O291" s="53"/>
    </row>
    <row r="292" spans="4:15">
      <c r="D292" s="47"/>
      <c r="E292" s="143"/>
      <c r="H292" s="29"/>
      <c r="I292" s="30"/>
      <c r="O292" s="53"/>
    </row>
    <row r="293" spans="4:15">
      <c r="D293" s="47"/>
      <c r="E293" s="143"/>
      <c r="H293" s="29"/>
      <c r="I293" s="30"/>
      <c r="O293" s="53"/>
    </row>
    <row r="294" spans="4:15">
      <c r="D294" s="47"/>
      <c r="E294" s="143"/>
      <c r="H294" s="29"/>
      <c r="I294" s="30"/>
      <c r="O294" s="53"/>
    </row>
    <row r="295" spans="4:15">
      <c r="D295" s="47"/>
      <c r="E295" s="143"/>
      <c r="H295" s="29"/>
      <c r="I295" s="30"/>
      <c r="O295" s="53"/>
    </row>
    <row r="296" spans="4:15">
      <c r="D296" s="47"/>
      <c r="E296" s="143"/>
      <c r="H296" s="29"/>
      <c r="I296" s="30"/>
      <c r="O296" s="53"/>
    </row>
    <row r="297" spans="4:15">
      <c r="D297" s="47"/>
      <c r="E297" s="143"/>
      <c r="H297" s="29"/>
      <c r="I297" s="30"/>
      <c r="O297" s="53"/>
    </row>
    <row r="298" spans="4:15">
      <c r="D298" s="47"/>
      <c r="E298" s="143"/>
      <c r="H298" s="29"/>
      <c r="I298" s="30"/>
      <c r="O298" s="53"/>
    </row>
    <row r="299" spans="4:15">
      <c r="D299" s="47"/>
      <c r="E299" s="143"/>
      <c r="H299" s="29"/>
      <c r="I299" s="30"/>
      <c r="O299" s="53"/>
    </row>
    <row r="300" spans="4:15">
      <c r="D300" s="47"/>
      <c r="E300" s="143"/>
      <c r="H300" s="29"/>
      <c r="I300" s="30"/>
      <c r="O300" s="53"/>
    </row>
    <row r="301" spans="4:15">
      <c r="D301" s="47"/>
      <c r="E301" s="143"/>
      <c r="H301" s="29"/>
      <c r="I301" s="30"/>
      <c r="O301" s="53"/>
    </row>
    <row r="302" spans="4:15">
      <c r="D302" s="47"/>
      <c r="E302" s="143"/>
      <c r="H302" s="29"/>
      <c r="I302" s="30"/>
      <c r="O302" s="53"/>
    </row>
    <row r="303" spans="4:15">
      <c r="D303" s="47"/>
      <c r="E303" s="143"/>
      <c r="H303" s="29"/>
      <c r="I303" s="30"/>
      <c r="O303" s="53"/>
    </row>
    <row r="304" spans="4:15">
      <c r="D304" s="47"/>
      <c r="E304" s="143"/>
      <c r="H304" s="29"/>
      <c r="I304" s="30"/>
      <c r="O304" s="53"/>
    </row>
    <row r="305" spans="4:15">
      <c r="D305" s="47"/>
      <c r="E305" s="143"/>
      <c r="H305" s="29"/>
      <c r="I305" s="30"/>
      <c r="O305" s="53"/>
    </row>
    <row r="306" spans="4:15">
      <c r="D306" s="47"/>
      <c r="E306" s="143"/>
      <c r="H306" s="29"/>
      <c r="I306" s="30"/>
      <c r="O306" s="53"/>
    </row>
    <row r="307" spans="4:15">
      <c r="D307" s="47"/>
      <c r="E307" s="143"/>
      <c r="H307" s="29"/>
      <c r="I307" s="30"/>
      <c r="O307" s="53"/>
    </row>
    <row r="308" spans="4:15">
      <c r="D308" s="47"/>
      <c r="E308" s="143"/>
      <c r="H308" s="29"/>
      <c r="I308" s="30"/>
      <c r="O308" s="53"/>
    </row>
    <row r="309" spans="4:15">
      <c r="D309" s="47"/>
      <c r="E309" s="143"/>
      <c r="H309" s="29"/>
      <c r="I309" s="30"/>
      <c r="O309" s="53"/>
    </row>
    <row r="310" spans="4:15">
      <c r="D310" s="47"/>
      <c r="E310" s="143"/>
      <c r="H310" s="29"/>
      <c r="I310" s="30"/>
      <c r="O310" s="53"/>
    </row>
    <row r="311" spans="4:15">
      <c r="D311" s="47"/>
      <c r="E311" s="143"/>
      <c r="H311" s="29"/>
      <c r="I311" s="30"/>
      <c r="O311" s="53"/>
    </row>
    <row r="312" spans="4:15">
      <c r="D312" s="47"/>
      <c r="E312" s="143"/>
      <c r="H312" s="29"/>
      <c r="I312" s="30"/>
      <c r="O312" s="53"/>
    </row>
    <row r="313" spans="4:15">
      <c r="D313" s="47"/>
      <c r="E313" s="143"/>
      <c r="H313" s="29"/>
      <c r="I313" s="30"/>
      <c r="O313" s="53"/>
    </row>
    <row r="314" spans="4:15">
      <c r="D314" s="47"/>
      <c r="E314" s="143"/>
      <c r="H314" s="29"/>
      <c r="I314" s="30"/>
      <c r="O314" s="53"/>
    </row>
    <row r="315" spans="4:15">
      <c r="D315" s="47"/>
      <c r="E315" s="143"/>
      <c r="H315" s="29"/>
      <c r="I315" s="30"/>
      <c r="O315" s="53"/>
    </row>
    <row r="316" spans="4:15">
      <c r="D316" s="47"/>
      <c r="E316" s="143"/>
      <c r="H316" s="29"/>
      <c r="I316" s="30"/>
      <c r="O316" s="53"/>
    </row>
    <row r="317" spans="4:15">
      <c r="D317" s="47"/>
      <c r="E317" s="143"/>
      <c r="H317" s="29"/>
      <c r="I317" s="30"/>
      <c r="O317" s="53"/>
    </row>
    <row r="318" spans="4:15">
      <c r="D318" s="47"/>
      <c r="E318" s="143"/>
      <c r="H318" s="29"/>
      <c r="I318" s="30"/>
      <c r="O318" s="53"/>
    </row>
    <row r="319" spans="4:15">
      <c r="D319" s="47"/>
      <c r="E319" s="143"/>
      <c r="H319" s="29"/>
      <c r="I319" s="30"/>
      <c r="O319" s="53"/>
    </row>
    <row r="320" spans="4:15">
      <c r="D320" s="47"/>
      <c r="E320" s="143"/>
      <c r="H320" s="29"/>
      <c r="I320" s="30"/>
      <c r="O320" s="53"/>
    </row>
    <row r="321" spans="4:15">
      <c r="D321" s="47"/>
      <c r="E321" s="143"/>
      <c r="H321" s="29"/>
      <c r="I321" s="30"/>
      <c r="O321" s="53"/>
    </row>
    <row r="322" spans="4:15">
      <c r="D322" s="47"/>
      <c r="E322" s="143"/>
      <c r="H322" s="29"/>
      <c r="I322" s="30"/>
      <c r="O322" s="53"/>
    </row>
    <row r="323" spans="4:15">
      <c r="D323" s="47"/>
      <c r="E323" s="143"/>
      <c r="H323" s="29"/>
      <c r="I323" s="30"/>
      <c r="O323" s="53"/>
    </row>
    <row r="324" spans="4:15">
      <c r="D324" s="47"/>
      <c r="E324" s="143"/>
      <c r="H324" s="29"/>
      <c r="I324" s="30"/>
      <c r="O324" s="53"/>
    </row>
    <row r="325" spans="4:15">
      <c r="D325" s="47"/>
      <c r="E325" s="143"/>
      <c r="H325" s="29"/>
      <c r="I325" s="30"/>
      <c r="O325" s="53"/>
    </row>
    <row r="326" spans="4:15">
      <c r="D326" s="47"/>
      <c r="E326" s="143"/>
      <c r="H326" s="29"/>
      <c r="I326" s="30"/>
      <c r="O326" s="53"/>
    </row>
    <row r="327" spans="4:15">
      <c r="D327" s="47"/>
      <c r="E327" s="143"/>
      <c r="H327" s="29"/>
      <c r="I327" s="30"/>
      <c r="O327" s="53"/>
    </row>
    <row r="328" spans="4:15">
      <c r="D328" s="47"/>
      <c r="E328" s="143"/>
      <c r="H328" s="29"/>
      <c r="I328" s="30"/>
      <c r="O328" s="53"/>
    </row>
    <row r="329" spans="4:15">
      <c r="D329" s="47"/>
      <c r="E329" s="143"/>
      <c r="H329" s="29"/>
      <c r="I329" s="30"/>
      <c r="O329" s="53"/>
    </row>
    <row r="330" spans="4:15">
      <c r="D330" s="47"/>
      <c r="E330" s="143"/>
      <c r="H330" s="29"/>
      <c r="I330" s="30"/>
      <c r="O330" s="53"/>
    </row>
    <row r="331" spans="4:15">
      <c r="D331" s="47"/>
      <c r="E331" s="143"/>
      <c r="H331" s="29"/>
      <c r="I331" s="30"/>
      <c r="O331" s="53"/>
    </row>
    <row r="332" spans="4:15">
      <c r="D332" s="47"/>
      <c r="E332" s="143"/>
      <c r="H332" s="29"/>
      <c r="I332" s="30"/>
      <c r="O332" s="53"/>
    </row>
    <row r="333" spans="4:15">
      <c r="D333" s="47"/>
      <c r="E333" s="143"/>
      <c r="H333" s="29"/>
      <c r="I333" s="30"/>
      <c r="O333" s="53"/>
    </row>
    <row r="334" spans="4:15">
      <c r="D334" s="47"/>
      <c r="E334" s="143"/>
      <c r="H334" s="29"/>
      <c r="I334" s="30"/>
      <c r="O334" s="53"/>
    </row>
    <row r="335" spans="4:15">
      <c r="D335" s="47"/>
      <c r="E335" s="143"/>
      <c r="H335" s="29"/>
      <c r="I335" s="30"/>
      <c r="O335" s="53"/>
    </row>
    <row r="336" spans="4:15">
      <c r="D336" s="47"/>
      <c r="E336" s="143"/>
      <c r="H336" s="29"/>
      <c r="I336" s="30"/>
      <c r="O336" s="53"/>
    </row>
    <row r="337" spans="4:15">
      <c r="D337" s="47"/>
      <c r="E337" s="143"/>
      <c r="H337" s="29"/>
      <c r="I337" s="30"/>
      <c r="O337" s="53"/>
    </row>
    <row r="338" spans="4:15">
      <c r="D338" s="47"/>
      <c r="E338" s="143"/>
      <c r="H338" s="29"/>
      <c r="I338" s="30"/>
      <c r="O338" s="53"/>
    </row>
    <row r="339" spans="4:15">
      <c r="D339" s="47"/>
      <c r="E339" s="143"/>
      <c r="H339" s="29"/>
      <c r="I339" s="30"/>
      <c r="O339" s="53"/>
    </row>
    <row r="340" spans="4:15">
      <c r="D340" s="47"/>
      <c r="E340" s="143"/>
      <c r="H340" s="29"/>
      <c r="I340" s="30"/>
      <c r="O340" s="53"/>
    </row>
    <row r="341" spans="4:15">
      <c r="D341" s="47"/>
      <c r="E341" s="143"/>
      <c r="H341" s="29"/>
      <c r="I341" s="30"/>
      <c r="O341" s="53"/>
    </row>
    <row r="342" spans="4:15">
      <c r="D342" s="47"/>
      <c r="E342" s="143"/>
      <c r="H342" s="29"/>
      <c r="I342" s="30"/>
      <c r="O342" s="53"/>
    </row>
    <row r="343" spans="4:15">
      <c r="D343" s="47"/>
      <c r="E343" s="143"/>
      <c r="H343" s="29"/>
      <c r="I343" s="30"/>
      <c r="O343" s="53"/>
    </row>
    <row r="344" spans="4:15">
      <c r="D344" s="47"/>
      <c r="E344" s="143"/>
      <c r="H344" s="29"/>
      <c r="I344" s="30"/>
      <c r="O344" s="53"/>
    </row>
    <row r="345" spans="4:15">
      <c r="D345" s="47"/>
      <c r="E345" s="143"/>
      <c r="H345" s="29"/>
      <c r="I345" s="30"/>
      <c r="O345" s="53"/>
    </row>
    <row r="346" spans="4:15">
      <c r="D346" s="47"/>
      <c r="E346" s="143"/>
      <c r="H346" s="29"/>
      <c r="I346" s="30"/>
      <c r="O346" s="53"/>
    </row>
    <row r="347" spans="4:15">
      <c r="D347" s="47"/>
      <c r="E347" s="143"/>
      <c r="H347" s="29"/>
      <c r="I347" s="30"/>
      <c r="O347" s="53"/>
    </row>
    <row r="348" spans="4:15">
      <c r="D348" s="47"/>
      <c r="E348" s="143"/>
      <c r="H348" s="29"/>
      <c r="I348" s="30"/>
      <c r="O348" s="53"/>
    </row>
    <row r="349" spans="4:15">
      <c r="D349" s="47"/>
      <c r="E349" s="143"/>
      <c r="H349" s="29"/>
      <c r="I349" s="30"/>
      <c r="O349" s="53"/>
    </row>
    <row r="350" spans="4:15">
      <c r="D350" s="47"/>
      <c r="E350" s="143"/>
      <c r="H350" s="29"/>
      <c r="I350" s="30"/>
      <c r="O350" s="53"/>
    </row>
    <row r="351" spans="4:15">
      <c r="D351" s="47"/>
      <c r="E351" s="143"/>
      <c r="H351" s="29"/>
      <c r="I351" s="30"/>
      <c r="O351" s="53"/>
    </row>
    <row r="352" spans="4:15">
      <c r="D352" s="47"/>
      <c r="E352" s="143"/>
      <c r="H352" s="29"/>
      <c r="I352" s="30"/>
      <c r="O352" s="53"/>
    </row>
    <row r="353" spans="4:15">
      <c r="D353" s="47"/>
      <c r="E353" s="143"/>
      <c r="H353" s="29"/>
      <c r="I353" s="30"/>
      <c r="O353" s="53"/>
    </row>
    <row r="354" spans="4:15">
      <c r="D354" s="47"/>
      <c r="E354" s="143"/>
      <c r="H354" s="29"/>
      <c r="I354" s="30"/>
      <c r="O354" s="53"/>
    </row>
    <row r="355" spans="4:15">
      <c r="D355" s="47"/>
      <c r="E355" s="143"/>
      <c r="H355" s="29"/>
      <c r="I355" s="30"/>
      <c r="O355" s="53"/>
    </row>
    <row r="356" spans="4:15">
      <c r="D356" s="47"/>
      <c r="E356" s="143"/>
      <c r="H356" s="29"/>
      <c r="I356" s="30"/>
      <c r="O356" s="53"/>
    </row>
    <row r="357" spans="4:15">
      <c r="D357" s="47"/>
      <c r="E357" s="143"/>
      <c r="H357" s="29"/>
      <c r="I357" s="30"/>
      <c r="O357" s="53"/>
    </row>
    <row r="358" spans="4:15">
      <c r="D358" s="47"/>
      <c r="E358" s="143"/>
      <c r="H358" s="29"/>
      <c r="I358" s="30"/>
      <c r="O358" s="53"/>
    </row>
    <row r="359" spans="4:15">
      <c r="D359" s="47"/>
      <c r="E359" s="143"/>
      <c r="H359" s="29"/>
      <c r="I359" s="30"/>
      <c r="O359" s="53"/>
    </row>
    <row r="360" spans="4:15">
      <c r="D360" s="47"/>
      <c r="E360" s="143"/>
      <c r="H360" s="29"/>
      <c r="I360" s="30"/>
      <c r="O360" s="53"/>
    </row>
    <row r="361" spans="4:15">
      <c r="D361" s="47"/>
      <c r="E361" s="143"/>
      <c r="H361" s="29"/>
      <c r="I361" s="30"/>
      <c r="O361" s="53"/>
    </row>
    <row r="362" spans="4:15">
      <c r="D362" s="47"/>
      <c r="E362" s="143"/>
      <c r="H362" s="29"/>
      <c r="I362" s="30"/>
      <c r="O362" s="53"/>
    </row>
    <row r="363" spans="4:15">
      <c r="D363" s="47"/>
      <c r="E363" s="143"/>
      <c r="H363" s="29"/>
      <c r="I363" s="30"/>
      <c r="O363" s="53"/>
    </row>
    <row r="364" spans="4:15">
      <c r="D364" s="47"/>
      <c r="E364" s="143"/>
      <c r="H364" s="29"/>
      <c r="I364" s="30"/>
      <c r="O364" s="53"/>
    </row>
    <row r="365" spans="4:15">
      <c r="D365" s="47"/>
      <c r="E365" s="143"/>
      <c r="H365" s="29"/>
      <c r="I365" s="30"/>
      <c r="O365" s="53"/>
    </row>
    <row r="366" spans="4:15">
      <c r="D366" s="47"/>
      <c r="E366" s="143"/>
      <c r="H366" s="29"/>
      <c r="I366" s="30"/>
      <c r="O366" s="53"/>
    </row>
    <row r="367" spans="4:15">
      <c r="D367" s="47"/>
      <c r="E367" s="143"/>
      <c r="H367" s="29"/>
      <c r="I367" s="30"/>
      <c r="O367" s="53"/>
    </row>
    <row r="368" spans="4:15">
      <c r="D368" s="47"/>
      <c r="E368" s="143"/>
      <c r="H368" s="29"/>
      <c r="I368" s="30"/>
      <c r="O368" s="53"/>
    </row>
    <row r="369" spans="4:15">
      <c r="D369" s="47"/>
      <c r="E369" s="143"/>
      <c r="H369" s="29"/>
      <c r="I369" s="30"/>
      <c r="O369" s="53"/>
    </row>
    <row r="370" spans="4:15">
      <c r="D370" s="47"/>
      <c r="E370" s="143"/>
      <c r="H370" s="29"/>
      <c r="I370" s="30"/>
      <c r="O370" s="53"/>
    </row>
    <row r="371" spans="4:15">
      <c r="D371" s="47"/>
      <c r="E371" s="143"/>
      <c r="H371" s="29"/>
      <c r="I371" s="30"/>
      <c r="O371" s="53"/>
    </row>
    <row r="372" spans="4:15">
      <c r="D372" s="47"/>
      <c r="E372" s="143"/>
      <c r="H372" s="29"/>
      <c r="I372" s="30"/>
      <c r="O372" s="53"/>
    </row>
    <row r="373" spans="4:15">
      <c r="D373" s="47"/>
      <c r="E373" s="143"/>
      <c r="H373" s="29"/>
      <c r="I373" s="30"/>
      <c r="O373" s="53"/>
    </row>
    <row r="374" spans="4:15">
      <c r="D374" s="47"/>
      <c r="E374" s="143"/>
      <c r="H374" s="29"/>
      <c r="I374" s="30"/>
      <c r="O374" s="53"/>
    </row>
    <row r="375" spans="4:15">
      <c r="D375" s="47"/>
      <c r="E375" s="143"/>
      <c r="H375" s="29"/>
      <c r="I375" s="30"/>
      <c r="O375" s="53"/>
    </row>
    <row r="376" spans="4:15">
      <c r="D376" s="47"/>
      <c r="E376" s="143"/>
      <c r="H376" s="29"/>
      <c r="I376" s="30"/>
      <c r="O376" s="53"/>
    </row>
    <row r="377" spans="4:15">
      <c r="D377" s="47"/>
      <c r="E377" s="143"/>
      <c r="H377" s="29"/>
      <c r="I377" s="30"/>
      <c r="O377" s="53"/>
    </row>
    <row r="378" spans="4:15">
      <c r="D378" s="47"/>
      <c r="E378" s="143"/>
      <c r="H378" s="29"/>
      <c r="I378" s="30"/>
      <c r="O378" s="53"/>
    </row>
    <row r="379" spans="4:15">
      <c r="D379" s="47"/>
      <c r="E379" s="143"/>
      <c r="H379" s="29"/>
      <c r="I379" s="30"/>
      <c r="O379" s="53"/>
    </row>
    <row r="380" spans="4:15">
      <c r="D380" s="47"/>
      <c r="E380" s="143"/>
      <c r="H380" s="29"/>
      <c r="I380" s="30"/>
      <c r="O380" s="53"/>
    </row>
    <row r="381" spans="4:15">
      <c r="D381" s="47"/>
      <c r="E381" s="143"/>
      <c r="H381" s="29"/>
      <c r="I381" s="30"/>
      <c r="O381" s="53"/>
    </row>
    <row r="382" spans="4:15">
      <c r="D382" s="47"/>
      <c r="E382" s="143"/>
      <c r="H382" s="29"/>
      <c r="I382" s="30"/>
      <c r="O382" s="53"/>
    </row>
    <row r="383" spans="4:15">
      <c r="D383" s="47"/>
      <c r="E383" s="143"/>
      <c r="H383" s="29"/>
      <c r="I383" s="30"/>
      <c r="O383" s="53"/>
    </row>
    <row r="384" spans="4:15">
      <c r="D384" s="47"/>
      <c r="E384" s="143"/>
      <c r="H384" s="29"/>
      <c r="I384" s="30"/>
      <c r="O384" s="53"/>
    </row>
    <row r="385" spans="4:15">
      <c r="D385" s="47"/>
      <c r="E385" s="143"/>
      <c r="H385" s="29"/>
      <c r="I385" s="30"/>
      <c r="O385" s="53"/>
    </row>
    <row r="386" spans="4:15">
      <c r="D386" s="47"/>
      <c r="E386" s="143"/>
      <c r="H386" s="29"/>
      <c r="I386" s="30"/>
      <c r="O386" s="53"/>
    </row>
    <row r="387" spans="4:15">
      <c r="D387" s="47"/>
      <c r="E387" s="143"/>
      <c r="H387" s="29"/>
      <c r="I387" s="30"/>
      <c r="O387" s="53"/>
    </row>
    <row r="388" spans="4:15">
      <c r="D388" s="47"/>
      <c r="E388" s="143"/>
      <c r="H388" s="29"/>
      <c r="I388" s="30"/>
      <c r="O388" s="53"/>
    </row>
    <row r="389" spans="4:15">
      <c r="D389" s="47"/>
      <c r="E389" s="143"/>
      <c r="H389" s="29"/>
      <c r="I389" s="30"/>
      <c r="O389" s="53"/>
    </row>
    <row r="390" spans="4:15">
      <c r="D390" s="47"/>
      <c r="E390" s="143"/>
      <c r="H390" s="29"/>
      <c r="I390" s="30"/>
      <c r="O390" s="53"/>
    </row>
    <row r="391" spans="4:15">
      <c r="D391" s="47"/>
      <c r="E391" s="143"/>
      <c r="H391" s="29"/>
      <c r="I391" s="30"/>
      <c r="O391" s="53"/>
    </row>
    <row r="392" spans="4:15">
      <c r="D392" s="47"/>
      <c r="E392" s="143"/>
      <c r="H392" s="29"/>
      <c r="I392" s="30"/>
      <c r="O392" s="53"/>
    </row>
    <row r="393" spans="4:15">
      <c r="D393" s="47"/>
      <c r="E393" s="143"/>
      <c r="H393" s="29"/>
      <c r="I393" s="30"/>
      <c r="O393" s="53"/>
    </row>
    <row r="394" spans="4:15">
      <c r="D394" s="47"/>
      <c r="E394" s="143"/>
      <c r="H394" s="29"/>
      <c r="I394" s="30"/>
      <c r="O394" s="53"/>
    </row>
    <row r="395" spans="4:15">
      <c r="D395" s="47"/>
      <c r="E395" s="143"/>
      <c r="H395" s="29"/>
      <c r="I395" s="30"/>
      <c r="O395" s="53"/>
    </row>
    <row r="396" spans="4:15">
      <c r="D396" s="47"/>
      <c r="E396" s="143"/>
      <c r="H396" s="29"/>
      <c r="I396" s="30"/>
      <c r="O396" s="53"/>
    </row>
    <row r="397" spans="4:15">
      <c r="D397" s="47"/>
      <c r="E397" s="143"/>
      <c r="H397" s="29"/>
      <c r="I397" s="30"/>
      <c r="O397" s="53"/>
    </row>
    <row r="398" spans="4:15">
      <c r="D398" s="47"/>
      <c r="E398" s="143"/>
      <c r="H398" s="29"/>
      <c r="I398" s="30"/>
      <c r="O398" s="53"/>
    </row>
    <row r="399" spans="4:15">
      <c r="D399" s="47"/>
      <c r="E399" s="143"/>
      <c r="H399" s="29"/>
      <c r="I399" s="30"/>
      <c r="O399" s="53"/>
    </row>
    <row r="400" spans="4:15">
      <c r="D400" s="47"/>
      <c r="E400" s="143"/>
      <c r="H400" s="29"/>
      <c r="I400" s="30"/>
      <c r="O400" s="53"/>
    </row>
    <row r="401" spans="4:15">
      <c r="D401" s="47"/>
      <c r="E401" s="143"/>
      <c r="H401" s="29"/>
      <c r="I401" s="30"/>
      <c r="O401" s="53"/>
    </row>
    <row r="402" spans="4:15">
      <c r="D402" s="47"/>
      <c r="E402" s="143"/>
      <c r="H402" s="29"/>
      <c r="I402" s="30"/>
      <c r="O402" s="53"/>
    </row>
    <row r="403" spans="4:15">
      <c r="D403" s="47"/>
      <c r="E403" s="143"/>
      <c r="H403" s="29"/>
      <c r="I403" s="30"/>
      <c r="O403" s="53"/>
    </row>
    <row r="404" spans="4:15">
      <c r="D404" s="47"/>
      <c r="E404" s="143"/>
      <c r="H404" s="29"/>
      <c r="I404" s="30"/>
      <c r="O404" s="53"/>
    </row>
    <row r="405" spans="4:15">
      <c r="D405" s="47"/>
      <c r="E405" s="143"/>
      <c r="H405" s="29"/>
      <c r="I405" s="30"/>
      <c r="O405" s="53"/>
    </row>
    <row r="406" spans="4:15">
      <c r="D406" s="47"/>
      <c r="E406" s="143"/>
      <c r="H406" s="29"/>
      <c r="I406" s="30"/>
      <c r="O406" s="53"/>
    </row>
    <row r="407" spans="4:15">
      <c r="D407" s="47"/>
      <c r="E407" s="143"/>
      <c r="H407" s="29"/>
      <c r="I407" s="30"/>
      <c r="O407" s="53"/>
    </row>
    <row r="408" spans="4:15">
      <c r="D408" s="47"/>
      <c r="E408" s="143"/>
      <c r="H408" s="29"/>
      <c r="I408" s="30"/>
      <c r="O408" s="53"/>
    </row>
    <row r="409" spans="4:15">
      <c r="D409" s="47"/>
      <c r="E409" s="143"/>
      <c r="H409" s="29"/>
      <c r="I409" s="30"/>
      <c r="O409" s="53"/>
    </row>
    <row r="410" spans="4:15">
      <c r="D410" s="47"/>
      <c r="E410" s="143"/>
      <c r="H410" s="29"/>
      <c r="I410" s="30"/>
      <c r="O410" s="53"/>
    </row>
    <row r="411" spans="4:15">
      <c r="D411" s="47"/>
      <c r="E411" s="143"/>
      <c r="H411" s="29"/>
      <c r="I411" s="30"/>
      <c r="O411" s="53"/>
    </row>
    <row r="412" spans="4:15">
      <c r="D412" s="47"/>
      <c r="E412" s="143"/>
      <c r="H412" s="29"/>
      <c r="I412" s="30"/>
      <c r="O412" s="53"/>
    </row>
    <row r="413" spans="4:15">
      <c r="D413" s="47"/>
      <c r="E413" s="143"/>
      <c r="H413" s="29"/>
      <c r="I413" s="30"/>
      <c r="O413" s="53"/>
    </row>
    <row r="414" spans="4:15">
      <c r="D414" s="47"/>
      <c r="E414" s="143"/>
      <c r="H414" s="29"/>
      <c r="I414" s="30"/>
      <c r="O414" s="53"/>
    </row>
    <row r="415" spans="4:15">
      <c r="D415" s="47"/>
      <c r="E415" s="143"/>
      <c r="H415" s="29"/>
      <c r="I415" s="30"/>
      <c r="O415" s="53"/>
    </row>
    <row r="416" spans="4:15">
      <c r="D416" s="47"/>
      <c r="E416" s="143"/>
      <c r="H416" s="29"/>
      <c r="I416" s="30"/>
      <c r="O416" s="53"/>
    </row>
    <row r="417" spans="4:15">
      <c r="D417" s="47"/>
      <c r="E417" s="143"/>
      <c r="H417" s="29"/>
      <c r="I417" s="30"/>
      <c r="O417" s="53"/>
    </row>
    <row r="418" spans="4:15">
      <c r="D418" s="47"/>
      <c r="E418" s="143"/>
      <c r="H418" s="29"/>
      <c r="I418" s="30"/>
      <c r="O418" s="53"/>
    </row>
    <row r="419" spans="4:15">
      <c r="D419" s="47"/>
      <c r="E419" s="143"/>
      <c r="H419" s="29"/>
      <c r="I419" s="30"/>
      <c r="O419" s="53"/>
    </row>
    <row r="420" spans="4:15">
      <c r="D420" s="47"/>
      <c r="E420" s="143"/>
      <c r="H420" s="29"/>
      <c r="I420" s="30"/>
      <c r="O420" s="53"/>
    </row>
    <row r="421" spans="4:15">
      <c r="D421" s="47"/>
      <c r="E421" s="143"/>
      <c r="H421" s="29"/>
      <c r="I421" s="30"/>
      <c r="O421" s="53"/>
    </row>
    <row r="422" spans="4:15">
      <c r="D422" s="47"/>
      <c r="E422" s="143"/>
      <c r="H422" s="29"/>
      <c r="I422" s="30"/>
      <c r="O422" s="53"/>
    </row>
    <row r="423" spans="4:15">
      <c r="D423" s="47"/>
      <c r="E423" s="143"/>
      <c r="H423" s="29"/>
      <c r="I423" s="30"/>
      <c r="O423" s="53"/>
    </row>
    <row r="424" spans="4:15">
      <c r="D424" s="47"/>
      <c r="E424" s="143"/>
      <c r="H424" s="29"/>
      <c r="I424" s="30"/>
      <c r="O424" s="53"/>
    </row>
    <row r="425" spans="4:15">
      <c r="D425" s="47"/>
      <c r="E425" s="143"/>
      <c r="H425" s="29"/>
      <c r="I425" s="30"/>
      <c r="O425" s="53"/>
    </row>
    <row r="426" spans="4:15">
      <c r="D426" s="47"/>
      <c r="E426" s="143"/>
      <c r="H426" s="29"/>
      <c r="I426" s="30"/>
      <c r="O426" s="53"/>
    </row>
    <row r="427" spans="4:15">
      <c r="D427" s="47"/>
      <c r="E427" s="143"/>
      <c r="H427" s="29"/>
      <c r="I427" s="30"/>
      <c r="O427" s="53"/>
    </row>
    <row r="428" spans="4:15">
      <c r="D428" s="47"/>
      <c r="E428" s="143"/>
      <c r="H428" s="29"/>
      <c r="I428" s="30"/>
      <c r="O428" s="53"/>
    </row>
    <row r="429" spans="4:15">
      <c r="D429" s="47"/>
      <c r="E429" s="143"/>
      <c r="H429" s="29"/>
      <c r="I429" s="30"/>
      <c r="O429" s="53"/>
    </row>
    <row r="430" spans="4:15">
      <c r="D430" s="47"/>
      <c r="E430" s="143"/>
      <c r="H430" s="29"/>
      <c r="I430" s="30"/>
      <c r="O430" s="53"/>
    </row>
    <row r="431" spans="4:15">
      <c r="D431" s="47"/>
      <c r="E431" s="143"/>
      <c r="H431" s="29"/>
      <c r="I431" s="30"/>
      <c r="O431" s="53"/>
    </row>
    <row r="432" spans="4:15">
      <c r="D432" s="47"/>
      <c r="E432" s="143"/>
      <c r="H432" s="29"/>
      <c r="I432" s="30"/>
      <c r="O432" s="53"/>
    </row>
    <row r="433" spans="4:15">
      <c r="D433" s="47"/>
      <c r="E433" s="143"/>
      <c r="H433" s="29"/>
      <c r="I433" s="30"/>
      <c r="O433" s="53"/>
    </row>
    <row r="434" spans="4:15">
      <c r="D434" s="47"/>
      <c r="E434" s="143"/>
      <c r="H434" s="29"/>
      <c r="I434" s="30"/>
      <c r="O434" s="53"/>
    </row>
    <row r="435" spans="4:15">
      <c r="D435" s="47"/>
      <c r="E435" s="143"/>
      <c r="H435" s="29"/>
      <c r="I435" s="30"/>
      <c r="O435" s="53"/>
    </row>
    <row r="436" spans="4:15">
      <c r="D436" s="47"/>
      <c r="E436" s="143"/>
      <c r="H436" s="29"/>
      <c r="I436" s="30"/>
      <c r="O436" s="53"/>
    </row>
    <row r="437" spans="4:15">
      <c r="D437" s="47"/>
      <c r="E437" s="143"/>
      <c r="H437" s="29"/>
      <c r="I437" s="30"/>
      <c r="O437" s="53"/>
    </row>
    <row r="438" spans="4:15">
      <c r="D438" s="47"/>
      <c r="E438" s="143"/>
      <c r="H438" s="29"/>
      <c r="I438" s="30"/>
      <c r="O438" s="53"/>
    </row>
    <row r="439" spans="4:15">
      <c r="D439" s="47"/>
      <c r="E439" s="143"/>
      <c r="H439" s="29"/>
      <c r="I439" s="30"/>
      <c r="O439" s="53"/>
    </row>
    <row r="440" spans="4:15">
      <c r="D440" s="47"/>
      <c r="E440" s="143"/>
      <c r="H440" s="29"/>
      <c r="I440" s="30"/>
      <c r="O440" s="53"/>
    </row>
    <row r="441" spans="4:15">
      <c r="D441" s="47"/>
      <c r="E441" s="143"/>
      <c r="H441" s="29"/>
      <c r="I441" s="30"/>
      <c r="O441" s="53"/>
    </row>
    <row r="442" spans="4:15">
      <c r="D442" s="47"/>
      <c r="E442" s="143"/>
      <c r="H442" s="29"/>
      <c r="I442" s="30"/>
      <c r="O442" s="53"/>
    </row>
    <row r="443" spans="4:15">
      <c r="D443" s="47"/>
      <c r="E443" s="143"/>
      <c r="H443" s="29"/>
      <c r="I443" s="30"/>
      <c r="O443" s="53"/>
    </row>
    <row r="444" spans="4:15">
      <c r="D444" s="47"/>
      <c r="E444" s="143"/>
      <c r="H444" s="29"/>
      <c r="I444" s="30"/>
      <c r="O444" s="53"/>
    </row>
    <row r="445" spans="4:15">
      <c r="D445" s="47"/>
      <c r="E445" s="143"/>
      <c r="H445" s="29"/>
      <c r="I445" s="30"/>
      <c r="O445" s="53"/>
    </row>
    <row r="446" spans="4:15">
      <c r="D446" s="47"/>
      <c r="E446" s="143"/>
      <c r="H446" s="29"/>
      <c r="I446" s="30"/>
      <c r="O446" s="53"/>
    </row>
    <row r="447" spans="4:15">
      <c r="D447" s="47"/>
      <c r="E447" s="143"/>
      <c r="H447" s="29"/>
      <c r="I447" s="30"/>
      <c r="O447" s="53"/>
    </row>
    <row r="448" spans="4:15">
      <c r="D448" s="47"/>
      <c r="E448" s="143"/>
      <c r="H448" s="29"/>
      <c r="I448" s="30"/>
      <c r="O448" s="53"/>
    </row>
    <row r="449" spans="4:15">
      <c r="D449" s="47"/>
      <c r="E449" s="143"/>
      <c r="H449" s="29"/>
      <c r="I449" s="30"/>
      <c r="O449" s="53"/>
    </row>
    <row r="450" spans="4:15">
      <c r="D450" s="47"/>
      <c r="E450" s="143"/>
      <c r="H450" s="29"/>
      <c r="I450" s="30"/>
      <c r="O450" s="53"/>
    </row>
    <row r="451" spans="4:15">
      <c r="D451" s="47"/>
      <c r="E451" s="143"/>
      <c r="H451" s="29"/>
      <c r="I451" s="30"/>
      <c r="O451" s="53"/>
    </row>
    <row r="452" spans="4:15">
      <c r="D452" s="47"/>
      <c r="E452" s="143"/>
      <c r="H452" s="29"/>
      <c r="I452" s="30"/>
      <c r="O452" s="53"/>
    </row>
    <row r="453" spans="4:15">
      <c r="D453" s="47"/>
      <c r="E453" s="143"/>
      <c r="H453" s="29"/>
      <c r="I453" s="30"/>
      <c r="O453" s="53"/>
    </row>
    <row r="454" spans="4:15">
      <c r="D454" s="47"/>
      <c r="E454" s="143"/>
      <c r="H454" s="29"/>
      <c r="I454" s="30"/>
      <c r="O454" s="53"/>
    </row>
    <row r="455" spans="4:15">
      <c r="D455" s="47"/>
      <c r="E455" s="143"/>
      <c r="H455" s="29"/>
      <c r="I455" s="30"/>
      <c r="O455" s="53"/>
    </row>
    <row r="456" spans="4:15">
      <c r="D456" s="47"/>
      <c r="E456" s="143"/>
      <c r="H456" s="29"/>
      <c r="I456" s="30"/>
      <c r="O456" s="53"/>
    </row>
    <row r="457" spans="4:15">
      <c r="D457" s="47"/>
      <c r="E457" s="143"/>
      <c r="H457" s="29"/>
      <c r="I457" s="30"/>
      <c r="O457" s="53"/>
    </row>
    <row r="458" spans="4:15">
      <c r="D458" s="47"/>
      <c r="E458" s="143"/>
      <c r="H458" s="29"/>
      <c r="I458" s="30"/>
      <c r="O458" s="53"/>
    </row>
    <row r="459" spans="4:15">
      <c r="D459" s="47"/>
      <c r="E459" s="143"/>
      <c r="H459" s="29"/>
      <c r="I459" s="30"/>
      <c r="O459" s="53"/>
    </row>
    <row r="460" spans="4:15">
      <c r="D460" s="47"/>
      <c r="E460" s="143"/>
      <c r="H460" s="29"/>
      <c r="I460" s="30"/>
      <c r="O460" s="53"/>
    </row>
    <row r="461" spans="4:15">
      <c r="D461" s="47"/>
      <c r="E461" s="143"/>
      <c r="H461" s="29"/>
      <c r="I461" s="30"/>
      <c r="O461" s="53"/>
    </row>
    <row r="462" spans="4:15">
      <c r="D462" s="47"/>
      <c r="E462" s="143"/>
      <c r="H462" s="29"/>
      <c r="I462" s="30"/>
      <c r="O462" s="53"/>
    </row>
    <row r="463" spans="4:15">
      <c r="D463" s="47"/>
      <c r="E463" s="143"/>
      <c r="H463" s="29"/>
      <c r="I463" s="30"/>
      <c r="O463" s="53"/>
    </row>
    <row r="464" spans="4:15">
      <c r="D464" s="47"/>
      <c r="E464" s="143"/>
      <c r="H464" s="29"/>
      <c r="I464" s="30"/>
      <c r="O464" s="53"/>
    </row>
    <row r="465" spans="4:15">
      <c r="D465" s="47"/>
      <c r="E465" s="143"/>
      <c r="H465" s="29"/>
      <c r="I465" s="30"/>
      <c r="O465" s="53"/>
    </row>
    <row r="466" spans="4:15">
      <c r="D466" s="47"/>
      <c r="E466" s="143"/>
      <c r="H466" s="29"/>
      <c r="I466" s="30"/>
      <c r="O466" s="53"/>
    </row>
    <row r="467" spans="4:15">
      <c r="D467" s="47"/>
      <c r="E467" s="143"/>
      <c r="H467" s="29"/>
      <c r="I467" s="30"/>
      <c r="O467" s="53"/>
    </row>
    <row r="468" spans="4:15">
      <c r="D468" s="47"/>
      <c r="E468" s="143"/>
      <c r="H468" s="29"/>
      <c r="I468" s="30"/>
      <c r="O468" s="53"/>
    </row>
    <row r="469" spans="4:15">
      <c r="D469" s="47"/>
      <c r="E469" s="143"/>
      <c r="H469" s="29"/>
      <c r="I469" s="30"/>
      <c r="O469" s="53"/>
    </row>
    <row r="470" spans="4:15">
      <c r="D470" s="47"/>
      <c r="E470" s="143"/>
      <c r="H470" s="29"/>
      <c r="I470" s="30"/>
      <c r="O470" s="53"/>
    </row>
    <row r="471" spans="4:15">
      <c r="D471" s="47"/>
      <c r="E471" s="143"/>
      <c r="H471" s="29"/>
      <c r="I471" s="30"/>
      <c r="O471" s="53"/>
    </row>
    <row r="472" spans="4:15">
      <c r="D472" s="47"/>
      <c r="E472" s="143"/>
      <c r="H472" s="29"/>
      <c r="I472" s="30"/>
      <c r="O472" s="53"/>
    </row>
    <row r="473" spans="4:15">
      <c r="D473" s="47"/>
      <c r="E473" s="143"/>
      <c r="H473" s="29"/>
      <c r="I473" s="30"/>
      <c r="O473" s="53"/>
    </row>
    <row r="474" spans="4:15">
      <c r="D474" s="47"/>
      <c r="E474" s="143"/>
      <c r="H474" s="29"/>
      <c r="I474" s="30"/>
      <c r="O474" s="53"/>
    </row>
    <row r="475" spans="4:15">
      <c r="D475" s="47"/>
      <c r="E475" s="143"/>
      <c r="H475" s="29"/>
      <c r="I475" s="30"/>
      <c r="O475" s="53"/>
    </row>
    <row r="476" spans="4:15">
      <c r="D476" s="47"/>
      <c r="E476" s="143"/>
      <c r="H476" s="29"/>
      <c r="I476" s="30"/>
      <c r="O476" s="53"/>
    </row>
    <row r="477" spans="4:15">
      <c r="D477" s="47"/>
      <c r="E477" s="143"/>
      <c r="H477" s="29"/>
      <c r="I477" s="30"/>
      <c r="O477" s="53"/>
    </row>
    <row r="478" spans="4:15">
      <c r="D478" s="47"/>
      <c r="E478" s="143"/>
      <c r="H478" s="29"/>
      <c r="I478" s="30"/>
      <c r="O478" s="53"/>
    </row>
    <row r="479" spans="4:15">
      <c r="D479" s="47"/>
      <c r="E479" s="143"/>
      <c r="H479" s="29"/>
      <c r="I479" s="30"/>
      <c r="O479" s="53"/>
    </row>
    <row r="480" spans="4:15">
      <c r="D480" s="47"/>
      <c r="E480" s="143"/>
      <c r="H480" s="29"/>
      <c r="I480" s="30"/>
      <c r="O480" s="53"/>
    </row>
    <row r="481" spans="4:15">
      <c r="D481" s="47"/>
      <c r="E481" s="143"/>
      <c r="H481" s="29"/>
      <c r="I481" s="30"/>
      <c r="O481" s="53"/>
    </row>
    <row r="482" spans="4:15">
      <c r="D482" s="47"/>
      <c r="E482" s="143"/>
      <c r="H482" s="29"/>
      <c r="I482" s="30"/>
      <c r="O482" s="53"/>
    </row>
    <row r="483" spans="4:15">
      <c r="D483" s="47"/>
      <c r="E483" s="143"/>
      <c r="H483" s="29"/>
      <c r="I483" s="30"/>
      <c r="O483" s="53"/>
    </row>
    <row r="484" spans="4:15">
      <c r="D484" s="47"/>
      <c r="E484" s="143"/>
      <c r="H484" s="29"/>
      <c r="I484" s="30"/>
      <c r="O484" s="53"/>
    </row>
    <row r="485" spans="4:15">
      <c r="D485" s="47"/>
      <c r="E485" s="143"/>
      <c r="H485" s="29"/>
      <c r="I485" s="30"/>
      <c r="O485" s="53"/>
    </row>
    <row r="486" spans="4:15">
      <c r="D486" s="47"/>
      <c r="E486" s="143"/>
      <c r="H486" s="29"/>
      <c r="I486" s="30"/>
      <c r="O486" s="53"/>
    </row>
    <row r="487" spans="4:15">
      <c r="D487" s="47"/>
      <c r="E487" s="143"/>
      <c r="H487" s="29"/>
      <c r="I487" s="30"/>
      <c r="O487" s="53"/>
    </row>
    <row r="488" spans="4:15">
      <c r="D488" s="47"/>
      <c r="E488" s="143"/>
      <c r="H488" s="29"/>
      <c r="I488" s="30"/>
      <c r="O488" s="53"/>
    </row>
    <row r="489" spans="4:15">
      <c r="D489" s="47"/>
      <c r="E489" s="143"/>
      <c r="H489" s="29"/>
      <c r="I489" s="30"/>
      <c r="O489" s="53"/>
    </row>
    <row r="490" spans="4:15">
      <c r="D490" s="47"/>
      <c r="E490" s="143"/>
      <c r="H490" s="29"/>
      <c r="I490" s="30"/>
      <c r="O490" s="53"/>
    </row>
    <row r="491" spans="4:15">
      <c r="D491" s="47"/>
      <c r="E491" s="143"/>
      <c r="H491" s="29"/>
      <c r="I491" s="30"/>
      <c r="O491" s="53"/>
    </row>
    <row r="492" spans="4:15">
      <c r="D492" s="47"/>
      <c r="E492" s="143"/>
      <c r="H492" s="29"/>
      <c r="I492" s="30"/>
      <c r="O492" s="53"/>
    </row>
    <row r="493" spans="4:15">
      <c r="D493" s="47"/>
      <c r="E493" s="143"/>
      <c r="H493" s="29"/>
      <c r="I493" s="30"/>
      <c r="O493" s="53"/>
    </row>
    <row r="494" spans="4:15">
      <c r="D494" s="47"/>
      <c r="E494" s="143"/>
      <c r="H494" s="29"/>
      <c r="I494" s="30"/>
      <c r="O494" s="53"/>
    </row>
    <row r="495" spans="4:15">
      <c r="D495" s="47"/>
      <c r="E495" s="143"/>
      <c r="H495" s="29"/>
      <c r="I495" s="30"/>
      <c r="O495" s="53"/>
    </row>
    <row r="496" spans="4:15">
      <c r="D496" s="47"/>
      <c r="E496" s="143"/>
      <c r="H496" s="29"/>
      <c r="I496" s="30"/>
      <c r="O496" s="53"/>
    </row>
    <row r="497" spans="4:15">
      <c r="D497" s="47"/>
      <c r="E497" s="143"/>
      <c r="H497" s="29"/>
      <c r="I497" s="30"/>
      <c r="O497" s="53"/>
    </row>
    <row r="498" spans="4:15">
      <c r="D498" s="47"/>
      <c r="E498" s="143"/>
      <c r="H498" s="29"/>
      <c r="I498" s="30"/>
      <c r="O498" s="53"/>
    </row>
    <row r="499" spans="4:15">
      <c r="D499" s="47"/>
      <c r="E499" s="143"/>
      <c r="H499" s="29"/>
      <c r="I499" s="30"/>
      <c r="O499" s="53"/>
    </row>
    <row r="500" spans="4:15">
      <c r="D500" s="47"/>
      <c r="E500" s="143"/>
      <c r="H500" s="29"/>
      <c r="I500" s="30"/>
      <c r="O500" s="53"/>
    </row>
    <row r="501" spans="4:15">
      <c r="D501" s="47"/>
      <c r="E501" s="143"/>
      <c r="H501" s="29"/>
      <c r="I501" s="30"/>
      <c r="O501" s="53"/>
    </row>
    <row r="502" spans="4:15">
      <c r="D502" s="47"/>
      <c r="E502" s="143"/>
      <c r="H502" s="29"/>
      <c r="I502" s="30"/>
      <c r="O502" s="53"/>
    </row>
    <row r="503" spans="4:15">
      <c r="D503" s="47"/>
      <c r="E503" s="143"/>
      <c r="H503" s="29"/>
      <c r="I503" s="30"/>
      <c r="O503" s="53"/>
    </row>
    <row r="504" spans="4:15">
      <c r="D504" s="47"/>
      <c r="E504" s="143"/>
      <c r="H504" s="29"/>
      <c r="I504" s="30"/>
      <c r="O504" s="53"/>
    </row>
    <row r="505" spans="4:15">
      <c r="D505" s="47"/>
      <c r="E505" s="143"/>
      <c r="H505" s="29"/>
      <c r="I505" s="30"/>
      <c r="O505" s="53"/>
    </row>
    <row r="506" spans="4:15">
      <c r="D506" s="47"/>
      <c r="E506" s="143"/>
      <c r="H506" s="29"/>
      <c r="I506" s="30"/>
      <c r="O506" s="53"/>
    </row>
    <row r="507" spans="4:15">
      <c r="D507" s="47"/>
      <c r="E507" s="143"/>
      <c r="H507" s="29"/>
      <c r="I507" s="30"/>
      <c r="O507" s="53"/>
    </row>
    <row r="508" spans="4:15">
      <c r="D508" s="47"/>
      <c r="E508" s="143"/>
      <c r="H508" s="29"/>
      <c r="I508" s="30"/>
      <c r="O508" s="53"/>
    </row>
    <row r="509" spans="4:15">
      <c r="D509" s="47"/>
      <c r="E509" s="143"/>
      <c r="H509" s="29"/>
      <c r="I509" s="30"/>
      <c r="O509" s="53"/>
    </row>
    <row r="510" spans="4:15">
      <c r="D510" s="47"/>
      <c r="E510" s="143"/>
      <c r="H510" s="29"/>
      <c r="I510" s="30"/>
      <c r="O510" s="53"/>
    </row>
    <row r="511" spans="4:15">
      <c r="D511" s="47"/>
      <c r="E511" s="143"/>
      <c r="H511" s="29"/>
      <c r="I511" s="30"/>
      <c r="O511" s="53"/>
    </row>
    <row r="512" spans="4:15">
      <c r="D512" s="47"/>
      <c r="E512" s="143"/>
      <c r="H512" s="29"/>
      <c r="I512" s="30"/>
      <c r="O512" s="53"/>
    </row>
    <row r="513" spans="4:15">
      <c r="D513" s="47"/>
      <c r="E513" s="143"/>
      <c r="H513" s="29"/>
      <c r="I513" s="30"/>
      <c r="O513" s="53"/>
    </row>
    <row r="514" spans="4:15">
      <c r="D514" s="47"/>
      <c r="E514" s="143"/>
      <c r="H514" s="29"/>
      <c r="I514" s="30"/>
      <c r="O514" s="53"/>
    </row>
    <row r="515" spans="4:15">
      <c r="D515" s="47"/>
      <c r="E515" s="143"/>
      <c r="H515" s="29"/>
      <c r="I515" s="30"/>
      <c r="O515" s="53"/>
    </row>
    <row r="516" spans="4:15">
      <c r="D516" s="47"/>
      <c r="E516" s="143"/>
      <c r="H516" s="29"/>
      <c r="I516" s="30"/>
      <c r="O516" s="53"/>
    </row>
    <row r="517" spans="4:15">
      <c r="D517" s="47"/>
      <c r="E517" s="143"/>
      <c r="H517" s="29"/>
      <c r="I517" s="30"/>
      <c r="O517" s="53"/>
    </row>
    <row r="518" spans="4:15">
      <c r="D518" s="47"/>
      <c r="E518" s="143"/>
      <c r="H518" s="29"/>
      <c r="I518" s="30"/>
      <c r="O518" s="53"/>
    </row>
    <row r="519" spans="4:15">
      <c r="D519" s="47"/>
      <c r="E519" s="143"/>
      <c r="H519" s="29"/>
      <c r="I519" s="30"/>
      <c r="O519" s="53"/>
    </row>
    <row r="520" spans="4:15">
      <c r="D520" s="47"/>
      <c r="E520" s="143"/>
      <c r="H520" s="29"/>
      <c r="I520" s="30"/>
      <c r="O520" s="53"/>
    </row>
    <row r="521" spans="4:15">
      <c r="D521" s="47"/>
      <c r="E521" s="143"/>
      <c r="H521" s="29"/>
      <c r="I521" s="30"/>
      <c r="O521" s="53"/>
    </row>
    <row r="522" spans="4:15">
      <c r="D522" s="47"/>
      <c r="E522" s="143"/>
      <c r="H522" s="29"/>
      <c r="I522" s="30"/>
      <c r="O522" s="53"/>
    </row>
    <row r="523" spans="4:15">
      <c r="D523" s="47"/>
      <c r="E523" s="143"/>
      <c r="H523" s="29"/>
      <c r="I523" s="30"/>
      <c r="O523" s="53"/>
    </row>
    <row r="524" spans="4:15">
      <c r="D524" s="47"/>
      <c r="E524" s="143"/>
      <c r="H524" s="29"/>
      <c r="I524" s="30"/>
      <c r="O524" s="53"/>
    </row>
    <row r="525" spans="4:15">
      <c r="D525" s="47"/>
      <c r="E525" s="143"/>
      <c r="H525" s="29"/>
      <c r="I525" s="30"/>
      <c r="O525" s="53"/>
    </row>
    <row r="526" spans="4:15">
      <c r="D526" s="47"/>
      <c r="E526" s="143"/>
      <c r="H526" s="29"/>
      <c r="I526" s="30"/>
      <c r="O526" s="53"/>
    </row>
    <row r="527" spans="4:15">
      <c r="D527" s="47"/>
      <c r="E527" s="143"/>
      <c r="H527" s="29"/>
      <c r="I527" s="30"/>
      <c r="O527" s="53"/>
    </row>
    <row r="528" spans="4:15">
      <c r="D528" s="47"/>
      <c r="E528" s="143"/>
      <c r="H528" s="29"/>
      <c r="I528" s="30"/>
      <c r="O528" s="53"/>
    </row>
    <row r="529" spans="4:15">
      <c r="D529" s="47"/>
      <c r="E529" s="143"/>
      <c r="H529" s="29"/>
      <c r="I529" s="30"/>
      <c r="O529" s="53"/>
    </row>
    <row r="530" spans="4:15">
      <c r="D530" s="47"/>
      <c r="E530" s="143"/>
      <c r="H530" s="29"/>
      <c r="I530" s="30"/>
      <c r="O530" s="53"/>
    </row>
    <row r="531" spans="4:15">
      <c r="D531" s="47"/>
      <c r="E531" s="143"/>
      <c r="H531" s="29"/>
      <c r="I531" s="30"/>
      <c r="O531" s="53"/>
    </row>
    <row r="532" spans="4:15">
      <c r="D532" s="47"/>
      <c r="E532" s="143"/>
      <c r="H532" s="29"/>
      <c r="I532" s="30"/>
      <c r="O532" s="53"/>
    </row>
    <row r="533" spans="4:15">
      <c r="D533" s="47"/>
      <c r="E533" s="143"/>
      <c r="H533" s="29"/>
      <c r="I533" s="30"/>
      <c r="O533" s="53"/>
    </row>
    <row r="534" spans="4:15">
      <c r="D534" s="47"/>
      <c r="E534" s="143"/>
      <c r="H534" s="29"/>
      <c r="I534" s="30"/>
      <c r="O534" s="53"/>
    </row>
    <row r="535" spans="4:15">
      <c r="D535" s="47"/>
      <c r="E535" s="143"/>
      <c r="H535" s="29"/>
      <c r="I535" s="30"/>
      <c r="O535" s="53"/>
    </row>
    <row r="536" spans="4:15">
      <c r="D536" s="47"/>
      <c r="E536" s="143"/>
      <c r="H536" s="29"/>
      <c r="I536" s="30"/>
      <c r="O536" s="53"/>
    </row>
    <row r="537" spans="4:15">
      <c r="D537" s="47"/>
      <c r="E537" s="143"/>
      <c r="H537" s="29"/>
      <c r="I537" s="30"/>
      <c r="O537" s="53"/>
    </row>
    <row r="538" spans="4:15">
      <c r="D538" s="47"/>
      <c r="E538" s="143"/>
      <c r="H538" s="29"/>
      <c r="I538" s="30"/>
      <c r="O538" s="53"/>
    </row>
    <row r="539" spans="4:15">
      <c r="D539" s="47"/>
      <c r="E539" s="143"/>
      <c r="H539" s="29"/>
      <c r="I539" s="30"/>
      <c r="O539" s="53"/>
    </row>
    <row r="540" spans="4:15">
      <c r="D540" s="47"/>
      <c r="E540" s="143"/>
      <c r="H540" s="29"/>
      <c r="I540" s="30"/>
      <c r="O540" s="53"/>
    </row>
    <row r="541" spans="4:15">
      <c r="D541" s="47"/>
      <c r="E541" s="143"/>
      <c r="H541" s="29"/>
      <c r="I541" s="30"/>
      <c r="O541" s="53"/>
    </row>
    <row r="542" spans="4:15">
      <c r="D542" s="47"/>
      <c r="E542" s="143"/>
      <c r="H542" s="29"/>
      <c r="I542" s="30"/>
      <c r="O542" s="53"/>
    </row>
    <row r="543" spans="4:15">
      <c r="D543" s="47"/>
      <c r="E543" s="143"/>
      <c r="H543" s="29"/>
      <c r="I543" s="30"/>
      <c r="O543" s="53"/>
    </row>
    <row r="544" spans="4:15">
      <c r="D544" s="47"/>
      <c r="E544" s="143"/>
      <c r="H544" s="29"/>
      <c r="I544" s="30"/>
      <c r="O544" s="53"/>
    </row>
    <row r="545" spans="4:15">
      <c r="D545" s="47"/>
      <c r="E545" s="143"/>
      <c r="H545" s="29"/>
      <c r="I545" s="30"/>
      <c r="O545" s="53"/>
    </row>
    <row r="546" spans="4:15">
      <c r="D546" s="47"/>
      <c r="E546" s="143"/>
      <c r="H546" s="29"/>
      <c r="I546" s="30"/>
      <c r="O546" s="53"/>
    </row>
    <row r="547" spans="4:15">
      <c r="D547" s="47"/>
      <c r="E547" s="143"/>
      <c r="H547" s="29"/>
      <c r="I547" s="30"/>
      <c r="O547" s="53"/>
    </row>
    <row r="548" spans="4:15">
      <c r="D548" s="47"/>
      <c r="E548" s="143"/>
      <c r="H548" s="29"/>
      <c r="I548" s="30"/>
      <c r="O548" s="53"/>
    </row>
    <row r="549" spans="4:15">
      <c r="D549" s="47"/>
      <c r="E549" s="143"/>
      <c r="H549" s="29"/>
      <c r="I549" s="30"/>
      <c r="O549" s="53"/>
    </row>
    <row r="550" spans="4:15">
      <c r="D550" s="47"/>
      <c r="E550" s="143"/>
      <c r="H550" s="29"/>
      <c r="I550" s="30"/>
      <c r="O550" s="53"/>
    </row>
    <row r="551" spans="4:15">
      <c r="D551" s="47"/>
      <c r="E551" s="143"/>
      <c r="H551" s="29"/>
      <c r="I551" s="30"/>
      <c r="O551" s="53"/>
    </row>
    <row r="552" spans="4:15">
      <c r="D552" s="47"/>
      <c r="E552" s="143"/>
      <c r="H552" s="29"/>
      <c r="I552" s="30"/>
      <c r="O552" s="53"/>
    </row>
    <row r="553" spans="4:15">
      <c r="D553" s="47"/>
      <c r="E553" s="143"/>
      <c r="H553" s="29"/>
      <c r="I553" s="30"/>
      <c r="O553" s="53"/>
    </row>
    <row r="554" spans="4:15">
      <c r="D554" s="47"/>
      <c r="E554" s="143"/>
      <c r="H554" s="29"/>
      <c r="I554" s="30"/>
      <c r="O554" s="53"/>
    </row>
    <row r="555" spans="4:15">
      <c r="D555" s="47"/>
      <c r="E555" s="143"/>
      <c r="H555" s="29"/>
      <c r="I555" s="30"/>
      <c r="O555" s="53"/>
    </row>
    <row r="556" spans="4:15">
      <c r="D556" s="47"/>
      <c r="E556" s="143"/>
      <c r="H556" s="29"/>
      <c r="I556" s="30"/>
      <c r="O556" s="53"/>
    </row>
    <row r="557" spans="4:15">
      <c r="D557" s="47"/>
      <c r="E557" s="143"/>
      <c r="H557" s="29"/>
      <c r="I557" s="30"/>
      <c r="O557" s="53"/>
    </row>
    <row r="558" spans="4:15">
      <c r="D558" s="47"/>
      <c r="E558" s="143"/>
      <c r="H558" s="29"/>
      <c r="I558" s="30"/>
      <c r="O558" s="53"/>
    </row>
    <row r="559" spans="4:15">
      <c r="D559" s="47"/>
      <c r="E559" s="143"/>
      <c r="H559" s="29"/>
      <c r="I559" s="30"/>
      <c r="O559" s="53"/>
    </row>
    <row r="560" spans="4:15">
      <c r="D560" s="47"/>
      <c r="E560" s="143"/>
      <c r="H560" s="29"/>
      <c r="I560" s="30"/>
      <c r="O560" s="53"/>
    </row>
    <row r="561" spans="4:15">
      <c r="D561" s="47"/>
      <c r="E561" s="143"/>
      <c r="H561" s="29"/>
      <c r="I561" s="30"/>
      <c r="O561" s="53"/>
    </row>
    <row r="562" spans="4:15">
      <c r="D562" s="47"/>
      <c r="E562" s="143"/>
      <c r="H562" s="29"/>
      <c r="I562" s="30"/>
      <c r="O562" s="53"/>
    </row>
    <row r="563" spans="4:15">
      <c r="D563" s="47"/>
      <c r="E563" s="143"/>
      <c r="H563" s="29"/>
      <c r="I563" s="30"/>
      <c r="O563" s="53"/>
    </row>
    <row r="564" spans="4:15">
      <c r="D564" s="47"/>
      <c r="E564" s="143"/>
      <c r="H564" s="29"/>
      <c r="I564" s="30"/>
      <c r="O564" s="53"/>
    </row>
    <row r="565" spans="4:15">
      <c r="D565" s="47"/>
      <c r="E565" s="143"/>
      <c r="H565" s="29"/>
      <c r="I565" s="30"/>
      <c r="O565" s="53"/>
    </row>
    <row r="566" spans="4:15">
      <c r="D566" s="47"/>
      <c r="E566" s="143"/>
      <c r="H566" s="29"/>
      <c r="I566" s="30"/>
      <c r="O566" s="53"/>
    </row>
    <row r="567" spans="4:15">
      <c r="D567" s="47"/>
      <c r="E567" s="143"/>
      <c r="H567" s="29"/>
      <c r="I567" s="30"/>
      <c r="O567" s="53"/>
    </row>
    <row r="568" spans="4:15">
      <c r="D568" s="47"/>
      <c r="E568" s="143"/>
      <c r="H568" s="29"/>
      <c r="I568" s="30"/>
      <c r="O568" s="53"/>
    </row>
    <row r="569" spans="4:15">
      <c r="D569" s="47"/>
      <c r="E569" s="143"/>
      <c r="H569" s="29"/>
      <c r="I569" s="30"/>
      <c r="O569" s="53"/>
    </row>
    <row r="570" spans="4:15">
      <c r="D570" s="47"/>
      <c r="E570" s="143"/>
      <c r="H570" s="29"/>
      <c r="I570" s="30"/>
      <c r="O570" s="53"/>
    </row>
    <row r="571" spans="4:15">
      <c r="D571" s="47"/>
      <c r="E571" s="143"/>
      <c r="H571" s="29"/>
      <c r="I571" s="30"/>
      <c r="O571" s="53"/>
    </row>
    <row r="572" spans="4:15">
      <c r="D572" s="47"/>
      <c r="E572" s="143"/>
      <c r="H572" s="29"/>
      <c r="I572" s="30"/>
      <c r="O572" s="53"/>
    </row>
    <row r="573" spans="4:15">
      <c r="D573" s="47"/>
      <c r="E573" s="143"/>
      <c r="H573" s="29"/>
      <c r="I573" s="30"/>
      <c r="O573" s="53"/>
    </row>
    <row r="574" spans="4:15">
      <c r="D574" s="47"/>
      <c r="E574" s="143"/>
      <c r="H574" s="29"/>
      <c r="I574" s="30"/>
      <c r="O574" s="53"/>
    </row>
    <row r="575" spans="4:15">
      <c r="D575" s="47"/>
      <c r="E575" s="143"/>
      <c r="H575" s="29"/>
      <c r="I575" s="30"/>
      <c r="O575" s="53"/>
    </row>
    <row r="576" spans="4:15">
      <c r="D576" s="47"/>
      <c r="E576" s="143"/>
      <c r="H576" s="29"/>
      <c r="I576" s="30"/>
      <c r="O576" s="53"/>
    </row>
    <row r="577" spans="4:15">
      <c r="D577" s="47"/>
      <c r="E577" s="143"/>
      <c r="H577" s="29"/>
      <c r="I577" s="30"/>
      <c r="O577" s="53"/>
    </row>
    <row r="578" spans="4:15">
      <c r="D578" s="47"/>
      <c r="E578" s="143"/>
      <c r="H578" s="29"/>
      <c r="I578" s="30"/>
      <c r="O578" s="53"/>
    </row>
    <row r="579" spans="4:15">
      <c r="D579" s="47"/>
      <c r="E579" s="143"/>
      <c r="H579" s="29"/>
      <c r="I579" s="30"/>
      <c r="O579" s="53"/>
    </row>
    <row r="580" spans="4:15">
      <c r="D580" s="47"/>
      <c r="E580" s="143"/>
      <c r="H580" s="29"/>
      <c r="I580" s="30"/>
      <c r="O580" s="53"/>
    </row>
    <row r="581" spans="4:15">
      <c r="D581" s="47"/>
      <c r="E581" s="143"/>
      <c r="H581" s="29"/>
      <c r="I581" s="30"/>
      <c r="O581" s="53"/>
    </row>
    <row r="582" spans="4:15">
      <c r="D582" s="47"/>
      <c r="E582" s="143"/>
      <c r="H582" s="29"/>
      <c r="I582" s="30"/>
      <c r="O582" s="53"/>
    </row>
    <row r="583" spans="4:15">
      <c r="D583" s="47"/>
      <c r="E583" s="143"/>
      <c r="H583" s="29"/>
      <c r="I583" s="30"/>
      <c r="O583" s="53"/>
    </row>
    <row r="584" spans="4:15">
      <c r="D584" s="47"/>
      <c r="E584" s="143"/>
      <c r="H584" s="29"/>
      <c r="I584" s="30"/>
      <c r="O584" s="53"/>
    </row>
    <row r="585" spans="4:15">
      <c r="D585" s="47"/>
      <c r="E585" s="143"/>
      <c r="H585" s="29"/>
      <c r="I585" s="30"/>
      <c r="O585" s="53"/>
    </row>
    <row r="586" spans="4:15">
      <c r="D586" s="47"/>
      <c r="E586" s="143"/>
      <c r="H586" s="29"/>
      <c r="I586" s="30"/>
      <c r="O586" s="53"/>
    </row>
    <row r="587" spans="4:15">
      <c r="D587" s="47"/>
      <c r="E587" s="143"/>
      <c r="H587" s="29"/>
      <c r="I587" s="30"/>
      <c r="O587" s="53"/>
    </row>
    <row r="588" spans="4:15">
      <c r="D588" s="47"/>
      <c r="E588" s="143"/>
      <c r="H588" s="29"/>
      <c r="I588" s="30"/>
      <c r="O588" s="53"/>
    </row>
    <row r="589" spans="4:15">
      <c r="D589" s="47"/>
      <c r="E589" s="143"/>
      <c r="H589" s="29"/>
      <c r="I589" s="30"/>
      <c r="O589" s="53"/>
    </row>
    <row r="590" spans="4:15">
      <c r="D590" s="47"/>
      <c r="E590" s="143"/>
      <c r="H590" s="29"/>
      <c r="I590" s="30"/>
      <c r="O590" s="53"/>
    </row>
    <row r="591" spans="4:15">
      <c r="D591" s="47"/>
      <c r="E591" s="143"/>
      <c r="H591" s="29"/>
      <c r="I591" s="30"/>
      <c r="O591" s="53"/>
    </row>
    <row r="592" spans="4:15">
      <c r="D592" s="47"/>
      <c r="E592" s="143"/>
      <c r="H592" s="29"/>
      <c r="I592" s="30"/>
      <c r="O592" s="53"/>
    </row>
    <row r="593" spans="4:15">
      <c r="D593" s="47"/>
      <c r="E593" s="143"/>
      <c r="H593" s="29"/>
      <c r="I593" s="30"/>
      <c r="O593" s="53"/>
    </row>
    <row r="594" spans="4:15">
      <c r="D594" s="47"/>
      <c r="E594" s="143"/>
      <c r="H594" s="29"/>
      <c r="I594" s="30"/>
      <c r="O594" s="53"/>
    </row>
    <row r="595" spans="4:15">
      <c r="D595" s="47"/>
      <c r="E595" s="143"/>
      <c r="H595" s="29"/>
      <c r="I595" s="30"/>
      <c r="O595" s="53"/>
    </row>
    <row r="596" spans="4:15">
      <c r="D596" s="47"/>
      <c r="E596" s="143"/>
      <c r="H596" s="29"/>
      <c r="I596" s="30"/>
      <c r="O596" s="53"/>
    </row>
    <row r="597" spans="4:15">
      <c r="D597" s="47"/>
      <c r="E597" s="143"/>
      <c r="H597" s="29"/>
      <c r="I597" s="30"/>
      <c r="O597" s="53"/>
    </row>
    <row r="598" spans="4:15">
      <c r="D598" s="47"/>
      <c r="E598" s="143"/>
      <c r="H598" s="29"/>
      <c r="I598" s="30"/>
      <c r="O598" s="53"/>
    </row>
    <row r="599" spans="4:15">
      <c r="D599" s="47"/>
      <c r="E599" s="143"/>
      <c r="H599" s="29"/>
      <c r="I599" s="30"/>
      <c r="O599" s="53"/>
    </row>
    <row r="600" spans="4:15">
      <c r="D600" s="47"/>
      <c r="E600" s="143"/>
      <c r="H600" s="29"/>
      <c r="I600" s="30"/>
      <c r="O600" s="53"/>
    </row>
    <row r="601" spans="4:15">
      <c r="D601" s="47"/>
      <c r="E601" s="143"/>
      <c r="H601" s="29"/>
      <c r="I601" s="30"/>
      <c r="O601" s="53"/>
    </row>
    <row r="602" spans="4:15">
      <c r="D602" s="47"/>
      <c r="E602" s="143"/>
      <c r="H602" s="29"/>
      <c r="I602" s="30"/>
      <c r="O602" s="53"/>
    </row>
    <row r="603" spans="4:15">
      <c r="D603" s="47"/>
      <c r="E603" s="143"/>
      <c r="H603" s="29"/>
      <c r="I603" s="30"/>
      <c r="O603" s="53"/>
    </row>
    <row r="604" spans="4:15">
      <c r="D604" s="47"/>
      <c r="E604" s="143"/>
      <c r="H604" s="29"/>
      <c r="I604" s="30"/>
      <c r="O604" s="53"/>
    </row>
    <row r="605" spans="4:15">
      <c r="D605" s="47"/>
      <c r="E605" s="143"/>
      <c r="H605" s="29"/>
      <c r="I605" s="30"/>
      <c r="O605" s="53"/>
    </row>
    <row r="606" spans="4:15">
      <c r="D606" s="47"/>
      <c r="E606" s="143"/>
      <c r="H606" s="29"/>
      <c r="I606" s="30"/>
      <c r="O606" s="53"/>
    </row>
    <row r="607" spans="4:15">
      <c r="D607" s="47"/>
      <c r="E607" s="143"/>
      <c r="H607" s="29"/>
      <c r="I607" s="30"/>
      <c r="O607" s="53"/>
    </row>
    <row r="608" spans="4:15">
      <c r="D608" s="47"/>
      <c r="E608" s="143"/>
      <c r="H608" s="29"/>
      <c r="I608" s="30"/>
      <c r="O608" s="53"/>
    </row>
    <row r="609" spans="4:15">
      <c r="D609" s="47"/>
      <c r="E609" s="143"/>
      <c r="H609" s="29"/>
      <c r="I609" s="30"/>
      <c r="O609" s="53"/>
    </row>
    <row r="610" spans="4:15">
      <c r="D610" s="47"/>
      <c r="E610" s="143"/>
      <c r="H610" s="29"/>
      <c r="I610" s="30"/>
      <c r="O610" s="53"/>
    </row>
    <row r="611" spans="4:15">
      <c r="D611" s="47"/>
      <c r="E611" s="143"/>
      <c r="H611" s="29"/>
      <c r="I611" s="30"/>
      <c r="O611" s="53"/>
    </row>
    <row r="612" spans="4:15">
      <c r="D612" s="47"/>
      <c r="E612" s="143"/>
      <c r="H612" s="29"/>
      <c r="I612" s="30"/>
      <c r="O612" s="53"/>
    </row>
    <row r="613" spans="4:15">
      <c r="D613" s="47"/>
      <c r="E613" s="143"/>
      <c r="H613" s="29"/>
      <c r="I613" s="30"/>
      <c r="O613" s="53"/>
    </row>
    <row r="614" spans="4:15">
      <c r="D614" s="47"/>
      <c r="E614" s="143"/>
      <c r="H614" s="29"/>
      <c r="I614" s="30"/>
      <c r="O614" s="53"/>
    </row>
    <row r="615" spans="4:15">
      <c r="D615" s="47"/>
      <c r="E615" s="143"/>
      <c r="H615" s="29"/>
      <c r="I615" s="30"/>
      <c r="O615" s="53"/>
    </row>
    <row r="616" spans="4:15">
      <c r="D616" s="47"/>
      <c r="E616" s="143"/>
      <c r="H616" s="29"/>
      <c r="I616" s="30"/>
      <c r="O616" s="53"/>
    </row>
    <row r="617" spans="4:15">
      <c r="D617" s="47"/>
      <c r="E617" s="143"/>
      <c r="H617" s="29"/>
      <c r="I617" s="30"/>
      <c r="O617" s="53"/>
    </row>
    <row r="618" spans="4:15">
      <c r="D618" s="47"/>
      <c r="E618" s="143"/>
      <c r="H618" s="29"/>
      <c r="I618" s="30"/>
      <c r="O618" s="53"/>
    </row>
    <row r="619" spans="4:15">
      <c r="D619" s="47"/>
      <c r="E619" s="143"/>
      <c r="H619" s="29"/>
      <c r="I619" s="30"/>
      <c r="O619" s="53"/>
    </row>
    <row r="620" spans="4:15">
      <c r="D620" s="47"/>
      <c r="E620" s="143"/>
      <c r="H620" s="29"/>
      <c r="I620" s="30"/>
      <c r="O620" s="53"/>
    </row>
    <row r="621" spans="4:15">
      <c r="D621" s="47"/>
      <c r="E621" s="143"/>
      <c r="H621" s="29"/>
      <c r="I621" s="30"/>
      <c r="O621" s="53"/>
    </row>
    <row r="622" spans="4:15">
      <c r="D622" s="47"/>
      <c r="E622" s="143"/>
      <c r="H622" s="29"/>
      <c r="I622" s="30"/>
      <c r="O622" s="53"/>
    </row>
    <row r="623" spans="4:15">
      <c r="D623" s="47"/>
      <c r="E623" s="143"/>
      <c r="H623" s="29"/>
      <c r="I623" s="30"/>
      <c r="O623" s="53"/>
    </row>
    <row r="624" spans="4:15">
      <c r="D624" s="47"/>
      <c r="E624" s="143"/>
      <c r="H624" s="29"/>
      <c r="I624" s="30"/>
      <c r="O624" s="53"/>
    </row>
    <row r="625" spans="4:15">
      <c r="D625" s="47"/>
      <c r="E625" s="143"/>
      <c r="H625" s="29"/>
      <c r="I625" s="30"/>
      <c r="O625" s="53"/>
    </row>
    <row r="626" spans="4:15">
      <c r="D626" s="47"/>
      <c r="E626" s="143"/>
      <c r="H626" s="29"/>
      <c r="I626" s="30"/>
      <c r="O626" s="53"/>
    </row>
    <row r="627" spans="4:15">
      <c r="D627" s="47"/>
      <c r="E627" s="143"/>
      <c r="H627" s="29"/>
      <c r="I627" s="30"/>
      <c r="O627" s="53"/>
    </row>
    <row r="628" spans="4:15">
      <c r="D628" s="47"/>
      <c r="E628" s="143"/>
      <c r="H628" s="29"/>
      <c r="I628" s="30"/>
      <c r="O628" s="53"/>
    </row>
    <row r="629" spans="4:15">
      <c r="D629" s="47"/>
      <c r="E629" s="143"/>
      <c r="H629" s="29"/>
      <c r="I629" s="30"/>
      <c r="O629" s="53"/>
    </row>
    <row r="630" spans="4:15">
      <c r="D630" s="47"/>
      <c r="E630" s="143"/>
      <c r="H630" s="29"/>
      <c r="I630" s="30"/>
      <c r="O630" s="53"/>
    </row>
    <row r="631" spans="4:15">
      <c r="D631" s="47"/>
      <c r="E631" s="143"/>
      <c r="H631" s="29"/>
      <c r="I631" s="30"/>
      <c r="O631" s="53"/>
    </row>
    <row r="632" spans="4:15">
      <c r="D632" s="47"/>
      <c r="E632" s="143"/>
      <c r="H632" s="29"/>
      <c r="I632" s="30"/>
      <c r="O632" s="53"/>
    </row>
    <row r="633" spans="4:15">
      <c r="D633" s="47"/>
      <c r="E633" s="143"/>
      <c r="H633" s="29"/>
      <c r="I633" s="30"/>
      <c r="O633" s="53"/>
    </row>
    <row r="634" spans="4:15">
      <c r="D634" s="47"/>
      <c r="E634" s="143"/>
      <c r="H634" s="29"/>
      <c r="I634" s="30"/>
      <c r="O634" s="53"/>
    </row>
    <row r="635" spans="4:15">
      <c r="D635" s="47"/>
      <c r="E635" s="143"/>
      <c r="H635" s="29"/>
      <c r="I635" s="30"/>
      <c r="O635" s="53"/>
    </row>
    <row r="636" spans="4:15">
      <c r="D636" s="47"/>
      <c r="E636" s="143"/>
      <c r="H636" s="29"/>
      <c r="I636" s="30"/>
      <c r="O636" s="53"/>
    </row>
    <row r="637" spans="4:15">
      <c r="D637" s="47"/>
      <c r="E637" s="143"/>
      <c r="H637" s="29"/>
      <c r="I637" s="30"/>
      <c r="O637" s="53"/>
    </row>
    <row r="638" spans="4:15">
      <c r="D638" s="47"/>
      <c r="E638" s="143"/>
      <c r="H638" s="29"/>
      <c r="I638" s="30"/>
      <c r="O638" s="53"/>
    </row>
    <row r="639" spans="4:15">
      <c r="D639" s="47"/>
      <c r="E639" s="143"/>
      <c r="H639" s="29"/>
      <c r="I639" s="30"/>
      <c r="O639" s="53"/>
    </row>
    <row r="640" spans="4:15">
      <c r="D640" s="47"/>
      <c r="E640" s="143"/>
      <c r="H640" s="29"/>
      <c r="I640" s="30"/>
      <c r="O640" s="53"/>
    </row>
    <row r="641" spans="4:15">
      <c r="D641" s="47"/>
      <c r="E641" s="143"/>
      <c r="H641" s="29"/>
      <c r="I641" s="30"/>
      <c r="O641" s="53"/>
    </row>
    <row r="642" spans="4:15">
      <c r="D642" s="47"/>
      <c r="E642" s="143"/>
      <c r="H642" s="29"/>
      <c r="I642" s="30"/>
      <c r="O642" s="53"/>
    </row>
    <row r="643" spans="4:15">
      <c r="D643" s="47"/>
      <c r="E643" s="143"/>
      <c r="H643" s="29"/>
      <c r="I643" s="30"/>
      <c r="O643" s="53"/>
    </row>
    <row r="644" spans="4:15">
      <c r="D644" s="47"/>
      <c r="E644" s="143"/>
      <c r="H644" s="29"/>
      <c r="I644" s="30"/>
      <c r="O644" s="53"/>
    </row>
    <row r="645" spans="4:15">
      <c r="D645" s="47"/>
      <c r="E645" s="143"/>
      <c r="H645" s="29"/>
      <c r="I645" s="30"/>
      <c r="O645" s="53"/>
    </row>
    <row r="646" spans="4:15">
      <c r="D646" s="47"/>
      <c r="E646" s="143"/>
      <c r="H646" s="29"/>
      <c r="I646" s="30"/>
      <c r="O646" s="53"/>
    </row>
    <row r="647" spans="4:15">
      <c r="D647" s="47"/>
      <c r="E647" s="143"/>
      <c r="H647" s="29"/>
      <c r="I647" s="30"/>
      <c r="O647" s="53"/>
    </row>
    <row r="648" spans="4:15">
      <c r="D648" s="47"/>
      <c r="E648" s="143"/>
      <c r="H648" s="29"/>
      <c r="I648" s="30"/>
      <c r="O648" s="53"/>
    </row>
    <row r="649" spans="4:15">
      <c r="D649" s="47"/>
      <c r="E649" s="143"/>
      <c r="H649" s="29"/>
      <c r="I649" s="30"/>
      <c r="O649" s="53"/>
    </row>
    <row r="650" spans="4:15">
      <c r="D650" s="47"/>
      <c r="E650" s="143"/>
      <c r="H650" s="29"/>
      <c r="I650" s="30"/>
      <c r="O650" s="53"/>
    </row>
    <row r="651" spans="4:15">
      <c r="D651" s="47"/>
      <c r="E651" s="143"/>
      <c r="H651" s="29"/>
      <c r="I651" s="30"/>
      <c r="O651" s="53"/>
    </row>
    <row r="652" spans="4:15">
      <c r="D652" s="47"/>
      <c r="E652" s="143"/>
      <c r="H652" s="29"/>
      <c r="I652" s="30"/>
      <c r="O652" s="53"/>
    </row>
    <row r="653" spans="4:15">
      <c r="D653" s="47"/>
      <c r="E653" s="143"/>
      <c r="H653" s="29"/>
      <c r="I653" s="30"/>
      <c r="O653" s="53"/>
    </row>
    <row r="654" spans="4:15">
      <c r="D654" s="47"/>
      <c r="E654" s="143"/>
      <c r="H654" s="29"/>
      <c r="I654" s="30"/>
      <c r="O654" s="53"/>
    </row>
    <row r="655" spans="4:15">
      <c r="D655" s="47"/>
      <c r="E655" s="143"/>
      <c r="H655" s="29"/>
      <c r="I655" s="30"/>
      <c r="O655" s="53"/>
    </row>
    <row r="656" spans="4:15">
      <c r="D656" s="47"/>
      <c r="E656" s="143"/>
      <c r="H656" s="29"/>
      <c r="I656" s="30"/>
      <c r="O656" s="53"/>
    </row>
    <row r="657" spans="4:15">
      <c r="D657" s="47"/>
      <c r="E657" s="143"/>
      <c r="H657" s="29"/>
      <c r="I657" s="30"/>
      <c r="O657" s="53"/>
    </row>
    <row r="658" spans="4:15">
      <c r="D658" s="47"/>
      <c r="E658" s="143"/>
      <c r="H658" s="29"/>
      <c r="I658" s="30"/>
      <c r="O658" s="53"/>
    </row>
    <row r="659" spans="4:15">
      <c r="D659" s="47"/>
      <c r="E659" s="143"/>
      <c r="H659" s="29"/>
      <c r="I659" s="30"/>
      <c r="O659" s="53"/>
    </row>
    <row r="660" spans="4:15">
      <c r="D660" s="47"/>
      <c r="E660" s="143"/>
      <c r="H660" s="29"/>
      <c r="I660" s="30"/>
      <c r="O660" s="53"/>
    </row>
    <row r="661" spans="4:15">
      <c r="D661" s="47"/>
      <c r="E661" s="143"/>
      <c r="H661" s="29"/>
      <c r="I661" s="30"/>
      <c r="O661" s="53"/>
    </row>
    <row r="662" spans="4:15">
      <c r="D662" s="47"/>
      <c r="E662" s="143"/>
      <c r="H662" s="29"/>
      <c r="I662" s="30"/>
      <c r="O662" s="53"/>
    </row>
    <row r="663" spans="4:15">
      <c r="D663" s="47"/>
      <c r="E663" s="143"/>
      <c r="H663" s="29"/>
      <c r="I663" s="30"/>
      <c r="O663" s="53"/>
    </row>
    <row r="664" spans="4:15">
      <c r="D664" s="47"/>
      <c r="E664" s="143"/>
      <c r="H664" s="29"/>
      <c r="I664" s="30"/>
      <c r="O664" s="53"/>
    </row>
    <row r="665" spans="4:15">
      <c r="D665" s="47"/>
      <c r="E665" s="143"/>
      <c r="H665" s="29"/>
      <c r="I665" s="30"/>
      <c r="O665" s="53"/>
    </row>
    <row r="666" spans="4:15">
      <c r="D666" s="47"/>
      <c r="E666" s="143"/>
      <c r="H666" s="29"/>
      <c r="I666" s="30"/>
      <c r="O666" s="53"/>
    </row>
    <row r="667" spans="4:15">
      <c r="D667" s="47"/>
      <c r="E667" s="143"/>
      <c r="H667" s="29"/>
      <c r="I667" s="30"/>
      <c r="O667" s="53"/>
    </row>
    <row r="668" spans="4:15">
      <c r="D668" s="47"/>
      <c r="E668" s="143"/>
      <c r="H668" s="29"/>
      <c r="I668" s="30"/>
      <c r="O668" s="53"/>
    </row>
    <row r="669" spans="4:15">
      <c r="D669" s="47"/>
      <c r="E669" s="143"/>
      <c r="H669" s="29"/>
      <c r="I669" s="30"/>
      <c r="O669" s="53"/>
    </row>
    <row r="670" spans="4:15">
      <c r="D670" s="47"/>
      <c r="E670" s="143"/>
      <c r="H670" s="29"/>
      <c r="I670" s="30"/>
      <c r="O670" s="53"/>
    </row>
    <row r="671" spans="4:15">
      <c r="D671" s="47"/>
      <c r="E671" s="143"/>
      <c r="H671" s="29"/>
      <c r="I671" s="30"/>
      <c r="O671" s="53"/>
    </row>
    <row r="672" spans="4:15">
      <c r="D672" s="47"/>
      <c r="E672" s="143"/>
      <c r="H672" s="29"/>
      <c r="I672" s="30"/>
      <c r="O672" s="53"/>
    </row>
    <row r="673" spans="4:15">
      <c r="D673" s="47"/>
      <c r="E673" s="143"/>
      <c r="H673" s="29"/>
      <c r="I673" s="30"/>
      <c r="O673" s="53"/>
    </row>
    <row r="674" spans="4:15">
      <c r="D674" s="47"/>
      <c r="E674" s="143"/>
      <c r="H674" s="29"/>
      <c r="I674" s="30"/>
      <c r="O674" s="53"/>
    </row>
    <row r="675" spans="4:15">
      <c r="D675" s="47"/>
      <c r="E675" s="143"/>
      <c r="H675" s="29"/>
      <c r="I675" s="30"/>
      <c r="O675" s="53"/>
    </row>
    <row r="676" spans="4:15">
      <c r="D676" s="47"/>
      <c r="E676" s="143"/>
      <c r="H676" s="29"/>
      <c r="I676" s="30"/>
      <c r="O676" s="53"/>
    </row>
    <row r="677" spans="4:15">
      <c r="D677" s="47"/>
      <c r="E677" s="143"/>
      <c r="H677" s="29"/>
      <c r="I677" s="30"/>
      <c r="O677" s="53"/>
    </row>
    <row r="678" spans="4:15">
      <c r="D678" s="47"/>
      <c r="E678" s="143"/>
      <c r="H678" s="29"/>
      <c r="I678" s="30"/>
      <c r="O678" s="53"/>
    </row>
    <row r="679" spans="4:15">
      <c r="D679" s="47"/>
      <c r="E679" s="143"/>
      <c r="H679" s="29"/>
      <c r="I679" s="30"/>
      <c r="O679" s="53"/>
    </row>
    <row r="680" spans="4:15">
      <c r="D680" s="47"/>
      <c r="E680" s="143"/>
      <c r="H680" s="29"/>
      <c r="I680" s="30"/>
      <c r="O680" s="53"/>
    </row>
    <row r="681" spans="4:15">
      <c r="D681" s="47"/>
      <c r="E681" s="143"/>
      <c r="H681" s="29"/>
      <c r="I681" s="30"/>
      <c r="O681" s="53"/>
    </row>
    <row r="682" spans="4:15">
      <c r="D682" s="47"/>
      <c r="E682" s="143"/>
      <c r="H682" s="29"/>
      <c r="I682" s="30"/>
      <c r="O682" s="53"/>
    </row>
    <row r="683" spans="4:15">
      <c r="D683" s="47"/>
      <c r="E683" s="143"/>
      <c r="H683" s="29"/>
      <c r="I683" s="30"/>
      <c r="O683" s="53"/>
    </row>
    <row r="684" spans="4:15">
      <c r="D684" s="47"/>
      <c r="E684" s="143"/>
      <c r="H684" s="29"/>
      <c r="I684" s="30"/>
      <c r="O684" s="53"/>
    </row>
    <row r="685" spans="4:15">
      <c r="D685" s="47"/>
      <c r="E685" s="143"/>
      <c r="H685" s="29"/>
      <c r="I685" s="30"/>
      <c r="O685" s="53"/>
    </row>
    <row r="686" spans="4:15">
      <c r="D686" s="47"/>
      <c r="E686" s="143"/>
      <c r="H686" s="29"/>
      <c r="I686" s="30"/>
      <c r="O686" s="53"/>
    </row>
    <row r="687" spans="4:15">
      <c r="D687" s="47"/>
      <c r="E687" s="143"/>
      <c r="H687" s="29"/>
      <c r="I687" s="30"/>
      <c r="O687" s="53"/>
    </row>
    <row r="688" spans="4:15">
      <c r="D688" s="47"/>
      <c r="E688" s="143"/>
      <c r="H688" s="29"/>
      <c r="I688" s="30"/>
      <c r="O688" s="53"/>
    </row>
    <row r="689" spans="4:15">
      <c r="D689" s="47"/>
      <c r="E689" s="143"/>
      <c r="H689" s="29"/>
      <c r="I689" s="30"/>
      <c r="O689" s="53"/>
    </row>
    <row r="690" spans="4:15">
      <c r="D690" s="47"/>
      <c r="E690" s="143"/>
      <c r="H690" s="29"/>
      <c r="I690" s="30"/>
      <c r="O690" s="53"/>
    </row>
    <row r="691" spans="4:15">
      <c r="D691" s="47"/>
      <c r="E691" s="143"/>
      <c r="H691" s="29"/>
      <c r="I691" s="30"/>
      <c r="O691" s="53"/>
    </row>
    <row r="692" spans="4:15">
      <c r="D692" s="47"/>
      <c r="E692" s="143"/>
      <c r="H692" s="29"/>
      <c r="I692" s="30"/>
      <c r="O692" s="53"/>
    </row>
    <row r="693" spans="4:15">
      <c r="D693" s="47"/>
      <c r="E693" s="143"/>
      <c r="H693" s="29"/>
      <c r="I693" s="30"/>
      <c r="O693" s="53"/>
    </row>
    <row r="694" spans="4:15">
      <c r="D694" s="47"/>
      <c r="E694" s="143"/>
      <c r="H694" s="29"/>
      <c r="I694" s="30"/>
      <c r="O694" s="53"/>
    </row>
    <row r="695" spans="4:15">
      <c r="D695" s="47"/>
      <c r="E695" s="143"/>
      <c r="H695" s="29"/>
      <c r="I695" s="30"/>
      <c r="O695" s="53"/>
    </row>
    <row r="696" spans="4:15">
      <c r="D696" s="47"/>
      <c r="E696" s="143"/>
      <c r="H696" s="29"/>
      <c r="I696" s="30"/>
      <c r="O696" s="53"/>
    </row>
    <row r="697" spans="4:15">
      <c r="D697" s="47"/>
      <c r="E697" s="143"/>
      <c r="H697" s="29"/>
      <c r="I697" s="30"/>
      <c r="O697" s="53"/>
    </row>
    <row r="698" spans="4:15">
      <c r="D698" s="47"/>
      <c r="E698" s="143"/>
      <c r="H698" s="29"/>
      <c r="I698" s="30"/>
      <c r="O698" s="53"/>
    </row>
    <row r="699" spans="4:15">
      <c r="D699" s="47"/>
      <c r="E699" s="143"/>
      <c r="H699" s="29"/>
      <c r="I699" s="30"/>
      <c r="O699" s="53"/>
    </row>
    <row r="700" spans="4:15">
      <c r="D700" s="47"/>
      <c r="E700" s="143"/>
      <c r="H700" s="29"/>
      <c r="I700" s="30"/>
      <c r="O700" s="53"/>
    </row>
    <row r="701" spans="4:15">
      <c r="D701" s="47"/>
      <c r="E701" s="143"/>
      <c r="H701" s="29"/>
      <c r="I701" s="30"/>
      <c r="O701" s="53"/>
    </row>
    <row r="702" spans="4:15">
      <c r="D702" s="47"/>
      <c r="E702" s="143"/>
      <c r="H702" s="29"/>
      <c r="I702" s="30"/>
      <c r="O702" s="53"/>
    </row>
    <row r="703" spans="4:15">
      <c r="D703" s="47"/>
      <c r="E703" s="143"/>
      <c r="H703" s="29"/>
      <c r="I703" s="30"/>
      <c r="O703" s="53"/>
    </row>
    <row r="704" spans="4:15">
      <c r="D704" s="47"/>
      <c r="E704" s="143"/>
      <c r="H704" s="29"/>
      <c r="I704" s="30"/>
      <c r="O704" s="53"/>
    </row>
    <row r="705" spans="4:15">
      <c r="D705" s="47"/>
      <c r="E705" s="143"/>
      <c r="H705" s="29"/>
      <c r="I705" s="30"/>
      <c r="O705" s="53"/>
    </row>
    <row r="706" spans="4:15">
      <c r="D706" s="47"/>
      <c r="E706" s="143"/>
      <c r="H706" s="29"/>
      <c r="I706" s="30"/>
      <c r="O706" s="53"/>
    </row>
    <row r="707" spans="4:15">
      <c r="D707" s="47"/>
      <c r="E707" s="143"/>
      <c r="H707" s="29"/>
      <c r="I707" s="30"/>
      <c r="O707" s="53"/>
    </row>
    <row r="708" spans="4:15">
      <c r="D708" s="47"/>
      <c r="E708" s="143"/>
      <c r="H708" s="29"/>
      <c r="I708" s="30"/>
      <c r="O708" s="53"/>
    </row>
    <row r="709" spans="4:15">
      <c r="D709" s="47"/>
      <c r="E709" s="143"/>
      <c r="H709" s="29"/>
      <c r="I709" s="30"/>
      <c r="O709" s="53"/>
    </row>
    <row r="710" spans="4:15">
      <c r="D710" s="47"/>
      <c r="E710" s="143"/>
      <c r="H710" s="29"/>
      <c r="I710" s="30"/>
      <c r="O710" s="53"/>
    </row>
    <row r="711" spans="4:15">
      <c r="D711" s="47"/>
      <c r="E711" s="143"/>
      <c r="H711" s="29"/>
      <c r="I711" s="30"/>
      <c r="O711" s="53"/>
    </row>
    <row r="712" spans="4:15">
      <c r="D712" s="47"/>
      <c r="E712" s="143"/>
      <c r="H712" s="29"/>
      <c r="I712" s="30"/>
      <c r="O712" s="53"/>
    </row>
    <row r="713" spans="4:15">
      <c r="D713" s="47"/>
      <c r="E713" s="143"/>
      <c r="H713" s="29"/>
      <c r="I713" s="30"/>
      <c r="O713" s="53"/>
    </row>
    <row r="714" spans="4:15">
      <c r="D714" s="47"/>
      <c r="E714" s="143"/>
      <c r="H714" s="29"/>
      <c r="I714" s="30"/>
      <c r="O714" s="53"/>
    </row>
    <row r="715" spans="4:15">
      <c r="D715" s="47"/>
      <c r="E715" s="143"/>
      <c r="H715" s="29"/>
      <c r="I715" s="30"/>
      <c r="O715" s="53"/>
    </row>
    <row r="716" spans="4:15">
      <c r="D716" s="47"/>
      <c r="E716" s="143"/>
      <c r="H716" s="29"/>
      <c r="I716" s="30"/>
      <c r="O716" s="53"/>
    </row>
    <row r="717" spans="4:15">
      <c r="D717" s="47"/>
      <c r="E717" s="143"/>
      <c r="H717" s="29"/>
      <c r="I717" s="30"/>
      <c r="O717" s="53"/>
    </row>
    <row r="718" spans="4:15">
      <c r="D718" s="47"/>
      <c r="E718" s="143"/>
      <c r="H718" s="29"/>
      <c r="I718" s="30"/>
      <c r="O718" s="53"/>
    </row>
    <row r="719" spans="4:15">
      <c r="D719" s="47"/>
      <c r="E719" s="143"/>
      <c r="H719" s="29"/>
      <c r="I719" s="30"/>
      <c r="O719" s="53"/>
    </row>
    <row r="720" spans="4:15">
      <c r="D720" s="47"/>
      <c r="E720" s="143"/>
      <c r="H720" s="29"/>
      <c r="I720" s="30"/>
      <c r="O720" s="53"/>
    </row>
    <row r="721" spans="4:15">
      <c r="D721" s="47"/>
      <c r="E721" s="143"/>
      <c r="H721" s="29"/>
      <c r="I721" s="30"/>
      <c r="O721" s="53"/>
    </row>
    <row r="722" spans="4:15">
      <c r="D722" s="47"/>
      <c r="E722" s="143"/>
      <c r="H722" s="29"/>
      <c r="I722" s="30"/>
      <c r="O722" s="53"/>
    </row>
    <row r="723" spans="4:15">
      <c r="D723" s="47"/>
      <c r="E723" s="143"/>
      <c r="H723" s="29"/>
      <c r="I723" s="30"/>
      <c r="O723" s="53"/>
    </row>
    <row r="724" spans="4:15">
      <c r="D724" s="47"/>
      <c r="E724" s="143"/>
      <c r="H724" s="29"/>
      <c r="I724" s="30"/>
      <c r="O724" s="53"/>
    </row>
    <row r="725" spans="4:15">
      <c r="D725" s="47"/>
      <c r="E725" s="143"/>
      <c r="H725" s="29"/>
      <c r="I725" s="30"/>
      <c r="O725" s="53"/>
    </row>
    <row r="726" spans="4:15">
      <c r="D726" s="47"/>
      <c r="E726" s="143"/>
      <c r="H726" s="29"/>
      <c r="I726" s="30"/>
      <c r="O726" s="53"/>
    </row>
    <row r="727" spans="4:15">
      <c r="D727" s="47"/>
      <c r="E727" s="143"/>
      <c r="H727" s="29"/>
      <c r="I727" s="30"/>
      <c r="O727" s="53"/>
    </row>
    <row r="728" spans="4:15">
      <c r="D728" s="47"/>
      <c r="E728" s="143"/>
      <c r="H728" s="29"/>
      <c r="I728" s="30"/>
      <c r="O728" s="53"/>
    </row>
    <row r="729" spans="4:15">
      <c r="D729" s="47"/>
      <c r="E729" s="143"/>
      <c r="H729" s="29"/>
      <c r="I729" s="30"/>
      <c r="O729" s="53"/>
    </row>
    <row r="730" spans="4:15">
      <c r="D730" s="47"/>
      <c r="E730" s="143"/>
      <c r="H730" s="29"/>
      <c r="I730" s="30"/>
      <c r="O730" s="53"/>
    </row>
    <row r="731" spans="4:15">
      <c r="D731" s="47"/>
      <c r="E731" s="143"/>
      <c r="H731" s="29"/>
      <c r="I731" s="30"/>
      <c r="O731" s="53"/>
    </row>
    <row r="732" spans="4:15">
      <c r="D732" s="47"/>
      <c r="E732" s="143"/>
      <c r="H732" s="29"/>
      <c r="I732" s="30"/>
      <c r="O732" s="53"/>
    </row>
    <row r="733" spans="4:15">
      <c r="D733" s="47"/>
      <c r="E733" s="143"/>
      <c r="H733" s="29"/>
      <c r="I733" s="30"/>
      <c r="O733" s="53"/>
    </row>
    <row r="734" spans="4:15">
      <c r="D734" s="47"/>
      <c r="E734" s="143"/>
      <c r="H734" s="29"/>
      <c r="I734" s="30"/>
      <c r="O734" s="53"/>
    </row>
    <row r="735" spans="4:15">
      <c r="D735" s="47"/>
      <c r="E735" s="143"/>
      <c r="H735" s="29"/>
      <c r="I735" s="30"/>
      <c r="O735" s="53"/>
    </row>
    <row r="736" spans="4:15">
      <c r="D736" s="47"/>
      <c r="E736" s="143"/>
      <c r="H736" s="29"/>
      <c r="I736" s="30"/>
      <c r="O736" s="53"/>
    </row>
    <row r="737" spans="4:15">
      <c r="D737" s="47"/>
      <c r="E737" s="143"/>
      <c r="H737" s="29"/>
      <c r="I737" s="30"/>
      <c r="O737" s="53"/>
    </row>
    <row r="738" spans="4:15">
      <c r="D738" s="47"/>
      <c r="E738" s="143"/>
      <c r="H738" s="29"/>
      <c r="I738" s="30"/>
      <c r="O738" s="53"/>
    </row>
    <row r="739" spans="4:15">
      <c r="D739" s="47"/>
      <c r="E739" s="143"/>
      <c r="H739" s="29"/>
      <c r="I739" s="30"/>
      <c r="O739" s="53"/>
    </row>
    <row r="740" spans="4:15">
      <c r="D740" s="47"/>
      <c r="E740" s="143"/>
      <c r="H740" s="29"/>
      <c r="I740" s="30"/>
      <c r="O740" s="53"/>
    </row>
    <row r="741" spans="4:15">
      <c r="D741" s="47"/>
      <c r="E741" s="143"/>
      <c r="H741" s="29"/>
      <c r="I741" s="30"/>
      <c r="O741" s="53"/>
    </row>
    <row r="742" spans="4:15">
      <c r="D742" s="47"/>
      <c r="E742" s="143"/>
      <c r="H742" s="29"/>
      <c r="I742" s="30"/>
      <c r="O742" s="53"/>
    </row>
    <row r="743" spans="4:15">
      <c r="D743" s="47"/>
      <c r="E743" s="143"/>
      <c r="H743" s="29"/>
      <c r="I743" s="30"/>
      <c r="O743" s="53"/>
    </row>
    <row r="744" spans="4:15">
      <c r="D744" s="47"/>
      <c r="E744" s="143"/>
      <c r="H744" s="29"/>
      <c r="I744" s="30"/>
      <c r="O744" s="53"/>
    </row>
    <row r="745" spans="4:15">
      <c r="D745" s="47"/>
      <c r="E745" s="143"/>
      <c r="H745" s="29"/>
      <c r="I745" s="30"/>
      <c r="O745" s="53"/>
    </row>
    <row r="746" spans="4:15">
      <c r="D746" s="47"/>
      <c r="E746" s="143"/>
      <c r="H746" s="29"/>
      <c r="I746" s="30"/>
      <c r="O746" s="53"/>
    </row>
    <row r="747" spans="4:15">
      <c r="D747" s="47"/>
      <c r="E747" s="143"/>
      <c r="H747" s="29"/>
      <c r="I747" s="30"/>
      <c r="O747" s="53"/>
    </row>
    <row r="748" spans="4:15">
      <c r="D748" s="47"/>
      <c r="E748" s="143"/>
      <c r="H748" s="29"/>
      <c r="I748" s="30"/>
      <c r="O748" s="53"/>
    </row>
    <row r="749" spans="4:15">
      <c r="D749" s="47"/>
      <c r="E749" s="143"/>
      <c r="H749" s="29"/>
      <c r="I749" s="30"/>
      <c r="O749" s="53"/>
    </row>
    <row r="750" spans="4:15">
      <c r="D750" s="47"/>
      <c r="E750" s="143"/>
      <c r="H750" s="29"/>
      <c r="I750" s="30"/>
      <c r="O750" s="53"/>
    </row>
    <row r="751" spans="4:15">
      <c r="D751" s="47"/>
      <c r="E751" s="143"/>
      <c r="H751" s="29"/>
      <c r="I751" s="30"/>
      <c r="O751" s="53"/>
    </row>
    <row r="752" spans="4:15">
      <c r="D752" s="47"/>
      <c r="E752" s="143"/>
      <c r="H752" s="29"/>
      <c r="I752" s="30"/>
      <c r="O752" s="53"/>
    </row>
    <row r="753" spans="4:15">
      <c r="D753" s="47"/>
      <c r="E753" s="143"/>
      <c r="H753" s="29"/>
      <c r="I753" s="30"/>
      <c r="O753" s="53"/>
    </row>
    <row r="754" spans="4:15">
      <c r="D754" s="47"/>
      <c r="E754" s="143"/>
      <c r="H754" s="29"/>
      <c r="I754" s="30"/>
      <c r="O754" s="53"/>
    </row>
    <row r="755" spans="4:15">
      <c r="D755" s="47"/>
      <c r="E755" s="143"/>
      <c r="H755" s="29"/>
      <c r="I755" s="30"/>
      <c r="O755" s="53"/>
    </row>
    <row r="756" spans="4:15">
      <c r="D756" s="47"/>
      <c r="E756" s="143"/>
      <c r="H756" s="29"/>
      <c r="I756" s="30"/>
      <c r="O756" s="53"/>
    </row>
    <row r="757" spans="4:15">
      <c r="D757" s="47"/>
      <c r="E757" s="143"/>
      <c r="H757" s="29"/>
      <c r="I757" s="30"/>
      <c r="O757" s="53"/>
    </row>
    <row r="758" spans="4:15">
      <c r="D758" s="47"/>
      <c r="E758" s="143"/>
      <c r="H758" s="29"/>
      <c r="I758" s="30"/>
      <c r="O758" s="53"/>
    </row>
    <row r="759" spans="4:15">
      <c r="D759" s="47"/>
      <c r="E759" s="143"/>
      <c r="H759" s="29"/>
      <c r="I759" s="30"/>
      <c r="O759" s="53"/>
    </row>
    <row r="760" spans="4:15">
      <c r="D760" s="47"/>
      <c r="E760" s="143"/>
      <c r="H760" s="29"/>
      <c r="I760" s="30"/>
      <c r="O760" s="53"/>
    </row>
    <row r="761" spans="4:15">
      <c r="D761" s="47"/>
      <c r="E761" s="143"/>
      <c r="H761" s="29"/>
      <c r="I761" s="30"/>
      <c r="O761" s="53"/>
    </row>
    <row r="762" spans="4:15">
      <c r="D762" s="47"/>
      <c r="E762" s="143"/>
      <c r="H762" s="29"/>
      <c r="I762" s="30"/>
      <c r="O762" s="53"/>
    </row>
    <row r="763" spans="4:15">
      <c r="D763" s="47"/>
      <c r="E763" s="143"/>
      <c r="H763" s="29"/>
      <c r="I763" s="30"/>
      <c r="O763" s="53"/>
    </row>
    <row r="764" spans="4:15">
      <c r="D764" s="47"/>
      <c r="E764" s="143"/>
      <c r="H764" s="29"/>
      <c r="I764" s="30"/>
      <c r="O764" s="53"/>
    </row>
    <row r="765" spans="4:15">
      <c r="D765" s="47"/>
      <c r="E765" s="143"/>
      <c r="H765" s="29"/>
      <c r="I765" s="30"/>
      <c r="O765" s="53"/>
    </row>
    <row r="766" spans="4:15">
      <c r="D766" s="47"/>
      <c r="E766" s="143"/>
      <c r="H766" s="29"/>
      <c r="I766" s="30"/>
      <c r="O766" s="53"/>
    </row>
    <row r="767" spans="4:15">
      <c r="D767" s="47"/>
      <c r="E767" s="143"/>
      <c r="H767" s="29"/>
      <c r="I767" s="30"/>
      <c r="O767" s="53"/>
    </row>
    <row r="768" spans="4:15">
      <c r="D768" s="47"/>
      <c r="E768" s="143"/>
      <c r="H768" s="29"/>
      <c r="I768" s="30"/>
      <c r="O768" s="53"/>
    </row>
    <row r="769" spans="4:15">
      <c r="D769" s="47"/>
      <c r="E769" s="143"/>
      <c r="H769" s="29"/>
      <c r="I769" s="30"/>
      <c r="O769" s="53"/>
    </row>
    <row r="770" spans="4:15">
      <c r="D770" s="47"/>
      <c r="E770" s="143"/>
      <c r="H770" s="29"/>
      <c r="I770" s="30"/>
      <c r="O770" s="53"/>
    </row>
    <row r="771" spans="4:15">
      <c r="D771" s="47"/>
      <c r="E771" s="143"/>
      <c r="H771" s="29"/>
      <c r="I771" s="30"/>
      <c r="O771" s="53"/>
    </row>
    <row r="772" spans="4:15">
      <c r="D772" s="47"/>
      <c r="E772" s="143"/>
      <c r="H772" s="29"/>
      <c r="I772" s="30"/>
      <c r="O772" s="53"/>
    </row>
    <row r="773" spans="4:15">
      <c r="D773" s="47"/>
      <c r="E773" s="143"/>
      <c r="H773" s="29"/>
      <c r="I773" s="30"/>
      <c r="O773" s="53"/>
    </row>
    <row r="774" spans="4:15">
      <c r="D774" s="47"/>
      <c r="E774" s="143"/>
      <c r="H774" s="29"/>
      <c r="I774" s="30"/>
      <c r="O774" s="53"/>
    </row>
    <row r="775" spans="4:15">
      <c r="D775" s="47"/>
      <c r="E775" s="143"/>
      <c r="H775" s="29"/>
      <c r="I775" s="30"/>
      <c r="O775" s="53"/>
    </row>
    <row r="776" spans="4:15">
      <c r="D776" s="47"/>
      <c r="E776" s="143"/>
      <c r="H776" s="29"/>
      <c r="I776" s="30"/>
      <c r="O776" s="53"/>
    </row>
    <row r="777" spans="4:15">
      <c r="D777" s="47"/>
      <c r="E777" s="143"/>
      <c r="H777" s="29"/>
      <c r="I777" s="30"/>
      <c r="O777" s="53"/>
    </row>
    <row r="778" spans="4:15">
      <c r="D778" s="47"/>
      <c r="E778" s="143"/>
      <c r="H778" s="29"/>
      <c r="I778" s="30"/>
      <c r="O778" s="53"/>
    </row>
    <row r="779" spans="4:15">
      <c r="D779" s="47"/>
      <c r="E779" s="143"/>
      <c r="H779" s="29"/>
      <c r="I779" s="30"/>
      <c r="O779" s="53"/>
    </row>
    <row r="780" spans="4:15">
      <c r="D780" s="47"/>
      <c r="E780" s="143"/>
      <c r="H780" s="29"/>
      <c r="I780" s="30"/>
      <c r="O780" s="53"/>
    </row>
    <row r="781" spans="4:15">
      <c r="D781" s="47"/>
      <c r="E781" s="143"/>
      <c r="H781" s="29"/>
      <c r="I781" s="30"/>
      <c r="O781" s="53"/>
    </row>
    <row r="782" spans="4:15">
      <c r="D782" s="47"/>
      <c r="E782" s="143"/>
      <c r="H782" s="29"/>
      <c r="I782" s="30"/>
      <c r="O782" s="53"/>
    </row>
    <row r="783" spans="4:15">
      <c r="D783" s="47"/>
      <c r="E783" s="143"/>
      <c r="H783" s="29"/>
      <c r="I783" s="30"/>
      <c r="O783" s="53"/>
    </row>
    <row r="784" spans="4:15">
      <c r="D784" s="47"/>
      <c r="E784" s="143"/>
      <c r="H784" s="29"/>
      <c r="I784" s="30"/>
      <c r="O784" s="53"/>
    </row>
    <row r="785" spans="4:15">
      <c r="D785" s="47"/>
      <c r="E785" s="143"/>
      <c r="H785" s="29"/>
      <c r="I785" s="30"/>
      <c r="O785" s="53"/>
    </row>
    <row r="786" spans="4:15">
      <c r="D786" s="47"/>
      <c r="E786" s="143"/>
      <c r="H786" s="29"/>
      <c r="I786" s="30"/>
      <c r="O786" s="53"/>
    </row>
    <row r="787" spans="4:15">
      <c r="D787" s="47"/>
      <c r="E787" s="143"/>
      <c r="H787" s="29"/>
      <c r="I787" s="30"/>
      <c r="O787" s="53"/>
    </row>
    <row r="788" spans="4:15">
      <c r="D788" s="47"/>
      <c r="E788" s="143"/>
      <c r="H788" s="29"/>
      <c r="I788" s="30"/>
      <c r="O788" s="53"/>
    </row>
    <row r="789" spans="4:15">
      <c r="D789" s="47"/>
      <c r="E789" s="143"/>
      <c r="H789" s="29"/>
      <c r="I789" s="30"/>
      <c r="O789" s="53"/>
    </row>
    <row r="790" spans="4:15">
      <c r="D790" s="47"/>
      <c r="E790" s="143"/>
      <c r="H790" s="29"/>
      <c r="I790" s="30"/>
      <c r="O790" s="53"/>
    </row>
    <row r="791" spans="4:15">
      <c r="D791" s="47"/>
      <c r="E791" s="143"/>
      <c r="H791" s="29"/>
      <c r="I791" s="30"/>
      <c r="O791" s="53"/>
    </row>
    <row r="792" spans="4:15">
      <c r="D792" s="47"/>
      <c r="E792" s="143"/>
      <c r="H792" s="29"/>
      <c r="I792" s="30"/>
      <c r="O792" s="53"/>
    </row>
    <row r="793" spans="4:15">
      <c r="D793" s="47"/>
      <c r="E793" s="143"/>
      <c r="H793" s="29"/>
      <c r="I793" s="30"/>
      <c r="O793" s="53"/>
    </row>
    <row r="794" spans="4:15">
      <c r="D794" s="47"/>
      <c r="E794" s="143"/>
      <c r="H794" s="29"/>
      <c r="I794" s="30"/>
      <c r="O794" s="53"/>
    </row>
    <row r="795" spans="4:15">
      <c r="D795" s="47"/>
      <c r="E795" s="143"/>
      <c r="H795" s="29"/>
      <c r="I795" s="30"/>
      <c r="O795" s="53"/>
    </row>
    <row r="796" spans="4:15">
      <c r="D796" s="47"/>
      <c r="E796" s="143"/>
      <c r="H796" s="29"/>
      <c r="I796" s="30"/>
      <c r="O796" s="53"/>
    </row>
    <row r="797" spans="4:15">
      <c r="D797" s="47"/>
      <c r="E797" s="143"/>
      <c r="H797" s="29"/>
      <c r="I797" s="30"/>
      <c r="O797" s="53"/>
    </row>
    <row r="798" spans="4:15">
      <c r="D798" s="47"/>
      <c r="E798" s="143"/>
      <c r="H798" s="29"/>
      <c r="I798" s="30"/>
      <c r="O798" s="53"/>
    </row>
    <row r="799" spans="4:15">
      <c r="D799" s="47"/>
      <c r="E799" s="143"/>
      <c r="H799" s="29"/>
      <c r="I799" s="30"/>
      <c r="O799" s="53"/>
    </row>
    <row r="800" spans="4:15">
      <c r="D800" s="47"/>
      <c r="E800" s="143"/>
      <c r="H800" s="29"/>
      <c r="I800" s="30"/>
      <c r="O800" s="53"/>
    </row>
    <row r="801" spans="4:15">
      <c r="D801" s="47"/>
      <c r="E801" s="143"/>
      <c r="H801" s="29"/>
      <c r="I801" s="30"/>
      <c r="O801" s="53"/>
    </row>
    <row r="802" spans="4:15">
      <c r="D802" s="47"/>
      <c r="E802" s="143"/>
      <c r="H802" s="29"/>
      <c r="I802" s="30"/>
      <c r="O802" s="53"/>
    </row>
    <row r="803" spans="4:15">
      <c r="D803" s="47"/>
      <c r="E803" s="143"/>
      <c r="H803" s="29"/>
      <c r="I803" s="30"/>
      <c r="O803" s="53"/>
    </row>
    <row r="804" spans="4:15">
      <c r="D804" s="47"/>
      <c r="E804" s="143"/>
      <c r="H804" s="29"/>
      <c r="I804" s="30"/>
      <c r="O804" s="53"/>
    </row>
    <row r="805" spans="4:15">
      <c r="D805" s="47"/>
      <c r="E805" s="143"/>
      <c r="H805" s="29"/>
      <c r="I805" s="30"/>
      <c r="O805" s="53"/>
    </row>
    <row r="806" spans="4:15">
      <c r="D806" s="47"/>
      <c r="E806" s="143"/>
      <c r="H806" s="29"/>
      <c r="I806" s="30"/>
      <c r="O806" s="53"/>
    </row>
    <row r="807" spans="4:15">
      <c r="D807" s="47"/>
      <c r="E807" s="143"/>
      <c r="H807" s="29"/>
      <c r="I807" s="30"/>
      <c r="O807" s="53"/>
    </row>
    <row r="808" spans="4:15">
      <c r="D808" s="47"/>
      <c r="E808" s="143"/>
      <c r="H808" s="29"/>
      <c r="I808" s="30"/>
      <c r="O808" s="53"/>
    </row>
    <row r="809" spans="4:15">
      <c r="D809" s="47"/>
      <c r="E809" s="143"/>
      <c r="H809" s="29"/>
      <c r="I809" s="30"/>
      <c r="O809" s="53"/>
    </row>
    <row r="810" spans="4:15">
      <c r="D810" s="47"/>
      <c r="E810" s="143"/>
      <c r="H810" s="29"/>
      <c r="I810" s="30"/>
      <c r="O810" s="53"/>
    </row>
    <row r="811" spans="4:15">
      <c r="D811" s="47"/>
      <c r="E811" s="143"/>
      <c r="H811" s="29"/>
      <c r="I811" s="30"/>
      <c r="O811" s="53"/>
    </row>
    <row r="812" spans="4:15">
      <c r="D812" s="47"/>
      <c r="E812" s="143"/>
      <c r="H812" s="29"/>
      <c r="I812" s="30"/>
      <c r="O812" s="53"/>
    </row>
    <row r="813" spans="4:15">
      <c r="D813" s="47"/>
      <c r="E813" s="143"/>
      <c r="H813" s="29"/>
      <c r="I813" s="30"/>
      <c r="O813" s="53"/>
    </row>
    <row r="814" spans="4:15">
      <c r="D814" s="47"/>
      <c r="E814" s="143"/>
      <c r="H814" s="29"/>
      <c r="I814" s="30"/>
      <c r="O814" s="53"/>
    </row>
    <row r="815" spans="4:15">
      <c r="D815" s="47"/>
      <c r="E815" s="143"/>
      <c r="H815" s="29"/>
      <c r="I815" s="30"/>
      <c r="O815" s="53"/>
    </row>
    <row r="816" spans="4:15">
      <c r="D816" s="47"/>
      <c r="E816" s="143"/>
      <c r="H816" s="29"/>
      <c r="I816" s="30"/>
      <c r="O816" s="53"/>
    </row>
    <row r="817" spans="4:15">
      <c r="D817" s="47"/>
      <c r="E817" s="143"/>
      <c r="H817" s="29"/>
      <c r="I817" s="30"/>
      <c r="O817" s="53"/>
    </row>
    <row r="818" spans="4:15">
      <c r="D818" s="47"/>
      <c r="E818" s="143"/>
      <c r="H818" s="29"/>
      <c r="I818" s="30"/>
      <c r="O818" s="53"/>
    </row>
    <row r="819" spans="4:15">
      <c r="D819" s="47"/>
      <c r="E819" s="143"/>
      <c r="H819" s="29"/>
      <c r="I819" s="30"/>
      <c r="O819" s="53"/>
    </row>
    <row r="820" spans="4:15">
      <c r="D820" s="47"/>
      <c r="E820" s="143"/>
      <c r="H820" s="29"/>
      <c r="I820" s="30"/>
      <c r="O820" s="53"/>
    </row>
    <row r="821" spans="4:15">
      <c r="D821" s="47"/>
      <c r="E821" s="143"/>
      <c r="H821" s="29"/>
      <c r="I821" s="30"/>
      <c r="O821" s="53"/>
    </row>
    <row r="822" spans="4:15">
      <c r="D822" s="47"/>
      <c r="E822" s="143"/>
      <c r="H822" s="29"/>
      <c r="I822" s="30"/>
      <c r="O822" s="53"/>
    </row>
    <row r="823" spans="4:15">
      <c r="D823" s="47"/>
      <c r="E823" s="143"/>
      <c r="H823" s="29"/>
      <c r="I823" s="30"/>
      <c r="O823" s="53"/>
    </row>
    <row r="824" spans="4:15">
      <c r="D824" s="47"/>
      <c r="E824" s="143"/>
      <c r="H824" s="29"/>
      <c r="I824" s="30"/>
      <c r="O824" s="53"/>
    </row>
    <row r="825" spans="4:15">
      <c r="D825" s="47"/>
      <c r="E825" s="143"/>
      <c r="H825" s="29"/>
      <c r="I825" s="30"/>
      <c r="O825" s="53"/>
    </row>
    <row r="826" spans="4:15">
      <c r="D826" s="47"/>
      <c r="E826" s="143"/>
      <c r="H826" s="29"/>
      <c r="I826" s="30"/>
      <c r="O826" s="53"/>
    </row>
    <row r="827" spans="4:15">
      <c r="D827" s="47"/>
      <c r="E827" s="143"/>
      <c r="H827" s="29"/>
      <c r="I827" s="30"/>
      <c r="O827" s="53"/>
    </row>
    <row r="828" spans="4:15">
      <c r="D828" s="47"/>
      <c r="E828" s="143"/>
      <c r="H828" s="29"/>
      <c r="I828" s="30"/>
      <c r="O828" s="53"/>
    </row>
    <row r="829" spans="4:15">
      <c r="D829" s="47"/>
      <c r="E829" s="143"/>
      <c r="H829" s="29"/>
      <c r="I829" s="30"/>
      <c r="O829" s="53"/>
    </row>
    <row r="830" spans="4:15">
      <c r="D830" s="47"/>
      <c r="E830" s="143"/>
      <c r="H830" s="29"/>
      <c r="I830" s="30"/>
      <c r="O830" s="53"/>
    </row>
    <row r="831" spans="4:15">
      <c r="D831" s="47"/>
      <c r="E831" s="143"/>
      <c r="H831" s="29"/>
      <c r="I831" s="30"/>
      <c r="O831" s="53"/>
    </row>
    <row r="832" spans="4:15">
      <c r="D832" s="47"/>
      <c r="E832" s="143"/>
      <c r="H832" s="29"/>
      <c r="I832" s="30"/>
      <c r="O832" s="53"/>
    </row>
    <row r="833" spans="4:15">
      <c r="D833" s="47"/>
      <c r="E833" s="143"/>
      <c r="H833" s="29"/>
      <c r="I833" s="30"/>
      <c r="O833" s="53"/>
    </row>
    <row r="834" spans="4:15">
      <c r="D834" s="47"/>
      <c r="E834" s="143"/>
      <c r="H834" s="29"/>
      <c r="I834" s="30"/>
      <c r="O834" s="53"/>
    </row>
    <row r="835" spans="4:15">
      <c r="D835" s="47"/>
      <c r="E835" s="143"/>
      <c r="H835" s="29"/>
      <c r="I835" s="30"/>
      <c r="O835" s="53"/>
    </row>
    <row r="836" spans="4:15">
      <c r="D836" s="47"/>
      <c r="E836" s="143"/>
      <c r="H836" s="29"/>
      <c r="I836" s="30"/>
      <c r="O836" s="53"/>
    </row>
    <row r="837" spans="4:15">
      <c r="D837" s="47"/>
      <c r="E837" s="143"/>
      <c r="H837" s="29"/>
      <c r="I837" s="30"/>
      <c r="O837" s="53"/>
    </row>
    <row r="838" spans="4:15">
      <c r="D838" s="47"/>
      <c r="E838" s="143"/>
      <c r="H838" s="29"/>
      <c r="I838" s="30"/>
      <c r="O838" s="53"/>
    </row>
    <row r="839" spans="4:15">
      <c r="D839" s="47"/>
      <c r="E839" s="143"/>
      <c r="H839" s="29"/>
      <c r="I839" s="30"/>
      <c r="O839" s="53"/>
    </row>
    <row r="840" spans="4:15">
      <c r="D840" s="47"/>
      <c r="E840" s="143"/>
      <c r="H840" s="29"/>
      <c r="I840" s="30"/>
      <c r="O840" s="53"/>
    </row>
    <row r="841" spans="4:15">
      <c r="D841" s="47"/>
      <c r="E841" s="143"/>
      <c r="H841" s="29"/>
      <c r="I841" s="30"/>
      <c r="O841" s="53"/>
    </row>
    <row r="842" spans="4:15">
      <c r="D842" s="47"/>
      <c r="E842" s="143"/>
      <c r="H842" s="29"/>
      <c r="I842" s="30"/>
      <c r="O842" s="53"/>
    </row>
    <row r="843" spans="4:15">
      <c r="D843" s="47"/>
      <c r="E843" s="143"/>
      <c r="H843" s="29"/>
      <c r="I843" s="30"/>
      <c r="O843" s="53"/>
    </row>
    <row r="844" spans="4:15">
      <c r="D844" s="47"/>
      <c r="E844" s="143"/>
      <c r="H844" s="29"/>
      <c r="I844" s="30"/>
      <c r="O844" s="53"/>
    </row>
    <row r="845" spans="4:15">
      <c r="D845" s="47"/>
      <c r="E845" s="143"/>
      <c r="H845" s="29"/>
      <c r="I845" s="30"/>
      <c r="O845" s="53"/>
    </row>
    <row r="846" spans="4:15">
      <c r="D846" s="47"/>
      <c r="E846" s="143"/>
      <c r="H846" s="29"/>
      <c r="I846" s="30"/>
      <c r="O846" s="53"/>
    </row>
    <row r="847" spans="4:15">
      <c r="D847" s="47"/>
      <c r="E847" s="143"/>
      <c r="H847" s="29"/>
      <c r="I847" s="30"/>
      <c r="O847" s="53"/>
    </row>
    <row r="848" spans="4:15">
      <c r="D848" s="47"/>
      <c r="E848" s="143"/>
      <c r="H848" s="29"/>
      <c r="I848" s="30"/>
      <c r="O848" s="53"/>
    </row>
    <row r="849" spans="4:15">
      <c r="D849" s="47"/>
      <c r="E849" s="143"/>
      <c r="H849" s="29"/>
      <c r="I849" s="30"/>
      <c r="O849" s="53"/>
    </row>
    <row r="850" spans="4:15">
      <c r="D850" s="47"/>
      <c r="E850" s="143"/>
      <c r="H850" s="29"/>
      <c r="I850" s="30"/>
      <c r="O850" s="53"/>
    </row>
    <row r="851" spans="4:15">
      <c r="D851" s="47"/>
      <c r="E851" s="143"/>
      <c r="H851" s="29"/>
      <c r="I851" s="30"/>
      <c r="O851" s="53"/>
    </row>
    <row r="852" spans="4:15">
      <c r="D852" s="47"/>
      <c r="E852" s="143"/>
      <c r="H852" s="29"/>
      <c r="I852" s="30"/>
      <c r="O852" s="53"/>
    </row>
    <row r="853" spans="4:15">
      <c r="D853" s="47"/>
      <c r="E853" s="143"/>
      <c r="H853" s="29"/>
      <c r="I853" s="30"/>
      <c r="O853" s="53"/>
    </row>
    <row r="854" spans="4:15">
      <c r="D854" s="47"/>
      <c r="E854" s="143"/>
      <c r="H854" s="29"/>
      <c r="I854" s="30"/>
      <c r="O854" s="53"/>
    </row>
    <row r="855" spans="4:15">
      <c r="D855" s="47"/>
      <c r="E855" s="143"/>
      <c r="H855" s="29"/>
      <c r="I855" s="30"/>
      <c r="O855" s="53"/>
    </row>
    <row r="856" spans="4:15">
      <c r="D856" s="47"/>
      <c r="E856" s="143"/>
      <c r="H856" s="29"/>
      <c r="I856" s="30"/>
      <c r="O856" s="53"/>
    </row>
    <row r="857" spans="4:15">
      <c r="D857" s="47"/>
      <c r="E857" s="143"/>
      <c r="H857" s="29"/>
      <c r="I857" s="30"/>
      <c r="O857" s="53"/>
    </row>
    <row r="858" spans="4:15">
      <c r="D858" s="47"/>
      <c r="E858" s="143"/>
      <c r="H858" s="29"/>
      <c r="I858" s="30"/>
      <c r="O858" s="53"/>
    </row>
    <row r="859" spans="4:15">
      <c r="D859" s="47"/>
      <c r="E859" s="143"/>
      <c r="H859" s="29"/>
      <c r="I859" s="30"/>
      <c r="O859" s="53"/>
    </row>
    <row r="860" spans="4:15">
      <c r="D860" s="47"/>
      <c r="E860" s="143"/>
      <c r="H860" s="29"/>
      <c r="I860" s="30"/>
      <c r="O860" s="53"/>
    </row>
    <row r="861" spans="4:15">
      <c r="D861" s="47"/>
      <c r="E861" s="143"/>
      <c r="H861" s="29"/>
      <c r="I861" s="30"/>
      <c r="O861" s="53"/>
    </row>
    <row r="862" spans="4:15">
      <c r="D862" s="47"/>
      <c r="E862" s="143"/>
      <c r="H862" s="29"/>
      <c r="I862" s="30"/>
      <c r="O862" s="53"/>
    </row>
    <row r="863" spans="4:15">
      <c r="D863" s="47"/>
      <c r="E863" s="143"/>
      <c r="H863" s="29"/>
      <c r="I863" s="30"/>
      <c r="O863" s="53"/>
    </row>
    <row r="864" spans="4:15">
      <c r="D864" s="47"/>
      <c r="E864" s="143"/>
      <c r="H864" s="29"/>
      <c r="I864" s="30"/>
      <c r="O864" s="53"/>
    </row>
    <row r="865" spans="4:15">
      <c r="D865" s="47"/>
      <c r="E865" s="143"/>
      <c r="H865" s="29"/>
      <c r="I865" s="30"/>
      <c r="O865" s="53"/>
    </row>
    <row r="866" spans="4:15">
      <c r="D866" s="47"/>
      <c r="E866" s="143"/>
      <c r="H866" s="29"/>
      <c r="I866" s="30"/>
      <c r="O866" s="53"/>
    </row>
    <row r="867" spans="4:15">
      <c r="D867" s="47"/>
      <c r="E867" s="143"/>
      <c r="H867" s="29"/>
      <c r="I867" s="30"/>
      <c r="O867" s="53"/>
    </row>
    <row r="868" spans="4:15">
      <c r="D868" s="47"/>
      <c r="E868" s="143"/>
      <c r="H868" s="29"/>
      <c r="I868" s="30"/>
      <c r="O868" s="53"/>
    </row>
    <row r="869" spans="4:15">
      <c r="D869" s="47"/>
      <c r="E869" s="143"/>
      <c r="H869" s="29"/>
      <c r="I869" s="30"/>
      <c r="O869" s="53"/>
    </row>
    <row r="870" spans="4:15">
      <c r="D870" s="47"/>
      <c r="E870" s="143"/>
      <c r="H870" s="29"/>
      <c r="I870" s="30"/>
      <c r="O870" s="53"/>
    </row>
    <row r="871" spans="4:15">
      <c r="D871" s="47"/>
      <c r="E871" s="143"/>
      <c r="H871" s="29"/>
      <c r="I871" s="30"/>
      <c r="O871" s="53"/>
    </row>
    <row r="872" spans="4:15">
      <c r="D872" s="47"/>
      <c r="E872" s="143"/>
      <c r="H872" s="29"/>
      <c r="I872" s="30"/>
      <c r="O872" s="53"/>
    </row>
    <row r="873" spans="4:15">
      <c r="D873" s="47"/>
      <c r="E873" s="143"/>
      <c r="H873" s="29"/>
      <c r="I873" s="30"/>
      <c r="O873" s="53"/>
    </row>
    <row r="874" spans="4:15">
      <c r="D874" s="47"/>
      <c r="E874" s="143"/>
      <c r="H874" s="29"/>
      <c r="I874" s="30"/>
      <c r="O874" s="53"/>
    </row>
    <row r="875" spans="4:15">
      <c r="D875" s="47"/>
      <c r="E875" s="143"/>
      <c r="H875" s="29"/>
      <c r="I875" s="30"/>
      <c r="O875" s="53"/>
    </row>
    <row r="876" spans="4:15">
      <c r="D876" s="47"/>
      <c r="E876" s="143"/>
      <c r="H876" s="29"/>
      <c r="I876" s="30"/>
      <c r="O876" s="53"/>
    </row>
    <row r="877" spans="4:15">
      <c r="D877" s="47"/>
      <c r="E877" s="143"/>
      <c r="H877" s="29"/>
      <c r="I877" s="30"/>
      <c r="O877" s="53"/>
    </row>
    <row r="878" spans="4:15">
      <c r="D878" s="47"/>
      <c r="E878" s="143"/>
      <c r="H878" s="29"/>
      <c r="I878" s="30"/>
      <c r="O878" s="53"/>
    </row>
    <row r="879" spans="4:15">
      <c r="D879" s="47"/>
      <c r="E879" s="143"/>
      <c r="H879" s="29"/>
      <c r="I879" s="30"/>
      <c r="O879" s="53"/>
    </row>
    <row r="880" spans="4:15">
      <c r="D880" s="47"/>
      <c r="E880" s="143"/>
      <c r="H880" s="29"/>
      <c r="I880" s="30"/>
      <c r="O880" s="53"/>
    </row>
    <row r="881" spans="4:15">
      <c r="D881" s="47"/>
      <c r="E881" s="143"/>
      <c r="H881" s="29"/>
      <c r="I881" s="30"/>
      <c r="O881" s="53"/>
    </row>
    <row r="882" spans="4:15">
      <c r="D882" s="47"/>
      <c r="E882" s="143"/>
      <c r="H882" s="29"/>
      <c r="I882" s="30"/>
      <c r="O882" s="53"/>
    </row>
    <row r="883" spans="4:15">
      <c r="D883" s="47"/>
      <c r="E883" s="143"/>
      <c r="H883" s="29"/>
      <c r="I883" s="30"/>
      <c r="O883" s="53"/>
    </row>
    <row r="884" spans="4:15">
      <c r="D884" s="47"/>
      <c r="E884" s="143"/>
      <c r="H884" s="29"/>
      <c r="I884" s="30"/>
      <c r="O884" s="53"/>
    </row>
    <row r="885" spans="4:15">
      <c r="D885" s="47"/>
      <c r="E885" s="143"/>
      <c r="H885" s="29"/>
      <c r="I885" s="30"/>
      <c r="O885" s="53"/>
    </row>
    <row r="886" spans="4:15">
      <c r="D886" s="47"/>
      <c r="E886" s="143"/>
      <c r="H886" s="29"/>
      <c r="I886" s="30"/>
      <c r="O886" s="53"/>
    </row>
    <row r="887" spans="4:15">
      <c r="D887" s="47"/>
      <c r="E887" s="143"/>
      <c r="H887" s="29"/>
      <c r="I887" s="30"/>
      <c r="O887" s="53"/>
    </row>
    <row r="888" spans="4:15">
      <c r="D888" s="47"/>
      <c r="E888" s="143"/>
      <c r="H888" s="29"/>
      <c r="I888" s="30"/>
      <c r="O888" s="53"/>
    </row>
    <row r="889" spans="4:15">
      <c r="D889" s="47"/>
      <c r="E889" s="143"/>
      <c r="H889" s="29"/>
      <c r="I889" s="30"/>
      <c r="O889" s="53"/>
    </row>
    <row r="890" spans="4:15">
      <c r="D890" s="47"/>
      <c r="E890" s="143"/>
      <c r="H890" s="29"/>
      <c r="I890" s="30"/>
      <c r="O890" s="53"/>
    </row>
    <row r="891" spans="4:15">
      <c r="D891" s="47"/>
      <c r="E891" s="143"/>
      <c r="H891" s="29"/>
      <c r="I891" s="30"/>
      <c r="O891" s="53"/>
    </row>
    <row r="892" spans="4:15">
      <c r="D892" s="47"/>
      <c r="E892" s="143"/>
      <c r="H892" s="29"/>
      <c r="I892" s="30"/>
      <c r="O892" s="53"/>
    </row>
    <row r="893" spans="4:15">
      <c r="D893" s="47"/>
      <c r="E893" s="143"/>
      <c r="H893" s="29"/>
      <c r="I893" s="30"/>
      <c r="O893" s="53"/>
    </row>
    <row r="894" spans="4:15">
      <c r="D894" s="47"/>
      <c r="E894" s="143"/>
      <c r="H894" s="29"/>
      <c r="I894" s="30"/>
      <c r="O894" s="53"/>
    </row>
    <row r="895" spans="4:15">
      <c r="D895" s="47"/>
      <c r="E895" s="143"/>
      <c r="H895" s="29"/>
      <c r="I895" s="30"/>
      <c r="O895" s="53"/>
    </row>
    <row r="896" spans="4:15">
      <c r="D896" s="47"/>
      <c r="E896" s="143"/>
      <c r="H896" s="29"/>
      <c r="I896" s="30"/>
      <c r="O896" s="53"/>
    </row>
    <row r="897" spans="4:15">
      <c r="D897" s="47"/>
      <c r="E897" s="143"/>
      <c r="H897" s="29"/>
      <c r="I897" s="30"/>
      <c r="O897" s="53"/>
    </row>
    <row r="898" spans="4:15">
      <c r="D898" s="47"/>
      <c r="E898" s="143"/>
      <c r="H898" s="29"/>
      <c r="I898" s="30"/>
      <c r="O898" s="53"/>
    </row>
    <row r="899" spans="4:15">
      <c r="D899" s="47"/>
      <c r="E899" s="143"/>
      <c r="H899" s="29"/>
      <c r="I899" s="30"/>
      <c r="O899" s="53"/>
    </row>
    <row r="900" spans="4:15">
      <c r="D900" s="47"/>
      <c r="E900" s="143"/>
      <c r="H900" s="29"/>
      <c r="I900" s="30"/>
      <c r="O900" s="53"/>
    </row>
    <row r="901" spans="4:15">
      <c r="D901" s="47"/>
      <c r="E901" s="143"/>
      <c r="H901" s="29"/>
      <c r="I901" s="30"/>
      <c r="O901" s="53"/>
    </row>
    <row r="902" spans="4:15">
      <c r="D902" s="47"/>
      <c r="E902" s="143"/>
      <c r="H902" s="29"/>
      <c r="I902" s="30"/>
      <c r="O902" s="53"/>
    </row>
    <row r="903" spans="4:15">
      <c r="D903" s="47"/>
      <c r="E903" s="143"/>
      <c r="H903" s="29"/>
      <c r="I903" s="30"/>
      <c r="O903" s="53"/>
    </row>
    <row r="904" spans="4:15">
      <c r="D904" s="47"/>
      <c r="E904" s="143"/>
      <c r="H904" s="29"/>
      <c r="I904" s="30"/>
      <c r="O904" s="53"/>
    </row>
    <row r="905" spans="4:15">
      <c r="D905" s="47"/>
      <c r="E905" s="143"/>
      <c r="H905" s="29"/>
      <c r="I905" s="30"/>
      <c r="O905" s="53"/>
    </row>
    <row r="906" spans="4:15">
      <c r="D906" s="47"/>
      <c r="E906" s="143"/>
      <c r="H906" s="29"/>
      <c r="I906" s="30"/>
      <c r="O906" s="53"/>
    </row>
    <row r="907" spans="4:15">
      <c r="D907" s="47"/>
      <c r="E907" s="143"/>
      <c r="H907" s="29"/>
      <c r="I907" s="30"/>
      <c r="O907" s="53"/>
    </row>
    <row r="908" spans="4:15">
      <c r="D908" s="47"/>
      <c r="E908" s="143"/>
      <c r="H908" s="29"/>
      <c r="I908" s="30"/>
      <c r="O908" s="53"/>
    </row>
    <row r="909" spans="4:15">
      <c r="D909" s="47"/>
      <c r="E909" s="143"/>
      <c r="H909" s="29"/>
      <c r="I909" s="30"/>
      <c r="O909" s="53"/>
    </row>
    <row r="910" spans="4:15">
      <c r="D910" s="47"/>
      <c r="E910" s="143"/>
      <c r="H910" s="29"/>
      <c r="I910" s="30"/>
      <c r="O910" s="53"/>
    </row>
    <row r="911" spans="4:15">
      <c r="D911" s="47"/>
      <c r="E911" s="143"/>
      <c r="H911" s="29"/>
      <c r="I911" s="30"/>
      <c r="O911" s="53"/>
    </row>
    <row r="912" spans="4:15">
      <c r="D912" s="47"/>
      <c r="E912" s="143"/>
      <c r="H912" s="29"/>
      <c r="I912" s="30"/>
      <c r="O912" s="53"/>
    </row>
    <row r="913" spans="4:15">
      <c r="D913" s="47"/>
      <c r="E913" s="143"/>
      <c r="H913" s="29"/>
      <c r="I913" s="30"/>
      <c r="O913" s="53"/>
    </row>
    <row r="914" spans="4:15">
      <c r="D914" s="47"/>
      <c r="E914" s="143"/>
      <c r="H914" s="29"/>
      <c r="I914" s="30"/>
      <c r="O914" s="53"/>
    </row>
    <row r="915" spans="4:15">
      <c r="D915" s="47"/>
      <c r="E915" s="143"/>
      <c r="H915" s="29"/>
      <c r="I915" s="30"/>
      <c r="O915" s="53"/>
    </row>
    <row r="916" spans="4:15">
      <c r="D916" s="47"/>
      <c r="E916" s="143"/>
      <c r="H916" s="29"/>
      <c r="I916" s="30"/>
      <c r="O916" s="53"/>
    </row>
    <row r="917" spans="4:15">
      <c r="D917" s="47"/>
      <c r="E917" s="143"/>
      <c r="H917" s="29"/>
      <c r="I917" s="30"/>
      <c r="O917" s="53"/>
    </row>
    <row r="918" spans="4:15">
      <c r="D918" s="47"/>
      <c r="E918" s="143"/>
      <c r="H918" s="29"/>
      <c r="I918" s="30"/>
      <c r="O918" s="53"/>
    </row>
    <row r="919" spans="4:15">
      <c r="D919" s="47"/>
      <c r="E919" s="143"/>
      <c r="H919" s="29"/>
      <c r="I919" s="30"/>
      <c r="O919" s="53"/>
    </row>
    <row r="920" spans="4:15">
      <c r="D920" s="47"/>
      <c r="E920" s="143"/>
      <c r="H920" s="29"/>
      <c r="I920" s="30"/>
      <c r="O920" s="53"/>
    </row>
    <row r="921" spans="4:15">
      <c r="D921" s="47"/>
      <c r="E921" s="143"/>
      <c r="H921" s="29"/>
      <c r="I921" s="30"/>
      <c r="O921" s="53"/>
    </row>
    <row r="922" spans="4:15">
      <c r="D922" s="47"/>
      <c r="E922" s="143"/>
      <c r="H922" s="29"/>
      <c r="I922" s="30"/>
      <c r="O922" s="53"/>
    </row>
    <row r="923" spans="4:15">
      <c r="D923" s="47"/>
      <c r="E923" s="143"/>
      <c r="H923" s="29"/>
      <c r="I923" s="30"/>
      <c r="O923" s="53"/>
    </row>
    <row r="924" spans="4:15">
      <c r="D924" s="47"/>
      <c r="E924" s="143"/>
      <c r="H924" s="29"/>
      <c r="I924" s="30"/>
      <c r="O924" s="53"/>
    </row>
    <row r="925" spans="4:15">
      <c r="D925" s="47"/>
      <c r="E925" s="143"/>
      <c r="H925" s="29"/>
      <c r="I925" s="30"/>
      <c r="O925" s="53"/>
    </row>
    <row r="926" spans="4:15">
      <c r="D926" s="47"/>
      <c r="E926" s="143"/>
      <c r="H926" s="29"/>
      <c r="I926" s="30"/>
      <c r="O926" s="53"/>
    </row>
    <row r="927" spans="4:15">
      <c r="D927" s="47"/>
      <c r="E927" s="143"/>
      <c r="H927" s="29"/>
      <c r="I927" s="30"/>
      <c r="O927" s="53"/>
    </row>
    <row r="928" spans="4:15">
      <c r="D928" s="47"/>
      <c r="E928" s="143"/>
      <c r="H928" s="29"/>
      <c r="I928" s="30"/>
      <c r="O928" s="53"/>
    </row>
    <row r="929" spans="4:15">
      <c r="D929" s="47"/>
      <c r="E929" s="143"/>
      <c r="H929" s="29"/>
      <c r="I929" s="30"/>
      <c r="O929" s="53"/>
    </row>
    <row r="930" spans="4:15">
      <c r="D930" s="47"/>
      <c r="E930" s="143"/>
      <c r="H930" s="29"/>
      <c r="I930" s="30"/>
      <c r="O930" s="53"/>
    </row>
    <row r="931" spans="4:15">
      <c r="D931" s="47"/>
      <c r="E931" s="143"/>
      <c r="H931" s="29"/>
      <c r="I931" s="30"/>
      <c r="O931" s="53"/>
    </row>
    <row r="932" spans="4:15">
      <c r="D932" s="47"/>
      <c r="E932" s="143"/>
      <c r="H932" s="29"/>
      <c r="I932" s="30"/>
      <c r="O932" s="53"/>
    </row>
    <row r="933" spans="4:15">
      <c r="D933" s="47"/>
      <c r="E933" s="143"/>
      <c r="H933" s="29"/>
      <c r="I933" s="30"/>
      <c r="O933" s="53"/>
    </row>
    <row r="934" spans="4:15">
      <c r="D934" s="47"/>
      <c r="E934" s="143"/>
      <c r="H934" s="29"/>
      <c r="I934" s="30"/>
      <c r="O934" s="53"/>
    </row>
    <row r="935" spans="4:15">
      <c r="D935" s="47"/>
      <c r="E935" s="143"/>
      <c r="H935" s="29"/>
      <c r="I935" s="30"/>
      <c r="O935" s="53"/>
    </row>
    <row r="936" spans="4:15">
      <c r="D936" s="47"/>
      <c r="E936" s="143"/>
      <c r="H936" s="29"/>
      <c r="I936" s="30"/>
      <c r="O936" s="53"/>
    </row>
    <row r="937" spans="4:15">
      <c r="D937" s="47"/>
      <c r="E937" s="143"/>
      <c r="H937" s="29"/>
      <c r="I937" s="30"/>
      <c r="O937" s="53"/>
    </row>
    <row r="938" spans="4:15">
      <c r="D938" s="47"/>
      <c r="E938" s="143"/>
      <c r="H938" s="29"/>
      <c r="I938" s="30"/>
      <c r="O938" s="53"/>
    </row>
    <row r="939" spans="4:15">
      <c r="D939" s="47"/>
      <c r="E939" s="143"/>
      <c r="H939" s="29"/>
      <c r="I939" s="30"/>
      <c r="O939" s="53"/>
    </row>
    <row r="940" spans="4:15">
      <c r="D940" s="47"/>
      <c r="E940" s="143"/>
      <c r="H940" s="29"/>
      <c r="I940" s="30"/>
      <c r="O940" s="53"/>
    </row>
    <row r="941" spans="4:15">
      <c r="D941" s="47"/>
      <c r="E941" s="143"/>
      <c r="H941" s="29"/>
      <c r="I941" s="30"/>
      <c r="O941" s="53"/>
    </row>
    <row r="942" spans="4:15">
      <c r="D942" s="47"/>
      <c r="E942" s="143"/>
      <c r="H942" s="29"/>
      <c r="I942" s="30"/>
      <c r="O942" s="53"/>
    </row>
    <row r="943" spans="4:15">
      <c r="D943" s="47"/>
      <c r="E943" s="143"/>
      <c r="H943" s="29"/>
      <c r="I943" s="30"/>
      <c r="O943" s="53"/>
    </row>
    <row r="944" spans="4:15">
      <c r="D944" s="47"/>
      <c r="E944" s="143"/>
      <c r="H944" s="29"/>
      <c r="I944" s="30"/>
      <c r="O944" s="53"/>
    </row>
    <row r="945" spans="4:15">
      <c r="D945" s="47"/>
      <c r="E945" s="143"/>
      <c r="H945" s="29"/>
      <c r="I945" s="30"/>
      <c r="O945" s="53"/>
    </row>
    <row r="946" spans="4:15">
      <c r="D946" s="47"/>
      <c r="E946" s="143"/>
      <c r="H946" s="29"/>
      <c r="I946" s="30"/>
      <c r="O946" s="53"/>
    </row>
    <row r="947" spans="4:15">
      <c r="D947" s="47"/>
      <c r="E947" s="143"/>
      <c r="H947" s="29"/>
      <c r="I947" s="30"/>
      <c r="O947" s="53"/>
    </row>
    <row r="948" spans="4:15">
      <c r="D948" s="47"/>
      <c r="E948" s="143"/>
      <c r="H948" s="29"/>
      <c r="I948" s="30"/>
      <c r="O948" s="53"/>
    </row>
    <row r="949" spans="4:15">
      <c r="D949" s="47"/>
      <c r="E949" s="143"/>
      <c r="H949" s="29"/>
      <c r="I949" s="30"/>
      <c r="O949" s="53"/>
    </row>
    <row r="950" spans="4:15">
      <c r="D950" s="47"/>
      <c r="E950" s="143"/>
      <c r="H950" s="29"/>
      <c r="I950" s="30"/>
      <c r="O950" s="53"/>
    </row>
    <row r="951" spans="4:15">
      <c r="D951" s="47"/>
      <c r="E951" s="143"/>
      <c r="H951" s="29"/>
      <c r="I951" s="30"/>
      <c r="O951" s="53"/>
    </row>
    <row r="952" spans="4:15">
      <c r="D952" s="47"/>
      <c r="E952" s="143"/>
      <c r="H952" s="29"/>
      <c r="I952" s="30"/>
      <c r="O952" s="53"/>
    </row>
    <row r="953" spans="4:15">
      <c r="D953" s="47"/>
      <c r="E953" s="143"/>
      <c r="H953" s="29"/>
      <c r="I953" s="30"/>
      <c r="O953" s="53"/>
    </row>
    <row r="954" spans="4:15">
      <c r="D954" s="47"/>
      <c r="E954" s="143"/>
      <c r="H954" s="29"/>
      <c r="I954" s="30"/>
      <c r="O954" s="53"/>
    </row>
    <row r="955" spans="4:15">
      <c r="D955" s="47"/>
      <c r="E955" s="143"/>
      <c r="H955" s="29"/>
      <c r="I955" s="30"/>
      <c r="O955" s="53"/>
    </row>
    <row r="956" spans="4:15">
      <c r="D956" s="47"/>
      <c r="E956" s="143"/>
      <c r="H956" s="29"/>
      <c r="I956" s="30"/>
      <c r="O956" s="53"/>
    </row>
    <row r="957" spans="4:15">
      <c r="D957" s="47"/>
      <c r="E957" s="143"/>
      <c r="H957" s="29"/>
      <c r="I957" s="30"/>
      <c r="O957" s="53"/>
    </row>
    <row r="958" spans="4:15">
      <c r="D958" s="47"/>
      <c r="E958" s="143"/>
      <c r="H958" s="29"/>
      <c r="I958" s="30"/>
      <c r="O958" s="53"/>
    </row>
    <row r="959" spans="4:15">
      <c r="D959" s="47"/>
      <c r="E959" s="143"/>
      <c r="H959" s="29"/>
      <c r="I959" s="30"/>
      <c r="O959" s="53"/>
    </row>
    <row r="960" spans="4:15">
      <c r="D960" s="47"/>
      <c r="E960" s="143"/>
      <c r="H960" s="29"/>
      <c r="I960" s="30"/>
      <c r="O960" s="53"/>
    </row>
    <row r="961" spans="4:15">
      <c r="D961" s="47"/>
      <c r="E961" s="143"/>
      <c r="H961" s="29"/>
      <c r="I961" s="30"/>
      <c r="O961" s="53"/>
    </row>
    <row r="962" spans="4:15">
      <c r="D962" s="47"/>
      <c r="E962" s="143"/>
      <c r="H962" s="29"/>
      <c r="I962" s="30"/>
      <c r="O962" s="53"/>
    </row>
    <row r="963" spans="4:15">
      <c r="D963" s="47"/>
      <c r="E963" s="143"/>
      <c r="H963" s="29"/>
      <c r="I963" s="30"/>
      <c r="O963" s="53"/>
    </row>
    <row r="964" spans="4:15">
      <c r="D964" s="47"/>
      <c r="E964" s="143"/>
      <c r="H964" s="29"/>
      <c r="I964" s="30"/>
      <c r="O964" s="53"/>
    </row>
    <row r="965" spans="4:15">
      <c r="D965" s="47"/>
      <c r="E965" s="143"/>
      <c r="H965" s="29"/>
      <c r="I965" s="30"/>
      <c r="O965" s="53"/>
    </row>
    <row r="966" spans="4:15">
      <c r="D966" s="47"/>
      <c r="E966" s="143"/>
      <c r="H966" s="29"/>
      <c r="I966" s="30"/>
      <c r="O966" s="53"/>
    </row>
    <row r="967" spans="4:15">
      <c r="D967" s="47"/>
      <c r="E967" s="143"/>
      <c r="H967" s="29"/>
      <c r="I967" s="30"/>
      <c r="O967" s="53"/>
    </row>
    <row r="968" spans="4:15">
      <c r="D968" s="47"/>
      <c r="E968" s="143"/>
      <c r="H968" s="29"/>
      <c r="I968" s="30"/>
      <c r="O968" s="53"/>
    </row>
    <row r="969" spans="4:15">
      <c r="D969" s="47"/>
      <c r="E969" s="143"/>
      <c r="H969" s="29"/>
      <c r="I969" s="30"/>
      <c r="O969" s="53"/>
    </row>
    <row r="970" spans="4:15">
      <c r="D970" s="47"/>
      <c r="E970" s="143"/>
      <c r="H970" s="29"/>
      <c r="I970" s="30"/>
      <c r="O970" s="53"/>
    </row>
    <row r="971" spans="4:15">
      <c r="D971" s="47"/>
      <c r="E971" s="143"/>
      <c r="H971" s="29"/>
      <c r="I971" s="30"/>
      <c r="O971" s="53"/>
    </row>
    <row r="972" spans="4:15">
      <c r="D972" s="47"/>
      <c r="E972" s="143"/>
      <c r="H972" s="29"/>
      <c r="I972" s="30"/>
      <c r="O972" s="53"/>
    </row>
    <row r="973" spans="4:15">
      <c r="D973" s="47"/>
      <c r="E973" s="143"/>
      <c r="H973" s="29"/>
      <c r="I973" s="30"/>
      <c r="O973" s="53"/>
    </row>
    <row r="974" spans="4:15">
      <c r="D974" s="47"/>
      <c r="E974" s="143"/>
      <c r="H974" s="29"/>
      <c r="I974" s="30"/>
      <c r="O974" s="53"/>
    </row>
    <row r="975" spans="4:15">
      <c r="D975" s="47"/>
      <c r="E975" s="143"/>
      <c r="H975" s="29"/>
      <c r="I975" s="30"/>
      <c r="O975" s="53"/>
    </row>
    <row r="976" spans="4:15">
      <c r="D976" s="47"/>
      <c r="E976" s="143"/>
      <c r="H976" s="29"/>
      <c r="I976" s="30"/>
      <c r="O976" s="53"/>
    </row>
    <row r="977" spans="4:15">
      <c r="D977" s="47"/>
      <c r="E977" s="143"/>
      <c r="H977" s="29"/>
      <c r="I977" s="30"/>
      <c r="O977" s="53"/>
    </row>
    <row r="978" spans="4:15">
      <c r="D978" s="47"/>
      <c r="E978" s="143"/>
      <c r="H978" s="29"/>
      <c r="I978" s="30"/>
      <c r="O978" s="53"/>
    </row>
    <row r="979" spans="4:15">
      <c r="D979" s="47"/>
      <c r="E979" s="143"/>
      <c r="H979" s="29"/>
      <c r="I979" s="30"/>
      <c r="O979" s="53"/>
    </row>
    <row r="980" spans="4:15">
      <c r="D980" s="47"/>
      <c r="E980" s="143"/>
      <c r="H980" s="29"/>
      <c r="I980" s="30"/>
      <c r="O980" s="53"/>
    </row>
    <row r="981" spans="4:15">
      <c r="D981" s="47"/>
      <c r="E981" s="143"/>
      <c r="H981" s="29"/>
      <c r="I981" s="30"/>
      <c r="O981" s="53"/>
    </row>
    <row r="982" spans="4:15">
      <c r="D982" s="47"/>
      <c r="E982" s="143"/>
      <c r="H982" s="29"/>
      <c r="I982" s="30"/>
      <c r="O982" s="53"/>
    </row>
    <row r="983" spans="4:15">
      <c r="D983" s="47"/>
      <c r="E983" s="143"/>
      <c r="H983" s="29"/>
      <c r="I983" s="30"/>
      <c r="O983" s="53"/>
    </row>
    <row r="984" spans="4:15">
      <c r="D984" s="47"/>
      <c r="E984" s="143"/>
      <c r="H984" s="29"/>
      <c r="I984" s="30"/>
      <c r="O984" s="53"/>
    </row>
    <row r="985" spans="4:15">
      <c r="D985" s="47"/>
      <c r="E985" s="143"/>
      <c r="H985" s="29"/>
      <c r="I985" s="30"/>
      <c r="O985" s="53"/>
    </row>
    <row r="986" spans="4:15">
      <c r="D986" s="47"/>
      <c r="E986" s="143"/>
      <c r="H986" s="29"/>
      <c r="I986" s="30"/>
      <c r="O986" s="53"/>
    </row>
    <row r="987" spans="4:15">
      <c r="D987" s="47"/>
      <c r="E987" s="143"/>
      <c r="H987" s="29"/>
      <c r="I987" s="30"/>
      <c r="O987" s="53"/>
    </row>
    <row r="988" spans="4:15">
      <c r="D988" s="47"/>
      <c r="E988" s="143"/>
      <c r="H988" s="29"/>
      <c r="I988" s="30"/>
      <c r="O988" s="53"/>
    </row>
    <row r="989" spans="4:15">
      <c r="D989" s="47"/>
      <c r="E989" s="143"/>
      <c r="H989" s="29"/>
      <c r="I989" s="30"/>
      <c r="O989" s="53"/>
    </row>
    <row r="990" spans="4:15">
      <c r="D990" s="47"/>
      <c r="E990" s="143"/>
      <c r="H990" s="29"/>
      <c r="I990" s="30"/>
      <c r="O990" s="53"/>
    </row>
    <row r="991" spans="4:15">
      <c r="D991" s="47"/>
      <c r="E991" s="143"/>
      <c r="H991" s="29"/>
      <c r="I991" s="30"/>
      <c r="O991" s="53"/>
    </row>
    <row r="992" spans="4:15">
      <c r="D992" s="47"/>
      <c r="E992" s="143"/>
      <c r="H992" s="29"/>
      <c r="I992" s="30"/>
      <c r="O992" s="53"/>
    </row>
    <row r="993" spans="4:21">
      <c r="D993" s="47"/>
      <c r="E993" s="143"/>
      <c r="H993" s="29"/>
      <c r="I993" s="30"/>
      <c r="O993" s="53"/>
    </row>
    <row r="994" spans="4:21">
      <c r="J994" s="47"/>
      <c r="K994" s="143"/>
      <c r="N994" s="29"/>
      <c r="O994" s="30"/>
      <c r="U994" s="53"/>
    </row>
    <row r="995" spans="4:21">
      <c r="J995" s="47"/>
      <c r="K995" s="143"/>
      <c r="N995" s="29"/>
      <c r="O995" s="30"/>
      <c r="U995" s="53"/>
    </row>
    <row r="996" spans="4:21">
      <c r="J996" s="47"/>
      <c r="K996" s="143"/>
      <c r="N996" s="29"/>
      <c r="O996" s="30"/>
      <c r="U996" s="53"/>
    </row>
    <row r="997" spans="4:21">
      <c r="J997" s="47"/>
      <c r="K997" s="143"/>
      <c r="N997" s="29"/>
      <c r="O997" s="30"/>
      <c r="U997" s="53"/>
    </row>
    <row r="998" spans="4:21">
      <c r="J998" s="47"/>
      <c r="K998" s="143"/>
      <c r="N998" s="29"/>
      <c r="O998" s="30"/>
      <c r="U998" s="53"/>
    </row>
    <row r="999" spans="4:21">
      <c r="J999" s="47"/>
      <c r="K999" s="143"/>
      <c r="N999" s="29"/>
      <c r="O999" s="30"/>
      <c r="U999" s="53"/>
    </row>
    <row r="1000" spans="4:21">
      <c r="J1000" s="47"/>
      <c r="K1000" s="143"/>
      <c r="N1000" s="29"/>
      <c r="O1000" s="30"/>
      <c r="U1000" s="53"/>
    </row>
    <row r="1001" spans="4:21">
      <c r="J1001" s="47"/>
      <c r="K1001" s="143"/>
      <c r="N1001" s="29"/>
      <c r="O1001" s="30"/>
      <c r="U1001" s="53"/>
    </row>
    <row r="1002" spans="4:21">
      <c r="J1002" s="47"/>
      <c r="K1002" s="143"/>
      <c r="N1002" s="29"/>
      <c r="O1002" s="30"/>
      <c r="U1002" s="53"/>
    </row>
    <row r="1003" spans="4:21">
      <c r="J1003" s="47"/>
      <c r="K1003" s="143"/>
      <c r="N1003" s="29"/>
      <c r="O1003" s="30"/>
      <c r="U1003" s="53"/>
    </row>
    <row r="1004" spans="4:21">
      <c r="J1004" s="47"/>
      <c r="K1004" s="143"/>
      <c r="N1004" s="29"/>
      <c r="O1004" s="30"/>
      <c r="U1004" s="53"/>
    </row>
    <row r="1005" spans="4:21">
      <c r="J1005" s="47"/>
      <c r="K1005" s="143"/>
      <c r="N1005" s="29"/>
      <c r="O1005" s="30"/>
      <c r="U1005" s="53"/>
    </row>
    <row r="1006" spans="4:21">
      <c r="J1006" s="47"/>
      <c r="K1006" s="143"/>
      <c r="N1006" s="29"/>
      <c r="O1006" s="30"/>
      <c r="U1006" s="53"/>
    </row>
    <row r="1007" spans="4:21">
      <c r="J1007" s="47"/>
      <c r="K1007" s="143"/>
      <c r="N1007" s="29"/>
      <c r="O1007" s="30"/>
      <c r="U1007" s="53"/>
    </row>
    <row r="1008" spans="4:21">
      <c r="J1008" s="47"/>
      <c r="K1008" s="143"/>
      <c r="N1008" s="29"/>
      <c r="O1008" s="30"/>
      <c r="U1008" s="53"/>
    </row>
    <row r="1009" spans="10:21">
      <c r="J1009" s="47"/>
      <c r="K1009" s="143"/>
      <c r="N1009" s="29"/>
      <c r="O1009" s="30"/>
      <c r="U1009" s="53"/>
    </row>
    <row r="1010" spans="10:21">
      <c r="J1010" s="47"/>
      <c r="K1010" s="143"/>
      <c r="N1010" s="29"/>
      <c r="O1010" s="30"/>
      <c r="U1010" s="53"/>
    </row>
    <row r="1011" spans="10:21">
      <c r="J1011" s="47"/>
      <c r="K1011" s="143"/>
      <c r="N1011" s="29"/>
      <c r="O1011" s="30"/>
      <c r="U1011" s="53"/>
    </row>
    <row r="1012" spans="10:21">
      <c r="J1012" s="47"/>
      <c r="K1012" s="143"/>
      <c r="N1012" s="29"/>
      <c r="O1012" s="30"/>
      <c r="U1012" s="53"/>
    </row>
    <row r="1013" spans="10:21">
      <c r="J1013" s="47"/>
      <c r="K1013" s="143"/>
      <c r="N1013" s="29"/>
      <c r="O1013" s="30"/>
      <c r="U1013" s="53"/>
    </row>
    <row r="1014" spans="10:21">
      <c r="J1014" s="47"/>
      <c r="K1014" s="143"/>
      <c r="N1014" s="29"/>
      <c r="O1014" s="30"/>
      <c r="U1014" s="53"/>
    </row>
    <row r="1015" spans="10:21">
      <c r="J1015" s="47"/>
      <c r="K1015" s="143"/>
      <c r="N1015" s="29"/>
      <c r="O1015" s="30"/>
      <c r="U1015" s="53"/>
    </row>
  </sheetData>
  <dataValidations count="1">
    <dataValidation type="list" allowBlank="1" showErrorMessage="1" sqref="AC25:AC30 W3:W8" xr:uid="{38494E26-9559-4105-AAEE-237246E14C9F}">
      <formula1>"Open,Inprogress,Closed"</formula1>
    </dataValidation>
  </dataValidations>
  <hyperlinks>
    <hyperlink ref="M4" r:id="rId1" xr:uid="{D49E715F-7119-42F6-8CC5-054E7F24C719}"/>
    <hyperlink ref="M3" r:id="rId2" xr:uid="{A381BF0C-167B-4006-91E9-A24782499EC4}"/>
    <hyperlink ref="M5" r:id="rId3" xr:uid="{1D5E6EA2-56A5-45A9-A66F-6951AD61F5D9}"/>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BACF1-F08D-4805-A25A-A5D4C4DEE0A6}">
  <dimension ref="A1:Z3"/>
  <sheetViews>
    <sheetView workbookViewId="0">
      <selection activeCell="C13" sqref="C13"/>
    </sheetView>
  </sheetViews>
  <sheetFormatPr defaultRowHeight="12.75"/>
  <cols>
    <col min="2" max="2" width="20.7109375" customWidth="1"/>
    <col min="3" max="3" width="21.140625" customWidth="1"/>
    <col min="4" max="4" width="17.85546875" customWidth="1"/>
    <col min="5" max="5" width="23.42578125" customWidth="1"/>
    <col min="6" max="6" width="26.140625" customWidth="1"/>
    <col min="7" max="7" width="22.85546875" customWidth="1"/>
    <col min="10" max="10" width="18.28515625" customWidth="1"/>
    <col min="11" max="11" width="23.5703125" customWidth="1"/>
  </cols>
  <sheetData>
    <row r="1" spans="1:26" ht="14.25">
      <c r="A1" s="1" t="s">
        <v>248</v>
      </c>
      <c r="B1" s="31" t="s">
        <v>11</v>
      </c>
      <c r="C1" s="32" t="s">
        <v>306</v>
      </c>
      <c r="D1" s="154" t="s">
        <v>250</v>
      </c>
      <c r="E1" s="155" t="s">
        <v>308</v>
      </c>
      <c r="F1" s="155" t="s">
        <v>309</v>
      </c>
      <c r="G1" s="154" t="s">
        <v>310</v>
      </c>
      <c r="H1" s="154" t="s">
        <v>312</v>
      </c>
      <c r="I1" s="154" t="s">
        <v>253</v>
      </c>
      <c r="J1" s="156" t="s">
        <v>313</v>
      </c>
      <c r="K1" s="157" t="s">
        <v>274</v>
      </c>
      <c r="L1" s="35"/>
      <c r="M1" s="35"/>
      <c r="N1" s="35"/>
      <c r="O1" s="35"/>
      <c r="P1" s="35"/>
      <c r="Q1" s="35"/>
      <c r="R1" s="35"/>
      <c r="S1" s="35"/>
      <c r="T1" s="35"/>
      <c r="U1" s="35"/>
      <c r="V1" s="35"/>
      <c r="W1" s="35"/>
      <c r="X1" s="35"/>
      <c r="Y1" s="35"/>
      <c r="Z1" s="35"/>
    </row>
    <row r="2" spans="1:26">
      <c r="A2" s="919"/>
      <c r="B2" s="919"/>
      <c r="C2" s="919"/>
      <c r="D2" s="35"/>
      <c r="E2" s="35"/>
      <c r="F2" s="28"/>
      <c r="G2" s="35"/>
      <c r="H2" s="35"/>
      <c r="I2" s="35"/>
      <c r="J2" s="35"/>
      <c r="K2" s="35"/>
      <c r="L2" s="35"/>
      <c r="M2" s="35"/>
      <c r="N2" s="35"/>
      <c r="O2" s="35"/>
      <c r="P2" s="35"/>
      <c r="Q2" s="35"/>
      <c r="R2" s="35"/>
      <c r="S2" s="35"/>
      <c r="T2" s="35"/>
      <c r="U2" s="35"/>
      <c r="V2" s="35"/>
    </row>
    <row r="3" spans="1:26" ht="15">
      <c r="B3" s="153" t="s">
        <v>1781</v>
      </c>
    </row>
  </sheetData>
  <mergeCells count="1">
    <mergeCell ref="A2:C2"/>
  </mergeCells>
  <dataValidations count="4">
    <dataValidation type="list" allowBlank="1" showErrorMessage="1" sqref="H2" xr:uid="{20433854-49FD-430B-A196-049F56EF19FE}">
      <formula1>"Internal,External"</formula1>
    </dataValidation>
    <dataValidation type="list" allowBlank="1" showErrorMessage="1" sqref="E2" xr:uid="{CB958DEE-06C8-43F9-BD99-5E124340C942}">
      <formula1>"Bounceback,Defect,None"</formula1>
    </dataValidation>
    <dataValidation type="list" allowBlank="1" showErrorMessage="1" sqref="I2" xr:uid="{FEBCE430-4945-4D25-9927-AA47A234CF6B}">
      <formula1>"Open,Inprogress,Closed"</formula1>
    </dataValidation>
    <dataValidation type="list" allowBlank="1" showErrorMessage="1" sqref="G2" xr:uid="{E535AE12-16E9-44A4-BB2A-14298737D924}">
      <formula1>"Minor,Significant,Major"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10D8B23B-1842-4687-A445-6558A6844CA7}">
          <x14:formula1>
            <xm:f>Details!$A$2:$A$10</xm:f>
          </x14:formula1>
          <xm:sqref>J2</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F56D0-C539-4554-B59A-2B78BE1B2AB6}">
  <sheetPr>
    <outlinePr summaryBelow="0" summaryRight="0"/>
  </sheetPr>
  <dimension ref="A1:X993"/>
  <sheetViews>
    <sheetView showGridLines="0" workbookViewId="0">
      <pane xSplit="5" ySplit="2" topLeftCell="AB3" activePane="bottomRight" state="frozen"/>
      <selection pane="bottomRight" activeCell="F1" sqref="F1"/>
      <selection pane="bottomLeft" activeCell="A3" sqref="A3"/>
      <selection pane="topRight" activeCell="F1" sqref="F1"/>
    </sheetView>
  </sheetViews>
  <sheetFormatPr defaultColWidth="12.5703125" defaultRowHeight="15" customHeight="1"/>
  <cols>
    <col min="1" max="1" width="4.28515625" customWidth="1"/>
    <col min="2" max="2" width="17.85546875" customWidth="1"/>
    <col min="3" max="3" width="23.28515625" customWidth="1"/>
    <col min="4" max="4" width="12.42578125" style="47" customWidth="1"/>
    <col min="5" max="5" width="37.42578125" style="144" customWidth="1"/>
    <col min="6" max="7" width="23.140625" customWidth="1"/>
    <col min="8" max="8" width="11.42578125" customWidth="1"/>
    <col min="9" max="9" width="21" customWidth="1"/>
    <col min="10" max="10" width="40.140625" customWidth="1"/>
    <col min="11" max="11" width="12.5703125" customWidth="1"/>
    <col min="12" max="12" width="40" customWidth="1"/>
    <col min="13" max="14" width="12.5703125" customWidth="1"/>
    <col min="15" max="15" width="12.5703125" style="53" customWidth="1"/>
    <col min="16" max="16" width="17" customWidth="1"/>
    <col min="17" max="17" width="46.28515625" customWidth="1"/>
    <col min="18" max="18" width="12.7109375" customWidth="1"/>
    <col min="19" max="19" width="10.140625" customWidth="1"/>
    <col min="20" max="20" width="29.42578125" customWidth="1"/>
    <col min="21" max="22" width="41.28515625" customWidth="1"/>
    <col min="23" max="23" width="21.42578125" customWidth="1"/>
    <col min="24" max="24" width="53" customWidth="1"/>
  </cols>
  <sheetData>
    <row r="1" spans="1:24" ht="15.75" customHeight="1">
      <c r="A1" s="4"/>
      <c r="B1" s="4"/>
      <c r="C1" s="4"/>
      <c r="D1" s="5"/>
      <c r="E1" s="4"/>
      <c r="F1" s="4"/>
      <c r="G1" s="4"/>
      <c r="H1" s="5"/>
      <c r="I1" s="1"/>
      <c r="J1" s="4"/>
      <c r="K1" s="4"/>
      <c r="L1" s="4"/>
      <c r="M1" s="4"/>
      <c r="N1" s="4"/>
      <c r="O1" s="48"/>
      <c r="P1" s="4"/>
      <c r="Q1" s="4"/>
      <c r="R1" s="4"/>
      <c r="S1" s="4"/>
      <c r="T1" s="4"/>
      <c r="U1" s="4"/>
      <c r="V1" s="4"/>
      <c r="W1" s="4"/>
      <c r="X1" s="6"/>
    </row>
    <row r="2" spans="1:24" ht="25.5" customHeight="1">
      <c r="A2" s="1" t="s">
        <v>248</v>
      </c>
      <c r="B2" s="59" t="s">
        <v>249</v>
      </c>
      <c r="C2" s="59" t="s">
        <v>250</v>
      </c>
      <c r="D2" s="68" t="s">
        <v>251</v>
      </c>
      <c r="E2" s="70" t="s">
        <v>252</v>
      </c>
      <c r="F2" s="70" t="s">
        <v>254</v>
      </c>
      <c r="G2" s="70" t="s">
        <v>255</v>
      </c>
      <c r="H2" s="68" t="s">
        <v>259</v>
      </c>
      <c r="I2" s="70" t="s">
        <v>260</v>
      </c>
      <c r="J2" s="70" t="s">
        <v>261</v>
      </c>
      <c r="K2" s="70" t="s">
        <v>262</v>
      </c>
      <c r="L2" s="70" t="s">
        <v>263</v>
      </c>
      <c r="M2" s="70" t="s">
        <v>264</v>
      </c>
      <c r="N2" s="70" t="s">
        <v>265</v>
      </c>
      <c r="O2" s="71" t="s">
        <v>266</v>
      </c>
      <c r="P2" s="70" t="s">
        <v>1571</v>
      </c>
      <c r="Q2" s="70" t="s">
        <v>268</v>
      </c>
      <c r="R2" s="70" t="s">
        <v>1572</v>
      </c>
      <c r="S2" s="70" t="s">
        <v>270</v>
      </c>
      <c r="T2" s="70" t="s">
        <v>268</v>
      </c>
      <c r="U2" s="70" t="s">
        <v>272</v>
      </c>
      <c r="V2" s="70" t="s">
        <v>273</v>
      </c>
      <c r="W2" s="70" t="s">
        <v>253</v>
      </c>
      <c r="X2" s="72" t="s">
        <v>274</v>
      </c>
    </row>
    <row r="3" spans="1:24" s="137" customFormat="1" ht="15.75" customHeight="1">
      <c r="A3" s="131">
        <v>1</v>
      </c>
      <c r="B3" s="127" t="s">
        <v>1797</v>
      </c>
      <c r="C3" s="133" t="s">
        <v>1035</v>
      </c>
      <c r="D3" s="87" t="s">
        <v>1798</v>
      </c>
      <c r="E3" s="142" t="s">
        <v>1799</v>
      </c>
      <c r="F3" s="75">
        <v>2</v>
      </c>
      <c r="G3" s="75">
        <v>2</v>
      </c>
      <c r="H3" s="77" t="s">
        <v>318</v>
      </c>
      <c r="I3" s="77" t="s">
        <v>1639</v>
      </c>
      <c r="J3" s="77" t="s">
        <v>1423</v>
      </c>
      <c r="K3" s="77" t="s">
        <v>595</v>
      </c>
      <c r="L3" s="77" t="s">
        <v>1557</v>
      </c>
      <c r="M3" s="40" t="s">
        <v>1800</v>
      </c>
      <c r="N3" s="140">
        <v>45369</v>
      </c>
      <c r="O3" s="140">
        <v>45369</v>
      </c>
      <c r="P3" s="77" t="s">
        <v>322</v>
      </c>
      <c r="Q3" s="77" t="s">
        <v>1557</v>
      </c>
      <c r="R3" s="84" t="s">
        <v>1723</v>
      </c>
      <c r="S3" s="140">
        <v>45369</v>
      </c>
      <c r="T3" s="77" t="s">
        <v>1557</v>
      </c>
      <c r="U3" s="77" t="s">
        <v>1557</v>
      </c>
      <c r="V3" s="77" t="s">
        <v>1557</v>
      </c>
      <c r="W3" s="139" t="s">
        <v>557</v>
      </c>
      <c r="X3" s="83"/>
    </row>
    <row r="4" spans="1:24" s="137" customFormat="1" ht="32.25" customHeight="1">
      <c r="A4" s="131">
        <v>2</v>
      </c>
      <c r="B4" s="149" t="s">
        <v>1797</v>
      </c>
      <c r="C4" s="147" t="s">
        <v>1035</v>
      </c>
      <c r="D4" s="87" t="s">
        <v>1801</v>
      </c>
      <c r="E4" s="142" t="s">
        <v>1802</v>
      </c>
      <c r="F4" s="75">
        <v>2</v>
      </c>
      <c r="G4" s="75">
        <v>2</v>
      </c>
      <c r="H4" s="77" t="s">
        <v>318</v>
      </c>
      <c r="I4" s="77" t="s">
        <v>1639</v>
      </c>
      <c r="J4" s="77" t="s">
        <v>1423</v>
      </c>
      <c r="K4" s="77" t="s">
        <v>595</v>
      </c>
      <c r="L4" s="77" t="s">
        <v>1557</v>
      </c>
      <c r="M4" s="129" t="s">
        <v>1803</v>
      </c>
      <c r="N4" s="141">
        <v>45370</v>
      </c>
      <c r="O4" s="141">
        <v>45370</v>
      </c>
      <c r="P4" s="84" t="s">
        <v>322</v>
      </c>
      <c r="Q4" s="77" t="s">
        <v>1557</v>
      </c>
      <c r="R4" s="84" t="s">
        <v>1723</v>
      </c>
      <c r="S4" s="135">
        <v>45370</v>
      </c>
      <c r="T4" s="77" t="s">
        <v>1557</v>
      </c>
      <c r="U4" s="84" t="s">
        <v>1557</v>
      </c>
      <c r="V4" s="150" t="s">
        <v>1557</v>
      </c>
      <c r="W4" s="83" t="s">
        <v>557</v>
      </c>
      <c r="X4" s="83"/>
    </row>
    <row r="5" spans="1:24" ht="15.75" customHeight="1">
      <c r="A5" s="98">
        <v>3</v>
      </c>
      <c r="B5" s="148" t="s">
        <v>1797</v>
      </c>
      <c r="C5" s="100" t="s">
        <v>1804</v>
      </c>
      <c r="D5" s="146" t="s">
        <v>1805</v>
      </c>
      <c r="E5" s="136" t="s">
        <v>1806</v>
      </c>
      <c r="F5" s="84">
        <v>5</v>
      </c>
      <c r="G5" s="80">
        <v>5</v>
      </c>
      <c r="H5" s="77" t="s">
        <v>318</v>
      </c>
      <c r="I5" s="138" t="s">
        <v>1807</v>
      </c>
      <c r="J5" s="77" t="s">
        <v>1423</v>
      </c>
      <c r="K5" s="77" t="s">
        <v>1591</v>
      </c>
      <c r="L5" s="77" t="s">
        <v>1591</v>
      </c>
      <c r="M5" s="77" t="s">
        <v>1591</v>
      </c>
      <c r="N5" s="77" t="s">
        <v>1591</v>
      </c>
      <c r="O5" s="77" t="s">
        <v>1591</v>
      </c>
      <c r="P5" s="77" t="s">
        <v>1591</v>
      </c>
      <c r="Q5" s="77" t="s">
        <v>1591</v>
      </c>
      <c r="R5" s="77" t="s">
        <v>1591</v>
      </c>
      <c r="S5" s="77" t="s">
        <v>1591</v>
      </c>
      <c r="T5" s="77" t="s">
        <v>1591</v>
      </c>
      <c r="U5" s="77" t="s">
        <v>1591</v>
      </c>
      <c r="V5" s="77" t="s">
        <v>1591</v>
      </c>
      <c r="W5" s="30" t="s">
        <v>557</v>
      </c>
      <c r="X5" s="30" t="s">
        <v>1808</v>
      </c>
    </row>
    <row r="6" spans="1:24" ht="33" customHeight="1">
      <c r="A6" s="98">
        <v>4</v>
      </c>
      <c r="B6" s="148" t="s">
        <v>1797</v>
      </c>
      <c r="C6" s="145" t="s">
        <v>1809</v>
      </c>
      <c r="D6" s="87" t="s">
        <v>1774</v>
      </c>
      <c r="E6" s="136" t="s">
        <v>1775</v>
      </c>
      <c r="F6" s="84">
        <v>2</v>
      </c>
      <c r="G6" s="80">
        <v>2</v>
      </c>
      <c r="H6" s="77" t="s">
        <v>318</v>
      </c>
      <c r="I6" s="77" t="s">
        <v>1035</v>
      </c>
      <c r="J6" s="77" t="s">
        <v>1423</v>
      </c>
      <c r="K6" s="77" t="s">
        <v>1591</v>
      </c>
      <c r="L6" s="77" t="s">
        <v>1591</v>
      </c>
      <c r="M6" s="152" t="s">
        <v>1776</v>
      </c>
      <c r="N6" s="77" t="s">
        <v>1591</v>
      </c>
      <c r="O6" s="77" t="s">
        <v>1591</v>
      </c>
      <c r="P6" s="77" t="s">
        <v>1591</v>
      </c>
      <c r="Q6" s="77" t="s">
        <v>1591</v>
      </c>
      <c r="R6" s="77" t="s">
        <v>1591</v>
      </c>
      <c r="S6" s="77" t="s">
        <v>1591</v>
      </c>
      <c r="T6" s="77" t="s">
        <v>1591</v>
      </c>
      <c r="U6" s="77" t="s">
        <v>1591</v>
      </c>
      <c r="V6" s="77" t="s">
        <v>1591</v>
      </c>
      <c r="W6" s="30" t="s">
        <v>557</v>
      </c>
      <c r="X6" s="30" t="s">
        <v>1810</v>
      </c>
    </row>
    <row r="7" spans="1:24" ht="15.75" customHeight="1">
      <c r="A7" s="98"/>
      <c r="B7" s="97"/>
      <c r="C7" s="101"/>
      <c r="D7" s="87"/>
      <c r="E7" s="136"/>
      <c r="F7" s="84"/>
      <c r="G7" s="80"/>
      <c r="H7" s="77"/>
      <c r="I7" s="78"/>
      <c r="J7" s="78"/>
      <c r="K7" s="78"/>
      <c r="L7" s="138"/>
      <c r="M7" s="40"/>
      <c r="N7" s="134"/>
      <c r="O7" s="134"/>
      <c r="P7" s="88"/>
      <c r="Q7" s="73"/>
      <c r="R7" s="81"/>
      <c r="S7" s="135"/>
      <c r="T7" s="73"/>
      <c r="U7" s="81"/>
      <c r="V7" s="81"/>
      <c r="W7" s="30"/>
      <c r="X7" s="81"/>
    </row>
    <row r="8" spans="1:24" ht="15.75" customHeight="1">
      <c r="A8" s="98"/>
      <c r="B8" s="97"/>
      <c r="C8" s="100"/>
      <c r="D8" s="87"/>
      <c r="E8" s="136"/>
      <c r="F8" s="84"/>
      <c r="G8" s="80"/>
      <c r="H8" s="77"/>
      <c r="I8" s="78"/>
      <c r="J8" s="78"/>
      <c r="K8" s="78"/>
      <c r="L8" s="89"/>
      <c r="M8" s="40"/>
      <c r="N8" s="94"/>
      <c r="O8" s="85"/>
      <c r="P8" s="80"/>
      <c r="Q8" s="78"/>
      <c r="R8" s="81"/>
      <c r="S8" s="95"/>
      <c r="T8" s="78"/>
      <c r="U8" s="81"/>
      <c r="V8" s="81"/>
      <c r="W8" s="30"/>
      <c r="X8" s="30"/>
    </row>
    <row r="9" spans="1:24" ht="15.75" customHeight="1">
      <c r="A9" s="99"/>
      <c r="B9" s="97"/>
      <c r="C9" s="102"/>
      <c r="D9" s="46"/>
      <c r="E9" s="18"/>
      <c r="F9" s="18"/>
      <c r="G9" s="18"/>
      <c r="H9" s="12"/>
      <c r="I9" s="14"/>
      <c r="J9" s="14"/>
      <c r="K9" s="14"/>
      <c r="L9" s="67"/>
      <c r="M9" s="40"/>
      <c r="N9" s="65"/>
      <c r="O9" s="66"/>
      <c r="P9" s="14"/>
      <c r="Q9" s="14"/>
      <c r="R9" s="19"/>
      <c r="S9" s="65"/>
      <c r="T9" s="14"/>
      <c r="U9" s="19"/>
      <c r="V9" s="19"/>
      <c r="W9" s="64"/>
      <c r="X9" s="19"/>
    </row>
    <row r="10" spans="1:24" ht="15.75" customHeight="1">
      <c r="A10" s="99"/>
      <c r="B10" s="97"/>
      <c r="C10" s="103"/>
      <c r="D10" s="46"/>
      <c r="E10" s="18"/>
      <c r="F10" s="18"/>
      <c r="G10" s="18"/>
      <c r="H10" s="12"/>
      <c r="I10" s="14"/>
      <c r="J10" s="14"/>
      <c r="K10" s="14"/>
      <c r="L10" s="58"/>
      <c r="M10" s="14"/>
      <c r="N10" s="14"/>
      <c r="O10" s="9"/>
      <c r="P10" s="14"/>
      <c r="Q10" s="19"/>
      <c r="R10" s="19"/>
      <c r="S10" s="19"/>
      <c r="T10" s="19"/>
      <c r="U10" s="19"/>
      <c r="V10" s="19"/>
      <c r="W10" s="64"/>
      <c r="X10" s="19"/>
    </row>
    <row r="11" spans="1:24" ht="15.75" customHeight="1">
      <c r="A11" s="99"/>
      <c r="B11" s="97"/>
      <c r="C11" s="103"/>
      <c r="D11" s="62"/>
      <c r="E11" s="18"/>
      <c r="F11" s="18"/>
      <c r="G11" s="18"/>
      <c r="H11" s="12"/>
      <c r="I11" s="10"/>
      <c r="J11" s="14"/>
      <c r="K11" s="14"/>
      <c r="L11" s="19"/>
      <c r="M11" s="14"/>
      <c r="N11" s="14"/>
      <c r="O11" s="9"/>
      <c r="P11" s="14"/>
      <c r="Q11" s="18"/>
      <c r="R11" s="19"/>
      <c r="S11" s="19"/>
      <c r="T11" s="19"/>
      <c r="U11" s="19"/>
      <c r="V11" s="19"/>
      <c r="W11" s="64"/>
      <c r="X11" s="19"/>
    </row>
    <row r="12" spans="1:24" ht="15.75" customHeight="1">
      <c r="A12" s="99"/>
      <c r="B12" s="97"/>
      <c r="C12" s="102"/>
      <c r="D12" s="62"/>
      <c r="E12" s="45"/>
      <c r="F12" s="18"/>
      <c r="G12" s="18"/>
      <c r="H12" s="12"/>
      <c r="I12" s="14"/>
      <c r="J12" s="19"/>
      <c r="K12" s="14"/>
      <c r="L12" s="19"/>
      <c r="M12" s="14"/>
      <c r="N12" s="14"/>
      <c r="O12" s="9"/>
      <c r="P12" s="14"/>
      <c r="Q12" s="19"/>
      <c r="R12" s="19"/>
      <c r="S12" s="19"/>
      <c r="T12" s="19"/>
      <c r="U12" s="19"/>
      <c r="V12" s="19"/>
      <c r="W12" s="64"/>
      <c r="X12" s="19"/>
    </row>
    <row r="13" spans="1:24" ht="15.75" customHeight="1">
      <c r="A13" s="19"/>
      <c r="B13" s="104"/>
      <c r="C13" s="14"/>
      <c r="D13" s="12"/>
      <c r="E13" s="18"/>
      <c r="F13" s="18"/>
      <c r="G13" s="18"/>
      <c r="H13" s="12"/>
      <c r="I13" s="14"/>
      <c r="J13" s="19"/>
      <c r="K13" s="14"/>
      <c r="L13" s="19"/>
      <c r="M13" s="14"/>
      <c r="N13" s="14"/>
      <c r="O13" s="9"/>
      <c r="P13" s="14"/>
      <c r="Q13" s="19"/>
      <c r="R13" s="19"/>
      <c r="S13" s="19"/>
      <c r="T13" s="19"/>
      <c r="U13" s="19"/>
      <c r="V13" s="19"/>
      <c r="W13" s="19"/>
      <c r="X13" s="19"/>
    </row>
    <row r="14" spans="1:24" ht="15.75" customHeight="1">
      <c r="A14" s="19"/>
      <c r="B14" s="60"/>
      <c r="C14" s="14"/>
      <c r="D14" s="12"/>
      <c r="E14" s="18"/>
      <c r="F14" s="18"/>
      <c r="G14" s="18"/>
      <c r="H14" s="12"/>
      <c r="I14" s="14"/>
      <c r="J14" s="19"/>
      <c r="K14" s="14"/>
      <c r="L14" s="19"/>
      <c r="M14" s="14"/>
      <c r="N14" s="14"/>
      <c r="O14" s="9"/>
      <c r="P14" s="14"/>
      <c r="Q14" s="19"/>
      <c r="R14" s="19"/>
      <c r="S14" s="19"/>
      <c r="T14" s="19"/>
      <c r="U14" s="19"/>
      <c r="V14" s="19"/>
      <c r="W14" s="19"/>
      <c r="X14" s="19"/>
    </row>
    <row r="15" spans="1:24" ht="15.75" customHeight="1">
      <c r="A15" s="19"/>
      <c r="B15" s="60"/>
      <c r="C15" s="14"/>
      <c r="D15" s="12"/>
      <c r="E15" s="18"/>
      <c r="F15" s="18"/>
      <c r="G15" s="18"/>
      <c r="H15" s="12"/>
      <c r="I15" s="14"/>
      <c r="J15" s="19"/>
      <c r="K15" s="14"/>
      <c r="L15" s="19"/>
      <c r="M15" s="14"/>
      <c r="N15" s="14"/>
      <c r="O15" s="9"/>
      <c r="P15" s="14"/>
      <c r="Q15" s="19"/>
      <c r="R15" s="19"/>
      <c r="S15" s="19"/>
      <c r="T15" s="19"/>
      <c r="U15" s="19"/>
      <c r="V15" s="19"/>
      <c r="W15" s="19"/>
      <c r="X15" s="19"/>
    </row>
    <row r="16" spans="1:24" ht="15.75" customHeight="1">
      <c r="A16" s="19"/>
      <c r="B16" s="60"/>
      <c r="C16" s="14"/>
      <c r="D16" s="12"/>
      <c r="E16" s="18"/>
      <c r="F16" s="18"/>
      <c r="G16" s="18"/>
      <c r="H16" s="12"/>
      <c r="I16" s="14"/>
      <c r="J16" s="19"/>
      <c r="K16" s="14"/>
      <c r="L16" s="19"/>
      <c r="M16" s="14"/>
      <c r="N16" s="14"/>
      <c r="O16" s="9"/>
      <c r="P16" s="14"/>
      <c r="Q16" s="19"/>
      <c r="R16" s="19"/>
      <c r="S16" s="19"/>
      <c r="T16" s="19"/>
      <c r="U16" s="19"/>
      <c r="V16" s="19"/>
      <c r="W16" s="19"/>
      <c r="X16" s="19"/>
    </row>
    <row r="17" spans="1:24" ht="15.75" customHeight="1">
      <c r="A17" s="19"/>
      <c r="B17" s="60"/>
      <c r="C17" s="14"/>
      <c r="D17" s="12"/>
      <c r="E17" s="18"/>
      <c r="F17" s="18"/>
      <c r="G17" s="18"/>
      <c r="H17" s="12"/>
      <c r="I17" s="14"/>
      <c r="J17" s="19"/>
      <c r="K17" s="14"/>
      <c r="L17" s="19"/>
      <c r="M17" s="14"/>
      <c r="N17" s="14"/>
      <c r="O17" s="9"/>
      <c r="P17" s="14"/>
      <c r="Q17" s="19"/>
      <c r="R17" s="19"/>
      <c r="S17" s="19"/>
      <c r="T17" s="19"/>
      <c r="U17" s="19"/>
      <c r="V17" s="19"/>
      <c r="W17" s="19"/>
      <c r="X17" s="19"/>
    </row>
    <row r="18" spans="1:24" ht="15.75" customHeight="1">
      <c r="B18" s="28"/>
      <c r="C18" s="3"/>
      <c r="E18" s="28"/>
      <c r="F18" s="28"/>
      <c r="G18" s="28"/>
      <c r="H18" s="29"/>
      <c r="I18" s="63"/>
      <c r="K18" s="3"/>
      <c r="M18" s="3"/>
      <c r="N18" s="3"/>
      <c r="O18" s="52"/>
      <c r="P18" s="3"/>
    </row>
    <row r="19" spans="1:24" ht="15.75" customHeight="1">
      <c r="B19" s="28"/>
      <c r="C19" s="3"/>
      <c r="E19" s="28"/>
      <c r="F19" s="28"/>
      <c r="G19" s="28"/>
      <c r="H19" s="29"/>
      <c r="I19" s="14"/>
      <c r="K19" s="3"/>
      <c r="M19" s="3"/>
      <c r="N19" s="3"/>
      <c r="O19" s="52"/>
      <c r="P19" s="3"/>
    </row>
    <row r="20" spans="1:24" ht="15.75" customHeight="1">
      <c r="B20" s="28"/>
      <c r="C20" s="3"/>
      <c r="E20" s="28"/>
      <c r="F20" s="28"/>
      <c r="G20" s="28"/>
      <c r="H20" s="29"/>
      <c r="I20" s="14"/>
      <c r="K20" s="3"/>
      <c r="M20" s="3"/>
      <c r="N20" s="3"/>
      <c r="O20" s="52"/>
      <c r="P20" s="3"/>
    </row>
    <row r="21" spans="1:24" ht="15.75" customHeight="1">
      <c r="B21" s="28"/>
      <c r="C21" s="3"/>
      <c r="E21" s="28"/>
      <c r="F21" s="28"/>
      <c r="G21" s="28"/>
      <c r="H21" s="29"/>
      <c r="I21" s="14"/>
      <c r="K21" s="3"/>
      <c r="M21" s="3"/>
      <c r="N21" s="3"/>
      <c r="O21" s="52"/>
      <c r="P21" s="3"/>
    </row>
    <row r="22" spans="1:24" ht="15.75" customHeight="1">
      <c r="B22" s="28"/>
      <c r="C22" s="3"/>
      <c r="E22" s="28"/>
      <c r="F22" s="28"/>
      <c r="G22" s="28"/>
      <c r="H22" s="29"/>
      <c r="I22" s="14"/>
      <c r="K22" s="3"/>
      <c r="M22" s="3"/>
      <c r="N22" s="3"/>
      <c r="O22" s="52"/>
      <c r="P22" s="3"/>
    </row>
    <row r="23" spans="1:24" ht="15.75" customHeight="1">
      <c r="B23" s="28"/>
      <c r="C23" s="3"/>
      <c r="E23" s="28"/>
      <c r="F23" s="28"/>
      <c r="G23" s="28"/>
      <c r="H23" s="29"/>
      <c r="I23" s="14"/>
      <c r="K23" s="3"/>
      <c r="M23" s="3"/>
      <c r="N23" s="3"/>
      <c r="O23" s="52"/>
      <c r="P23" s="3"/>
    </row>
    <row r="24" spans="1:24" ht="15.75" customHeight="1">
      <c r="B24" s="28"/>
      <c r="C24" s="3"/>
      <c r="E24" s="28"/>
      <c r="F24" s="28"/>
      <c r="G24" s="28"/>
      <c r="H24" s="29"/>
      <c r="I24" s="14"/>
      <c r="K24" s="3"/>
      <c r="M24" s="3"/>
      <c r="N24" s="3"/>
      <c r="O24" s="52"/>
      <c r="P24" s="3"/>
    </row>
    <row r="25" spans="1:24" ht="15.75" customHeight="1">
      <c r="B25" s="28"/>
      <c r="C25" s="3"/>
      <c r="E25" s="28"/>
      <c r="F25" s="28"/>
      <c r="G25" s="28"/>
      <c r="H25" s="29"/>
      <c r="I25" s="14"/>
      <c r="K25" s="3"/>
      <c r="M25" s="3"/>
      <c r="N25" s="3"/>
      <c r="O25" s="52"/>
      <c r="P25" s="3"/>
    </row>
    <row r="26" spans="1:24" ht="15.75" customHeight="1">
      <c r="B26" s="28"/>
      <c r="C26" s="3"/>
      <c r="E26" s="28"/>
      <c r="F26" s="28"/>
      <c r="G26" s="28"/>
      <c r="H26" s="29"/>
      <c r="I26" s="14"/>
      <c r="K26" s="3"/>
      <c r="M26" s="3"/>
      <c r="N26" s="3"/>
      <c r="O26" s="52"/>
      <c r="P26" s="3"/>
    </row>
    <row r="27" spans="1:24" ht="15.75" customHeight="1">
      <c r="B27" s="28"/>
      <c r="C27" s="3"/>
      <c r="E27" s="28"/>
      <c r="F27" s="28"/>
      <c r="G27" s="28"/>
      <c r="H27" s="29"/>
      <c r="I27" s="14"/>
      <c r="K27" s="3"/>
      <c r="M27" s="3"/>
      <c r="N27" s="3"/>
      <c r="O27" s="52"/>
      <c r="P27" s="3"/>
    </row>
    <row r="28" spans="1:24" ht="15.75" customHeight="1">
      <c r="B28" s="28"/>
      <c r="C28" s="3"/>
      <c r="E28" s="28"/>
      <c r="F28" s="28"/>
      <c r="G28" s="28"/>
      <c r="H28" s="29"/>
      <c r="I28" s="14"/>
      <c r="K28" s="3"/>
      <c r="M28" s="3"/>
      <c r="N28" s="3"/>
      <c r="O28" s="52"/>
      <c r="P28" s="3"/>
    </row>
    <row r="29" spans="1:24" ht="15.75" customHeight="1">
      <c r="B29" s="28"/>
      <c r="C29" s="3"/>
      <c r="E29" s="28"/>
      <c r="F29" s="28"/>
      <c r="G29" s="28"/>
      <c r="H29" s="29"/>
      <c r="I29" s="14"/>
      <c r="K29" s="3"/>
      <c r="M29" s="3"/>
      <c r="N29" s="3"/>
      <c r="O29" s="52"/>
      <c r="P29" s="3"/>
    </row>
    <row r="30" spans="1:24" ht="15.75" customHeight="1">
      <c r="B30" s="28"/>
      <c r="C30" s="3"/>
      <c r="E30" s="28"/>
      <c r="F30" s="28"/>
      <c r="G30" s="28"/>
      <c r="H30" s="29"/>
      <c r="I30" s="14"/>
      <c r="K30" s="3"/>
      <c r="M30" s="3"/>
      <c r="N30" s="3"/>
      <c r="O30" s="52"/>
      <c r="P30" s="3"/>
    </row>
    <row r="31" spans="1:24" ht="15.75" customHeight="1">
      <c r="B31" s="28"/>
      <c r="C31" s="3"/>
      <c r="E31" s="28"/>
      <c r="F31" s="28"/>
      <c r="G31" s="28"/>
      <c r="H31" s="29"/>
      <c r="I31" s="14"/>
      <c r="K31" s="3"/>
      <c r="M31" s="3"/>
      <c r="N31" s="3"/>
      <c r="O31" s="52"/>
      <c r="P31" s="3"/>
    </row>
    <row r="32" spans="1:24" ht="15.75" customHeight="1">
      <c r="B32" s="28"/>
      <c r="C32" s="3"/>
      <c r="E32" s="28"/>
      <c r="F32" s="28"/>
      <c r="G32" s="28"/>
      <c r="H32" s="29"/>
      <c r="I32" s="14"/>
      <c r="K32" s="3"/>
      <c r="M32" s="3"/>
      <c r="N32" s="3"/>
      <c r="O32" s="52"/>
      <c r="P32" s="3"/>
    </row>
    <row r="33" spans="2:16" ht="15.75" customHeight="1">
      <c r="B33" s="28"/>
      <c r="C33" s="3"/>
      <c r="E33" s="28"/>
      <c r="F33" s="28"/>
      <c r="G33" s="28"/>
      <c r="H33" s="29"/>
      <c r="I33" s="14"/>
      <c r="K33" s="3"/>
      <c r="M33" s="3"/>
      <c r="N33" s="3"/>
      <c r="O33" s="52"/>
      <c r="P33" s="3"/>
    </row>
    <row r="34" spans="2:16" ht="15.75" customHeight="1">
      <c r="B34" s="28"/>
      <c r="C34" s="3"/>
      <c r="E34" s="28"/>
      <c r="F34" s="28"/>
      <c r="G34" s="28"/>
      <c r="H34" s="29"/>
      <c r="I34" s="14"/>
      <c r="K34" s="3"/>
      <c r="M34" s="3"/>
      <c r="N34" s="3"/>
      <c r="O34" s="52"/>
      <c r="P34" s="3"/>
    </row>
    <row r="35" spans="2:16" ht="15.75" customHeight="1">
      <c r="B35" s="28"/>
      <c r="C35" s="3"/>
      <c r="E35" s="28"/>
      <c r="F35" s="28"/>
      <c r="G35" s="28"/>
      <c r="H35" s="29"/>
      <c r="I35" s="14"/>
      <c r="K35" s="3"/>
      <c r="M35" s="3"/>
      <c r="N35" s="3"/>
      <c r="O35" s="52"/>
      <c r="P35" s="3"/>
    </row>
    <row r="36" spans="2:16" ht="15.75" customHeight="1">
      <c r="B36" s="28"/>
      <c r="C36" s="3"/>
      <c r="E36" s="28"/>
      <c r="F36" s="28"/>
      <c r="G36" s="28"/>
      <c r="H36" s="29"/>
      <c r="I36" s="14"/>
      <c r="K36" s="3"/>
      <c r="M36" s="3"/>
      <c r="N36" s="3"/>
      <c r="O36" s="52"/>
      <c r="P36" s="3"/>
    </row>
    <row r="37" spans="2:16" ht="15.75" customHeight="1">
      <c r="B37" s="28"/>
      <c r="C37" s="3"/>
      <c r="E37" s="28"/>
      <c r="F37" s="28"/>
      <c r="G37" s="28"/>
      <c r="H37" s="29"/>
      <c r="I37" s="14"/>
      <c r="K37" s="3"/>
      <c r="M37" s="3"/>
      <c r="N37" s="3"/>
      <c r="O37" s="52"/>
      <c r="P37" s="3"/>
    </row>
    <row r="38" spans="2:16" ht="15.75" customHeight="1">
      <c r="B38" s="28"/>
      <c r="C38" s="3"/>
      <c r="E38" s="28"/>
      <c r="F38" s="28"/>
      <c r="G38" s="28"/>
      <c r="H38" s="29"/>
      <c r="I38" s="14"/>
      <c r="K38" s="3"/>
      <c r="M38" s="3"/>
      <c r="N38" s="3"/>
      <c r="O38" s="52"/>
      <c r="P38" s="3"/>
    </row>
    <row r="39" spans="2:16" ht="15.75" customHeight="1">
      <c r="B39" s="28"/>
      <c r="C39" s="3"/>
      <c r="E39" s="28"/>
      <c r="F39" s="28"/>
      <c r="G39" s="28"/>
      <c r="H39" s="29"/>
      <c r="I39" s="14"/>
      <c r="K39" s="3"/>
      <c r="M39" s="3"/>
      <c r="N39" s="3"/>
      <c r="O39" s="52"/>
      <c r="P39" s="3"/>
    </row>
    <row r="40" spans="2:16" ht="15.75" customHeight="1">
      <c r="B40" s="28"/>
      <c r="C40" s="3"/>
      <c r="E40" s="28"/>
      <c r="F40" s="28"/>
      <c r="G40" s="28"/>
      <c r="H40" s="29"/>
      <c r="I40" s="14"/>
      <c r="K40" s="3"/>
      <c r="M40" s="3"/>
      <c r="N40" s="3"/>
      <c r="O40" s="52"/>
      <c r="P40" s="3"/>
    </row>
    <row r="41" spans="2:16" ht="15.75" customHeight="1">
      <c r="B41" s="28"/>
      <c r="C41" s="3"/>
      <c r="E41" s="28"/>
      <c r="F41" s="28"/>
      <c r="G41" s="28"/>
      <c r="H41" s="29"/>
      <c r="I41" s="14"/>
      <c r="K41" s="3"/>
      <c r="M41" s="3"/>
      <c r="N41" s="3"/>
      <c r="O41" s="52"/>
      <c r="P41" s="3"/>
    </row>
    <row r="42" spans="2:16" ht="15.75" customHeight="1">
      <c r="B42" s="28"/>
      <c r="C42" s="3"/>
      <c r="E42" s="28"/>
      <c r="F42" s="28"/>
      <c r="G42" s="28"/>
      <c r="H42" s="29"/>
      <c r="I42" s="14"/>
      <c r="K42" s="3"/>
      <c r="M42" s="3"/>
      <c r="N42" s="3"/>
      <c r="O42" s="52"/>
      <c r="P42" s="3"/>
    </row>
    <row r="43" spans="2:16" ht="15.75" customHeight="1">
      <c r="B43" s="28"/>
      <c r="C43" s="3"/>
      <c r="E43" s="28"/>
      <c r="F43" s="28"/>
      <c r="G43" s="28"/>
      <c r="H43" s="29"/>
      <c r="I43" s="14"/>
      <c r="K43" s="3"/>
      <c r="M43" s="3"/>
      <c r="N43" s="3"/>
      <c r="O43" s="52"/>
      <c r="P43" s="3"/>
    </row>
    <row r="44" spans="2:16" ht="15.75" customHeight="1">
      <c r="B44" s="28"/>
      <c r="C44" s="3"/>
      <c r="E44" s="28"/>
      <c r="F44" s="28"/>
      <c r="G44" s="28"/>
      <c r="H44" s="29"/>
      <c r="I44" s="14"/>
      <c r="K44" s="3"/>
      <c r="M44" s="3"/>
      <c r="N44" s="3"/>
      <c r="O44" s="52"/>
      <c r="P44" s="3"/>
    </row>
    <row r="45" spans="2:16" ht="15.75" customHeight="1">
      <c r="B45" s="28"/>
      <c r="C45" s="3"/>
      <c r="E45" s="28"/>
      <c r="F45" s="28"/>
      <c r="G45" s="28"/>
      <c r="H45" s="29"/>
      <c r="I45" s="14"/>
      <c r="K45" s="3"/>
      <c r="M45" s="3"/>
      <c r="N45" s="3"/>
      <c r="O45" s="52"/>
      <c r="P45" s="3"/>
    </row>
    <row r="46" spans="2:16" ht="15.75" customHeight="1">
      <c r="B46" s="28"/>
      <c r="C46" s="3"/>
      <c r="E46" s="28"/>
      <c r="F46" s="28"/>
      <c r="G46" s="28"/>
      <c r="H46" s="29"/>
      <c r="I46" s="14"/>
      <c r="K46" s="3"/>
      <c r="M46" s="3"/>
      <c r="N46" s="3"/>
      <c r="O46" s="52"/>
      <c r="P46" s="3"/>
    </row>
    <row r="47" spans="2:16" ht="15.75" customHeight="1">
      <c r="B47" s="28"/>
      <c r="C47" s="3"/>
      <c r="E47" s="28"/>
      <c r="F47" s="28"/>
      <c r="G47" s="28"/>
      <c r="H47" s="29"/>
      <c r="I47" s="14"/>
      <c r="K47" s="3"/>
      <c r="M47" s="3"/>
      <c r="N47" s="3"/>
      <c r="O47" s="52"/>
      <c r="P47" s="3"/>
    </row>
    <row r="48" spans="2:16" ht="15.75" customHeight="1">
      <c r="B48" s="28"/>
      <c r="C48" s="3"/>
      <c r="E48" s="28"/>
      <c r="F48" s="28"/>
      <c r="G48" s="28"/>
      <c r="H48" s="29"/>
      <c r="I48" s="14"/>
      <c r="K48" s="3"/>
      <c r="M48" s="3"/>
      <c r="N48" s="3"/>
      <c r="O48" s="52"/>
      <c r="P48" s="3"/>
    </row>
    <row r="49" spans="2:16" ht="15.75" customHeight="1">
      <c r="B49" s="28"/>
      <c r="C49" s="3"/>
      <c r="E49" s="28"/>
      <c r="F49" s="28"/>
      <c r="G49" s="28"/>
      <c r="H49" s="29"/>
      <c r="I49" s="14"/>
      <c r="K49" s="3"/>
      <c r="M49" s="3"/>
      <c r="N49" s="3"/>
      <c r="O49" s="52"/>
      <c r="P49" s="3"/>
    </row>
    <row r="50" spans="2:16" ht="15.75" customHeight="1">
      <c r="B50" s="28"/>
      <c r="C50" s="3"/>
      <c r="E50" s="28"/>
      <c r="F50" s="28"/>
      <c r="G50" s="28"/>
      <c r="H50" s="29"/>
      <c r="I50" s="14"/>
      <c r="K50" s="3"/>
      <c r="M50" s="3"/>
      <c r="N50" s="3"/>
      <c r="O50" s="52"/>
      <c r="P50" s="3"/>
    </row>
    <row r="51" spans="2:16" ht="15.75" customHeight="1">
      <c r="B51" s="28"/>
      <c r="C51" s="3"/>
      <c r="E51" s="28"/>
      <c r="F51" s="28"/>
      <c r="G51" s="28"/>
      <c r="H51" s="29"/>
      <c r="I51" s="14"/>
      <c r="K51" s="3"/>
      <c r="M51" s="3"/>
      <c r="N51" s="3"/>
      <c r="O51" s="52"/>
      <c r="P51" s="3"/>
    </row>
    <row r="52" spans="2:16" ht="15.75" customHeight="1">
      <c r="B52" s="28"/>
      <c r="C52" s="3"/>
      <c r="E52" s="28"/>
      <c r="F52" s="28"/>
      <c r="G52" s="28"/>
      <c r="H52" s="29"/>
      <c r="I52" s="14"/>
      <c r="K52" s="3"/>
      <c r="M52" s="3"/>
      <c r="N52" s="3"/>
      <c r="O52" s="52"/>
      <c r="P52" s="3"/>
    </row>
    <row r="53" spans="2:16" ht="15.75" customHeight="1">
      <c r="B53" s="28"/>
      <c r="C53" s="3"/>
      <c r="E53" s="28"/>
      <c r="F53" s="28"/>
      <c r="G53" s="28"/>
      <c r="H53" s="29"/>
      <c r="I53" s="14"/>
      <c r="K53" s="3"/>
      <c r="M53" s="3"/>
      <c r="N53" s="3"/>
      <c r="O53" s="52"/>
      <c r="P53" s="3"/>
    </row>
    <row r="54" spans="2:16" ht="15.75" customHeight="1">
      <c r="B54" s="28"/>
      <c r="C54" s="3"/>
      <c r="E54" s="28"/>
      <c r="F54" s="28"/>
      <c r="G54" s="28"/>
      <c r="H54" s="29"/>
      <c r="I54" s="14"/>
      <c r="K54" s="3"/>
      <c r="M54" s="3"/>
      <c r="N54" s="3"/>
      <c r="O54" s="52"/>
      <c r="P54" s="3"/>
    </row>
    <row r="55" spans="2:16" ht="15.75" customHeight="1">
      <c r="B55" s="28"/>
      <c r="C55" s="3"/>
      <c r="E55" s="28"/>
      <c r="F55" s="28"/>
      <c r="G55" s="28"/>
      <c r="H55" s="29"/>
      <c r="I55" s="14"/>
      <c r="K55" s="3"/>
      <c r="M55" s="3"/>
      <c r="N55" s="3"/>
      <c r="O55" s="52"/>
      <c r="P55" s="3"/>
    </row>
    <row r="56" spans="2:16" ht="15.75" customHeight="1">
      <c r="B56" s="28"/>
      <c r="C56" s="3"/>
      <c r="E56" s="28"/>
      <c r="F56" s="28"/>
      <c r="G56" s="28"/>
      <c r="H56" s="29"/>
      <c r="I56" s="14"/>
      <c r="K56" s="3"/>
      <c r="M56" s="3"/>
      <c r="N56" s="3"/>
      <c r="O56" s="52"/>
      <c r="P56" s="3"/>
    </row>
    <row r="57" spans="2:16" ht="15.75" customHeight="1">
      <c r="B57" s="28"/>
      <c r="C57" s="3"/>
      <c r="E57" s="28"/>
      <c r="F57" s="28"/>
      <c r="G57" s="28"/>
      <c r="H57" s="29"/>
      <c r="I57" s="14"/>
      <c r="K57" s="3"/>
      <c r="M57" s="3"/>
      <c r="N57" s="3"/>
      <c r="O57" s="52"/>
      <c r="P57" s="3"/>
    </row>
    <row r="58" spans="2:16" ht="15.75" customHeight="1">
      <c r="B58" s="28"/>
      <c r="C58" s="3"/>
      <c r="E58" s="28"/>
      <c r="F58" s="28"/>
      <c r="G58" s="28"/>
      <c r="H58" s="29"/>
      <c r="I58" s="14"/>
      <c r="K58" s="3"/>
      <c r="M58" s="3"/>
      <c r="N58" s="3"/>
      <c r="O58" s="52"/>
      <c r="P58" s="3"/>
    </row>
    <row r="59" spans="2:16" ht="15.75" customHeight="1">
      <c r="B59" s="28"/>
      <c r="C59" s="3"/>
      <c r="E59" s="28"/>
      <c r="F59" s="28"/>
      <c r="G59" s="28"/>
      <c r="H59" s="29"/>
      <c r="I59" s="14"/>
      <c r="K59" s="3"/>
      <c r="M59" s="3"/>
      <c r="N59" s="3"/>
      <c r="O59" s="52"/>
      <c r="P59" s="3"/>
    </row>
    <row r="60" spans="2:16" ht="15.75" customHeight="1">
      <c r="B60" s="28"/>
      <c r="C60" s="3"/>
      <c r="E60" s="28"/>
      <c r="F60" s="28"/>
      <c r="G60" s="28"/>
      <c r="H60" s="29"/>
      <c r="I60" s="14"/>
      <c r="K60" s="3"/>
      <c r="M60" s="3"/>
      <c r="N60" s="3"/>
      <c r="O60" s="52"/>
      <c r="P60" s="3"/>
    </row>
    <row r="61" spans="2:16" ht="15.75" customHeight="1">
      <c r="B61" s="28"/>
      <c r="C61" s="3"/>
      <c r="E61" s="28"/>
      <c r="F61" s="28"/>
      <c r="G61" s="28"/>
      <c r="H61" s="29"/>
      <c r="I61" s="14"/>
      <c r="K61" s="3"/>
      <c r="M61" s="3"/>
      <c r="N61" s="3"/>
      <c r="O61" s="52"/>
      <c r="P61" s="3"/>
    </row>
    <row r="62" spans="2:16" ht="15.75" customHeight="1">
      <c r="B62" s="28"/>
      <c r="C62" s="3"/>
      <c r="E62" s="28"/>
      <c r="F62" s="28"/>
      <c r="G62" s="28"/>
      <c r="H62" s="29"/>
      <c r="I62" s="14"/>
      <c r="K62" s="3"/>
      <c r="M62" s="3"/>
      <c r="N62" s="3"/>
      <c r="O62" s="52"/>
      <c r="P62" s="3"/>
    </row>
    <row r="63" spans="2:16" ht="15.75" customHeight="1">
      <c r="B63" s="28"/>
      <c r="C63" s="3"/>
      <c r="E63" s="28"/>
      <c r="F63" s="28"/>
      <c r="G63" s="28"/>
      <c r="H63" s="29"/>
      <c r="I63" s="14"/>
      <c r="K63" s="3"/>
      <c r="M63" s="3"/>
      <c r="N63" s="3"/>
      <c r="O63" s="52"/>
      <c r="P63" s="3"/>
    </row>
    <row r="64" spans="2:16" ht="15.75" customHeight="1">
      <c r="B64" s="28"/>
      <c r="C64" s="3"/>
      <c r="E64" s="28"/>
      <c r="F64" s="28"/>
      <c r="G64" s="28"/>
      <c r="H64" s="29"/>
      <c r="I64" s="14"/>
      <c r="K64" s="3"/>
      <c r="M64" s="3"/>
      <c r="N64" s="3"/>
      <c r="O64" s="52"/>
      <c r="P64" s="3"/>
    </row>
    <row r="65" spans="2:16" ht="15.75" customHeight="1">
      <c r="B65" s="28"/>
      <c r="C65" s="3"/>
      <c r="E65" s="28"/>
      <c r="F65" s="28"/>
      <c r="G65" s="28"/>
      <c r="H65" s="29"/>
      <c r="I65" s="14"/>
      <c r="K65" s="3"/>
      <c r="M65" s="3"/>
      <c r="N65" s="3"/>
      <c r="O65" s="52"/>
      <c r="P65" s="3"/>
    </row>
    <row r="66" spans="2:16" ht="15.75" customHeight="1">
      <c r="B66" s="28"/>
      <c r="C66" s="3"/>
      <c r="E66" s="28"/>
      <c r="F66" s="28"/>
      <c r="G66" s="28"/>
      <c r="H66" s="29"/>
      <c r="I66" s="14"/>
      <c r="K66" s="3"/>
      <c r="M66" s="3"/>
      <c r="N66" s="3"/>
      <c r="O66" s="52"/>
      <c r="P66" s="3"/>
    </row>
    <row r="67" spans="2:16" ht="15.75" customHeight="1">
      <c r="B67" s="28"/>
      <c r="C67" s="3"/>
      <c r="E67" s="28"/>
      <c r="F67" s="28"/>
      <c r="G67" s="28"/>
      <c r="H67" s="29"/>
      <c r="I67" s="14"/>
      <c r="K67" s="3"/>
      <c r="M67" s="3"/>
      <c r="N67" s="3"/>
      <c r="O67" s="52"/>
      <c r="P67" s="3"/>
    </row>
    <row r="68" spans="2:16" ht="15.75" customHeight="1">
      <c r="B68" s="28"/>
      <c r="C68" s="3"/>
      <c r="E68" s="28"/>
      <c r="F68" s="28"/>
      <c r="G68" s="28"/>
      <c r="H68" s="29"/>
      <c r="I68" s="14"/>
      <c r="K68" s="3"/>
      <c r="M68" s="3"/>
      <c r="N68" s="3"/>
      <c r="O68" s="52"/>
      <c r="P68" s="3"/>
    </row>
    <row r="69" spans="2:16" ht="15.75" customHeight="1">
      <c r="B69" s="28"/>
      <c r="C69" s="3"/>
      <c r="E69" s="28"/>
      <c r="F69" s="28"/>
      <c r="G69" s="28"/>
      <c r="H69" s="29"/>
      <c r="I69" s="14"/>
      <c r="K69" s="3"/>
      <c r="M69" s="3"/>
      <c r="N69" s="3"/>
      <c r="O69" s="52"/>
      <c r="P69" s="3"/>
    </row>
    <row r="70" spans="2:16" ht="15.75" customHeight="1">
      <c r="B70" s="28"/>
      <c r="C70" s="3"/>
      <c r="E70" s="28"/>
      <c r="F70" s="28"/>
      <c r="G70" s="28"/>
      <c r="H70" s="29"/>
      <c r="I70" s="14"/>
      <c r="K70" s="3"/>
      <c r="M70" s="3"/>
      <c r="N70" s="3"/>
      <c r="O70" s="52"/>
      <c r="P70" s="3"/>
    </row>
    <row r="71" spans="2:16" ht="15.75" customHeight="1">
      <c r="B71" s="28"/>
      <c r="C71" s="3"/>
      <c r="E71" s="28"/>
      <c r="F71" s="28"/>
      <c r="G71" s="28"/>
      <c r="H71" s="29"/>
      <c r="I71" s="14"/>
      <c r="K71" s="3"/>
      <c r="M71" s="3"/>
      <c r="N71" s="3"/>
      <c r="O71" s="52"/>
      <c r="P71" s="3"/>
    </row>
    <row r="72" spans="2:16" ht="15.75" customHeight="1">
      <c r="B72" s="28"/>
      <c r="C72" s="3"/>
      <c r="E72" s="28"/>
      <c r="F72" s="28"/>
      <c r="G72" s="28"/>
      <c r="H72" s="29"/>
      <c r="I72" s="14"/>
      <c r="K72" s="3"/>
      <c r="M72" s="3"/>
      <c r="N72" s="3"/>
      <c r="O72" s="52"/>
      <c r="P72" s="3"/>
    </row>
    <row r="73" spans="2:16" ht="15.75" customHeight="1">
      <c r="B73" s="28"/>
      <c r="C73" s="3"/>
      <c r="E73" s="28"/>
      <c r="F73" s="28"/>
      <c r="G73" s="28"/>
      <c r="H73" s="29"/>
      <c r="I73" s="14"/>
      <c r="K73" s="3"/>
      <c r="M73" s="3"/>
      <c r="N73" s="3"/>
      <c r="O73" s="52"/>
      <c r="P73" s="3"/>
    </row>
    <row r="74" spans="2:16" ht="15.75" customHeight="1">
      <c r="B74" s="28"/>
      <c r="C74" s="3"/>
      <c r="E74" s="28"/>
      <c r="F74" s="28"/>
      <c r="G74" s="28"/>
      <c r="H74" s="29"/>
      <c r="I74" s="14"/>
      <c r="K74" s="3"/>
      <c r="M74" s="3"/>
      <c r="N74" s="3"/>
      <c r="O74" s="52"/>
      <c r="P74" s="3"/>
    </row>
    <row r="75" spans="2:16" ht="15.75" customHeight="1">
      <c r="B75" s="28"/>
      <c r="C75" s="3"/>
      <c r="E75" s="28"/>
      <c r="F75" s="28"/>
      <c r="G75" s="28"/>
      <c r="H75" s="29"/>
      <c r="I75" s="14"/>
      <c r="K75" s="3"/>
      <c r="M75" s="3"/>
      <c r="N75" s="3"/>
      <c r="O75" s="52"/>
      <c r="P75" s="3"/>
    </row>
    <row r="76" spans="2:16" ht="15.75" customHeight="1">
      <c r="B76" s="28"/>
      <c r="C76" s="3"/>
      <c r="E76" s="28"/>
      <c r="F76" s="28"/>
      <c r="G76" s="28"/>
      <c r="H76" s="29"/>
      <c r="I76" s="14"/>
      <c r="K76" s="3"/>
      <c r="M76" s="3"/>
      <c r="N76" s="3"/>
      <c r="O76" s="52"/>
      <c r="P76" s="3"/>
    </row>
    <row r="77" spans="2:16" ht="15.75" customHeight="1">
      <c r="B77" s="28"/>
      <c r="C77" s="3"/>
      <c r="E77" s="28"/>
      <c r="F77" s="28"/>
      <c r="G77" s="28"/>
      <c r="H77" s="29"/>
      <c r="I77" s="14"/>
      <c r="K77" s="3"/>
      <c r="M77" s="3"/>
      <c r="N77" s="3"/>
      <c r="O77" s="52"/>
      <c r="P77" s="3"/>
    </row>
    <row r="78" spans="2:16" ht="15.75" customHeight="1">
      <c r="B78" s="28"/>
      <c r="C78" s="3"/>
      <c r="E78" s="28"/>
      <c r="F78" s="28"/>
      <c r="G78" s="28"/>
      <c r="H78" s="29"/>
      <c r="I78" s="14"/>
      <c r="K78" s="3"/>
      <c r="M78" s="3"/>
      <c r="N78" s="3"/>
      <c r="O78" s="52"/>
      <c r="P78" s="3"/>
    </row>
    <row r="79" spans="2:16" ht="15.75" customHeight="1">
      <c r="B79" s="28"/>
      <c r="C79" s="3"/>
      <c r="E79" s="28"/>
      <c r="F79" s="28"/>
      <c r="G79" s="28"/>
      <c r="H79" s="29"/>
      <c r="I79" s="14"/>
      <c r="K79" s="3"/>
      <c r="M79" s="3"/>
      <c r="N79" s="3"/>
      <c r="O79" s="52"/>
      <c r="P79" s="3"/>
    </row>
    <row r="80" spans="2:16" ht="15.75" customHeight="1">
      <c r="B80" s="28"/>
      <c r="C80" s="3"/>
      <c r="E80" s="28"/>
      <c r="F80" s="28"/>
      <c r="G80" s="28"/>
      <c r="H80" s="29"/>
      <c r="I80" s="14"/>
      <c r="K80" s="3"/>
      <c r="M80" s="3"/>
      <c r="N80" s="3"/>
      <c r="O80" s="52"/>
      <c r="P80" s="3"/>
    </row>
    <row r="81" spans="2:16" ht="15.75" customHeight="1">
      <c r="B81" s="28"/>
      <c r="C81" s="3"/>
      <c r="E81" s="28"/>
      <c r="F81" s="28"/>
      <c r="G81" s="28"/>
      <c r="H81" s="29"/>
      <c r="I81" s="14"/>
      <c r="K81" s="3"/>
      <c r="M81" s="3"/>
      <c r="N81" s="3"/>
      <c r="O81" s="52"/>
      <c r="P81" s="3"/>
    </row>
    <row r="82" spans="2:16" ht="15.75" customHeight="1">
      <c r="B82" s="28"/>
      <c r="C82" s="3"/>
      <c r="E82" s="28"/>
      <c r="F82" s="28"/>
      <c r="G82" s="28"/>
      <c r="H82" s="29"/>
      <c r="I82" s="14"/>
      <c r="K82" s="3"/>
      <c r="M82" s="3"/>
      <c r="N82" s="3"/>
      <c r="O82" s="52"/>
      <c r="P82" s="3"/>
    </row>
    <row r="83" spans="2:16" ht="15.75" customHeight="1">
      <c r="B83" s="28"/>
      <c r="C83" s="3"/>
      <c r="E83" s="28"/>
      <c r="F83" s="28"/>
      <c r="G83" s="28"/>
      <c r="H83" s="29"/>
      <c r="I83" s="14"/>
      <c r="K83" s="3"/>
      <c r="M83" s="3"/>
      <c r="N83" s="3"/>
      <c r="O83" s="52"/>
      <c r="P83" s="3"/>
    </row>
    <row r="84" spans="2:16" ht="15.75" customHeight="1">
      <c r="B84" s="28"/>
      <c r="C84" s="3"/>
      <c r="E84" s="28"/>
      <c r="F84" s="28"/>
      <c r="G84" s="28"/>
      <c r="H84" s="29"/>
      <c r="I84" s="14"/>
      <c r="K84" s="3"/>
      <c r="M84" s="3"/>
      <c r="N84" s="3"/>
      <c r="O84" s="52"/>
      <c r="P84" s="3"/>
    </row>
    <row r="85" spans="2:16" ht="15.75" customHeight="1">
      <c r="B85" s="28"/>
      <c r="C85" s="3"/>
      <c r="E85" s="28"/>
      <c r="F85" s="28"/>
      <c r="G85" s="28"/>
      <c r="H85" s="29"/>
      <c r="I85" s="14"/>
      <c r="K85" s="3"/>
      <c r="M85" s="3"/>
      <c r="N85" s="3"/>
      <c r="O85" s="52"/>
      <c r="P85" s="3"/>
    </row>
    <row r="86" spans="2:16" ht="15.75" customHeight="1">
      <c r="B86" s="28"/>
      <c r="C86" s="3"/>
      <c r="E86" s="28"/>
      <c r="F86" s="28"/>
      <c r="G86" s="28"/>
      <c r="H86" s="29"/>
      <c r="I86" s="14"/>
      <c r="K86" s="3"/>
      <c r="M86" s="3"/>
      <c r="N86" s="3"/>
      <c r="O86" s="52"/>
      <c r="P86" s="3"/>
    </row>
    <row r="87" spans="2:16" ht="15.75" customHeight="1">
      <c r="B87" s="28"/>
      <c r="C87" s="3"/>
      <c r="E87" s="28"/>
      <c r="F87" s="28"/>
      <c r="G87" s="28"/>
      <c r="H87" s="29"/>
      <c r="I87" s="14"/>
      <c r="K87" s="3"/>
      <c r="M87" s="3"/>
      <c r="N87" s="3"/>
      <c r="O87" s="52"/>
      <c r="P87" s="3"/>
    </row>
    <row r="88" spans="2:16" ht="15.75" customHeight="1">
      <c r="B88" s="28"/>
      <c r="C88" s="3"/>
      <c r="E88" s="28"/>
      <c r="F88" s="28"/>
      <c r="G88" s="28"/>
      <c r="H88" s="29"/>
      <c r="I88" s="14"/>
      <c r="K88" s="3"/>
      <c r="M88" s="3"/>
      <c r="N88" s="3"/>
      <c r="O88" s="52"/>
      <c r="P88" s="3"/>
    </row>
    <row r="89" spans="2:16" ht="15.75" customHeight="1">
      <c r="B89" s="28"/>
      <c r="C89" s="3"/>
      <c r="E89" s="28"/>
      <c r="F89" s="28"/>
      <c r="G89" s="28"/>
      <c r="H89" s="29"/>
      <c r="I89" s="14"/>
      <c r="K89" s="3"/>
      <c r="M89" s="3"/>
      <c r="N89" s="3"/>
      <c r="O89" s="52"/>
      <c r="P89" s="3"/>
    </row>
    <row r="90" spans="2:16" ht="15.75" customHeight="1">
      <c r="B90" s="28"/>
      <c r="C90" s="3"/>
      <c r="E90" s="28"/>
      <c r="F90" s="28"/>
      <c r="G90" s="28"/>
      <c r="H90" s="29"/>
      <c r="I90" s="14"/>
      <c r="K90" s="3"/>
      <c r="M90" s="3"/>
      <c r="N90" s="3"/>
      <c r="O90" s="52"/>
      <c r="P90" s="3"/>
    </row>
    <row r="91" spans="2:16" ht="15.75" customHeight="1">
      <c r="B91" s="28"/>
      <c r="C91" s="3"/>
      <c r="E91" s="28"/>
      <c r="F91" s="28"/>
      <c r="G91" s="28"/>
      <c r="H91" s="29"/>
      <c r="I91" s="14"/>
      <c r="K91" s="3"/>
      <c r="M91" s="3"/>
      <c r="N91" s="3"/>
      <c r="O91" s="52"/>
      <c r="P91" s="3"/>
    </row>
    <row r="92" spans="2:16" ht="15.75" customHeight="1">
      <c r="B92" s="28"/>
      <c r="C92" s="3"/>
      <c r="E92" s="28"/>
      <c r="F92" s="28"/>
      <c r="G92" s="28"/>
      <c r="H92" s="29"/>
      <c r="I92" s="14"/>
      <c r="K92" s="3"/>
      <c r="M92" s="3"/>
      <c r="N92" s="3"/>
      <c r="O92" s="52"/>
      <c r="P92" s="3"/>
    </row>
    <row r="93" spans="2:16" ht="15.75" customHeight="1">
      <c r="B93" s="28"/>
      <c r="C93" s="3"/>
      <c r="E93" s="28"/>
      <c r="F93" s="28"/>
      <c r="G93" s="28"/>
      <c r="H93" s="29"/>
      <c r="I93" s="14"/>
      <c r="K93" s="3"/>
      <c r="M93" s="3"/>
      <c r="N93" s="3"/>
      <c r="O93" s="52"/>
      <c r="P93" s="3"/>
    </row>
    <row r="94" spans="2:16" ht="15.75" customHeight="1">
      <c r="B94" s="28"/>
      <c r="C94" s="3"/>
      <c r="E94" s="28"/>
      <c r="F94" s="28"/>
      <c r="G94" s="28"/>
      <c r="H94" s="29"/>
      <c r="I94" s="14"/>
      <c r="K94" s="3"/>
      <c r="M94" s="3"/>
      <c r="N94" s="3"/>
      <c r="O94" s="52"/>
      <c r="P94" s="3"/>
    </row>
    <row r="95" spans="2:16" ht="15.75" customHeight="1">
      <c r="B95" s="28"/>
      <c r="C95" s="3"/>
      <c r="E95" s="28"/>
      <c r="F95" s="28"/>
      <c r="G95" s="28"/>
      <c r="H95" s="29"/>
      <c r="I95" s="14"/>
      <c r="K95" s="3"/>
      <c r="M95" s="3"/>
      <c r="N95" s="3"/>
      <c r="O95" s="52"/>
      <c r="P95" s="3"/>
    </row>
    <row r="96" spans="2:16" ht="15.75" customHeight="1">
      <c r="B96" s="28"/>
      <c r="C96" s="3"/>
      <c r="E96" s="28"/>
      <c r="F96" s="28"/>
      <c r="G96" s="28"/>
      <c r="H96" s="29"/>
      <c r="I96" s="14"/>
      <c r="K96" s="3"/>
      <c r="M96" s="3"/>
      <c r="N96" s="3"/>
      <c r="O96" s="52"/>
      <c r="P96" s="3"/>
    </row>
    <row r="97" spans="2:16" ht="15.75" customHeight="1">
      <c r="B97" s="28"/>
      <c r="C97" s="3"/>
      <c r="E97" s="28"/>
      <c r="F97" s="28"/>
      <c r="G97" s="28"/>
      <c r="H97" s="29"/>
      <c r="I97" s="14"/>
      <c r="K97" s="3"/>
      <c r="M97" s="3"/>
      <c r="N97" s="3"/>
      <c r="O97" s="52"/>
      <c r="P97" s="3"/>
    </row>
    <row r="98" spans="2:16" ht="15.75" customHeight="1">
      <c r="B98" s="28"/>
      <c r="C98" s="3"/>
      <c r="E98" s="28"/>
      <c r="F98" s="28"/>
      <c r="G98" s="28"/>
      <c r="H98" s="29"/>
      <c r="I98" s="14"/>
      <c r="K98" s="3"/>
      <c r="M98" s="3"/>
      <c r="N98" s="3"/>
      <c r="O98" s="52"/>
      <c r="P98" s="3"/>
    </row>
    <row r="99" spans="2:16" ht="15.75" customHeight="1">
      <c r="B99" s="28"/>
      <c r="C99" s="3"/>
      <c r="E99" s="28"/>
      <c r="F99" s="28"/>
      <c r="G99" s="28"/>
      <c r="H99" s="29"/>
      <c r="I99" s="14"/>
      <c r="K99" s="3"/>
      <c r="M99" s="3"/>
      <c r="N99" s="3"/>
      <c r="O99" s="52"/>
      <c r="P99" s="3"/>
    </row>
    <row r="100" spans="2:16" ht="15.75" customHeight="1">
      <c r="B100" s="28"/>
      <c r="C100" s="3"/>
      <c r="E100" s="28"/>
      <c r="F100" s="28"/>
      <c r="G100" s="28"/>
      <c r="H100" s="29"/>
      <c r="I100" s="14"/>
      <c r="K100" s="3"/>
      <c r="M100" s="3"/>
      <c r="N100" s="3"/>
      <c r="O100" s="52"/>
      <c r="P100" s="3"/>
    </row>
    <row r="101" spans="2:16" ht="15.75" customHeight="1">
      <c r="B101" s="28"/>
      <c r="C101" s="3"/>
      <c r="E101" s="28"/>
      <c r="F101" s="28"/>
      <c r="G101" s="28"/>
      <c r="H101" s="29"/>
      <c r="I101" s="14"/>
      <c r="K101" s="3"/>
      <c r="M101" s="3"/>
      <c r="N101" s="3"/>
      <c r="O101" s="52"/>
      <c r="P101" s="3"/>
    </row>
    <row r="102" spans="2:16" ht="15.75" customHeight="1">
      <c r="B102" s="28"/>
      <c r="C102" s="3"/>
      <c r="E102" s="28"/>
      <c r="F102" s="28"/>
      <c r="G102" s="28"/>
      <c r="H102" s="29"/>
      <c r="I102" s="14"/>
      <c r="K102" s="3"/>
      <c r="M102" s="3"/>
      <c r="N102" s="3"/>
      <c r="O102" s="52"/>
      <c r="P102" s="3"/>
    </row>
    <row r="103" spans="2:16" ht="15.75" customHeight="1">
      <c r="B103" s="28"/>
      <c r="C103" s="3"/>
      <c r="E103" s="28"/>
      <c r="F103" s="28"/>
      <c r="G103" s="28"/>
      <c r="H103" s="29"/>
      <c r="I103" s="14"/>
      <c r="K103" s="3"/>
      <c r="M103" s="3"/>
      <c r="N103" s="3"/>
      <c r="O103" s="52"/>
      <c r="P103" s="3"/>
    </row>
    <row r="104" spans="2:16" ht="15.75" customHeight="1">
      <c r="B104" s="28"/>
      <c r="C104" s="3"/>
      <c r="E104" s="28"/>
      <c r="F104" s="28"/>
      <c r="G104" s="28"/>
      <c r="H104" s="29"/>
      <c r="I104" s="14"/>
      <c r="K104" s="3"/>
      <c r="M104" s="3"/>
      <c r="N104" s="3"/>
      <c r="O104" s="52"/>
      <c r="P104" s="3"/>
    </row>
    <row r="105" spans="2:16" ht="15.75" customHeight="1">
      <c r="B105" s="28"/>
      <c r="C105" s="3"/>
      <c r="E105" s="28"/>
      <c r="F105" s="28"/>
      <c r="G105" s="28"/>
      <c r="H105" s="29"/>
      <c r="I105" s="14"/>
      <c r="K105" s="3"/>
      <c r="M105" s="3"/>
      <c r="N105" s="3"/>
      <c r="O105" s="52"/>
      <c r="P105" s="3"/>
    </row>
    <row r="106" spans="2:16" ht="15.75" customHeight="1">
      <c r="B106" s="28"/>
      <c r="C106" s="3"/>
      <c r="E106" s="28"/>
      <c r="F106" s="28"/>
      <c r="G106" s="28"/>
      <c r="H106" s="29"/>
      <c r="I106" s="14"/>
      <c r="K106" s="3"/>
      <c r="M106" s="3"/>
      <c r="N106" s="3"/>
      <c r="O106" s="52"/>
      <c r="P106" s="3"/>
    </row>
    <row r="107" spans="2:16" ht="15.75" customHeight="1">
      <c r="B107" s="28"/>
      <c r="C107" s="3"/>
      <c r="E107" s="28"/>
      <c r="F107" s="28"/>
      <c r="G107" s="28"/>
      <c r="H107" s="29"/>
      <c r="I107" s="14"/>
      <c r="K107" s="3"/>
      <c r="M107" s="3"/>
      <c r="N107" s="3"/>
      <c r="O107" s="52"/>
      <c r="P107" s="3"/>
    </row>
    <row r="108" spans="2:16" ht="15.75" customHeight="1">
      <c r="B108" s="28"/>
      <c r="C108" s="3"/>
      <c r="E108" s="28"/>
      <c r="F108" s="28"/>
      <c r="G108" s="28"/>
      <c r="H108" s="29"/>
      <c r="I108" s="14"/>
      <c r="K108" s="3"/>
      <c r="M108" s="3"/>
      <c r="N108" s="3"/>
      <c r="O108" s="52"/>
      <c r="P108" s="3"/>
    </row>
    <row r="109" spans="2:16" ht="15.75" customHeight="1">
      <c r="B109" s="28"/>
      <c r="C109" s="3"/>
      <c r="E109" s="28"/>
      <c r="F109" s="28"/>
      <c r="G109" s="28"/>
      <c r="H109" s="29"/>
      <c r="I109" s="14"/>
      <c r="K109" s="3"/>
      <c r="M109" s="3"/>
      <c r="N109" s="3"/>
      <c r="O109" s="52"/>
      <c r="P109" s="3"/>
    </row>
    <row r="110" spans="2:16" ht="15.75" customHeight="1">
      <c r="B110" s="28"/>
      <c r="C110" s="3"/>
      <c r="E110" s="28"/>
      <c r="F110" s="28"/>
      <c r="G110" s="28"/>
      <c r="H110" s="29"/>
      <c r="I110" s="14"/>
      <c r="K110" s="3"/>
      <c r="M110" s="3"/>
      <c r="N110" s="3"/>
      <c r="O110" s="52"/>
      <c r="P110" s="3"/>
    </row>
    <row r="111" spans="2:16" ht="15.75" customHeight="1">
      <c r="B111" s="28"/>
      <c r="C111" s="3"/>
      <c r="E111" s="28"/>
      <c r="F111" s="28"/>
      <c r="G111" s="28"/>
      <c r="H111" s="29"/>
      <c r="I111" s="14"/>
      <c r="K111" s="3"/>
      <c r="M111" s="3"/>
      <c r="N111" s="3"/>
      <c r="O111" s="52"/>
      <c r="P111" s="3"/>
    </row>
    <row r="112" spans="2:16" ht="15.75" customHeight="1">
      <c r="B112" s="28"/>
      <c r="C112" s="3"/>
      <c r="E112" s="28"/>
      <c r="F112" s="28"/>
      <c r="G112" s="28"/>
      <c r="H112" s="29"/>
      <c r="I112" s="14"/>
      <c r="K112" s="3"/>
      <c r="M112" s="3"/>
      <c r="N112" s="3"/>
      <c r="O112" s="52"/>
      <c r="P112" s="3"/>
    </row>
    <row r="113" spans="2:16" ht="15.75" customHeight="1">
      <c r="B113" s="28"/>
      <c r="C113" s="3"/>
      <c r="E113" s="28"/>
      <c r="F113" s="28"/>
      <c r="G113" s="28"/>
      <c r="H113" s="29"/>
      <c r="I113" s="14"/>
      <c r="K113" s="3"/>
      <c r="M113" s="3"/>
      <c r="N113" s="3"/>
      <c r="O113" s="52"/>
      <c r="P113" s="3"/>
    </row>
    <row r="114" spans="2:16" ht="15.75" customHeight="1">
      <c r="B114" s="28"/>
      <c r="C114" s="3"/>
      <c r="E114" s="28"/>
      <c r="F114" s="28"/>
      <c r="G114" s="28"/>
      <c r="H114" s="29"/>
      <c r="I114" s="14"/>
      <c r="K114" s="3"/>
      <c r="M114" s="3"/>
      <c r="N114" s="3"/>
      <c r="O114" s="52"/>
      <c r="P114" s="3"/>
    </row>
    <row r="115" spans="2:16" ht="15.75" customHeight="1">
      <c r="B115" s="28"/>
      <c r="C115" s="3"/>
      <c r="E115" s="28"/>
      <c r="F115" s="28"/>
      <c r="G115" s="28"/>
      <c r="H115" s="29"/>
      <c r="I115" s="14"/>
      <c r="K115" s="3"/>
      <c r="M115" s="3"/>
      <c r="N115" s="3"/>
      <c r="O115" s="52"/>
      <c r="P115" s="3"/>
    </row>
    <row r="116" spans="2:16" ht="15.75" customHeight="1">
      <c r="B116" s="28"/>
      <c r="C116" s="3"/>
      <c r="E116" s="28"/>
      <c r="F116" s="28"/>
      <c r="G116" s="28"/>
      <c r="H116" s="29"/>
      <c r="I116" s="14"/>
      <c r="K116" s="3"/>
      <c r="M116" s="3"/>
      <c r="N116" s="3"/>
      <c r="O116" s="52"/>
      <c r="P116" s="3"/>
    </row>
    <row r="117" spans="2:16" ht="15.75" customHeight="1">
      <c r="B117" s="28"/>
      <c r="C117" s="3"/>
      <c r="E117" s="28"/>
      <c r="F117" s="28"/>
      <c r="G117" s="28"/>
      <c r="H117" s="29"/>
      <c r="I117" s="14"/>
      <c r="K117" s="3"/>
      <c r="M117" s="3"/>
      <c r="N117" s="3"/>
      <c r="O117" s="52"/>
      <c r="P117" s="3"/>
    </row>
    <row r="118" spans="2:16" ht="15.75" customHeight="1">
      <c r="B118" s="28"/>
      <c r="C118" s="3"/>
      <c r="E118" s="28"/>
      <c r="F118" s="28"/>
      <c r="G118" s="28"/>
      <c r="H118" s="29"/>
      <c r="I118" s="14"/>
      <c r="K118" s="3"/>
      <c r="M118" s="3"/>
      <c r="N118" s="3"/>
      <c r="O118" s="52"/>
      <c r="P118" s="3"/>
    </row>
    <row r="119" spans="2:16" ht="15.75" customHeight="1">
      <c r="B119" s="28"/>
      <c r="C119" s="3"/>
      <c r="E119" s="28"/>
      <c r="F119" s="28"/>
      <c r="G119" s="28"/>
      <c r="H119" s="29"/>
      <c r="I119" s="14"/>
      <c r="K119" s="3"/>
      <c r="M119" s="3"/>
      <c r="N119" s="3"/>
      <c r="O119" s="52"/>
      <c r="P119" s="3"/>
    </row>
    <row r="120" spans="2:16" ht="15.75" customHeight="1">
      <c r="B120" s="28"/>
      <c r="C120" s="3"/>
      <c r="E120" s="28"/>
      <c r="F120" s="28"/>
      <c r="G120" s="28"/>
      <c r="H120" s="29"/>
      <c r="I120" s="14"/>
      <c r="K120" s="3"/>
      <c r="M120" s="3"/>
      <c r="N120" s="3"/>
      <c r="O120" s="52"/>
      <c r="P120" s="3"/>
    </row>
    <row r="121" spans="2:16" ht="15.75" customHeight="1">
      <c r="B121" s="28"/>
      <c r="C121" s="3"/>
      <c r="E121" s="28"/>
      <c r="F121" s="28"/>
      <c r="G121" s="28"/>
      <c r="H121" s="29"/>
      <c r="I121" s="14"/>
      <c r="K121" s="3"/>
      <c r="M121" s="3"/>
      <c r="N121" s="3"/>
      <c r="O121" s="52"/>
      <c r="P121" s="3"/>
    </row>
    <row r="122" spans="2:16" ht="15.75" customHeight="1">
      <c r="B122" s="28"/>
      <c r="C122" s="3"/>
      <c r="E122" s="28"/>
      <c r="F122" s="28"/>
      <c r="G122" s="28"/>
      <c r="H122" s="29"/>
      <c r="I122" s="14"/>
      <c r="K122" s="3"/>
      <c r="M122" s="3"/>
      <c r="N122" s="3"/>
      <c r="O122" s="52"/>
      <c r="P122" s="3"/>
    </row>
    <row r="123" spans="2:16" ht="15.75" customHeight="1">
      <c r="B123" s="28"/>
      <c r="C123" s="3"/>
      <c r="E123" s="28"/>
      <c r="F123" s="28"/>
      <c r="G123" s="28"/>
      <c r="H123" s="29"/>
      <c r="I123" s="14"/>
      <c r="K123" s="3"/>
      <c r="M123" s="3"/>
      <c r="N123" s="3"/>
      <c r="O123" s="52"/>
      <c r="P123" s="3"/>
    </row>
    <row r="124" spans="2:16" ht="15.75" customHeight="1">
      <c r="B124" s="28"/>
      <c r="C124" s="3"/>
      <c r="E124" s="28"/>
      <c r="F124" s="28"/>
      <c r="G124" s="28"/>
      <c r="H124" s="29"/>
      <c r="I124" s="14"/>
      <c r="K124" s="3"/>
      <c r="M124" s="3"/>
      <c r="N124" s="3"/>
      <c r="O124" s="52"/>
      <c r="P124" s="3"/>
    </row>
    <row r="125" spans="2:16" ht="15.75" customHeight="1">
      <c r="B125" s="28"/>
      <c r="C125" s="3"/>
      <c r="E125" s="28"/>
      <c r="F125" s="28"/>
      <c r="G125" s="28"/>
      <c r="H125" s="29"/>
      <c r="I125" s="14"/>
      <c r="K125" s="3"/>
      <c r="M125" s="3"/>
      <c r="N125" s="3"/>
      <c r="O125" s="52"/>
      <c r="P125" s="3"/>
    </row>
    <row r="126" spans="2:16" ht="15.75" customHeight="1">
      <c r="B126" s="28"/>
      <c r="C126" s="3"/>
      <c r="E126" s="28"/>
      <c r="F126" s="28"/>
      <c r="G126" s="28"/>
      <c r="H126" s="29"/>
      <c r="I126" s="14"/>
      <c r="K126" s="3"/>
      <c r="M126" s="3"/>
      <c r="N126" s="3"/>
      <c r="O126" s="52"/>
      <c r="P126" s="3"/>
    </row>
    <row r="127" spans="2:16" ht="15.75" customHeight="1">
      <c r="B127" s="28"/>
      <c r="C127" s="3"/>
      <c r="E127" s="28"/>
      <c r="F127" s="28"/>
      <c r="G127" s="28"/>
      <c r="H127" s="29"/>
      <c r="I127" s="14"/>
      <c r="K127" s="3"/>
      <c r="M127" s="3"/>
      <c r="N127" s="3"/>
      <c r="O127" s="52"/>
      <c r="P127" s="3"/>
    </row>
    <row r="128" spans="2:16" ht="15.75" customHeight="1">
      <c r="B128" s="28"/>
      <c r="C128" s="3"/>
      <c r="E128" s="28"/>
      <c r="F128" s="28"/>
      <c r="G128" s="28"/>
      <c r="H128" s="29"/>
      <c r="I128" s="14"/>
      <c r="K128" s="3"/>
      <c r="M128" s="3"/>
      <c r="N128" s="3"/>
      <c r="O128" s="52"/>
      <c r="P128" s="3"/>
    </row>
    <row r="129" spans="2:16" ht="15.75" customHeight="1">
      <c r="B129" s="28"/>
      <c r="C129" s="3"/>
      <c r="E129" s="28"/>
      <c r="F129" s="28"/>
      <c r="G129" s="28"/>
      <c r="H129" s="29"/>
      <c r="I129" s="14"/>
      <c r="K129" s="3"/>
      <c r="M129" s="3"/>
      <c r="N129" s="3"/>
      <c r="O129" s="52"/>
      <c r="P129" s="3"/>
    </row>
    <row r="130" spans="2:16" ht="15.75" customHeight="1">
      <c r="B130" s="28"/>
      <c r="C130" s="3"/>
      <c r="E130" s="28"/>
      <c r="F130" s="28"/>
      <c r="G130" s="28"/>
      <c r="H130" s="29"/>
      <c r="I130" s="14"/>
      <c r="K130" s="3"/>
      <c r="M130" s="3"/>
      <c r="N130" s="3"/>
      <c r="O130" s="52"/>
      <c r="P130" s="3"/>
    </row>
    <row r="131" spans="2:16" ht="15.75" customHeight="1">
      <c r="B131" s="28"/>
      <c r="C131" s="3"/>
      <c r="E131" s="28"/>
      <c r="F131" s="28"/>
      <c r="G131" s="28"/>
      <c r="H131" s="29"/>
      <c r="I131" s="14"/>
      <c r="K131" s="3"/>
      <c r="M131" s="3"/>
      <c r="N131" s="3"/>
      <c r="O131" s="52"/>
      <c r="P131" s="3"/>
    </row>
    <row r="132" spans="2:16" ht="15.75" customHeight="1">
      <c r="B132" s="28"/>
      <c r="C132" s="3"/>
      <c r="E132" s="28"/>
      <c r="F132" s="28"/>
      <c r="G132" s="28"/>
      <c r="H132" s="29"/>
      <c r="I132" s="14"/>
      <c r="K132" s="3"/>
      <c r="M132" s="3"/>
      <c r="N132" s="3"/>
      <c r="O132" s="52"/>
      <c r="P132" s="3"/>
    </row>
    <row r="133" spans="2:16" ht="15.75" customHeight="1">
      <c r="B133" s="28"/>
      <c r="C133" s="3"/>
      <c r="E133" s="28"/>
      <c r="F133" s="28"/>
      <c r="G133" s="28"/>
      <c r="H133" s="29"/>
      <c r="I133" s="14"/>
      <c r="K133" s="3"/>
      <c r="M133" s="3"/>
      <c r="N133" s="3"/>
      <c r="O133" s="52"/>
      <c r="P133" s="3"/>
    </row>
    <row r="134" spans="2:16" ht="15.75" customHeight="1">
      <c r="B134" s="28"/>
      <c r="C134" s="3"/>
      <c r="E134" s="28"/>
      <c r="F134" s="28"/>
      <c r="G134" s="28"/>
      <c r="H134" s="29"/>
      <c r="I134" s="14"/>
      <c r="K134" s="3"/>
      <c r="M134" s="3"/>
      <c r="N134" s="3"/>
      <c r="O134" s="52"/>
      <c r="P134" s="3"/>
    </row>
    <row r="135" spans="2:16" ht="15.75" customHeight="1">
      <c r="B135" s="28"/>
      <c r="C135" s="3"/>
      <c r="E135" s="28"/>
      <c r="F135" s="28"/>
      <c r="G135" s="28"/>
      <c r="H135" s="29"/>
      <c r="I135" s="14"/>
      <c r="K135" s="3"/>
      <c r="M135" s="3"/>
      <c r="N135" s="3"/>
      <c r="O135" s="52"/>
      <c r="P135" s="3"/>
    </row>
    <row r="136" spans="2:16" ht="15.75" customHeight="1">
      <c r="B136" s="28"/>
      <c r="C136" s="3"/>
      <c r="E136" s="28"/>
      <c r="F136" s="28"/>
      <c r="G136" s="28"/>
      <c r="H136" s="29"/>
      <c r="I136" s="14"/>
      <c r="K136" s="3"/>
      <c r="M136" s="3"/>
      <c r="N136" s="3"/>
      <c r="O136" s="52"/>
      <c r="P136" s="3"/>
    </row>
    <row r="137" spans="2:16" ht="15.75" customHeight="1">
      <c r="B137" s="28"/>
      <c r="C137" s="3"/>
      <c r="E137" s="28"/>
      <c r="F137" s="28"/>
      <c r="G137" s="28"/>
      <c r="H137" s="29"/>
      <c r="I137" s="14"/>
      <c r="K137" s="3"/>
      <c r="M137" s="3"/>
      <c r="N137" s="3"/>
      <c r="O137" s="52"/>
      <c r="P137" s="3"/>
    </row>
    <row r="138" spans="2:16" ht="15.75" customHeight="1">
      <c r="B138" s="28"/>
      <c r="C138" s="3"/>
      <c r="E138" s="28"/>
      <c r="F138" s="28"/>
      <c r="G138" s="28"/>
      <c r="H138" s="29"/>
      <c r="I138" s="14"/>
      <c r="K138" s="3"/>
      <c r="M138" s="3"/>
      <c r="N138" s="3"/>
      <c r="O138" s="52"/>
      <c r="P138" s="3"/>
    </row>
    <row r="139" spans="2:16" ht="15.75" customHeight="1">
      <c r="B139" s="28"/>
      <c r="C139" s="3"/>
      <c r="E139" s="28"/>
      <c r="F139" s="28"/>
      <c r="G139" s="28"/>
      <c r="H139" s="29"/>
      <c r="I139" s="14"/>
      <c r="K139" s="3"/>
      <c r="M139" s="3"/>
      <c r="N139" s="3"/>
      <c r="O139" s="52"/>
      <c r="P139" s="3"/>
    </row>
    <row r="140" spans="2:16" ht="15.75" customHeight="1">
      <c r="B140" s="28"/>
      <c r="C140" s="3"/>
      <c r="E140" s="28"/>
      <c r="F140" s="28"/>
      <c r="G140" s="28"/>
      <c r="H140" s="29"/>
      <c r="I140" s="14"/>
      <c r="K140" s="3"/>
      <c r="M140" s="3"/>
      <c r="N140" s="3"/>
      <c r="O140" s="52"/>
      <c r="P140" s="3"/>
    </row>
    <row r="141" spans="2:16" ht="15.75" customHeight="1">
      <c r="B141" s="28"/>
      <c r="C141" s="3"/>
      <c r="E141" s="28"/>
      <c r="F141" s="28"/>
      <c r="G141" s="28"/>
      <c r="H141" s="29"/>
      <c r="I141" s="14"/>
      <c r="K141" s="3"/>
      <c r="M141" s="3"/>
      <c r="N141" s="3"/>
      <c r="O141" s="52"/>
      <c r="P141" s="3"/>
    </row>
    <row r="142" spans="2:16" ht="15.75" customHeight="1">
      <c r="B142" s="28"/>
      <c r="C142" s="3"/>
      <c r="E142" s="28"/>
      <c r="F142" s="28"/>
      <c r="G142" s="28"/>
      <c r="H142" s="29"/>
      <c r="I142" s="14"/>
      <c r="K142" s="3"/>
      <c r="M142" s="3"/>
      <c r="N142" s="3"/>
      <c r="O142" s="52"/>
      <c r="P142" s="3"/>
    </row>
    <row r="143" spans="2:16" ht="15.75" customHeight="1">
      <c r="B143" s="28"/>
      <c r="C143" s="3"/>
      <c r="E143" s="28"/>
      <c r="F143" s="28"/>
      <c r="G143" s="28"/>
      <c r="H143" s="29"/>
      <c r="I143" s="14"/>
      <c r="K143" s="3"/>
      <c r="M143" s="3"/>
      <c r="N143" s="3"/>
      <c r="O143" s="52"/>
      <c r="P143" s="3"/>
    </row>
    <row r="144" spans="2:16" ht="15.75" customHeight="1">
      <c r="B144" s="28"/>
      <c r="C144" s="3"/>
      <c r="E144" s="28"/>
      <c r="F144" s="28"/>
      <c r="G144" s="28"/>
      <c r="H144" s="29"/>
      <c r="I144" s="14"/>
      <c r="K144" s="3"/>
      <c r="M144" s="3"/>
      <c r="N144" s="3"/>
      <c r="O144" s="52"/>
      <c r="P144" s="3"/>
    </row>
    <row r="145" spans="2:16" ht="15.75" customHeight="1">
      <c r="B145" s="28"/>
      <c r="C145" s="3"/>
      <c r="E145" s="28"/>
      <c r="F145" s="28"/>
      <c r="G145" s="28"/>
      <c r="H145" s="29"/>
      <c r="I145" s="14"/>
      <c r="K145" s="3"/>
      <c r="M145" s="3"/>
      <c r="N145" s="3"/>
      <c r="O145" s="52"/>
      <c r="P145" s="3"/>
    </row>
    <row r="146" spans="2:16" ht="15.75" customHeight="1">
      <c r="B146" s="28"/>
      <c r="C146" s="3"/>
      <c r="E146" s="28"/>
      <c r="F146" s="28"/>
      <c r="G146" s="28"/>
      <c r="H146" s="29"/>
      <c r="I146" s="14"/>
      <c r="K146" s="3"/>
      <c r="M146" s="3"/>
      <c r="N146" s="3"/>
      <c r="O146" s="52"/>
      <c r="P146" s="3"/>
    </row>
    <row r="147" spans="2:16" ht="15.75" customHeight="1">
      <c r="B147" s="28"/>
      <c r="C147" s="3"/>
      <c r="E147" s="28"/>
      <c r="F147" s="28"/>
      <c r="G147" s="28"/>
      <c r="H147" s="29"/>
      <c r="I147" s="14"/>
      <c r="K147" s="3"/>
      <c r="M147" s="3"/>
      <c r="N147" s="3"/>
      <c r="O147" s="52"/>
      <c r="P147" s="3"/>
    </row>
    <row r="148" spans="2:16" ht="15.75" customHeight="1">
      <c r="B148" s="28"/>
      <c r="C148" s="3"/>
      <c r="E148" s="28"/>
      <c r="F148" s="28"/>
      <c r="G148" s="28"/>
      <c r="H148" s="29"/>
      <c r="I148" s="14"/>
      <c r="K148" s="3"/>
      <c r="M148" s="3"/>
      <c r="N148" s="3"/>
      <c r="O148" s="52"/>
      <c r="P148" s="3"/>
    </row>
    <row r="149" spans="2:16" ht="15.75" customHeight="1">
      <c r="B149" s="28"/>
      <c r="C149" s="3"/>
      <c r="E149" s="28"/>
      <c r="F149" s="28"/>
      <c r="G149" s="28"/>
      <c r="H149" s="29"/>
      <c r="I149" s="14"/>
      <c r="K149" s="3"/>
      <c r="M149" s="3"/>
      <c r="N149" s="3"/>
      <c r="O149" s="52"/>
      <c r="P149" s="3"/>
    </row>
    <row r="150" spans="2:16" ht="15.75" customHeight="1">
      <c r="B150" s="28"/>
      <c r="C150" s="3"/>
      <c r="E150" s="28"/>
      <c r="F150" s="28"/>
      <c r="G150" s="28"/>
      <c r="H150" s="29"/>
      <c r="I150" s="14"/>
      <c r="K150" s="3"/>
      <c r="M150" s="3"/>
      <c r="N150" s="3"/>
      <c r="O150" s="52"/>
      <c r="P150" s="3"/>
    </row>
    <row r="151" spans="2:16" ht="15.75" customHeight="1">
      <c r="B151" s="28"/>
      <c r="C151" s="3"/>
      <c r="E151" s="28"/>
      <c r="F151" s="28"/>
      <c r="G151" s="28"/>
      <c r="H151" s="29"/>
      <c r="I151" s="14"/>
      <c r="K151" s="3"/>
      <c r="M151" s="3"/>
      <c r="N151" s="3"/>
      <c r="O151" s="52"/>
      <c r="P151" s="3"/>
    </row>
    <row r="152" spans="2:16" ht="15.75" customHeight="1">
      <c r="B152" s="28"/>
      <c r="C152" s="3"/>
      <c r="E152" s="28"/>
      <c r="F152" s="28"/>
      <c r="G152" s="28"/>
      <c r="H152" s="29"/>
      <c r="I152" s="14"/>
      <c r="K152" s="3"/>
      <c r="M152" s="3"/>
      <c r="N152" s="3"/>
      <c r="O152" s="52"/>
      <c r="P152" s="3"/>
    </row>
    <row r="153" spans="2:16" ht="15.75" customHeight="1">
      <c r="B153" s="28"/>
      <c r="C153" s="3"/>
      <c r="E153" s="28"/>
      <c r="F153" s="28"/>
      <c r="G153" s="28"/>
      <c r="H153" s="29"/>
      <c r="I153" s="14"/>
      <c r="K153" s="3"/>
      <c r="M153" s="3"/>
      <c r="N153" s="3"/>
      <c r="O153" s="52"/>
      <c r="P153" s="3"/>
    </row>
    <row r="154" spans="2:16" ht="15.75" customHeight="1">
      <c r="B154" s="28"/>
      <c r="C154" s="3"/>
      <c r="E154" s="28"/>
      <c r="F154" s="28"/>
      <c r="G154" s="28"/>
      <c r="H154" s="29"/>
      <c r="I154" s="14"/>
      <c r="K154" s="3"/>
      <c r="M154" s="3"/>
      <c r="N154" s="3"/>
      <c r="O154" s="52"/>
      <c r="P154" s="3"/>
    </row>
    <row r="155" spans="2:16" ht="15.75" customHeight="1">
      <c r="B155" s="28"/>
      <c r="C155" s="3"/>
      <c r="E155" s="28"/>
      <c r="F155" s="28"/>
      <c r="G155" s="28"/>
      <c r="H155" s="29"/>
      <c r="I155" s="14"/>
      <c r="K155" s="3"/>
      <c r="M155" s="3"/>
      <c r="N155" s="3"/>
      <c r="O155" s="52"/>
      <c r="P155" s="3"/>
    </row>
    <row r="156" spans="2:16" ht="15.75" customHeight="1">
      <c r="B156" s="28"/>
      <c r="C156" s="3"/>
      <c r="E156" s="28"/>
      <c r="F156" s="28"/>
      <c r="G156" s="28"/>
      <c r="H156" s="29"/>
      <c r="I156" s="14"/>
      <c r="K156" s="3"/>
      <c r="M156" s="3"/>
      <c r="N156" s="3"/>
      <c r="O156" s="52"/>
      <c r="P156" s="3"/>
    </row>
    <row r="157" spans="2:16" ht="15.75" customHeight="1">
      <c r="B157" s="28"/>
      <c r="C157" s="3"/>
      <c r="E157" s="28"/>
      <c r="F157" s="28"/>
      <c r="G157" s="28"/>
      <c r="H157" s="29"/>
      <c r="I157" s="14"/>
      <c r="K157" s="3"/>
      <c r="M157" s="3"/>
      <c r="N157" s="3"/>
      <c r="O157" s="52"/>
      <c r="P157" s="3"/>
    </row>
    <row r="158" spans="2:16" ht="15.75" customHeight="1">
      <c r="B158" s="28"/>
      <c r="C158" s="3"/>
      <c r="E158" s="28"/>
      <c r="F158" s="28"/>
      <c r="G158" s="28"/>
      <c r="H158" s="29"/>
      <c r="I158" s="14"/>
      <c r="K158" s="3"/>
      <c r="M158" s="3"/>
      <c r="N158" s="3"/>
      <c r="O158" s="52"/>
      <c r="P158" s="3"/>
    </row>
    <row r="159" spans="2:16" ht="15.75" customHeight="1">
      <c r="B159" s="28"/>
      <c r="C159" s="3"/>
      <c r="E159" s="28"/>
      <c r="F159" s="28"/>
      <c r="G159" s="28"/>
      <c r="H159" s="29"/>
      <c r="I159" s="14"/>
      <c r="K159" s="3"/>
      <c r="M159" s="3"/>
      <c r="N159" s="3"/>
      <c r="O159" s="52"/>
      <c r="P159" s="3"/>
    </row>
    <row r="160" spans="2:16" ht="15.75" customHeight="1">
      <c r="B160" s="28"/>
      <c r="C160" s="3"/>
      <c r="E160" s="28"/>
      <c r="F160" s="28"/>
      <c r="G160" s="28"/>
      <c r="H160" s="29"/>
      <c r="I160" s="14"/>
      <c r="K160" s="3"/>
      <c r="M160" s="3"/>
      <c r="N160" s="3"/>
      <c r="O160" s="52"/>
      <c r="P160" s="3"/>
    </row>
    <row r="161" spans="2:16" ht="15.75" customHeight="1">
      <c r="B161" s="28"/>
      <c r="C161" s="3"/>
      <c r="E161" s="28"/>
      <c r="F161" s="28"/>
      <c r="G161" s="28"/>
      <c r="H161" s="29"/>
      <c r="I161" s="14"/>
      <c r="K161" s="3"/>
      <c r="M161" s="3"/>
      <c r="N161" s="3"/>
      <c r="O161" s="52"/>
      <c r="P161" s="3"/>
    </row>
    <row r="162" spans="2:16" ht="15.75" customHeight="1">
      <c r="B162" s="28"/>
      <c r="C162" s="3"/>
      <c r="E162" s="28"/>
      <c r="F162" s="28"/>
      <c r="G162" s="28"/>
      <c r="H162" s="29"/>
      <c r="I162" s="14"/>
      <c r="K162" s="3"/>
      <c r="M162" s="3"/>
      <c r="N162" s="3"/>
      <c r="O162" s="52"/>
      <c r="P162" s="3"/>
    </row>
    <row r="163" spans="2:16" ht="15.75" customHeight="1">
      <c r="B163" s="28"/>
      <c r="C163" s="3"/>
      <c r="E163" s="28"/>
      <c r="F163" s="28"/>
      <c r="G163" s="28"/>
      <c r="H163" s="29"/>
      <c r="I163" s="14"/>
      <c r="K163" s="3"/>
      <c r="M163" s="3"/>
      <c r="N163" s="3"/>
      <c r="O163" s="52"/>
      <c r="P163" s="3"/>
    </row>
    <row r="164" spans="2:16" ht="15.75" customHeight="1">
      <c r="B164" s="28"/>
      <c r="C164" s="3"/>
      <c r="E164" s="28"/>
      <c r="F164" s="28"/>
      <c r="G164" s="28"/>
      <c r="H164" s="29"/>
      <c r="I164" s="14"/>
      <c r="K164" s="3"/>
      <c r="M164" s="3"/>
      <c r="N164" s="3"/>
      <c r="O164" s="52"/>
      <c r="P164" s="3"/>
    </row>
    <row r="165" spans="2:16" ht="15.75" customHeight="1">
      <c r="B165" s="28"/>
      <c r="C165" s="3"/>
      <c r="E165" s="28"/>
      <c r="F165" s="28"/>
      <c r="G165" s="28"/>
      <c r="H165" s="29"/>
      <c r="I165" s="14"/>
      <c r="K165" s="3"/>
      <c r="M165" s="3"/>
      <c r="N165" s="3"/>
      <c r="O165" s="52"/>
      <c r="P165" s="3"/>
    </row>
    <row r="166" spans="2:16" ht="15.75" customHeight="1">
      <c r="B166" s="28"/>
      <c r="C166" s="3"/>
      <c r="E166" s="28"/>
      <c r="F166" s="28"/>
      <c r="G166" s="28"/>
      <c r="H166" s="29"/>
      <c r="I166" s="14"/>
      <c r="K166" s="3"/>
      <c r="M166" s="3"/>
      <c r="N166" s="3"/>
      <c r="O166" s="52"/>
      <c r="P166" s="3"/>
    </row>
    <row r="167" spans="2:16" ht="15.75" customHeight="1">
      <c r="B167" s="28"/>
      <c r="C167" s="3"/>
      <c r="E167" s="28"/>
      <c r="F167" s="28"/>
      <c r="G167" s="28"/>
      <c r="H167" s="29"/>
      <c r="I167" s="14"/>
      <c r="K167" s="3"/>
      <c r="M167" s="3"/>
      <c r="N167" s="3"/>
      <c r="O167" s="52"/>
      <c r="P167" s="3"/>
    </row>
    <row r="168" spans="2:16" ht="15.75" customHeight="1">
      <c r="B168" s="28"/>
      <c r="C168" s="3"/>
      <c r="E168" s="28"/>
      <c r="F168" s="28"/>
      <c r="G168" s="28"/>
      <c r="H168" s="29"/>
      <c r="I168" s="14"/>
      <c r="K168" s="3"/>
      <c r="M168" s="3"/>
      <c r="N168" s="3"/>
      <c r="O168" s="52"/>
      <c r="P168" s="3"/>
    </row>
    <row r="169" spans="2:16" ht="15.75" customHeight="1">
      <c r="B169" s="28"/>
      <c r="C169" s="3"/>
      <c r="E169" s="28"/>
      <c r="F169" s="28"/>
      <c r="G169" s="28"/>
      <c r="H169" s="29"/>
      <c r="I169" s="14"/>
      <c r="K169" s="3"/>
      <c r="M169" s="3"/>
      <c r="N169" s="3"/>
      <c r="O169" s="52"/>
      <c r="P169" s="3"/>
    </row>
    <row r="170" spans="2:16" ht="15.75" customHeight="1">
      <c r="B170" s="28"/>
      <c r="C170" s="3"/>
      <c r="E170" s="28"/>
      <c r="F170" s="28"/>
      <c r="G170" s="28"/>
      <c r="H170" s="29"/>
      <c r="I170" s="14"/>
      <c r="K170" s="3"/>
      <c r="M170" s="3"/>
      <c r="N170" s="3"/>
      <c r="O170" s="52"/>
      <c r="P170" s="3"/>
    </row>
    <row r="171" spans="2:16" ht="15.75" customHeight="1">
      <c r="B171" s="28"/>
      <c r="C171" s="3"/>
      <c r="E171" s="28"/>
      <c r="F171" s="28"/>
      <c r="G171" s="28"/>
      <c r="H171" s="29"/>
      <c r="I171" s="14"/>
      <c r="K171" s="3"/>
      <c r="M171" s="3"/>
      <c r="N171" s="3"/>
      <c r="O171" s="52"/>
      <c r="P171" s="3"/>
    </row>
    <row r="172" spans="2:16" ht="15.75" customHeight="1">
      <c r="B172" s="28"/>
      <c r="C172" s="3"/>
      <c r="E172" s="28"/>
      <c r="F172" s="28"/>
      <c r="G172" s="28"/>
      <c r="H172" s="29"/>
      <c r="I172" s="14"/>
      <c r="K172" s="3"/>
      <c r="M172" s="3"/>
      <c r="N172" s="3"/>
      <c r="O172" s="52"/>
      <c r="P172" s="3"/>
    </row>
    <row r="173" spans="2:16" ht="15.75" customHeight="1">
      <c r="B173" s="28"/>
      <c r="C173" s="3"/>
      <c r="E173" s="28"/>
      <c r="F173" s="28"/>
      <c r="G173" s="28"/>
      <c r="H173" s="29"/>
      <c r="I173" s="14"/>
      <c r="K173" s="3"/>
      <c r="M173" s="3"/>
      <c r="N173" s="3"/>
      <c r="O173" s="52"/>
      <c r="P173" s="3"/>
    </row>
    <row r="174" spans="2:16" ht="15.75" customHeight="1">
      <c r="B174" s="28"/>
      <c r="C174" s="3"/>
      <c r="E174" s="28"/>
      <c r="F174" s="28"/>
      <c r="G174" s="28"/>
      <c r="H174" s="29"/>
      <c r="I174" s="14"/>
      <c r="K174" s="3"/>
      <c r="M174" s="3"/>
      <c r="N174" s="3"/>
      <c r="O174" s="52"/>
      <c r="P174" s="3"/>
    </row>
    <row r="175" spans="2:16" ht="15.75" customHeight="1">
      <c r="B175" s="28"/>
      <c r="C175" s="3"/>
      <c r="E175" s="28"/>
      <c r="F175" s="28"/>
      <c r="G175" s="28"/>
      <c r="H175" s="29"/>
      <c r="I175" s="14"/>
      <c r="K175" s="3"/>
      <c r="M175" s="3"/>
      <c r="N175" s="3"/>
      <c r="O175" s="52"/>
      <c r="P175" s="3"/>
    </row>
    <row r="176" spans="2:16" ht="15.75" customHeight="1">
      <c r="B176" s="28"/>
      <c r="C176" s="3"/>
      <c r="E176" s="28"/>
      <c r="F176" s="28"/>
      <c r="G176" s="28"/>
      <c r="H176" s="29"/>
      <c r="I176" s="14"/>
      <c r="K176" s="3"/>
      <c r="M176" s="3"/>
      <c r="N176" s="3"/>
      <c r="O176" s="52"/>
      <c r="P176" s="3"/>
    </row>
    <row r="177" spans="2:16" ht="15.75" customHeight="1">
      <c r="B177" s="28"/>
      <c r="C177" s="3"/>
      <c r="E177" s="28"/>
      <c r="F177" s="28"/>
      <c r="G177" s="28"/>
      <c r="H177" s="29"/>
      <c r="I177" s="14"/>
      <c r="K177" s="3"/>
      <c r="M177" s="3"/>
      <c r="N177" s="3"/>
      <c r="O177" s="52"/>
      <c r="P177" s="3"/>
    </row>
    <row r="178" spans="2:16" ht="15.75" customHeight="1">
      <c r="B178" s="28"/>
      <c r="C178" s="3"/>
      <c r="E178" s="28"/>
      <c r="F178" s="28"/>
      <c r="G178" s="28"/>
      <c r="H178" s="29"/>
      <c r="I178" s="14"/>
      <c r="K178" s="3"/>
      <c r="M178" s="3"/>
      <c r="N178" s="3"/>
      <c r="O178" s="52"/>
      <c r="P178" s="3"/>
    </row>
    <row r="179" spans="2:16" ht="15.75" customHeight="1">
      <c r="B179" s="28"/>
      <c r="C179" s="3"/>
      <c r="E179" s="28"/>
      <c r="F179" s="28"/>
      <c r="G179" s="28"/>
      <c r="H179" s="29"/>
      <c r="I179" s="14"/>
      <c r="K179" s="3"/>
      <c r="M179" s="3"/>
      <c r="N179" s="3"/>
      <c r="O179" s="52"/>
      <c r="P179" s="3"/>
    </row>
    <row r="180" spans="2:16" ht="15.75" customHeight="1">
      <c r="B180" s="28"/>
      <c r="C180" s="3"/>
      <c r="E180" s="28"/>
      <c r="F180" s="28"/>
      <c r="G180" s="28"/>
      <c r="H180" s="29"/>
      <c r="I180" s="14"/>
      <c r="K180" s="3"/>
      <c r="M180" s="3"/>
      <c r="N180" s="3"/>
      <c r="O180" s="52"/>
      <c r="P180" s="3"/>
    </row>
    <row r="181" spans="2:16" ht="15.75" customHeight="1">
      <c r="B181" s="28"/>
      <c r="C181" s="3"/>
      <c r="E181" s="28"/>
      <c r="F181" s="28"/>
      <c r="G181" s="28"/>
      <c r="H181" s="29"/>
      <c r="I181" s="14"/>
      <c r="K181" s="3"/>
      <c r="M181" s="3"/>
      <c r="N181" s="3"/>
      <c r="O181" s="52"/>
      <c r="P181" s="3"/>
    </row>
    <row r="182" spans="2:16" ht="15.75" customHeight="1">
      <c r="B182" s="28"/>
      <c r="C182" s="3"/>
      <c r="E182" s="28"/>
      <c r="F182" s="28"/>
      <c r="G182" s="28"/>
      <c r="H182" s="29"/>
      <c r="I182" s="14"/>
      <c r="K182" s="3"/>
      <c r="M182" s="3"/>
      <c r="N182" s="3"/>
      <c r="O182" s="52"/>
      <c r="P182" s="3"/>
    </row>
    <row r="183" spans="2:16" ht="15.75" customHeight="1">
      <c r="B183" s="28"/>
      <c r="C183" s="3"/>
      <c r="E183" s="28"/>
      <c r="F183" s="28"/>
      <c r="G183" s="28"/>
      <c r="H183" s="29"/>
      <c r="I183" s="14"/>
      <c r="K183" s="3"/>
      <c r="M183" s="3"/>
      <c r="N183" s="3"/>
      <c r="O183" s="52"/>
      <c r="P183" s="3"/>
    </row>
    <row r="184" spans="2:16" ht="15.75" customHeight="1">
      <c r="B184" s="28"/>
      <c r="C184" s="3"/>
      <c r="E184" s="28"/>
      <c r="F184" s="28"/>
      <c r="G184" s="28"/>
      <c r="H184" s="29"/>
      <c r="I184" s="14"/>
      <c r="K184" s="3"/>
      <c r="M184" s="3"/>
      <c r="N184" s="3"/>
      <c r="O184" s="52"/>
      <c r="P184" s="3"/>
    </row>
    <row r="185" spans="2:16" ht="15.75" customHeight="1">
      <c r="B185" s="28"/>
      <c r="C185" s="3"/>
      <c r="E185" s="28"/>
      <c r="F185" s="28"/>
      <c r="G185" s="28"/>
      <c r="H185" s="29"/>
      <c r="I185" s="14"/>
      <c r="K185" s="3"/>
      <c r="M185" s="3"/>
      <c r="N185" s="3"/>
      <c r="O185" s="52"/>
      <c r="P185" s="3"/>
    </row>
    <row r="186" spans="2:16" ht="15.75" customHeight="1">
      <c r="B186" s="28"/>
      <c r="C186" s="3"/>
      <c r="E186" s="28"/>
      <c r="F186" s="28"/>
      <c r="G186" s="28"/>
      <c r="H186" s="29"/>
      <c r="I186" s="14"/>
      <c r="K186" s="3"/>
      <c r="M186" s="3"/>
      <c r="N186" s="3"/>
      <c r="O186" s="52"/>
      <c r="P186" s="3"/>
    </row>
    <row r="187" spans="2:16" ht="15.75" customHeight="1">
      <c r="B187" s="28"/>
      <c r="C187" s="3"/>
      <c r="E187" s="28"/>
      <c r="F187" s="28"/>
      <c r="G187" s="28"/>
      <c r="H187" s="29"/>
      <c r="I187" s="14"/>
      <c r="K187" s="3"/>
      <c r="M187" s="3"/>
      <c r="N187" s="3"/>
      <c r="O187" s="52"/>
      <c r="P187" s="3"/>
    </row>
    <row r="188" spans="2:16" ht="15.75" customHeight="1">
      <c r="B188" s="28"/>
      <c r="C188" s="3"/>
      <c r="E188" s="28"/>
      <c r="F188" s="28"/>
      <c r="G188" s="28"/>
      <c r="H188" s="29"/>
      <c r="I188" s="14"/>
      <c r="K188" s="3"/>
      <c r="M188" s="3"/>
      <c r="N188" s="3"/>
      <c r="O188" s="52"/>
      <c r="P188" s="3"/>
    </row>
    <row r="189" spans="2:16" ht="15.75" customHeight="1">
      <c r="B189" s="28"/>
      <c r="C189" s="3"/>
      <c r="E189" s="28"/>
      <c r="F189" s="28"/>
      <c r="G189" s="28"/>
      <c r="H189" s="29"/>
      <c r="I189" s="14"/>
      <c r="K189" s="3"/>
      <c r="M189" s="3"/>
      <c r="N189" s="3"/>
      <c r="O189" s="52"/>
      <c r="P189" s="3"/>
    </row>
    <row r="190" spans="2:16" ht="15.75" customHeight="1">
      <c r="B190" s="28"/>
      <c r="C190" s="3"/>
      <c r="E190" s="28"/>
      <c r="F190" s="28"/>
      <c r="G190" s="28"/>
      <c r="H190" s="29"/>
      <c r="I190" s="14"/>
      <c r="K190" s="3"/>
      <c r="M190" s="3"/>
      <c r="N190" s="3"/>
      <c r="O190" s="52"/>
      <c r="P190" s="3"/>
    </row>
    <row r="191" spans="2:16" ht="15.75" customHeight="1">
      <c r="B191" s="28"/>
      <c r="C191" s="3"/>
      <c r="E191" s="28"/>
      <c r="F191" s="28"/>
      <c r="G191" s="28"/>
      <c r="H191" s="29"/>
      <c r="I191" s="14"/>
      <c r="K191" s="3"/>
      <c r="M191" s="3"/>
      <c r="N191" s="3"/>
      <c r="O191" s="52"/>
      <c r="P191" s="3"/>
    </row>
    <row r="192" spans="2:16" ht="15.75" customHeight="1">
      <c r="B192" s="28"/>
      <c r="C192" s="3"/>
      <c r="E192" s="28"/>
      <c r="F192" s="28"/>
      <c r="G192" s="28"/>
      <c r="H192" s="29"/>
      <c r="I192" s="14"/>
      <c r="K192" s="3"/>
      <c r="M192" s="3"/>
      <c r="N192" s="3"/>
      <c r="O192" s="52"/>
      <c r="P192" s="3"/>
    </row>
    <row r="193" spans="2:16" ht="15.75" customHeight="1">
      <c r="B193" s="28"/>
      <c r="C193" s="3"/>
      <c r="E193" s="28"/>
      <c r="F193" s="28"/>
      <c r="G193" s="28"/>
      <c r="H193" s="29"/>
      <c r="I193" s="14"/>
      <c r="K193" s="3"/>
      <c r="M193" s="3"/>
      <c r="N193" s="3"/>
      <c r="O193" s="52"/>
      <c r="P193" s="3"/>
    </row>
    <row r="194" spans="2:16" ht="15.75" customHeight="1">
      <c r="B194" s="28"/>
      <c r="C194" s="3"/>
      <c r="E194" s="28"/>
      <c r="F194" s="28"/>
      <c r="G194" s="28"/>
      <c r="H194" s="29"/>
      <c r="I194" s="14"/>
      <c r="K194" s="3"/>
      <c r="M194" s="3"/>
      <c r="N194" s="3"/>
      <c r="O194" s="52"/>
      <c r="P194" s="3"/>
    </row>
    <row r="195" spans="2:16" ht="15.75" customHeight="1">
      <c r="B195" s="28"/>
      <c r="C195" s="3"/>
      <c r="E195" s="28"/>
      <c r="F195" s="28"/>
      <c r="G195" s="28"/>
      <c r="H195" s="29"/>
      <c r="I195" s="14"/>
      <c r="K195" s="3"/>
      <c r="M195" s="3"/>
      <c r="N195" s="3"/>
      <c r="O195" s="52"/>
      <c r="P195" s="3"/>
    </row>
    <row r="196" spans="2:16" ht="15.75" customHeight="1">
      <c r="B196" s="28"/>
      <c r="C196" s="3"/>
      <c r="E196" s="28"/>
      <c r="F196" s="28"/>
      <c r="G196" s="28"/>
      <c r="H196" s="29"/>
      <c r="I196" s="14"/>
      <c r="K196" s="3"/>
      <c r="M196" s="3"/>
      <c r="N196" s="3"/>
      <c r="O196" s="52"/>
      <c r="P196" s="3"/>
    </row>
    <row r="197" spans="2:16" ht="15.75" customHeight="1">
      <c r="B197" s="28"/>
      <c r="C197" s="3"/>
      <c r="E197" s="28"/>
      <c r="F197" s="28"/>
      <c r="G197" s="28"/>
      <c r="H197" s="29"/>
      <c r="I197" s="14"/>
      <c r="K197" s="3"/>
      <c r="M197" s="3"/>
      <c r="N197" s="3"/>
      <c r="O197" s="52"/>
      <c r="P197" s="3"/>
    </row>
    <row r="198" spans="2:16" ht="15.75" customHeight="1">
      <c r="B198" s="28"/>
      <c r="C198" s="3"/>
      <c r="E198" s="28"/>
      <c r="F198" s="28"/>
      <c r="G198" s="28"/>
      <c r="H198" s="29"/>
      <c r="I198" s="14"/>
      <c r="K198" s="3"/>
      <c r="M198" s="3"/>
      <c r="N198" s="3"/>
      <c r="O198" s="52"/>
      <c r="P198" s="3"/>
    </row>
    <row r="199" spans="2:16" ht="15.75" customHeight="1">
      <c r="B199" s="28"/>
      <c r="C199" s="3"/>
      <c r="E199" s="28"/>
      <c r="F199" s="28"/>
      <c r="G199" s="28"/>
      <c r="H199" s="29"/>
      <c r="I199" s="14"/>
      <c r="K199" s="3"/>
      <c r="M199" s="3"/>
      <c r="N199" s="3"/>
      <c r="O199" s="52"/>
      <c r="P199" s="3"/>
    </row>
    <row r="200" spans="2:16" ht="15.75" customHeight="1">
      <c r="B200" s="28"/>
      <c r="C200" s="3"/>
      <c r="E200" s="28"/>
      <c r="F200" s="28"/>
      <c r="G200" s="28"/>
      <c r="H200" s="29"/>
      <c r="I200" s="14"/>
      <c r="K200" s="3"/>
      <c r="M200" s="3"/>
      <c r="N200" s="3"/>
      <c r="O200" s="52"/>
      <c r="P200" s="3"/>
    </row>
    <row r="201" spans="2:16" ht="15.75" customHeight="1">
      <c r="B201" s="28"/>
      <c r="C201" s="3"/>
      <c r="E201" s="28"/>
      <c r="F201" s="28"/>
      <c r="G201" s="28"/>
      <c r="H201" s="29"/>
      <c r="I201" s="14"/>
      <c r="K201" s="3"/>
      <c r="M201" s="3"/>
      <c r="N201" s="3"/>
      <c r="O201" s="52"/>
      <c r="P201" s="3"/>
    </row>
    <row r="202" spans="2:16" ht="15.75" customHeight="1">
      <c r="B202" s="28"/>
      <c r="C202" s="3"/>
      <c r="E202" s="28"/>
      <c r="F202" s="28"/>
      <c r="G202" s="28"/>
      <c r="H202" s="29"/>
      <c r="I202" s="14"/>
      <c r="K202" s="3"/>
      <c r="M202" s="3"/>
      <c r="N202" s="3"/>
      <c r="O202" s="52"/>
      <c r="P202" s="3"/>
    </row>
    <row r="203" spans="2:16" ht="15.75" customHeight="1">
      <c r="B203" s="28"/>
      <c r="C203" s="3"/>
      <c r="E203" s="28"/>
      <c r="F203" s="28"/>
      <c r="G203" s="28"/>
      <c r="H203" s="29"/>
      <c r="I203" s="14"/>
      <c r="K203" s="3"/>
      <c r="M203" s="3"/>
      <c r="N203" s="3"/>
      <c r="O203" s="52"/>
      <c r="P203" s="3"/>
    </row>
    <row r="204" spans="2:16" ht="15.75" customHeight="1">
      <c r="B204" s="28"/>
      <c r="C204" s="3"/>
      <c r="E204" s="28"/>
      <c r="F204" s="28"/>
      <c r="G204" s="28"/>
      <c r="H204" s="29"/>
      <c r="I204" s="14"/>
      <c r="K204" s="3"/>
      <c r="M204" s="3"/>
      <c r="N204" s="3"/>
      <c r="O204" s="52"/>
      <c r="P204" s="3"/>
    </row>
    <row r="205" spans="2:16" ht="15.75" customHeight="1">
      <c r="B205" s="28"/>
      <c r="C205" s="3"/>
      <c r="E205" s="28"/>
      <c r="F205" s="28"/>
      <c r="G205" s="28"/>
      <c r="H205" s="29"/>
      <c r="I205" s="14"/>
      <c r="K205" s="3"/>
      <c r="M205" s="3"/>
      <c r="N205" s="3"/>
      <c r="O205" s="52"/>
      <c r="P205" s="3"/>
    </row>
    <row r="206" spans="2:16" ht="15.75" customHeight="1">
      <c r="B206" s="28"/>
      <c r="C206" s="3"/>
      <c r="E206" s="28"/>
      <c r="F206" s="28"/>
      <c r="G206" s="28"/>
      <c r="H206" s="29"/>
      <c r="I206" s="14"/>
      <c r="K206" s="3"/>
      <c r="M206" s="3"/>
      <c r="N206" s="3"/>
      <c r="O206" s="52"/>
      <c r="P206" s="3"/>
    </row>
    <row r="207" spans="2:16" ht="15.75" customHeight="1">
      <c r="B207" s="28"/>
      <c r="C207" s="3"/>
      <c r="E207" s="28"/>
      <c r="F207" s="28"/>
      <c r="G207" s="28"/>
      <c r="H207" s="29"/>
      <c r="I207" s="14"/>
      <c r="K207" s="3"/>
      <c r="M207" s="3"/>
      <c r="N207" s="3"/>
      <c r="O207" s="52"/>
      <c r="P207" s="3"/>
    </row>
    <row r="208" spans="2:16" ht="15.75" customHeight="1">
      <c r="B208" s="28"/>
      <c r="C208" s="3"/>
      <c r="E208" s="28"/>
      <c r="F208" s="28"/>
      <c r="G208" s="28"/>
      <c r="H208" s="29"/>
      <c r="I208" s="14"/>
      <c r="K208" s="3"/>
      <c r="M208" s="3"/>
      <c r="N208" s="3"/>
      <c r="O208" s="52"/>
      <c r="P208" s="3"/>
    </row>
    <row r="209" spans="2:16" ht="15.75" customHeight="1">
      <c r="B209" s="28"/>
      <c r="C209" s="3"/>
      <c r="E209" s="28"/>
      <c r="F209" s="28"/>
      <c r="G209" s="28"/>
      <c r="H209" s="29"/>
      <c r="I209" s="14"/>
      <c r="K209" s="3"/>
      <c r="M209" s="3"/>
      <c r="N209" s="3"/>
      <c r="O209" s="52"/>
      <c r="P209" s="3"/>
    </row>
    <row r="210" spans="2:16" ht="15.75" customHeight="1">
      <c r="B210" s="28"/>
      <c r="C210" s="3"/>
      <c r="E210" s="28"/>
      <c r="F210" s="28"/>
      <c r="G210" s="28"/>
      <c r="H210" s="29"/>
      <c r="I210" s="14"/>
      <c r="K210" s="3"/>
      <c r="M210" s="3"/>
      <c r="N210" s="3"/>
      <c r="O210" s="52"/>
      <c r="P210" s="3"/>
    </row>
    <row r="211" spans="2:16" ht="15.75" customHeight="1">
      <c r="B211" s="28"/>
      <c r="C211" s="3"/>
      <c r="E211" s="28"/>
      <c r="F211" s="28"/>
      <c r="G211" s="28"/>
      <c r="H211" s="29"/>
      <c r="I211" s="14"/>
      <c r="K211" s="3"/>
      <c r="M211" s="3"/>
      <c r="N211" s="3"/>
      <c r="O211" s="52"/>
      <c r="P211" s="3"/>
    </row>
    <row r="212" spans="2:16" ht="15.75" customHeight="1">
      <c r="B212" s="28"/>
      <c r="C212" s="3"/>
      <c r="E212" s="28"/>
      <c r="F212" s="28"/>
      <c r="G212" s="28"/>
      <c r="H212" s="29"/>
      <c r="I212" s="14"/>
      <c r="K212" s="3"/>
      <c r="M212" s="3"/>
      <c r="N212" s="3"/>
      <c r="O212" s="52"/>
      <c r="P212" s="3"/>
    </row>
    <row r="213" spans="2:16" ht="15.75" customHeight="1">
      <c r="B213" s="28"/>
      <c r="C213" s="3"/>
      <c r="E213" s="28"/>
      <c r="F213" s="28"/>
      <c r="G213" s="28"/>
      <c r="H213" s="29"/>
      <c r="I213" s="14"/>
      <c r="K213" s="3"/>
      <c r="M213" s="3"/>
      <c r="N213" s="3"/>
      <c r="O213" s="52"/>
      <c r="P213" s="3"/>
    </row>
    <row r="214" spans="2:16" ht="15.75" customHeight="1">
      <c r="E214" s="143"/>
      <c r="H214" s="29"/>
      <c r="I214" s="30"/>
    </row>
    <row r="215" spans="2:16" ht="15.75" customHeight="1">
      <c r="E215" s="143"/>
      <c r="H215" s="29"/>
      <c r="I215" s="30"/>
    </row>
    <row r="216" spans="2:16" ht="15.75" customHeight="1">
      <c r="E216" s="143"/>
      <c r="H216" s="29"/>
      <c r="I216" s="30"/>
    </row>
    <row r="217" spans="2:16" ht="15.75" customHeight="1">
      <c r="E217" s="143"/>
      <c r="H217" s="29"/>
      <c r="I217" s="30"/>
    </row>
    <row r="218" spans="2:16" ht="15.75" customHeight="1">
      <c r="E218" s="143"/>
      <c r="H218" s="29"/>
      <c r="I218" s="30"/>
    </row>
    <row r="219" spans="2:16" ht="15.75" customHeight="1">
      <c r="E219" s="143"/>
      <c r="H219" s="29"/>
      <c r="I219" s="30"/>
    </row>
    <row r="220" spans="2:16" ht="15.75" customHeight="1">
      <c r="E220" s="143"/>
      <c r="H220" s="29"/>
      <c r="I220" s="30"/>
    </row>
    <row r="221" spans="2:16" ht="15.75" customHeight="1">
      <c r="E221" s="143"/>
      <c r="H221" s="29"/>
      <c r="I221" s="30"/>
    </row>
    <row r="222" spans="2:16" ht="15.75" customHeight="1">
      <c r="E222" s="143"/>
      <c r="H222" s="29"/>
      <c r="I222" s="30"/>
    </row>
    <row r="223" spans="2:16" ht="15.75" customHeight="1">
      <c r="E223" s="143"/>
      <c r="H223" s="29"/>
      <c r="I223" s="30"/>
    </row>
    <row r="224" spans="2:16" ht="15.75" customHeight="1">
      <c r="E224" s="143"/>
      <c r="H224" s="29"/>
      <c r="I224" s="30"/>
    </row>
    <row r="225" spans="5:9" ht="15.75" customHeight="1">
      <c r="E225" s="143"/>
      <c r="H225" s="29"/>
      <c r="I225" s="30"/>
    </row>
    <row r="226" spans="5:9" ht="15.75" customHeight="1">
      <c r="E226" s="143"/>
      <c r="H226" s="29"/>
      <c r="I226" s="30"/>
    </row>
    <row r="227" spans="5:9" ht="15.75" customHeight="1">
      <c r="E227" s="143"/>
      <c r="H227" s="29"/>
      <c r="I227" s="30"/>
    </row>
    <row r="228" spans="5:9" ht="15.75" customHeight="1">
      <c r="E228" s="143"/>
      <c r="H228" s="29"/>
      <c r="I228" s="30"/>
    </row>
    <row r="229" spans="5:9" ht="15.75" customHeight="1">
      <c r="E229" s="143"/>
      <c r="H229" s="29"/>
      <c r="I229" s="30"/>
    </row>
    <row r="230" spans="5:9" ht="15.75" customHeight="1">
      <c r="E230" s="143"/>
      <c r="H230" s="29"/>
      <c r="I230" s="30"/>
    </row>
    <row r="231" spans="5:9" ht="15.75" customHeight="1">
      <c r="E231" s="143"/>
      <c r="H231" s="29"/>
      <c r="I231" s="30"/>
    </row>
    <row r="232" spans="5:9" ht="15.75" customHeight="1">
      <c r="E232" s="143"/>
      <c r="H232" s="29"/>
      <c r="I232" s="30"/>
    </row>
    <row r="233" spans="5:9" ht="15.75" customHeight="1">
      <c r="E233" s="143"/>
      <c r="H233" s="29"/>
      <c r="I233" s="30"/>
    </row>
    <row r="234" spans="5:9" ht="15.75" customHeight="1">
      <c r="E234" s="143"/>
      <c r="H234" s="29"/>
      <c r="I234" s="30"/>
    </row>
    <row r="235" spans="5:9" ht="15.75" customHeight="1">
      <c r="E235" s="143"/>
      <c r="H235" s="29"/>
      <c r="I235" s="30"/>
    </row>
    <row r="236" spans="5:9" ht="15.75" customHeight="1">
      <c r="E236" s="143"/>
      <c r="H236" s="29"/>
      <c r="I236" s="30"/>
    </row>
    <row r="237" spans="5:9" ht="15.75" customHeight="1">
      <c r="E237" s="143"/>
      <c r="H237" s="29"/>
      <c r="I237" s="30"/>
    </row>
    <row r="238" spans="5:9" ht="15.75" customHeight="1">
      <c r="E238" s="143"/>
      <c r="H238" s="29"/>
      <c r="I238" s="30"/>
    </row>
    <row r="239" spans="5:9" ht="15.75" customHeight="1">
      <c r="E239" s="143"/>
      <c r="H239" s="29"/>
      <c r="I239" s="30"/>
    </row>
    <row r="240" spans="5:9" ht="15.75" customHeight="1">
      <c r="E240" s="143"/>
      <c r="H240" s="29"/>
      <c r="I240" s="30"/>
    </row>
    <row r="241" spans="5:9" ht="15.75" customHeight="1">
      <c r="E241" s="143"/>
      <c r="H241" s="29"/>
      <c r="I241" s="30"/>
    </row>
    <row r="242" spans="5:9" ht="15.75" customHeight="1">
      <c r="E242" s="143"/>
      <c r="H242" s="29"/>
      <c r="I242" s="30"/>
    </row>
    <row r="243" spans="5:9" ht="15.75" customHeight="1">
      <c r="E243" s="143"/>
      <c r="H243" s="29"/>
      <c r="I243" s="30"/>
    </row>
    <row r="244" spans="5:9" ht="15.75" customHeight="1">
      <c r="E244" s="143"/>
      <c r="H244" s="29"/>
      <c r="I244" s="30"/>
    </row>
    <row r="245" spans="5:9" ht="15.75" customHeight="1">
      <c r="E245" s="143"/>
      <c r="H245" s="29"/>
      <c r="I245" s="30"/>
    </row>
    <row r="246" spans="5:9" ht="15.75" customHeight="1">
      <c r="E246" s="143"/>
      <c r="H246" s="29"/>
      <c r="I246" s="30"/>
    </row>
    <row r="247" spans="5:9" ht="15.75" customHeight="1">
      <c r="E247" s="143"/>
      <c r="H247" s="29"/>
      <c r="I247" s="30"/>
    </row>
    <row r="248" spans="5:9" ht="15.75" customHeight="1">
      <c r="E248" s="143"/>
      <c r="H248" s="29"/>
      <c r="I248" s="30"/>
    </row>
    <row r="249" spans="5:9" ht="15.75" customHeight="1">
      <c r="E249" s="143"/>
      <c r="H249" s="29"/>
      <c r="I249" s="30"/>
    </row>
    <row r="250" spans="5:9" ht="15.75" customHeight="1">
      <c r="E250" s="143"/>
      <c r="H250" s="29"/>
      <c r="I250" s="30"/>
    </row>
    <row r="251" spans="5:9" ht="15.75" customHeight="1">
      <c r="E251" s="143"/>
      <c r="H251" s="29"/>
      <c r="I251" s="30"/>
    </row>
    <row r="252" spans="5:9" ht="15.75" customHeight="1">
      <c r="E252" s="143"/>
      <c r="H252" s="29"/>
      <c r="I252" s="30"/>
    </row>
    <row r="253" spans="5:9" ht="15.75" customHeight="1">
      <c r="E253" s="143"/>
      <c r="H253" s="29"/>
      <c r="I253" s="30"/>
    </row>
    <row r="254" spans="5:9" ht="15.75" customHeight="1">
      <c r="E254" s="143"/>
      <c r="H254" s="29"/>
      <c r="I254" s="30"/>
    </row>
    <row r="255" spans="5:9" ht="15.75" customHeight="1">
      <c r="E255" s="143"/>
      <c r="H255" s="29"/>
      <c r="I255" s="30"/>
    </row>
    <row r="256" spans="5:9" ht="15.75" customHeight="1">
      <c r="E256" s="143"/>
      <c r="H256" s="29"/>
      <c r="I256" s="30"/>
    </row>
    <row r="257" spans="5:9" ht="15.75" customHeight="1">
      <c r="E257" s="143"/>
      <c r="H257" s="29"/>
      <c r="I257" s="30"/>
    </row>
    <row r="258" spans="5:9" ht="15.75" customHeight="1">
      <c r="E258" s="143"/>
      <c r="H258" s="29"/>
      <c r="I258" s="30"/>
    </row>
    <row r="259" spans="5:9" ht="15.75" customHeight="1">
      <c r="E259" s="143"/>
      <c r="H259" s="29"/>
      <c r="I259" s="30"/>
    </row>
    <row r="260" spans="5:9" ht="15.75" customHeight="1">
      <c r="E260" s="143"/>
      <c r="H260" s="29"/>
      <c r="I260" s="30"/>
    </row>
    <row r="261" spans="5:9" ht="15.75" customHeight="1">
      <c r="E261" s="143"/>
      <c r="H261" s="29"/>
      <c r="I261" s="30"/>
    </row>
    <row r="262" spans="5:9" ht="15.75" customHeight="1">
      <c r="E262" s="143"/>
      <c r="H262" s="29"/>
      <c r="I262" s="30"/>
    </row>
    <row r="263" spans="5:9" ht="15.75" customHeight="1">
      <c r="E263" s="143"/>
      <c r="H263" s="29"/>
      <c r="I263" s="30"/>
    </row>
    <row r="264" spans="5:9" ht="15.75" customHeight="1">
      <c r="E264" s="143"/>
      <c r="H264" s="29"/>
      <c r="I264" s="30"/>
    </row>
    <row r="265" spans="5:9" ht="15.75" customHeight="1">
      <c r="E265" s="143"/>
      <c r="H265" s="29"/>
      <c r="I265" s="30"/>
    </row>
    <row r="266" spans="5:9" ht="15.75" customHeight="1">
      <c r="E266" s="143"/>
      <c r="H266" s="29"/>
      <c r="I266" s="30"/>
    </row>
    <row r="267" spans="5:9" ht="15.75" customHeight="1">
      <c r="E267" s="143"/>
      <c r="H267" s="29"/>
      <c r="I267" s="30"/>
    </row>
    <row r="268" spans="5:9" ht="15.75" customHeight="1">
      <c r="E268" s="143"/>
      <c r="H268" s="29"/>
      <c r="I268" s="30"/>
    </row>
    <row r="269" spans="5:9" ht="15.75" customHeight="1">
      <c r="E269" s="143"/>
      <c r="H269" s="29"/>
      <c r="I269" s="30"/>
    </row>
    <row r="270" spans="5:9" ht="15.75" customHeight="1">
      <c r="E270" s="143"/>
      <c r="H270" s="29"/>
      <c r="I270" s="30"/>
    </row>
    <row r="271" spans="5:9" ht="15.75" customHeight="1">
      <c r="E271" s="143"/>
      <c r="H271" s="29"/>
      <c r="I271" s="30"/>
    </row>
    <row r="272" spans="5:9" ht="15.75" customHeight="1">
      <c r="E272" s="143"/>
      <c r="H272" s="29"/>
      <c r="I272" s="30"/>
    </row>
    <row r="273" spans="5:9" ht="15.75" customHeight="1">
      <c r="E273" s="143"/>
      <c r="H273" s="29"/>
      <c r="I273" s="30"/>
    </row>
    <row r="274" spans="5:9" ht="15.75" customHeight="1">
      <c r="E274" s="143"/>
      <c r="H274" s="29"/>
      <c r="I274" s="30"/>
    </row>
    <row r="275" spans="5:9" ht="15.75" customHeight="1">
      <c r="E275" s="143"/>
      <c r="H275" s="29"/>
      <c r="I275" s="30"/>
    </row>
    <row r="276" spans="5:9" ht="15.75" customHeight="1">
      <c r="E276" s="143"/>
      <c r="H276" s="29"/>
      <c r="I276" s="30"/>
    </row>
    <row r="277" spans="5:9" ht="15.75" customHeight="1">
      <c r="E277" s="143"/>
      <c r="H277" s="29"/>
      <c r="I277" s="30"/>
    </row>
    <row r="278" spans="5:9" ht="15.75" customHeight="1">
      <c r="E278" s="143"/>
      <c r="H278" s="29"/>
      <c r="I278" s="30"/>
    </row>
    <row r="279" spans="5:9" ht="15.75" customHeight="1">
      <c r="E279" s="143"/>
      <c r="H279" s="29"/>
      <c r="I279" s="30"/>
    </row>
    <row r="280" spans="5:9" ht="15.75" customHeight="1">
      <c r="E280" s="143"/>
      <c r="H280" s="29"/>
      <c r="I280" s="30"/>
    </row>
    <row r="281" spans="5:9" ht="15.75" customHeight="1">
      <c r="E281" s="143"/>
      <c r="H281" s="29"/>
      <c r="I281" s="30"/>
    </row>
    <row r="282" spans="5:9" ht="15.75" customHeight="1">
      <c r="E282" s="143"/>
      <c r="H282" s="29"/>
      <c r="I282" s="30"/>
    </row>
    <row r="283" spans="5:9" ht="15.75" customHeight="1">
      <c r="E283" s="143"/>
      <c r="H283" s="29"/>
      <c r="I283" s="30"/>
    </row>
    <row r="284" spans="5:9" ht="15.75" customHeight="1">
      <c r="E284" s="143"/>
      <c r="H284" s="29"/>
      <c r="I284" s="30"/>
    </row>
    <row r="285" spans="5:9" ht="15.75" customHeight="1">
      <c r="E285" s="143"/>
      <c r="H285" s="29"/>
      <c r="I285" s="30"/>
    </row>
    <row r="286" spans="5:9" ht="15.75" customHeight="1">
      <c r="E286" s="143"/>
      <c r="H286" s="29"/>
      <c r="I286" s="30"/>
    </row>
    <row r="287" spans="5:9" ht="15.75" customHeight="1">
      <c r="E287" s="143"/>
      <c r="H287" s="29"/>
      <c r="I287" s="30"/>
    </row>
    <row r="288" spans="5:9" ht="15.75" customHeight="1">
      <c r="E288" s="143"/>
      <c r="H288" s="29"/>
      <c r="I288" s="30"/>
    </row>
    <row r="289" spans="5:9" ht="15.75" customHeight="1">
      <c r="E289" s="143"/>
      <c r="H289" s="29"/>
      <c r="I289" s="30"/>
    </row>
    <row r="290" spans="5:9" ht="15.75" customHeight="1">
      <c r="E290" s="143"/>
      <c r="H290" s="29"/>
      <c r="I290" s="30"/>
    </row>
    <row r="291" spans="5:9" ht="15.75" customHeight="1">
      <c r="E291" s="143"/>
      <c r="H291" s="29"/>
      <c r="I291" s="30"/>
    </row>
    <row r="292" spans="5:9" ht="15.75" customHeight="1">
      <c r="E292" s="143"/>
      <c r="H292" s="29"/>
      <c r="I292" s="30"/>
    </row>
    <row r="293" spans="5:9" ht="15.75" customHeight="1">
      <c r="E293" s="143"/>
      <c r="H293" s="29"/>
      <c r="I293" s="30"/>
    </row>
    <row r="294" spans="5:9" ht="15.75" customHeight="1">
      <c r="E294" s="143"/>
      <c r="H294" s="29"/>
      <c r="I294" s="30"/>
    </row>
    <row r="295" spans="5:9" ht="15.75" customHeight="1">
      <c r="E295" s="143"/>
      <c r="H295" s="29"/>
      <c r="I295" s="30"/>
    </row>
    <row r="296" spans="5:9" ht="15.75" customHeight="1">
      <c r="E296" s="143"/>
      <c r="H296" s="29"/>
      <c r="I296" s="30"/>
    </row>
    <row r="297" spans="5:9" ht="15.75" customHeight="1">
      <c r="E297" s="143"/>
      <c r="H297" s="29"/>
      <c r="I297" s="30"/>
    </row>
    <row r="298" spans="5:9" ht="15.75" customHeight="1">
      <c r="E298" s="143"/>
      <c r="H298" s="29"/>
      <c r="I298" s="30"/>
    </row>
    <row r="299" spans="5:9" ht="15.75" customHeight="1">
      <c r="E299" s="143"/>
      <c r="H299" s="29"/>
      <c r="I299" s="30"/>
    </row>
    <row r="300" spans="5:9" ht="15.75" customHeight="1">
      <c r="E300" s="143"/>
      <c r="H300" s="29"/>
      <c r="I300" s="30"/>
    </row>
    <row r="301" spans="5:9" ht="15.75" customHeight="1">
      <c r="E301" s="143"/>
      <c r="H301" s="29"/>
      <c r="I301" s="30"/>
    </row>
    <row r="302" spans="5:9" ht="15.75" customHeight="1">
      <c r="E302" s="143"/>
      <c r="H302" s="29"/>
      <c r="I302" s="30"/>
    </row>
    <row r="303" spans="5:9" ht="15.75" customHeight="1">
      <c r="E303" s="143"/>
      <c r="H303" s="29"/>
      <c r="I303" s="30"/>
    </row>
    <row r="304" spans="5:9" ht="15.75" customHeight="1">
      <c r="E304" s="143"/>
      <c r="H304" s="29"/>
      <c r="I304" s="30"/>
    </row>
    <row r="305" spans="5:9" ht="15.75" customHeight="1">
      <c r="E305" s="143"/>
      <c r="H305" s="29"/>
      <c r="I305" s="30"/>
    </row>
    <row r="306" spans="5:9" ht="15.75" customHeight="1">
      <c r="E306" s="143"/>
      <c r="H306" s="29"/>
      <c r="I306" s="30"/>
    </row>
    <row r="307" spans="5:9" ht="15.75" customHeight="1">
      <c r="E307" s="143"/>
      <c r="H307" s="29"/>
      <c r="I307" s="30"/>
    </row>
    <row r="308" spans="5:9" ht="15.75" customHeight="1">
      <c r="E308" s="143"/>
      <c r="H308" s="29"/>
      <c r="I308" s="30"/>
    </row>
    <row r="309" spans="5:9" ht="15.75" customHeight="1">
      <c r="E309" s="143"/>
      <c r="H309" s="29"/>
      <c r="I309" s="30"/>
    </row>
    <row r="310" spans="5:9" ht="15.75" customHeight="1">
      <c r="E310" s="143"/>
      <c r="H310" s="29"/>
      <c r="I310" s="30"/>
    </row>
    <row r="311" spans="5:9" ht="15.75" customHeight="1">
      <c r="E311" s="143"/>
      <c r="H311" s="29"/>
      <c r="I311" s="30"/>
    </row>
    <row r="312" spans="5:9" ht="15.75" customHeight="1">
      <c r="E312" s="143"/>
      <c r="H312" s="29"/>
      <c r="I312" s="30"/>
    </row>
    <row r="313" spans="5:9" ht="15.75" customHeight="1">
      <c r="E313" s="143"/>
      <c r="H313" s="29"/>
      <c r="I313" s="30"/>
    </row>
    <row r="314" spans="5:9" ht="15.75" customHeight="1">
      <c r="E314" s="143"/>
      <c r="H314" s="29"/>
      <c r="I314" s="30"/>
    </row>
    <row r="315" spans="5:9" ht="15.75" customHeight="1">
      <c r="E315" s="143"/>
      <c r="H315" s="29"/>
      <c r="I315" s="30"/>
    </row>
    <row r="316" spans="5:9" ht="15.75" customHeight="1">
      <c r="E316" s="143"/>
      <c r="H316" s="29"/>
      <c r="I316" s="30"/>
    </row>
    <row r="317" spans="5:9" ht="15.75" customHeight="1">
      <c r="E317" s="143"/>
      <c r="H317" s="29"/>
      <c r="I317" s="30"/>
    </row>
    <row r="318" spans="5:9" ht="15.75" customHeight="1">
      <c r="E318" s="143"/>
      <c r="H318" s="29"/>
      <c r="I318" s="30"/>
    </row>
    <row r="319" spans="5:9" ht="15.75" customHeight="1">
      <c r="E319" s="143"/>
      <c r="H319" s="29"/>
      <c r="I319" s="30"/>
    </row>
    <row r="320" spans="5:9" ht="15.75" customHeight="1">
      <c r="E320" s="143"/>
      <c r="H320" s="29"/>
      <c r="I320" s="30"/>
    </row>
    <row r="321" spans="5:9" ht="15.75" customHeight="1">
      <c r="E321" s="143"/>
      <c r="H321" s="29"/>
      <c r="I321" s="30"/>
    </row>
    <row r="322" spans="5:9" ht="15.75" customHeight="1">
      <c r="E322" s="143"/>
      <c r="H322" s="29"/>
      <c r="I322" s="30"/>
    </row>
    <row r="323" spans="5:9" ht="15.75" customHeight="1">
      <c r="E323" s="143"/>
      <c r="H323" s="29"/>
      <c r="I323" s="30"/>
    </row>
    <row r="324" spans="5:9" ht="15.75" customHeight="1">
      <c r="E324" s="143"/>
      <c r="H324" s="29"/>
      <c r="I324" s="30"/>
    </row>
    <row r="325" spans="5:9" ht="15.75" customHeight="1">
      <c r="E325" s="143"/>
      <c r="H325" s="29"/>
      <c r="I325" s="30"/>
    </row>
    <row r="326" spans="5:9" ht="15.75" customHeight="1">
      <c r="E326" s="143"/>
      <c r="H326" s="29"/>
      <c r="I326" s="30"/>
    </row>
    <row r="327" spans="5:9" ht="15.75" customHeight="1">
      <c r="E327" s="143"/>
      <c r="H327" s="29"/>
      <c r="I327" s="30"/>
    </row>
    <row r="328" spans="5:9" ht="15.75" customHeight="1">
      <c r="E328" s="143"/>
      <c r="H328" s="29"/>
      <c r="I328" s="30"/>
    </row>
    <row r="329" spans="5:9" ht="15.75" customHeight="1">
      <c r="E329" s="143"/>
      <c r="H329" s="29"/>
      <c r="I329" s="30"/>
    </row>
    <row r="330" spans="5:9" ht="15.75" customHeight="1">
      <c r="E330" s="143"/>
      <c r="H330" s="29"/>
      <c r="I330" s="30"/>
    </row>
    <row r="331" spans="5:9" ht="15.75" customHeight="1">
      <c r="E331" s="143"/>
      <c r="H331" s="29"/>
      <c r="I331" s="30"/>
    </row>
    <row r="332" spans="5:9" ht="15.75" customHeight="1">
      <c r="E332" s="143"/>
      <c r="H332" s="29"/>
      <c r="I332" s="30"/>
    </row>
    <row r="333" spans="5:9" ht="15.75" customHeight="1">
      <c r="E333" s="143"/>
      <c r="H333" s="29"/>
      <c r="I333" s="30"/>
    </row>
    <row r="334" spans="5:9" ht="15.75" customHeight="1">
      <c r="E334" s="143"/>
      <c r="H334" s="29"/>
      <c r="I334" s="30"/>
    </row>
    <row r="335" spans="5:9" ht="15.75" customHeight="1">
      <c r="E335" s="143"/>
      <c r="H335" s="29"/>
      <c r="I335" s="30"/>
    </row>
    <row r="336" spans="5:9" ht="15.75" customHeight="1">
      <c r="E336" s="143"/>
      <c r="H336" s="29"/>
      <c r="I336" s="30"/>
    </row>
    <row r="337" spans="5:9" ht="15.75" customHeight="1">
      <c r="E337" s="143"/>
      <c r="H337" s="29"/>
      <c r="I337" s="30"/>
    </row>
    <row r="338" spans="5:9" ht="15.75" customHeight="1">
      <c r="E338" s="143"/>
      <c r="H338" s="29"/>
      <c r="I338" s="30"/>
    </row>
    <row r="339" spans="5:9" ht="15.75" customHeight="1">
      <c r="E339" s="143"/>
      <c r="H339" s="29"/>
      <c r="I339" s="30"/>
    </row>
    <row r="340" spans="5:9" ht="15.75" customHeight="1">
      <c r="E340" s="143"/>
      <c r="H340" s="29"/>
      <c r="I340" s="30"/>
    </row>
    <row r="341" spans="5:9" ht="15.75" customHeight="1">
      <c r="E341" s="143"/>
      <c r="H341" s="29"/>
      <c r="I341" s="30"/>
    </row>
    <row r="342" spans="5:9" ht="15.75" customHeight="1">
      <c r="E342" s="143"/>
      <c r="H342" s="29"/>
      <c r="I342" s="30"/>
    </row>
    <row r="343" spans="5:9" ht="15.75" customHeight="1">
      <c r="E343" s="143"/>
      <c r="H343" s="29"/>
      <c r="I343" s="30"/>
    </row>
    <row r="344" spans="5:9" ht="15.75" customHeight="1">
      <c r="E344" s="143"/>
      <c r="H344" s="29"/>
      <c r="I344" s="30"/>
    </row>
    <row r="345" spans="5:9" ht="15.75" customHeight="1">
      <c r="E345" s="143"/>
      <c r="H345" s="29"/>
      <c r="I345" s="30"/>
    </row>
    <row r="346" spans="5:9" ht="15.75" customHeight="1">
      <c r="E346" s="143"/>
      <c r="H346" s="29"/>
      <c r="I346" s="30"/>
    </row>
    <row r="347" spans="5:9" ht="15.75" customHeight="1">
      <c r="E347" s="143"/>
      <c r="H347" s="29"/>
      <c r="I347" s="30"/>
    </row>
    <row r="348" spans="5:9" ht="15.75" customHeight="1">
      <c r="E348" s="143"/>
      <c r="H348" s="29"/>
      <c r="I348" s="30"/>
    </row>
    <row r="349" spans="5:9" ht="15.75" customHeight="1">
      <c r="E349" s="143"/>
      <c r="H349" s="29"/>
      <c r="I349" s="30"/>
    </row>
    <row r="350" spans="5:9" ht="15.75" customHeight="1">
      <c r="E350" s="143"/>
      <c r="H350" s="29"/>
      <c r="I350" s="30"/>
    </row>
    <row r="351" spans="5:9" ht="15.75" customHeight="1">
      <c r="E351" s="143"/>
      <c r="H351" s="29"/>
      <c r="I351" s="30"/>
    </row>
    <row r="352" spans="5:9" ht="15.75" customHeight="1">
      <c r="E352" s="143"/>
      <c r="H352" s="29"/>
      <c r="I352" s="30"/>
    </row>
    <row r="353" spans="5:9" ht="15.75" customHeight="1">
      <c r="E353" s="143"/>
      <c r="H353" s="29"/>
      <c r="I353" s="30"/>
    </row>
    <row r="354" spans="5:9" ht="15.75" customHeight="1">
      <c r="E354" s="143"/>
      <c r="H354" s="29"/>
      <c r="I354" s="30"/>
    </row>
    <row r="355" spans="5:9" ht="15.75" customHeight="1">
      <c r="E355" s="143"/>
      <c r="H355" s="29"/>
      <c r="I355" s="30"/>
    </row>
    <row r="356" spans="5:9" ht="15.75" customHeight="1">
      <c r="E356" s="143"/>
      <c r="H356" s="29"/>
      <c r="I356" s="30"/>
    </row>
    <row r="357" spans="5:9" ht="15.75" customHeight="1">
      <c r="E357" s="143"/>
      <c r="H357" s="29"/>
      <c r="I357" s="30"/>
    </row>
    <row r="358" spans="5:9" ht="15.75" customHeight="1">
      <c r="E358" s="143"/>
      <c r="H358" s="29"/>
      <c r="I358" s="30"/>
    </row>
    <row r="359" spans="5:9" ht="15.75" customHeight="1">
      <c r="E359" s="143"/>
      <c r="H359" s="29"/>
      <c r="I359" s="30"/>
    </row>
    <row r="360" spans="5:9" ht="15.75" customHeight="1">
      <c r="E360" s="143"/>
      <c r="H360" s="29"/>
      <c r="I360" s="30"/>
    </row>
    <row r="361" spans="5:9" ht="15.75" customHeight="1">
      <c r="E361" s="143"/>
      <c r="H361" s="29"/>
      <c r="I361" s="30"/>
    </row>
    <row r="362" spans="5:9" ht="15.75" customHeight="1">
      <c r="E362" s="143"/>
      <c r="H362" s="29"/>
      <c r="I362" s="30"/>
    </row>
    <row r="363" spans="5:9" ht="15.75" customHeight="1">
      <c r="E363" s="143"/>
      <c r="H363" s="29"/>
      <c r="I363" s="30"/>
    </row>
    <row r="364" spans="5:9" ht="15.75" customHeight="1">
      <c r="E364" s="143"/>
      <c r="H364" s="29"/>
      <c r="I364" s="30"/>
    </row>
    <row r="365" spans="5:9" ht="15.75" customHeight="1">
      <c r="E365" s="143"/>
      <c r="H365" s="29"/>
      <c r="I365" s="30"/>
    </row>
    <row r="366" spans="5:9" ht="15.75" customHeight="1">
      <c r="E366" s="143"/>
      <c r="H366" s="29"/>
      <c r="I366" s="30"/>
    </row>
    <row r="367" spans="5:9" ht="15.75" customHeight="1">
      <c r="E367" s="143"/>
      <c r="H367" s="29"/>
      <c r="I367" s="30"/>
    </row>
    <row r="368" spans="5:9" ht="15.75" customHeight="1">
      <c r="E368" s="143"/>
      <c r="H368" s="29"/>
      <c r="I368" s="30"/>
    </row>
    <row r="369" spans="5:9" ht="15.75" customHeight="1">
      <c r="E369" s="143"/>
      <c r="H369" s="29"/>
      <c r="I369" s="30"/>
    </row>
    <row r="370" spans="5:9" ht="15.75" customHeight="1">
      <c r="E370" s="143"/>
      <c r="H370" s="29"/>
      <c r="I370" s="30"/>
    </row>
    <row r="371" spans="5:9" ht="15.75" customHeight="1">
      <c r="E371" s="143"/>
      <c r="H371" s="29"/>
      <c r="I371" s="30"/>
    </row>
    <row r="372" spans="5:9" ht="15.75" customHeight="1">
      <c r="E372" s="143"/>
      <c r="H372" s="29"/>
      <c r="I372" s="30"/>
    </row>
    <row r="373" spans="5:9" ht="15.75" customHeight="1">
      <c r="E373" s="143"/>
      <c r="H373" s="29"/>
      <c r="I373" s="30"/>
    </row>
    <row r="374" spans="5:9" ht="15.75" customHeight="1">
      <c r="E374" s="143"/>
      <c r="H374" s="29"/>
      <c r="I374" s="30"/>
    </row>
    <row r="375" spans="5:9" ht="15.75" customHeight="1">
      <c r="E375" s="143"/>
      <c r="H375" s="29"/>
      <c r="I375" s="30"/>
    </row>
    <row r="376" spans="5:9" ht="15.75" customHeight="1">
      <c r="E376" s="143"/>
      <c r="H376" s="29"/>
      <c r="I376" s="30"/>
    </row>
    <row r="377" spans="5:9" ht="15.75" customHeight="1">
      <c r="E377" s="143"/>
      <c r="H377" s="29"/>
      <c r="I377" s="30"/>
    </row>
    <row r="378" spans="5:9" ht="15.75" customHeight="1">
      <c r="E378" s="143"/>
      <c r="H378" s="29"/>
      <c r="I378" s="30"/>
    </row>
    <row r="379" spans="5:9" ht="15.75" customHeight="1">
      <c r="E379" s="143"/>
      <c r="H379" s="29"/>
      <c r="I379" s="30"/>
    </row>
    <row r="380" spans="5:9" ht="15.75" customHeight="1">
      <c r="E380" s="143"/>
      <c r="H380" s="29"/>
      <c r="I380" s="30"/>
    </row>
    <row r="381" spans="5:9" ht="15.75" customHeight="1">
      <c r="E381" s="143"/>
      <c r="H381" s="29"/>
      <c r="I381" s="30"/>
    </row>
    <row r="382" spans="5:9" ht="15.75" customHeight="1">
      <c r="E382" s="143"/>
      <c r="H382" s="29"/>
      <c r="I382" s="30"/>
    </row>
    <row r="383" spans="5:9" ht="15.75" customHeight="1">
      <c r="E383" s="143"/>
      <c r="H383" s="29"/>
      <c r="I383" s="30"/>
    </row>
    <row r="384" spans="5:9" ht="15.75" customHeight="1">
      <c r="E384" s="143"/>
      <c r="H384" s="29"/>
      <c r="I384" s="30"/>
    </row>
    <row r="385" spans="5:9" ht="15.75" customHeight="1">
      <c r="E385" s="143"/>
      <c r="H385" s="29"/>
      <c r="I385" s="30"/>
    </row>
    <row r="386" spans="5:9" ht="15.75" customHeight="1">
      <c r="E386" s="143"/>
      <c r="H386" s="29"/>
      <c r="I386" s="30"/>
    </row>
    <row r="387" spans="5:9" ht="15.75" customHeight="1">
      <c r="E387" s="143"/>
      <c r="H387" s="29"/>
      <c r="I387" s="30"/>
    </row>
    <row r="388" spans="5:9" ht="15.75" customHeight="1">
      <c r="E388" s="143"/>
      <c r="H388" s="29"/>
      <c r="I388" s="30"/>
    </row>
    <row r="389" spans="5:9" ht="15.75" customHeight="1">
      <c r="E389" s="143"/>
      <c r="H389" s="29"/>
      <c r="I389" s="30"/>
    </row>
    <row r="390" spans="5:9" ht="15.75" customHeight="1">
      <c r="E390" s="143"/>
      <c r="H390" s="29"/>
      <c r="I390" s="30"/>
    </row>
    <row r="391" spans="5:9" ht="15.75" customHeight="1">
      <c r="E391" s="143"/>
      <c r="H391" s="29"/>
      <c r="I391" s="30"/>
    </row>
    <row r="392" spans="5:9" ht="15.75" customHeight="1">
      <c r="E392" s="143"/>
      <c r="H392" s="29"/>
      <c r="I392" s="30"/>
    </row>
    <row r="393" spans="5:9" ht="15.75" customHeight="1">
      <c r="E393" s="143"/>
      <c r="H393" s="29"/>
      <c r="I393" s="30"/>
    </row>
    <row r="394" spans="5:9" ht="15.75" customHeight="1">
      <c r="E394" s="143"/>
      <c r="H394" s="29"/>
      <c r="I394" s="30"/>
    </row>
    <row r="395" spans="5:9" ht="15.75" customHeight="1">
      <c r="E395" s="143"/>
      <c r="H395" s="29"/>
      <c r="I395" s="30"/>
    </row>
    <row r="396" spans="5:9" ht="15.75" customHeight="1">
      <c r="E396" s="143"/>
      <c r="H396" s="29"/>
      <c r="I396" s="30"/>
    </row>
    <row r="397" spans="5:9" ht="15.75" customHeight="1">
      <c r="E397" s="143"/>
      <c r="H397" s="29"/>
      <c r="I397" s="30"/>
    </row>
    <row r="398" spans="5:9" ht="15.75" customHeight="1">
      <c r="E398" s="143"/>
      <c r="H398" s="29"/>
      <c r="I398" s="30"/>
    </row>
    <row r="399" spans="5:9" ht="15.75" customHeight="1">
      <c r="E399" s="143"/>
      <c r="H399" s="29"/>
      <c r="I399" s="30"/>
    </row>
    <row r="400" spans="5:9" ht="15.75" customHeight="1">
      <c r="E400" s="143"/>
      <c r="H400" s="29"/>
      <c r="I400" s="30"/>
    </row>
    <row r="401" spans="5:9" ht="15.75" customHeight="1">
      <c r="E401" s="143"/>
      <c r="H401" s="29"/>
      <c r="I401" s="30"/>
    </row>
    <row r="402" spans="5:9" ht="15.75" customHeight="1">
      <c r="E402" s="143"/>
      <c r="H402" s="29"/>
      <c r="I402" s="30"/>
    </row>
    <row r="403" spans="5:9" ht="15.75" customHeight="1">
      <c r="E403" s="143"/>
      <c r="H403" s="29"/>
      <c r="I403" s="30"/>
    </row>
    <row r="404" spans="5:9" ht="15.75" customHeight="1">
      <c r="E404" s="143"/>
      <c r="H404" s="29"/>
      <c r="I404" s="30"/>
    </row>
    <row r="405" spans="5:9" ht="15.75" customHeight="1">
      <c r="E405" s="143"/>
      <c r="H405" s="29"/>
      <c r="I405" s="30"/>
    </row>
    <row r="406" spans="5:9" ht="15.75" customHeight="1">
      <c r="E406" s="143"/>
      <c r="H406" s="29"/>
      <c r="I406" s="30"/>
    </row>
    <row r="407" spans="5:9" ht="15.75" customHeight="1">
      <c r="E407" s="143"/>
      <c r="H407" s="29"/>
      <c r="I407" s="30"/>
    </row>
    <row r="408" spans="5:9" ht="15.75" customHeight="1">
      <c r="E408" s="143"/>
      <c r="H408" s="29"/>
      <c r="I408" s="30"/>
    </row>
    <row r="409" spans="5:9" ht="15.75" customHeight="1">
      <c r="E409" s="143"/>
      <c r="H409" s="29"/>
      <c r="I409" s="30"/>
    </row>
    <row r="410" spans="5:9" ht="15.75" customHeight="1">
      <c r="E410" s="143"/>
      <c r="H410" s="29"/>
      <c r="I410" s="30"/>
    </row>
    <row r="411" spans="5:9" ht="15.75" customHeight="1">
      <c r="E411" s="143"/>
      <c r="H411" s="29"/>
      <c r="I411" s="30"/>
    </row>
    <row r="412" spans="5:9" ht="15.75" customHeight="1">
      <c r="E412" s="143"/>
      <c r="H412" s="29"/>
      <c r="I412" s="30"/>
    </row>
    <row r="413" spans="5:9" ht="15.75" customHeight="1">
      <c r="E413" s="143"/>
      <c r="H413" s="29"/>
      <c r="I413" s="30"/>
    </row>
    <row r="414" spans="5:9" ht="15.75" customHeight="1">
      <c r="E414" s="143"/>
      <c r="H414" s="29"/>
      <c r="I414" s="30"/>
    </row>
    <row r="415" spans="5:9" ht="15.75" customHeight="1">
      <c r="E415" s="143"/>
      <c r="H415" s="29"/>
      <c r="I415" s="30"/>
    </row>
    <row r="416" spans="5:9" ht="15.75" customHeight="1">
      <c r="E416" s="143"/>
      <c r="H416" s="29"/>
      <c r="I416" s="30"/>
    </row>
    <row r="417" spans="5:9" ht="15.75" customHeight="1">
      <c r="E417" s="143"/>
      <c r="H417" s="29"/>
      <c r="I417" s="30"/>
    </row>
    <row r="418" spans="5:9" ht="15.75" customHeight="1">
      <c r="E418" s="143"/>
      <c r="H418" s="29"/>
      <c r="I418" s="30"/>
    </row>
    <row r="419" spans="5:9" ht="15.75" customHeight="1">
      <c r="E419" s="143"/>
      <c r="H419" s="29"/>
      <c r="I419" s="30"/>
    </row>
    <row r="420" spans="5:9" ht="15.75" customHeight="1">
      <c r="E420" s="143"/>
      <c r="H420" s="29"/>
      <c r="I420" s="30"/>
    </row>
    <row r="421" spans="5:9" ht="15.75" customHeight="1">
      <c r="E421" s="143"/>
      <c r="H421" s="29"/>
      <c r="I421" s="30"/>
    </row>
    <row r="422" spans="5:9" ht="15.75" customHeight="1">
      <c r="E422" s="143"/>
      <c r="H422" s="29"/>
      <c r="I422" s="30"/>
    </row>
    <row r="423" spans="5:9" ht="15.75" customHeight="1">
      <c r="E423" s="143"/>
      <c r="H423" s="29"/>
      <c r="I423" s="30"/>
    </row>
    <row r="424" spans="5:9" ht="15.75" customHeight="1">
      <c r="E424" s="143"/>
      <c r="H424" s="29"/>
      <c r="I424" s="30"/>
    </row>
    <row r="425" spans="5:9" ht="15.75" customHeight="1">
      <c r="E425" s="143"/>
      <c r="H425" s="29"/>
      <c r="I425" s="30"/>
    </row>
    <row r="426" spans="5:9" ht="15.75" customHeight="1">
      <c r="E426" s="143"/>
      <c r="H426" s="29"/>
      <c r="I426" s="30"/>
    </row>
    <row r="427" spans="5:9" ht="15.75" customHeight="1">
      <c r="E427" s="143"/>
      <c r="H427" s="29"/>
      <c r="I427" s="30"/>
    </row>
    <row r="428" spans="5:9" ht="15.75" customHeight="1">
      <c r="E428" s="143"/>
      <c r="H428" s="29"/>
      <c r="I428" s="30"/>
    </row>
    <row r="429" spans="5:9" ht="15.75" customHeight="1">
      <c r="E429" s="143"/>
      <c r="H429" s="29"/>
      <c r="I429" s="30"/>
    </row>
    <row r="430" spans="5:9" ht="15.75" customHeight="1">
      <c r="E430" s="143"/>
      <c r="H430" s="29"/>
      <c r="I430" s="30"/>
    </row>
    <row r="431" spans="5:9" ht="15.75" customHeight="1">
      <c r="E431" s="143"/>
      <c r="H431" s="29"/>
      <c r="I431" s="30"/>
    </row>
    <row r="432" spans="5:9" ht="15.75" customHeight="1">
      <c r="E432" s="143"/>
      <c r="H432" s="29"/>
      <c r="I432" s="30"/>
    </row>
    <row r="433" spans="5:9" ht="15.75" customHeight="1">
      <c r="E433" s="143"/>
      <c r="H433" s="29"/>
      <c r="I433" s="30"/>
    </row>
    <row r="434" spans="5:9" ht="15.75" customHeight="1">
      <c r="E434" s="143"/>
      <c r="H434" s="29"/>
      <c r="I434" s="30"/>
    </row>
    <row r="435" spans="5:9" ht="15.75" customHeight="1">
      <c r="E435" s="143"/>
      <c r="H435" s="29"/>
      <c r="I435" s="30"/>
    </row>
    <row r="436" spans="5:9" ht="15.75" customHeight="1">
      <c r="E436" s="143"/>
      <c r="H436" s="29"/>
      <c r="I436" s="30"/>
    </row>
    <row r="437" spans="5:9" ht="15.75" customHeight="1">
      <c r="E437" s="143"/>
      <c r="H437" s="29"/>
      <c r="I437" s="30"/>
    </row>
    <row r="438" spans="5:9" ht="15.75" customHeight="1">
      <c r="E438" s="143"/>
      <c r="H438" s="29"/>
      <c r="I438" s="30"/>
    </row>
    <row r="439" spans="5:9" ht="15.75" customHeight="1">
      <c r="E439" s="143"/>
      <c r="H439" s="29"/>
      <c r="I439" s="30"/>
    </row>
    <row r="440" spans="5:9" ht="15.75" customHeight="1">
      <c r="E440" s="143"/>
      <c r="H440" s="29"/>
      <c r="I440" s="30"/>
    </row>
    <row r="441" spans="5:9" ht="15.75" customHeight="1">
      <c r="E441" s="143"/>
      <c r="H441" s="29"/>
      <c r="I441" s="30"/>
    </row>
    <row r="442" spans="5:9" ht="15.75" customHeight="1">
      <c r="E442" s="143"/>
      <c r="H442" s="29"/>
      <c r="I442" s="30"/>
    </row>
    <row r="443" spans="5:9" ht="15.75" customHeight="1">
      <c r="E443" s="143"/>
      <c r="H443" s="29"/>
      <c r="I443" s="30"/>
    </row>
    <row r="444" spans="5:9" ht="15.75" customHeight="1">
      <c r="E444" s="143"/>
      <c r="H444" s="29"/>
      <c r="I444" s="30"/>
    </row>
    <row r="445" spans="5:9" ht="15.75" customHeight="1">
      <c r="E445" s="143"/>
      <c r="H445" s="29"/>
      <c r="I445" s="30"/>
    </row>
    <row r="446" spans="5:9" ht="15.75" customHeight="1">
      <c r="E446" s="143"/>
      <c r="H446" s="29"/>
      <c r="I446" s="30"/>
    </row>
    <row r="447" spans="5:9" ht="15.75" customHeight="1">
      <c r="E447" s="143"/>
      <c r="H447" s="29"/>
      <c r="I447" s="30"/>
    </row>
    <row r="448" spans="5:9" ht="15.75" customHeight="1">
      <c r="E448" s="143"/>
      <c r="H448" s="29"/>
      <c r="I448" s="30"/>
    </row>
    <row r="449" spans="5:9" ht="15.75" customHeight="1">
      <c r="E449" s="143"/>
      <c r="H449" s="29"/>
      <c r="I449" s="30"/>
    </row>
    <row r="450" spans="5:9" ht="15.75" customHeight="1">
      <c r="E450" s="143"/>
      <c r="H450" s="29"/>
      <c r="I450" s="30"/>
    </row>
    <row r="451" spans="5:9" ht="15.75" customHeight="1">
      <c r="E451" s="143"/>
      <c r="H451" s="29"/>
      <c r="I451" s="30"/>
    </row>
    <row r="452" spans="5:9" ht="15.75" customHeight="1">
      <c r="E452" s="143"/>
      <c r="H452" s="29"/>
      <c r="I452" s="30"/>
    </row>
    <row r="453" spans="5:9" ht="15.75" customHeight="1">
      <c r="E453" s="143"/>
      <c r="H453" s="29"/>
      <c r="I453" s="30"/>
    </row>
    <row r="454" spans="5:9" ht="15.75" customHeight="1">
      <c r="E454" s="143"/>
      <c r="H454" s="29"/>
      <c r="I454" s="30"/>
    </row>
    <row r="455" spans="5:9" ht="15.75" customHeight="1">
      <c r="E455" s="143"/>
      <c r="H455" s="29"/>
      <c r="I455" s="30"/>
    </row>
    <row r="456" spans="5:9" ht="15.75" customHeight="1">
      <c r="E456" s="143"/>
      <c r="H456" s="29"/>
      <c r="I456" s="30"/>
    </row>
    <row r="457" spans="5:9" ht="15.75" customHeight="1">
      <c r="E457" s="143"/>
      <c r="H457" s="29"/>
      <c r="I457" s="30"/>
    </row>
    <row r="458" spans="5:9" ht="15.75" customHeight="1">
      <c r="E458" s="143"/>
      <c r="H458" s="29"/>
      <c r="I458" s="30"/>
    </row>
    <row r="459" spans="5:9" ht="15.75" customHeight="1">
      <c r="E459" s="143"/>
      <c r="H459" s="29"/>
      <c r="I459" s="30"/>
    </row>
    <row r="460" spans="5:9" ht="15.75" customHeight="1">
      <c r="E460" s="143"/>
      <c r="H460" s="29"/>
      <c r="I460" s="30"/>
    </row>
    <row r="461" spans="5:9" ht="15.75" customHeight="1">
      <c r="E461" s="143"/>
      <c r="H461" s="29"/>
      <c r="I461" s="30"/>
    </row>
    <row r="462" spans="5:9" ht="15.75" customHeight="1">
      <c r="E462" s="143"/>
      <c r="H462" s="29"/>
      <c r="I462" s="30"/>
    </row>
    <row r="463" spans="5:9" ht="15.75" customHeight="1">
      <c r="E463" s="143"/>
      <c r="H463" s="29"/>
      <c r="I463" s="30"/>
    </row>
    <row r="464" spans="5:9" ht="15.75" customHeight="1">
      <c r="E464" s="143"/>
      <c r="H464" s="29"/>
      <c r="I464" s="30"/>
    </row>
    <row r="465" spans="5:9" ht="15.75" customHeight="1">
      <c r="E465" s="143"/>
      <c r="H465" s="29"/>
      <c r="I465" s="30"/>
    </row>
    <row r="466" spans="5:9" ht="15.75" customHeight="1">
      <c r="E466" s="143"/>
      <c r="H466" s="29"/>
      <c r="I466" s="30"/>
    </row>
    <row r="467" spans="5:9" ht="15.75" customHeight="1">
      <c r="E467" s="143"/>
      <c r="H467" s="29"/>
      <c r="I467" s="30"/>
    </row>
    <row r="468" spans="5:9" ht="15.75" customHeight="1">
      <c r="E468" s="143"/>
      <c r="H468" s="29"/>
      <c r="I468" s="30"/>
    </row>
    <row r="469" spans="5:9" ht="15.75" customHeight="1">
      <c r="E469" s="143"/>
      <c r="H469" s="29"/>
      <c r="I469" s="30"/>
    </row>
    <row r="470" spans="5:9" ht="15.75" customHeight="1">
      <c r="E470" s="143"/>
      <c r="H470" s="29"/>
      <c r="I470" s="30"/>
    </row>
    <row r="471" spans="5:9" ht="15.75" customHeight="1">
      <c r="E471" s="143"/>
      <c r="H471" s="29"/>
      <c r="I471" s="30"/>
    </row>
    <row r="472" spans="5:9" ht="15.75" customHeight="1">
      <c r="E472" s="143"/>
      <c r="H472" s="29"/>
      <c r="I472" s="30"/>
    </row>
    <row r="473" spans="5:9" ht="15.75" customHeight="1">
      <c r="E473" s="143"/>
      <c r="H473" s="29"/>
      <c r="I473" s="30"/>
    </row>
    <row r="474" spans="5:9" ht="15.75" customHeight="1">
      <c r="E474" s="143"/>
      <c r="H474" s="29"/>
      <c r="I474" s="30"/>
    </row>
    <row r="475" spans="5:9" ht="15.75" customHeight="1">
      <c r="E475" s="143"/>
      <c r="H475" s="29"/>
      <c r="I475" s="30"/>
    </row>
    <row r="476" spans="5:9" ht="15.75" customHeight="1">
      <c r="E476" s="143"/>
      <c r="H476" s="29"/>
      <c r="I476" s="30"/>
    </row>
    <row r="477" spans="5:9" ht="15.75" customHeight="1">
      <c r="E477" s="143"/>
      <c r="H477" s="29"/>
      <c r="I477" s="30"/>
    </row>
    <row r="478" spans="5:9" ht="15.75" customHeight="1">
      <c r="E478" s="143"/>
      <c r="H478" s="29"/>
      <c r="I478" s="30"/>
    </row>
    <row r="479" spans="5:9" ht="15.75" customHeight="1">
      <c r="E479" s="143"/>
      <c r="H479" s="29"/>
      <c r="I479" s="30"/>
    </row>
    <row r="480" spans="5:9" ht="15.75" customHeight="1">
      <c r="E480" s="143"/>
      <c r="H480" s="29"/>
      <c r="I480" s="30"/>
    </row>
    <row r="481" spans="5:9" ht="15.75" customHeight="1">
      <c r="E481" s="143"/>
      <c r="H481" s="29"/>
      <c r="I481" s="30"/>
    </row>
    <row r="482" spans="5:9" ht="15.75" customHeight="1">
      <c r="E482" s="143"/>
      <c r="H482" s="29"/>
      <c r="I482" s="30"/>
    </row>
    <row r="483" spans="5:9" ht="15.75" customHeight="1">
      <c r="E483" s="143"/>
      <c r="H483" s="29"/>
      <c r="I483" s="30"/>
    </row>
    <row r="484" spans="5:9" ht="15.75" customHeight="1">
      <c r="E484" s="143"/>
      <c r="H484" s="29"/>
      <c r="I484" s="30"/>
    </row>
    <row r="485" spans="5:9" ht="15.75" customHeight="1">
      <c r="E485" s="143"/>
      <c r="H485" s="29"/>
      <c r="I485" s="30"/>
    </row>
    <row r="486" spans="5:9" ht="15.75" customHeight="1">
      <c r="E486" s="143"/>
      <c r="H486" s="29"/>
      <c r="I486" s="30"/>
    </row>
    <row r="487" spans="5:9" ht="15.75" customHeight="1">
      <c r="E487" s="143"/>
      <c r="H487" s="29"/>
      <c r="I487" s="30"/>
    </row>
    <row r="488" spans="5:9" ht="15.75" customHeight="1">
      <c r="E488" s="143"/>
      <c r="H488" s="29"/>
      <c r="I488" s="30"/>
    </row>
    <row r="489" spans="5:9" ht="15.75" customHeight="1">
      <c r="E489" s="143"/>
      <c r="H489" s="29"/>
      <c r="I489" s="30"/>
    </row>
    <row r="490" spans="5:9" ht="15.75" customHeight="1">
      <c r="E490" s="143"/>
      <c r="H490" s="29"/>
      <c r="I490" s="30"/>
    </row>
    <row r="491" spans="5:9" ht="15.75" customHeight="1">
      <c r="E491" s="143"/>
      <c r="H491" s="29"/>
      <c r="I491" s="30"/>
    </row>
    <row r="492" spans="5:9" ht="15.75" customHeight="1">
      <c r="E492" s="143"/>
      <c r="H492" s="29"/>
      <c r="I492" s="30"/>
    </row>
    <row r="493" spans="5:9" ht="15.75" customHeight="1">
      <c r="E493" s="143"/>
      <c r="H493" s="29"/>
      <c r="I493" s="30"/>
    </row>
    <row r="494" spans="5:9" ht="15.75" customHeight="1">
      <c r="E494" s="143"/>
      <c r="H494" s="29"/>
      <c r="I494" s="30"/>
    </row>
    <row r="495" spans="5:9" ht="15.75" customHeight="1">
      <c r="E495" s="143"/>
      <c r="H495" s="29"/>
      <c r="I495" s="30"/>
    </row>
    <row r="496" spans="5:9" ht="15.75" customHeight="1">
      <c r="E496" s="143"/>
      <c r="H496" s="29"/>
      <c r="I496" s="30"/>
    </row>
    <row r="497" spans="5:9" ht="15.75" customHeight="1">
      <c r="E497" s="143"/>
      <c r="H497" s="29"/>
      <c r="I497" s="30"/>
    </row>
    <row r="498" spans="5:9" ht="15.75" customHeight="1">
      <c r="E498" s="143"/>
      <c r="H498" s="29"/>
      <c r="I498" s="30"/>
    </row>
    <row r="499" spans="5:9" ht="15.75" customHeight="1">
      <c r="E499" s="143"/>
      <c r="H499" s="29"/>
      <c r="I499" s="30"/>
    </row>
    <row r="500" spans="5:9" ht="15.75" customHeight="1">
      <c r="E500" s="143"/>
      <c r="H500" s="29"/>
      <c r="I500" s="30"/>
    </row>
    <row r="501" spans="5:9" ht="15.75" customHeight="1">
      <c r="E501" s="143"/>
      <c r="H501" s="29"/>
      <c r="I501" s="30"/>
    </row>
    <row r="502" spans="5:9" ht="15.75" customHeight="1">
      <c r="E502" s="143"/>
      <c r="H502" s="29"/>
      <c r="I502" s="30"/>
    </row>
    <row r="503" spans="5:9" ht="15.75" customHeight="1">
      <c r="E503" s="143"/>
      <c r="H503" s="29"/>
      <c r="I503" s="30"/>
    </row>
    <row r="504" spans="5:9" ht="15.75" customHeight="1">
      <c r="E504" s="143"/>
      <c r="H504" s="29"/>
      <c r="I504" s="30"/>
    </row>
    <row r="505" spans="5:9" ht="15.75" customHeight="1">
      <c r="E505" s="143"/>
      <c r="H505" s="29"/>
      <c r="I505" s="30"/>
    </row>
    <row r="506" spans="5:9" ht="15.75" customHeight="1">
      <c r="E506" s="143"/>
      <c r="H506" s="29"/>
      <c r="I506" s="30"/>
    </row>
    <row r="507" spans="5:9" ht="15.75" customHeight="1">
      <c r="E507" s="143"/>
      <c r="H507" s="29"/>
      <c r="I507" s="30"/>
    </row>
    <row r="508" spans="5:9" ht="15.75" customHeight="1">
      <c r="E508" s="143"/>
      <c r="H508" s="29"/>
      <c r="I508" s="30"/>
    </row>
    <row r="509" spans="5:9" ht="15.75" customHeight="1">
      <c r="E509" s="143"/>
      <c r="H509" s="29"/>
      <c r="I509" s="30"/>
    </row>
    <row r="510" spans="5:9" ht="15.75" customHeight="1">
      <c r="E510" s="143"/>
      <c r="H510" s="29"/>
      <c r="I510" s="30"/>
    </row>
    <row r="511" spans="5:9" ht="15.75" customHeight="1">
      <c r="E511" s="143"/>
      <c r="H511" s="29"/>
      <c r="I511" s="30"/>
    </row>
    <row r="512" spans="5:9" ht="15.75" customHeight="1">
      <c r="E512" s="143"/>
      <c r="H512" s="29"/>
      <c r="I512" s="30"/>
    </row>
    <row r="513" spans="5:9" ht="15.75" customHeight="1">
      <c r="E513" s="143"/>
      <c r="H513" s="29"/>
      <c r="I513" s="30"/>
    </row>
    <row r="514" spans="5:9" ht="15.75" customHeight="1">
      <c r="E514" s="143"/>
      <c r="H514" s="29"/>
      <c r="I514" s="30"/>
    </row>
    <row r="515" spans="5:9" ht="15.75" customHeight="1">
      <c r="E515" s="143"/>
      <c r="H515" s="29"/>
      <c r="I515" s="30"/>
    </row>
    <row r="516" spans="5:9" ht="15.75" customHeight="1">
      <c r="E516" s="143"/>
      <c r="H516" s="29"/>
      <c r="I516" s="30"/>
    </row>
    <row r="517" spans="5:9" ht="15.75" customHeight="1">
      <c r="E517" s="143"/>
      <c r="H517" s="29"/>
      <c r="I517" s="30"/>
    </row>
    <row r="518" spans="5:9" ht="15.75" customHeight="1">
      <c r="E518" s="143"/>
      <c r="H518" s="29"/>
      <c r="I518" s="30"/>
    </row>
    <row r="519" spans="5:9" ht="15.75" customHeight="1">
      <c r="E519" s="143"/>
      <c r="H519" s="29"/>
      <c r="I519" s="30"/>
    </row>
    <row r="520" spans="5:9" ht="15.75" customHeight="1">
      <c r="E520" s="143"/>
      <c r="H520" s="29"/>
      <c r="I520" s="30"/>
    </row>
    <row r="521" spans="5:9" ht="15.75" customHeight="1">
      <c r="E521" s="143"/>
      <c r="H521" s="29"/>
      <c r="I521" s="30"/>
    </row>
    <row r="522" spans="5:9" ht="15.75" customHeight="1">
      <c r="E522" s="143"/>
      <c r="H522" s="29"/>
      <c r="I522" s="30"/>
    </row>
    <row r="523" spans="5:9" ht="15.75" customHeight="1">
      <c r="E523" s="143"/>
      <c r="H523" s="29"/>
      <c r="I523" s="30"/>
    </row>
    <row r="524" spans="5:9" ht="15.75" customHeight="1">
      <c r="E524" s="143"/>
      <c r="H524" s="29"/>
      <c r="I524" s="30"/>
    </row>
    <row r="525" spans="5:9" ht="15.75" customHeight="1">
      <c r="E525" s="143"/>
      <c r="H525" s="29"/>
      <c r="I525" s="30"/>
    </row>
    <row r="526" spans="5:9" ht="15.75" customHeight="1">
      <c r="E526" s="143"/>
      <c r="H526" s="29"/>
      <c r="I526" s="30"/>
    </row>
    <row r="527" spans="5:9" ht="15.75" customHeight="1">
      <c r="E527" s="143"/>
      <c r="H527" s="29"/>
      <c r="I527" s="30"/>
    </row>
    <row r="528" spans="5:9" ht="15.75" customHeight="1">
      <c r="E528" s="143"/>
      <c r="H528" s="29"/>
      <c r="I528" s="30"/>
    </row>
    <row r="529" spans="5:9" ht="15.75" customHeight="1">
      <c r="E529" s="143"/>
      <c r="H529" s="29"/>
      <c r="I529" s="30"/>
    </row>
    <row r="530" spans="5:9" ht="15.75" customHeight="1">
      <c r="E530" s="143"/>
      <c r="H530" s="29"/>
      <c r="I530" s="30"/>
    </row>
    <row r="531" spans="5:9" ht="15.75" customHeight="1">
      <c r="E531" s="143"/>
      <c r="H531" s="29"/>
      <c r="I531" s="30"/>
    </row>
    <row r="532" spans="5:9" ht="15.75" customHeight="1">
      <c r="E532" s="143"/>
      <c r="H532" s="29"/>
      <c r="I532" s="30"/>
    </row>
    <row r="533" spans="5:9" ht="15.75" customHeight="1">
      <c r="E533" s="143"/>
      <c r="H533" s="29"/>
      <c r="I533" s="30"/>
    </row>
    <row r="534" spans="5:9" ht="15.75" customHeight="1">
      <c r="E534" s="143"/>
      <c r="H534" s="29"/>
      <c r="I534" s="30"/>
    </row>
    <row r="535" spans="5:9" ht="15.75" customHeight="1">
      <c r="E535" s="143"/>
      <c r="H535" s="29"/>
      <c r="I535" s="30"/>
    </row>
    <row r="536" spans="5:9" ht="15.75" customHeight="1">
      <c r="E536" s="143"/>
      <c r="H536" s="29"/>
      <c r="I536" s="30"/>
    </row>
    <row r="537" spans="5:9" ht="15.75" customHeight="1">
      <c r="E537" s="143"/>
      <c r="H537" s="29"/>
      <c r="I537" s="30"/>
    </row>
    <row r="538" spans="5:9" ht="15.75" customHeight="1">
      <c r="E538" s="143"/>
      <c r="H538" s="29"/>
      <c r="I538" s="30"/>
    </row>
    <row r="539" spans="5:9" ht="15.75" customHeight="1">
      <c r="E539" s="143"/>
      <c r="H539" s="29"/>
      <c r="I539" s="30"/>
    </row>
    <row r="540" spans="5:9" ht="15.75" customHeight="1">
      <c r="E540" s="143"/>
      <c r="H540" s="29"/>
      <c r="I540" s="30"/>
    </row>
    <row r="541" spans="5:9" ht="15.75" customHeight="1">
      <c r="E541" s="143"/>
      <c r="H541" s="29"/>
      <c r="I541" s="30"/>
    </row>
    <row r="542" spans="5:9" ht="15.75" customHeight="1">
      <c r="E542" s="143"/>
      <c r="H542" s="29"/>
      <c r="I542" s="30"/>
    </row>
    <row r="543" spans="5:9" ht="15.75" customHeight="1">
      <c r="E543" s="143"/>
      <c r="H543" s="29"/>
      <c r="I543" s="30"/>
    </row>
    <row r="544" spans="5:9" ht="15.75" customHeight="1">
      <c r="E544" s="143"/>
      <c r="H544" s="29"/>
      <c r="I544" s="30"/>
    </row>
    <row r="545" spans="5:9" ht="15.75" customHeight="1">
      <c r="E545" s="143"/>
      <c r="H545" s="29"/>
      <c r="I545" s="30"/>
    </row>
    <row r="546" spans="5:9" ht="15.75" customHeight="1">
      <c r="E546" s="143"/>
      <c r="H546" s="29"/>
      <c r="I546" s="30"/>
    </row>
    <row r="547" spans="5:9" ht="15.75" customHeight="1">
      <c r="E547" s="143"/>
      <c r="H547" s="29"/>
      <c r="I547" s="30"/>
    </row>
    <row r="548" spans="5:9" ht="15.75" customHeight="1">
      <c r="E548" s="143"/>
      <c r="H548" s="29"/>
      <c r="I548" s="30"/>
    </row>
    <row r="549" spans="5:9" ht="15.75" customHeight="1">
      <c r="E549" s="143"/>
      <c r="H549" s="29"/>
      <c r="I549" s="30"/>
    </row>
    <row r="550" spans="5:9" ht="15.75" customHeight="1">
      <c r="E550" s="143"/>
      <c r="H550" s="29"/>
      <c r="I550" s="30"/>
    </row>
    <row r="551" spans="5:9" ht="15.75" customHeight="1">
      <c r="E551" s="143"/>
      <c r="H551" s="29"/>
      <c r="I551" s="30"/>
    </row>
    <row r="552" spans="5:9" ht="15.75" customHeight="1">
      <c r="E552" s="143"/>
      <c r="H552" s="29"/>
      <c r="I552" s="30"/>
    </row>
    <row r="553" spans="5:9" ht="15.75" customHeight="1">
      <c r="E553" s="143"/>
      <c r="H553" s="29"/>
      <c r="I553" s="30"/>
    </row>
    <row r="554" spans="5:9" ht="15.75" customHeight="1">
      <c r="E554" s="143"/>
      <c r="H554" s="29"/>
      <c r="I554" s="30"/>
    </row>
    <row r="555" spans="5:9" ht="15.75" customHeight="1">
      <c r="E555" s="143"/>
      <c r="H555" s="29"/>
      <c r="I555" s="30"/>
    </row>
    <row r="556" spans="5:9" ht="15.75" customHeight="1">
      <c r="E556" s="143"/>
      <c r="H556" s="29"/>
      <c r="I556" s="30"/>
    </row>
    <row r="557" spans="5:9" ht="15.75" customHeight="1">
      <c r="E557" s="143"/>
      <c r="H557" s="29"/>
      <c r="I557" s="30"/>
    </row>
    <row r="558" spans="5:9" ht="15.75" customHeight="1">
      <c r="E558" s="143"/>
      <c r="H558" s="29"/>
      <c r="I558" s="30"/>
    </row>
    <row r="559" spans="5:9" ht="15.75" customHeight="1">
      <c r="E559" s="143"/>
      <c r="H559" s="29"/>
      <c r="I559" s="30"/>
    </row>
    <row r="560" spans="5:9" ht="15.75" customHeight="1">
      <c r="E560" s="143"/>
      <c r="H560" s="29"/>
      <c r="I560" s="30"/>
    </row>
    <row r="561" spans="5:9" ht="15.75" customHeight="1">
      <c r="E561" s="143"/>
      <c r="H561" s="29"/>
      <c r="I561" s="30"/>
    </row>
    <row r="562" spans="5:9" ht="15.75" customHeight="1">
      <c r="E562" s="143"/>
      <c r="H562" s="29"/>
      <c r="I562" s="30"/>
    </row>
    <row r="563" spans="5:9" ht="15.75" customHeight="1">
      <c r="E563" s="143"/>
      <c r="H563" s="29"/>
      <c r="I563" s="30"/>
    </row>
    <row r="564" spans="5:9" ht="15.75" customHeight="1">
      <c r="E564" s="143"/>
      <c r="H564" s="29"/>
      <c r="I564" s="30"/>
    </row>
    <row r="565" spans="5:9" ht="15.75" customHeight="1">
      <c r="E565" s="143"/>
      <c r="H565" s="29"/>
      <c r="I565" s="30"/>
    </row>
    <row r="566" spans="5:9" ht="15.75" customHeight="1">
      <c r="E566" s="143"/>
      <c r="H566" s="29"/>
      <c r="I566" s="30"/>
    </row>
    <row r="567" spans="5:9" ht="15.75" customHeight="1">
      <c r="E567" s="143"/>
      <c r="H567" s="29"/>
      <c r="I567" s="30"/>
    </row>
    <row r="568" spans="5:9" ht="15.75" customHeight="1">
      <c r="E568" s="143"/>
      <c r="H568" s="29"/>
      <c r="I568" s="30"/>
    </row>
    <row r="569" spans="5:9" ht="15.75" customHeight="1">
      <c r="E569" s="143"/>
      <c r="H569" s="29"/>
      <c r="I569" s="30"/>
    </row>
    <row r="570" spans="5:9" ht="15.75" customHeight="1">
      <c r="E570" s="143"/>
      <c r="H570" s="29"/>
      <c r="I570" s="30"/>
    </row>
    <row r="571" spans="5:9" ht="15.75" customHeight="1">
      <c r="E571" s="143"/>
      <c r="H571" s="29"/>
      <c r="I571" s="30"/>
    </row>
    <row r="572" spans="5:9" ht="15.75" customHeight="1">
      <c r="E572" s="143"/>
      <c r="H572" s="29"/>
      <c r="I572" s="30"/>
    </row>
    <row r="573" spans="5:9" ht="15.75" customHeight="1">
      <c r="E573" s="143"/>
      <c r="H573" s="29"/>
      <c r="I573" s="30"/>
    </row>
    <row r="574" spans="5:9" ht="15.75" customHeight="1">
      <c r="E574" s="143"/>
      <c r="H574" s="29"/>
      <c r="I574" s="30"/>
    </row>
    <row r="575" spans="5:9" ht="15.75" customHeight="1">
      <c r="E575" s="143"/>
      <c r="H575" s="29"/>
      <c r="I575" s="30"/>
    </row>
    <row r="576" spans="5:9" ht="15.75" customHeight="1">
      <c r="E576" s="143"/>
      <c r="H576" s="29"/>
      <c r="I576" s="30"/>
    </row>
    <row r="577" spans="5:9" ht="15.75" customHeight="1">
      <c r="E577" s="143"/>
      <c r="H577" s="29"/>
      <c r="I577" s="30"/>
    </row>
    <row r="578" spans="5:9" ht="15.75" customHeight="1">
      <c r="E578" s="143"/>
      <c r="H578" s="29"/>
      <c r="I578" s="30"/>
    </row>
    <row r="579" spans="5:9" ht="15.75" customHeight="1">
      <c r="E579" s="143"/>
      <c r="H579" s="29"/>
      <c r="I579" s="30"/>
    </row>
    <row r="580" spans="5:9" ht="15.75" customHeight="1">
      <c r="E580" s="143"/>
      <c r="H580" s="29"/>
      <c r="I580" s="30"/>
    </row>
    <row r="581" spans="5:9" ht="15.75" customHeight="1">
      <c r="E581" s="143"/>
      <c r="H581" s="29"/>
      <c r="I581" s="30"/>
    </row>
    <row r="582" spans="5:9" ht="15.75" customHeight="1">
      <c r="E582" s="143"/>
      <c r="H582" s="29"/>
      <c r="I582" s="30"/>
    </row>
    <row r="583" spans="5:9" ht="15.75" customHeight="1">
      <c r="E583" s="143"/>
      <c r="H583" s="29"/>
      <c r="I583" s="30"/>
    </row>
    <row r="584" spans="5:9" ht="15.75" customHeight="1">
      <c r="E584" s="143"/>
      <c r="H584" s="29"/>
      <c r="I584" s="30"/>
    </row>
    <row r="585" spans="5:9" ht="15.75" customHeight="1">
      <c r="E585" s="143"/>
      <c r="H585" s="29"/>
      <c r="I585" s="30"/>
    </row>
    <row r="586" spans="5:9" ht="15.75" customHeight="1">
      <c r="E586" s="143"/>
      <c r="H586" s="29"/>
      <c r="I586" s="30"/>
    </row>
    <row r="587" spans="5:9" ht="15.75" customHeight="1">
      <c r="E587" s="143"/>
      <c r="H587" s="29"/>
      <c r="I587" s="30"/>
    </row>
    <row r="588" spans="5:9" ht="15.75" customHeight="1">
      <c r="E588" s="143"/>
      <c r="H588" s="29"/>
      <c r="I588" s="30"/>
    </row>
    <row r="589" spans="5:9" ht="15.75" customHeight="1">
      <c r="E589" s="143"/>
      <c r="H589" s="29"/>
      <c r="I589" s="30"/>
    </row>
    <row r="590" spans="5:9" ht="15.75" customHeight="1">
      <c r="E590" s="143"/>
      <c r="H590" s="29"/>
      <c r="I590" s="30"/>
    </row>
    <row r="591" spans="5:9" ht="15.75" customHeight="1">
      <c r="E591" s="143"/>
      <c r="H591" s="29"/>
      <c r="I591" s="30"/>
    </row>
    <row r="592" spans="5:9" ht="15.75" customHeight="1">
      <c r="E592" s="143"/>
      <c r="H592" s="29"/>
      <c r="I592" s="30"/>
    </row>
    <row r="593" spans="5:9" ht="15.75" customHeight="1">
      <c r="E593" s="143"/>
      <c r="H593" s="29"/>
      <c r="I593" s="30"/>
    </row>
    <row r="594" spans="5:9" ht="15.75" customHeight="1">
      <c r="E594" s="143"/>
      <c r="H594" s="29"/>
      <c r="I594" s="30"/>
    </row>
    <row r="595" spans="5:9" ht="15.75" customHeight="1">
      <c r="E595" s="143"/>
      <c r="H595" s="29"/>
      <c r="I595" s="30"/>
    </row>
    <row r="596" spans="5:9" ht="15.75" customHeight="1">
      <c r="E596" s="143"/>
      <c r="H596" s="29"/>
      <c r="I596" s="30"/>
    </row>
    <row r="597" spans="5:9" ht="15.75" customHeight="1">
      <c r="E597" s="143"/>
      <c r="H597" s="29"/>
      <c r="I597" s="30"/>
    </row>
    <row r="598" spans="5:9" ht="15.75" customHeight="1">
      <c r="E598" s="143"/>
      <c r="H598" s="29"/>
      <c r="I598" s="30"/>
    </row>
    <row r="599" spans="5:9" ht="15.75" customHeight="1">
      <c r="E599" s="143"/>
      <c r="H599" s="29"/>
      <c r="I599" s="30"/>
    </row>
    <row r="600" spans="5:9" ht="15.75" customHeight="1">
      <c r="E600" s="143"/>
      <c r="H600" s="29"/>
      <c r="I600" s="30"/>
    </row>
    <row r="601" spans="5:9" ht="15.75" customHeight="1">
      <c r="E601" s="143"/>
      <c r="H601" s="29"/>
      <c r="I601" s="30"/>
    </row>
    <row r="602" spans="5:9" ht="15.75" customHeight="1">
      <c r="E602" s="143"/>
      <c r="H602" s="29"/>
      <c r="I602" s="30"/>
    </row>
    <row r="603" spans="5:9" ht="15.75" customHeight="1">
      <c r="E603" s="143"/>
      <c r="H603" s="29"/>
      <c r="I603" s="30"/>
    </row>
    <row r="604" spans="5:9" ht="15.75" customHeight="1">
      <c r="E604" s="143"/>
      <c r="H604" s="29"/>
      <c r="I604" s="30"/>
    </row>
    <row r="605" spans="5:9" ht="15.75" customHeight="1">
      <c r="E605" s="143"/>
      <c r="H605" s="29"/>
      <c r="I605" s="30"/>
    </row>
    <row r="606" spans="5:9" ht="15.75" customHeight="1">
      <c r="E606" s="143"/>
      <c r="H606" s="29"/>
      <c r="I606" s="30"/>
    </row>
    <row r="607" spans="5:9" ht="15.75" customHeight="1">
      <c r="E607" s="143"/>
      <c r="H607" s="29"/>
      <c r="I607" s="30"/>
    </row>
    <row r="608" spans="5:9" ht="15.75" customHeight="1">
      <c r="E608" s="143"/>
      <c r="H608" s="29"/>
      <c r="I608" s="30"/>
    </row>
    <row r="609" spans="5:9" ht="15.75" customHeight="1">
      <c r="E609" s="143"/>
      <c r="H609" s="29"/>
      <c r="I609" s="30"/>
    </row>
    <row r="610" spans="5:9" ht="15.75" customHeight="1">
      <c r="E610" s="143"/>
      <c r="H610" s="29"/>
      <c r="I610" s="30"/>
    </row>
    <row r="611" spans="5:9" ht="15.75" customHeight="1">
      <c r="E611" s="143"/>
      <c r="H611" s="29"/>
      <c r="I611" s="30"/>
    </row>
    <row r="612" spans="5:9" ht="15.75" customHeight="1">
      <c r="E612" s="143"/>
      <c r="H612" s="29"/>
      <c r="I612" s="30"/>
    </row>
    <row r="613" spans="5:9" ht="15.75" customHeight="1">
      <c r="E613" s="143"/>
      <c r="H613" s="29"/>
      <c r="I613" s="30"/>
    </row>
    <row r="614" spans="5:9" ht="15.75" customHeight="1">
      <c r="E614" s="143"/>
      <c r="H614" s="29"/>
      <c r="I614" s="30"/>
    </row>
    <row r="615" spans="5:9" ht="15.75" customHeight="1">
      <c r="E615" s="143"/>
      <c r="H615" s="29"/>
      <c r="I615" s="30"/>
    </row>
    <row r="616" spans="5:9" ht="15.75" customHeight="1">
      <c r="E616" s="143"/>
      <c r="H616" s="29"/>
      <c r="I616" s="30"/>
    </row>
    <row r="617" spans="5:9" ht="15.75" customHeight="1">
      <c r="E617" s="143"/>
      <c r="H617" s="29"/>
      <c r="I617" s="30"/>
    </row>
    <row r="618" spans="5:9" ht="15.75" customHeight="1">
      <c r="E618" s="143"/>
      <c r="H618" s="29"/>
      <c r="I618" s="30"/>
    </row>
    <row r="619" spans="5:9" ht="15.75" customHeight="1">
      <c r="E619" s="143"/>
      <c r="H619" s="29"/>
      <c r="I619" s="30"/>
    </row>
    <row r="620" spans="5:9" ht="15.75" customHeight="1">
      <c r="E620" s="143"/>
      <c r="H620" s="29"/>
      <c r="I620" s="30"/>
    </row>
    <row r="621" spans="5:9" ht="15.75" customHeight="1">
      <c r="E621" s="143"/>
      <c r="H621" s="29"/>
      <c r="I621" s="30"/>
    </row>
    <row r="622" spans="5:9" ht="15.75" customHeight="1">
      <c r="E622" s="143"/>
      <c r="H622" s="29"/>
      <c r="I622" s="30"/>
    </row>
    <row r="623" spans="5:9" ht="15.75" customHeight="1">
      <c r="E623" s="143"/>
      <c r="H623" s="29"/>
      <c r="I623" s="30"/>
    </row>
    <row r="624" spans="5:9" ht="15.75" customHeight="1">
      <c r="E624" s="143"/>
      <c r="H624" s="29"/>
      <c r="I624" s="30"/>
    </row>
    <row r="625" spans="5:9" ht="15.75" customHeight="1">
      <c r="E625" s="143"/>
      <c r="H625" s="29"/>
      <c r="I625" s="30"/>
    </row>
    <row r="626" spans="5:9" ht="15.75" customHeight="1">
      <c r="E626" s="143"/>
      <c r="H626" s="29"/>
      <c r="I626" s="30"/>
    </row>
    <row r="627" spans="5:9" ht="15.75" customHeight="1">
      <c r="E627" s="143"/>
      <c r="H627" s="29"/>
      <c r="I627" s="30"/>
    </row>
    <row r="628" spans="5:9" ht="15.75" customHeight="1">
      <c r="E628" s="143"/>
      <c r="H628" s="29"/>
      <c r="I628" s="30"/>
    </row>
    <row r="629" spans="5:9" ht="15.75" customHeight="1">
      <c r="E629" s="143"/>
      <c r="H629" s="29"/>
      <c r="I629" s="30"/>
    </row>
    <row r="630" spans="5:9" ht="15.75" customHeight="1">
      <c r="E630" s="143"/>
      <c r="H630" s="29"/>
      <c r="I630" s="30"/>
    </row>
    <row r="631" spans="5:9" ht="15.75" customHeight="1">
      <c r="E631" s="143"/>
      <c r="H631" s="29"/>
      <c r="I631" s="30"/>
    </row>
    <row r="632" spans="5:9" ht="15.75" customHeight="1">
      <c r="E632" s="143"/>
      <c r="H632" s="29"/>
      <c r="I632" s="30"/>
    </row>
    <row r="633" spans="5:9" ht="15.75" customHeight="1">
      <c r="E633" s="143"/>
      <c r="H633" s="29"/>
      <c r="I633" s="30"/>
    </row>
    <row r="634" spans="5:9" ht="15.75" customHeight="1">
      <c r="E634" s="143"/>
      <c r="H634" s="29"/>
      <c r="I634" s="30"/>
    </row>
    <row r="635" spans="5:9" ht="15.75" customHeight="1">
      <c r="E635" s="143"/>
      <c r="H635" s="29"/>
      <c r="I635" s="30"/>
    </row>
    <row r="636" spans="5:9" ht="15.75" customHeight="1">
      <c r="E636" s="143"/>
      <c r="H636" s="29"/>
      <c r="I636" s="30"/>
    </row>
    <row r="637" spans="5:9" ht="15.75" customHeight="1">
      <c r="E637" s="143"/>
      <c r="H637" s="29"/>
      <c r="I637" s="30"/>
    </row>
    <row r="638" spans="5:9" ht="15.75" customHeight="1">
      <c r="E638" s="143"/>
      <c r="H638" s="29"/>
      <c r="I638" s="30"/>
    </row>
    <row r="639" spans="5:9" ht="15.75" customHeight="1">
      <c r="E639" s="143"/>
      <c r="H639" s="29"/>
      <c r="I639" s="30"/>
    </row>
    <row r="640" spans="5:9" ht="15.75" customHeight="1">
      <c r="E640" s="143"/>
      <c r="H640" s="29"/>
      <c r="I640" s="30"/>
    </row>
    <row r="641" spans="5:9" ht="15.75" customHeight="1">
      <c r="E641" s="143"/>
      <c r="H641" s="29"/>
      <c r="I641" s="30"/>
    </row>
    <row r="642" spans="5:9" ht="15.75" customHeight="1">
      <c r="E642" s="143"/>
      <c r="H642" s="29"/>
      <c r="I642" s="30"/>
    </row>
    <row r="643" spans="5:9" ht="15.75" customHeight="1">
      <c r="E643" s="143"/>
      <c r="H643" s="29"/>
      <c r="I643" s="30"/>
    </row>
    <row r="644" spans="5:9" ht="15.75" customHeight="1">
      <c r="E644" s="143"/>
      <c r="H644" s="29"/>
      <c r="I644" s="30"/>
    </row>
    <row r="645" spans="5:9" ht="15.75" customHeight="1">
      <c r="E645" s="143"/>
      <c r="H645" s="29"/>
      <c r="I645" s="30"/>
    </row>
    <row r="646" spans="5:9" ht="15.75" customHeight="1">
      <c r="E646" s="143"/>
      <c r="H646" s="29"/>
      <c r="I646" s="30"/>
    </row>
    <row r="647" spans="5:9" ht="15.75" customHeight="1">
      <c r="E647" s="143"/>
      <c r="H647" s="29"/>
      <c r="I647" s="30"/>
    </row>
    <row r="648" spans="5:9" ht="15.75" customHeight="1">
      <c r="E648" s="143"/>
      <c r="H648" s="29"/>
      <c r="I648" s="30"/>
    </row>
    <row r="649" spans="5:9" ht="15.75" customHeight="1">
      <c r="E649" s="143"/>
      <c r="H649" s="29"/>
      <c r="I649" s="30"/>
    </row>
    <row r="650" spans="5:9" ht="15.75" customHeight="1">
      <c r="E650" s="143"/>
      <c r="H650" s="29"/>
      <c r="I650" s="30"/>
    </row>
    <row r="651" spans="5:9" ht="15.75" customHeight="1">
      <c r="E651" s="143"/>
      <c r="H651" s="29"/>
      <c r="I651" s="30"/>
    </row>
    <row r="652" spans="5:9" ht="15.75" customHeight="1">
      <c r="E652" s="143"/>
      <c r="H652" s="29"/>
      <c r="I652" s="30"/>
    </row>
    <row r="653" spans="5:9" ht="15.75" customHeight="1">
      <c r="E653" s="143"/>
      <c r="H653" s="29"/>
      <c r="I653" s="30"/>
    </row>
    <row r="654" spans="5:9" ht="15.75" customHeight="1">
      <c r="E654" s="143"/>
      <c r="H654" s="29"/>
      <c r="I654" s="30"/>
    </row>
    <row r="655" spans="5:9" ht="15.75" customHeight="1">
      <c r="E655" s="143"/>
      <c r="H655" s="29"/>
      <c r="I655" s="30"/>
    </row>
    <row r="656" spans="5:9" ht="15.75" customHeight="1">
      <c r="E656" s="143"/>
      <c r="H656" s="29"/>
      <c r="I656" s="30"/>
    </row>
    <row r="657" spans="5:9" ht="15.75" customHeight="1">
      <c r="E657" s="143"/>
      <c r="H657" s="29"/>
      <c r="I657" s="30"/>
    </row>
    <row r="658" spans="5:9" ht="15.75" customHeight="1">
      <c r="E658" s="143"/>
      <c r="H658" s="29"/>
      <c r="I658" s="30"/>
    </row>
    <row r="659" spans="5:9" ht="15.75" customHeight="1">
      <c r="E659" s="143"/>
      <c r="H659" s="29"/>
      <c r="I659" s="30"/>
    </row>
    <row r="660" spans="5:9" ht="15.75" customHeight="1">
      <c r="E660" s="143"/>
      <c r="H660" s="29"/>
      <c r="I660" s="30"/>
    </row>
    <row r="661" spans="5:9" ht="15.75" customHeight="1">
      <c r="E661" s="143"/>
      <c r="H661" s="29"/>
      <c r="I661" s="30"/>
    </row>
    <row r="662" spans="5:9" ht="15.75" customHeight="1">
      <c r="E662" s="143"/>
      <c r="H662" s="29"/>
      <c r="I662" s="30"/>
    </row>
    <row r="663" spans="5:9" ht="15.75" customHeight="1">
      <c r="E663" s="143"/>
      <c r="H663" s="29"/>
      <c r="I663" s="30"/>
    </row>
    <row r="664" spans="5:9" ht="15.75" customHeight="1">
      <c r="E664" s="143"/>
      <c r="H664" s="29"/>
      <c r="I664" s="30"/>
    </row>
    <row r="665" spans="5:9" ht="15.75" customHeight="1">
      <c r="E665" s="143"/>
      <c r="H665" s="29"/>
      <c r="I665" s="30"/>
    </row>
    <row r="666" spans="5:9" ht="15.75" customHeight="1">
      <c r="E666" s="143"/>
      <c r="H666" s="29"/>
      <c r="I666" s="30"/>
    </row>
    <row r="667" spans="5:9" ht="15.75" customHeight="1">
      <c r="E667" s="143"/>
      <c r="H667" s="29"/>
      <c r="I667" s="30"/>
    </row>
    <row r="668" spans="5:9" ht="15.75" customHeight="1">
      <c r="E668" s="143"/>
      <c r="H668" s="29"/>
      <c r="I668" s="30"/>
    </row>
    <row r="669" spans="5:9" ht="15.75" customHeight="1">
      <c r="E669" s="143"/>
      <c r="H669" s="29"/>
      <c r="I669" s="30"/>
    </row>
    <row r="670" spans="5:9" ht="15.75" customHeight="1">
      <c r="E670" s="143"/>
      <c r="H670" s="29"/>
      <c r="I670" s="30"/>
    </row>
    <row r="671" spans="5:9" ht="15.75" customHeight="1">
      <c r="E671" s="143"/>
      <c r="H671" s="29"/>
      <c r="I671" s="30"/>
    </row>
    <row r="672" spans="5:9" ht="15.75" customHeight="1">
      <c r="E672" s="143"/>
      <c r="H672" s="29"/>
      <c r="I672" s="30"/>
    </row>
    <row r="673" spans="5:9" ht="15.75" customHeight="1">
      <c r="E673" s="143"/>
      <c r="H673" s="29"/>
      <c r="I673" s="30"/>
    </row>
    <row r="674" spans="5:9" ht="15.75" customHeight="1">
      <c r="E674" s="143"/>
      <c r="H674" s="29"/>
      <c r="I674" s="30"/>
    </row>
    <row r="675" spans="5:9" ht="15.75" customHeight="1">
      <c r="E675" s="143"/>
      <c r="H675" s="29"/>
      <c r="I675" s="30"/>
    </row>
    <row r="676" spans="5:9" ht="15.75" customHeight="1">
      <c r="E676" s="143"/>
      <c r="H676" s="29"/>
      <c r="I676" s="30"/>
    </row>
    <row r="677" spans="5:9" ht="15.75" customHeight="1">
      <c r="E677" s="143"/>
      <c r="H677" s="29"/>
      <c r="I677" s="30"/>
    </row>
    <row r="678" spans="5:9" ht="15.75" customHeight="1">
      <c r="E678" s="143"/>
      <c r="H678" s="29"/>
      <c r="I678" s="30"/>
    </row>
    <row r="679" spans="5:9" ht="15.75" customHeight="1">
      <c r="E679" s="143"/>
      <c r="H679" s="29"/>
      <c r="I679" s="30"/>
    </row>
    <row r="680" spans="5:9" ht="15.75" customHeight="1">
      <c r="E680" s="143"/>
      <c r="H680" s="29"/>
      <c r="I680" s="30"/>
    </row>
    <row r="681" spans="5:9" ht="15.75" customHeight="1">
      <c r="E681" s="143"/>
      <c r="H681" s="29"/>
      <c r="I681" s="30"/>
    </row>
    <row r="682" spans="5:9" ht="15.75" customHeight="1">
      <c r="E682" s="143"/>
      <c r="H682" s="29"/>
      <c r="I682" s="30"/>
    </row>
    <row r="683" spans="5:9" ht="15.75" customHeight="1">
      <c r="E683" s="143"/>
      <c r="H683" s="29"/>
      <c r="I683" s="30"/>
    </row>
    <row r="684" spans="5:9" ht="15.75" customHeight="1">
      <c r="E684" s="143"/>
      <c r="H684" s="29"/>
      <c r="I684" s="30"/>
    </row>
    <row r="685" spans="5:9" ht="15.75" customHeight="1">
      <c r="E685" s="143"/>
      <c r="H685" s="29"/>
      <c r="I685" s="30"/>
    </row>
    <row r="686" spans="5:9" ht="15.75" customHeight="1">
      <c r="E686" s="143"/>
      <c r="H686" s="29"/>
      <c r="I686" s="30"/>
    </row>
    <row r="687" spans="5:9" ht="15.75" customHeight="1">
      <c r="E687" s="143"/>
      <c r="H687" s="29"/>
      <c r="I687" s="30"/>
    </row>
    <row r="688" spans="5:9" ht="15.75" customHeight="1">
      <c r="E688" s="143"/>
      <c r="H688" s="29"/>
      <c r="I688" s="30"/>
    </row>
    <row r="689" spans="5:9" ht="15.75" customHeight="1">
      <c r="E689" s="143"/>
      <c r="H689" s="29"/>
      <c r="I689" s="30"/>
    </row>
    <row r="690" spans="5:9" ht="15.75" customHeight="1">
      <c r="E690" s="143"/>
      <c r="H690" s="29"/>
      <c r="I690" s="30"/>
    </row>
    <row r="691" spans="5:9" ht="15.75" customHeight="1">
      <c r="E691" s="143"/>
      <c r="H691" s="29"/>
      <c r="I691" s="30"/>
    </row>
    <row r="692" spans="5:9" ht="15.75" customHeight="1">
      <c r="E692" s="143"/>
      <c r="H692" s="29"/>
      <c r="I692" s="30"/>
    </row>
    <row r="693" spans="5:9" ht="15.75" customHeight="1">
      <c r="E693" s="143"/>
      <c r="H693" s="29"/>
      <c r="I693" s="30"/>
    </row>
    <row r="694" spans="5:9" ht="15.75" customHeight="1">
      <c r="E694" s="143"/>
      <c r="H694" s="29"/>
      <c r="I694" s="30"/>
    </row>
    <row r="695" spans="5:9" ht="15.75" customHeight="1">
      <c r="E695" s="143"/>
      <c r="H695" s="29"/>
      <c r="I695" s="30"/>
    </row>
    <row r="696" spans="5:9" ht="15.75" customHeight="1">
      <c r="E696" s="143"/>
      <c r="H696" s="29"/>
      <c r="I696" s="30"/>
    </row>
    <row r="697" spans="5:9" ht="15.75" customHeight="1">
      <c r="E697" s="143"/>
      <c r="H697" s="29"/>
      <c r="I697" s="30"/>
    </row>
    <row r="698" spans="5:9" ht="15.75" customHeight="1">
      <c r="E698" s="143"/>
      <c r="H698" s="29"/>
      <c r="I698" s="30"/>
    </row>
    <row r="699" spans="5:9" ht="15.75" customHeight="1">
      <c r="E699" s="143"/>
      <c r="H699" s="29"/>
      <c r="I699" s="30"/>
    </row>
    <row r="700" spans="5:9" ht="15.75" customHeight="1">
      <c r="E700" s="143"/>
      <c r="H700" s="29"/>
      <c r="I700" s="30"/>
    </row>
    <row r="701" spans="5:9" ht="15.75" customHeight="1">
      <c r="E701" s="143"/>
      <c r="H701" s="29"/>
      <c r="I701" s="30"/>
    </row>
    <row r="702" spans="5:9" ht="15.75" customHeight="1">
      <c r="E702" s="143"/>
      <c r="H702" s="29"/>
      <c r="I702" s="30"/>
    </row>
    <row r="703" spans="5:9" ht="15.75" customHeight="1">
      <c r="E703" s="143"/>
      <c r="H703" s="29"/>
      <c r="I703" s="30"/>
    </row>
    <row r="704" spans="5:9" ht="15.75" customHeight="1">
      <c r="E704" s="143"/>
      <c r="H704" s="29"/>
      <c r="I704" s="30"/>
    </row>
    <row r="705" spans="5:9" ht="15.75" customHeight="1">
      <c r="E705" s="143"/>
      <c r="H705" s="29"/>
      <c r="I705" s="30"/>
    </row>
    <row r="706" spans="5:9" ht="15.75" customHeight="1">
      <c r="E706" s="143"/>
      <c r="H706" s="29"/>
      <c r="I706" s="30"/>
    </row>
    <row r="707" spans="5:9" ht="15.75" customHeight="1">
      <c r="E707" s="143"/>
      <c r="H707" s="29"/>
      <c r="I707" s="30"/>
    </row>
    <row r="708" spans="5:9" ht="15.75" customHeight="1">
      <c r="E708" s="143"/>
      <c r="H708" s="29"/>
      <c r="I708" s="30"/>
    </row>
    <row r="709" spans="5:9" ht="15.75" customHeight="1">
      <c r="E709" s="143"/>
      <c r="H709" s="29"/>
      <c r="I709" s="30"/>
    </row>
    <row r="710" spans="5:9" ht="15.75" customHeight="1">
      <c r="E710" s="143"/>
      <c r="H710" s="29"/>
      <c r="I710" s="30"/>
    </row>
    <row r="711" spans="5:9" ht="15.75" customHeight="1">
      <c r="E711" s="143"/>
      <c r="H711" s="29"/>
      <c r="I711" s="30"/>
    </row>
    <row r="712" spans="5:9" ht="15.75" customHeight="1">
      <c r="E712" s="143"/>
      <c r="H712" s="29"/>
      <c r="I712" s="30"/>
    </row>
    <row r="713" spans="5:9" ht="15.75" customHeight="1">
      <c r="E713" s="143"/>
      <c r="H713" s="29"/>
      <c r="I713" s="30"/>
    </row>
    <row r="714" spans="5:9" ht="15.75" customHeight="1">
      <c r="E714" s="143"/>
      <c r="H714" s="29"/>
      <c r="I714" s="30"/>
    </row>
    <row r="715" spans="5:9" ht="15.75" customHeight="1">
      <c r="E715" s="143"/>
      <c r="H715" s="29"/>
      <c r="I715" s="30"/>
    </row>
    <row r="716" spans="5:9" ht="15.75" customHeight="1">
      <c r="E716" s="143"/>
      <c r="H716" s="29"/>
      <c r="I716" s="30"/>
    </row>
    <row r="717" spans="5:9" ht="15.75" customHeight="1">
      <c r="E717" s="143"/>
      <c r="H717" s="29"/>
      <c r="I717" s="30"/>
    </row>
    <row r="718" spans="5:9" ht="15.75" customHeight="1">
      <c r="E718" s="143"/>
      <c r="H718" s="29"/>
      <c r="I718" s="30"/>
    </row>
    <row r="719" spans="5:9" ht="15.75" customHeight="1">
      <c r="E719" s="143"/>
      <c r="H719" s="29"/>
      <c r="I719" s="30"/>
    </row>
    <row r="720" spans="5:9" ht="15.75" customHeight="1">
      <c r="E720" s="143"/>
      <c r="H720" s="29"/>
      <c r="I720" s="30"/>
    </row>
    <row r="721" spans="5:9" ht="15.75" customHeight="1">
      <c r="E721" s="143"/>
      <c r="H721" s="29"/>
      <c r="I721" s="30"/>
    </row>
    <row r="722" spans="5:9" ht="15.75" customHeight="1">
      <c r="E722" s="143"/>
      <c r="H722" s="29"/>
      <c r="I722" s="30"/>
    </row>
    <row r="723" spans="5:9" ht="15.75" customHeight="1">
      <c r="E723" s="143"/>
      <c r="H723" s="29"/>
      <c r="I723" s="30"/>
    </row>
    <row r="724" spans="5:9" ht="15.75" customHeight="1">
      <c r="E724" s="143"/>
      <c r="H724" s="29"/>
      <c r="I724" s="30"/>
    </row>
    <row r="725" spans="5:9" ht="15.75" customHeight="1">
      <c r="E725" s="143"/>
      <c r="H725" s="29"/>
      <c r="I725" s="30"/>
    </row>
    <row r="726" spans="5:9" ht="15.75" customHeight="1">
      <c r="E726" s="143"/>
      <c r="H726" s="29"/>
      <c r="I726" s="30"/>
    </row>
    <row r="727" spans="5:9" ht="15.75" customHeight="1">
      <c r="E727" s="143"/>
      <c r="H727" s="29"/>
      <c r="I727" s="30"/>
    </row>
    <row r="728" spans="5:9" ht="15.75" customHeight="1">
      <c r="E728" s="143"/>
      <c r="H728" s="29"/>
      <c r="I728" s="30"/>
    </row>
    <row r="729" spans="5:9" ht="15.75" customHeight="1">
      <c r="E729" s="143"/>
      <c r="H729" s="29"/>
      <c r="I729" s="30"/>
    </row>
    <row r="730" spans="5:9" ht="15.75" customHeight="1">
      <c r="E730" s="143"/>
      <c r="H730" s="29"/>
      <c r="I730" s="30"/>
    </row>
    <row r="731" spans="5:9" ht="15.75" customHeight="1">
      <c r="E731" s="143"/>
      <c r="H731" s="29"/>
      <c r="I731" s="30"/>
    </row>
    <row r="732" spans="5:9" ht="15.75" customHeight="1">
      <c r="E732" s="143"/>
      <c r="H732" s="29"/>
      <c r="I732" s="30"/>
    </row>
    <row r="733" spans="5:9" ht="15.75" customHeight="1">
      <c r="E733" s="143"/>
      <c r="H733" s="29"/>
      <c r="I733" s="30"/>
    </row>
    <row r="734" spans="5:9" ht="15.75" customHeight="1">
      <c r="E734" s="143"/>
      <c r="H734" s="29"/>
      <c r="I734" s="30"/>
    </row>
    <row r="735" spans="5:9" ht="15.75" customHeight="1">
      <c r="E735" s="143"/>
      <c r="H735" s="29"/>
      <c r="I735" s="30"/>
    </row>
    <row r="736" spans="5:9" ht="15.75" customHeight="1">
      <c r="E736" s="143"/>
      <c r="H736" s="29"/>
      <c r="I736" s="30"/>
    </row>
    <row r="737" spans="5:9" ht="15.75" customHeight="1">
      <c r="E737" s="143"/>
      <c r="H737" s="29"/>
      <c r="I737" s="30"/>
    </row>
    <row r="738" spans="5:9" ht="15.75" customHeight="1">
      <c r="E738" s="143"/>
      <c r="H738" s="29"/>
      <c r="I738" s="30"/>
    </row>
    <row r="739" spans="5:9" ht="15.75" customHeight="1">
      <c r="E739" s="143"/>
      <c r="H739" s="29"/>
      <c r="I739" s="30"/>
    </row>
    <row r="740" spans="5:9" ht="15.75" customHeight="1">
      <c r="E740" s="143"/>
      <c r="H740" s="29"/>
      <c r="I740" s="30"/>
    </row>
    <row r="741" spans="5:9" ht="15.75" customHeight="1">
      <c r="E741" s="143"/>
      <c r="H741" s="29"/>
      <c r="I741" s="30"/>
    </row>
    <row r="742" spans="5:9" ht="15.75" customHeight="1">
      <c r="E742" s="143"/>
      <c r="H742" s="29"/>
      <c r="I742" s="30"/>
    </row>
    <row r="743" spans="5:9" ht="15.75" customHeight="1">
      <c r="E743" s="143"/>
      <c r="H743" s="29"/>
      <c r="I743" s="30"/>
    </row>
    <row r="744" spans="5:9" ht="15.75" customHeight="1">
      <c r="E744" s="143"/>
      <c r="H744" s="29"/>
      <c r="I744" s="30"/>
    </row>
    <row r="745" spans="5:9" ht="15.75" customHeight="1">
      <c r="E745" s="143"/>
      <c r="H745" s="29"/>
      <c r="I745" s="30"/>
    </row>
    <row r="746" spans="5:9" ht="15.75" customHeight="1">
      <c r="E746" s="143"/>
      <c r="H746" s="29"/>
      <c r="I746" s="30"/>
    </row>
    <row r="747" spans="5:9" ht="15.75" customHeight="1">
      <c r="E747" s="143"/>
      <c r="H747" s="29"/>
      <c r="I747" s="30"/>
    </row>
    <row r="748" spans="5:9" ht="15.75" customHeight="1">
      <c r="E748" s="143"/>
      <c r="H748" s="29"/>
      <c r="I748" s="30"/>
    </row>
    <row r="749" spans="5:9" ht="15.75" customHeight="1">
      <c r="E749" s="143"/>
      <c r="H749" s="29"/>
      <c r="I749" s="30"/>
    </row>
    <row r="750" spans="5:9" ht="15.75" customHeight="1">
      <c r="E750" s="143"/>
      <c r="H750" s="29"/>
      <c r="I750" s="30"/>
    </row>
    <row r="751" spans="5:9" ht="15.75" customHeight="1">
      <c r="E751" s="143"/>
      <c r="H751" s="29"/>
      <c r="I751" s="30"/>
    </row>
    <row r="752" spans="5:9" ht="15.75" customHeight="1">
      <c r="E752" s="143"/>
      <c r="H752" s="29"/>
      <c r="I752" s="30"/>
    </row>
    <row r="753" spans="5:9" ht="15.75" customHeight="1">
      <c r="E753" s="143"/>
      <c r="H753" s="29"/>
      <c r="I753" s="30"/>
    </row>
    <row r="754" spans="5:9" ht="15.75" customHeight="1">
      <c r="E754" s="143"/>
      <c r="H754" s="29"/>
      <c r="I754" s="30"/>
    </row>
    <row r="755" spans="5:9" ht="15.75" customHeight="1">
      <c r="E755" s="143"/>
      <c r="H755" s="29"/>
      <c r="I755" s="30"/>
    </row>
    <row r="756" spans="5:9" ht="15.75" customHeight="1">
      <c r="E756" s="143"/>
      <c r="H756" s="29"/>
      <c r="I756" s="30"/>
    </row>
    <row r="757" spans="5:9" ht="15.75" customHeight="1">
      <c r="E757" s="143"/>
      <c r="H757" s="29"/>
      <c r="I757" s="30"/>
    </row>
    <row r="758" spans="5:9" ht="15.75" customHeight="1">
      <c r="E758" s="143"/>
      <c r="H758" s="29"/>
      <c r="I758" s="30"/>
    </row>
    <row r="759" spans="5:9" ht="15.75" customHeight="1">
      <c r="E759" s="143"/>
      <c r="H759" s="29"/>
      <c r="I759" s="30"/>
    </row>
    <row r="760" spans="5:9" ht="15.75" customHeight="1">
      <c r="E760" s="143"/>
      <c r="H760" s="29"/>
      <c r="I760" s="30"/>
    </row>
    <row r="761" spans="5:9" ht="15.75" customHeight="1">
      <c r="E761" s="143"/>
      <c r="H761" s="29"/>
      <c r="I761" s="30"/>
    </row>
    <row r="762" spans="5:9" ht="15.75" customHeight="1">
      <c r="E762" s="143"/>
      <c r="H762" s="29"/>
      <c r="I762" s="30"/>
    </row>
    <row r="763" spans="5:9" ht="15.75" customHeight="1">
      <c r="E763" s="143"/>
      <c r="H763" s="29"/>
      <c r="I763" s="30"/>
    </row>
    <row r="764" spans="5:9" ht="15.75" customHeight="1">
      <c r="E764" s="143"/>
      <c r="H764" s="29"/>
      <c r="I764" s="30"/>
    </row>
    <row r="765" spans="5:9" ht="15.75" customHeight="1">
      <c r="E765" s="143"/>
      <c r="H765" s="29"/>
      <c r="I765" s="30"/>
    </row>
    <row r="766" spans="5:9" ht="15.75" customHeight="1">
      <c r="E766" s="143"/>
      <c r="H766" s="29"/>
      <c r="I766" s="30"/>
    </row>
    <row r="767" spans="5:9" ht="15.75" customHeight="1">
      <c r="E767" s="143"/>
      <c r="H767" s="29"/>
      <c r="I767" s="30"/>
    </row>
    <row r="768" spans="5:9" ht="15.75" customHeight="1">
      <c r="E768" s="143"/>
      <c r="H768" s="29"/>
      <c r="I768" s="30"/>
    </row>
    <row r="769" spans="5:9" ht="15.75" customHeight="1">
      <c r="E769" s="143"/>
      <c r="H769" s="29"/>
      <c r="I769" s="30"/>
    </row>
    <row r="770" spans="5:9" ht="15.75" customHeight="1">
      <c r="E770" s="143"/>
      <c r="H770" s="29"/>
      <c r="I770" s="30"/>
    </row>
    <row r="771" spans="5:9" ht="15.75" customHeight="1">
      <c r="E771" s="143"/>
      <c r="H771" s="29"/>
      <c r="I771" s="30"/>
    </row>
    <row r="772" spans="5:9" ht="15.75" customHeight="1">
      <c r="E772" s="143"/>
      <c r="H772" s="29"/>
      <c r="I772" s="30"/>
    </row>
    <row r="773" spans="5:9" ht="15.75" customHeight="1">
      <c r="E773" s="143"/>
      <c r="H773" s="29"/>
      <c r="I773" s="30"/>
    </row>
    <row r="774" spans="5:9" ht="15.75" customHeight="1">
      <c r="E774" s="143"/>
      <c r="H774" s="29"/>
      <c r="I774" s="30"/>
    </row>
    <row r="775" spans="5:9" ht="15.75" customHeight="1">
      <c r="E775" s="143"/>
      <c r="H775" s="29"/>
      <c r="I775" s="30"/>
    </row>
    <row r="776" spans="5:9" ht="15.75" customHeight="1">
      <c r="E776" s="143"/>
      <c r="H776" s="29"/>
      <c r="I776" s="30"/>
    </row>
    <row r="777" spans="5:9" ht="15.75" customHeight="1">
      <c r="E777" s="143"/>
      <c r="H777" s="29"/>
      <c r="I777" s="30"/>
    </row>
    <row r="778" spans="5:9" ht="15.75" customHeight="1">
      <c r="E778" s="143"/>
      <c r="H778" s="29"/>
      <c r="I778" s="30"/>
    </row>
    <row r="779" spans="5:9" ht="15.75" customHeight="1">
      <c r="E779" s="143"/>
      <c r="H779" s="29"/>
      <c r="I779" s="30"/>
    </row>
    <row r="780" spans="5:9" ht="15.75" customHeight="1">
      <c r="E780" s="143"/>
      <c r="H780" s="29"/>
      <c r="I780" s="30"/>
    </row>
    <row r="781" spans="5:9" ht="15.75" customHeight="1">
      <c r="E781" s="143"/>
      <c r="H781" s="29"/>
      <c r="I781" s="30"/>
    </row>
    <row r="782" spans="5:9" ht="15.75" customHeight="1">
      <c r="E782" s="143"/>
      <c r="H782" s="29"/>
      <c r="I782" s="30"/>
    </row>
    <row r="783" spans="5:9" ht="15.75" customHeight="1">
      <c r="E783" s="143"/>
      <c r="H783" s="29"/>
      <c r="I783" s="30"/>
    </row>
    <row r="784" spans="5:9" ht="15.75" customHeight="1">
      <c r="E784" s="143"/>
      <c r="H784" s="29"/>
      <c r="I784" s="30"/>
    </row>
    <row r="785" spans="5:9" ht="15.75" customHeight="1">
      <c r="E785" s="143"/>
      <c r="H785" s="29"/>
      <c r="I785" s="30"/>
    </row>
    <row r="786" spans="5:9" ht="15.75" customHeight="1">
      <c r="E786" s="143"/>
      <c r="H786" s="29"/>
      <c r="I786" s="30"/>
    </row>
    <row r="787" spans="5:9" ht="15.75" customHeight="1">
      <c r="E787" s="143"/>
      <c r="H787" s="29"/>
      <c r="I787" s="30"/>
    </row>
    <row r="788" spans="5:9" ht="15.75" customHeight="1">
      <c r="E788" s="143"/>
      <c r="H788" s="29"/>
      <c r="I788" s="30"/>
    </row>
    <row r="789" spans="5:9" ht="15.75" customHeight="1">
      <c r="E789" s="143"/>
      <c r="H789" s="29"/>
      <c r="I789" s="30"/>
    </row>
    <row r="790" spans="5:9" ht="15.75" customHeight="1">
      <c r="E790" s="143"/>
      <c r="H790" s="29"/>
      <c r="I790" s="30"/>
    </row>
    <row r="791" spans="5:9" ht="15.75" customHeight="1">
      <c r="E791" s="143"/>
      <c r="H791" s="29"/>
      <c r="I791" s="30"/>
    </row>
    <row r="792" spans="5:9" ht="15.75" customHeight="1">
      <c r="E792" s="143"/>
      <c r="H792" s="29"/>
      <c r="I792" s="30"/>
    </row>
    <row r="793" spans="5:9" ht="15.75" customHeight="1">
      <c r="E793" s="143"/>
      <c r="H793" s="29"/>
      <c r="I793" s="30"/>
    </row>
    <row r="794" spans="5:9" ht="15.75" customHeight="1">
      <c r="E794" s="143"/>
      <c r="H794" s="29"/>
      <c r="I794" s="30"/>
    </row>
    <row r="795" spans="5:9" ht="15.75" customHeight="1">
      <c r="E795" s="143"/>
      <c r="H795" s="29"/>
      <c r="I795" s="30"/>
    </row>
    <row r="796" spans="5:9" ht="15.75" customHeight="1">
      <c r="E796" s="143"/>
      <c r="H796" s="29"/>
      <c r="I796" s="30"/>
    </row>
    <row r="797" spans="5:9" ht="15.75" customHeight="1">
      <c r="E797" s="143"/>
      <c r="H797" s="29"/>
      <c r="I797" s="30"/>
    </row>
    <row r="798" spans="5:9" ht="15.75" customHeight="1">
      <c r="E798" s="143"/>
      <c r="H798" s="29"/>
      <c r="I798" s="30"/>
    </row>
    <row r="799" spans="5:9" ht="15.75" customHeight="1">
      <c r="E799" s="143"/>
      <c r="H799" s="29"/>
      <c r="I799" s="30"/>
    </row>
    <row r="800" spans="5:9" ht="15.75" customHeight="1">
      <c r="E800" s="143"/>
      <c r="H800" s="29"/>
      <c r="I800" s="30"/>
    </row>
    <row r="801" spans="5:9" ht="15.75" customHeight="1">
      <c r="E801" s="143"/>
      <c r="H801" s="29"/>
      <c r="I801" s="30"/>
    </row>
    <row r="802" spans="5:9" ht="15.75" customHeight="1">
      <c r="E802" s="143"/>
      <c r="H802" s="29"/>
      <c r="I802" s="30"/>
    </row>
    <row r="803" spans="5:9" ht="15.75" customHeight="1">
      <c r="E803" s="143"/>
      <c r="H803" s="29"/>
      <c r="I803" s="30"/>
    </row>
    <row r="804" spans="5:9" ht="15.75" customHeight="1">
      <c r="E804" s="143"/>
      <c r="H804" s="29"/>
      <c r="I804" s="30"/>
    </row>
    <row r="805" spans="5:9" ht="15.75" customHeight="1">
      <c r="E805" s="143"/>
      <c r="H805" s="29"/>
      <c r="I805" s="30"/>
    </row>
    <row r="806" spans="5:9" ht="15.75" customHeight="1">
      <c r="E806" s="143"/>
      <c r="H806" s="29"/>
      <c r="I806" s="30"/>
    </row>
    <row r="807" spans="5:9" ht="15.75" customHeight="1">
      <c r="E807" s="143"/>
      <c r="H807" s="29"/>
      <c r="I807" s="30"/>
    </row>
    <row r="808" spans="5:9" ht="15.75" customHeight="1">
      <c r="E808" s="143"/>
      <c r="H808" s="29"/>
      <c r="I808" s="30"/>
    </row>
    <row r="809" spans="5:9" ht="15.75" customHeight="1">
      <c r="E809" s="143"/>
      <c r="H809" s="29"/>
      <c r="I809" s="30"/>
    </row>
    <row r="810" spans="5:9" ht="15.75" customHeight="1">
      <c r="E810" s="143"/>
      <c r="H810" s="29"/>
      <c r="I810" s="30"/>
    </row>
    <row r="811" spans="5:9" ht="15.75" customHeight="1">
      <c r="E811" s="143"/>
      <c r="H811" s="29"/>
      <c r="I811" s="30"/>
    </row>
    <row r="812" spans="5:9" ht="15.75" customHeight="1">
      <c r="E812" s="143"/>
      <c r="H812" s="29"/>
      <c r="I812" s="30"/>
    </row>
    <row r="813" spans="5:9" ht="15.75" customHeight="1">
      <c r="E813" s="143"/>
      <c r="H813" s="29"/>
      <c r="I813" s="30"/>
    </row>
    <row r="814" spans="5:9" ht="15.75" customHeight="1">
      <c r="E814" s="143"/>
      <c r="H814" s="29"/>
      <c r="I814" s="30"/>
    </row>
    <row r="815" spans="5:9" ht="15.75" customHeight="1">
      <c r="E815" s="143"/>
      <c r="H815" s="29"/>
      <c r="I815" s="30"/>
    </row>
    <row r="816" spans="5:9" ht="15.75" customHeight="1">
      <c r="E816" s="143"/>
      <c r="H816" s="29"/>
      <c r="I816" s="30"/>
    </row>
    <row r="817" spans="5:9" ht="15.75" customHeight="1">
      <c r="E817" s="143"/>
      <c r="H817" s="29"/>
      <c r="I817" s="30"/>
    </row>
    <row r="818" spans="5:9" ht="15.75" customHeight="1">
      <c r="E818" s="143"/>
      <c r="H818" s="29"/>
      <c r="I818" s="30"/>
    </row>
    <row r="819" spans="5:9" ht="15.75" customHeight="1">
      <c r="E819" s="143"/>
      <c r="H819" s="29"/>
      <c r="I819" s="30"/>
    </row>
    <row r="820" spans="5:9" ht="15.75" customHeight="1">
      <c r="E820" s="143"/>
      <c r="H820" s="29"/>
      <c r="I820" s="30"/>
    </row>
    <row r="821" spans="5:9" ht="15.75" customHeight="1">
      <c r="E821" s="143"/>
      <c r="H821" s="29"/>
      <c r="I821" s="30"/>
    </row>
    <row r="822" spans="5:9" ht="15.75" customHeight="1">
      <c r="E822" s="143"/>
      <c r="H822" s="29"/>
      <c r="I822" s="30"/>
    </row>
    <row r="823" spans="5:9" ht="15.75" customHeight="1">
      <c r="E823" s="143"/>
      <c r="H823" s="29"/>
      <c r="I823" s="30"/>
    </row>
    <row r="824" spans="5:9" ht="15.75" customHeight="1">
      <c r="E824" s="143"/>
      <c r="H824" s="29"/>
      <c r="I824" s="30"/>
    </row>
    <row r="825" spans="5:9" ht="15.75" customHeight="1">
      <c r="E825" s="143"/>
      <c r="H825" s="29"/>
      <c r="I825" s="30"/>
    </row>
    <row r="826" spans="5:9" ht="15.75" customHeight="1">
      <c r="E826" s="143"/>
      <c r="H826" s="29"/>
      <c r="I826" s="30"/>
    </row>
    <row r="827" spans="5:9" ht="15.75" customHeight="1">
      <c r="E827" s="143"/>
      <c r="H827" s="29"/>
      <c r="I827" s="30"/>
    </row>
    <row r="828" spans="5:9" ht="15.75" customHeight="1">
      <c r="E828" s="143"/>
      <c r="H828" s="29"/>
      <c r="I828" s="30"/>
    </row>
    <row r="829" spans="5:9" ht="15.75" customHeight="1">
      <c r="E829" s="143"/>
      <c r="H829" s="29"/>
      <c r="I829" s="30"/>
    </row>
    <row r="830" spans="5:9" ht="15.75" customHeight="1">
      <c r="E830" s="143"/>
      <c r="H830" s="29"/>
      <c r="I830" s="30"/>
    </row>
    <row r="831" spans="5:9" ht="15.75" customHeight="1">
      <c r="E831" s="143"/>
      <c r="H831" s="29"/>
      <c r="I831" s="30"/>
    </row>
    <row r="832" spans="5:9" ht="15.75" customHeight="1">
      <c r="E832" s="143"/>
      <c r="H832" s="29"/>
      <c r="I832" s="30"/>
    </row>
    <row r="833" spans="5:9" ht="15.75" customHeight="1">
      <c r="E833" s="143"/>
      <c r="H833" s="29"/>
      <c r="I833" s="30"/>
    </row>
    <row r="834" spans="5:9" ht="15.75" customHeight="1">
      <c r="E834" s="143"/>
      <c r="H834" s="29"/>
      <c r="I834" s="30"/>
    </row>
    <row r="835" spans="5:9" ht="15.75" customHeight="1">
      <c r="E835" s="143"/>
      <c r="H835" s="29"/>
      <c r="I835" s="30"/>
    </row>
    <row r="836" spans="5:9" ht="15.75" customHeight="1">
      <c r="E836" s="143"/>
      <c r="H836" s="29"/>
      <c r="I836" s="30"/>
    </row>
    <row r="837" spans="5:9" ht="15.75" customHeight="1">
      <c r="E837" s="143"/>
      <c r="H837" s="29"/>
      <c r="I837" s="30"/>
    </row>
    <row r="838" spans="5:9" ht="15.75" customHeight="1">
      <c r="E838" s="143"/>
      <c r="H838" s="29"/>
      <c r="I838" s="30"/>
    </row>
    <row r="839" spans="5:9" ht="15.75" customHeight="1">
      <c r="E839" s="143"/>
      <c r="H839" s="29"/>
      <c r="I839" s="30"/>
    </row>
    <row r="840" spans="5:9" ht="15.75" customHeight="1">
      <c r="E840" s="143"/>
      <c r="H840" s="29"/>
      <c r="I840" s="30"/>
    </row>
    <row r="841" spans="5:9" ht="15.75" customHeight="1">
      <c r="E841" s="143"/>
      <c r="H841" s="29"/>
      <c r="I841" s="30"/>
    </row>
    <row r="842" spans="5:9" ht="15.75" customHeight="1">
      <c r="E842" s="143"/>
      <c r="H842" s="29"/>
      <c r="I842" s="30"/>
    </row>
    <row r="843" spans="5:9" ht="15.75" customHeight="1">
      <c r="E843" s="143"/>
      <c r="H843" s="29"/>
      <c r="I843" s="30"/>
    </row>
    <row r="844" spans="5:9" ht="15.75" customHeight="1">
      <c r="E844" s="143"/>
      <c r="H844" s="29"/>
      <c r="I844" s="30"/>
    </row>
    <row r="845" spans="5:9" ht="15.75" customHeight="1">
      <c r="E845" s="143"/>
      <c r="H845" s="29"/>
      <c r="I845" s="30"/>
    </row>
    <row r="846" spans="5:9" ht="15.75" customHeight="1">
      <c r="E846" s="143"/>
      <c r="H846" s="29"/>
      <c r="I846" s="30"/>
    </row>
    <row r="847" spans="5:9" ht="15.75" customHeight="1">
      <c r="E847" s="143"/>
      <c r="H847" s="29"/>
      <c r="I847" s="30"/>
    </row>
    <row r="848" spans="5:9" ht="15.75" customHeight="1">
      <c r="E848" s="143"/>
      <c r="H848" s="29"/>
      <c r="I848" s="30"/>
    </row>
    <row r="849" spans="5:9" ht="15.75" customHeight="1">
      <c r="E849" s="143"/>
      <c r="H849" s="29"/>
      <c r="I849" s="30"/>
    </row>
    <row r="850" spans="5:9" ht="15.75" customHeight="1">
      <c r="E850" s="143"/>
      <c r="H850" s="29"/>
      <c r="I850" s="30"/>
    </row>
    <row r="851" spans="5:9" ht="15.75" customHeight="1">
      <c r="E851" s="143"/>
      <c r="H851" s="29"/>
      <c r="I851" s="30"/>
    </row>
    <row r="852" spans="5:9" ht="15.75" customHeight="1">
      <c r="E852" s="143"/>
      <c r="H852" s="29"/>
      <c r="I852" s="30"/>
    </row>
    <row r="853" spans="5:9" ht="15.75" customHeight="1">
      <c r="E853" s="143"/>
      <c r="H853" s="29"/>
      <c r="I853" s="30"/>
    </row>
    <row r="854" spans="5:9" ht="15.75" customHeight="1">
      <c r="E854" s="143"/>
      <c r="H854" s="29"/>
      <c r="I854" s="30"/>
    </row>
    <row r="855" spans="5:9" ht="15.75" customHeight="1">
      <c r="E855" s="143"/>
      <c r="H855" s="29"/>
      <c r="I855" s="30"/>
    </row>
    <row r="856" spans="5:9" ht="15.75" customHeight="1">
      <c r="E856" s="143"/>
      <c r="H856" s="29"/>
      <c r="I856" s="30"/>
    </row>
    <row r="857" spans="5:9" ht="15.75" customHeight="1">
      <c r="E857" s="143"/>
      <c r="H857" s="29"/>
      <c r="I857" s="30"/>
    </row>
    <row r="858" spans="5:9" ht="15.75" customHeight="1">
      <c r="E858" s="143"/>
      <c r="H858" s="29"/>
      <c r="I858" s="30"/>
    </row>
    <row r="859" spans="5:9" ht="15.75" customHeight="1">
      <c r="E859" s="143"/>
      <c r="H859" s="29"/>
      <c r="I859" s="30"/>
    </row>
    <row r="860" spans="5:9" ht="15.75" customHeight="1">
      <c r="E860" s="143"/>
      <c r="H860" s="29"/>
      <c r="I860" s="30"/>
    </row>
    <row r="861" spans="5:9" ht="15.75" customHeight="1">
      <c r="E861" s="143"/>
      <c r="H861" s="29"/>
      <c r="I861" s="30"/>
    </row>
    <row r="862" spans="5:9" ht="15.75" customHeight="1">
      <c r="E862" s="143"/>
      <c r="H862" s="29"/>
      <c r="I862" s="30"/>
    </row>
    <row r="863" spans="5:9" ht="15.75" customHeight="1">
      <c r="E863" s="143"/>
      <c r="H863" s="29"/>
      <c r="I863" s="30"/>
    </row>
    <row r="864" spans="5:9" ht="15.75" customHeight="1">
      <c r="E864" s="143"/>
      <c r="H864" s="29"/>
      <c r="I864" s="30"/>
    </row>
    <row r="865" spans="5:9" ht="15.75" customHeight="1">
      <c r="E865" s="143"/>
      <c r="H865" s="29"/>
      <c r="I865" s="30"/>
    </row>
    <row r="866" spans="5:9" ht="15.75" customHeight="1">
      <c r="E866" s="143"/>
      <c r="H866" s="29"/>
      <c r="I866" s="30"/>
    </row>
    <row r="867" spans="5:9" ht="15.75" customHeight="1">
      <c r="E867" s="143"/>
      <c r="H867" s="29"/>
      <c r="I867" s="30"/>
    </row>
    <row r="868" spans="5:9" ht="15.75" customHeight="1">
      <c r="E868" s="143"/>
      <c r="H868" s="29"/>
      <c r="I868" s="30"/>
    </row>
    <row r="869" spans="5:9" ht="15.75" customHeight="1">
      <c r="E869" s="143"/>
      <c r="H869" s="29"/>
      <c r="I869" s="30"/>
    </row>
    <row r="870" spans="5:9" ht="15.75" customHeight="1">
      <c r="E870" s="143"/>
      <c r="H870" s="29"/>
      <c r="I870" s="30"/>
    </row>
    <row r="871" spans="5:9" ht="15.75" customHeight="1">
      <c r="E871" s="143"/>
      <c r="H871" s="29"/>
      <c r="I871" s="30"/>
    </row>
    <row r="872" spans="5:9" ht="15.75" customHeight="1">
      <c r="E872" s="143"/>
      <c r="H872" s="29"/>
      <c r="I872" s="30"/>
    </row>
    <row r="873" spans="5:9" ht="15.75" customHeight="1">
      <c r="E873" s="143"/>
      <c r="H873" s="29"/>
      <c r="I873" s="30"/>
    </row>
    <row r="874" spans="5:9" ht="15.75" customHeight="1">
      <c r="E874" s="143"/>
      <c r="H874" s="29"/>
      <c r="I874" s="30"/>
    </row>
    <row r="875" spans="5:9" ht="15.75" customHeight="1">
      <c r="E875" s="143"/>
      <c r="H875" s="29"/>
      <c r="I875" s="30"/>
    </row>
    <row r="876" spans="5:9" ht="15.75" customHeight="1">
      <c r="E876" s="143"/>
      <c r="H876" s="29"/>
      <c r="I876" s="30"/>
    </row>
    <row r="877" spans="5:9" ht="15.75" customHeight="1">
      <c r="E877" s="143"/>
      <c r="H877" s="29"/>
      <c r="I877" s="30"/>
    </row>
    <row r="878" spans="5:9" ht="15.75" customHeight="1">
      <c r="E878" s="143"/>
      <c r="H878" s="29"/>
      <c r="I878" s="30"/>
    </row>
    <row r="879" spans="5:9" ht="15.75" customHeight="1">
      <c r="E879" s="143"/>
      <c r="H879" s="29"/>
      <c r="I879" s="30"/>
    </row>
    <row r="880" spans="5:9" ht="15.75" customHeight="1">
      <c r="E880" s="143"/>
      <c r="H880" s="29"/>
      <c r="I880" s="30"/>
    </row>
    <row r="881" spans="5:9" ht="15.75" customHeight="1">
      <c r="E881" s="143"/>
      <c r="H881" s="29"/>
      <c r="I881" s="30"/>
    </row>
    <row r="882" spans="5:9" ht="15.75" customHeight="1">
      <c r="E882" s="143"/>
      <c r="H882" s="29"/>
      <c r="I882" s="30"/>
    </row>
    <row r="883" spans="5:9" ht="15.75" customHeight="1">
      <c r="E883" s="143"/>
      <c r="H883" s="29"/>
      <c r="I883" s="30"/>
    </row>
    <row r="884" spans="5:9" ht="15.75" customHeight="1">
      <c r="E884" s="143"/>
      <c r="H884" s="29"/>
      <c r="I884" s="30"/>
    </row>
    <row r="885" spans="5:9" ht="15.75" customHeight="1">
      <c r="E885" s="143"/>
      <c r="H885" s="29"/>
      <c r="I885" s="30"/>
    </row>
    <row r="886" spans="5:9" ht="15.75" customHeight="1">
      <c r="E886" s="143"/>
      <c r="H886" s="29"/>
      <c r="I886" s="30"/>
    </row>
    <row r="887" spans="5:9" ht="15.75" customHeight="1">
      <c r="E887" s="143"/>
      <c r="H887" s="29"/>
      <c r="I887" s="30"/>
    </row>
    <row r="888" spans="5:9" ht="15.75" customHeight="1">
      <c r="E888" s="143"/>
      <c r="H888" s="29"/>
      <c r="I888" s="30"/>
    </row>
    <row r="889" spans="5:9" ht="15.75" customHeight="1">
      <c r="E889" s="143"/>
      <c r="H889" s="29"/>
      <c r="I889" s="30"/>
    </row>
    <row r="890" spans="5:9" ht="15.75" customHeight="1">
      <c r="E890" s="143"/>
      <c r="H890" s="29"/>
      <c r="I890" s="30"/>
    </row>
    <row r="891" spans="5:9" ht="15.75" customHeight="1">
      <c r="E891" s="143"/>
      <c r="H891" s="29"/>
      <c r="I891" s="30"/>
    </row>
    <row r="892" spans="5:9" ht="15.75" customHeight="1">
      <c r="E892" s="143"/>
      <c r="H892" s="29"/>
      <c r="I892" s="30"/>
    </row>
    <row r="893" spans="5:9" ht="15.75" customHeight="1">
      <c r="E893" s="143"/>
      <c r="H893" s="29"/>
      <c r="I893" s="30"/>
    </row>
    <row r="894" spans="5:9" ht="15.75" customHeight="1">
      <c r="E894" s="143"/>
      <c r="H894" s="29"/>
      <c r="I894" s="30"/>
    </row>
    <row r="895" spans="5:9" ht="15.75" customHeight="1">
      <c r="E895" s="143"/>
      <c r="H895" s="29"/>
      <c r="I895" s="30"/>
    </row>
    <row r="896" spans="5:9" ht="15.75" customHeight="1">
      <c r="E896" s="143"/>
      <c r="H896" s="29"/>
      <c r="I896" s="30"/>
    </row>
    <row r="897" spans="5:9" ht="15.75" customHeight="1">
      <c r="E897" s="143"/>
      <c r="H897" s="29"/>
      <c r="I897" s="30"/>
    </row>
    <row r="898" spans="5:9" ht="15.75" customHeight="1">
      <c r="E898" s="143"/>
      <c r="H898" s="29"/>
      <c r="I898" s="30"/>
    </row>
    <row r="899" spans="5:9" ht="15.75" customHeight="1">
      <c r="E899" s="143"/>
      <c r="H899" s="29"/>
      <c r="I899" s="30"/>
    </row>
    <row r="900" spans="5:9" ht="15.75" customHeight="1">
      <c r="E900" s="143"/>
      <c r="H900" s="29"/>
      <c r="I900" s="30"/>
    </row>
    <row r="901" spans="5:9" ht="15.75" customHeight="1">
      <c r="E901" s="143"/>
      <c r="H901" s="29"/>
      <c r="I901" s="30"/>
    </row>
    <row r="902" spans="5:9" ht="15.75" customHeight="1">
      <c r="E902" s="143"/>
      <c r="H902" s="29"/>
      <c r="I902" s="30"/>
    </row>
    <row r="903" spans="5:9" ht="15.75" customHeight="1">
      <c r="E903" s="143"/>
      <c r="H903" s="29"/>
      <c r="I903" s="30"/>
    </row>
    <row r="904" spans="5:9" ht="15.75" customHeight="1">
      <c r="E904" s="143"/>
      <c r="H904" s="29"/>
      <c r="I904" s="30"/>
    </row>
    <row r="905" spans="5:9" ht="15.75" customHeight="1">
      <c r="E905" s="143"/>
      <c r="H905" s="29"/>
      <c r="I905" s="30"/>
    </row>
    <row r="906" spans="5:9" ht="15.75" customHeight="1">
      <c r="E906" s="143"/>
      <c r="H906" s="29"/>
      <c r="I906" s="30"/>
    </row>
    <row r="907" spans="5:9" ht="15.75" customHeight="1">
      <c r="E907" s="143"/>
      <c r="H907" s="29"/>
      <c r="I907" s="30"/>
    </row>
    <row r="908" spans="5:9" ht="15.75" customHeight="1">
      <c r="E908" s="143"/>
      <c r="H908" s="29"/>
      <c r="I908" s="30"/>
    </row>
    <row r="909" spans="5:9" ht="15.75" customHeight="1">
      <c r="E909" s="143"/>
      <c r="H909" s="29"/>
      <c r="I909" s="30"/>
    </row>
    <row r="910" spans="5:9" ht="15.75" customHeight="1">
      <c r="E910" s="143"/>
      <c r="H910" s="29"/>
      <c r="I910" s="30"/>
    </row>
    <row r="911" spans="5:9" ht="15.75" customHeight="1">
      <c r="E911" s="143"/>
      <c r="H911" s="29"/>
      <c r="I911" s="30"/>
    </row>
    <row r="912" spans="5:9" ht="15.75" customHeight="1">
      <c r="E912" s="143"/>
      <c r="H912" s="29"/>
      <c r="I912" s="30"/>
    </row>
    <row r="913" spans="5:9" ht="15.75" customHeight="1">
      <c r="E913" s="143"/>
      <c r="H913" s="29"/>
      <c r="I913" s="30"/>
    </row>
    <row r="914" spans="5:9" ht="15.75" customHeight="1">
      <c r="E914" s="143"/>
      <c r="H914" s="29"/>
      <c r="I914" s="30"/>
    </row>
    <row r="915" spans="5:9" ht="15.75" customHeight="1">
      <c r="E915" s="143"/>
      <c r="H915" s="29"/>
      <c r="I915" s="30"/>
    </row>
    <row r="916" spans="5:9" ht="15.75" customHeight="1">
      <c r="E916" s="143"/>
      <c r="H916" s="29"/>
      <c r="I916" s="30"/>
    </row>
    <row r="917" spans="5:9" ht="15.75" customHeight="1">
      <c r="E917" s="143"/>
      <c r="H917" s="29"/>
      <c r="I917" s="30"/>
    </row>
    <row r="918" spans="5:9" ht="15.75" customHeight="1">
      <c r="E918" s="143"/>
      <c r="H918" s="29"/>
      <c r="I918" s="30"/>
    </row>
    <row r="919" spans="5:9" ht="15.75" customHeight="1">
      <c r="E919" s="143"/>
      <c r="H919" s="29"/>
      <c r="I919" s="30"/>
    </row>
    <row r="920" spans="5:9" ht="15.75" customHeight="1">
      <c r="E920" s="143"/>
      <c r="H920" s="29"/>
      <c r="I920" s="30"/>
    </row>
    <row r="921" spans="5:9" ht="15.75" customHeight="1">
      <c r="E921" s="143"/>
      <c r="H921" s="29"/>
      <c r="I921" s="30"/>
    </row>
    <row r="922" spans="5:9" ht="15.75" customHeight="1">
      <c r="E922" s="143"/>
      <c r="H922" s="29"/>
      <c r="I922" s="30"/>
    </row>
    <row r="923" spans="5:9" ht="15.75" customHeight="1">
      <c r="E923" s="143"/>
      <c r="H923" s="29"/>
      <c r="I923" s="30"/>
    </row>
    <row r="924" spans="5:9" ht="15.75" customHeight="1">
      <c r="E924" s="143"/>
      <c r="H924" s="29"/>
      <c r="I924" s="30"/>
    </row>
    <row r="925" spans="5:9" ht="15.75" customHeight="1">
      <c r="E925" s="143"/>
      <c r="H925" s="29"/>
      <c r="I925" s="30"/>
    </row>
    <row r="926" spans="5:9" ht="15.75" customHeight="1">
      <c r="E926" s="143"/>
      <c r="H926" s="29"/>
      <c r="I926" s="30"/>
    </row>
    <row r="927" spans="5:9" ht="15.75" customHeight="1">
      <c r="E927" s="143"/>
      <c r="H927" s="29"/>
      <c r="I927" s="30"/>
    </row>
    <row r="928" spans="5:9" ht="15.75" customHeight="1">
      <c r="E928" s="143"/>
      <c r="H928" s="29"/>
      <c r="I928" s="30"/>
    </row>
    <row r="929" spans="5:9" ht="15.75" customHeight="1">
      <c r="E929" s="143"/>
      <c r="H929" s="29"/>
      <c r="I929" s="30"/>
    </row>
    <row r="930" spans="5:9" ht="15.75" customHeight="1">
      <c r="E930" s="143"/>
      <c r="H930" s="29"/>
      <c r="I930" s="30"/>
    </row>
    <row r="931" spans="5:9" ht="15.75" customHeight="1">
      <c r="E931" s="143"/>
      <c r="H931" s="29"/>
      <c r="I931" s="30"/>
    </row>
    <row r="932" spans="5:9" ht="15.75" customHeight="1">
      <c r="E932" s="143"/>
      <c r="H932" s="29"/>
      <c r="I932" s="30"/>
    </row>
    <row r="933" spans="5:9" ht="15.75" customHeight="1">
      <c r="E933" s="143"/>
      <c r="H933" s="29"/>
      <c r="I933" s="30"/>
    </row>
    <row r="934" spans="5:9" ht="15.75" customHeight="1">
      <c r="E934" s="143"/>
      <c r="H934" s="29"/>
      <c r="I934" s="30"/>
    </row>
    <row r="935" spans="5:9" ht="15.75" customHeight="1">
      <c r="E935" s="143"/>
      <c r="H935" s="29"/>
      <c r="I935" s="30"/>
    </row>
    <row r="936" spans="5:9" ht="15.75" customHeight="1">
      <c r="E936" s="143"/>
      <c r="H936" s="29"/>
      <c r="I936" s="30"/>
    </row>
    <row r="937" spans="5:9" ht="15.75" customHeight="1">
      <c r="E937" s="143"/>
      <c r="H937" s="29"/>
      <c r="I937" s="30"/>
    </row>
    <row r="938" spans="5:9" ht="15.75" customHeight="1">
      <c r="E938" s="143"/>
      <c r="H938" s="29"/>
      <c r="I938" s="30"/>
    </row>
    <row r="939" spans="5:9" ht="15.75" customHeight="1">
      <c r="E939" s="143"/>
      <c r="H939" s="29"/>
      <c r="I939" s="30"/>
    </row>
    <row r="940" spans="5:9" ht="15.75" customHeight="1">
      <c r="E940" s="143"/>
      <c r="H940" s="29"/>
      <c r="I940" s="30"/>
    </row>
    <row r="941" spans="5:9" ht="15.75" customHeight="1">
      <c r="E941" s="143"/>
      <c r="H941" s="29"/>
      <c r="I941" s="30"/>
    </row>
    <row r="942" spans="5:9" ht="15.75" customHeight="1">
      <c r="E942" s="143"/>
      <c r="H942" s="29"/>
      <c r="I942" s="30"/>
    </row>
    <row r="943" spans="5:9" ht="15.75" customHeight="1">
      <c r="E943" s="143"/>
      <c r="H943" s="29"/>
      <c r="I943" s="30"/>
    </row>
    <row r="944" spans="5:9" ht="15.75" customHeight="1">
      <c r="E944" s="143"/>
      <c r="H944" s="29"/>
      <c r="I944" s="30"/>
    </row>
    <row r="945" spans="5:9" ht="15.75" customHeight="1">
      <c r="E945" s="143"/>
      <c r="H945" s="29"/>
      <c r="I945" s="30"/>
    </row>
    <row r="946" spans="5:9" ht="15.75" customHeight="1">
      <c r="E946" s="143"/>
      <c r="H946" s="29"/>
      <c r="I946" s="30"/>
    </row>
    <row r="947" spans="5:9" ht="15.75" customHeight="1">
      <c r="E947" s="143"/>
      <c r="H947" s="29"/>
      <c r="I947" s="30"/>
    </row>
    <row r="948" spans="5:9" ht="15.75" customHeight="1">
      <c r="E948" s="143"/>
      <c r="H948" s="29"/>
      <c r="I948" s="30"/>
    </row>
    <row r="949" spans="5:9" ht="15.75" customHeight="1">
      <c r="E949" s="143"/>
      <c r="H949" s="29"/>
      <c r="I949" s="30"/>
    </row>
    <row r="950" spans="5:9" ht="15.75" customHeight="1">
      <c r="E950" s="143"/>
      <c r="H950" s="29"/>
      <c r="I950" s="30"/>
    </row>
    <row r="951" spans="5:9" ht="15.75" customHeight="1">
      <c r="E951" s="143"/>
      <c r="H951" s="29"/>
      <c r="I951" s="30"/>
    </row>
    <row r="952" spans="5:9" ht="15.75" customHeight="1">
      <c r="E952" s="143"/>
      <c r="H952" s="29"/>
      <c r="I952" s="30"/>
    </row>
    <row r="953" spans="5:9" ht="15.75" customHeight="1">
      <c r="E953" s="143"/>
      <c r="H953" s="29"/>
      <c r="I953" s="30"/>
    </row>
    <row r="954" spans="5:9" ht="15.75" customHeight="1">
      <c r="E954" s="143"/>
      <c r="H954" s="29"/>
      <c r="I954" s="30"/>
    </row>
    <row r="955" spans="5:9" ht="15.75" customHeight="1">
      <c r="E955" s="143"/>
      <c r="H955" s="29"/>
      <c r="I955" s="30"/>
    </row>
    <row r="956" spans="5:9" ht="15.75" customHeight="1">
      <c r="E956" s="143"/>
      <c r="H956" s="29"/>
      <c r="I956" s="30"/>
    </row>
    <row r="957" spans="5:9" ht="15.75" customHeight="1">
      <c r="E957" s="143"/>
      <c r="H957" s="29"/>
      <c r="I957" s="30"/>
    </row>
    <row r="958" spans="5:9" ht="15.75" customHeight="1">
      <c r="E958" s="143"/>
      <c r="H958" s="29"/>
      <c r="I958" s="30"/>
    </row>
    <row r="959" spans="5:9" ht="15.75" customHeight="1">
      <c r="E959" s="143"/>
      <c r="H959" s="29"/>
      <c r="I959" s="30"/>
    </row>
    <row r="960" spans="5:9" ht="15.75" customHeight="1">
      <c r="E960" s="143"/>
      <c r="H960" s="29"/>
      <c r="I960" s="30"/>
    </row>
    <row r="961" spans="5:9" ht="15.75" customHeight="1">
      <c r="E961" s="143"/>
      <c r="H961" s="29"/>
      <c r="I961" s="30"/>
    </row>
    <row r="962" spans="5:9" ht="15.75" customHeight="1">
      <c r="E962" s="143"/>
      <c r="H962" s="29"/>
      <c r="I962" s="30"/>
    </row>
    <row r="963" spans="5:9" ht="15.75" customHeight="1">
      <c r="E963" s="143"/>
      <c r="H963" s="29"/>
      <c r="I963" s="30"/>
    </row>
    <row r="964" spans="5:9" ht="15.75" customHeight="1">
      <c r="E964" s="143"/>
      <c r="H964" s="29"/>
      <c r="I964" s="30"/>
    </row>
    <row r="965" spans="5:9" ht="15.75" customHeight="1">
      <c r="E965" s="143"/>
      <c r="H965" s="29"/>
      <c r="I965" s="30"/>
    </row>
    <row r="966" spans="5:9" ht="15.75" customHeight="1">
      <c r="E966" s="143"/>
      <c r="H966" s="29"/>
      <c r="I966" s="30"/>
    </row>
    <row r="967" spans="5:9" ht="15.75" customHeight="1">
      <c r="E967" s="143"/>
      <c r="H967" s="29"/>
      <c r="I967" s="30"/>
    </row>
    <row r="968" spans="5:9" ht="15.75" customHeight="1">
      <c r="E968" s="143"/>
      <c r="H968" s="29"/>
      <c r="I968" s="30"/>
    </row>
    <row r="969" spans="5:9" ht="15.75" customHeight="1">
      <c r="E969" s="143"/>
      <c r="H969" s="29"/>
      <c r="I969" s="30"/>
    </row>
    <row r="970" spans="5:9" ht="15.75" customHeight="1">
      <c r="E970" s="143"/>
      <c r="H970" s="29"/>
      <c r="I970" s="30"/>
    </row>
    <row r="971" spans="5:9" ht="15.75" customHeight="1">
      <c r="E971" s="143"/>
      <c r="H971" s="29"/>
      <c r="I971" s="30"/>
    </row>
    <row r="972" spans="5:9" ht="15.75" customHeight="1">
      <c r="E972" s="143"/>
      <c r="H972" s="29"/>
      <c r="I972" s="30"/>
    </row>
    <row r="973" spans="5:9" ht="15.75" customHeight="1">
      <c r="E973" s="143"/>
      <c r="H973" s="29"/>
      <c r="I973" s="30"/>
    </row>
    <row r="974" spans="5:9" ht="15.75" customHeight="1">
      <c r="E974" s="143"/>
      <c r="H974" s="29"/>
      <c r="I974" s="30"/>
    </row>
    <row r="975" spans="5:9" ht="15.75" customHeight="1">
      <c r="E975" s="143"/>
      <c r="H975" s="29"/>
      <c r="I975" s="30"/>
    </row>
    <row r="976" spans="5:9" ht="15.75" customHeight="1">
      <c r="E976" s="143"/>
      <c r="H976" s="29"/>
      <c r="I976" s="30"/>
    </row>
    <row r="977" spans="5:9" ht="15.75" customHeight="1">
      <c r="E977" s="143"/>
      <c r="H977" s="29"/>
      <c r="I977" s="30"/>
    </row>
    <row r="978" spans="5:9" ht="15.75" customHeight="1">
      <c r="E978" s="143"/>
      <c r="H978" s="29"/>
      <c r="I978" s="30"/>
    </row>
    <row r="979" spans="5:9" ht="15.75" customHeight="1">
      <c r="E979" s="143"/>
      <c r="H979" s="29"/>
      <c r="I979" s="30"/>
    </row>
    <row r="980" spans="5:9" ht="15.75" customHeight="1">
      <c r="E980" s="143"/>
      <c r="H980" s="29"/>
      <c r="I980" s="30"/>
    </row>
    <row r="981" spans="5:9" ht="15.75" customHeight="1">
      <c r="E981" s="143"/>
      <c r="H981" s="29"/>
      <c r="I981" s="30"/>
    </row>
    <row r="982" spans="5:9" ht="15.75" customHeight="1">
      <c r="E982" s="143"/>
      <c r="H982" s="29"/>
      <c r="I982" s="30"/>
    </row>
    <row r="983" spans="5:9" ht="15.75" customHeight="1">
      <c r="E983" s="143"/>
      <c r="H983" s="29"/>
      <c r="I983" s="30"/>
    </row>
    <row r="984" spans="5:9" ht="15.75" customHeight="1">
      <c r="E984" s="143"/>
      <c r="H984" s="29"/>
      <c r="I984" s="30"/>
    </row>
    <row r="985" spans="5:9" ht="15.75" customHeight="1">
      <c r="E985" s="143"/>
      <c r="H985" s="29"/>
      <c r="I985" s="30"/>
    </row>
    <row r="986" spans="5:9" ht="15.75" customHeight="1">
      <c r="E986" s="143"/>
      <c r="H986" s="29"/>
      <c r="I986" s="30"/>
    </row>
    <row r="987" spans="5:9" ht="15.75" customHeight="1">
      <c r="E987" s="143"/>
      <c r="H987" s="29"/>
      <c r="I987" s="30"/>
    </row>
    <row r="988" spans="5:9" ht="15.75" customHeight="1">
      <c r="E988" s="143"/>
      <c r="H988" s="29"/>
      <c r="I988" s="30"/>
    </row>
    <row r="989" spans="5:9" ht="15.75" customHeight="1">
      <c r="E989" s="143"/>
      <c r="H989" s="29"/>
      <c r="I989" s="30"/>
    </row>
    <row r="990" spans="5:9" ht="15.75" customHeight="1">
      <c r="E990" s="143"/>
      <c r="H990" s="29"/>
      <c r="I990" s="30"/>
    </row>
    <row r="991" spans="5:9" ht="15.75" customHeight="1">
      <c r="E991" s="143"/>
      <c r="H991" s="29"/>
      <c r="I991" s="30"/>
    </row>
    <row r="992" spans="5:9" ht="15.75" customHeight="1">
      <c r="E992" s="143"/>
      <c r="H992" s="29"/>
      <c r="I992" s="30"/>
    </row>
    <row r="993" spans="5:9" ht="15.75" customHeight="1">
      <c r="E993" s="143"/>
      <c r="H993" s="29"/>
      <c r="I993" s="30"/>
    </row>
  </sheetData>
  <dataValidations count="1">
    <dataValidation type="list" allowBlank="1" showErrorMessage="1" sqref="W3:W8" xr:uid="{FD680E17-3077-4A9E-9946-4C9F078CFA7B}">
      <formula1>"Open,Inprogress,Closed"</formula1>
    </dataValidation>
  </dataValidations>
  <hyperlinks>
    <hyperlink ref="M3" r:id="rId1" xr:uid="{1F7C781E-8AF3-45EC-82E3-3783EC985CB0}"/>
    <hyperlink ref="M4" r:id="rId2" xr:uid="{C0FC425F-B52E-46EF-9A86-99F3EB8F66E3}"/>
    <hyperlink ref="M6" r:id="rId3" xr:uid="{A591D0FC-3F59-4A96-BC1A-0B44BD2F0B39}"/>
  </hyperlinks>
  <pageMargins left="0" right="0" top="0" bottom="0" header="0" footer="0"/>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0937A-C201-4B6C-92A8-0B814C0C3FEE}">
  <sheetPr>
    <outlinePr summaryBelow="0" summaryRight="0"/>
  </sheetPr>
  <dimension ref="A1:Z997"/>
  <sheetViews>
    <sheetView workbookViewId="0"/>
  </sheetViews>
  <sheetFormatPr defaultColWidth="12.5703125" defaultRowHeight="15" customHeight="1"/>
  <cols>
    <col min="1" max="1" width="11.140625" customWidth="1"/>
    <col min="2" max="2" width="17.28515625" customWidth="1"/>
    <col min="3" max="5" width="12.5703125" customWidth="1"/>
    <col min="6" max="6" width="25.140625" customWidth="1"/>
    <col min="7" max="7" width="12" customWidth="1"/>
    <col min="8" max="8" width="10.7109375" customWidth="1"/>
    <col min="9" max="9" width="11.85546875" customWidth="1"/>
    <col min="10" max="10" width="20.28515625" customWidth="1"/>
    <col min="11" max="11" width="27.7109375" customWidth="1"/>
  </cols>
  <sheetData>
    <row r="1" spans="1:26" ht="15.75" customHeight="1">
      <c r="A1" s="1" t="s">
        <v>248</v>
      </c>
      <c r="B1" s="31" t="s">
        <v>11</v>
      </c>
      <c r="C1" s="32" t="s">
        <v>306</v>
      </c>
      <c r="D1" s="31" t="s">
        <v>250</v>
      </c>
      <c r="E1" s="32" t="s">
        <v>308</v>
      </c>
      <c r="F1" s="32" t="s">
        <v>309</v>
      </c>
      <c r="G1" s="31" t="s">
        <v>310</v>
      </c>
      <c r="H1" s="31" t="s">
        <v>312</v>
      </c>
      <c r="I1" s="31" t="s">
        <v>253</v>
      </c>
      <c r="J1" s="33" t="s">
        <v>313</v>
      </c>
      <c r="K1" s="34" t="s">
        <v>274</v>
      </c>
      <c r="L1" s="35"/>
      <c r="M1" s="35"/>
      <c r="N1" s="35"/>
      <c r="O1" s="35"/>
      <c r="P1" s="35"/>
      <c r="Q1" s="35"/>
      <c r="R1" s="35"/>
      <c r="S1" s="35"/>
      <c r="T1" s="35"/>
      <c r="U1" s="35"/>
      <c r="V1" s="35"/>
      <c r="W1" s="35"/>
      <c r="X1" s="35"/>
      <c r="Y1" s="35"/>
      <c r="Z1" s="35"/>
    </row>
    <row r="2" spans="1:26" ht="15.75" customHeight="1">
      <c r="A2" s="109"/>
      <c r="B2" s="25"/>
      <c r="C2" s="27"/>
      <c r="D2" s="26"/>
      <c r="E2" s="26"/>
      <c r="F2" s="27"/>
      <c r="G2" s="26"/>
      <c r="H2" s="26"/>
      <c r="I2" s="26"/>
      <c r="J2" s="26"/>
      <c r="K2" s="26"/>
      <c r="L2" s="35"/>
      <c r="M2" s="35"/>
      <c r="N2" s="35"/>
      <c r="O2" s="35"/>
      <c r="P2" s="35"/>
      <c r="Q2" s="35"/>
      <c r="R2" s="35"/>
      <c r="S2" s="35"/>
      <c r="T2" s="35"/>
      <c r="U2" s="35"/>
      <c r="V2" s="35"/>
    </row>
    <row r="3" spans="1:26" ht="15.75" customHeight="1">
      <c r="A3" s="919" t="s">
        <v>1781</v>
      </c>
      <c r="B3" s="919"/>
      <c r="C3" s="919"/>
    </row>
    <row r="4" spans="1:26" ht="15.75" customHeight="1"/>
    <row r="5" spans="1:26" ht="15.75" customHeight="1"/>
    <row r="6" spans="1:26" ht="15.75" customHeight="1"/>
    <row r="7" spans="1:26" ht="15.75" customHeight="1"/>
    <row r="8" spans="1:26" ht="15.75" customHeight="1"/>
    <row r="9" spans="1:26" ht="15.75" customHeight="1"/>
    <row r="10" spans="1:26" ht="15.75" customHeight="1"/>
    <row r="11" spans="1:26" ht="15.75" customHeight="1"/>
    <row r="12" spans="1:26" ht="15.75" customHeight="1"/>
    <row r="13" spans="1:26" ht="15.75" customHeight="1"/>
    <row r="14" spans="1:26" ht="15.75" customHeight="1"/>
    <row r="15" spans="1:26" ht="15.75" customHeight="1"/>
    <row r="16" spans="1:2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
    <mergeCell ref="A3:C3"/>
  </mergeCells>
  <dataValidations count="4">
    <dataValidation type="list" allowBlank="1" showErrorMessage="1" sqref="G2" xr:uid="{83F84B96-428D-4207-880D-3147AC959196}">
      <formula1>"Minor,Significant,Major"</formula1>
    </dataValidation>
    <dataValidation type="list" allowBlank="1" showErrorMessage="1" sqref="I2" xr:uid="{00C88780-AA49-4BED-8205-355EFAE6A7E6}">
      <formula1>"Open,Inprogress,Closed"</formula1>
    </dataValidation>
    <dataValidation type="list" allowBlank="1" showErrorMessage="1" sqref="E2" xr:uid="{4C4DD069-0142-43B7-8D3F-19C5C09B47AB}">
      <formula1>"Bounceback,Defect,None"</formula1>
    </dataValidation>
    <dataValidation type="list" allowBlank="1" showErrorMessage="1" sqref="H2" xr:uid="{79D41060-D8A6-40F9-AEE1-3B7DF38CEC0C}">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FF548E64-A03B-44D5-9596-E64E30F7ABB9}">
          <x14:formula1>
            <xm:f>Details!$A$2:$A$10</xm:f>
          </x14:formula1>
          <xm:sqref>J2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5F1F0-50B5-4172-B5AF-69131842ED12}">
  <sheetPr>
    <outlinePr summaryBelow="0" summaryRight="0"/>
  </sheetPr>
  <dimension ref="A1:X993"/>
  <sheetViews>
    <sheetView showGridLines="0" workbookViewId="0">
      <pane xSplit="5" ySplit="2" topLeftCell="F3" activePane="bottomRight" state="frozen"/>
      <selection pane="bottomRight" activeCell="F1" sqref="F1"/>
      <selection pane="bottomLeft" activeCell="A3" sqref="A3"/>
      <selection pane="topRight" activeCell="F1" sqref="F1"/>
    </sheetView>
  </sheetViews>
  <sheetFormatPr defaultColWidth="12.5703125" defaultRowHeight="15" customHeight="1"/>
  <cols>
    <col min="1" max="1" width="4.28515625" customWidth="1"/>
    <col min="2" max="2" width="34.42578125" customWidth="1"/>
    <col min="3" max="3" width="19.7109375" customWidth="1"/>
    <col min="4" max="4" width="12.42578125" style="47" customWidth="1"/>
    <col min="5" max="5" width="53.42578125" customWidth="1"/>
    <col min="6" max="7" width="23.140625" customWidth="1"/>
    <col min="8" max="8" width="11.42578125" customWidth="1"/>
    <col min="9" max="9" width="21" customWidth="1"/>
    <col min="10" max="10" width="40.140625" customWidth="1"/>
    <col min="11" max="11" width="12.5703125" customWidth="1"/>
    <col min="12" max="12" width="40" customWidth="1"/>
    <col min="13" max="14" width="12.5703125" customWidth="1"/>
    <col min="15" max="15" width="12.5703125" style="53" customWidth="1"/>
    <col min="16" max="16" width="17" customWidth="1"/>
    <col min="17" max="17" width="46.28515625" customWidth="1"/>
    <col min="18" max="18" width="12.7109375" customWidth="1"/>
    <col min="19" max="19" width="10.140625" customWidth="1"/>
    <col min="20" max="20" width="29.42578125" customWidth="1"/>
    <col min="21" max="22" width="41.28515625" customWidth="1"/>
    <col min="23" max="23" width="21.42578125" customWidth="1"/>
    <col min="24" max="24" width="53" customWidth="1"/>
  </cols>
  <sheetData>
    <row r="1" spans="1:24" ht="15.75" customHeight="1">
      <c r="A1" s="4"/>
      <c r="B1" s="4"/>
      <c r="C1" s="4"/>
      <c r="D1" s="5"/>
      <c r="E1" s="54"/>
      <c r="F1" s="4"/>
      <c r="G1" s="4"/>
      <c r="H1" s="5"/>
      <c r="I1" s="1"/>
      <c r="J1" s="4"/>
      <c r="K1" s="4"/>
      <c r="L1" s="4"/>
      <c r="M1" s="4"/>
      <c r="N1" s="4"/>
      <c r="O1" s="48"/>
      <c r="P1" s="4"/>
      <c r="Q1" s="4"/>
      <c r="R1" s="4"/>
      <c r="S1" s="4"/>
      <c r="T1" s="4"/>
      <c r="U1" s="4"/>
      <c r="V1" s="4"/>
      <c r="W1" s="4"/>
      <c r="X1" s="6"/>
    </row>
    <row r="2" spans="1:24" ht="25.5" customHeight="1">
      <c r="A2" s="1" t="s">
        <v>248</v>
      </c>
      <c r="B2" s="59" t="s">
        <v>249</v>
      </c>
      <c r="C2" s="59" t="s">
        <v>250</v>
      </c>
      <c r="D2" s="68" t="s">
        <v>251</v>
      </c>
      <c r="E2" s="69" t="s">
        <v>252</v>
      </c>
      <c r="F2" s="70" t="s">
        <v>254</v>
      </c>
      <c r="G2" s="70" t="s">
        <v>255</v>
      </c>
      <c r="H2" s="68" t="s">
        <v>259</v>
      </c>
      <c r="I2" s="70" t="s">
        <v>260</v>
      </c>
      <c r="J2" s="70" t="s">
        <v>261</v>
      </c>
      <c r="K2" s="70" t="s">
        <v>262</v>
      </c>
      <c r="L2" s="70" t="s">
        <v>263</v>
      </c>
      <c r="M2" s="70" t="s">
        <v>264</v>
      </c>
      <c r="N2" s="70" t="s">
        <v>265</v>
      </c>
      <c r="O2" s="71" t="s">
        <v>266</v>
      </c>
      <c r="P2" s="70" t="s">
        <v>1571</v>
      </c>
      <c r="Q2" s="70" t="s">
        <v>268</v>
      </c>
      <c r="R2" s="70" t="s">
        <v>1572</v>
      </c>
      <c r="S2" s="70" t="s">
        <v>270</v>
      </c>
      <c r="T2" s="70" t="s">
        <v>268</v>
      </c>
      <c r="U2" s="70" t="s">
        <v>272</v>
      </c>
      <c r="V2" s="70" t="s">
        <v>273</v>
      </c>
      <c r="W2" s="70" t="s">
        <v>253</v>
      </c>
      <c r="X2" s="72" t="s">
        <v>274</v>
      </c>
    </row>
    <row r="3" spans="1:24" s="137" customFormat="1" ht="15.75" customHeight="1">
      <c r="A3" s="131">
        <v>1</v>
      </c>
      <c r="B3" s="127" t="s">
        <v>1811</v>
      </c>
      <c r="C3" s="133" t="s">
        <v>1684</v>
      </c>
      <c r="D3" s="87" t="s">
        <v>1812</v>
      </c>
      <c r="E3" s="74" t="s">
        <v>1813</v>
      </c>
      <c r="F3" s="75">
        <v>2</v>
      </c>
      <c r="G3" s="75">
        <v>2</v>
      </c>
      <c r="H3" s="77" t="s">
        <v>1591</v>
      </c>
      <c r="I3" s="77" t="s">
        <v>1591</v>
      </c>
      <c r="J3" s="77" t="s">
        <v>1591</v>
      </c>
      <c r="K3" s="77" t="s">
        <v>595</v>
      </c>
      <c r="L3" s="77" t="s">
        <v>1591</v>
      </c>
      <c r="M3" s="77" t="s">
        <v>1591</v>
      </c>
      <c r="N3" s="77" t="s">
        <v>1591</v>
      </c>
      <c r="O3" s="77" t="s">
        <v>1591</v>
      </c>
      <c r="P3" s="77" t="s">
        <v>1591</v>
      </c>
      <c r="Q3" s="77" t="s">
        <v>1591</v>
      </c>
      <c r="R3" s="77" t="s">
        <v>1591</v>
      </c>
      <c r="S3" s="77" t="s">
        <v>1591</v>
      </c>
      <c r="T3" s="77" t="s">
        <v>1591</v>
      </c>
      <c r="U3" s="87" t="s">
        <v>1591</v>
      </c>
      <c r="V3" s="77" t="s">
        <v>1591</v>
      </c>
      <c r="W3" s="139" t="s">
        <v>557</v>
      </c>
      <c r="X3" s="83" t="s">
        <v>1814</v>
      </c>
    </row>
    <row r="4" spans="1:24" s="137" customFormat="1" ht="15.75" customHeight="1">
      <c r="A4" s="131">
        <v>2</v>
      </c>
      <c r="B4" s="132" t="s">
        <v>1811</v>
      </c>
      <c r="C4" s="133" t="s">
        <v>1815</v>
      </c>
      <c r="D4" s="87" t="s">
        <v>1816</v>
      </c>
      <c r="E4" s="74" t="s">
        <v>1817</v>
      </c>
      <c r="F4" s="75">
        <v>2</v>
      </c>
      <c r="G4" s="75">
        <v>2</v>
      </c>
      <c r="H4" s="77" t="s">
        <v>318</v>
      </c>
      <c r="I4" s="77" t="s">
        <v>1818</v>
      </c>
      <c r="J4" s="77" t="s">
        <v>1423</v>
      </c>
      <c r="K4" s="77" t="s">
        <v>595</v>
      </c>
      <c r="L4" s="83" t="s">
        <v>1819</v>
      </c>
      <c r="M4" s="129" t="s">
        <v>1820</v>
      </c>
      <c r="N4" s="134">
        <v>45359</v>
      </c>
      <c r="O4" s="134">
        <v>45363</v>
      </c>
      <c r="P4" s="130" t="s">
        <v>1821</v>
      </c>
      <c r="Q4" s="83" t="s">
        <v>1819</v>
      </c>
      <c r="R4" s="130" t="s">
        <v>1723</v>
      </c>
      <c r="S4" s="135">
        <v>45363</v>
      </c>
      <c r="T4" s="83" t="s">
        <v>1819</v>
      </c>
      <c r="U4" s="136" t="s">
        <v>1591</v>
      </c>
      <c r="V4" s="136" t="s">
        <v>1819</v>
      </c>
      <c r="W4" s="83" t="s">
        <v>557</v>
      </c>
      <c r="X4" s="83"/>
    </row>
    <row r="5" spans="1:24" ht="15.75" customHeight="1">
      <c r="A5" s="98">
        <v>3</v>
      </c>
      <c r="B5" s="128" t="s">
        <v>1811</v>
      </c>
      <c r="C5" s="100" t="s">
        <v>1035</v>
      </c>
      <c r="D5" s="90" t="s">
        <v>1822</v>
      </c>
      <c r="E5" s="83" t="s">
        <v>1823</v>
      </c>
      <c r="F5" s="84">
        <v>2</v>
      </c>
      <c r="G5" s="80">
        <v>2</v>
      </c>
      <c r="H5" s="77" t="s">
        <v>1591</v>
      </c>
      <c r="I5" s="77" t="s">
        <v>1591</v>
      </c>
      <c r="J5" s="77" t="s">
        <v>1591</v>
      </c>
      <c r="K5" s="77" t="s">
        <v>1591</v>
      </c>
      <c r="L5" s="77" t="s">
        <v>1591</v>
      </c>
      <c r="M5" s="77" t="s">
        <v>1591</v>
      </c>
      <c r="N5" s="77" t="s">
        <v>1591</v>
      </c>
      <c r="O5" s="77" t="s">
        <v>1591</v>
      </c>
      <c r="P5" s="77" t="s">
        <v>1591</v>
      </c>
      <c r="Q5" s="77" t="s">
        <v>1591</v>
      </c>
      <c r="R5" s="77" t="s">
        <v>1591</v>
      </c>
      <c r="S5" s="77" t="s">
        <v>1591</v>
      </c>
      <c r="T5" s="77" t="s">
        <v>1591</v>
      </c>
      <c r="U5" s="81" t="s">
        <v>1591</v>
      </c>
      <c r="V5" s="86" t="s">
        <v>1591</v>
      </c>
      <c r="W5" s="30" t="s">
        <v>589</v>
      </c>
      <c r="X5" s="30" t="s">
        <v>1824</v>
      </c>
    </row>
    <row r="6" spans="1:24" ht="15.75" customHeight="1">
      <c r="A6" s="98">
        <v>4</v>
      </c>
      <c r="B6" s="97" t="s">
        <v>1811</v>
      </c>
      <c r="C6" s="101" t="s">
        <v>1577</v>
      </c>
      <c r="D6" s="87" t="s">
        <v>1794</v>
      </c>
      <c r="E6" s="83" t="s">
        <v>1825</v>
      </c>
      <c r="F6" s="84">
        <v>2</v>
      </c>
      <c r="G6" s="80">
        <v>2</v>
      </c>
      <c r="H6" s="77" t="s">
        <v>1591</v>
      </c>
      <c r="I6" s="77" t="s">
        <v>1591</v>
      </c>
      <c r="J6" s="77" t="s">
        <v>1591</v>
      </c>
      <c r="K6" s="77" t="s">
        <v>1591</v>
      </c>
      <c r="L6" s="77" t="s">
        <v>1591</v>
      </c>
      <c r="M6" s="77" t="s">
        <v>1591</v>
      </c>
      <c r="N6" s="77" t="s">
        <v>1591</v>
      </c>
      <c r="O6" s="77" t="s">
        <v>1591</v>
      </c>
      <c r="P6" s="77" t="s">
        <v>1591</v>
      </c>
      <c r="Q6" s="77" t="s">
        <v>1591</v>
      </c>
      <c r="R6" s="77" t="s">
        <v>1591</v>
      </c>
      <c r="S6" s="77" t="s">
        <v>1591</v>
      </c>
      <c r="T6" s="77" t="s">
        <v>1591</v>
      </c>
      <c r="U6" s="81" t="s">
        <v>1591</v>
      </c>
      <c r="V6" t="s">
        <v>1591</v>
      </c>
      <c r="W6" s="30" t="s">
        <v>589</v>
      </c>
      <c r="X6" s="30" t="s">
        <v>1826</v>
      </c>
    </row>
    <row r="7" spans="1:24" ht="15.75" customHeight="1">
      <c r="A7" s="98">
        <v>5</v>
      </c>
      <c r="B7" s="97" t="s">
        <v>1811</v>
      </c>
      <c r="C7" s="101" t="s">
        <v>1577</v>
      </c>
      <c r="D7" s="87" t="s">
        <v>1827</v>
      </c>
      <c r="E7" s="83" t="s">
        <v>1828</v>
      </c>
      <c r="F7" s="84">
        <v>1</v>
      </c>
      <c r="G7" s="80">
        <v>1</v>
      </c>
      <c r="H7" s="77" t="s">
        <v>318</v>
      </c>
      <c r="I7" s="78" t="s">
        <v>1035</v>
      </c>
      <c r="J7" s="78" t="s">
        <v>1591</v>
      </c>
      <c r="K7" s="78" t="s">
        <v>595</v>
      </c>
      <c r="L7" s="138" t="s">
        <v>1819</v>
      </c>
      <c r="M7" s="40" t="s">
        <v>1829</v>
      </c>
      <c r="N7" s="134">
        <v>45352</v>
      </c>
      <c r="O7" s="134">
        <v>45352</v>
      </c>
      <c r="P7" s="88" t="s">
        <v>1821</v>
      </c>
      <c r="Q7" s="73" t="s">
        <v>1819</v>
      </c>
      <c r="R7" s="81" t="s">
        <v>1723</v>
      </c>
      <c r="S7" s="135">
        <v>45352</v>
      </c>
      <c r="T7" s="73" t="s">
        <v>1819</v>
      </c>
      <c r="U7" s="81" t="s">
        <v>1591</v>
      </c>
      <c r="V7" s="81" t="s">
        <v>1819</v>
      </c>
      <c r="W7" s="30" t="s">
        <v>557</v>
      </c>
      <c r="X7" s="81" t="s">
        <v>1620</v>
      </c>
    </row>
    <row r="8" spans="1:24" ht="15.75" customHeight="1">
      <c r="A8" s="98"/>
      <c r="B8" s="97"/>
      <c r="C8" s="100"/>
      <c r="D8" s="87"/>
      <c r="E8" s="83"/>
      <c r="F8" s="84"/>
      <c r="G8" s="80"/>
      <c r="H8" s="77"/>
      <c r="I8" s="78"/>
      <c r="J8" s="78"/>
      <c r="K8" s="78"/>
      <c r="L8" s="89"/>
      <c r="M8" s="40"/>
      <c r="N8" s="94"/>
      <c r="O8" s="85"/>
      <c r="P8" s="80"/>
      <c r="Q8" s="78"/>
      <c r="R8" s="81"/>
      <c r="S8" s="95"/>
      <c r="T8" s="78"/>
      <c r="U8" s="81"/>
      <c r="V8" s="81"/>
      <c r="W8" s="30"/>
      <c r="X8" s="30"/>
    </row>
    <row r="9" spans="1:24" ht="15.75" customHeight="1">
      <c r="A9" s="99"/>
      <c r="B9" s="97"/>
      <c r="C9" s="102"/>
      <c r="D9" s="46"/>
      <c r="E9" s="19"/>
      <c r="F9" s="18"/>
      <c r="G9" s="18"/>
      <c r="H9" s="12"/>
      <c r="I9" s="14"/>
      <c r="J9" s="14"/>
      <c r="K9" s="14"/>
      <c r="L9" s="67"/>
      <c r="M9" s="40"/>
      <c r="N9" s="65"/>
      <c r="O9" s="66"/>
      <c r="P9" s="14"/>
      <c r="Q9" s="14"/>
      <c r="R9" s="19"/>
      <c r="S9" s="65"/>
      <c r="T9" s="14"/>
      <c r="U9" s="19"/>
      <c r="V9" s="19"/>
      <c r="W9" s="64"/>
      <c r="X9" s="19"/>
    </row>
    <row r="10" spans="1:24" ht="15.75" customHeight="1">
      <c r="A10" s="99"/>
      <c r="B10" s="97"/>
      <c r="C10" s="103"/>
      <c r="D10" s="46"/>
      <c r="E10" s="19"/>
      <c r="F10" s="18"/>
      <c r="G10" s="18"/>
      <c r="H10" s="12"/>
      <c r="I10" s="14"/>
      <c r="J10" s="14"/>
      <c r="K10" s="14"/>
      <c r="L10" s="58"/>
      <c r="M10" s="14"/>
      <c r="N10" s="14"/>
      <c r="O10" s="9"/>
      <c r="P10" s="14"/>
      <c r="Q10" s="19"/>
      <c r="R10" s="19"/>
      <c r="S10" s="19"/>
      <c r="T10" s="19"/>
      <c r="U10" s="19"/>
      <c r="V10" s="19"/>
      <c r="W10" s="64"/>
      <c r="X10" s="19"/>
    </row>
    <row r="11" spans="1:24" ht="15.75" customHeight="1">
      <c r="A11" s="99"/>
      <c r="B11" s="97"/>
      <c r="C11" s="103"/>
      <c r="D11" s="62"/>
      <c r="E11" s="19"/>
      <c r="F11" s="18"/>
      <c r="G11" s="18"/>
      <c r="H11" s="12"/>
      <c r="I11" s="10"/>
      <c r="J11" s="14"/>
      <c r="K11" s="14"/>
      <c r="L11" s="19"/>
      <c r="M11" s="14"/>
      <c r="N11" s="14"/>
      <c r="O11" s="9"/>
      <c r="P11" s="14"/>
      <c r="Q11" s="18"/>
      <c r="R11" s="19"/>
      <c r="S11" s="19"/>
      <c r="T11" s="19"/>
      <c r="U11" s="19"/>
      <c r="V11" s="19"/>
      <c r="W11" s="64"/>
      <c r="X11" s="19"/>
    </row>
    <row r="12" spans="1:24" ht="15.75" customHeight="1">
      <c r="A12" s="99"/>
      <c r="B12" s="97"/>
      <c r="C12" s="102"/>
      <c r="D12" s="62"/>
      <c r="E12" s="12"/>
      <c r="F12" s="18"/>
      <c r="G12" s="18"/>
      <c r="H12" s="12"/>
      <c r="I12" s="14"/>
      <c r="J12" s="19"/>
      <c r="K12" s="14"/>
      <c r="L12" s="19"/>
      <c r="M12" s="14"/>
      <c r="N12" s="14"/>
      <c r="O12" s="9"/>
      <c r="P12" s="14"/>
      <c r="Q12" s="19"/>
      <c r="R12" s="19"/>
      <c r="S12" s="19"/>
      <c r="T12" s="19"/>
      <c r="U12" s="19"/>
      <c r="V12" s="19"/>
      <c r="W12" s="64"/>
      <c r="X12" s="19"/>
    </row>
    <row r="13" spans="1:24" ht="15.75" customHeight="1">
      <c r="A13" s="19"/>
      <c r="B13" s="104"/>
      <c r="C13" s="14"/>
      <c r="D13" s="12"/>
      <c r="E13" s="19"/>
      <c r="F13" s="18"/>
      <c r="G13" s="18"/>
      <c r="H13" s="12"/>
      <c r="I13" s="14"/>
      <c r="J13" s="19"/>
      <c r="K13" s="14"/>
      <c r="L13" s="19"/>
      <c r="M13" s="14"/>
      <c r="N13" s="14"/>
      <c r="O13" s="9"/>
      <c r="P13" s="14"/>
      <c r="Q13" s="19"/>
      <c r="R13" s="19"/>
      <c r="S13" s="19"/>
      <c r="T13" s="19"/>
      <c r="U13" s="19"/>
      <c r="V13" s="19"/>
      <c r="W13" s="19"/>
      <c r="X13" s="19"/>
    </row>
    <row r="14" spans="1:24" ht="15.75" customHeight="1">
      <c r="A14" s="19"/>
      <c r="B14" s="60"/>
      <c r="C14" s="14"/>
      <c r="D14" s="12"/>
      <c r="E14" s="19"/>
      <c r="F14" s="18"/>
      <c r="G14" s="18"/>
      <c r="H14" s="12"/>
      <c r="I14" s="14"/>
      <c r="J14" s="19"/>
      <c r="K14" s="14"/>
      <c r="L14" s="19"/>
      <c r="M14" s="14"/>
      <c r="N14" s="14"/>
      <c r="O14" s="9"/>
      <c r="P14" s="14"/>
      <c r="Q14" s="19"/>
      <c r="R14" s="19"/>
      <c r="S14" s="19"/>
      <c r="T14" s="19"/>
      <c r="U14" s="19"/>
      <c r="V14" s="19"/>
      <c r="W14" s="19"/>
      <c r="X14" s="19"/>
    </row>
    <row r="15" spans="1:24" ht="15.75" customHeight="1">
      <c r="A15" s="19"/>
      <c r="B15" s="60"/>
      <c r="C15" s="14"/>
      <c r="D15" s="12"/>
      <c r="E15" s="19"/>
      <c r="F15" s="18"/>
      <c r="G15" s="18"/>
      <c r="H15" s="12"/>
      <c r="I15" s="14"/>
      <c r="J15" s="19"/>
      <c r="K15" s="14"/>
      <c r="L15" s="19"/>
      <c r="M15" s="14"/>
      <c r="N15" s="14"/>
      <c r="O15" s="9"/>
      <c r="P15" s="14"/>
      <c r="Q15" s="19"/>
      <c r="R15" s="19"/>
      <c r="S15" s="19"/>
      <c r="T15" s="19"/>
      <c r="U15" s="19"/>
      <c r="V15" s="19"/>
      <c r="W15" s="19"/>
      <c r="X15" s="19"/>
    </row>
    <row r="16" spans="1:24" ht="15.75" customHeight="1">
      <c r="A16" s="19"/>
      <c r="B16" s="60"/>
      <c r="C16" s="14"/>
      <c r="D16" s="12"/>
      <c r="E16" s="19"/>
      <c r="F16" s="18"/>
      <c r="G16" s="18"/>
      <c r="H16" s="12"/>
      <c r="I16" s="14"/>
      <c r="J16" s="19"/>
      <c r="K16" s="14"/>
      <c r="L16" s="19"/>
      <c r="M16" s="14"/>
      <c r="N16" s="14"/>
      <c r="O16" s="9"/>
      <c r="P16" s="14"/>
      <c r="Q16" s="19"/>
      <c r="R16" s="19"/>
      <c r="S16" s="19"/>
      <c r="T16" s="19"/>
      <c r="U16" s="19"/>
      <c r="V16" s="19"/>
      <c r="W16" s="19"/>
      <c r="X16" s="19"/>
    </row>
    <row r="17" spans="1:24" ht="15.75" customHeight="1">
      <c r="A17" s="19"/>
      <c r="B17" s="60"/>
      <c r="C17" s="14"/>
      <c r="D17" s="12"/>
      <c r="E17" s="19"/>
      <c r="F17" s="18"/>
      <c r="G17" s="18"/>
      <c r="H17" s="12"/>
      <c r="I17" s="14"/>
      <c r="J17" s="19"/>
      <c r="K17" s="14"/>
      <c r="L17" s="19"/>
      <c r="M17" s="14"/>
      <c r="N17" s="14"/>
      <c r="O17" s="9"/>
      <c r="P17" s="14"/>
      <c r="Q17" s="19"/>
      <c r="R17" s="19"/>
      <c r="S17" s="19"/>
      <c r="T17" s="19"/>
      <c r="U17" s="19"/>
      <c r="V17" s="19"/>
      <c r="W17" s="19"/>
      <c r="X17" s="19"/>
    </row>
    <row r="18" spans="1:24" ht="15.75" customHeight="1">
      <c r="B18" s="28"/>
      <c r="C18" s="3"/>
      <c r="E18" s="35"/>
      <c r="F18" s="28"/>
      <c r="G18" s="28"/>
      <c r="H18" s="29"/>
      <c r="I18" s="63"/>
      <c r="K18" s="3"/>
      <c r="M18" s="3"/>
      <c r="N18" s="3"/>
      <c r="O18" s="52"/>
      <c r="P18" s="3"/>
    </row>
    <row r="19" spans="1:24" ht="15.75" customHeight="1">
      <c r="B19" s="28"/>
      <c r="C19" s="3"/>
      <c r="E19" s="35"/>
      <c r="F19" s="28"/>
      <c r="G19" s="28"/>
      <c r="H19" s="29"/>
      <c r="I19" s="14"/>
      <c r="K19" s="3"/>
      <c r="M19" s="3"/>
      <c r="N19" s="3"/>
      <c r="O19" s="52"/>
      <c r="P19" s="3"/>
    </row>
    <row r="20" spans="1:24" ht="15.75" customHeight="1">
      <c r="B20" s="28"/>
      <c r="C20" s="3"/>
      <c r="E20" s="35"/>
      <c r="F20" s="28"/>
      <c r="G20" s="28"/>
      <c r="H20" s="29"/>
      <c r="I20" s="14"/>
      <c r="K20" s="3"/>
      <c r="M20" s="3"/>
      <c r="N20" s="3"/>
      <c r="O20" s="52"/>
      <c r="P20" s="3"/>
    </row>
    <row r="21" spans="1:24" ht="15.75" customHeight="1">
      <c r="B21" s="28"/>
      <c r="C21" s="3"/>
      <c r="E21" s="35"/>
      <c r="F21" s="28"/>
      <c r="G21" s="28"/>
      <c r="H21" s="29"/>
      <c r="I21" s="14"/>
      <c r="K21" s="3"/>
      <c r="M21" s="3"/>
      <c r="N21" s="3"/>
      <c r="O21" s="52"/>
      <c r="P21" s="3"/>
    </row>
    <row r="22" spans="1:24" ht="15.75" customHeight="1">
      <c r="B22" s="28"/>
      <c r="C22" s="3"/>
      <c r="E22" s="35"/>
      <c r="F22" s="28"/>
      <c r="G22" s="28"/>
      <c r="H22" s="29"/>
      <c r="I22" s="14"/>
      <c r="K22" s="3"/>
      <c r="M22" s="3"/>
      <c r="N22" s="3"/>
      <c r="O22" s="52"/>
      <c r="P22" s="3"/>
    </row>
    <row r="23" spans="1:24" ht="15.75" customHeight="1">
      <c r="B23" s="28"/>
      <c r="C23" s="3"/>
      <c r="E23" s="35"/>
      <c r="F23" s="28"/>
      <c r="G23" s="28"/>
      <c r="H23" s="29"/>
      <c r="I23" s="14"/>
      <c r="K23" s="3"/>
      <c r="M23" s="3"/>
      <c r="N23" s="3"/>
      <c r="O23" s="52"/>
      <c r="P23" s="3"/>
    </row>
    <row r="24" spans="1:24" ht="15.75" customHeight="1">
      <c r="B24" s="28"/>
      <c r="C24" s="3"/>
      <c r="E24" s="35"/>
      <c r="F24" s="28"/>
      <c r="G24" s="28"/>
      <c r="H24" s="29"/>
      <c r="I24" s="14"/>
      <c r="K24" s="3"/>
      <c r="M24" s="3"/>
      <c r="N24" s="3"/>
      <c r="O24" s="52"/>
      <c r="P24" s="3"/>
    </row>
    <row r="25" spans="1:24" ht="15.75" customHeight="1">
      <c r="B25" s="28"/>
      <c r="C25" s="3"/>
      <c r="E25" s="35"/>
      <c r="F25" s="28"/>
      <c r="G25" s="28"/>
      <c r="H25" s="29"/>
      <c r="I25" s="14"/>
      <c r="K25" s="3"/>
      <c r="M25" s="3"/>
      <c r="N25" s="3"/>
      <c r="O25" s="52"/>
      <c r="P25" s="3"/>
    </row>
    <row r="26" spans="1:24" ht="15.75" customHeight="1">
      <c r="B26" s="28"/>
      <c r="C26" s="3"/>
      <c r="E26" s="35"/>
      <c r="F26" s="28"/>
      <c r="G26" s="28"/>
      <c r="H26" s="29"/>
      <c r="I26" s="14"/>
      <c r="K26" s="3"/>
      <c r="M26" s="3"/>
      <c r="N26" s="3"/>
      <c r="O26" s="52"/>
      <c r="P26" s="3"/>
    </row>
    <row r="27" spans="1:24" ht="15.75" customHeight="1">
      <c r="B27" s="28"/>
      <c r="C27" s="3"/>
      <c r="E27" s="35"/>
      <c r="F27" s="28"/>
      <c r="G27" s="28"/>
      <c r="H27" s="29"/>
      <c r="I27" s="14"/>
      <c r="K27" s="3"/>
      <c r="M27" s="3"/>
      <c r="N27" s="3"/>
      <c r="O27" s="52"/>
      <c r="P27" s="3"/>
    </row>
    <row r="28" spans="1:24" ht="15.75" customHeight="1">
      <c r="B28" s="28"/>
      <c r="C28" s="3"/>
      <c r="E28" s="35"/>
      <c r="F28" s="28"/>
      <c r="G28" s="28"/>
      <c r="H28" s="29"/>
      <c r="I28" s="14"/>
      <c r="K28" s="3"/>
      <c r="M28" s="3"/>
      <c r="N28" s="3"/>
      <c r="O28" s="52"/>
      <c r="P28" s="3"/>
    </row>
    <row r="29" spans="1:24" ht="15.75" customHeight="1">
      <c r="B29" s="28"/>
      <c r="C29" s="3"/>
      <c r="E29" s="35"/>
      <c r="F29" s="28"/>
      <c r="G29" s="28"/>
      <c r="H29" s="29"/>
      <c r="I29" s="14"/>
      <c r="K29" s="3"/>
      <c r="M29" s="3"/>
      <c r="N29" s="3"/>
      <c r="O29" s="52"/>
      <c r="P29" s="3"/>
    </row>
    <row r="30" spans="1:24" ht="15.75" customHeight="1">
      <c r="B30" s="28"/>
      <c r="C30" s="3"/>
      <c r="E30" s="35"/>
      <c r="F30" s="28"/>
      <c r="G30" s="28"/>
      <c r="H30" s="29"/>
      <c r="I30" s="14"/>
      <c r="K30" s="3"/>
      <c r="M30" s="3"/>
      <c r="N30" s="3"/>
      <c r="O30" s="52"/>
      <c r="P30" s="3"/>
    </row>
    <row r="31" spans="1:24" ht="15.75" customHeight="1">
      <c r="B31" s="28"/>
      <c r="C31" s="3"/>
      <c r="E31" s="35"/>
      <c r="F31" s="28"/>
      <c r="G31" s="28"/>
      <c r="H31" s="29"/>
      <c r="I31" s="14"/>
      <c r="K31" s="3"/>
      <c r="M31" s="3"/>
      <c r="N31" s="3"/>
      <c r="O31" s="52"/>
      <c r="P31" s="3"/>
    </row>
    <row r="32" spans="1:24" ht="15.75" customHeight="1">
      <c r="B32" s="28"/>
      <c r="C32" s="3"/>
      <c r="E32" s="35"/>
      <c r="F32" s="28"/>
      <c r="G32" s="28"/>
      <c r="H32" s="29"/>
      <c r="I32" s="14"/>
      <c r="K32" s="3"/>
      <c r="M32" s="3"/>
      <c r="N32" s="3"/>
      <c r="O32" s="52"/>
      <c r="P32" s="3"/>
    </row>
    <row r="33" spans="2:16" ht="15.75" customHeight="1">
      <c r="B33" s="28"/>
      <c r="C33" s="3"/>
      <c r="E33" s="35"/>
      <c r="F33" s="28"/>
      <c r="G33" s="28"/>
      <c r="H33" s="29"/>
      <c r="I33" s="14"/>
      <c r="K33" s="3"/>
      <c r="M33" s="3"/>
      <c r="N33" s="3"/>
      <c r="O33" s="52"/>
      <c r="P33" s="3"/>
    </row>
    <row r="34" spans="2:16" ht="15.75" customHeight="1">
      <c r="B34" s="28"/>
      <c r="C34" s="3"/>
      <c r="E34" s="35"/>
      <c r="F34" s="28"/>
      <c r="G34" s="28"/>
      <c r="H34" s="29"/>
      <c r="I34" s="14"/>
      <c r="K34" s="3"/>
      <c r="M34" s="3"/>
      <c r="N34" s="3"/>
      <c r="O34" s="52"/>
      <c r="P34" s="3"/>
    </row>
    <row r="35" spans="2:16" ht="15.75" customHeight="1">
      <c r="B35" s="28"/>
      <c r="C35" s="3"/>
      <c r="E35" s="35"/>
      <c r="F35" s="28"/>
      <c r="G35" s="28"/>
      <c r="H35" s="29"/>
      <c r="I35" s="14"/>
      <c r="K35" s="3"/>
      <c r="M35" s="3"/>
      <c r="N35" s="3"/>
      <c r="O35" s="52"/>
      <c r="P35" s="3"/>
    </row>
    <row r="36" spans="2:16" ht="15.75" customHeight="1">
      <c r="B36" s="28"/>
      <c r="C36" s="3"/>
      <c r="E36" s="35"/>
      <c r="F36" s="28"/>
      <c r="G36" s="28"/>
      <c r="H36" s="29"/>
      <c r="I36" s="14"/>
      <c r="K36" s="3"/>
      <c r="M36" s="3"/>
      <c r="N36" s="3"/>
      <c r="O36" s="52"/>
      <c r="P36" s="3"/>
    </row>
    <row r="37" spans="2:16" ht="15.75" customHeight="1">
      <c r="B37" s="28"/>
      <c r="C37" s="3"/>
      <c r="E37" s="35"/>
      <c r="F37" s="28"/>
      <c r="G37" s="28"/>
      <c r="H37" s="29"/>
      <c r="I37" s="14"/>
      <c r="K37" s="3"/>
      <c r="M37" s="3"/>
      <c r="N37" s="3"/>
      <c r="O37" s="52"/>
      <c r="P37" s="3"/>
    </row>
    <row r="38" spans="2:16" ht="15.75" customHeight="1">
      <c r="B38" s="28"/>
      <c r="C38" s="3"/>
      <c r="E38" s="35"/>
      <c r="F38" s="28"/>
      <c r="G38" s="28"/>
      <c r="H38" s="29"/>
      <c r="I38" s="14"/>
      <c r="K38" s="3"/>
      <c r="M38" s="3"/>
      <c r="N38" s="3"/>
      <c r="O38" s="52"/>
      <c r="P38" s="3"/>
    </row>
    <row r="39" spans="2:16" ht="15.75" customHeight="1">
      <c r="B39" s="28"/>
      <c r="C39" s="3"/>
      <c r="E39" s="35"/>
      <c r="F39" s="28"/>
      <c r="G39" s="28"/>
      <c r="H39" s="29"/>
      <c r="I39" s="14"/>
      <c r="K39" s="3"/>
      <c r="M39" s="3"/>
      <c r="N39" s="3"/>
      <c r="O39" s="52"/>
      <c r="P39" s="3"/>
    </row>
    <row r="40" spans="2:16" ht="15.75" customHeight="1">
      <c r="B40" s="28"/>
      <c r="C40" s="3"/>
      <c r="E40" s="35"/>
      <c r="F40" s="28"/>
      <c r="G40" s="28"/>
      <c r="H40" s="29"/>
      <c r="I40" s="14"/>
      <c r="K40" s="3"/>
      <c r="M40" s="3"/>
      <c r="N40" s="3"/>
      <c r="O40" s="52"/>
      <c r="P40" s="3"/>
    </row>
    <row r="41" spans="2:16" ht="15.75" customHeight="1">
      <c r="B41" s="28"/>
      <c r="C41" s="3"/>
      <c r="E41" s="35"/>
      <c r="F41" s="28"/>
      <c r="G41" s="28"/>
      <c r="H41" s="29"/>
      <c r="I41" s="14"/>
      <c r="K41" s="3"/>
      <c r="M41" s="3"/>
      <c r="N41" s="3"/>
      <c r="O41" s="52"/>
      <c r="P41" s="3"/>
    </row>
    <row r="42" spans="2:16" ht="15.75" customHeight="1">
      <c r="B42" s="28"/>
      <c r="C42" s="3"/>
      <c r="E42" s="35"/>
      <c r="F42" s="28"/>
      <c r="G42" s="28"/>
      <c r="H42" s="29"/>
      <c r="I42" s="14"/>
      <c r="K42" s="3"/>
      <c r="M42" s="3"/>
      <c r="N42" s="3"/>
      <c r="O42" s="52"/>
      <c r="P42" s="3"/>
    </row>
    <row r="43" spans="2:16" ht="15.75" customHeight="1">
      <c r="B43" s="28"/>
      <c r="C43" s="3"/>
      <c r="E43" s="35"/>
      <c r="F43" s="28"/>
      <c r="G43" s="28"/>
      <c r="H43" s="29"/>
      <c r="I43" s="14"/>
      <c r="K43" s="3"/>
      <c r="M43" s="3"/>
      <c r="N43" s="3"/>
      <c r="O43" s="52"/>
      <c r="P43" s="3"/>
    </row>
    <row r="44" spans="2:16" ht="15.75" customHeight="1">
      <c r="B44" s="28"/>
      <c r="C44" s="3"/>
      <c r="E44" s="35"/>
      <c r="F44" s="28"/>
      <c r="G44" s="28"/>
      <c r="H44" s="29"/>
      <c r="I44" s="14"/>
      <c r="K44" s="3"/>
      <c r="M44" s="3"/>
      <c r="N44" s="3"/>
      <c r="O44" s="52"/>
      <c r="P44" s="3"/>
    </row>
    <row r="45" spans="2:16" ht="15.75" customHeight="1">
      <c r="B45" s="28"/>
      <c r="C45" s="3"/>
      <c r="E45" s="35"/>
      <c r="F45" s="28"/>
      <c r="G45" s="28"/>
      <c r="H45" s="29"/>
      <c r="I45" s="14"/>
      <c r="K45" s="3"/>
      <c r="M45" s="3"/>
      <c r="N45" s="3"/>
      <c r="O45" s="52"/>
      <c r="P45" s="3"/>
    </row>
    <row r="46" spans="2:16" ht="15.75" customHeight="1">
      <c r="B46" s="28"/>
      <c r="C46" s="3"/>
      <c r="E46" s="35"/>
      <c r="F46" s="28"/>
      <c r="G46" s="28"/>
      <c r="H46" s="29"/>
      <c r="I46" s="14"/>
      <c r="K46" s="3"/>
      <c r="M46" s="3"/>
      <c r="N46" s="3"/>
      <c r="O46" s="52"/>
      <c r="P46" s="3"/>
    </row>
    <row r="47" spans="2:16" ht="15.75" customHeight="1">
      <c r="B47" s="28"/>
      <c r="C47" s="3"/>
      <c r="E47" s="35"/>
      <c r="F47" s="28"/>
      <c r="G47" s="28"/>
      <c r="H47" s="29"/>
      <c r="I47" s="14"/>
      <c r="K47" s="3"/>
      <c r="M47" s="3"/>
      <c r="N47" s="3"/>
      <c r="O47" s="52"/>
      <c r="P47" s="3"/>
    </row>
    <row r="48" spans="2:16" ht="15.75" customHeight="1">
      <c r="B48" s="28"/>
      <c r="C48" s="3"/>
      <c r="E48" s="35"/>
      <c r="F48" s="28"/>
      <c r="G48" s="28"/>
      <c r="H48" s="29"/>
      <c r="I48" s="14"/>
      <c r="K48" s="3"/>
      <c r="M48" s="3"/>
      <c r="N48" s="3"/>
      <c r="O48" s="52"/>
      <c r="P48" s="3"/>
    </row>
    <row r="49" spans="2:16" ht="15.75" customHeight="1">
      <c r="B49" s="28"/>
      <c r="C49" s="3"/>
      <c r="E49" s="35"/>
      <c r="F49" s="28"/>
      <c r="G49" s="28"/>
      <c r="H49" s="29"/>
      <c r="I49" s="14"/>
      <c r="K49" s="3"/>
      <c r="M49" s="3"/>
      <c r="N49" s="3"/>
      <c r="O49" s="52"/>
      <c r="P49" s="3"/>
    </row>
    <row r="50" spans="2:16" ht="15.75" customHeight="1">
      <c r="B50" s="28"/>
      <c r="C50" s="3"/>
      <c r="E50" s="35"/>
      <c r="F50" s="28"/>
      <c r="G50" s="28"/>
      <c r="H50" s="29"/>
      <c r="I50" s="14"/>
      <c r="K50" s="3"/>
      <c r="M50" s="3"/>
      <c r="N50" s="3"/>
      <c r="O50" s="52"/>
      <c r="P50" s="3"/>
    </row>
    <row r="51" spans="2:16" ht="15.75" customHeight="1">
      <c r="B51" s="28"/>
      <c r="C51" s="3"/>
      <c r="E51" s="35"/>
      <c r="F51" s="28"/>
      <c r="G51" s="28"/>
      <c r="H51" s="29"/>
      <c r="I51" s="14"/>
      <c r="K51" s="3"/>
      <c r="M51" s="3"/>
      <c r="N51" s="3"/>
      <c r="O51" s="52"/>
      <c r="P51" s="3"/>
    </row>
    <row r="52" spans="2:16" ht="15.75" customHeight="1">
      <c r="B52" s="28"/>
      <c r="C52" s="3"/>
      <c r="E52" s="35"/>
      <c r="F52" s="28"/>
      <c r="G52" s="28"/>
      <c r="H52" s="29"/>
      <c r="I52" s="14"/>
      <c r="K52" s="3"/>
      <c r="M52" s="3"/>
      <c r="N52" s="3"/>
      <c r="O52" s="52"/>
      <c r="P52" s="3"/>
    </row>
    <row r="53" spans="2:16" ht="15.75" customHeight="1">
      <c r="B53" s="28"/>
      <c r="C53" s="3"/>
      <c r="E53" s="35"/>
      <c r="F53" s="28"/>
      <c r="G53" s="28"/>
      <c r="H53" s="29"/>
      <c r="I53" s="14"/>
      <c r="K53" s="3"/>
      <c r="M53" s="3"/>
      <c r="N53" s="3"/>
      <c r="O53" s="52"/>
      <c r="P53" s="3"/>
    </row>
    <row r="54" spans="2:16" ht="15.75" customHeight="1">
      <c r="B54" s="28"/>
      <c r="C54" s="3"/>
      <c r="E54" s="35"/>
      <c r="F54" s="28"/>
      <c r="G54" s="28"/>
      <c r="H54" s="29"/>
      <c r="I54" s="14"/>
      <c r="K54" s="3"/>
      <c r="M54" s="3"/>
      <c r="N54" s="3"/>
      <c r="O54" s="52"/>
      <c r="P54" s="3"/>
    </row>
    <row r="55" spans="2:16" ht="15.75" customHeight="1">
      <c r="B55" s="28"/>
      <c r="C55" s="3"/>
      <c r="E55" s="35"/>
      <c r="F55" s="28"/>
      <c r="G55" s="28"/>
      <c r="H55" s="29"/>
      <c r="I55" s="14"/>
      <c r="K55" s="3"/>
      <c r="M55" s="3"/>
      <c r="N55" s="3"/>
      <c r="O55" s="52"/>
      <c r="P55" s="3"/>
    </row>
    <row r="56" spans="2:16" ht="15.75" customHeight="1">
      <c r="B56" s="28"/>
      <c r="C56" s="3"/>
      <c r="E56" s="35"/>
      <c r="F56" s="28"/>
      <c r="G56" s="28"/>
      <c r="H56" s="29"/>
      <c r="I56" s="14"/>
      <c r="K56" s="3"/>
      <c r="M56" s="3"/>
      <c r="N56" s="3"/>
      <c r="O56" s="52"/>
      <c r="P56" s="3"/>
    </row>
    <row r="57" spans="2:16" ht="15.75" customHeight="1">
      <c r="B57" s="28"/>
      <c r="C57" s="3"/>
      <c r="E57" s="35"/>
      <c r="F57" s="28"/>
      <c r="G57" s="28"/>
      <c r="H57" s="29"/>
      <c r="I57" s="14"/>
      <c r="K57" s="3"/>
      <c r="M57" s="3"/>
      <c r="N57" s="3"/>
      <c r="O57" s="52"/>
      <c r="P57" s="3"/>
    </row>
    <row r="58" spans="2:16" ht="15.75" customHeight="1">
      <c r="B58" s="28"/>
      <c r="C58" s="3"/>
      <c r="E58" s="35"/>
      <c r="F58" s="28"/>
      <c r="G58" s="28"/>
      <c r="H58" s="29"/>
      <c r="I58" s="14"/>
      <c r="K58" s="3"/>
      <c r="M58" s="3"/>
      <c r="N58" s="3"/>
      <c r="O58" s="52"/>
      <c r="P58" s="3"/>
    </row>
    <row r="59" spans="2:16" ht="15.75" customHeight="1">
      <c r="B59" s="28"/>
      <c r="C59" s="3"/>
      <c r="E59" s="35"/>
      <c r="F59" s="28"/>
      <c r="G59" s="28"/>
      <c r="H59" s="29"/>
      <c r="I59" s="14"/>
      <c r="K59" s="3"/>
      <c r="M59" s="3"/>
      <c r="N59" s="3"/>
      <c r="O59" s="52"/>
      <c r="P59" s="3"/>
    </row>
    <row r="60" spans="2:16" ht="15.75" customHeight="1">
      <c r="B60" s="28"/>
      <c r="C60" s="3"/>
      <c r="E60" s="35"/>
      <c r="F60" s="28"/>
      <c r="G60" s="28"/>
      <c r="H60" s="29"/>
      <c r="I60" s="14"/>
      <c r="K60" s="3"/>
      <c r="M60" s="3"/>
      <c r="N60" s="3"/>
      <c r="O60" s="52"/>
      <c r="P60" s="3"/>
    </row>
    <row r="61" spans="2:16" ht="15.75" customHeight="1">
      <c r="B61" s="28"/>
      <c r="C61" s="3"/>
      <c r="E61" s="35"/>
      <c r="F61" s="28"/>
      <c r="G61" s="28"/>
      <c r="H61" s="29"/>
      <c r="I61" s="14"/>
      <c r="K61" s="3"/>
      <c r="M61" s="3"/>
      <c r="N61" s="3"/>
      <c r="O61" s="52"/>
      <c r="P61" s="3"/>
    </row>
    <row r="62" spans="2:16" ht="15.75" customHeight="1">
      <c r="B62" s="28"/>
      <c r="C62" s="3"/>
      <c r="E62" s="35"/>
      <c r="F62" s="28"/>
      <c r="G62" s="28"/>
      <c r="H62" s="29"/>
      <c r="I62" s="14"/>
      <c r="K62" s="3"/>
      <c r="M62" s="3"/>
      <c r="N62" s="3"/>
      <c r="O62" s="52"/>
      <c r="P62" s="3"/>
    </row>
    <row r="63" spans="2:16" ht="15.75" customHeight="1">
      <c r="B63" s="28"/>
      <c r="C63" s="3"/>
      <c r="E63" s="35"/>
      <c r="F63" s="28"/>
      <c r="G63" s="28"/>
      <c r="H63" s="29"/>
      <c r="I63" s="14"/>
      <c r="K63" s="3"/>
      <c r="M63" s="3"/>
      <c r="N63" s="3"/>
      <c r="O63" s="52"/>
      <c r="P63" s="3"/>
    </row>
    <row r="64" spans="2:16" ht="15.75" customHeight="1">
      <c r="B64" s="28"/>
      <c r="C64" s="3"/>
      <c r="E64" s="35"/>
      <c r="F64" s="28"/>
      <c r="G64" s="28"/>
      <c r="H64" s="29"/>
      <c r="I64" s="14"/>
      <c r="K64" s="3"/>
      <c r="M64" s="3"/>
      <c r="N64" s="3"/>
      <c r="O64" s="52"/>
      <c r="P64" s="3"/>
    </row>
    <row r="65" spans="2:16" ht="15.75" customHeight="1">
      <c r="B65" s="28"/>
      <c r="C65" s="3"/>
      <c r="E65" s="35"/>
      <c r="F65" s="28"/>
      <c r="G65" s="28"/>
      <c r="H65" s="29"/>
      <c r="I65" s="14"/>
      <c r="K65" s="3"/>
      <c r="M65" s="3"/>
      <c r="N65" s="3"/>
      <c r="O65" s="52"/>
      <c r="P65" s="3"/>
    </row>
    <row r="66" spans="2:16" ht="15.75" customHeight="1">
      <c r="B66" s="28"/>
      <c r="C66" s="3"/>
      <c r="E66" s="35"/>
      <c r="F66" s="28"/>
      <c r="G66" s="28"/>
      <c r="H66" s="29"/>
      <c r="I66" s="14"/>
      <c r="K66" s="3"/>
      <c r="M66" s="3"/>
      <c r="N66" s="3"/>
      <c r="O66" s="52"/>
      <c r="P66" s="3"/>
    </row>
    <row r="67" spans="2:16" ht="15.75" customHeight="1">
      <c r="B67" s="28"/>
      <c r="C67" s="3"/>
      <c r="E67" s="35"/>
      <c r="F67" s="28"/>
      <c r="G67" s="28"/>
      <c r="H67" s="29"/>
      <c r="I67" s="14"/>
      <c r="K67" s="3"/>
      <c r="M67" s="3"/>
      <c r="N67" s="3"/>
      <c r="O67" s="52"/>
      <c r="P67" s="3"/>
    </row>
    <row r="68" spans="2:16" ht="15.75" customHeight="1">
      <c r="B68" s="28"/>
      <c r="C68" s="3"/>
      <c r="E68" s="35"/>
      <c r="F68" s="28"/>
      <c r="G68" s="28"/>
      <c r="H68" s="29"/>
      <c r="I68" s="14"/>
      <c r="K68" s="3"/>
      <c r="M68" s="3"/>
      <c r="N68" s="3"/>
      <c r="O68" s="52"/>
      <c r="P68" s="3"/>
    </row>
    <row r="69" spans="2:16" ht="15.75" customHeight="1">
      <c r="B69" s="28"/>
      <c r="C69" s="3"/>
      <c r="E69" s="35"/>
      <c r="F69" s="28"/>
      <c r="G69" s="28"/>
      <c r="H69" s="29"/>
      <c r="I69" s="14"/>
      <c r="K69" s="3"/>
      <c r="M69" s="3"/>
      <c r="N69" s="3"/>
      <c r="O69" s="52"/>
      <c r="P69" s="3"/>
    </row>
    <row r="70" spans="2:16" ht="15.75" customHeight="1">
      <c r="B70" s="28"/>
      <c r="C70" s="3"/>
      <c r="E70" s="35"/>
      <c r="F70" s="28"/>
      <c r="G70" s="28"/>
      <c r="H70" s="29"/>
      <c r="I70" s="14"/>
      <c r="K70" s="3"/>
      <c r="M70" s="3"/>
      <c r="N70" s="3"/>
      <c r="O70" s="52"/>
      <c r="P70" s="3"/>
    </row>
    <row r="71" spans="2:16" ht="15.75" customHeight="1">
      <c r="B71" s="28"/>
      <c r="C71" s="3"/>
      <c r="E71" s="35"/>
      <c r="F71" s="28"/>
      <c r="G71" s="28"/>
      <c r="H71" s="29"/>
      <c r="I71" s="14"/>
      <c r="K71" s="3"/>
      <c r="M71" s="3"/>
      <c r="N71" s="3"/>
      <c r="O71" s="52"/>
      <c r="P71" s="3"/>
    </row>
    <row r="72" spans="2:16" ht="15.75" customHeight="1">
      <c r="B72" s="28"/>
      <c r="C72" s="3"/>
      <c r="E72" s="35"/>
      <c r="F72" s="28"/>
      <c r="G72" s="28"/>
      <c r="H72" s="29"/>
      <c r="I72" s="14"/>
      <c r="K72" s="3"/>
      <c r="M72" s="3"/>
      <c r="N72" s="3"/>
      <c r="O72" s="52"/>
      <c r="P72" s="3"/>
    </row>
    <row r="73" spans="2:16" ht="15.75" customHeight="1">
      <c r="B73" s="28"/>
      <c r="C73" s="3"/>
      <c r="E73" s="35"/>
      <c r="F73" s="28"/>
      <c r="G73" s="28"/>
      <c r="H73" s="29"/>
      <c r="I73" s="14"/>
      <c r="K73" s="3"/>
      <c r="M73" s="3"/>
      <c r="N73" s="3"/>
      <c r="O73" s="52"/>
      <c r="P73" s="3"/>
    </row>
    <row r="74" spans="2:16" ht="15.75" customHeight="1">
      <c r="B74" s="28"/>
      <c r="C74" s="3"/>
      <c r="E74" s="35"/>
      <c r="F74" s="28"/>
      <c r="G74" s="28"/>
      <c r="H74" s="29"/>
      <c r="I74" s="14"/>
      <c r="K74" s="3"/>
      <c r="M74" s="3"/>
      <c r="N74" s="3"/>
      <c r="O74" s="52"/>
      <c r="P74" s="3"/>
    </row>
    <row r="75" spans="2:16" ht="15.75" customHeight="1">
      <c r="B75" s="28"/>
      <c r="C75" s="3"/>
      <c r="E75" s="35"/>
      <c r="F75" s="28"/>
      <c r="G75" s="28"/>
      <c r="H75" s="29"/>
      <c r="I75" s="14"/>
      <c r="K75" s="3"/>
      <c r="M75" s="3"/>
      <c r="N75" s="3"/>
      <c r="O75" s="52"/>
      <c r="P75" s="3"/>
    </row>
    <row r="76" spans="2:16" ht="15.75" customHeight="1">
      <c r="B76" s="28"/>
      <c r="C76" s="3"/>
      <c r="E76" s="35"/>
      <c r="F76" s="28"/>
      <c r="G76" s="28"/>
      <c r="H76" s="29"/>
      <c r="I76" s="14"/>
      <c r="K76" s="3"/>
      <c r="M76" s="3"/>
      <c r="N76" s="3"/>
      <c r="O76" s="52"/>
      <c r="P76" s="3"/>
    </row>
    <row r="77" spans="2:16" ht="15.75" customHeight="1">
      <c r="B77" s="28"/>
      <c r="C77" s="3"/>
      <c r="E77" s="35"/>
      <c r="F77" s="28"/>
      <c r="G77" s="28"/>
      <c r="H77" s="29"/>
      <c r="I77" s="14"/>
      <c r="K77" s="3"/>
      <c r="M77" s="3"/>
      <c r="N77" s="3"/>
      <c r="O77" s="52"/>
      <c r="P77" s="3"/>
    </row>
    <row r="78" spans="2:16" ht="15.75" customHeight="1">
      <c r="B78" s="28"/>
      <c r="C78" s="3"/>
      <c r="E78" s="35"/>
      <c r="F78" s="28"/>
      <c r="G78" s="28"/>
      <c r="H78" s="29"/>
      <c r="I78" s="14"/>
      <c r="K78" s="3"/>
      <c r="M78" s="3"/>
      <c r="N78" s="3"/>
      <c r="O78" s="52"/>
      <c r="P78" s="3"/>
    </row>
    <row r="79" spans="2:16" ht="15.75" customHeight="1">
      <c r="B79" s="28"/>
      <c r="C79" s="3"/>
      <c r="E79" s="35"/>
      <c r="F79" s="28"/>
      <c r="G79" s="28"/>
      <c r="H79" s="29"/>
      <c r="I79" s="14"/>
      <c r="K79" s="3"/>
      <c r="M79" s="3"/>
      <c r="N79" s="3"/>
      <c r="O79" s="52"/>
      <c r="P79" s="3"/>
    </row>
    <row r="80" spans="2:16" ht="15.75" customHeight="1">
      <c r="B80" s="28"/>
      <c r="C80" s="3"/>
      <c r="E80" s="35"/>
      <c r="F80" s="28"/>
      <c r="G80" s="28"/>
      <c r="H80" s="29"/>
      <c r="I80" s="14"/>
      <c r="K80" s="3"/>
      <c r="M80" s="3"/>
      <c r="N80" s="3"/>
      <c r="O80" s="52"/>
      <c r="P80" s="3"/>
    </row>
    <row r="81" spans="2:16" ht="15.75" customHeight="1">
      <c r="B81" s="28"/>
      <c r="C81" s="3"/>
      <c r="E81" s="35"/>
      <c r="F81" s="28"/>
      <c r="G81" s="28"/>
      <c r="H81" s="29"/>
      <c r="I81" s="14"/>
      <c r="K81" s="3"/>
      <c r="M81" s="3"/>
      <c r="N81" s="3"/>
      <c r="O81" s="52"/>
      <c r="P81" s="3"/>
    </row>
    <row r="82" spans="2:16" ht="15.75" customHeight="1">
      <c r="B82" s="28"/>
      <c r="C82" s="3"/>
      <c r="E82" s="35"/>
      <c r="F82" s="28"/>
      <c r="G82" s="28"/>
      <c r="H82" s="29"/>
      <c r="I82" s="14"/>
      <c r="K82" s="3"/>
      <c r="M82" s="3"/>
      <c r="N82" s="3"/>
      <c r="O82" s="52"/>
      <c r="P82" s="3"/>
    </row>
    <row r="83" spans="2:16" ht="15.75" customHeight="1">
      <c r="B83" s="28"/>
      <c r="C83" s="3"/>
      <c r="E83" s="35"/>
      <c r="F83" s="28"/>
      <c r="G83" s="28"/>
      <c r="H83" s="29"/>
      <c r="I83" s="14"/>
      <c r="K83" s="3"/>
      <c r="M83" s="3"/>
      <c r="N83" s="3"/>
      <c r="O83" s="52"/>
      <c r="P83" s="3"/>
    </row>
    <row r="84" spans="2:16" ht="15.75" customHeight="1">
      <c r="B84" s="28"/>
      <c r="C84" s="3"/>
      <c r="E84" s="35"/>
      <c r="F84" s="28"/>
      <c r="G84" s="28"/>
      <c r="H84" s="29"/>
      <c r="I84" s="14"/>
      <c r="K84" s="3"/>
      <c r="M84" s="3"/>
      <c r="N84" s="3"/>
      <c r="O84" s="52"/>
      <c r="P84" s="3"/>
    </row>
    <row r="85" spans="2:16" ht="15.75" customHeight="1">
      <c r="B85" s="28"/>
      <c r="C85" s="3"/>
      <c r="E85" s="35"/>
      <c r="F85" s="28"/>
      <c r="G85" s="28"/>
      <c r="H85" s="29"/>
      <c r="I85" s="14"/>
      <c r="K85" s="3"/>
      <c r="M85" s="3"/>
      <c r="N85" s="3"/>
      <c r="O85" s="52"/>
      <c r="P85" s="3"/>
    </row>
    <row r="86" spans="2:16" ht="15.75" customHeight="1">
      <c r="B86" s="28"/>
      <c r="C86" s="3"/>
      <c r="E86" s="35"/>
      <c r="F86" s="28"/>
      <c r="G86" s="28"/>
      <c r="H86" s="29"/>
      <c r="I86" s="14"/>
      <c r="K86" s="3"/>
      <c r="M86" s="3"/>
      <c r="N86" s="3"/>
      <c r="O86" s="52"/>
      <c r="P86" s="3"/>
    </row>
    <row r="87" spans="2:16" ht="15.75" customHeight="1">
      <c r="B87" s="28"/>
      <c r="C87" s="3"/>
      <c r="E87" s="35"/>
      <c r="F87" s="28"/>
      <c r="G87" s="28"/>
      <c r="H87" s="29"/>
      <c r="I87" s="14"/>
      <c r="K87" s="3"/>
      <c r="M87" s="3"/>
      <c r="N87" s="3"/>
      <c r="O87" s="52"/>
      <c r="P87" s="3"/>
    </row>
    <row r="88" spans="2:16" ht="15.75" customHeight="1">
      <c r="B88" s="28"/>
      <c r="C88" s="3"/>
      <c r="E88" s="35"/>
      <c r="F88" s="28"/>
      <c r="G88" s="28"/>
      <c r="H88" s="29"/>
      <c r="I88" s="14"/>
      <c r="K88" s="3"/>
      <c r="M88" s="3"/>
      <c r="N88" s="3"/>
      <c r="O88" s="52"/>
      <c r="P88" s="3"/>
    </row>
    <row r="89" spans="2:16" ht="15.75" customHeight="1">
      <c r="B89" s="28"/>
      <c r="C89" s="3"/>
      <c r="E89" s="35"/>
      <c r="F89" s="28"/>
      <c r="G89" s="28"/>
      <c r="H89" s="29"/>
      <c r="I89" s="14"/>
      <c r="K89" s="3"/>
      <c r="M89" s="3"/>
      <c r="N89" s="3"/>
      <c r="O89" s="52"/>
      <c r="P89" s="3"/>
    </row>
    <row r="90" spans="2:16" ht="15.75" customHeight="1">
      <c r="B90" s="28"/>
      <c r="C90" s="3"/>
      <c r="E90" s="35"/>
      <c r="F90" s="28"/>
      <c r="G90" s="28"/>
      <c r="H90" s="29"/>
      <c r="I90" s="14"/>
      <c r="K90" s="3"/>
      <c r="M90" s="3"/>
      <c r="N90" s="3"/>
      <c r="O90" s="52"/>
      <c r="P90" s="3"/>
    </row>
    <row r="91" spans="2:16" ht="15.75" customHeight="1">
      <c r="B91" s="28"/>
      <c r="C91" s="3"/>
      <c r="E91" s="35"/>
      <c r="F91" s="28"/>
      <c r="G91" s="28"/>
      <c r="H91" s="29"/>
      <c r="I91" s="14"/>
      <c r="K91" s="3"/>
      <c r="M91" s="3"/>
      <c r="N91" s="3"/>
      <c r="O91" s="52"/>
      <c r="P91" s="3"/>
    </row>
    <row r="92" spans="2:16" ht="15.75" customHeight="1">
      <c r="B92" s="28"/>
      <c r="C92" s="3"/>
      <c r="E92" s="35"/>
      <c r="F92" s="28"/>
      <c r="G92" s="28"/>
      <c r="H92" s="29"/>
      <c r="I92" s="14"/>
      <c r="K92" s="3"/>
      <c r="M92" s="3"/>
      <c r="N92" s="3"/>
      <c r="O92" s="52"/>
      <c r="P92" s="3"/>
    </row>
    <row r="93" spans="2:16" ht="15.75" customHeight="1">
      <c r="B93" s="28"/>
      <c r="C93" s="3"/>
      <c r="E93" s="35"/>
      <c r="F93" s="28"/>
      <c r="G93" s="28"/>
      <c r="H93" s="29"/>
      <c r="I93" s="14"/>
      <c r="K93" s="3"/>
      <c r="M93" s="3"/>
      <c r="N93" s="3"/>
      <c r="O93" s="52"/>
      <c r="P93" s="3"/>
    </row>
    <row r="94" spans="2:16" ht="15.75" customHeight="1">
      <c r="B94" s="28"/>
      <c r="C94" s="3"/>
      <c r="E94" s="35"/>
      <c r="F94" s="28"/>
      <c r="G94" s="28"/>
      <c r="H94" s="29"/>
      <c r="I94" s="14"/>
      <c r="K94" s="3"/>
      <c r="M94" s="3"/>
      <c r="N94" s="3"/>
      <c r="O94" s="52"/>
      <c r="P94" s="3"/>
    </row>
    <row r="95" spans="2:16" ht="15.75" customHeight="1">
      <c r="B95" s="28"/>
      <c r="C95" s="3"/>
      <c r="E95" s="35"/>
      <c r="F95" s="28"/>
      <c r="G95" s="28"/>
      <c r="H95" s="29"/>
      <c r="I95" s="14"/>
      <c r="K95" s="3"/>
      <c r="M95" s="3"/>
      <c r="N95" s="3"/>
      <c r="O95" s="52"/>
      <c r="P95" s="3"/>
    </row>
    <row r="96" spans="2:16" ht="15.75" customHeight="1">
      <c r="B96" s="28"/>
      <c r="C96" s="3"/>
      <c r="E96" s="35"/>
      <c r="F96" s="28"/>
      <c r="G96" s="28"/>
      <c r="H96" s="29"/>
      <c r="I96" s="14"/>
      <c r="K96" s="3"/>
      <c r="M96" s="3"/>
      <c r="N96" s="3"/>
      <c r="O96" s="52"/>
      <c r="P96" s="3"/>
    </row>
    <row r="97" spans="2:16" ht="15.75" customHeight="1">
      <c r="B97" s="28"/>
      <c r="C97" s="3"/>
      <c r="E97" s="35"/>
      <c r="F97" s="28"/>
      <c r="G97" s="28"/>
      <c r="H97" s="29"/>
      <c r="I97" s="14"/>
      <c r="K97" s="3"/>
      <c r="M97" s="3"/>
      <c r="N97" s="3"/>
      <c r="O97" s="52"/>
      <c r="P97" s="3"/>
    </row>
    <row r="98" spans="2:16" ht="15.75" customHeight="1">
      <c r="B98" s="28"/>
      <c r="C98" s="3"/>
      <c r="E98" s="35"/>
      <c r="F98" s="28"/>
      <c r="G98" s="28"/>
      <c r="H98" s="29"/>
      <c r="I98" s="14"/>
      <c r="K98" s="3"/>
      <c r="M98" s="3"/>
      <c r="N98" s="3"/>
      <c r="O98" s="52"/>
      <c r="P98" s="3"/>
    </row>
    <row r="99" spans="2:16" ht="15.75" customHeight="1">
      <c r="B99" s="28"/>
      <c r="C99" s="3"/>
      <c r="E99" s="35"/>
      <c r="F99" s="28"/>
      <c r="G99" s="28"/>
      <c r="H99" s="29"/>
      <c r="I99" s="14"/>
      <c r="K99" s="3"/>
      <c r="M99" s="3"/>
      <c r="N99" s="3"/>
      <c r="O99" s="52"/>
      <c r="P99" s="3"/>
    </row>
    <row r="100" spans="2:16" ht="15.75" customHeight="1">
      <c r="B100" s="28"/>
      <c r="C100" s="3"/>
      <c r="E100" s="35"/>
      <c r="F100" s="28"/>
      <c r="G100" s="28"/>
      <c r="H100" s="29"/>
      <c r="I100" s="14"/>
      <c r="K100" s="3"/>
      <c r="M100" s="3"/>
      <c r="N100" s="3"/>
      <c r="O100" s="52"/>
      <c r="P100" s="3"/>
    </row>
    <row r="101" spans="2:16" ht="15.75" customHeight="1">
      <c r="B101" s="28"/>
      <c r="C101" s="3"/>
      <c r="E101" s="35"/>
      <c r="F101" s="28"/>
      <c r="G101" s="28"/>
      <c r="H101" s="29"/>
      <c r="I101" s="14"/>
      <c r="K101" s="3"/>
      <c r="M101" s="3"/>
      <c r="N101" s="3"/>
      <c r="O101" s="52"/>
      <c r="P101" s="3"/>
    </row>
    <row r="102" spans="2:16" ht="15.75" customHeight="1">
      <c r="B102" s="28"/>
      <c r="C102" s="3"/>
      <c r="E102" s="35"/>
      <c r="F102" s="28"/>
      <c r="G102" s="28"/>
      <c r="H102" s="29"/>
      <c r="I102" s="14"/>
      <c r="K102" s="3"/>
      <c r="M102" s="3"/>
      <c r="N102" s="3"/>
      <c r="O102" s="52"/>
      <c r="P102" s="3"/>
    </row>
    <row r="103" spans="2:16" ht="15.75" customHeight="1">
      <c r="B103" s="28"/>
      <c r="C103" s="3"/>
      <c r="E103" s="35"/>
      <c r="F103" s="28"/>
      <c r="G103" s="28"/>
      <c r="H103" s="29"/>
      <c r="I103" s="14"/>
      <c r="K103" s="3"/>
      <c r="M103" s="3"/>
      <c r="N103" s="3"/>
      <c r="O103" s="52"/>
      <c r="P103" s="3"/>
    </row>
    <row r="104" spans="2:16" ht="15.75" customHeight="1">
      <c r="B104" s="28"/>
      <c r="C104" s="3"/>
      <c r="E104" s="35"/>
      <c r="F104" s="28"/>
      <c r="G104" s="28"/>
      <c r="H104" s="29"/>
      <c r="I104" s="14"/>
      <c r="K104" s="3"/>
      <c r="M104" s="3"/>
      <c r="N104" s="3"/>
      <c r="O104" s="52"/>
      <c r="P104" s="3"/>
    </row>
    <row r="105" spans="2:16" ht="15.75" customHeight="1">
      <c r="B105" s="28"/>
      <c r="C105" s="3"/>
      <c r="E105" s="35"/>
      <c r="F105" s="28"/>
      <c r="G105" s="28"/>
      <c r="H105" s="29"/>
      <c r="I105" s="14"/>
      <c r="K105" s="3"/>
      <c r="M105" s="3"/>
      <c r="N105" s="3"/>
      <c r="O105" s="52"/>
      <c r="P105" s="3"/>
    </row>
    <row r="106" spans="2:16" ht="15.75" customHeight="1">
      <c r="B106" s="28"/>
      <c r="C106" s="3"/>
      <c r="E106" s="35"/>
      <c r="F106" s="28"/>
      <c r="G106" s="28"/>
      <c r="H106" s="29"/>
      <c r="I106" s="14"/>
      <c r="K106" s="3"/>
      <c r="M106" s="3"/>
      <c r="N106" s="3"/>
      <c r="O106" s="52"/>
      <c r="P106" s="3"/>
    </row>
    <row r="107" spans="2:16" ht="15.75" customHeight="1">
      <c r="B107" s="28"/>
      <c r="C107" s="3"/>
      <c r="E107" s="35"/>
      <c r="F107" s="28"/>
      <c r="G107" s="28"/>
      <c r="H107" s="29"/>
      <c r="I107" s="14"/>
      <c r="K107" s="3"/>
      <c r="M107" s="3"/>
      <c r="N107" s="3"/>
      <c r="O107" s="52"/>
      <c r="P107" s="3"/>
    </row>
    <row r="108" spans="2:16" ht="15.75" customHeight="1">
      <c r="B108" s="28"/>
      <c r="C108" s="3"/>
      <c r="E108" s="35"/>
      <c r="F108" s="28"/>
      <c r="G108" s="28"/>
      <c r="H108" s="29"/>
      <c r="I108" s="14"/>
      <c r="K108" s="3"/>
      <c r="M108" s="3"/>
      <c r="N108" s="3"/>
      <c r="O108" s="52"/>
      <c r="P108" s="3"/>
    </row>
    <row r="109" spans="2:16" ht="15.75" customHeight="1">
      <c r="B109" s="28"/>
      <c r="C109" s="3"/>
      <c r="E109" s="35"/>
      <c r="F109" s="28"/>
      <c r="G109" s="28"/>
      <c r="H109" s="29"/>
      <c r="I109" s="14"/>
      <c r="K109" s="3"/>
      <c r="M109" s="3"/>
      <c r="N109" s="3"/>
      <c r="O109" s="52"/>
      <c r="P109" s="3"/>
    </row>
    <row r="110" spans="2:16" ht="15.75" customHeight="1">
      <c r="B110" s="28"/>
      <c r="C110" s="3"/>
      <c r="E110" s="35"/>
      <c r="F110" s="28"/>
      <c r="G110" s="28"/>
      <c r="H110" s="29"/>
      <c r="I110" s="14"/>
      <c r="K110" s="3"/>
      <c r="M110" s="3"/>
      <c r="N110" s="3"/>
      <c r="O110" s="52"/>
      <c r="P110" s="3"/>
    </row>
    <row r="111" spans="2:16" ht="15.75" customHeight="1">
      <c r="B111" s="28"/>
      <c r="C111" s="3"/>
      <c r="E111" s="35"/>
      <c r="F111" s="28"/>
      <c r="G111" s="28"/>
      <c r="H111" s="29"/>
      <c r="I111" s="14"/>
      <c r="K111" s="3"/>
      <c r="M111" s="3"/>
      <c r="N111" s="3"/>
      <c r="O111" s="52"/>
      <c r="P111" s="3"/>
    </row>
    <row r="112" spans="2:16" ht="15.75" customHeight="1">
      <c r="B112" s="28"/>
      <c r="C112" s="3"/>
      <c r="E112" s="35"/>
      <c r="F112" s="28"/>
      <c r="G112" s="28"/>
      <c r="H112" s="29"/>
      <c r="I112" s="14"/>
      <c r="K112" s="3"/>
      <c r="M112" s="3"/>
      <c r="N112" s="3"/>
      <c r="O112" s="52"/>
      <c r="P112" s="3"/>
    </row>
    <row r="113" spans="2:16" ht="15.75" customHeight="1">
      <c r="B113" s="28"/>
      <c r="C113" s="3"/>
      <c r="E113" s="35"/>
      <c r="F113" s="28"/>
      <c r="G113" s="28"/>
      <c r="H113" s="29"/>
      <c r="I113" s="14"/>
      <c r="K113" s="3"/>
      <c r="M113" s="3"/>
      <c r="N113" s="3"/>
      <c r="O113" s="52"/>
      <c r="P113" s="3"/>
    </row>
    <row r="114" spans="2:16" ht="15.75" customHeight="1">
      <c r="B114" s="28"/>
      <c r="C114" s="3"/>
      <c r="E114" s="35"/>
      <c r="F114" s="28"/>
      <c r="G114" s="28"/>
      <c r="H114" s="29"/>
      <c r="I114" s="14"/>
      <c r="K114" s="3"/>
      <c r="M114" s="3"/>
      <c r="N114" s="3"/>
      <c r="O114" s="52"/>
      <c r="P114" s="3"/>
    </row>
    <row r="115" spans="2:16" ht="15.75" customHeight="1">
      <c r="B115" s="28"/>
      <c r="C115" s="3"/>
      <c r="E115" s="35"/>
      <c r="F115" s="28"/>
      <c r="G115" s="28"/>
      <c r="H115" s="29"/>
      <c r="I115" s="14"/>
      <c r="K115" s="3"/>
      <c r="M115" s="3"/>
      <c r="N115" s="3"/>
      <c r="O115" s="52"/>
      <c r="P115" s="3"/>
    </row>
    <row r="116" spans="2:16" ht="15.75" customHeight="1">
      <c r="B116" s="28"/>
      <c r="C116" s="3"/>
      <c r="E116" s="35"/>
      <c r="F116" s="28"/>
      <c r="G116" s="28"/>
      <c r="H116" s="29"/>
      <c r="I116" s="14"/>
      <c r="K116" s="3"/>
      <c r="M116" s="3"/>
      <c r="N116" s="3"/>
      <c r="O116" s="52"/>
      <c r="P116" s="3"/>
    </row>
    <row r="117" spans="2:16" ht="15.75" customHeight="1">
      <c r="B117" s="28"/>
      <c r="C117" s="3"/>
      <c r="E117" s="35"/>
      <c r="F117" s="28"/>
      <c r="G117" s="28"/>
      <c r="H117" s="29"/>
      <c r="I117" s="14"/>
      <c r="K117" s="3"/>
      <c r="M117" s="3"/>
      <c r="N117" s="3"/>
      <c r="O117" s="52"/>
      <c r="P117" s="3"/>
    </row>
    <row r="118" spans="2:16" ht="15.75" customHeight="1">
      <c r="B118" s="28"/>
      <c r="C118" s="3"/>
      <c r="E118" s="35"/>
      <c r="F118" s="28"/>
      <c r="G118" s="28"/>
      <c r="H118" s="29"/>
      <c r="I118" s="14"/>
      <c r="K118" s="3"/>
      <c r="M118" s="3"/>
      <c r="N118" s="3"/>
      <c r="O118" s="52"/>
      <c r="P118" s="3"/>
    </row>
    <row r="119" spans="2:16" ht="15.75" customHeight="1">
      <c r="B119" s="28"/>
      <c r="C119" s="3"/>
      <c r="E119" s="35"/>
      <c r="F119" s="28"/>
      <c r="G119" s="28"/>
      <c r="H119" s="29"/>
      <c r="I119" s="14"/>
      <c r="K119" s="3"/>
      <c r="M119" s="3"/>
      <c r="N119" s="3"/>
      <c r="O119" s="52"/>
      <c r="P119" s="3"/>
    </row>
    <row r="120" spans="2:16" ht="15.75" customHeight="1">
      <c r="B120" s="28"/>
      <c r="C120" s="3"/>
      <c r="E120" s="35"/>
      <c r="F120" s="28"/>
      <c r="G120" s="28"/>
      <c r="H120" s="29"/>
      <c r="I120" s="14"/>
      <c r="K120" s="3"/>
      <c r="M120" s="3"/>
      <c r="N120" s="3"/>
      <c r="O120" s="52"/>
      <c r="P120" s="3"/>
    </row>
    <row r="121" spans="2:16" ht="15.75" customHeight="1">
      <c r="B121" s="28"/>
      <c r="C121" s="3"/>
      <c r="E121" s="35"/>
      <c r="F121" s="28"/>
      <c r="G121" s="28"/>
      <c r="H121" s="29"/>
      <c r="I121" s="14"/>
      <c r="K121" s="3"/>
      <c r="M121" s="3"/>
      <c r="N121" s="3"/>
      <c r="O121" s="52"/>
      <c r="P121" s="3"/>
    </row>
    <row r="122" spans="2:16" ht="15.75" customHeight="1">
      <c r="B122" s="28"/>
      <c r="C122" s="3"/>
      <c r="E122" s="35"/>
      <c r="F122" s="28"/>
      <c r="G122" s="28"/>
      <c r="H122" s="29"/>
      <c r="I122" s="14"/>
      <c r="K122" s="3"/>
      <c r="M122" s="3"/>
      <c r="N122" s="3"/>
      <c r="O122" s="52"/>
      <c r="P122" s="3"/>
    </row>
    <row r="123" spans="2:16" ht="15.75" customHeight="1">
      <c r="B123" s="28"/>
      <c r="C123" s="3"/>
      <c r="E123" s="35"/>
      <c r="F123" s="28"/>
      <c r="G123" s="28"/>
      <c r="H123" s="29"/>
      <c r="I123" s="14"/>
      <c r="K123" s="3"/>
      <c r="M123" s="3"/>
      <c r="N123" s="3"/>
      <c r="O123" s="52"/>
      <c r="P123" s="3"/>
    </row>
    <row r="124" spans="2:16" ht="15.75" customHeight="1">
      <c r="B124" s="28"/>
      <c r="C124" s="3"/>
      <c r="E124" s="35"/>
      <c r="F124" s="28"/>
      <c r="G124" s="28"/>
      <c r="H124" s="29"/>
      <c r="I124" s="14"/>
      <c r="K124" s="3"/>
      <c r="M124" s="3"/>
      <c r="N124" s="3"/>
      <c r="O124" s="52"/>
      <c r="P124" s="3"/>
    </row>
    <row r="125" spans="2:16" ht="15.75" customHeight="1">
      <c r="B125" s="28"/>
      <c r="C125" s="3"/>
      <c r="E125" s="35"/>
      <c r="F125" s="28"/>
      <c r="G125" s="28"/>
      <c r="H125" s="29"/>
      <c r="I125" s="14"/>
      <c r="K125" s="3"/>
      <c r="M125" s="3"/>
      <c r="N125" s="3"/>
      <c r="O125" s="52"/>
      <c r="P125" s="3"/>
    </row>
    <row r="126" spans="2:16" ht="15.75" customHeight="1">
      <c r="B126" s="28"/>
      <c r="C126" s="3"/>
      <c r="E126" s="35"/>
      <c r="F126" s="28"/>
      <c r="G126" s="28"/>
      <c r="H126" s="29"/>
      <c r="I126" s="14"/>
      <c r="K126" s="3"/>
      <c r="M126" s="3"/>
      <c r="N126" s="3"/>
      <c r="O126" s="52"/>
      <c r="P126" s="3"/>
    </row>
    <row r="127" spans="2:16" ht="15.75" customHeight="1">
      <c r="B127" s="28"/>
      <c r="C127" s="3"/>
      <c r="E127" s="35"/>
      <c r="F127" s="28"/>
      <c r="G127" s="28"/>
      <c r="H127" s="29"/>
      <c r="I127" s="14"/>
      <c r="K127" s="3"/>
      <c r="M127" s="3"/>
      <c r="N127" s="3"/>
      <c r="O127" s="52"/>
      <c r="P127" s="3"/>
    </row>
    <row r="128" spans="2:16" ht="15.75" customHeight="1">
      <c r="B128" s="28"/>
      <c r="C128" s="3"/>
      <c r="E128" s="35"/>
      <c r="F128" s="28"/>
      <c r="G128" s="28"/>
      <c r="H128" s="29"/>
      <c r="I128" s="14"/>
      <c r="K128" s="3"/>
      <c r="M128" s="3"/>
      <c r="N128" s="3"/>
      <c r="O128" s="52"/>
      <c r="P128" s="3"/>
    </row>
    <row r="129" spans="2:16" ht="15.75" customHeight="1">
      <c r="B129" s="28"/>
      <c r="C129" s="3"/>
      <c r="E129" s="35"/>
      <c r="F129" s="28"/>
      <c r="G129" s="28"/>
      <c r="H129" s="29"/>
      <c r="I129" s="14"/>
      <c r="K129" s="3"/>
      <c r="M129" s="3"/>
      <c r="N129" s="3"/>
      <c r="O129" s="52"/>
      <c r="P129" s="3"/>
    </row>
    <row r="130" spans="2:16" ht="15.75" customHeight="1">
      <c r="B130" s="28"/>
      <c r="C130" s="3"/>
      <c r="E130" s="35"/>
      <c r="F130" s="28"/>
      <c r="G130" s="28"/>
      <c r="H130" s="29"/>
      <c r="I130" s="14"/>
      <c r="K130" s="3"/>
      <c r="M130" s="3"/>
      <c r="N130" s="3"/>
      <c r="O130" s="52"/>
      <c r="P130" s="3"/>
    </row>
    <row r="131" spans="2:16" ht="15.75" customHeight="1">
      <c r="B131" s="28"/>
      <c r="C131" s="3"/>
      <c r="E131" s="35"/>
      <c r="F131" s="28"/>
      <c r="G131" s="28"/>
      <c r="H131" s="29"/>
      <c r="I131" s="14"/>
      <c r="K131" s="3"/>
      <c r="M131" s="3"/>
      <c r="N131" s="3"/>
      <c r="O131" s="52"/>
      <c r="P131" s="3"/>
    </row>
    <row r="132" spans="2:16" ht="15.75" customHeight="1">
      <c r="B132" s="28"/>
      <c r="C132" s="3"/>
      <c r="E132" s="35"/>
      <c r="F132" s="28"/>
      <c r="G132" s="28"/>
      <c r="H132" s="29"/>
      <c r="I132" s="14"/>
      <c r="K132" s="3"/>
      <c r="M132" s="3"/>
      <c r="N132" s="3"/>
      <c r="O132" s="52"/>
      <c r="P132" s="3"/>
    </row>
    <row r="133" spans="2:16" ht="15.75" customHeight="1">
      <c r="B133" s="28"/>
      <c r="C133" s="3"/>
      <c r="E133" s="35"/>
      <c r="F133" s="28"/>
      <c r="G133" s="28"/>
      <c r="H133" s="29"/>
      <c r="I133" s="14"/>
      <c r="K133" s="3"/>
      <c r="M133" s="3"/>
      <c r="N133" s="3"/>
      <c r="O133" s="52"/>
      <c r="P133" s="3"/>
    </row>
    <row r="134" spans="2:16" ht="15.75" customHeight="1">
      <c r="B134" s="28"/>
      <c r="C134" s="3"/>
      <c r="E134" s="35"/>
      <c r="F134" s="28"/>
      <c r="G134" s="28"/>
      <c r="H134" s="29"/>
      <c r="I134" s="14"/>
      <c r="K134" s="3"/>
      <c r="M134" s="3"/>
      <c r="N134" s="3"/>
      <c r="O134" s="52"/>
      <c r="P134" s="3"/>
    </row>
    <row r="135" spans="2:16" ht="15.75" customHeight="1">
      <c r="B135" s="28"/>
      <c r="C135" s="3"/>
      <c r="E135" s="35"/>
      <c r="F135" s="28"/>
      <c r="G135" s="28"/>
      <c r="H135" s="29"/>
      <c r="I135" s="14"/>
      <c r="K135" s="3"/>
      <c r="M135" s="3"/>
      <c r="N135" s="3"/>
      <c r="O135" s="52"/>
      <c r="P135" s="3"/>
    </row>
    <row r="136" spans="2:16" ht="15.75" customHeight="1">
      <c r="B136" s="28"/>
      <c r="C136" s="3"/>
      <c r="E136" s="35"/>
      <c r="F136" s="28"/>
      <c r="G136" s="28"/>
      <c r="H136" s="29"/>
      <c r="I136" s="14"/>
      <c r="K136" s="3"/>
      <c r="M136" s="3"/>
      <c r="N136" s="3"/>
      <c r="O136" s="52"/>
      <c r="P136" s="3"/>
    </row>
    <row r="137" spans="2:16" ht="15.75" customHeight="1">
      <c r="B137" s="28"/>
      <c r="C137" s="3"/>
      <c r="E137" s="35"/>
      <c r="F137" s="28"/>
      <c r="G137" s="28"/>
      <c r="H137" s="29"/>
      <c r="I137" s="14"/>
      <c r="K137" s="3"/>
      <c r="M137" s="3"/>
      <c r="N137" s="3"/>
      <c r="O137" s="52"/>
      <c r="P137" s="3"/>
    </row>
    <row r="138" spans="2:16" ht="15.75" customHeight="1">
      <c r="B138" s="28"/>
      <c r="C138" s="3"/>
      <c r="E138" s="35"/>
      <c r="F138" s="28"/>
      <c r="G138" s="28"/>
      <c r="H138" s="29"/>
      <c r="I138" s="14"/>
      <c r="K138" s="3"/>
      <c r="M138" s="3"/>
      <c r="N138" s="3"/>
      <c r="O138" s="52"/>
      <c r="P138" s="3"/>
    </row>
    <row r="139" spans="2:16" ht="15.75" customHeight="1">
      <c r="B139" s="28"/>
      <c r="C139" s="3"/>
      <c r="E139" s="35"/>
      <c r="F139" s="28"/>
      <c r="G139" s="28"/>
      <c r="H139" s="29"/>
      <c r="I139" s="14"/>
      <c r="K139" s="3"/>
      <c r="M139" s="3"/>
      <c r="N139" s="3"/>
      <c r="O139" s="52"/>
      <c r="P139" s="3"/>
    </row>
    <row r="140" spans="2:16" ht="15.75" customHeight="1">
      <c r="B140" s="28"/>
      <c r="C140" s="3"/>
      <c r="E140" s="35"/>
      <c r="F140" s="28"/>
      <c r="G140" s="28"/>
      <c r="H140" s="29"/>
      <c r="I140" s="14"/>
      <c r="K140" s="3"/>
      <c r="M140" s="3"/>
      <c r="N140" s="3"/>
      <c r="O140" s="52"/>
      <c r="P140" s="3"/>
    </row>
    <row r="141" spans="2:16" ht="15.75" customHeight="1">
      <c r="B141" s="28"/>
      <c r="C141" s="3"/>
      <c r="E141" s="35"/>
      <c r="F141" s="28"/>
      <c r="G141" s="28"/>
      <c r="H141" s="29"/>
      <c r="I141" s="14"/>
      <c r="K141" s="3"/>
      <c r="M141" s="3"/>
      <c r="N141" s="3"/>
      <c r="O141" s="52"/>
      <c r="P141" s="3"/>
    </row>
    <row r="142" spans="2:16" ht="15.75" customHeight="1">
      <c r="B142" s="28"/>
      <c r="C142" s="3"/>
      <c r="E142" s="35"/>
      <c r="F142" s="28"/>
      <c r="G142" s="28"/>
      <c r="H142" s="29"/>
      <c r="I142" s="14"/>
      <c r="K142" s="3"/>
      <c r="M142" s="3"/>
      <c r="N142" s="3"/>
      <c r="O142" s="52"/>
      <c r="P142" s="3"/>
    </row>
    <row r="143" spans="2:16" ht="15.75" customHeight="1">
      <c r="B143" s="28"/>
      <c r="C143" s="3"/>
      <c r="E143" s="35"/>
      <c r="F143" s="28"/>
      <c r="G143" s="28"/>
      <c r="H143" s="29"/>
      <c r="I143" s="14"/>
      <c r="K143" s="3"/>
      <c r="M143" s="3"/>
      <c r="N143" s="3"/>
      <c r="O143" s="52"/>
      <c r="P143" s="3"/>
    </row>
    <row r="144" spans="2:16" ht="15.75" customHeight="1">
      <c r="B144" s="28"/>
      <c r="C144" s="3"/>
      <c r="E144" s="35"/>
      <c r="F144" s="28"/>
      <c r="G144" s="28"/>
      <c r="H144" s="29"/>
      <c r="I144" s="14"/>
      <c r="K144" s="3"/>
      <c r="M144" s="3"/>
      <c r="N144" s="3"/>
      <c r="O144" s="52"/>
      <c r="P144" s="3"/>
    </row>
    <row r="145" spans="2:16" ht="15.75" customHeight="1">
      <c r="B145" s="28"/>
      <c r="C145" s="3"/>
      <c r="E145" s="35"/>
      <c r="F145" s="28"/>
      <c r="G145" s="28"/>
      <c r="H145" s="29"/>
      <c r="I145" s="14"/>
      <c r="K145" s="3"/>
      <c r="M145" s="3"/>
      <c r="N145" s="3"/>
      <c r="O145" s="52"/>
      <c r="P145" s="3"/>
    </row>
    <row r="146" spans="2:16" ht="15.75" customHeight="1">
      <c r="B146" s="28"/>
      <c r="C146" s="3"/>
      <c r="E146" s="35"/>
      <c r="F146" s="28"/>
      <c r="G146" s="28"/>
      <c r="H146" s="29"/>
      <c r="I146" s="14"/>
      <c r="K146" s="3"/>
      <c r="M146" s="3"/>
      <c r="N146" s="3"/>
      <c r="O146" s="52"/>
      <c r="P146" s="3"/>
    </row>
    <row r="147" spans="2:16" ht="15.75" customHeight="1">
      <c r="B147" s="28"/>
      <c r="C147" s="3"/>
      <c r="E147" s="35"/>
      <c r="F147" s="28"/>
      <c r="G147" s="28"/>
      <c r="H147" s="29"/>
      <c r="I147" s="14"/>
      <c r="K147" s="3"/>
      <c r="M147" s="3"/>
      <c r="N147" s="3"/>
      <c r="O147" s="52"/>
      <c r="P147" s="3"/>
    </row>
    <row r="148" spans="2:16" ht="15.75" customHeight="1">
      <c r="B148" s="28"/>
      <c r="C148" s="3"/>
      <c r="E148" s="35"/>
      <c r="F148" s="28"/>
      <c r="G148" s="28"/>
      <c r="H148" s="29"/>
      <c r="I148" s="14"/>
      <c r="K148" s="3"/>
      <c r="M148" s="3"/>
      <c r="N148" s="3"/>
      <c r="O148" s="52"/>
      <c r="P148" s="3"/>
    </row>
    <row r="149" spans="2:16" ht="15.75" customHeight="1">
      <c r="B149" s="28"/>
      <c r="C149" s="3"/>
      <c r="E149" s="35"/>
      <c r="F149" s="28"/>
      <c r="G149" s="28"/>
      <c r="H149" s="29"/>
      <c r="I149" s="14"/>
      <c r="K149" s="3"/>
      <c r="M149" s="3"/>
      <c r="N149" s="3"/>
      <c r="O149" s="52"/>
      <c r="P149" s="3"/>
    </row>
    <row r="150" spans="2:16" ht="15.75" customHeight="1">
      <c r="B150" s="28"/>
      <c r="C150" s="3"/>
      <c r="E150" s="35"/>
      <c r="F150" s="28"/>
      <c r="G150" s="28"/>
      <c r="H150" s="29"/>
      <c r="I150" s="14"/>
      <c r="K150" s="3"/>
      <c r="M150" s="3"/>
      <c r="N150" s="3"/>
      <c r="O150" s="52"/>
      <c r="P150" s="3"/>
    </row>
    <row r="151" spans="2:16" ht="15.75" customHeight="1">
      <c r="B151" s="28"/>
      <c r="C151" s="3"/>
      <c r="E151" s="35"/>
      <c r="F151" s="28"/>
      <c r="G151" s="28"/>
      <c r="H151" s="29"/>
      <c r="I151" s="14"/>
      <c r="K151" s="3"/>
      <c r="M151" s="3"/>
      <c r="N151" s="3"/>
      <c r="O151" s="52"/>
      <c r="P151" s="3"/>
    </row>
    <row r="152" spans="2:16" ht="15.75" customHeight="1">
      <c r="B152" s="28"/>
      <c r="C152" s="3"/>
      <c r="E152" s="35"/>
      <c r="F152" s="28"/>
      <c r="G152" s="28"/>
      <c r="H152" s="29"/>
      <c r="I152" s="14"/>
      <c r="K152" s="3"/>
      <c r="M152" s="3"/>
      <c r="N152" s="3"/>
      <c r="O152" s="52"/>
      <c r="P152" s="3"/>
    </row>
    <row r="153" spans="2:16" ht="15.75" customHeight="1">
      <c r="B153" s="28"/>
      <c r="C153" s="3"/>
      <c r="E153" s="35"/>
      <c r="F153" s="28"/>
      <c r="G153" s="28"/>
      <c r="H153" s="29"/>
      <c r="I153" s="14"/>
      <c r="K153" s="3"/>
      <c r="M153" s="3"/>
      <c r="N153" s="3"/>
      <c r="O153" s="52"/>
      <c r="P153" s="3"/>
    </row>
    <row r="154" spans="2:16" ht="15.75" customHeight="1">
      <c r="B154" s="28"/>
      <c r="C154" s="3"/>
      <c r="E154" s="35"/>
      <c r="F154" s="28"/>
      <c r="G154" s="28"/>
      <c r="H154" s="29"/>
      <c r="I154" s="14"/>
      <c r="K154" s="3"/>
      <c r="M154" s="3"/>
      <c r="N154" s="3"/>
      <c r="O154" s="52"/>
      <c r="P154" s="3"/>
    </row>
    <row r="155" spans="2:16" ht="15.75" customHeight="1">
      <c r="B155" s="28"/>
      <c r="C155" s="3"/>
      <c r="E155" s="35"/>
      <c r="F155" s="28"/>
      <c r="G155" s="28"/>
      <c r="H155" s="29"/>
      <c r="I155" s="14"/>
      <c r="K155" s="3"/>
      <c r="M155" s="3"/>
      <c r="N155" s="3"/>
      <c r="O155" s="52"/>
      <c r="P155" s="3"/>
    </row>
    <row r="156" spans="2:16" ht="15.75" customHeight="1">
      <c r="B156" s="28"/>
      <c r="C156" s="3"/>
      <c r="E156" s="35"/>
      <c r="F156" s="28"/>
      <c r="G156" s="28"/>
      <c r="H156" s="29"/>
      <c r="I156" s="14"/>
      <c r="K156" s="3"/>
      <c r="M156" s="3"/>
      <c r="N156" s="3"/>
      <c r="O156" s="52"/>
      <c r="P156" s="3"/>
    </row>
    <row r="157" spans="2:16" ht="15.75" customHeight="1">
      <c r="B157" s="28"/>
      <c r="C157" s="3"/>
      <c r="E157" s="35"/>
      <c r="F157" s="28"/>
      <c r="G157" s="28"/>
      <c r="H157" s="29"/>
      <c r="I157" s="14"/>
      <c r="K157" s="3"/>
      <c r="M157" s="3"/>
      <c r="N157" s="3"/>
      <c r="O157" s="52"/>
      <c r="P157" s="3"/>
    </row>
    <row r="158" spans="2:16" ht="15.75" customHeight="1">
      <c r="B158" s="28"/>
      <c r="C158" s="3"/>
      <c r="E158" s="35"/>
      <c r="F158" s="28"/>
      <c r="G158" s="28"/>
      <c r="H158" s="29"/>
      <c r="I158" s="14"/>
      <c r="K158" s="3"/>
      <c r="M158" s="3"/>
      <c r="N158" s="3"/>
      <c r="O158" s="52"/>
      <c r="P158" s="3"/>
    </row>
    <row r="159" spans="2:16" ht="15.75" customHeight="1">
      <c r="B159" s="28"/>
      <c r="C159" s="3"/>
      <c r="E159" s="35"/>
      <c r="F159" s="28"/>
      <c r="G159" s="28"/>
      <c r="H159" s="29"/>
      <c r="I159" s="14"/>
      <c r="K159" s="3"/>
      <c r="M159" s="3"/>
      <c r="N159" s="3"/>
      <c r="O159" s="52"/>
      <c r="P159" s="3"/>
    </row>
    <row r="160" spans="2:16" ht="15.75" customHeight="1">
      <c r="B160" s="28"/>
      <c r="C160" s="3"/>
      <c r="E160" s="35"/>
      <c r="F160" s="28"/>
      <c r="G160" s="28"/>
      <c r="H160" s="29"/>
      <c r="I160" s="14"/>
      <c r="K160" s="3"/>
      <c r="M160" s="3"/>
      <c r="N160" s="3"/>
      <c r="O160" s="52"/>
      <c r="P160" s="3"/>
    </row>
    <row r="161" spans="2:16" ht="15.75" customHeight="1">
      <c r="B161" s="28"/>
      <c r="C161" s="3"/>
      <c r="E161" s="35"/>
      <c r="F161" s="28"/>
      <c r="G161" s="28"/>
      <c r="H161" s="29"/>
      <c r="I161" s="14"/>
      <c r="K161" s="3"/>
      <c r="M161" s="3"/>
      <c r="N161" s="3"/>
      <c r="O161" s="52"/>
      <c r="P161" s="3"/>
    </row>
    <row r="162" spans="2:16" ht="15.75" customHeight="1">
      <c r="B162" s="28"/>
      <c r="C162" s="3"/>
      <c r="E162" s="35"/>
      <c r="F162" s="28"/>
      <c r="G162" s="28"/>
      <c r="H162" s="29"/>
      <c r="I162" s="14"/>
      <c r="K162" s="3"/>
      <c r="M162" s="3"/>
      <c r="N162" s="3"/>
      <c r="O162" s="52"/>
      <c r="P162" s="3"/>
    </row>
    <row r="163" spans="2:16" ht="15.75" customHeight="1">
      <c r="B163" s="28"/>
      <c r="C163" s="3"/>
      <c r="E163" s="35"/>
      <c r="F163" s="28"/>
      <c r="G163" s="28"/>
      <c r="H163" s="29"/>
      <c r="I163" s="14"/>
      <c r="K163" s="3"/>
      <c r="M163" s="3"/>
      <c r="N163" s="3"/>
      <c r="O163" s="52"/>
      <c r="P163" s="3"/>
    </row>
    <row r="164" spans="2:16" ht="15.75" customHeight="1">
      <c r="B164" s="28"/>
      <c r="C164" s="3"/>
      <c r="E164" s="35"/>
      <c r="F164" s="28"/>
      <c r="G164" s="28"/>
      <c r="H164" s="29"/>
      <c r="I164" s="14"/>
      <c r="K164" s="3"/>
      <c r="M164" s="3"/>
      <c r="N164" s="3"/>
      <c r="O164" s="52"/>
      <c r="P164" s="3"/>
    </row>
    <row r="165" spans="2:16" ht="15.75" customHeight="1">
      <c r="B165" s="28"/>
      <c r="C165" s="3"/>
      <c r="E165" s="35"/>
      <c r="F165" s="28"/>
      <c r="G165" s="28"/>
      <c r="H165" s="29"/>
      <c r="I165" s="14"/>
      <c r="K165" s="3"/>
      <c r="M165" s="3"/>
      <c r="N165" s="3"/>
      <c r="O165" s="52"/>
      <c r="P165" s="3"/>
    </row>
    <row r="166" spans="2:16" ht="15.75" customHeight="1">
      <c r="B166" s="28"/>
      <c r="C166" s="3"/>
      <c r="E166" s="35"/>
      <c r="F166" s="28"/>
      <c r="G166" s="28"/>
      <c r="H166" s="29"/>
      <c r="I166" s="14"/>
      <c r="K166" s="3"/>
      <c r="M166" s="3"/>
      <c r="N166" s="3"/>
      <c r="O166" s="52"/>
      <c r="P166" s="3"/>
    </row>
    <row r="167" spans="2:16" ht="15.75" customHeight="1">
      <c r="B167" s="28"/>
      <c r="C167" s="3"/>
      <c r="E167" s="35"/>
      <c r="F167" s="28"/>
      <c r="G167" s="28"/>
      <c r="H167" s="29"/>
      <c r="I167" s="14"/>
      <c r="K167" s="3"/>
      <c r="M167" s="3"/>
      <c r="N167" s="3"/>
      <c r="O167" s="52"/>
      <c r="P167" s="3"/>
    </row>
    <row r="168" spans="2:16" ht="15.75" customHeight="1">
      <c r="B168" s="28"/>
      <c r="C168" s="3"/>
      <c r="E168" s="35"/>
      <c r="F168" s="28"/>
      <c r="G168" s="28"/>
      <c r="H168" s="29"/>
      <c r="I168" s="14"/>
      <c r="K168" s="3"/>
      <c r="M168" s="3"/>
      <c r="N168" s="3"/>
      <c r="O168" s="52"/>
      <c r="P168" s="3"/>
    </row>
    <row r="169" spans="2:16" ht="15.75" customHeight="1">
      <c r="B169" s="28"/>
      <c r="C169" s="3"/>
      <c r="E169" s="35"/>
      <c r="F169" s="28"/>
      <c r="G169" s="28"/>
      <c r="H169" s="29"/>
      <c r="I169" s="14"/>
      <c r="K169" s="3"/>
      <c r="M169" s="3"/>
      <c r="N169" s="3"/>
      <c r="O169" s="52"/>
      <c r="P169" s="3"/>
    </row>
    <row r="170" spans="2:16" ht="15.75" customHeight="1">
      <c r="B170" s="28"/>
      <c r="C170" s="3"/>
      <c r="E170" s="35"/>
      <c r="F170" s="28"/>
      <c r="G170" s="28"/>
      <c r="H170" s="29"/>
      <c r="I170" s="14"/>
      <c r="K170" s="3"/>
      <c r="M170" s="3"/>
      <c r="N170" s="3"/>
      <c r="O170" s="52"/>
      <c r="P170" s="3"/>
    </row>
    <row r="171" spans="2:16" ht="15.75" customHeight="1">
      <c r="B171" s="28"/>
      <c r="C171" s="3"/>
      <c r="E171" s="35"/>
      <c r="F171" s="28"/>
      <c r="G171" s="28"/>
      <c r="H171" s="29"/>
      <c r="I171" s="14"/>
      <c r="K171" s="3"/>
      <c r="M171" s="3"/>
      <c r="N171" s="3"/>
      <c r="O171" s="52"/>
      <c r="P171" s="3"/>
    </row>
    <row r="172" spans="2:16" ht="15.75" customHeight="1">
      <c r="B172" s="28"/>
      <c r="C172" s="3"/>
      <c r="E172" s="35"/>
      <c r="F172" s="28"/>
      <c r="G172" s="28"/>
      <c r="H172" s="29"/>
      <c r="I172" s="14"/>
      <c r="K172" s="3"/>
      <c r="M172" s="3"/>
      <c r="N172" s="3"/>
      <c r="O172" s="52"/>
      <c r="P172" s="3"/>
    </row>
    <row r="173" spans="2:16" ht="15.75" customHeight="1">
      <c r="B173" s="28"/>
      <c r="C173" s="3"/>
      <c r="E173" s="35"/>
      <c r="F173" s="28"/>
      <c r="G173" s="28"/>
      <c r="H173" s="29"/>
      <c r="I173" s="14"/>
      <c r="K173" s="3"/>
      <c r="M173" s="3"/>
      <c r="N173" s="3"/>
      <c r="O173" s="52"/>
      <c r="P173" s="3"/>
    </row>
    <row r="174" spans="2:16" ht="15.75" customHeight="1">
      <c r="B174" s="28"/>
      <c r="C174" s="3"/>
      <c r="E174" s="35"/>
      <c r="F174" s="28"/>
      <c r="G174" s="28"/>
      <c r="H174" s="29"/>
      <c r="I174" s="14"/>
      <c r="K174" s="3"/>
      <c r="M174" s="3"/>
      <c r="N174" s="3"/>
      <c r="O174" s="52"/>
      <c r="P174" s="3"/>
    </row>
    <row r="175" spans="2:16" ht="15.75" customHeight="1">
      <c r="B175" s="28"/>
      <c r="C175" s="3"/>
      <c r="E175" s="35"/>
      <c r="F175" s="28"/>
      <c r="G175" s="28"/>
      <c r="H175" s="29"/>
      <c r="I175" s="14"/>
      <c r="K175" s="3"/>
      <c r="M175" s="3"/>
      <c r="N175" s="3"/>
      <c r="O175" s="52"/>
      <c r="P175" s="3"/>
    </row>
    <row r="176" spans="2:16" ht="15.75" customHeight="1">
      <c r="B176" s="28"/>
      <c r="C176" s="3"/>
      <c r="E176" s="35"/>
      <c r="F176" s="28"/>
      <c r="G176" s="28"/>
      <c r="H176" s="29"/>
      <c r="I176" s="14"/>
      <c r="K176" s="3"/>
      <c r="M176" s="3"/>
      <c r="N176" s="3"/>
      <c r="O176" s="52"/>
      <c r="P176" s="3"/>
    </row>
    <row r="177" spans="2:16" ht="15.75" customHeight="1">
      <c r="B177" s="28"/>
      <c r="C177" s="3"/>
      <c r="E177" s="35"/>
      <c r="F177" s="28"/>
      <c r="G177" s="28"/>
      <c r="H177" s="29"/>
      <c r="I177" s="14"/>
      <c r="K177" s="3"/>
      <c r="M177" s="3"/>
      <c r="N177" s="3"/>
      <c r="O177" s="52"/>
      <c r="P177" s="3"/>
    </row>
    <row r="178" spans="2:16" ht="15.75" customHeight="1">
      <c r="B178" s="28"/>
      <c r="C178" s="3"/>
      <c r="E178" s="35"/>
      <c r="F178" s="28"/>
      <c r="G178" s="28"/>
      <c r="H178" s="29"/>
      <c r="I178" s="14"/>
      <c r="K178" s="3"/>
      <c r="M178" s="3"/>
      <c r="N178" s="3"/>
      <c r="O178" s="52"/>
      <c r="P178" s="3"/>
    </row>
    <row r="179" spans="2:16" ht="15.75" customHeight="1">
      <c r="B179" s="28"/>
      <c r="C179" s="3"/>
      <c r="E179" s="35"/>
      <c r="F179" s="28"/>
      <c r="G179" s="28"/>
      <c r="H179" s="29"/>
      <c r="I179" s="14"/>
      <c r="K179" s="3"/>
      <c r="M179" s="3"/>
      <c r="N179" s="3"/>
      <c r="O179" s="52"/>
      <c r="P179" s="3"/>
    </row>
    <row r="180" spans="2:16" ht="15.75" customHeight="1">
      <c r="B180" s="28"/>
      <c r="C180" s="3"/>
      <c r="E180" s="35"/>
      <c r="F180" s="28"/>
      <c r="G180" s="28"/>
      <c r="H180" s="29"/>
      <c r="I180" s="14"/>
      <c r="K180" s="3"/>
      <c r="M180" s="3"/>
      <c r="N180" s="3"/>
      <c r="O180" s="52"/>
      <c r="P180" s="3"/>
    </row>
    <row r="181" spans="2:16" ht="15.75" customHeight="1">
      <c r="B181" s="28"/>
      <c r="C181" s="3"/>
      <c r="E181" s="35"/>
      <c r="F181" s="28"/>
      <c r="G181" s="28"/>
      <c r="H181" s="29"/>
      <c r="I181" s="14"/>
      <c r="K181" s="3"/>
      <c r="M181" s="3"/>
      <c r="N181" s="3"/>
      <c r="O181" s="52"/>
      <c r="P181" s="3"/>
    </row>
    <row r="182" spans="2:16" ht="15.75" customHeight="1">
      <c r="B182" s="28"/>
      <c r="C182" s="3"/>
      <c r="E182" s="35"/>
      <c r="F182" s="28"/>
      <c r="G182" s="28"/>
      <c r="H182" s="29"/>
      <c r="I182" s="14"/>
      <c r="K182" s="3"/>
      <c r="M182" s="3"/>
      <c r="N182" s="3"/>
      <c r="O182" s="52"/>
      <c r="P182" s="3"/>
    </row>
    <row r="183" spans="2:16" ht="15.75" customHeight="1">
      <c r="B183" s="28"/>
      <c r="C183" s="3"/>
      <c r="E183" s="35"/>
      <c r="F183" s="28"/>
      <c r="G183" s="28"/>
      <c r="H183" s="29"/>
      <c r="I183" s="14"/>
      <c r="K183" s="3"/>
      <c r="M183" s="3"/>
      <c r="N183" s="3"/>
      <c r="O183" s="52"/>
      <c r="P183" s="3"/>
    </row>
    <row r="184" spans="2:16" ht="15.75" customHeight="1">
      <c r="B184" s="28"/>
      <c r="C184" s="3"/>
      <c r="E184" s="35"/>
      <c r="F184" s="28"/>
      <c r="G184" s="28"/>
      <c r="H184" s="29"/>
      <c r="I184" s="14"/>
      <c r="K184" s="3"/>
      <c r="M184" s="3"/>
      <c r="N184" s="3"/>
      <c r="O184" s="52"/>
      <c r="P184" s="3"/>
    </row>
    <row r="185" spans="2:16" ht="15.75" customHeight="1">
      <c r="B185" s="28"/>
      <c r="C185" s="3"/>
      <c r="E185" s="35"/>
      <c r="F185" s="28"/>
      <c r="G185" s="28"/>
      <c r="H185" s="29"/>
      <c r="I185" s="14"/>
      <c r="K185" s="3"/>
      <c r="M185" s="3"/>
      <c r="N185" s="3"/>
      <c r="O185" s="52"/>
      <c r="P185" s="3"/>
    </row>
    <row r="186" spans="2:16" ht="15.75" customHeight="1">
      <c r="B186" s="28"/>
      <c r="C186" s="3"/>
      <c r="E186" s="35"/>
      <c r="F186" s="28"/>
      <c r="G186" s="28"/>
      <c r="H186" s="29"/>
      <c r="I186" s="14"/>
      <c r="K186" s="3"/>
      <c r="M186" s="3"/>
      <c r="N186" s="3"/>
      <c r="O186" s="52"/>
      <c r="P186" s="3"/>
    </row>
    <row r="187" spans="2:16" ht="15.75" customHeight="1">
      <c r="B187" s="28"/>
      <c r="C187" s="3"/>
      <c r="E187" s="35"/>
      <c r="F187" s="28"/>
      <c r="G187" s="28"/>
      <c r="H187" s="29"/>
      <c r="I187" s="14"/>
      <c r="K187" s="3"/>
      <c r="M187" s="3"/>
      <c r="N187" s="3"/>
      <c r="O187" s="52"/>
      <c r="P187" s="3"/>
    </row>
    <row r="188" spans="2:16" ht="15.75" customHeight="1">
      <c r="B188" s="28"/>
      <c r="C188" s="3"/>
      <c r="E188" s="35"/>
      <c r="F188" s="28"/>
      <c r="G188" s="28"/>
      <c r="H188" s="29"/>
      <c r="I188" s="14"/>
      <c r="K188" s="3"/>
      <c r="M188" s="3"/>
      <c r="N188" s="3"/>
      <c r="O188" s="52"/>
      <c r="P188" s="3"/>
    </row>
    <row r="189" spans="2:16" ht="15.75" customHeight="1">
      <c r="B189" s="28"/>
      <c r="C189" s="3"/>
      <c r="E189" s="35"/>
      <c r="F189" s="28"/>
      <c r="G189" s="28"/>
      <c r="H189" s="29"/>
      <c r="I189" s="14"/>
      <c r="K189" s="3"/>
      <c r="M189" s="3"/>
      <c r="N189" s="3"/>
      <c r="O189" s="52"/>
      <c r="P189" s="3"/>
    </row>
    <row r="190" spans="2:16" ht="15.75" customHeight="1">
      <c r="B190" s="28"/>
      <c r="C190" s="3"/>
      <c r="E190" s="35"/>
      <c r="F190" s="28"/>
      <c r="G190" s="28"/>
      <c r="H190" s="29"/>
      <c r="I190" s="14"/>
      <c r="K190" s="3"/>
      <c r="M190" s="3"/>
      <c r="N190" s="3"/>
      <c r="O190" s="52"/>
      <c r="P190" s="3"/>
    </row>
    <row r="191" spans="2:16" ht="15.75" customHeight="1">
      <c r="B191" s="28"/>
      <c r="C191" s="3"/>
      <c r="E191" s="35"/>
      <c r="F191" s="28"/>
      <c r="G191" s="28"/>
      <c r="H191" s="29"/>
      <c r="I191" s="14"/>
      <c r="K191" s="3"/>
      <c r="M191" s="3"/>
      <c r="N191" s="3"/>
      <c r="O191" s="52"/>
      <c r="P191" s="3"/>
    </row>
    <row r="192" spans="2:16" ht="15.75" customHeight="1">
      <c r="B192" s="28"/>
      <c r="C192" s="3"/>
      <c r="E192" s="35"/>
      <c r="F192" s="28"/>
      <c r="G192" s="28"/>
      <c r="H192" s="29"/>
      <c r="I192" s="14"/>
      <c r="K192" s="3"/>
      <c r="M192" s="3"/>
      <c r="N192" s="3"/>
      <c r="O192" s="52"/>
      <c r="P192" s="3"/>
    </row>
    <row r="193" spans="2:16" ht="15.75" customHeight="1">
      <c r="B193" s="28"/>
      <c r="C193" s="3"/>
      <c r="E193" s="35"/>
      <c r="F193" s="28"/>
      <c r="G193" s="28"/>
      <c r="H193" s="29"/>
      <c r="I193" s="14"/>
      <c r="K193" s="3"/>
      <c r="M193" s="3"/>
      <c r="N193" s="3"/>
      <c r="O193" s="52"/>
      <c r="P193" s="3"/>
    </row>
    <row r="194" spans="2:16" ht="15.75" customHeight="1">
      <c r="B194" s="28"/>
      <c r="C194" s="3"/>
      <c r="E194" s="35"/>
      <c r="F194" s="28"/>
      <c r="G194" s="28"/>
      <c r="H194" s="29"/>
      <c r="I194" s="14"/>
      <c r="K194" s="3"/>
      <c r="M194" s="3"/>
      <c r="N194" s="3"/>
      <c r="O194" s="52"/>
      <c r="P194" s="3"/>
    </row>
    <row r="195" spans="2:16" ht="15.75" customHeight="1">
      <c r="B195" s="28"/>
      <c r="C195" s="3"/>
      <c r="E195" s="35"/>
      <c r="F195" s="28"/>
      <c r="G195" s="28"/>
      <c r="H195" s="29"/>
      <c r="I195" s="14"/>
      <c r="K195" s="3"/>
      <c r="M195" s="3"/>
      <c r="N195" s="3"/>
      <c r="O195" s="52"/>
      <c r="P195" s="3"/>
    </row>
    <row r="196" spans="2:16" ht="15.75" customHeight="1">
      <c r="B196" s="28"/>
      <c r="C196" s="3"/>
      <c r="E196" s="35"/>
      <c r="F196" s="28"/>
      <c r="G196" s="28"/>
      <c r="H196" s="29"/>
      <c r="I196" s="14"/>
      <c r="K196" s="3"/>
      <c r="M196" s="3"/>
      <c r="N196" s="3"/>
      <c r="O196" s="52"/>
      <c r="P196" s="3"/>
    </row>
    <row r="197" spans="2:16" ht="15.75" customHeight="1">
      <c r="B197" s="28"/>
      <c r="C197" s="3"/>
      <c r="E197" s="35"/>
      <c r="F197" s="28"/>
      <c r="G197" s="28"/>
      <c r="H197" s="29"/>
      <c r="I197" s="14"/>
      <c r="K197" s="3"/>
      <c r="M197" s="3"/>
      <c r="N197" s="3"/>
      <c r="O197" s="52"/>
      <c r="P197" s="3"/>
    </row>
    <row r="198" spans="2:16" ht="15.75" customHeight="1">
      <c r="B198" s="28"/>
      <c r="C198" s="3"/>
      <c r="E198" s="35"/>
      <c r="F198" s="28"/>
      <c r="G198" s="28"/>
      <c r="H198" s="29"/>
      <c r="I198" s="14"/>
      <c r="K198" s="3"/>
      <c r="M198" s="3"/>
      <c r="N198" s="3"/>
      <c r="O198" s="52"/>
      <c r="P198" s="3"/>
    </row>
    <row r="199" spans="2:16" ht="15.75" customHeight="1">
      <c r="B199" s="28"/>
      <c r="C199" s="3"/>
      <c r="E199" s="35"/>
      <c r="F199" s="28"/>
      <c r="G199" s="28"/>
      <c r="H199" s="29"/>
      <c r="I199" s="14"/>
      <c r="K199" s="3"/>
      <c r="M199" s="3"/>
      <c r="N199" s="3"/>
      <c r="O199" s="52"/>
      <c r="P199" s="3"/>
    </row>
    <row r="200" spans="2:16" ht="15.75" customHeight="1">
      <c r="B200" s="28"/>
      <c r="C200" s="3"/>
      <c r="E200" s="35"/>
      <c r="F200" s="28"/>
      <c r="G200" s="28"/>
      <c r="H200" s="29"/>
      <c r="I200" s="14"/>
      <c r="K200" s="3"/>
      <c r="M200" s="3"/>
      <c r="N200" s="3"/>
      <c r="O200" s="52"/>
      <c r="P200" s="3"/>
    </row>
    <row r="201" spans="2:16" ht="15.75" customHeight="1">
      <c r="B201" s="28"/>
      <c r="C201" s="3"/>
      <c r="E201" s="35"/>
      <c r="F201" s="28"/>
      <c r="G201" s="28"/>
      <c r="H201" s="29"/>
      <c r="I201" s="14"/>
      <c r="K201" s="3"/>
      <c r="M201" s="3"/>
      <c r="N201" s="3"/>
      <c r="O201" s="52"/>
      <c r="P201" s="3"/>
    </row>
    <row r="202" spans="2:16" ht="15.75" customHeight="1">
      <c r="B202" s="28"/>
      <c r="C202" s="3"/>
      <c r="E202" s="35"/>
      <c r="F202" s="28"/>
      <c r="G202" s="28"/>
      <c r="H202" s="29"/>
      <c r="I202" s="14"/>
      <c r="K202" s="3"/>
      <c r="M202" s="3"/>
      <c r="N202" s="3"/>
      <c r="O202" s="52"/>
      <c r="P202" s="3"/>
    </row>
    <row r="203" spans="2:16" ht="15.75" customHeight="1">
      <c r="B203" s="28"/>
      <c r="C203" s="3"/>
      <c r="E203" s="35"/>
      <c r="F203" s="28"/>
      <c r="G203" s="28"/>
      <c r="H203" s="29"/>
      <c r="I203" s="14"/>
      <c r="K203" s="3"/>
      <c r="M203" s="3"/>
      <c r="N203" s="3"/>
      <c r="O203" s="52"/>
      <c r="P203" s="3"/>
    </row>
    <row r="204" spans="2:16" ht="15.75" customHeight="1">
      <c r="B204" s="28"/>
      <c r="C204" s="3"/>
      <c r="E204" s="35"/>
      <c r="F204" s="28"/>
      <c r="G204" s="28"/>
      <c r="H204" s="29"/>
      <c r="I204" s="14"/>
      <c r="K204" s="3"/>
      <c r="M204" s="3"/>
      <c r="N204" s="3"/>
      <c r="O204" s="52"/>
      <c r="P204" s="3"/>
    </row>
    <row r="205" spans="2:16" ht="15.75" customHeight="1">
      <c r="B205" s="28"/>
      <c r="C205" s="3"/>
      <c r="E205" s="35"/>
      <c r="F205" s="28"/>
      <c r="G205" s="28"/>
      <c r="H205" s="29"/>
      <c r="I205" s="14"/>
      <c r="K205" s="3"/>
      <c r="M205" s="3"/>
      <c r="N205" s="3"/>
      <c r="O205" s="52"/>
      <c r="P205" s="3"/>
    </row>
    <row r="206" spans="2:16" ht="15.75" customHeight="1">
      <c r="B206" s="28"/>
      <c r="C206" s="3"/>
      <c r="E206" s="35"/>
      <c r="F206" s="28"/>
      <c r="G206" s="28"/>
      <c r="H206" s="29"/>
      <c r="I206" s="14"/>
      <c r="K206" s="3"/>
      <c r="M206" s="3"/>
      <c r="N206" s="3"/>
      <c r="O206" s="52"/>
      <c r="P206" s="3"/>
    </row>
    <row r="207" spans="2:16" ht="15.75" customHeight="1">
      <c r="B207" s="28"/>
      <c r="C207" s="3"/>
      <c r="E207" s="35"/>
      <c r="F207" s="28"/>
      <c r="G207" s="28"/>
      <c r="H207" s="29"/>
      <c r="I207" s="14"/>
      <c r="K207" s="3"/>
      <c r="M207" s="3"/>
      <c r="N207" s="3"/>
      <c r="O207" s="52"/>
      <c r="P207" s="3"/>
    </row>
    <row r="208" spans="2:16" ht="15.75" customHeight="1">
      <c r="B208" s="28"/>
      <c r="C208" s="3"/>
      <c r="E208" s="35"/>
      <c r="F208" s="28"/>
      <c r="G208" s="28"/>
      <c r="H208" s="29"/>
      <c r="I208" s="14"/>
      <c r="K208" s="3"/>
      <c r="M208" s="3"/>
      <c r="N208" s="3"/>
      <c r="O208" s="52"/>
      <c r="P208" s="3"/>
    </row>
    <row r="209" spans="2:16" ht="15.75" customHeight="1">
      <c r="B209" s="28"/>
      <c r="C209" s="3"/>
      <c r="E209" s="35"/>
      <c r="F209" s="28"/>
      <c r="G209" s="28"/>
      <c r="H209" s="29"/>
      <c r="I209" s="14"/>
      <c r="K209" s="3"/>
      <c r="M209" s="3"/>
      <c r="N209" s="3"/>
      <c r="O209" s="52"/>
      <c r="P209" s="3"/>
    </row>
    <row r="210" spans="2:16" ht="15.75" customHeight="1">
      <c r="B210" s="28"/>
      <c r="C210" s="3"/>
      <c r="E210" s="35"/>
      <c r="F210" s="28"/>
      <c r="G210" s="28"/>
      <c r="H210" s="29"/>
      <c r="I210" s="14"/>
      <c r="K210" s="3"/>
      <c r="M210" s="3"/>
      <c r="N210" s="3"/>
      <c r="O210" s="52"/>
      <c r="P210" s="3"/>
    </row>
    <row r="211" spans="2:16" ht="15.75" customHeight="1">
      <c r="B211" s="28"/>
      <c r="C211" s="3"/>
      <c r="E211" s="35"/>
      <c r="F211" s="28"/>
      <c r="G211" s="28"/>
      <c r="H211" s="29"/>
      <c r="I211" s="14"/>
      <c r="K211" s="3"/>
      <c r="M211" s="3"/>
      <c r="N211" s="3"/>
      <c r="O211" s="52"/>
      <c r="P211" s="3"/>
    </row>
    <row r="212" spans="2:16" ht="15.75" customHeight="1">
      <c r="B212" s="28"/>
      <c r="C212" s="3"/>
      <c r="E212" s="35"/>
      <c r="F212" s="28"/>
      <c r="G212" s="28"/>
      <c r="H212" s="29"/>
      <c r="I212" s="14"/>
      <c r="K212" s="3"/>
      <c r="M212" s="3"/>
      <c r="N212" s="3"/>
      <c r="O212" s="52"/>
      <c r="P212" s="3"/>
    </row>
    <row r="213" spans="2:16" ht="15.75" customHeight="1">
      <c r="B213" s="28"/>
      <c r="C213" s="3"/>
      <c r="E213" s="35"/>
      <c r="F213" s="28"/>
      <c r="G213" s="28"/>
      <c r="H213" s="29"/>
      <c r="I213" s="14"/>
      <c r="K213" s="3"/>
      <c r="M213" s="3"/>
      <c r="N213" s="3"/>
      <c r="O213" s="52"/>
      <c r="P213" s="3"/>
    </row>
    <row r="214" spans="2:16" ht="15.75" customHeight="1">
      <c r="E214" s="2"/>
      <c r="H214" s="29"/>
      <c r="I214" s="30"/>
    </row>
    <row r="215" spans="2:16" ht="15.75" customHeight="1">
      <c r="E215" s="2"/>
      <c r="H215" s="29"/>
      <c r="I215" s="30"/>
    </row>
    <row r="216" spans="2:16" ht="15.75" customHeight="1">
      <c r="E216" s="2"/>
      <c r="H216" s="29"/>
      <c r="I216" s="30"/>
    </row>
    <row r="217" spans="2:16" ht="15.75" customHeight="1">
      <c r="E217" s="2"/>
      <c r="H217" s="29"/>
      <c r="I217" s="30"/>
    </row>
    <row r="218" spans="2:16" ht="15.75" customHeight="1">
      <c r="E218" s="2"/>
      <c r="H218" s="29"/>
      <c r="I218" s="30"/>
    </row>
    <row r="219" spans="2:16" ht="15.75" customHeight="1">
      <c r="E219" s="2"/>
      <c r="H219" s="29"/>
      <c r="I219" s="30"/>
    </row>
    <row r="220" spans="2:16" ht="15.75" customHeight="1">
      <c r="E220" s="2"/>
      <c r="H220" s="29"/>
      <c r="I220" s="30"/>
    </row>
    <row r="221" spans="2:16" ht="15.75" customHeight="1">
      <c r="E221" s="2"/>
      <c r="H221" s="29"/>
      <c r="I221" s="30"/>
    </row>
    <row r="222" spans="2:16" ht="15.75" customHeight="1">
      <c r="E222" s="2"/>
      <c r="H222" s="29"/>
      <c r="I222" s="30"/>
    </row>
    <row r="223" spans="2:16" ht="15.75" customHeight="1">
      <c r="E223" s="2"/>
      <c r="H223" s="29"/>
      <c r="I223" s="30"/>
    </row>
    <row r="224" spans="2:16" ht="15.75" customHeight="1">
      <c r="E224" s="2"/>
      <c r="H224" s="29"/>
      <c r="I224" s="30"/>
    </row>
    <row r="225" spans="5:9" ht="15.75" customHeight="1">
      <c r="E225" s="2"/>
      <c r="H225" s="29"/>
      <c r="I225" s="30"/>
    </row>
    <row r="226" spans="5:9" ht="15.75" customHeight="1">
      <c r="E226" s="2"/>
      <c r="H226" s="29"/>
      <c r="I226" s="30"/>
    </row>
    <row r="227" spans="5:9" ht="15.75" customHeight="1">
      <c r="E227" s="2"/>
      <c r="H227" s="29"/>
      <c r="I227" s="30"/>
    </row>
    <row r="228" spans="5:9" ht="15.75" customHeight="1">
      <c r="E228" s="2"/>
      <c r="H228" s="29"/>
      <c r="I228" s="30"/>
    </row>
    <row r="229" spans="5:9" ht="15.75" customHeight="1">
      <c r="E229" s="2"/>
      <c r="H229" s="29"/>
      <c r="I229" s="30"/>
    </row>
    <row r="230" spans="5:9" ht="15.75" customHeight="1">
      <c r="E230" s="2"/>
      <c r="H230" s="29"/>
      <c r="I230" s="30"/>
    </row>
    <row r="231" spans="5:9" ht="15.75" customHeight="1">
      <c r="E231" s="2"/>
      <c r="H231" s="29"/>
      <c r="I231" s="30"/>
    </row>
    <row r="232" spans="5:9" ht="15.75" customHeight="1">
      <c r="E232" s="2"/>
      <c r="H232" s="29"/>
      <c r="I232" s="30"/>
    </row>
    <row r="233" spans="5:9" ht="15.75" customHeight="1">
      <c r="E233" s="2"/>
      <c r="H233" s="29"/>
      <c r="I233" s="30"/>
    </row>
    <row r="234" spans="5:9" ht="15.75" customHeight="1">
      <c r="E234" s="2"/>
      <c r="H234" s="29"/>
      <c r="I234" s="30"/>
    </row>
    <row r="235" spans="5:9" ht="15.75" customHeight="1">
      <c r="E235" s="2"/>
      <c r="H235" s="29"/>
      <c r="I235" s="30"/>
    </row>
    <row r="236" spans="5:9" ht="15.75" customHeight="1">
      <c r="E236" s="2"/>
      <c r="H236" s="29"/>
      <c r="I236" s="30"/>
    </row>
    <row r="237" spans="5:9" ht="15.75" customHeight="1">
      <c r="E237" s="2"/>
      <c r="H237" s="29"/>
      <c r="I237" s="30"/>
    </row>
    <row r="238" spans="5:9" ht="15.75" customHeight="1">
      <c r="E238" s="2"/>
      <c r="H238" s="29"/>
      <c r="I238" s="30"/>
    </row>
    <row r="239" spans="5:9" ht="15.75" customHeight="1">
      <c r="E239" s="2"/>
      <c r="H239" s="29"/>
      <c r="I239" s="30"/>
    </row>
    <row r="240" spans="5:9" ht="15.75" customHeight="1">
      <c r="E240" s="2"/>
      <c r="H240" s="29"/>
      <c r="I240" s="30"/>
    </row>
    <row r="241" spans="5:9" ht="15.75" customHeight="1">
      <c r="E241" s="2"/>
      <c r="H241" s="29"/>
      <c r="I241" s="30"/>
    </row>
    <row r="242" spans="5:9" ht="15.75" customHeight="1">
      <c r="E242" s="2"/>
      <c r="H242" s="29"/>
      <c r="I242" s="30"/>
    </row>
    <row r="243" spans="5:9" ht="15.75" customHeight="1">
      <c r="E243" s="2"/>
      <c r="H243" s="29"/>
      <c r="I243" s="30"/>
    </row>
    <row r="244" spans="5:9" ht="15.75" customHeight="1">
      <c r="E244" s="2"/>
      <c r="H244" s="29"/>
      <c r="I244" s="30"/>
    </row>
    <row r="245" spans="5:9" ht="15.75" customHeight="1">
      <c r="E245" s="2"/>
      <c r="H245" s="29"/>
      <c r="I245" s="30"/>
    </row>
    <row r="246" spans="5:9" ht="15.75" customHeight="1">
      <c r="E246" s="2"/>
      <c r="H246" s="29"/>
      <c r="I246" s="30"/>
    </row>
    <row r="247" spans="5:9" ht="15.75" customHeight="1">
      <c r="E247" s="2"/>
      <c r="H247" s="29"/>
      <c r="I247" s="30"/>
    </row>
    <row r="248" spans="5:9" ht="15.75" customHeight="1">
      <c r="E248" s="2"/>
      <c r="H248" s="29"/>
      <c r="I248" s="30"/>
    </row>
    <row r="249" spans="5:9" ht="15.75" customHeight="1">
      <c r="E249" s="2"/>
      <c r="H249" s="29"/>
      <c r="I249" s="30"/>
    </row>
    <row r="250" spans="5:9" ht="15.75" customHeight="1">
      <c r="E250" s="2"/>
      <c r="H250" s="29"/>
      <c r="I250" s="30"/>
    </row>
    <row r="251" spans="5:9" ht="15.75" customHeight="1">
      <c r="E251" s="2"/>
      <c r="H251" s="29"/>
      <c r="I251" s="30"/>
    </row>
    <row r="252" spans="5:9" ht="15.75" customHeight="1">
      <c r="E252" s="2"/>
      <c r="H252" s="29"/>
      <c r="I252" s="30"/>
    </row>
    <row r="253" spans="5:9" ht="15.75" customHeight="1">
      <c r="E253" s="2"/>
      <c r="H253" s="29"/>
      <c r="I253" s="30"/>
    </row>
    <row r="254" spans="5:9" ht="15.75" customHeight="1">
      <c r="E254" s="2"/>
      <c r="H254" s="29"/>
      <c r="I254" s="30"/>
    </row>
    <row r="255" spans="5:9" ht="15.75" customHeight="1">
      <c r="E255" s="2"/>
      <c r="H255" s="29"/>
      <c r="I255" s="30"/>
    </row>
    <row r="256" spans="5:9" ht="15.75" customHeight="1">
      <c r="E256" s="2"/>
      <c r="H256" s="29"/>
      <c r="I256" s="30"/>
    </row>
    <row r="257" spans="5:9" ht="15.75" customHeight="1">
      <c r="E257" s="2"/>
      <c r="H257" s="29"/>
      <c r="I257" s="30"/>
    </row>
    <row r="258" spans="5:9" ht="15.75" customHeight="1">
      <c r="E258" s="2"/>
      <c r="H258" s="29"/>
      <c r="I258" s="30"/>
    </row>
    <row r="259" spans="5:9" ht="15.75" customHeight="1">
      <c r="E259" s="2"/>
      <c r="H259" s="29"/>
      <c r="I259" s="30"/>
    </row>
    <row r="260" spans="5:9" ht="15.75" customHeight="1">
      <c r="E260" s="2"/>
      <c r="H260" s="29"/>
      <c r="I260" s="30"/>
    </row>
    <row r="261" spans="5:9" ht="15.75" customHeight="1">
      <c r="E261" s="2"/>
      <c r="H261" s="29"/>
      <c r="I261" s="30"/>
    </row>
    <row r="262" spans="5:9" ht="15.75" customHeight="1">
      <c r="E262" s="2"/>
      <c r="H262" s="29"/>
      <c r="I262" s="30"/>
    </row>
    <row r="263" spans="5:9" ht="15.75" customHeight="1">
      <c r="E263" s="2"/>
      <c r="H263" s="29"/>
      <c r="I263" s="30"/>
    </row>
    <row r="264" spans="5:9" ht="15.75" customHeight="1">
      <c r="E264" s="2"/>
      <c r="H264" s="29"/>
      <c r="I264" s="30"/>
    </row>
    <row r="265" spans="5:9" ht="15.75" customHeight="1">
      <c r="E265" s="2"/>
      <c r="H265" s="29"/>
      <c r="I265" s="30"/>
    </row>
    <row r="266" spans="5:9" ht="15.75" customHeight="1">
      <c r="E266" s="2"/>
      <c r="H266" s="29"/>
      <c r="I266" s="30"/>
    </row>
    <row r="267" spans="5:9" ht="15.75" customHeight="1">
      <c r="E267" s="2"/>
      <c r="H267" s="29"/>
      <c r="I267" s="30"/>
    </row>
    <row r="268" spans="5:9" ht="15.75" customHeight="1">
      <c r="E268" s="2"/>
      <c r="H268" s="29"/>
      <c r="I268" s="30"/>
    </row>
    <row r="269" spans="5:9" ht="15.75" customHeight="1">
      <c r="E269" s="2"/>
      <c r="H269" s="29"/>
      <c r="I269" s="30"/>
    </row>
    <row r="270" spans="5:9" ht="15.75" customHeight="1">
      <c r="E270" s="2"/>
      <c r="H270" s="29"/>
      <c r="I270" s="30"/>
    </row>
    <row r="271" spans="5:9" ht="15.75" customHeight="1">
      <c r="E271" s="2"/>
      <c r="H271" s="29"/>
      <c r="I271" s="30"/>
    </row>
    <row r="272" spans="5:9" ht="15.75" customHeight="1">
      <c r="E272" s="2"/>
      <c r="H272" s="29"/>
      <c r="I272" s="30"/>
    </row>
    <row r="273" spans="5:9" ht="15.75" customHeight="1">
      <c r="E273" s="2"/>
      <c r="H273" s="29"/>
      <c r="I273" s="30"/>
    </row>
    <row r="274" spans="5:9" ht="15.75" customHeight="1">
      <c r="E274" s="2"/>
      <c r="H274" s="29"/>
      <c r="I274" s="30"/>
    </row>
    <row r="275" spans="5:9" ht="15.75" customHeight="1">
      <c r="E275" s="2"/>
      <c r="H275" s="29"/>
      <c r="I275" s="30"/>
    </row>
    <row r="276" spans="5:9" ht="15.75" customHeight="1">
      <c r="E276" s="2"/>
      <c r="H276" s="29"/>
      <c r="I276" s="30"/>
    </row>
    <row r="277" spans="5:9" ht="15.75" customHeight="1">
      <c r="E277" s="2"/>
      <c r="H277" s="29"/>
      <c r="I277" s="30"/>
    </row>
    <row r="278" spans="5:9" ht="15.75" customHeight="1">
      <c r="E278" s="2"/>
      <c r="H278" s="29"/>
      <c r="I278" s="30"/>
    </row>
    <row r="279" spans="5:9" ht="15.75" customHeight="1">
      <c r="E279" s="2"/>
      <c r="H279" s="29"/>
      <c r="I279" s="30"/>
    </row>
    <row r="280" spans="5:9" ht="15.75" customHeight="1">
      <c r="E280" s="2"/>
      <c r="H280" s="29"/>
      <c r="I280" s="30"/>
    </row>
    <row r="281" spans="5:9" ht="15.75" customHeight="1">
      <c r="E281" s="2"/>
      <c r="H281" s="29"/>
      <c r="I281" s="30"/>
    </row>
    <row r="282" spans="5:9" ht="15.75" customHeight="1">
      <c r="E282" s="2"/>
      <c r="H282" s="29"/>
      <c r="I282" s="30"/>
    </row>
    <row r="283" spans="5:9" ht="15.75" customHeight="1">
      <c r="E283" s="2"/>
      <c r="H283" s="29"/>
      <c r="I283" s="30"/>
    </row>
    <row r="284" spans="5:9" ht="15.75" customHeight="1">
      <c r="E284" s="2"/>
      <c r="H284" s="29"/>
      <c r="I284" s="30"/>
    </row>
    <row r="285" spans="5:9" ht="15.75" customHeight="1">
      <c r="E285" s="2"/>
      <c r="H285" s="29"/>
      <c r="I285" s="30"/>
    </row>
    <row r="286" spans="5:9" ht="15.75" customHeight="1">
      <c r="E286" s="2"/>
      <c r="H286" s="29"/>
      <c r="I286" s="30"/>
    </row>
    <row r="287" spans="5:9" ht="15.75" customHeight="1">
      <c r="E287" s="2"/>
      <c r="H287" s="29"/>
      <c r="I287" s="30"/>
    </row>
    <row r="288" spans="5:9" ht="15.75" customHeight="1">
      <c r="E288" s="2"/>
      <c r="H288" s="29"/>
      <c r="I288" s="30"/>
    </row>
    <row r="289" spans="5:9" ht="15.75" customHeight="1">
      <c r="E289" s="2"/>
      <c r="H289" s="29"/>
      <c r="I289" s="30"/>
    </row>
    <row r="290" spans="5:9" ht="15.75" customHeight="1">
      <c r="E290" s="2"/>
      <c r="H290" s="29"/>
      <c r="I290" s="30"/>
    </row>
    <row r="291" spans="5:9" ht="15.75" customHeight="1">
      <c r="E291" s="2"/>
      <c r="H291" s="29"/>
      <c r="I291" s="30"/>
    </row>
    <row r="292" spans="5:9" ht="15.75" customHeight="1">
      <c r="E292" s="2"/>
      <c r="H292" s="29"/>
      <c r="I292" s="30"/>
    </row>
    <row r="293" spans="5:9" ht="15.75" customHeight="1">
      <c r="E293" s="2"/>
      <c r="H293" s="29"/>
      <c r="I293" s="30"/>
    </row>
    <row r="294" spans="5:9" ht="15.75" customHeight="1">
      <c r="E294" s="2"/>
      <c r="H294" s="29"/>
      <c r="I294" s="30"/>
    </row>
    <row r="295" spans="5:9" ht="15.75" customHeight="1">
      <c r="E295" s="2"/>
      <c r="H295" s="29"/>
      <c r="I295" s="30"/>
    </row>
    <row r="296" spans="5:9" ht="15.75" customHeight="1">
      <c r="E296" s="2"/>
      <c r="H296" s="29"/>
      <c r="I296" s="30"/>
    </row>
    <row r="297" spans="5:9" ht="15.75" customHeight="1">
      <c r="E297" s="2"/>
      <c r="H297" s="29"/>
      <c r="I297" s="30"/>
    </row>
    <row r="298" spans="5:9" ht="15.75" customHeight="1">
      <c r="E298" s="2"/>
      <c r="H298" s="29"/>
      <c r="I298" s="30"/>
    </row>
    <row r="299" spans="5:9" ht="15.75" customHeight="1">
      <c r="E299" s="2"/>
      <c r="H299" s="29"/>
      <c r="I299" s="30"/>
    </row>
    <row r="300" spans="5:9" ht="15.75" customHeight="1">
      <c r="E300" s="2"/>
      <c r="H300" s="29"/>
      <c r="I300" s="30"/>
    </row>
    <row r="301" spans="5:9" ht="15.75" customHeight="1">
      <c r="E301" s="2"/>
      <c r="H301" s="29"/>
      <c r="I301" s="30"/>
    </row>
    <row r="302" spans="5:9" ht="15.75" customHeight="1">
      <c r="E302" s="2"/>
      <c r="H302" s="29"/>
      <c r="I302" s="30"/>
    </row>
    <row r="303" spans="5:9" ht="15.75" customHeight="1">
      <c r="E303" s="2"/>
      <c r="H303" s="29"/>
      <c r="I303" s="30"/>
    </row>
    <row r="304" spans="5:9" ht="15.75" customHeight="1">
      <c r="E304" s="2"/>
      <c r="H304" s="29"/>
      <c r="I304" s="30"/>
    </row>
    <row r="305" spans="5:9" ht="15.75" customHeight="1">
      <c r="E305" s="2"/>
      <c r="H305" s="29"/>
      <c r="I305" s="30"/>
    </row>
    <row r="306" spans="5:9" ht="15.75" customHeight="1">
      <c r="E306" s="2"/>
      <c r="H306" s="29"/>
      <c r="I306" s="30"/>
    </row>
    <row r="307" spans="5:9" ht="15.75" customHeight="1">
      <c r="E307" s="2"/>
      <c r="H307" s="29"/>
      <c r="I307" s="30"/>
    </row>
    <row r="308" spans="5:9" ht="15.75" customHeight="1">
      <c r="E308" s="2"/>
      <c r="H308" s="29"/>
      <c r="I308" s="30"/>
    </row>
    <row r="309" spans="5:9" ht="15.75" customHeight="1">
      <c r="E309" s="2"/>
      <c r="H309" s="29"/>
      <c r="I309" s="30"/>
    </row>
    <row r="310" spans="5:9" ht="15.75" customHeight="1">
      <c r="E310" s="2"/>
      <c r="H310" s="29"/>
      <c r="I310" s="30"/>
    </row>
    <row r="311" spans="5:9" ht="15.75" customHeight="1">
      <c r="E311" s="2"/>
      <c r="H311" s="29"/>
      <c r="I311" s="30"/>
    </row>
    <row r="312" spans="5:9" ht="15.75" customHeight="1">
      <c r="E312" s="2"/>
      <c r="H312" s="29"/>
      <c r="I312" s="30"/>
    </row>
    <row r="313" spans="5:9" ht="15.75" customHeight="1">
      <c r="E313" s="2"/>
      <c r="H313" s="29"/>
      <c r="I313" s="30"/>
    </row>
    <row r="314" spans="5:9" ht="15.75" customHeight="1">
      <c r="E314" s="2"/>
      <c r="H314" s="29"/>
      <c r="I314" s="30"/>
    </row>
    <row r="315" spans="5:9" ht="15.75" customHeight="1">
      <c r="E315" s="2"/>
      <c r="H315" s="29"/>
      <c r="I315" s="30"/>
    </row>
    <row r="316" spans="5:9" ht="15.75" customHeight="1">
      <c r="E316" s="2"/>
      <c r="H316" s="29"/>
      <c r="I316" s="30"/>
    </row>
    <row r="317" spans="5:9" ht="15.75" customHeight="1">
      <c r="E317" s="2"/>
      <c r="H317" s="29"/>
      <c r="I317" s="30"/>
    </row>
    <row r="318" spans="5:9" ht="15.75" customHeight="1">
      <c r="E318" s="2"/>
      <c r="H318" s="29"/>
      <c r="I318" s="30"/>
    </row>
    <row r="319" spans="5:9" ht="15.75" customHeight="1">
      <c r="E319" s="2"/>
      <c r="H319" s="29"/>
      <c r="I319" s="30"/>
    </row>
    <row r="320" spans="5:9" ht="15.75" customHeight="1">
      <c r="E320" s="2"/>
      <c r="H320" s="29"/>
      <c r="I320" s="30"/>
    </row>
    <row r="321" spans="5:9" ht="15.75" customHeight="1">
      <c r="E321" s="2"/>
      <c r="H321" s="29"/>
      <c r="I321" s="30"/>
    </row>
    <row r="322" spans="5:9" ht="15.75" customHeight="1">
      <c r="E322" s="2"/>
      <c r="H322" s="29"/>
      <c r="I322" s="30"/>
    </row>
    <row r="323" spans="5:9" ht="15.75" customHeight="1">
      <c r="E323" s="2"/>
      <c r="H323" s="29"/>
      <c r="I323" s="30"/>
    </row>
    <row r="324" spans="5:9" ht="15.75" customHeight="1">
      <c r="E324" s="2"/>
      <c r="H324" s="29"/>
      <c r="I324" s="30"/>
    </row>
    <row r="325" spans="5:9" ht="15.75" customHeight="1">
      <c r="E325" s="2"/>
      <c r="H325" s="29"/>
      <c r="I325" s="30"/>
    </row>
    <row r="326" spans="5:9" ht="15.75" customHeight="1">
      <c r="E326" s="2"/>
      <c r="H326" s="29"/>
      <c r="I326" s="30"/>
    </row>
    <row r="327" spans="5:9" ht="15.75" customHeight="1">
      <c r="E327" s="2"/>
      <c r="H327" s="29"/>
      <c r="I327" s="30"/>
    </row>
    <row r="328" spans="5:9" ht="15.75" customHeight="1">
      <c r="E328" s="2"/>
      <c r="H328" s="29"/>
      <c r="I328" s="30"/>
    </row>
    <row r="329" spans="5:9" ht="15.75" customHeight="1">
      <c r="E329" s="2"/>
      <c r="H329" s="29"/>
      <c r="I329" s="30"/>
    </row>
    <row r="330" spans="5:9" ht="15.75" customHeight="1">
      <c r="E330" s="2"/>
      <c r="H330" s="29"/>
      <c r="I330" s="30"/>
    </row>
    <row r="331" spans="5:9" ht="15.75" customHeight="1">
      <c r="E331" s="2"/>
      <c r="H331" s="29"/>
      <c r="I331" s="30"/>
    </row>
    <row r="332" spans="5:9" ht="15.75" customHeight="1">
      <c r="E332" s="2"/>
      <c r="H332" s="29"/>
      <c r="I332" s="30"/>
    </row>
    <row r="333" spans="5:9" ht="15.75" customHeight="1">
      <c r="E333" s="2"/>
      <c r="H333" s="29"/>
      <c r="I333" s="30"/>
    </row>
    <row r="334" spans="5:9" ht="15.75" customHeight="1">
      <c r="E334" s="2"/>
      <c r="H334" s="29"/>
      <c r="I334" s="30"/>
    </row>
    <row r="335" spans="5:9" ht="15.75" customHeight="1">
      <c r="E335" s="2"/>
      <c r="H335" s="29"/>
      <c r="I335" s="30"/>
    </row>
    <row r="336" spans="5:9" ht="15.75" customHeight="1">
      <c r="E336" s="2"/>
      <c r="H336" s="29"/>
      <c r="I336" s="30"/>
    </row>
    <row r="337" spans="5:9" ht="15.75" customHeight="1">
      <c r="E337" s="2"/>
      <c r="H337" s="29"/>
      <c r="I337" s="30"/>
    </row>
    <row r="338" spans="5:9" ht="15.75" customHeight="1">
      <c r="E338" s="2"/>
      <c r="H338" s="29"/>
      <c r="I338" s="30"/>
    </row>
    <row r="339" spans="5:9" ht="15.75" customHeight="1">
      <c r="E339" s="2"/>
      <c r="H339" s="29"/>
      <c r="I339" s="30"/>
    </row>
    <row r="340" spans="5:9" ht="15.75" customHeight="1">
      <c r="E340" s="2"/>
      <c r="H340" s="29"/>
      <c r="I340" s="30"/>
    </row>
    <row r="341" spans="5:9" ht="15.75" customHeight="1">
      <c r="E341" s="2"/>
      <c r="H341" s="29"/>
      <c r="I341" s="30"/>
    </row>
    <row r="342" spans="5:9" ht="15.75" customHeight="1">
      <c r="E342" s="2"/>
      <c r="H342" s="29"/>
      <c r="I342" s="30"/>
    </row>
    <row r="343" spans="5:9" ht="15.75" customHeight="1">
      <c r="E343" s="2"/>
      <c r="H343" s="29"/>
      <c r="I343" s="30"/>
    </row>
    <row r="344" spans="5:9" ht="15.75" customHeight="1">
      <c r="E344" s="2"/>
      <c r="H344" s="29"/>
      <c r="I344" s="30"/>
    </row>
    <row r="345" spans="5:9" ht="15.75" customHeight="1">
      <c r="E345" s="2"/>
      <c r="H345" s="29"/>
      <c r="I345" s="30"/>
    </row>
    <row r="346" spans="5:9" ht="15.75" customHeight="1">
      <c r="E346" s="2"/>
      <c r="H346" s="29"/>
      <c r="I346" s="30"/>
    </row>
    <row r="347" spans="5:9" ht="15.75" customHeight="1">
      <c r="E347" s="2"/>
      <c r="H347" s="29"/>
      <c r="I347" s="30"/>
    </row>
    <row r="348" spans="5:9" ht="15.75" customHeight="1">
      <c r="E348" s="2"/>
      <c r="H348" s="29"/>
      <c r="I348" s="30"/>
    </row>
    <row r="349" spans="5:9" ht="15.75" customHeight="1">
      <c r="E349" s="2"/>
      <c r="H349" s="29"/>
      <c r="I349" s="30"/>
    </row>
    <row r="350" spans="5:9" ht="15.75" customHeight="1">
      <c r="E350" s="2"/>
      <c r="H350" s="29"/>
      <c r="I350" s="30"/>
    </row>
    <row r="351" spans="5:9" ht="15.75" customHeight="1">
      <c r="E351" s="2"/>
      <c r="H351" s="29"/>
      <c r="I351" s="30"/>
    </row>
    <row r="352" spans="5:9" ht="15.75" customHeight="1">
      <c r="E352" s="2"/>
      <c r="H352" s="29"/>
      <c r="I352" s="30"/>
    </row>
    <row r="353" spans="5:9" ht="15.75" customHeight="1">
      <c r="E353" s="2"/>
      <c r="H353" s="29"/>
      <c r="I353" s="30"/>
    </row>
    <row r="354" spans="5:9" ht="15.75" customHeight="1">
      <c r="E354" s="2"/>
      <c r="H354" s="29"/>
      <c r="I354" s="30"/>
    </row>
    <row r="355" spans="5:9" ht="15.75" customHeight="1">
      <c r="E355" s="2"/>
      <c r="H355" s="29"/>
      <c r="I355" s="30"/>
    </row>
    <row r="356" spans="5:9" ht="15.75" customHeight="1">
      <c r="E356" s="2"/>
      <c r="H356" s="29"/>
      <c r="I356" s="30"/>
    </row>
    <row r="357" spans="5:9" ht="15.75" customHeight="1">
      <c r="E357" s="2"/>
      <c r="H357" s="29"/>
      <c r="I357" s="30"/>
    </row>
    <row r="358" spans="5:9" ht="15.75" customHeight="1">
      <c r="E358" s="2"/>
      <c r="H358" s="29"/>
      <c r="I358" s="30"/>
    </row>
    <row r="359" spans="5:9" ht="15.75" customHeight="1">
      <c r="E359" s="2"/>
      <c r="H359" s="29"/>
      <c r="I359" s="30"/>
    </row>
    <row r="360" spans="5:9" ht="15.75" customHeight="1">
      <c r="E360" s="2"/>
      <c r="H360" s="29"/>
      <c r="I360" s="30"/>
    </row>
    <row r="361" spans="5:9" ht="15.75" customHeight="1">
      <c r="E361" s="2"/>
      <c r="H361" s="29"/>
      <c r="I361" s="30"/>
    </row>
    <row r="362" spans="5:9" ht="15.75" customHeight="1">
      <c r="E362" s="2"/>
      <c r="H362" s="29"/>
      <c r="I362" s="30"/>
    </row>
    <row r="363" spans="5:9" ht="15.75" customHeight="1">
      <c r="E363" s="2"/>
      <c r="H363" s="29"/>
      <c r="I363" s="30"/>
    </row>
    <row r="364" spans="5:9" ht="15.75" customHeight="1">
      <c r="E364" s="2"/>
      <c r="H364" s="29"/>
      <c r="I364" s="30"/>
    </row>
    <row r="365" spans="5:9" ht="15.75" customHeight="1">
      <c r="E365" s="2"/>
      <c r="H365" s="29"/>
      <c r="I365" s="30"/>
    </row>
    <row r="366" spans="5:9" ht="15.75" customHeight="1">
      <c r="E366" s="2"/>
      <c r="H366" s="29"/>
      <c r="I366" s="30"/>
    </row>
    <row r="367" spans="5:9" ht="15.75" customHeight="1">
      <c r="E367" s="2"/>
      <c r="H367" s="29"/>
      <c r="I367" s="30"/>
    </row>
    <row r="368" spans="5:9" ht="15.75" customHeight="1">
      <c r="E368" s="2"/>
      <c r="H368" s="29"/>
      <c r="I368" s="30"/>
    </row>
    <row r="369" spans="5:9" ht="15.75" customHeight="1">
      <c r="E369" s="2"/>
      <c r="H369" s="29"/>
      <c r="I369" s="30"/>
    </row>
    <row r="370" spans="5:9" ht="15.75" customHeight="1">
      <c r="E370" s="2"/>
      <c r="H370" s="29"/>
      <c r="I370" s="30"/>
    </row>
    <row r="371" spans="5:9" ht="15.75" customHeight="1">
      <c r="E371" s="2"/>
      <c r="H371" s="29"/>
      <c r="I371" s="30"/>
    </row>
    <row r="372" spans="5:9" ht="15.75" customHeight="1">
      <c r="E372" s="2"/>
      <c r="H372" s="29"/>
      <c r="I372" s="30"/>
    </row>
    <row r="373" spans="5:9" ht="15.75" customHeight="1">
      <c r="E373" s="2"/>
      <c r="H373" s="29"/>
      <c r="I373" s="30"/>
    </row>
    <row r="374" spans="5:9" ht="15.75" customHeight="1">
      <c r="E374" s="2"/>
      <c r="H374" s="29"/>
      <c r="I374" s="30"/>
    </row>
    <row r="375" spans="5:9" ht="15.75" customHeight="1">
      <c r="E375" s="2"/>
      <c r="H375" s="29"/>
      <c r="I375" s="30"/>
    </row>
    <row r="376" spans="5:9" ht="15.75" customHeight="1">
      <c r="E376" s="2"/>
      <c r="H376" s="29"/>
      <c r="I376" s="30"/>
    </row>
    <row r="377" spans="5:9" ht="15.75" customHeight="1">
      <c r="E377" s="2"/>
      <c r="H377" s="29"/>
      <c r="I377" s="30"/>
    </row>
    <row r="378" spans="5:9" ht="15.75" customHeight="1">
      <c r="E378" s="2"/>
      <c r="H378" s="29"/>
      <c r="I378" s="30"/>
    </row>
    <row r="379" spans="5:9" ht="15.75" customHeight="1">
      <c r="E379" s="2"/>
      <c r="H379" s="29"/>
      <c r="I379" s="30"/>
    </row>
    <row r="380" spans="5:9" ht="15.75" customHeight="1">
      <c r="E380" s="2"/>
      <c r="H380" s="29"/>
      <c r="I380" s="30"/>
    </row>
    <row r="381" spans="5:9" ht="15.75" customHeight="1">
      <c r="E381" s="2"/>
      <c r="H381" s="29"/>
      <c r="I381" s="30"/>
    </row>
    <row r="382" spans="5:9" ht="15.75" customHeight="1">
      <c r="E382" s="2"/>
      <c r="H382" s="29"/>
      <c r="I382" s="30"/>
    </row>
    <row r="383" spans="5:9" ht="15.75" customHeight="1">
      <c r="E383" s="2"/>
      <c r="H383" s="29"/>
      <c r="I383" s="30"/>
    </row>
    <row r="384" spans="5:9" ht="15.75" customHeight="1">
      <c r="E384" s="2"/>
      <c r="H384" s="29"/>
      <c r="I384" s="30"/>
    </row>
    <row r="385" spans="5:9" ht="15.75" customHeight="1">
      <c r="E385" s="2"/>
      <c r="H385" s="29"/>
      <c r="I385" s="30"/>
    </row>
    <row r="386" spans="5:9" ht="15.75" customHeight="1">
      <c r="E386" s="2"/>
      <c r="H386" s="29"/>
      <c r="I386" s="30"/>
    </row>
    <row r="387" spans="5:9" ht="15.75" customHeight="1">
      <c r="E387" s="2"/>
      <c r="H387" s="29"/>
      <c r="I387" s="30"/>
    </row>
    <row r="388" spans="5:9" ht="15.75" customHeight="1">
      <c r="E388" s="2"/>
      <c r="H388" s="29"/>
      <c r="I388" s="30"/>
    </row>
    <row r="389" spans="5:9" ht="15.75" customHeight="1">
      <c r="E389" s="2"/>
      <c r="H389" s="29"/>
      <c r="I389" s="30"/>
    </row>
    <row r="390" spans="5:9" ht="15.75" customHeight="1">
      <c r="E390" s="2"/>
      <c r="H390" s="29"/>
      <c r="I390" s="30"/>
    </row>
    <row r="391" spans="5:9" ht="15.75" customHeight="1">
      <c r="E391" s="2"/>
      <c r="H391" s="29"/>
      <c r="I391" s="30"/>
    </row>
    <row r="392" spans="5:9" ht="15.75" customHeight="1">
      <c r="E392" s="2"/>
      <c r="H392" s="29"/>
      <c r="I392" s="30"/>
    </row>
    <row r="393" spans="5:9" ht="15.75" customHeight="1">
      <c r="E393" s="2"/>
      <c r="H393" s="29"/>
      <c r="I393" s="30"/>
    </row>
    <row r="394" spans="5:9" ht="15.75" customHeight="1">
      <c r="E394" s="2"/>
      <c r="H394" s="29"/>
      <c r="I394" s="30"/>
    </row>
    <row r="395" spans="5:9" ht="15.75" customHeight="1">
      <c r="E395" s="2"/>
      <c r="H395" s="29"/>
      <c r="I395" s="30"/>
    </row>
    <row r="396" spans="5:9" ht="15.75" customHeight="1">
      <c r="E396" s="2"/>
      <c r="H396" s="29"/>
      <c r="I396" s="30"/>
    </row>
    <row r="397" spans="5:9" ht="15.75" customHeight="1">
      <c r="E397" s="2"/>
      <c r="H397" s="29"/>
      <c r="I397" s="30"/>
    </row>
    <row r="398" spans="5:9" ht="15.75" customHeight="1">
      <c r="E398" s="2"/>
      <c r="H398" s="29"/>
      <c r="I398" s="30"/>
    </row>
    <row r="399" spans="5:9" ht="15.75" customHeight="1">
      <c r="E399" s="2"/>
      <c r="H399" s="29"/>
      <c r="I399" s="30"/>
    </row>
    <row r="400" spans="5:9" ht="15.75" customHeight="1">
      <c r="E400" s="2"/>
      <c r="H400" s="29"/>
      <c r="I400" s="30"/>
    </row>
    <row r="401" spans="5:9" ht="15.75" customHeight="1">
      <c r="E401" s="2"/>
      <c r="H401" s="29"/>
      <c r="I401" s="30"/>
    </row>
    <row r="402" spans="5:9" ht="15.75" customHeight="1">
      <c r="E402" s="2"/>
      <c r="H402" s="29"/>
      <c r="I402" s="30"/>
    </row>
    <row r="403" spans="5:9" ht="15.75" customHeight="1">
      <c r="E403" s="2"/>
      <c r="H403" s="29"/>
      <c r="I403" s="30"/>
    </row>
    <row r="404" spans="5:9" ht="15.75" customHeight="1">
      <c r="E404" s="2"/>
      <c r="H404" s="29"/>
      <c r="I404" s="30"/>
    </row>
    <row r="405" spans="5:9" ht="15.75" customHeight="1">
      <c r="E405" s="2"/>
      <c r="H405" s="29"/>
      <c r="I405" s="30"/>
    </row>
    <row r="406" spans="5:9" ht="15.75" customHeight="1">
      <c r="E406" s="2"/>
      <c r="H406" s="29"/>
      <c r="I406" s="30"/>
    </row>
    <row r="407" spans="5:9" ht="15.75" customHeight="1">
      <c r="E407" s="2"/>
      <c r="H407" s="29"/>
      <c r="I407" s="30"/>
    </row>
    <row r="408" spans="5:9" ht="15.75" customHeight="1">
      <c r="E408" s="2"/>
      <c r="H408" s="29"/>
      <c r="I408" s="30"/>
    </row>
    <row r="409" spans="5:9" ht="15.75" customHeight="1">
      <c r="E409" s="2"/>
      <c r="H409" s="29"/>
      <c r="I409" s="30"/>
    </row>
    <row r="410" spans="5:9" ht="15.75" customHeight="1">
      <c r="E410" s="2"/>
      <c r="H410" s="29"/>
      <c r="I410" s="30"/>
    </row>
    <row r="411" spans="5:9" ht="15.75" customHeight="1">
      <c r="E411" s="2"/>
      <c r="H411" s="29"/>
      <c r="I411" s="30"/>
    </row>
    <row r="412" spans="5:9" ht="15.75" customHeight="1">
      <c r="E412" s="2"/>
      <c r="H412" s="29"/>
      <c r="I412" s="30"/>
    </row>
    <row r="413" spans="5:9" ht="15.75" customHeight="1">
      <c r="E413" s="2"/>
      <c r="H413" s="29"/>
      <c r="I413" s="30"/>
    </row>
    <row r="414" spans="5:9" ht="15.75" customHeight="1">
      <c r="E414" s="2"/>
      <c r="H414" s="29"/>
      <c r="I414" s="30"/>
    </row>
    <row r="415" spans="5:9" ht="15.75" customHeight="1">
      <c r="E415" s="2"/>
      <c r="H415" s="29"/>
      <c r="I415" s="30"/>
    </row>
    <row r="416" spans="5:9" ht="15.75" customHeight="1">
      <c r="E416" s="2"/>
      <c r="H416" s="29"/>
      <c r="I416" s="30"/>
    </row>
    <row r="417" spans="5:9" ht="15.75" customHeight="1">
      <c r="E417" s="2"/>
      <c r="H417" s="29"/>
      <c r="I417" s="30"/>
    </row>
    <row r="418" spans="5:9" ht="15.75" customHeight="1">
      <c r="E418" s="2"/>
      <c r="H418" s="29"/>
      <c r="I418" s="30"/>
    </row>
    <row r="419" spans="5:9" ht="15.75" customHeight="1">
      <c r="E419" s="2"/>
      <c r="H419" s="29"/>
      <c r="I419" s="30"/>
    </row>
    <row r="420" spans="5:9" ht="15.75" customHeight="1">
      <c r="E420" s="2"/>
      <c r="H420" s="29"/>
      <c r="I420" s="30"/>
    </row>
    <row r="421" spans="5:9" ht="15.75" customHeight="1">
      <c r="E421" s="2"/>
      <c r="H421" s="29"/>
      <c r="I421" s="30"/>
    </row>
    <row r="422" spans="5:9" ht="15.75" customHeight="1">
      <c r="E422" s="2"/>
      <c r="H422" s="29"/>
      <c r="I422" s="30"/>
    </row>
    <row r="423" spans="5:9" ht="15.75" customHeight="1">
      <c r="E423" s="2"/>
      <c r="H423" s="29"/>
      <c r="I423" s="30"/>
    </row>
    <row r="424" spans="5:9" ht="15.75" customHeight="1">
      <c r="E424" s="2"/>
      <c r="H424" s="29"/>
      <c r="I424" s="30"/>
    </row>
    <row r="425" spans="5:9" ht="15.75" customHeight="1">
      <c r="E425" s="2"/>
      <c r="H425" s="29"/>
      <c r="I425" s="30"/>
    </row>
    <row r="426" spans="5:9" ht="15.75" customHeight="1">
      <c r="E426" s="2"/>
      <c r="H426" s="29"/>
      <c r="I426" s="30"/>
    </row>
    <row r="427" spans="5:9" ht="15.75" customHeight="1">
      <c r="E427" s="2"/>
      <c r="H427" s="29"/>
      <c r="I427" s="30"/>
    </row>
    <row r="428" spans="5:9" ht="15.75" customHeight="1">
      <c r="E428" s="2"/>
      <c r="H428" s="29"/>
      <c r="I428" s="30"/>
    </row>
    <row r="429" spans="5:9" ht="15.75" customHeight="1">
      <c r="E429" s="2"/>
      <c r="H429" s="29"/>
      <c r="I429" s="30"/>
    </row>
    <row r="430" spans="5:9" ht="15.75" customHeight="1">
      <c r="E430" s="2"/>
      <c r="H430" s="29"/>
      <c r="I430" s="30"/>
    </row>
    <row r="431" spans="5:9" ht="15.75" customHeight="1">
      <c r="E431" s="2"/>
      <c r="H431" s="29"/>
      <c r="I431" s="30"/>
    </row>
    <row r="432" spans="5:9" ht="15.75" customHeight="1">
      <c r="E432" s="2"/>
      <c r="H432" s="29"/>
      <c r="I432" s="30"/>
    </row>
    <row r="433" spans="5:9" ht="15.75" customHeight="1">
      <c r="E433" s="2"/>
      <c r="H433" s="29"/>
      <c r="I433" s="30"/>
    </row>
    <row r="434" spans="5:9" ht="15.75" customHeight="1">
      <c r="E434" s="2"/>
      <c r="H434" s="29"/>
      <c r="I434" s="30"/>
    </row>
    <row r="435" spans="5:9" ht="15.75" customHeight="1">
      <c r="E435" s="2"/>
      <c r="H435" s="29"/>
      <c r="I435" s="30"/>
    </row>
    <row r="436" spans="5:9" ht="15.75" customHeight="1">
      <c r="E436" s="2"/>
      <c r="H436" s="29"/>
      <c r="I436" s="30"/>
    </row>
    <row r="437" spans="5:9" ht="15.75" customHeight="1">
      <c r="E437" s="2"/>
      <c r="H437" s="29"/>
      <c r="I437" s="30"/>
    </row>
    <row r="438" spans="5:9" ht="15.75" customHeight="1">
      <c r="E438" s="2"/>
      <c r="H438" s="29"/>
      <c r="I438" s="30"/>
    </row>
    <row r="439" spans="5:9" ht="15.75" customHeight="1">
      <c r="E439" s="2"/>
      <c r="H439" s="29"/>
      <c r="I439" s="30"/>
    </row>
    <row r="440" spans="5:9" ht="15.75" customHeight="1">
      <c r="E440" s="2"/>
      <c r="H440" s="29"/>
      <c r="I440" s="30"/>
    </row>
    <row r="441" spans="5:9" ht="15.75" customHeight="1">
      <c r="E441" s="2"/>
      <c r="H441" s="29"/>
      <c r="I441" s="30"/>
    </row>
    <row r="442" spans="5:9" ht="15.75" customHeight="1">
      <c r="E442" s="2"/>
      <c r="H442" s="29"/>
      <c r="I442" s="30"/>
    </row>
    <row r="443" spans="5:9" ht="15.75" customHeight="1">
      <c r="E443" s="2"/>
      <c r="H443" s="29"/>
      <c r="I443" s="30"/>
    </row>
    <row r="444" spans="5:9" ht="15.75" customHeight="1">
      <c r="E444" s="2"/>
      <c r="H444" s="29"/>
      <c r="I444" s="30"/>
    </row>
    <row r="445" spans="5:9" ht="15.75" customHeight="1">
      <c r="E445" s="2"/>
      <c r="H445" s="29"/>
      <c r="I445" s="30"/>
    </row>
    <row r="446" spans="5:9" ht="15.75" customHeight="1">
      <c r="E446" s="2"/>
      <c r="H446" s="29"/>
      <c r="I446" s="30"/>
    </row>
    <row r="447" spans="5:9" ht="15.75" customHeight="1">
      <c r="E447" s="2"/>
      <c r="H447" s="29"/>
      <c r="I447" s="30"/>
    </row>
    <row r="448" spans="5:9" ht="15.75" customHeight="1">
      <c r="E448" s="2"/>
      <c r="H448" s="29"/>
      <c r="I448" s="30"/>
    </row>
    <row r="449" spans="5:9" ht="15.75" customHeight="1">
      <c r="E449" s="2"/>
      <c r="H449" s="29"/>
      <c r="I449" s="30"/>
    </row>
    <row r="450" spans="5:9" ht="15.75" customHeight="1">
      <c r="E450" s="2"/>
      <c r="H450" s="29"/>
      <c r="I450" s="30"/>
    </row>
    <row r="451" spans="5:9" ht="15.75" customHeight="1">
      <c r="E451" s="2"/>
      <c r="H451" s="29"/>
      <c r="I451" s="30"/>
    </row>
    <row r="452" spans="5:9" ht="15.75" customHeight="1">
      <c r="E452" s="2"/>
      <c r="H452" s="29"/>
      <c r="I452" s="30"/>
    </row>
    <row r="453" spans="5:9" ht="15.75" customHeight="1">
      <c r="E453" s="2"/>
      <c r="H453" s="29"/>
      <c r="I453" s="30"/>
    </row>
    <row r="454" spans="5:9" ht="15.75" customHeight="1">
      <c r="E454" s="2"/>
      <c r="H454" s="29"/>
      <c r="I454" s="30"/>
    </row>
    <row r="455" spans="5:9" ht="15.75" customHeight="1">
      <c r="E455" s="2"/>
      <c r="H455" s="29"/>
      <c r="I455" s="30"/>
    </row>
    <row r="456" spans="5:9" ht="15.75" customHeight="1">
      <c r="E456" s="2"/>
      <c r="H456" s="29"/>
      <c r="I456" s="30"/>
    </row>
    <row r="457" spans="5:9" ht="15.75" customHeight="1">
      <c r="E457" s="2"/>
      <c r="H457" s="29"/>
      <c r="I457" s="30"/>
    </row>
    <row r="458" spans="5:9" ht="15.75" customHeight="1">
      <c r="E458" s="2"/>
      <c r="H458" s="29"/>
      <c r="I458" s="30"/>
    </row>
    <row r="459" spans="5:9" ht="15.75" customHeight="1">
      <c r="E459" s="2"/>
      <c r="H459" s="29"/>
      <c r="I459" s="30"/>
    </row>
    <row r="460" spans="5:9" ht="15.75" customHeight="1">
      <c r="E460" s="2"/>
      <c r="H460" s="29"/>
      <c r="I460" s="30"/>
    </row>
    <row r="461" spans="5:9" ht="15.75" customHeight="1">
      <c r="E461" s="2"/>
      <c r="H461" s="29"/>
      <c r="I461" s="30"/>
    </row>
    <row r="462" spans="5:9" ht="15.75" customHeight="1">
      <c r="E462" s="2"/>
      <c r="H462" s="29"/>
      <c r="I462" s="30"/>
    </row>
    <row r="463" spans="5:9" ht="15.75" customHeight="1">
      <c r="E463" s="2"/>
      <c r="H463" s="29"/>
      <c r="I463" s="30"/>
    </row>
    <row r="464" spans="5:9" ht="15.75" customHeight="1">
      <c r="E464" s="2"/>
      <c r="H464" s="29"/>
      <c r="I464" s="30"/>
    </row>
    <row r="465" spans="5:9" ht="15.75" customHeight="1">
      <c r="E465" s="2"/>
      <c r="H465" s="29"/>
      <c r="I465" s="30"/>
    </row>
    <row r="466" spans="5:9" ht="15.75" customHeight="1">
      <c r="E466" s="2"/>
      <c r="H466" s="29"/>
      <c r="I466" s="30"/>
    </row>
    <row r="467" spans="5:9" ht="15.75" customHeight="1">
      <c r="E467" s="2"/>
      <c r="H467" s="29"/>
      <c r="I467" s="30"/>
    </row>
    <row r="468" spans="5:9" ht="15.75" customHeight="1">
      <c r="E468" s="2"/>
      <c r="H468" s="29"/>
      <c r="I468" s="30"/>
    </row>
    <row r="469" spans="5:9" ht="15.75" customHeight="1">
      <c r="E469" s="2"/>
      <c r="H469" s="29"/>
      <c r="I469" s="30"/>
    </row>
    <row r="470" spans="5:9" ht="15.75" customHeight="1">
      <c r="E470" s="2"/>
      <c r="H470" s="29"/>
      <c r="I470" s="30"/>
    </row>
    <row r="471" spans="5:9" ht="15.75" customHeight="1">
      <c r="E471" s="2"/>
      <c r="H471" s="29"/>
      <c r="I471" s="30"/>
    </row>
    <row r="472" spans="5:9" ht="15.75" customHeight="1">
      <c r="E472" s="2"/>
      <c r="H472" s="29"/>
      <c r="I472" s="30"/>
    </row>
    <row r="473" spans="5:9" ht="15.75" customHeight="1">
      <c r="E473" s="2"/>
      <c r="H473" s="29"/>
      <c r="I473" s="30"/>
    </row>
    <row r="474" spans="5:9" ht="15.75" customHeight="1">
      <c r="E474" s="2"/>
      <c r="H474" s="29"/>
      <c r="I474" s="30"/>
    </row>
    <row r="475" spans="5:9" ht="15.75" customHeight="1">
      <c r="E475" s="2"/>
      <c r="H475" s="29"/>
      <c r="I475" s="30"/>
    </row>
    <row r="476" spans="5:9" ht="15.75" customHeight="1">
      <c r="E476" s="2"/>
      <c r="H476" s="29"/>
      <c r="I476" s="30"/>
    </row>
    <row r="477" spans="5:9" ht="15.75" customHeight="1">
      <c r="E477" s="2"/>
      <c r="H477" s="29"/>
      <c r="I477" s="30"/>
    </row>
    <row r="478" spans="5:9" ht="15.75" customHeight="1">
      <c r="E478" s="2"/>
      <c r="H478" s="29"/>
      <c r="I478" s="30"/>
    </row>
    <row r="479" spans="5:9" ht="15.75" customHeight="1">
      <c r="E479" s="2"/>
      <c r="H479" s="29"/>
      <c r="I479" s="30"/>
    </row>
    <row r="480" spans="5:9" ht="15.75" customHeight="1">
      <c r="E480" s="2"/>
      <c r="H480" s="29"/>
      <c r="I480" s="30"/>
    </row>
    <row r="481" spans="5:9" ht="15.75" customHeight="1">
      <c r="E481" s="2"/>
      <c r="H481" s="29"/>
      <c r="I481" s="30"/>
    </row>
    <row r="482" spans="5:9" ht="15.75" customHeight="1">
      <c r="E482" s="2"/>
      <c r="H482" s="29"/>
      <c r="I482" s="30"/>
    </row>
    <row r="483" spans="5:9" ht="15.75" customHeight="1">
      <c r="E483" s="2"/>
      <c r="H483" s="29"/>
      <c r="I483" s="30"/>
    </row>
    <row r="484" spans="5:9" ht="15.75" customHeight="1">
      <c r="E484" s="2"/>
      <c r="H484" s="29"/>
      <c r="I484" s="30"/>
    </row>
    <row r="485" spans="5:9" ht="15.75" customHeight="1">
      <c r="E485" s="2"/>
      <c r="H485" s="29"/>
      <c r="I485" s="30"/>
    </row>
    <row r="486" spans="5:9" ht="15.75" customHeight="1">
      <c r="E486" s="2"/>
      <c r="H486" s="29"/>
      <c r="I486" s="30"/>
    </row>
    <row r="487" spans="5:9" ht="15.75" customHeight="1">
      <c r="E487" s="2"/>
      <c r="H487" s="29"/>
      <c r="I487" s="30"/>
    </row>
    <row r="488" spans="5:9" ht="15.75" customHeight="1">
      <c r="E488" s="2"/>
      <c r="H488" s="29"/>
      <c r="I488" s="30"/>
    </row>
    <row r="489" spans="5:9" ht="15.75" customHeight="1">
      <c r="E489" s="2"/>
      <c r="H489" s="29"/>
      <c r="I489" s="30"/>
    </row>
    <row r="490" spans="5:9" ht="15.75" customHeight="1">
      <c r="E490" s="2"/>
      <c r="H490" s="29"/>
      <c r="I490" s="30"/>
    </row>
    <row r="491" spans="5:9" ht="15.75" customHeight="1">
      <c r="E491" s="2"/>
      <c r="H491" s="29"/>
      <c r="I491" s="30"/>
    </row>
    <row r="492" spans="5:9" ht="15.75" customHeight="1">
      <c r="E492" s="2"/>
      <c r="H492" s="29"/>
      <c r="I492" s="30"/>
    </row>
    <row r="493" spans="5:9" ht="15.75" customHeight="1">
      <c r="E493" s="2"/>
      <c r="H493" s="29"/>
      <c r="I493" s="30"/>
    </row>
    <row r="494" spans="5:9" ht="15.75" customHeight="1">
      <c r="E494" s="2"/>
      <c r="H494" s="29"/>
      <c r="I494" s="30"/>
    </row>
    <row r="495" spans="5:9" ht="15.75" customHeight="1">
      <c r="E495" s="2"/>
      <c r="H495" s="29"/>
      <c r="I495" s="30"/>
    </row>
    <row r="496" spans="5:9" ht="15.75" customHeight="1">
      <c r="E496" s="2"/>
      <c r="H496" s="29"/>
      <c r="I496" s="30"/>
    </row>
    <row r="497" spans="5:9" ht="15.75" customHeight="1">
      <c r="E497" s="2"/>
      <c r="H497" s="29"/>
      <c r="I497" s="30"/>
    </row>
    <row r="498" spans="5:9" ht="15.75" customHeight="1">
      <c r="E498" s="2"/>
      <c r="H498" s="29"/>
      <c r="I498" s="30"/>
    </row>
    <row r="499" spans="5:9" ht="15.75" customHeight="1">
      <c r="E499" s="2"/>
      <c r="H499" s="29"/>
      <c r="I499" s="30"/>
    </row>
    <row r="500" spans="5:9" ht="15.75" customHeight="1">
      <c r="E500" s="2"/>
      <c r="H500" s="29"/>
      <c r="I500" s="30"/>
    </row>
    <row r="501" spans="5:9" ht="15.75" customHeight="1">
      <c r="E501" s="2"/>
      <c r="H501" s="29"/>
      <c r="I501" s="30"/>
    </row>
    <row r="502" spans="5:9" ht="15.75" customHeight="1">
      <c r="E502" s="2"/>
      <c r="H502" s="29"/>
      <c r="I502" s="30"/>
    </row>
    <row r="503" spans="5:9" ht="15.75" customHeight="1">
      <c r="E503" s="2"/>
      <c r="H503" s="29"/>
      <c r="I503" s="30"/>
    </row>
    <row r="504" spans="5:9" ht="15.75" customHeight="1">
      <c r="E504" s="2"/>
      <c r="H504" s="29"/>
      <c r="I504" s="30"/>
    </row>
    <row r="505" spans="5:9" ht="15.75" customHeight="1">
      <c r="E505" s="2"/>
      <c r="H505" s="29"/>
      <c r="I505" s="30"/>
    </row>
    <row r="506" spans="5:9" ht="15.75" customHeight="1">
      <c r="E506" s="2"/>
      <c r="H506" s="29"/>
      <c r="I506" s="30"/>
    </row>
    <row r="507" spans="5:9" ht="15.75" customHeight="1">
      <c r="E507" s="2"/>
      <c r="H507" s="29"/>
      <c r="I507" s="30"/>
    </row>
    <row r="508" spans="5:9" ht="15.75" customHeight="1">
      <c r="E508" s="2"/>
      <c r="H508" s="29"/>
      <c r="I508" s="30"/>
    </row>
    <row r="509" spans="5:9" ht="15.75" customHeight="1">
      <c r="E509" s="2"/>
      <c r="H509" s="29"/>
      <c r="I509" s="30"/>
    </row>
    <row r="510" spans="5:9" ht="15.75" customHeight="1">
      <c r="E510" s="2"/>
      <c r="H510" s="29"/>
      <c r="I510" s="30"/>
    </row>
    <row r="511" spans="5:9" ht="15.75" customHeight="1">
      <c r="E511" s="2"/>
      <c r="H511" s="29"/>
      <c r="I511" s="30"/>
    </row>
    <row r="512" spans="5:9" ht="15.75" customHeight="1">
      <c r="E512" s="2"/>
      <c r="H512" s="29"/>
      <c r="I512" s="30"/>
    </row>
    <row r="513" spans="5:9" ht="15.75" customHeight="1">
      <c r="E513" s="2"/>
      <c r="H513" s="29"/>
      <c r="I513" s="30"/>
    </row>
    <row r="514" spans="5:9" ht="15.75" customHeight="1">
      <c r="E514" s="2"/>
      <c r="H514" s="29"/>
      <c r="I514" s="30"/>
    </row>
    <row r="515" spans="5:9" ht="15.75" customHeight="1">
      <c r="E515" s="2"/>
      <c r="H515" s="29"/>
      <c r="I515" s="30"/>
    </row>
    <row r="516" spans="5:9" ht="15.75" customHeight="1">
      <c r="E516" s="2"/>
      <c r="H516" s="29"/>
      <c r="I516" s="30"/>
    </row>
    <row r="517" spans="5:9" ht="15.75" customHeight="1">
      <c r="E517" s="2"/>
      <c r="H517" s="29"/>
      <c r="I517" s="30"/>
    </row>
    <row r="518" spans="5:9" ht="15.75" customHeight="1">
      <c r="E518" s="2"/>
      <c r="H518" s="29"/>
      <c r="I518" s="30"/>
    </row>
    <row r="519" spans="5:9" ht="15.75" customHeight="1">
      <c r="E519" s="2"/>
      <c r="H519" s="29"/>
      <c r="I519" s="30"/>
    </row>
    <row r="520" spans="5:9" ht="15.75" customHeight="1">
      <c r="E520" s="2"/>
      <c r="H520" s="29"/>
      <c r="I520" s="30"/>
    </row>
    <row r="521" spans="5:9" ht="15.75" customHeight="1">
      <c r="E521" s="2"/>
      <c r="H521" s="29"/>
      <c r="I521" s="30"/>
    </row>
    <row r="522" spans="5:9" ht="15.75" customHeight="1">
      <c r="E522" s="2"/>
      <c r="H522" s="29"/>
      <c r="I522" s="30"/>
    </row>
    <row r="523" spans="5:9" ht="15.75" customHeight="1">
      <c r="E523" s="2"/>
      <c r="H523" s="29"/>
      <c r="I523" s="30"/>
    </row>
    <row r="524" spans="5:9" ht="15.75" customHeight="1">
      <c r="E524" s="2"/>
      <c r="H524" s="29"/>
      <c r="I524" s="30"/>
    </row>
    <row r="525" spans="5:9" ht="15.75" customHeight="1">
      <c r="E525" s="2"/>
      <c r="H525" s="29"/>
      <c r="I525" s="30"/>
    </row>
    <row r="526" spans="5:9" ht="15.75" customHeight="1">
      <c r="E526" s="2"/>
      <c r="H526" s="29"/>
      <c r="I526" s="30"/>
    </row>
    <row r="527" spans="5:9" ht="15.75" customHeight="1">
      <c r="E527" s="2"/>
      <c r="H527" s="29"/>
      <c r="I527" s="30"/>
    </row>
    <row r="528" spans="5:9" ht="15.75" customHeight="1">
      <c r="E528" s="2"/>
      <c r="H528" s="29"/>
      <c r="I528" s="30"/>
    </row>
    <row r="529" spans="5:9" ht="15.75" customHeight="1">
      <c r="E529" s="2"/>
      <c r="H529" s="29"/>
      <c r="I529" s="30"/>
    </row>
    <row r="530" spans="5:9" ht="15.75" customHeight="1">
      <c r="E530" s="2"/>
      <c r="H530" s="29"/>
      <c r="I530" s="30"/>
    </row>
    <row r="531" spans="5:9" ht="15.75" customHeight="1">
      <c r="E531" s="2"/>
      <c r="H531" s="29"/>
      <c r="I531" s="30"/>
    </row>
    <row r="532" spans="5:9" ht="15.75" customHeight="1">
      <c r="E532" s="2"/>
      <c r="H532" s="29"/>
      <c r="I532" s="30"/>
    </row>
    <row r="533" spans="5:9" ht="15.75" customHeight="1">
      <c r="E533" s="2"/>
      <c r="H533" s="29"/>
      <c r="I533" s="30"/>
    </row>
    <row r="534" spans="5:9" ht="15.75" customHeight="1">
      <c r="E534" s="2"/>
      <c r="H534" s="29"/>
      <c r="I534" s="30"/>
    </row>
    <row r="535" spans="5:9" ht="15.75" customHeight="1">
      <c r="E535" s="2"/>
      <c r="H535" s="29"/>
      <c r="I535" s="30"/>
    </row>
    <row r="536" spans="5:9" ht="15.75" customHeight="1">
      <c r="E536" s="2"/>
      <c r="H536" s="29"/>
      <c r="I536" s="30"/>
    </row>
    <row r="537" spans="5:9" ht="15.75" customHeight="1">
      <c r="E537" s="2"/>
      <c r="H537" s="29"/>
      <c r="I537" s="30"/>
    </row>
    <row r="538" spans="5:9" ht="15.75" customHeight="1">
      <c r="E538" s="2"/>
      <c r="H538" s="29"/>
      <c r="I538" s="30"/>
    </row>
    <row r="539" spans="5:9" ht="15.75" customHeight="1">
      <c r="E539" s="2"/>
      <c r="H539" s="29"/>
      <c r="I539" s="30"/>
    </row>
    <row r="540" spans="5:9" ht="15.75" customHeight="1">
      <c r="E540" s="2"/>
      <c r="H540" s="29"/>
      <c r="I540" s="30"/>
    </row>
    <row r="541" spans="5:9" ht="15.75" customHeight="1">
      <c r="E541" s="2"/>
      <c r="H541" s="29"/>
      <c r="I541" s="30"/>
    </row>
    <row r="542" spans="5:9" ht="15.75" customHeight="1">
      <c r="E542" s="2"/>
      <c r="H542" s="29"/>
      <c r="I542" s="30"/>
    </row>
    <row r="543" spans="5:9" ht="15.75" customHeight="1">
      <c r="E543" s="2"/>
      <c r="H543" s="29"/>
      <c r="I543" s="30"/>
    </row>
    <row r="544" spans="5:9" ht="15.75" customHeight="1">
      <c r="E544" s="2"/>
      <c r="H544" s="29"/>
      <c r="I544" s="30"/>
    </row>
    <row r="545" spans="5:9" ht="15.75" customHeight="1">
      <c r="E545" s="2"/>
      <c r="H545" s="29"/>
      <c r="I545" s="30"/>
    </row>
    <row r="546" spans="5:9" ht="15.75" customHeight="1">
      <c r="E546" s="2"/>
      <c r="H546" s="29"/>
      <c r="I546" s="30"/>
    </row>
    <row r="547" spans="5:9" ht="15.75" customHeight="1">
      <c r="E547" s="2"/>
      <c r="H547" s="29"/>
      <c r="I547" s="30"/>
    </row>
    <row r="548" spans="5:9" ht="15.75" customHeight="1">
      <c r="E548" s="2"/>
      <c r="H548" s="29"/>
      <c r="I548" s="30"/>
    </row>
    <row r="549" spans="5:9" ht="15.75" customHeight="1">
      <c r="E549" s="2"/>
      <c r="H549" s="29"/>
      <c r="I549" s="30"/>
    </row>
    <row r="550" spans="5:9" ht="15.75" customHeight="1">
      <c r="E550" s="2"/>
      <c r="H550" s="29"/>
      <c r="I550" s="30"/>
    </row>
    <row r="551" spans="5:9" ht="15.75" customHeight="1">
      <c r="E551" s="2"/>
      <c r="H551" s="29"/>
      <c r="I551" s="30"/>
    </row>
    <row r="552" spans="5:9" ht="15.75" customHeight="1">
      <c r="E552" s="2"/>
      <c r="H552" s="29"/>
      <c r="I552" s="30"/>
    </row>
    <row r="553" spans="5:9" ht="15.75" customHeight="1">
      <c r="E553" s="2"/>
      <c r="H553" s="29"/>
      <c r="I553" s="30"/>
    </row>
    <row r="554" spans="5:9" ht="15.75" customHeight="1">
      <c r="E554" s="2"/>
      <c r="H554" s="29"/>
      <c r="I554" s="30"/>
    </row>
    <row r="555" spans="5:9" ht="15.75" customHeight="1">
      <c r="E555" s="2"/>
      <c r="H555" s="29"/>
      <c r="I555" s="30"/>
    </row>
    <row r="556" spans="5:9" ht="15.75" customHeight="1">
      <c r="E556" s="2"/>
      <c r="H556" s="29"/>
      <c r="I556" s="30"/>
    </row>
    <row r="557" spans="5:9" ht="15.75" customHeight="1">
      <c r="E557" s="2"/>
      <c r="H557" s="29"/>
      <c r="I557" s="30"/>
    </row>
    <row r="558" spans="5:9" ht="15.75" customHeight="1">
      <c r="E558" s="2"/>
      <c r="H558" s="29"/>
      <c r="I558" s="30"/>
    </row>
    <row r="559" spans="5:9" ht="15.75" customHeight="1">
      <c r="E559" s="2"/>
      <c r="H559" s="29"/>
      <c r="I559" s="30"/>
    </row>
    <row r="560" spans="5:9" ht="15.75" customHeight="1">
      <c r="E560" s="2"/>
      <c r="H560" s="29"/>
      <c r="I560" s="30"/>
    </row>
    <row r="561" spans="5:9" ht="15.75" customHeight="1">
      <c r="E561" s="2"/>
      <c r="H561" s="29"/>
      <c r="I561" s="30"/>
    </row>
    <row r="562" spans="5:9" ht="15.75" customHeight="1">
      <c r="E562" s="2"/>
      <c r="H562" s="29"/>
      <c r="I562" s="30"/>
    </row>
    <row r="563" spans="5:9" ht="15.75" customHeight="1">
      <c r="E563" s="2"/>
      <c r="H563" s="29"/>
      <c r="I563" s="30"/>
    </row>
    <row r="564" spans="5:9" ht="15.75" customHeight="1">
      <c r="E564" s="2"/>
      <c r="H564" s="29"/>
      <c r="I564" s="30"/>
    </row>
    <row r="565" spans="5:9" ht="15.75" customHeight="1">
      <c r="E565" s="2"/>
      <c r="H565" s="29"/>
      <c r="I565" s="30"/>
    </row>
    <row r="566" spans="5:9" ht="15.75" customHeight="1">
      <c r="E566" s="2"/>
      <c r="H566" s="29"/>
      <c r="I566" s="30"/>
    </row>
    <row r="567" spans="5:9" ht="15.75" customHeight="1">
      <c r="E567" s="2"/>
      <c r="H567" s="29"/>
      <c r="I567" s="30"/>
    </row>
    <row r="568" spans="5:9" ht="15.75" customHeight="1">
      <c r="E568" s="2"/>
      <c r="H568" s="29"/>
      <c r="I568" s="30"/>
    </row>
    <row r="569" spans="5:9" ht="15.75" customHeight="1">
      <c r="E569" s="2"/>
      <c r="H569" s="29"/>
      <c r="I569" s="30"/>
    </row>
    <row r="570" spans="5:9" ht="15.75" customHeight="1">
      <c r="E570" s="2"/>
      <c r="H570" s="29"/>
      <c r="I570" s="30"/>
    </row>
    <row r="571" spans="5:9" ht="15.75" customHeight="1">
      <c r="E571" s="2"/>
      <c r="H571" s="29"/>
      <c r="I571" s="30"/>
    </row>
    <row r="572" spans="5:9" ht="15.75" customHeight="1">
      <c r="E572" s="2"/>
      <c r="H572" s="29"/>
      <c r="I572" s="30"/>
    </row>
    <row r="573" spans="5:9" ht="15.75" customHeight="1">
      <c r="E573" s="2"/>
      <c r="H573" s="29"/>
      <c r="I573" s="30"/>
    </row>
    <row r="574" spans="5:9" ht="15.75" customHeight="1">
      <c r="E574" s="2"/>
      <c r="H574" s="29"/>
      <c r="I574" s="30"/>
    </row>
    <row r="575" spans="5:9" ht="15.75" customHeight="1">
      <c r="E575" s="2"/>
      <c r="H575" s="29"/>
      <c r="I575" s="30"/>
    </row>
    <row r="576" spans="5:9" ht="15.75" customHeight="1">
      <c r="E576" s="2"/>
      <c r="H576" s="29"/>
      <c r="I576" s="30"/>
    </row>
    <row r="577" spans="5:9" ht="15.75" customHeight="1">
      <c r="E577" s="2"/>
      <c r="H577" s="29"/>
      <c r="I577" s="30"/>
    </row>
    <row r="578" spans="5:9" ht="15.75" customHeight="1">
      <c r="E578" s="2"/>
      <c r="H578" s="29"/>
      <c r="I578" s="30"/>
    </row>
    <row r="579" spans="5:9" ht="15.75" customHeight="1">
      <c r="E579" s="2"/>
      <c r="H579" s="29"/>
      <c r="I579" s="30"/>
    </row>
    <row r="580" spans="5:9" ht="15.75" customHeight="1">
      <c r="E580" s="2"/>
      <c r="H580" s="29"/>
      <c r="I580" s="30"/>
    </row>
    <row r="581" spans="5:9" ht="15.75" customHeight="1">
      <c r="E581" s="2"/>
      <c r="H581" s="29"/>
      <c r="I581" s="30"/>
    </row>
    <row r="582" spans="5:9" ht="15.75" customHeight="1">
      <c r="E582" s="2"/>
      <c r="H582" s="29"/>
      <c r="I582" s="30"/>
    </row>
    <row r="583" spans="5:9" ht="15.75" customHeight="1">
      <c r="E583" s="2"/>
      <c r="H583" s="29"/>
      <c r="I583" s="30"/>
    </row>
    <row r="584" spans="5:9" ht="15.75" customHeight="1">
      <c r="E584" s="2"/>
      <c r="H584" s="29"/>
      <c r="I584" s="30"/>
    </row>
    <row r="585" spans="5:9" ht="15.75" customHeight="1">
      <c r="E585" s="2"/>
      <c r="H585" s="29"/>
      <c r="I585" s="30"/>
    </row>
    <row r="586" spans="5:9" ht="15.75" customHeight="1">
      <c r="E586" s="2"/>
      <c r="H586" s="29"/>
      <c r="I586" s="30"/>
    </row>
    <row r="587" spans="5:9" ht="15.75" customHeight="1">
      <c r="E587" s="2"/>
      <c r="H587" s="29"/>
      <c r="I587" s="30"/>
    </row>
    <row r="588" spans="5:9" ht="15.75" customHeight="1">
      <c r="E588" s="2"/>
      <c r="H588" s="29"/>
      <c r="I588" s="30"/>
    </row>
    <row r="589" spans="5:9" ht="15.75" customHeight="1">
      <c r="E589" s="2"/>
      <c r="H589" s="29"/>
      <c r="I589" s="30"/>
    </row>
    <row r="590" spans="5:9" ht="15.75" customHeight="1">
      <c r="E590" s="2"/>
      <c r="H590" s="29"/>
      <c r="I590" s="30"/>
    </row>
    <row r="591" spans="5:9" ht="15.75" customHeight="1">
      <c r="E591" s="2"/>
      <c r="H591" s="29"/>
      <c r="I591" s="30"/>
    </row>
    <row r="592" spans="5:9" ht="15.75" customHeight="1">
      <c r="E592" s="2"/>
      <c r="H592" s="29"/>
      <c r="I592" s="30"/>
    </row>
    <row r="593" spans="5:9" ht="15.75" customHeight="1">
      <c r="E593" s="2"/>
      <c r="H593" s="29"/>
      <c r="I593" s="30"/>
    </row>
    <row r="594" spans="5:9" ht="15.75" customHeight="1">
      <c r="E594" s="2"/>
      <c r="H594" s="29"/>
      <c r="I594" s="30"/>
    </row>
    <row r="595" spans="5:9" ht="15.75" customHeight="1">
      <c r="E595" s="2"/>
      <c r="H595" s="29"/>
      <c r="I595" s="30"/>
    </row>
    <row r="596" spans="5:9" ht="15.75" customHeight="1">
      <c r="E596" s="2"/>
      <c r="H596" s="29"/>
      <c r="I596" s="30"/>
    </row>
    <row r="597" spans="5:9" ht="15.75" customHeight="1">
      <c r="E597" s="2"/>
      <c r="H597" s="29"/>
      <c r="I597" s="30"/>
    </row>
    <row r="598" spans="5:9" ht="15.75" customHeight="1">
      <c r="E598" s="2"/>
      <c r="H598" s="29"/>
      <c r="I598" s="30"/>
    </row>
    <row r="599" spans="5:9" ht="15.75" customHeight="1">
      <c r="E599" s="2"/>
      <c r="H599" s="29"/>
      <c r="I599" s="30"/>
    </row>
    <row r="600" spans="5:9" ht="15.75" customHeight="1">
      <c r="E600" s="2"/>
      <c r="H600" s="29"/>
      <c r="I600" s="30"/>
    </row>
    <row r="601" spans="5:9" ht="15.75" customHeight="1">
      <c r="E601" s="2"/>
      <c r="H601" s="29"/>
      <c r="I601" s="30"/>
    </row>
    <row r="602" spans="5:9" ht="15.75" customHeight="1">
      <c r="E602" s="2"/>
      <c r="H602" s="29"/>
      <c r="I602" s="30"/>
    </row>
    <row r="603" spans="5:9" ht="15.75" customHeight="1">
      <c r="E603" s="2"/>
      <c r="H603" s="29"/>
      <c r="I603" s="30"/>
    </row>
    <row r="604" spans="5:9" ht="15.75" customHeight="1">
      <c r="E604" s="2"/>
      <c r="H604" s="29"/>
      <c r="I604" s="30"/>
    </row>
    <row r="605" spans="5:9" ht="15.75" customHeight="1">
      <c r="E605" s="2"/>
      <c r="H605" s="29"/>
      <c r="I605" s="30"/>
    </row>
    <row r="606" spans="5:9" ht="15.75" customHeight="1">
      <c r="E606" s="2"/>
      <c r="H606" s="29"/>
      <c r="I606" s="30"/>
    </row>
    <row r="607" spans="5:9" ht="15.75" customHeight="1">
      <c r="E607" s="2"/>
      <c r="H607" s="29"/>
      <c r="I607" s="30"/>
    </row>
    <row r="608" spans="5:9" ht="15.75" customHeight="1">
      <c r="E608" s="2"/>
      <c r="H608" s="29"/>
      <c r="I608" s="30"/>
    </row>
    <row r="609" spans="5:9" ht="15.75" customHeight="1">
      <c r="E609" s="2"/>
      <c r="H609" s="29"/>
      <c r="I609" s="30"/>
    </row>
    <row r="610" spans="5:9" ht="15.75" customHeight="1">
      <c r="E610" s="2"/>
      <c r="H610" s="29"/>
      <c r="I610" s="30"/>
    </row>
    <row r="611" spans="5:9" ht="15.75" customHeight="1">
      <c r="E611" s="2"/>
      <c r="H611" s="29"/>
      <c r="I611" s="30"/>
    </row>
    <row r="612" spans="5:9" ht="15.75" customHeight="1">
      <c r="E612" s="2"/>
      <c r="H612" s="29"/>
      <c r="I612" s="30"/>
    </row>
    <row r="613" spans="5:9" ht="15.75" customHeight="1">
      <c r="E613" s="2"/>
      <c r="H613" s="29"/>
      <c r="I613" s="30"/>
    </row>
    <row r="614" spans="5:9" ht="15.75" customHeight="1">
      <c r="E614" s="2"/>
      <c r="H614" s="29"/>
      <c r="I614" s="30"/>
    </row>
    <row r="615" spans="5:9" ht="15.75" customHeight="1">
      <c r="E615" s="2"/>
      <c r="H615" s="29"/>
      <c r="I615" s="30"/>
    </row>
    <row r="616" spans="5:9" ht="15.75" customHeight="1">
      <c r="E616" s="2"/>
      <c r="H616" s="29"/>
      <c r="I616" s="30"/>
    </row>
    <row r="617" spans="5:9" ht="15.75" customHeight="1">
      <c r="E617" s="2"/>
      <c r="H617" s="29"/>
      <c r="I617" s="30"/>
    </row>
    <row r="618" spans="5:9" ht="15.75" customHeight="1">
      <c r="E618" s="2"/>
      <c r="H618" s="29"/>
      <c r="I618" s="30"/>
    </row>
    <row r="619" spans="5:9" ht="15.75" customHeight="1">
      <c r="E619" s="2"/>
      <c r="H619" s="29"/>
      <c r="I619" s="30"/>
    </row>
    <row r="620" spans="5:9" ht="15.75" customHeight="1">
      <c r="E620" s="2"/>
      <c r="H620" s="29"/>
      <c r="I620" s="30"/>
    </row>
    <row r="621" spans="5:9" ht="15.75" customHeight="1">
      <c r="E621" s="2"/>
      <c r="H621" s="29"/>
      <c r="I621" s="30"/>
    </row>
    <row r="622" spans="5:9" ht="15.75" customHeight="1">
      <c r="E622" s="2"/>
      <c r="H622" s="29"/>
      <c r="I622" s="30"/>
    </row>
    <row r="623" spans="5:9" ht="15.75" customHeight="1">
      <c r="E623" s="2"/>
      <c r="H623" s="29"/>
      <c r="I623" s="30"/>
    </row>
    <row r="624" spans="5:9" ht="15.75" customHeight="1">
      <c r="E624" s="2"/>
      <c r="H624" s="29"/>
      <c r="I624" s="30"/>
    </row>
    <row r="625" spans="5:9" ht="15.75" customHeight="1">
      <c r="E625" s="2"/>
      <c r="H625" s="29"/>
      <c r="I625" s="30"/>
    </row>
    <row r="626" spans="5:9" ht="15.75" customHeight="1">
      <c r="E626" s="2"/>
      <c r="H626" s="29"/>
      <c r="I626" s="30"/>
    </row>
    <row r="627" spans="5:9" ht="15.75" customHeight="1">
      <c r="E627" s="2"/>
      <c r="H627" s="29"/>
      <c r="I627" s="30"/>
    </row>
    <row r="628" spans="5:9" ht="15.75" customHeight="1">
      <c r="E628" s="2"/>
      <c r="H628" s="29"/>
      <c r="I628" s="30"/>
    </row>
    <row r="629" spans="5:9" ht="15.75" customHeight="1">
      <c r="E629" s="2"/>
      <c r="H629" s="29"/>
      <c r="I629" s="30"/>
    </row>
    <row r="630" spans="5:9" ht="15.75" customHeight="1">
      <c r="E630" s="2"/>
      <c r="H630" s="29"/>
      <c r="I630" s="30"/>
    </row>
    <row r="631" spans="5:9" ht="15.75" customHeight="1">
      <c r="E631" s="2"/>
      <c r="H631" s="29"/>
      <c r="I631" s="30"/>
    </row>
    <row r="632" spans="5:9" ht="15.75" customHeight="1">
      <c r="E632" s="2"/>
      <c r="H632" s="29"/>
      <c r="I632" s="30"/>
    </row>
    <row r="633" spans="5:9" ht="15.75" customHeight="1">
      <c r="E633" s="2"/>
      <c r="H633" s="29"/>
      <c r="I633" s="30"/>
    </row>
    <row r="634" spans="5:9" ht="15.75" customHeight="1">
      <c r="E634" s="2"/>
      <c r="H634" s="29"/>
      <c r="I634" s="30"/>
    </row>
    <row r="635" spans="5:9" ht="15.75" customHeight="1">
      <c r="E635" s="2"/>
      <c r="H635" s="29"/>
      <c r="I635" s="30"/>
    </row>
    <row r="636" spans="5:9" ht="15.75" customHeight="1">
      <c r="E636" s="2"/>
      <c r="H636" s="29"/>
      <c r="I636" s="30"/>
    </row>
    <row r="637" spans="5:9" ht="15.75" customHeight="1">
      <c r="E637" s="2"/>
      <c r="H637" s="29"/>
      <c r="I637" s="30"/>
    </row>
    <row r="638" spans="5:9" ht="15.75" customHeight="1">
      <c r="E638" s="2"/>
      <c r="H638" s="29"/>
      <c r="I638" s="30"/>
    </row>
    <row r="639" spans="5:9" ht="15.75" customHeight="1">
      <c r="E639" s="2"/>
      <c r="H639" s="29"/>
      <c r="I639" s="30"/>
    </row>
    <row r="640" spans="5:9" ht="15.75" customHeight="1">
      <c r="E640" s="2"/>
      <c r="H640" s="29"/>
      <c r="I640" s="30"/>
    </row>
    <row r="641" spans="5:9" ht="15.75" customHeight="1">
      <c r="E641" s="2"/>
      <c r="H641" s="29"/>
      <c r="I641" s="30"/>
    </row>
    <row r="642" spans="5:9" ht="15.75" customHeight="1">
      <c r="E642" s="2"/>
      <c r="H642" s="29"/>
      <c r="I642" s="30"/>
    </row>
    <row r="643" spans="5:9" ht="15.75" customHeight="1">
      <c r="E643" s="2"/>
      <c r="H643" s="29"/>
      <c r="I643" s="30"/>
    </row>
    <row r="644" spans="5:9" ht="15.75" customHeight="1">
      <c r="E644" s="2"/>
      <c r="H644" s="29"/>
      <c r="I644" s="30"/>
    </row>
    <row r="645" spans="5:9" ht="15.75" customHeight="1">
      <c r="E645" s="2"/>
      <c r="H645" s="29"/>
      <c r="I645" s="30"/>
    </row>
    <row r="646" spans="5:9" ht="15.75" customHeight="1">
      <c r="E646" s="2"/>
      <c r="H646" s="29"/>
      <c r="I646" s="30"/>
    </row>
    <row r="647" spans="5:9" ht="15.75" customHeight="1">
      <c r="E647" s="2"/>
      <c r="H647" s="29"/>
      <c r="I647" s="30"/>
    </row>
    <row r="648" spans="5:9" ht="15.75" customHeight="1">
      <c r="E648" s="2"/>
      <c r="H648" s="29"/>
      <c r="I648" s="30"/>
    </row>
    <row r="649" spans="5:9" ht="15.75" customHeight="1">
      <c r="E649" s="2"/>
      <c r="H649" s="29"/>
      <c r="I649" s="30"/>
    </row>
    <row r="650" spans="5:9" ht="15.75" customHeight="1">
      <c r="E650" s="2"/>
      <c r="H650" s="29"/>
      <c r="I650" s="30"/>
    </row>
    <row r="651" spans="5:9" ht="15.75" customHeight="1">
      <c r="E651" s="2"/>
      <c r="H651" s="29"/>
      <c r="I651" s="30"/>
    </row>
    <row r="652" spans="5:9" ht="15.75" customHeight="1">
      <c r="E652" s="2"/>
      <c r="H652" s="29"/>
      <c r="I652" s="30"/>
    </row>
    <row r="653" spans="5:9" ht="15.75" customHeight="1">
      <c r="E653" s="2"/>
      <c r="H653" s="29"/>
      <c r="I653" s="30"/>
    </row>
    <row r="654" spans="5:9" ht="15.75" customHeight="1">
      <c r="E654" s="2"/>
      <c r="H654" s="29"/>
      <c r="I654" s="30"/>
    </row>
    <row r="655" spans="5:9" ht="15.75" customHeight="1">
      <c r="E655" s="2"/>
      <c r="H655" s="29"/>
      <c r="I655" s="30"/>
    </row>
    <row r="656" spans="5:9" ht="15.75" customHeight="1">
      <c r="E656" s="2"/>
      <c r="H656" s="29"/>
      <c r="I656" s="30"/>
    </row>
    <row r="657" spans="5:9" ht="15.75" customHeight="1">
      <c r="E657" s="2"/>
      <c r="H657" s="29"/>
      <c r="I657" s="30"/>
    </row>
    <row r="658" spans="5:9" ht="15.75" customHeight="1">
      <c r="E658" s="2"/>
      <c r="H658" s="29"/>
      <c r="I658" s="30"/>
    </row>
    <row r="659" spans="5:9" ht="15.75" customHeight="1">
      <c r="E659" s="2"/>
      <c r="H659" s="29"/>
      <c r="I659" s="30"/>
    </row>
    <row r="660" spans="5:9" ht="15.75" customHeight="1">
      <c r="E660" s="2"/>
      <c r="H660" s="29"/>
      <c r="I660" s="30"/>
    </row>
    <row r="661" spans="5:9" ht="15.75" customHeight="1">
      <c r="E661" s="2"/>
      <c r="H661" s="29"/>
      <c r="I661" s="30"/>
    </row>
    <row r="662" spans="5:9" ht="15.75" customHeight="1">
      <c r="E662" s="2"/>
      <c r="H662" s="29"/>
      <c r="I662" s="30"/>
    </row>
    <row r="663" spans="5:9" ht="15.75" customHeight="1">
      <c r="E663" s="2"/>
      <c r="H663" s="29"/>
      <c r="I663" s="30"/>
    </row>
    <row r="664" spans="5:9" ht="15.75" customHeight="1">
      <c r="E664" s="2"/>
      <c r="H664" s="29"/>
      <c r="I664" s="30"/>
    </row>
    <row r="665" spans="5:9" ht="15.75" customHeight="1">
      <c r="E665" s="2"/>
      <c r="H665" s="29"/>
      <c r="I665" s="30"/>
    </row>
    <row r="666" spans="5:9" ht="15.75" customHeight="1">
      <c r="E666" s="2"/>
      <c r="H666" s="29"/>
      <c r="I666" s="30"/>
    </row>
    <row r="667" spans="5:9" ht="15.75" customHeight="1">
      <c r="E667" s="2"/>
      <c r="H667" s="29"/>
      <c r="I667" s="30"/>
    </row>
    <row r="668" spans="5:9" ht="15.75" customHeight="1">
      <c r="E668" s="2"/>
      <c r="H668" s="29"/>
      <c r="I668" s="30"/>
    </row>
    <row r="669" spans="5:9" ht="15.75" customHeight="1">
      <c r="E669" s="2"/>
      <c r="H669" s="29"/>
      <c r="I669" s="30"/>
    </row>
    <row r="670" spans="5:9" ht="15.75" customHeight="1">
      <c r="E670" s="2"/>
      <c r="H670" s="29"/>
      <c r="I670" s="30"/>
    </row>
    <row r="671" spans="5:9" ht="15.75" customHeight="1">
      <c r="E671" s="2"/>
      <c r="H671" s="29"/>
      <c r="I671" s="30"/>
    </row>
    <row r="672" spans="5:9" ht="15.75" customHeight="1">
      <c r="E672" s="2"/>
      <c r="H672" s="29"/>
      <c r="I672" s="30"/>
    </row>
    <row r="673" spans="5:9" ht="15.75" customHeight="1">
      <c r="E673" s="2"/>
      <c r="H673" s="29"/>
      <c r="I673" s="30"/>
    </row>
    <row r="674" spans="5:9" ht="15.75" customHeight="1">
      <c r="E674" s="2"/>
      <c r="H674" s="29"/>
      <c r="I674" s="30"/>
    </row>
    <row r="675" spans="5:9" ht="15.75" customHeight="1">
      <c r="E675" s="2"/>
      <c r="H675" s="29"/>
      <c r="I675" s="30"/>
    </row>
    <row r="676" spans="5:9" ht="15.75" customHeight="1">
      <c r="E676" s="2"/>
      <c r="H676" s="29"/>
      <c r="I676" s="30"/>
    </row>
    <row r="677" spans="5:9" ht="15.75" customHeight="1">
      <c r="E677" s="2"/>
      <c r="H677" s="29"/>
      <c r="I677" s="30"/>
    </row>
    <row r="678" spans="5:9" ht="15.75" customHeight="1">
      <c r="E678" s="2"/>
      <c r="H678" s="29"/>
      <c r="I678" s="30"/>
    </row>
    <row r="679" spans="5:9" ht="15.75" customHeight="1">
      <c r="E679" s="2"/>
      <c r="H679" s="29"/>
      <c r="I679" s="30"/>
    </row>
    <row r="680" spans="5:9" ht="15.75" customHeight="1">
      <c r="E680" s="2"/>
      <c r="H680" s="29"/>
      <c r="I680" s="30"/>
    </row>
    <row r="681" spans="5:9" ht="15.75" customHeight="1">
      <c r="E681" s="2"/>
      <c r="H681" s="29"/>
      <c r="I681" s="30"/>
    </row>
    <row r="682" spans="5:9" ht="15.75" customHeight="1">
      <c r="E682" s="2"/>
      <c r="H682" s="29"/>
      <c r="I682" s="30"/>
    </row>
    <row r="683" spans="5:9" ht="15.75" customHeight="1">
      <c r="E683" s="2"/>
      <c r="H683" s="29"/>
      <c r="I683" s="30"/>
    </row>
    <row r="684" spans="5:9" ht="15.75" customHeight="1">
      <c r="E684" s="2"/>
      <c r="H684" s="29"/>
      <c r="I684" s="30"/>
    </row>
    <row r="685" spans="5:9" ht="15.75" customHeight="1">
      <c r="E685" s="2"/>
      <c r="H685" s="29"/>
      <c r="I685" s="30"/>
    </row>
    <row r="686" spans="5:9" ht="15.75" customHeight="1">
      <c r="E686" s="2"/>
      <c r="H686" s="29"/>
      <c r="I686" s="30"/>
    </row>
    <row r="687" spans="5:9" ht="15.75" customHeight="1">
      <c r="E687" s="2"/>
      <c r="H687" s="29"/>
      <c r="I687" s="30"/>
    </row>
    <row r="688" spans="5:9" ht="15.75" customHeight="1">
      <c r="E688" s="2"/>
      <c r="H688" s="29"/>
      <c r="I688" s="30"/>
    </row>
    <row r="689" spans="5:9" ht="15.75" customHeight="1">
      <c r="E689" s="2"/>
      <c r="H689" s="29"/>
      <c r="I689" s="30"/>
    </row>
    <row r="690" spans="5:9" ht="15.75" customHeight="1">
      <c r="E690" s="2"/>
      <c r="H690" s="29"/>
      <c r="I690" s="30"/>
    </row>
    <row r="691" spans="5:9" ht="15.75" customHeight="1">
      <c r="E691" s="2"/>
      <c r="H691" s="29"/>
      <c r="I691" s="30"/>
    </row>
    <row r="692" spans="5:9" ht="15.75" customHeight="1">
      <c r="E692" s="2"/>
      <c r="H692" s="29"/>
      <c r="I692" s="30"/>
    </row>
    <row r="693" spans="5:9" ht="15.75" customHeight="1">
      <c r="E693" s="2"/>
      <c r="H693" s="29"/>
      <c r="I693" s="30"/>
    </row>
    <row r="694" spans="5:9" ht="15.75" customHeight="1">
      <c r="E694" s="2"/>
      <c r="H694" s="29"/>
      <c r="I694" s="30"/>
    </row>
    <row r="695" spans="5:9" ht="15.75" customHeight="1">
      <c r="E695" s="2"/>
      <c r="H695" s="29"/>
      <c r="I695" s="30"/>
    </row>
    <row r="696" spans="5:9" ht="15.75" customHeight="1">
      <c r="E696" s="2"/>
      <c r="H696" s="29"/>
      <c r="I696" s="30"/>
    </row>
    <row r="697" spans="5:9" ht="15.75" customHeight="1">
      <c r="E697" s="2"/>
      <c r="H697" s="29"/>
      <c r="I697" s="30"/>
    </row>
    <row r="698" spans="5:9" ht="15.75" customHeight="1">
      <c r="E698" s="2"/>
      <c r="H698" s="29"/>
      <c r="I698" s="30"/>
    </row>
    <row r="699" spans="5:9" ht="15.75" customHeight="1">
      <c r="E699" s="2"/>
      <c r="H699" s="29"/>
      <c r="I699" s="30"/>
    </row>
    <row r="700" spans="5:9" ht="15.75" customHeight="1">
      <c r="E700" s="2"/>
      <c r="H700" s="29"/>
      <c r="I700" s="30"/>
    </row>
    <row r="701" spans="5:9" ht="15.75" customHeight="1">
      <c r="E701" s="2"/>
      <c r="H701" s="29"/>
      <c r="I701" s="30"/>
    </row>
    <row r="702" spans="5:9" ht="15.75" customHeight="1">
      <c r="E702" s="2"/>
      <c r="H702" s="29"/>
      <c r="I702" s="30"/>
    </row>
    <row r="703" spans="5:9" ht="15.75" customHeight="1">
      <c r="E703" s="2"/>
      <c r="H703" s="29"/>
      <c r="I703" s="30"/>
    </row>
    <row r="704" spans="5:9" ht="15.75" customHeight="1">
      <c r="E704" s="2"/>
      <c r="H704" s="29"/>
      <c r="I704" s="30"/>
    </row>
    <row r="705" spans="5:9" ht="15.75" customHeight="1">
      <c r="E705" s="2"/>
      <c r="H705" s="29"/>
      <c r="I705" s="30"/>
    </row>
    <row r="706" spans="5:9" ht="15.75" customHeight="1">
      <c r="E706" s="2"/>
      <c r="H706" s="29"/>
      <c r="I706" s="30"/>
    </row>
    <row r="707" spans="5:9" ht="15.75" customHeight="1">
      <c r="E707" s="2"/>
      <c r="H707" s="29"/>
      <c r="I707" s="30"/>
    </row>
    <row r="708" spans="5:9" ht="15.75" customHeight="1">
      <c r="E708" s="2"/>
      <c r="H708" s="29"/>
      <c r="I708" s="30"/>
    </row>
    <row r="709" spans="5:9" ht="15.75" customHeight="1">
      <c r="E709" s="2"/>
      <c r="H709" s="29"/>
      <c r="I709" s="30"/>
    </row>
    <row r="710" spans="5:9" ht="15.75" customHeight="1">
      <c r="E710" s="2"/>
      <c r="H710" s="29"/>
      <c r="I710" s="30"/>
    </row>
    <row r="711" spans="5:9" ht="15.75" customHeight="1">
      <c r="E711" s="2"/>
      <c r="H711" s="29"/>
      <c r="I711" s="30"/>
    </row>
    <row r="712" spans="5:9" ht="15.75" customHeight="1">
      <c r="E712" s="2"/>
      <c r="H712" s="29"/>
      <c r="I712" s="30"/>
    </row>
    <row r="713" spans="5:9" ht="15.75" customHeight="1">
      <c r="E713" s="2"/>
      <c r="H713" s="29"/>
      <c r="I713" s="30"/>
    </row>
    <row r="714" spans="5:9" ht="15.75" customHeight="1">
      <c r="E714" s="2"/>
      <c r="H714" s="29"/>
      <c r="I714" s="30"/>
    </row>
    <row r="715" spans="5:9" ht="15.75" customHeight="1">
      <c r="E715" s="2"/>
      <c r="H715" s="29"/>
      <c r="I715" s="30"/>
    </row>
    <row r="716" spans="5:9" ht="15.75" customHeight="1">
      <c r="E716" s="2"/>
      <c r="H716" s="29"/>
      <c r="I716" s="30"/>
    </row>
    <row r="717" spans="5:9" ht="15.75" customHeight="1">
      <c r="E717" s="2"/>
      <c r="H717" s="29"/>
      <c r="I717" s="30"/>
    </row>
    <row r="718" spans="5:9" ht="15.75" customHeight="1">
      <c r="E718" s="2"/>
      <c r="H718" s="29"/>
      <c r="I718" s="30"/>
    </row>
    <row r="719" spans="5:9" ht="15.75" customHeight="1">
      <c r="E719" s="2"/>
      <c r="H719" s="29"/>
      <c r="I719" s="30"/>
    </row>
    <row r="720" spans="5:9" ht="15.75" customHeight="1">
      <c r="E720" s="2"/>
      <c r="H720" s="29"/>
      <c r="I720" s="30"/>
    </row>
    <row r="721" spans="5:9" ht="15.75" customHeight="1">
      <c r="E721" s="2"/>
      <c r="H721" s="29"/>
      <c r="I721" s="30"/>
    </row>
    <row r="722" spans="5:9" ht="15.75" customHeight="1">
      <c r="E722" s="2"/>
      <c r="H722" s="29"/>
      <c r="I722" s="30"/>
    </row>
    <row r="723" spans="5:9" ht="15.75" customHeight="1">
      <c r="E723" s="2"/>
      <c r="H723" s="29"/>
      <c r="I723" s="30"/>
    </row>
    <row r="724" spans="5:9" ht="15.75" customHeight="1">
      <c r="E724" s="2"/>
      <c r="H724" s="29"/>
      <c r="I724" s="30"/>
    </row>
    <row r="725" spans="5:9" ht="15.75" customHeight="1">
      <c r="E725" s="2"/>
      <c r="H725" s="29"/>
      <c r="I725" s="30"/>
    </row>
    <row r="726" spans="5:9" ht="15.75" customHeight="1">
      <c r="E726" s="2"/>
      <c r="H726" s="29"/>
      <c r="I726" s="30"/>
    </row>
    <row r="727" spans="5:9" ht="15.75" customHeight="1">
      <c r="E727" s="2"/>
      <c r="H727" s="29"/>
      <c r="I727" s="30"/>
    </row>
    <row r="728" spans="5:9" ht="15.75" customHeight="1">
      <c r="E728" s="2"/>
      <c r="H728" s="29"/>
      <c r="I728" s="30"/>
    </row>
    <row r="729" spans="5:9" ht="15.75" customHeight="1">
      <c r="E729" s="2"/>
      <c r="H729" s="29"/>
      <c r="I729" s="30"/>
    </row>
    <row r="730" spans="5:9" ht="15.75" customHeight="1">
      <c r="E730" s="2"/>
      <c r="H730" s="29"/>
      <c r="I730" s="30"/>
    </row>
    <row r="731" spans="5:9" ht="15.75" customHeight="1">
      <c r="E731" s="2"/>
      <c r="H731" s="29"/>
      <c r="I731" s="30"/>
    </row>
    <row r="732" spans="5:9" ht="15.75" customHeight="1">
      <c r="E732" s="2"/>
      <c r="H732" s="29"/>
      <c r="I732" s="30"/>
    </row>
    <row r="733" spans="5:9" ht="15.75" customHeight="1">
      <c r="E733" s="2"/>
      <c r="H733" s="29"/>
      <c r="I733" s="30"/>
    </row>
    <row r="734" spans="5:9" ht="15.75" customHeight="1">
      <c r="E734" s="2"/>
      <c r="H734" s="29"/>
      <c r="I734" s="30"/>
    </row>
    <row r="735" spans="5:9" ht="15.75" customHeight="1">
      <c r="E735" s="2"/>
      <c r="H735" s="29"/>
      <c r="I735" s="30"/>
    </row>
    <row r="736" spans="5:9" ht="15.75" customHeight="1">
      <c r="E736" s="2"/>
      <c r="H736" s="29"/>
      <c r="I736" s="30"/>
    </row>
    <row r="737" spans="5:9" ht="15.75" customHeight="1">
      <c r="E737" s="2"/>
      <c r="H737" s="29"/>
      <c r="I737" s="30"/>
    </row>
    <row r="738" spans="5:9" ht="15.75" customHeight="1">
      <c r="E738" s="2"/>
      <c r="H738" s="29"/>
      <c r="I738" s="30"/>
    </row>
    <row r="739" spans="5:9" ht="15.75" customHeight="1">
      <c r="E739" s="2"/>
      <c r="H739" s="29"/>
      <c r="I739" s="30"/>
    </row>
    <row r="740" spans="5:9" ht="15.75" customHeight="1">
      <c r="E740" s="2"/>
      <c r="H740" s="29"/>
      <c r="I740" s="30"/>
    </row>
    <row r="741" spans="5:9" ht="15.75" customHeight="1">
      <c r="E741" s="2"/>
      <c r="H741" s="29"/>
      <c r="I741" s="30"/>
    </row>
    <row r="742" spans="5:9" ht="15.75" customHeight="1">
      <c r="E742" s="2"/>
      <c r="H742" s="29"/>
      <c r="I742" s="30"/>
    </row>
    <row r="743" spans="5:9" ht="15.75" customHeight="1">
      <c r="E743" s="2"/>
      <c r="H743" s="29"/>
      <c r="I743" s="30"/>
    </row>
    <row r="744" spans="5:9" ht="15.75" customHeight="1">
      <c r="E744" s="2"/>
      <c r="H744" s="29"/>
      <c r="I744" s="30"/>
    </row>
    <row r="745" spans="5:9" ht="15.75" customHeight="1">
      <c r="E745" s="2"/>
      <c r="H745" s="29"/>
      <c r="I745" s="30"/>
    </row>
    <row r="746" spans="5:9" ht="15.75" customHeight="1">
      <c r="E746" s="2"/>
      <c r="H746" s="29"/>
      <c r="I746" s="30"/>
    </row>
    <row r="747" spans="5:9" ht="15.75" customHeight="1">
      <c r="E747" s="2"/>
      <c r="H747" s="29"/>
      <c r="I747" s="30"/>
    </row>
    <row r="748" spans="5:9" ht="15.75" customHeight="1">
      <c r="E748" s="2"/>
      <c r="H748" s="29"/>
      <c r="I748" s="30"/>
    </row>
    <row r="749" spans="5:9" ht="15.75" customHeight="1">
      <c r="E749" s="2"/>
      <c r="H749" s="29"/>
      <c r="I749" s="30"/>
    </row>
    <row r="750" spans="5:9" ht="15.75" customHeight="1">
      <c r="E750" s="2"/>
      <c r="H750" s="29"/>
      <c r="I750" s="30"/>
    </row>
    <row r="751" spans="5:9" ht="15.75" customHeight="1">
      <c r="E751" s="2"/>
      <c r="H751" s="29"/>
      <c r="I751" s="30"/>
    </row>
    <row r="752" spans="5:9" ht="15.75" customHeight="1">
      <c r="E752" s="2"/>
      <c r="H752" s="29"/>
      <c r="I752" s="30"/>
    </row>
    <row r="753" spans="5:9" ht="15.75" customHeight="1">
      <c r="E753" s="2"/>
      <c r="H753" s="29"/>
      <c r="I753" s="30"/>
    </row>
    <row r="754" spans="5:9" ht="15.75" customHeight="1">
      <c r="E754" s="2"/>
      <c r="H754" s="29"/>
      <c r="I754" s="30"/>
    </row>
    <row r="755" spans="5:9" ht="15.75" customHeight="1">
      <c r="E755" s="2"/>
      <c r="H755" s="29"/>
      <c r="I755" s="30"/>
    </row>
    <row r="756" spans="5:9" ht="15.75" customHeight="1">
      <c r="E756" s="2"/>
      <c r="H756" s="29"/>
      <c r="I756" s="30"/>
    </row>
    <row r="757" spans="5:9" ht="15.75" customHeight="1">
      <c r="E757" s="2"/>
      <c r="H757" s="29"/>
      <c r="I757" s="30"/>
    </row>
    <row r="758" spans="5:9" ht="15.75" customHeight="1">
      <c r="E758" s="2"/>
      <c r="H758" s="29"/>
      <c r="I758" s="30"/>
    </row>
    <row r="759" spans="5:9" ht="15.75" customHeight="1">
      <c r="E759" s="2"/>
      <c r="H759" s="29"/>
      <c r="I759" s="30"/>
    </row>
    <row r="760" spans="5:9" ht="15.75" customHeight="1">
      <c r="E760" s="2"/>
      <c r="H760" s="29"/>
      <c r="I760" s="30"/>
    </row>
    <row r="761" spans="5:9" ht="15.75" customHeight="1">
      <c r="E761" s="2"/>
      <c r="H761" s="29"/>
      <c r="I761" s="30"/>
    </row>
    <row r="762" spans="5:9" ht="15.75" customHeight="1">
      <c r="E762" s="2"/>
      <c r="H762" s="29"/>
      <c r="I762" s="30"/>
    </row>
    <row r="763" spans="5:9" ht="15.75" customHeight="1">
      <c r="E763" s="2"/>
      <c r="H763" s="29"/>
      <c r="I763" s="30"/>
    </row>
    <row r="764" spans="5:9" ht="15.75" customHeight="1">
      <c r="E764" s="2"/>
      <c r="H764" s="29"/>
      <c r="I764" s="30"/>
    </row>
    <row r="765" spans="5:9" ht="15.75" customHeight="1">
      <c r="E765" s="2"/>
      <c r="H765" s="29"/>
      <c r="I765" s="30"/>
    </row>
    <row r="766" spans="5:9" ht="15.75" customHeight="1">
      <c r="E766" s="2"/>
      <c r="H766" s="29"/>
      <c r="I766" s="30"/>
    </row>
    <row r="767" spans="5:9" ht="15.75" customHeight="1">
      <c r="E767" s="2"/>
      <c r="H767" s="29"/>
      <c r="I767" s="30"/>
    </row>
    <row r="768" spans="5:9" ht="15.75" customHeight="1">
      <c r="E768" s="2"/>
      <c r="H768" s="29"/>
      <c r="I768" s="30"/>
    </row>
    <row r="769" spans="5:9" ht="15.75" customHeight="1">
      <c r="E769" s="2"/>
      <c r="H769" s="29"/>
      <c r="I769" s="30"/>
    </row>
    <row r="770" spans="5:9" ht="15.75" customHeight="1">
      <c r="E770" s="2"/>
      <c r="H770" s="29"/>
      <c r="I770" s="30"/>
    </row>
    <row r="771" spans="5:9" ht="15.75" customHeight="1">
      <c r="E771" s="2"/>
      <c r="H771" s="29"/>
      <c r="I771" s="30"/>
    </row>
    <row r="772" spans="5:9" ht="15.75" customHeight="1">
      <c r="E772" s="2"/>
      <c r="H772" s="29"/>
      <c r="I772" s="30"/>
    </row>
    <row r="773" spans="5:9" ht="15.75" customHeight="1">
      <c r="E773" s="2"/>
      <c r="H773" s="29"/>
      <c r="I773" s="30"/>
    </row>
    <row r="774" spans="5:9" ht="15.75" customHeight="1">
      <c r="E774" s="2"/>
      <c r="H774" s="29"/>
      <c r="I774" s="30"/>
    </row>
    <row r="775" spans="5:9" ht="15.75" customHeight="1">
      <c r="E775" s="2"/>
      <c r="H775" s="29"/>
      <c r="I775" s="30"/>
    </row>
    <row r="776" spans="5:9" ht="15.75" customHeight="1">
      <c r="E776" s="2"/>
      <c r="H776" s="29"/>
      <c r="I776" s="30"/>
    </row>
    <row r="777" spans="5:9" ht="15.75" customHeight="1">
      <c r="E777" s="2"/>
      <c r="H777" s="29"/>
      <c r="I777" s="30"/>
    </row>
    <row r="778" spans="5:9" ht="15.75" customHeight="1">
      <c r="E778" s="2"/>
      <c r="H778" s="29"/>
      <c r="I778" s="30"/>
    </row>
    <row r="779" spans="5:9" ht="15.75" customHeight="1">
      <c r="E779" s="2"/>
      <c r="H779" s="29"/>
      <c r="I779" s="30"/>
    </row>
    <row r="780" spans="5:9" ht="15.75" customHeight="1">
      <c r="E780" s="2"/>
      <c r="H780" s="29"/>
      <c r="I780" s="30"/>
    </row>
    <row r="781" spans="5:9" ht="15.75" customHeight="1">
      <c r="E781" s="2"/>
      <c r="H781" s="29"/>
      <c r="I781" s="30"/>
    </row>
    <row r="782" spans="5:9" ht="15.75" customHeight="1">
      <c r="E782" s="2"/>
      <c r="H782" s="29"/>
      <c r="I782" s="30"/>
    </row>
    <row r="783" spans="5:9" ht="15.75" customHeight="1">
      <c r="E783" s="2"/>
      <c r="H783" s="29"/>
      <c r="I783" s="30"/>
    </row>
    <row r="784" spans="5:9" ht="15.75" customHeight="1">
      <c r="E784" s="2"/>
      <c r="H784" s="29"/>
      <c r="I784" s="30"/>
    </row>
    <row r="785" spans="5:9" ht="15.75" customHeight="1">
      <c r="E785" s="2"/>
      <c r="H785" s="29"/>
      <c r="I785" s="30"/>
    </row>
    <row r="786" spans="5:9" ht="15.75" customHeight="1">
      <c r="E786" s="2"/>
      <c r="H786" s="29"/>
      <c r="I786" s="30"/>
    </row>
    <row r="787" spans="5:9" ht="15.75" customHeight="1">
      <c r="E787" s="2"/>
      <c r="H787" s="29"/>
      <c r="I787" s="30"/>
    </row>
    <row r="788" spans="5:9" ht="15.75" customHeight="1">
      <c r="E788" s="2"/>
      <c r="H788" s="29"/>
      <c r="I788" s="30"/>
    </row>
    <row r="789" spans="5:9" ht="15.75" customHeight="1">
      <c r="E789" s="2"/>
      <c r="H789" s="29"/>
      <c r="I789" s="30"/>
    </row>
    <row r="790" spans="5:9" ht="15.75" customHeight="1">
      <c r="E790" s="2"/>
      <c r="H790" s="29"/>
      <c r="I790" s="30"/>
    </row>
    <row r="791" spans="5:9" ht="15.75" customHeight="1">
      <c r="E791" s="2"/>
      <c r="H791" s="29"/>
      <c r="I791" s="30"/>
    </row>
    <row r="792" spans="5:9" ht="15.75" customHeight="1">
      <c r="E792" s="2"/>
      <c r="H792" s="29"/>
      <c r="I792" s="30"/>
    </row>
    <row r="793" spans="5:9" ht="15.75" customHeight="1">
      <c r="E793" s="2"/>
      <c r="H793" s="29"/>
      <c r="I793" s="30"/>
    </row>
    <row r="794" spans="5:9" ht="15.75" customHeight="1">
      <c r="E794" s="2"/>
      <c r="H794" s="29"/>
      <c r="I794" s="30"/>
    </row>
    <row r="795" spans="5:9" ht="15.75" customHeight="1">
      <c r="E795" s="2"/>
      <c r="H795" s="29"/>
      <c r="I795" s="30"/>
    </row>
    <row r="796" spans="5:9" ht="15.75" customHeight="1">
      <c r="E796" s="2"/>
      <c r="H796" s="29"/>
      <c r="I796" s="30"/>
    </row>
    <row r="797" spans="5:9" ht="15.75" customHeight="1">
      <c r="E797" s="2"/>
      <c r="H797" s="29"/>
      <c r="I797" s="30"/>
    </row>
    <row r="798" spans="5:9" ht="15.75" customHeight="1">
      <c r="E798" s="2"/>
      <c r="H798" s="29"/>
      <c r="I798" s="30"/>
    </row>
    <row r="799" spans="5:9" ht="15.75" customHeight="1">
      <c r="E799" s="2"/>
      <c r="H799" s="29"/>
      <c r="I799" s="30"/>
    </row>
    <row r="800" spans="5:9" ht="15.75" customHeight="1">
      <c r="E800" s="2"/>
      <c r="H800" s="29"/>
      <c r="I800" s="30"/>
    </row>
    <row r="801" spans="5:9" ht="15.75" customHeight="1">
      <c r="E801" s="2"/>
      <c r="H801" s="29"/>
      <c r="I801" s="30"/>
    </row>
    <row r="802" spans="5:9" ht="15.75" customHeight="1">
      <c r="E802" s="2"/>
      <c r="H802" s="29"/>
      <c r="I802" s="30"/>
    </row>
    <row r="803" spans="5:9" ht="15.75" customHeight="1">
      <c r="E803" s="2"/>
      <c r="H803" s="29"/>
      <c r="I803" s="30"/>
    </row>
    <row r="804" spans="5:9" ht="15.75" customHeight="1">
      <c r="E804" s="2"/>
      <c r="H804" s="29"/>
      <c r="I804" s="30"/>
    </row>
    <row r="805" spans="5:9" ht="15.75" customHeight="1">
      <c r="E805" s="2"/>
      <c r="H805" s="29"/>
      <c r="I805" s="30"/>
    </row>
    <row r="806" spans="5:9" ht="15.75" customHeight="1">
      <c r="E806" s="2"/>
      <c r="H806" s="29"/>
      <c r="I806" s="30"/>
    </row>
    <row r="807" spans="5:9" ht="15.75" customHeight="1">
      <c r="E807" s="2"/>
      <c r="H807" s="29"/>
      <c r="I807" s="30"/>
    </row>
    <row r="808" spans="5:9" ht="15.75" customHeight="1">
      <c r="E808" s="2"/>
      <c r="H808" s="29"/>
      <c r="I808" s="30"/>
    </row>
    <row r="809" spans="5:9" ht="15.75" customHeight="1">
      <c r="E809" s="2"/>
      <c r="H809" s="29"/>
      <c r="I809" s="30"/>
    </row>
    <row r="810" spans="5:9" ht="15.75" customHeight="1">
      <c r="E810" s="2"/>
      <c r="H810" s="29"/>
      <c r="I810" s="30"/>
    </row>
    <row r="811" spans="5:9" ht="15.75" customHeight="1">
      <c r="E811" s="2"/>
      <c r="H811" s="29"/>
      <c r="I811" s="30"/>
    </row>
    <row r="812" spans="5:9" ht="15.75" customHeight="1">
      <c r="E812" s="2"/>
      <c r="H812" s="29"/>
      <c r="I812" s="30"/>
    </row>
    <row r="813" spans="5:9" ht="15.75" customHeight="1">
      <c r="E813" s="2"/>
      <c r="H813" s="29"/>
      <c r="I813" s="30"/>
    </row>
    <row r="814" spans="5:9" ht="15.75" customHeight="1">
      <c r="E814" s="2"/>
      <c r="H814" s="29"/>
      <c r="I814" s="30"/>
    </row>
    <row r="815" spans="5:9" ht="15.75" customHeight="1">
      <c r="E815" s="2"/>
      <c r="H815" s="29"/>
      <c r="I815" s="30"/>
    </row>
    <row r="816" spans="5:9" ht="15.75" customHeight="1">
      <c r="E816" s="2"/>
      <c r="H816" s="29"/>
      <c r="I816" s="30"/>
    </row>
    <row r="817" spans="5:9" ht="15.75" customHeight="1">
      <c r="E817" s="2"/>
      <c r="H817" s="29"/>
      <c r="I817" s="30"/>
    </row>
    <row r="818" spans="5:9" ht="15.75" customHeight="1">
      <c r="E818" s="2"/>
      <c r="H818" s="29"/>
      <c r="I818" s="30"/>
    </row>
    <row r="819" spans="5:9" ht="15.75" customHeight="1">
      <c r="E819" s="2"/>
      <c r="H819" s="29"/>
      <c r="I819" s="30"/>
    </row>
    <row r="820" spans="5:9" ht="15.75" customHeight="1">
      <c r="E820" s="2"/>
      <c r="H820" s="29"/>
      <c r="I820" s="30"/>
    </row>
    <row r="821" spans="5:9" ht="15.75" customHeight="1">
      <c r="E821" s="2"/>
      <c r="H821" s="29"/>
      <c r="I821" s="30"/>
    </row>
    <row r="822" spans="5:9" ht="15.75" customHeight="1">
      <c r="E822" s="2"/>
      <c r="H822" s="29"/>
      <c r="I822" s="30"/>
    </row>
    <row r="823" spans="5:9" ht="15.75" customHeight="1">
      <c r="E823" s="2"/>
      <c r="H823" s="29"/>
      <c r="I823" s="30"/>
    </row>
    <row r="824" spans="5:9" ht="15.75" customHeight="1">
      <c r="E824" s="2"/>
      <c r="H824" s="29"/>
      <c r="I824" s="30"/>
    </row>
    <row r="825" spans="5:9" ht="15.75" customHeight="1">
      <c r="E825" s="2"/>
      <c r="H825" s="29"/>
      <c r="I825" s="30"/>
    </row>
    <row r="826" spans="5:9" ht="15.75" customHeight="1">
      <c r="E826" s="2"/>
      <c r="H826" s="29"/>
      <c r="I826" s="30"/>
    </row>
    <row r="827" spans="5:9" ht="15.75" customHeight="1">
      <c r="E827" s="2"/>
      <c r="H827" s="29"/>
      <c r="I827" s="30"/>
    </row>
    <row r="828" spans="5:9" ht="15.75" customHeight="1">
      <c r="E828" s="2"/>
      <c r="H828" s="29"/>
      <c r="I828" s="30"/>
    </row>
    <row r="829" spans="5:9" ht="15.75" customHeight="1">
      <c r="E829" s="2"/>
      <c r="H829" s="29"/>
      <c r="I829" s="30"/>
    </row>
    <row r="830" spans="5:9" ht="15.75" customHeight="1">
      <c r="E830" s="2"/>
      <c r="H830" s="29"/>
      <c r="I830" s="30"/>
    </row>
    <row r="831" spans="5:9" ht="15.75" customHeight="1">
      <c r="E831" s="2"/>
      <c r="H831" s="29"/>
      <c r="I831" s="30"/>
    </row>
    <row r="832" spans="5:9" ht="15.75" customHeight="1">
      <c r="E832" s="2"/>
      <c r="H832" s="29"/>
      <c r="I832" s="30"/>
    </row>
    <row r="833" spans="5:9" ht="15.75" customHeight="1">
      <c r="E833" s="2"/>
      <c r="H833" s="29"/>
      <c r="I833" s="30"/>
    </row>
    <row r="834" spans="5:9" ht="15.75" customHeight="1">
      <c r="E834" s="2"/>
      <c r="H834" s="29"/>
      <c r="I834" s="30"/>
    </row>
    <row r="835" spans="5:9" ht="15.75" customHeight="1">
      <c r="E835" s="2"/>
      <c r="H835" s="29"/>
      <c r="I835" s="30"/>
    </row>
    <row r="836" spans="5:9" ht="15.75" customHeight="1">
      <c r="E836" s="2"/>
      <c r="H836" s="29"/>
      <c r="I836" s="30"/>
    </row>
    <row r="837" spans="5:9" ht="15.75" customHeight="1">
      <c r="E837" s="2"/>
      <c r="H837" s="29"/>
      <c r="I837" s="30"/>
    </row>
    <row r="838" spans="5:9" ht="15.75" customHeight="1">
      <c r="E838" s="2"/>
      <c r="H838" s="29"/>
      <c r="I838" s="30"/>
    </row>
    <row r="839" spans="5:9" ht="15.75" customHeight="1">
      <c r="E839" s="2"/>
      <c r="H839" s="29"/>
      <c r="I839" s="30"/>
    </row>
    <row r="840" spans="5:9" ht="15.75" customHeight="1">
      <c r="E840" s="2"/>
      <c r="H840" s="29"/>
      <c r="I840" s="30"/>
    </row>
    <row r="841" spans="5:9" ht="15.75" customHeight="1">
      <c r="E841" s="2"/>
      <c r="H841" s="29"/>
      <c r="I841" s="30"/>
    </row>
    <row r="842" spans="5:9" ht="15.75" customHeight="1">
      <c r="E842" s="2"/>
      <c r="H842" s="29"/>
      <c r="I842" s="30"/>
    </row>
    <row r="843" spans="5:9" ht="15.75" customHeight="1">
      <c r="E843" s="2"/>
      <c r="H843" s="29"/>
      <c r="I843" s="30"/>
    </row>
    <row r="844" spans="5:9" ht="15.75" customHeight="1">
      <c r="E844" s="2"/>
      <c r="H844" s="29"/>
      <c r="I844" s="30"/>
    </row>
    <row r="845" spans="5:9" ht="15.75" customHeight="1">
      <c r="E845" s="2"/>
      <c r="H845" s="29"/>
      <c r="I845" s="30"/>
    </row>
    <row r="846" spans="5:9" ht="15.75" customHeight="1">
      <c r="E846" s="2"/>
      <c r="H846" s="29"/>
      <c r="I846" s="30"/>
    </row>
    <row r="847" spans="5:9" ht="15.75" customHeight="1">
      <c r="E847" s="2"/>
      <c r="H847" s="29"/>
      <c r="I847" s="30"/>
    </row>
    <row r="848" spans="5:9" ht="15.75" customHeight="1">
      <c r="E848" s="2"/>
      <c r="H848" s="29"/>
      <c r="I848" s="30"/>
    </row>
    <row r="849" spans="5:9" ht="15.75" customHeight="1">
      <c r="E849" s="2"/>
      <c r="H849" s="29"/>
      <c r="I849" s="30"/>
    </row>
    <row r="850" spans="5:9" ht="15.75" customHeight="1">
      <c r="E850" s="2"/>
      <c r="H850" s="29"/>
      <c r="I850" s="30"/>
    </row>
    <row r="851" spans="5:9" ht="15.75" customHeight="1">
      <c r="E851" s="2"/>
      <c r="H851" s="29"/>
      <c r="I851" s="30"/>
    </row>
    <row r="852" spans="5:9" ht="15.75" customHeight="1">
      <c r="E852" s="2"/>
      <c r="H852" s="29"/>
      <c r="I852" s="30"/>
    </row>
    <row r="853" spans="5:9" ht="15.75" customHeight="1">
      <c r="E853" s="2"/>
      <c r="H853" s="29"/>
      <c r="I853" s="30"/>
    </row>
    <row r="854" spans="5:9" ht="15.75" customHeight="1">
      <c r="E854" s="2"/>
      <c r="H854" s="29"/>
      <c r="I854" s="30"/>
    </row>
    <row r="855" spans="5:9" ht="15.75" customHeight="1">
      <c r="E855" s="2"/>
      <c r="H855" s="29"/>
      <c r="I855" s="30"/>
    </row>
    <row r="856" spans="5:9" ht="15.75" customHeight="1">
      <c r="E856" s="2"/>
      <c r="H856" s="29"/>
      <c r="I856" s="30"/>
    </row>
    <row r="857" spans="5:9" ht="15.75" customHeight="1">
      <c r="E857" s="2"/>
      <c r="H857" s="29"/>
      <c r="I857" s="30"/>
    </row>
    <row r="858" spans="5:9" ht="15.75" customHeight="1">
      <c r="E858" s="2"/>
      <c r="H858" s="29"/>
      <c r="I858" s="30"/>
    </row>
    <row r="859" spans="5:9" ht="15.75" customHeight="1">
      <c r="E859" s="2"/>
      <c r="H859" s="29"/>
      <c r="I859" s="30"/>
    </row>
    <row r="860" spans="5:9" ht="15.75" customHeight="1">
      <c r="E860" s="2"/>
      <c r="H860" s="29"/>
      <c r="I860" s="30"/>
    </row>
    <row r="861" spans="5:9" ht="15.75" customHeight="1">
      <c r="E861" s="2"/>
      <c r="H861" s="29"/>
      <c r="I861" s="30"/>
    </row>
    <row r="862" spans="5:9" ht="15.75" customHeight="1">
      <c r="E862" s="2"/>
      <c r="H862" s="29"/>
      <c r="I862" s="30"/>
    </row>
    <row r="863" spans="5:9" ht="15.75" customHeight="1">
      <c r="E863" s="2"/>
      <c r="H863" s="29"/>
      <c r="I863" s="30"/>
    </row>
    <row r="864" spans="5:9" ht="15.75" customHeight="1">
      <c r="E864" s="2"/>
      <c r="H864" s="29"/>
      <c r="I864" s="30"/>
    </row>
    <row r="865" spans="5:9" ht="15.75" customHeight="1">
      <c r="E865" s="2"/>
      <c r="H865" s="29"/>
      <c r="I865" s="30"/>
    </row>
    <row r="866" spans="5:9" ht="15.75" customHeight="1">
      <c r="E866" s="2"/>
      <c r="H866" s="29"/>
      <c r="I866" s="30"/>
    </row>
    <row r="867" spans="5:9" ht="15.75" customHeight="1">
      <c r="E867" s="2"/>
      <c r="H867" s="29"/>
      <c r="I867" s="30"/>
    </row>
    <row r="868" spans="5:9" ht="15.75" customHeight="1">
      <c r="E868" s="2"/>
      <c r="H868" s="29"/>
      <c r="I868" s="30"/>
    </row>
    <row r="869" spans="5:9" ht="15.75" customHeight="1">
      <c r="E869" s="2"/>
      <c r="H869" s="29"/>
      <c r="I869" s="30"/>
    </row>
    <row r="870" spans="5:9" ht="15.75" customHeight="1">
      <c r="E870" s="2"/>
      <c r="H870" s="29"/>
      <c r="I870" s="30"/>
    </row>
    <row r="871" spans="5:9" ht="15.75" customHeight="1">
      <c r="E871" s="2"/>
      <c r="H871" s="29"/>
      <c r="I871" s="30"/>
    </row>
    <row r="872" spans="5:9" ht="15.75" customHeight="1">
      <c r="E872" s="2"/>
      <c r="H872" s="29"/>
      <c r="I872" s="30"/>
    </row>
    <row r="873" spans="5:9" ht="15.75" customHeight="1">
      <c r="E873" s="2"/>
      <c r="H873" s="29"/>
      <c r="I873" s="30"/>
    </row>
    <row r="874" spans="5:9" ht="15.75" customHeight="1">
      <c r="E874" s="2"/>
      <c r="H874" s="29"/>
      <c r="I874" s="30"/>
    </row>
    <row r="875" spans="5:9" ht="15.75" customHeight="1">
      <c r="E875" s="2"/>
      <c r="H875" s="29"/>
      <c r="I875" s="30"/>
    </row>
    <row r="876" spans="5:9" ht="15.75" customHeight="1">
      <c r="E876" s="2"/>
      <c r="H876" s="29"/>
      <c r="I876" s="30"/>
    </row>
    <row r="877" spans="5:9" ht="15.75" customHeight="1">
      <c r="E877" s="2"/>
      <c r="H877" s="29"/>
      <c r="I877" s="30"/>
    </row>
    <row r="878" spans="5:9" ht="15.75" customHeight="1">
      <c r="E878" s="2"/>
      <c r="H878" s="29"/>
      <c r="I878" s="30"/>
    </row>
    <row r="879" spans="5:9" ht="15.75" customHeight="1">
      <c r="E879" s="2"/>
      <c r="H879" s="29"/>
      <c r="I879" s="30"/>
    </row>
    <row r="880" spans="5:9" ht="15.75" customHeight="1">
      <c r="E880" s="2"/>
      <c r="H880" s="29"/>
      <c r="I880" s="30"/>
    </row>
    <row r="881" spans="5:9" ht="15.75" customHeight="1">
      <c r="E881" s="2"/>
      <c r="H881" s="29"/>
      <c r="I881" s="30"/>
    </row>
    <row r="882" spans="5:9" ht="15.75" customHeight="1">
      <c r="E882" s="2"/>
      <c r="H882" s="29"/>
      <c r="I882" s="30"/>
    </row>
    <row r="883" spans="5:9" ht="15.75" customHeight="1">
      <c r="E883" s="2"/>
      <c r="H883" s="29"/>
      <c r="I883" s="30"/>
    </row>
    <row r="884" spans="5:9" ht="15.75" customHeight="1">
      <c r="E884" s="2"/>
      <c r="H884" s="29"/>
      <c r="I884" s="30"/>
    </row>
    <row r="885" spans="5:9" ht="15.75" customHeight="1">
      <c r="E885" s="2"/>
      <c r="H885" s="29"/>
      <c r="I885" s="30"/>
    </row>
    <row r="886" spans="5:9" ht="15.75" customHeight="1">
      <c r="E886" s="2"/>
      <c r="H886" s="29"/>
      <c r="I886" s="30"/>
    </row>
    <row r="887" spans="5:9" ht="15.75" customHeight="1">
      <c r="E887" s="2"/>
      <c r="H887" s="29"/>
      <c r="I887" s="30"/>
    </row>
    <row r="888" spans="5:9" ht="15.75" customHeight="1">
      <c r="E888" s="2"/>
      <c r="H888" s="29"/>
      <c r="I888" s="30"/>
    </row>
    <row r="889" spans="5:9" ht="15.75" customHeight="1">
      <c r="E889" s="2"/>
      <c r="H889" s="29"/>
      <c r="I889" s="30"/>
    </row>
    <row r="890" spans="5:9" ht="15.75" customHeight="1">
      <c r="E890" s="2"/>
      <c r="H890" s="29"/>
      <c r="I890" s="30"/>
    </row>
    <row r="891" spans="5:9" ht="15.75" customHeight="1">
      <c r="E891" s="2"/>
      <c r="H891" s="29"/>
      <c r="I891" s="30"/>
    </row>
    <row r="892" spans="5:9" ht="15.75" customHeight="1">
      <c r="E892" s="2"/>
      <c r="H892" s="29"/>
      <c r="I892" s="30"/>
    </row>
    <row r="893" spans="5:9" ht="15.75" customHeight="1">
      <c r="E893" s="2"/>
      <c r="H893" s="29"/>
      <c r="I893" s="30"/>
    </row>
    <row r="894" spans="5:9" ht="15.75" customHeight="1">
      <c r="E894" s="2"/>
      <c r="H894" s="29"/>
      <c r="I894" s="30"/>
    </row>
    <row r="895" spans="5:9" ht="15.75" customHeight="1">
      <c r="E895" s="2"/>
      <c r="H895" s="29"/>
      <c r="I895" s="30"/>
    </row>
    <row r="896" spans="5:9" ht="15.75" customHeight="1">
      <c r="E896" s="2"/>
      <c r="H896" s="29"/>
      <c r="I896" s="30"/>
    </row>
    <row r="897" spans="5:9" ht="15.75" customHeight="1">
      <c r="E897" s="2"/>
      <c r="H897" s="29"/>
      <c r="I897" s="30"/>
    </row>
    <row r="898" spans="5:9" ht="15.75" customHeight="1">
      <c r="E898" s="2"/>
      <c r="H898" s="29"/>
      <c r="I898" s="30"/>
    </row>
    <row r="899" spans="5:9" ht="15.75" customHeight="1">
      <c r="E899" s="2"/>
      <c r="H899" s="29"/>
      <c r="I899" s="30"/>
    </row>
    <row r="900" spans="5:9" ht="15.75" customHeight="1">
      <c r="E900" s="2"/>
      <c r="H900" s="29"/>
      <c r="I900" s="30"/>
    </row>
    <row r="901" spans="5:9" ht="15.75" customHeight="1">
      <c r="E901" s="2"/>
      <c r="H901" s="29"/>
      <c r="I901" s="30"/>
    </row>
    <row r="902" spans="5:9" ht="15.75" customHeight="1">
      <c r="E902" s="2"/>
      <c r="H902" s="29"/>
      <c r="I902" s="30"/>
    </row>
    <row r="903" spans="5:9" ht="15.75" customHeight="1">
      <c r="E903" s="2"/>
      <c r="H903" s="29"/>
      <c r="I903" s="30"/>
    </row>
    <row r="904" spans="5:9" ht="15.75" customHeight="1">
      <c r="E904" s="2"/>
      <c r="H904" s="29"/>
      <c r="I904" s="30"/>
    </row>
    <row r="905" spans="5:9" ht="15.75" customHeight="1">
      <c r="E905" s="2"/>
      <c r="H905" s="29"/>
      <c r="I905" s="30"/>
    </row>
    <row r="906" spans="5:9" ht="15.75" customHeight="1">
      <c r="E906" s="2"/>
      <c r="H906" s="29"/>
      <c r="I906" s="30"/>
    </row>
    <row r="907" spans="5:9" ht="15.75" customHeight="1">
      <c r="E907" s="2"/>
      <c r="H907" s="29"/>
      <c r="I907" s="30"/>
    </row>
    <row r="908" spans="5:9" ht="15.75" customHeight="1">
      <c r="E908" s="2"/>
      <c r="H908" s="29"/>
      <c r="I908" s="30"/>
    </row>
    <row r="909" spans="5:9" ht="15.75" customHeight="1">
      <c r="E909" s="2"/>
      <c r="H909" s="29"/>
      <c r="I909" s="30"/>
    </row>
    <row r="910" spans="5:9" ht="15.75" customHeight="1">
      <c r="E910" s="2"/>
      <c r="H910" s="29"/>
      <c r="I910" s="30"/>
    </row>
    <row r="911" spans="5:9" ht="15.75" customHeight="1">
      <c r="E911" s="2"/>
      <c r="H911" s="29"/>
      <c r="I911" s="30"/>
    </row>
    <row r="912" spans="5:9" ht="15.75" customHeight="1">
      <c r="E912" s="2"/>
      <c r="H912" s="29"/>
      <c r="I912" s="30"/>
    </row>
    <row r="913" spans="5:9" ht="15.75" customHeight="1">
      <c r="E913" s="2"/>
      <c r="H913" s="29"/>
      <c r="I913" s="30"/>
    </row>
    <row r="914" spans="5:9" ht="15.75" customHeight="1">
      <c r="E914" s="2"/>
      <c r="H914" s="29"/>
      <c r="I914" s="30"/>
    </row>
    <row r="915" spans="5:9" ht="15.75" customHeight="1">
      <c r="E915" s="2"/>
      <c r="H915" s="29"/>
      <c r="I915" s="30"/>
    </row>
    <row r="916" spans="5:9" ht="15.75" customHeight="1">
      <c r="E916" s="2"/>
      <c r="H916" s="29"/>
      <c r="I916" s="30"/>
    </row>
    <row r="917" spans="5:9" ht="15.75" customHeight="1">
      <c r="E917" s="2"/>
      <c r="H917" s="29"/>
      <c r="I917" s="30"/>
    </row>
    <row r="918" spans="5:9" ht="15.75" customHeight="1">
      <c r="E918" s="2"/>
      <c r="H918" s="29"/>
      <c r="I918" s="30"/>
    </row>
    <row r="919" spans="5:9" ht="15.75" customHeight="1">
      <c r="E919" s="2"/>
      <c r="H919" s="29"/>
      <c r="I919" s="30"/>
    </row>
    <row r="920" spans="5:9" ht="15.75" customHeight="1">
      <c r="E920" s="2"/>
      <c r="H920" s="29"/>
      <c r="I920" s="30"/>
    </row>
    <row r="921" spans="5:9" ht="15.75" customHeight="1">
      <c r="E921" s="2"/>
      <c r="H921" s="29"/>
      <c r="I921" s="30"/>
    </row>
    <row r="922" spans="5:9" ht="15.75" customHeight="1">
      <c r="E922" s="2"/>
      <c r="H922" s="29"/>
      <c r="I922" s="30"/>
    </row>
    <row r="923" spans="5:9" ht="15.75" customHeight="1">
      <c r="E923" s="2"/>
      <c r="H923" s="29"/>
      <c r="I923" s="30"/>
    </row>
    <row r="924" spans="5:9" ht="15.75" customHeight="1">
      <c r="E924" s="2"/>
      <c r="H924" s="29"/>
      <c r="I924" s="30"/>
    </row>
    <row r="925" spans="5:9" ht="15.75" customHeight="1">
      <c r="E925" s="2"/>
      <c r="H925" s="29"/>
      <c r="I925" s="30"/>
    </row>
    <row r="926" spans="5:9" ht="15.75" customHeight="1">
      <c r="E926" s="2"/>
      <c r="H926" s="29"/>
      <c r="I926" s="30"/>
    </row>
    <row r="927" spans="5:9" ht="15.75" customHeight="1">
      <c r="E927" s="2"/>
      <c r="H927" s="29"/>
      <c r="I927" s="30"/>
    </row>
    <row r="928" spans="5:9" ht="15.75" customHeight="1">
      <c r="E928" s="2"/>
      <c r="H928" s="29"/>
      <c r="I928" s="30"/>
    </row>
    <row r="929" spans="5:9" ht="15.75" customHeight="1">
      <c r="E929" s="2"/>
      <c r="H929" s="29"/>
      <c r="I929" s="30"/>
    </row>
    <row r="930" spans="5:9" ht="15.75" customHeight="1">
      <c r="E930" s="2"/>
      <c r="H930" s="29"/>
      <c r="I930" s="30"/>
    </row>
    <row r="931" spans="5:9" ht="15.75" customHeight="1">
      <c r="E931" s="2"/>
      <c r="H931" s="29"/>
      <c r="I931" s="30"/>
    </row>
    <row r="932" spans="5:9" ht="15.75" customHeight="1">
      <c r="E932" s="2"/>
      <c r="H932" s="29"/>
      <c r="I932" s="30"/>
    </row>
    <row r="933" spans="5:9" ht="15.75" customHeight="1">
      <c r="E933" s="2"/>
      <c r="H933" s="29"/>
      <c r="I933" s="30"/>
    </row>
    <row r="934" spans="5:9" ht="15.75" customHeight="1">
      <c r="E934" s="2"/>
      <c r="H934" s="29"/>
      <c r="I934" s="30"/>
    </row>
    <row r="935" spans="5:9" ht="15.75" customHeight="1">
      <c r="E935" s="2"/>
      <c r="H935" s="29"/>
      <c r="I935" s="30"/>
    </row>
    <row r="936" spans="5:9" ht="15.75" customHeight="1">
      <c r="E936" s="2"/>
      <c r="H936" s="29"/>
      <c r="I936" s="30"/>
    </row>
    <row r="937" spans="5:9" ht="15.75" customHeight="1">
      <c r="E937" s="2"/>
      <c r="H937" s="29"/>
      <c r="I937" s="30"/>
    </row>
    <row r="938" spans="5:9" ht="15.75" customHeight="1">
      <c r="E938" s="2"/>
      <c r="H938" s="29"/>
      <c r="I938" s="30"/>
    </row>
    <row r="939" spans="5:9" ht="15.75" customHeight="1">
      <c r="E939" s="2"/>
      <c r="H939" s="29"/>
      <c r="I939" s="30"/>
    </row>
    <row r="940" spans="5:9" ht="15.75" customHeight="1">
      <c r="E940" s="2"/>
      <c r="H940" s="29"/>
      <c r="I940" s="30"/>
    </row>
    <row r="941" spans="5:9" ht="15.75" customHeight="1">
      <c r="E941" s="2"/>
      <c r="H941" s="29"/>
      <c r="I941" s="30"/>
    </row>
    <row r="942" spans="5:9" ht="15.75" customHeight="1">
      <c r="E942" s="2"/>
      <c r="H942" s="29"/>
      <c r="I942" s="30"/>
    </row>
    <row r="943" spans="5:9" ht="15.75" customHeight="1">
      <c r="E943" s="2"/>
      <c r="H943" s="29"/>
      <c r="I943" s="30"/>
    </row>
    <row r="944" spans="5:9" ht="15.75" customHeight="1">
      <c r="E944" s="2"/>
      <c r="H944" s="29"/>
      <c r="I944" s="30"/>
    </row>
    <row r="945" spans="5:9" ht="15.75" customHeight="1">
      <c r="E945" s="2"/>
      <c r="H945" s="29"/>
      <c r="I945" s="30"/>
    </row>
    <row r="946" spans="5:9" ht="15.75" customHeight="1">
      <c r="E946" s="2"/>
      <c r="H946" s="29"/>
      <c r="I946" s="30"/>
    </row>
    <row r="947" spans="5:9" ht="15.75" customHeight="1">
      <c r="E947" s="2"/>
      <c r="H947" s="29"/>
      <c r="I947" s="30"/>
    </row>
    <row r="948" spans="5:9" ht="15.75" customHeight="1">
      <c r="E948" s="2"/>
      <c r="H948" s="29"/>
      <c r="I948" s="30"/>
    </row>
    <row r="949" spans="5:9" ht="15.75" customHeight="1">
      <c r="E949" s="2"/>
      <c r="H949" s="29"/>
      <c r="I949" s="30"/>
    </row>
    <row r="950" spans="5:9" ht="15.75" customHeight="1">
      <c r="E950" s="2"/>
      <c r="H950" s="29"/>
      <c r="I950" s="30"/>
    </row>
    <row r="951" spans="5:9" ht="15.75" customHeight="1">
      <c r="E951" s="2"/>
      <c r="H951" s="29"/>
      <c r="I951" s="30"/>
    </row>
    <row r="952" spans="5:9" ht="15.75" customHeight="1">
      <c r="E952" s="2"/>
      <c r="H952" s="29"/>
      <c r="I952" s="30"/>
    </row>
    <row r="953" spans="5:9" ht="15.75" customHeight="1">
      <c r="E953" s="2"/>
      <c r="H953" s="29"/>
      <c r="I953" s="30"/>
    </row>
    <row r="954" spans="5:9" ht="15.75" customHeight="1">
      <c r="E954" s="2"/>
      <c r="H954" s="29"/>
      <c r="I954" s="30"/>
    </row>
    <row r="955" spans="5:9" ht="15.75" customHeight="1">
      <c r="E955" s="2"/>
      <c r="H955" s="29"/>
      <c r="I955" s="30"/>
    </row>
    <row r="956" spans="5:9" ht="15.75" customHeight="1">
      <c r="E956" s="2"/>
      <c r="H956" s="29"/>
      <c r="I956" s="30"/>
    </row>
    <row r="957" spans="5:9" ht="15.75" customHeight="1">
      <c r="E957" s="2"/>
      <c r="H957" s="29"/>
      <c r="I957" s="30"/>
    </row>
    <row r="958" spans="5:9" ht="15.75" customHeight="1">
      <c r="E958" s="2"/>
      <c r="H958" s="29"/>
      <c r="I958" s="30"/>
    </row>
    <row r="959" spans="5:9" ht="15.75" customHeight="1">
      <c r="E959" s="2"/>
      <c r="H959" s="29"/>
      <c r="I959" s="30"/>
    </row>
    <row r="960" spans="5:9" ht="15.75" customHeight="1">
      <c r="E960" s="2"/>
      <c r="H960" s="29"/>
      <c r="I960" s="30"/>
    </row>
    <row r="961" spans="5:9" ht="15.75" customHeight="1">
      <c r="E961" s="2"/>
      <c r="H961" s="29"/>
      <c r="I961" s="30"/>
    </row>
    <row r="962" spans="5:9" ht="15.75" customHeight="1">
      <c r="E962" s="2"/>
      <c r="H962" s="29"/>
      <c r="I962" s="30"/>
    </row>
    <row r="963" spans="5:9" ht="15.75" customHeight="1">
      <c r="E963" s="2"/>
      <c r="H963" s="29"/>
      <c r="I963" s="30"/>
    </row>
    <row r="964" spans="5:9" ht="15.75" customHeight="1">
      <c r="E964" s="2"/>
      <c r="H964" s="29"/>
      <c r="I964" s="30"/>
    </row>
    <row r="965" spans="5:9" ht="15.75" customHeight="1">
      <c r="E965" s="2"/>
      <c r="H965" s="29"/>
      <c r="I965" s="30"/>
    </row>
    <row r="966" spans="5:9" ht="15.75" customHeight="1">
      <c r="E966" s="2"/>
      <c r="H966" s="29"/>
      <c r="I966" s="30"/>
    </row>
    <row r="967" spans="5:9" ht="15.75" customHeight="1">
      <c r="E967" s="2"/>
      <c r="H967" s="29"/>
      <c r="I967" s="30"/>
    </row>
    <row r="968" spans="5:9" ht="15.75" customHeight="1">
      <c r="E968" s="2"/>
      <c r="H968" s="29"/>
      <c r="I968" s="30"/>
    </row>
    <row r="969" spans="5:9" ht="15.75" customHeight="1">
      <c r="E969" s="2"/>
      <c r="H969" s="29"/>
      <c r="I969" s="30"/>
    </row>
    <row r="970" spans="5:9" ht="15.75" customHeight="1">
      <c r="E970" s="2"/>
      <c r="H970" s="29"/>
      <c r="I970" s="30"/>
    </row>
    <row r="971" spans="5:9" ht="15.75" customHeight="1">
      <c r="E971" s="2"/>
      <c r="H971" s="29"/>
      <c r="I971" s="30"/>
    </row>
    <row r="972" spans="5:9" ht="15.75" customHeight="1">
      <c r="E972" s="2"/>
      <c r="H972" s="29"/>
      <c r="I972" s="30"/>
    </row>
    <row r="973" spans="5:9" ht="15.75" customHeight="1">
      <c r="E973" s="2"/>
      <c r="H973" s="29"/>
      <c r="I973" s="30"/>
    </row>
    <row r="974" spans="5:9" ht="15.75" customHeight="1">
      <c r="E974" s="2"/>
      <c r="H974" s="29"/>
      <c r="I974" s="30"/>
    </row>
    <row r="975" spans="5:9" ht="15.75" customHeight="1">
      <c r="E975" s="2"/>
      <c r="H975" s="29"/>
      <c r="I975" s="30"/>
    </row>
    <row r="976" spans="5:9" ht="15.75" customHeight="1">
      <c r="E976" s="2"/>
      <c r="H976" s="29"/>
      <c r="I976" s="30"/>
    </row>
    <row r="977" spans="5:9" ht="15.75" customHeight="1">
      <c r="E977" s="2"/>
      <c r="H977" s="29"/>
      <c r="I977" s="30"/>
    </row>
    <row r="978" spans="5:9" ht="15.75" customHeight="1">
      <c r="E978" s="2"/>
      <c r="H978" s="29"/>
      <c r="I978" s="30"/>
    </row>
    <row r="979" spans="5:9" ht="15.75" customHeight="1">
      <c r="E979" s="2"/>
      <c r="H979" s="29"/>
      <c r="I979" s="30"/>
    </row>
    <row r="980" spans="5:9" ht="15.75" customHeight="1">
      <c r="E980" s="2"/>
      <c r="H980" s="29"/>
      <c r="I980" s="30"/>
    </row>
    <row r="981" spans="5:9" ht="15.75" customHeight="1">
      <c r="E981" s="2"/>
      <c r="H981" s="29"/>
      <c r="I981" s="30"/>
    </row>
    <row r="982" spans="5:9" ht="15.75" customHeight="1">
      <c r="E982" s="2"/>
      <c r="H982" s="29"/>
      <c r="I982" s="30"/>
    </row>
    <row r="983" spans="5:9" ht="15.75" customHeight="1">
      <c r="E983" s="2"/>
      <c r="H983" s="29"/>
      <c r="I983" s="30"/>
    </row>
    <row r="984" spans="5:9" ht="15.75" customHeight="1">
      <c r="E984" s="2"/>
      <c r="H984" s="29"/>
      <c r="I984" s="30"/>
    </row>
    <row r="985" spans="5:9" ht="15.75" customHeight="1">
      <c r="E985" s="2"/>
      <c r="H985" s="29"/>
      <c r="I985" s="30"/>
    </row>
    <row r="986" spans="5:9" ht="15.75" customHeight="1">
      <c r="E986" s="2"/>
      <c r="H986" s="29"/>
      <c r="I986" s="30"/>
    </row>
    <row r="987" spans="5:9" ht="15.75" customHeight="1">
      <c r="E987" s="2"/>
      <c r="H987" s="29"/>
      <c r="I987" s="30"/>
    </row>
    <row r="988" spans="5:9" ht="15.75" customHeight="1">
      <c r="E988" s="2"/>
      <c r="H988" s="29"/>
      <c r="I988" s="30"/>
    </row>
    <row r="989" spans="5:9" ht="15.75" customHeight="1">
      <c r="E989" s="2"/>
      <c r="H989" s="29"/>
      <c r="I989" s="30"/>
    </row>
    <row r="990" spans="5:9" ht="15.75" customHeight="1">
      <c r="E990" s="2"/>
      <c r="H990" s="29"/>
      <c r="I990" s="30"/>
    </row>
    <row r="991" spans="5:9" ht="15.75" customHeight="1">
      <c r="E991" s="2"/>
      <c r="H991" s="29"/>
      <c r="I991" s="30"/>
    </row>
    <row r="992" spans="5:9" ht="15.75" customHeight="1">
      <c r="E992" s="2"/>
      <c r="H992" s="29"/>
      <c r="I992" s="30"/>
    </row>
    <row r="993" spans="5:9" ht="15.75" customHeight="1">
      <c r="E993" s="2"/>
      <c r="H993" s="29"/>
      <c r="I993" s="30"/>
    </row>
  </sheetData>
  <dataValidations count="1">
    <dataValidation type="list" allowBlank="1" showErrorMessage="1" sqref="W3:W8" xr:uid="{807354C7-FBF0-446E-AC13-1CFCF62B82CB}">
      <formula1>"Open,Inprogress,Closed"</formula1>
    </dataValidation>
  </dataValidations>
  <hyperlinks>
    <hyperlink ref="M4" r:id="rId1" xr:uid="{EAD2D291-AD53-498B-890F-1959564B05E2}"/>
    <hyperlink ref="M7" r:id="rId2" xr:uid="{C1D1C164-237C-4042-B25B-B1DD22797040}"/>
  </hyperlinks>
  <pageMargins left="0" right="0" top="0" bottom="0" header="0" footer="0"/>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B07DF-43B7-41FC-84CA-DCC6E0646981}">
  <sheetPr>
    <outlinePr summaryBelow="0" summaryRight="0"/>
  </sheetPr>
  <dimension ref="A1:X992"/>
  <sheetViews>
    <sheetView showGridLines="0" workbookViewId="0">
      <pane xSplit="5" ySplit="2" topLeftCell="F3" activePane="bottomRight" state="frozen"/>
      <selection pane="bottomRight" activeCell="F1" sqref="F1"/>
      <selection pane="bottomLeft" activeCell="A3" sqref="A3"/>
      <selection pane="topRight" activeCell="F1" sqref="F1"/>
    </sheetView>
  </sheetViews>
  <sheetFormatPr defaultColWidth="12.5703125" defaultRowHeight="12.75"/>
  <cols>
    <col min="1" max="1" width="4.28515625" customWidth="1"/>
    <col min="2" max="2" width="34.42578125" customWidth="1"/>
    <col min="3" max="3" width="19.7109375" customWidth="1"/>
    <col min="4" max="4" width="12.42578125" style="47" customWidth="1"/>
    <col min="5" max="5" width="53.42578125" customWidth="1"/>
    <col min="6" max="7" width="23.140625" customWidth="1"/>
    <col min="8" max="8" width="11.42578125" customWidth="1"/>
    <col min="9" max="9" width="21" customWidth="1"/>
    <col min="10" max="10" width="40.140625" customWidth="1"/>
    <col min="11" max="11" width="12.5703125" customWidth="1"/>
    <col min="12" max="12" width="40" customWidth="1"/>
    <col min="13" max="13" width="40.85546875" customWidth="1"/>
    <col min="14" max="14" width="12.5703125" customWidth="1"/>
    <col min="15" max="15" width="12.5703125" style="53" customWidth="1"/>
    <col min="16" max="16" width="12.5703125" customWidth="1"/>
    <col min="17" max="17" width="46.28515625" customWidth="1"/>
    <col min="18" max="19" width="10.140625" customWidth="1"/>
    <col min="20" max="20" width="29.42578125" customWidth="1"/>
    <col min="21" max="22" width="41.28515625" customWidth="1"/>
    <col min="23" max="23" width="21.42578125" customWidth="1"/>
    <col min="24" max="24" width="42" customWidth="1"/>
  </cols>
  <sheetData>
    <row r="1" spans="1:24" ht="14.25">
      <c r="A1" s="4"/>
      <c r="B1" s="4"/>
      <c r="C1" s="4"/>
      <c r="D1" s="5"/>
      <c r="E1" s="54"/>
      <c r="F1" s="4"/>
      <c r="G1" s="4"/>
      <c r="H1" s="5"/>
      <c r="I1" s="1"/>
      <c r="J1" s="4"/>
      <c r="K1" s="4"/>
      <c r="L1" s="4"/>
      <c r="M1" s="4"/>
      <c r="N1" s="4"/>
      <c r="O1" s="48"/>
      <c r="P1" s="4"/>
      <c r="Q1" s="4"/>
      <c r="R1" s="4"/>
      <c r="S1" s="4"/>
      <c r="T1" s="4"/>
      <c r="U1" s="4"/>
      <c r="V1" s="4"/>
      <c r="W1" s="4"/>
      <c r="X1" s="6"/>
    </row>
    <row r="2" spans="1:24" ht="24">
      <c r="A2" s="1" t="s">
        <v>248</v>
      </c>
      <c r="B2" s="59" t="s">
        <v>249</v>
      </c>
      <c r="C2" s="59" t="s">
        <v>250</v>
      </c>
      <c r="D2" s="68" t="s">
        <v>251</v>
      </c>
      <c r="E2" s="69" t="s">
        <v>252</v>
      </c>
      <c r="F2" s="70" t="s">
        <v>254</v>
      </c>
      <c r="G2" s="70" t="s">
        <v>255</v>
      </c>
      <c r="H2" s="68" t="s">
        <v>259</v>
      </c>
      <c r="I2" s="70" t="s">
        <v>260</v>
      </c>
      <c r="J2" s="70" t="s">
        <v>261</v>
      </c>
      <c r="K2" s="70" t="s">
        <v>262</v>
      </c>
      <c r="L2" s="70" t="s">
        <v>263</v>
      </c>
      <c r="M2" s="70" t="s">
        <v>264</v>
      </c>
      <c r="N2" s="70" t="s">
        <v>265</v>
      </c>
      <c r="O2" s="71" t="s">
        <v>266</v>
      </c>
      <c r="P2" s="70" t="s">
        <v>1571</v>
      </c>
      <c r="Q2" s="70" t="s">
        <v>268</v>
      </c>
      <c r="R2" s="70" t="s">
        <v>1572</v>
      </c>
      <c r="S2" s="70" t="s">
        <v>270</v>
      </c>
      <c r="T2" s="70" t="s">
        <v>268</v>
      </c>
      <c r="U2" s="70" t="s">
        <v>272</v>
      </c>
      <c r="V2" s="70" t="s">
        <v>273</v>
      </c>
      <c r="W2" s="70" t="s">
        <v>253</v>
      </c>
      <c r="X2" s="72" t="s">
        <v>274</v>
      </c>
    </row>
    <row r="3" spans="1:24" ht="24">
      <c r="A3" s="98">
        <v>1</v>
      </c>
      <c r="B3" s="97" t="s">
        <v>1830</v>
      </c>
      <c r="C3" s="100" t="s">
        <v>595</v>
      </c>
      <c r="D3" s="73" t="s">
        <v>1831</v>
      </c>
      <c r="E3" s="74" t="s">
        <v>1832</v>
      </c>
      <c r="F3" s="75">
        <v>2</v>
      </c>
      <c r="G3" s="76">
        <v>2</v>
      </c>
      <c r="H3" s="77" t="s">
        <v>1833</v>
      </c>
      <c r="I3" s="78" t="s">
        <v>595</v>
      </c>
      <c r="J3" s="78" t="s">
        <v>1834</v>
      </c>
      <c r="K3" s="78" t="s">
        <v>1591</v>
      </c>
      <c r="L3" s="30" t="s">
        <v>1591</v>
      </c>
      <c r="M3" s="40" t="s">
        <v>1835</v>
      </c>
      <c r="N3" s="79">
        <v>45343</v>
      </c>
      <c r="O3" s="79">
        <v>45350</v>
      </c>
      <c r="P3" s="80" t="s">
        <v>1836</v>
      </c>
      <c r="Q3" s="81" t="s">
        <v>1557</v>
      </c>
      <c r="R3" s="81" t="s">
        <v>322</v>
      </c>
      <c r="S3" s="82">
        <v>45350</v>
      </c>
      <c r="T3" s="81" t="s">
        <v>1557</v>
      </c>
      <c r="U3" s="92" t="s">
        <v>1591</v>
      </c>
      <c r="V3" s="81" t="s">
        <v>1557</v>
      </c>
      <c r="W3" s="30" t="s">
        <v>557</v>
      </c>
      <c r="X3" s="30"/>
    </row>
    <row r="4" spans="1:24">
      <c r="A4" s="98">
        <v>2</v>
      </c>
      <c r="B4" s="97" t="s">
        <v>1830</v>
      </c>
      <c r="C4" s="100" t="s">
        <v>1577</v>
      </c>
      <c r="D4" s="90" t="s">
        <v>1837</v>
      </c>
      <c r="E4" s="83" t="s">
        <v>1838</v>
      </c>
      <c r="F4" s="84">
        <v>3</v>
      </c>
      <c r="G4" s="80">
        <v>3</v>
      </c>
      <c r="H4" s="77" t="s">
        <v>1833</v>
      </c>
      <c r="I4" s="91" t="s">
        <v>595</v>
      </c>
      <c r="J4" s="78" t="s">
        <v>1834</v>
      </c>
      <c r="K4" s="91" t="s">
        <v>595</v>
      </c>
      <c r="L4" s="81" t="s">
        <v>1557</v>
      </c>
      <c r="M4" s="40" t="s">
        <v>1591</v>
      </c>
      <c r="N4" s="92" t="s">
        <v>1591</v>
      </c>
      <c r="O4" s="92" t="s">
        <v>1591</v>
      </c>
      <c r="P4" s="92" t="s">
        <v>1591</v>
      </c>
      <c r="Q4" s="92" t="s">
        <v>1591</v>
      </c>
      <c r="R4" s="92" t="s">
        <v>1591</v>
      </c>
      <c r="S4" s="92" t="s">
        <v>1591</v>
      </c>
      <c r="T4" s="92" t="s">
        <v>1591</v>
      </c>
      <c r="U4" s="92" t="s">
        <v>1591</v>
      </c>
      <c r="V4" s="92" t="s">
        <v>1591</v>
      </c>
      <c r="W4" s="30" t="s">
        <v>557</v>
      </c>
      <c r="X4" s="30" t="s">
        <v>1808</v>
      </c>
    </row>
    <row r="5" spans="1:24">
      <c r="A5" s="98">
        <v>3</v>
      </c>
      <c r="B5" s="97" t="s">
        <v>1830</v>
      </c>
      <c r="C5" s="101" t="s">
        <v>1668</v>
      </c>
      <c r="D5" s="87" t="s">
        <v>1839</v>
      </c>
      <c r="E5" s="83" t="s">
        <v>1840</v>
      </c>
      <c r="F5" s="84">
        <v>3</v>
      </c>
      <c r="G5" s="80">
        <v>3</v>
      </c>
      <c r="H5" s="77" t="s">
        <v>1833</v>
      </c>
      <c r="I5" s="78" t="s">
        <v>595</v>
      </c>
      <c r="J5" s="78" t="s">
        <v>1834</v>
      </c>
      <c r="K5" s="78" t="s">
        <v>595</v>
      </c>
      <c r="L5" s="81" t="s">
        <v>1557</v>
      </c>
      <c r="M5" s="40" t="s">
        <v>1591</v>
      </c>
      <c r="N5" s="92" t="s">
        <v>1591</v>
      </c>
      <c r="O5" s="92" t="s">
        <v>1591</v>
      </c>
      <c r="P5" s="92" t="s">
        <v>1591</v>
      </c>
      <c r="Q5" s="92" t="s">
        <v>1591</v>
      </c>
      <c r="R5" s="92" t="s">
        <v>1591</v>
      </c>
      <c r="S5" s="92" t="s">
        <v>1591</v>
      </c>
      <c r="T5" s="92" t="s">
        <v>1591</v>
      </c>
      <c r="U5" s="92" t="s">
        <v>1591</v>
      </c>
      <c r="V5" s="92" t="s">
        <v>1591</v>
      </c>
      <c r="W5" s="30" t="s">
        <v>557</v>
      </c>
      <c r="X5" s="30" t="s">
        <v>1841</v>
      </c>
    </row>
    <row r="6" spans="1:24" ht="24">
      <c r="A6" s="98">
        <v>4</v>
      </c>
      <c r="B6" s="97" t="s">
        <v>1830</v>
      </c>
      <c r="C6" s="100" t="s">
        <v>1035</v>
      </c>
      <c r="D6" s="87" t="s">
        <v>1842</v>
      </c>
      <c r="E6" s="83" t="s">
        <v>1843</v>
      </c>
      <c r="F6" s="84">
        <v>2</v>
      </c>
      <c r="G6" s="80">
        <v>2</v>
      </c>
      <c r="H6" s="77" t="s">
        <v>1833</v>
      </c>
      <c r="I6" s="78" t="s">
        <v>1577</v>
      </c>
      <c r="J6" s="78" t="s">
        <v>1834</v>
      </c>
      <c r="K6" s="100" t="s">
        <v>1577</v>
      </c>
      <c r="L6" s="81" t="s">
        <v>1557</v>
      </c>
      <c r="M6" s="40" t="s">
        <v>1844</v>
      </c>
      <c r="N6" s="92">
        <v>45341</v>
      </c>
      <c r="O6" s="92">
        <v>45342</v>
      </c>
      <c r="P6" s="80" t="s">
        <v>1836</v>
      </c>
      <c r="Q6" s="81" t="s">
        <v>1557</v>
      </c>
      <c r="R6" s="81" t="s">
        <v>322</v>
      </c>
      <c r="S6" s="93">
        <v>45342</v>
      </c>
      <c r="T6" s="81" t="s">
        <v>1557</v>
      </c>
      <c r="U6" s="92" t="s">
        <v>1591</v>
      </c>
      <c r="V6" s="81" t="s">
        <v>1557</v>
      </c>
      <c r="W6" s="30" t="s">
        <v>557</v>
      </c>
      <c r="X6" s="81"/>
    </row>
    <row r="7" spans="1:24" ht="24">
      <c r="A7" s="98">
        <v>5</v>
      </c>
      <c r="B7" s="97" t="s">
        <v>1830</v>
      </c>
      <c r="C7" s="100" t="s">
        <v>1035</v>
      </c>
      <c r="D7" s="87" t="s">
        <v>1845</v>
      </c>
      <c r="E7" s="83" t="s">
        <v>1846</v>
      </c>
      <c r="F7" s="84">
        <v>3</v>
      </c>
      <c r="G7" s="80">
        <v>3</v>
      </c>
      <c r="H7" s="77" t="s">
        <v>1833</v>
      </c>
      <c r="I7" s="78" t="s">
        <v>1577</v>
      </c>
      <c r="J7" s="78" t="s">
        <v>1834</v>
      </c>
      <c r="K7" s="100" t="s">
        <v>1577</v>
      </c>
      <c r="L7" s="81" t="s">
        <v>1557</v>
      </c>
      <c r="M7" s="40" t="s">
        <v>1847</v>
      </c>
      <c r="N7" s="94">
        <v>45343</v>
      </c>
      <c r="O7" s="85">
        <v>45345</v>
      </c>
      <c r="P7" s="80" t="s">
        <v>1836</v>
      </c>
      <c r="Q7" s="81" t="s">
        <v>1557</v>
      </c>
      <c r="R7" s="81" t="s">
        <v>322</v>
      </c>
      <c r="S7" s="95">
        <v>45345</v>
      </c>
      <c r="T7" s="81" t="s">
        <v>1557</v>
      </c>
      <c r="U7" s="92" t="s">
        <v>1591</v>
      </c>
      <c r="V7" s="81" t="s">
        <v>1557</v>
      </c>
      <c r="W7" s="30" t="s">
        <v>557</v>
      </c>
      <c r="X7" s="30"/>
    </row>
    <row r="8" spans="1:24" ht="16.5">
      <c r="A8" s="99"/>
      <c r="B8" s="97"/>
      <c r="C8" s="102"/>
      <c r="D8" s="46"/>
      <c r="E8" s="19"/>
      <c r="F8" s="18"/>
      <c r="G8" s="18"/>
      <c r="H8" s="12"/>
      <c r="I8" s="14"/>
      <c r="J8" s="14"/>
      <c r="K8" s="14"/>
      <c r="L8" s="67"/>
      <c r="M8" s="40"/>
      <c r="N8" s="65"/>
      <c r="O8" s="66"/>
      <c r="P8" s="14"/>
      <c r="Q8" s="14"/>
      <c r="R8" s="19"/>
      <c r="S8" s="65"/>
      <c r="T8" s="14"/>
      <c r="U8" s="19"/>
      <c r="V8" s="19"/>
      <c r="W8" s="64"/>
      <c r="X8" s="19"/>
    </row>
    <row r="9" spans="1:24">
      <c r="A9" s="99"/>
      <c r="B9" s="97"/>
      <c r="C9" s="103"/>
      <c r="D9" s="46"/>
      <c r="E9" s="19"/>
      <c r="F9" s="18"/>
      <c r="G9" s="18"/>
      <c r="H9" s="12"/>
      <c r="I9" s="14"/>
      <c r="J9" s="14"/>
      <c r="K9" s="14"/>
      <c r="L9" s="58"/>
      <c r="M9" s="14"/>
      <c r="N9" s="14"/>
      <c r="O9" s="9"/>
      <c r="P9" s="14"/>
      <c r="Q9" s="19"/>
      <c r="R9" s="19"/>
      <c r="S9" s="19"/>
      <c r="T9" s="19"/>
      <c r="U9" s="19"/>
      <c r="V9" s="19"/>
      <c r="W9" s="64"/>
      <c r="X9" s="19"/>
    </row>
    <row r="10" spans="1:24">
      <c r="A10" s="99"/>
      <c r="B10" s="97"/>
      <c r="C10" s="103"/>
      <c r="D10" s="62"/>
      <c r="E10" s="19"/>
      <c r="F10" s="18"/>
      <c r="G10" s="18"/>
      <c r="H10" s="12"/>
      <c r="I10" s="10"/>
      <c r="J10" s="14"/>
      <c r="K10" s="14"/>
      <c r="L10" s="19"/>
      <c r="M10" s="14"/>
      <c r="N10" s="14"/>
      <c r="O10" s="9"/>
      <c r="P10" s="14"/>
      <c r="Q10" s="18"/>
      <c r="R10" s="19"/>
      <c r="S10" s="19"/>
      <c r="T10" s="19"/>
      <c r="U10" s="19"/>
      <c r="V10" s="19"/>
      <c r="W10" s="64"/>
      <c r="X10" s="19"/>
    </row>
    <row r="11" spans="1:24">
      <c r="A11" s="99"/>
      <c r="B11" s="97"/>
      <c r="C11" s="102"/>
      <c r="D11" s="62"/>
      <c r="E11" s="12"/>
      <c r="F11" s="18"/>
      <c r="G11" s="18"/>
      <c r="H11" s="12"/>
      <c r="I11" s="14"/>
      <c r="J11" s="19"/>
      <c r="K11" s="14"/>
      <c r="L11" s="19"/>
      <c r="M11" s="14"/>
      <c r="N11" s="14"/>
      <c r="O11" s="9"/>
      <c r="P11" s="14"/>
      <c r="Q11" s="19"/>
      <c r="R11" s="19"/>
      <c r="S11" s="19"/>
      <c r="T11" s="19"/>
      <c r="U11" s="19"/>
      <c r="V11" s="19"/>
      <c r="W11" s="64"/>
      <c r="X11" s="19"/>
    </row>
    <row r="12" spans="1:24">
      <c r="A12" s="19"/>
      <c r="B12" s="104"/>
      <c r="C12" s="14"/>
      <c r="D12" s="12"/>
      <c r="E12" s="19"/>
      <c r="F12" s="18"/>
      <c r="G12" s="18"/>
      <c r="H12" s="12"/>
      <c r="I12" s="14"/>
      <c r="J12" s="19"/>
      <c r="K12" s="14"/>
      <c r="L12" s="19"/>
      <c r="M12" s="14"/>
      <c r="N12" s="14"/>
      <c r="O12" s="9"/>
      <c r="P12" s="14"/>
      <c r="Q12" s="19"/>
      <c r="R12" s="19"/>
      <c r="S12" s="19"/>
      <c r="T12" s="19"/>
      <c r="U12" s="19"/>
      <c r="V12" s="19"/>
      <c r="W12" s="19"/>
      <c r="X12" s="19"/>
    </row>
    <row r="13" spans="1:24">
      <c r="A13" s="19"/>
      <c r="B13" s="60"/>
      <c r="C13" s="14"/>
      <c r="D13" s="12"/>
      <c r="E13" s="19"/>
      <c r="F13" s="18"/>
      <c r="G13" s="18"/>
      <c r="H13" s="12"/>
      <c r="I13" s="14"/>
      <c r="J13" s="19"/>
      <c r="K13" s="14"/>
      <c r="L13" s="19"/>
      <c r="M13" s="14"/>
      <c r="N13" s="14"/>
      <c r="O13" s="9"/>
      <c r="P13" s="14"/>
      <c r="Q13" s="19"/>
      <c r="R13" s="19"/>
      <c r="S13" s="19"/>
      <c r="T13" s="19"/>
      <c r="U13" s="19"/>
      <c r="V13" s="19"/>
      <c r="W13" s="19"/>
      <c r="X13" s="19"/>
    </row>
    <row r="14" spans="1:24">
      <c r="A14" s="19"/>
      <c r="B14" s="60"/>
      <c r="C14" s="14"/>
      <c r="D14" s="12"/>
      <c r="E14" s="19"/>
      <c r="F14" s="18"/>
      <c r="G14" s="18"/>
      <c r="H14" s="12"/>
      <c r="I14" s="14"/>
      <c r="J14" s="19"/>
      <c r="K14" s="14"/>
      <c r="L14" s="19"/>
      <c r="M14" s="14"/>
      <c r="N14" s="14"/>
      <c r="O14" s="9"/>
      <c r="P14" s="14"/>
      <c r="Q14" s="19"/>
      <c r="R14" s="19"/>
      <c r="S14" s="19"/>
      <c r="T14" s="19"/>
      <c r="U14" s="19"/>
      <c r="V14" s="19"/>
      <c r="W14" s="19"/>
      <c r="X14" s="19"/>
    </row>
    <row r="15" spans="1:24">
      <c r="A15" s="19"/>
      <c r="B15" s="60"/>
      <c r="C15" s="14"/>
      <c r="D15" s="12"/>
      <c r="E15" s="19"/>
      <c r="F15" s="18"/>
      <c r="G15" s="18"/>
      <c r="H15" s="12"/>
      <c r="I15" s="14"/>
      <c r="J15" s="19"/>
      <c r="K15" s="14"/>
      <c r="L15" s="19"/>
      <c r="M15" s="14"/>
      <c r="N15" s="14"/>
      <c r="O15" s="9"/>
      <c r="P15" s="14"/>
      <c r="Q15" s="19"/>
      <c r="R15" s="19"/>
      <c r="S15" s="19"/>
      <c r="T15" s="19"/>
      <c r="U15" s="19"/>
      <c r="V15" s="19"/>
      <c r="W15" s="19"/>
      <c r="X15" s="19"/>
    </row>
    <row r="16" spans="1:24">
      <c r="A16" s="19"/>
      <c r="B16" s="60"/>
      <c r="C16" s="14"/>
      <c r="D16" s="12"/>
      <c r="E16" s="19"/>
      <c r="F16" s="18"/>
      <c r="G16" s="18"/>
      <c r="H16" s="12"/>
      <c r="I16" s="14"/>
      <c r="J16" s="19"/>
      <c r="K16" s="14"/>
      <c r="L16" s="19"/>
      <c r="M16" s="14"/>
      <c r="N16" s="14"/>
      <c r="O16" s="9"/>
      <c r="P16" s="14"/>
      <c r="Q16" s="19"/>
      <c r="R16" s="19"/>
      <c r="S16" s="19"/>
      <c r="T16" s="19"/>
      <c r="U16" s="19"/>
      <c r="V16" s="19"/>
      <c r="W16" s="19"/>
      <c r="X16" s="19"/>
    </row>
    <row r="17" spans="2:16">
      <c r="B17" s="28"/>
      <c r="C17" s="3"/>
      <c r="E17" s="35"/>
      <c r="F17" s="28"/>
      <c r="G17" s="28"/>
      <c r="H17" s="29"/>
      <c r="I17" s="63"/>
      <c r="K17" s="3"/>
      <c r="M17" s="3"/>
      <c r="N17" s="3"/>
      <c r="O17" s="52"/>
      <c r="P17" s="3"/>
    </row>
    <row r="18" spans="2:16">
      <c r="B18" s="28"/>
      <c r="C18" s="3"/>
      <c r="E18" s="35"/>
      <c r="F18" s="28"/>
      <c r="G18" s="28"/>
      <c r="H18" s="29"/>
      <c r="I18" s="14"/>
      <c r="K18" s="3"/>
      <c r="M18" s="3"/>
      <c r="N18" s="3"/>
      <c r="O18" s="52"/>
      <c r="P18" s="3"/>
    </row>
    <row r="19" spans="2:16">
      <c r="B19" s="28"/>
      <c r="C19" s="3"/>
      <c r="E19" s="35"/>
      <c r="F19" s="28"/>
      <c r="G19" s="28"/>
      <c r="H19" s="29"/>
      <c r="I19" s="14"/>
      <c r="K19" s="3"/>
      <c r="M19" s="3"/>
      <c r="N19" s="3"/>
      <c r="O19" s="52"/>
      <c r="P19" s="3"/>
    </row>
    <row r="20" spans="2:16">
      <c r="B20" s="28"/>
      <c r="C20" s="3"/>
      <c r="E20" s="35"/>
      <c r="F20" s="28"/>
      <c r="G20" s="28"/>
      <c r="H20" s="29"/>
      <c r="I20" s="14"/>
      <c r="K20" s="3"/>
      <c r="M20" s="3"/>
      <c r="N20" s="3"/>
      <c r="O20" s="52"/>
      <c r="P20" s="3"/>
    </row>
    <row r="21" spans="2:16">
      <c r="B21" s="28"/>
      <c r="C21" s="3"/>
      <c r="E21" s="35"/>
      <c r="F21" s="28"/>
      <c r="G21" s="28"/>
      <c r="H21" s="29"/>
      <c r="I21" s="14"/>
      <c r="K21" s="3"/>
      <c r="M21" s="3"/>
      <c r="N21" s="3"/>
      <c r="O21" s="52"/>
      <c r="P21" s="3"/>
    </row>
    <row r="22" spans="2:16">
      <c r="B22" s="28"/>
      <c r="C22" s="3"/>
      <c r="E22" s="35"/>
      <c r="F22" s="28"/>
      <c r="G22" s="28"/>
      <c r="H22" s="29"/>
      <c r="I22" s="14"/>
      <c r="K22" s="3"/>
      <c r="M22" s="3"/>
      <c r="N22" s="3"/>
      <c r="O22" s="52"/>
      <c r="P22" s="3"/>
    </row>
    <row r="23" spans="2:16">
      <c r="B23" s="28"/>
      <c r="C23" s="3"/>
      <c r="E23" s="35"/>
      <c r="F23" s="28"/>
      <c r="G23" s="28"/>
      <c r="H23" s="29"/>
      <c r="I23" s="14"/>
      <c r="K23" s="3"/>
      <c r="M23" s="3"/>
      <c r="N23" s="3"/>
      <c r="O23" s="52"/>
      <c r="P23" s="3"/>
    </row>
    <row r="24" spans="2:16">
      <c r="B24" s="28"/>
      <c r="C24" s="3"/>
      <c r="E24" s="35"/>
      <c r="F24" s="28"/>
      <c r="G24" s="28"/>
      <c r="H24" s="29"/>
      <c r="I24" s="14"/>
      <c r="K24" s="3"/>
      <c r="M24" s="3"/>
      <c r="N24" s="3"/>
      <c r="O24" s="52"/>
      <c r="P24" s="3"/>
    </row>
    <row r="25" spans="2:16">
      <c r="B25" s="28"/>
      <c r="C25" s="3"/>
      <c r="E25" s="35"/>
      <c r="F25" s="28"/>
      <c r="G25" s="28"/>
      <c r="H25" s="29"/>
      <c r="I25" s="14"/>
      <c r="K25" s="3"/>
      <c r="M25" s="3"/>
      <c r="N25" s="3"/>
      <c r="O25" s="52"/>
      <c r="P25" s="3"/>
    </row>
    <row r="26" spans="2:16">
      <c r="B26" s="28"/>
      <c r="C26" s="3"/>
      <c r="E26" s="35"/>
      <c r="F26" s="28"/>
      <c r="G26" s="28"/>
      <c r="H26" s="29"/>
      <c r="I26" s="14"/>
      <c r="K26" s="3"/>
      <c r="M26" s="3"/>
      <c r="N26" s="3"/>
      <c r="O26" s="52"/>
      <c r="P26" s="3"/>
    </row>
    <row r="27" spans="2:16">
      <c r="B27" s="28"/>
      <c r="C27" s="3"/>
      <c r="E27" s="35"/>
      <c r="F27" s="28"/>
      <c r="G27" s="28"/>
      <c r="H27" s="29"/>
      <c r="I27" s="14"/>
      <c r="K27" s="3"/>
      <c r="M27" s="3"/>
      <c r="N27" s="3"/>
      <c r="O27" s="52"/>
      <c r="P27" s="3"/>
    </row>
    <row r="28" spans="2:16">
      <c r="B28" s="28"/>
      <c r="C28" s="3"/>
      <c r="E28" s="35"/>
      <c r="F28" s="28"/>
      <c r="G28" s="28"/>
      <c r="H28" s="29"/>
      <c r="I28" s="14"/>
      <c r="K28" s="3"/>
      <c r="M28" s="3"/>
      <c r="N28" s="3"/>
      <c r="O28" s="52"/>
      <c r="P28" s="3"/>
    </row>
    <row r="29" spans="2:16">
      <c r="B29" s="28"/>
      <c r="C29" s="3"/>
      <c r="E29" s="35"/>
      <c r="F29" s="28"/>
      <c r="G29" s="28"/>
      <c r="H29" s="29"/>
      <c r="I29" s="14"/>
      <c r="K29" s="3"/>
      <c r="M29" s="3"/>
      <c r="N29" s="3"/>
      <c r="O29" s="52"/>
      <c r="P29" s="3"/>
    </row>
    <row r="30" spans="2:16">
      <c r="B30" s="28"/>
      <c r="C30" s="3"/>
      <c r="E30" s="35"/>
      <c r="F30" s="28"/>
      <c r="G30" s="28"/>
      <c r="H30" s="29"/>
      <c r="I30" s="14"/>
      <c r="K30" s="3"/>
      <c r="M30" s="3"/>
      <c r="N30" s="3"/>
      <c r="O30" s="52"/>
      <c r="P30" s="3"/>
    </row>
    <row r="31" spans="2:16">
      <c r="B31" s="28"/>
      <c r="C31" s="3"/>
      <c r="E31" s="35"/>
      <c r="F31" s="28"/>
      <c r="G31" s="28"/>
      <c r="H31" s="29"/>
      <c r="I31" s="14"/>
      <c r="K31" s="3"/>
      <c r="M31" s="3"/>
      <c r="N31" s="3"/>
      <c r="O31" s="52"/>
      <c r="P31" s="3"/>
    </row>
    <row r="32" spans="2:16">
      <c r="B32" s="28"/>
      <c r="C32" s="3"/>
      <c r="E32" s="35"/>
      <c r="F32" s="28"/>
      <c r="G32" s="28"/>
      <c r="H32" s="29"/>
      <c r="I32" s="14"/>
      <c r="K32" s="3"/>
      <c r="M32" s="3"/>
      <c r="N32" s="3"/>
      <c r="O32" s="52"/>
      <c r="P32" s="3"/>
    </row>
    <row r="33" spans="2:16">
      <c r="B33" s="28"/>
      <c r="C33" s="3"/>
      <c r="E33" s="35"/>
      <c r="F33" s="28"/>
      <c r="G33" s="28"/>
      <c r="H33" s="29"/>
      <c r="I33" s="14"/>
      <c r="K33" s="3"/>
      <c r="M33" s="3"/>
      <c r="N33" s="3"/>
      <c r="O33" s="52"/>
      <c r="P33" s="3"/>
    </row>
    <row r="34" spans="2:16">
      <c r="B34" s="28"/>
      <c r="C34" s="3"/>
      <c r="E34" s="35"/>
      <c r="F34" s="28"/>
      <c r="G34" s="28"/>
      <c r="H34" s="29"/>
      <c r="I34" s="14"/>
      <c r="K34" s="3"/>
      <c r="M34" s="3"/>
      <c r="N34" s="3"/>
      <c r="O34" s="52"/>
      <c r="P34" s="3"/>
    </row>
    <row r="35" spans="2:16">
      <c r="B35" s="28"/>
      <c r="C35" s="3"/>
      <c r="E35" s="35"/>
      <c r="F35" s="28"/>
      <c r="G35" s="28"/>
      <c r="H35" s="29"/>
      <c r="I35" s="14"/>
      <c r="K35" s="3"/>
      <c r="M35" s="3"/>
      <c r="N35" s="3"/>
      <c r="O35" s="52"/>
      <c r="P35" s="3"/>
    </row>
    <row r="36" spans="2:16">
      <c r="B36" s="28"/>
      <c r="C36" s="3"/>
      <c r="E36" s="35"/>
      <c r="F36" s="28"/>
      <c r="G36" s="28"/>
      <c r="H36" s="29"/>
      <c r="I36" s="14"/>
      <c r="K36" s="3"/>
      <c r="M36" s="3"/>
      <c r="N36" s="3"/>
      <c r="O36" s="52"/>
      <c r="P36" s="3"/>
    </row>
    <row r="37" spans="2:16">
      <c r="B37" s="28"/>
      <c r="C37" s="3"/>
      <c r="E37" s="35"/>
      <c r="F37" s="28"/>
      <c r="G37" s="28"/>
      <c r="H37" s="29"/>
      <c r="I37" s="14"/>
      <c r="K37" s="3"/>
      <c r="M37" s="3"/>
      <c r="N37" s="3"/>
      <c r="O37" s="52"/>
      <c r="P37" s="3"/>
    </row>
    <row r="38" spans="2:16">
      <c r="B38" s="28"/>
      <c r="C38" s="3"/>
      <c r="E38" s="35"/>
      <c r="F38" s="28"/>
      <c r="G38" s="28"/>
      <c r="H38" s="29"/>
      <c r="I38" s="14"/>
      <c r="K38" s="3"/>
      <c r="M38" s="3"/>
      <c r="N38" s="3"/>
      <c r="O38" s="52"/>
      <c r="P38" s="3"/>
    </row>
    <row r="39" spans="2:16">
      <c r="B39" s="28"/>
      <c r="C39" s="3"/>
      <c r="E39" s="35"/>
      <c r="F39" s="28"/>
      <c r="G39" s="28"/>
      <c r="H39" s="29"/>
      <c r="I39" s="14"/>
      <c r="K39" s="3"/>
      <c r="M39" s="3"/>
      <c r="N39" s="3"/>
      <c r="O39" s="52"/>
      <c r="P39" s="3"/>
    </row>
    <row r="40" spans="2:16">
      <c r="B40" s="28"/>
      <c r="C40" s="3"/>
      <c r="E40" s="35"/>
      <c r="F40" s="28"/>
      <c r="G40" s="28"/>
      <c r="H40" s="29"/>
      <c r="I40" s="14"/>
      <c r="K40" s="3"/>
      <c r="M40" s="3"/>
      <c r="N40" s="3"/>
      <c r="O40" s="52"/>
      <c r="P40" s="3"/>
    </row>
    <row r="41" spans="2:16">
      <c r="B41" s="28"/>
      <c r="C41" s="3"/>
      <c r="E41" s="35"/>
      <c r="F41" s="28"/>
      <c r="G41" s="28"/>
      <c r="H41" s="29"/>
      <c r="I41" s="14"/>
      <c r="K41" s="3"/>
      <c r="M41" s="3"/>
      <c r="N41" s="3"/>
      <c r="O41" s="52"/>
      <c r="P41" s="3"/>
    </row>
    <row r="42" spans="2:16">
      <c r="B42" s="28"/>
      <c r="C42" s="3"/>
      <c r="E42" s="35"/>
      <c r="F42" s="28"/>
      <c r="G42" s="28"/>
      <c r="H42" s="29"/>
      <c r="I42" s="14"/>
      <c r="K42" s="3"/>
      <c r="M42" s="3"/>
      <c r="N42" s="3"/>
      <c r="O42" s="52"/>
      <c r="P42" s="3"/>
    </row>
    <row r="43" spans="2:16">
      <c r="B43" s="28"/>
      <c r="C43" s="3"/>
      <c r="E43" s="35"/>
      <c r="F43" s="28"/>
      <c r="G43" s="28"/>
      <c r="H43" s="29"/>
      <c r="I43" s="14"/>
      <c r="K43" s="3"/>
      <c r="M43" s="3"/>
      <c r="N43" s="3"/>
      <c r="O43" s="52"/>
      <c r="P43" s="3"/>
    </row>
    <row r="44" spans="2:16">
      <c r="B44" s="28"/>
      <c r="C44" s="3"/>
      <c r="E44" s="35"/>
      <c r="F44" s="28"/>
      <c r="G44" s="28"/>
      <c r="H44" s="29"/>
      <c r="I44" s="14"/>
      <c r="K44" s="3"/>
      <c r="M44" s="3"/>
      <c r="N44" s="3"/>
      <c r="O44" s="52"/>
      <c r="P44" s="3"/>
    </row>
    <row r="45" spans="2:16">
      <c r="B45" s="28"/>
      <c r="C45" s="3"/>
      <c r="E45" s="35"/>
      <c r="F45" s="28"/>
      <c r="G45" s="28"/>
      <c r="H45" s="29"/>
      <c r="I45" s="14"/>
      <c r="K45" s="3"/>
      <c r="M45" s="3"/>
      <c r="N45" s="3"/>
      <c r="O45" s="52"/>
      <c r="P45" s="3"/>
    </row>
    <row r="46" spans="2:16">
      <c r="B46" s="28"/>
      <c r="C46" s="3"/>
      <c r="E46" s="35"/>
      <c r="F46" s="28"/>
      <c r="G46" s="28"/>
      <c r="H46" s="29"/>
      <c r="I46" s="14"/>
      <c r="K46" s="3"/>
      <c r="M46" s="3"/>
      <c r="N46" s="3"/>
      <c r="O46" s="52"/>
      <c r="P46" s="3"/>
    </row>
    <row r="47" spans="2:16">
      <c r="B47" s="28"/>
      <c r="C47" s="3"/>
      <c r="E47" s="35"/>
      <c r="F47" s="28"/>
      <c r="G47" s="28"/>
      <c r="H47" s="29"/>
      <c r="I47" s="14"/>
      <c r="K47" s="3"/>
      <c r="M47" s="3"/>
      <c r="N47" s="3"/>
      <c r="O47" s="52"/>
      <c r="P47" s="3"/>
    </row>
    <row r="48" spans="2:16">
      <c r="B48" s="28"/>
      <c r="C48" s="3"/>
      <c r="E48" s="35"/>
      <c r="F48" s="28"/>
      <c r="G48" s="28"/>
      <c r="H48" s="29"/>
      <c r="I48" s="14"/>
      <c r="K48" s="3"/>
      <c r="M48" s="3"/>
      <c r="N48" s="3"/>
      <c r="O48" s="52"/>
      <c r="P48" s="3"/>
    </row>
    <row r="49" spans="2:16">
      <c r="B49" s="28"/>
      <c r="C49" s="3"/>
      <c r="E49" s="35"/>
      <c r="F49" s="28"/>
      <c r="G49" s="28"/>
      <c r="H49" s="29"/>
      <c r="I49" s="14"/>
      <c r="K49" s="3"/>
      <c r="M49" s="3"/>
      <c r="N49" s="3"/>
      <c r="O49" s="52"/>
      <c r="P49" s="3"/>
    </row>
    <row r="50" spans="2:16">
      <c r="B50" s="28"/>
      <c r="C50" s="3"/>
      <c r="E50" s="35"/>
      <c r="F50" s="28"/>
      <c r="G50" s="28"/>
      <c r="H50" s="29"/>
      <c r="I50" s="14"/>
      <c r="K50" s="3"/>
      <c r="M50" s="3"/>
      <c r="N50" s="3"/>
      <c r="O50" s="52"/>
      <c r="P50" s="3"/>
    </row>
    <row r="51" spans="2:16">
      <c r="B51" s="28"/>
      <c r="C51" s="3"/>
      <c r="E51" s="35"/>
      <c r="F51" s="28"/>
      <c r="G51" s="28"/>
      <c r="H51" s="29"/>
      <c r="I51" s="14"/>
      <c r="K51" s="3"/>
      <c r="M51" s="3"/>
      <c r="N51" s="3"/>
      <c r="O51" s="52"/>
      <c r="P51" s="3"/>
    </row>
    <row r="52" spans="2:16">
      <c r="B52" s="28"/>
      <c r="C52" s="3"/>
      <c r="E52" s="35"/>
      <c r="F52" s="28"/>
      <c r="G52" s="28"/>
      <c r="H52" s="29"/>
      <c r="I52" s="14"/>
      <c r="K52" s="3"/>
      <c r="M52" s="3"/>
      <c r="N52" s="3"/>
      <c r="O52" s="52"/>
      <c r="P52" s="3"/>
    </row>
    <row r="53" spans="2:16">
      <c r="B53" s="28"/>
      <c r="C53" s="3"/>
      <c r="E53" s="35"/>
      <c r="F53" s="28"/>
      <c r="G53" s="28"/>
      <c r="H53" s="29"/>
      <c r="I53" s="14"/>
      <c r="K53" s="3"/>
      <c r="M53" s="3"/>
      <c r="N53" s="3"/>
      <c r="O53" s="52"/>
      <c r="P53" s="3"/>
    </row>
    <row r="54" spans="2:16">
      <c r="B54" s="28"/>
      <c r="C54" s="3"/>
      <c r="E54" s="35"/>
      <c r="F54" s="28"/>
      <c r="G54" s="28"/>
      <c r="H54" s="29"/>
      <c r="I54" s="14"/>
      <c r="K54" s="3"/>
      <c r="M54" s="3"/>
      <c r="N54" s="3"/>
      <c r="O54" s="52"/>
      <c r="P54" s="3"/>
    </row>
    <row r="55" spans="2:16">
      <c r="B55" s="28"/>
      <c r="C55" s="3"/>
      <c r="E55" s="35"/>
      <c r="F55" s="28"/>
      <c r="G55" s="28"/>
      <c r="H55" s="29"/>
      <c r="I55" s="14"/>
      <c r="K55" s="3"/>
      <c r="M55" s="3"/>
      <c r="N55" s="3"/>
      <c r="O55" s="52"/>
      <c r="P55" s="3"/>
    </row>
    <row r="56" spans="2:16">
      <c r="B56" s="28"/>
      <c r="C56" s="3"/>
      <c r="E56" s="35"/>
      <c r="F56" s="28"/>
      <c r="G56" s="28"/>
      <c r="H56" s="29"/>
      <c r="I56" s="14"/>
      <c r="K56" s="3"/>
      <c r="M56" s="3"/>
      <c r="N56" s="3"/>
      <c r="O56" s="52"/>
      <c r="P56" s="3"/>
    </row>
    <row r="57" spans="2:16">
      <c r="B57" s="28"/>
      <c r="C57" s="3"/>
      <c r="E57" s="35"/>
      <c r="F57" s="28"/>
      <c r="G57" s="28"/>
      <c r="H57" s="29"/>
      <c r="I57" s="14"/>
      <c r="K57" s="3"/>
      <c r="M57" s="3"/>
      <c r="N57" s="3"/>
      <c r="O57" s="52"/>
      <c r="P57" s="3"/>
    </row>
    <row r="58" spans="2:16">
      <c r="B58" s="28"/>
      <c r="C58" s="3"/>
      <c r="E58" s="35"/>
      <c r="F58" s="28"/>
      <c r="G58" s="28"/>
      <c r="H58" s="29"/>
      <c r="I58" s="14"/>
      <c r="K58" s="3"/>
      <c r="M58" s="3"/>
      <c r="N58" s="3"/>
      <c r="O58" s="52"/>
      <c r="P58" s="3"/>
    </row>
    <row r="59" spans="2:16">
      <c r="B59" s="28"/>
      <c r="C59" s="3"/>
      <c r="E59" s="35"/>
      <c r="F59" s="28"/>
      <c r="G59" s="28"/>
      <c r="H59" s="29"/>
      <c r="I59" s="14"/>
      <c r="K59" s="3"/>
      <c r="M59" s="3"/>
      <c r="N59" s="3"/>
      <c r="O59" s="52"/>
      <c r="P59" s="3"/>
    </row>
    <row r="60" spans="2:16">
      <c r="B60" s="28"/>
      <c r="C60" s="3"/>
      <c r="E60" s="35"/>
      <c r="F60" s="28"/>
      <c r="G60" s="28"/>
      <c r="H60" s="29"/>
      <c r="I60" s="14"/>
      <c r="K60" s="3"/>
      <c r="M60" s="3"/>
      <c r="N60" s="3"/>
      <c r="O60" s="52"/>
      <c r="P60" s="3"/>
    </row>
    <row r="61" spans="2:16">
      <c r="B61" s="28"/>
      <c r="C61" s="3"/>
      <c r="E61" s="35"/>
      <c r="F61" s="28"/>
      <c r="G61" s="28"/>
      <c r="H61" s="29"/>
      <c r="I61" s="14"/>
      <c r="K61" s="3"/>
      <c r="M61" s="3"/>
      <c r="N61" s="3"/>
      <c r="O61" s="52"/>
      <c r="P61" s="3"/>
    </row>
    <row r="62" spans="2:16">
      <c r="B62" s="28"/>
      <c r="C62" s="3"/>
      <c r="E62" s="35"/>
      <c r="F62" s="28"/>
      <c r="G62" s="28"/>
      <c r="H62" s="29"/>
      <c r="I62" s="14"/>
      <c r="K62" s="3"/>
      <c r="M62" s="3"/>
      <c r="N62" s="3"/>
      <c r="O62" s="52"/>
      <c r="P62" s="3"/>
    </row>
    <row r="63" spans="2:16">
      <c r="B63" s="28"/>
      <c r="C63" s="3"/>
      <c r="E63" s="35"/>
      <c r="F63" s="28"/>
      <c r="G63" s="28"/>
      <c r="H63" s="29"/>
      <c r="I63" s="14"/>
      <c r="K63" s="3"/>
      <c r="M63" s="3"/>
      <c r="N63" s="3"/>
      <c r="O63" s="52"/>
      <c r="P63" s="3"/>
    </row>
    <row r="64" spans="2:16">
      <c r="B64" s="28"/>
      <c r="C64" s="3"/>
      <c r="E64" s="35"/>
      <c r="F64" s="28"/>
      <c r="G64" s="28"/>
      <c r="H64" s="29"/>
      <c r="I64" s="14"/>
      <c r="K64" s="3"/>
      <c r="M64" s="3"/>
      <c r="N64" s="3"/>
      <c r="O64" s="52"/>
      <c r="P64" s="3"/>
    </row>
    <row r="65" spans="2:16">
      <c r="B65" s="28"/>
      <c r="C65" s="3"/>
      <c r="E65" s="35"/>
      <c r="F65" s="28"/>
      <c r="G65" s="28"/>
      <c r="H65" s="29"/>
      <c r="I65" s="14"/>
      <c r="K65" s="3"/>
      <c r="M65" s="3"/>
      <c r="N65" s="3"/>
      <c r="O65" s="52"/>
      <c r="P65" s="3"/>
    </row>
    <row r="66" spans="2:16">
      <c r="B66" s="28"/>
      <c r="C66" s="3"/>
      <c r="E66" s="35"/>
      <c r="F66" s="28"/>
      <c r="G66" s="28"/>
      <c r="H66" s="29"/>
      <c r="I66" s="14"/>
      <c r="K66" s="3"/>
      <c r="M66" s="3"/>
      <c r="N66" s="3"/>
      <c r="O66" s="52"/>
      <c r="P66" s="3"/>
    </row>
    <row r="67" spans="2:16">
      <c r="B67" s="28"/>
      <c r="C67" s="3"/>
      <c r="E67" s="35"/>
      <c r="F67" s="28"/>
      <c r="G67" s="28"/>
      <c r="H67" s="29"/>
      <c r="I67" s="14"/>
      <c r="K67" s="3"/>
      <c r="M67" s="3"/>
      <c r="N67" s="3"/>
      <c r="O67" s="52"/>
      <c r="P67" s="3"/>
    </row>
    <row r="68" spans="2:16">
      <c r="B68" s="28"/>
      <c r="C68" s="3"/>
      <c r="E68" s="35"/>
      <c r="F68" s="28"/>
      <c r="G68" s="28"/>
      <c r="H68" s="29"/>
      <c r="I68" s="14"/>
      <c r="K68" s="3"/>
      <c r="M68" s="3"/>
      <c r="N68" s="3"/>
      <c r="O68" s="52"/>
      <c r="P68" s="3"/>
    </row>
    <row r="69" spans="2:16">
      <c r="B69" s="28"/>
      <c r="C69" s="3"/>
      <c r="E69" s="35"/>
      <c r="F69" s="28"/>
      <c r="G69" s="28"/>
      <c r="H69" s="29"/>
      <c r="I69" s="14"/>
      <c r="K69" s="3"/>
      <c r="M69" s="3"/>
      <c r="N69" s="3"/>
      <c r="O69" s="52"/>
      <c r="P69" s="3"/>
    </row>
    <row r="70" spans="2:16">
      <c r="B70" s="28"/>
      <c r="C70" s="3"/>
      <c r="E70" s="35"/>
      <c r="F70" s="28"/>
      <c r="G70" s="28"/>
      <c r="H70" s="29"/>
      <c r="I70" s="14"/>
      <c r="K70" s="3"/>
      <c r="M70" s="3"/>
      <c r="N70" s="3"/>
      <c r="O70" s="52"/>
      <c r="P70" s="3"/>
    </row>
    <row r="71" spans="2:16">
      <c r="B71" s="28"/>
      <c r="C71" s="3"/>
      <c r="E71" s="35"/>
      <c r="F71" s="28"/>
      <c r="G71" s="28"/>
      <c r="H71" s="29"/>
      <c r="I71" s="14"/>
      <c r="K71" s="3"/>
      <c r="M71" s="3"/>
      <c r="N71" s="3"/>
      <c r="O71" s="52"/>
      <c r="P71" s="3"/>
    </row>
    <row r="72" spans="2:16">
      <c r="B72" s="28"/>
      <c r="C72" s="3"/>
      <c r="E72" s="35"/>
      <c r="F72" s="28"/>
      <c r="G72" s="28"/>
      <c r="H72" s="29"/>
      <c r="I72" s="14"/>
      <c r="K72" s="3"/>
      <c r="M72" s="3"/>
      <c r="N72" s="3"/>
      <c r="O72" s="52"/>
      <c r="P72" s="3"/>
    </row>
    <row r="73" spans="2:16">
      <c r="B73" s="28"/>
      <c r="C73" s="3"/>
      <c r="E73" s="35"/>
      <c r="F73" s="28"/>
      <c r="G73" s="28"/>
      <c r="H73" s="29"/>
      <c r="I73" s="14"/>
      <c r="K73" s="3"/>
      <c r="M73" s="3"/>
      <c r="N73" s="3"/>
      <c r="O73" s="52"/>
      <c r="P73" s="3"/>
    </row>
    <row r="74" spans="2:16">
      <c r="B74" s="28"/>
      <c r="C74" s="3"/>
      <c r="E74" s="35"/>
      <c r="F74" s="28"/>
      <c r="G74" s="28"/>
      <c r="H74" s="29"/>
      <c r="I74" s="14"/>
      <c r="K74" s="3"/>
      <c r="M74" s="3"/>
      <c r="N74" s="3"/>
      <c r="O74" s="52"/>
      <c r="P74" s="3"/>
    </row>
    <row r="75" spans="2:16">
      <c r="B75" s="28"/>
      <c r="C75" s="3"/>
      <c r="E75" s="35"/>
      <c r="F75" s="28"/>
      <c r="G75" s="28"/>
      <c r="H75" s="29"/>
      <c r="I75" s="14"/>
      <c r="K75" s="3"/>
      <c r="M75" s="3"/>
      <c r="N75" s="3"/>
      <c r="O75" s="52"/>
      <c r="P75" s="3"/>
    </row>
    <row r="76" spans="2:16">
      <c r="B76" s="28"/>
      <c r="C76" s="3"/>
      <c r="E76" s="35"/>
      <c r="F76" s="28"/>
      <c r="G76" s="28"/>
      <c r="H76" s="29"/>
      <c r="I76" s="14"/>
      <c r="K76" s="3"/>
      <c r="M76" s="3"/>
      <c r="N76" s="3"/>
      <c r="O76" s="52"/>
      <c r="P76" s="3"/>
    </row>
    <row r="77" spans="2:16">
      <c r="B77" s="28"/>
      <c r="C77" s="3"/>
      <c r="E77" s="35"/>
      <c r="F77" s="28"/>
      <c r="G77" s="28"/>
      <c r="H77" s="29"/>
      <c r="I77" s="14"/>
      <c r="K77" s="3"/>
      <c r="M77" s="3"/>
      <c r="N77" s="3"/>
      <c r="O77" s="52"/>
      <c r="P77" s="3"/>
    </row>
    <row r="78" spans="2:16">
      <c r="B78" s="28"/>
      <c r="C78" s="3"/>
      <c r="E78" s="35"/>
      <c r="F78" s="28"/>
      <c r="G78" s="28"/>
      <c r="H78" s="29"/>
      <c r="I78" s="14"/>
      <c r="K78" s="3"/>
      <c r="M78" s="3"/>
      <c r="N78" s="3"/>
      <c r="O78" s="52"/>
      <c r="P78" s="3"/>
    </row>
    <row r="79" spans="2:16">
      <c r="B79" s="28"/>
      <c r="C79" s="3"/>
      <c r="E79" s="35"/>
      <c r="F79" s="28"/>
      <c r="G79" s="28"/>
      <c r="H79" s="29"/>
      <c r="I79" s="14"/>
      <c r="K79" s="3"/>
      <c r="M79" s="3"/>
      <c r="N79" s="3"/>
      <c r="O79" s="52"/>
      <c r="P79" s="3"/>
    </row>
    <row r="80" spans="2:16">
      <c r="B80" s="28"/>
      <c r="C80" s="3"/>
      <c r="E80" s="35"/>
      <c r="F80" s="28"/>
      <c r="G80" s="28"/>
      <c r="H80" s="29"/>
      <c r="I80" s="14"/>
      <c r="K80" s="3"/>
      <c r="M80" s="3"/>
      <c r="N80" s="3"/>
      <c r="O80" s="52"/>
      <c r="P80" s="3"/>
    </row>
    <row r="81" spans="2:16">
      <c r="B81" s="28"/>
      <c r="C81" s="3"/>
      <c r="E81" s="35"/>
      <c r="F81" s="28"/>
      <c r="G81" s="28"/>
      <c r="H81" s="29"/>
      <c r="I81" s="14"/>
      <c r="K81" s="3"/>
      <c r="M81" s="3"/>
      <c r="N81" s="3"/>
      <c r="O81" s="52"/>
      <c r="P81" s="3"/>
    </row>
    <row r="82" spans="2:16">
      <c r="B82" s="28"/>
      <c r="C82" s="3"/>
      <c r="E82" s="35"/>
      <c r="F82" s="28"/>
      <c r="G82" s="28"/>
      <c r="H82" s="29"/>
      <c r="I82" s="14"/>
      <c r="K82" s="3"/>
      <c r="M82" s="3"/>
      <c r="N82" s="3"/>
      <c r="O82" s="52"/>
      <c r="P82" s="3"/>
    </row>
    <row r="83" spans="2:16">
      <c r="B83" s="28"/>
      <c r="C83" s="3"/>
      <c r="E83" s="35"/>
      <c r="F83" s="28"/>
      <c r="G83" s="28"/>
      <c r="H83" s="29"/>
      <c r="I83" s="14"/>
      <c r="K83" s="3"/>
      <c r="M83" s="3"/>
      <c r="N83" s="3"/>
      <c r="O83" s="52"/>
      <c r="P83" s="3"/>
    </row>
    <row r="84" spans="2:16">
      <c r="B84" s="28"/>
      <c r="C84" s="3"/>
      <c r="E84" s="35"/>
      <c r="F84" s="28"/>
      <c r="G84" s="28"/>
      <c r="H84" s="29"/>
      <c r="I84" s="14"/>
      <c r="K84" s="3"/>
      <c r="M84" s="3"/>
      <c r="N84" s="3"/>
      <c r="O84" s="52"/>
      <c r="P84" s="3"/>
    </row>
    <row r="85" spans="2:16">
      <c r="B85" s="28"/>
      <c r="C85" s="3"/>
      <c r="E85" s="35"/>
      <c r="F85" s="28"/>
      <c r="G85" s="28"/>
      <c r="H85" s="29"/>
      <c r="I85" s="14"/>
      <c r="K85" s="3"/>
      <c r="M85" s="3"/>
      <c r="N85" s="3"/>
      <c r="O85" s="52"/>
      <c r="P85" s="3"/>
    </row>
    <row r="86" spans="2:16">
      <c r="B86" s="28"/>
      <c r="C86" s="3"/>
      <c r="E86" s="35"/>
      <c r="F86" s="28"/>
      <c r="G86" s="28"/>
      <c r="H86" s="29"/>
      <c r="I86" s="14"/>
      <c r="K86" s="3"/>
      <c r="M86" s="3"/>
      <c r="N86" s="3"/>
      <c r="O86" s="52"/>
      <c r="P86" s="3"/>
    </row>
    <row r="87" spans="2:16">
      <c r="B87" s="28"/>
      <c r="C87" s="3"/>
      <c r="E87" s="35"/>
      <c r="F87" s="28"/>
      <c r="G87" s="28"/>
      <c r="H87" s="29"/>
      <c r="I87" s="14"/>
      <c r="K87" s="3"/>
      <c r="M87" s="3"/>
      <c r="N87" s="3"/>
      <c r="O87" s="52"/>
      <c r="P87" s="3"/>
    </row>
    <row r="88" spans="2:16">
      <c r="B88" s="28"/>
      <c r="C88" s="3"/>
      <c r="E88" s="35"/>
      <c r="F88" s="28"/>
      <c r="G88" s="28"/>
      <c r="H88" s="29"/>
      <c r="I88" s="14"/>
      <c r="K88" s="3"/>
      <c r="M88" s="3"/>
      <c r="N88" s="3"/>
      <c r="O88" s="52"/>
      <c r="P88" s="3"/>
    </row>
    <row r="89" spans="2:16">
      <c r="B89" s="28"/>
      <c r="C89" s="3"/>
      <c r="E89" s="35"/>
      <c r="F89" s="28"/>
      <c r="G89" s="28"/>
      <c r="H89" s="29"/>
      <c r="I89" s="14"/>
      <c r="K89" s="3"/>
      <c r="M89" s="3"/>
      <c r="N89" s="3"/>
      <c r="O89" s="52"/>
      <c r="P89" s="3"/>
    </row>
    <row r="90" spans="2:16">
      <c r="B90" s="28"/>
      <c r="C90" s="3"/>
      <c r="E90" s="35"/>
      <c r="F90" s="28"/>
      <c r="G90" s="28"/>
      <c r="H90" s="29"/>
      <c r="I90" s="14"/>
      <c r="K90" s="3"/>
      <c r="M90" s="3"/>
      <c r="N90" s="3"/>
      <c r="O90" s="52"/>
      <c r="P90" s="3"/>
    </row>
    <row r="91" spans="2:16">
      <c r="B91" s="28"/>
      <c r="C91" s="3"/>
      <c r="E91" s="35"/>
      <c r="F91" s="28"/>
      <c r="G91" s="28"/>
      <c r="H91" s="29"/>
      <c r="I91" s="14"/>
      <c r="K91" s="3"/>
      <c r="M91" s="3"/>
      <c r="N91" s="3"/>
      <c r="O91" s="52"/>
      <c r="P91" s="3"/>
    </row>
    <row r="92" spans="2:16">
      <c r="B92" s="28"/>
      <c r="C92" s="3"/>
      <c r="E92" s="35"/>
      <c r="F92" s="28"/>
      <c r="G92" s="28"/>
      <c r="H92" s="29"/>
      <c r="I92" s="14"/>
      <c r="K92" s="3"/>
      <c r="M92" s="3"/>
      <c r="N92" s="3"/>
      <c r="O92" s="52"/>
      <c r="P92" s="3"/>
    </row>
    <row r="93" spans="2:16">
      <c r="B93" s="28"/>
      <c r="C93" s="3"/>
      <c r="E93" s="35"/>
      <c r="F93" s="28"/>
      <c r="G93" s="28"/>
      <c r="H93" s="29"/>
      <c r="I93" s="14"/>
      <c r="K93" s="3"/>
      <c r="M93" s="3"/>
      <c r="N93" s="3"/>
      <c r="O93" s="52"/>
      <c r="P93" s="3"/>
    </row>
    <row r="94" spans="2:16">
      <c r="B94" s="28"/>
      <c r="C94" s="3"/>
      <c r="E94" s="35"/>
      <c r="F94" s="28"/>
      <c r="G94" s="28"/>
      <c r="H94" s="29"/>
      <c r="I94" s="14"/>
      <c r="K94" s="3"/>
      <c r="M94" s="3"/>
      <c r="N94" s="3"/>
      <c r="O94" s="52"/>
      <c r="P94" s="3"/>
    </row>
    <row r="95" spans="2:16">
      <c r="B95" s="28"/>
      <c r="C95" s="3"/>
      <c r="E95" s="35"/>
      <c r="F95" s="28"/>
      <c r="G95" s="28"/>
      <c r="H95" s="29"/>
      <c r="I95" s="14"/>
      <c r="K95" s="3"/>
      <c r="M95" s="3"/>
      <c r="N95" s="3"/>
      <c r="O95" s="52"/>
      <c r="P95" s="3"/>
    </row>
    <row r="96" spans="2:16">
      <c r="B96" s="28"/>
      <c r="C96" s="3"/>
      <c r="E96" s="35"/>
      <c r="F96" s="28"/>
      <c r="G96" s="28"/>
      <c r="H96" s="29"/>
      <c r="I96" s="14"/>
      <c r="K96" s="3"/>
      <c r="M96" s="3"/>
      <c r="N96" s="3"/>
      <c r="O96" s="52"/>
      <c r="P96" s="3"/>
    </row>
    <row r="97" spans="2:16">
      <c r="B97" s="28"/>
      <c r="C97" s="3"/>
      <c r="E97" s="35"/>
      <c r="F97" s="28"/>
      <c r="G97" s="28"/>
      <c r="H97" s="29"/>
      <c r="I97" s="14"/>
      <c r="K97" s="3"/>
      <c r="M97" s="3"/>
      <c r="N97" s="3"/>
      <c r="O97" s="52"/>
      <c r="P97" s="3"/>
    </row>
    <row r="98" spans="2:16">
      <c r="B98" s="28"/>
      <c r="C98" s="3"/>
      <c r="E98" s="35"/>
      <c r="F98" s="28"/>
      <c r="G98" s="28"/>
      <c r="H98" s="29"/>
      <c r="I98" s="14"/>
      <c r="K98" s="3"/>
      <c r="M98" s="3"/>
      <c r="N98" s="3"/>
      <c r="O98" s="52"/>
      <c r="P98" s="3"/>
    </row>
    <row r="99" spans="2:16">
      <c r="B99" s="28"/>
      <c r="C99" s="3"/>
      <c r="E99" s="35"/>
      <c r="F99" s="28"/>
      <c r="G99" s="28"/>
      <c r="H99" s="29"/>
      <c r="I99" s="14"/>
      <c r="K99" s="3"/>
      <c r="M99" s="3"/>
      <c r="N99" s="3"/>
      <c r="O99" s="52"/>
      <c r="P99" s="3"/>
    </row>
    <row r="100" spans="2:16">
      <c r="B100" s="28"/>
      <c r="C100" s="3"/>
      <c r="E100" s="35"/>
      <c r="F100" s="28"/>
      <c r="G100" s="28"/>
      <c r="H100" s="29"/>
      <c r="I100" s="14"/>
      <c r="K100" s="3"/>
      <c r="M100" s="3"/>
      <c r="N100" s="3"/>
      <c r="O100" s="52"/>
      <c r="P100" s="3"/>
    </row>
    <row r="101" spans="2:16">
      <c r="B101" s="28"/>
      <c r="C101" s="3"/>
      <c r="E101" s="35"/>
      <c r="F101" s="28"/>
      <c r="G101" s="28"/>
      <c r="H101" s="29"/>
      <c r="I101" s="14"/>
      <c r="K101" s="3"/>
      <c r="M101" s="3"/>
      <c r="N101" s="3"/>
      <c r="O101" s="52"/>
      <c r="P101" s="3"/>
    </row>
    <row r="102" spans="2:16">
      <c r="B102" s="28"/>
      <c r="C102" s="3"/>
      <c r="E102" s="35"/>
      <c r="F102" s="28"/>
      <c r="G102" s="28"/>
      <c r="H102" s="29"/>
      <c r="I102" s="14"/>
      <c r="K102" s="3"/>
      <c r="M102" s="3"/>
      <c r="N102" s="3"/>
      <c r="O102" s="52"/>
      <c r="P102" s="3"/>
    </row>
    <row r="103" spans="2:16">
      <c r="B103" s="28"/>
      <c r="C103" s="3"/>
      <c r="E103" s="35"/>
      <c r="F103" s="28"/>
      <c r="G103" s="28"/>
      <c r="H103" s="29"/>
      <c r="I103" s="14"/>
      <c r="K103" s="3"/>
      <c r="M103" s="3"/>
      <c r="N103" s="3"/>
      <c r="O103" s="52"/>
      <c r="P103" s="3"/>
    </row>
    <row r="104" spans="2:16">
      <c r="B104" s="28"/>
      <c r="C104" s="3"/>
      <c r="E104" s="35"/>
      <c r="F104" s="28"/>
      <c r="G104" s="28"/>
      <c r="H104" s="29"/>
      <c r="I104" s="14"/>
      <c r="K104" s="3"/>
      <c r="M104" s="3"/>
      <c r="N104" s="3"/>
      <c r="O104" s="52"/>
      <c r="P104" s="3"/>
    </row>
    <row r="105" spans="2:16">
      <c r="B105" s="28"/>
      <c r="C105" s="3"/>
      <c r="E105" s="35"/>
      <c r="F105" s="28"/>
      <c r="G105" s="28"/>
      <c r="H105" s="29"/>
      <c r="I105" s="14"/>
      <c r="K105" s="3"/>
      <c r="M105" s="3"/>
      <c r="N105" s="3"/>
      <c r="O105" s="52"/>
      <c r="P105" s="3"/>
    </row>
    <row r="106" spans="2:16">
      <c r="B106" s="28"/>
      <c r="C106" s="3"/>
      <c r="E106" s="35"/>
      <c r="F106" s="28"/>
      <c r="G106" s="28"/>
      <c r="H106" s="29"/>
      <c r="I106" s="14"/>
      <c r="K106" s="3"/>
      <c r="M106" s="3"/>
      <c r="N106" s="3"/>
      <c r="O106" s="52"/>
      <c r="P106" s="3"/>
    </row>
    <row r="107" spans="2:16">
      <c r="B107" s="28"/>
      <c r="C107" s="3"/>
      <c r="E107" s="35"/>
      <c r="F107" s="28"/>
      <c r="G107" s="28"/>
      <c r="H107" s="29"/>
      <c r="I107" s="14"/>
      <c r="K107" s="3"/>
      <c r="M107" s="3"/>
      <c r="N107" s="3"/>
      <c r="O107" s="52"/>
      <c r="P107" s="3"/>
    </row>
    <row r="108" spans="2:16">
      <c r="B108" s="28"/>
      <c r="C108" s="3"/>
      <c r="E108" s="35"/>
      <c r="F108" s="28"/>
      <c r="G108" s="28"/>
      <c r="H108" s="29"/>
      <c r="I108" s="14"/>
      <c r="K108" s="3"/>
      <c r="M108" s="3"/>
      <c r="N108" s="3"/>
      <c r="O108" s="52"/>
      <c r="P108" s="3"/>
    </row>
    <row r="109" spans="2:16">
      <c r="B109" s="28"/>
      <c r="C109" s="3"/>
      <c r="E109" s="35"/>
      <c r="F109" s="28"/>
      <c r="G109" s="28"/>
      <c r="H109" s="29"/>
      <c r="I109" s="14"/>
      <c r="K109" s="3"/>
      <c r="M109" s="3"/>
      <c r="N109" s="3"/>
      <c r="O109" s="52"/>
      <c r="P109" s="3"/>
    </row>
    <row r="110" spans="2:16">
      <c r="B110" s="28"/>
      <c r="C110" s="3"/>
      <c r="E110" s="35"/>
      <c r="F110" s="28"/>
      <c r="G110" s="28"/>
      <c r="H110" s="29"/>
      <c r="I110" s="14"/>
      <c r="K110" s="3"/>
      <c r="M110" s="3"/>
      <c r="N110" s="3"/>
      <c r="O110" s="52"/>
      <c r="P110" s="3"/>
    </row>
    <row r="111" spans="2:16">
      <c r="B111" s="28"/>
      <c r="C111" s="3"/>
      <c r="E111" s="35"/>
      <c r="F111" s="28"/>
      <c r="G111" s="28"/>
      <c r="H111" s="29"/>
      <c r="I111" s="14"/>
      <c r="K111" s="3"/>
      <c r="M111" s="3"/>
      <c r="N111" s="3"/>
      <c r="O111" s="52"/>
      <c r="P111" s="3"/>
    </row>
    <row r="112" spans="2:16">
      <c r="B112" s="28"/>
      <c r="C112" s="3"/>
      <c r="E112" s="35"/>
      <c r="F112" s="28"/>
      <c r="G112" s="28"/>
      <c r="H112" s="29"/>
      <c r="I112" s="14"/>
      <c r="K112" s="3"/>
      <c r="M112" s="3"/>
      <c r="N112" s="3"/>
      <c r="O112" s="52"/>
      <c r="P112" s="3"/>
    </row>
    <row r="113" spans="2:16">
      <c r="B113" s="28"/>
      <c r="C113" s="3"/>
      <c r="E113" s="35"/>
      <c r="F113" s="28"/>
      <c r="G113" s="28"/>
      <c r="H113" s="29"/>
      <c r="I113" s="14"/>
      <c r="K113" s="3"/>
      <c r="M113" s="3"/>
      <c r="N113" s="3"/>
      <c r="O113" s="52"/>
      <c r="P113" s="3"/>
    </row>
    <row r="114" spans="2:16">
      <c r="B114" s="28"/>
      <c r="C114" s="3"/>
      <c r="E114" s="35"/>
      <c r="F114" s="28"/>
      <c r="G114" s="28"/>
      <c r="H114" s="29"/>
      <c r="I114" s="14"/>
      <c r="K114" s="3"/>
      <c r="M114" s="3"/>
      <c r="N114" s="3"/>
      <c r="O114" s="52"/>
      <c r="P114" s="3"/>
    </row>
    <row r="115" spans="2:16">
      <c r="B115" s="28"/>
      <c r="C115" s="3"/>
      <c r="E115" s="35"/>
      <c r="F115" s="28"/>
      <c r="G115" s="28"/>
      <c r="H115" s="29"/>
      <c r="I115" s="14"/>
      <c r="K115" s="3"/>
      <c r="M115" s="3"/>
      <c r="N115" s="3"/>
      <c r="O115" s="52"/>
      <c r="P115" s="3"/>
    </row>
    <row r="116" spans="2:16">
      <c r="B116" s="28"/>
      <c r="C116" s="3"/>
      <c r="E116" s="35"/>
      <c r="F116" s="28"/>
      <c r="G116" s="28"/>
      <c r="H116" s="29"/>
      <c r="I116" s="14"/>
      <c r="K116" s="3"/>
      <c r="M116" s="3"/>
      <c r="N116" s="3"/>
      <c r="O116" s="52"/>
      <c r="P116" s="3"/>
    </row>
    <row r="117" spans="2:16">
      <c r="B117" s="28"/>
      <c r="C117" s="3"/>
      <c r="E117" s="35"/>
      <c r="F117" s="28"/>
      <c r="G117" s="28"/>
      <c r="H117" s="29"/>
      <c r="I117" s="14"/>
      <c r="K117" s="3"/>
      <c r="M117" s="3"/>
      <c r="N117" s="3"/>
      <c r="O117" s="52"/>
      <c r="P117" s="3"/>
    </row>
    <row r="118" spans="2:16">
      <c r="B118" s="28"/>
      <c r="C118" s="3"/>
      <c r="E118" s="35"/>
      <c r="F118" s="28"/>
      <c r="G118" s="28"/>
      <c r="H118" s="29"/>
      <c r="I118" s="14"/>
      <c r="K118" s="3"/>
      <c r="M118" s="3"/>
      <c r="N118" s="3"/>
      <c r="O118" s="52"/>
      <c r="P118" s="3"/>
    </row>
    <row r="119" spans="2:16">
      <c r="B119" s="28"/>
      <c r="C119" s="3"/>
      <c r="E119" s="35"/>
      <c r="F119" s="28"/>
      <c r="G119" s="28"/>
      <c r="H119" s="29"/>
      <c r="I119" s="14"/>
      <c r="K119" s="3"/>
      <c r="M119" s="3"/>
      <c r="N119" s="3"/>
      <c r="O119" s="52"/>
      <c r="P119" s="3"/>
    </row>
    <row r="120" spans="2:16">
      <c r="B120" s="28"/>
      <c r="C120" s="3"/>
      <c r="E120" s="35"/>
      <c r="F120" s="28"/>
      <c r="G120" s="28"/>
      <c r="H120" s="29"/>
      <c r="I120" s="14"/>
      <c r="K120" s="3"/>
      <c r="M120" s="3"/>
      <c r="N120" s="3"/>
      <c r="O120" s="52"/>
      <c r="P120" s="3"/>
    </row>
    <row r="121" spans="2:16">
      <c r="B121" s="28"/>
      <c r="C121" s="3"/>
      <c r="E121" s="35"/>
      <c r="F121" s="28"/>
      <c r="G121" s="28"/>
      <c r="H121" s="29"/>
      <c r="I121" s="14"/>
      <c r="K121" s="3"/>
      <c r="M121" s="3"/>
      <c r="N121" s="3"/>
      <c r="O121" s="52"/>
      <c r="P121" s="3"/>
    </row>
    <row r="122" spans="2:16">
      <c r="B122" s="28"/>
      <c r="C122" s="3"/>
      <c r="E122" s="35"/>
      <c r="F122" s="28"/>
      <c r="G122" s="28"/>
      <c r="H122" s="29"/>
      <c r="I122" s="14"/>
      <c r="K122" s="3"/>
      <c r="M122" s="3"/>
      <c r="N122" s="3"/>
      <c r="O122" s="52"/>
      <c r="P122" s="3"/>
    </row>
    <row r="123" spans="2:16">
      <c r="B123" s="28"/>
      <c r="C123" s="3"/>
      <c r="E123" s="35"/>
      <c r="F123" s="28"/>
      <c r="G123" s="28"/>
      <c r="H123" s="29"/>
      <c r="I123" s="14"/>
      <c r="K123" s="3"/>
      <c r="M123" s="3"/>
      <c r="N123" s="3"/>
      <c r="O123" s="52"/>
      <c r="P123" s="3"/>
    </row>
    <row r="124" spans="2:16">
      <c r="B124" s="28"/>
      <c r="C124" s="3"/>
      <c r="E124" s="35"/>
      <c r="F124" s="28"/>
      <c r="G124" s="28"/>
      <c r="H124" s="29"/>
      <c r="I124" s="14"/>
      <c r="K124" s="3"/>
      <c r="M124" s="3"/>
      <c r="N124" s="3"/>
      <c r="O124" s="52"/>
      <c r="P124" s="3"/>
    </row>
    <row r="125" spans="2:16">
      <c r="B125" s="28"/>
      <c r="C125" s="3"/>
      <c r="E125" s="35"/>
      <c r="F125" s="28"/>
      <c r="G125" s="28"/>
      <c r="H125" s="29"/>
      <c r="I125" s="14"/>
      <c r="K125" s="3"/>
      <c r="M125" s="3"/>
      <c r="N125" s="3"/>
      <c r="O125" s="52"/>
      <c r="P125" s="3"/>
    </row>
    <row r="126" spans="2:16">
      <c r="B126" s="28"/>
      <c r="C126" s="3"/>
      <c r="E126" s="35"/>
      <c r="F126" s="28"/>
      <c r="G126" s="28"/>
      <c r="H126" s="29"/>
      <c r="I126" s="14"/>
      <c r="K126" s="3"/>
      <c r="M126" s="3"/>
      <c r="N126" s="3"/>
      <c r="O126" s="52"/>
      <c r="P126" s="3"/>
    </row>
    <row r="127" spans="2:16">
      <c r="B127" s="28"/>
      <c r="C127" s="3"/>
      <c r="E127" s="35"/>
      <c r="F127" s="28"/>
      <c r="G127" s="28"/>
      <c r="H127" s="29"/>
      <c r="I127" s="14"/>
      <c r="K127" s="3"/>
      <c r="M127" s="3"/>
      <c r="N127" s="3"/>
      <c r="O127" s="52"/>
      <c r="P127" s="3"/>
    </row>
    <row r="128" spans="2:16">
      <c r="B128" s="28"/>
      <c r="C128" s="3"/>
      <c r="E128" s="35"/>
      <c r="F128" s="28"/>
      <c r="G128" s="28"/>
      <c r="H128" s="29"/>
      <c r="I128" s="14"/>
      <c r="K128" s="3"/>
      <c r="M128" s="3"/>
      <c r="N128" s="3"/>
      <c r="O128" s="52"/>
      <c r="P128" s="3"/>
    </row>
    <row r="129" spans="2:16">
      <c r="B129" s="28"/>
      <c r="C129" s="3"/>
      <c r="E129" s="35"/>
      <c r="F129" s="28"/>
      <c r="G129" s="28"/>
      <c r="H129" s="29"/>
      <c r="I129" s="14"/>
      <c r="K129" s="3"/>
      <c r="M129" s="3"/>
      <c r="N129" s="3"/>
      <c r="O129" s="52"/>
      <c r="P129" s="3"/>
    </row>
    <row r="130" spans="2:16">
      <c r="B130" s="28"/>
      <c r="C130" s="3"/>
      <c r="E130" s="35"/>
      <c r="F130" s="28"/>
      <c r="G130" s="28"/>
      <c r="H130" s="29"/>
      <c r="I130" s="14"/>
      <c r="K130" s="3"/>
      <c r="M130" s="3"/>
      <c r="N130" s="3"/>
      <c r="O130" s="52"/>
      <c r="P130" s="3"/>
    </row>
    <row r="131" spans="2:16">
      <c r="B131" s="28"/>
      <c r="C131" s="3"/>
      <c r="E131" s="35"/>
      <c r="F131" s="28"/>
      <c r="G131" s="28"/>
      <c r="H131" s="29"/>
      <c r="I131" s="14"/>
      <c r="K131" s="3"/>
      <c r="M131" s="3"/>
      <c r="N131" s="3"/>
      <c r="O131" s="52"/>
      <c r="P131" s="3"/>
    </row>
    <row r="132" spans="2:16">
      <c r="B132" s="28"/>
      <c r="C132" s="3"/>
      <c r="E132" s="35"/>
      <c r="F132" s="28"/>
      <c r="G132" s="28"/>
      <c r="H132" s="29"/>
      <c r="I132" s="14"/>
      <c r="K132" s="3"/>
      <c r="M132" s="3"/>
      <c r="N132" s="3"/>
      <c r="O132" s="52"/>
      <c r="P132" s="3"/>
    </row>
    <row r="133" spans="2:16">
      <c r="B133" s="28"/>
      <c r="C133" s="3"/>
      <c r="E133" s="35"/>
      <c r="F133" s="28"/>
      <c r="G133" s="28"/>
      <c r="H133" s="29"/>
      <c r="I133" s="14"/>
      <c r="K133" s="3"/>
      <c r="M133" s="3"/>
      <c r="N133" s="3"/>
      <c r="O133" s="52"/>
      <c r="P133" s="3"/>
    </row>
    <row r="134" spans="2:16">
      <c r="B134" s="28"/>
      <c r="C134" s="3"/>
      <c r="E134" s="35"/>
      <c r="F134" s="28"/>
      <c r="G134" s="28"/>
      <c r="H134" s="29"/>
      <c r="I134" s="14"/>
      <c r="K134" s="3"/>
      <c r="M134" s="3"/>
      <c r="N134" s="3"/>
      <c r="O134" s="52"/>
      <c r="P134" s="3"/>
    </row>
    <row r="135" spans="2:16">
      <c r="B135" s="28"/>
      <c r="C135" s="3"/>
      <c r="E135" s="35"/>
      <c r="F135" s="28"/>
      <c r="G135" s="28"/>
      <c r="H135" s="29"/>
      <c r="I135" s="14"/>
      <c r="K135" s="3"/>
      <c r="M135" s="3"/>
      <c r="N135" s="3"/>
      <c r="O135" s="52"/>
      <c r="P135" s="3"/>
    </row>
    <row r="136" spans="2:16">
      <c r="B136" s="28"/>
      <c r="C136" s="3"/>
      <c r="E136" s="35"/>
      <c r="F136" s="28"/>
      <c r="G136" s="28"/>
      <c r="H136" s="29"/>
      <c r="I136" s="14"/>
      <c r="K136" s="3"/>
      <c r="M136" s="3"/>
      <c r="N136" s="3"/>
      <c r="O136" s="52"/>
      <c r="P136" s="3"/>
    </row>
    <row r="137" spans="2:16">
      <c r="B137" s="28"/>
      <c r="C137" s="3"/>
      <c r="E137" s="35"/>
      <c r="F137" s="28"/>
      <c r="G137" s="28"/>
      <c r="H137" s="29"/>
      <c r="I137" s="14"/>
      <c r="K137" s="3"/>
      <c r="M137" s="3"/>
      <c r="N137" s="3"/>
      <c r="O137" s="52"/>
      <c r="P137" s="3"/>
    </row>
    <row r="138" spans="2:16">
      <c r="B138" s="28"/>
      <c r="C138" s="3"/>
      <c r="E138" s="35"/>
      <c r="F138" s="28"/>
      <c r="G138" s="28"/>
      <c r="H138" s="29"/>
      <c r="I138" s="14"/>
      <c r="K138" s="3"/>
      <c r="M138" s="3"/>
      <c r="N138" s="3"/>
      <c r="O138" s="52"/>
      <c r="P138" s="3"/>
    </row>
    <row r="139" spans="2:16">
      <c r="B139" s="28"/>
      <c r="C139" s="3"/>
      <c r="E139" s="35"/>
      <c r="F139" s="28"/>
      <c r="G139" s="28"/>
      <c r="H139" s="29"/>
      <c r="I139" s="14"/>
      <c r="K139" s="3"/>
      <c r="M139" s="3"/>
      <c r="N139" s="3"/>
      <c r="O139" s="52"/>
      <c r="P139" s="3"/>
    </row>
    <row r="140" spans="2:16">
      <c r="B140" s="28"/>
      <c r="C140" s="3"/>
      <c r="E140" s="35"/>
      <c r="F140" s="28"/>
      <c r="G140" s="28"/>
      <c r="H140" s="29"/>
      <c r="I140" s="14"/>
      <c r="K140" s="3"/>
      <c r="M140" s="3"/>
      <c r="N140" s="3"/>
      <c r="O140" s="52"/>
      <c r="P140" s="3"/>
    </row>
    <row r="141" spans="2:16">
      <c r="B141" s="28"/>
      <c r="C141" s="3"/>
      <c r="E141" s="35"/>
      <c r="F141" s="28"/>
      <c r="G141" s="28"/>
      <c r="H141" s="29"/>
      <c r="I141" s="14"/>
      <c r="K141" s="3"/>
      <c r="M141" s="3"/>
      <c r="N141" s="3"/>
      <c r="O141" s="52"/>
      <c r="P141" s="3"/>
    </row>
    <row r="142" spans="2:16">
      <c r="B142" s="28"/>
      <c r="C142" s="3"/>
      <c r="E142" s="35"/>
      <c r="F142" s="28"/>
      <c r="G142" s="28"/>
      <c r="H142" s="29"/>
      <c r="I142" s="14"/>
      <c r="K142" s="3"/>
      <c r="M142" s="3"/>
      <c r="N142" s="3"/>
      <c r="O142" s="52"/>
      <c r="P142" s="3"/>
    </row>
    <row r="143" spans="2:16">
      <c r="B143" s="28"/>
      <c r="C143" s="3"/>
      <c r="E143" s="35"/>
      <c r="F143" s="28"/>
      <c r="G143" s="28"/>
      <c r="H143" s="29"/>
      <c r="I143" s="14"/>
      <c r="K143" s="3"/>
      <c r="M143" s="3"/>
      <c r="N143" s="3"/>
      <c r="O143" s="52"/>
      <c r="P143" s="3"/>
    </row>
    <row r="144" spans="2:16">
      <c r="B144" s="28"/>
      <c r="C144" s="3"/>
      <c r="E144" s="35"/>
      <c r="F144" s="28"/>
      <c r="G144" s="28"/>
      <c r="H144" s="29"/>
      <c r="I144" s="14"/>
      <c r="K144" s="3"/>
      <c r="M144" s="3"/>
      <c r="N144" s="3"/>
      <c r="O144" s="52"/>
      <c r="P144" s="3"/>
    </row>
    <row r="145" spans="2:16">
      <c r="B145" s="28"/>
      <c r="C145" s="3"/>
      <c r="E145" s="35"/>
      <c r="F145" s="28"/>
      <c r="G145" s="28"/>
      <c r="H145" s="29"/>
      <c r="I145" s="14"/>
      <c r="K145" s="3"/>
      <c r="M145" s="3"/>
      <c r="N145" s="3"/>
      <c r="O145" s="52"/>
      <c r="P145" s="3"/>
    </row>
    <row r="146" spans="2:16">
      <c r="B146" s="28"/>
      <c r="C146" s="3"/>
      <c r="E146" s="35"/>
      <c r="F146" s="28"/>
      <c r="G146" s="28"/>
      <c r="H146" s="29"/>
      <c r="I146" s="14"/>
      <c r="K146" s="3"/>
      <c r="M146" s="3"/>
      <c r="N146" s="3"/>
      <c r="O146" s="52"/>
      <c r="P146" s="3"/>
    </row>
    <row r="147" spans="2:16">
      <c r="B147" s="28"/>
      <c r="C147" s="3"/>
      <c r="E147" s="35"/>
      <c r="F147" s="28"/>
      <c r="G147" s="28"/>
      <c r="H147" s="29"/>
      <c r="I147" s="14"/>
      <c r="K147" s="3"/>
      <c r="M147" s="3"/>
      <c r="N147" s="3"/>
      <c r="O147" s="52"/>
      <c r="P147" s="3"/>
    </row>
    <row r="148" spans="2:16">
      <c r="B148" s="28"/>
      <c r="C148" s="3"/>
      <c r="E148" s="35"/>
      <c r="F148" s="28"/>
      <c r="G148" s="28"/>
      <c r="H148" s="29"/>
      <c r="I148" s="14"/>
      <c r="K148" s="3"/>
      <c r="M148" s="3"/>
      <c r="N148" s="3"/>
      <c r="O148" s="52"/>
      <c r="P148" s="3"/>
    </row>
    <row r="149" spans="2:16">
      <c r="B149" s="28"/>
      <c r="C149" s="3"/>
      <c r="E149" s="35"/>
      <c r="F149" s="28"/>
      <c r="G149" s="28"/>
      <c r="H149" s="29"/>
      <c r="I149" s="14"/>
      <c r="K149" s="3"/>
      <c r="M149" s="3"/>
      <c r="N149" s="3"/>
      <c r="O149" s="52"/>
      <c r="P149" s="3"/>
    </row>
    <row r="150" spans="2:16">
      <c r="B150" s="28"/>
      <c r="C150" s="3"/>
      <c r="E150" s="35"/>
      <c r="F150" s="28"/>
      <c r="G150" s="28"/>
      <c r="H150" s="29"/>
      <c r="I150" s="14"/>
      <c r="K150" s="3"/>
      <c r="M150" s="3"/>
      <c r="N150" s="3"/>
      <c r="O150" s="52"/>
      <c r="P150" s="3"/>
    </row>
    <row r="151" spans="2:16">
      <c r="B151" s="28"/>
      <c r="C151" s="3"/>
      <c r="E151" s="35"/>
      <c r="F151" s="28"/>
      <c r="G151" s="28"/>
      <c r="H151" s="29"/>
      <c r="I151" s="14"/>
      <c r="K151" s="3"/>
      <c r="M151" s="3"/>
      <c r="N151" s="3"/>
      <c r="O151" s="52"/>
      <c r="P151" s="3"/>
    </row>
    <row r="152" spans="2:16">
      <c r="B152" s="28"/>
      <c r="C152" s="3"/>
      <c r="E152" s="35"/>
      <c r="F152" s="28"/>
      <c r="G152" s="28"/>
      <c r="H152" s="29"/>
      <c r="I152" s="14"/>
      <c r="K152" s="3"/>
      <c r="M152" s="3"/>
      <c r="N152" s="3"/>
      <c r="O152" s="52"/>
      <c r="P152" s="3"/>
    </row>
    <row r="153" spans="2:16">
      <c r="B153" s="28"/>
      <c r="C153" s="3"/>
      <c r="E153" s="35"/>
      <c r="F153" s="28"/>
      <c r="G153" s="28"/>
      <c r="H153" s="29"/>
      <c r="I153" s="14"/>
      <c r="K153" s="3"/>
      <c r="M153" s="3"/>
      <c r="N153" s="3"/>
      <c r="O153" s="52"/>
      <c r="P153" s="3"/>
    </row>
    <row r="154" spans="2:16">
      <c r="B154" s="28"/>
      <c r="C154" s="3"/>
      <c r="E154" s="35"/>
      <c r="F154" s="28"/>
      <c r="G154" s="28"/>
      <c r="H154" s="29"/>
      <c r="I154" s="14"/>
      <c r="K154" s="3"/>
      <c r="M154" s="3"/>
      <c r="N154" s="3"/>
      <c r="O154" s="52"/>
      <c r="P154" s="3"/>
    </row>
    <row r="155" spans="2:16">
      <c r="B155" s="28"/>
      <c r="C155" s="3"/>
      <c r="E155" s="35"/>
      <c r="F155" s="28"/>
      <c r="G155" s="28"/>
      <c r="H155" s="29"/>
      <c r="I155" s="14"/>
      <c r="K155" s="3"/>
      <c r="M155" s="3"/>
      <c r="N155" s="3"/>
      <c r="O155" s="52"/>
      <c r="P155" s="3"/>
    </row>
    <row r="156" spans="2:16">
      <c r="B156" s="28"/>
      <c r="C156" s="3"/>
      <c r="E156" s="35"/>
      <c r="F156" s="28"/>
      <c r="G156" s="28"/>
      <c r="H156" s="29"/>
      <c r="I156" s="14"/>
      <c r="K156" s="3"/>
      <c r="M156" s="3"/>
      <c r="N156" s="3"/>
      <c r="O156" s="52"/>
      <c r="P156" s="3"/>
    </row>
    <row r="157" spans="2:16">
      <c r="B157" s="28"/>
      <c r="C157" s="3"/>
      <c r="E157" s="35"/>
      <c r="F157" s="28"/>
      <c r="G157" s="28"/>
      <c r="H157" s="29"/>
      <c r="I157" s="14"/>
      <c r="K157" s="3"/>
      <c r="M157" s="3"/>
      <c r="N157" s="3"/>
      <c r="O157" s="52"/>
      <c r="P157" s="3"/>
    </row>
    <row r="158" spans="2:16">
      <c r="B158" s="28"/>
      <c r="C158" s="3"/>
      <c r="E158" s="35"/>
      <c r="F158" s="28"/>
      <c r="G158" s="28"/>
      <c r="H158" s="29"/>
      <c r="I158" s="14"/>
      <c r="K158" s="3"/>
      <c r="M158" s="3"/>
      <c r="N158" s="3"/>
      <c r="O158" s="52"/>
      <c r="P158" s="3"/>
    </row>
    <row r="159" spans="2:16">
      <c r="B159" s="28"/>
      <c r="C159" s="3"/>
      <c r="E159" s="35"/>
      <c r="F159" s="28"/>
      <c r="G159" s="28"/>
      <c r="H159" s="29"/>
      <c r="I159" s="14"/>
      <c r="K159" s="3"/>
      <c r="M159" s="3"/>
      <c r="N159" s="3"/>
      <c r="O159" s="52"/>
      <c r="P159" s="3"/>
    </row>
    <row r="160" spans="2:16">
      <c r="B160" s="28"/>
      <c r="C160" s="3"/>
      <c r="E160" s="35"/>
      <c r="F160" s="28"/>
      <c r="G160" s="28"/>
      <c r="H160" s="29"/>
      <c r="I160" s="14"/>
      <c r="K160" s="3"/>
      <c r="M160" s="3"/>
      <c r="N160" s="3"/>
      <c r="O160" s="52"/>
      <c r="P160" s="3"/>
    </row>
    <row r="161" spans="2:16">
      <c r="B161" s="28"/>
      <c r="C161" s="3"/>
      <c r="E161" s="35"/>
      <c r="F161" s="28"/>
      <c r="G161" s="28"/>
      <c r="H161" s="29"/>
      <c r="I161" s="14"/>
      <c r="K161" s="3"/>
      <c r="M161" s="3"/>
      <c r="N161" s="3"/>
      <c r="O161" s="52"/>
      <c r="P161" s="3"/>
    </row>
    <row r="162" spans="2:16">
      <c r="B162" s="28"/>
      <c r="C162" s="3"/>
      <c r="E162" s="35"/>
      <c r="F162" s="28"/>
      <c r="G162" s="28"/>
      <c r="H162" s="29"/>
      <c r="I162" s="14"/>
      <c r="K162" s="3"/>
      <c r="M162" s="3"/>
      <c r="N162" s="3"/>
      <c r="O162" s="52"/>
      <c r="P162" s="3"/>
    </row>
    <row r="163" spans="2:16">
      <c r="B163" s="28"/>
      <c r="C163" s="3"/>
      <c r="E163" s="35"/>
      <c r="F163" s="28"/>
      <c r="G163" s="28"/>
      <c r="H163" s="29"/>
      <c r="I163" s="14"/>
      <c r="K163" s="3"/>
      <c r="M163" s="3"/>
      <c r="N163" s="3"/>
      <c r="O163" s="52"/>
      <c r="P163" s="3"/>
    </row>
    <row r="164" spans="2:16">
      <c r="B164" s="28"/>
      <c r="C164" s="3"/>
      <c r="E164" s="35"/>
      <c r="F164" s="28"/>
      <c r="G164" s="28"/>
      <c r="H164" s="29"/>
      <c r="I164" s="14"/>
      <c r="K164" s="3"/>
      <c r="M164" s="3"/>
      <c r="N164" s="3"/>
      <c r="O164" s="52"/>
      <c r="P164" s="3"/>
    </row>
    <row r="165" spans="2:16">
      <c r="B165" s="28"/>
      <c r="C165" s="3"/>
      <c r="E165" s="35"/>
      <c r="F165" s="28"/>
      <c r="G165" s="28"/>
      <c r="H165" s="29"/>
      <c r="I165" s="14"/>
      <c r="K165" s="3"/>
      <c r="M165" s="3"/>
      <c r="N165" s="3"/>
      <c r="O165" s="52"/>
      <c r="P165" s="3"/>
    </row>
    <row r="166" spans="2:16">
      <c r="B166" s="28"/>
      <c r="C166" s="3"/>
      <c r="E166" s="35"/>
      <c r="F166" s="28"/>
      <c r="G166" s="28"/>
      <c r="H166" s="29"/>
      <c r="I166" s="14"/>
      <c r="K166" s="3"/>
      <c r="M166" s="3"/>
      <c r="N166" s="3"/>
      <c r="O166" s="52"/>
      <c r="P166" s="3"/>
    </row>
    <row r="167" spans="2:16">
      <c r="B167" s="28"/>
      <c r="C167" s="3"/>
      <c r="E167" s="35"/>
      <c r="F167" s="28"/>
      <c r="G167" s="28"/>
      <c r="H167" s="29"/>
      <c r="I167" s="14"/>
      <c r="K167" s="3"/>
      <c r="M167" s="3"/>
      <c r="N167" s="3"/>
      <c r="O167" s="52"/>
      <c r="P167" s="3"/>
    </row>
    <row r="168" spans="2:16">
      <c r="B168" s="28"/>
      <c r="C168" s="3"/>
      <c r="E168" s="35"/>
      <c r="F168" s="28"/>
      <c r="G168" s="28"/>
      <c r="H168" s="29"/>
      <c r="I168" s="14"/>
      <c r="K168" s="3"/>
      <c r="M168" s="3"/>
      <c r="N168" s="3"/>
      <c r="O168" s="52"/>
      <c r="P168" s="3"/>
    </row>
    <row r="169" spans="2:16">
      <c r="B169" s="28"/>
      <c r="C169" s="3"/>
      <c r="E169" s="35"/>
      <c r="F169" s="28"/>
      <c r="G169" s="28"/>
      <c r="H169" s="29"/>
      <c r="I169" s="14"/>
      <c r="K169" s="3"/>
      <c r="M169" s="3"/>
      <c r="N169" s="3"/>
      <c r="O169" s="52"/>
      <c r="P169" s="3"/>
    </row>
    <row r="170" spans="2:16">
      <c r="B170" s="28"/>
      <c r="C170" s="3"/>
      <c r="E170" s="35"/>
      <c r="F170" s="28"/>
      <c r="G170" s="28"/>
      <c r="H170" s="29"/>
      <c r="I170" s="14"/>
      <c r="K170" s="3"/>
      <c r="M170" s="3"/>
      <c r="N170" s="3"/>
      <c r="O170" s="52"/>
      <c r="P170" s="3"/>
    </row>
    <row r="171" spans="2:16">
      <c r="B171" s="28"/>
      <c r="C171" s="3"/>
      <c r="E171" s="35"/>
      <c r="F171" s="28"/>
      <c r="G171" s="28"/>
      <c r="H171" s="29"/>
      <c r="I171" s="14"/>
      <c r="K171" s="3"/>
      <c r="M171" s="3"/>
      <c r="N171" s="3"/>
      <c r="O171" s="52"/>
      <c r="P171" s="3"/>
    </row>
    <row r="172" spans="2:16">
      <c r="B172" s="28"/>
      <c r="C172" s="3"/>
      <c r="E172" s="35"/>
      <c r="F172" s="28"/>
      <c r="G172" s="28"/>
      <c r="H172" s="29"/>
      <c r="I172" s="14"/>
      <c r="K172" s="3"/>
      <c r="M172" s="3"/>
      <c r="N172" s="3"/>
      <c r="O172" s="52"/>
      <c r="P172" s="3"/>
    </row>
    <row r="173" spans="2:16">
      <c r="B173" s="28"/>
      <c r="C173" s="3"/>
      <c r="E173" s="35"/>
      <c r="F173" s="28"/>
      <c r="G173" s="28"/>
      <c r="H173" s="29"/>
      <c r="I173" s="14"/>
      <c r="K173" s="3"/>
      <c r="M173" s="3"/>
      <c r="N173" s="3"/>
      <c r="O173" s="52"/>
      <c r="P173" s="3"/>
    </row>
    <row r="174" spans="2:16">
      <c r="B174" s="28"/>
      <c r="C174" s="3"/>
      <c r="E174" s="35"/>
      <c r="F174" s="28"/>
      <c r="G174" s="28"/>
      <c r="H174" s="29"/>
      <c r="I174" s="14"/>
      <c r="K174" s="3"/>
      <c r="M174" s="3"/>
      <c r="N174" s="3"/>
      <c r="O174" s="52"/>
      <c r="P174" s="3"/>
    </row>
    <row r="175" spans="2:16">
      <c r="B175" s="28"/>
      <c r="C175" s="3"/>
      <c r="E175" s="35"/>
      <c r="F175" s="28"/>
      <c r="G175" s="28"/>
      <c r="H175" s="29"/>
      <c r="I175" s="14"/>
      <c r="K175" s="3"/>
      <c r="M175" s="3"/>
      <c r="N175" s="3"/>
      <c r="O175" s="52"/>
      <c r="P175" s="3"/>
    </row>
    <row r="176" spans="2:16">
      <c r="B176" s="28"/>
      <c r="C176" s="3"/>
      <c r="E176" s="35"/>
      <c r="F176" s="28"/>
      <c r="G176" s="28"/>
      <c r="H176" s="29"/>
      <c r="I176" s="14"/>
      <c r="K176" s="3"/>
      <c r="M176" s="3"/>
      <c r="N176" s="3"/>
      <c r="O176" s="52"/>
      <c r="P176" s="3"/>
    </row>
    <row r="177" spans="2:16">
      <c r="B177" s="28"/>
      <c r="C177" s="3"/>
      <c r="E177" s="35"/>
      <c r="F177" s="28"/>
      <c r="G177" s="28"/>
      <c r="H177" s="29"/>
      <c r="I177" s="14"/>
      <c r="K177" s="3"/>
      <c r="M177" s="3"/>
      <c r="N177" s="3"/>
      <c r="O177" s="52"/>
      <c r="P177" s="3"/>
    </row>
    <row r="178" spans="2:16">
      <c r="B178" s="28"/>
      <c r="C178" s="3"/>
      <c r="E178" s="35"/>
      <c r="F178" s="28"/>
      <c r="G178" s="28"/>
      <c r="H178" s="29"/>
      <c r="I178" s="14"/>
      <c r="K178" s="3"/>
      <c r="M178" s="3"/>
      <c r="N178" s="3"/>
      <c r="O178" s="52"/>
      <c r="P178" s="3"/>
    </row>
    <row r="179" spans="2:16">
      <c r="B179" s="28"/>
      <c r="C179" s="3"/>
      <c r="E179" s="35"/>
      <c r="F179" s="28"/>
      <c r="G179" s="28"/>
      <c r="H179" s="29"/>
      <c r="I179" s="14"/>
      <c r="K179" s="3"/>
      <c r="M179" s="3"/>
      <c r="N179" s="3"/>
      <c r="O179" s="52"/>
      <c r="P179" s="3"/>
    </row>
    <row r="180" spans="2:16">
      <c r="B180" s="28"/>
      <c r="C180" s="3"/>
      <c r="E180" s="35"/>
      <c r="F180" s="28"/>
      <c r="G180" s="28"/>
      <c r="H180" s="29"/>
      <c r="I180" s="14"/>
      <c r="K180" s="3"/>
      <c r="M180" s="3"/>
      <c r="N180" s="3"/>
      <c r="O180" s="52"/>
      <c r="P180" s="3"/>
    </row>
    <row r="181" spans="2:16">
      <c r="B181" s="28"/>
      <c r="C181" s="3"/>
      <c r="E181" s="35"/>
      <c r="F181" s="28"/>
      <c r="G181" s="28"/>
      <c r="H181" s="29"/>
      <c r="I181" s="14"/>
      <c r="K181" s="3"/>
      <c r="M181" s="3"/>
      <c r="N181" s="3"/>
      <c r="O181" s="52"/>
      <c r="P181" s="3"/>
    </row>
    <row r="182" spans="2:16">
      <c r="B182" s="28"/>
      <c r="C182" s="3"/>
      <c r="E182" s="35"/>
      <c r="F182" s="28"/>
      <c r="G182" s="28"/>
      <c r="H182" s="29"/>
      <c r="I182" s="14"/>
      <c r="K182" s="3"/>
      <c r="M182" s="3"/>
      <c r="N182" s="3"/>
      <c r="O182" s="52"/>
      <c r="P182" s="3"/>
    </row>
    <row r="183" spans="2:16">
      <c r="B183" s="28"/>
      <c r="C183" s="3"/>
      <c r="E183" s="35"/>
      <c r="F183" s="28"/>
      <c r="G183" s="28"/>
      <c r="H183" s="29"/>
      <c r="I183" s="14"/>
      <c r="K183" s="3"/>
      <c r="M183" s="3"/>
      <c r="N183" s="3"/>
      <c r="O183" s="52"/>
      <c r="P183" s="3"/>
    </row>
    <row r="184" spans="2:16">
      <c r="B184" s="28"/>
      <c r="C184" s="3"/>
      <c r="E184" s="35"/>
      <c r="F184" s="28"/>
      <c r="G184" s="28"/>
      <c r="H184" s="29"/>
      <c r="I184" s="14"/>
      <c r="K184" s="3"/>
      <c r="M184" s="3"/>
      <c r="N184" s="3"/>
      <c r="O184" s="52"/>
      <c r="P184" s="3"/>
    </row>
    <row r="185" spans="2:16">
      <c r="B185" s="28"/>
      <c r="C185" s="3"/>
      <c r="E185" s="35"/>
      <c r="F185" s="28"/>
      <c r="G185" s="28"/>
      <c r="H185" s="29"/>
      <c r="I185" s="14"/>
      <c r="K185" s="3"/>
      <c r="M185" s="3"/>
      <c r="N185" s="3"/>
      <c r="O185" s="52"/>
      <c r="P185" s="3"/>
    </row>
    <row r="186" spans="2:16">
      <c r="B186" s="28"/>
      <c r="C186" s="3"/>
      <c r="E186" s="35"/>
      <c r="F186" s="28"/>
      <c r="G186" s="28"/>
      <c r="H186" s="29"/>
      <c r="I186" s="14"/>
      <c r="K186" s="3"/>
      <c r="M186" s="3"/>
      <c r="N186" s="3"/>
      <c r="O186" s="52"/>
      <c r="P186" s="3"/>
    </row>
    <row r="187" spans="2:16">
      <c r="B187" s="28"/>
      <c r="C187" s="3"/>
      <c r="E187" s="35"/>
      <c r="F187" s="28"/>
      <c r="G187" s="28"/>
      <c r="H187" s="29"/>
      <c r="I187" s="14"/>
      <c r="K187" s="3"/>
      <c r="M187" s="3"/>
      <c r="N187" s="3"/>
      <c r="O187" s="52"/>
      <c r="P187" s="3"/>
    </row>
    <row r="188" spans="2:16">
      <c r="B188" s="28"/>
      <c r="C188" s="3"/>
      <c r="E188" s="35"/>
      <c r="F188" s="28"/>
      <c r="G188" s="28"/>
      <c r="H188" s="29"/>
      <c r="I188" s="14"/>
      <c r="K188" s="3"/>
      <c r="M188" s="3"/>
      <c r="N188" s="3"/>
      <c r="O188" s="52"/>
      <c r="P188" s="3"/>
    </row>
    <row r="189" spans="2:16">
      <c r="B189" s="28"/>
      <c r="C189" s="3"/>
      <c r="E189" s="35"/>
      <c r="F189" s="28"/>
      <c r="G189" s="28"/>
      <c r="H189" s="29"/>
      <c r="I189" s="14"/>
      <c r="K189" s="3"/>
      <c r="M189" s="3"/>
      <c r="N189" s="3"/>
      <c r="O189" s="52"/>
      <c r="P189" s="3"/>
    </row>
    <row r="190" spans="2:16">
      <c r="B190" s="28"/>
      <c r="C190" s="3"/>
      <c r="E190" s="35"/>
      <c r="F190" s="28"/>
      <c r="G190" s="28"/>
      <c r="H190" s="29"/>
      <c r="I190" s="14"/>
      <c r="K190" s="3"/>
      <c r="M190" s="3"/>
      <c r="N190" s="3"/>
      <c r="O190" s="52"/>
      <c r="P190" s="3"/>
    </row>
    <row r="191" spans="2:16">
      <c r="B191" s="28"/>
      <c r="C191" s="3"/>
      <c r="E191" s="35"/>
      <c r="F191" s="28"/>
      <c r="G191" s="28"/>
      <c r="H191" s="29"/>
      <c r="I191" s="14"/>
      <c r="K191" s="3"/>
      <c r="M191" s="3"/>
      <c r="N191" s="3"/>
      <c r="O191" s="52"/>
      <c r="P191" s="3"/>
    </row>
    <row r="192" spans="2:16">
      <c r="B192" s="28"/>
      <c r="C192" s="3"/>
      <c r="E192" s="35"/>
      <c r="F192" s="28"/>
      <c r="G192" s="28"/>
      <c r="H192" s="29"/>
      <c r="I192" s="14"/>
      <c r="K192" s="3"/>
      <c r="M192" s="3"/>
      <c r="N192" s="3"/>
      <c r="O192" s="52"/>
      <c r="P192" s="3"/>
    </row>
    <row r="193" spans="2:16">
      <c r="B193" s="28"/>
      <c r="C193" s="3"/>
      <c r="E193" s="35"/>
      <c r="F193" s="28"/>
      <c r="G193" s="28"/>
      <c r="H193" s="29"/>
      <c r="I193" s="14"/>
      <c r="K193" s="3"/>
      <c r="M193" s="3"/>
      <c r="N193" s="3"/>
      <c r="O193" s="52"/>
      <c r="P193" s="3"/>
    </row>
    <row r="194" spans="2:16">
      <c r="B194" s="28"/>
      <c r="C194" s="3"/>
      <c r="E194" s="35"/>
      <c r="F194" s="28"/>
      <c r="G194" s="28"/>
      <c r="H194" s="29"/>
      <c r="I194" s="14"/>
      <c r="K194" s="3"/>
      <c r="M194" s="3"/>
      <c r="N194" s="3"/>
      <c r="O194" s="52"/>
      <c r="P194" s="3"/>
    </row>
    <row r="195" spans="2:16">
      <c r="B195" s="28"/>
      <c r="C195" s="3"/>
      <c r="E195" s="35"/>
      <c r="F195" s="28"/>
      <c r="G195" s="28"/>
      <c r="H195" s="29"/>
      <c r="I195" s="14"/>
      <c r="K195" s="3"/>
      <c r="M195" s="3"/>
      <c r="N195" s="3"/>
      <c r="O195" s="52"/>
      <c r="P195" s="3"/>
    </row>
    <row r="196" spans="2:16">
      <c r="B196" s="28"/>
      <c r="C196" s="3"/>
      <c r="E196" s="35"/>
      <c r="F196" s="28"/>
      <c r="G196" s="28"/>
      <c r="H196" s="29"/>
      <c r="I196" s="14"/>
      <c r="K196" s="3"/>
      <c r="M196" s="3"/>
      <c r="N196" s="3"/>
      <c r="O196" s="52"/>
      <c r="P196" s="3"/>
    </row>
    <row r="197" spans="2:16">
      <c r="B197" s="28"/>
      <c r="C197" s="3"/>
      <c r="E197" s="35"/>
      <c r="F197" s="28"/>
      <c r="G197" s="28"/>
      <c r="H197" s="29"/>
      <c r="I197" s="14"/>
      <c r="K197" s="3"/>
      <c r="M197" s="3"/>
      <c r="N197" s="3"/>
      <c r="O197" s="52"/>
      <c r="P197" s="3"/>
    </row>
    <row r="198" spans="2:16">
      <c r="B198" s="28"/>
      <c r="C198" s="3"/>
      <c r="E198" s="35"/>
      <c r="F198" s="28"/>
      <c r="G198" s="28"/>
      <c r="H198" s="29"/>
      <c r="I198" s="14"/>
      <c r="K198" s="3"/>
      <c r="M198" s="3"/>
      <c r="N198" s="3"/>
      <c r="O198" s="52"/>
      <c r="P198" s="3"/>
    </row>
    <row r="199" spans="2:16">
      <c r="B199" s="28"/>
      <c r="C199" s="3"/>
      <c r="E199" s="35"/>
      <c r="F199" s="28"/>
      <c r="G199" s="28"/>
      <c r="H199" s="29"/>
      <c r="I199" s="14"/>
      <c r="K199" s="3"/>
      <c r="M199" s="3"/>
      <c r="N199" s="3"/>
      <c r="O199" s="52"/>
      <c r="P199" s="3"/>
    </row>
    <row r="200" spans="2:16">
      <c r="B200" s="28"/>
      <c r="C200" s="3"/>
      <c r="E200" s="35"/>
      <c r="F200" s="28"/>
      <c r="G200" s="28"/>
      <c r="H200" s="29"/>
      <c r="I200" s="14"/>
      <c r="K200" s="3"/>
      <c r="M200" s="3"/>
      <c r="N200" s="3"/>
      <c r="O200" s="52"/>
      <c r="P200" s="3"/>
    </row>
    <row r="201" spans="2:16">
      <c r="B201" s="28"/>
      <c r="C201" s="3"/>
      <c r="E201" s="35"/>
      <c r="F201" s="28"/>
      <c r="G201" s="28"/>
      <c r="H201" s="29"/>
      <c r="I201" s="14"/>
      <c r="K201" s="3"/>
      <c r="M201" s="3"/>
      <c r="N201" s="3"/>
      <c r="O201" s="52"/>
      <c r="P201" s="3"/>
    </row>
    <row r="202" spans="2:16">
      <c r="B202" s="28"/>
      <c r="C202" s="3"/>
      <c r="E202" s="35"/>
      <c r="F202" s="28"/>
      <c r="G202" s="28"/>
      <c r="H202" s="29"/>
      <c r="I202" s="14"/>
      <c r="K202" s="3"/>
      <c r="M202" s="3"/>
      <c r="N202" s="3"/>
      <c r="O202" s="52"/>
      <c r="P202" s="3"/>
    </row>
    <row r="203" spans="2:16">
      <c r="B203" s="28"/>
      <c r="C203" s="3"/>
      <c r="E203" s="35"/>
      <c r="F203" s="28"/>
      <c r="G203" s="28"/>
      <c r="H203" s="29"/>
      <c r="I203" s="14"/>
      <c r="K203" s="3"/>
      <c r="M203" s="3"/>
      <c r="N203" s="3"/>
      <c r="O203" s="52"/>
      <c r="P203" s="3"/>
    </row>
    <row r="204" spans="2:16">
      <c r="B204" s="28"/>
      <c r="C204" s="3"/>
      <c r="E204" s="35"/>
      <c r="F204" s="28"/>
      <c r="G204" s="28"/>
      <c r="H204" s="29"/>
      <c r="I204" s="14"/>
      <c r="K204" s="3"/>
      <c r="M204" s="3"/>
      <c r="N204" s="3"/>
      <c r="O204" s="52"/>
      <c r="P204" s="3"/>
    </row>
    <row r="205" spans="2:16">
      <c r="B205" s="28"/>
      <c r="C205" s="3"/>
      <c r="E205" s="35"/>
      <c r="F205" s="28"/>
      <c r="G205" s="28"/>
      <c r="H205" s="29"/>
      <c r="I205" s="14"/>
      <c r="K205" s="3"/>
      <c r="M205" s="3"/>
      <c r="N205" s="3"/>
      <c r="O205" s="52"/>
      <c r="P205" s="3"/>
    </row>
    <row r="206" spans="2:16">
      <c r="B206" s="28"/>
      <c r="C206" s="3"/>
      <c r="E206" s="35"/>
      <c r="F206" s="28"/>
      <c r="G206" s="28"/>
      <c r="H206" s="29"/>
      <c r="I206" s="14"/>
      <c r="K206" s="3"/>
      <c r="M206" s="3"/>
      <c r="N206" s="3"/>
      <c r="O206" s="52"/>
      <c r="P206" s="3"/>
    </row>
    <row r="207" spans="2:16">
      <c r="B207" s="28"/>
      <c r="C207" s="3"/>
      <c r="E207" s="35"/>
      <c r="F207" s="28"/>
      <c r="G207" s="28"/>
      <c r="H207" s="29"/>
      <c r="I207" s="14"/>
      <c r="K207" s="3"/>
      <c r="M207" s="3"/>
      <c r="N207" s="3"/>
      <c r="O207" s="52"/>
      <c r="P207" s="3"/>
    </row>
    <row r="208" spans="2:16">
      <c r="B208" s="28"/>
      <c r="C208" s="3"/>
      <c r="E208" s="35"/>
      <c r="F208" s="28"/>
      <c r="G208" s="28"/>
      <c r="H208" s="29"/>
      <c r="I208" s="14"/>
      <c r="K208" s="3"/>
      <c r="M208" s="3"/>
      <c r="N208" s="3"/>
      <c r="O208" s="52"/>
      <c r="P208" s="3"/>
    </row>
    <row r="209" spans="2:16">
      <c r="B209" s="28"/>
      <c r="C209" s="3"/>
      <c r="E209" s="35"/>
      <c r="F209" s="28"/>
      <c r="G209" s="28"/>
      <c r="H209" s="29"/>
      <c r="I209" s="14"/>
      <c r="K209" s="3"/>
      <c r="M209" s="3"/>
      <c r="N209" s="3"/>
      <c r="O209" s="52"/>
      <c r="P209" s="3"/>
    </row>
    <row r="210" spans="2:16">
      <c r="B210" s="28"/>
      <c r="C210" s="3"/>
      <c r="E210" s="35"/>
      <c r="F210" s="28"/>
      <c r="G210" s="28"/>
      <c r="H210" s="29"/>
      <c r="I210" s="14"/>
      <c r="K210" s="3"/>
      <c r="M210" s="3"/>
      <c r="N210" s="3"/>
      <c r="O210" s="52"/>
      <c r="P210" s="3"/>
    </row>
    <row r="211" spans="2:16">
      <c r="B211" s="28"/>
      <c r="C211" s="3"/>
      <c r="E211" s="35"/>
      <c r="F211" s="28"/>
      <c r="G211" s="28"/>
      <c r="H211" s="29"/>
      <c r="I211" s="14"/>
      <c r="K211" s="3"/>
      <c r="M211" s="3"/>
      <c r="N211" s="3"/>
      <c r="O211" s="52"/>
      <c r="P211" s="3"/>
    </row>
    <row r="212" spans="2:16">
      <c r="B212" s="28"/>
      <c r="C212" s="3"/>
      <c r="E212" s="35"/>
      <c r="F212" s="28"/>
      <c r="G212" s="28"/>
      <c r="H212" s="29"/>
      <c r="I212" s="14"/>
      <c r="K212" s="3"/>
      <c r="M212" s="3"/>
      <c r="N212" s="3"/>
      <c r="O212" s="52"/>
      <c r="P212" s="3"/>
    </row>
    <row r="213" spans="2:16">
      <c r="E213" s="2"/>
      <c r="H213" s="29"/>
      <c r="I213" s="30"/>
    </row>
    <row r="214" spans="2:16">
      <c r="E214" s="2"/>
      <c r="H214" s="29"/>
      <c r="I214" s="30"/>
    </row>
    <row r="215" spans="2:16">
      <c r="E215" s="2"/>
      <c r="H215" s="29"/>
      <c r="I215" s="30"/>
    </row>
    <row r="216" spans="2:16">
      <c r="E216" s="2"/>
      <c r="H216" s="29"/>
      <c r="I216" s="30"/>
    </row>
    <row r="217" spans="2:16">
      <c r="E217" s="2"/>
      <c r="H217" s="29"/>
      <c r="I217" s="30"/>
    </row>
    <row r="218" spans="2:16">
      <c r="E218" s="2"/>
      <c r="H218" s="29"/>
      <c r="I218" s="30"/>
    </row>
    <row r="219" spans="2:16">
      <c r="E219" s="2"/>
      <c r="H219" s="29"/>
      <c r="I219" s="30"/>
    </row>
    <row r="220" spans="2:16">
      <c r="E220" s="2"/>
      <c r="H220" s="29"/>
      <c r="I220" s="30"/>
    </row>
    <row r="221" spans="2:16">
      <c r="E221" s="2"/>
      <c r="H221" s="29"/>
      <c r="I221" s="30"/>
    </row>
    <row r="222" spans="2:16">
      <c r="E222" s="2"/>
      <c r="H222" s="29"/>
      <c r="I222" s="30"/>
    </row>
    <row r="223" spans="2:16">
      <c r="E223" s="2"/>
      <c r="H223" s="29"/>
      <c r="I223" s="30"/>
    </row>
    <row r="224" spans="2:16">
      <c r="E224" s="2"/>
      <c r="H224" s="29"/>
      <c r="I224" s="30"/>
    </row>
    <row r="225" spans="5:9">
      <c r="E225" s="2"/>
      <c r="H225" s="29"/>
      <c r="I225" s="30"/>
    </row>
    <row r="226" spans="5:9">
      <c r="E226" s="2"/>
      <c r="H226" s="29"/>
      <c r="I226" s="30"/>
    </row>
    <row r="227" spans="5:9">
      <c r="E227" s="2"/>
      <c r="H227" s="29"/>
      <c r="I227" s="30"/>
    </row>
    <row r="228" spans="5:9">
      <c r="E228" s="2"/>
      <c r="H228" s="29"/>
      <c r="I228" s="30"/>
    </row>
    <row r="229" spans="5:9">
      <c r="E229" s="2"/>
      <c r="H229" s="29"/>
      <c r="I229" s="30"/>
    </row>
    <row r="230" spans="5:9">
      <c r="E230" s="2"/>
      <c r="H230" s="29"/>
      <c r="I230" s="30"/>
    </row>
    <row r="231" spans="5:9">
      <c r="E231" s="2"/>
      <c r="H231" s="29"/>
      <c r="I231" s="30"/>
    </row>
    <row r="232" spans="5:9">
      <c r="E232" s="2"/>
      <c r="H232" s="29"/>
      <c r="I232" s="30"/>
    </row>
    <row r="233" spans="5:9">
      <c r="E233" s="2"/>
      <c r="H233" s="29"/>
      <c r="I233" s="30"/>
    </row>
    <row r="234" spans="5:9">
      <c r="E234" s="2"/>
      <c r="H234" s="29"/>
      <c r="I234" s="30"/>
    </row>
    <row r="235" spans="5:9">
      <c r="E235" s="2"/>
      <c r="H235" s="29"/>
      <c r="I235" s="30"/>
    </row>
    <row r="236" spans="5:9">
      <c r="E236" s="2"/>
      <c r="H236" s="29"/>
      <c r="I236" s="30"/>
    </row>
    <row r="237" spans="5:9">
      <c r="E237" s="2"/>
      <c r="H237" s="29"/>
      <c r="I237" s="30"/>
    </row>
    <row r="238" spans="5:9">
      <c r="E238" s="2"/>
      <c r="H238" s="29"/>
      <c r="I238" s="30"/>
    </row>
    <row r="239" spans="5:9">
      <c r="E239" s="2"/>
      <c r="H239" s="29"/>
      <c r="I239" s="30"/>
    </row>
    <row r="240" spans="5:9">
      <c r="E240" s="2"/>
      <c r="H240" s="29"/>
      <c r="I240" s="30"/>
    </row>
    <row r="241" spans="5:9">
      <c r="E241" s="2"/>
      <c r="H241" s="29"/>
      <c r="I241" s="30"/>
    </row>
    <row r="242" spans="5:9">
      <c r="E242" s="2"/>
      <c r="H242" s="29"/>
      <c r="I242" s="30"/>
    </row>
    <row r="243" spans="5:9">
      <c r="E243" s="2"/>
      <c r="H243" s="29"/>
      <c r="I243" s="30"/>
    </row>
    <row r="244" spans="5:9">
      <c r="E244" s="2"/>
      <c r="H244" s="29"/>
      <c r="I244" s="30"/>
    </row>
    <row r="245" spans="5:9">
      <c r="E245" s="2"/>
      <c r="H245" s="29"/>
      <c r="I245" s="30"/>
    </row>
    <row r="246" spans="5:9">
      <c r="E246" s="2"/>
      <c r="H246" s="29"/>
      <c r="I246" s="30"/>
    </row>
    <row r="247" spans="5:9">
      <c r="E247" s="2"/>
      <c r="H247" s="29"/>
      <c r="I247" s="30"/>
    </row>
    <row r="248" spans="5:9">
      <c r="E248" s="2"/>
      <c r="H248" s="29"/>
      <c r="I248" s="30"/>
    </row>
    <row r="249" spans="5:9">
      <c r="E249" s="2"/>
      <c r="H249" s="29"/>
      <c r="I249" s="30"/>
    </row>
    <row r="250" spans="5:9">
      <c r="E250" s="2"/>
      <c r="H250" s="29"/>
      <c r="I250" s="30"/>
    </row>
    <row r="251" spans="5:9">
      <c r="E251" s="2"/>
      <c r="H251" s="29"/>
      <c r="I251" s="30"/>
    </row>
    <row r="252" spans="5:9">
      <c r="E252" s="2"/>
      <c r="H252" s="29"/>
      <c r="I252" s="30"/>
    </row>
    <row r="253" spans="5:9">
      <c r="E253" s="2"/>
      <c r="H253" s="29"/>
      <c r="I253" s="30"/>
    </row>
    <row r="254" spans="5:9">
      <c r="E254" s="2"/>
      <c r="H254" s="29"/>
      <c r="I254" s="30"/>
    </row>
    <row r="255" spans="5:9">
      <c r="E255" s="2"/>
      <c r="H255" s="29"/>
      <c r="I255" s="30"/>
    </row>
    <row r="256" spans="5:9">
      <c r="E256" s="2"/>
      <c r="H256" s="29"/>
      <c r="I256" s="30"/>
    </row>
    <row r="257" spans="5:9">
      <c r="E257" s="2"/>
      <c r="H257" s="29"/>
      <c r="I257" s="30"/>
    </row>
    <row r="258" spans="5:9">
      <c r="E258" s="2"/>
      <c r="H258" s="29"/>
      <c r="I258" s="30"/>
    </row>
    <row r="259" spans="5:9">
      <c r="E259" s="2"/>
      <c r="H259" s="29"/>
      <c r="I259" s="30"/>
    </row>
    <row r="260" spans="5:9">
      <c r="E260" s="2"/>
      <c r="H260" s="29"/>
      <c r="I260" s="30"/>
    </row>
    <row r="261" spans="5:9">
      <c r="E261" s="2"/>
      <c r="H261" s="29"/>
      <c r="I261" s="30"/>
    </row>
    <row r="262" spans="5:9">
      <c r="E262" s="2"/>
      <c r="H262" s="29"/>
      <c r="I262" s="30"/>
    </row>
    <row r="263" spans="5:9">
      <c r="E263" s="2"/>
      <c r="H263" s="29"/>
      <c r="I263" s="30"/>
    </row>
    <row r="264" spans="5:9">
      <c r="E264" s="2"/>
      <c r="H264" s="29"/>
      <c r="I264" s="30"/>
    </row>
    <row r="265" spans="5:9">
      <c r="E265" s="2"/>
      <c r="H265" s="29"/>
      <c r="I265" s="30"/>
    </row>
    <row r="266" spans="5:9">
      <c r="E266" s="2"/>
      <c r="H266" s="29"/>
      <c r="I266" s="30"/>
    </row>
    <row r="267" spans="5:9">
      <c r="E267" s="2"/>
      <c r="H267" s="29"/>
      <c r="I267" s="30"/>
    </row>
    <row r="268" spans="5:9">
      <c r="E268" s="2"/>
      <c r="H268" s="29"/>
      <c r="I268" s="30"/>
    </row>
    <row r="269" spans="5:9">
      <c r="E269" s="2"/>
      <c r="H269" s="29"/>
      <c r="I269" s="30"/>
    </row>
    <row r="270" spans="5:9">
      <c r="E270" s="2"/>
      <c r="H270" s="29"/>
      <c r="I270" s="30"/>
    </row>
    <row r="271" spans="5:9">
      <c r="E271" s="2"/>
      <c r="H271" s="29"/>
      <c r="I271" s="30"/>
    </row>
    <row r="272" spans="5:9">
      <c r="E272" s="2"/>
      <c r="H272" s="29"/>
      <c r="I272" s="30"/>
    </row>
    <row r="273" spans="5:9">
      <c r="E273" s="2"/>
      <c r="H273" s="29"/>
      <c r="I273" s="30"/>
    </row>
    <row r="274" spans="5:9">
      <c r="E274" s="2"/>
      <c r="H274" s="29"/>
      <c r="I274" s="30"/>
    </row>
    <row r="275" spans="5:9">
      <c r="E275" s="2"/>
      <c r="H275" s="29"/>
      <c r="I275" s="30"/>
    </row>
    <row r="276" spans="5:9">
      <c r="E276" s="2"/>
      <c r="H276" s="29"/>
      <c r="I276" s="30"/>
    </row>
    <row r="277" spans="5:9">
      <c r="E277" s="2"/>
      <c r="H277" s="29"/>
      <c r="I277" s="30"/>
    </row>
    <row r="278" spans="5:9">
      <c r="E278" s="2"/>
      <c r="H278" s="29"/>
      <c r="I278" s="30"/>
    </row>
    <row r="279" spans="5:9">
      <c r="E279" s="2"/>
      <c r="H279" s="29"/>
      <c r="I279" s="30"/>
    </row>
    <row r="280" spans="5:9">
      <c r="E280" s="2"/>
      <c r="H280" s="29"/>
      <c r="I280" s="30"/>
    </row>
    <row r="281" spans="5:9">
      <c r="E281" s="2"/>
      <c r="H281" s="29"/>
      <c r="I281" s="30"/>
    </row>
    <row r="282" spans="5:9">
      <c r="E282" s="2"/>
      <c r="H282" s="29"/>
      <c r="I282" s="30"/>
    </row>
    <row r="283" spans="5:9">
      <c r="E283" s="2"/>
      <c r="H283" s="29"/>
      <c r="I283" s="30"/>
    </row>
    <row r="284" spans="5:9">
      <c r="E284" s="2"/>
      <c r="H284" s="29"/>
      <c r="I284" s="30"/>
    </row>
    <row r="285" spans="5:9">
      <c r="E285" s="2"/>
      <c r="H285" s="29"/>
      <c r="I285" s="30"/>
    </row>
    <row r="286" spans="5:9">
      <c r="E286" s="2"/>
      <c r="H286" s="29"/>
      <c r="I286" s="30"/>
    </row>
    <row r="287" spans="5:9">
      <c r="E287" s="2"/>
      <c r="H287" s="29"/>
      <c r="I287" s="30"/>
    </row>
    <row r="288" spans="5:9">
      <c r="E288" s="2"/>
      <c r="H288" s="29"/>
      <c r="I288" s="30"/>
    </row>
    <row r="289" spans="5:9">
      <c r="E289" s="2"/>
      <c r="H289" s="29"/>
      <c r="I289" s="30"/>
    </row>
    <row r="290" spans="5:9">
      <c r="E290" s="2"/>
      <c r="H290" s="29"/>
      <c r="I290" s="30"/>
    </row>
    <row r="291" spans="5:9">
      <c r="E291" s="2"/>
      <c r="H291" s="29"/>
      <c r="I291" s="30"/>
    </row>
    <row r="292" spans="5:9">
      <c r="E292" s="2"/>
      <c r="H292" s="29"/>
      <c r="I292" s="30"/>
    </row>
    <row r="293" spans="5:9">
      <c r="E293" s="2"/>
      <c r="H293" s="29"/>
      <c r="I293" s="30"/>
    </row>
    <row r="294" spans="5:9">
      <c r="E294" s="2"/>
      <c r="H294" s="29"/>
      <c r="I294" s="30"/>
    </row>
    <row r="295" spans="5:9">
      <c r="E295" s="2"/>
      <c r="H295" s="29"/>
      <c r="I295" s="30"/>
    </row>
    <row r="296" spans="5:9">
      <c r="E296" s="2"/>
      <c r="H296" s="29"/>
      <c r="I296" s="30"/>
    </row>
    <row r="297" spans="5:9">
      <c r="E297" s="2"/>
      <c r="H297" s="29"/>
      <c r="I297" s="30"/>
    </row>
    <row r="298" spans="5:9">
      <c r="E298" s="2"/>
      <c r="H298" s="29"/>
      <c r="I298" s="30"/>
    </row>
    <row r="299" spans="5:9">
      <c r="E299" s="2"/>
      <c r="H299" s="29"/>
      <c r="I299" s="30"/>
    </row>
    <row r="300" spans="5:9">
      <c r="E300" s="2"/>
      <c r="H300" s="29"/>
      <c r="I300" s="30"/>
    </row>
    <row r="301" spans="5:9">
      <c r="E301" s="2"/>
      <c r="H301" s="29"/>
      <c r="I301" s="30"/>
    </row>
    <row r="302" spans="5:9">
      <c r="E302" s="2"/>
      <c r="H302" s="29"/>
      <c r="I302" s="30"/>
    </row>
    <row r="303" spans="5:9">
      <c r="E303" s="2"/>
      <c r="H303" s="29"/>
      <c r="I303" s="30"/>
    </row>
    <row r="304" spans="5:9">
      <c r="E304" s="2"/>
      <c r="H304" s="29"/>
      <c r="I304" s="30"/>
    </row>
    <row r="305" spans="5:9">
      <c r="E305" s="2"/>
      <c r="H305" s="29"/>
      <c r="I305" s="30"/>
    </row>
    <row r="306" spans="5:9">
      <c r="E306" s="2"/>
      <c r="H306" s="29"/>
      <c r="I306" s="30"/>
    </row>
    <row r="307" spans="5:9">
      <c r="E307" s="2"/>
      <c r="H307" s="29"/>
      <c r="I307" s="30"/>
    </row>
    <row r="308" spans="5:9">
      <c r="E308" s="2"/>
      <c r="H308" s="29"/>
      <c r="I308" s="30"/>
    </row>
    <row r="309" spans="5:9">
      <c r="E309" s="2"/>
      <c r="H309" s="29"/>
      <c r="I309" s="30"/>
    </row>
    <row r="310" spans="5:9">
      <c r="E310" s="2"/>
      <c r="H310" s="29"/>
      <c r="I310" s="30"/>
    </row>
    <row r="311" spans="5:9">
      <c r="E311" s="2"/>
      <c r="H311" s="29"/>
      <c r="I311" s="30"/>
    </row>
    <row r="312" spans="5:9">
      <c r="E312" s="2"/>
      <c r="H312" s="29"/>
      <c r="I312" s="30"/>
    </row>
    <row r="313" spans="5:9">
      <c r="E313" s="2"/>
      <c r="H313" s="29"/>
      <c r="I313" s="30"/>
    </row>
    <row r="314" spans="5:9">
      <c r="E314" s="2"/>
      <c r="H314" s="29"/>
      <c r="I314" s="30"/>
    </row>
    <row r="315" spans="5:9">
      <c r="E315" s="2"/>
      <c r="H315" s="29"/>
      <c r="I315" s="30"/>
    </row>
    <row r="316" spans="5:9">
      <c r="E316" s="2"/>
      <c r="H316" s="29"/>
      <c r="I316" s="30"/>
    </row>
    <row r="317" spans="5:9">
      <c r="E317" s="2"/>
      <c r="H317" s="29"/>
      <c r="I317" s="30"/>
    </row>
    <row r="318" spans="5:9">
      <c r="E318" s="2"/>
      <c r="H318" s="29"/>
      <c r="I318" s="30"/>
    </row>
    <row r="319" spans="5:9">
      <c r="E319" s="2"/>
      <c r="H319" s="29"/>
      <c r="I319" s="30"/>
    </row>
    <row r="320" spans="5:9">
      <c r="E320" s="2"/>
      <c r="H320" s="29"/>
      <c r="I320" s="30"/>
    </row>
    <row r="321" spans="5:9">
      <c r="E321" s="2"/>
      <c r="H321" s="29"/>
      <c r="I321" s="30"/>
    </row>
    <row r="322" spans="5:9">
      <c r="E322" s="2"/>
      <c r="H322" s="29"/>
      <c r="I322" s="30"/>
    </row>
    <row r="323" spans="5:9">
      <c r="E323" s="2"/>
      <c r="H323" s="29"/>
      <c r="I323" s="30"/>
    </row>
    <row r="324" spans="5:9">
      <c r="E324" s="2"/>
      <c r="H324" s="29"/>
      <c r="I324" s="30"/>
    </row>
    <row r="325" spans="5:9">
      <c r="E325" s="2"/>
      <c r="H325" s="29"/>
      <c r="I325" s="30"/>
    </row>
    <row r="326" spans="5:9">
      <c r="E326" s="2"/>
      <c r="H326" s="29"/>
      <c r="I326" s="30"/>
    </row>
    <row r="327" spans="5:9">
      <c r="E327" s="2"/>
      <c r="H327" s="29"/>
      <c r="I327" s="30"/>
    </row>
    <row r="328" spans="5:9">
      <c r="E328" s="2"/>
      <c r="H328" s="29"/>
      <c r="I328" s="30"/>
    </row>
    <row r="329" spans="5:9">
      <c r="E329" s="2"/>
      <c r="H329" s="29"/>
      <c r="I329" s="30"/>
    </row>
    <row r="330" spans="5:9">
      <c r="E330" s="2"/>
      <c r="H330" s="29"/>
      <c r="I330" s="30"/>
    </row>
    <row r="331" spans="5:9">
      <c r="E331" s="2"/>
      <c r="H331" s="29"/>
      <c r="I331" s="30"/>
    </row>
    <row r="332" spans="5:9">
      <c r="E332" s="2"/>
      <c r="H332" s="29"/>
      <c r="I332" s="30"/>
    </row>
    <row r="333" spans="5:9">
      <c r="E333" s="2"/>
      <c r="H333" s="29"/>
      <c r="I333" s="30"/>
    </row>
    <row r="334" spans="5:9">
      <c r="E334" s="2"/>
      <c r="H334" s="29"/>
      <c r="I334" s="30"/>
    </row>
    <row r="335" spans="5:9">
      <c r="E335" s="2"/>
      <c r="H335" s="29"/>
      <c r="I335" s="30"/>
    </row>
    <row r="336" spans="5:9">
      <c r="E336" s="2"/>
      <c r="H336" s="29"/>
      <c r="I336" s="30"/>
    </row>
    <row r="337" spans="5:9">
      <c r="E337" s="2"/>
      <c r="H337" s="29"/>
      <c r="I337" s="30"/>
    </row>
    <row r="338" spans="5:9">
      <c r="E338" s="2"/>
      <c r="H338" s="29"/>
      <c r="I338" s="30"/>
    </row>
    <row r="339" spans="5:9">
      <c r="E339" s="2"/>
      <c r="H339" s="29"/>
      <c r="I339" s="30"/>
    </row>
    <row r="340" spans="5:9">
      <c r="E340" s="2"/>
      <c r="H340" s="29"/>
      <c r="I340" s="30"/>
    </row>
    <row r="341" spans="5:9">
      <c r="E341" s="2"/>
      <c r="H341" s="29"/>
      <c r="I341" s="30"/>
    </row>
    <row r="342" spans="5:9">
      <c r="E342" s="2"/>
      <c r="H342" s="29"/>
      <c r="I342" s="30"/>
    </row>
    <row r="343" spans="5:9">
      <c r="E343" s="2"/>
      <c r="H343" s="29"/>
      <c r="I343" s="30"/>
    </row>
    <row r="344" spans="5:9">
      <c r="E344" s="2"/>
      <c r="H344" s="29"/>
      <c r="I344" s="30"/>
    </row>
    <row r="345" spans="5:9">
      <c r="E345" s="2"/>
      <c r="H345" s="29"/>
      <c r="I345" s="30"/>
    </row>
    <row r="346" spans="5:9">
      <c r="E346" s="2"/>
      <c r="H346" s="29"/>
      <c r="I346" s="30"/>
    </row>
    <row r="347" spans="5:9">
      <c r="E347" s="2"/>
      <c r="H347" s="29"/>
      <c r="I347" s="30"/>
    </row>
    <row r="348" spans="5:9">
      <c r="E348" s="2"/>
      <c r="H348" s="29"/>
      <c r="I348" s="30"/>
    </row>
    <row r="349" spans="5:9">
      <c r="E349" s="2"/>
      <c r="H349" s="29"/>
      <c r="I349" s="30"/>
    </row>
    <row r="350" spans="5:9">
      <c r="E350" s="2"/>
      <c r="H350" s="29"/>
      <c r="I350" s="30"/>
    </row>
    <row r="351" spans="5:9">
      <c r="E351" s="2"/>
      <c r="H351" s="29"/>
      <c r="I351" s="30"/>
    </row>
    <row r="352" spans="5:9">
      <c r="E352" s="2"/>
      <c r="H352" s="29"/>
      <c r="I352" s="30"/>
    </row>
    <row r="353" spans="5:9">
      <c r="E353" s="2"/>
      <c r="H353" s="29"/>
      <c r="I353" s="30"/>
    </row>
    <row r="354" spans="5:9">
      <c r="E354" s="2"/>
      <c r="H354" s="29"/>
      <c r="I354" s="30"/>
    </row>
    <row r="355" spans="5:9">
      <c r="E355" s="2"/>
      <c r="H355" s="29"/>
      <c r="I355" s="30"/>
    </row>
    <row r="356" spans="5:9">
      <c r="E356" s="2"/>
      <c r="H356" s="29"/>
      <c r="I356" s="30"/>
    </row>
    <row r="357" spans="5:9">
      <c r="E357" s="2"/>
      <c r="H357" s="29"/>
      <c r="I357" s="30"/>
    </row>
    <row r="358" spans="5:9">
      <c r="E358" s="2"/>
      <c r="H358" s="29"/>
      <c r="I358" s="30"/>
    </row>
    <row r="359" spans="5:9">
      <c r="E359" s="2"/>
      <c r="H359" s="29"/>
      <c r="I359" s="30"/>
    </row>
    <row r="360" spans="5:9">
      <c r="E360" s="2"/>
      <c r="H360" s="29"/>
      <c r="I360" s="30"/>
    </row>
    <row r="361" spans="5:9">
      <c r="E361" s="2"/>
      <c r="H361" s="29"/>
      <c r="I361" s="30"/>
    </row>
    <row r="362" spans="5:9">
      <c r="E362" s="2"/>
      <c r="H362" s="29"/>
      <c r="I362" s="30"/>
    </row>
    <row r="363" spans="5:9">
      <c r="E363" s="2"/>
      <c r="H363" s="29"/>
      <c r="I363" s="30"/>
    </row>
    <row r="364" spans="5:9">
      <c r="E364" s="2"/>
      <c r="H364" s="29"/>
      <c r="I364" s="30"/>
    </row>
    <row r="365" spans="5:9">
      <c r="E365" s="2"/>
      <c r="H365" s="29"/>
      <c r="I365" s="30"/>
    </row>
    <row r="366" spans="5:9">
      <c r="E366" s="2"/>
      <c r="H366" s="29"/>
      <c r="I366" s="30"/>
    </row>
    <row r="367" spans="5:9">
      <c r="E367" s="2"/>
      <c r="H367" s="29"/>
      <c r="I367" s="30"/>
    </row>
    <row r="368" spans="5:9">
      <c r="E368" s="2"/>
      <c r="H368" s="29"/>
      <c r="I368" s="30"/>
    </row>
    <row r="369" spans="5:9">
      <c r="E369" s="2"/>
      <c r="H369" s="29"/>
      <c r="I369" s="30"/>
    </row>
    <row r="370" spans="5:9">
      <c r="E370" s="2"/>
      <c r="H370" s="29"/>
      <c r="I370" s="30"/>
    </row>
    <row r="371" spans="5:9">
      <c r="E371" s="2"/>
      <c r="H371" s="29"/>
      <c r="I371" s="30"/>
    </row>
    <row r="372" spans="5:9">
      <c r="E372" s="2"/>
      <c r="H372" s="29"/>
      <c r="I372" s="30"/>
    </row>
    <row r="373" spans="5:9">
      <c r="E373" s="2"/>
      <c r="H373" s="29"/>
      <c r="I373" s="30"/>
    </row>
    <row r="374" spans="5:9">
      <c r="E374" s="2"/>
      <c r="H374" s="29"/>
      <c r="I374" s="30"/>
    </row>
    <row r="375" spans="5:9">
      <c r="E375" s="2"/>
      <c r="H375" s="29"/>
      <c r="I375" s="30"/>
    </row>
    <row r="376" spans="5:9">
      <c r="E376" s="2"/>
      <c r="H376" s="29"/>
      <c r="I376" s="30"/>
    </row>
    <row r="377" spans="5:9">
      <c r="E377" s="2"/>
      <c r="H377" s="29"/>
      <c r="I377" s="30"/>
    </row>
    <row r="378" spans="5:9">
      <c r="E378" s="2"/>
      <c r="H378" s="29"/>
      <c r="I378" s="30"/>
    </row>
    <row r="379" spans="5:9">
      <c r="E379" s="2"/>
      <c r="H379" s="29"/>
      <c r="I379" s="30"/>
    </row>
    <row r="380" spans="5:9">
      <c r="E380" s="2"/>
      <c r="H380" s="29"/>
      <c r="I380" s="30"/>
    </row>
    <row r="381" spans="5:9">
      <c r="E381" s="2"/>
      <c r="H381" s="29"/>
      <c r="I381" s="30"/>
    </row>
    <row r="382" spans="5:9">
      <c r="E382" s="2"/>
      <c r="H382" s="29"/>
      <c r="I382" s="30"/>
    </row>
    <row r="383" spans="5:9">
      <c r="E383" s="2"/>
      <c r="H383" s="29"/>
      <c r="I383" s="30"/>
    </row>
    <row r="384" spans="5:9">
      <c r="E384" s="2"/>
      <c r="H384" s="29"/>
      <c r="I384" s="30"/>
    </row>
    <row r="385" spans="5:9">
      <c r="E385" s="2"/>
      <c r="H385" s="29"/>
      <c r="I385" s="30"/>
    </row>
    <row r="386" spans="5:9">
      <c r="E386" s="2"/>
      <c r="H386" s="29"/>
      <c r="I386" s="30"/>
    </row>
    <row r="387" spans="5:9">
      <c r="E387" s="2"/>
      <c r="H387" s="29"/>
      <c r="I387" s="30"/>
    </row>
    <row r="388" spans="5:9">
      <c r="E388" s="2"/>
      <c r="H388" s="29"/>
      <c r="I388" s="30"/>
    </row>
    <row r="389" spans="5:9">
      <c r="E389" s="2"/>
      <c r="H389" s="29"/>
      <c r="I389" s="30"/>
    </row>
    <row r="390" spans="5:9">
      <c r="E390" s="2"/>
      <c r="H390" s="29"/>
      <c r="I390" s="30"/>
    </row>
    <row r="391" spans="5:9">
      <c r="E391" s="2"/>
      <c r="H391" s="29"/>
      <c r="I391" s="30"/>
    </row>
    <row r="392" spans="5:9">
      <c r="E392" s="2"/>
      <c r="H392" s="29"/>
      <c r="I392" s="30"/>
    </row>
    <row r="393" spans="5:9">
      <c r="E393" s="2"/>
      <c r="H393" s="29"/>
      <c r="I393" s="30"/>
    </row>
    <row r="394" spans="5:9">
      <c r="E394" s="2"/>
      <c r="H394" s="29"/>
      <c r="I394" s="30"/>
    </row>
    <row r="395" spans="5:9">
      <c r="E395" s="2"/>
      <c r="H395" s="29"/>
      <c r="I395" s="30"/>
    </row>
    <row r="396" spans="5:9">
      <c r="E396" s="2"/>
      <c r="H396" s="29"/>
      <c r="I396" s="30"/>
    </row>
    <row r="397" spans="5:9">
      <c r="E397" s="2"/>
      <c r="H397" s="29"/>
      <c r="I397" s="30"/>
    </row>
    <row r="398" spans="5:9">
      <c r="E398" s="2"/>
      <c r="H398" s="29"/>
      <c r="I398" s="30"/>
    </row>
    <row r="399" spans="5:9">
      <c r="E399" s="2"/>
      <c r="H399" s="29"/>
      <c r="I399" s="30"/>
    </row>
    <row r="400" spans="5:9">
      <c r="E400" s="2"/>
      <c r="H400" s="29"/>
      <c r="I400" s="30"/>
    </row>
    <row r="401" spans="5:9">
      <c r="E401" s="2"/>
      <c r="H401" s="29"/>
      <c r="I401" s="30"/>
    </row>
    <row r="402" spans="5:9">
      <c r="E402" s="2"/>
      <c r="H402" s="29"/>
      <c r="I402" s="30"/>
    </row>
    <row r="403" spans="5:9">
      <c r="E403" s="2"/>
      <c r="H403" s="29"/>
      <c r="I403" s="30"/>
    </row>
    <row r="404" spans="5:9">
      <c r="E404" s="2"/>
      <c r="H404" s="29"/>
      <c r="I404" s="30"/>
    </row>
    <row r="405" spans="5:9">
      <c r="E405" s="2"/>
      <c r="H405" s="29"/>
      <c r="I405" s="30"/>
    </row>
    <row r="406" spans="5:9">
      <c r="E406" s="2"/>
      <c r="H406" s="29"/>
      <c r="I406" s="30"/>
    </row>
    <row r="407" spans="5:9">
      <c r="E407" s="2"/>
      <c r="H407" s="29"/>
      <c r="I407" s="30"/>
    </row>
    <row r="408" spans="5:9">
      <c r="E408" s="2"/>
      <c r="H408" s="29"/>
      <c r="I408" s="30"/>
    </row>
    <row r="409" spans="5:9">
      <c r="E409" s="2"/>
      <c r="H409" s="29"/>
      <c r="I409" s="30"/>
    </row>
    <row r="410" spans="5:9">
      <c r="E410" s="2"/>
      <c r="H410" s="29"/>
      <c r="I410" s="30"/>
    </row>
    <row r="411" spans="5:9">
      <c r="E411" s="2"/>
      <c r="H411" s="29"/>
      <c r="I411" s="30"/>
    </row>
    <row r="412" spans="5:9">
      <c r="E412" s="2"/>
      <c r="H412" s="29"/>
      <c r="I412" s="30"/>
    </row>
    <row r="413" spans="5:9">
      <c r="E413" s="2"/>
      <c r="H413" s="29"/>
      <c r="I413" s="30"/>
    </row>
    <row r="414" spans="5:9">
      <c r="E414" s="2"/>
      <c r="H414" s="29"/>
      <c r="I414" s="30"/>
    </row>
    <row r="415" spans="5:9">
      <c r="E415" s="2"/>
      <c r="H415" s="29"/>
      <c r="I415" s="30"/>
    </row>
    <row r="416" spans="5:9">
      <c r="E416" s="2"/>
      <c r="H416" s="29"/>
      <c r="I416" s="30"/>
    </row>
    <row r="417" spans="5:9">
      <c r="E417" s="2"/>
      <c r="H417" s="29"/>
      <c r="I417" s="30"/>
    </row>
    <row r="418" spans="5:9">
      <c r="E418" s="2"/>
      <c r="H418" s="29"/>
      <c r="I418" s="30"/>
    </row>
    <row r="419" spans="5:9">
      <c r="E419" s="2"/>
      <c r="H419" s="29"/>
      <c r="I419" s="30"/>
    </row>
    <row r="420" spans="5:9">
      <c r="E420" s="2"/>
      <c r="H420" s="29"/>
      <c r="I420" s="30"/>
    </row>
    <row r="421" spans="5:9">
      <c r="E421" s="2"/>
      <c r="H421" s="29"/>
      <c r="I421" s="30"/>
    </row>
    <row r="422" spans="5:9">
      <c r="E422" s="2"/>
      <c r="H422" s="29"/>
      <c r="I422" s="30"/>
    </row>
    <row r="423" spans="5:9">
      <c r="E423" s="2"/>
      <c r="H423" s="29"/>
      <c r="I423" s="30"/>
    </row>
    <row r="424" spans="5:9">
      <c r="E424" s="2"/>
      <c r="H424" s="29"/>
      <c r="I424" s="30"/>
    </row>
    <row r="425" spans="5:9">
      <c r="E425" s="2"/>
      <c r="H425" s="29"/>
      <c r="I425" s="30"/>
    </row>
    <row r="426" spans="5:9">
      <c r="E426" s="2"/>
      <c r="H426" s="29"/>
      <c r="I426" s="30"/>
    </row>
    <row r="427" spans="5:9">
      <c r="E427" s="2"/>
      <c r="H427" s="29"/>
      <c r="I427" s="30"/>
    </row>
    <row r="428" spans="5:9">
      <c r="E428" s="2"/>
      <c r="H428" s="29"/>
      <c r="I428" s="30"/>
    </row>
    <row r="429" spans="5:9">
      <c r="E429" s="2"/>
      <c r="H429" s="29"/>
      <c r="I429" s="30"/>
    </row>
    <row r="430" spans="5:9">
      <c r="E430" s="2"/>
      <c r="H430" s="29"/>
      <c r="I430" s="30"/>
    </row>
    <row r="431" spans="5:9">
      <c r="E431" s="2"/>
      <c r="H431" s="29"/>
      <c r="I431" s="30"/>
    </row>
    <row r="432" spans="5:9">
      <c r="E432" s="2"/>
      <c r="H432" s="29"/>
      <c r="I432" s="30"/>
    </row>
    <row r="433" spans="5:9">
      <c r="E433" s="2"/>
      <c r="H433" s="29"/>
      <c r="I433" s="30"/>
    </row>
    <row r="434" spans="5:9">
      <c r="E434" s="2"/>
      <c r="H434" s="29"/>
      <c r="I434" s="30"/>
    </row>
    <row r="435" spans="5:9">
      <c r="E435" s="2"/>
      <c r="H435" s="29"/>
      <c r="I435" s="30"/>
    </row>
    <row r="436" spans="5:9">
      <c r="E436" s="2"/>
      <c r="H436" s="29"/>
      <c r="I436" s="30"/>
    </row>
    <row r="437" spans="5:9">
      <c r="E437" s="2"/>
      <c r="H437" s="29"/>
      <c r="I437" s="30"/>
    </row>
    <row r="438" spans="5:9">
      <c r="E438" s="2"/>
      <c r="H438" s="29"/>
      <c r="I438" s="30"/>
    </row>
    <row r="439" spans="5:9">
      <c r="E439" s="2"/>
      <c r="H439" s="29"/>
      <c r="I439" s="30"/>
    </row>
    <row r="440" spans="5:9">
      <c r="E440" s="2"/>
      <c r="H440" s="29"/>
      <c r="I440" s="30"/>
    </row>
    <row r="441" spans="5:9">
      <c r="E441" s="2"/>
      <c r="H441" s="29"/>
      <c r="I441" s="30"/>
    </row>
    <row r="442" spans="5:9">
      <c r="E442" s="2"/>
      <c r="H442" s="29"/>
      <c r="I442" s="30"/>
    </row>
    <row r="443" spans="5:9">
      <c r="E443" s="2"/>
      <c r="H443" s="29"/>
      <c r="I443" s="30"/>
    </row>
    <row r="444" spans="5:9">
      <c r="E444" s="2"/>
      <c r="H444" s="29"/>
      <c r="I444" s="30"/>
    </row>
    <row r="445" spans="5:9">
      <c r="E445" s="2"/>
      <c r="H445" s="29"/>
      <c r="I445" s="30"/>
    </row>
    <row r="446" spans="5:9">
      <c r="E446" s="2"/>
      <c r="H446" s="29"/>
      <c r="I446" s="30"/>
    </row>
    <row r="447" spans="5:9">
      <c r="E447" s="2"/>
      <c r="H447" s="29"/>
      <c r="I447" s="30"/>
    </row>
    <row r="448" spans="5:9">
      <c r="E448" s="2"/>
      <c r="H448" s="29"/>
      <c r="I448" s="30"/>
    </row>
    <row r="449" spans="5:9">
      <c r="E449" s="2"/>
      <c r="H449" s="29"/>
      <c r="I449" s="30"/>
    </row>
    <row r="450" spans="5:9">
      <c r="E450" s="2"/>
      <c r="H450" s="29"/>
      <c r="I450" s="30"/>
    </row>
    <row r="451" spans="5:9">
      <c r="E451" s="2"/>
      <c r="H451" s="29"/>
      <c r="I451" s="30"/>
    </row>
    <row r="452" spans="5:9">
      <c r="E452" s="2"/>
      <c r="H452" s="29"/>
      <c r="I452" s="30"/>
    </row>
    <row r="453" spans="5:9">
      <c r="E453" s="2"/>
      <c r="H453" s="29"/>
      <c r="I453" s="30"/>
    </row>
    <row r="454" spans="5:9">
      <c r="E454" s="2"/>
      <c r="H454" s="29"/>
      <c r="I454" s="30"/>
    </row>
    <row r="455" spans="5:9">
      <c r="E455" s="2"/>
      <c r="H455" s="29"/>
      <c r="I455" s="30"/>
    </row>
    <row r="456" spans="5:9">
      <c r="E456" s="2"/>
      <c r="H456" s="29"/>
      <c r="I456" s="30"/>
    </row>
    <row r="457" spans="5:9">
      <c r="E457" s="2"/>
      <c r="H457" s="29"/>
      <c r="I457" s="30"/>
    </row>
    <row r="458" spans="5:9">
      <c r="E458" s="2"/>
      <c r="H458" s="29"/>
      <c r="I458" s="30"/>
    </row>
    <row r="459" spans="5:9">
      <c r="E459" s="2"/>
      <c r="H459" s="29"/>
      <c r="I459" s="30"/>
    </row>
    <row r="460" spans="5:9">
      <c r="E460" s="2"/>
      <c r="H460" s="29"/>
      <c r="I460" s="30"/>
    </row>
    <row r="461" spans="5:9">
      <c r="E461" s="2"/>
      <c r="H461" s="29"/>
      <c r="I461" s="30"/>
    </row>
    <row r="462" spans="5:9">
      <c r="E462" s="2"/>
      <c r="H462" s="29"/>
      <c r="I462" s="30"/>
    </row>
    <row r="463" spans="5:9">
      <c r="E463" s="2"/>
      <c r="H463" s="29"/>
      <c r="I463" s="30"/>
    </row>
    <row r="464" spans="5:9">
      <c r="E464" s="2"/>
      <c r="H464" s="29"/>
      <c r="I464" s="30"/>
    </row>
    <row r="465" spans="5:9">
      <c r="E465" s="2"/>
      <c r="H465" s="29"/>
      <c r="I465" s="30"/>
    </row>
    <row r="466" spans="5:9">
      <c r="E466" s="2"/>
      <c r="H466" s="29"/>
      <c r="I466" s="30"/>
    </row>
    <row r="467" spans="5:9">
      <c r="E467" s="2"/>
      <c r="H467" s="29"/>
      <c r="I467" s="30"/>
    </row>
    <row r="468" spans="5:9">
      <c r="E468" s="2"/>
      <c r="H468" s="29"/>
      <c r="I468" s="30"/>
    </row>
    <row r="469" spans="5:9">
      <c r="E469" s="2"/>
      <c r="H469" s="29"/>
      <c r="I469" s="30"/>
    </row>
    <row r="470" spans="5:9">
      <c r="E470" s="2"/>
      <c r="H470" s="29"/>
      <c r="I470" s="30"/>
    </row>
    <row r="471" spans="5:9">
      <c r="E471" s="2"/>
      <c r="H471" s="29"/>
      <c r="I471" s="30"/>
    </row>
    <row r="472" spans="5:9">
      <c r="E472" s="2"/>
      <c r="H472" s="29"/>
      <c r="I472" s="30"/>
    </row>
    <row r="473" spans="5:9">
      <c r="E473" s="2"/>
      <c r="H473" s="29"/>
      <c r="I473" s="30"/>
    </row>
    <row r="474" spans="5:9">
      <c r="E474" s="2"/>
      <c r="H474" s="29"/>
      <c r="I474" s="30"/>
    </row>
    <row r="475" spans="5:9">
      <c r="E475" s="2"/>
      <c r="H475" s="29"/>
      <c r="I475" s="30"/>
    </row>
    <row r="476" spans="5:9">
      <c r="E476" s="2"/>
      <c r="H476" s="29"/>
      <c r="I476" s="30"/>
    </row>
    <row r="477" spans="5:9">
      <c r="E477" s="2"/>
      <c r="H477" s="29"/>
      <c r="I477" s="30"/>
    </row>
    <row r="478" spans="5:9">
      <c r="E478" s="2"/>
      <c r="H478" s="29"/>
      <c r="I478" s="30"/>
    </row>
    <row r="479" spans="5:9">
      <c r="E479" s="2"/>
      <c r="H479" s="29"/>
      <c r="I479" s="30"/>
    </row>
    <row r="480" spans="5:9">
      <c r="E480" s="2"/>
      <c r="H480" s="29"/>
      <c r="I480" s="30"/>
    </row>
    <row r="481" spans="5:9">
      <c r="E481" s="2"/>
      <c r="H481" s="29"/>
      <c r="I481" s="30"/>
    </row>
    <row r="482" spans="5:9">
      <c r="E482" s="2"/>
      <c r="H482" s="29"/>
      <c r="I482" s="30"/>
    </row>
    <row r="483" spans="5:9">
      <c r="E483" s="2"/>
      <c r="H483" s="29"/>
      <c r="I483" s="30"/>
    </row>
    <row r="484" spans="5:9">
      <c r="E484" s="2"/>
      <c r="H484" s="29"/>
      <c r="I484" s="30"/>
    </row>
    <row r="485" spans="5:9">
      <c r="E485" s="2"/>
      <c r="H485" s="29"/>
      <c r="I485" s="30"/>
    </row>
    <row r="486" spans="5:9">
      <c r="E486" s="2"/>
      <c r="H486" s="29"/>
      <c r="I486" s="30"/>
    </row>
    <row r="487" spans="5:9">
      <c r="E487" s="2"/>
      <c r="H487" s="29"/>
      <c r="I487" s="30"/>
    </row>
    <row r="488" spans="5:9">
      <c r="E488" s="2"/>
      <c r="H488" s="29"/>
      <c r="I488" s="30"/>
    </row>
    <row r="489" spans="5:9">
      <c r="E489" s="2"/>
      <c r="H489" s="29"/>
      <c r="I489" s="30"/>
    </row>
    <row r="490" spans="5:9">
      <c r="E490" s="2"/>
      <c r="H490" s="29"/>
      <c r="I490" s="30"/>
    </row>
    <row r="491" spans="5:9">
      <c r="E491" s="2"/>
      <c r="H491" s="29"/>
      <c r="I491" s="30"/>
    </row>
    <row r="492" spans="5:9">
      <c r="E492" s="2"/>
      <c r="H492" s="29"/>
      <c r="I492" s="30"/>
    </row>
    <row r="493" spans="5:9">
      <c r="E493" s="2"/>
      <c r="H493" s="29"/>
      <c r="I493" s="30"/>
    </row>
    <row r="494" spans="5:9">
      <c r="E494" s="2"/>
      <c r="H494" s="29"/>
      <c r="I494" s="30"/>
    </row>
    <row r="495" spans="5:9">
      <c r="E495" s="2"/>
      <c r="H495" s="29"/>
      <c r="I495" s="30"/>
    </row>
    <row r="496" spans="5:9">
      <c r="E496" s="2"/>
      <c r="H496" s="29"/>
      <c r="I496" s="30"/>
    </row>
    <row r="497" spans="5:9">
      <c r="E497" s="2"/>
      <c r="H497" s="29"/>
      <c r="I497" s="30"/>
    </row>
    <row r="498" spans="5:9">
      <c r="E498" s="2"/>
      <c r="H498" s="29"/>
      <c r="I498" s="30"/>
    </row>
    <row r="499" spans="5:9">
      <c r="E499" s="2"/>
      <c r="H499" s="29"/>
      <c r="I499" s="30"/>
    </row>
    <row r="500" spans="5:9">
      <c r="E500" s="2"/>
      <c r="H500" s="29"/>
      <c r="I500" s="30"/>
    </row>
    <row r="501" spans="5:9">
      <c r="E501" s="2"/>
      <c r="H501" s="29"/>
      <c r="I501" s="30"/>
    </row>
    <row r="502" spans="5:9">
      <c r="E502" s="2"/>
      <c r="H502" s="29"/>
      <c r="I502" s="30"/>
    </row>
    <row r="503" spans="5:9">
      <c r="E503" s="2"/>
      <c r="H503" s="29"/>
      <c r="I503" s="30"/>
    </row>
    <row r="504" spans="5:9">
      <c r="E504" s="2"/>
      <c r="H504" s="29"/>
      <c r="I504" s="30"/>
    </row>
    <row r="505" spans="5:9">
      <c r="E505" s="2"/>
      <c r="H505" s="29"/>
      <c r="I505" s="30"/>
    </row>
    <row r="506" spans="5:9">
      <c r="E506" s="2"/>
      <c r="H506" s="29"/>
      <c r="I506" s="30"/>
    </row>
    <row r="507" spans="5:9">
      <c r="E507" s="2"/>
      <c r="H507" s="29"/>
      <c r="I507" s="30"/>
    </row>
    <row r="508" spans="5:9">
      <c r="E508" s="2"/>
      <c r="H508" s="29"/>
      <c r="I508" s="30"/>
    </row>
    <row r="509" spans="5:9">
      <c r="E509" s="2"/>
      <c r="H509" s="29"/>
      <c r="I509" s="30"/>
    </row>
    <row r="510" spans="5:9">
      <c r="E510" s="2"/>
      <c r="H510" s="29"/>
      <c r="I510" s="30"/>
    </row>
    <row r="511" spans="5:9">
      <c r="E511" s="2"/>
      <c r="H511" s="29"/>
      <c r="I511" s="30"/>
    </row>
    <row r="512" spans="5:9">
      <c r="E512" s="2"/>
      <c r="H512" s="29"/>
      <c r="I512" s="30"/>
    </row>
    <row r="513" spans="5:9">
      <c r="E513" s="2"/>
      <c r="H513" s="29"/>
      <c r="I513" s="30"/>
    </row>
    <row r="514" spans="5:9">
      <c r="E514" s="2"/>
      <c r="H514" s="29"/>
      <c r="I514" s="30"/>
    </row>
    <row r="515" spans="5:9">
      <c r="E515" s="2"/>
      <c r="H515" s="29"/>
      <c r="I515" s="30"/>
    </row>
    <row r="516" spans="5:9">
      <c r="E516" s="2"/>
      <c r="H516" s="29"/>
      <c r="I516" s="30"/>
    </row>
    <row r="517" spans="5:9">
      <c r="E517" s="2"/>
      <c r="H517" s="29"/>
      <c r="I517" s="30"/>
    </row>
    <row r="518" spans="5:9">
      <c r="E518" s="2"/>
      <c r="H518" s="29"/>
      <c r="I518" s="30"/>
    </row>
    <row r="519" spans="5:9">
      <c r="E519" s="2"/>
      <c r="H519" s="29"/>
      <c r="I519" s="30"/>
    </row>
    <row r="520" spans="5:9">
      <c r="E520" s="2"/>
      <c r="H520" s="29"/>
      <c r="I520" s="30"/>
    </row>
    <row r="521" spans="5:9">
      <c r="E521" s="2"/>
      <c r="H521" s="29"/>
      <c r="I521" s="30"/>
    </row>
    <row r="522" spans="5:9">
      <c r="E522" s="2"/>
      <c r="H522" s="29"/>
      <c r="I522" s="30"/>
    </row>
    <row r="523" spans="5:9">
      <c r="E523" s="2"/>
      <c r="H523" s="29"/>
      <c r="I523" s="30"/>
    </row>
    <row r="524" spans="5:9">
      <c r="E524" s="2"/>
      <c r="H524" s="29"/>
      <c r="I524" s="30"/>
    </row>
    <row r="525" spans="5:9">
      <c r="E525" s="2"/>
      <c r="H525" s="29"/>
      <c r="I525" s="30"/>
    </row>
    <row r="526" spans="5:9">
      <c r="E526" s="2"/>
      <c r="H526" s="29"/>
      <c r="I526" s="30"/>
    </row>
    <row r="527" spans="5:9">
      <c r="E527" s="2"/>
      <c r="H527" s="29"/>
      <c r="I527" s="30"/>
    </row>
    <row r="528" spans="5:9">
      <c r="E528" s="2"/>
      <c r="H528" s="29"/>
      <c r="I528" s="30"/>
    </row>
    <row r="529" spans="5:9">
      <c r="E529" s="2"/>
      <c r="H529" s="29"/>
      <c r="I529" s="30"/>
    </row>
    <row r="530" spans="5:9">
      <c r="E530" s="2"/>
      <c r="H530" s="29"/>
      <c r="I530" s="30"/>
    </row>
    <row r="531" spans="5:9">
      <c r="E531" s="2"/>
      <c r="H531" s="29"/>
      <c r="I531" s="30"/>
    </row>
    <row r="532" spans="5:9">
      <c r="E532" s="2"/>
      <c r="H532" s="29"/>
      <c r="I532" s="30"/>
    </row>
    <row r="533" spans="5:9">
      <c r="E533" s="2"/>
      <c r="H533" s="29"/>
      <c r="I533" s="30"/>
    </row>
    <row r="534" spans="5:9">
      <c r="E534" s="2"/>
      <c r="H534" s="29"/>
      <c r="I534" s="30"/>
    </row>
    <row r="535" spans="5:9">
      <c r="E535" s="2"/>
      <c r="H535" s="29"/>
      <c r="I535" s="30"/>
    </row>
    <row r="536" spans="5:9">
      <c r="E536" s="2"/>
      <c r="H536" s="29"/>
      <c r="I536" s="30"/>
    </row>
    <row r="537" spans="5:9">
      <c r="E537" s="2"/>
      <c r="H537" s="29"/>
      <c r="I537" s="30"/>
    </row>
    <row r="538" spans="5:9">
      <c r="E538" s="2"/>
      <c r="H538" s="29"/>
      <c r="I538" s="30"/>
    </row>
    <row r="539" spans="5:9">
      <c r="E539" s="2"/>
      <c r="H539" s="29"/>
      <c r="I539" s="30"/>
    </row>
    <row r="540" spans="5:9">
      <c r="E540" s="2"/>
      <c r="H540" s="29"/>
      <c r="I540" s="30"/>
    </row>
    <row r="541" spans="5:9">
      <c r="E541" s="2"/>
      <c r="H541" s="29"/>
      <c r="I541" s="30"/>
    </row>
    <row r="542" spans="5:9">
      <c r="E542" s="2"/>
      <c r="H542" s="29"/>
      <c r="I542" s="30"/>
    </row>
    <row r="543" spans="5:9">
      <c r="E543" s="2"/>
      <c r="H543" s="29"/>
      <c r="I543" s="30"/>
    </row>
    <row r="544" spans="5:9">
      <c r="E544" s="2"/>
      <c r="H544" s="29"/>
      <c r="I544" s="30"/>
    </row>
    <row r="545" spans="5:9">
      <c r="E545" s="2"/>
      <c r="H545" s="29"/>
      <c r="I545" s="30"/>
    </row>
    <row r="546" spans="5:9">
      <c r="E546" s="2"/>
      <c r="H546" s="29"/>
      <c r="I546" s="30"/>
    </row>
    <row r="547" spans="5:9">
      <c r="E547" s="2"/>
      <c r="H547" s="29"/>
      <c r="I547" s="30"/>
    </row>
    <row r="548" spans="5:9">
      <c r="E548" s="2"/>
      <c r="H548" s="29"/>
      <c r="I548" s="30"/>
    </row>
    <row r="549" spans="5:9">
      <c r="E549" s="2"/>
      <c r="H549" s="29"/>
      <c r="I549" s="30"/>
    </row>
    <row r="550" spans="5:9">
      <c r="E550" s="2"/>
      <c r="H550" s="29"/>
      <c r="I550" s="30"/>
    </row>
    <row r="551" spans="5:9">
      <c r="E551" s="2"/>
      <c r="H551" s="29"/>
      <c r="I551" s="30"/>
    </row>
    <row r="552" spans="5:9">
      <c r="E552" s="2"/>
      <c r="H552" s="29"/>
      <c r="I552" s="30"/>
    </row>
    <row r="553" spans="5:9">
      <c r="E553" s="2"/>
      <c r="H553" s="29"/>
      <c r="I553" s="30"/>
    </row>
    <row r="554" spans="5:9">
      <c r="E554" s="2"/>
      <c r="H554" s="29"/>
      <c r="I554" s="30"/>
    </row>
    <row r="555" spans="5:9">
      <c r="E555" s="2"/>
      <c r="H555" s="29"/>
      <c r="I555" s="30"/>
    </row>
    <row r="556" spans="5:9">
      <c r="E556" s="2"/>
      <c r="H556" s="29"/>
      <c r="I556" s="30"/>
    </row>
    <row r="557" spans="5:9">
      <c r="E557" s="2"/>
      <c r="H557" s="29"/>
      <c r="I557" s="30"/>
    </row>
    <row r="558" spans="5:9">
      <c r="E558" s="2"/>
      <c r="H558" s="29"/>
      <c r="I558" s="30"/>
    </row>
    <row r="559" spans="5:9">
      <c r="E559" s="2"/>
      <c r="H559" s="29"/>
      <c r="I559" s="30"/>
    </row>
    <row r="560" spans="5:9">
      <c r="E560" s="2"/>
      <c r="H560" s="29"/>
      <c r="I560" s="30"/>
    </row>
    <row r="561" spans="5:9">
      <c r="E561" s="2"/>
      <c r="H561" s="29"/>
      <c r="I561" s="30"/>
    </row>
    <row r="562" spans="5:9">
      <c r="E562" s="2"/>
      <c r="H562" s="29"/>
      <c r="I562" s="30"/>
    </row>
    <row r="563" spans="5:9">
      <c r="E563" s="2"/>
      <c r="H563" s="29"/>
      <c r="I563" s="30"/>
    </row>
    <row r="564" spans="5:9">
      <c r="E564" s="2"/>
      <c r="H564" s="29"/>
      <c r="I564" s="30"/>
    </row>
    <row r="565" spans="5:9">
      <c r="E565" s="2"/>
      <c r="H565" s="29"/>
      <c r="I565" s="30"/>
    </row>
    <row r="566" spans="5:9">
      <c r="E566" s="2"/>
      <c r="H566" s="29"/>
      <c r="I566" s="30"/>
    </row>
    <row r="567" spans="5:9">
      <c r="E567" s="2"/>
      <c r="H567" s="29"/>
      <c r="I567" s="30"/>
    </row>
    <row r="568" spans="5:9">
      <c r="E568" s="2"/>
      <c r="H568" s="29"/>
      <c r="I568" s="30"/>
    </row>
    <row r="569" spans="5:9">
      <c r="E569" s="2"/>
      <c r="H569" s="29"/>
      <c r="I569" s="30"/>
    </row>
    <row r="570" spans="5:9">
      <c r="E570" s="2"/>
      <c r="H570" s="29"/>
      <c r="I570" s="30"/>
    </row>
    <row r="571" spans="5:9">
      <c r="E571" s="2"/>
      <c r="H571" s="29"/>
      <c r="I571" s="30"/>
    </row>
    <row r="572" spans="5:9">
      <c r="E572" s="2"/>
      <c r="H572" s="29"/>
      <c r="I572" s="30"/>
    </row>
    <row r="573" spans="5:9">
      <c r="E573" s="2"/>
      <c r="H573" s="29"/>
      <c r="I573" s="30"/>
    </row>
    <row r="574" spans="5:9">
      <c r="E574" s="2"/>
      <c r="H574" s="29"/>
      <c r="I574" s="30"/>
    </row>
    <row r="575" spans="5:9">
      <c r="E575" s="2"/>
      <c r="H575" s="29"/>
      <c r="I575" s="30"/>
    </row>
    <row r="576" spans="5:9">
      <c r="E576" s="2"/>
      <c r="H576" s="29"/>
      <c r="I576" s="30"/>
    </row>
    <row r="577" spans="5:9">
      <c r="E577" s="2"/>
      <c r="H577" s="29"/>
      <c r="I577" s="30"/>
    </row>
    <row r="578" spans="5:9">
      <c r="E578" s="2"/>
      <c r="H578" s="29"/>
      <c r="I578" s="30"/>
    </row>
    <row r="579" spans="5:9">
      <c r="E579" s="2"/>
      <c r="H579" s="29"/>
      <c r="I579" s="30"/>
    </row>
    <row r="580" spans="5:9">
      <c r="E580" s="2"/>
      <c r="H580" s="29"/>
      <c r="I580" s="30"/>
    </row>
    <row r="581" spans="5:9">
      <c r="E581" s="2"/>
      <c r="H581" s="29"/>
      <c r="I581" s="30"/>
    </row>
    <row r="582" spans="5:9">
      <c r="E582" s="2"/>
      <c r="H582" s="29"/>
      <c r="I582" s="30"/>
    </row>
    <row r="583" spans="5:9">
      <c r="E583" s="2"/>
      <c r="H583" s="29"/>
      <c r="I583" s="30"/>
    </row>
    <row r="584" spans="5:9">
      <c r="E584" s="2"/>
      <c r="H584" s="29"/>
      <c r="I584" s="30"/>
    </row>
    <row r="585" spans="5:9">
      <c r="E585" s="2"/>
      <c r="H585" s="29"/>
      <c r="I585" s="30"/>
    </row>
    <row r="586" spans="5:9">
      <c r="E586" s="2"/>
      <c r="H586" s="29"/>
      <c r="I586" s="30"/>
    </row>
    <row r="587" spans="5:9">
      <c r="E587" s="2"/>
      <c r="H587" s="29"/>
      <c r="I587" s="30"/>
    </row>
    <row r="588" spans="5:9">
      <c r="E588" s="2"/>
      <c r="H588" s="29"/>
      <c r="I588" s="30"/>
    </row>
    <row r="589" spans="5:9">
      <c r="E589" s="2"/>
      <c r="H589" s="29"/>
      <c r="I589" s="30"/>
    </row>
    <row r="590" spans="5:9">
      <c r="E590" s="2"/>
      <c r="H590" s="29"/>
      <c r="I590" s="30"/>
    </row>
    <row r="591" spans="5:9">
      <c r="E591" s="2"/>
      <c r="H591" s="29"/>
      <c r="I591" s="30"/>
    </row>
    <row r="592" spans="5:9">
      <c r="E592" s="2"/>
      <c r="H592" s="29"/>
      <c r="I592" s="30"/>
    </row>
    <row r="593" spans="5:9">
      <c r="E593" s="2"/>
      <c r="H593" s="29"/>
      <c r="I593" s="30"/>
    </row>
    <row r="594" spans="5:9">
      <c r="E594" s="2"/>
      <c r="H594" s="29"/>
      <c r="I594" s="30"/>
    </row>
    <row r="595" spans="5:9">
      <c r="E595" s="2"/>
      <c r="H595" s="29"/>
      <c r="I595" s="30"/>
    </row>
    <row r="596" spans="5:9">
      <c r="E596" s="2"/>
      <c r="H596" s="29"/>
      <c r="I596" s="30"/>
    </row>
    <row r="597" spans="5:9">
      <c r="E597" s="2"/>
      <c r="H597" s="29"/>
      <c r="I597" s="30"/>
    </row>
    <row r="598" spans="5:9">
      <c r="E598" s="2"/>
      <c r="H598" s="29"/>
      <c r="I598" s="30"/>
    </row>
    <row r="599" spans="5:9">
      <c r="E599" s="2"/>
      <c r="H599" s="29"/>
      <c r="I599" s="30"/>
    </row>
    <row r="600" spans="5:9">
      <c r="E600" s="2"/>
      <c r="H600" s="29"/>
      <c r="I600" s="30"/>
    </row>
    <row r="601" spans="5:9">
      <c r="E601" s="2"/>
      <c r="H601" s="29"/>
      <c r="I601" s="30"/>
    </row>
    <row r="602" spans="5:9">
      <c r="E602" s="2"/>
      <c r="H602" s="29"/>
      <c r="I602" s="30"/>
    </row>
    <row r="603" spans="5:9">
      <c r="E603" s="2"/>
      <c r="H603" s="29"/>
      <c r="I603" s="30"/>
    </row>
    <row r="604" spans="5:9">
      <c r="E604" s="2"/>
      <c r="H604" s="29"/>
      <c r="I604" s="30"/>
    </row>
    <row r="605" spans="5:9">
      <c r="E605" s="2"/>
      <c r="H605" s="29"/>
      <c r="I605" s="30"/>
    </row>
    <row r="606" spans="5:9">
      <c r="E606" s="2"/>
      <c r="H606" s="29"/>
      <c r="I606" s="30"/>
    </row>
    <row r="607" spans="5:9">
      <c r="E607" s="2"/>
      <c r="H607" s="29"/>
      <c r="I607" s="30"/>
    </row>
    <row r="608" spans="5:9">
      <c r="E608" s="2"/>
      <c r="H608" s="29"/>
      <c r="I608" s="30"/>
    </row>
    <row r="609" spans="5:9">
      <c r="E609" s="2"/>
      <c r="H609" s="29"/>
      <c r="I609" s="30"/>
    </row>
    <row r="610" spans="5:9">
      <c r="E610" s="2"/>
      <c r="H610" s="29"/>
      <c r="I610" s="30"/>
    </row>
    <row r="611" spans="5:9">
      <c r="E611" s="2"/>
      <c r="H611" s="29"/>
      <c r="I611" s="30"/>
    </row>
    <row r="612" spans="5:9">
      <c r="E612" s="2"/>
      <c r="H612" s="29"/>
      <c r="I612" s="30"/>
    </row>
    <row r="613" spans="5:9">
      <c r="E613" s="2"/>
      <c r="H613" s="29"/>
      <c r="I613" s="30"/>
    </row>
    <row r="614" spans="5:9">
      <c r="E614" s="2"/>
      <c r="H614" s="29"/>
      <c r="I614" s="30"/>
    </row>
    <row r="615" spans="5:9">
      <c r="E615" s="2"/>
      <c r="H615" s="29"/>
      <c r="I615" s="30"/>
    </row>
    <row r="616" spans="5:9">
      <c r="E616" s="2"/>
      <c r="H616" s="29"/>
      <c r="I616" s="30"/>
    </row>
    <row r="617" spans="5:9">
      <c r="E617" s="2"/>
      <c r="H617" s="29"/>
      <c r="I617" s="30"/>
    </row>
    <row r="618" spans="5:9">
      <c r="E618" s="2"/>
      <c r="H618" s="29"/>
      <c r="I618" s="30"/>
    </row>
    <row r="619" spans="5:9">
      <c r="E619" s="2"/>
      <c r="H619" s="29"/>
      <c r="I619" s="30"/>
    </row>
    <row r="620" spans="5:9">
      <c r="E620" s="2"/>
      <c r="H620" s="29"/>
      <c r="I620" s="30"/>
    </row>
    <row r="621" spans="5:9">
      <c r="E621" s="2"/>
      <c r="H621" s="29"/>
      <c r="I621" s="30"/>
    </row>
    <row r="622" spans="5:9">
      <c r="E622" s="2"/>
      <c r="H622" s="29"/>
      <c r="I622" s="30"/>
    </row>
    <row r="623" spans="5:9">
      <c r="E623" s="2"/>
      <c r="H623" s="29"/>
      <c r="I623" s="30"/>
    </row>
    <row r="624" spans="5:9">
      <c r="E624" s="2"/>
      <c r="H624" s="29"/>
      <c r="I624" s="30"/>
    </row>
    <row r="625" spans="5:9">
      <c r="E625" s="2"/>
      <c r="H625" s="29"/>
      <c r="I625" s="30"/>
    </row>
    <row r="626" spans="5:9">
      <c r="E626" s="2"/>
      <c r="H626" s="29"/>
      <c r="I626" s="30"/>
    </row>
    <row r="627" spans="5:9">
      <c r="E627" s="2"/>
      <c r="H627" s="29"/>
      <c r="I627" s="30"/>
    </row>
    <row r="628" spans="5:9">
      <c r="E628" s="2"/>
      <c r="H628" s="29"/>
      <c r="I628" s="30"/>
    </row>
    <row r="629" spans="5:9">
      <c r="E629" s="2"/>
      <c r="H629" s="29"/>
      <c r="I629" s="30"/>
    </row>
    <row r="630" spans="5:9">
      <c r="E630" s="2"/>
      <c r="H630" s="29"/>
      <c r="I630" s="30"/>
    </row>
    <row r="631" spans="5:9">
      <c r="E631" s="2"/>
      <c r="H631" s="29"/>
      <c r="I631" s="30"/>
    </row>
    <row r="632" spans="5:9">
      <c r="E632" s="2"/>
      <c r="H632" s="29"/>
      <c r="I632" s="30"/>
    </row>
    <row r="633" spans="5:9">
      <c r="E633" s="2"/>
      <c r="H633" s="29"/>
      <c r="I633" s="30"/>
    </row>
    <row r="634" spans="5:9">
      <c r="E634" s="2"/>
      <c r="H634" s="29"/>
      <c r="I634" s="30"/>
    </row>
    <row r="635" spans="5:9">
      <c r="E635" s="2"/>
      <c r="H635" s="29"/>
      <c r="I635" s="30"/>
    </row>
    <row r="636" spans="5:9">
      <c r="E636" s="2"/>
      <c r="H636" s="29"/>
      <c r="I636" s="30"/>
    </row>
    <row r="637" spans="5:9">
      <c r="E637" s="2"/>
      <c r="H637" s="29"/>
      <c r="I637" s="30"/>
    </row>
    <row r="638" spans="5:9">
      <c r="E638" s="2"/>
      <c r="H638" s="29"/>
      <c r="I638" s="30"/>
    </row>
    <row r="639" spans="5:9">
      <c r="E639" s="2"/>
      <c r="H639" s="29"/>
      <c r="I639" s="30"/>
    </row>
    <row r="640" spans="5:9">
      <c r="E640" s="2"/>
      <c r="H640" s="29"/>
      <c r="I640" s="30"/>
    </row>
    <row r="641" spans="5:9">
      <c r="E641" s="2"/>
      <c r="H641" s="29"/>
      <c r="I641" s="30"/>
    </row>
    <row r="642" spans="5:9">
      <c r="E642" s="2"/>
      <c r="H642" s="29"/>
      <c r="I642" s="30"/>
    </row>
    <row r="643" spans="5:9">
      <c r="E643" s="2"/>
      <c r="H643" s="29"/>
      <c r="I643" s="30"/>
    </row>
    <row r="644" spans="5:9">
      <c r="E644" s="2"/>
      <c r="H644" s="29"/>
      <c r="I644" s="30"/>
    </row>
    <row r="645" spans="5:9">
      <c r="E645" s="2"/>
      <c r="H645" s="29"/>
      <c r="I645" s="30"/>
    </row>
    <row r="646" spans="5:9">
      <c r="E646" s="2"/>
      <c r="H646" s="29"/>
      <c r="I646" s="30"/>
    </row>
    <row r="647" spans="5:9">
      <c r="E647" s="2"/>
      <c r="H647" s="29"/>
      <c r="I647" s="30"/>
    </row>
    <row r="648" spans="5:9">
      <c r="E648" s="2"/>
      <c r="H648" s="29"/>
      <c r="I648" s="30"/>
    </row>
    <row r="649" spans="5:9">
      <c r="E649" s="2"/>
      <c r="H649" s="29"/>
      <c r="I649" s="30"/>
    </row>
    <row r="650" spans="5:9">
      <c r="E650" s="2"/>
      <c r="H650" s="29"/>
      <c r="I650" s="30"/>
    </row>
    <row r="651" spans="5:9">
      <c r="E651" s="2"/>
      <c r="H651" s="29"/>
      <c r="I651" s="30"/>
    </row>
    <row r="652" spans="5:9">
      <c r="E652" s="2"/>
      <c r="H652" s="29"/>
      <c r="I652" s="30"/>
    </row>
    <row r="653" spans="5:9">
      <c r="E653" s="2"/>
      <c r="H653" s="29"/>
      <c r="I653" s="30"/>
    </row>
    <row r="654" spans="5:9">
      <c r="E654" s="2"/>
      <c r="H654" s="29"/>
      <c r="I654" s="30"/>
    </row>
    <row r="655" spans="5:9">
      <c r="E655" s="2"/>
      <c r="H655" s="29"/>
      <c r="I655" s="30"/>
    </row>
    <row r="656" spans="5:9">
      <c r="E656" s="2"/>
      <c r="H656" s="29"/>
      <c r="I656" s="30"/>
    </row>
    <row r="657" spans="5:9">
      <c r="E657" s="2"/>
      <c r="H657" s="29"/>
      <c r="I657" s="30"/>
    </row>
    <row r="658" spans="5:9">
      <c r="E658" s="2"/>
      <c r="H658" s="29"/>
      <c r="I658" s="30"/>
    </row>
    <row r="659" spans="5:9">
      <c r="E659" s="2"/>
      <c r="H659" s="29"/>
      <c r="I659" s="30"/>
    </row>
    <row r="660" spans="5:9">
      <c r="E660" s="2"/>
      <c r="H660" s="29"/>
      <c r="I660" s="30"/>
    </row>
    <row r="661" spans="5:9">
      <c r="E661" s="2"/>
      <c r="H661" s="29"/>
      <c r="I661" s="30"/>
    </row>
    <row r="662" spans="5:9">
      <c r="E662" s="2"/>
      <c r="H662" s="29"/>
      <c r="I662" s="30"/>
    </row>
    <row r="663" spans="5:9">
      <c r="E663" s="2"/>
      <c r="H663" s="29"/>
      <c r="I663" s="30"/>
    </row>
    <row r="664" spans="5:9">
      <c r="E664" s="2"/>
      <c r="H664" s="29"/>
      <c r="I664" s="30"/>
    </row>
    <row r="665" spans="5:9">
      <c r="E665" s="2"/>
      <c r="H665" s="29"/>
      <c r="I665" s="30"/>
    </row>
    <row r="666" spans="5:9">
      <c r="E666" s="2"/>
      <c r="H666" s="29"/>
      <c r="I666" s="30"/>
    </row>
    <row r="667" spans="5:9">
      <c r="E667" s="2"/>
      <c r="H667" s="29"/>
      <c r="I667" s="30"/>
    </row>
    <row r="668" spans="5:9">
      <c r="E668" s="2"/>
      <c r="H668" s="29"/>
      <c r="I668" s="30"/>
    </row>
    <row r="669" spans="5:9">
      <c r="E669" s="2"/>
      <c r="H669" s="29"/>
      <c r="I669" s="30"/>
    </row>
    <row r="670" spans="5:9">
      <c r="E670" s="2"/>
      <c r="H670" s="29"/>
      <c r="I670" s="30"/>
    </row>
    <row r="671" spans="5:9">
      <c r="E671" s="2"/>
      <c r="H671" s="29"/>
      <c r="I671" s="30"/>
    </row>
    <row r="672" spans="5:9">
      <c r="E672" s="2"/>
      <c r="H672" s="29"/>
      <c r="I672" s="30"/>
    </row>
    <row r="673" spans="5:9">
      <c r="E673" s="2"/>
      <c r="H673" s="29"/>
      <c r="I673" s="30"/>
    </row>
    <row r="674" spans="5:9">
      <c r="E674" s="2"/>
      <c r="H674" s="29"/>
      <c r="I674" s="30"/>
    </row>
    <row r="675" spans="5:9">
      <c r="E675" s="2"/>
      <c r="H675" s="29"/>
      <c r="I675" s="30"/>
    </row>
    <row r="676" spans="5:9">
      <c r="E676" s="2"/>
      <c r="H676" s="29"/>
      <c r="I676" s="30"/>
    </row>
    <row r="677" spans="5:9">
      <c r="E677" s="2"/>
      <c r="H677" s="29"/>
      <c r="I677" s="30"/>
    </row>
    <row r="678" spans="5:9">
      <c r="E678" s="2"/>
      <c r="H678" s="29"/>
      <c r="I678" s="30"/>
    </row>
    <row r="679" spans="5:9">
      <c r="E679" s="2"/>
      <c r="H679" s="29"/>
      <c r="I679" s="30"/>
    </row>
    <row r="680" spans="5:9">
      <c r="E680" s="2"/>
      <c r="H680" s="29"/>
      <c r="I680" s="30"/>
    </row>
    <row r="681" spans="5:9">
      <c r="E681" s="2"/>
      <c r="H681" s="29"/>
      <c r="I681" s="30"/>
    </row>
    <row r="682" spans="5:9">
      <c r="E682" s="2"/>
      <c r="H682" s="29"/>
      <c r="I682" s="30"/>
    </row>
    <row r="683" spans="5:9">
      <c r="E683" s="2"/>
      <c r="H683" s="29"/>
      <c r="I683" s="30"/>
    </row>
    <row r="684" spans="5:9">
      <c r="E684" s="2"/>
      <c r="H684" s="29"/>
      <c r="I684" s="30"/>
    </row>
    <row r="685" spans="5:9">
      <c r="E685" s="2"/>
      <c r="H685" s="29"/>
      <c r="I685" s="30"/>
    </row>
    <row r="686" spans="5:9">
      <c r="E686" s="2"/>
      <c r="H686" s="29"/>
      <c r="I686" s="30"/>
    </row>
    <row r="687" spans="5:9">
      <c r="E687" s="2"/>
      <c r="H687" s="29"/>
      <c r="I687" s="30"/>
    </row>
    <row r="688" spans="5:9">
      <c r="E688" s="2"/>
      <c r="H688" s="29"/>
      <c r="I688" s="30"/>
    </row>
    <row r="689" spans="5:9">
      <c r="E689" s="2"/>
      <c r="H689" s="29"/>
      <c r="I689" s="30"/>
    </row>
    <row r="690" spans="5:9">
      <c r="E690" s="2"/>
      <c r="H690" s="29"/>
      <c r="I690" s="30"/>
    </row>
    <row r="691" spans="5:9">
      <c r="E691" s="2"/>
      <c r="H691" s="29"/>
      <c r="I691" s="30"/>
    </row>
    <row r="692" spans="5:9">
      <c r="E692" s="2"/>
      <c r="H692" s="29"/>
      <c r="I692" s="30"/>
    </row>
    <row r="693" spans="5:9">
      <c r="E693" s="2"/>
      <c r="H693" s="29"/>
      <c r="I693" s="30"/>
    </row>
    <row r="694" spans="5:9">
      <c r="E694" s="2"/>
      <c r="H694" s="29"/>
      <c r="I694" s="30"/>
    </row>
    <row r="695" spans="5:9">
      <c r="E695" s="2"/>
      <c r="H695" s="29"/>
      <c r="I695" s="30"/>
    </row>
    <row r="696" spans="5:9">
      <c r="E696" s="2"/>
      <c r="H696" s="29"/>
      <c r="I696" s="30"/>
    </row>
    <row r="697" spans="5:9">
      <c r="E697" s="2"/>
      <c r="H697" s="29"/>
      <c r="I697" s="30"/>
    </row>
    <row r="698" spans="5:9">
      <c r="E698" s="2"/>
      <c r="H698" s="29"/>
      <c r="I698" s="30"/>
    </row>
    <row r="699" spans="5:9">
      <c r="E699" s="2"/>
      <c r="H699" s="29"/>
      <c r="I699" s="30"/>
    </row>
    <row r="700" spans="5:9">
      <c r="E700" s="2"/>
      <c r="H700" s="29"/>
      <c r="I700" s="30"/>
    </row>
    <row r="701" spans="5:9">
      <c r="E701" s="2"/>
      <c r="H701" s="29"/>
      <c r="I701" s="30"/>
    </row>
    <row r="702" spans="5:9">
      <c r="E702" s="2"/>
      <c r="H702" s="29"/>
      <c r="I702" s="30"/>
    </row>
    <row r="703" spans="5:9">
      <c r="E703" s="2"/>
      <c r="H703" s="29"/>
      <c r="I703" s="30"/>
    </row>
    <row r="704" spans="5:9">
      <c r="E704" s="2"/>
      <c r="H704" s="29"/>
      <c r="I704" s="30"/>
    </row>
    <row r="705" spans="5:9">
      <c r="E705" s="2"/>
      <c r="H705" s="29"/>
      <c r="I705" s="30"/>
    </row>
    <row r="706" spans="5:9">
      <c r="E706" s="2"/>
      <c r="H706" s="29"/>
      <c r="I706" s="30"/>
    </row>
    <row r="707" spans="5:9">
      <c r="E707" s="2"/>
      <c r="H707" s="29"/>
      <c r="I707" s="30"/>
    </row>
    <row r="708" spans="5:9">
      <c r="E708" s="2"/>
      <c r="H708" s="29"/>
      <c r="I708" s="30"/>
    </row>
    <row r="709" spans="5:9">
      <c r="E709" s="2"/>
      <c r="H709" s="29"/>
      <c r="I709" s="30"/>
    </row>
    <row r="710" spans="5:9">
      <c r="E710" s="2"/>
      <c r="H710" s="29"/>
      <c r="I710" s="30"/>
    </row>
    <row r="711" spans="5:9">
      <c r="E711" s="2"/>
      <c r="H711" s="29"/>
      <c r="I711" s="30"/>
    </row>
    <row r="712" spans="5:9">
      <c r="E712" s="2"/>
      <c r="H712" s="29"/>
      <c r="I712" s="30"/>
    </row>
    <row r="713" spans="5:9">
      <c r="E713" s="2"/>
      <c r="H713" s="29"/>
      <c r="I713" s="30"/>
    </row>
    <row r="714" spans="5:9">
      <c r="E714" s="2"/>
      <c r="H714" s="29"/>
      <c r="I714" s="30"/>
    </row>
    <row r="715" spans="5:9">
      <c r="E715" s="2"/>
      <c r="H715" s="29"/>
      <c r="I715" s="30"/>
    </row>
    <row r="716" spans="5:9">
      <c r="E716" s="2"/>
      <c r="H716" s="29"/>
      <c r="I716" s="30"/>
    </row>
    <row r="717" spans="5:9">
      <c r="E717" s="2"/>
      <c r="H717" s="29"/>
      <c r="I717" s="30"/>
    </row>
    <row r="718" spans="5:9">
      <c r="E718" s="2"/>
      <c r="H718" s="29"/>
      <c r="I718" s="30"/>
    </row>
    <row r="719" spans="5:9">
      <c r="E719" s="2"/>
      <c r="H719" s="29"/>
      <c r="I719" s="30"/>
    </row>
    <row r="720" spans="5:9">
      <c r="E720" s="2"/>
      <c r="H720" s="29"/>
      <c r="I720" s="30"/>
    </row>
    <row r="721" spans="5:9">
      <c r="E721" s="2"/>
      <c r="H721" s="29"/>
      <c r="I721" s="30"/>
    </row>
    <row r="722" spans="5:9">
      <c r="E722" s="2"/>
      <c r="H722" s="29"/>
      <c r="I722" s="30"/>
    </row>
    <row r="723" spans="5:9">
      <c r="E723" s="2"/>
      <c r="H723" s="29"/>
      <c r="I723" s="30"/>
    </row>
    <row r="724" spans="5:9">
      <c r="E724" s="2"/>
      <c r="H724" s="29"/>
      <c r="I724" s="30"/>
    </row>
    <row r="725" spans="5:9">
      <c r="E725" s="2"/>
      <c r="H725" s="29"/>
      <c r="I725" s="30"/>
    </row>
    <row r="726" spans="5:9">
      <c r="E726" s="2"/>
      <c r="H726" s="29"/>
      <c r="I726" s="30"/>
    </row>
    <row r="727" spans="5:9">
      <c r="E727" s="2"/>
      <c r="H727" s="29"/>
      <c r="I727" s="30"/>
    </row>
    <row r="728" spans="5:9">
      <c r="E728" s="2"/>
      <c r="H728" s="29"/>
      <c r="I728" s="30"/>
    </row>
    <row r="729" spans="5:9">
      <c r="E729" s="2"/>
      <c r="H729" s="29"/>
      <c r="I729" s="30"/>
    </row>
    <row r="730" spans="5:9">
      <c r="E730" s="2"/>
      <c r="H730" s="29"/>
      <c r="I730" s="30"/>
    </row>
    <row r="731" spans="5:9">
      <c r="E731" s="2"/>
      <c r="H731" s="29"/>
      <c r="I731" s="30"/>
    </row>
    <row r="732" spans="5:9">
      <c r="E732" s="2"/>
      <c r="H732" s="29"/>
      <c r="I732" s="30"/>
    </row>
    <row r="733" spans="5:9">
      <c r="E733" s="2"/>
      <c r="H733" s="29"/>
      <c r="I733" s="30"/>
    </row>
    <row r="734" spans="5:9">
      <c r="E734" s="2"/>
      <c r="H734" s="29"/>
      <c r="I734" s="30"/>
    </row>
    <row r="735" spans="5:9">
      <c r="E735" s="2"/>
      <c r="H735" s="29"/>
      <c r="I735" s="30"/>
    </row>
    <row r="736" spans="5:9">
      <c r="E736" s="2"/>
      <c r="H736" s="29"/>
      <c r="I736" s="30"/>
    </row>
    <row r="737" spans="5:9">
      <c r="E737" s="2"/>
      <c r="H737" s="29"/>
      <c r="I737" s="30"/>
    </row>
    <row r="738" spans="5:9">
      <c r="E738" s="2"/>
      <c r="H738" s="29"/>
      <c r="I738" s="30"/>
    </row>
    <row r="739" spans="5:9">
      <c r="E739" s="2"/>
      <c r="H739" s="29"/>
      <c r="I739" s="30"/>
    </row>
    <row r="740" spans="5:9">
      <c r="E740" s="2"/>
      <c r="H740" s="29"/>
      <c r="I740" s="30"/>
    </row>
    <row r="741" spans="5:9">
      <c r="E741" s="2"/>
      <c r="H741" s="29"/>
      <c r="I741" s="30"/>
    </row>
    <row r="742" spans="5:9">
      <c r="E742" s="2"/>
      <c r="H742" s="29"/>
      <c r="I742" s="30"/>
    </row>
    <row r="743" spans="5:9">
      <c r="E743" s="2"/>
      <c r="H743" s="29"/>
      <c r="I743" s="30"/>
    </row>
    <row r="744" spans="5:9">
      <c r="E744" s="2"/>
      <c r="H744" s="29"/>
      <c r="I744" s="30"/>
    </row>
    <row r="745" spans="5:9">
      <c r="E745" s="2"/>
      <c r="H745" s="29"/>
      <c r="I745" s="30"/>
    </row>
    <row r="746" spans="5:9">
      <c r="E746" s="2"/>
      <c r="H746" s="29"/>
      <c r="I746" s="30"/>
    </row>
    <row r="747" spans="5:9">
      <c r="E747" s="2"/>
      <c r="H747" s="29"/>
      <c r="I747" s="30"/>
    </row>
    <row r="748" spans="5:9">
      <c r="E748" s="2"/>
      <c r="H748" s="29"/>
      <c r="I748" s="30"/>
    </row>
    <row r="749" spans="5:9">
      <c r="E749" s="2"/>
      <c r="H749" s="29"/>
      <c r="I749" s="30"/>
    </row>
    <row r="750" spans="5:9">
      <c r="E750" s="2"/>
      <c r="H750" s="29"/>
      <c r="I750" s="30"/>
    </row>
    <row r="751" spans="5:9">
      <c r="E751" s="2"/>
      <c r="H751" s="29"/>
      <c r="I751" s="30"/>
    </row>
    <row r="752" spans="5:9">
      <c r="E752" s="2"/>
      <c r="H752" s="29"/>
      <c r="I752" s="30"/>
    </row>
    <row r="753" spans="5:9">
      <c r="E753" s="2"/>
      <c r="H753" s="29"/>
      <c r="I753" s="30"/>
    </row>
    <row r="754" spans="5:9">
      <c r="E754" s="2"/>
      <c r="H754" s="29"/>
      <c r="I754" s="30"/>
    </row>
    <row r="755" spans="5:9">
      <c r="E755" s="2"/>
      <c r="H755" s="29"/>
      <c r="I755" s="30"/>
    </row>
    <row r="756" spans="5:9">
      <c r="E756" s="2"/>
      <c r="H756" s="29"/>
      <c r="I756" s="30"/>
    </row>
    <row r="757" spans="5:9">
      <c r="E757" s="2"/>
      <c r="H757" s="29"/>
      <c r="I757" s="30"/>
    </row>
    <row r="758" spans="5:9">
      <c r="E758" s="2"/>
      <c r="H758" s="29"/>
      <c r="I758" s="30"/>
    </row>
    <row r="759" spans="5:9">
      <c r="E759" s="2"/>
      <c r="H759" s="29"/>
      <c r="I759" s="30"/>
    </row>
    <row r="760" spans="5:9">
      <c r="E760" s="2"/>
      <c r="H760" s="29"/>
      <c r="I760" s="30"/>
    </row>
    <row r="761" spans="5:9">
      <c r="E761" s="2"/>
      <c r="H761" s="29"/>
      <c r="I761" s="30"/>
    </row>
    <row r="762" spans="5:9">
      <c r="E762" s="2"/>
      <c r="H762" s="29"/>
      <c r="I762" s="30"/>
    </row>
    <row r="763" spans="5:9">
      <c r="E763" s="2"/>
      <c r="H763" s="29"/>
      <c r="I763" s="30"/>
    </row>
    <row r="764" spans="5:9">
      <c r="E764" s="2"/>
      <c r="H764" s="29"/>
      <c r="I764" s="30"/>
    </row>
    <row r="765" spans="5:9">
      <c r="E765" s="2"/>
      <c r="H765" s="29"/>
      <c r="I765" s="30"/>
    </row>
    <row r="766" spans="5:9">
      <c r="E766" s="2"/>
      <c r="H766" s="29"/>
      <c r="I766" s="30"/>
    </row>
    <row r="767" spans="5:9">
      <c r="E767" s="2"/>
      <c r="H767" s="29"/>
      <c r="I767" s="30"/>
    </row>
    <row r="768" spans="5:9">
      <c r="E768" s="2"/>
      <c r="H768" s="29"/>
      <c r="I768" s="30"/>
    </row>
    <row r="769" spans="5:9">
      <c r="E769" s="2"/>
      <c r="H769" s="29"/>
      <c r="I769" s="30"/>
    </row>
    <row r="770" spans="5:9">
      <c r="E770" s="2"/>
      <c r="H770" s="29"/>
      <c r="I770" s="30"/>
    </row>
    <row r="771" spans="5:9">
      <c r="E771" s="2"/>
      <c r="H771" s="29"/>
      <c r="I771" s="30"/>
    </row>
    <row r="772" spans="5:9">
      <c r="E772" s="2"/>
      <c r="H772" s="29"/>
      <c r="I772" s="30"/>
    </row>
    <row r="773" spans="5:9">
      <c r="E773" s="2"/>
      <c r="H773" s="29"/>
      <c r="I773" s="30"/>
    </row>
    <row r="774" spans="5:9">
      <c r="E774" s="2"/>
      <c r="H774" s="29"/>
      <c r="I774" s="30"/>
    </row>
    <row r="775" spans="5:9">
      <c r="E775" s="2"/>
      <c r="H775" s="29"/>
      <c r="I775" s="30"/>
    </row>
    <row r="776" spans="5:9">
      <c r="E776" s="2"/>
      <c r="H776" s="29"/>
      <c r="I776" s="30"/>
    </row>
    <row r="777" spans="5:9">
      <c r="E777" s="2"/>
      <c r="H777" s="29"/>
      <c r="I777" s="30"/>
    </row>
    <row r="778" spans="5:9">
      <c r="E778" s="2"/>
      <c r="H778" s="29"/>
      <c r="I778" s="30"/>
    </row>
    <row r="779" spans="5:9">
      <c r="E779" s="2"/>
      <c r="H779" s="29"/>
      <c r="I779" s="30"/>
    </row>
    <row r="780" spans="5:9">
      <c r="E780" s="2"/>
      <c r="H780" s="29"/>
      <c r="I780" s="30"/>
    </row>
    <row r="781" spans="5:9">
      <c r="E781" s="2"/>
      <c r="H781" s="29"/>
      <c r="I781" s="30"/>
    </row>
    <row r="782" spans="5:9">
      <c r="E782" s="2"/>
      <c r="H782" s="29"/>
      <c r="I782" s="30"/>
    </row>
    <row r="783" spans="5:9">
      <c r="E783" s="2"/>
      <c r="H783" s="29"/>
      <c r="I783" s="30"/>
    </row>
    <row r="784" spans="5:9">
      <c r="E784" s="2"/>
      <c r="H784" s="29"/>
      <c r="I784" s="30"/>
    </row>
    <row r="785" spans="5:9">
      <c r="E785" s="2"/>
      <c r="H785" s="29"/>
      <c r="I785" s="30"/>
    </row>
    <row r="786" spans="5:9">
      <c r="E786" s="2"/>
      <c r="H786" s="29"/>
      <c r="I786" s="30"/>
    </row>
    <row r="787" spans="5:9">
      <c r="E787" s="2"/>
      <c r="H787" s="29"/>
      <c r="I787" s="30"/>
    </row>
    <row r="788" spans="5:9">
      <c r="E788" s="2"/>
      <c r="H788" s="29"/>
      <c r="I788" s="30"/>
    </row>
    <row r="789" spans="5:9">
      <c r="E789" s="2"/>
      <c r="H789" s="29"/>
      <c r="I789" s="30"/>
    </row>
    <row r="790" spans="5:9">
      <c r="E790" s="2"/>
      <c r="H790" s="29"/>
      <c r="I790" s="30"/>
    </row>
    <row r="791" spans="5:9">
      <c r="E791" s="2"/>
      <c r="H791" s="29"/>
      <c r="I791" s="30"/>
    </row>
    <row r="792" spans="5:9">
      <c r="E792" s="2"/>
      <c r="H792" s="29"/>
      <c r="I792" s="30"/>
    </row>
    <row r="793" spans="5:9">
      <c r="E793" s="2"/>
      <c r="H793" s="29"/>
      <c r="I793" s="30"/>
    </row>
    <row r="794" spans="5:9">
      <c r="E794" s="2"/>
      <c r="H794" s="29"/>
      <c r="I794" s="30"/>
    </row>
    <row r="795" spans="5:9">
      <c r="E795" s="2"/>
      <c r="H795" s="29"/>
      <c r="I795" s="30"/>
    </row>
    <row r="796" spans="5:9">
      <c r="E796" s="2"/>
      <c r="H796" s="29"/>
      <c r="I796" s="30"/>
    </row>
    <row r="797" spans="5:9">
      <c r="E797" s="2"/>
      <c r="H797" s="29"/>
      <c r="I797" s="30"/>
    </row>
    <row r="798" spans="5:9">
      <c r="E798" s="2"/>
      <c r="H798" s="29"/>
      <c r="I798" s="30"/>
    </row>
    <row r="799" spans="5:9">
      <c r="E799" s="2"/>
      <c r="H799" s="29"/>
      <c r="I799" s="30"/>
    </row>
    <row r="800" spans="5:9">
      <c r="E800" s="2"/>
      <c r="H800" s="29"/>
      <c r="I800" s="30"/>
    </row>
    <row r="801" spans="5:9">
      <c r="E801" s="2"/>
      <c r="H801" s="29"/>
      <c r="I801" s="30"/>
    </row>
    <row r="802" spans="5:9">
      <c r="E802" s="2"/>
      <c r="H802" s="29"/>
      <c r="I802" s="30"/>
    </row>
    <row r="803" spans="5:9">
      <c r="E803" s="2"/>
      <c r="H803" s="29"/>
      <c r="I803" s="30"/>
    </row>
    <row r="804" spans="5:9">
      <c r="E804" s="2"/>
      <c r="H804" s="29"/>
      <c r="I804" s="30"/>
    </row>
    <row r="805" spans="5:9">
      <c r="E805" s="2"/>
      <c r="H805" s="29"/>
      <c r="I805" s="30"/>
    </row>
    <row r="806" spans="5:9">
      <c r="E806" s="2"/>
      <c r="H806" s="29"/>
      <c r="I806" s="30"/>
    </row>
    <row r="807" spans="5:9">
      <c r="E807" s="2"/>
      <c r="H807" s="29"/>
      <c r="I807" s="30"/>
    </row>
    <row r="808" spans="5:9">
      <c r="E808" s="2"/>
      <c r="H808" s="29"/>
      <c r="I808" s="30"/>
    </row>
    <row r="809" spans="5:9">
      <c r="E809" s="2"/>
      <c r="H809" s="29"/>
      <c r="I809" s="30"/>
    </row>
    <row r="810" spans="5:9">
      <c r="E810" s="2"/>
      <c r="H810" s="29"/>
      <c r="I810" s="30"/>
    </row>
    <row r="811" spans="5:9">
      <c r="E811" s="2"/>
      <c r="H811" s="29"/>
      <c r="I811" s="30"/>
    </row>
    <row r="812" spans="5:9">
      <c r="E812" s="2"/>
      <c r="H812" s="29"/>
      <c r="I812" s="30"/>
    </row>
    <row r="813" spans="5:9">
      <c r="E813" s="2"/>
      <c r="H813" s="29"/>
      <c r="I813" s="30"/>
    </row>
    <row r="814" spans="5:9">
      <c r="E814" s="2"/>
      <c r="H814" s="29"/>
      <c r="I814" s="30"/>
    </row>
    <row r="815" spans="5:9">
      <c r="E815" s="2"/>
      <c r="H815" s="29"/>
      <c r="I815" s="30"/>
    </row>
    <row r="816" spans="5:9">
      <c r="E816" s="2"/>
      <c r="H816" s="29"/>
      <c r="I816" s="30"/>
    </row>
    <row r="817" spans="5:9">
      <c r="E817" s="2"/>
      <c r="H817" s="29"/>
      <c r="I817" s="30"/>
    </row>
    <row r="818" spans="5:9">
      <c r="E818" s="2"/>
      <c r="H818" s="29"/>
      <c r="I818" s="30"/>
    </row>
    <row r="819" spans="5:9">
      <c r="E819" s="2"/>
      <c r="H819" s="29"/>
      <c r="I819" s="30"/>
    </row>
    <row r="820" spans="5:9">
      <c r="E820" s="2"/>
      <c r="H820" s="29"/>
      <c r="I820" s="30"/>
    </row>
    <row r="821" spans="5:9">
      <c r="E821" s="2"/>
      <c r="H821" s="29"/>
      <c r="I821" s="30"/>
    </row>
    <row r="822" spans="5:9">
      <c r="E822" s="2"/>
      <c r="H822" s="29"/>
      <c r="I822" s="30"/>
    </row>
    <row r="823" spans="5:9">
      <c r="E823" s="2"/>
      <c r="H823" s="29"/>
      <c r="I823" s="30"/>
    </row>
    <row r="824" spans="5:9">
      <c r="E824" s="2"/>
      <c r="H824" s="29"/>
      <c r="I824" s="30"/>
    </row>
    <row r="825" spans="5:9">
      <c r="E825" s="2"/>
      <c r="H825" s="29"/>
      <c r="I825" s="30"/>
    </row>
    <row r="826" spans="5:9">
      <c r="E826" s="2"/>
      <c r="H826" s="29"/>
      <c r="I826" s="30"/>
    </row>
    <row r="827" spans="5:9">
      <c r="E827" s="2"/>
      <c r="H827" s="29"/>
      <c r="I827" s="30"/>
    </row>
    <row r="828" spans="5:9">
      <c r="E828" s="2"/>
      <c r="H828" s="29"/>
      <c r="I828" s="30"/>
    </row>
    <row r="829" spans="5:9">
      <c r="E829" s="2"/>
      <c r="H829" s="29"/>
      <c r="I829" s="30"/>
    </row>
    <row r="830" spans="5:9">
      <c r="E830" s="2"/>
      <c r="H830" s="29"/>
      <c r="I830" s="30"/>
    </row>
    <row r="831" spans="5:9">
      <c r="E831" s="2"/>
      <c r="H831" s="29"/>
      <c r="I831" s="30"/>
    </row>
    <row r="832" spans="5:9">
      <c r="E832" s="2"/>
      <c r="H832" s="29"/>
      <c r="I832" s="30"/>
    </row>
    <row r="833" spans="5:9">
      <c r="E833" s="2"/>
      <c r="H833" s="29"/>
      <c r="I833" s="30"/>
    </row>
    <row r="834" spans="5:9">
      <c r="E834" s="2"/>
      <c r="H834" s="29"/>
      <c r="I834" s="30"/>
    </row>
    <row r="835" spans="5:9">
      <c r="E835" s="2"/>
      <c r="H835" s="29"/>
      <c r="I835" s="30"/>
    </row>
    <row r="836" spans="5:9">
      <c r="E836" s="2"/>
      <c r="H836" s="29"/>
      <c r="I836" s="30"/>
    </row>
    <row r="837" spans="5:9">
      <c r="E837" s="2"/>
      <c r="H837" s="29"/>
      <c r="I837" s="30"/>
    </row>
    <row r="838" spans="5:9">
      <c r="E838" s="2"/>
      <c r="H838" s="29"/>
      <c r="I838" s="30"/>
    </row>
    <row r="839" spans="5:9">
      <c r="E839" s="2"/>
      <c r="H839" s="29"/>
      <c r="I839" s="30"/>
    </row>
    <row r="840" spans="5:9">
      <c r="E840" s="2"/>
      <c r="H840" s="29"/>
      <c r="I840" s="30"/>
    </row>
    <row r="841" spans="5:9">
      <c r="E841" s="2"/>
      <c r="H841" s="29"/>
      <c r="I841" s="30"/>
    </row>
    <row r="842" spans="5:9">
      <c r="E842" s="2"/>
      <c r="H842" s="29"/>
      <c r="I842" s="30"/>
    </row>
    <row r="843" spans="5:9">
      <c r="E843" s="2"/>
      <c r="H843" s="29"/>
      <c r="I843" s="30"/>
    </row>
    <row r="844" spans="5:9">
      <c r="E844" s="2"/>
      <c r="H844" s="29"/>
      <c r="I844" s="30"/>
    </row>
    <row r="845" spans="5:9">
      <c r="E845" s="2"/>
      <c r="H845" s="29"/>
      <c r="I845" s="30"/>
    </row>
    <row r="846" spans="5:9">
      <c r="E846" s="2"/>
      <c r="H846" s="29"/>
      <c r="I846" s="30"/>
    </row>
    <row r="847" spans="5:9">
      <c r="E847" s="2"/>
      <c r="H847" s="29"/>
      <c r="I847" s="30"/>
    </row>
    <row r="848" spans="5:9">
      <c r="E848" s="2"/>
      <c r="H848" s="29"/>
      <c r="I848" s="30"/>
    </row>
    <row r="849" spans="5:9">
      <c r="E849" s="2"/>
      <c r="H849" s="29"/>
      <c r="I849" s="30"/>
    </row>
    <row r="850" spans="5:9">
      <c r="E850" s="2"/>
      <c r="H850" s="29"/>
      <c r="I850" s="30"/>
    </row>
    <row r="851" spans="5:9">
      <c r="E851" s="2"/>
      <c r="H851" s="29"/>
      <c r="I851" s="30"/>
    </row>
    <row r="852" spans="5:9">
      <c r="E852" s="2"/>
      <c r="H852" s="29"/>
      <c r="I852" s="30"/>
    </row>
    <row r="853" spans="5:9">
      <c r="E853" s="2"/>
      <c r="H853" s="29"/>
      <c r="I853" s="30"/>
    </row>
    <row r="854" spans="5:9">
      <c r="E854" s="2"/>
      <c r="H854" s="29"/>
      <c r="I854" s="30"/>
    </row>
    <row r="855" spans="5:9">
      <c r="E855" s="2"/>
      <c r="H855" s="29"/>
      <c r="I855" s="30"/>
    </row>
    <row r="856" spans="5:9">
      <c r="E856" s="2"/>
      <c r="H856" s="29"/>
      <c r="I856" s="30"/>
    </row>
    <row r="857" spans="5:9">
      <c r="E857" s="2"/>
      <c r="H857" s="29"/>
      <c r="I857" s="30"/>
    </row>
    <row r="858" spans="5:9">
      <c r="E858" s="2"/>
      <c r="H858" s="29"/>
      <c r="I858" s="30"/>
    </row>
    <row r="859" spans="5:9">
      <c r="E859" s="2"/>
      <c r="H859" s="29"/>
      <c r="I859" s="30"/>
    </row>
    <row r="860" spans="5:9">
      <c r="E860" s="2"/>
      <c r="H860" s="29"/>
      <c r="I860" s="30"/>
    </row>
    <row r="861" spans="5:9">
      <c r="E861" s="2"/>
      <c r="H861" s="29"/>
      <c r="I861" s="30"/>
    </row>
    <row r="862" spans="5:9">
      <c r="E862" s="2"/>
      <c r="H862" s="29"/>
      <c r="I862" s="30"/>
    </row>
    <row r="863" spans="5:9">
      <c r="E863" s="2"/>
      <c r="H863" s="29"/>
      <c r="I863" s="30"/>
    </row>
    <row r="864" spans="5:9">
      <c r="E864" s="2"/>
      <c r="H864" s="29"/>
      <c r="I864" s="30"/>
    </row>
    <row r="865" spans="5:9">
      <c r="E865" s="2"/>
      <c r="H865" s="29"/>
      <c r="I865" s="30"/>
    </row>
    <row r="866" spans="5:9">
      <c r="E866" s="2"/>
      <c r="H866" s="29"/>
      <c r="I866" s="30"/>
    </row>
    <row r="867" spans="5:9">
      <c r="E867" s="2"/>
      <c r="H867" s="29"/>
      <c r="I867" s="30"/>
    </row>
    <row r="868" spans="5:9">
      <c r="E868" s="2"/>
      <c r="H868" s="29"/>
      <c r="I868" s="30"/>
    </row>
    <row r="869" spans="5:9">
      <c r="E869" s="2"/>
      <c r="H869" s="29"/>
      <c r="I869" s="30"/>
    </row>
    <row r="870" spans="5:9">
      <c r="E870" s="2"/>
      <c r="H870" s="29"/>
      <c r="I870" s="30"/>
    </row>
    <row r="871" spans="5:9">
      <c r="E871" s="2"/>
      <c r="H871" s="29"/>
      <c r="I871" s="30"/>
    </row>
    <row r="872" spans="5:9">
      <c r="E872" s="2"/>
      <c r="H872" s="29"/>
      <c r="I872" s="30"/>
    </row>
    <row r="873" spans="5:9">
      <c r="E873" s="2"/>
      <c r="H873" s="29"/>
      <c r="I873" s="30"/>
    </row>
    <row r="874" spans="5:9">
      <c r="E874" s="2"/>
      <c r="H874" s="29"/>
      <c r="I874" s="30"/>
    </row>
    <row r="875" spans="5:9">
      <c r="E875" s="2"/>
      <c r="H875" s="29"/>
      <c r="I875" s="30"/>
    </row>
    <row r="876" spans="5:9">
      <c r="E876" s="2"/>
      <c r="H876" s="29"/>
      <c r="I876" s="30"/>
    </row>
    <row r="877" spans="5:9">
      <c r="E877" s="2"/>
      <c r="H877" s="29"/>
      <c r="I877" s="30"/>
    </row>
    <row r="878" spans="5:9">
      <c r="E878" s="2"/>
      <c r="H878" s="29"/>
      <c r="I878" s="30"/>
    </row>
    <row r="879" spans="5:9">
      <c r="E879" s="2"/>
      <c r="H879" s="29"/>
      <c r="I879" s="30"/>
    </row>
    <row r="880" spans="5:9">
      <c r="E880" s="2"/>
      <c r="H880" s="29"/>
      <c r="I880" s="30"/>
    </row>
    <row r="881" spans="5:9">
      <c r="E881" s="2"/>
      <c r="H881" s="29"/>
      <c r="I881" s="30"/>
    </row>
    <row r="882" spans="5:9">
      <c r="E882" s="2"/>
      <c r="H882" s="29"/>
      <c r="I882" s="30"/>
    </row>
    <row r="883" spans="5:9">
      <c r="E883" s="2"/>
      <c r="H883" s="29"/>
      <c r="I883" s="30"/>
    </row>
    <row r="884" spans="5:9">
      <c r="E884" s="2"/>
      <c r="H884" s="29"/>
      <c r="I884" s="30"/>
    </row>
    <row r="885" spans="5:9">
      <c r="E885" s="2"/>
      <c r="H885" s="29"/>
      <c r="I885" s="30"/>
    </row>
    <row r="886" spans="5:9">
      <c r="E886" s="2"/>
      <c r="H886" s="29"/>
      <c r="I886" s="30"/>
    </row>
    <row r="887" spans="5:9">
      <c r="E887" s="2"/>
      <c r="H887" s="29"/>
      <c r="I887" s="30"/>
    </row>
    <row r="888" spans="5:9">
      <c r="E888" s="2"/>
      <c r="H888" s="29"/>
      <c r="I888" s="30"/>
    </row>
    <row r="889" spans="5:9">
      <c r="E889" s="2"/>
      <c r="H889" s="29"/>
      <c r="I889" s="30"/>
    </row>
    <row r="890" spans="5:9">
      <c r="E890" s="2"/>
      <c r="H890" s="29"/>
      <c r="I890" s="30"/>
    </row>
    <row r="891" spans="5:9">
      <c r="E891" s="2"/>
      <c r="H891" s="29"/>
      <c r="I891" s="30"/>
    </row>
    <row r="892" spans="5:9">
      <c r="E892" s="2"/>
      <c r="H892" s="29"/>
      <c r="I892" s="30"/>
    </row>
    <row r="893" spans="5:9">
      <c r="E893" s="2"/>
      <c r="H893" s="29"/>
      <c r="I893" s="30"/>
    </row>
    <row r="894" spans="5:9">
      <c r="E894" s="2"/>
      <c r="H894" s="29"/>
      <c r="I894" s="30"/>
    </row>
    <row r="895" spans="5:9">
      <c r="E895" s="2"/>
      <c r="H895" s="29"/>
      <c r="I895" s="30"/>
    </row>
    <row r="896" spans="5:9">
      <c r="E896" s="2"/>
      <c r="H896" s="29"/>
      <c r="I896" s="30"/>
    </row>
    <row r="897" spans="5:9">
      <c r="E897" s="2"/>
      <c r="H897" s="29"/>
      <c r="I897" s="30"/>
    </row>
    <row r="898" spans="5:9">
      <c r="E898" s="2"/>
      <c r="H898" s="29"/>
      <c r="I898" s="30"/>
    </row>
    <row r="899" spans="5:9">
      <c r="E899" s="2"/>
      <c r="H899" s="29"/>
      <c r="I899" s="30"/>
    </row>
    <row r="900" spans="5:9">
      <c r="E900" s="2"/>
      <c r="H900" s="29"/>
      <c r="I900" s="30"/>
    </row>
    <row r="901" spans="5:9">
      <c r="E901" s="2"/>
      <c r="H901" s="29"/>
      <c r="I901" s="30"/>
    </row>
    <row r="902" spans="5:9">
      <c r="E902" s="2"/>
      <c r="H902" s="29"/>
      <c r="I902" s="30"/>
    </row>
    <row r="903" spans="5:9">
      <c r="E903" s="2"/>
      <c r="H903" s="29"/>
      <c r="I903" s="30"/>
    </row>
    <row r="904" spans="5:9">
      <c r="E904" s="2"/>
      <c r="H904" s="29"/>
      <c r="I904" s="30"/>
    </row>
    <row r="905" spans="5:9">
      <c r="E905" s="2"/>
      <c r="H905" s="29"/>
      <c r="I905" s="30"/>
    </row>
    <row r="906" spans="5:9">
      <c r="E906" s="2"/>
      <c r="H906" s="29"/>
      <c r="I906" s="30"/>
    </row>
    <row r="907" spans="5:9">
      <c r="E907" s="2"/>
      <c r="H907" s="29"/>
      <c r="I907" s="30"/>
    </row>
    <row r="908" spans="5:9">
      <c r="E908" s="2"/>
      <c r="H908" s="29"/>
      <c r="I908" s="30"/>
    </row>
    <row r="909" spans="5:9">
      <c r="E909" s="2"/>
      <c r="H909" s="29"/>
      <c r="I909" s="30"/>
    </row>
    <row r="910" spans="5:9">
      <c r="E910" s="2"/>
      <c r="H910" s="29"/>
      <c r="I910" s="30"/>
    </row>
    <row r="911" spans="5:9">
      <c r="E911" s="2"/>
      <c r="H911" s="29"/>
      <c r="I911" s="30"/>
    </row>
    <row r="912" spans="5:9">
      <c r="E912" s="2"/>
      <c r="H912" s="29"/>
      <c r="I912" s="30"/>
    </row>
    <row r="913" spans="5:9">
      <c r="E913" s="2"/>
      <c r="H913" s="29"/>
      <c r="I913" s="30"/>
    </row>
    <row r="914" spans="5:9">
      <c r="E914" s="2"/>
      <c r="H914" s="29"/>
      <c r="I914" s="30"/>
    </row>
    <row r="915" spans="5:9">
      <c r="E915" s="2"/>
      <c r="H915" s="29"/>
      <c r="I915" s="30"/>
    </row>
    <row r="916" spans="5:9">
      <c r="E916" s="2"/>
      <c r="H916" s="29"/>
      <c r="I916" s="30"/>
    </row>
    <row r="917" spans="5:9">
      <c r="E917" s="2"/>
      <c r="H917" s="29"/>
      <c r="I917" s="30"/>
    </row>
    <row r="918" spans="5:9">
      <c r="E918" s="2"/>
      <c r="H918" s="29"/>
      <c r="I918" s="30"/>
    </row>
    <row r="919" spans="5:9">
      <c r="E919" s="2"/>
      <c r="H919" s="29"/>
      <c r="I919" s="30"/>
    </row>
    <row r="920" spans="5:9">
      <c r="E920" s="2"/>
      <c r="H920" s="29"/>
      <c r="I920" s="30"/>
    </row>
    <row r="921" spans="5:9">
      <c r="E921" s="2"/>
      <c r="H921" s="29"/>
      <c r="I921" s="30"/>
    </row>
    <row r="922" spans="5:9">
      <c r="E922" s="2"/>
      <c r="H922" s="29"/>
      <c r="I922" s="30"/>
    </row>
    <row r="923" spans="5:9">
      <c r="E923" s="2"/>
      <c r="H923" s="29"/>
      <c r="I923" s="30"/>
    </row>
    <row r="924" spans="5:9">
      <c r="E924" s="2"/>
      <c r="H924" s="29"/>
      <c r="I924" s="30"/>
    </row>
    <row r="925" spans="5:9">
      <c r="E925" s="2"/>
      <c r="H925" s="29"/>
      <c r="I925" s="30"/>
    </row>
    <row r="926" spans="5:9">
      <c r="E926" s="2"/>
      <c r="H926" s="29"/>
      <c r="I926" s="30"/>
    </row>
    <row r="927" spans="5:9">
      <c r="E927" s="2"/>
      <c r="H927" s="29"/>
      <c r="I927" s="30"/>
    </row>
    <row r="928" spans="5:9">
      <c r="E928" s="2"/>
      <c r="H928" s="29"/>
      <c r="I928" s="30"/>
    </row>
    <row r="929" spans="5:9">
      <c r="E929" s="2"/>
      <c r="H929" s="29"/>
      <c r="I929" s="30"/>
    </row>
    <row r="930" spans="5:9">
      <c r="E930" s="2"/>
      <c r="H930" s="29"/>
      <c r="I930" s="30"/>
    </row>
    <row r="931" spans="5:9">
      <c r="E931" s="2"/>
      <c r="H931" s="29"/>
      <c r="I931" s="30"/>
    </row>
    <row r="932" spans="5:9">
      <c r="E932" s="2"/>
      <c r="H932" s="29"/>
      <c r="I932" s="30"/>
    </row>
    <row r="933" spans="5:9">
      <c r="E933" s="2"/>
      <c r="H933" s="29"/>
      <c r="I933" s="30"/>
    </row>
    <row r="934" spans="5:9">
      <c r="E934" s="2"/>
      <c r="H934" s="29"/>
      <c r="I934" s="30"/>
    </row>
    <row r="935" spans="5:9">
      <c r="E935" s="2"/>
      <c r="H935" s="29"/>
      <c r="I935" s="30"/>
    </row>
    <row r="936" spans="5:9">
      <c r="E936" s="2"/>
      <c r="H936" s="29"/>
      <c r="I936" s="30"/>
    </row>
    <row r="937" spans="5:9">
      <c r="E937" s="2"/>
      <c r="H937" s="29"/>
      <c r="I937" s="30"/>
    </row>
    <row r="938" spans="5:9">
      <c r="E938" s="2"/>
      <c r="H938" s="29"/>
      <c r="I938" s="30"/>
    </row>
    <row r="939" spans="5:9">
      <c r="E939" s="2"/>
      <c r="H939" s="29"/>
      <c r="I939" s="30"/>
    </row>
    <row r="940" spans="5:9">
      <c r="E940" s="2"/>
      <c r="H940" s="29"/>
      <c r="I940" s="30"/>
    </row>
    <row r="941" spans="5:9">
      <c r="E941" s="2"/>
      <c r="H941" s="29"/>
      <c r="I941" s="30"/>
    </row>
    <row r="942" spans="5:9">
      <c r="E942" s="2"/>
      <c r="H942" s="29"/>
      <c r="I942" s="30"/>
    </row>
    <row r="943" spans="5:9">
      <c r="E943" s="2"/>
      <c r="H943" s="29"/>
      <c r="I943" s="30"/>
    </row>
    <row r="944" spans="5:9">
      <c r="E944" s="2"/>
      <c r="H944" s="29"/>
      <c r="I944" s="30"/>
    </row>
    <row r="945" spans="5:9">
      <c r="E945" s="2"/>
      <c r="H945" s="29"/>
      <c r="I945" s="30"/>
    </row>
    <row r="946" spans="5:9">
      <c r="E946" s="2"/>
      <c r="H946" s="29"/>
      <c r="I946" s="30"/>
    </row>
    <row r="947" spans="5:9">
      <c r="E947" s="2"/>
      <c r="H947" s="29"/>
      <c r="I947" s="30"/>
    </row>
    <row r="948" spans="5:9">
      <c r="E948" s="2"/>
      <c r="H948" s="29"/>
      <c r="I948" s="30"/>
    </row>
    <row r="949" spans="5:9">
      <c r="E949" s="2"/>
      <c r="H949" s="29"/>
      <c r="I949" s="30"/>
    </row>
    <row r="950" spans="5:9">
      <c r="E950" s="2"/>
      <c r="H950" s="29"/>
      <c r="I950" s="30"/>
    </row>
    <row r="951" spans="5:9">
      <c r="E951" s="2"/>
      <c r="H951" s="29"/>
      <c r="I951" s="30"/>
    </row>
    <row r="952" spans="5:9">
      <c r="E952" s="2"/>
      <c r="H952" s="29"/>
      <c r="I952" s="30"/>
    </row>
    <row r="953" spans="5:9">
      <c r="E953" s="2"/>
      <c r="H953" s="29"/>
      <c r="I953" s="30"/>
    </row>
    <row r="954" spans="5:9">
      <c r="E954" s="2"/>
      <c r="H954" s="29"/>
      <c r="I954" s="30"/>
    </row>
    <row r="955" spans="5:9">
      <c r="E955" s="2"/>
      <c r="H955" s="29"/>
      <c r="I955" s="30"/>
    </row>
    <row r="956" spans="5:9">
      <c r="E956" s="2"/>
      <c r="H956" s="29"/>
      <c r="I956" s="30"/>
    </row>
    <row r="957" spans="5:9">
      <c r="E957" s="2"/>
      <c r="H957" s="29"/>
      <c r="I957" s="30"/>
    </row>
    <row r="958" spans="5:9">
      <c r="E958" s="2"/>
      <c r="H958" s="29"/>
      <c r="I958" s="30"/>
    </row>
    <row r="959" spans="5:9">
      <c r="E959" s="2"/>
      <c r="H959" s="29"/>
      <c r="I959" s="30"/>
    </row>
    <row r="960" spans="5:9">
      <c r="E960" s="2"/>
      <c r="H960" s="29"/>
      <c r="I960" s="30"/>
    </row>
    <row r="961" spans="5:9">
      <c r="E961" s="2"/>
      <c r="H961" s="29"/>
      <c r="I961" s="30"/>
    </row>
    <row r="962" spans="5:9">
      <c r="E962" s="2"/>
      <c r="H962" s="29"/>
      <c r="I962" s="30"/>
    </row>
    <row r="963" spans="5:9">
      <c r="E963" s="2"/>
      <c r="H963" s="29"/>
      <c r="I963" s="30"/>
    </row>
    <row r="964" spans="5:9">
      <c r="E964" s="2"/>
      <c r="H964" s="29"/>
      <c r="I964" s="30"/>
    </row>
    <row r="965" spans="5:9">
      <c r="E965" s="2"/>
      <c r="H965" s="29"/>
      <c r="I965" s="30"/>
    </row>
    <row r="966" spans="5:9">
      <c r="E966" s="2"/>
      <c r="H966" s="29"/>
      <c r="I966" s="30"/>
    </row>
    <row r="967" spans="5:9">
      <c r="E967" s="2"/>
      <c r="H967" s="29"/>
      <c r="I967" s="30"/>
    </row>
    <row r="968" spans="5:9">
      <c r="E968" s="2"/>
      <c r="H968" s="29"/>
      <c r="I968" s="30"/>
    </row>
    <row r="969" spans="5:9">
      <c r="E969" s="2"/>
      <c r="H969" s="29"/>
      <c r="I969" s="30"/>
    </row>
    <row r="970" spans="5:9">
      <c r="E970" s="2"/>
      <c r="H970" s="29"/>
      <c r="I970" s="30"/>
    </row>
    <row r="971" spans="5:9">
      <c r="E971" s="2"/>
      <c r="H971" s="29"/>
      <c r="I971" s="30"/>
    </row>
    <row r="972" spans="5:9">
      <c r="E972" s="2"/>
      <c r="H972" s="29"/>
      <c r="I972" s="30"/>
    </row>
    <row r="973" spans="5:9">
      <c r="E973" s="2"/>
      <c r="H973" s="29"/>
      <c r="I973" s="30"/>
    </row>
    <row r="974" spans="5:9">
      <c r="E974" s="2"/>
      <c r="H974" s="29"/>
      <c r="I974" s="30"/>
    </row>
    <row r="975" spans="5:9">
      <c r="E975" s="2"/>
      <c r="H975" s="29"/>
      <c r="I975" s="30"/>
    </row>
    <row r="976" spans="5:9">
      <c r="E976" s="2"/>
      <c r="H976" s="29"/>
      <c r="I976" s="30"/>
    </row>
    <row r="977" spans="5:9">
      <c r="E977" s="2"/>
      <c r="H977" s="29"/>
      <c r="I977" s="30"/>
    </row>
    <row r="978" spans="5:9">
      <c r="E978" s="2"/>
      <c r="H978" s="29"/>
      <c r="I978" s="30"/>
    </row>
    <row r="979" spans="5:9">
      <c r="E979" s="2"/>
      <c r="H979" s="29"/>
      <c r="I979" s="30"/>
    </row>
    <row r="980" spans="5:9">
      <c r="E980" s="2"/>
      <c r="H980" s="29"/>
      <c r="I980" s="30"/>
    </row>
    <row r="981" spans="5:9">
      <c r="E981" s="2"/>
      <c r="H981" s="29"/>
      <c r="I981" s="30"/>
    </row>
    <row r="982" spans="5:9">
      <c r="E982" s="2"/>
      <c r="H982" s="29"/>
      <c r="I982" s="30"/>
    </row>
    <row r="983" spans="5:9">
      <c r="E983" s="2"/>
      <c r="H983" s="29"/>
      <c r="I983" s="30"/>
    </row>
    <row r="984" spans="5:9">
      <c r="E984" s="2"/>
      <c r="H984" s="29"/>
      <c r="I984" s="30"/>
    </row>
    <row r="985" spans="5:9">
      <c r="E985" s="2"/>
      <c r="H985" s="29"/>
      <c r="I985" s="30"/>
    </row>
    <row r="986" spans="5:9">
      <c r="E986" s="2"/>
      <c r="H986" s="29"/>
      <c r="I986" s="30"/>
    </row>
    <row r="987" spans="5:9">
      <c r="E987" s="2"/>
      <c r="H987" s="29"/>
      <c r="I987" s="30"/>
    </row>
    <row r="988" spans="5:9">
      <c r="E988" s="2"/>
      <c r="H988" s="29"/>
      <c r="I988" s="30"/>
    </row>
    <row r="989" spans="5:9">
      <c r="E989" s="2"/>
      <c r="H989" s="29"/>
      <c r="I989" s="30"/>
    </row>
    <row r="990" spans="5:9">
      <c r="E990" s="2"/>
      <c r="H990" s="29"/>
      <c r="I990" s="30"/>
    </row>
    <row r="991" spans="5:9">
      <c r="E991" s="2"/>
      <c r="H991" s="29"/>
      <c r="I991" s="30"/>
    </row>
    <row r="992" spans="5:9">
      <c r="E992" s="2"/>
      <c r="H992" s="29"/>
      <c r="I992" s="30"/>
    </row>
  </sheetData>
  <dataValidations count="1">
    <dataValidation type="list" allowBlank="1" showErrorMessage="1" sqref="W3:W7" xr:uid="{2E138E5A-4C09-4C95-A466-3C1BEB82856C}">
      <formula1>"Open,Inprogress,Closed"</formula1>
    </dataValidation>
  </dataValidations>
  <hyperlinks>
    <hyperlink ref="M3" r:id="rId1" xr:uid="{FFD8628F-536F-49B6-B688-3B5D574F7B0C}"/>
    <hyperlink ref="M7" r:id="rId2" xr:uid="{A2EB3B91-ACC1-4333-822E-44898AA8B0CA}"/>
    <hyperlink ref="M6" r:id="rId3" xr:uid="{FBB6AAC2-D589-4160-B841-1D566B6A7069}"/>
  </hyperlinks>
  <pageMargins left="0" right="0" top="0" bottom="0" header="0" footer="0"/>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DFCA3-563D-410C-9691-D979FB27A3B8}">
  <sheetPr>
    <outlinePr summaryBelow="0" summaryRight="0"/>
  </sheetPr>
  <dimension ref="A1:Z997"/>
  <sheetViews>
    <sheetView workbookViewId="0">
      <selection activeCell="G2" sqref="G2:K2"/>
    </sheetView>
  </sheetViews>
  <sheetFormatPr defaultColWidth="12.5703125" defaultRowHeight="15" customHeight="1"/>
  <cols>
    <col min="1" max="1" width="11.140625" customWidth="1"/>
    <col min="2" max="2" width="17.28515625" customWidth="1"/>
    <col min="3" max="5" width="12.5703125" customWidth="1"/>
    <col min="6" max="6" width="25.140625" customWidth="1"/>
    <col min="7" max="7" width="12" customWidth="1"/>
    <col min="8" max="8" width="10.7109375" customWidth="1"/>
    <col min="9" max="9" width="11.85546875" customWidth="1"/>
    <col min="10" max="10" width="20.28515625" customWidth="1"/>
    <col min="11" max="11" width="27.7109375" customWidth="1"/>
  </cols>
  <sheetData>
    <row r="1" spans="1:26" ht="15.75" customHeight="1">
      <c r="A1" s="1" t="s">
        <v>248</v>
      </c>
      <c r="B1" s="31" t="s">
        <v>11</v>
      </c>
      <c r="C1" s="32" t="s">
        <v>306</v>
      </c>
      <c r="D1" s="31" t="s">
        <v>250</v>
      </c>
      <c r="E1" s="32" t="s">
        <v>308</v>
      </c>
      <c r="F1" s="32" t="s">
        <v>309</v>
      </c>
      <c r="G1" s="31" t="s">
        <v>310</v>
      </c>
      <c r="H1" s="31" t="s">
        <v>312</v>
      </c>
      <c r="I1" s="31" t="s">
        <v>253</v>
      </c>
      <c r="J1" s="33" t="s">
        <v>313</v>
      </c>
      <c r="K1" s="34" t="s">
        <v>274</v>
      </c>
      <c r="L1" s="35"/>
      <c r="M1" s="35"/>
      <c r="N1" s="35"/>
      <c r="O1" s="35"/>
      <c r="P1" s="35"/>
      <c r="Q1" s="35"/>
      <c r="R1" s="35"/>
      <c r="S1" s="35"/>
      <c r="T1" s="35"/>
      <c r="U1" s="35"/>
      <c r="V1" s="35"/>
      <c r="W1" s="35"/>
      <c r="X1" s="35"/>
      <c r="Y1" s="35"/>
      <c r="Z1" s="35"/>
    </row>
    <row r="2" spans="1:26" ht="15.75" customHeight="1">
      <c r="A2" s="109">
        <v>1</v>
      </c>
      <c r="B2" s="25" t="s">
        <v>1848</v>
      </c>
      <c r="C2" s="27" t="s">
        <v>1827</v>
      </c>
      <c r="D2" s="26" t="s">
        <v>1577</v>
      </c>
      <c r="E2" s="26" t="s">
        <v>553</v>
      </c>
      <c r="F2" s="27" t="s">
        <v>1828</v>
      </c>
      <c r="G2" s="26" t="s">
        <v>560</v>
      </c>
      <c r="H2" s="26" t="s">
        <v>556</v>
      </c>
      <c r="I2" s="26" t="s">
        <v>557</v>
      </c>
      <c r="J2" s="26" t="s">
        <v>558</v>
      </c>
      <c r="K2" s="26" t="s">
        <v>1620</v>
      </c>
      <c r="L2" s="35"/>
      <c r="M2" s="35"/>
      <c r="N2" s="35"/>
      <c r="O2" s="35"/>
      <c r="P2" s="35"/>
      <c r="Q2" s="35"/>
      <c r="R2" s="35"/>
      <c r="S2" s="35"/>
      <c r="T2" s="35"/>
      <c r="U2" s="35"/>
      <c r="V2" s="35"/>
    </row>
    <row r="3" spans="1:26" ht="15.75" customHeight="1"/>
    <row r="4" spans="1:26" ht="15.75" customHeight="1"/>
    <row r="5" spans="1:26" ht="15.75" customHeight="1"/>
    <row r="6" spans="1:26" ht="15.75" customHeight="1"/>
    <row r="7" spans="1:26" ht="15.75" customHeight="1"/>
    <row r="8" spans="1:26" ht="15.75" customHeight="1"/>
    <row r="9" spans="1:26" ht="15.75" customHeight="1"/>
    <row r="10" spans="1:26" ht="15.75" customHeight="1"/>
    <row r="11" spans="1:26" ht="15.75" customHeight="1"/>
    <row r="12" spans="1:26" ht="15.75" customHeight="1"/>
    <row r="13" spans="1:26" ht="15.75" customHeight="1"/>
    <row r="14" spans="1:26" ht="15.75" customHeight="1"/>
    <row r="15" spans="1:26" ht="15.75" customHeight="1"/>
    <row r="16" spans="1:2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dataValidations count="4">
    <dataValidation type="list" allowBlank="1" showErrorMessage="1" sqref="H2" xr:uid="{E3060D2A-3446-4DBB-94AB-77EFAE76D768}">
      <formula1>"Internal,External"</formula1>
    </dataValidation>
    <dataValidation type="list" allowBlank="1" showErrorMessage="1" sqref="E2" xr:uid="{FD80962E-657B-42EA-9F13-62596262AEE0}">
      <formula1>"Bounceback,Defect,None"</formula1>
    </dataValidation>
    <dataValidation type="list" allowBlank="1" showErrorMessage="1" sqref="I2" xr:uid="{6A43A566-3F2F-4C10-93C2-8B5AEA3F85B9}">
      <formula1>"Open,Inprogress,Closed"</formula1>
    </dataValidation>
    <dataValidation type="list" allowBlank="1" showErrorMessage="1" sqref="G2" xr:uid="{5819E218-A1D1-4CFB-8601-E9AED31DD9DE}">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21682F26-ED38-4E57-A56D-E8B07D8F3565}">
          <x14:formula1>
            <xm:f>Details!$A$2:$A$10</xm:f>
          </x14:formula1>
          <xm:sqref>J2</xm:sqref>
        </x14:dataValidation>
      </x14:dataValidations>
    </ext>
  </extLst>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1:K1000"/>
  <sheetViews>
    <sheetView showGridLines="0" workbookViewId="0"/>
  </sheetViews>
  <sheetFormatPr defaultColWidth="12.5703125" defaultRowHeight="15" customHeight="1"/>
  <cols>
    <col min="1" max="1" width="3.5703125" customWidth="1"/>
    <col min="2" max="2" width="5.5703125" customWidth="1"/>
    <col min="3" max="3" width="25" customWidth="1"/>
    <col min="4" max="4" width="6.140625" customWidth="1"/>
    <col min="5" max="6" width="12.5703125" customWidth="1"/>
    <col min="7" max="7" width="35.5703125" customWidth="1"/>
    <col min="9" max="9" width="4.7109375" customWidth="1"/>
    <col min="10" max="10" width="25" customWidth="1"/>
  </cols>
  <sheetData>
    <row r="1" spans="2:11" ht="15.75" customHeight="1"/>
    <row r="2" spans="2:11" ht="15.75" customHeight="1">
      <c r="B2" s="993" t="s">
        <v>1849</v>
      </c>
      <c r="C2" s="994"/>
      <c r="D2" s="994"/>
      <c r="E2" s="994"/>
      <c r="F2" s="994"/>
      <c r="G2" s="994"/>
      <c r="I2" s="36" t="s">
        <v>1850</v>
      </c>
      <c r="J2" s="36" t="s">
        <v>1851</v>
      </c>
      <c r="K2" s="36" t="s">
        <v>253</v>
      </c>
    </row>
    <row r="3" spans="2:11" ht="15.75" customHeight="1">
      <c r="B3" s="19">
        <v>1</v>
      </c>
      <c r="C3" s="920" t="s">
        <v>1852</v>
      </c>
      <c r="D3" s="995"/>
      <c r="E3" s="995"/>
      <c r="F3" s="995"/>
      <c r="G3" s="996"/>
      <c r="I3" s="19">
        <v>1</v>
      </c>
      <c r="J3" s="19" t="s">
        <v>1853</v>
      </c>
      <c r="K3" s="19" t="b">
        <v>0</v>
      </c>
    </row>
    <row r="4" spans="2:11" ht="15.75" customHeight="1">
      <c r="B4" s="19">
        <v>2</v>
      </c>
      <c r="C4" s="920" t="s">
        <v>1854</v>
      </c>
      <c r="D4" s="995"/>
      <c r="E4" s="995"/>
      <c r="F4" s="995"/>
      <c r="G4" s="996"/>
      <c r="I4" s="19">
        <v>2</v>
      </c>
      <c r="J4" s="19" t="s">
        <v>1855</v>
      </c>
      <c r="K4" s="19" t="b">
        <v>0</v>
      </c>
    </row>
    <row r="5" spans="2:11" ht="15.75" customHeight="1">
      <c r="B5" s="19">
        <v>3</v>
      </c>
      <c r="C5" s="920" t="s">
        <v>1856</v>
      </c>
      <c r="D5" s="995"/>
      <c r="E5" s="995"/>
      <c r="F5" s="995"/>
      <c r="G5" s="996"/>
      <c r="I5" s="19">
        <v>3</v>
      </c>
      <c r="J5" s="19" t="s">
        <v>1857</v>
      </c>
      <c r="K5" s="19" t="b">
        <v>0</v>
      </c>
    </row>
    <row r="6" spans="2:11" ht="15.75" customHeight="1">
      <c r="B6" s="19">
        <v>4</v>
      </c>
      <c r="C6" s="920" t="s">
        <v>1858</v>
      </c>
      <c r="D6" s="995"/>
      <c r="E6" s="995"/>
      <c r="F6" s="995"/>
      <c r="G6" s="996"/>
      <c r="I6" s="19">
        <v>4</v>
      </c>
      <c r="J6" s="19" t="s">
        <v>1859</v>
      </c>
      <c r="K6" s="19" t="b">
        <v>0</v>
      </c>
    </row>
    <row r="7" spans="2:11" ht="15.75" customHeight="1">
      <c r="D7" s="35"/>
      <c r="I7" s="19">
        <v>5</v>
      </c>
      <c r="J7" s="19" t="s">
        <v>1860</v>
      </c>
      <c r="K7" s="19" t="b">
        <v>0</v>
      </c>
    </row>
    <row r="8" spans="2:11" ht="15.75" customHeight="1">
      <c r="D8" s="35"/>
      <c r="I8" s="19">
        <v>6</v>
      </c>
      <c r="J8" s="19" t="s">
        <v>1861</v>
      </c>
      <c r="K8" s="19" t="b">
        <v>0</v>
      </c>
    </row>
    <row r="9" spans="2:11" ht="15.75" customHeight="1">
      <c r="D9" s="35"/>
      <c r="I9" s="19">
        <v>7</v>
      </c>
      <c r="J9" s="19" t="s">
        <v>1862</v>
      </c>
      <c r="K9" s="19" t="b">
        <v>0</v>
      </c>
    </row>
    <row r="10" spans="2:11" ht="15.75" customHeight="1">
      <c r="D10" s="35"/>
      <c r="I10" s="19">
        <v>8</v>
      </c>
      <c r="J10" s="19" t="s">
        <v>1863</v>
      </c>
      <c r="K10" s="19" t="b">
        <v>0</v>
      </c>
    </row>
    <row r="11" spans="2:11" ht="15.75" customHeight="1"/>
    <row r="12" spans="2:11" ht="15.75" customHeight="1"/>
    <row r="13" spans="2:11" ht="15.75" customHeight="1"/>
    <row r="14" spans="2:11" ht="15.75" customHeight="1"/>
    <row r="15" spans="2:11" ht="15.75" customHeight="1"/>
    <row r="16" spans="2:11"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G2"/>
    <mergeCell ref="C3:G3"/>
    <mergeCell ref="C4:G4"/>
    <mergeCell ref="C5:G5"/>
    <mergeCell ref="C6:G6"/>
  </mergeCells>
  <pageMargins left="0" right="0" top="0" bottom="0" header="0" footer="0"/>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1000"/>
  <sheetViews>
    <sheetView workbookViewId="0"/>
  </sheetViews>
  <sheetFormatPr defaultColWidth="12.5703125" defaultRowHeight="15" customHeight="1"/>
  <cols>
    <col min="1" max="1" width="16.5703125" customWidth="1"/>
    <col min="2" max="6" width="12.5703125" customWidth="1"/>
  </cols>
  <sheetData>
    <row r="1" spans="1:1" ht="15.75" customHeight="1">
      <c r="A1" s="37" t="s">
        <v>1864</v>
      </c>
    </row>
    <row r="2" spans="1:1" ht="15.75" customHeight="1">
      <c r="A2" s="38" t="s">
        <v>1213</v>
      </c>
    </row>
    <row r="3" spans="1:1" ht="15.75" customHeight="1">
      <c r="A3" s="38" t="s">
        <v>558</v>
      </c>
    </row>
    <row r="4" spans="1:1" ht="15.75" customHeight="1">
      <c r="A4" s="38" t="s">
        <v>1156</v>
      </c>
    </row>
    <row r="5" spans="1:1" ht="15.75" customHeight="1">
      <c r="A5" s="38" t="s">
        <v>590</v>
      </c>
    </row>
    <row r="6" spans="1:1" ht="15.75" customHeight="1">
      <c r="A6" s="38" t="s">
        <v>1865</v>
      </c>
    </row>
    <row r="7" spans="1:1" ht="15.75" customHeight="1">
      <c r="A7" s="38" t="s">
        <v>1866</v>
      </c>
    </row>
    <row r="8" spans="1:1" ht="15.75" customHeight="1">
      <c r="A8" s="38" t="s">
        <v>737</v>
      </c>
    </row>
    <row r="9" spans="1:1" ht="15.75" customHeight="1">
      <c r="A9" s="38" t="s">
        <v>1867</v>
      </c>
    </row>
    <row r="10" spans="1:1" ht="15.75" customHeight="1">
      <c r="A10" s="38" t="s">
        <v>1239</v>
      </c>
    </row>
    <row r="11" spans="1:1" ht="15.75" customHeight="1"/>
    <row r="12" spans="1:1" ht="15.75" customHeight="1"/>
    <row r="13" spans="1:1" ht="15.75" customHeight="1"/>
    <row r="14" spans="1:1" ht="15.75" customHeight="1"/>
    <row r="15" spans="1:1" ht="15.75" customHeight="1"/>
    <row r="16" spans="1:1"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319E6-BF88-498E-B5D6-63E8DD999953}">
  <sheetPr>
    <outlinePr summaryBelow="0" summaryRight="0"/>
  </sheetPr>
  <dimension ref="A1:X991"/>
  <sheetViews>
    <sheetView showGridLines="0" workbookViewId="0">
      <pane xSplit="5" ySplit="2" topLeftCell="K3" activePane="bottomRight" state="frozen"/>
      <selection pane="bottomRight" activeCell="F1" sqref="F1"/>
      <selection pane="bottomLeft" activeCell="A3" sqref="A3"/>
      <selection pane="topRight" activeCell="F1" sqref="F1"/>
    </sheetView>
  </sheetViews>
  <sheetFormatPr defaultColWidth="12.5703125" defaultRowHeight="15" customHeight="1"/>
  <cols>
    <col min="1" max="1" width="4.28515625" customWidth="1"/>
    <col min="2" max="2" width="34.42578125" customWidth="1"/>
    <col min="3" max="3" width="19.7109375" customWidth="1"/>
    <col min="4" max="4" width="12.42578125" style="47" customWidth="1"/>
    <col min="5" max="5" width="67.140625" customWidth="1"/>
    <col min="6" max="7" width="23.140625" customWidth="1"/>
    <col min="8" max="8" width="11.42578125" customWidth="1"/>
    <col min="9" max="9" width="21" customWidth="1"/>
    <col min="10" max="10" width="40.140625" customWidth="1"/>
    <col min="11" max="11" width="12.5703125" style="122" customWidth="1"/>
    <col min="12" max="12" width="40" customWidth="1"/>
    <col min="13" max="14" width="12.5703125" customWidth="1"/>
    <col min="15" max="15" width="12.5703125" style="53" customWidth="1"/>
    <col min="16" max="16" width="12.5703125" customWidth="1"/>
    <col min="17" max="17" width="46.28515625" customWidth="1"/>
    <col min="18" max="19" width="10.140625" customWidth="1"/>
    <col min="20" max="20" width="29.42578125" customWidth="1"/>
    <col min="21" max="22" width="41.28515625" customWidth="1"/>
    <col min="23" max="23" width="21.42578125" customWidth="1"/>
    <col min="24" max="24" width="42" customWidth="1"/>
  </cols>
  <sheetData>
    <row r="1" spans="1:24" ht="15.75" customHeight="1">
      <c r="A1" s="4"/>
      <c r="B1" s="4"/>
      <c r="C1" s="4"/>
      <c r="D1" s="5"/>
      <c r="E1" s="54"/>
      <c r="F1" s="4"/>
      <c r="G1" s="4"/>
      <c r="H1" s="5"/>
      <c r="I1" s="59"/>
      <c r="J1" s="4"/>
      <c r="K1" s="4"/>
      <c r="L1" s="4"/>
      <c r="M1" s="4"/>
      <c r="N1" s="4"/>
      <c r="O1" s="48"/>
      <c r="P1" s="4"/>
      <c r="Q1" s="4"/>
      <c r="R1" s="4"/>
      <c r="S1" s="4"/>
      <c r="T1" s="4"/>
      <c r="U1" s="4"/>
      <c r="V1" s="4"/>
      <c r="W1" s="4"/>
      <c r="X1" s="6"/>
    </row>
    <row r="2" spans="1:24" ht="15.75" customHeight="1">
      <c r="A2" s="1" t="s">
        <v>248</v>
      </c>
      <c r="B2" s="1" t="s">
        <v>249</v>
      </c>
      <c r="C2" s="1" t="s">
        <v>250</v>
      </c>
      <c r="D2" s="7" t="s">
        <v>251</v>
      </c>
      <c r="E2" s="55" t="s">
        <v>252</v>
      </c>
      <c r="F2" s="1" t="s">
        <v>254</v>
      </c>
      <c r="G2" s="1" t="s">
        <v>255</v>
      </c>
      <c r="H2" s="7" t="s">
        <v>259</v>
      </c>
      <c r="I2" s="1" t="s">
        <v>260</v>
      </c>
      <c r="J2" s="1" t="s">
        <v>261</v>
      </c>
      <c r="K2" s="1" t="s">
        <v>262</v>
      </c>
      <c r="L2" s="59" t="s">
        <v>263</v>
      </c>
      <c r="M2" s="1" t="s">
        <v>264</v>
      </c>
      <c r="N2" s="1" t="s">
        <v>265</v>
      </c>
      <c r="O2" s="49" t="s">
        <v>266</v>
      </c>
      <c r="P2" s="1" t="s">
        <v>1571</v>
      </c>
      <c r="Q2" s="1" t="s">
        <v>268</v>
      </c>
      <c r="R2" s="1" t="s">
        <v>1572</v>
      </c>
      <c r="S2" s="1" t="s">
        <v>270</v>
      </c>
      <c r="T2" s="59" t="s">
        <v>268</v>
      </c>
      <c r="U2" s="1" t="s">
        <v>272</v>
      </c>
      <c r="V2" s="59" t="s">
        <v>273</v>
      </c>
      <c r="W2" s="1" t="s">
        <v>253</v>
      </c>
      <c r="X2" s="8" t="s">
        <v>274</v>
      </c>
    </row>
    <row r="3" spans="1:24" ht="15.75" customHeight="1">
      <c r="A3" s="9">
        <v>1</v>
      </c>
      <c r="B3" s="97" t="s">
        <v>1868</v>
      </c>
      <c r="C3" s="14" t="s">
        <v>1577</v>
      </c>
      <c r="D3" s="105" t="s">
        <v>1869</v>
      </c>
      <c r="E3" s="39" t="s">
        <v>1870</v>
      </c>
      <c r="F3" s="18">
        <v>3</v>
      </c>
      <c r="G3" s="18">
        <v>3</v>
      </c>
      <c r="H3" s="12" t="s">
        <v>1871</v>
      </c>
      <c r="I3" s="64" t="s">
        <v>1872</v>
      </c>
      <c r="J3" s="14" t="s">
        <v>1557</v>
      </c>
      <c r="K3" s="121" t="s">
        <v>595</v>
      </c>
      <c r="L3" s="14" t="s">
        <v>1557</v>
      </c>
      <c r="M3" s="118" t="s">
        <v>1873</v>
      </c>
      <c r="N3" s="65">
        <v>45313</v>
      </c>
      <c r="O3" s="106">
        <v>45314</v>
      </c>
      <c r="P3" s="20" t="s">
        <v>322</v>
      </c>
      <c r="Q3" s="14" t="s">
        <v>1557</v>
      </c>
      <c r="R3" s="22" t="s">
        <v>1723</v>
      </c>
      <c r="S3" s="113">
        <v>45314</v>
      </c>
      <c r="T3" s="110" t="s">
        <v>1557</v>
      </c>
      <c r="U3" s="115" t="s">
        <v>1591</v>
      </c>
      <c r="V3" s="110" t="s">
        <v>1557</v>
      </c>
      <c r="W3" s="111" t="s">
        <v>557</v>
      </c>
      <c r="X3" s="19"/>
    </row>
    <row r="4" spans="1:24" ht="15.75" customHeight="1">
      <c r="A4" s="9">
        <v>2</v>
      </c>
      <c r="B4" s="97" t="s">
        <v>1868</v>
      </c>
      <c r="C4" s="10" t="s">
        <v>1874</v>
      </c>
      <c r="D4" s="46" t="s">
        <v>1875</v>
      </c>
      <c r="E4" s="19" t="s">
        <v>1876</v>
      </c>
      <c r="F4" s="18">
        <v>5</v>
      </c>
      <c r="G4" s="18">
        <v>5</v>
      </c>
      <c r="H4" s="12" t="s">
        <v>1871</v>
      </c>
      <c r="I4" s="14" t="s">
        <v>1874</v>
      </c>
      <c r="J4" s="14" t="s">
        <v>1557</v>
      </c>
      <c r="K4" s="116" t="s">
        <v>595</v>
      </c>
      <c r="L4" s="14" t="s">
        <v>1557</v>
      </c>
      <c r="M4" s="118" t="s">
        <v>1877</v>
      </c>
      <c r="N4" s="65">
        <v>45320</v>
      </c>
      <c r="O4" s="106">
        <v>45321</v>
      </c>
      <c r="P4" s="14" t="s">
        <v>322</v>
      </c>
      <c r="Q4" s="14" t="s">
        <v>1557</v>
      </c>
      <c r="R4" s="18" t="s">
        <v>1878</v>
      </c>
      <c r="S4" s="114">
        <v>45321</v>
      </c>
      <c r="T4" s="110" t="s">
        <v>1557</v>
      </c>
      <c r="U4" s="115" t="s">
        <v>1591</v>
      </c>
      <c r="V4" s="110" t="s">
        <v>1557</v>
      </c>
      <c r="W4" s="111" t="s">
        <v>557</v>
      </c>
      <c r="X4" s="19"/>
    </row>
    <row r="5" spans="1:24" ht="15.75" customHeight="1">
      <c r="A5" s="9">
        <v>3</v>
      </c>
      <c r="B5" s="97" t="s">
        <v>1868</v>
      </c>
      <c r="C5" s="14" t="s">
        <v>1879</v>
      </c>
      <c r="D5" s="46" t="s">
        <v>1880</v>
      </c>
      <c r="E5" s="19" t="s">
        <v>1881</v>
      </c>
      <c r="F5" s="18">
        <v>2</v>
      </c>
      <c r="G5" s="18">
        <v>2</v>
      </c>
      <c r="H5" s="12" t="s">
        <v>1871</v>
      </c>
      <c r="I5" s="14" t="s">
        <v>1882</v>
      </c>
      <c r="J5" s="14" t="s">
        <v>1557</v>
      </c>
      <c r="K5" s="116" t="s">
        <v>595</v>
      </c>
      <c r="L5" s="14" t="s">
        <v>1557</v>
      </c>
      <c r="M5" s="118" t="s">
        <v>1883</v>
      </c>
      <c r="N5" s="65">
        <v>45330</v>
      </c>
      <c r="O5" s="66">
        <v>45331</v>
      </c>
      <c r="P5" s="14" t="s">
        <v>322</v>
      </c>
      <c r="Q5" s="14" t="s">
        <v>1557</v>
      </c>
      <c r="R5" s="18" t="s">
        <v>1723</v>
      </c>
      <c r="S5" s="113">
        <v>45331</v>
      </c>
      <c r="T5" s="110" t="s">
        <v>1557</v>
      </c>
      <c r="U5" s="115" t="s">
        <v>1591</v>
      </c>
      <c r="V5" s="110" t="s">
        <v>1557</v>
      </c>
      <c r="W5" s="111" t="s">
        <v>557</v>
      </c>
      <c r="X5" s="18"/>
    </row>
    <row r="6" spans="1:24" ht="15.75" customHeight="1">
      <c r="A6" s="9">
        <v>4</v>
      </c>
      <c r="B6" s="97" t="s">
        <v>1868</v>
      </c>
      <c r="C6" s="14" t="s">
        <v>1879</v>
      </c>
      <c r="D6" s="46" t="s">
        <v>1884</v>
      </c>
      <c r="E6" s="19" t="s">
        <v>1885</v>
      </c>
      <c r="F6" s="18">
        <v>2</v>
      </c>
      <c r="G6" s="18">
        <v>2</v>
      </c>
      <c r="H6" s="12" t="s">
        <v>1871</v>
      </c>
      <c r="I6" s="14" t="s">
        <v>1577</v>
      </c>
      <c r="J6" s="14" t="s">
        <v>1557</v>
      </c>
      <c r="K6" s="116" t="s">
        <v>595</v>
      </c>
      <c r="L6" s="119" t="s">
        <v>1886</v>
      </c>
      <c r="M6" s="118" t="s">
        <v>1887</v>
      </c>
      <c r="N6" s="65">
        <v>45335</v>
      </c>
      <c r="O6" s="106">
        <v>45336</v>
      </c>
      <c r="P6" s="14" t="s">
        <v>322</v>
      </c>
      <c r="Q6" s="14" t="s">
        <v>1557</v>
      </c>
      <c r="R6" s="18" t="s">
        <v>1878</v>
      </c>
      <c r="S6" s="114">
        <v>45336</v>
      </c>
      <c r="T6" s="110" t="s">
        <v>1557</v>
      </c>
      <c r="U6" s="115" t="s">
        <v>1591</v>
      </c>
      <c r="V6" s="110" t="s">
        <v>1557</v>
      </c>
      <c r="W6" s="111" t="s">
        <v>557</v>
      </c>
      <c r="X6" s="19"/>
    </row>
    <row r="7" spans="1:24" ht="15.75" customHeight="1">
      <c r="A7" s="9">
        <v>5</v>
      </c>
      <c r="B7" s="97" t="s">
        <v>1868</v>
      </c>
      <c r="C7" s="14" t="s">
        <v>1879</v>
      </c>
      <c r="D7" s="46" t="s">
        <v>1888</v>
      </c>
      <c r="E7" s="19" t="s">
        <v>1889</v>
      </c>
      <c r="F7" s="18">
        <v>2</v>
      </c>
      <c r="G7" s="18">
        <v>2</v>
      </c>
      <c r="H7" s="12" t="s">
        <v>1871</v>
      </c>
      <c r="I7" s="14" t="s">
        <v>1577</v>
      </c>
      <c r="J7" s="14" t="s">
        <v>1557</v>
      </c>
      <c r="K7" s="116" t="s">
        <v>595</v>
      </c>
      <c r="L7" s="120" t="s">
        <v>1557</v>
      </c>
      <c r="M7" s="118" t="s">
        <v>1890</v>
      </c>
      <c r="N7" s="65">
        <v>45331</v>
      </c>
      <c r="O7" s="66">
        <v>45331</v>
      </c>
      <c r="P7" s="14" t="s">
        <v>322</v>
      </c>
      <c r="Q7" s="117" t="s">
        <v>1557</v>
      </c>
      <c r="R7" s="19" t="s">
        <v>1878</v>
      </c>
      <c r="S7" s="113">
        <v>45331</v>
      </c>
      <c r="T7" s="110" t="s">
        <v>1557</v>
      </c>
      <c r="U7" s="115" t="s">
        <v>1591</v>
      </c>
      <c r="V7" s="110" t="s">
        <v>1557</v>
      </c>
      <c r="W7" s="112" t="s">
        <v>557</v>
      </c>
      <c r="X7" s="19"/>
    </row>
    <row r="8" spans="1:24" ht="15.75" customHeight="1">
      <c r="A8" s="9">
        <v>6</v>
      </c>
      <c r="B8" s="97" t="s">
        <v>1868</v>
      </c>
      <c r="C8" s="10" t="s">
        <v>1874</v>
      </c>
      <c r="D8" s="46" t="s">
        <v>1891</v>
      </c>
      <c r="E8" s="19" t="s">
        <v>1892</v>
      </c>
      <c r="F8" s="18">
        <v>5</v>
      </c>
      <c r="G8" s="18">
        <v>5</v>
      </c>
      <c r="H8" s="12"/>
      <c r="I8" s="14"/>
      <c r="J8" s="14" t="s">
        <v>1591</v>
      </c>
      <c r="K8" s="116"/>
      <c r="L8" s="91" t="s">
        <v>1591</v>
      </c>
      <c r="M8" s="102"/>
      <c r="N8" s="14"/>
      <c r="O8" s="9"/>
      <c r="P8" s="116"/>
      <c r="Q8" s="14" t="s">
        <v>1591</v>
      </c>
      <c r="R8" s="111"/>
      <c r="S8" s="19"/>
      <c r="T8" s="107" t="s">
        <v>1591</v>
      </c>
      <c r="U8" s="60" t="s">
        <v>1591</v>
      </c>
      <c r="V8" s="110" t="s">
        <v>1591</v>
      </c>
      <c r="W8" s="112" t="s">
        <v>557</v>
      </c>
      <c r="X8" s="19"/>
    </row>
    <row r="9" spans="1:24" ht="15.75" customHeight="1">
      <c r="A9" s="9">
        <v>7</v>
      </c>
      <c r="B9" s="97" t="s">
        <v>1868</v>
      </c>
      <c r="C9" s="10" t="s">
        <v>1874</v>
      </c>
      <c r="D9" s="62" t="s">
        <v>1831</v>
      </c>
      <c r="E9" s="19" t="s">
        <v>1832</v>
      </c>
      <c r="F9" s="18">
        <v>3</v>
      </c>
      <c r="G9" s="18">
        <v>2</v>
      </c>
      <c r="H9" s="12"/>
      <c r="I9" s="10"/>
      <c r="J9" s="14" t="s">
        <v>1591</v>
      </c>
      <c r="K9" s="116"/>
      <c r="L9" s="14" t="s">
        <v>1591</v>
      </c>
      <c r="M9" s="102"/>
      <c r="N9" s="14"/>
      <c r="O9" s="9"/>
      <c r="P9" s="116"/>
      <c r="Q9" s="10" t="s">
        <v>1591</v>
      </c>
      <c r="R9" s="111"/>
      <c r="S9" s="19"/>
      <c r="T9" s="19" t="s">
        <v>1591</v>
      </c>
      <c r="U9" s="18" t="s">
        <v>1591</v>
      </c>
      <c r="V9" s="107" t="s">
        <v>1591</v>
      </c>
      <c r="W9" s="64" t="s">
        <v>589</v>
      </c>
      <c r="X9" s="18" t="s">
        <v>1893</v>
      </c>
    </row>
    <row r="10" spans="1:24" ht="15.75" customHeight="1">
      <c r="A10" s="9">
        <v>8</v>
      </c>
      <c r="B10" s="97" t="s">
        <v>1868</v>
      </c>
      <c r="C10" s="14" t="s">
        <v>1639</v>
      </c>
      <c r="D10" s="62" t="s">
        <v>1837</v>
      </c>
      <c r="E10" s="12" t="s">
        <v>1894</v>
      </c>
      <c r="F10" s="18">
        <v>3</v>
      </c>
      <c r="G10" s="18">
        <v>2</v>
      </c>
      <c r="H10" s="12"/>
      <c r="I10" s="14"/>
      <c r="J10" s="19" t="s">
        <v>1591</v>
      </c>
      <c r="K10" s="116"/>
      <c r="L10" s="14" t="s">
        <v>1591</v>
      </c>
      <c r="M10" s="102"/>
      <c r="N10" s="14"/>
      <c r="O10" s="9"/>
      <c r="P10" s="14"/>
      <c r="Q10" s="63" t="s">
        <v>1591</v>
      </c>
      <c r="R10" s="19"/>
      <c r="S10" s="19"/>
      <c r="T10" s="19" t="s">
        <v>1591</v>
      </c>
      <c r="U10" s="18" t="s">
        <v>1591</v>
      </c>
      <c r="V10" s="19" t="s">
        <v>1591</v>
      </c>
      <c r="W10" s="64" t="s">
        <v>589</v>
      </c>
      <c r="X10" s="18" t="s">
        <v>1895</v>
      </c>
    </row>
    <row r="11" spans="1:24" ht="15.75" customHeight="1">
      <c r="A11" s="107"/>
      <c r="B11" s="108"/>
      <c r="C11" s="63"/>
      <c r="D11" s="109"/>
      <c r="E11" s="107"/>
      <c r="F11" s="108"/>
      <c r="G11" s="108"/>
      <c r="H11" s="109"/>
      <c r="I11" s="63"/>
      <c r="J11" s="107"/>
      <c r="K11" s="63"/>
      <c r="L11" s="107"/>
      <c r="M11" s="63"/>
      <c r="N11" s="63"/>
      <c r="O11" s="24"/>
      <c r="P11" s="63"/>
      <c r="Q11" s="107"/>
      <c r="R11" s="107"/>
      <c r="S11" s="107"/>
      <c r="T11" s="107"/>
      <c r="U11" s="107"/>
      <c r="V11" s="107"/>
      <c r="W11" s="107"/>
      <c r="X11" s="107"/>
    </row>
    <row r="12" spans="1:24" ht="15.75" customHeight="1">
      <c r="A12" s="19"/>
      <c r="B12" s="18"/>
      <c r="C12" s="14"/>
      <c r="D12" s="12"/>
      <c r="E12" s="19"/>
      <c r="F12" s="18"/>
      <c r="G12" s="18"/>
      <c r="H12" s="12"/>
      <c r="I12" s="14"/>
      <c r="J12" s="19"/>
      <c r="K12" s="14"/>
      <c r="L12" s="19"/>
      <c r="M12" s="14"/>
      <c r="N12" s="14"/>
      <c r="O12" s="9"/>
      <c r="P12" s="14"/>
      <c r="Q12" s="19"/>
      <c r="R12" s="19"/>
      <c r="S12" s="19"/>
      <c r="T12" s="19"/>
      <c r="U12" s="19"/>
      <c r="V12" s="19"/>
      <c r="W12" s="19"/>
      <c r="X12" s="19"/>
    </row>
    <row r="13" spans="1:24" ht="15.75" customHeight="1">
      <c r="A13" s="19"/>
      <c r="B13" s="18"/>
      <c r="C13" s="14"/>
      <c r="D13" s="12"/>
      <c r="E13" s="19"/>
      <c r="F13" s="18"/>
      <c r="G13" s="18"/>
      <c r="H13" s="12"/>
      <c r="I13" s="14"/>
      <c r="J13" s="19"/>
      <c r="K13" s="14"/>
      <c r="L13" s="19"/>
      <c r="M13" s="14"/>
      <c r="N13" s="14"/>
      <c r="O13" s="9"/>
      <c r="P13" s="14"/>
      <c r="Q13" s="19"/>
      <c r="R13" s="19"/>
      <c r="S13" s="19"/>
      <c r="T13" s="19"/>
      <c r="U13" s="19"/>
      <c r="V13" s="19"/>
      <c r="W13" s="19"/>
      <c r="X13" s="19"/>
    </row>
    <row r="14" spans="1:24" ht="15.75" customHeight="1">
      <c r="A14" s="19"/>
      <c r="B14" s="18"/>
      <c r="C14" s="14"/>
      <c r="D14" s="12"/>
      <c r="E14" s="19"/>
      <c r="F14" s="18"/>
      <c r="G14" s="18"/>
      <c r="H14" s="12"/>
      <c r="I14" s="14"/>
      <c r="J14" s="19"/>
      <c r="K14" s="14"/>
      <c r="L14" s="19"/>
      <c r="M14" s="14"/>
      <c r="N14" s="14"/>
      <c r="O14" s="9"/>
      <c r="P14" s="14"/>
      <c r="Q14" s="19"/>
      <c r="R14" s="19"/>
      <c r="S14" s="19"/>
      <c r="T14" s="19"/>
      <c r="U14" s="19"/>
      <c r="V14" s="19"/>
      <c r="W14" s="19"/>
      <c r="X14" s="19"/>
    </row>
    <row r="15" spans="1:24" ht="15.75" customHeight="1">
      <c r="A15" s="19"/>
      <c r="B15" s="18"/>
      <c r="C15" s="14"/>
      <c r="D15" s="12"/>
      <c r="E15" s="19"/>
      <c r="F15" s="18"/>
      <c r="G15" s="18"/>
      <c r="H15" s="12"/>
      <c r="I15" s="14"/>
      <c r="J15" s="19"/>
      <c r="K15" s="14"/>
      <c r="L15" s="19"/>
      <c r="M15" s="14"/>
      <c r="N15" s="14"/>
      <c r="O15" s="9"/>
      <c r="P15" s="14"/>
      <c r="Q15" s="19"/>
      <c r="R15" s="19"/>
      <c r="S15" s="19"/>
      <c r="T15" s="19"/>
      <c r="U15" s="19"/>
      <c r="V15" s="19"/>
      <c r="W15" s="19"/>
      <c r="X15" s="19"/>
    </row>
    <row r="16" spans="1:24" ht="15.75" customHeight="1">
      <c r="B16" s="28"/>
      <c r="C16" s="3"/>
      <c r="E16" s="35"/>
      <c r="F16" s="28"/>
      <c r="G16" s="28"/>
      <c r="H16" s="29"/>
      <c r="I16" s="14"/>
      <c r="K16" s="3"/>
      <c r="M16" s="3"/>
      <c r="N16" s="3"/>
      <c r="O16" s="52"/>
      <c r="P16" s="3"/>
    </row>
    <row r="17" spans="2:16" ht="15.75" customHeight="1">
      <c r="B17" s="28"/>
      <c r="C17" s="3"/>
      <c r="E17" s="35"/>
      <c r="F17" s="28"/>
      <c r="G17" s="28"/>
      <c r="H17" s="29"/>
      <c r="I17" s="14"/>
      <c r="K17" s="3"/>
      <c r="M17" s="3"/>
      <c r="N17" s="3"/>
      <c r="O17" s="52"/>
      <c r="P17" s="3"/>
    </row>
    <row r="18" spans="2:16" ht="15.75" customHeight="1">
      <c r="B18" s="28"/>
      <c r="C18" s="3"/>
      <c r="E18" s="35"/>
      <c r="F18" s="28"/>
      <c r="G18" s="28"/>
      <c r="H18" s="29"/>
      <c r="I18" s="14"/>
      <c r="K18" s="3"/>
      <c r="M18" s="3"/>
      <c r="N18" s="3"/>
      <c r="O18" s="52"/>
      <c r="P18" s="3"/>
    </row>
    <row r="19" spans="2:16" ht="15.75" customHeight="1">
      <c r="B19" s="28"/>
      <c r="C19" s="3"/>
      <c r="E19" s="35"/>
      <c r="F19" s="28"/>
      <c r="G19" s="28"/>
      <c r="H19" s="29"/>
      <c r="I19" s="14"/>
      <c r="K19" s="3"/>
      <c r="M19" s="3"/>
      <c r="N19" s="3"/>
      <c r="O19" s="52"/>
      <c r="P19" s="3"/>
    </row>
    <row r="20" spans="2:16" ht="15.75" customHeight="1">
      <c r="B20" s="28"/>
      <c r="C20" s="3"/>
      <c r="E20" s="35"/>
      <c r="F20" s="28"/>
      <c r="G20" s="28"/>
      <c r="H20" s="29"/>
      <c r="I20" s="14"/>
      <c r="K20" s="3"/>
      <c r="M20" s="3"/>
      <c r="N20" s="3"/>
      <c r="O20" s="52"/>
      <c r="P20" s="3"/>
    </row>
    <row r="21" spans="2:16" ht="15.75" customHeight="1">
      <c r="B21" s="28"/>
      <c r="C21" s="3"/>
      <c r="E21" s="35"/>
      <c r="F21" s="28"/>
      <c r="G21" s="28"/>
      <c r="H21" s="29"/>
      <c r="I21" s="14"/>
      <c r="K21" s="3"/>
      <c r="M21" s="3"/>
      <c r="N21" s="3"/>
      <c r="O21" s="52"/>
      <c r="P21" s="3"/>
    </row>
    <row r="22" spans="2:16" ht="15.75" customHeight="1">
      <c r="B22" s="28"/>
      <c r="C22" s="3"/>
      <c r="E22" s="35"/>
      <c r="F22" s="28"/>
      <c r="G22" s="28"/>
      <c r="H22" s="29"/>
      <c r="I22" s="14"/>
      <c r="K22" s="3"/>
      <c r="M22" s="3"/>
      <c r="N22" s="3"/>
      <c r="O22" s="52"/>
      <c r="P22" s="3"/>
    </row>
    <row r="23" spans="2:16" ht="15.75" customHeight="1">
      <c r="B23" s="28"/>
      <c r="C23" s="3"/>
      <c r="E23" s="35"/>
      <c r="F23" s="28"/>
      <c r="G23" s="28"/>
      <c r="H23" s="29"/>
      <c r="I23" s="14"/>
      <c r="K23" s="3"/>
      <c r="M23" s="3"/>
      <c r="N23" s="3"/>
      <c r="O23" s="52"/>
      <c r="P23" s="3"/>
    </row>
    <row r="24" spans="2:16" ht="15.75" customHeight="1">
      <c r="B24" s="28"/>
      <c r="C24" s="3"/>
      <c r="E24" s="35"/>
      <c r="F24" s="28"/>
      <c r="G24" s="28"/>
      <c r="H24" s="29"/>
      <c r="I24" s="14"/>
      <c r="K24" s="3"/>
      <c r="M24" s="3"/>
      <c r="N24" s="3"/>
      <c r="O24" s="52"/>
      <c r="P24" s="3"/>
    </row>
    <row r="25" spans="2:16" ht="15.75" customHeight="1">
      <c r="B25" s="28"/>
      <c r="C25" s="3"/>
      <c r="E25" s="35"/>
      <c r="F25" s="28"/>
      <c r="G25" s="28"/>
      <c r="H25" s="29"/>
      <c r="I25" s="14"/>
      <c r="K25" s="3"/>
      <c r="M25" s="3"/>
      <c r="N25" s="3"/>
      <c r="O25" s="52"/>
      <c r="P25" s="3"/>
    </row>
    <row r="26" spans="2:16" ht="15.75" customHeight="1">
      <c r="B26" s="28"/>
      <c r="C26" s="3"/>
      <c r="E26" s="35"/>
      <c r="F26" s="28"/>
      <c r="G26" s="28"/>
      <c r="H26" s="29"/>
      <c r="I26" s="14"/>
      <c r="K26" s="3"/>
      <c r="M26" s="3"/>
      <c r="N26" s="3"/>
      <c r="O26" s="52"/>
      <c r="P26" s="3"/>
    </row>
    <row r="27" spans="2:16" ht="15.75" customHeight="1">
      <c r="B27" s="28"/>
      <c r="C27" s="3"/>
      <c r="E27" s="35"/>
      <c r="F27" s="28"/>
      <c r="G27" s="28"/>
      <c r="H27" s="29"/>
      <c r="I27" s="14"/>
      <c r="K27" s="3"/>
      <c r="M27" s="3"/>
      <c r="N27" s="3"/>
      <c r="O27" s="52"/>
      <c r="P27" s="3"/>
    </row>
    <row r="28" spans="2:16" ht="15.75" customHeight="1">
      <c r="B28" s="28"/>
      <c r="C28" s="3"/>
      <c r="E28" s="35"/>
      <c r="F28" s="28"/>
      <c r="G28" s="28"/>
      <c r="H28" s="29"/>
      <c r="I28" s="14"/>
      <c r="K28" s="3"/>
      <c r="M28" s="3"/>
      <c r="N28" s="3"/>
      <c r="O28" s="52"/>
      <c r="P28" s="3"/>
    </row>
    <row r="29" spans="2:16" ht="15.75" customHeight="1">
      <c r="B29" s="28"/>
      <c r="C29" s="3"/>
      <c r="E29" s="35"/>
      <c r="F29" s="28"/>
      <c r="G29" s="28"/>
      <c r="H29" s="29"/>
      <c r="I29" s="14"/>
      <c r="K29" s="3"/>
      <c r="M29" s="3"/>
      <c r="N29" s="3"/>
      <c r="O29" s="52"/>
      <c r="P29" s="3"/>
    </row>
    <row r="30" spans="2:16" ht="15.75" customHeight="1">
      <c r="B30" s="28"/>
      <c r="C30" s="3"/>
      <c r="E30" s="35"/>
      <c r="F30" s="28"/>
      <c r="G30" s="28"/>
      <c r="H30" s="29"/>
      <c r="I30" s="14"/>
      <c r="K30" s="3"/>
      <c r="M30" s="3"/>
      <c r="N30" s="3"/>
      <c r="O30" s="52"/>
      <c r="P30" s="3"/>
    </row>
    <row r="31" spans="2:16" ht="15.75" customHeight="1">
      <c r="B31" s="28"/>
      <c r="C31" s="3"/>
      <c r="E31" s="35"/>
      <c r="F31" s="28"/>
      <c r="G31" s="28"/>
      <c r="H31" s="29"/>
      <c r="I31" s="14"/>
      <c r="K31" s="3"/>
      <c r="M31" s="3"/>
      <c r="N31" s="3"/>
      <c r="O31" s="52"/>
      <c r="P31" s="3"/>
    </row>
    <row r="32" spans="2:16" ht="15.75" customHeight="1">
      <c r="B32" s="28"/>
      <c r="C32" s="3"/>
      <c r="E32" s="35"/>
      <c r="F32" s="28"/>
      <c r="G32" s="28"/>
      <c r="H32" s="29"/>
      <c r="I32" s="14"/>
      <c r="K32" s="3"/>
      <c r="M32" s="3"/>
      <c r="N32" s="3"/>
      <c r="O32" s="52"/>
      <c r="P32" s="3"/>
    </row>
    <row r="33" spans="2:16" ht="15.75" customHeight="1">
      <c r="B33" s="28"/>
      <c r="C33" s="3"/>
      <c r="E33" s="35"/>
      <c r="F33" s="28"/>
      <c r="G33" s="28"/>
      <c r="H33" s="29"/>
      <c r="I33" s="14"/>
      <c r="K33" s="3"/>
      <c r="M33" s="3"/>
      <c r="N33" s="3"/>
      <c r="O33" s="52"/>
      <c r="P33" s="3"/>
    </row>
    <row r="34" spans="2:16" ht="15.75" customHeight="1">
      <c r="B34" s="28"/>
      <c r="C34" s="3"/>
      <c r="E34" s="35"/>
      <c r="F34" s="28"/>
      <c r="G34" s="28"/>
      <c r="H34" s="29"/>
      <c r="I34" s="14"/>
      <c r="K34" s="3"/>
      <c r="M34" s="3"/>
      <c r="N34" s="3"/>
      <c r="O34" s="52"/>
      <c r="P34" s="3"/>
    </row>
    <row r="35" spans="2:16" ht="15.75" customHeight="1">
      <c r="B35" s="28"/>
      <c r="C35" s="3"/>
      <c r="E35" s="35"/>
      <c r="F35" s="28"/>
      <c r="G35" s="28"/>
      <c r="H35" s="29"/>
      <c r="I35" s="14"/>
      <c r="K35" s="3"/>
      <c r="M35" s="3"/>
      <c r="N35" s="3"/>
      <c r="O35" s="52"/>
      <c r="P35" s="3"/>
    </row>
    <row r="36" spans="2:16" ht="15.75" customHeight="1">
      <c r="B36" s="28"/>
      <c r="C36" s="3"/>
      <c r="E36" s="35"/>
      <c r="F36" s="28"/>
      <c r="G36" s="28"/>
      <c r="H36" s="29"/>
      <c r="I36" s="14"/>
      <c r="K36" s="3"/>
      <c r="M36" s="3"/>
      <c r="N36" s="3"/>
      <c r="O36" s="52"/>
      <c r="P36" s="3"/>
    </row>
    <row r="37" spans="2:16" ht="15.75" customHeight="1">
      <c r="B37" s="28"/>
      <c r="C37" s="3"/>
      <c r="E37" s="35"/>
      <c r="F37" s="28"/>
      <c r="G37" s="28"/>
      <c r="H37" s="29"/>
      <c r="I37" s="14"/>
      <c r="K37" s="3"/>
      <c r="M37" s="3"/>
      <c r="N37" s="3"/>
      <c r="O37" s="52"/>
      <c r="P37" s="3"/>
    </row>
    <row r="38" spans="2:16" ht="15.75" customHeight="1">
      <c r="B38" s="28"/>
      <c r="C38" s="3"/>
      <c r="E38" s="35"/>
      <c r="F38" s="28"/>
      <c r="G38" s="28"/>
      <c r="H38" s="29"/>
      <c r="I38" s="14"/>
      <c r="K38" s="3"/>
      <c r="M38" s="3"/>
      <c r="N38" s="3"/>
      <c r="O38" s="52"/>
      <c r="P38" s="3"/>
    </row>
    <row r="39" spans="2:16" ht="15.75" customHeight="1">
      <c r="B39" s="28"/>
      <c r="C39" s="3"/>
      <c r="E39" s="35"/>
      <c r="F39" s="28"/>
      <c r="G39" s="28"/>
      <c r="H39" s="29"/>
      <c r="I39" s="14"/>
      <c r="K39" s="3"/>
      <c r="M39" s="3"/>
      <c r="N39" s="3"/>
      <c r="O39" s="52"/>
      <c r="P39" s="3"/>
    </row>
    <row r="40" spans="2:16" ht="15.75" customHeight="1">
      <c r="B40" s="28"/>
      <c r="C40" s="3"/>
      <c r="E40" s="35"/>
      <c r="F40" s="28"/>
      <c r="G40" s="28"/>
      <c r="H40" s="29"/>
      <c r="I40" s="14"/>
      <c r="K40" s="3"/>
      <c r="M40" s="3"/>
      <c r="N40" s="3"/>
      <c r="O40" s="52"/>
      <c r="P40" s="3"/>
    </row>
    <row r="41" spans="2:16" ht="15.75" customHeight="1">
      <c r="B41" s="28"/>
      <c r="C41" s="3"/>
      <c r="E41" s="35"/>
      <c r="F41" s="28"/>
      <c r="G41" s="28"/>
      <c r="H41" s="29"/>
      <c r="I41" s="14"/>
      <c r="K41" s="3"/>
      <c r="M41" s="3"/>
      <c r="N41" s="3"/>
      <c r="O41" s="52"/>
      <c r="P41" s="3"/>
    </row>
    <row r="42" spans="2:16" ht="15.75" customHeight="1">
      <c r="B42" s="28"/>
      <c r="C42" s="3"/>
      <c r="E42" s="35"/>
      <c r="F42" s="28"/>
      <c r="G42" s="28"/>
      <c r="H42" s="29"/>
      <c r="I42" s="14"/>
      <c r="K42" s="3"/>
      <c r="M42" s="3"/>
      <c r="N42" s="3"/>
      <c r="O42" s="52"/>
      <c r="P42" s="3"/>
    </row>
    <row r="43" spans="2:16" ht="15.75" customHeight="1">
      <c r="B43" s="28"/>
      <c r="C43" s="3"/>
      <c r="E43" s="35"/>
      <c r="F43" s="28"/>
      <c r="G43" s="28"/>
      <c r="H43" s="29"/>
      <c r="I43" s="14"/>
      <c r="K43" s="3"/>
      <c r="M43" s="3"/>
      <c r="N43" s="3"/>
      <c r="O43" s="52"/>
      <c r="P43" s="3"/>
    </row>
    <row r="44" spans="2:16" ht="15.75" customHeight="1">
      <c r="B44" s="28"/>
      <c r="C44" s="3"/>
      <c r="E44" s="35"/>
      <c r="F44" s="28"/>
      <c r="G44" s="28"/>
      <c r="H44" s="29"/>
      <c r="I44" s="14"/>
      <c r="K44" s="3"/>
      <c r="M44" s="3"/>
      <c r="N44" s="3"/>
      <c r="O44" s="52"/>
      <c r="P44" s="3"/>
    </row>
    <row r="45" spans="2:16" ht="15.75" customHeight="1">
      <c r="B45" s="28"/>
      <c r="C45" s="3"/>
      <c r="E45" s="35"/>
      <c r="F45" s="28"/>
      <c r="G45" s="28"/>
      <c r="H45" s="29"/>
      <c r="I45" s="14"/>
      <c r="K45" s="3"/>
      <c r="M45" s="3"/>
      <c r="N45" s="3"/>
      <c r="O45" s="52"/>
      <c r="P45" s="3"/>
    </row>
    <row r="46" spans="2:16" ht="15.75" customHeight="1">
      <c r="B46" s="28"/>
      <c r="C46" s="3"/>
      <c r="E46" s="35"/>
      <c r="F46" s="28"/>
      <c r="G46" s="28"/>
      <c r="H46" s="29"/>
      <c r="I46" s="14"/>
      <c r="K46" s="3"/>
      <c r="M46" s="3"/>
      <c r="N46" s="3"/>
      <c r="O46" s="52"/>
      <c r="P46" s="3"/>
    </row>
    <row r="47" spans="2:16" ht="15.75" customHeight="1">
      <c r="B47" s="28"/>
      <c r="C47" s="3"/>
      <c r="E47" s="35"/>
      <c r="F47" s="28"/>
      <c r="G47" s="28"/>
      <c r="H47" s="29"/>
      <c r="I47" s="14"/>
      <c r="K47" s="3"/>
      <c r="M47" s="3"/>
      <c r="N47" s="3"/>
      <c r="O47" s="52"/>
      <c r="P47" s="3"/>
    </row>
    <row r="48" spans="2:16" ht="15.75" customHeight="1">
      <c r="B48" s="28"/>
      <c r="C48" s="3"/>
      <c r="E48" s="35"/>
      <c r="F48" s="28"/>
      <c r="G48" s="28"/>
      <c r="H48" s="29"/>
      <c r="I48" s="14"/>
      <c r="K48" s="3"/>
      <c r="M48" s="3"/>
      <c r="N48" s="3"/>
      <c r="O48" s="52"/>
      <c r="P48" s="3"/>
    </row>
    <row r="49" spans="2:16" ht="15.75" customHeight="1">
      <c r="B49" s="28"/>
      <c r="C49" s="3"/>
      <c r="E49" s="35"/>
      <c r="F49" s="28"/>
      <c r="G49" s="28"/>
      <c r="H49" s="29"/>
      <c r="I49" s="14"/>
      <c r="K49" s="3"/>
      <c r="M49" s="3"/>
      <c r="N49" s="3"/>
      <c r="O49" s="52"/>
      <c r="P49" s="3"/>
    </row>
    <row r="50" spans="2:16" ht="15.75" customHeight="1">
      <c r="B50" s="28"/>
      <c r="C50" s="3"/>
      <c r="E50" s="35"/>
      <c r="F50" s="28"/>
      <c r="G50" s="28"/>
      <c r="H50" s="29"/>
      <c r="I50" s="14"/>
      <c r="K50" s="3"/>
      <c r="M50" s="3"/>
      <c r="N50" s="3"/>
      <c r="O50" s="52"/>
      <c r="P50" s="3"/>
    </row>
    <row r="51" spans="2:16" ht="15.75" customHeight="1">
      <c r="B51" s="28"/>
      <c r="C51" s="3"/>
      <c r="E51" s="35"/>
      <c r="F51" s="28"/>
      <c r="G51" s="28"/>
      <c r="H51" s="29"/>
      <c r="I51" s="14"/>
      <c r="K51" s="3"/>
      <c r="M51" s="3"/>
      <c r="N51" s="3"/>
      <c r="O51" s="52"/>
      <c r="P51" s="3"/>
    </row>
    <row r="52" spans="2:16" ht="15.75" customHeight="1">
      <c r="B52" s="28"/>
      <c r="C52" s="3"/>
      <c r="E52" s="35"/>
      <c r="F52" s="28"/>
      <c r="G52" s="28"/>
      <c r="H52" s="29"/>
      <c r="I52" s="14"/>
      <c r="K52" s="3"/>
      <c r="M52" s="3"/>
      <c r="N52" s="3"/>
      <c r="O52" s="52"/>
      <c r="P52" s="3"/>
    </row>
    <row r="53" spans="2:16" ht="15.75" customHeight="1">
      <c r="B53" s="28"/>
      <c r="C53" s="3"/>
      <c r="E53" s="35"/>
      <c r="F53" s="28"/>
      <c r="G53" s="28"/>
      <c r="H53" s="29"/>
      <c r="I53" s="14"/>
      <c r="K53" s="3"/>
      <c r="M53" s="3"/>
      <c r="N53" s="3"/>
      <c r="O53" s="52"/>
      <c r="P53" s="3"/>
    </row>
    <row r="54" spans="2:16" ht="15.75" customHeight="1">
      <c r="B54" s="28"/>
      <c r="C54" s="3"/>
      <c r="E54" s="35"/>
      <c r="F54" s="28"/>
      <c r="G54" s="28"/>
      <c r="H54" s="29"/>
      <c r="I54" s="14"/>
      <c r="K54" s="3"/>
      <c r="M54" s="3"/>
      <c r="N54" s="3"/>
      <c r="O54" s="52"/>
      <c r="P54" s="3"/>
    </row>
    <row r="55" spans="2:16" ht="15.75" customHeight="1">
      <c r="B55" s="28"/>
      <c r="C55" s="3"/>
      <c r="E55" s="35"/>
      <c r="F55" s="28"/>
      <c r="G55" s="28"/>
      <c r="H55" s="29"/>
      <c r="I55" s="14"/>
      <c r="K55" s="3"/>
      <c r="M55" s="3"/>
      <c r="N55" s="3"/>
      <c r="O55" s="52"/>
      <c r="P55" s="3"/>
    </row>
    <row r="56" spans="2:16" ht="15.75" customHeight="1">
      <c r="B56" s="28"/>
      <c r="C56" s="3"/>
      <c r="E56" s="35"/>
      <c r="F56" s="28"/>
      <c r="G56" s="28"/>
      <c r="H56" s="29"/>
      <c r="I56" s="14"/>
      <c r="K56" s="3"/>
      <c r="M56" s="3"/>
      <c r="N56" s="3"/>
      <c r="O56" s="52"/>
      <c r="P56" s="3"/>
    </row>
    <row r="57" spans="2:16" ht="15.75" customHeight="1">
      <c r="B57" s="28"/>
      <c r="C57" s="3"/>
      <c r="E57" s="35"/>
      <c r="F57" s="28"/>
      <c r="G57" s="28"/>
      <c r="H57" s="29"/>
      <c r="I57" s="14"/>
      <c r="K57" s="3"/>
      <c r="M57" s="3"/>
      <c r="N57" s="3"/>
      <c r="O57" s="52"/>
      <c r="P57" s="3"/>
    </row>
    <row r="58" spans="2:16" ht="15.75" customHeight="1">
      <c r="B58" s="28"/>
      <c r="C58" s="3"/>
      <c r="E58" s="35"/>
      <c r="F58" s="28"/>
      <c r="G58" s="28"/>
      <c r="H58" s="29"/>
      <c r="I58" s="14"/>
      <c r="K58" s="3"/>
      <c r="M58" s="3"/>
      <c r="N58" s="3"/>
      <c r="O58" s="52"/>
      <c r="P58" s="3"/>
    </row>
    <row r="59" spans="2:16" ht="15.75" customHeight="1">
      <c r="B59" s="28"/>
      <c r="C59" s="3"/>
      <c r="E59" s="35"/>
      <c r="F59" s="28"/>
      <c r="G59" s="28"/>
      <c r="H59" s="29"/>
      <c r="I59" s="14"/>
      <c r="K59" s="3"/>
      <c r="M59" s="3"/>
      <c r="N59" s="3"/>
      <c r="O59" s="52"/>
      <c r="P59" s="3"/>
    </row>
    <row r="60" spans="2:16" ht="15.75" customHeight="1">
      <c r="B60" s="28"/>
      <c r="C60" s="3"/>
      <c r="E60" s="35"/>
      <c r="F60" s="28"/>
      <c r="G60" s="28"/>
      <c r="H60" s="29"/>
      <c r="I60" s="14"/>
      <c r="K60" s="3"/>
      <c r="M60" s="3"/>
      <c r="N60" s="3"/>
      <c r="O60" s="52"/>
      <c r="P60" s="3"/>
    </row>
    <row r="61" spans="2:16" ht="15.75" customHeight="1">
      <c r="B61" s="28"/>
      <c r="C61" s="3"/>
      <c r="E61" s="35"/>
      <c r="F61" s="28"/>
      <c r="G61" s="28"/>
      <c r="H61" s="29"/>
      <c r="I61" s="14"/>
      <c r="K61" s="3"/>
      <c r="M61" s="3"/>
      <c r="N61" s="3"/>
      <c r="O61" s="52"/>
      <c r="P61" s="3"/>
    </row>
    <row r="62" spans="2:16" ht="15.75" customHeight="1">
      <c r="B62" s="28"/>
      <c r="C62" s="3"/>
      <c r="E62" s="35"/>
      <c r="F62" s="28"/>
      <c r="G62" s="28"/>
      <c r="H62" s="29"/>
      <c r="I62" s="14"/>
      <c r="K62" s="3"/>
      <c r="M62" s="3"/>
      <c r="N62" s="3"/>
      <c r="O62" s="52"/>
      <c r="P62" s="3"/>
    </row>
    <row r="63" spans="2:16" ht="15.75" customHeight="1">
      <c r="B63" s="28"/>
      <c r="C63" s="3"/>
      <c r="E63" s="35"/>
      <c r="F63" s="28"/>
      <c r="G63" s="28"/>
      <c r="H63" s="29"/>
      <c r="I63" s="14"/>
      <c r="K63" s="3"/>
      <c r="M63" s="3"/>
      <c r="N63" s="3"/>
      <c r="O63" s="52"/>
      <c r="P63" s="3"/>
    </row>
    <row r="64" spans="2:16" ht="15.75" customHeight="1">
      <c r="B64" s="28"/>
      <c r="C64" s="3"/>
      <c r="E64" s="35"/>
      <c r="F64" s="28"/>
      <c r="G64" s="28"/>
      <c r="H64" s="29"/>
      <c r="I64" s="14"/>
      <c r="K64" s="3"/>
      <c r="M64" s="3"/>
      <c r="N64" s="3"/>
      <c r="O64" s="52"/>
      <c r="P64" s="3"/>
    </row>
    <row r="65" spans="2:16" ht="15.75" customHeight="1">
      <c r="B65" s="28"/>
      <c r="C65" s="3"/>
      <c r="E65" s="35"/>
      <c r="F65" s="28"/>
      <c r="G65" s="28"/>
      <c r="H65" s="29"/>
      <c r="I65" s="14"/>
      <c r="K65" s="3"/>
      <c r="M65" s="3"/>
      <c r="N65" s="3"/>
      <c r="O65" s="52"/>
      <c r="P65" s="3"/>
    </row>
    <row r="66" spans="2:16" ht="15.75" customHeight="1">
      <c r="B66" s="28"/>
      <c r="C66" s="3"/>
      <c r="E66" s="35"/>
      <c r="F66" s="28"/>
      <c r="G66" s="28"/>
      <c r="H66" s="29"/>
      <c r="I66" s="14"/>
      <c r="K66" s="3"/>
      <c r="M66" s="3"/>
      <c r="N66" s="3"/>
      <c r="O66" s="52"/>
      <c r="P66" s="3"/>
    </row>
    <row r="67" spans="2:16" ht="15.75" customHeight="1">
      <c r="B67" s="28"/>
      <c r="C67" s="3"/>
      <c r="E67" s="35"/>
      <c r="F67" s="28"/>
      <c r="G67" s="28"/>
      <c r="H67" s="29"/>
      <c r="I67" s="14"/>
      <c r="K67" s="3"/>
      <c r="M67" s="3"/>
      <c r="N67" s="3"/>
      <c r="O67" s="52"/>
      <c r="P67" s="3"/>
    </row>
    <row r="68" spans="2:16" ht="15.75" customHeight="1">
      <c r="B68" s="28"/>
      <c r="C68" s="3"/>
      <c r="E68" s="35"/>
      <c r="F68" s="28"/>
      <c r="G68" s="28"/>
      <c r="H68" s="29"/>
      <c r="I68" s="14"/>
      <c r="K68" s="3"/>
      <c r="M68" s="3"/>
      <c r="N68" s="3"/>
      <c r="O68" s="52"/>
      <c r="P68" s="3"/>
    </row>
    <row r="69" spans="2:16" ht="15.75" customHeight="1">
      <c r="B69" s="28"/>
      <c r="C69" s="3"/>
      <c r="E69" s="35"/>
      <c r="F69" s="28"/>
      <c r="G69" s="28"/>
      <c r="H69" s="29"/>
      <c r="I69" s="14"/>
      <c r="K69" s="3"/>
      <c r="M69" s="3"/>
      <c r="N69" s="3"/>
      <c r="O69" s="52"/>
      <c r="P69" s="3"/>
    </row>
    <row r="70" spans="2:16" ht="15.75" customHeight="1">
      <c r="B70" s="28"/>
      <c r="C70" s="3"/>
      <c r="E70" s="35"/>
      <c r="F70" s="28"/>
      <c r="G70" s="28"/>
      <c r="H70" s="29"/>
      <c r="I70" s="14"/>
      <c r="K70" s="3"/>
      <c r="M70" s="3"/>
      <c r="N70" s="3"/>
      <c r="O70" s="52"/>
      <c r="P70" s="3"/>
    </row>
    <row r="71" spans="2:16" ht="15.75" customHeight="1">
      <c r="B71" s="28"/>
      <c r="C71" s="3"/>
      <c r="E71" s="35"/>
      <c r="F71" s="28"/>
      <c r="G71" s="28"/>
      <c r="H71" s="29"/>
      <c r="I71" s="14"/>
      <c r="K71" s="3"/>
      <c r="M71" s="3"/>
      <c r="N71" s="3"/>
      <c r="O71" s="52"/>
      <c r="P71" s="3"/>
    </row>
    <row r="72" spans="2:16" ht="15.75" customHeight="1">
      <c r="B72" s="28"/>
      <c r="C72" s="3"/>
      <c r="E72" s="35"/>
      <c r="F72" s="28"/>
      <c r="G72" s="28"/>
      <c r="H72" s="29"/>
      <c r="I72" s="14"/>
      <c r="K72" s="3"/>
      <c r="M72" s="3"/>
      <c r="N72" s="3"/>
      <c r="O72" s="52"/>
      <c r="P72" s="3"/>
    </row>
    <row r="73" spans="2:16" ht="15.75" customHeight="1">
      <c r="B73" s="28"/>
      <c r="C73" s="3"/>
      <c r="E73" s="35"/>
      <c r="F73" s="28"/>
      <c r="G73" s="28"/>
      <c r="H73" s="29"/>
      <c r="I73" s="14"/>
      <c r="K73" s="3"/>
      <c r="M73" s="3"/>
      <c r="N73" s="3"/>
      <c r="O73" s="52"/>
      <c r="P73" s="3"/>
    </row>
    <row r="74" spans="2:16" ht="15.75" customHeight="1">
      <c r="B74" s="28"/>
      <c r="C74" s="3"/>
      <c r="E74" s="35"/>
      <c r="F74" s="28"/>
      <c r="G74" s="28"/>
      <c r="H74" s="29"/>
      <c r="I74" s="14"/>
      <c r="K74" s="3"/>
      <c r="M74" s="3"/>
      <c r="N74" s="3"/>
      <c r="O74" s="52"/>
      <c r="P74" s="3"/>
    </row>
    <row r="75" spans="2:16" ht="15.75" customHeight="1">
      <c r="B75" s="28"/>
      <c r="C75" s="3"/>
      <c r="E75" s="35"/>
      <c r="F75" s="28"/>
      <c r="G75" s="28"/>
      <c r="H75" s="29"/>
      <c r="I75" s="14"/>
      <c r="K75" s="3"/>
      <c r="M75" s="3"/>
      <c r="N75" s="3"/>
      <c r="O75" s="52"/>
      <c r="P75" s="3"/>
    </row>
    <row r="76" spans="2:16" ht="15.75" customHeight="1">
      <c r="B76" s="28"/>
      <c r="C76" s="3"/>
      <c r="E76" s="35"/>
      <c r="F76" s="28"/>
      <c r="G76" s="28"/>
      <c r="H76" s="29"/>
      <c r="I76" s="14"/>
      <c r="K76" s="3"/>
      <c r="M76" s="3"/>
      <c r="N76" s="3"/>
      <c r="O76" s="52"/>
      <c r="P76" s="3"/>
    </row>
    <row r="77" spans="2:16" ht="15.75" customHeight="1">
      <c r="B77" s="28"/>
      <c r="C77" s="3"/>
      <c r="E77" s="35"/>
      <c r="F77" s="28"/>
      <c r="G77" s="28"/>
      <c r="H77" s="29"/>
      <c r="I77" s="14"/>
      <c r="K77" s="3"/>
      <c r="M77" s="3"/>
      <c r="N77" s="3"/>
      <c r="O77" s="52"/>
      <c r="P77" s="3"/>
    </row>
    <row r="78" spans="2:16" ht="15.75" customHeight="1">
      <c r="B78" s="28"/>
      <c r="C78" s="3"/>
      <c r="E78" s="35"/>
      <c r="F78" s="28"/>
      <c r="G78" s="28"/>
      <c r="H78" s="29"/>
      <c r="I78" s="14"/>
      <c r="K78" s="3"/>
      <c r="M78" s="3"/>
      <c r="N78" s="3"/>
      <c r="O78" s="52"/>
      <c r="P78" s="3"/>
    </row>
    <row r="79" spans="2:16" ht="15.75" customHeight="1">
      <c r="B79" s="28"/>
      <c r="C79" s="3"/>
      <c r="E79" s="35"/>
      <c r="F79" s="28"/>
      <c r="G79" s="28"/>
      <c r="H79" s="29"/>
      <c r="I79" s="14"/>
      <c r="K79" s="3"/>
      <c r="M79" s="3"/>
      <c r="N79" s="3"/>
      <c r="O79" s="52"/>
      <c r="P79" s="3"/>
    </row>
    <row r="80" spans="2:16" ht="15.75" customHeight="1">
      <c r="B80" s="28"/>
      <c r="C80" s="3"/>
      <c r="E80" s="35"/>
      <c r="F80" s="28"/>
      <c r="G80" s="28"/>
      <c r="H80" s="29"/>
      <c r="I80" s="14"/>
      <c r="K80" s="3"/>
      <c r="M80" s="3"/>
      <c r="N80" s="3"/>
      <c r="O80" s="52"/>
      <c r="P80" s="3"/>
    </row>
    <row r="81" spans="2:16" ht="15.75" customHeight="1">
      <c r="B81" s="28"/>
      <c r="C81" s="3"/>
      <c r="E81" s="35"/>
      <c r="F81" s="28"/>
      <c r="G81" s="28"/>
      <c r="H81" s="29"/>
      <c r="I81" s="14"/>
      <c r="K81" s="3"/>
      <c r="M81" s="3"/>
      <c r="N81" s="3"/>
      <c r="O81" s="52"/>
      <c r="P81" s="3"/>
    </row>
    <row r="82" spans="2:16" ht="15.75" customHeight="1">
      <c r="B82" s="28"/>
      <c r="C82" s="3"/>
      <c r="E82" s="35"/>
      <c r="F82" s="28"/>
      <c r="G82" s="28"/>
      <c r="H82" s="29"/>
      <c r="I82" s="14"/>
      <c r="K82" s="3"/>
      <c r="M82" s="3"/>
      <c r="N82" s="3"/>
      <c r="O82" s="52"/>
      <c r="P82" s="3"/>
    </row>
    <row r="83" spans="2:16" ht="15.75" customHeight="1">
      <c r="B83" s="28"/>
      <c r="C83" s="3"/>
      <c r="E83" s="35"/>
      <c r="F83" s="28"/>
      <c r="G83" s="28"/>
      <c r="H83" s="29"/>
      <c r="I83" s="14"/>
      <c r="K83" s="3"/>
      <c r="M83" s="3"/>
      <c r="N83" s="3"/>
      <c r="O83" s="52"/>
      <c r="P83" s="3"/>
    </row>
    <row r="84" spans="2:16" ht="15.75" customHeight="1">
      <c r="B84" s="28"/>
      <c r="C84" s="3"/>
      <c r="E84" s="35"/>
      <c r="F84" s="28"/>
      <c r="G84" s="28"/>
      <c r="H84" s="29"/>
      <c r="I84" s="14"/>
      <c r="K84" s="3"/>
      <c r="M84" s="3"/>
      <c r="N84" s="3"/>
      <c r="O84" s="52"/>
      <c r="P84" s="3"/>
    </row>
    <row r="85" spans="2:16" ht="15.75" customHeight="1">
      <c r="B85" s="28"/>
      <c r="C85" s="3"/>
      <c r="E85" s="35"/>
      <c r="F85" s="28"/>
      <c r="G85" s="28"/>
      <c r="H85" s="29"/>
      <c r="I85" s="14"/>
      <c r="K85" s="3"/>
      <c r="M85" s="3"/>
      <c r="N85" s="3"/>
      <c r="O85" s="52"/>
      <c r="P85" s="3"/>
    </row>
    <row r="86" spans="2:16" ht="15.75" customHeight="1">
      <c r="B86" s="28"/>
      <c r="C86" s="3"/>
      <c r="E86" s="35"/>
      <c r="F86" s="28"/>
      <c r="G86" s="28"/>
      <c r="H86" s="29"/>
      <c r="I86" s="14"/>
      <c r="K86" s="3"/>
      <c r="M86" s="3"/>
      <c r="N86" s="3"/>
      <c r="O86" s="52"/>
      <c r="P86" s="3"/>
    </row>
    <row r="87" spans="2:16" ht="15.75" customHeight="1">
      <c r="B87" s="28"/>
      <c r="C87" s="3"/>
      <c r="E87" s="35"/>
      <c r="F87" s="28"/>
      <c r="G87" s="28"/>
      <c r="H87" s="29"/>
      <c r="I87" s="14"/>
      <c r="K87" s="3"/>
      <c r="M87" s="3"/>
      <c r="N87" s="3"/>
      <c r="O87" s="52"/>
      <c r="P87" s="3"/>
    </row>
    <row r="88" spans="2:16" ht="15.75" customHeight="1">
      <c r="B88" s="28"/>
      <c r="C88" s="3"/>
      <c r="E88" s="35"/>
      <c r="F88" s="28"/>
      <c r="G88" s="28"/>
      <c r="H88" s="29"/>
      <c r="I88" s="14"/>
      <c r="K88" s="3"/>
      <c r="M88" s="3"/>
      <c r="N88" s="3"/>
      <c r="O88" s="52"/>
      <c r="P88" s="3"/>
    </row>
    <row r="89" spans="2:16" ht="15.75" customHeight="1">
      <c r="B89" s="28"/>
      <c r="C89" s="3"/>
      <c r="E89" s="35"/>
      <c r="F89" s="28"/>
      <c r="G89" s="28"/>
      <c r="H89" s="29"/>
      <c r="I89" s="14"/>
      <c r="K89" s="3"/>
      <c r="M89" s="3"/>
      <c r="N89" s="3"/>
      <c r="O89" s="52"/>
      <c r="P89" s="3"/>
    </row>
    <row r="90" spans="2:16" ht="15.75" customHeight="1">
      <c r="B90" s="28"/>
      <c r="C90" s="3"/>
      <c r="E90" s="35"/>
      <c r="F90" s="28"/>
      <c r="G90" s="28"/>
      <c r="H90" s="29"/>
      <c r="I90" s="14"/>
      <c r="K90" s="3"/>
      <c r="M90" s="3"/>
      <c r="N90" s="3"/>
      <c r="O90" s="52"/>
      <c r="P90" s="3"/>
    </row>
    <row r="91" spans="2:16" ht="15.75" customHeight="1">
      <c r="B91" s="28"/>
      <c r="C91" s="3"/>
      <c r="E91" s="35"/>
      <c r="F91" s="28"/>
      <c r="G91" s="28"/>
      <c r="H91" s="29"/>
      <c r="I91" s="14"/>
      <c r="K91" s="3"/>
      <c r="M91" s="3"/>
      <c r="N91" s="3"/>
      <c r="O91" s="52"/>
      <c r="P91" s="3"/>
    </row>
    <row r="92" spans="2:16" ht="15.75" customHeight="1">
      <c r="B92" s="28"/>
      <c r="C92" s="3"/>
      <c r="E92" s="35"/>
      <c r="F92" s="28"/>
      <c r="G92" s="28"/>
      <c r="H92" s="29"/>
      <c r="I92" s="14"/>
      <c r="K92" s="3"/>
      <c r="M92" s="3"/>
      <c r="N92" s="3"/>
      <c r="O92" s="52"/>
      <c r="P92" s="3"/>
    </row>
    <row r="93" spans="2:16" ht="15.75" customHeight="1">
      <c r="B93" s="28"/>
      <c r="C93" s="3"/>
      <c r="E93" s="35"/>
      <c r="F93" s="28"/>
      <c r="G93" s="28"/>
      <c r="H93" s="29"/>
      <c r="I93" s="14"/>
      <c r="K93" s="3"/>
      <c r="M93" s="3"/>
      <c r="N93" s="3"/>
      <c r="O93" s="52"/>
      <c r="P93" s="3"/>
    </row>
    <row r="94" spans="2:16" ht="15.75" customHeight="1">
      <c r="B94" s="28"/>
      <c r="C94" s="3"/>
      <c r="E94" s="35"/>
      <c r="F94" s="28"/>
      <c r="G94" s="28"/>
      <c r="H94" s="29"/>
      <c r="I94" s="14"/>
      <c r="K94" s="3"/>
      <c r="M94" s="3"/>
      <c r="N94" s="3"/>
      <c r="O94" s="52"/>
      <c r="P94" s="3"/>
    </row>
    <row r="95" spans="2:16" ht="15.75" customHeight="1">
      <c r="B95" s="28"/>
      <c r="C95" s="3"/>
      <c r="E95" s="35"/>
      <c r="F95" s="28"/>
      <c r="G95" s="28"/>
      <c r="H95" s="29"/>
      <c r="I95" s="14"/>
      <c r="K95" s="3"/>
      <c r="M95" s="3"/>
      <c r="N95" s="3"/>
      <c r="O95" s="52"/>
      <c r="P95" s="3"/>
    </row>
    <row r="96" spans="2:16" ht="15.75" customHeight="1">
      <c r="B96" s="28"/>
      <c r="C96" s="3"/>
      <c r="E96" s="35"/>
      <c r="F96" s="28"/>
      <c r="G96" s="28"/>
      <c r="H96" s="29"/>
      <c r="I96" s="14"/>
      <c r="K96" s="3"/>
      <c r="M96" s="3"/>
      <c r="N96" s="3"/>
      <c r="O96" s="52"/>
      <c r="P96" s="3"/>
    </row>
    <row r="97" spans="2:16" ht="15.75" customHeight="1">
      <c r="B97" s="28"/>
      <c r="C97" s="3"/>
      <c r="E97" s="35"/>
      <c r="F97" s="28"/>
      <c r="G97" s="28"/>
      <c r="H97" s="29"/>
      <c r="I97" s="14"/>
      <c r="K97" s="3"/>
      <c r="M97" s="3"/>
      <c r="N97" s="3"/>
      <c r="O97" s="52"/>
      <c r="P97" s="3"/>
    </row>
    <row r="98" spans="2:16" ht="15.75" customHeight="1">
      <c r="B98" s="28"/>
      <c r="C98" s="3"/>
      <c r="E98" s="35"/>
      <c r="F98" s="28"/>
      <c r="G98" s="28"/>
      <c r="H98" s="29"/>
      <c r="I98" s="14"/>
      <c r="K98" s="3"/>
      <c r="M98" s="3"/>
      <c r="N98" s="3"/>
      <c r="O98" s="52"/>
      <c r="P98" s="3"/>
    </row>
    <row r="99" spans="2:16" ht="15.75" customHeight="1">
      <c r="B99" s="28"/>
      <c r="C99" s="3"/>
      <c r="E99" s="35"/>
      <c r="F99" s="28"/>
      <c r="G99" s="28"/>
      <c r="H99" s="29"/>
      <c r="I99" s="14"/>
      <c r="K99" s="3"/>
      <c r="M99" s="3"/>
      <c r="N99" s="3"/>
      <c r="O99" s="52"/>
      <c r="P99" s="3"/>
    </row>
    <row r="100" spans="2:16" ht="15.75" customHeight="1">
      <c r="B100" s="28"/>
      <c r="C100" s="3"/>
      <c r="E100" s="35"/>
      <c r="F100" s="28"/>
      <c r="G100" s="28"/>
      <c r="H100" s="29"/>
      <c r="I100" s="14"/>
      <c r="K100" s="3"/>
      <c r="M100" s="3"/>
      <c r="N100" s="3"/>
      <c r="O100" s="52"/>
      <c r="P100" s="3"/>
    </row>
    <row r="101" spans="2:16" ht="15.75" customHeight="1">
      <c r="B101" s="28"/>
      <c r="C101" s="3"/>
      <c r="E101" s="35"/>
      <c r="F101" s="28"/>
      <c r="G101" s="28"/>
      <c r="H101" s="29"/>
      <c r="I101" s="14"/>
      <c r="K101" s="3"/>
      <c r="M101" s="3"/>
      <c r="N101" s="3"/>
      <c r="O101" s="52"/>
      <c r="P101" s="3"/>
    </row>
    <row r="102" spans="2:16" ht="15.75" customHeight="1">
      <c r="B102" s="28"/>
      <c r="C102" s="3"/>
      <c r="E102" s="35"/>
      <c r="F102" s="28"/>
      <c r="G102" s="28"/>
      <c r="H102" s="29"/>
      <c r="I102" s="14"/>
      <c r="K102" s="3"/>
      <c r="M102" s="3"/>
      <c r="N102" s="3"/>
      <c r="O102" s="52"/>
      <c r="P102" s="3"/>
    </row>
    <row r="103" spans="2:16" ht="15.75" customHeight="1">
      <c r="B103" s="28"/>
      <c r="C103" s="3"/>
      <c r="E103" s="35"/>
      <c r="F103" s="28"/>
      <c r="G103" s="28"/>
      <c r="H103" s="29"/>
      <c r="I103" s="14"/>
      <c r="K103" s="3"/>
      <c r="M103" s="3"/>
      <c r="N103" s="3"/>
      <c r="O103" s="52"/>
      <c r="P103" s="3"/>
    </row>
    <row r="104" spans="2:16" ht="15.75" customHeight="1">
      <c r="B104" s="28"/>
      <c r="C104" s="3"/>
      <c r="E104" s="35"/>
      <c r="F104" s="28"/>
      <c r="G104" s="28"/>
      <c r="H104" s="29"/>
      <c r="I104" s="14"/>
      <c r="K104" s="3"/>
      <c r="M104" s="3"/>
      <c r="N104" s="3"/>
      <c r="O104" s="52"/>
      <c r="P104" s="3"/>
    </row>
    <row r="105" spans="2:16" ht="15.75" customHeight="1">
      <c r="B105" s="28"/>
      <c r="C105" s="3"/>
      <c r="E105" s="35"/>
      <c r="F105" s="28"/>
      <c r="G105" s="28"/>
      <c r="H105" s="29"/>
      <c r="I105" s="14"/>
      <c r="K105" s="3"/>
      <c r="M105" s="3"/>
      <c r="N105" s="3"/>
      <c r="O105" s="52"/>
      <c r="P105" s="3"/>
    </row>
    <row r="106" spans="2:16" ht="15.75" customHeight="1">
      <c r="B106" s="28"/>
      <c r="C106" s="3"/>
      <c r="E106" s="35"/>
      <c r="F106" s="28"/>
      <c r="G106" s="28"/>
      <c r="H106" s="29"/>
      <c r="I106" s="14"/>
      <c r="K106" s="3"/>
      <c r="M106" s="3"/>
      <c r="N106" s="3"/>
      <c r="O106" s="52"/>
      <c r="P106" s="3"/>
    </row>
    <row r="107" spans="2:16" ht="15.75" customHeight="1">
      <c r="B107" s="28"/>
      <c r="C107" s="3"/>
      <c r="E107" s="35"/>
      <c r="F107" s="28"/>
      <c r="G107" s="28"/>
      <c r="H107" s="29"/>
      <c r="I107" s="14"/>
      <c r="K107" s="3"/>
      <c r="M107" s="3"/>
      <c r="N107" s="3"/>
      <c r="O107" s="52"/>
      <c r="P107" s="3"/>
    </row>
    <row r="108" spans="2:16" ht="15.75" customHeight="1">
      <c r="B108" s="28"/>
      <c r="C108" s="3"/>
      <c r="E108" s="35"/>
      <c r="F108" s="28"/>
      <c r="G108" s="28"/>
      <c r="H108" s="29"/>
      <c r="I108" s="14"/>
      <c r="K108" s="3"/>
      <c r="M108" s="3"/>
      <c r="N108" s="3"/>
      <c r="O108" s="52"/>
      <c r="P108" s="3"/>
    </row>
    <row r="109" spans="2:16" ht="15.75" customHeight="1">
      <c r="B109" s="28"/>
      <c r="C109" s="3"/>
      <c r="E109" s="35"/>
      <c r="F109" s="28"/>
      <c r="G109" s="28"/>
      <c r="H109" s="29"/>
      <c r="I109" s="14"/>
      <c r="K109" s="3"/>
      <c r="M109" s="3"/>
      <c r="N109" s="3"/>
      <c r="O109" s="52"/>
      <c r="P109" s="3"/>
    </row>
    <row r="110" spans="2:16" ht="15.75" customHeight="1">
      <c r="B110" s="28"/>
      <c r="C110" s="3"/>
      <c r="E110" s="35"/>
      <c r="F110" s="28"/>
      <c r="G110" s="28"/>
      <c r="H110" s="29"/>
      <c r="I110" s="14"/>
      <c r="K110" s="3"/>
      <c r="M110" s="3"/>
      <c r="N110" s="3"/>
      <c r="O110" s="52"/>
      <c r="P110" s="3"/>
    </row>
    <row r="111" spans="2:16" ht="15.75" customHeight="1">
      <c r="B111" s="28"/>
      <c r="C111" s="3"/>
      <c r="E111" s="35"/>
      <c r="F111" s="28"/>
      <c r="G111" s="28"/>
      <c r="H111" s="29"/>
      <c r="I111" s="14"/>
      <c r="K111" s="3"/>
      <c r="M111" s="3"/>
      <c r="N111" s="3"/>
      <c r="O111" s="52"/>
      <c r="P111" s="3"/>
    </row>
    <row r="112" spans="2:16" ht="15.75" customHeight="1">
      <c r="B112" s="28"/>
      <c r="C112" s="3"/>
      <c r="E112" s="35"/>
      <c r="F112" s="28"/>
      <c r="G112" s="28"/>
      <c r="H112" s="29"/>
      <c r="I112" s="14"/>
      <c r="K112" s="3"/>
      <c r="M112" s="3"/>
      <c r="N112" s="3"/>
      <c r="O112" s="52"/>
      <c r="P112" s="3"/>
    </row>
    <row r="113" spans="2:16" ht="15.75" customHeight="1">
      <c r="B113" s="28"/>
      <c r="C113" s="3"/>
      <c r="E113" s="35"/>
      <c r="F113" s="28"/>
      <c r="G113" s="28"/>
      <c r="H113" s="29"/>
      <c r="I113" s="14"/>
      <c r="K113" s="3"/>
      <c r="M113" s="3"/>
      <c r="N113" s="3"/>
      <c r="O113" s="52"/>
      <c r="P113" s="3"/>
    </row>
    <row r="114" spans="2:16" ht="15.75" customHeight="1">
      <c r="B114" s="28"/>
      <c r="C114" s="3"/>
      <c r="E114" s="35"/>
      <c r="F114" s="28"/>
      <c r="G114" s="28"/>
      <c r="H114" s="29"/>
      <c r="I114" s="14"/>
      <c r="K114" s="3"/>
      <c r="M114" s="3"/>
      <c r="N114" s="3"/>
      <c r="O114" s="52"/>
      <c r="P114" s="3"/>
    </row>
    <row r="115" spans="2:16" ht="15.75" customHeight="1">
      <c r="B115" s="28"/>
      <c r="C115" s="3"/>
      <c r="E115" s="35"/>
      <c r="F115" s="28"/>
      <c r="G115" s="28"/>
      <c r="H115" s="29"/>
      <c r="I115" s="14"/>
      <c r="K115" s="3"/>
      <c r="M115" s="3"/>
      <c r="N115" s="3"/>
      <c r="O115" s="52"/>
      <c r="P115" s="3"/>
    </row>
    <row r="116" spans="2:16" ht="15.75" customHeight="1">
      <c r="B116" s="28"/>
      <c r="C116" s="3"/>
      <c r="E116" s="35"/>
      <c r="F116" s="28"/>
      <c r="G116" s="28"/>
      <c r="H116" s="29"/>
      <c r="I116" s="14"/>
      <c r="K116" s="3"/>
      <c r="M116" s="3"/>
      <c r="N116" s="3"/>
      <c r="O116" s="52"/>
      <c r="P116" s="3"/>
    </row>
    <row r="117" spans="2:16" ht="15.75" customHeight="1">
      <c r="B117" s="28"/>
      <c r="C117" s="3"/>
      <c r="E117" s="35"/>
      <c r="F117" s="28"/>
      <c r="G117" s="28"/>
      <c r="H117" s="29"/>
      <c r="I117" s="14"/>
      <c r="K117" s="3"/>
      <c r="M117" s="3"/>
      <c r="N117" s="3"/>
      <c r="O117" s="52"/>
      <c r="P117" s="3"/>
    </row>
    <row r="118" spans="2:16" ht="15.75" customHeight="1">
      <c r="B118" s="28"/>
      <c r="C118" s="3"/>
      <c r="E118" s="35"/>
      <c r="F118" s="28"/>
      <c r="G118" s="28"/>
      <c r="H118" s="29"/>
      <c r="I118" s="14"/>
      <c r="K118" s="3"/>
      <c r="M118" s="3"/>
      <c r="N118" s="3"/>
      <c r="O118" s="52"/>
      <c r="P118" s="3"/>
    </row>
    <row r="119" spans="2:16" ht="15.75" customHeight="1">
      <c r="B119" s="28"/>
      <c r="C119" s="3"/>
      <c r="E119" s="35"/>
      <c r="F119" s="28"/>
      <c r="G119" s="28"/>
      <c r="H119" s="29"/>
      <c r="I119" s="14"/>
      <c r="K119" s="3"/>
      <c r="M119" s="3"/>
      <c r="N119" s="3"/>
      <c r="O119" s="52"/>
      <c r="P119" s="3"/>
    </row>
    <row r="120" spans="2:16" ht="15.75" customHeight="1">
      <c r="B120" s="28"/>
      <c r="C120" s="3"/>
      <c r="E120" s="35"/>
      <c r="F120" s="28"/>
      <c r="G120" s="28"/>
      <c r="H120" s="29"/>
      <c r="I120" s="14"/>
      <c r="K120" s="3"/>
      <c r="M120" s="3"/>
      <c r="N120" s="3"/>
      <c r="O120" s="52"/>
      <c r="P120" s="3"/>
    </row>
    <row r="121" spans="2:16" ht="15.75" customHeight="1">
      <c r="B121" s="28"/>
      <c r="C121" s="3"/>
      <c r="E121" s="35"/>
      <c r="F121" s="28"/>
      <c r="G121" s="28"/>
      <c r="H121" s="29"/>
      <c r="I121" s="14"/>
      <c r="K121" s="3"/>
      <c r="M121" s="3"/>
      <c r="N121" s="3"/>
      <c r="O121" s="52"/>
      <c r="P121" s="3"/>
    </row>
    <row r="122" spans="2:16" ht="15.75" customHeight="1">
      <c r="B122" s="28"/>
      <c r="C122" s="3"/>
      <c r="E122" s="35"/>
      <c r="F122" s="28"/>
      <c r="G122" s="28"/>
      <c r="H122" s="29"/>
      <c r="I122" s="14"/>
      <c r="K122" s="3"/>
      <c r="M122" s="3"/>
      <c r="N122" s="3"/>
      <c r="O122" s="52"/>
      <c r="P122" s="3"/>
    </row>
    <row r="123" spans="2:16" ht="15.75" customHeight="1">
      <c r="B123" s="28"/>
      <c r="C123" s="3"/>
      <c r="E123" s="35"/>
      <c r="F123" s="28"/>
      <c r="G123" s="28"/>
      <c r="H123" s="29"/>
      <c r="I123" s="14"/>
      <c r="K123" s="3"/>
      <c r="M123" s="3"/>
      <c r="N123" s="3"/>
      <c r="O123" s="52"/>
      <c r="P123" s="3"/>
    </row>
    <row r="124" spans="2:16" ht="15.75" customHeight="1">
      <c r="B124" s="28"/>
      <c r="C124" s="3"/>
      <c r="E124" s="35"/>
      <c r="F124" s="28"/>
      <c r="G124" s="28"/>
      <c r="H124" s="29"/>
      <c r="I124" s="14"/>
      <c r="K124" s="3"/>
      <c r="M124" s="3"/>
      <c r="N124" s="3"/>
      <c r="O124" s="52"/>
      <c r="P124" s="3"/>
    </row>
    <row r="125" spans="2:16" ht="15.75" customHeight="1">
      <c r="B125" s="28"/>
      <c r="C125" s="3"/>
      <c r="E125" s="35"/>
      <c r="F125" s="28"/>
      <c r="G125" s="28"/>
      <c r="H125" s="29"/>
      <c r="I125" s="14"/>
      <c r="K125" s="3"/>
      <c r="M125" s="3"/>
      <c r="N125" s="3"/>
      <c r="O125" s="52"/>
      <c r="P125" s="3"/>
    </row>
    <row r="126" spans="2:16" ht="15.75" customHeight="1">
      <c r="B126" s="28"/>
      <c r="C126" s="3"/>
      <c r="E126" s="35"/>
      <c r="F126" s="28"/>
      <c r="G126" s="28"/>
      <c r="H126" s="29"/>
      <c r="I126" s="14"/>
      <c r="K126" s="3"/>
      <c r="M126" s="3"/>
      <c r="N126" s="3"/>
      <c r="O126" s="52"/>
      <c r="P126" s="3"/>
    </row>
    <row r="127" spans="2:16" ht="15.75" customHeight="1">
      <c r="B127" s="28"/>
      <c r="C127" s="3"/>
      <c r="E127" s="35"/>
      <c r="F127" s="28"/>
      <c r="G127" s="28"/>
      <c r="H127" s="29"/>
      <c r="I127" s="14"/>
      <c r="K127" s="3"/>
      <c r="M127" s="3"/>
      <c r="N127" s="3"/>
      <c r="O127" s="52"/>
      <c r="P127" s="3"/>
    </row>
    <row r="128" spans="2:16" ht="15.75" customHeight="1">
      <c r="B128" s="28"/>
      <c r="C128" s="3"/>
      <c r="E128" s="35"/>
      <c r="F128" s="28"/>
      <c r="G128" s="28"/>
      <c r="H128" s="29"/>
      <c r="I128" s="14"/>
      <c r="K128" s="3"/>
      <c r="M128" s="3"/>
      <c r="N128" s="3"/>
      <c r="O128" s="52"/>
      <c r="P128" s="3"/>
    </row>
    <row r="129" spans="2:16" ht="15.75" customHeight="1">
      <c r="B129" s="28"/>
      <c r="C129" s="3"/>
      <c r="E129" s="35"/>
      <c r="F129" s="28"/>
      <c r="G129" s="28"/>
      <c r="H129" s="29"/>
      <c r="I129" s="14"/>
      <c r="K129" s="3"/>
      <c r="M129" s="3"/>
      <c r="N129" s="3"/>
      <c r="O129" s="52"/>
      <c r="P129" s="3"/>
    </row>
    <row r="130" spans="2:16" ht="15.75" customHeight="1">
      <c r="B130" s="28"/>
      <c r="C130" s="3"/>
      <c r="E130" s="35"/>
      <c r="F130" s="28"/>
      <c r="G130" s="28"/>
      <c r="H130" s="29"/>
      <c r="I130" s="14"/>
      <c r="K130" s="3"/>
      <c r="M130" s="3"/>
      <c r="N130" s="3"/>
      <c r="O130" s="52"/>
      <c r="P130" s="3"/>
    </row>
    <row r="131" spans="2:16" ht="15.75" customHeight="1">
      <c r="B131" s="28"/>
      <c r="C131" s="3"/>
      <c r="E131" s="35"/>
      <c r="F131" s="28"/>
      <c r="G131" s="28"/>
      <c r="H131" s="29"/>
      <c r="I131" s="14"/>
      <c r="K131" s="3"/>
      <c r="M131" s="3"/>
      <c r="N131" s="3"/>
      <c r="O131" s="52"/>
      <c r="P131" s="3"/>
    </row>
    <row r="132" spans="2:16" ht="15.75" customHeight="1">
      <c r="B132" s="28"/>
      <c r="C132" s="3"/>
      <c r="E132" s="35"/>
      <c r="F132" s="28"/>
      <c r="G132" s="28"/>
      <c r="H132" s="29"/>
      <c r="I132" s="14"/>
      <c r="K132" s="3"/>
      <c r="M132" s="3"/>
      <c r="N132" s="3"/>
      <c r="O132" s="52"/>
      <c r="P132" s="3"/>
    </row>
    <row r="133" spans="2:16" ht="15.75" customHeight="1">
      <c r="B133" s="28"/>
      <c r="C133" s="3"/>
      <c r="E133" s="35"/>
      <c r="F133" s="28"/>
      <c r="G133" s="28"/>
      <c r="H133" s="29"/>
      <c r="I133" s="14"/>
      <c r="K133" s="3"/>
      <c r="M133" s="3"/>
      <c r="N133" s="3"/>
      <c r="O133" s="52"/>
      <c r="P133" s="3"/>
    </row>
    <row r="134" spans="2:16" ht="15.75" customHeight="1">
      <c r="B134" s="28"/>
      <c r="C134" s="3"/>
      <c r="E134" s="35"/>
      <c r="F134" s="28"/>
      <c r="G134" s="28"/>
      <c r="H134" s="29"/>
      <c r="I134" s="14"/>
      <c r="K134" s="3"/>
      <c r="M134" s="3"/>
      <c r="N134" s="3"/>
      <c r="O134" s="52"/>
      <c r="P134" s="3"/>
    </row>
    <row r="135" spans="2:16" ht="15.75" customHeight="1">
      <c r="B135" s="28"/>
      <c r="C135" s="3"/>
      <c r="E135" s="35"/>
      <c r="F135" s="28"/>
      <c r="G135" s="28"/>
      <c r="H135" s="29"/>
      <c r="I135" s="14"/>
      <c r="K135" s="3"/>
      <c r="M135" s="3"/>
      <c r="N135" s="3"/>
      <c r="O135" s="52"/>
      <c r="P135" s="3"/>
    </row>
    <row r="136" spans="2:16" ht="15.75" customHeight="1">
      <c r="B136" s="28"/>
      <c r="C136" s="3"/>
      <c r="E136" s="35"/>
      <c r="F136" s="28"/>
      <c r="G136" s="28"/>
      <c r="H136" s="29"/>
      <c r="I136" s="14"/>
      <c r="K136" s="3"/>
      <c r="M136" s="3"/>
      <c r="N136" s="3"/>
      <c r="O136" s="52"/>
      <c r="P136" s="3"/>
    </row>
    <row r="137" spans="2:16" ht="15.75" customHeight="1">
      <c r="B137" s="28"/>
      <c r="C137" s="3"/>
      <c r="E137" s="35"/>
      <c r="F137" s="28"/>
      <c r="G137" s="28"/>
      <c r="H137" s="29"/>
      <c r="I137" s="14"/>
      <c r="K137" s="3"/>
      <c r="M137" s="3"/>
      <c r="N137" s="3"/>
      <c r="O137" s="52"/>
      <c r="P137" s="3"/>
    </row>
    <row r="138" spans="2:16" ht="15.75" customHeight="1">
      <c r="B138" s="28"/>
      <c r="C138" s="3"/>
      <c r="E138" s="35"/>
      <c r="F138" s="28"/>
      <c r="G138" s="28"/>
      <c r="H138" s="29"/>
      <c r="I138" s="14"/>
      <c r="K138" s="3"/>
      <c r="M138" s="3"/>
      <c r="N138" s="3"/>
      <c r="O138" s="52"/>
      <c r="P138" s="3"/>
    </row>
    <row r="139" spans="2:16" ht="15.75" customHeight="1">
      <c r="B139" s="28"/>
      <c r="C139" s="3"/>
      <c r="E139" s="35"/>
      <c r="F139" s="28"/>
      <c r="G139" s="28"/>
      <c r="H139" s="29"/>
      <c r="I139" s="14"/>
      <c r="K139" s="3"/>
      <c r="M139" s="3"/>
      <c r="N139" s="3"/>
      <c r="O139" s="52"/>
      <c r="P139" s="3"/>
    </row>
    <row r="140" spans="2:16" ht="15.75" customHeight="1">
      <c r="B140" s="28"/>
      <c r="C140" s="3"/>
      <c r="E140" s="35"/>
      <c r="F140" s="28"/>
      <c r="G140" s="28"/>
      <c r="H140" s="29"/>
      <c r="I140" s="14"/>
      <c r="K140" s="3"/>
      <c r="M140" s="3"/>
      <c r="N140" s="3"/>
      <c r="O140" s="52"/>
      <c r="P140" s="3"/>
    </row>
    <row r="141" spans="2:16" ht="15.75" customHeight="1">
      <c r="B141" s="28"/>
      <c r="C141" s="3"/>
      <c r="E141" s="35"/>
      <c r="F141" s="28"/>
      <c r="G141" s="28"/>
      <c r="H141" s="29"/>
      <c r="I141" s="14"/>
      <c r="K141" s="3"/>
      <c r="M141" s="3"/>
      <c r="N141" s="3"/>
      <c r="O141" s="52"/>
      <c r="P141" s="3"/>
    </row>
    <row r="142" spans="2:16" ht="15.75" customHeight="1">
      <c r="B142" s="28"/>
      <c r="C142" s="3"/>
      <c r="E142" s="35"/>
      <c r="F142" s="28"/>
      <c r="G142" s="28"/>
      <c r="H142" s="29"/>
      <c r="I142" s="14"/>
      <c r="K142" s="3"/>
      <c r="M142" s="3"/>
      <c r="N142" s="3"/>
      <c r="O142" s="52"/>
      <c r="P142" s="3"/>
    </row>
    <row r="143" spans="2:16" ht="15.75" customHeight="1">
      <c r="B143" s="28"/>
      <c r="C143" s="3"/>
      <c r="E143" s="35"/>
      <c r="F143" s="28"/>
      <c r="G143" s="28"/>
      <c r="H143" s="29"/>
      <c r="I143" s="14"/>
      <c r="K143" s="3"/>
      <c r="M143" s="3"/>
      <c r="N143" s="3"/>
      <c r="O143" s="52"/>
      <c r="P143" s="3"/>
    </row>
    <row r="144" spans="2:16" ht="15.75" customHeight="1">
      <c r="B144" s="28"/>
      <c r="C144" s="3"/>
      <c r="E144" s="35"/>
      <c r="F144" s="28"/>
      <c r="G144" s="28"/>
      <c r="H144" s="29"/>
      <c r="I144" s="14"/>
      <c r="K144" s="3"/>
      <c r="M144" s="3"/>
      <c r="N144" s="3"/>
      <c r="O144" s="52"/>
      <c r="P144" s="3"/>
    </row>
    <row r="145" spans="2:16" ht="15.75" customHeight="1">
      <c r="B145" s="28"/>
      <c r="C145" s="3"/>
      <c r="E145" s="35"/>
      <c r="F145" s="28"/>
      <c r="G145" s="28"/>
      <c r="H145" s="29"/>
      <c r="I145" s="14"/>
      <c r="K145" s="3"/>
      <c r="M145" s="3"/>
      <c r="N145" s="3"/>
      <c r="O145" s="52"/>
      <c r="P145" s="3"/>
    </row>
    <row r="146" spans="2:16" ht="15.75" customHeight="1">
      <c r="B146" s="28"/>
      <c r="C146" s="3"/>
      <c r="E146" s="35"/>
      <c r="F146" s="28"/>
      <c r="G146" s="28"/>
      <c r="H146" s="29"/>
      <c r="I146" s="14"/>
      <c r="K146" s="3"/>
      <c r="M146" s="3"/>
      <c r="N146" s="3"/>
      <c r="O146" s="52"/>
      <c r="P146" s="3"/>
    </row>
    <row r="147" spans="2:16" ht="15.75" customHeight="1">
      <c r="B147" s="28"/>
      <c r="C147" s="3"/>
      <c r="E147" s="35"/>
      <c r="F147" s="28"/>
      <c r="G147" s="28"/>
      <c r="H147" s="29"/>
      <c r="I147" s="14"/>
      <c r="K147" s="3"/>
      <c r="M147" s="3"/>
      <c r="N147" s="3"/>
      <c r="O147" s="52"/>
      <c r="P147" s="3"/>
    </row>
    <row r="148" spans="2:16" ht="15.75" customHeight="1">
      <c r="B148" s="28"/>
      <c r="C148" s="3"/>
      <c r="E148" s="35"/>
      <c r="F148" s="28"/>
      <c r="G148" s="28"/>
      <c r="H148" s="29"/>
      <c r="I148" s="14"/>
      <c r="K148" s="3"/>
      <c r="M148" s="3"/>
      <c r="N148" s="3"/>
      <c r="O148" s="52"/>
      <c r="P148" s="3"/>
    </row>
    <row r="149" spans="2:16" ht="15.75" customHeight="1">
      <c r="B149" s="28"/>
      <c r="C149" s="3"/>
      <c r="E149" s="35"/>
      <c r="F149" s="28"/>
      <c r="G149" s="28"/>
      <c r="H149" s="29"/>
      <c r="I149" s="14"/>
      <c r="K149" s="3"/>
      <c r="M149" s="3"/>
      <c r="N149" s="3"/>
      <c r="O149" s="52"/>
      <c r="P149" s="3"/>
    </row>
    <row r="150" spans="2:16" ht="15.75" customHeight="1">
      <c r="B150" s="28"/>
      <c r="C150" s="3"/>
      <c r="E150" s="35"/>
      <c r="F150" s="28"/>
      <c r="G150" s="28"/>
      <c r="H150" s="29"/>
      <c r="I150" s="14"/>
      <c r="K150" s="3"/>
      <c r="M150" s="3"/>
      <c r="N150" s="3"/>
      <c r="O150" s="52"/>
      <c r="P150" s="3"/>
    </row>
    <row r="151" spans="2:16" ht="15.75" customHeight="1">
      <c r="B151" s="28"/>
      <c r="C151" s="3"/>
      <c r="E151" s="35"/>
      <c r="F151" s="28"/>
      <c r="G151" s="28"/>
      <c r="H151" s="29"/>
      <c r="I151" s="14"/>
      <c r="K151" s="3"/>
      <c r="M151" s="3"/>
      <c r="N151" s="3"/>
      <c r="O151" s="52"/>
      <c r="P151" s="3"/>
    </row>
    <row r="152" spans="2:16" ht="15.75" customHeight="1">
      <c r="B152" s="28"/>
      <c r="C152" s="3"/>
      <c r="E152" s="35"/>
      <c r="F152" s="28"/>
      <c r="G152" s="28"/>
      <c r="H152" s="29"/>
      <c r="I152" s="14"/>
      <c r="K152" s="3"/>
      <c r="M152" s="3"/>
      <c r="N152" s="3"/>
      <c r="O152" s="52"/>
      <c r="P152" s="3"/>
    </row>
    <row r="153" spans="2:16" ht="15.75" customHeight="1">
      <c r="B153" s="28"/>
      <c r="C153" s="3"/>
      <c r="E153" s="35"/>
      <c r="F153" s="28"/>
      <c r="G153" s="28"/>
      <c r="H153" s="29"/>
      <c r="I153" s="14"/>
      <c r="K153" s="3"/>
      <c r="M153" s="3"/>
      <c r="N153" s="3"/>
      <c r="O153" s="52"/>
      <c r="P153" s="3"/>
    </row>
    <row r="154" spans="2:16" ht="15.75" customHeight="1">
      <c r="B154" s="28"/>
      <c r="C154" s="3"/>
      <c r="E154" s="35"/>
      <c r="F154" s="28"/>
      <c r="G154" s="28"/>
      <c r="H154" s="29"/>
      <c r="I154" s="14"/>
      <c r="K154" s="3"/>
      <c r="M154" s="3"/>
      <c r="N154" s="3"/>
      <c r="O154" s="52"/>
      <c r="P154" s="3"/>
    </row>
    <row r="155" spans="2:16" ht="15.75" customHeight="1">
      <c r="B155" s="28"/>
      <c r="C155" s="3"/>
      <c r="E155" s="35"/>
      <c r="F155" s="28"/>
      <c r="G155" s="28"/>
      <c r="H155" s="29"/>
      <c r="I155" s="14"/>
      <c r="K155" s="3"/>
      <c r="M155" s="3"/>
      <c r="N155" s="3"/>
      <c r="O155" s="52"/>
      <c r="P155" s="3"/>
    </row>
    <row r="156" spans="2:16" ht="15.75" customHeight="1">
      <c r="B156" s="28"/>
      <c r="C156" s="3"/>
      <c r="E156" s="35"/>
      <c r="F156" s="28"/>
      <c r="G156" s="28"/>
      <c r="H156" s="29"/>
      <c r="I156" s="14"/>
      <c r="K156" s="3"/>
      <c r="M156" s="3"/>
      <c r="N156" s="3"/>
      <c r="O156" s="52"/>
      <c r="P156" s="3"/>
    </row>
    <row r="157" spans="2:16" ht="15.75" customHeight="1">
      <c r="B157" s="28"/>
      <c r="C157" s="3"/>
      <c r="E157" s="35"/>
      <c r="F157" s="28"/>
      <c r="G157" s="28"/>
      <c r="H157" s="29"/>
      <c r="I157" s="14"/>
      <c r="K157" s="3"/>
      <c r="M157" s="3"/>
      <c r="N157" s="3"/>
      <c r="O157" s="52"/>
      <c r="P157" s="3"/>
    </row>
    <row r="158" spans="2:16" ht="15.75" customHeight="1">
      <c r="B158" s="28"/>
      <c r="C158" s="3"/>
      <c r="E158" s="35"/>
      <c r="F158" s="28"/>
      <c r="G158" s="28"/>
      <c r="H158" s="29"/>
      <c r="I158" s="14"/>
      <c r="K158" s="3"/>
      <c r="M158" s="3"/>
      <c r="N158" s="3"/>
      <c r="O158" s="52"/>
      <c r="P158" s="3"/>
    </row>
    <row r="159" spans="2:16" ht="15.75" customHeight="1">
      <c r="B159" s="28"/>
      <c r="C159" s="3"/>
      <c r="E159" s="35"/>
      <c r="F159" s="28"/>
      <c r="G159" s="28"/>
      <c r="H159" s="29"/>
      <c r="I159" s="14"/>
      <c r="K159" s="3"/>
      <c r="M159" s="3"/>
      <c r="N159" s="3"/>
      <c r="O159" s="52"/>
      <c r="P159" s="3"/>
    </row>
    <row r="160" spans="2:16" ht="15.75" customHeight="1">
      <c r="B160" s="28"/>
      <c r="C160" s="3"/>
      <c r="E160" s="35"/>
      <c r="F160" s="28"/>
      <c r="G160" s="28"/>
      <c r="H160" s="29"/>
      <c r="I160" s="14"/>
      <c r="K160" s="3"/>
      <c r="M160" s="3"/>
      <c r="N160" s="3"/>
      <c r="O160" s="52"/>
      <c r="P160" s="3"/>
    </row>
    <row r="161" spans="2:16" ht="15.75" customHeight="1">
      <c r="B161" s="28"/>
      <c r="C161" s="3"/>
      <c r="E161" s="35"/>
      <c r="F161" s="28"/>
      <c r="G161" s="28"/>
      <c r="H161" s="29"/>
      <c r="I161" s="14"/>
      <c r="K161" s="3"/>
      <c r="M161" s="3"/>
      <c r="N161" s="3"/>
      <c r="O161" s="52"/>
      <c r="P161" s="3"/>
    </row>
    <row r="162" spans="2:16" ht="15.75" customHeight="1">
      <c r="B162" s="28"/>
      <c r="C162" s="3"/>
      <c r="E162" s="35"/>
      <c r="F162" s="28"/>
      <c r="G162" s="28"/>
      <c r="H162" s="29"/>
      <c r="I162" s="14"/>
      <c r="K162" s="3"/>
      <c r="M162" s="3"/>
      <c r="N162" s="3"/>
      <c r="O162" s="52"/>
      <c r="P162" s="3"/>
    </row>
    <row r="163" spans="2:16" ht="15.75" customHeight="1">
      <c r="B163" s="28"/>
      <c r="C163" s="3"/>
      <c r="E163" s="35"/>
      <c r="F163" s="28"/>
      <c r="G163" s="28"/>
      <c r="H163" s="29"/>
      <c r="I163" s="14"/>
      <c r="K163" s="3"/>
      <c r="M163" s="3"/>
      <c r="N163" s="3"/>
      <c r="O163" s="52"/>
      <c r="P163" s="3"/>
    </row>
    <row r="164" spans="2:16" ht="15.75" customHeight="1">
      <c r="B164" s="28"/>
      <c r="C164" s="3"/>
      <c r="E164" s="35"/>
      <c r="F164" s="28"/>
      <c r="G164" s="28"/>
      <c r="H164" s="29"/>
      <c r="I164" s="14"/>
      <c r="K164" s="3"/>
      <c r="M164" s="3"/>
      <c r="N164" s="3"/>
      <c r="O164" s="52"/>
      <c r="P164" s="3"/>
    </row>
    <row r="165" spans="2:16" ht="15.75" customHeight="1">
      <c r="B165" s="28"/>
      <c r="C165" s="3"/>
      <c r="E165" s="35"/>
      <c r="F165" s="28"/>
      <c r="G165" s="28"/>
      <c r="H165" s="29"/>
      <c r="I165" s="14"/>
      <c r="K165" s="3"/>
      <c r="M165" s="3"/>
      <c r="N165" s="3"/>
      <c r="O165" s="52"/>
      <c r="P165" s="3"/>
    </row>
    <row r="166" spans="2:16" ht="15.75" customHeight="1">
      <c r="B166" s="28"/>
      <c r="C166" s="3"/>
      <c r="E166" s="35"/>
      <c r="F166" s="28"/>
      <c r="G166" s="28"/>
      <c r="H166" s="29"/>
      <c r="I166" s="14"/>
      <c r="K166" s="3"/>
      <c r="M166" s="3"/>
      <c r="N166" s="3"/>
      <c r="O166" s="52"/>
      <c r="P166" s="3"/>
    </row>
    <row r="167" spans="2:16" ht="15.75" customHeight="1">
      <c r="B167" s="28"/>
      <c r="C167" s="3"/>
      <c r="E167" s="35"/>
      <c r="F167" s="28"/>
      <c r="G167" s="28"/>
      <c r="H167" s="29"/>
      <c r="I167" s="14"/>
      <c r="K167" s="3"/>
      <c r="M167" s="3"/>
      <c r="N167" s="3"/>
      <c r="O167" s="52"/>
      <c r="P167" s="3"/>
    </row>
    <row r="168" spans="2:16" ht="15.75" customHeight="1">
      <c r="B168" s="28"/>
      <c r="C168" s="3"/>
      <c r="E168" s="35"/>
      <c r="F168" s="28"/>
      <c r="G168" s="28"/>
      <c r="H168" s="29"/>
      <c r="I168" s="14"/>
      <c r="K168" s="3"/>
      <c r="M168" s="3"/>
      <c r="N168" s="3"/>
      <c r="O168" s="52"/>
      <c r="P168" s="3"/>
    </row>
    <row r="169" spans="2:16" ht="15.75" customHeight="1">
      <c r="B169" s="28"/>
      <c r="C169" s="3"/>
      <c r="E169" s="35"/>
      <c r="F169" s="28"/>
      <c r="G169" s="28"/>
      <c r="H169" s="29"/>
      <c r="I169" s="14"/>
      <c r="K169" s="3"/>
      <c r="M169" s="3"/>
      <c r="N169" s="3"/>
      <c r="O169" s="52"/>
      <c r="P169" s="3"/>
    </row>
    <row r="170" spans="2:16" ht="15.75" customHeight="1">
      <c r="B170" s="28"/>
      <c r="C170" s="3"/>
      <c r="E170" s="35"/>
      <c r="F170" s="28"/>
      <c r="G170" s="28"/>
      <c r="H170" s="29"/>
      <c r="I170" s="14"/>
      <c r="K170" s="3"/>
      <c r="M170" s="3"/>
      <c r="N170" s="3"/>
      <c r="O170" s="52"/>
      <c r="P170" s="3"/>
    </row>
    <row r="171" spans="2:16" ht="15.75" customHeight="1">
      <c r="B171" s="28"/>
      <c r="C171" s="3"/>
      <c r="E171" s="35"/>
      <c r="F171" s="28"/>
      <c r="G171" s="28"/>
      <c r="H171" s="29"/>
      <c r="I171" s="14"/>
      <c r="K171" s="3"/>
      <c r="M171" s="3"/>
      <c r="N171" s="3"/>
      <c r="O171" s="52"/>
      <c r="P171" s="3"/>
    </row>
    <row r="172" spans="2:16" ht="15.75" customHeight="1">
      <c r="B172" s="28"/>
      <c r="C172" s="3"/>
      <c r="E172" s="35"/>
      <c r="F172" s="28"/>
      <c r="G172" s="28"/>
      <c r="H172" s="29"/>
      <c r="I172" s="14"/>
      <c r="K172" s="3"/>
      <c r="M172" s="3"/>
      <c r="N172" s="3"/>
      <c r="O172" s="52"/>
      <c r="P172" s="3"/>
    </row>
    <row r="173" spans="2:16" ht="15.75" customHeight="1">
      <c r="B173" s="28"/>
      <c r="C173" s="3"/>
      <c r="E173" s="35"/>
      <c r="F173" s="28"/>
      <c r="G173" s="28"/>
      <c r="H173" s="29"/>
      <c r="I173" s="14"/>
      <c r="K173" s="3"/>
      <c r="M173" s="3"/>
      <c r="N173" s="3"/>
      <c r="O173" s="52"/>
      <c r="P173" s="3"/>
    </row>
    <row r="174" spans="2:16" ht="15.75" customHeight="1">
      <c r="B174" s="28"/>
      <c r="C174" s="3"/>
      <c r="E174" s="35"/>
      <c r="F174" s="28"/>
      <c r="G174" s="28"/>
      <c r="H174" s="29"/>
      <c r="I174" s="14"/>
      <c r="K174" s="3"/>
      <c r="M174" s="3"/>
      <c r="N174" s="3"/>
      <c r="O174" s="52"/>
      <c r="P174" s="3"/>
    </row>
    <row r="175" spans="2:16" ht="15.75" customHeight="1">
      <c r="B175" s="28"/>
      <c r="C175" s="3"/>
      <c r="E175" s="35"/>
      <c r="F175" s="28"/>
      <c r="G175" s="28"/>
      <c r="H175" s="29"/>
      <c r="I175" s="14"/>
      <c r="K175" s="3"/>
      <c r="M175" s="3"/>
      <c r="N175" s="3"/>
      <c r="O175" s="52"/>
      <c r="P175" s="3"/>
    </row>
    <row r="176" spans="2:16" ht="15.75" customHeight="1">
      <c r="B176" s="28"/>
      <c r="C176" s="3"/>
      <c r="E176" s="35"/>
      <c r="F176" s="28"/>
      <c r="G176" s="28"/>
      <c r="H176" s="29"/>
      <c r="I176" s="14"/>
      <c r="K176" s="3"/>
      <c r="M176" s="3"/>
      <c r="N176" s="3"/>
      <c r="O176" s="52"/>
      <c r="P176" s="3"/>
    </row>
    <row r="177" spans="2:16" ht="15.75" customHeight="1">
      <c r="B177" s="28"/>
      <c r="C177" s="3"/>
      <c r="E177" s="35"/>
      <c r="F177" s="28"/>
      <c r="G177" s="28"/>
      <c r="H177" s="29"/>
      <c r="I177" s="14"/>
      <c r="K177" s="3"/>
      <c r="M177" s="3"/>
      <c r="N177" s="3"/>
      <c r="O177" s="52"/>
      <c r="P177" s="3"/>
    </row>
    <row r="178" spans="2:16" ht="15.75" customHeight="1">
      <c r="B178" s="28"/>
      <c r="C178" s="3"/>
      <c r="E178" s="35"/>
      <c r="F178" s="28"/>
      <c r="G178" s="28"/>
      <c r="H178" s="29"/>
      <c r="I178" s="14"/>
      <c r="K178" s="3"/>
      <c r="M178" s="3"/>
      <c r="N178" s="3"/>
      <c r="O178" s="52"/>
      <c r="P178" s="3"/>
    </row>
    <row r="179" spans="2:16" ht="15.75" customHeight="1">
      <c r="B179" s="28"/>
      <c r="C179" s="3"/>
      <c r="E179" s="35"/>
      <c r="F179" s="28"/>
      <c r="G179" s="28"/>
      <c r="H179" s="29"/>
      <c r="I179" s="14"/>
      <c r="K179" s="3"/>
      <c r="M179" s="3"/>
      <c r="N179" s="3"/>
      <c r="O179" s="52"/>
      <c r="P179" s="3"/>
    </row>
    <row r="180" spans="2:16" ht="15.75" customHeight="1">
      <c r="B180" s="28"/>
      <c r="C180" s="3"/>
      <c r="E180" s="35"/>
      <c r="F180" s="28"/>
      <c r="G180" s="28"/>
      <c r="H180" s="29"/>
      <c r="I180" s="14"/>
      <c r="K180" s="3"/>
      <c r="M180" s="3"/>
      <c r="N180" s="3"/>
      <c r="O180" s="52"/>
      <c r="P180" s="3"/>
    </row>
    <row r="181" spans="2:16" ht="15.75" customHeight="1">
      <c r="B181" s="28"/>
      <c r="C181" s="3"/>
      <c r="E181" s="35"/>
      <c r="F181" s="28"/>
      <c r="G181" s="28"/>
      <c r="H181" s="29"/>
      <c r="I181" s="14"/>
      <c r="K181" s="3"/>
      <c r="M181" s="3"/>
      <c r="N181" s="3"/>
      <c r="O181" s="52"/>
      <c r="P181" s="3"/>
    </row>
    <row r="182" spans="2:16" ht="15.75" customHeight="1">
      <c r="B182" s="28"/>
      <c r="C182" s="3"/>
      <c r="E182" s="35"/>
      <c r="F182" s="28"/>
      <c r="G182" s="28"/>
      <c r="H182" s="29"/>
      <c r="I182" s="14"/>
      <c r="K182" s="3"/>
      <c r="M182" s="3"/>
      <c r="N182" s="3"/>
      <c r="O182" s="52"/>
      <c r="P182" s="3"/>
    </row>
    <row r="183" spans="2:16" ht="15.75" customHeight="1">
      <c r="B183" s="28"/>
      <c r="C183" s="3"/>
      <c r="E183" s="35"/>
      <c r="F183" s="28"/>
      <c r="G183" s="28"/>
      <c r="H183" s="29"/>
      <c r="I183" s="14"/>
      <c r="K183" s="3"/>
      <c r="M183" s="3"/>
      <c r="N183" s="3"/>
      <c r="O183" s="52"/>
      <c r="P183" s="3"/>
    </row>
    <row r="184" spans="2:16" ht="15.75" customHeight="1">
      <c r="B184" s="28"/>
      <c r="C184" s="3"/>
      <c r="E184" s="35"/>
      <c r="F184" s="28"/>
      <c r="G184" s="28"/>
      <c r="H184" s="29"/>
      <c r="I184" s="14"/>
      <c r="K184" s="3"/>
      <c r="M184" s="3"/>
      <c r="N184" s="3"/>
      <c r="O184" s="52"/>
      <c r="P184" s="3"/>
    </row>
    <row r="185" spans="2:16" ht="15.75" customHeight="1">
      <c r="B185" s="28"/>
      <c r="C185" s="3"/>
      <c r="E185" s="35"/>
      <c r="F185" s="28"/>
      <c r="G185" s="28"/>
      <c r="H185" s="29"/>
      <c r="I185" s="14"/>
      <c r="K185" s="3"/>
      <c r="M185" s="3"/>
      <c r="N185" s="3"/>
      <c r="O185" s="52"/>
      <c r="P185" s="3"/>
    </row>
    <row r="186" spans="2:16" ht="15.75" customHeight="1">
      <c r="B186" s="28"/>
      <c r="C186" s="3"/>
      <c r="E186" s="35"/>
      <c r="F186" s="28"/>
      <c r="G186" s="28"/>
      <c r="H186" s="29"/>
      <c r="I186" s="14"/>
      <c r="K186" s="3"/>
      <c r="M186" s="3"/>
      <c r="N186" s="3"/>
      <c r="O186" s="52"/>
      <c r="P186" s="3"/>
    </row>
    <row r="187" spans="2:16" ht="15.75" customHeight="1">
      <c r="B187" s="28"/>
      <c r="C187" s="3"/>
      <c r="E187" s="35"/>
      <c r="F187" s="28"/>
      <c r="G187" s="28"/>
      <c r="H187" s="29"/>
      <c r="I187" s="14"/>
      <c r="K187" s="3"/>
      <c r="M187" s="3"/>
      <c r="N187" s="3"/>
      <c r="O187" s="52"/>
      <c r="P187" s="3"/>
    </row>
    <row r="188" spans="2:16" ht="15.75" customHeight="1">
      <c r="B188" s="28"/>
      <c r="C188" s="3"/>
      <c r="E188" s="35"/>
      <c r="F188" s="28"/>
      <c r="G188" s="28"/>
      <c r="H188" s="29"/>
      <c r="I188" s="14"/>
      <c r="K188" s="3"/>
      <c r="M188" s="3"/>
      <c r="N188" s="3"/>
      <c r="O188" s="52"/>
      <c r="P188" s="3"/>
    </row>
    <row r="189" spans="2:16" ht="15.75" customHeight="1">
      <c r="B189" s="28"/>
      <c r="C189" s="3"/>
      <c r="E189" s="35"/>
      <c r="F189" s="28"/>
      <c r="G189" s="28"/>
      <c r="H189" s="29"/>
      <c r="I189" s="14"/>
      <c r="K189" s="3"/>
      <c r="M189" s="3"/>
      <c r="N189" s="3"/>
      <c r="O189" s="52"/>
      <c r="P189" s="3"/>
    </row>
    <row r="190" spans="2:16" ht="15.75" customHeight="1">
      <c r="B190" s="28"/>
      <c r="C190" s="3"/>
      <c r="E190" s="35"/>
      <c r="F190" s="28"/>
      <c r="G190" s="28"/>
      <c r="H190" s="29"/>
      <c r="I190" s="14"/>
      <c r="K190" s="3"/>
      <c r="M190" s="3"/>
      <c r="N190" s="3"/>
      <c r="O190" s="52"/>
      <c r="P190" s="3"/>
    </row>
    <row r="191" spans="2:16" ht="15.75" customHeight="1">
      <c r="B191" s="28"/>
      <c r="C191" s="3"/>
      <c r="E191" s="35"/>
      <c r="F191" s="28"/>
      <c r="G191" s="28"/>
      <c r="H191" s="29"/>
      <c r="I191" s="14"/>
      <c r="K191" s="3"/>
      <c r="M191" s="3"/>
      <c r="N191" s="3"/>
      <c r="O191" s="52"/>
      <c r="P191" s="3"/>
    </row>
    <row r="192" spans="2:16" ht="15.75" customHeight="1">
      <c r="B192" s="28"/>
      <c r="C192" s="3"/>
      <c r="E192" s="35"/>
      <c r="F192" s="28"/>
      <c r="G192" s="28"/>
      <c r="H192" s="29"/>
      <c r="I192" s="14"/>
      <c r="K192" s="3"/>
      <c r="M192" s="3"/>
      <c r="N192" s="3"/>
      <c r="O192" s="52"/>
      <c r="P192" s="3"/>
    </row>
    <row r="193" spans="2:16" ht="15.75" customHeight="1">
      <c r="B193" s="28"/>
      <c r="C193" s="3"/>
      <c r="E193" s="35"/>
      <c r="F193" s="28"/>
      <c r="G193" s="28"/>
      <c r="H193" s="29"/>
      <c r="I193" s="14"/>
      <c r="K193" s="3"/>
      <c r="M193" s="3"/>
      <c r="N193" s="3"/>
      <c r="O193" s="52"/>
      <c r="P193" s="3"/>
    </row>
    <row r="194" spans="2:16" ht="15.75" customHeight="1">
      <c r="B194" s="28"/>
      <c r="C194" s="3"/>
      <c r="E194" s="35"/>
      <c r="F194" s="28"/>
      <c r="G194" s="28"/>
      <c r="H194" s="29"/>
      <c r="I194" s="14"/>
      <c r="K194" s="3"/>
      <c r="M194" s="3"/>
      <c r="N194" s="3"/>
      <c r="O194" s="52"/>
      <c r="P194" s="3"/>
    </row>
    <row r="195" spans="2:16" ht="15.75" customHeight="1">
      <c r="B195" s="28"/>
      <c r="C195" s="3"/>
      <c r="E195" s="35"/>
      <c r="F195" s="28"/>
      <c r="G195" s="28"/>
      <c r="H195" s="29"/>
      <c r="I195" s="14"/>
      <c r="K195" s="3"/>
      <c r="M195" s="3"/>
      <c r="N195" s="3"/>
      <c r="O195" s="52"/>
      <c r="P195" s="3"/>
    </row>
    <row r="196" spans="2:16" ht="15.75" customHeight="1">
      <c r="B196" s="28"/>
      <c r="C196" s="3"/>
      <c r="E196" s="35"/>
      <c r="F196" s="28"/>
      <c r="G196" s="28"/>
      <c r="H196" s="29"/>
      <c r="I196" s="14"/>
      <c r="K196" s="3"/>
      <c r="M196" s="3"/>
      <c r="N196" s="3"/>
      <c r="O196" s="52"/>
      <c r="P196" s="3"/>
    </row>
    <row r="197" spans="2:16" ht="15.75" customHeight="1">
      <c r="B197" s="28"/>
      <c r="C197" s="3"/>
      <c r="E197" s="35"/>
      <c r="F197" s="28"/>
      <c r="G197" s="28"/>
      <c r="H197" s="29"/>
      <c r="I197" s="14"/>
      <c r="K197" s="3"/>
      <c r="M197" s="3"/>
      <c r="N197" s="3"/>
      <c r="O197" s="52"/>
      <c r="P197" s="3"/>
    </row>
    <row r="198" spans="2:16" ht="15.75" customHeight="1">
      <c r="B198" s="28"/>
      <c r="C198" s="3"/>
      <c r="E198" s="35"/>
      <c r="F198" s="28"/>
      <c r="G198" s="28"/>
      <c r="H198" s="29"/>
      <c r="I198" s="14"/>
      <c r="K198" s="3"/>
      <c r="M198" s="3"/>
      <c r="N198" s="3"/>
      <c r="O198" s="52"/>
      <c r="P198" s="3"/>
    </row>
    <row r="199" spans="2:16" ht="15.75" customHeight="1">
      <c r="B199" s="28"/>
      <c r="C199" s="3"/>
      <c r="E199" s="35"/>
      <c r="F199" s="28"/>
      <c r="G199" s="28"/>
      <c r="H199" s="29"/>
      <c r="I199" s="14"/>
      <c r="K199" s="3"/>
      <c r="M199" s="3"/>
      <c r="N199" s="3"/>
      <c r="O199" s="52"/>
      <c r="P199" s="3"/>
    </row>
    <row r="200" spans="2:16" ht="15.75" customHeight="1">
      <c r="B200" s="28"/>
      <c r="C200" s="3"/>
      <c r="E200" s="35"/>
      <c r="F200" s="28"/>
      <c r="G200" s="28"/>
      <c r="H200" s="29"/>
      <c r="I200" s="14"/>
      <c r="K200" s="3"/>
      <c r="M200" s="3"/>
      <c r="N200" s="3"/>
      <c r="O200" s="52"/>
      <c r="P200" s="3"/>
    </row>
    <row r="201" spans="2:16" ht="15.75" customHeight="1">
      <c r="B201" s="28"/>
      <c r="C201" s="3"/>
      <c r="E201" s="35"/>
      <c r="F201" s="28"/>
      <c r="G201" s="28"/>
      <c r="H201" s="29"/>
      <c r="I201" s="14"/>
      <c r="K201" s="3"/>
      <c r="M201" s="3"/>
      <c r="N201" s="3"/>
      <c r="O201" s="52"/>
      <c r="P201" s="3"/>
    </row>
    <row r="202" spans="2:16" ht="15.75" customHeight="1">
      <c r="B202" s="28"/>
      <c r="C202" s="3"/>
      <c r="E202" s="35"/>
      <c r="F202" s="28"/>
      <c r="G202" s="28"/>
      <c r="H202" s="29"/>
      <c r="I202" s="14"/>
      <c r="K202" s="3"/>
      <c r="M202" s="3"/>
      <c r="N202" s="3"/>
      <c r="O202" s="52"/>
      <c r="P202" s="3"/>
    </row>
    <row r="203" spans="2:16" ht="15.75" customHeight="1">
      <c r="B203" s="28"/>
      <c r="C203" s="3"/>
      <c r="E203" s="35"/>
      <c r="F203" s="28"/>
      <c r="G203" s="28"/>
      <c r="H203" s="29"/>
      <c r="I203" s="14"/>
      <c r="K203" s="3"/>
      <c r="M203" s="3"/>
      <c r="N203" s="3"/>
      <c r="O203" s="52"/>
      <c r="P203" s="3"/>
    </row>
    <row r="204" spans="2:16" ht="15.75" customHeight="1">
      <c r="B204" s="28"/>
      <c r="C204" s="3"/>
      <c r="E204" s="35"/>
      <c r="F204" s="28"/>
      <c r="G204" s="28"/>
      <c r="H204" s="29"/>
      <c r="I204" s="14"/>
      <c r="K204" s="3"/>
      <c r="M204" s="3"/>
      <c r="N204" s="3"/>
      <c r="O204" s="52"/>
      <c r="P204" s="3"/>
    </row>
    <row r="205" spans="2:16" ht="15.75" customHeight="1">
      <c r="B205" s="28"/>
      <c r="C205" s="3"/>
      <c r="E205" s="35"/>
      <c r="F205" s="28"/>
      <c r="G205" s="28"/>
      <c r="H205" s="29"/>
      <c r="I205" s="14"/>
      <c r="K205" s="3"/>
      <c r="M205" s="3"/>
      <c r="N205" s="3"/>
      <c r="O205" s="52"/>
      <c r="P205" s="3"/>
    </row>
    <row r="206" spans="2:16" ht="15.75" customHeight="1">
      <c r="B206" s="28"/>
      <c r="C206" s="3"/>
      <c r="E206" s="35"/>
      <c r="F206" s="28"/>
      <c r="G206" s="28"/>
      <c r="H206" s="29"/>
      <c r="I206" s="14"/>
      <c r="K206" s="3"/>
      <c r="M206" s="3"/>
      <c r="N206" s="3"/>
      <c r="O206" s="52"/>
      <c r="P206" s="3"/>
    </row>
    <row r="207" spans="2:16" ht="15.75" customHeight="1">
      <c r="B207" s="28"/>
      <c r="C207" s="3"/>
      <c r="E207" s="35"/>
      <c r="F207" s="28"/>
      <c r="G207" s="28"/>
      <c r="H207" s="29"/>
      <c r="I207" s="14"/>
      <c r="K207" s="3"/>
      <c r="M207" s="3"/>
      <c r="N207" s="3"/>
      <c r="O207" s="52"/>
      <c r="P207" s="3"/>
    </row>
    <row r="208" spans="2:16" ht="15.75" customHeight="1">
      <c r="B208" s="28"/>
      <c r="C208" s="3"/>
      <c r="E208" s="35"/>
      <c r="F208" s="28"/>
      <c r="G208" s="28"/>
      <c r="H208" s="29"/>
      <c r="I208" s="14"/>
      <c r="K208" s="3"/>
      <c r="M208" s="3"/>
      <c r="N208" s="3"/>
      <c r="O208" s="52"/>
      <c r="P208" s="3"/>
    </row>
    <row r="209" spans="2:16" ht="15.75" customHeight="1">
      <c r="B209" s="28"/>
      <c r="C209" s="3"/>
      <c r="E209" s="35"/>
      <c r="F209" s="28"/>
      <c r="G209" s="28"/>
      <c r="H209" s="29"/>
      <c r="I209" s="14"/>
      <c r="K209" s="3"/>
      <c r="M209" s="3"/>
      <c r="N209" s="3"/>
      <c r="O209" s="52"/>
      <c r="P209" s="3"/>
    </row>
    <row r="210" spans="2:16" ht="15.75" customHeight="1">
      <c r="B210" s="28"/>
      <c r="C210" s="3"/>
      <c r="E210" s="35"/>
      <c r="F210" s="28"/>
      <c r="G210" s="28"/>
      <c r="H210" s="29"/>
      <c r="I210" s="14"/>
      <c r="K210" s="3"/>
      <c r="M210" s="3"/>
      <c r="N210" s="3"/>
      <c r="O210" s="52"/>
      <c r="P210" s="3"/>
    </row>
    <row r="211" spans="2:16" ht="15.75" customHeight="1">
      <c r="B211" s="28"/>
      <c r="C211" s="3"/>
      <c r="E211" s="35"/>
      <c r="F211" s="28"/>
      <c r="G211" s="28"/>
      <c r="H211" s="29"/>
      <c r="I211" s="14"/>
      <c r="K211" s="3"/>
      <c r="M211" s="3"/>
      <c r="N211" s="3"/>
      <c r="O211" s="52"/>
      <c r="P211" s="3"/>
    </row>
    <row r="212" spans="2:16" ht="15.75" customHeight="1">
      <c r="E212" s="2"/>
      <c r="H212" s="29"/>
      <c r="I212" s="30"/>
    </row>
    <row r="213" spans="2:16" ht="15.75" customHeight="1">
      <c r="E213" s="2"/>
      <c r="H213" s="29"/>
      <c r="I213" s="30"/>
    </row>
    <row r="214" spans="2:16" ht="15.75" customHeight="1">
      <c r="E214" s="2"/>
      <c r="H214" s="29"/>
      <c r="I214" s="30"/>
    </row>
    <row r="215" spans="2:16" ht="15.75" customHeight="1">
      <c r="E215" s="2"/>
      <c r="H215" s="29"/>
      <c r="I215" s="30"/>
    </row>
    <row r="216" spans="2:16" ht="15.75" customHeight="1">
      <c r="E216" s="2"/>
      <c r="H216" s="29"/>
      <c r="I216" s="30"/>
    </row>
    <row r="217" spans="2:16" ht="15.75" customHeight="1">
      <c r="E217" s="2"/>
      <c r="H217" s="29"/>
      <c r="I217" s="30"/>
    </row>
    <row r="218" spans="2:16" ht="15.75" customHeight="1">
      <c r="E218" s="2"/>
      <c r="H218" s="29"/>
      <c r="I218" s="30"/>
    </row>
    <row r="219" spans="2:16" ht="15.75" customHeight="1">
      <c r="E219" s="2"/>
      <c r="H219" s="29"/>
      <c r="I219" s="30"/>
    </row>
    <row r="220" spans="2:16" ht="15.75" customHeight="1">
      <c r="E220" s="2"/>
      <c r="H220" s="29"/>
      <c r="I220" s="30"/>
    </row>
    <row r="221" spans="2:16" ht="15.75" customHeight="1">
      <c r="E221" s="2"/>
      <c r="H221" s="29"/>
      <c r="I221" s="30"/>
    </row>
    <row r="222" spans="2:16" ht="15.75" customHeight="1">
      <c r="E222" s="2"/>
      <c r="H222" s="29"/>
      <c r="I222" s="30"/>
    </row>
    <row r="223" spans="2:16" ht="15.75" customHeight="1">
      <c r="E223" s="2"/>
      <c r="H223" s="29"/>
      <c r="I223" s="30"/>
    </row>
    <row r="224" spans="2:16" ht="15.75" customHeight="1">
      <c r="E224" s="2"/>
      <c r="H224" s="29"/>
      <c r="I224" s="30"/>
    </row>
    <row r="225" spans="5:9" ht="15.75" customHeight="1">
      <c r="E225" s="2"/>
      <c r="H225" s="29"/>
      <c r="I225" s="30"/>
    </row>
    <row r="226" spans="5:9" ht="15.75" customHeight="1">
      <c r="E226" s="2"/>
      <c r="H226" s="29"/>
      <c r="I226" s="30"/>
    </row>
    <row r="227" spans="5:9" ht="15.75" customHeight="1">
      <c r="E227" s="2"/>
      <c r="H227" s="29"/>
      <c r="I227" s="30"/>
    </row>
    <row r="228" spans="5:9" ht="15.75" customHeight="1">
      <c r="E228" s="2"/>
      <c r="H228" s="29"/>
      <c r="I228" s="30"/>
    </row>
    <row r="229" spans="5:9" ht="15.75" customHeight="1">
      <c r="E229" s="2"/>
      <c r="H229" s="29"/>
      <c r="I229" s="30"/>
    </row>
    <row r="230" spans="5:9" ht="15.75" customHeight="1">
      <c r="E230" s="2"/>
      <c r="H230" s="29"/>
      <c r="I230" s="30"/>
    </row>
    <row r="231" spans="5:9" ht="15.75" customHeight="1">
      <c r="E231" s="2"/>
      <c r="H231" s="29"/>
      <c r="I231" s="30"/>
    </row>
    <row r="232" spans="5:9" ht="15.75" customHeight="1">
      <c r="E232" s="2"/>
      <c r="H232" s="29"/>
      <c r="I232" s="30"/>
    </row>
    <row r="233" spans="5:9" ht="15.75" customHeight="1">
      <c r="E233" s="2"/>
      <c r="H233" s="29"/>
      <c r="I233" s="30"/>
    </row>
    <row r="234" spans="5:9" ht="15.75" customHeight="1">
      <c r="E234" s="2"/>
      <c r="H234" s="29"/>
      <c r="I234" s="30"/>
    </row>
    <row r="235" spans="5:9" ht="15.75" customHeight="1">
      <c r="E235" s="2"/>
      <c r="H235" s="29"/>
      <c r="I235" s="30"/>
    </row>
    <row r="236" spans="5:9" ht="15.75" customHeight="1">
      <c r="E236" s="2"/>
      <c r="H236" s="29"/>
      <c r="I236" s="30"/>
    </row>
    <row r="237" spans="5:9" ht="15.75" customHeight="1">
      <c r="E237" s="2"/>
      <c r="H237" s="29"/>
      <c r="I237" s="30"/>
    </row>
    <row r="238" spans="5:9" ht="15.75" customHeight="1">
      <c r="E238" s="2"/>
      <c r="H238" s="29"/>
      <c r="I238" s="30"/>
    </row>
    <row r="239" spans="5:9" ht="15.75" customHeight="1">
      <c r="E239" s="2"/>
      <c r="H239" s="29"/>
      <c r="I239" s="30"/>
    </row>
    <row r="240" spans="5:9" ht="15.75" customHeight="1">
      <c r="E240" s="2"/>
      <c r="H240" s="29"/>
      <c r="I240" s="30"/>
    </row>
    <row r="241" spans="5:9" ht="15.75" customHeight="1">
      <c r="E241" s="2"/>
      <c r="H241" s="29"/>
      <c r="I241" s="30"/>
    </row>
    <row r="242" spans="5:9" ht="15.75" customHeight="1">
      <c r="E242" s="2"/>
      <c r="H242" s="29"/>
      <c r="I242" s="30"/>
    </row>
    <row r="243" spans="5:9" ht="15.75" customHeight="1">
      <c r="E243" s="2"/>
      <c r="H243" s="29"/>
      <c r="I243" s="30"/>
    </row>
    <row r="244" spans="5:9" ht="15.75" customHeight="1">
      <c r="E244" s="2"/>
      <c r="H244" s="29"/>
      <c r="I244" s="30"/>
    </row>
    <row r="245" spans="5:9" ht="15.75" customHeight="1">
      <c r="E245" s="2"/>
      <c r="H245" s="29"/>
      <c r="I245" s="30"/>
    </row>
    <row r="246" spans="5:9" ht="15.75" customHeight="1">
      <c r="E246" s="2"/>
      <c r="H246" s="29"/>
      <c r="I246" s="30"/>
    </row>
    <row r="247" spans="5:9" ht="15.75" customHeight="1">
      <c r="E247" s="2"/>
      <c r="H247" s="29"/>
      <c r="I247" s="30"/>
    </row>
    <row r="248" spans="5:9" ht="15.75" customHeight="1">
      <c r="E248" s="2"/>
      <c r="H248" s="29"/>
      <c r="I248" s="30"/>
    </row>
    <row r="249" spans="5:9" ht="15.75" customHeight="1">
      <c r="E249" s="2"/>
      <c r="H249" s="29"/>
      <c r="I249" s="30"/>
    </row>
    <row r="250" spans="5:9" ht="15.75" customHeight="1">
      <c r="E250" s="2"/>
      <c r="H250" s="29"/>
      <c r="I250" s="30"/>
    </row>
    <row r="251" spans="5:9" ht="15.75" customHeight="1">
      <c r="E251" s="2"/>
      <c r="H251" s="29"/>
      <c r="I251" s="30"/>
    </row>
    <row r="252" spans="5:9" ht="15.75" customHeight="1">
      <c r="E252" s="2"/>
      <c r="H252" s="29"/>
      <c r="I252" s="30"/>
    </row>
    <row r="253" spans="5:9" ht="15.75" customHeight="1">
      <c r="E253" s="2"/>
      <c r="H253" s="29"/>
      <c r="I253" s="30"/>
    </row>
    <row r="254" spans="5:9" ht="15.75" customHeight="1">
      <c r="E254" s="2"/>
      <c r="H254" s="29"/>
      <c r="I254" s="30"/>
    </row>
    <row r="255" spans="5:9" ht="15.75" customHeight="1">
      <c r="E255" s="2"/>
      <c r="H255" s="29"/>
      <c r="I255" s="30"/>
    </row>
    <row r="256" spans="5:9" ht="15.75" customHeight="1">
      <c r="E256" s="2"/>
      <c r="H256" s="29"/>
      <c r="I256" s="30"/>
    </row>
    <row r="257" spans="5:9" ht="15.75" customHeight="1">
      <c r="E257" s="2"/>
      <c r="H257" s="29"/>
      <c r="I257" s="30"/>
    </row>
    <row r="258" spans="5:9" ht="15.75" customHeight="1">
      <c r="E258" s="2"/>
      <c r="H258" s="29"/>
      <c r="I258" s="30"/>
    </row>
    <row r="259" spans="5:9" ht="15.75" customHeight="1">
      <c r="E259" s="2"/>
      <c r="H259" s="29"/>
      <c r="I259" s="30"/>
    </row>
    <row r="260" spans="5:9" ht="15.75" customHeight="1">
      <c r="E260" s="2"/>
      <c r="H260" s="29"/>
      <c r="I260" s="30"/>
    </row>
    <row r="261" spans="5:9" ht="15.75" customHeight="1">
      <c r="E261" s="2"/>
      <c r="H261" s="29"/>
      <c r="I261" s="30"/>
    </row>
    <row r="262" spans="5:9" ht="15.75" customHeight="1">
      <c r="E262" s="2"/>
      <c r="H262" s="29"/>
      <c r="I262" s="30"/>
    </row>
    <row r="263" spans="5:9" ht="15.75" customHeight="1">
      <c r="E263" s="2"/>
      <c r="H263" s="29"/>
      <c r="I263" s="30"/>
    </row>
    <row r="264" spans="5:9" ht="15.75" customHeight="1">
      <c r="E264" s="2"/>
      <c r="H264" s="29"/>
      <c r="I264" s="30"/>
    </row>
    <row r="265" spans="5:9" ht="15.75" customHeight="1">
      <c r="E265" s="2"/>
      <c r="H265" s="29"/>
      <c r="I265" s="30"/>
    </row>
    <row r="266" spans="5:9" ht="15.75" customHeight="1">
      <c r="E266" s="2"/>
      <c r="H266" s="29"/>
      <c r="I266" s="30"/>
    </row>
    <row r="267" spans="5:9" ht="15.75" customHeight="1">
      <c r="E267" s="2"/>
      <c r="H267" s="29"/>
      <c r="I267" s="30"/>
    </row>
    <row r="268" spans="5:9" ht="15.75" customHeight="1">
      <c r="E268" s="2"/>
      <c r="H268" s="29"/>
      <c r="I268" s="30"/>
    </row>
    <row r="269" spans="5:9" ht="15.75" customHeight="1">
      <c r="E269" s="2"/>
      <c r="H269" s="29"/>
      <c r="I269" s="30"/>
    </row>
    <row r="270" spans="5:9" ht="15.75" customHeight="1">
      <c r="E270" s="2"/>
      <c r="H270" s="29"/>
      <c r="I270" s="30"/>
    </row>
    <row r="271" spans="5:9" ht="15.75" customHeight="1">
      <c r="E271" s="2"/>
      <c r="H271" s="29"/>
      <c r="I271" s="30"/>
    </row>
    <row r="272" spans="5:9" ht="15.75" customHeight="1">
      <c r="E272" s="2"/>
      <c r="H272" s="29"/>
      <c r="I272" s="30"/>
    </row>
    <row r="273" spans="5:9" ht="15.75" customHeight="1">
      <c r="E273" s="2"/>
      <c r="H273" s="29"/>
      <c r="I273" s="30"/>
    </row>
    <row r="274" spans="5:9" ht="15.75" customHeight="1">
      <c r="E274" s="2"/>
      <c r="H274" s="29"/>
      <c r="I274" s="30"/>
    </row>
    <row r="275" spans="5:9" ht="15.75" customHeight="1">
      <c r="E275" s="2"/>
      <c r="H275" s="29"/>
      <c r="I275" s="30"/>
    </row>
    <row r="276" spans="5:9" ht="15.75" customHeight="1">
      <c r="E276" s="2"/>
      <c r="H276" s="29"/>
      <c r="I276" s="30"/>
    </row>
    <row r="277" spans="5:9" ht="15.75" customHeight="1">
      <c r="E277" s="2"/>
      <c r="H277" s="29"/>
      <c r="I277" s="30"/>
    </row>
    <row r="278" spans="5:9" ht="15.75" customHeight="1">
      <c r="E278" s="2"/>
      <c r="H278" s="29"/>
      <c r="I278" s="30"/>
    </row>
    <row r="279" spans="5:9" ht="15.75" customHeight="1">
      <c r="E279" s="2"/>
      <c r="H279" s="29"/>
      <c r="I279" s="30"/>
    </row>
    <row r="280" spans="5:9" ht="15.75" customHeight="1">
      <c r="E280" s="2"/>
      <c r="H280" s="29"/>
      <c r="I280" s="30"/>
    </row>
    <row r="281" spans="5:9" ht="15.75" customHeight="1">
      <c r="E281" s="2"/>
      <c r="H281" s="29"/>
      <c r="I281" s="30"/>
    </row>
    <row r="282" spans="5:9" ht="15.75" customHeight="1">
      <c r="E282" s="2"/>
      <c r="H282" s="29"/>
      <c r="I282" s="30"/>
    </row>
    <row r="283" spans="5:9" ht="15.75" customHeight="1">
      <c r="E283" s="2"/>
      <c r="H283" s="29"/>
      <c r="I283" s="30"/>
    </row>
    <row r="284" spans="5:9" ht="15.75" customHeight="1">
      <c r="E284" s="2"/>
      <c r="H284" s="29"/>
      <c r="I284" s="30"/>
    </row>
    <row r="285" spans="5:9" ht="15.75" customHeight="1">
      <c r="E285" s="2"/>
      <c r="H285" s="29"/>
      <c r="I285" s="30"/>
    </row>
    <row r="286" spans="5:9" ht="15.75" customHeight="1">
      <c r="E286" s="2"/>
      <c r="H286" s="29"/>
      <c r="I286" s="30"/>
    </row>
    <row r="287" spans="5:9" ht="15.75" customHeight="1">
      <c r="E287" s="2"/>
      <c r="H287" s="29"/>
      <c r="I287" s="30"/>
    </row>
    <row r="288" spans="5:9" ht="15.75" customHeight="1">
      <c r="E288" s="2"/>
      <c r="H288" s="29"/>
      <c r="I288" s="30"/>
    </row>
    <row r="289" spans="5:9" ht="15.75" customHeight="1">
      <c r="E289" s="2"/>
      <c r="H289" s="29"/>
      <c r="I289" s="30"/>
    </row>
    <row r="290" spans="5:9" ht="15.75" customHeight="1">
      <c r="E290" s="2"/>
      <c r="H290" s="29"/>
      <c r="I290" s="30"/>
    </row>
    <row r="291" spans="5:9" ht="15.75" customHeight="1">
      <c r="E291" s="2"/>
      <c r="H291" s="29"/>
      <c r="I291" s="30"/>
    </row>
    <row r="292" spans="5:9" ht="15.75" customHeight="1">
      <c r="E292" s="2"/>
      <c r="H292" s="29"/>
      <c r="I292" s="30"/>
    </row>
    <row r="293" spans="5:9" ht="15.75" customHeight="1">
      <c r="E293" s="2"/>
      <c r="H293" s="29"/>
      <c r="I293" s="30"/>
    </row>
    <row r="294" spans="5:9" ht="15.75" customHeight="1">
      <c r="E294" s="2"/>
      <c r="H294" s="29"/>
      <c r="I294" s="30"/>
    </row>
    <row r="295" spans="5:9" ht="15.75" customHeight="1">
      <c r="E295" s="2"/>
      <c r="H295" s="29"/>
      <c r="I295" s="30"/>
    </row>
    <row r="296" spans="5:9" ht="15.75" customHeight="1">
      <c r="E296" s="2"/>
      <c r="H296" s="29"/>
      <c r="I296" s="30"/>
    </row>
    <row r="297" spans="5:9" ht="15.75" customHeight="1">
      <c r="E297" s="2"/>
      <c r="H297" s="29"/>
      <c r="I297" s="30"/>
    </row>
    <row r="298" spans="5:9" ht="15.75" customHeight="1">
      <c r="E298" s="2"/>
      <c r="H298" s="29"/>
      <c r="I298" s="30"/>
    </row>
    <row r="299" spans="5:9" ht="15.75" customHeight="1">
      <c r="E299" s="2"/>
      <c r="H299" s="29"/>
      <c r="I299" s="30"/>
    </row>
    <row r="300" spans="5:9" ht="15.75" customHeight="1">
      <c r="E300" s="2"/>
      <c r="H300" s="29"/>
      <c r="I300" s="30"/>
    </row>
    <row r="301" spans="5:9" ht="15.75" customHeight="1">
      <c r="E301" s="2"/>
      <c r="H301" s="29"/>
      <c r="I301" s="30"/>
    </row>
    <row r="302" spans="5:9" ht="15.75" customHeight="1">
      <c r="E302" s="2"/>
      <c r="H302" s="29"/>
      <c r="I302" s="30"/>
    </row>
    <row r="303" spans="5:9" ht="15.75" customHeight="1">
      <c r="E303" s="2"/>
      <c r="H303" s="29"/>
      <c r="I303" s="30"/>
    </row>
    <row r="304" spans="5:9" ht="15.75" customHeight="1">
      <c r="E304" s="2"/>
      <c r="H304" s="29"/>
      <c r="I304" s="30"/>
    </row>
    <row r="305" spans="5:9" ht="15.75" customHeight="1">
      <c r="E305" s="2"/>
      <c r="H305" s="29"/>
      <c r="I305" s="30"/>
    </row>
    <row r="306" spans="5:9" ht="15.75" customHeight="1">
      <c r="E306" s="2"/>
      <c r="H306" s="29"/>
      <c r="I306" s="30"/>
    </row>
    <row r="307" spans="5:9" ht="15.75" customHeight="1">
      <c r="E307" s="2"/>
      <c r="H307" s="29"/>
      <c r="I307" s="30"/>
    </row>
    <row r="308" spans="5:9" ht="15.75" customHeight="1">
      <c r="E308" s="2"/>
      <c r="H308" s="29"/>
      <c r="I308" s="30"/>
    </row>
    <row r="309" spans="5:9" ht="15.75" customHeight="1">
      <c r="E309" s="2"/>
      <c r="H309" s="29"/>
      <c r="I309" s="30"/>
    </row>
    <row r="310" spans="5:9" ht="15.75" customHeight="1">
      <c r="E310" s="2"/>
      <c r="H310" s="29"/>
      <c r="I310" s="30"/>
    </row>
    <row r="311" spans="5:9" ht="15.75" customHeight="1">
      <c r="E311" s="2"/>
      <c r="H311" s="29"/>
      <c r="I311" s="30"/>
    </row>
    <row r="312" spans="5:9" ht="15.75" customHeight="1">
      <c r="E312" s="2"/>
      <c r="H312" s="29"/>
      <c r="I312" s="30"/>
    </row>
    <row r="313" spans="5:9" ht="15.75" customHeight="1">
      <c r="E313" s="2"/>
      <c r="H313" s="29"/>
      <c r="I313" s="30"/>
    </row>
    <row r="314" spans="5:9" ht="15.75" customHeight="1">
      <c r="E314" s="2"/>
      <c r="H314" s="29"/>
      <c r="I314" s="30"/>
    </row>
    <row r="315" spans="5:9" ht="15.75" customHeight="1">
      <c r="E315" s="2"/>
      <c r="H315" s="29"/>
      <c r="I315" s="30"/>
    </row>
    <row r="316" spans="5:9" ht="15.75" customHeight="1">
      <c r="E316" s="2"/>
      <c r="H316" s="29"/>
      <c r="I316" s="30"/>
    </row>
    <row r="317" spans="5:9" ht="15.75" customHeight="1">
      <c r="E317" s="2"/>
      <c r="H317" s="29"/>
      <c r="I317" s="30"/>
    </row>
    <row r="318" spans="5:9" ht="15.75" customHeight="1">
      <c r="E318" s="2"/>
      <c r="H318" s="29"/>
      <c r="I318" s="30"/>
    </row>
    <row r="319" spans="5:9" ht="15.75" customHeight="1">
      <c r="E319" s="2"/>
      <c r="H319" s="29"/>
      <c r="I319" s="30"/>
    </row>
    <row r="320" spans="5:9" ht="15.75" customHeight="1">
      <c r="E320" s="2"/>
      <c r="H320" s="29"/>
      <c r="I320" s="30"/>
    </row>
    <row r="321" spans="5:9" ht="15.75" customHeight="1">
      <c r="E321" s="2"/>
      <c r="H321" s="29"/>
      <c r="I321" s="30"/>
    </row>
    <row r="322" spans="5:9" ht="15.75" customHeight="1">
      <c r="E322" s="2"/>
      <c r="H322" s="29"/>
      <c r="I322" s="30"/>
    </row>
    <row r="323" spans="5:9" ht="15.75" customHeight="1">
      <c r="E323" s="2"/>
      <c r="H323" s="29"/>
      <c r="I323" s="30"/>
    </row>
    <row r="324" spans="5:9" ht="15.75" customHeight="1">
      <c r="E324" s="2"/>
      <c r="H324" s="29"/>
      <c r="I324" s="30"/>
    </row>
    <row r="325" spans="5:9" ht="15.75" customHeight="1">
      <c r="E325" s="2"/>
      <c r="H325" s="29"/>
      <c r="I325" s="30"/>
    </row>
    <row r="326" spans="5:9" ht="15.75" customHeight="1">
      <c r="E326" s="2"/>
      <c r="H326" s="29"/>
      <c r="I326" s="30"/>
    </row>
    <row r="327" spans="5:9" ht="15.75" customHeight="1">
      <c r="E327" s="2"/>
      <c r="H327" s="29"/>
      <c r="I327" s="30"/>
    </row>
    <row r="328" spans="5:9" ht="15.75" customHeight="1">
      <c r="E328" s="2"/>
      <c r="H328" s="29"/>
      <c r="I328" s="30"/>
    </row>
    <row r="329" spans="5:9" ht="15.75" customHeight="1">
      <c r="E329" s="2"/>
      <c r="H329" s="29"/>
      <c r="I329" s="30"/>
    </row>
    <row r="330" spans="5:9" ht="15.75" customHeight="1">
      <c r="E330" s="2"/>
      <c r="H330" s="29"/>
      <c r="I330" s="30"/>
    </row>
    <row r="331" spans="5:9" ht="15.75" customHeight="1">
      <c r="E331" s="2"/>
      <c r="H331" s="29"/>
      <c r="I331" s="30"/>
    </row>
    <row r="332" spans="5:9" ht="15.75" customHeight="1">
      <c r="E332" s="2"/>
      <c r="H332" s="29"/>
      <c r="I332" s="30"/>
    </row>
    <row r="333" spans="5:9" ht="15.75" customHeight="1">
      <c r="E333" s="2"/>
      <c r="H333" s="29"/>
      <c r="I333" s="30"/>
    </row>
    <row r="334" spans="5:9" ht="15.75" customHeight="1">
      <c r="E334" s="2"/>
      <c r="H334" s="29"/>
      <c r="I334" s="30"/>
    </row>
    <row r="335" spans="5:9" ht="15.75" customHeight="1">
      <c r="E335" s="2"/>
      <c r="H335" s="29"/>
      <c r="I335" s="30"/>
    </row>
    <row r="336" spans="5:9" ht="15.75" customHeight="1">
      <c r="E336" s="2"/>
      <c r="H336" s="29"/>
      <c r="I336" s="30"/>
    </row>
    <row r="337" spans="5:9" ht="15.75" customHeight="1">
      <c r="E337" s="2"/>
      <c r="H337" s="29"/>
      <c r="I337" s="30"/>
    </row>
    <row r="338" spans="5:9" ht="15.75" customHeight="1">
      <c r="E338" s="2"/>
      <c r="H338" s="29"/>
      <c r="I338" s="30"/>
    </row>
    <row r="339" spans="5:9" ht="15.75" customHeight="1">
      <c r="E339" s="2"/>
      <c r="H339" s="29"/>
      <c r="I339" s="30"/>
    </row>
    <row r="340" spans="5:9" ht="15.75" customHeight="1">
      <c r="E340" s="2"/>
      <c r="H340" s="29"/>
      <c r="I340" s="30"/>
    </row>
    <row r="341" spans="5:9" ht="15.75" customHeight="1">
      <c r="E341" s="2"/>
      <c r="H341" s="29"/>
      <c r="I341" s="30"/>
    </row>
    <row r="342" spans="5:9" ht="15.75" customHeight="1">
      <c r="E342" s="2"/>
      <c r="H342" s="29"/>
      <c r="I342" s="30"/>
    </row>
    <row r="343" spans="5:9" ht="15.75" customHeight="1">
      <c r="E343" s="2"/>
      <c r="H343" s="29"/>
      <c r="I343" s="30"/>
    </row>
    <row r="344" spans="5:9" ht="15.75" customHeight="1">
      <c r="E344" s="2"/>
      <c r="H344" s="29"/>
      <c r="I344" s="30"/>
    </row>
    <row r="345" spans="5:9" ht="15.75" customHeight="1">
      <c r="E345" s="2"/>
      <c r="H345" s="29"/>
      <c r="I345" s="30"/>
    </row>
    <row r="346" spans="5:9" ht="15.75" customHeight="1">
      <c r="E346" s="2"/>
      <c r="H346" s="29"/>
      <c r="I346" s="30"/>
    </row>
    <row r="347" spans="5:9" ht="15.75" customHeight="1">
      <c r="E347" s="2"/>
      <c r="H347" s="29"/>
      <c r="I347" s="30"/>
    </row>
    <row r="348" spans="5:9" ht="15.75" customHeight="1">
      <c r="E348" s="2"/>
      <c r="H348" s="29"/>
      <c r="I348" s="30"/>
    </row>
    <row r="349" spans="5:9" ht="15.75" customHeight="1">
      <c r="E349" s="2"/>
      <c r="H349" s="29"/>
      <c r="I349" s="30"/>
    </row>
    <row r="350" spans="5:9" ht="15.75" customHeight="1">
      <c r="E350" s="2"/>
      <c r="H350" s="29"/>
      <c r="I350" s="30"/>
    </row>
    <row r="351" spans="5:9" ht="15.75" customHeight="1">
      <c r="E351" s="2"/>
      <c r="H351" s="29"/>
      <c r="I351" s="30"/>
    </row>
    <row r="352" spans="5:9" ht="15.75" customHeight="1">
      <c r="E352" s="2"/>
      <c r="H352" s="29"/>
      <c r="I352" s="30"/>
    </row>
    <row r="353" spans="5:9" ht="15.75" customHeight="1">
      <c r="E353" s="2"/>
      <c r="H353" s="29"/>
      <c r="I353" s="30"/>
    </row>
    <row r="354" spans="5:9" ht="15.75" customHeight="1">
      <c r="E354" s="2"/>
      <c r="H354" s="29"/>
      <c r="I354" s="30"/>
    </row>
    <row r="355" spans="5:9" ht="15.75" customHeight="1">
      <c r="E355" s="2"/>
      <c r="H355" s="29"/>
      <c r="I355" s="30"/>
    </row>
    <row r="356" spans="5:9" ht="15.75" customHeight="1">
      <c r="E356" s="2"/>
      <c r="H356" s="29"/>
      <c r="I356" s="30"/>
    </row>
    <row r="357" spans="5:9" ht="15.75" customHeight="1">
      <c r="E357" s="2"/>
      <c r="H357" s="29"/>
      <c r="I357" s="30"/>
    </row>
    <row r="358" spans="5:9" ht="15.75" customHeight="1">
      <c r="E358" s="2"/>
      <c r="H358" s="29"/>
      <c r="I358" s="30"/>
    </row>
    <row r="359" spans="5:9" ht="15.75" customHeight="1">
      <c r="E359" s="2"/>
      <c r="H359" s="29"/>
      <c r="I359" s="30"/>
    </row>
    <row r="360" spans="5:9" ht="15.75" customHeight="1">
      <c r="E360" s="2"/>
      <c r="H360" s="29"/>
      <c r="I360" s="30"/>
    </row>
    <row r="361" spans="5:9" ht="15.75" customHeight="1">
      <c r="E361" s="2"/>
      <c r="H361" s="29"/>
      <c r="I361" s="30"/>
    </row>
    <row r="362" spans="5:9" ht="15.75" customHeight="1">
      <c r="E362" s="2"/>
      <c r="H362" s="29"/>
      <c r="I362" s="30"/>
    </row>
    <row r="363" spans="5:9" ht="15.75" customHeight="1">
      <c r="E363" s="2"/>
      <c r="H363" s="29"/>
      <c r="I363" s="30"/>
    </row>
    <row r="364" spans="5:9" ht="15.75" customHeight="1">
      <c r="E364" s="2"/>
      <c r="H364" s="29"/>
      <c r="I364" s="30"/>
    </row>
    <row r="365" spans="5:9" ht="15.75" customHeight="1">
      <c r="E365" s="2"/>
      <c r="H365" s="29"/>
      <c r="I365" s="30"/>
    </row>
    <row r="366" spans="5:9" ht="15.75" customHeight="1">
      <c r="E366" s="2"/>
      <c r="H366" s="29"/>
      <c r="I366" s="30"/>
    </row>
    <row r="367" spans="5:9" ht="15.75" customHeight="1">
      <c r="E367" s="2"/>
      <c r="H367" s="29"/>
      <c r="I367" s="30"/>
    </row>
    <row r="368" spans="5:9" ht="15.75" customHeight="1">
      <c r="E368" s="2"/>
      <c r="H368" s="29"/>
      <c r="I368" s="30"/>
    </row>
    <row r="369" spans="5:9" ht="15.75" customHeight="1">
      <c r="E369" s="2"/>
      <c r="H369" s="29"/>
      <c r="I369" s="30"/>
    </row>
    <row r="370" spans="5:9" ht="15.75" customHeight="1">
      <c r="E370" s="2"/>
      <c r="H370" s="29"/>
      <c r="I370" s="30"/>
    </row>
    <row r="371" spans="5:9" ht="15.75" customHeight="1">
      <c r="E371" s="2"/>
      <c r="H371" s="29"/>
      <c r="I371" s="30"/>
    </row>
    <row r="372" spans="5:9" ht="15.75" customHeight="1">
      <c r="E372" s="2"/>
      <c r="H372" s="29"/>
      <c r="I372" s="30"/>
    </row>
    <row r="373" spans="5:9" ht="15.75" customHeight="1">
      <c r="E373" s="2"/>
      <c r="H373" s="29"/>
      <c r="I373" s="30"/>
    </row>
    <row r="374" spans="5:9" ht="15.75" customHeight="1">
      <c r="E374" s="2"/>
      <c r="H374" s="29"/>
      <c r="I374" s="30"/>
    </row>
    <row r="375" spans="5:9" ht="15.75" customHeight="1">
      <c r="E375" s="2"/>
      <c r="H375" s="29"/>
      <c r="I375" s="30"/>
    </row>
    <row r="376" spans="5:9" ht="15.75" customHeight="1">
      <c r="E376" s="2"/>
      <c r="H376" s="29"/>
      <c r="I376" s="30"/>
    </row>
    <row r="377" spans="5:9" ht="15.75" customHeight="1">
      <c r="E377" s="2"/>
      <c r="H377" s="29"/>
      <c r="I377" s="30"/>
    </row>
    <row r="378" spans="5:9" ht="15.75" customHeight="1">
      <c r="E378" s="2"/>
      <c r="H378" s="29"/>
      <c r="I378" s="30"/>
    </row>
    <row r="379" spans="5:9" ht="15.75" customHeight="1">
      <c r="E379" s="2"/>
      <c r="H379" s="29"/>
      <c r="I379" s="30"/>
    </row>
    <row r="380" spans="5:9" ht="15.75" customHeight="1">
      <c r="E380" s="2"/>
      <c r="H380" s="29"/>
      <c r="I380" s="30"/>
    </row>
    <row r="381" spans="5:9" ht="15.75" customHeight="1">
      <c r="E381" s="2"/>
      <c r="H381" s="29"/>
      <c r="I381" s="30"/>
    </row>
    <row r="382" spans="5:9" ht="15.75" customHeight="1">
      <c r="E382" s="2"/>
      <c r="H382" s="29"/>
      <c r="I382" s="30"/>
    </row>
    <row r="383" spans="5:9" ht="15.75" customHeight="1">
      <c r="E383" s="2"/>
      <c r="H383" s="29"/>
      <c r="I383" s="30"/>
    </row>
    <row r="384" spans="5:9" ht="15.75" customHeight="1">
      <c r="E384" s="2"/>
      <c r="H384" s="29"/>
      <c r="I384" s="30"/>
    </row>
    <row r="385" spans="5:9" ht="15.75" customHeight="1">
      <c r="E385" s="2"/>
      <c r="H385" s="29"/>
      <c r="I385" s="30"/>
    </row>
    <row r="386" spans="5:9" ht="15.75" customHeight="1">
      <c r="E386" s="2"/>
      <c r="H386" s="29"/>
      <c r="I386" s="30"/>
    </row>
    <row r="387" spans="5:9" ht="15.75" customHeight="1">
      <c r="E387" s="2"/>
      <c r="H387" s="29"/>
      <c r="I387" s="30"/>
    </row>
    <row r="388" spans="5:9" ht="15.75" customHeight="1">
      <c r="E388" s="2"/>
      <c r="H388" s="29"/>
      <c r="I388" s="30"/>
    </row>
    <row r="389" spans="5:9" ht="15.75" customHeight="1">
      <c r="E389" s="2"/>
      <c r="H389" s="29"/>
      <c r="I389" s="30"/>
    </row>
    <row r="390" spans="5:9" ht="15.75" customHeight="1">
      <c r="E390" s="2"/>
      <c r="H390" s="29"/>
      <c r="I390" s="30"/>
    </row>
    <row r="391" spans="5:9" ht="15.75" customHeight="1">
      <c r="E391" s="2"/>
      <c r="H391" s="29"/>
      <c r="I391" s="30"/>
    </row>
    <row r="392" spans="5:9" ht="15.75" customHeight="1">
      <c r="E392" s="2"/>
      <c r="H392" s="29"/>
      <c r="I392" s="30"/>
    </row>
    <row r="393" spans="5:9" ht="15.75" customHeight="1">
      <c r="E393" s="2"/>
      <c r="H393" s="29"/>
      <c r="I393" s="30"/>
    </row>
    <row r="394" spans="5:9" ht="15.75" customHeight="1">
      <c r="E394" s="2"/>
      <c r="H394" s="29"/>
      <c r="I394" s="30"/>
    </row>
    <row r="395" spans="5:9" ht="15.75" customHeight="1">
      <c r="E395" s="2"/>
      <c r="H395" s="29"/>
      <c r="I395" s="30"/>
    </row>
    <row r="396" spans="5:9" ht="15.75" customHeight="1">
      <c r="E396" s="2"/>
      <c r="H396" s="29"/>
      <c r="I396" s="30"/>
    </row>
    <row r="397" spans="5:9" ht="15.75" customHeight="1">
      <c r="E397" s="2"/>
      <c r="H397" s="29"/>
      <c r="I397" s="30"/>
    </row>
    <row r="398" spans="5:9" ht="15.75" customHeight="1">
      <c r="E398" s="2"/>
      <c r="H398" s="29"/>
      <c r="I398" s="30"/>
    </row>
    <row r="399" spans="5:9" ht="15.75" customHeight="1">
      <c r="E399" s="2"/>
      <c r="H399" s="29"/>
      <c r="I399" s="30"/>
    </row>
    <row r="400" spans="5:9" ht="15.75" customHeight="1">
      <c r="E400" s="2"/>
      <c r="H400" s="29"/>
      <c r="I400" s="30"/>
    </row>
    <row r="401" spans="5:9" ht="15.75" customHeight="1">
      <c r="E401" s="2"/>
      <c r="H401" s="29"/>
      <c r="I401" s="30"/>
    </row>
    <row r="402" spans="5:9" ht="15.75" customHeight="1">
      <c r="E402" s="2"/>
      <c r="H402" s="29"/>
      <c r="I402" s="30"/>
    </row>
    <row r="403" spans="5:9" ht="15.75" customHeight="1">
      <c r="E403" s="2"/>
      <c r="H403" s="29"/>
      <c r="I403" s="30"/>
    </row>
    <row r="404" spans="5:9" ht="15.75" customHeight="1">
      <c r="E404" s="2"/>
      <c r="H404" s="29"/>
      <c r="I404" s="30"/>
    </row>
    <row r="405" spans="5:9" ht="15.75" customHeight="1">
      <c r="E405" s="2"/>
      <c r="H405" s="29"/>
      <c r="I405" s="30"/>
    </row>
    <row r="406" spans="5:9" ht="15.75" customHeight="1">
      <c r="E406" s="2"/>
      <c r="H406" s="29"/>
      <c r="I406" s="30"/>
    </row>
    <row r="407" spans="5:9" ht="15.75" customHeight="1">
      <c r="E407" s="2"/>
      <c r="H407" s="29"/>
      <c r="I407" s="30"/>
    </row>
    <row r="408" spans="5:9" ht="15.75" customHeight="1">
      <c r="E408" s="2"/>
      <c r="H408" s="29"/>
      <c r="I408" s="30"/>
    </row>
    <row r="409" spans="5:9" ht="15.75" customHeight="1">
      <c r="E409" s="2"/>
      <c r="H409" s="29"/>
      <c r="I409" s="30"/>
    </row>
    <row r="410" spans="5:9" ht="15.75" customHeight="1">
      <c r="E410" s="2"/>
      <c r="H410" s="29"/>
      <c r="I410" s="30"/>
    </row>
    <row r="411" spans="5:9" ht="15.75" customHeight="1">
      <c r="E411" s="2"/>
      <c r="H411" s="29"/>
      <c r="I411" s="30"/>
    </row>
    <row r="412" spans="5:9" ht="15.75" customHeight="1">
      <c r="E412" s="2"/>
      <c r="H412" s="29"/>
      <c r="I412" s="30"/>
    </row>
    <row r="413" spans="5:9" ht="15.75" customHeight="1">
      <c r="E413" s="2"/>
      <c r="H413" s="29"/>
      <c r="I413" s="30"/>
    </row>
    <row r="414" spans="5:9" ht="15.75" customHeight="1">
      <c r="E414" s="2"/>
      <c r="H414" s="29"/>
      <c r="I414" s="30"/>
    </row>
    <row r="415" spans="5:9" ht="15.75" customHeight="1">
      <c r="E415" s="2"/>
      <c r="H415" s="29"/>
      <c r="I415" s="30"/>
    </row>
    <row r="416" spans="5:9" ht="15.75" customHeight="1">
      <c r="E416" s="2"/>
      <c r="H416" s="29"/>
      <c r="I416" s="30"/>
    </row>
    <row r="417" spans="5:9" ht="15.75" customHeight="1">
      <c r="E417" s="2"/>
      <c r="H417" s="29"/>
      <c r="I417" s="30"/>
    </row>
    <row r="418" spans="5:9" ht="15.75" customHeight="1">
      <c r="E418" s="2"/>
      <c r="H418" s="29"/>
      <c r="I418" s="30"/>
    </row>
    <row r="419" spans="5:9" ht="15.75" customHeight="1">
      <c r="E419" s="2"/>
      <c r="H419" s="29"/>
      <c r="I419" s="30"/>
    </row>
    <row r="420" spans="5:9" ht="15.75" customHeight="1">
      <c r="E420" s="2"/>
      <c r="H420" s="29"/>
      <c r="I420" s="30"/>
    </row>
    <row r="421" spans="5:9" ht="15.75" customHeight="1">
      <c r="E421" s="2"/>
      <c r="H421" s="29"/>
      <c r="I421" s="30"/>
    </row>
    <row r="422" spans="5:9" ht="15.75" customHeight="1">
      <c r="E422" s="2"/>
      <c r="H422" s="29"/>
      <c r="I422" s="30"/>
    </row>
    <row r="423" spans="5:9" ht="15.75" customHeight="1">
      <c r="E423" s="2"/>
      <c r="H423" s="29"/>
      <c r="I423" s="30"/>
    </row>
    <row r="424" spans="5:9" ht="15.75" customHeight="1">
      <c r="E424" s="2"/>
      <c r="H424" s="29"/>
      <c r="I424" s="30"/>
    </row>
    <row r="425" spans="5:9" ht="15.75" customHeight="1">
      <c r="E425" s="2"/>
      <c r="H425" s="29"/>
      <c r="I425" s="30"/>
    </row>
    <row r="426" spans="5:9" ht="15.75" customHeight="1">
      <c r="E426" s="2"/>
      <c r="H426" s="29"/>
      <c r="I426" s="30"/>
    </row>
    <row r="427" spans="5:9" ht="15.75" customHeight="1">
      <c r="E427" s="2"/>
      <c r="H427" s="29"/>
      <c r="I427" s="30"/>
    </row>
    <row r="428" spans="5:9" ht="15.75" customHeight="1">
      <c r="E428" s="2"/>
      <c r="H428" s="29"/>
      <c r="I428" s="30"/>
    </row>
    <row r="429" spans="5:9" ht="15.75" customHeight="1">
      <c r="E429" s="2"/>
      <c r="H429" s="29"/>
      <c r="I429" s="30"/>
    </row>
    <row r="430" spans="5:9" ht="15.75" customHeight="1">
      <c r="E430" s="2"/>
      <c r="H430" s="29"/>
      <c r="I430" s="30"/>
    </row>
    <row r="431" spans="5:9" ht="15.75" customHeight="1">
      <c r="E431" s="2"/>
      <c r="H431" s="29"/>
      <c r="I431" s="30"/>
    </row>
    <row r="432" spans="5:9" ht="15.75" customHeight="1">
      <c r="E432" s="2"/>
      <c r="H432" s="29"/>
      <c r="I432" s="30"/>
    </row>
    <row r="433" spans="5:9" ht="15.75" customHeight="1">
      <c r="E433" s="2"/>
      <c r="H433" s="29"/>
      <c r="I433" s="30"/>
    </row>
    <row r="434" spans="5:9" ht="15.75" customHeight="1">
      <c r="E434" s="2"/>
      <c r="H434" s="29"/>
      <c r="I434" s="30"/>
    </row>
    <row r="435" spans="5:9" ht="15.75" customHeight="1">
      <c r="E435" s="2"/>
      <c r="H435" s="29"/>
      <c r="I435" s="30"/>
    </row>
    <row r="436" spans="5:9" ht="15.75" customHeight="1">
      <c r="E436" s="2"/>
      <c r="H436" s="29"/>
      <c r="I436" s="30"/>
    </row>
    <row r="437" spans="5:9" ht="15.75" customHeight="1">
      <c r="E437" s="2"/>
      <c r="H437" s="29"/>
      <c r="I437" s="30"/>
    </row>
    <row r="438" spans="5:9" ht="15.75" customHeight="1">
      <c r="E438" s="2"/>
      <c r="H438" s="29"/>
      <c r="I438" s="30"/>
    </row>
    <row r="439" spans="5:9" ht="15.75" customHeight="1">
      <c r="E439" s="2"/>
      <c r="H439" s="29"/>
      <c r="I439" s="30"/>
    </row>
    <row r="440" spans="5:9" ht="15.75" customHeight="1">
      <c r="E440" s="2"/>
      <c r="H440" s="29"/>
      <c r="I440" s="30"/>
    </row>
    <row r="441" spans="5:9" ht="15.75" customHeight="1">
      <c r="E441" s="2"/>
      <c r="H441" s="29"/>
      <c r="I441" s="30"/>
    </row>
    <row r="442" spans="5:9" ht="15.75" customHeight="1">
      <c r="E442" s="2"/>
      <c r="H442" s="29"/>
      <c r="I442" s="30"/>
    </row>
    <row r="443" spans="5:9" ht="15.75" customHeight="1">
      <c r="E443" s="2"/>
      <c r="H443" s="29"/>
      <c r="I443" s="30"/>
    </row>
    <row r="444" spans="5:9" ht="15.75" customHeight="1">
      <c r="E444" s="2"/>
      <c r="H444" s="29"/>
      <c r="I444" s="30"/>
    </row>
    <row r="445" spans="5:9" ht="15.75" customHeight="1">
      <c r="E445" s="2"/>
      <c r="H445" s="29"/>
      <c r="I445" s="30"/>
    </row>
    <row r="446" spans="5:9" ht="15.75" customHeight="1">
      <c r="E446" s="2"/>
      <c r="H446" s="29"/>
      <c r="I446" s="30"/>
    </row>
    <row r="447" spans="5:9" ht="15.75" customHeight="1">
      <c r="E447" s="2"/>
      <c r="H447" s="29"/>
      <c r="I447" s="30"/>
    </row>
    <row r="448" spans="5:9" ht="15.75" customHeight="1">
      <c r="E448" s="2"/>
      <c r="H448" s="29"/>
      <c r="I448" s="30"/>
    </row>
    <row r="449" spans="5:9" ht="15.75" customHeight="1">
      <c r="E449" s="2"/>
      <c r="H449" s="29"/>
      <c r="I449" s="30"/>
    </row>
    <row r="450" spans="5:9" ht="15.75" customHeight="1">
      <c r="E450" s="2"/>
      <c r="H450" s="29"/>
      <c r="I450" s="30"/>
    </row>
    <row r="451" spans="5:9" ht="15.75" customHeight="1">
      <c r="E451" s="2"/>
      <c r="H451" s="29"/>
      <c r="I451" s="30"/>
    </row>
    <row r="452" spans="5:9" ht="15.75" customHeight="1">
      <c r="E452" s="2"/>
      <c r="H452" s="29"/>
      <c r="I452" s="30"/>
    </row>
    <row r="453" spans="5:9" ht="15.75" customHeight="1">
      <c r="E453" s="2"/>
      <c r="H453" s="29"/>
      <c r="I453" s="30"/>
    </row>
    <row r="454" spans="5:9" ht="15.75" customHeight="1">
      <c r="E454" s="2"/>
      <c r="H454" s="29"/>
      <c r="I454" s="30"/>
    </row>
    <row r="455" spans="5:9" ht="15.75" customHeight="1">
      <c r="E455" s="2"/>
      <c r="H455" s="29"/>
      <c r="I455" s="30"/>
    </row>
    <row r="456" spans="5:9" ht="15.75" customHeight="1">
      <c r="E456" s="2"/>
      <c r="H456" s="29"/>
      <c r="I456" s="30"/>
    </row>
    <row r="457" spans="5:9" ht="15.75" customHeight="1">
      <c r="E457" s="2"/>
      <c r="H457" s="29"/>
      <c r="I457" s="30"/>
    </row>
    <row r="458" spans="5:9" ht="15.75" customHeight="1">
      <c r="E458" s="2"/>
      <c r="H458" s="29"/>
      <c r="I458" s="30"/>
    </row>
    <row r="459" spans="5:9" ht="15.75" customHeight="1">
      <c r="E459" s="2"/>
      <c r="H459" s="29"/>
      <c r="I459" s="30"/>
    </row>
    <row r="460" spans="5:9" ht="15.75" customHeight="1">
      <c r="E460" s="2"/>
      <c r="H460" s="29"/>
      <c r="I460" s="30"/>
    </row>
    <row r="461" spans="5:9" ht="15.75" customHeight="1">
      <c r="E461" s="2"/>
      <c r="H461" s="29"/>
      <c r="I461" s="30"/>
    </row>
    <row r="462" spans="5:9" ht="15.75" customHeight="1">
      <c r="E462" s="2"/>
      <c r="H462" s="29"/>
      <c r="I462" s="30"/>
    </row>
    <row r="463" spans="5:9" ht="15.75" customHeight="1">
      <c r="E463" s="2"/>
      <c r="H463" s="29"/>
      <c r="I463" s="30"/>
    </row>
    <row r="464" spans="5:9" ht="15.75" customHeight="1">
      <c r="E464" s="2"/>
      <c r="H464" s="29"/>
      <c r="I464" s="30"/>
    </row>
    <row r="465" spans="5:9" ht="15.75" customHeight="1">
      <c r="E465" s="2"/>
      <c r="H465" s="29"/>
      <c r="I465" s="30"/>
    </row>
    <row r="466" spans="5:9" ht="15.75" customHeight="1">
      <c r="E466" s="2"/>
      <c r="H466" s="29"/>
      <c r="I466" s="30"/>
    </row>
    <row r="467" spans="5:9" ht="15.75" customHeight="1">
      <c r="E467" s="2"/>
      <c r="H467" s="29"/>
      <c r="I467" s="30"/>
    </row>
    <row r="468" spans="5:9" ht="15.75" customHeight="1">
      <c r="E468" s="2"/>
      <c r="H468" s="29"/>
      <c r="I468" s="30"/>
    </row>
    <row r="469" spans="5:9" ht="15.75" customHeight="1">
      <c r="E469" s="2"/>
      <c r="H469" s="29"/>
      <c r="I469" s="30"/>
    </row>
    <row r="470" spans="5:9" ht="15.75" customHeight="1">
      <c r="E470" s="2"/>
      <c r="H470" s="29"/>
      <c r="I470" s="30"/>
    </row>
    <row r="471" spans="5:9" ht="15.75" customHeight="1">
      <c r="E471" s="2"/>
      <c r="H471" s="29"/>
      <c r="I471" s="30"/>
    </row>
    <row r="472" spans="5:9" ht="15.75" customHeight="1">
      <c r="E472" s="2"/>
      <c r="H472" s="29"/>
      <c r="I472" s="30"/>
    </row>
    <row r="473" spans="5:9" ht="15.75" customHeight="1">
      <c r="E473" s="2"/>
      <c r="H473" s="29"/>
      <c r="I473" s="30"/>
    </row>
    <row r="474" spans="5:9" ht="15.75" customHeight="1">
      <c r="E474" s="2"/>
      <c r="H474" s="29"/>
      <c r="I474" s="30"/>
    </row>
    <row r="475" spans="5:9" ht="15.75" customHeight="1">
      <c r="E475" s="2"/>
      <c r="H475" s="29"/>
      <c r="I475" s="30"/>
    </row>
    <row r="476" spans="5:9" ht="15.75" customHeight="1">
      <c r="E476" s="2"/>
      <c r="H476" s="29"/>
      <c r="I476" s="30"/>
    </row>
    <row r="477" spans="5:9" ht="15.75" customHeight="1">
      <c r="E477" s="2"/>
      <c r="H477" s="29"/>
      <c r="I477" s="30"/>
    </row>
    <row r="478" spans="5:9" ht="15.75" customHeight="1">
      <c r="E478" s="2"/>
      <c r="H478" s="29"/>
      <c r="I478" s="30"/>
    </row>
    <row r="479" spans="5:9" ht="15.75" customHeight="1">
      <c r="E479" s="2"/>
      <c r="H479" s="29"/>
      <c r="I479" s="30"/>
    </row>
    <row r="480" spans="5:9" ht="15.75" customHeight="1">
      <c r="E480" s="2"/>
      <c r="H480" s="29"/>
      <c r="I480" s="30"/>
    </row>
    <row r="481" spans="5:9" ht="15.75" customHeight="1">
      <c r="E481" s="2"/>
      <c r="H481" s="29"/>
      <c r="I481" s="30"/>
    </row>
    <row r="482" spans="5:9" ht="15.75" customHeight="1">
      <c r="E482" s="2"/>
      <c r="H482" s="29"/>
      <c r="I482" s="30"/>
    </row>
    <row r="483" spans="5:9" ht="15.75" customHeight="1">
      <c r="E483" s="2"/>
      <c r="H483" s="29"/>
      <c r="I483" s="30"/>
    </row>
    <row r="484" spans="5:9" ht="15.75" customHeight="1">
      <c r="E484" s="2"/>
      <c r="H484" s="29"/>
      <c r="I484" s="30"/>
    </row>
    <row r="485" spans="5:9" ht="15.75" customHeight="1">
      <c r="E485" s="2"/>
      <c r="H485" s="29"/>
      <c r="I485" s="30"/>
    </row>
    <row r="486" spans="5:9" ht="15.75" customHeight="1">
      <c r="E486" s="2"/>
      <c r="H486" s="29"/>
      <c r="I486" s="30"/>
    </row>
    <row r="487" spans="5:9" ht="15.75" customHeight="1">
      <c r="E487" s="2"/>
      <c r="H487" s="29"/>
      <c r="I487" s="30"/>
    </row>
    <row r="488" spans="5:9" ht="15.75" customHeight="1">
      <c r="E488" s="2"/>
      <c r="H488" s="29"/>
      <c r="I488" s="30"/>
    </row>
    <row r="489" spans="5:9" ht="15.75" customHeight="1">
      <c r="E489" s="2"/>
      <c r="H489" s="29"/>
      <c r="I489" s="30"/>
    </row>
    <row r="490" spans="5:9" ht="15.75" customHeight="1">
      <c r="E490" s="2"/>
      <c r="H490" s="29"/>
      <c r="I490" s="30"/>
    </row>
    <row r="491" spans="5:9" ht="15.75" customHeight="1">
      <c r="E491" s="2"/>
      <c r="H491" s="29"/>
      <c r="I491" s="30"/>
    </row>
    <row r="492" spans="5:9" ht="15.75" customHeight="1">
      <c r="E492" s="2"/>
      <c r="H492" s="29"/>
      <c r="I492" s="30"/>
    </row>
    <row r="493" spans="5:9" ht="15.75" customHeight="1">
      <c r="E493" s="2"/>
      <c r="H493" s="29"/>
      <c r="I493" s="30"/>
    </row>
    <row r="494" spans="5:9" ht="15.75" customHeight="1">
      <c r="E494" s="2"/>
      <c r="H494" s="29"/>
      <c r="I494" s="30"/>
    </row>
    <row r="495" spans="5:9" ht="15.75" customHeight="1">
      <c r="E495" s="2"/>
      <c r="H495" s="29"/>
      <c r="I495" s="30"/>
    </row>
    <row r="496" spans="5:9" ht="15.75" customHeight="1">
      <c r="E496" s="2"/>
      <c r="H496" s="29"/>
      <c r="I496" s="30"/>
    </row>
    <row r="497" spans="5:9" ht="15.75" customHeight="1">
      <c r="E497" s="2"/>
      <c r="H497" s="29"/>
      <c r="I497" s="30"/>
    </row>
    <row r="498" spans="5:9" ht="15.75" customHeight="1">
      <c r="E498" s="2"/>
      <c r="H498" s="29"/>
      <c r="I498" s="30"/>
    </row>
    <row r="499" spans="5:9" ht="15.75" customHeight="1">
      <c r="E499" s="2"/>
      <c r="H499" s="29"/>
      <c r="I499" s="30"/>
    </row>
    <row r="500" spans="5:9" ht="15.75" customHeight="1">
      <c r="E500" s="2"/>
      <c r="H500" s="29"/>
      <c r="I500" s="30"/>
    </row>
    <row r="501" spans="5:9" ht="15.75" customHeight="1">
      <c r="E501" s="2"/>
      <c r="H501" s="29"/>
      <c r="I501" s="30"/>
    </row>
    <row r="502" spans="5:9" ht="15.75" customHeight="1">
      <c r="E502" s="2"/>
      <c r="H502" s="29"/>
      <c r="I502" s="30"/>
    </row>
    <row r="503" spans="5:9" ht="15.75" customHeight="1">
      <c r="E503" s="2"/>
      <c r="H503" s="29"/>
      <c r="I503" s="30"/>
    </row>
    <row r="504" spans="5:9" ht="15.75" customHeight="1">
      <c r="E504" s="2"/>
      <c r="H504" s="29"/>
      <c r="I504" s="30"/>
    </row>
    <row r="505" spans="5:9" ht="15.75" customHeight="1">
      <c r="E505" s="2"/>
      <c r="H505" s="29"/>
      <c r="I505" s="30"/>
    </row>
    <row r="506" spans="5:9" ht="15.75" customHeight="1">
      <c r="E506" s="2"/>
      <c r="H506" s="29"/>
      <c r="I506" s="30"/>
    </row>
    <row r="507" spans="5:9" ht="15.75" customHeight="1">
      <c r="E507" s="2"/>
      <c r="H507" s="29"/>
      <c r="I507" s="30"/>
    </row>
    <row r="508" spans="5:9" ht="15.75" customHeight="1">
      <c r="E508" s="2"/>
      <c r="H508" s="29"/>
      <c r="I508" s="30"/>
    </row>
    <row r="509" spans="5:9" ht="15.75" customHeight="1">
      <c r="E509" s="2"/>
      <c r="H509" s="29"/>
      <c r="I509" s="30"/>
    </row>
    <row r="510" spans="5:9" ht="15.75" customHeight="1">
      <c r="E510" s="2"/>
      <c r="H510" s="29"/>
      <c r="I510" s="30"/>
    </row>
    <row r="511" spans="5:9" ht="15.75" customHeight="1">
      <c r="E511" s="2"/>
      <c r="H511" s="29"/>
      <c r="I511" s="30"/>
    </row>
    <row r="512" spans="5:9" ht="15.75" customHeight="1">
      <c r="E512" s="2"/>
      <c r="H512" s="29"/>
      <c r="I512" s="30"/>
    </row>
    <row r="513" spans="5:9" ht="15.75" customHeight="1">
      <c r="E513" s="2"/>
      <c r="H513" s="29"/>
      <c r="I513" s="30"/>
    </row>
    <row r="514" spans="5:9" ht="15.75" customHeight="1">
      <c r="E514" s="2"/>
      <c r="H514" s="29"/>
      <c r="I514" s="30"/>
    </row>
    <row r="515" spans="5:9" ht="15.75" customHeight="1">
      <c r="E515" s="2"/>
      <c r="H515" s="29"/>
      <c r="I515" s="30"/>
    </row>
    <row r="516" spans="5:9" ht="15.75" customHeight="1">
      <c r="E516" s="2"/>
      <c r="H516" s="29"/>
      <c r="I516" s="30"/>
    </row>
    <row r="517" spans="5:9" ht="15.75" customHeight="1">
      <c r="E517" s="2"/>
      <c r="H517" s="29"/>
      <c r="I517" s="30"/>
    </row>
    <row r="518" spans="5:9" ht="15.75" customHeight="1">
      <c r="E518" s="2"/>
      <c r="H518" s="29"/>
      <c r="I518" s="30"/>
    </row>
    <row r="519" spans="5:9" ht="15.75" customHeight="1">
      <c r="E519" s="2"/>
      <c r="H519" s="29"/>
      <c r="I519" s="30"/>
    </row>
    <row r="520" spans="5:9" ht="15.75" customHeight="1">
      <c r="E520" s="2"/>
      <c r="H520" s="29"/>
      <c r="I520" s="30"/>
    </row>
    <row r="521" spans="5:9" ht="15.75" customHeight="1">
      <c r="E521" s="2"/>
      <c r="H521" s="29"/>
      <c r="I521" s="30"/>
    </row>
    <row r="522" spans="5:9" ht="15.75" customHeight="1">
      <c r="E522" s="2"/>
      <c r="H522" s="29"/>
      <c r="I522" s="30"/>
    </row>
    <row r="523" spans="5:9" ht="15.75" customHeight="1">
      <c r="E523" s="2"/>
      <c r="H523" s="29"/>
      <c r="I523" s="30"/>
    </row>
    <row r="524" spans="5:9" ht="15.75" customHeight="1">
      <c r="E524" s="2"/>
      <c r="H524" s="29"/>
      <c r="I524" s="30"/>
    </row>
    <row r="525" spans="5:9" ht="15.75" customHeight="1">
      <c r="E525" s="2"/>
      <c r="H525" s="29"/>
      <c r="I525" s="30"/>
    </row>
    <row r="526" spans="5:9" ht="15.75" customHeight="1">
      <c r="E526" s="2"/>
      <c r="H526" s="29"/>
      <c r="I526" s="30"/>
    </row>
    <row r="527" spans="5:9" ht="15.75" customHeight="1">
      <c r="E527" s="2"/>
      <c r="H527" s="29"/>
      <c r="I527" s="30"/>
    </row>
    <row r="528" spans="5:9" ht="15.75" customHeight="1">
      <c r="E528" s="2"/>
      <c r="H528" s="29"/>
      <c r="I528" s="30"/>
    </row>
    <row r="529" spans="5:9" ht="15.75" customHeight="1">
      <c r="E529" s="2"/>
      <c r="H529" s="29"/>
      <c r="I529" s="30"/>
    </row>
    <row r="530" spans="5:9" ht="15.75" customHeight="1">
      <c r="E530" s="2"/>
      <c r="H530" s="29"/>
      <c r="I530" s="30"/>
    </row>
    <row r="531" spans="5:9" ht="15.75" customHeight="1">
      <c r="E531" s="2"/>
      <c r="H531" s="29"/>
      <c r="I531" s="30"/>
    </row>
    <row r="532" spans="5:9" ht="15.75" customHeight="1">
      <c r="E532" s="2"/>
      <c r="H532" s="29"/>
      <c r="I532" s="30"/>
    </row>
    <row r="533" spans="5:9" ht="15.75" customHeight="1">
      <c r="E533" s="2"/>
      <c r="H533" s="29"/>
      <c r="I533" s="30"/>
    </row>
    <row r="534" spans="5:9" ht="15.75" customHeight="1">
      <c r="E534" s="2"/>
      <c r="H534" s="29"/>
      <c r="I534" s="30"/>
    </row>
    <row r="535" spans="5:9" ht="15.75" customHeight="1">
      <c r="E535" s="2"/>
      <c r="H535" s="29"/>
      <c r="I535" s="30"/>
    </row>
    <row r="536" spans="5:9" ht="15.75" customHeight="1">
      <c r="E536" s="2"/>
      <c r="H536" s="29"/>
      <c r="I536" s="30"/>
    </row>
    <row r="537" spans="5:9" ht="15.75" customHeight="1">
      <c r="E537" s="2"/>
      <c r="H537" s="29"/>
      <c r="I537" s="30"/>
    </row>
    <row r="538" spans="5:9" ht="15.75" customHeight="1">
      <c r="E538" s="2"/>
      <c r="H538" s="29"/>
      <c r="I538" s="30"/>
    </row>
    <row r="539" spans="5:9" ht="15.75" customHeight="1">
      <c r="E539" s="2"/>
      <c r="H539" s="29"/>
      <c r="I539" s="30"/>
    </row>
    <row r="540" spans="5:9" ht="15.75" customHeight="1">
      <c r="E540" s="2"/>
      <c r="H540" s="29"/>
      <c r="I540" s="30"/>
    </row>
    <row r="541" spans="5:9" ht="15.75" customHeight="1">
      <c r="E541" s="2"/>
      <c r="H541" s="29"/>
      <c r="I541" s="30"/>
    </row>
    <row r="542" spans="5:9" ht="15.75" customHeight="1">
      <c r="E542" s="2"/>
      <c r="H542" s="29"/>
      <c r="I542" s="30"/>
    </row>
    <row r="543" spans="5:9" ht="15.75" customHeight="1">
      <c r="E543" s="2"/>
      <c r="H543" s="29"/>
      <c r="I543" s="30"/>
    </row>
    <row r="544" spans="5:9" ht="15.75" customHeight="1">
      <c r="E544" s="2"/>
      <c r="H544" s="29"/>
      <c r="I544" s="30"/>
    </row>
    <row r="545" spans="5:9" ht="15.75" customHeight="1">
      <c r="E545" s="2"/>
      <c r="H545" s="29"/>
      <c r="I545" s="30"/>
    </row>
    <row r="546" spans="5:9" ht="15.75" customHeight="1">
      <c r="E546" s="2"/>
      <c r="H546" s="29"/>
      <c r="I546" s="30"/>
    </row>
    <row r="547" spans="5:9" ht="15.75" customHeight="1">
      <c r="E547" s="2"/>
      <c r="H547" s="29"/>
      <c r="I547" s="30"/>
    </row>
    <row r="548" spans="5:9" ht="15.75" customHeight="1">
      <c r="E548" s="2"/>
      <c r="H548" s="29"/>
      <c r="I548" s="30"/>
    </row>
    <row r="549" spans="5:9" ht="15.75" customHeight="1">
      <c r="E549" s="2"/>
      <c r="H549" s="29"/>
      <c r="I549" s="30"/>
    </row>
    <row r="550" spans="5:9" ht="15.75" customHeight="1">
      <c r="E550" s="2"/>
      <c r="H550" s="29"/>
      <c r="I550" s="30"/>
    </row>
    <row r="551" spans="5:9" ht="15.75" customHeight="1">
      <c r="E551" s="2"/>
      <c r="H551" s="29"/>
      <c r="I551" s="30"/>
    </row>
    <row r="552" spans="5:9" ht="15.75" customHeight="1">
      <c r="E552" s="2"/>
      <c r="H552" s="29"/>
      <c r="I552" s="30"/>
    </row>
    <row r="553" spans="5:9" ht="15.75" customHeight="1">
      <c r="E553" s="2"/>
      <c r="H553" s="29"/>
      <c r="I553" s="30"/>
    </row>
    <row r="554" spans="5:9" ht="15.75" customHeight="1">
      <c r="E554" s="2"/>
      <c r="H554" s="29"/>
      <c r="I554" s="30"/>
    </row>
    <row r="555" spans="5:9" ht="15.75" customHeight="1">
      <c r="E555" s="2"/>
      <c r="H555" s="29"/>
      <c r="I555" s="30"/>
    </row>
    <row r="556" spans="5:9" ht="15.75" customHeight="1">
      <c r="E556" s="2"/>
      <c r="H556" s="29"/>
      <c r="I556" s="30"/>
    </row>
    <row r="557" spans="5:9" ht="15.75" customHeight="1">
      <c r="E557" s="2"/>
      <c r="H557" s="29"/>
      <c r="I557" s="30"/>
    </row>
    <row r="558" spans="5:9" ht="15.75" customHeight="1">
      <c r="E558" s="2"/>
      <c r="H558" s="29"/>
      <c r="I558" s="30"/>
    </row>
    <row r="559" spans="5:9" ht="15.75" customHeight="1">
      <c r="E559" s="2"/>
      <c r="H559" s="29"/>
      <c r="I559" s="30"/>
    </row>
    <row r="560" spans="5:9" ht="15.75" customHeight="1">
      <c r="E560" s="2"/>
      <c r="H560" s="29"/>
      <c r="I560" s="30"/>
    </row>
    <row r="561" spans="5:9" ht="15.75" customHeight="1">
      <c r="E561" s="2"/>
      <c r="H561" s="29"/>
      <c r="I561" s="30"/>
    </row>
    <row r="562" spans="5:9" ht="15.75" customHeight="1">
      <c r="E562" s="2"/>
      <c r="H562" s="29"/>
      <c r="I562" s="30"/>
    </row>
    <row r="563" spans="5:9" ht="15.75" customHeight="1">
      <c r="E563" s="2"/>
      <c r="H563" s="29"/>
      <c r="I563" s="30"/>
    </row>
    <row r="564" spans="5:9" ht="15.75" customHeight="1">
      <c r="E564" s="2"/>
      <c r="H564" s="29"/>
      <c r="I564" s="30"/>
    </row>
    <row r="565" spans="5:9" ht="15.75" customHeight="1">
      <c r="E565" s="2"/>
      <c r="H565" s="29"/>
      <c r="I565" s="30"/>
    </row>
    <row r="566" spans="5:9" ht="15.75" customHeight="1">
      <c r="E566" s="2"/>
      <c r="H566" s="29"/>
      <c r="I566" s="30"/>
    </row>
    <row r="567" spans="5:9" ht="15.75" customHeight="1">
      <c r="E567" s="2"/>
      <c r="H567" s="29"/>
      <c r="I567" s="30"/>
    </row>
    <row r="568" spans="5:9" ht="15.75" customHeight="1">
      <c r="E568" s="2"/>
      <c r="H568" s="29"/>
      <c r="I568" s="30"/>
    </row>
    <row r="569" spans="5:9" ht="15.75" customHeight="1">
      <c r="E569" s="2"/>
      <c r="H569" s="29"/>
      <c r="I569" s="30"/>
    </row>
    <row r="570" spans="5:9" ht="15.75" customHeight="1">
      <c r="E570" s="2"/>
      <c r="H570" s="29"/>
      <c r="I570" s="30"/>
    </row>
    <row r="571" spans="5:9" ht="15.75" customHeight="1">
      <c r="E571" s="2"/>
      <c r="H571" s="29"/>
      <c r="I571" s="30"/>
    </row>
    <row r="572" spans="5:9" ht="15.75" customHeight="1">
      <c r="E572" s="2"/>
      <c r="H572" s="29"/>
      <c r="I572" s="30"/>
    </row>
    <row r="573" spans="5:9" ht="15.75" customHeight="1">
      <c r="E573" s="2"/>
      <c r="H573" s="29"/>
      <c r="I573" s="30"/>
    </row>
    <row r="574" spans="5:9" ht="15.75" customHeight="1">
      <c r="E574" s="2"/>
      <c r="H574" s="29"/>
      <c r="I574" s="30"/>
    </row>
    <row r="575" spans="5:9" ht="15.75" customHeight="1">
      <c r="E575" s="2"/>
      <c r="H575" s="29"/>
      <c r="I575" s="30"/>
    </row>
    <row r="576" spans="5:9" ht="15.75" customHeight="1">
      <c r="E576" s="2"/>
      <c r="H576" s="29"/>
      <c r="I576" s="30"/>
    </row>
    <row r="577" spans="5:9" ht="15.75" customHeight="1">
      <c r="E577" s="2"/>
      <c r="H577" s="29"/>
      <c r="I577" s="30"/>
    </row>
    <row r="578" spans="5:9" ht="15.75" customHeight="1">
      <c r="E578" s="2"/>
      <c r="H578" s="29"/>
      <c r="I578" s="30"/>
    </row>
    <row r="579" spans="5:9" ht="15.75" customHeight="1">
      <c r="E579" s="2"/>
      <c r="H579" s="29"/>
      <c r="I579" s="30"/>
    </row>
    <row r="580" spans="5:9" ht="15.75" customHeight="1">
      <c r="E580" s="2"/>
      <c r="H580" s="29"/>
      <c r="I580" s="30"/>
    </row>
    <row r="581" spans="5:9" ht="15.75" customHeight="1">
      <c r="E581" s="2"/>
      <c r="H581" s="29"/>
      <c r="I581" s="30"/>
    </row>
    <row r="582" spans="5:9" ht="15.75" customHeight="1">
      <c r="E582" s="2"/>
      <c r="H582" s="29"/>
      <c r="I582" s="30"/>
    </row>
    <row r="583" spans="5:9" ht="15.75" customHeight="1">
      <c r="E583" s="2"/>
      <c r="H583" s="29"/>
      <c r="I583" s="30"/>
    </row>
    <row r="584" spans="5:9" ht="15.75" customHeight="1">
      <c r="E584" s="2"/>
      <c r="H584" s="29"/>
      <c r="I584" s="30"/>
    </row>
    <row r="585" spans="5:9" ht="15.75" customHeight="1">
      <c r="E585" s="2"/>
      <c r="H585" s="29"/>
      <c r="I585" s="30"/>
    </row>
    <row r="586" spans="5:9" ht="15.75" customHeight="1">
      <c r="E586" s="2"/>
      <c r="H586" s="29"/>
      <c r="I586" s="30"/>
    </row>
    <row r="587" spans="5:9" ht="15.75" customHeight="1">
      <c r="E587" s="2"/>
      <c r="H587" s="29"/>
      <c r="I587" s="30"/>
    </row>
    <row r="588" spans="5:9" ht="15.75" customHeight="1">
      <c r="E588" s="2"/>
      <c r="H588" s="29"/>
      <c r="I588" s="30"/>
    </row>
    <row r="589" spans="5:9" ht="15.75" customHeight="1">
      <c r="E589" s="2"/>
      <c r="H589" s="29"/>
      <c r="I589" s="30"/>
    </row>
    <row r="590" spans="5:9" ht="15.75" customHeight="1">
      <c r="E590" s="2"/>
      <c r="H590" s="29"/>
      <c r="I590" s="30"/>
    </row>
    <row r="591" spans="5:9" ht="15.75" customHeight="1">
      <c r="E591" s="2"/>
      <c r="H591" s="29"/>
      <c r="I591" s="30"/>
    </row>
    <row r="592" spans="5:9" ht="15.75" customHeight="1">
      <c r="E592" s="2"/>
      <c r="H592" s="29"/>
      <c r="I592" s="30"/>
    </row>
    <row r="593" spans="5:9" ht="15.75" customHeight="1">
      <c r="E593" s="2"/>
      <c r="H593" s="29"/>
      <c r="I593" s="30"/>
    </row>
    <row r="594" spans="5:9" ht="15.75" customHeight="1">
      <c r="E594" s="2"/>
      <c r="H594" s="29"/>
      <c r="I594" s="30"/>
    </row>
    <row r="595" spans="5:9" ht="15.75" customHeight="1">
      <c r="E595" s="2"/>
      <c r="H595" s="29"/>
      <c r="I595" s="30"/>
    </row>
    <row r="596" spans="5:9" ht="15.75" customHeight="1">
      <c r="E596" s="2"/>
      <c r="H596" s="29"/>
      <c r="I596" s="30"/>
    </row>
    <row r="597" spans="5:9" ht="15.75" customHeight="1">
      <c r="E597" s="2"/>
      <c r="H597" s="29"/>
      <c r="I597" s="30"/>
    </row>
    <row r="598" spans="5:9" ht="15.75" customHeight="1">
      <c r="E598" s="2"/>
      <c r="H598" s="29"/>
      <c r="I598" s="30"/>
    </row>
    <row r="599" spans="5:9" ht="15.75" customHeight="1">
      <c r="E599" s="2"/>
      <c r="H599" s="29"/>
      <c r="I599" s="30"/>
    </row>
    <row r="600" spans="5:9" ht="15.75" customHeight="1">
      <c r="E600" s="2"/>
      <c r="H600" s="29"/>
      <c r="I600" s="30"/>
    </row>
    <row r="601" spans="5:9" ht="15.75" customHeight="1">
      <c r="E601" s="2"/>
      <c r="H601" s="29"/>
      <c r="I601" s="30"/>
    </row>
    <row r="602" spans="5:9" ht="15.75" customHeight="1">
      <c r="E602" s="2"/>
      <c r="H602" s="29"/>
      <c r="I602" s="30"/>
    </row>
    <row r="603" spans="5:9" ht="15.75" customHeight="1">
      <c r="E603" s="2"/>
      <c r="H603" s="29"/>
      <c r="I603" s="30"/>
    </row>
    <row r="604" spans="5:9" ht="15.75" customHeight="1">
      <c r="E604" s="2"/>
      <c r="H604" s="29"/>
      <c r="I604" s="30"/>
    </row>
    <row r="605" spans="5:9" ht="15.75" customHeight="1">
      <c r="E605" s="2"/>
      <c r="H605" s="29"/>
      <c r="I605" s="30"/>
    </row>
    <row r="606" spans="5:9" ht="15.75" customHeight="1">
      <c r="E606" s="2"/>
      <c r="H606" s="29"/>
      <c r="I606" s="30"/>
    </row>
    <row r="607" spans="5:9" ht="15.75" customHeight="1">
      <c r="E607" s="2"/>
      <c r="H607" s="29"/>
      <c r="I607" s="30"/>
    </row>
    <row r="608" spans="5:9" ht="15.75" customHeight="1">
      <c r="E608" s="2"/>
      <c r="H608" s="29"/>
      <c r="I608" s="30"/>
    </row>
    <row r="609" spans="5:9" ht="15.75" customHeight="1">
      <c r="E609" s="2"/>
      <c r="H609" s="29"/>
      <c r="I609" s="30"/>
    </row>
    <row r="610" spans="5:9" ht="15.75" customHeight="1">
      <c r="E610" s="2"/>
      <c r="H610" s="29"/>
      <c r="I610" s="30"/>
    </row>
    <row r="611" spans="5:9" ht="15.75" customHeight="1">
      <c r="E611" s="2"/>
      <c r="H611" s="29"/>
      <c r="I611" s="30"/>
    </row>
    <row r="612" spans="5:9" ht="15.75" customHeight="1">
      <c r="E612" s="2"/>
      <c r="H612" s="29"/>
      <c r="I612" s="30"/>
    </row>
    <row r="613" spans="5:9" ht="15.75" customHeight="1">
      <c r="E613" s="2"/>
      <c r="H613" s="29"/>
      <c r="I613" s="30"/>
    </row>
    <row r="614" spans="5:9" ht="15.75" customHeight="1">
      <c r="E614" s="2"/>
      <c r="H614" s="29"/>
      <c r="I614" s="30"/>
    </row>
    <row r="615" spans="5:9" ht="15.75" customHeight="1">
      <c r="E615" s="2"/>
      <c r="H615" s="29"/>
      <c r="I615" s="30"/>
    </row>
    <row r="616" spans="5:9" ht="15.75" customHeight="1">
      <c r="E616" s="2"/>
      <c r="H616" s="29"/>
      <c r="I616" s="30"/>
    </row>
    <row r="617" spans="5:9" ht="15.75" customHeight="1">
      <c r="E617" s="2"/>
      <c r="H617" s="29"/>
      <c r="I617" s="30"/>
    </row>
    <row r="618" spans="5:9" ht="15.75" customHeight="1">
      <c r="E618" s="2"/>
      <c r="H618" s="29"/>
      <c r="I618" s="30"/>
    </row>
    <row r="619" spans="5:9" ht="15.75" customHeight="1">
      <c r="E619" s="2"/>
      <c r="H619" s="29"/>
      <c r="I619" s="30"/>
    </row>
    <row r="620" spans="5:9" ht="15.75" customHeight="1">
      <c r="E620" s="2"/>
      <c r="H620" s="29"/>
      <c r="I620" s="30"/>
    </row>
    <row r="621" spans="5:9" ht="15.75" customHeight="1">
      <c r="E621" s="2"/>
      <c r="H621" s="29"/>
      <c r="I621" s="30"/>
    </row>
    <row r="622" spans="5:9" ht="15.75" customHeight="1">
      <c r="E622" s="2"/>
      <c r="H622" s="29"/>
      <c r="I622" s="30"/>
    </row>
    <row r="623" spans="5:9" ht="15.75" customHeight="1">
      <c r="E623" s="2"/>
      <c r="H623" s="29"/>
      <c r="I623" s="30"/>
    </row>
    <row r="624" spans="5:9" ht="15.75" customHeight="1">
      <c r="E624" s="2"/>
      <c r="H624" s="29"/>
      <c r="I624" s="30"/>
    </row>
    <row r="625" spans="5:9" ht="15.75" customHeight="1">
      <c r="E625" s="2"/>
      <c r="H625" s="29"/>
      <c r="I625" s="30"/>
    </row>
    <row r="626" spans="5:9" ht="15.75" customHeight="1">
      <c r="E626" s="2"/>
      <c r="H626" s="29"/>
      <c r="I626" s="30"/>
    </row>
    <row r="627" spans="5:9" ht="15.75" customHeight="1">
      <c r="E627" s="2"/>
      <c r="H627" s="29"/>
      <c r="I627" s="30"/>
    </row>
    <row r="628" spans="5:9" ht="15.75" customHeight="1">
      <c r="E628" s="2"/>
      <c r="H628" s="29"/>
      <c r="I628" s="30"/>
    </row>
    <row r="629" spans="5:9" ht="15.75" customHeight="1">
      <c r="E629" s="2"/>
      <c r="H629" s="29"/>
      <c r="I629" s="30"/>
    </row>
    <row r="630" spans="5:9" ht="15.75" customHeight="1">
      <c r="E630" s="2"/>
      <c r="H630" s="29"/>
      <c r="I630" s="30"/>
    </row>
    <row r="631" spans="5:9" ht="15.75" customHeight="1">
      <c r="E631" s="2"/>
      <c r="H631" s="29"/>
      <c r="I631" s="30"/>
    </row>
    <row r="632" spans="5:9" ht="15.75" customHeight="1">
      <c r="E632" s="2"/>
      <c r="H632" s="29"/>
      <c r="I632" s="30"/>
    </row>
    <row r="633" spans="5:9" ht="15.75" customHeight="1">
      <c r="E633" s="2"/>
      <c r="H633" s="29"/>
      <c r="I633" s="30"/>
    </row>
    <row r="634" spans="5:9" ht="15.75" customHeight="1">
      <c r="E634" s="2"/>
      <c r="H634" s="29"/>
      <c r="I634" s="30"/>
    </row>
    <row r="635" spans="5:9" ht="15.75" customHeight="1">
      <c r="E635" s="2"/>
      <c r="H635" s="29"/>
      <c r="I635" s="30"/>
    </row>
    <row r="636" spans="5:9" ht="15.75" customHeight="1">
      <c r="E636" s="2"/>
      <c r="H636" s="29"/>
      <c r="I636" s="30"/>
    </row>
    <row r="637" spans="5:9" ht="15.75" customHeight="1">
      <c r="E637" s="2"/>
      <c r="H637" s="29"/>
      <c r="I637" s="30"/>
    </row>
    <row r="638" spans="5:9" ht="15.75" customHeight="1">
      <c r="E638" s="2"/>
      <c r="H638" s="29"/>
      <c r="I638" s="30"/>
    </row>
    <row r="639" spans="5:9" ht="15.75" customHeight="1">
      <c r="E639" s="2"/>
      <c r="H639" s="29"/>
      <c r="I639" s="30"/>
    </row>
    <row r="640" spans="5:9" ht="15.75" customHeight="1">
      <c r="E640" s="2"/>
      <c r="H640" s="29"/>
      <c r="I640" s="30"/>
    </row>
    <row r="641" spans="5:9" ht="15.75" customHeight="1">
      <c r="E641" s="2"/>
      <c r="H641" s="29"/>
      <c r="I641" s="30"/>
    </row>
    <row r="642" spans="5:9" ht="15.75" customHeight="1">
      <c r="E642" s="2"/>
      <c r="H642" s="29"/>
      <c r="I642" s="30"/>
    </row>
    <row r="643" spans="5:9" ht="15.75" customHeight="1">
      <c r="E643" s="2"/>
      <c r="H643" s="29"/>
      <c r="I643" s="30"/>
    </row>
    <row r="644" spans="5:9" ht="15.75" customHeight="1">
      <c r="E644" s="2"/>
      <c r="H644" s="29"/>
      <c r="I644" s="30"/>
    </row>
    <row r="645" spans="5:9" ht="15.75" customHeight="1">
      <c r="E645" s="2"/>
      <c r="H645" s="29"/>
      <c r="I645" s="30"/>
    </row>
    <row r="646" spans="5:9" ht="15.75" customHeight="1">
      <c r="E646" s="2"/>
      <c r="H646" s="29"/>
      <c r="I646" s="30"/>
    </row>
    <row r="647" spans="5:9" ht="15.75" customHeight="1">
      <c r="E647" s="2"/>
      <c r="H647" s="29"/>
      <c r="I647" s="30"/>
    </row>
    <row r="648" spans="5:9" ht="15.75" customHeight="1">
      <c r="E648" s="2"/>
      <c r="H648" s="29"/>
      <c r="I648" s="30"/>
    </row>
    <row r="649" spans="5:9" ht="15.75" customHeight="1">
      <c r="E649" s="2"/>
      <c r="H649" s="29"/>
      <c r="I649" s="30"/>
    </row>
    <row r="650" spans="5:9" ht="15.75" customHeight="1">
      <c r="E650" s="2"/>
      <c r="H650" s="29"/>
      <c r="I650" s="30"/>
    </row>
    <row r="651" spans="5:9" ht="15.75" customHeight="1">
      <c r="E651" s="2"/>
      <c r="H651" s="29"/>
      <c r="I651" s="30"/>
    </row>
    <row r="652" spans="5:9" ht="15.75" customHeight="1">
      <c r="E652" s="2"/>
      <c r="H652" s="29"/>
      <c r="I652" s="30"/>
    </row>
    <row r="653" spans="5:9" ht="15.75" customHeight="1">
      <c r="E653" s="2"/>
      <c r="H653" s="29"/>
      <c r="I653" s="30"/>
    </row>
    <row r="654" spans="5:9" ht="15.75" customHeight="1">
      <c r="E654" s="2"/>
      <c r="H654" s="29"/>
      <c r="I654" s="30"/>
    </row>
    <row r="655" spans="5:9" ht="15.75" customHeight="1">
      <c r="E655" s="2"/>
      <c r="H655" s="29"/>
      <c r="I655" s="30"/>
    </row>
    <row r="656" spans="5:9" ht="15.75" customHeight="1">
      <c r="E656" s="2"/>
      <c r="H656" s="29"/>
      <c r="I656" s="30"/>
    </row>
    <row r="657" spans="5:9" ht="15.75" customHeight="1">
      <c r="E657" s="2"/>
      <c r="H657" s="29"/>
      <c r="I657" s="30"/>
    </row>
    <row r="658" spans="5:9" ht="15.75" customHeight="1">
      <c r="E658" s="2"/>
      <c r="H658" s="29"/>
      <c r="I658" s="30"/>
    </row>
    <row r="659" spans="5:9" ht="15.75" customHeight="1">
      <c r="E659" s="2"/>
      <c r="H659" s="29"/>
      <c r="I659" s="30"/>
    </row>
    <row r="660" spans="5:9" ht="15.75" customHeight="1">
      <c r="E660" s="2"/>
      <c r="H660" s="29"/>
      <c r="I660" s="30"/>
    </row>
    <row r="661" spans="5:9" ht="15.75" customHeight="1">
      <c r="E661" s="2"/>
      <c r="H661" s="29"/>
      <c r="I661" s="30"/>
    </row>
    <row r="662" spans="5:9" ht="15.75" customHeight="1">
      <c r="E662" s="2"/>
      <c r="H662" s="29"/>
      <c r="I662" s="30"/>
    </row>
    <row r="663" spans="5:9" ht="15.75" customHeight="1">
      <c r="E663" s="2"/>
      <c r="H663" s="29"/>
      <c r="I663" s="30"/>
    </row>
    <row r="664" spans="5:9" ht="15.75" customHeight="1">
      <c r="E664" s="2"/>
      <c r="H664" s="29"/>
      <c r="I664" s="30"/>
    </row>
    <row r="665" spans="5:9" ht="15.75" customHeight="1">
      <c r="E665" s="2"/>
      <c r="H665" s="29"/>
      <c r="I665" s="30"/>
    </row>
    <row r="666" spans="5:9" ht="15.75" customHeight="1">
      <c r="E666" s="2"/>
      <c r="H666" s="29"/>
      <c r="I666" s="30"/>
    </row>
    <row r="667" spans="5:9" ht="15.75" customHeight="1">
      <c r="E667" s="2"/>
      <c r="H667" s="29"/>
      <c r="I667" s="30"/>
    </row>
    <row r="668" spans="5:9" ht="15.75" customHeight="1">
      <c r="E668" s="2"/>
      <c r="H668" s="29"/>
      <c r="I668" s="30"/>
    </row>
    <row r="669" spans="5:9" ht="15.75" customHeight="1">
      <c r="E669" s="2"/>
      <c r="H669" s="29"/>
      <c r="I669" s="30"/>
    </row>
    <row r="670" spans="5:9" ht="15.75" customHeight="1">
      <c r="E670" s="2"/>
      <c r="H670" s="29"/>
      <c r="I670" s="30"/>
    </row>
    <row r="671" spans="5:9" ht="15.75" customHeight="1">
      <c r="E671" s="2"/>
      <c r="H671" s="29"/>
      <c r="I671" s="30"/>
    </row>
    <row r="672" spans="5:9" ht="15.75" customHeight="1">
      <c r="E672" s="2"/>
      <c r="H672" s="29"/>
      <c r="I672" s="30"/>
    </row>
    <row r="673" spans="5:9" ht="15.75" customHeight="1">
      <c r="E673" s="2"/>
      <c r="H673" s="29"/>
      <c r="I673" s="30"/>
    </row>
    <row r="674" spans="5:9" ht="15.75" customHeight="1">
      <c r="E674" s="2"/>
      <c r="H674" s="29"/>
      <c r="I674" s="30"/>
    </row>
    <row r="675" spans="5:9" ht="15.75" customHeight="1">
      <c r="E675" s="2"/>
      <c r="H675" s="29"/>
      <c r="I675" s="30"/>
    </row>
    <row r="676" spans="5:9" ht="15.75" customHeight="1">
      <c r="E676" s="2"/>
      <c r="H676" s="29"/>
      <c r="I676" s="30"/>
    </row>
    <row r="677" spans="5:9" ht="15.75" customHeight="1">
      <c r="E677" s="2"/>
      <c r="H677" s="29"/>
      <c r="I677" s="30"/>
    </row>
    <row r="678" spans="5:9" ht="15.75" customHeight="1">
      <c r="E678" s="2"/>
      <c r="H678" s="29"/>
      <c r="I678" s="30"/>
    </row>
    <row r="679" spans="5:9" ht="15.75" customHeight="1">
      <c r="E679" s="2"/>
      <c r="H679" s="29"/>
      <c r="I679" s="30"/>
    </row>
    <row r="680" spans="5:9" ht="15.75" customHeight="1">
      <c r="E680" s="2"/>
      <c r="H680" s="29"/>
      <c r="I680" s="30"/>
    </row>
    <row r="681" spans="5:9" ht="15.75" customHeight="1">
      <c r="E681" s="2"/>
      <c r="H681" s="29"/>
      <c r="I681" s="30"/>
    </row>
    <row r="682" spans="5:9" ht="15.75" customHeight="1">
      <c r="E682" s="2"/>
      <c r="H682" s="29"/>
      <c r="I682" s="30"/>
    </row>
    <row r="683" spans="5:9" ht="15.75" customHeight="1">
      <c r="E683" s="2"/>
      <c r="H683" s="29"/>
      <c r="I683" s="30"/>
    </row>
    <row r="684" spans="5:9" ht="15.75" customHeight="1">
      <c r="E684" s="2"/>
      <c r="H684" s="29"/>
      <c r="I684" s="30"/>
    </row>
    <row r="685" spans="5:9" ht="15.75" customHeight="1">
      <c r="E685" s="2"/>
      <c r="H685" s="29"/>
      <c r="I685" s="30"/>
    </row>
    <row r="686" spans="5:9" ht="15.75" customHeight="1">
      <c r="E686" s="2"/>
      <c r="H686" s="29"/>
      <c r="I686" s="30"/>
    </row>
    <row r="687" spans="5:9" ht="15.75" customHeight="1">
      <c r="E687" s="2"/>
      <c r="H687" s="29"/>
      <c r="I687" s="30"/>
    </row>
    <row r="688" spans="5:9" ht="15.75" customHeight="1">
      <c r="E688" s="2"/>
      <c r="H688" s="29"/>
      <c r="I688" s="30"/>
    </row>
    <row r="689" spans="5:9" ht="15.75" customHeight="1">
      <c r="E689" s="2"/>
      <c r="H689" s="29"/>
      <c r="I689" s="30"/>
    </row>
    <row r="690" spans="5:9" ht="15.75" customHeight="1">
      <c r="E690" s="2"/>
      <c r="H690" s="29"/>
      <c r="I690" s="30"/>
    </row>
    <row r="691" spans="5:9" ht="15.75" customHeight="1">
      <c r="E691" s="2"/>
      <c r="H691" s="29"/>
      <c r="I691" s="30"/>
    </row>
    <row r="692" spans="5:9" ht="15.75" customHeight="1">
      <c r="E692" s="2"/>
      <c r="H692" s="29"/>
      <c r="I692" s="30"/>
    </row>
    <row r="693" spans="5:9" ht="15.75" customHeight="1">
      <c r="E693" s="2"/>
      <c r="H693" s="29"/>
      <c r="I693" s="30"/>
    </row>
    <row r="694" spans="5:9" ht="15.75" customHeight="1">
      <c r="E694" s="2"/>
      <c r="H694" s="29"/>
      <c r="I694" s="30"/>
    </row>
    <row r="695" spans="5:9" ht="15.75" customHeight="1">
      <c r="E695" s="2"/>
      <c r="H695" s="29"/>
      <c r="I695" s="30"/>
    </row>
    <row r="696" spans="5:9" ht="15.75" customHeight="1">
      <c r="E696" s="2"/>
      <c r="H696" s="29"/>
      <c r="I696" s="30"/>
    </row>
    <row r="697" spans="5:9" ht="15.75" customHeight="1">
      <c r="E697" s="2"/>
      <c r="H697" s="29"/>
      <c r="I697" s="30"/>
    </row>
    <row r="698" spans="5:9" ht="15.75" customHeight="1">
      <c r="E698" s="2"/>
      <c r="H698" s="29"/>
      <c r="I698" s="30"/>
    </row>
    <row r="699" spans="5:9" ht="15.75" customHeight="1">
      <c r="E699" s="2"/>
      <c r="H699" s="29"/>
      <c r="I699" s="30"/>
    </row>
    <row r="700" spans="5:9" ht="15.75" customHeight="1">
      <c r="E700" s="2"/>
      <c r="H700" s="29"/>
      <c r="I700" s="30"/>
    </row>
    <row r="701" spans="5:9" ht="15.75" customHeight="1">
      <c r="E701" s="2"/>
      <c r="H701" s="29"/>
      <c r="I701" s="30"/>
    </row>
    <row r="702" spans="5:9" ht="15.75" customHeight="1">
      <c r="E702" s="2"/>
      <c r="H702" s="29"/>
      <c r="I702" s="30"/>
    </row>
    <row r="703" spans="5:9" ht="15.75" customHeight="1">
      <c r="E703" s="2"/>
      <c r="H703" s="29"/>
      <c r="I703" s="30"/>
    </row>
    <row r="704" spans="5:9" ht="15.75" customHeight="1">
      <c r="E704" s="2"/>
      <c r="H704" s="29"/>
      <c r="I704" s="30"/>
    </row>
    <row r="705" spans="5:9" ht="15.75" customHeight="1">
      <c r="E705" s="2"/>
      <c r="H705" s="29"/>
      <c r="I705" s="30"/>
    </row>
    <row r="706" spans="5:9" ht="15.75" customHeight="1">
      <c r="E706" s="2"/>
      <c r="H706" s="29"/>
      <c r="I706" s="30"/>
    </row>
    <row r="707" spans="5:9" ht="15.75" customHeight="1">
      <c r="E707" s="2"/>
      <c r="H707" s="29"/>
      <c r="I707" s="30"/>
    </row>
    <row r="708" spans="5:9" ht="15.75" customHeight="1">
      <c r="E708" s="2"/>
      <c r="H708" s="29"/>
      <c r="I708" s="30"/>
    </row>
    <row r="709" spans="5:9" ht="15.75" customHeight="1">
      <c r="E709" s="2"/>
      <c r="H709" s="29"/>
      <c r="I709" s="30"/>
    </row>
    <row r="710" spans="5:9" ht="15.75" customHeight="1">
      <c r="E710" s="2"/>
      <c r="H710" s="29"/>
      <c r="I710" s="30"/>
    </row>
    <row r="711" spans="5:9" ht="15.75" customHeight="1">
      <c r="E711" s="2"/>
      <c r="H711" s="29"/>
      <c r="I711" s="30"/>
    </row>
    <row r="712" spans="5:9" ht="15.75" customHeight="1">
      <c r="E712" s="2"/>
      <c r="H712" s="29"/>
      <c r="I712" s="30"/>
    </row>
    <row r="713" spans="5:9" ht="15.75" customHeight="1">
      <c r="E713" s="2"/>
      <c r="H713" s="29"/>
      <c r="I713" s="30"/>
    </row>
    <row r="714" spans="5:9" ht="15.75" customHeight="1">
      <c r="E714" s="2"/>
      <c r="H714" s="29"/>
      <c r="I714" s="30"/>
    </row>
    <row r="715" spans="5:9" ht="15.75" customHeight="1">
      <c r="E715" s="2"/>
      <c r="H715" s="29"/>
      <c r="I715" s="30"/>
    </row>
    <row r="716" spans="5:9" ht="15.75" customHeight="1">
      <c r="E716" s="2"/>
      <c r="H716" s="29"/>
      <c r="I716" s="30"/>
    </row>
    <row r="717" spans="5:9" ht="15.75" customHeight="1">
      <c r="E717" s="2"/>
      <c r="H717" s="29"/>
      <c r="I717" s="30"/>
    </row>
    <row r="718" spans="5:9" ht="15.75" customHeight="1">
      <c r="E718" s="2"/>
      <c r="H718" s="29"/>
      <c r="I718" s="30"/>
    </row>
    <row r="719" spans="5:9" ht="15.75" customHeight="1">
      <c r="E719" s="2"/>
      <c r="H719" s="29"/>
      <c r="I719" s="30"/>
    </row>
    <row r="720" spans="5:9" ht="15.75" customHeight="1">
      <c r="E720" s="2"/>
      <c r="H720" s="29"/>
      <c r="I720" s="30"/>
    </row>
    <row r="721" spans="5:9" ht="15.75" customHeight="1">
      <c r="E721" s="2"/>
      <c r="H721" s="29"/>
      <c r="I721" s="30"/>
    </row>
    <row r="722" spans="5:9" ht="15.75" customHeight="1">
      <c r="E722" s="2"/>
      <c r="H722" s="29"/>
      <c r="I722" s="30"/>
    </row>
    <row r="723" spans="5:9" ht="15.75" customHeight="1">
      <c r="E723" s="2"/>
      <c r="H723" s="29"/>
      <c r="I723" s="30"/>
    </row>
    <row r="724" spans="5:9" ht="15.75" customHeight="1">
      <c r="E724" s="2"/>
      <c r="H724" s="29"/>
      <c r="I724" s="30"/>
    </row>
    <row r="725" spans="5:9" ht="15.75" customHeight="1">
      <c r="E725" s="2"/>
      <c r="H725" s="29"/>
      <c r="I725" s="30"/>
    </row>
    <row r="726" spans="5:9" ht="15.75" customHeight="1">
      <c r="E726" s="2"/>
      <c r="H726" s="29"/>
      <c r="I726" s="30"/>
    </row>
    <row r="727" spans="5:9" ht="15.75" customHeight="1">
      <c r="E727" s="2"/>
      <c r="H727" s="29"/>
      <c r="I727" s="30"/>
    </row>
    <row r="728" spans="5:9" ht="15.75" customHeight="1">
      <c r="E728" s="2"/>
      <c r="H728" s="29"/>
      <c r="I728" s="30"/>
    </row>
    <row r="729" spans="5:9" ht="15.75" customHeight="1">
      <c r="E729" s="2"/>
      <c r="H729" s="29"/>
      <c r="I729" s="30"/>
    </row>
    <row r="730" spans="5:9" ht="15.75" customHeight="1">
      <c r="E730" s="2"/>
      <c r="H730" s="29"/>
      <c r="I730" s="30"/>
    </row>
    <row r="731" spans="5:9" ht="15.75" customHeight="1">
      <c r="E731" s="2"/>
      <c r="H731" s="29"/>
      <c r="I731" s="30"/>
    </row>
    <row r="732" spans="5:9" ht="15.75" customHeight="1">
      <c r="E732" s="2"/>
      <c r="H732" s="29"/>
      <c r="I732" s="30"/>
    </row>
    <row r="733" spans="5:9" ht="15.75" customHeight="1">
      <c r="E733" s="2"/>
      <c r="H733" s="29"/>
      <c r="I733" s="30"/>
    </row>
    <row r="734" spans="5:9" ht="15.75" customHeight="1">
      <c r="E734" s="2"/>
      <c r="H734" s="29"/>
      <c r="I734" s="30"/>
    </row>
    <row r="735" spans="5:9" ht="15.75" customHeight="1">
      <c r="E735" s="2"/>
      <c r="H735" s="29"/>
      <c r="I735" s="30"/>
    </row>
    <row r="736" spans="5:9" ht="15.75" customHeight="1">
      <c r="E736" s="2"/>
      <c r="H736" s="29"/>
      <c r="I736" s="30"/>
    </row>
    <row r="737" spans="5:9" ht="15.75" customHeight="1">
      <c r="E737" s="2"/>
      <c r="H737" s="29"/>
      <c r="I737" s="30"/>
    </row>
    <row r="738" spans="5:9" ht="15.75" customHeight="1">
      <c r="E738" s="2"/>
      <c r="H738" s="29"/>
      <c r="I738" s="30"/>
    </row>
    <row r="739" spans="5:9" ht="15.75" customHeight="1">
      <c r="E739" s="2"/>
      <c r="H739" s="29"/>
      <c r="I739" s="30"/>
    </row>
    <row r="740" spans="5:9" ht="15.75" customHeight="1">
      <c r="E740" s="2"/>
      <c r="H740" s="29"/>
      <c r="I740" s="30"/>
    </row>
    <row r="741" spans="5:9" ht="15.75" customHeight="1">
      <c r="E741" s="2"/>
      <c r="H741" s="29"/>
      <c r="I741" s="30"/>
    </row>
    <row r="742" spans="5:9" ht="15.75" customHeight="1">
      <c r="E742" s="2"/>
      <c r="H742" s="29"/>
      <c r="I742" s="30"/>
    </row>
    <row r="743" spans="5:9" ht="15.75" customHeight="1">
      <c r="E743" s="2"/>
      <c r="H743" s="29"/>
      <c r="I743" s="30"/>
    </row>
    <row r="744" spans="5:9" ht="15.75" customHeight="1">
      <c r="E744" s="2"/>
      <c r="H744" s="29"/>
      <c r="I744" s="30"/>
    </row>
    <row r="745" spans="5:9" ht="15.75" customHeight="1">
      <c r="E745" s="2"/>
      <c r="H745" s="29"/>
      <c r="I745" s="30"/>
    </row>
    <row r="746" spans="5:9" ht="15.75" customHeight="1">
      <c r="E746" s="2"/>
      <c r="H746" s="29"/>
      <c r="I746" s="30"/>
    </row>
    <row r="747" spans="5:9" ht="15.75" customHeight="1">
      <c r="E747" s="2"/>
      <c r="H747" s="29"/>
      <c r="I747" s="30"/>
    </row>
    <row r="748" spans="5:9" ht="15.75" customHeight="1">
      <c r="E748" s="2"/>
      <c r="H748" s="29"/>
      <c r="I748" s="30"/>
    </row>
    <row r="749" spans="5:9" ht="15.75" customHeight="1">
      <c r="E749" s="2"/>
      <c r="H749" s="29"/>
      <c r="I749" s="30"/>
    </row>
    <row r="750" spans="5:9" ht="15.75" customHeight="1">
      <c r="E750" s="2"/>
      <c r="H750" s="29"/>
      <c r="I750" s="30"/>
    </row>
    <row r="751" spans="5:9" ht="15.75" customHeight="1">
      <c r="E751" s="2"/>
      <c r="H751" s="29"/>
      <c r="I751" s="30"/>
    </row>
    <row r="752" spans="5:9" ht="15.75" customHeight="1">
      <c r="E752" s="2"/>
      <c r="H752" s="29"/>
      <c r="I752" s="30"/>
    </row>
    <row r="753" spans="5:9" ht="15.75" customHeight="1">
      <c r="E753" s="2"/>
      <c r="H753" s="29"/>
      <c r="I753" s="30"/>
    </row>
    <row r="754" spans="5:9" ht="15.75" customHeight="1">
      <c r="E754" s="2"/>
      <c r="H754" s="29"/>
      <c r="I754" s="30"/>
    </row>
    <row r="755" spans="5:9" ht="15.75" customHeight="1">
      <c r="E755" s="2"/>
      <c r="H755" s="29"/>
      <c r="I755" s="30"/>
    </row>
    <row r="756" spans="5:9" ht="15.75" customHeight="1">
      <c r="E756" s="2"/>
      <c r="H756" s="29"/>
      <c r="I756" s="30"/>
    </row>
    <row r="757" spans="5:9" ht="15.75" customHeight="1">
      <c r="E757" s="2"/>
      <c r="H757" s="29"/>
      <c r="I757" s="30"/>
    </row>
    <row r="758" spans="5:9" ht="15.75" customHeight="1">
      <c r="E758" s="2"/>
      <c r="H758" s="29"/>
      <c r="I758" s="30"/>
    </row>
    <row r="759" spans="5:9" ht="15.75" customHeight="1">
      <c r="E759" s="2"/>
      <c r="H759" s="29"/>
      <c r="I759" s="30"/>
    </row>
    <row r="760" spans="5:9" ht="15.75" customHeight="1">
      <c r="E760" s="2"/>
      <c r="H760" s="29"/>
      <c r="I760" s="30"/>
    </row>
    <row r="761" spans="5:9" ht="15.75" customHeight="1">
      <c r="E761" s="2"/>
      <c r="H761" s="29"/>
      <c r="I761" s="30"/>
    </row>
    <row r="762" spans="5:9" ht="15.75" customHeight="1">
      <c r="E762" s="2"/>
      <c r="H762" s="29"/>
      <c r="I762" s="30"/>
    </row>
    <row r="763" spans="5:9" ht="15.75" customHeight="1">
      <c r="E763" s="2"/>
      <c r="H763" s="29"/>
      <c r="I763" s="30"/>
    </row>
    <row r="764" spans="5:9" ht="15.75" customHeight="1">
      <c r="E764" s="2"/>
      <c r="H764" s="29"/>
      <c r="I764" s="30"/>
    </row>
    <row r="765" spans="5:9" ht="15.75" customHeight="1">
      <c r="E765" s="2"/>
      <c r="H765" s="29"/>
      <c r="I765" s="30"/>
    </row>
    <row r="766" spans="5:9" ht="15.75" customHeight="1">
      <c r="E766" s="2"/>
      <c r="H766" s="29"/>
      <c r="I766" s="30"/>
    </row>
    <row r="767" spans="5:9" ht="15.75" customHeight="1">
      <c r="E767" s="2"/>
      <c r="H767" s="29"/>
      <c r="I767" s="30"/>
    </row>
    <row r="768" spans="5:9" ht="15.75" customHeight="1">
      <c r="E768" s="2"/>
      <c r="H768" s="29"/>
      <c r="I768" s="30"/>
    </row>
    <row r="769" spans="5:9" ht="15.75" customHeight="1">
      <c r="E769" s="2"/>
      <c r="H769" s="29"/>
      <c r="I769" s="30"/>
    </row>
    <row r="770" spans="5:9" ht="15.75" customHeight="1">
      <c r="E770" s="2"/>
      <c r="H770" s="29"/>
      <c r="I770" s="30"/>
    </row>
    <row r="771" spans="5:9" ht="15.75" customHeight="1">
      <c r="E771" s="2"/>
      <c r="H771" s="29"/>
      <c r="I771" s="30"/>
    </row>
    <row r="772" spans="5:9" ht="15.75" customHeight="1">
      <c r="E772" s="2"/>
      <c r="H772" s="29"/>
      <c r="I772" s="30"/>
    </row>
    <row r="773" spans="5:9" ht="15.75" customHeight="1">
      <c r="E773" s="2"/>
      <c r="H773" s="29"/>
      <c r="I773" s="30"/>
    </row>
    <row r="774" spans="5:9" ht="15.75" customHeight="1">
      <c r="E774" s="2"/>
      <c r="H774" s="29"/>
      <c r="I774" s="30"/>
    </row>
    <row r="775" spans="5:9" ht="15.75" customHeight="1">
      <c r="E775" s="2"/>
      <c r="H775" s="29"/>
      <c r="I775" s="30"/>
    </row>
    <row r="776" spans="5:9" ht="15.75" customHeight="1">
      <c r="E776" s="2"/>
      <c r="H776" s="29"/>
      <c r="I776" s="30"/>
    </row>
    <row r="777" spans="5:9" ht="15.75" customHeight="1">
      <c r="E777" s="2"/>
      <c r="H777" s="29"/>
      <c r="I777" s="30"/>
    </row>
    <row r="778" spans="5:9" ht="15.75" customHeight="1">
      <c r="E778" s="2"/>
      <c r="H778" s="29"/>
      <c r="I778" s="30"/>
    </row>
    <row r="779" spans="5:9" ht="15.75" customHeight="1">
      <c r="E779" s="2"/>
      <c r="H779" s="29"/>
      <c r="I779" s="30"/>
    </row>
    <row r="780" spans="5:9" ht="15.75" customHeight="1">
      <c r="E780" s="2"/>
      <c r="H780" s="29"/>
      <c r="I780" s="30"/>
    </row>
    <row r="781" spans="5:9" ht="15.75" customHeight="1">
      <c r="E781" s="2"/>
      <c r="H781" s="29"/>
      <c r="I781" s="30"/>
    </row>
    <row r="782" spans="5:9" ht="15.75" customHeight="1">
      <c r="E782" s="2"/>
      <c r="H782" s="29"/>
      <c r="I782" s="30"/>
    </row>
    <row r="783" spans="5:9" ht="15.75" customHeight="1">
      <c r="E783" s="2"/>
      <c r="H783" s="29"/>
      <c r="I783" s="30"/>
    </row>
    <row r="784" spans="5:9" ht="15.75" customHeight="1">
      <c r="E784" s="2"/>
      <c r="H784" s="29"/>
      <c r="I784" s="30"/>
    </row>
    <row r="785" spans="5:9" ht="15.75" customHeight="1">
      <c r="E785" s="2"/>
      <c r="H785" s="29"/>
      <c r="I785" s="30"/>
    </row>
    <row r="786" spans="5:9" ht="15.75" customHeight="1">
      <c r="E786" s="2"/>
      <c r="H786" s="29"/>
      <c r="I786" s="30"/>
    </row>
    <row r="787" spans="5:9" ht="15.75" customHeight="1">
      <c r="E787" s="2"/>
      <c r="H787" s="29"/>
      <c r="I787" s="30"/>
    </row>
    <row r="788" spans="5:9" ht="15.75" customHeight="1">
      <c r="E788" s="2"/>
      <c r="H788" s="29"/>
      <c r="I788" s="30"/>
    </row>
    <row r="789" spans="5:9" ht="15.75" customHeight="1">
      <c r="E789" s="2"/>
      <c r="H789" s="29"/>
      <c r="I789" s="30"/>
    </row>
    <row r="790" spans="5:9" ht="15.75" customHeight="1">
      <c r="E790" s="2"/>
      <c r="H790" s="29"/>
      <c r="I790" s="30"/>
    </row>
    <row r="791" spans="5:9" ht="15.75" customHeight="1">
      <c r="E791" s="2"/>
      <c r="H791" s="29"/>
      <c r="I791" s="30"/>
    </row>
    <row r="792" spans="5:9" ht="15.75" customHeight="1">
      <c r="E792" s="2"/>
      <c r="H792" s="29"/>
      <c r="I792" s="30"/>
    </row>
    <row r="793" spans="5:9" ht="15.75" customHeight="1">
      <c r="E793" s="2"/>
      <c r="H793" s="29"/>
      <c r="I793" s="30"/>
    </row>
    <row r="794" spans="5:9" ht="15.75" customHeight="1">
      <c r="E794" s="2"/>
      <c r="H794" s="29"/>
      <c r="I794" s="30"/>
    </row>
    <row r="795" spans="5:9" ht="15.75" customHeight="1">
      <c r="E795" s="2"/>
      <c r="H795" s="29"/>
      <c r="I795" s="30"/>
    </row>
    <row r="796" spans="5:9" ht="15.75" customHeight="1">
      <c r="E796" s="2"/>
      <c r="H796" s="29"/>
      <c r="I796" s="30"/>
    </row>
    <row r="797" spans="5:9" ht="15.75" customHeight="1">
      <c r="E797" s="2"/>
      <c r="H797" s="29"/>
      <c r="I797" s="30"/>
    </row>
    <row r="798" spans="5:9" ht="15.75" customHeight="1">
      <c r="E798" s="2"/>
      <c r="H798" s="29"/>
      <c r="I798" s="30"/>
    </row>
    <row r="799" spans="5:9" ht="15.75" customHeight="1">
      <c r="E799" s="2"/>
      <c r="H799" s="29"/>
      <c r="I799" s="30"/>
    </row>
    <row r="800" spans="5:9" ht="15.75" customHeight="1">
      <c r="E800" s="2"/>
      <c r="H800" s="29"/>
      <c r="I800" s="30"/>
    </row>
    <row r="801" spans="5:9" ht="15.75" customHeight="1">
      <c r="E801" s="2"/>
      <c r="H801" s="29"/>
      <c r="I801" s="30"/>
    </row>
    <row r="802" spans="5:9" ht="15.75" customHeight="1">
      <c r="E802" s="2"/>
      <c r="H802" s="29"/>
      <c r="I802" s="30"/>
    </row>
    <row r="803" spans="5:9" ht="15.75" customHeight="1">
      <c r="E803" s="2"/>
      <c r="H803" s="29"/>
      <c r="I803" s="30"/>
    </row>
    <row r="804" spans="5:9" ht="15.75" customHeight="1">
      <c r="E804" s="2"/>
      <c r="H804" s="29"/>
      <c r="I804" s="30"/>
    </row>
    <row r="805" spans="5:9" ht="15.75" customHeight="1">
      <c r="E805" s="2"/>
      <c r="H805" s="29"/>
      <c r="I805" s="30"/>
    </row>
    <row r="806" spans="5:9" ht="15.75" customHeight="1">
      <c r="E806" s="2"/>
      <c r="H806" s="29"/>
      <c r="I806" s="30"/>
    </row>
    <row r="807" spans="5:9" ht="15.75" customHeight="1">
      <c r="E807" s="2"/>
      <c r="H807" s="29"/>
      <c r="I807" s="30"/>
    </row>
    <row r="808" spans="5:9" ht="15.75" customHeight="1">
      <c r="E808" s="2"/>
      <c r="H808" s="29"/>
      <c r="I808" s="30"/>
    </row>
    <row r="809" spans="5:9" ht="15.75" customHeight="1">
      <c r="E809" s="2"/>
      <c r="H809" s="29"/>
      <c r="I809" s="30"/>
    </row>
    <row r="810" spans="5:9" ht="15.75" customHeight="1">
      <c r="E810" s="2"/>
      <c r="H810" s="29"/>
      <c r="I810" s="30"/>
    </row>
    <row r="811" spans="5:9" ht="15.75" customHeight="1">
      <c r="E811" s="2"/>
      <c r="H811" s="29"/>
      <c r="I811" s="30"/>
    </row>
    <row r="812" spans="5:9" ht="15.75" customHeight="1">
      <c r="E812" s="2"/>
      <c r="H812" s="29"/>
      <c r="I812" s="30"/>
    </row>
    <row r="813" spans="5:9" ht="15.75" customHeight="1">
      <c r="E813" s="2"/>
      <c r="H813" s="29"/>
      <c r="I813" s="30"/>
    </row>
    <row r="814" spans="5:9" ht="15.75" customHeight="1">
      <c r="E814" s="2"/>
      <c r="H814" s="29"/>
      <c r="I814" s="30"/>
    </row>
    <row r="815" spans="5:9" ht="15.75" customHeight="1">
      <c r="E815" s="2"/>
      <c r="H815" s="29"/>
      <c r="I815" s="30"/>
    </row>
    <row r="816" spans="5:9" ht="15.75" customHeight="1">
      <c r="E816" s="2"/>
      <c r="H816" s="29"/>
      <c r="I816" s="30"/>
    </row>
    <row r="817" spans="5:9" ht="15.75" customHeight="1">
      <c r="E817" s="2"/>
      <c r="H817" s="29"/>
      <c r="I817" s="30"/>
    </row>
    <row r="818" spans="5:9" ht="15.75" customHeight="1">
      <c r="E818" s="2"/>
      <c r="H818" s="29"/>
      <c r="I818" s="30"/>
    </row>
    <row r="819" spans="5:9" ht="15.75" customHeight="1">
      <c r="E819" s="2"/>
      <c r="H819" s="29"/>
      <c r="I819" s="30"/>
    </row>
    <row r="820" spans="5:9" ht="15.75" customHeight="1">
      <c r="E820" s="2"/>
      <c r="H820" s="29"/>
      <c r="I820" s="30"/>
    </row>
    <row r="821" spans="5:9" ht="15.75" customHeight="1">
      <c r="E821" s="2"/>
      <c r="H821" s="29"/>
      <c r="I821" s="30"/>
    </row>
    <row r="822" spans="5:9" ht="15.75" customHeight="1">
      <c r="E822" s="2"/>
      <c r="H822" s="29"/>
      <c r="I822" s="30"/>
    </row>
    <row r="823" spans="5:9" ht="15.75" customHeight="1">
      <c r="E823" s="2"/>
      <c r="H823" s="29"/>
      <c r="I823" s="30"/>
    </row>
    <row r="824" spans="5:9" ht="15.75" customHeight="1">
      <c r="E824" s="2"/>
      <c r="H824" s="29"/>
      <c r="I824" s="30"/>
    </row>
    <row r="825" spans="5:9" ht="15.75" customHeight="1">
      <c r="E825" s="2"/>
      <c r="H825" s="29"/>
      <c r="I825" s="30"/>
    </row>
    <row r="826" spans="5:9" ht="15.75" customHeight="1">
      <c r="E826" s="2"/>
      <c r="H826" s="29"/>
      <c r="I826" s="30"/>
    </row>
    <row r="827" spans="5:9" ht="15.75" customHeight="1">
      <c r="E827" s="2"/>
      <c r="H827" s="29"/>
      <c r="I827" s="30"/>
    </row>
    <row r="828" spans="5:9" ht="15.75" customHeight="1">
      <c r="E828" s="2"/>
      <c r="H828" s="29"/>
      <c r="I828" s="30"/>
    </row>
    <row r="829" spans="5:9" ht="15.75" customHeight="1">
      <c r="E829" s="2"/>
      <c r="H829" s="29"/>
      <c r="I829" s="30"/>
    </row>
    <row r="830" spans="5:9" ht="15.75" customHeight="1">
      <c r="E830" s="2"/>
      <c r="H830" s="29"/>
      <c r="I830" s="30"/>
    </row>
    <row r="831" spans="5:9" ht="15.75" customHeight="1">
      <c r="E831" s="2"/>
      <c r="H831" s="29"/>
      <c r="I831" s="30"/>
    </row>
    <row r="832" spans="5:9" ht="15.75" customHeight="1">
      <c r="E832" s="2"/>
      <c r="H832" s="29"/>
      <c r="I832" s="30"/>
    </row>
    <row r="833" spans="5:9" ht="15.75" customHeight="1">
      <c r="E833" s="2"/>
      <c r="H833" s="29"/>
      <c r="I833" s="30"/>
    </row>
    <row r="834" spans="5:9" ht="15.75" customHeight="1">
      <c r="E834" s="2"/>
      <c r="H834" s="29"/>
      <c r="I834" s="30"/>
    </row>
    <row r="835" spans="5:9" ht="15.75" customHeight="1">
      <c r="E835" s="2"/>
      <c r="H835" s="29"/>
      <c r="I835" s="30"/>
    </row>
    <row r="836" spans="5:9" ht="15.75" customHeight="1">
      <c r="E836" s="2"/>
      <c r="H836" s="29"/>
      <c r="I836" s="30"/>
    </row>
    <row r="837" spans="5:9" ht="15.75" customHeight="1">
      <c r="E837" s="2"/>
      <c r="H837" s="29"/>
      <c r="I837" s="30"/>
    </row>
    <row r="838" spans="5:9" ht="15.75" customHeight="1">
      <c r="E838" s="2"/>
      <c r="H838" s="29"/>
      <c r="I838" s="30"/>
    </row>
    <row r="839" spans="5:9" ht="15.75" customHeight="1">
      <c r="E839" s="2"/>
      <c r="H839" s="29"/>
      <c r="I839" s="30"/>
    </row>
    <row r="840" spans="5:9" ht="15.75" customHeight="1">
      <c r="E840" s="2"/>
      <c r="H840" s="29"/>
      <c r="I840" s="30"/>
    </row>
    <row r="841" spans="5:9" ht="15.75" customHeight="1">
      <c r="E841" s="2"/>
      <c r="H841" s="29"/>
      <c r="I841" s="30"/>
    </row>
    <row r="842" spans="5:9" ht="15.75" customHeight="1">
      <c r="E842" s="2"/>
      <c r="H842" s="29"/>
      <c r="I842" s="30"/>
    </row>
    <row r="843" spans="5:9" ht="15.75" customHeight="1">
      <c r="E843" s="2"/>
      <c r="H843" s="29"/>
      <c r="I843" s="30"/>
    </row>
    <row r="844" spans="5:9" ht="15.75" customHeight="1">
      <c r="E844" s="2"/>
      <c r="H844" s="29"/>
      <c r="I844" s="30"/>
    </row>
    <row r="845" spans="5:9" ht="15.75" customHeight="1">
      <c r="E845" s="2"/>
      <c r="H845" s="29"/>
      <c r="I845" s="30"/>
    </row>
    <row r="846" spans="5:9" ht="15.75" customHeight="1">
      <c r="E846" s="2"/>
      <c r="H846" s="29"/>
      <c r="I846" s="30"/>
    </row>
    <row r="847" spans="5:9" ht="15.75" customHeight="1">
      <c r="E847" s="2"/>
      <c r="H847" s="29"/>
      <c r="I847" s="30"/>
    </row>
    <row r="848" spans="5:9" ht="15.75" customHeight="1">
      <c r="E848" s="2"/>
      <c r="H848" s="29"/>
      <c r="I848" s="30"/>
    </row>
    <row r="849" spans="5:9" ht="15.75" customHeight="1">
      <c r="E849" s="2"/>
      <c r="H849" s="29"/>
      <c r="I849" s="30"/>
    </row>
    <row r="850" spans="5:9" ht="15.75" customHeight="1">
      <c r="E850" s="2"/>
      <c r="H850" s="29"/>
      <c r="I850" s="30"/>
    </row>
    <row r="851" spans="5:9" ht="15.75" customHeight="1">
      <c r="E851" s="2"/>
      <c r="H851" s="29"/>
      <c r="I851" s="30"/>
    </row>
    <row r="852" spans="5:9" ht="15.75" customHeight="1">
      <c r="E852" s="2"/>
      <c r="H852" s="29"/>
      <c r="I852" s="30"/>
    </row>
    <row r="853" spans="5:9" ht="15.75" customHeight="1">
      <c r="E853" s="2"/>
      <c r="H853" s="29"/>
      <c r="I853" s="30"/>
    </row>
    <row r="854" spans="5:9" ht="15.75" customHeight="1">
      <c r="E854" s="2"/>
      <c r="H854" s="29"/>
      <c r="I854" s="30"/>
    </row>
    <row r="855" spans="5:9" ht="15.75" customHeight="1">
      <c r="E855" s="2"/>
      <c r="H855" s="29"/>
      <c r="I855" s="30"/>
    </row>
    <row r="856" spans="5:9" ht="15.75" customHeight="1">
      <c r="E856" s="2"/>
      <c r="H856" s="29"/>
      <c r="I856" s="30"/>
    </row>
    <row r="857" spans="5:9" ht="15.75" customHeight="1">
      <c r="E857" s="2"/>
      <c r="H857" s="29"/>
      <c r="I857" s="30"/>
    </row>
    <row r="858" spans="5:9" ht="15.75" customHeight="1">
      <c r="E858" s="2"/>
      <c r="H858" s="29"/>
      <c r="I858" s="30"/>
    </row>
    <row r="859" spans="5:9" ht="15.75" customHeight="1">
      <c r="E859" s="2"/>
      <c r="H859" s="29"/>
      <c r="I859" s="30"/>
    </row>
    <row r="860" spans="5:9" ht="15.75" customHeight="1">
      <c r="E860" s="2"/>
      <c r="H860" s="29"/>
      <c r="I860" s="30"/>
    </row>
    <row r="861" spans="5:9" ht="15.75" customHeight="1">
      <c r="E861" s="2"/>
      <c r="H861" s="29"/>
      <c r="I861" s="30"/>
    </row>
    <row r="862" spans="5:9" ht="15.75" customHeight="1">
      <c r="E862" s="2"/>
      <c r="H862" s="29"/>
      <c r="I862" s="30"/>
    </row>
    <row r="863" spans="5:9" ht="15.75" customHeight="1">
      <c r="E863" s="2"/>
      <c r="H863" s="29"/>
      <c r="I863" s="30"/>
    </row>
    <row r="864" spans="5:9" ht="15.75" customHeight="1">
      <c r="E864" s="2"/>
      <c r="H864" s="29"/>
      <c r="I864" s="30"/>
    </row>
    <row r="865" spans="5:9" ht="15.75" customHeight="1">
      <c r="E865" s="2"/>
      <c r="H865" s="29"/>
      <c r="I865" s="30"/>
    </row>
    <row r="866" spans="5:9" ht="15.75" customHeight="1">
      <c r="E866" s="2"/>
      <c r="H866" s="29"/>
      <c r="I866" s="30"/>
    </row>
    <row r="867" spans="5:9" ht="15.75" customHeight="1">
      <c r="E867" s="2"/>
      <c r="H867" s="29"/>
      <c r="I867" s="30"/>
    </row>
    <row r="868" spans="5:9" ht="15.75" customHeight="1">
      <c r="E868" s="2"/>
      <c r="H868" s="29"/>
      <c r="I868" s="30"/>
    </row>
    <row r="869" spans="5:9" ht="15.75" customHeight="1">
      <c r="E869" s="2"/>
      <c r="H869" s="29"/>
      <c r="I869" s="30"/>
    </row>
    <row r="870" spans="5:9" ht="15.75" customHeight="1">
      <c r="E870" s="2"/>
      <c r="H870" s="29"/>
      <c r="I870" s="30"/>
    </row>
    <row r="871" spans="5:9" ht="15.75" customHeight="1">
      <c r="E871" s="2"/>
      <c r="H871" s="29"/>
      <c r="I871" s="30"/>
    </row>
    <row r="872" spans="5:9" ht="15.75" customHeight="1">
      <c r="E872" s="2"/>
      <c r="H872" s="29"/>
      <c r="I872" s="30"/>
    </row>
    <row r="873" spans="5:9" ht="15.75" customHeight="1">
      <c r="E873" s="2"/>
      <c r="H873" s="29"/>
      <c r="I873" s="30"/>
    </row>
    <row r="874" spans="5:9" ht="15.75" customHeight="1">
      <c r="E874" s="2"/>
      <c r="H874" s="29"/>
      <c r="I874" s="30"/>
    </row>
    <row r="875" spans="5:9" ht="15.75" customHeight="1">
      <c r="E875" s="2"/>
      <c r="H875" s="29"/>
      <c r="I875" s="30"/>
    </row>
    <row r="876" spans="5:9" ht="15.75" customHeight="1">
      <c r="E876" s="2"/>
      <c r="H876" s="29"/>
      <c r="I876" s="30"/>
    </row>
    <row r="877" spans="5:9" ht="15.75" customHeight="1">
      <c r="E877" s="2"/>
      <c r="H877" s="29"/>
      <c r="I877" s="30"/>
    </row>
    <row r="878" spans="5:9" ht="15.75" customHeight="1">
      <c r="E878" s="2"/>
      <c r="H878" s="29"/>
      <c r="I878" s="30"/>
    </row>
    <row r="879" spans="5:9" ht="15.75" customHeight="1">
      <c r="E879" s="2"/>
      <c r="H879" s="29"/>
      <c r="I879" s="30"/>
    </row>
    <row r="880" spans="5:9" ht="15.75" customHeight="1">
      <c r="E880" s="2"/>
      <c r="H880" s="29"/>
      <c r="I880" s="30"/>
    </row>
    <row r="881" spans="5:9" ht="15.75" customHeight="1">
      <c r="E881" s="2"/>
      <c r="H881" s="29"/>
      <c r="I881" s="30"/>
    </row>
    <row r="882" spans="5:9" ht="15.75" customHeight="1">
      <c r="E882" s="2"/>
      <c r="H882" s="29"/>
      <c r="I882" s="30"/>
    </row>
    <row r="883" spans="5:9" ht="15.75" customHeight="1">
      <c r="E883" s="2"/>
      <c r="H883" s="29"/>
      <c r="I883" s="30"/>
    </row>
    <row r="884" spans="5:9" ht="15.75" customHeight="1">
      <c r="E884" s="2"/>
      <c r="H884" s="29"/>
      <c r="I884" s="30"/>
    </row>
    <row r="885" spans="5:9" ht="15.75" customHeight="1">
      <c r="E885" s="2"/>
      <c r="H885" s="29"/>
      <c r="I885" s="30"/>
    </row>
    <row r="886" spans="5:9" ht="15.75" customHeight="1">
      <c r="E886" s="2"/>
      <c r="H886" s="29"/>
      <c r="I886" s="30"/>
    </row>
    <row r="887" spans="5:9" ht="15.75" customHeight="1">
      <c r="E887" s="2"/>
      <c r="H887" s="29"/>
      <c r="I887" s="30"/>
    </row>
    <row r="888" spans="5:9" ht="15.75" customHeight="1">
      <c r="E888" s="2"/>
      <c r="H888" s="29"/>
      <c r="I888" s="30"/>
    </row>
    <row r="889" spans="5:9" ht="15.75" customHeight="1">
      <c r="E889" s="2"/>
      <c r="H889" s="29"/>
      <c r="I889" s="30"/>
    </row>
    <row r="890" spans="5:9" ht="15.75" customHeight="1">
      <c r="E890" s="2"/>
      <c r="H890" s="29"/>
      <c r="I890" s="30"/>
    </row>
    <row r="891" spans="5:9" ht="15.75" customHeight="1">
      <c r="E891" s="2"/>
      <c r="H891" s="29"/>
      <c r="I891" s="30"/>
    </row>
    <row r="892" spans="5:9" ht="15.75" customHeight="1">
      <c r="E892" s="2"/>
      <c r="H892" s="29"/>
      <c r="I892" s="30"/>
    </row>
    <row r="893" spans="5:9" ht="15.75" customHeight="1">
      <c r="E893" s="2"/>
      <c r="H893" s="29"/>
      <c r="I893" s="30"/>
    </row>
    <row r="894" spans="5:9" ht="15.75" customHeight="1">
      <c r="E894" s="2"/>
      <c r="H894" s="29"/>
      <c r="I894" s="30"/>
    </row>
    <row r="895" spans="5:9" ht="15.75" customHeight="1">
      <c r="E895" s="2"/>
      <c r="H895" s="29"/>
      <c r="I895" s="30"/>
    </row>
    <row r="896" spans="5:9" ht="15.75" customHeight="1">
      <c r="E896" s="2"/>
      <c r="H896" s="29"/>
      <c r="I896" s="30"/>
    </row>
    <row r="897" spans="5:9" ht="15.75" customHeight="1">
      <c r="E897" s="2"/>
      <c r="H897" s="29"/>
      <c r="I897" s="30"/>
    </row>
    <row r="898" spans="5:9" ht="15.75" customHeight="1">
      <c r="E898" s="2"/>
      <c r="H898" s="29"/>
      <c r="I898" s="30"/>
    </row>
    <row r="899" spans="5:9" ht="15.75" customHeight="1">
      <c r="E899" s="2"/>
      <c r="H899" s="29"/>
      <c r="I899" s="30"/>
    </row>
    <row r="900" spans="5:9" ht="15.75" customHeight="1">
      <c r="E900" s="2"/>
      <c r="H900" s="29"/>
      <c r="I900" s="30"/>
    </row>
    <row r="901" spans="5:9" ht="15.75" customHeight="1">
      <c r="E901" s="2"/>
      <c r="H901" s="29"/>
      <c r="I901" s="30"/>
    </row>
    <row r="902" spans="5:9" ht="15.75" customHeight="1">
      <c r="E902" s="2"/>
      <c r="H902" s="29"/>
      <c r="I902" s="30"/>
    </row>
    <row r="903" spans="5:9" ht="15.75" customHeight="1">
      <c r="E903" s="2"/>
      <c r="H903" s="29"/>
      <c r="I903" s="30"/>
    </row>
    <row r="904" spans="5:9" ht="15.75" customHeight="1">
      <c r="E904" s="2"/>
      <c r="H904" s="29"/>
      <c r="I904" s="30"/>
    </row>
    <row r="905" spans="5:9" ht="15.75" customHeight="1">
      <c r="E905" s="2"/>
      <c r="H905" s="29"/>
      <c r="I905" s="30"/>
    </row>
    <row r="906" spans="5:9" ht="15.75" customHeight="1">
      <c r="E906" s="2"/>
      <c r="H906" s="29"/>
      <c r="I906" s="30"/>
    </row>
    <row r="907" spans="5:9" ht="15.75" customHeight="1">
      <c r="E907" s="2"/>
      <c r="H907" s="29"/>
      <c r="I907" s="30"/>
    </row>
    <row r="908" spans="5:9" ht="15.75" customHeight="1">
      <c r="E908" s="2"/>
      <c r="H908" s="29"/>
      <c r="I908" s="30"/>
    </row>
    <row r="909" spans="5:9" ht="15.75" customHeight="1">
      <c r="E909" s="2"/>
      <c r="H909" s="29"/>
      <c r="I909" s="30"/>
    </row>
    <row r="910" spans="5:9" ht="15.75" customHeight="1">
      <c r="E910" s="2"/>
      <c r="H910" s="29"/>
      <c r="I910" s="30"/>
    </row>
    <row r="911" spans="5:9" ht="15.75" customHeight="1">
      <c r="E911" s="2"/>
      <c r="H911" s="29"/>
      <c r="I911" s="30"/>
    </row>
    <row r="912" spans="5:9" ht="15.75" customHeight="1">
      <c r="E912" s="2"/>
      <c r="H912" s="29"/>
      <c r="I912" s="30"/>
    </row>
    <row r="913" spans="5:9" ht="15.75" customHeight="1">
      <c r="E913" s="2"/>
      <c r="H913" s="29"/>
      <c r="I913" s="30"/>
    </row>
    <row r="914" spans="5:9" ht="15.75" customHeight="1">
      <c r="E914" s="2"/>
      <c r="H914" s="29"/>
      <c r="I914" s="30"/>
    </row>
    <row r="915" spans="5:9" ht="15.75" customHeight="1">
      <c r="E915" s="2"/>
      <c r="H915" s="29"/>
      <c r="I915" s="30"/>
    </row>
    <row r="916" spans="5:9" ht="15.75" customHeight="1">
      <c r="E916" s="2"/>
      <c r="H916" s="29"/>
      <c r="I916" s="30"/>
    </row>
    <row r="917" spans="5:9" ht="15.75" customHeight="1">
      <c r="E917" s="2"/>
      <c r="H917" s="29"/>
      <c r="I917" s="30"/>
    </row>
    <row r="918" spans="5:9" ht="15.75" customHeight="1">
      <c r="E918" s="2"/>
      <c r="H918" s="29"/>
      <c r="I918" s="30"/>
    </row>
    <row r="919" spans="5:9" ht="15.75" customHeight="1">
      <c r="E919" s="2"/>
      <c r="H919" s="29"/>
      <c r="I919" s="30"/>
    </row>
    <row r="920" spans="5:9" ht="15.75" customHeight="1">
      <c r="E920" s="2"/>
      <c r="H920" s="29"/>
      <c r="I920" s="30"/>
    </row>
    <row r="921" spans="5:9" ht="15.75" customHeight="1">
      <c r="E921" s="2"/>
      <c r="H921" s="29"/>
      <c r="I921" s="30"/>
    </row>
    <row r="922" spans="5:9" ht="15.75" customHeight="1">
      <c r="E922" s="2"/>
      <c r="H922" s="29"/>
      <c r="I922" s="30"/>
    </row>
    <row r="923" spans="5:9" ht="15.75" customHeight="1">
      <c r="E923" s="2"/>
      <c r="H923" s="29"/>
      <c r="I923" s="30"/>
    </row>
    <row r="924" spans="5:9" ht="15.75" customHeight="1">
      <c r="E924" s="2"/>
      <c r="H924" s="29"/>
      <c r="I924" s="30"/>
    </row>
    <row r="925" spans="5:9" ht="15.75" customHeight="1">
      <c r="E925" s="2"/>
      <c r="H925" s="29"/>
      <c r="I925" s="30"/>
    </row>
    <row r="926" spans="5:9" ht="15.75" customHeight="1">
      <c r="E926" s="2"/>
      <c r="H926" s="29"/>
      <c r="I926" s="30"/>
    </row>
    <row r="927" spans="5:9" ht="15.75" customHeight="1">
      <c r="E927" s="2"/>
      <c r="H927" s="29"/>
      <c r="I927" s="30"/>
    </row>
    <row r="928" spans="5:9" ht="15.75" customHeight="1">
      <c r="E928" s="2"/>
      <c r="H928" s="29"/>
      <c r="I928" s="30"/>
    </row>
    <row r="929" spans="5:9" ht="15.75" customHeight="1">
      <c r="E929" s="2"/>
      <c r="H929" s="29"/>
      <c r="I929" s="30"/>
    </row>
    <row r="930" spans="5:9" ht="15.75" customHeight="1">
      <c r="E930" s="2"/>
      <c r="H930" s="29"/>
      <c r="I930" s="30"/>
    </row>
    <row r="931" spans="5:9" ht="15.75" customHeight="1">
      <c r="E931" s="2"/>
      <c r="H931" s="29"/>
      <c r="I931" s="30"/>
    </row>
    <row r="932" spans="5:9" ht="15.75" customHeight="1">
      <c r="E932" s="2"/>
      <c r="H932" s="29"/>
      <c r="I932" s="30"/>
    </row>
    <row r="933" spans="5:9" ht="15.75" customHeight="1">
      <c r="E933" s="2"/>
      <c r="H933" s="29"/>
      <c r="I933" s="30"/>
    </row>
    <row r="934" spans="5:9" ht="15.75" customHeight="1">
      <c r="E934" s="2"/>
      <c r="H934" s="29"/>
      <c r="I934" s="30"/>
    </row>
    <row r="935" spans="5:9" ht="15.75" customHeight="1">
      <c r="E935" s="2"/>
      <c r="H935" s="29"/>
      <c r="I935" s="30"/>
    </row>
    <row r="936" spans="5:9" ht="15.75" customHeight="1">
      <c r="E936" s="2"/>
      <c r="H936" s="29"/>
      <c r="I936" s="30"/>
    </row>
    <row r="937" spans="5:9" ht="15.75" customHeight="1">
      <c r="E937" s="2"/>
      <c r="H937" s="29"/>
      <c r="I937" s="30"/>
    </row>
    <row r="938" spans="5:9" ht="15.75" customHeight="1">
      <c r="E938" s="2"/>
      <c r="H938" s="29"/>
      <c r="I938" s="30"/>
    </row>
    <row r="939" spans="5:9" ht="15.75" customHeight="1">
      <c r="E939" s="2"/>
      <c r="H939" s="29"/>
      <c r="I939" s="30"/>
    </row>
    <row r="940" spans="5:9" ht="15.75" customHeight="1">
      <c r="E940" s="2"/>
      <c r="H940" s="29"/>
      <c r="I940" s="30"/>
    </row>
    <row r="941" spans="5:9" ht="15.75" customHeight="1">
      <c r="E941" s="2"/>
      <c r="H941" s="29"/>
      <c r="I941" s="30"/>
    </row>
    <row r="942" spans="5:9" ht="15.75" customHeight="1">
      <c r="E942" s="2"/>
      <c r="H942" s="29"/>
      <c r="I942" s="30"/>
    </row>
    <row r="943" spans="5:9" ht="15.75" customHeight="1">
      <c r="E943" s="2"/>
      <c r="H943" s="29"/>
      <c r="I943" s="30"/>
    </row>
    <row r="944" spans="5:9" ht="15.75" customHeight="1">
      <c r="E944" s="2"/>
      <c r="H944" s="29"/>
      <c r="I944" s="30"/>
    </row>
    <row r="945" spans="5:9" ht="15.75" customHeight="1">
      <c r="E945" s="2"/>
      <c r="H945" s="29"/>
      <c r="I945" s="30"/>
    </row>
    <row r="946" spans="5:9" ht="15.75" customHeight="1">
      <c r="E946" s="2"/>
      <c r="H946" s="29"/>
      <c r="I946" s="30"/>
    </row>
    <row r="947" spans="5:9" ht="15.75" customHeight="1">
      <c r="E947" s="2"/>
      <c r="H947" s="29"/>
      <c r="I947" s="30"/>
    </row>
    <row r="948" spans="5:9" ht="15.75" customHeight="1">
      <c r="E948" s="2"/>
      <c r="H948" s="29"/>
      <c r="I948" s="30"/>
    </row>
    <row r="949" spans="5:9" ht="15.75" customHeight="1">
      <c r="E949" s="2"/>
      <c r="H949" s="29"/>
      <c r="I949" s="30"/>
    </row>
    <row r="950" spans="5:9" ht="15.75" customHeight="1">
      <c r="E950" s="2"/>
      <c r="H950" s="29"/>
      <c r="I950" s="30"/>
    </row>
    <row r="951" spans="5:9" ht="15.75" customHeight="1">
      <c r="E951" s="2"/>
      <c r="H951" s="29"/>
      <c r="I951" s="30"/>
    </row>
    <row r="952" spans="5:9" ht="15.75" customHeight="1">
      <c r="E952" s="2"/>
      <c r="H952" s="29"/>
      <c r="I952" s="30"/>
    </row>
    <row r="953" spans="5:9" ht="15.75" customHeight="1">
      <c r="E953" s="2"/>
      <c r="H953" s="29"/>
      <c r="I953" s="30"/>
    </row>
    <row r="954" spans="5:9" ht="15.75" customHeight="1">
      <c r="E954" s="2"/>
      <c r="H954" s="29"/>
      <c r="I954" s="30"/>
    </row>
    <row r="955" spans="5:9" ht="15.75" customHeight="1">
      <c r="E955" s="2"/>
      <c r="H955" s="29"/>
      <c r="I955" s="30"/>
    </row>
    <row r="956" spans="5:9" ht="15.75" customHeight="1">
      <c r="E956" s="2"/>
      <c r="H956" s="29"/>
      <c r="I956" s="30"/>
    </row>
    <row r="957" spans="5:9" ht="15.75" customHeight="1">
      <c r="E957" s="2"/>
      <c r="H957" s="29"/>
      <c r="I957" s="30"/>
    </row>
    <row r="958" spans="5:9" ht="15.75" customHeight="1">
      <c r="E958" s="2"/>
      <c r="H958" s="29"/>
      <c r="I958" s="30"/>
    </row>
    <row r="959" spans="5:9" ht="15.75" customHeight="1">
      <c r="E959" s="2"/>
      <c r="H959" s="29"/>
      <c r="I959" s="30"/>
    </row>
    <row r="960" spans="5:9" ht="15.75" customHeight="1">
      <c r="E960" s="2"/>
      <c r="H960" s="29"/>
      <c r="I960" s="30"/>
    </row>
    <row r="961" spans="5:9" ht="15.75" customHeight="1">
      <c r="E961" s="2"/>
      <c r="H961" s="29"/>
      <c r="I961" s="30"/>
    </row>
    <row r="962" spans="5:9" ht="15.75" customHeight="1">
      <c r="E962" s="2"/>
      <c r="H962" s="29"/>
      <c r="I962" s="30"/>
    </row>
    <row r="963" spans="5:9" ht="15.75" customHeight="1">
      <c r="E963" s="2"/>
      <c r="H963" s="29"/>
      <c r="I963" s="30"/>
    </row>
    <row r="964" spans="5:9" ht="15.75" customHeight="1">
      <c r="E964" s="2"/>
      <c r="H964" s="29"/>
      <c r="I964" s="30"/>
    </row>
    <row r="965" spans="5:9" ht="15.75" customHeight="1">
      <c r="E965" s="2"/>
      <c r="H965" s="29"/>
      <c r="I965" s="30"/>
    </row>
    <row r="966" spans="5:9" ht="15.75" customHeight="1">
      <c r="E966" s="2"/>
      <c r="H966" s="29"/>
      <c r="I966" s="30"/>
    </row>
    <row r="967" spans="5:9" ht="15.75" customHeight="1">
      <c r="E967" s="2"/>
      <c r="H967" s="29"/>
      <c r="I967" s="30"/>
    </row>
    <row r="968" spans="5:9" ht="15.75" customHeight="1">
      <c r="E968" s="2"/>
      <c r="H968" s="29"/>
      <c r="I968" s="30"/>
    </row>
    <row r="969" spans="5:9" ht="15.75" customHeight="1">
      <c r="E969" s="2"/>
      <c r="H969" s="29"/>
      <c r="I969" s="30"/>
    </row>
    <row r="970" spans="5:9" ht="15.75" customHeight="1">
      <c r="E970" s="2"/>
      <c r="H970" s="29"/>
      <c r="I970" s="30"/>
    </row>
    <row r="971" spans="5:9" ht="15.75" customHeight="1">
      <c r="E971" s="2"/>
      <c r="H971" s="29"/>
      <c r="I971" s="30"/>
    </row>
    <row r="972" spans="5:9" ht="15.75" customHeight="1">
      <c r="E972" s="2"/>
      <c r="H972" s="29"/>
      <c r="I972" s="30"/>
    </row>
    <row r="973" spans="5:9" ht="15.75" customHeight="1">
      <c r="E973" s="2"/>
      <c r="H973" s="29"/>
      <c r="I973" s="30"/>
    </row>
    <row r="974" spans="5:9" ht="15.75" customHeight="1">
      <c r="E974" s="2"/>
      <c r="H974" s="29"/>
      <c r="I974" s="30"/>
    </row>
    <row r="975" spans="5:9" ht="15.75" customHeight="1">
      <c r="E975" s="2"/>
      <c r="H975" s="29"/>
      <c r="I975" s="30"/>
    </row>
    <row r="976" spans="5:9" ht="15.75" customHeight="1">
      <c r="E976" s="2"/>
      <c r="H976" s="29"/>
      <c r="I976" s="30"/>
    </row>
    <row r="977" spans="5:9" ht="15.75" customHeight="1">
      <c r="E977" s="2"/>
      <c r="H977" s="29"/>
      <c r="I977" s="30"/>
    </row>
    <row r="978" spans="5:9" ht="15.75" customHeight="1">
      <c r="E978" s="2"/>
      <c r="H978" s="29"/>
      <c r="I978" s="30"/>
    </row>
    <row r="979" spans="5:9" ht="15.75" customHeight="1">
      <c r="E979" s="2"/>
      <c r="H979" s="29"/>
      <c r="I979" s="30"/>
    </row>
    <row r="980" spans="5:9" ht="15.75" customHeight="1">
      <c r="E980" s="2"/>
      <c r="H980" s="29"/>
      <c r="I980" s="30"/>
    </row>
    <row r="981" spans="5:9" ht="15.75" customHeight="1">
      <c r="E981" s="2"/>
      <c r="H981" s="29"/>
      <c r="I981" s="30"/>
    </row>
    <row r="982" spans="5:9" ht="15.75" customHeight="1">
      <c r="E982" s="2"/>
      <c r="H982" s="29"/>
      <c r="I982" s="30"/>
    </row>
    <row r="983" spans="5:9" ht="15.75" customHeight="1">
      <c r="E983" s="2"/>
      <c r="H983" s="29"/>
      <c r="I983" s="30"/>
    </row>
    <row r="984" spans="5:9" ht="15.75" customHeight="1">
      <c r="E984" s="2"/>
      <c r="H984" s="29"/>
      <c r="I984" s="30"/>
    </row>
    <row r="985" spans="5:9" ht="15.75" customHeight="1">
      <c r="E985" s="2"/>
      <c r="H985" s="29"/>
      <c r="I985" s="30"/>
    </row>
    <row r="986" spans="5:9" ht="15.75" customHeight="1">
      <c r="E986" s="2"/>
      <c r="H986" s="29"/>
      <c r="I986" s="30"/>
    </row>
    <row r="987" spans="5:9" ht="15.75" customHeight="1">
      <c r="E987" s="2"/>
      <c r="H987" s="29"/>
      <c r="I987" s="30"/>
    </row>
    <row r="988" spans="5:9" ht="15.75" customHeight="1">
      <c r="E988" s="2"/>
      <c r="H988" s="29"/>
      <c r="I988" s="30"/>
    </row>
    <row r="989" spans="5:9" ht="15.75" customHeight="1">
      <c r="E989" s="2"/>
      <c r="H989" s="29"/>
      <c r="I989" s="30"/>
    </row>
    <row r="990" spans="5:9" ht="15.75" customHeight="1">
      <c r="E990" s="2"/>
      <c r="H990" s="29"/>
      <c r="I990" s="30"/>
    </row>
    <row r="991" spans="5:9" ht="15.75" customHeight="1">
      <c r="E991" s="2"/>
      <c r="H991" s="29"/>
      <c r="I991" s="30"/>
    </row>
  </sheetData>
  <dataValidations count="1">
    <dataValidation type="list" allowBlank="1" showErrorMessage="1" sqref="W3:W6" xr:uid="{17085C78-3807-4102-B3B9-8DCDB865CF54}">
      <formula1>"Open,Inprogress,Closed"</formula1>
    </dataValidation>
  </dataValidations>
  <hyperlinks>
    <hyperlink ref="M3" r:id="rId1" xr:uid="{90725D72-A6F6-442E-BA14-7B55360B5C87}"/>
    <hyperlink ref="M4" r:id="rId2" xr:uid="{17BE2BE1-626C-4971-9B89-1CCCE0870EB0}"/>
    <hyperlink ref="M5" r:id="rId3" xr:uid="{0CE0B3AA-4504-4566-ABAF-68372F46A7E8}"/>
    <hyperlink ref="M6" r:id="rId4" xr:uid="{5104B142-E034-4D77-80DE-87F308D8AE40}"/>
    <hyperlink ref="M7" r:id="rId5" xr:uid="{E257315F-D07C-41EB-9D3B-B7BF3BF23F31}"/>
  </hyperlinks>
  <pageMargins left="0" right="0" top="0" bottom="0" header="0" footer="0"/>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63BD9-5D0D-4D56-AA1B-AAEA3ED7144D}">
  <sheetPr>
    <outlinePr summaryBelow="0" summaryRight="0"/>
  </sheetPr>
  <dimension ref="A1:Z997"/>
  <sheetViews>
    <sheetView workbookViewId="0">
      <selection activeCell="A2" sqref="A2"/>
    </sheetView>
  </sheetViews>
  <sheetFormatPr defaultColWidth="12.5703125" defaultRowHeight="15" customHeight="1"/>
  <cols>
    <col min="1" max="1" width="11.140625" customWidth="1"/>
    <col min="2" max="2" width="17.28515625" customWidth="1"/>
    <col min="3" max="6" width="12.5703125" customWidth="1"/>
    <col min="7" max="7" width="12" customWidth="1"/>
    <col min="8" max="8" width="10.7109375" customWidth="1"/>
    <col min="9" max="9" width="11.85546875" customWidth="1"/>
    <col min="10" max="10" width="13" customWidth="1"/>
    <col min="11" max="11" width="27.7109375" customWidth="1"/>
  </cols>
  <sheetData>
    <row r="1" spans="1:26" ht="15.75" customHeight="1">
      <c r="A1" s="1" t="s">
        <v>248</v>
      </c>
      <c r="B1" s="31" t="s">
        <v>11</v>
      </c>
      <c r="C1" s="32" t="s">
        <v>306</v>
      </c>
      <c r="D1" s="31" t="s">
        <v>250</v>
      </c>
      <c r="E1" s="32" t="s">
        <v>308</v>
      </c>
      <c r="F1" s="32" t="s">
        <v>309</v>
      </c>
      <c r="G1" s="31" t="s">
        <v>310</v>
      </c>
      <c r="H1" s="31" t="s">
        <v>312</v>
      </c>
      <c r="I1" s="31" t="s">
        <v>253</v>
      </c>
      <c r="J1" s="33" t="s">
        <v>313</v>
      </c>
      <c r="K1" s="34" t="s">
        <v>274</v>
      </c>
      <c r="L1" s="35"/>
      <c r="M1" s="35"/>
      <c r="N1" s="35"/>
      <c r="O1" s="35"/>
      <c r="P1" s="35"/>
      <c r="Q1" s="35"/>
      <c r="R1" s="35"/>
      <c r="S1" s="35"/>
      <c r="T1" s="35"/>
      <c r="U1" s="35"/>
      <c r="V1" s="35"/>
      <c r="W1" s="35"/>
      <c r="X1" s="35"/>
      <c r="Y1" s="35"/>
      <c r="Z1" s="35"/>
    </row>
    <row r="2" spans="1:26" ht="15.75" customHeight="1">
      <c r="A2" s="24"/>
      <c r="B2" s="25"/>
      <c r="C2" s="27"/>
      <c r="D2" s="26"/>
      <c r="E2" s="26"/>
      <c r="F2" s="27"/>
      <c r="G2" s="26"/>
      <c r="H2" s="26"/>
      <c r="I2" s="26"/>
      <c r="J2" s="26"/>
      <c r="K2" s="26"/>
      <c r="L2" s="35"/>
      <c r="M2" s="35"/>
      <c r="N2" s="35"/>
      <c r="O2" s="35"/>
      <c r="P2" s="35"/>
      <c r="Q2" s="35"/>
      <c r="R2" s="35"/>
      <c r="S2" s="35"/>
      <c r="T2" s="35"/>
      <c r="U2" s="35"/>
      <c r="V2" s="35"/>
    </row>
    <row r="3" spans="1:26" ht="15.75" customHeight="1"/>
    <row r="4" spans="1:26" ht="15.75" customHeight="1"/>
    <row r="5" spans="1:26" ht="15.75" customHeight="1"/>
    <row r="6" spans="1:26" ht="15.75" customHeight="1"/>
    <row r="7" spans="1:26" ht="15.75" customHeight="1"/>
    <row r="8" spans="1:26" ht="15.75" customHeight="1"/>
    <row r="9" spans="1:26" ht="15.75" customHeight="1"/>
    <row r="10" spans="1:26" ht="15.75" customHeight="1"/>
    <row r="11" spans="1:26" ht="15.75" customHeight="1"/>
    <row r="12" spans="1:26" ht="15.75" customHeight="1"/>
    <row r="13" spans="1:26" ht="15.75" customHeight="1"/>
    <row r="14" spans="1:26" ht="15.75" customHeight="1"/>
    <row r="15" spans="1:26" ht="15.75" customHeight="1"/>
    <row r="16" spans="1:2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dataValidations count="4">
    <dataValidation type="list" allowBlank="1" showErrorMessage="1" sqref="G2" xr:uid="{5BCF05CA-3D0F-4C4D-813B-6124396AC0ED}">
      <formula1>"Minor,Significant,Major"</formula1>
    </dataValidation>
    <dataValidation type="list" allowBlank="1" showErrorMessage="1" sqref="I2" xr:uid="{BDA50C4B-5C51-42A0-806B-8DA112F5DAFE}">
      <formula1>"Open,Inprogress,Closed"</formula1>
    </dataValidation>
    <dataValidation type="list" allowBlank="1" showErrorMessage="1" sqref="E2" xr:uid="{B679EBC8-9879-49CD-9E8E-6E7948040F21}">
      <formula1>"Bounceback,Defect,None"</formula1>
    </dataValidation>
    <dataValidation type="list" allowBlank="1" showErrorMessage="1" sqref="H2" xr:uid="{984DD467-4A8D-494F-9353-53228CF64B63}">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1714DEB-B9D3-40A6-89B5-5FA81206AA28}">
          <x14:formula1>
            <xm:f>Details!$A$2:$A$10</xm:f>
          </x14:formula1>
          <xm:sqref>J2</xm:sqref>
        </x14:dataValidation>
      </x14:dataValidations>
    </ext>
  </extLst>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0A0A7-3439-47A8-8F9C-F244D151D430}">
  <sheetPr>
    <outlinePr summaryBelow="0" summaryRight="0"/>
  </sheetPr>
  <dimension ref="A1:Z997"/>
  <sheetViews>
    <sheetView workbookViewId="0">
      <selection activeCell="F8" sqref="F8"/>
    </sheetView>
  </sheetViews>
  <sheetFormatPr defaultColWidth="12.5703125" defaultRowHeight="15" customHeight="1"/>
  <cols>
    <col min="1" max="1" width="11.140625" customWidth="1"/>
    <col min="2" max="2" width="17.28515625" customWidth="1"/>
    <col min="3" max="6" width="12.5703125" customWidth="1"/>
    <col min="7" max="10" width="9.140625"/>
    <col min="11" max="11" width="27.7109375" customWidth="1"/>
  </cols>
  <sheetData>
    <row r="1" spans="1:26" ht="15.75" customHeight="1">
      <c r="A1" s="1" t="s">
        <v>248</v>
      </c>
      <c r="B1" s="31" t="s">
        <v>11</v>
      </c>
      <c r="C1" s="32" t="s">
        <v>306</v>
      </c>
      <c r="D1" s="31" t="s">
        <v>250</v>
      </c>
      <c r="E1" s="32" t="s">
        <v>308</v>
      </c>
      <c r="F1" s="32" t="s">
        <v>309</v>
      </c>
      <c r="G1" s="31" t="s">
        <v>310</v>
      </c>
      <c r="H1" s="31" t="s">
        <v>312</v>
      </c>
      <c r="I1" s="31" t="s">
        <v>253</v>
      </c>
      <c r="J1" s="33" t="s">
        <v>313</v>
      </c>
      <c r="K1" s="34" t="s">
        <v>274</v>
      </c>
      <c r="L1" s="35"/>
      <c r="M1" s="35"/>
      <c r="N1" s="35"/>
      <c r="O1" s="35"/>
      <c r="P1" s="35"/>
      <c r="Q1" s="35"/>
      <c r="R1" s="35"/>
      <c r="S1" s="35"/>
      <c r="T1" s="35"/>
      <c r="U1" s="35"/>
      <c r="V1" s="35"/>
      <c r="W1" s="35"/>
      <c r="X1" s="35"/>
      <c r="Y1" s="35"/>
      <c r="Z1" s="35"/>
    </row>
    <row r="2" spans="1:26" ht="15.75" customHeight="1">
      <c r="A2" s="24"/>
      <c r="B2" s="25"/>
      <c r="C2" s="27"/>
      <c r="D2" s="26"/>
      <c r="E2" s="26"/>
      <c r="F2" s="27"/>
      <c r="G2" s="26"/>
      <c r="H2" s="26"/>
      <c r="I2" s="26"/>
      <c r="J2" s="26"/>
      <c r="K2" s="26"/>
      <c r="L2" s="35"/>
      <c r="M2" s="35"/>
      <c r="N2" s="35"/>
      <c r="O2" s="35"/>
      <c r="P2" s="35"/>
      <c r="Q2" s="35"/>
      <c r="R2" s="35"/>
      <c r="S2" s="35"/>
      <c r="T2" s="35"/>
      <c r="U2" s="35"/>
      <c r="V2" s="35"/>
    </row>
    <row r="3" spans="1:26" ht="15.75" customHeight="1"/>
    <row r="4" spans="1:26" ht="15.75" customHeight="1"/>
    <row r="5" spans="1:26" ht="15.75" customHeight="1"/>
    <row r="6" spans="1:26" ht="15.75" customHeight="1"/>
    <row r="7" spans="1:26" ht="15.75" customHeight="1"/>
    <row r="8" spans="1:26" ht="15.75" customHeight="1"/>
    <row r="9" spans="1:26" ht="15.75" customHeight="1"/>
    <row r="10" spans="1:26" ht="15.75" customHeight="1"/>
    <row r="11" spans="1:26" ht="15.75" customHeight="1"/>
    <row r="12" spans="1:26" ht="15.75" customHeight="1"/>
    <row r="13" spans="1:26" ht="15.75" customHeight="1"/>
    <row r="14" spans="1:26" ht="15.75" customHeight="1"/>
    <row r="15" spans="1:26" ht="15.75" customHeight="1"/>
    <row r="16" spans="1:2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dataValidations count="4">
    <dataValidation type="list" allowBlank="1" showErrorMessage="1" sqref="H2" xr:uid="{B46A4CEB-D4E6-47A3-B900-CFAF07F96558}">
      <formula1>"Internal,External"</formula1>
    </dataValidation>
    <dataValidation type="list" allowBlank="1" showErrorMessage="1" sqref="E2" xr:uid="{B8C3B0E9-9E87-456B-A6CD-2A939CBB85DE}">
      <formula1>"Bounceback,Defect,None"</formula1>
    </dataValidation>
    <dataValidation type="list" allowBlank="1" showErrorMessage="1" sqref="I2" xr:uid="{60772231-F26F-457F-8D44-6CF03B6CB16A}">
      <formula1>"Open,Inprogress,Closed"</formula1>
    </dataValidation>
    <dataValidation type="list" allowBlank="1" showErrorMessage="1" sqref="G2" xr:uid="{75C0BE28-1E12-4477-973D-71E842A8F625}">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419B1B2-E937-4B55-96E1-A516F0636AB7}">
          <x14:formula1>
            <xm:f>Details!$A$2:$A$10</xm:f>
          </x14:formula1>
          <xm:sqref>J2</xm:sqref>
        </x14:dataValidation>
      </x14:dataValidations>
    </ext>
  </extLst>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986"/>
  <sheetViews>
    <sheetView showGridLines="0" workbookViewId="0">
      <pane xSplit="5" ySplit="2" topLeftCell="L3" activePane="bottomRight" state="frozen"/>
      <selection pane="bottomRight" activeCell="F1" sqref="F1"/>
      <selection pane="bottomLeft" activeCell="A3" sqref="A3"/>
      <selection pane="topRight" activeCell="F1" sqref="F1"/>
    </sheetView>
  </sheetViews>
  <sheetFormatPr defaultColWidth="12.5703125" defaultRowHeight="12.75"/>
  <cols>
    <col min="1" max="1" width="7.140625" customWidth="1"/>
    <col min="2" max="2" width="34.42578125" customWidth="1"/>
    <col min="3" max="3" width="19.7109375" customWidth="1"/>
    <col min="4" max="4" width="12.42578125" style="47" customWidth="1"/>
    <col min="5" max="5" width="46.42578125" customWidth="1"/>
    <col min="6" max="7" width="23.140625" customWidth="1"/>
    <col min="8" max="8" width="11.42578125" customWidth="1"/>
    <col min="9" max="9" width="21" customWidth="1"/>
    <col min="10" max="10" width="40.140625" customWidth="1"/>
    <col min="11" max="11" width="12.5703125" customWidth="1"/>
    <col min="12" max="12" width="40" customWidth="1"/>
    <col min="13" max="13" width="63.5703125" customWidth="1"/>
    <col min="14" max="14" width="12.5703125" customWidth="1"/>
    <col min="15" max="15" width="12.5703125" style="53" customWidth="1"/>
    <col min="16" max="16" width="12.5703125" customWidth="1"/>
    <col min="17" max="17" width="46.28515625" customWidth="1"/>
    <col min="18" max="18" width="21.140625" customWidth="1"/>
    <col min="19" max="19" width="17.42578125" style="53" customWidth="1"/>
    <col min="20" max="20" width="29.42578125" customWidth="1"/>
    <col min="21" max="22" width="41.28515625" customWidth="1"/>
    <col min="23" max="23" width="9.85546875" bestFit="1" customWidth="1"/>
    <col min="24" max="24" width="42" customWidth="1"/>
  </cols>
  <sheetData>
    <row r="1" spans="1:24" ht="14.25">
      <c r="A1" s="4"/>
      <c r="B1" s="4"/>
      <c r="C1" s="4"/>
      <c r="D1" s="5"/>
      <c r="E1" s="54"/>
      <c r="F1" s="4"/>
      <c r="G1" s="4"/>
      <c r="H1" s="5"/>
      <c r="I1" s="1"/>
      <c r="J1" s="4"/>
      <c r="K1" s="4"/>
      <c r="L1" s="4"/>
      <c r="M1" s="4"/>
      <c r="N1" s="4"/>
      <c r="O1" s="48"/>
      <c r="P1" s="4"/>
      <c r="Q1" s="4"/>
      <c r="R1" s="4"/>
      <c r="S1" s="48"/>
      <c r="T1" s="4"/>
      <c r="U1" s="4"/>
      <c r="V1" s="4"/>
      <c r="W1" s="4"/>
      <c r="X1" s="6"/>
    </row>
    <row r="2" spans="1:24" ht="25.5">
      <c r="A2" s="1" t="s">
        <v>248</v>
      </c>
      <c r="B2" s="1" t="s">
        <v>249</v>
      </c>
      <c r="C2" s="1" t="s">
        <v>250</v>
      </c>
      <c r="D2" s="7" t="s">
        <v>251</v>
      </c>
      <c r="E2" s="55" t="s">
        <v>252</v>
      </c>
      <c r="F2" s="1" t="s">
        <v>254</v>
      </c>
      <c r="G2" s="1" t="s">
        <v>255</v>
      </c>
      <c r="H2" s="7" t="s">
        <v>259</v>
      </c>
      <c r="I2" s="1" t="s">
        <v>260</v>
      </c>
      <c r="J2" s="1" t="s">
        <v>261</v>
      </c>
      <c r="K2" s="1" t="s">
        <v>262</v>
      </c>
      <c r="L2" s="1" t="s">
        <v>263</v>
      </c>
      <c r="M2" s="1" t="s">
        <v>264</v>
      </c>
      <c r="N2" s="1" t="s">
        <v>265</v>
      </c>
      <c r="O2" s="49" t="s">
        <v>266</v>
      </c>
      <c r="P2" s="1" t="s">
        <v>1571</v>
      </c>
      <c r="Q2" s="1" t="s">
        <v>268</v>
      </c>
      <c r="R2" s="1" t="s">
        <v>1572</v>
      </c>
      <c r="S2" s="49" t="s">
        <v>270</v>
      </c>
      <c r="T2" s="1" t="s">
        <v>268</v>
      </c>
      <c r="U2" s="1" t="s">
        <v>272</v>
      </c>
      <c r="V2" s="1" t="s">
        <v>273</v>
      </c>
      <c r="W2" s="1" t="s">
        <v>253</v>
      </c>
      <c r="X2" s="8" t="s">
        <v>274</v>
      </c>
    </row>
    <row r="3" spans="1:24" ht="24">
      <c r="A3" s="9">
        <v>1</v>
      </c>
      <c r="B3" s="126" t="s">
        <v>1896</v>
      </c>
      <c r="C3" s="10" t="s">
        <v>1897</v>
      </c>
      <c r="D3" s="42" t="s">
        <v>1898</v>
      </c>
      <c r="E3" s="41" t="s">
        <v>1899</v>
      </c>
      <c r="F3" s="11">
        <v>3</v>
      </c>
      <c r="G3" s="11">
        <v>3</v>
      </c>
      <c r="H3" s="12" t="s">
        <v>1871</v>
      </c>
      <c r="I3" s="13" t="s">
        <v>1897</v>
      </c>
      <c r="J3" s="14" t="s">
        <v>1557</v>
      </c>
      <c r="K3" s="14" t="s">
        <v>1900</v>
      </c>
      <c r="L3" s="14" t="s">
        <v>1557</v>
      </c>
      <c r="M3" s="15" t="s">
        <v>1901</v>
      </c>
      <c r="N3" s="16">
        <v>45301</v>
      </c>
      <c r="O3" s="50">
        <v>45302</v>
      </c>
      <c r="P3" s="10" t="s">
        <v>322</v>
      </c>
      <c r="Q3" s="17" t="s">
        <v>1557</v>
      </c>
      <c r="R3" s="18" t="s">
        <v>1723</v>
      </c>
      <c r="S3" s="123">
        <v>45302</v>
      </c>
      <c r="T3" s="10" t="s">
        <v>1557</v>
      </c>
      <c r="U3" s="18" t="s">
        <v>1591</v>
      </c>
      <c r="V3" s="18" t="s">
        <v>1557</v>
      </c>
      <c r="W3" s="19" t="s">
        <v>557</v>
      </c>
      <c r="X3" s="19"/>
    </row>
    <row r="4" spans="1:24" ht="24">
      <c r="A4" s="9">
        <v>2</v>
      </c>
      <c r="B4" s="126" t="s">
        <v>1896</v>
      </c>
      <c r="C4" s="10" t="s">
        <v>1724</v>
      </c>
      <c r="D4" s="43" t="s">
        <v>1902</v>
      </c>
      <c r="E4" s="56" t="s">
        <v>1903</v>
      </c>
      <c r="F4" s="11">
        <v>2</v>
      </c>
      <c r="G4" s="11">
        <v>2</v>
      </c>
      <c r="H4" s="12" t="s">
        <v>1871</v>
      </c>
      <c r="I4" s="20" t="s">
        <v>1872</v>
      </c>
      <c r="J4" s="14" t="s">
        <v>1557</v>
      </c>
      <c r="K4" s="10" t="s">
        <v>1900</v>
      </c>
      <c r="L4" s="14" t="s">
        <v>1557</v>
      </c>
      <c r="M4" s="15" t="s">
        <v>1904</v>
      </c>
      <c r="N4" s="21">
        <v>45299</v>
      </c>
      <c r="O4" s="51">
        <v>45300</v>
      </c>
      <c r="P4" s="20" t="s">
        <v>322</v>
      </c>
      <c r="Q4" s="17" t="s">
        <v>1557</v>
      </c>
      <c r="R4" s="22" t="s">
        <v>1723</v>
      </c>
      <c r="S4" s="123">
        <v>45300</v>
      </c>
      <c r="T4" s="10" t="s">
        <v>1557</v>
      </c>
      <c r="U4" s="18" t="s">
        <v>1591</v>
      </c>
      <c r="V4" s="18" t="s">
        <v>1557</v>
      </c>
      <c r="W4" s="19" t="s">
        <v>557</v>
      </c>
      <c r="X4" s="19"/>
    </row>
    <row r="5" spans="1:24" ht="24">
      <c r="A5" s="9">
        <v>3</v>
      </c>
      <c r="B5" s="126" t="s">
        <v>1896</v>
      </c>
      <c r="C5" s="20" t="s">
        <v>1587</v>
      </c>
      <c r="D5" s="12" t="s">
        <v>1905</v>
      </c>
      <c r="E5" s="57" t="s">
        <v>1906</v>
      </c>
      <c r="F5" s="11">
        <v>1</v>
      </c>
      <c r="G5" s="11">
        <v>1</v>
      </c>
      <c r="H5" s="12" t="s">
        <v>1871</v>
      </c>
      <c r="I5" s="20" t="s">
        <v>1872</v>
      </c>
      <c r="J5" s="14" t="s">
        <v>1557</v>
      </c>
      <c r="K5" s="13" t="s">
        <v>595</v>
      </c>
      <c r="L5" s="14" t="s">
        <v>1557</v>
      </c>
      <c r="M5" s="15" t="s">
        <v>1907</v>
      </c>
      <c r="N5" s="21">
        <v>45295</v>
      </c>
      <c r="O5" s="51">
        <v>45296</v>
      </c>
      <c r="P5" s="14" t="s">
        <v>322</v>
      </c>
      <c r="Q5" s="17" t="s">
        <v>1557</v>
      </c>
      <c r="R5" s="22" t="s">
        <v>1723</v>
      </c>
      <c r="S5" s="124">
        <v>45296</v>
      </c>
      <c r="T5" s="10" t="s">
        <v>1557</v>
      </c>
      <c r="U5" s="18" t="s">
        <v>1591</v>
      </c>
      <c r="V5" s="18" t="s">
        <v>1557</v>
      </c>
      <c r="W5" s="19" t="s">
        <v>557</v>
      </c>
      <c r="X5" s="19"/>
    </row>
    <row r="6" spans="1:24" ht="24">
      <c r="A6" s="9">
        <v>4</v>
      </c>
      <c r="B6" s="126" t="s">
        <v>1896</v>
      </c>
      <c r="C6" s="14" t="s">
        <v>1897</v>
      </c>
      <c r="D6" s="12" t="s">
        <v>1908</v>
      </c>
      <c r="E6" s="41" t="s">
        <v>1870</v>
      </c>
      <c r="F6" s="11">
        <v>5</v>
      </c>
      <c r="G6" s="11">
        <v>3</v>
      </c>
      <c r="H6" s="12" t="s">
        <v>1871</v>
      </c>
      <c r="I6" s="13" t="s">
        <v>1897</v>
      </c>
      <c r="J6" s="14" t="s">
        <v>1557</v>
      </c>
      <c r="K6" s="20" t="s">
        <v>1591</v>
      </c>
      <c r="L6" s="14" t="s">
        <v>1557</v>
      </c>
      <c r="M6" s="14" t="s">
        <v>1591</v>
      </c>
      <c r="N6" s="14"/>
      <c r="O6" s="9"/>
      <c r="P6" s="20"/>
      <c r="Q6" s="17" t="s">
        <v>1591</v>
      </c>
      <c r="R6" s="18"/>
      <c r="S6" s="125"/>
      <c r="T6" s="10" t="s">
        <v>1591</v>
      </c>
      <c r="U6" s="18" t="s">
        <v>1591</v>
      </c>
      <c r="V6" s="18" t="s">
        <v>1591</v>
      </c>
      <c r="W6" s="19" t="s">
        <v>589</v>
      </c>
      <c r="X6" s="19"/>
    </row>
    <row r="7" spans="1:24" ht="24">
      <c r="A7" s="9">
        <v>5</v>
      </c>
      <c r="B7" s="126" t="s">
        <v>1896</v>
      </c>
      <c r="C7" s="14" t="s">
        <v>595</v>
      </c>
      <c r="D7" s="44" t="s">
        <v>1909</v>
      </c>
      <c r="E7" s="41" t="s">
        <v>1910</v>
      </c>
      <c r="F7" s="11">
        <v>1</v>
      </c>
      <c r="G7" s="11">
        <v>1</v>
      </c>
      <c r="H7" s="22" t="s">
        <v>1871</v>
      </c>
      <c r="I7" s="14"/>
      <c r="J7" s="14" t="s">
        <v>1557</v>
      </c>
      <c r="K7" s="20" t="s">
        <v>1591</v>
      </c>
      <c r="L7" s="14" t="s">
        <v>1557</v>
      </c>
      <c r="M7" s="15" t="s">
        <v>1911</v>
      </c>
      <c r="N7" s="21">
        <v>45309</v>
      </c>
      <c r="O7" s="51">
        <v>45309</v>
      </c>
      <c r="P7" s="14" t="s">
        <v>322</v>
      </c>
      <c r="Q7" s="17" t="s">
        <v>1557</v>
      </c>
      <c r="R7" s="18" t="s">
        <v>1723</v>
      </c>
      <c r="S7" s="51">
        <v>45309</v>
      </c>
      <c r="T7" s="10" t="s">
        <v>1557</v>
      </c>
      <c r="U7" s="18" t="s">
        <v>1591</v>
      </c>
      <c r="V7" s="18" t="s">
        <v>1557</v>
      </c>
      <c r="W7" s="19" t="s">
        <v>557</v>
      </c>
      <c r="X7" s="19"/>
    </row>
    <row r="8" spans="1:24" ht="24">
      <c r="A8" s="9">
        <v>6</v>
      </c>
      <c r="B8" s="126" t="s">
        <v>1896</v>
      </c>
      <c r="C8" s="14" t="s">
        <v>1724</v>
      </c>
      <c r="D8" s="45" t="s">
        <v>1912</v>
      </c>
      <c r="E8" s="41" t="s">
        <v>1913</v>
      </c>
      <c r="F8" s="11">
        <v>1</v>
      </c>
      <c r="G8" s="11">
        <v>1</v>
      </c>
      <c r="H8" s="22" t="s">
        <v>1871</v>
      </c>
      <c r="I8" s="14" t="s">
        <v>1872</v>
      </c>
      <c r="J8" s="14" t="s">
        <v>1557</v>
      </c>
      <c r="K8" s="14" t="s">
        <v>595</v>
      </c>
      <c r="L8" s="14" t="s">
        <v>1557</v>
      </c>
      <c r="M8" s="23" t="s">
        <v>1914</v>
      </c>
      <c r="N8" s="21">
        <v>45309</v>
      </c>
      <c r="O8" s="51">
        <v>45309</v>
      </c>
      <c r="P8" s="14" t="s">
        <v>322</v>
      </c>
      <c r="Q8" s="17" t="s">
        <v>1557</v>
      </c>
      <c r="R8" s="20" t="s">
        <v>1723</v>
      </c>
      <c r="S8" s="51">
        <v>45309</v>
      </c>
      <c r="T8" s="10" t="s">
        <v>1557</v>
      </c>
      <c r="U8" s="18" t="s">
        <v>1591</v>
      </c>
      <c r="V8" s="18" t="s">
        <v>1557</v>
      </c>
      <c r="W8" s="19" t="s">
        <v>557</v>
      </c>
      <c r="X8" s="19"/>
    </row>
    <row r="9" spans="1:24" ht="24">
      <c r="A9" s="9">
        <v>7</v>
      </c>
      <c r="B9" s="126" t="s">
        <v>1896</v>
      </c>
      <c r="C9" s="20" t="s">
        <v>1915</v>
      </c>
      <c r="D9" s="45" t="s">
        <v>1916</v>
      </c>
      <c r="E9" s="22" t="s">
        <v>1917</v>
      </c>
      <c r="F9" s="18">
        <v>1</v>
      </c>
      <c r="G9" s="18">
        <v>1</v>
      </c>
      <c r="H9" s="22" t="s">
        <v>1871</v>
      </c>
      <c r="I9" s="14" t="s">
        <v>1882</v>
      </c>
      <c r="J9" s="14" t="s">
        <v>1557</v>
      </c>
      <c r="K9" s="20" t="s">
        <v>595</v>
      </c>
      <c r="L9" s="14" t="s">
        <v>1557</v>
      </c>
      <c r="M9" s="15" t="s">
        <v>1918</v>
      </c>
      <c r="N9" s="21">
        <v>45309</v>
      </c>
      <c r="O9" s="51">
        <v>45309</v>
      </c>
      <c r="P9" s="20" t="s">
        <v>322</v>
      </c>
      <c r="Q9" s="17" t="s">
        <v>1557</v>
      </c>
      <c r="R9" s="22" t="s">
        <v>1723</v>
      </c>
      <c r="S9" s="51">
        <v>45309</v>
      </c>
      <c r="T9" s="10" t="s">
        <v>1557</v>
      </c>
      <c r="U9" s="18" t="s">
        <v>1591</v>
      </c>
      <c r="V9" s="18" t="s">
        <v>1557</v>
      </c>
      <c r="W9" s="19" t="s">
        <v>557</v>
      </c>
      <c r="X9" s="19"/>
    </row>
    <row r="10" spans="1:24">
      <c r="A10" s="19"/>
      <c r="B10" s="18"/>
      <c r="C10" s="14"/>
      <c r="D10" s="12"/>
      <c r="E10" s="19"/>
      <c r="F10" s="18"/>
      <c r="G10" s="18"/>
      <c r="H10" s="12"/>
      <c r="I10" s="14"/>
      <c r="J10" s="19"/>
      <c r="K10" s="14"/>
      <c r="L10" s="19"/>
      <c r="M10" s="14"/>
      <c r="N10" s="14"/>
      <c r="O10" s="9"/>
      <c r="P10" s="14"/>
      <c r="Q10" s="19"/>
      <c r="R10" s="19"/>
      <c r="S10" s="9"/>
      <c r="T10" s="19"/>
      <c r="U10" s="19"/>
      <c r="V10" s="19"/>
      <c r="W10" s="19"/>
      <c r="X10" s="19"/>
    </row>
    <row r="11" spans="1:24">
      <c r="B11" s="28"/>
      <c r="C11" s="3"/>
      <c r="E11" s="35"/>
      <c r="F11" s="28"/>
      <c r="G11" s="28"/>
      <c r="H11" s="29"/>
      <c r="I11" s="14"/>
      <c r="K11" s="3"/>
      <c r="M11" s="3"/>
      <c r="N11" s="3"/>
      <c r="O11" s="52"/>
      <c r="P11" s="3"/>
    </row>
    <row r="12" spans="1:24">
      <c r="B12" s="28"/>
      <c r="C12" s="3"/>
      <c r="E12" s="35"/>
      <c r="F12" s="28"/>
      <c r="G12" s="28"/>
      <c r="H12" s="29"/>
      <c r="I12" s="14"/>
      <c r="K12" s="3"/>
      <c r="M12" s="3"/>
      <c r="N12" s="3"/>
      <c r="O12" s="52"/>
      <c r="P12" s="3"/>
    </row>
    <row r="13" spans="1:24">
      <c r="B13" s="28"/>
      <c r="C13" s="3"/>
      <c r="E13" s="35"/>
      <c r="F13" s="28"/>
      <c r="G13" s="28"/>
      <c r="H13" s="29"/>
      <c r="I13" s="14"/>
      <c r="K13" s="3"/>
      <c r="M13" s="3"/>
      <c r="N13" s="3"/>
      <c r="O13" s="52"/>
      <c r="P13" s="3"/>
    </row>
    <row r="14" spans="1:24">
      <c r="B14" s="28"/>
      <c r="C14" s="3"/>
      <c r="E14" s="35"/>
      <c r="F14" s="28"/>
      <c r="G14" s="28"/>
      <c r="H14" s="29"/>
      <c r="I14" s="14"/>
      <c r="K14" s="3"/>
      <c r="M14" s="3"/>
      <c r="N14" s="3"/>
      <c r="O14" s="52"/>
      <c r="P14" s="3"/>
    </row>
    <row r="15" spans="1:24">
      <c r="B15" s="28"/>
      <c r="C15" s="3"/>
      <c r="E15" s="35"/>
      <c r="F15" s="28"/>
      <c r="G15" s="28"/>
      <c r="H15" s="29"/>
      <c r="I15" s="14"/>
      <c r="K15" s="3"/>
      <c r="M15" s="3"/>
      <c r="N15" s="3"/>
      <c r="O15" s="52"/>
      <c r="P15" s="3"/>
    </row>
    <row r="16" spans="1:24">
      <c r="B16" s="28"/>
      <c r="C16" s="3"/>
      <c r="E16" s="35"/>
      <c r="F16" s="28"/>
      <c r="G16" s="28"/>
      <c r="H16" s="29"/>
      <c r="I16" s="14"/>
      <c r="K16" s="3"/>
      <c r="M16" s="3"/>
      <c r="N16" s="3"/>
      <c r="O16" s="52"/>
      <c r="P16" s="3"/>
    </row>
    <row r="17" spans="2:16">
      <c r="B17" s="28"/>
      <c r="C17" s="3"/>
      <c r="E17" s="35"/>
      <c r="F17" s="28"/>
      <c r="G17" s="28"/>
      <c r="H17" s="29"/>
      <c r="I17" s="14"/>
      <c r="K17" s="3"/>
      <c r="M17" s="3"/>
      <c r="N17" s="3"/>
      <c r="O17" s="52"/>
      <c r="P17" s="3"/>
    </row>
    <row r="18" spans="2:16">
      <c r="B18" s="28"/>
      <c r="C18" s="3"/>
      <c r="E18" s="35"/>
      <c r="F18" s="28"/>
      <c r="G18" s="28"/>
      <c r="H18" s="29"/>
      <c r="I18" s="14"/>
      <c r="K18" s="3"/>
      <c r="M18" s="3"/>
      <c r="N18" s="3"/>
      <c r="O18" s="52"/>
      <c r="P18" s="3"/>
    </row>
    <row r="19" spans="2:16">
      <c r="B19" s="28"/>
      <c r="C19" s="3"/>
      <c r="E19" s="35"/>
      <c r="F19" s="28"/>
      <c r="G19" s="28"/>
      <c r="H19" s="29"/>
      <c r="I19" s="14"/>
      <c r="K19" s="3"/>
      <c r="M19" s="3"/>
      <c r="N19" s="3"/>
      <c r="O19" s="52"/>
      <c r="P19" s="3"/>
    </row>
    <row r="20" spans="2:16">
      <c r="B20" s="28"/>
      <c r="C20" s="3"/>
      <c r="E20" s="35"/>
      <c r="F20" s="28"/>
      <c r="G20" s="28"/>
      <c r="H20" s="29"/>
      <c r="I20" s="14"/>
      <c r="K20" s="3"/>
      <c r="M20" s="3"/>
      <c r="N20" s="3"/>
      <c r="O20" s="52"/>
      <c r="P20" s="3"/>
    </row>
    <row r="21" spans="2:16">
      <c r="B21" s="28"/>
      <c r="C21" s="3"/>
      <c r="E21" s="35"/>
      <c r="F21" s="28"/>
      <c r="G21" s="28"/>
      <c r="H21" s="29"/>
      <c r="I21" s="14"/>
      <c r="K21" s="3"/>
      <c r="M21" s="3"/>
      <c r="N21" s="3"/>
      <c r="O21" s="52"/>
      <c r="P21" s="3"/>
    </row>
    <row r="22" spans="2:16">
      <c r="B22" s="28"/>
      <c r="C22" s="3"/>
      <c r="E22" s="35"/>
      <c r="F22" s="28"/>
      <c r="G22" s="28"/>
      <c r="H22" s="29"/>
      <c r="I22" s="14"/>
      <c r="K22" s="3"/>
      <c r="M22" s="3"/>
      <c r="N22" s="3"/>
      <c r="O22" s="52"/>
      <c r="P22" s="3"/>
    </row>
    <row r="23" spans="2:16">
      <c r="B23" s="28"/>
      <c r="C23" s="3"/>
      <c r="E23" s="35"/>
      <c r="F23" s="28"/>
      <c r="G23" s="28"/>
      <c r="H23" s="29"/>
      <c r="I23" s="14"/>
      <c r="K23" s="3"/>
      <c r="M23" s="3"/>
      <c r="N23" s="3"/>
      <c r="O23" s="52"/>
      <c r="P23" s="3"/>
    </row>
    <row r="24" spans="2:16">
      <c r="B24" s="28"/>
      <c r="C24" s="3"/>
      <c r="E24" s="35"/>
      <c r="F24" s="28"/>
      <c r="G24" s="28"/>
      <c r="H24" s="29"/>
      <c r="I24" s="14"/>
      <c r="K24" s="3"/>
      <c r="M24" s="3"/>
      <c r="N24" s="3"/>
      <c r="O24" s="52"/>
      <c r="P24" s="3"/>
    </row>
    <row r="25" spans="2:16">
      <c r="B25" s="28"/>
      <c r="C25" s="3"/>
      <c r="E25" s="35"/>
      <c r="F25" s="28"/>
      <c r="G25" s="28"/>
      <c r="H25" s="29"/>
      <c r="I25" s="14"/>
      <c r="K25" s="3"/>
      <c r="M25" s="3"/>
      <c r="N25" s="3"/>
      <c r="O25" s="52"/>
      <c r="P25" s="3"/>
    </row>
    <row r="26" spans="2:16">
      <c r="B26" s="28"/>
      <c r="C26" s="3"/>
      <c r="E26" s="35"/>
      <c r="F26" s="28"/>
      <c r="G26" s="28"/>
      <c r="H26" s="29"/>
      <c r="I26" s="14"/>
      <c r="K26" s="3"/>
      <c r="M26" s="3"/>
      <c r="N26" s="3"/>
      <c r="O26" s="52"/>
      <c r="P26" s="3"/>
    </row>
    <row r="27" spans="2:16">
      <c r="B27" s="28"/>
      <c r="C27" s="3"/>
      <c r="E27" s="35"/>
      <c r="F27" s="28"/>
      <c r="G27" s="28"/>
      <c r="H27" s="29"/>
      <c r="I27" s="14"/>
      <c r="K27" s="3"/>
      <c r="M27" s="3"/>
      <c r="N27" s="3"/>
      <c r="O27" s="52"/>
      <c r="P27" s="3"/>
    </row>
    <row r="28" spans="2:16">
      <c r="B28" s="28"/>
      <c r="C28" s="3"/>
      <c r="E28" s="35"/>
      <c r="F28" s="28"/>
      <c r="G28" s="28"/>
      <c r="H28" s="29"/>
      <c r="I28" s="14"/>
      <c r="K28" s="3"/>
      <c r="M28" s="3"/>
      <c r="N28" s="3"/>
      <c r="O28" s="52"/>
      <c r="P28" s="3"/>
    </row>
    <row r="29" spans="2:16">
      <c r="B29" s="28"/>
      <c r="C29" s="3"/>
      <c r="E29" s="35"/>
      <c r="F29" s="28"/>
      <c r="G29" s="28"/>
      <c r="H29" s="29"/>
      <c r="I29" s="14"/>
      <c r="K29" s="3"/>
      <c r="M29" s="3"/>
      <c r="N29" s="3"/>
      <c r="O29" s="52"/>
      <c r="P29" s="3"/>
    </row>
    <row r="30" spans="2:16">
      <c r="B30" s="28"/>
      <c r="C30" s="3"/>
      <c r="E30" s="35"/>
      <c r="F30" s="28"/>
      <c r="G30" s="28"/>
      <c r="H30" s="29"/>
      <c r="I30" s="14"/>
      <c r="K30" s="3"/>
      <c r="M30" s="3"/>
      <c r="N30" s="3"/>
      <c r="O30" s="52"/>
      <c r="P30" s="3"/>
    </row>
    <row r="31" spans="2:16">
      <c r="B31" s="28"/>
      <c r="C31" s="3"/>
      <c r="E31" s="35"/>
      <c r="F31" s="28"/>
      <c r="G31" s="28"/>
      <c r="H31" s="29"/>
      <c r="I31" s="14"/>
      <c r="K31" s="3"/>
      <c r="M31" s="3"/>
      <c r="N31" s="3"/>
      <c r="O31" s="52"/>
      <c r="P31" s="3"/>
    </row>
    <row r="32" spans="2:16">
      <c r="B32" s="28"/>
      <c r="C32" s="3"/>
      <c r="E32" s="35"/>
      <c r="F32" s="28"/>
      <c r="G32" s="28"/>
      <c r="H32" s="29"/>
      <c r="I32" s="14"/>
      <c r="K32" s="3"/>
      <c r="M32" s="3"/>
      <c r="N32" s="3"/>
      <c r="O32" s="52"/>
      <c r="P32" s="3"/>
    </row>
    <row r="33" spans="2:16">
      <c r="B33" s="28"/>
      <c r="C33" s="3"/>
      <c r="E33" s="35"/>
      <c r="F33" s="28"/>
      <c r="G33" s="28"/>
      <c r="H33" s="29"/>
      <c r="I33" s="14"/>
      <c r="K33" s="3"/>
      <c r="M33" s="3"/>
      <c r="N33" s="3"/>
      <c r="O33" s="52"/>
      <c r="P33" s="3"/>
    </row>
    <row r="34" spans="2:16">
      <c r="B34" s="28"/>
      <c r="C34" s="3"/>
      <c r="E34" s="35"/>
      <c r="F34" s="28"/>
      <c r="G34" s="28"/>
      <c r="H34" s="29"/>
      <c r="I34" s="14"/>
      <c r="K34" s="3"/>
      <c r="M34" s="3"/>
      <c r="N34" s="3"/>
      <c r="O34" s="52"/>
      <c r="P34" s="3"/>
    </row>
    <row r="35" spans="2:16">
      <c r="B35" s="28"/>
      <c r="C35" s="3"/>
      <c r="E35" s="35"/>
      <c r="F35" s="28"/>
      <c r="G35" s="28"/>
      <c r="H35" s="29"/>
      <c r="I35" s="14"/>
      <c r="K35" s="3"/>
      <c r="M35" s="3"/>
      <c r="N35" s="3"/>
      <c r="O35" s="52"/>
      <c r="P35" s="3"/>
    </row>
    <row r="36" spans="2:16">
      <c r="B36" s="28"/>
      <c r="C36" s="3"/>
      <c r="E36" s="35"/>
      <c r="F36" s="28"/>
      <c r="G36" s="28"/>
      <c r="H36" s="29"/>
      <c r="I36" s="14"/>
      <c r="K36" s="3"/>
      <c r="M36" s="3"/>
      <c r="N36" s="3"/>
      <c r="O36" s="52"/>
      <c r="P36" s="3"/>
    </row>
    <row r="37" spans="2:16">
      <c r="B37" s="28"/>
      <c r="C37" s="3"/>
      <c r="E37" s="35"/>
      <c r="F37" s="28"/>
      <c r="G37" s="28"/>
      <c r="H37" s="29"/>
      <c r="I37" s="14"/>
      <c r="K37" s="3"/>
      <c r="M37" s="3"/>
      <c r="N37" s="3"/>
      <c r="O37" s="52"/>
      <c r="P37" s="3"/>
    </row>
    <row r="38" spans="2:16">
      <c r="B38" s="28"/>
      <c r="C38" s="3"/>
      <c r="E38" s="35"/>
      <c r="F38" s="28"/>
      <c r="G38" s="28"/>
      <c r="H38" s="29"/>
      <c r="I38" s="14"/>
      <c r="K38" s="3"/>
      <c r="M38" s="3"/>
      <c r="N38" s="3"/>
      <c r="O38" s="52"/>
      <c r="P38" s="3"/>
    </row>
    <row r="39" spans="2:16">
      <c r="B39" s="28"/>
      <c r="C39" s="3"/>
      <c r="E39" s="35"/>
      <c r="F39" s="28"/>
      <c r="G39" s="28"/>
      <c r="H39" s="29"/>
      <c r="I39" s="14"/>
      <c r="K39" s="3"/>
      <c r="M39" s="3"/>
      <c r="N39" s="3"/>
      <c r="O39" s="52"/>
      <c r="P39" s="3"/>
    </row>
    <row r="40" spans="2:16">
      <c r="B40" s="28"/>
      <c r="C40" s="3"/>
      <c r="E40" s="35"/>
      <c r="F40" s="28"/>
      <c r="G40" s="28"/>
      <c r="H40" s="29"/>
      <c r="I40" s="14"/>
      <c r="K40" s="3"/>
      <c r="M40" s="3"/>
      <c r="N40" s="3"/>
      <c r="O40" s="52"/>
      <c r="P40" s="3"/>
    </row>
    <row r="41" spans="2:16">
      <c r="B41" s="28"/>
      <c r="C41" s="3"/>
      <c r="E41" s="35"/>
      <c r="F41" s="28"/>
      <c r="G41" s="28"/>
      <c r="H41" s="29"/>
      <c r="I41" s="14"/>
      <c r="K41" s="3"/>
      <c r="M41" s="3"/>
      <c r="N41" s="3"/>
      <c r="O41" s="52"/>
      <c r="P41" s="3"/>
    </row>
    <row r="42" spans="2:16">
      <c r="B42" s="28"/>
      <c r="C42" s="3"/>
      <c r="E42" s="35"/>
      <c r="F42" s="28"/>
      <c r="G42" s="28"/>
      <c r="H42" s="29"/>
      <c r="I42" s="14"/>
      <c r="K42" s="3"/>
      <c r="M42" s="3"/>
      <c r="N42" s="3"/>
      <c r="O42" s="52"/>
      <c r="P42" s="3"/>
    </row>
    <row r="43" spans="2:16">
      <c r="B43" s="28"/>
      <c r="C43" s="3"/>
      <c r="E43" s="35"/>
      <c r="F43" s="28"/>
      <c r="G43" s="28"/>
      <c r="H43" s="29"/>
      <c r="I43" s="14"/>
      <c r="K43" s="3"/>
      <c r="M43" s="3"/>
      <c r="N43" s="3"/>
      <c r="O43" s="52"/>
      <c r="P43" s="3"/>
    </row>
    <row r="44" spans="2:16">
      <c r="B44" s="28"/>
      <c r="C44" s="3"/>
      <c r="E44" s="35"/>
      <c r="F44" s="28"/>
      <c r="G44" s="28"/>
      <c r="H44" s="29"/>
      <c r="I44" s="14"/>
      <c r="K44" s="3"/>
      <c r="M44" s="3"/>
      <c r="N44" s="3"/>
      <c r="O44" s="52"/>
      <c r="P44" s="3"/>
    </row>
    <row r="45" spans="2:16">
      <c r="B45" s="28"/>
      <c r="C45" s="3"/>
      <c r="E45" s="35"/>
      <c r="F45" s="28"/>
      <c r="G45" s="28"/>
      <c r="H45" s="29"/>
      <c r="I45" s="14"/>
      <c r="K45" s="3"/>
      <c r="M45" s="3"/>
      <c r="N45" s="3"/>
      <c r="O45" s="52"/>
      <c r="P45" s="3"/>
    </row>
    <row r="46" spans="2:16">
      <c r="B46" s="28"/>
      <c r="C46" s="3"/>
      <c r="E46" s="35"/>
      <c r="F46" s="28"/>
      <c r="G46" s="28"/>
      <c r="H46" s="29"/>
      <c r="I46" s="14"/>
      <c r="K46" s="3"/>
      <c r="M46" s="3"/>
      <c r="N46" s="3"/>
      <c r="O46" s="52"/>
      <c r="P46" s="3"/>
    </row>
    <row r="47" spans="2:16">
      <c r="B47" s="28"/>
      <c r="C47" s="3"/>
      <c r="E47" s="35"/>
      <c r="F47" s="28"/>
      <c r="G47" s="28"/>
      <c r="H47" s="29"/>
      <c r="I47" s="14"/>
      <c r="K47" s="3"/>
      <c r="M47" s="3"/>
      <c r="N47" s="3"/>
      <c r="O47" s="52"/>
      <c r="P47" s="3"/>
    </row>
    <row r="48" spans="2:16">
      <c r="B48" s="28"/>
      <c r="C48" s="3"/>
      <c r="E48" s="35"/>
      <c r="F48" s="28"/>
      <c r="G48" s="28"/>
      <c r="H48" s="29"/>
      <c r="I48" s="14"/>
      <c r="K48" s="3"/>
      <c r="M48" s="3"/>
      <c r="N48" s="3"/>
      <c r="O48" s="52"/>
      <c r="P48" s="3"/>
    </row>
    <row r="49" spans="2:16">
      <c r="B49" s="28"/>
      <c r="C49" s="3"/>
      <c r="E49" s="35"/>
      <c r="F49" s="28"/>
      <c r="G49" s="28"/>
      <c r="H49" s="29"/>
      <c r="I49" s="14"/>
      <c r="K49" s="3"/>
      <c r="M49" s="3"/>
      <c r="N49" s="3"/>
      <c r="O49" s="52"/>
      <c r="P49" s="3"/>
    </row>
    <row r="50" spans="2:16">
      <c r="B50" s="28"/>
      <c r="C50" s="3"/>
      <c r="E50" s="35"/>
      <c r="F50" s="28"/>
      <c r="G50" s="28"/>
      <c r="H50" s="29"/>
      <c r="I50" s="14"/>
      <c r="K50" s="3"/>
      <c r="M50" s="3"/>
      <c r="N50" s="3"/>
      <c r="O50" s="52"/>
      <c r="P50" s="3"/>
    </row>
    <row r="51" spans="2:16">
      <c r="B51" s="28"/>
      <c r="C51" s="3"/>
      <c r="E51" s="35"/>
      <c r="F51" s="28"/>
      <c r="G51" s="28"/>
      <c r="H51" s="29"/>
      <c r="I51" s="14"/>
      <c r="K51" s="3"/>
      <c r="M51" s="3"/>
      <c r="N51" s="3"/>
      <c r="O51" s="52"/>
      <c r="P51" s="3"/>
    </row>
    <row r="52" spans="2:16">
      <c r="B52" s="28"/>
      <c r="C52" s="3"/>
      <c r="E52" s="35"/>
      <c r="F52" s="28"/>
      <c r="G52" s="28"/>
      <c r="H52" s="29"/>
      <c r="I52" s="14"/>
      <c r="K52" s="3"/>
      <c r="M52" s="3"/>
      <c r="N52" s="3"/>
      <c r="O52" s="52"/>
      <c r="P52" s="3"/>
    </row>
    <row r="53" spans="2:16">
      <c r="B53" s="28"/>
      <c r="C53" s="3"/>
      <c r="E53" s="35"/>
      <c r="F53" s="28"/>
      <c r="G53" s="28"/>
      <c r="H53" s="29"/>
      <c r="I53" s="14"/>
      <c r="K53" s="3"/>
      <c r="M53" s="3"/>
      <c r="N53" s="3"/>
      <c r="O53" s="52"/>
      <c r="P53" s="3"/>
    </row>
    <row r="54" spans="2:16">
      <c r="B54" s="28"/>
      <c r="C54" s="3"/>
      <c r="E54" s="35"/>
      <c r="F54" s="28"/>
      <c r="G54" s="28"/>
      <c r="H54" s="29"/>
      <c r="I54" s="14"/>
      <c r="K54" s="3"/>
      <c r="M54" s="3"/>
      <c r="N54" s="3"/>
      <c r="O54" s="52"/>
      <c r="P54" s="3"/>
    </row>
    <row r="55" spans="2:16">
      <c r="B55" s="28"/>
      <c r="C55" s="3"/>
      <c r="E55" s="35"/>
      <c r="F55" s="28"/>
      <c r="G55" s="28"/>
      <c r="H55" s="29"/>
      <c r="I55" s="14"/>
      <c r="K55" s="3"/>
      <c r="M55" s="3"/>
      <c r="N55" s="3"/>
      <c r="O55" s="52"/>
      <c r="P55" s="3"/>
    </row>
    <row r="56" spans="2:16">
      <c r="B56" s="28"/>
      <c r="C56" s="3"/>
      <c r="E56" s="35"/>
      <c r="F56" s="28"/>
      <c r="G56" s="28"/>
      <c r="H56" s="29"/>
      <c r="I56" s="14"/>
      <c r="K56" s="3"/>
      <c r="M56" s="3"/>
      <c r="N56" s="3"/>
      <c r="O56" s="52"/>
      <c r="P56" s="3"/>
    </row>
    <row r="57" spans="2:16">
      <c r="B57" s="28"/>
      <c r="C57" s="3"/>
      <c r="E57" s="35"/>
      <c r="F57" s="28"/>
      <c r="G57" s="28"/>
      <c r="H57" s="29"/>
      <c r="I57" s="14"/>
      <c r="K57" s="3"/>
      <c r="M57" s="3"/>
      <c r="N57" s="3"/>
      <c r="O57" s="52"/>
      <c r="P57" s="3"/>
    </row>
    <row r="58" spans="2:16">
      <c r="B58" s="28"/>
      <c r="C58" s="3"/>
      <c r="E58" s="35"/>
      <c r="F58" s="28"/>
      <c r="G58" s="28"/>
      <c r="H58" s="29"/>
      <c r="I58" s="14"/>
      <c r="K58" s="3"/>
      <c r="M58" s="3"/>
      <c r="N58" s="3"/>
      <c r="O58" s="52"/>
      <c r="P58" s="3"/>
    </row>
    <row r="59" spans="2:16">
      <c r="B59" s="28"/>
      <c r="C59" s="3"/>
      <c r="E59" s="35"/>
      <c r="F59" s="28"/>
      <c r="G59" s="28"/>
      <c r="H59" s="29"/>
      <c r="I59" s="14"/>
      <c r="K59" s="3"/>
      <c r="M59" s="3"/>
      <c r="N59" s="3"/>
      <c r="O59" s="52"/>
      <c r="P59" s="3"/>
    </row>
    <row r="60" spans="2:16">
      <c r="B60" s="28"/>
      <c r="C60" s="3"/>
      <c r="E60" s="35"/>
      <c r="F60" s="28"/>
      <c r="G60" s="28"/>
      <c r="H60" s="29"/>
      <c r="I60" s="14"/>
      <c r="K60" s="3"/>
      <c r="M60" s="3"/>
      <c r="N60" s="3"/>
      <c r="O60" s="52"/>
      <c r="P60" s="3"/>
    </row>
    <row r="61" spans="2:16">
      <c r="B61" s="28"/>
      <c r="C61" s="3"/>
      <c r="E61" s="35"/>
      <c r="F61" s="28"/>
      <c r="G61" s="28"/>
      <c r="H61" s="29"/>
      <c r="I61" s="14"/>
      <c r="K61" s="3"/>
      <c r="M61" s="3"/>
      <c r="N61" s="3"/>
      <c r="O61" s="52"/>
      <c r="P61" s="3"/>
    </row>
    <row r="62" spans="2:16">
      <c r="B62" s="28"/>
      <c r="C62" s="3"/>
      <c r="E62" s="35"/>
      <c r="F62" s="28"/>
      <c r="G62" s="28"/>
      <c r="H62" s="29"/>
      <c r="I62" s="14"/>
      <c r="K62" s="3"/>
      <c r="M62" s="3"/>
      <c r="N62" s="3"/>
      <c r="O62" s="52"/>
      <c r="P62" s="3"/>
    </row>
    <row r="63" spans="2:16">
      <c r="B63" s="28"/>
      <c r="C63" s="3"/>
      <c r="E63" s="35"/>
      <c r="F63" s="28"/>
      <c r="G63" s="28"/>
      <c r="H63" s="29"/>
      <c r="I63" s="14"/>
      <c r="K63" s="3"/>
      <c r="M63" s="3"/>
      <c r="N63" s="3"/>
      <c r="O63" s="52"/>
      <c r="P63" s="3"/>
    </row>
    <row r="64" spans="2:16">
      <c r="B64" s="28"/>
      <c r="C64" s="3"/>
      <c r="E64" s="35"/>
      <c r="F64" s="28"/>
      <c r="G64" s="28"/>
      <c r="H64" s="29"/>
      <c r="I64" s="14"/>
      <c r="K64" s="3"/>
      <c r="M64" s="3"/>
      <c r="N64" s="3"/>
      <c r="O64" s="52"/>
      <c r="P64" s="3"/>
    </row>
    <row r="65" spans="2:16">
      <c r="B65" s="28"/>
      <c r="C65" s="3"/>
      <c r="E65" s="35"/>
      <c r="F65" s="28"/>
      <c r="G65" s="28"/>
      <c r="H65" s="29"/>
      <c r="I65" s="14"/>
      <c r="K65" s="3"/>
      <c r="M65" s="3"/>
      <c r="N65" s="3"/>
      <c r="O65" s="52"/>
      <c r="P65" s="3"/>
    </row>
    <row r="66" spans="2:16">
      <c r="B66" s="28"/>
      <c r="C66" s="3"/>
      <c r="E66" s="35"/>
      <c r="F66" s="28"/>
      <c r="G66" s="28"/>
      <c r="H66" s="29"/>
      <c r="I66" s="14"/>
      <c r="K66" s="3"/>
      <c r="M66" s="3"/>
      <c r="N66" s="3"/>
      <c r="O66" s="52"/>
      <c r="P66" s="3"/>
    </row>
    <row r="67" spans="2:16">
      <c r="B67" s="28"/>
      <c r="C67" s="3"/>
      <c r="E67" s="35"/>
      <c r="F67" s="28"/>
      <c r="G67" s="28"/>
      <c r="H67" s="29"/>
      <c r="I67" s="14"/>
      <c r="K67" s="3"/>
      <c r="M67" s="3"/>
      <c r="N67" s="3"/>
      <c r="O67" s="52"/>
      <c r="P67" s="3"/>
    </row>
    <row r="68" spans="2:16">
      <c r="B68" s="28"/>
      <c r="C68" s="3"/>
      <c r="E68" s="35"/>
      <c r="F68" s="28"/>
      <c r="G68" s="28"/>
      <c r="H68" s="29"/>
      <c r="I68" s="14"/>
      <c r="K68" s="3"/>
      <c r="M68" s="3"/>
      <c r="N68" s="3"/>
      <c r="O68" s="52"/>
      <c r="P68" s="3"/>
    </row>
    <row r="69" spans="2:16">
      <c r="B69" s="28"/>
      <c r="C69" s="3"/>
      <c r="E69" s="35"/>
      <c r="F69" s="28"/>
      <c r="G69" s="28"/>
      <c r="H69" s="29"/>
      <c r="I69" s="14"/>
      <c r="K69" s="3"/>
      <c r="M69" s="3"/>
      <c r="N69" s="3"/>
      <c r="O69" s="52"/>
      <c r="P69" s="3"/>
    </row>
    <row r="70" spans="2:16">
      <c r="B70" s="28"/>
      <c r="C70" s="3"/>
      <c r="E70" s="35"/>
      <c r="F70" s="28"/>
      <c r="G70" s="28"/>
      <c r="H70" s="29"/>
      <c r="I70" s="14"/>
      <c r="K70" s="3"/>
      <c r="M70" s="3"/>
      <c r="N70" s="3"/>
      <c r="O70" s="52"/>
      <c r="P70" s="3"/>
    </row>
    <row r="71" spans="2:16">
      <c r="B71" s="28"/>
      <c r="C71" s="3"/>
      <c r="E71" s="35"/>
      <c r="F71" s="28"/>
      <c r="G71" s="28"/>
      <c r="H71" s="29"/>
      <c r="I71" s="14"/>
      <c r="K71" s="3"/>
      <c r="M71" s="3"/>
      <c r="N71" s="3"/>
      <c r="O71" s="52"/>
      <c r="P71" s="3"/>
    </row>
    <row r="72" spans="2:16">
      <c r="B72" s="28"/>
      <c r="C72" s="3"/>
      <c r="E72" s="35"/>
      <c r="F72" s="28"/>
      <c r="G72" s="28"/>
      <c r="H72" s="29"/>
      <c r="I72" s="14"/>
      <c r="K72" s="3"/>
      <c r="M72" s="3"/>
      <c r="N72" s="3"/>
      <c r="O72" s="52"/>
      <c r="P72" s="3"/>
    </row>
    <row r="73" spans="2:16">
      <c r="B73" s="28"/>
      <c r="C73" s="3"/>
      <c r="E73" s="35"/>
      <c r="F73" s="28"/>
      <c r="G73" s="28"/>
      <c r="H73" s="29"/>
      <c r="I73" s="14"/>
      <c r="K73" s="3"/>
      <c r="M73" s="3"/>
      <c r="N73" s="3"/>
      <c r="O73" s="52"/>
      <c r="P73" s="3"/>
    </row>
    <row r="74" spans="2:16">
      <c r="B74" s="28"/>
      <c r="C74" s="3"/>
      <c r="E74" s="35"/>
      <c r="F74" s="28"/>
      <c r="G74" s="28"/>
      <c r="H74" s="29"/>
      <c r="I74" s="14"/>
      <c r="K74" s="3"/>
      <c r="M74" s="3"/>
      <c r="N74" s="3"/>
      <c r="O74" s="52"/>
      <c r="P74" s="3"/>
    </row>
    <row r="75" spans="2:16">
      <c r="B75" s="28"/>
      <c r="C75" s="3"/>
      <c r="E75" s="35"/>
      <c r="F75" s="28"/>
      <c r="G75" s="28"/>
      <c r="H75" s="29"/>
      <c r="I75" s="14"/>
      <c r="K75" s="3"/>
      <c r="M75" s="3"/>
      <c r="N75" s="3"/>
      <c r="O75" s="52"/>
      <c r="P75" s="3"/>
    </row>
    <row r="76" spans="2:16">
      <c r="B76" s="28"/>
      <c r="C76" s="3"/>
      <c r="E76" s="35"/>
      <c r="F76" s="28"/>
      <c r="G76" s="28"/>
      <c r="H76" s="29"/>
      <c r="I76" s="14"/>
      <c r="K76" s="3"/>
      <c r="M76" s="3"/>
      <c r="N76" s="3"/>
      <c r="O76" s="52"/>
      <c r="P76" s="3"/>
    </row>
    <row r="77" spans="2:16">
      <c r="B77" s="28"/>
      <c r="C77" s="3"/>
      <c r="E77" s="35"/>
      <c r="F77" s="28"/>
      <c r="G77" s="28"/>
      <c r="H77" s="29"/>
      <c r="I77" s="14"/>
      <c r="K77" s="3"/>
      <c r="M77" s="3"/>
      <c r="N77" s="3"/>
      <c r="O77" s="52"/>
      <c r="P77" s="3"/>
    </row>
    <row r="78" spans="2:16">
      <c r="B78" s="28"/>
      <c r="C78" s="3"/>
      <c r="E78" s="35"/>
      <c r="F78" s="28"/>
      <c r="G78" s="28"/>
      <c r="H78" s="29"/>
      <c r="I78" s="14"/>
      <c r="K78" s="3"/>
      <c r="M78" s="3"/>
      <c r="N78" s="3"/>
      <c r="O78" s="52"/>
      <c r="P78" s="3"/>
    </row>
    <row r="79" spans="2:16">
      <c r="B79" s="28"/>
      <c r="C79" s="3"/>
      <c r="E79" s="35"/>
      <c r="F79" s="28"/>
      <c r="G79" s="28"/>
      <c r="H79" s="29"/>
      <c r="I79" s="14"/>
      <c r="K79" s="3"/>
      <c r="M79" s="3"/>
      <c r="N79" s="3"/>
      <c r="O79" s="52"/>
      <c r="P79" s="3"/>
    </row>
    <row r="80" spans="2:16">
      <c r="B80" s="28"/>
      <c r="C80" s="3"/>
      <c r="E80" s="35"/>
      <c r="F80" s="28"/>
      <c r="G80" s="28"/>
      <c r="H80" s="29"/>
      <c r="I80" s="14"/>
      <c r="K80" s="3"/>
      <c r="M80" s="3"/>
      <c r="N80" s="3"/>
      <c r="O80" s="52"/>
      <c r="P80" s="3"/>
    </row>
    <row r="81" spans="2:16">
      <c r="B81" s="28"/>
      <c r="C81" s="3"/>
      <c r="E81" s="35"/>
      <c r="F81" s="28"/>
      <c r="G81" s="28"/>
      <c r="H81" s="29"/>
      <c r="I81" s="14"/>
      <c r="K81" s="3"/>
      <c r="M81" s="3"/>
      <c r="N81" s="3"/>
      <c r="O81" s="52"/>
      <c r="P81" s="3"/>
    </row>
    <row r="82" spans="2:16">
      <c r="B82" s="28"/>
      <c r="C82" s="3"/>
      <c r="E82" s="35"/>
      <c r="F82" s="28"/>
      <c r="G82" s="28"/>
      <c r="H82" s="29"/>
      <c r="I82" s="14"/>
      <c r="K82" s="3"/>
      <c r="M82" s="3"/>
      <c r="N82" s="3"/>
      <c r="O82" s="52"/>
      <c r="P82" s="3"/>
    </row>
    <row r="83" spans="2:16">
      <c r="B83" s="28"/>
      <c r="C83" s="3"/>
      <c r="E83" s="35"/>
      <c r="F83" s="28"/>
      <c r="G83" s="28"/>
      <c r="H83" s="29"/>
      <c r="I83" s="14"/>
      <c r="K83" s="3"/>
      <c r="M83" s="3"/>
      <c r="N83" s="3"/>
      <c r="O83" s="52"/>
      <c r="P83" s="3"/>
    </row>
    <row r="84" spans="2:16">
      <c r="B84" s="28"/>
      <c r="C84" s="3"/>
      <c r="E84" s="35"/>
      <c r="F84" s="28"/>
      <c r="G84" s="28"/>
      <c r="H84" s="29"/>
      <c r="I84" s="14"/>
      <c r="K84" s="3"/>
      <c r="M84" s="3"/>
      <c r="N84" s="3"/>
      <c r="O84" s="52"/>
      <c r="P84" s="3"/>
    </row>
    <row r="85" spans="2:16">
      <c r="B85" s="28"/>
      <c r="C85" s="3"/>
      <c r="E85" s="35"/>
      <c r="F85" s="28"/>
      <c r="G85" s="28"/>
      <c r="H85" s="29"/>
      <c r="I85" s="14"/>
      <c r="K85" s="3"/>
      <c r="M85" s="3"/>
      <c r="N85" s="3"/>
      <c r="O85" s="52"/>
      <c r="P85" s="3"/>
    </row>
    <row r="86" spans="2:16">
      <c r="B86" s="28"/>
      <c r="C86" s="3"/>
      <c r="E86" s="35"/>
      <c r="F86" s="28"/>
      <c r="G86" s="28"/>
      <c r="H86" s="29"/>
      <c r="I86" s="14"/>
      <c r="K86" s="3"/>
      <c r="M86" s="3"/>
      <c r="N86" s="3"/>
      <c r="O86" s="52"/>
      <c r="P86" s="3"/>
    </row>
    <row r="87" spans="2:16">
      <c r="B87" s="28"/>
      <c r="C87" s="3"/>
      <c r="E87" s="35"/>
      <c r="F87" s="28"/>
      <c r="G87" s="28"/>
      <c r="H87" s="29"/>
      <c r="I87" s="14"/>
      <c r="K87" s="3"/>
      <c r="M87" s="3"/>
      <c r="N87" s="3"/>
      <c r="O87" s="52"/>
      <c r="P87" s="3"/>
    </row>
    <row r="88" spans="2:16">
      <c r="B88" s="28"/>
      <c r="C88" s="3"/>
      <c r="E88" s="35"/>
      <c r="F88" s="28"/>
      <c r="G88" s="28"/>
      <c r="H88" s="29"/>
      <c r="I88" s="14"/>
      <c r="K88" s="3"/>
      <c r="M88" s="3"/>
      <c r="N88" s="3"/>
      <c r="O88" s="52"/>
      <c r="P88" s="3"/>
    </row>
    <row r="89" spans="2:16">
      <c r="B89" s="28"/>
      <c r="C89" s="3"/>
      <c r="E89" s="35"/>
      <c r="F89" s="28"/>
      <c r="G89" s="28"/>
      <c r="H89" s="29"/>
      <c r="I89" s="14"/>
      <c r="K89" s="3"/>
      <c r="M89" s="3"/>
      <c r="N89" s="3"/>
      <c r="O89" s="52"/>
      <c r="P89" s="3"/>
    </row>
    <row r="90" spans="2:16">
      <c r="B90" s="28"/>
      <c r="C90" s="3"/>
      <c r="E90" s="35"/>
      <c r="F90" s="28"/>
      <c r="G90" s="28"/>
      <c r="H90" s="29"/>
      <c r="I90" s="14"/>
      <c r="K90" s="3"/>
      <c r="M90" s="3"/>
      <c r="N90" s="3"/>
      <c r="O90" s="52"/>
      <c r="P90" s="3"/>
    </row>
    <row r="91" spans="2:16">
      <c r="B91" s="28"/>
      <c r="C91" s="3"/>
      <c r="E91" s="35"/>
      <c r="F91" s="28"/>
      <c r="G91" s="28"/>
      <c r="H91" s="29"/>
      <c r="I91" s="14"/>
      <c r="K91" s="3"/>
      <c r="M91" s="3"/>
      <c r="N91" s="3"/>
      <c r="O91" s="52"/>
      <c r="P91" s="3"/>
    </row>
    <row r="92" spans="2:16">
      <c r="B92" s="28"/>
      <c r="C92" s="3"/>
      <c r="E92" s="35"/>
      <c r="F92" s="28"/>
      <c r="G92" s="28"/>
      <c r="H92" s="29"/>
      <c r="I92" s="14"/>
      <c r="K92" s="3"/>
      <c r="M92" s="3"/>
      <c r="N92" s="3"/>
      <c r="O92" s="52"/>
      <c r="P92" s="3"/>
    </row>
    <row r="93" spans="2:16">
      <c r="B93" s="28"/>
      <c r="C93" s="3"/>
      <c r="E93" s="35"/>
      <c r="F93" s="28"/>
      <c r="G93" s="28"/>
      <c r="H93" s="29"/>
      <c r="I93" s="14"/>
      <c r="K93" s="3"/>
      <c r="M93" s="3"/>
      <c r="N93" s="3"/>
      <c r="O93" s="52"/>
      <c r="P93" s="3"/>
    </row>
    <row r="94" spans="2:16">
      <c r="B94" s="28"/>
      <c r="C94" s="3"/>
      <c r="E94" s="35"/>
      <c r="F94" s="28"/>
      <c r="G94" s="28"/>
      <c r="H94" s="29"/>
      <c r="I94" s="14"/>
      <c r="K94" s="3"/>
      <c r="M94" s="3"/>
      <c r="N94" s="3"/>
      <c r="O94" s="52"/>
      <c r="P94" s="3"/>
    </row>
    <row r="95" spans="2:16">
      <c r="B95" s="28"/>
      <c r="C95" s="3"/>
      <c r="E95" s="35"/>
      <c r="F95" s="28"/>
      <c r="G95" s="28"/>
      <c r="H95" s="29"/>
      <c r="I95" s="14"/>
      <c r="K95" s="3"/>
      <c r="M95" s="3"/>
      <c r="N95" s="3"/>
      <c r="O95" s="52"/>
      <c r="P95" s="3"/>
    </row>
    <row r="96" spans="2:16">
      <c r="B96" s="28"/>
      <c r="C96" s="3"/>
      <c r="E96" s="35"/>
      <c r="F96" s="28"/>
      <c r="G96" s="28"/>
      <c r="H96" s="29"/>
      <c r="I96" s="14"/>
      <c r="K96" s="3"/>
      <c r="M96" s="3"/>
      <c r="N96" s="3"/>
      <c r="O96" s="52"/>
      <c r="P96" s="3"/>
    </row>
    <row r="97" spans="2:16">
      <c r="B97" s="28"/>
      <c r="C97" s="3"/>
      <c r="E97" s="35"/>
      <c r="F97" s="28"/>
      <c r="G97" s="28"/>
      <c r="H97" s="29"/>
      <c r="I97" s="14"/>
      <c r="K97" s="3"/>
      <c r="M97" s="3"/>
      <c r="N97" s="3"/>
      <c r="O97" s="52"/>
      <c r="P97" s="3"/>
    </row>
    <row r="98" spans="2:16">
      <c r="B98" s="28"/>
      <c r="C98" s="3"/>
      <c r="E98" s="35"/>
      <c r="F98" s="28"/>
      <c r="G98" s="28"/>
      <c r="H98" s="29"/>
      <c r="I98" s="14"/>
      <c r="K98" s="3"/>
      <c r="M98" s="3"/>
      <c r="N98" s="3"/>
      <c r="O98" s="52"/>
      <c r="P98" s="3"/>
    </row>
    <row r="99" spans="2:16">
      <c r="B99" s="28"/>
      <c r="C99" s="3"/>
      <c r="E99" s="35"/>
      <c r="F99" s="28"/>
      <c r="G99" s="28"/>
      <c r="H99" s="29"/>
      <c r="I99" s="14"/>
      <c r="K99" s="3"/>
      <c r="M99" s="3"/>
      <c r="N99" s="3"/>
      <c r="O99" s="52"/>
      <c r="P99" s="3"/>
    </row>
    <row r="100" spans="2:16">
      <c r="B100" s="28"/>
      <c r="C100" s="3"/>
      <c r="E100" s="35"/>
      <c r="F100" s="28"/>
      <c r="G100" s="28"/>
      <c r="H100" s="29"/>
      <c r="I100" s="14"/>
      <c r="K100" s="3"/>
      <c r="M100" s="3"/>
      <c r="N100" s="3"/>
      <c r="O100" s="52"/>
      <c r="P100" s="3"/>
    </row>
    <row r="101" spans="2:16">
      <c r="B101" s="28"/>
      <c r="C101" s="3"/>
      <c r="E101" s="35"/>
      <c r="F101" s="28"/>
      <c r="G101" s="28"/>
      <c r="H101" s="29"/>
      <c r="I101" s="14"/>
      <c r="K101" s="3"/>
      <c r="M101" s="3"/>
      <c r="N101" s="3"/>
      <c r="O101" s="52"/>
      <c r="P101" s="3"/>
    </row>
    <row r="102" spans="2:16">
      <c r="B102" s="28"/>
      <c r="C102" s="3"/>
      <c r="E102" s="35"/>
      <c r="F102" s="28"/>
      <c r="G102" s="28"/>
      <c r="H102" s="29"/>
      <c r="I102" s="14"/>
      <c r="K102" s="3"/>
      <c r="M102" s="3"/>
      <c r="N102" s="3"/>
      <c r="O102" s="52"/>
      <c r="P102" s="3"/>
    </row>
    <row r="103" spans="2:16">
      <c r="B103" s="28"/>
      <c r="C103" s="3"/>
      <c r="E103" s="35"/>
      <c r="F103" s="28"/>
      <c r="G103" s="28"/>
      <c r="H103" s="29"/>
      <c r="I103" s="14"/>
      <c r="K103" s="3"/>
      <c r="M103" s="3"/>
      <c r="N103" s="3"/>
      <c r="O103" s="52"/>
      <c r="P103" s="3"/>
    </row>
    <row r="104" spans="2:16">
      <c r="B104" s="28"/>
      <c r="C104" s="3"/>
      <c r="E104" s="35"/>
      <c r="F104" s="28"/>
      <c r="G104" s="28"/>
      <c r="H104" s="29"/>
      <c r="I104" s="14"/>
      <c r="K104" s="3"/>
      <c r="M104" s="3"/>
      <c r="N104" s="3"/>
      <c r="O104" s="52"/>
      <c r="P104" s="3"/>
    </row>
    <row r="105" spans="2:16">
      <c r="B105" s="28"/>
      <c r="C105" s="3"/>
      <c r="E105" s="35"/>
      <c r="F105" s="28"/>
      <c r="G105" s="28"/>
      <c r="H105" s="29"/>
      <c r="I105" s="14"/>
      <c r="K105" s="3"/>
      <c r="M105" s="3"/>
      <c r="N105" s="3"/>
      <c r="O105" s="52"/>
      <c r="P105" s="3"/>
    </row>
    <row r="106" spans="2:16">
      <c r="B106" s="28"/>
      <c r="C106" s="3"/>
      <c r="E106" s="35"/>
      <c r="F106" s="28"/>
      <c r="G106" s="28"/>
      <c r="H106" s="29"/>
      <c r="I106" s="14"/>
      <c r="K106" s="3"/>
      <c r="M106" s="3"/>
      <c r="N106" s="3"/>
      <c r="O106" s="52"/>
      <c r="P106" s="3"/>
    </row>
    <row r="107" spans="2:16">
      <c r="B107" s="28"/>
      <c r="C107" s="3"/>
      <c r="E107" s="35"/>
      <c r="F107" s="28"/>
      <c r="G107" s="28"/>
      <c r="H107" s="29"/>
      <c r="I107" s="14"/>
      <c r="K107" s="3"/>
      <c r="M107" s="3"/>
      <c r="N107" s="3"/>
      <c r="O107" s="52"/>
      <c r="P107" s="3"/>
    </row>
    <row r="108" spans="2:16">
      <c r="B108" s="28"/>
      <c r="C108" s="3"/>
      <c r="E108" s="35"/>
      <c r="F108" s="28"/>
      <c r="G108" s="28"/>
      <c r="H108" s="29"/>
      <c r="I108" s="14"/>
      <c r="K108" s="3"/>
      <c r="M108" s="3"/>
      <c r="N108" s="3"/>
      <c r="O108" s="52"/>
      <c r="P108" s="3"/>
    </row>
    <row r="109" spans="2:16">
      <c r="B109" s="28"/>
      <c r="C109" s="3"/>
      <c r="E109" s="35"/>
      <c r="F109" s="28"/>
      <c r="G109" s="28"/>
      <c r="H109" s="29"/>
      <c r="I109" s="14"/>
      <c r="K109" s="3"/>
      <c r="M109" s="3"/>
      <c r="N109" s="3"/>
      <c r="O109" s="52"/>
      <c r="P109" s="3"/>
    </row>
    <row r="110" spans="2:16">
      <c r="B110" s="28"/>
      <c r="C110" s="3"/>
      <c r="E110" s="35"/>
      <c r="F110" s="28"/>
      <c r="G110" s="28"/>
      <c r="H110" s="29"/>
      <c r="I110" s="14"/>
      <c r="K110" s="3"/>
      <c r="M110" s="3"/>
      <c r="N110" s="3"/>
      <c r="O110" s="52"/>
      <c r="P110" s="3"/>
    </row>
    <row r="111" spans="2:16">
      <c r="B111" s="28"/>
      <c r="C111" s="3"/>
      <c r="E111" s="35"/>
      <c r="F111" s="28"/>
      <c r="G111" s="28"/>
      <c r="H111" s="29"/>
      <c r="I111" s="14"/>
      <c r="K111" s="3"/>
      <c r="M111" s="3"/>
      <c r="N111" s="3"/>
      <c r="O111" s="52"/>
      <c r="P111" s="3"/>
    </row>
    <row r="112" spans="2:16">
      <c r="B112" s="28"/>
      <c r="C112" s="3"/>
      <c r="E112" s="35"/>
      <c r="F112" s="28"/>
      <c r="G112" s="28"/>
      <c r="H112" s="29"/>
      <c r="I112" s="14"/>
      <c r="K112" s="3"/>
      <c r="M112" s="3"/>
      <c r="N112" s="3"/>
      <c r="O112" s="52"/>
      <c r="P112" s="3"/>
    </row>
    <row r="113" spans="2:16">
      <c r="B113" s="28"/>
      <c r="C113" s="3"/>
      <c r="E113" s="35"/>
      <c r="F113" s="28"/>
      <c r="G113" s="28"/>
      <c r="H113" s="29"/>
      <c r="I113" s="14"/>
      <c r="K113" s="3"/>
      <c r="M113" s="3"/>
      <c r="N113" s="3"/>
      <c r="O113" s="52"/>
      <c r="P113" s="3"/>
    </row>
    <row r="114" spans="2:16">
      <c r="B114" s="28"/>
      <c r="C114" s="3"/>
      <c r="E114" s="35"/>
      <c r="F114" s="28"/>
      <c r="G114" s="28"/>
      <c r="H114" s="29"/>
      <c r="I114" s="14"/>
      <c r="K114" s="3"/>
      <c r="M114" s="3"/>
      <c r="N114" s="3"/>
      <c r="O114" s="52"/>
      <c r="P114" s="3"/>
    </row>
    <row r="115" spans="2:16">
      <c r="B115" s="28"/>
      <c r="C115" s="3"/>
      <c r="E115" s="35"/>
      <c r="F115" s="28"/>
      <c r="G115" s="28"/>
      <c r="H115" s="29"/>
      <c r="I115" s="14"/>
      <c r="K115" s="3"/>
      <c r="M115" s="3"/>
      <c r="N115" s="3"/>
      <c r="O115" s="52"/>
      <c r="P115" s="3"/>
    </row>
    <row r="116" spans="2:16">
      <c r="B116" s="28"/>
      <c r="C116" s="3"/>
      <c r="E116" s="35"/>
      <c r="F116" s="28"/>
      <c r="G116" s="28"/>
      <c r="H116" s="29"/>
      <c r="I116" s="14"/>
      <c r="K116" s="3"/>
      <c r="M116" s="3"/>
      <c r="N116" s="3"/>
      <c r="O116" s="52"/>
      <c r="P116" s="3"/>
    </row>
    <row r="117" spans="2:16">
      <c r="B117" s="28"/>
      <c r="C117" s="3"/>
      <c r="E117" s="35"/>
      <c r="F117" s="28"/>
      <c r="G117" s="28"/>
      <c r="H117" s="29"/>
      <c r="I117" s="14"/>
      <c r="K117" s="3"/>
      <c r="M117" s="3"/>
      <c r="N117" s="3"/>
      <c r="O117" s="52"/>
      <c r="P117" s="3"/>
    </row>
    <row r="118" spans="2:16">
      <c r="B118" s="28"/>
      <c r="C118" s="3"/>
      <c r="E118" s="35"/>
      <c r="F118" s="28"/>
      <c r="G118" s="28"/>
      <c r="H118" s="29"/>
      <c r="I118" s="14"/>
      <c r="K118" s="3"/>
      <c r="M118" s="3"/>
      <c r="N118" s="3"/>
      <c r="O118" s="52"/>
      <c r="P118" s="3"/>
    </row>
    <row r="119" spans="2:16">
      <c r="B119" s="28"/>
      <c r="C119" s="3"/>
      <c r="E119" s="35"/>
      <c r="F119" s="28"/>
      <c r="G119" s="28"/>
      <c r="H119" s="29"/>
      <c r="I119" s="14"/>
      <c r="K119" s="3"/>
      <c r="M119" s="3"/>
      <c r="N119" s="3"/>
      <c r="O119" s="52"/>
      <c r="P119" s="3"/>
    </row>
    <row r="120" spans="2:16">
      <c r="B120" s="28"/>
      <c r="C120" s="3"/>
      <c r="E120" s="35"/>
      <c r="F120" s="28"/>
      <c r="G120" s="28"/>
      <c r="H120" s="29"/>
      <c r="I120" s="14"/>
      <c r="K120" s="3"/>
      <c r="M120" s="3"/>
      <c r="N120" s="3"/>
      <c r="O120" s="52"/>
      <c r="P120" s="3"/>
    </row>
    <row r="121" spans="2:16">
      <c r="B121" s="28"/>
      <c r="C121" s="3"/>
      <c r="E121" s="35"/>
      <c r="F121" s="28"/>
      <c r="G121" s="28"/>
      <c r="H121" s="29"/>
      <c r="I121" s="14"/>
      <c r="K121" s="3"/>
      <c r="M121" s="3"/>
      <c r="N121" s="3"/>
      <c r="O121" s="52"/>
      <c r="P121" s="3"/>
    </row>
    <row r="122" spans="2:16">
      <c r="B122" s="28"/>
      <c r="C122" s="3"/>
      <c r="E122" s="35"/>
      <c r="F122" s="28"/>
      <c r="G122" s="28"/>
      <c r="H122" s="29"/>
      <c r="I122" s="14"/>
      <c r="K122" s="3"/>
      <c r="M122" s="3"/>
      <c r="N122" s="3"/>
      <c r="O122" s="52"/>
      <c r="P122" s="3"/>
    </row>
    <row r="123" spans="2:16">
      <c r="B123" s="28"/>
      <c r="C123" s="3"/>
      <c r="E123" s="35"/>
      <c r="F123" s="28"/>
      <c r="G123" s="28"/>
      <c r="H123" s="29"/>
      <c r="I123" s="14"/>
      <c r="K123" s="3"/>
      <c r="M123" s="3"/>
      <c r="N123" s="3"/>
      <c r="O123" s="52"/>
      <c r="P123" s="3"/>
    </row>
    <row r="124" spans="2:16">
      <c r="B124" s="28"/>
      <c r="C124" s="3"/>
      <c r="E124" s="35"/>
      <c r="F124" s="28"/>
      <c r="G124" s="28"/>
      <c r="H124" s="29"/>
      <c r="I124" s="14"/>
      <c r="K124" s="3"/>
      <c r="M124" s="3"/>
      <c r="N124" s="3"/>
      <c r="O124" s="52"/>
      <c r="P124" s="3"/>
    </row>
    <row r="125" spans="2:16">
      <c r="B125" s="28"/>
      <c r="C125" s="3"/>
      <c r="E125" s="35"/>
      <c r="F125" s="28"/>
      <c r="G125" s="28"/>
      <c r="H125" s="29"/>
      <c r="I125" s="14"/>
      <c r="K125" s="3"/>
      <c r="M125" s="3"/>
      <c r="N125" s="3"/>
      <c r="O125" s="52"/>
      <c r="P125" s="3"/>
    </row>
    <row r="126" spans="2:16">
      <c r="B126" s="28"/>
      <c r="C126" s="3"/>
      <c r="E126" s="35"/>
      <c r="F126" s="28"/>
      <c r="G126" s="28"/>
      <c r="H126" s="29"/>
      <c r="I126" s="14"/>
      <c r="K126" s="3"/>
      <c r="M126" s="3"/>
      <c r="N126" s="3"/>
      <c r="O126" s="52"/>
      <c r="P126" s="3"/>
    </row>
    <row r="127" spans="2:16">
      <c r="B127" s="28"/>
      <c r="C127" s="3"/>
      <c r="E127" s="35"/>
      <c r="F127" s="28"/>
      <c r="G127" s="28"/>
      <c r="H127" s="29"/>
      <c r="I127" s="14"/>
      <c r="K127" s="3"/>
      <c r="M127" s="3"/>
      <c r="N127" s="3"/>
      <c r="O127" s="52"/>
      <c r="P127" s="3"/>
    </row>
    <row r="128" spans="2:16">
      <c r="B128" s="28"/>
      <c r="C128" s="3"/>
      <c r="E128" s="35"/>
      <c r="F128" s="28"/>
      <c r="G128" s="28"/>
      <c r="H128" s="29"/>
      <c r="I128" s="14"/>
      <c r="K128" s="3"/>
      <c r="M128" s="3"/>
      <c r="N128" s="3"/>
      <c r="O128" s="52"/>
      <c r="P128" s="3"/>
    </row>
    <row r="129" spans="2:16">
      <c r="B129" s="28"/>
      <c r="C129" s="3"/>
      <c r="E129" s="35"/>
      <c r="F129" s="28"/>
      <c r="G129" s="28"/>
      <c r="H129" s="29"/>
      <c r="I129" s="14"/>
      <c r="K129" s="3"/>
      <c r="M129" s="3"/>
      <c r="N129" s="3"/>
      <c r="O129" s="52"/>
      <c r="P129" s="3"/>
    </row>
    <row r="130" spans="2:16">
      <c r="B130" s="28"/>
      <c r="C130" s="3"/>
      <c r="E130" s="35"/>
      <c r="F130" s="28"/>
      <c r="G130" s="28"/>
      <c r="H130" s="29"/>
      <c r="I130" s="14"/>
      <c r="K130" s="3"/>
      <c r="M130" s="3"/>
      <c r="N130" s="3"/>
      <c r="O130" s="52"/>
      <c r="P130" s="3"/>
    </row>
    <row r="131" spans="2:16">
      <c r="B131" s="28"/>
      <c r="C131" s="3"/>
      <c r="E131" s="35"/>
      <c r="F131" s="28"/>
      <c r="G131" s="28"/>
      <c r="H131" s="29"/>
      <c r="I131" s="14"/>
      <c r="K131" s="3"/>
      <c r="M131" s="3"/>
      <c r="N131" s="3"/>
      <c r="O131" s="52"/>
      <c r="P131" s="3"/>
    </row>
    <row r="132" spans="2:16">
      <c r="B132" s="28"/>
      <c r="C132" s="3"/>
      <c r="E132" s="35"/>
      <c r="F132" s="28"/>
      <c r="G132" s="28"/>
      <c r="H132" s="29"/>
      <c r="I132" s="14"/>
      <c r="K132" s="3"/>
      <c r="M132" s="3"/>
      <c r="N132" s="3"/>
      <c r="O132" s="52"/>
      <c r="P132" s="3"/>
    </row>
    <row r="133" spans="2:16">
      <c r="B133" s="28"/>
      <c r="C133" s="3"/>
      <c r="E133" s="35"/>
      <c r="F133" s="28"/>
      <c r="G133" s="28"/>
      <c r="H133" s="29"/>
      <c r="I133" s="14"/>
      <c r="K133" s="3"/>
      <c r="M133" s="3"/>
      <c r="N133" s="3"/>
      <c r="O133" s="52"/>
      <c r="P133" s="3"/>
    </row>
    <row r="134" spans="2:16">
      <c r="B134" s="28"/>
      <c r="C134" s="3"/>
      <c r="E134" s="35"/>
      <c r="F134" s="28"/>
      <c r="G134" s="28"/>
      <c r="H134" s="29"/>
      <c r="I134" s="14"/>
      <c r="K134" s="3"/>
      <c r="M134" s="3"/>
      <c r="N134" s="3"/>
      <c r="O134" s="52"/>
      <c r="P134" s="3"/>
    </row>
    <row r="135" spans="2:16">
      <c r="B135" s="28"/>
      <c r="C135" s="3"/>
      <c r="E135" s="35"/>
      <c r="F135" s="28"/>
      <c r="G135" s="28"/>
      <c r="H135" s="29"/>
      <c r="I135" s="14"/>
      <c r="K135" s="3"/>
      <c r="M135" s="3"/>
      <c r="N135" s="3"/>
      <c r="O135" s="52"/>
      <c r="P135" s="3"/>
    </row>
    <row r="136" spans="2:16">
      <c r="B136" s="28"/>
      <c r="C136" s="3"/>
      <c r="E136" s="35"/>
      <c r="F136" s="28"/>
      <c r="G136" s="28"/>
      <c r="H136" s="29"/>
      <c r="I136" s="14"/>
      <c r="K136" s="3"/>
      <c r="M136" s="3"/>
      <c r="N136" s="3"/>
      <c r="O136" s="52"/>
      <c r="P136" s="3"/>
    </row>
    <row r="137" spans="2:16">
      <c r="B137" s="28"/>
      <c r="C137" s="3"/>
      <c r="E137" s="35"/>
      <c r="F137" s="28"/>
      <c r="G137" s="28"/>
      <c r="H137" s="29"/>
      <c r="I137" s="14"/>
      <c r="K137" s="3"/>
      <c r="M137" s="3"/>
      <c r="N137" s="3"/>
      <c r="O137" s="52"/>
      <c r="P137" s="3"/>
    </row>
    <row r="138" spans="2:16">
      <c r="B138" s="28"/>
      <c r="C138" s="3"/>
      <c r="E138" s="35"/>
      <c r="F138" s="28"/>
      <c r="G138" s="28"/>
      <c r="H138" s="29"/>
      <c r="I138" s="14"/>
      <c r="K138" s="3"/>
      <c r="M138" s="3"/>
      <c r="N138" s="3"/>
      <c r="O138" s="52"/>
      <c r="P138" s="3"/>
    </row>
    <row r="139" spans="2:16">
      <c r="B139" s="28"/>
      <c r="C139" s="3"/>
      <c r="E139" s="35"/>
      <c r="F139" s="28"/>
      <c r="G139" s="28"/>
      <c r="H139" s="29"/>
      <c r="I139" s="14"/>
      <c r="K139" s="3"/>
      <c r="M139" s="3"/>
      <c r="N139" s="3"/>
      <c r="O139" s="52"/>
      <c r="P139" s="3"/>
    </row>
    <row r="140" spans="2:16">
      <c r="B140" s="28"/>
      <c r="C140" s="3"/>
      <c r="E140" s="35"/>
      <c r="F140" s="28"/>
      <c r="G140" s="28"/>
      <c r="H140" s="29"/>
      <c r="I140" s="14"/>
      <c r="K140" s="3"/>
      <c r="M140" s="3"/>
      <c r="N140" s="3"/>
      <c r="O140" s="52"/>
      <c r="P140" s="3"/>
    </row>
    <row r="141" spans="2:16">
      <c r="B141" s="28"/>
      <c r="C141" s="3"/>
      <c r="E141" s="35"/>
      <c r="F141" s="28"/>
      <c r="G141" s="28"/>
      <c r="H141" s="29"/>
      <c r="I141" s="14"/>
      <c r="K141" s="3"/>
      <c r="M141" s="3"/>
      <c r="N141" s="3"/>
      <c r="O141" s="52"/>
      <c r="P141" s="3"/>
    </row>
    <row r="142" spans="2:16">
      <c r="B142" s="28"/>
      <c r="C142" s="3"/>
      <c r="E142" s="35"/>
      <c r="F142" s="28"/>
      <c r="G142" s="28"/>
      <c r="H142" s="29"/>
      <c r="I142" s="14"/>
      <c r="K142" s="3"/>
      <c r="M142" s="3"/>
      <c r="N142" s="3"/>
      <c r="O142" s="52"/>
      <c r="P142" s="3"/>
    </row>
    <row r="143" spans="2:16">
      <c r="B143" s="28"/>
      <c r="C143" s="3"/>
      <c r="E143" s="35"/>
      <c r="F143" s="28"/>
      <c r="G143" s="28"/>
      <c r="H143" s="29"/>
      <c r="I143" s="14"/>
      <c r="K143" s="3"/>
      <c r="M143" s="3"/>
      <c r="N143" s="3"/>
      <c r="O143" s="52"/>
      <c r="P143" s="3"/>
    </row>
    <row r="144" spans="2:16">
      <c r="B144" s="28"/>
      <c r="C144" s="3"/>
      <c r="E144" s="35"/>
      <c r="F144" s="28"/>
      <c r="G144" s="28"/>
      <c r="H144" s="29"/>
      <c r="I144" s="14"/>
      <c r="K144" s="3"/>
      <c r="M144" s="3"/>
      <c r="N144" s="3"/>
      <c r="O144" s="52"/>
      <c r="P144" s="3"/>
    </row>
    <row r="145" spans="2:16">
      <c r="B145" s="28"/>
      <c r="C145" s="3"/>
      <c r="E145" s="35"/>
      <c r="F145" s="28"/>
      <c r="G145" s="28"/>
      <c r="H145" s="29"/>
      <c r="I145" s="14"/>
      <c r="K145" s="3"/>
      <c r="M145" s="3"/>
      <c r="N145" s="3"/>
      <c r="O145" s="52"/>
      <c r="P145" s="3"/>
    </row>
    <row r="146" spans="2:16">
      <c r="B146" s="28"/>
      <c r="C146" s="3"/>
      <c r="E146" s="35"/>
      <c r="F146" s="28"/>
      <c r="G146" s="28"/>
      <c r="H146" s="29"/>
      <c r="I146" s="14"/>
      <c r="K146" s="3"/>
      <c r="M146" s="3"/>
      <c r="N146" s="3"/>
      <c r="O146" s="52"/>
      <c r="P146" s="3"/>
    </row>
    <row r="147" spans="2:16">
      <c r="B147" s="28"/>
      <c r="C147" s="3"/>
      <c r="E147" s="35"/>
      <c r="F147" s="28"/>
      <c r="G147" s="28"/>
      <c r="H147" s="29"/>
      <c r="I147" s="14"/>
      <c r="K147" s="3"/>
      <c r="M147" s="3"/>
      <c r="N147" s="3"/>
      <c r="O147" s="52"/>
      <c r="P147" s="3"/>
    </row>
    <row r="148" spans="2:16">
      <c r="B148" s="28"/>
      <c r="C148" s="3"/>
      <c r="E148" s="35"/>
      <c r="F148" s="28"/>
      <c r="G148" s="28"/>
      <c r="H148" s="29"/>
      <c r="I148" s="14"/>
      <c r="K148" s="3"/>
      <c r="M148" s="3"/>
      <c r="N148" s="3"/>
      <c r="O148" s="52"/>
      <c r="P148" s="3"/>
    </row>
    <row r="149" spans="2:16">
      <c r="B149" s="28"/>
      <c r="C149" s="3"/>
      <c r="E149" s="35"/>
      <c r="F149" s="28"/>
      <c r="G149" s="28"/>
      <c r="H149" s="29"/>
      <c r="I149" s="14"/>
      <c r="K149" s="3"/>
      <c r="M149" s="3"/>
      <c r="N149" s="3"/>
      <c r="O149" s="52"/>
      <c r="P149" s="3"/>
    </row>
    <row r="150" spans="2:16">
      <c r="B150" s="28"/>
      <c r="C150" s="3"/>
      <c r="E150" s="35"/>
      <c r="F150" s="28"/>
      <c r="G150" s="28"/>
      <c r="H150" s="29"/>
      <c r="I150" s="14"/>
      <c r="K150" s="3"/>
      <c r="M150" s="3"/>
      <c r="N150" s="3"/>
      <c r="O150" s="52"/>
      <c r="P150" s="3"/>
    </row>
    <row r="151" spans="2:16">
      <c r="B151" s="28"/>
      <c r="C151" s="3"/>
      <c r="E151" s="35"/>
      <c r="F151" s="28"/>
      <c r="G151" s="28"/>
      <c r="H151" s="29"/>
      <c r="I151" s="14"/>
      <c r="K151" s="3"/>
      <c r="M151" s="3"/>
      <c r="N151" s="3"/>
      <c r="O151" s="52"/>
      <c r="P151" s="3"/>
    </row>
    <row r="152" spans="2:16">
      <c r="B152" s="28"/>
      <c r="C152" s="3"/>
      <c r="E152" s="35"/>
      <c r="F152" s="28"/>
      <c r="G152" s="28"/>
      <c r="H152" s="29"/>
      <c r="I152" s="14"/>
      <c r="K152" s="3"/>
      <c r="M152" s="3"/>
      <c r="N152" s="3"/>
      <c r="O152" s="52"/>
      <c r="P152" s="3"/>
    </row>
    <row r="153" spans="2:16">
      <c r="B153" s="28"/>
      <c r="C153" s="3"/>
      <c r="E153" s="35"/>
      <c r="F153" s="28"/>
      <c r="G153" s="28"/>
      <c r="H153" s="29"/>
      <c r="I153" s="14"/>
      <c r="K153" s="3"/>
      <c r="M153" s="3"/>
      <c r="N153" s="3"/>
      <c r="O153" s="52"/>
      <c r="P153" s="3"/>
    </row>
    <row r="154" spans="2:16">
      <c r="B154" s="28"/>
      <c r="C154" s="3"/>
      <c r="E154" s="35"/>
      <c r="F154" s="28"/>
      <c r="G154" s="28"/>
      <c r="H154" s="29"/>
      <c r="I154" s="14"/>
      <c r="K154" s="3"/>
      <c r="M154" s="3"/>
      <c r="N154" s="3"/>
      <c r="O154" s="52"/>
      <c r="P154" s="3"/>
    </row>
    <row r="155" spans="2:16">
      <c r="B155" s="28"/>
      <c r="C155" s="3"/>
      <c r="E155" s="35"/>
      <c r="F155" s="28"/>
      <c r="G155" s="28"/>
      <c r="H155" s="29"/>
      <c r="I155" s="14"/>
      <c r="K155" s="3"/>
      <c r="M155" s="3"/>
      <c r="N155" s="3"/>
      <c r="O155" s="52"/>
      <c r="P155" s="3"/>
    </row>
    <row r="156" spans="2:16">
      <c r="B156" s="28"/>
      <c r="C156" s="3"/>
      <c r="E156" s="35"/>
      <c r="F156" s="28"/>
      <c r="G156" s="28"/>
      <c r="H156" s="29"/>
      <c r="I156" s="14"/>
      <c r="K156" s="3"/>
      <c r="M156" s="3"/>
      <c r="N156" s="3"/>
      <c r="O156" s="52"/>
      <c r="P156" s="3"/>
    </row>
    <row r="157" spans="2:16">
      <c r="B157" s="28"/>
      <c r="C157" s="3"/>
      <c r="E157" s="35"/>
      <c r="F157" s="28"/>
      <c r="G157" s="28"/>
      <c r="H157" s="29"/>
      <c r="I157" s="14"/>
      <c r="K157" s="3"/>
      <c r="M157" s="3"/>
      <c r="N157" s="3"/>
      <c r="O157" s="52"/>
      <c r="P157" s="3"/>
    </row>
    <row r="158" spans="2:16">
      <c r="B158" s="28"/>
      <c r="C158" s="3"/>
      <c r="E158" s="35"/>
      <c r="F158" s="28"/>
      <c r="G158" s="28"/>
      <c r="H158" s="29"/>
      <c r="I158" s="14"/>
      <c r="K158" s="3"/>
      <c r="M158" s="3"/>
      <c r="N158" s="3"/>
      <c r="O158" s="52"/>
      <c r="P158" s="3"/>
    </row>
    <row r="159" spans="2:16">
      <c r="B159" s="28"/>
      <c r="C159" s="3"/>
      <c r="E159" s="35"/>
      <c r="F159" s="28"/>
      <c r="G159" s="28"/>
      <c r="H159" s="29"/>
      <c r="I159" s="14"/>
      <c r="K159" s="3"/>
      <c r="M159" s="3"/>
      <c r="N159" s="3"/>
      <c r="O159" s="52"/>
      <c r="P159" s="3"/>
    </row>
    <row r="160" spans="2:16">
      <c r="B160" s="28"/>
      <c r="C160" s="3"/>
      <c r="E160" s="35"/>
      <c r="F160" s="28"/>
      <c r="G160" s="28"/>
      <c r="H160" s="29"/>
      <c r="I160" s="14"/>
      <c r="K160" s="3"/>
      <c r="M160" s="3"/>
      <c r="N160" s="3"/>
      <c r="O160" s="52"/>
      <c r="P160" s="3"/>
    </row>
    <row r="161" spans="2:16">
      <c r="B161" s="28"/>
      <c r="C161" s="3"/>
      <c r="E161" s="35"/>
      <c r="F161" s="28"/>
      <c r="G161" s="28"/>
      <c r="H161" s="29"/>
      <c r="I161" s="14"/>
      <c r="K161" s="3"/>
      <c r="M161" s="3"/>
      <c r="N161" s="3"/>
      <c r="O161" s="52"/>
      <c r="P161" s="3"/>
    </row>
    <row r="162" spans="2:16">
      <c r="B162" s="28"/>
      <c r="C162" s="3"/>
      <c r="E162" s="35"/>
      <c r="F162" s="28"/>
      <c r="G162" s="28"/>
      <c r="H162" s="29"/>
      <c r="I162" s="14"/>
      <c r="K162" s="3"/>
      <c r="M162" s="3"/>
      <c r="N162" s="3"/>
      <c r="O162" s="52"/>
      <c r="P162" s="3"/>
    </row>
    <row r="163" spans="2:16">
      <c r="B163" s="28"/>
      <c r="C163" s="3"/>
      <c r="E163" s="35"/>
      <c r="F163" s="28"/>
      <c r="G163" s="28"/>
      <c r="H163" s="29"/>
      <c r="I163" s="14"/>
      <c r="K163" s="3"/>
      <c r="M163" s="3"/>
      <c r="N163" s="3"/>
      <c r="O163" s="52"/>
      <c r="P163" s="3"/>
    </row>
    <row r="164" spans="2:16">
      <c r="B164" s="28"/>
      <c r="C164" s="3"/>
      <c r="E164" s="35"/>
      <c r="F164" s="28"/>
      <c r="G164" s="28"/>
      <c r="H164" s="29"/>
      <c r="I164" s="14"/>
      <c r="K164" s="3"/>
      <c r="M164" s="3"/>
      <c r="N164" s="3"/>
      <c r="O164" s="52"/>
      <c r="P164" s="3"/>
    </row>
    <row r="165" spans="2:16">
      <c r="B165" s="28"/>
      <c r="C165" s="3"/>
      <c r="E165" s="35"/>
      <c r="F165" s="28"/>
      <c r="G165" s="28"/>
      <c r="H165" s="29"/>
      <c r="I165" s="14"/>
      <c r="K165" s="3"/>
      <c r="M165" s="3"/>
      <c r="N165" s="3"/>
      <c r="O165" s="52"/>
      <c r="P165" s="3"/>
    </row>
    <row r="166" spans="2:16">
      <c r="B166" s="28"/>
      <c r="C166" s="3"/>
      <c r="E166" s="35"/>
      <c r="F166" s="28"/>
      <c r="G166" s="28"/>
      <c r="H166" s="29"/>
      <c r="I166" s="14"/>
      <c r="K166" s="3"/>
      <c r="M166" s="3"/>
      <c r="N166" s="3"/>
      <c r="O166" s="52"/>
      <c r="P166" s="3"/>
    </row>
    <row r="167" spans="2:16">
      <c r="B167" s="28"/>
      <c r="C167" s="3"/>
      <c r="E167" s="35"/>
      <c r="F167" s="28"/>
      <c r="G167" s="28"/>
      <c r="H167" s="29"/>
      <c r="I167" s="14"/>
      <c r="K167" s="3"/>
      <c r="M167" s="3"/>
      <c r="N167" s="3"/>
      <c r="O167" s="52"/>
      <c r="P167" s="3"/>
    </row>
    <row r="168" spans="2:16">
      <c r="B168" s="28"/>
      <c r="C168" s="3"/>
      <c r="E168" s="35"/>
      <c r="F168" s="28"/>
      <c r="G168" s="28"/>
      <c r="H168" s="29"/>
      <c r="I168" s="14"/>
      <c r="K168" s="3"/>
      <c r="M168" s="3"/>
      <c r="N168" s="3"/>
      <c r="O168" s="52"/>
      <c r="P168" s="3"/>
    </row>
    <row r="169" spans="2:16">
      <c r="B169" s="28"/>
      <c r="C169" s="3"/>
      <c r="E169" s="35"/>
      <c r="F169" s="28"/>
      <c r="G169" s="28"/>
      <c r="H169" s="29"/>
      <c r="I169" s="14"/>
      <c r="K169" s="3"/>
      <c r="M169" s="3"/>
      <c r="N169" s="3"/>
      <c r="O169" s="52"/>
      <c r="P169" s="3"/>
    </row>
    <row r="170" spans="2:16">
      <c r="B170" s="28"/>
      <c r="C170" s="3"/>
      <c r="E170" s="35"/>
      <c r="F170" s="28"/>
      <c r="G170" s="28"/>
      <c r="H170" s="29"/>
      <c r="I170" s="14"/>
      <c r="K170" s="3"/>
      <c r="M170" s="3"/>
      <c r="N170" s="3"/>
      <c r="O170" s="52"/>
      <c r="P170" s="3"/>
    </row>
    <row r="171" spans="2:16">
      <c r="B171" s="28"/>
      <c r="C171" s="3"/>
      <c r="E171" s="35"/>
      <c r="F171" s="28"/>
      <c r="G171" s="28"/>
      <c r="H171" s="29"/>
      <c r="I171" s="14"/>
      <c r="K171" s="3"/>
      <c r="M171" s="3"/>
      <c r="N171" s="3"/>
      <c r="O171" s="52"/>
      <c r="P171" s="3"/>
    </row>
    <row r="172" spans="2:16">
      <c r="B172" s="28"/>
      <c r="C172" s="3"/>
      <c r="E172" s="35"/>
      <c r="F172" s="28"/>
      <c r="G172" s="28"/>
      <c r="H172" s="29"/>
      <c r="I172" s="14"/>
      <c r="K172" s="3"/>
      <c r="M172" s="3"/>
      <c r="N172" s="3"/>
      <c r="O172" s="52"/>
      <c r="P172" s="3"/>
    </row>
    <row r="173" spans="2:16">
      <c r="B173" s="28"/>
      <c r="C173" s="3"/>
      <c r="E173" s="35"/>
      <c r="F173" s="28"/>
      <c r="G173" s="28"/>
      <c r="H173" s="29"/>
      <c r="I173" s="14"/>
      <c r="K173" s="3"/>
      <c r="M173" s="3"/>
      <c r="N173" s="3"/>
      <c r="O173" s="52"/>
      <c r="P173" s="3"/>
    </row>
    <row r="174" spans="2:16">
      <c r="B174" s="28"/>
      <c r="C174" s="3"/>
      <c r="E174" s="35"/>
      <c r="F174" s="28"/>
      <c r="G174" s="28"/>
      <c r="H174" s="29"/>
      <c r="I174" s="14"/>
      <c r="K174" s="3"/>
      <c r="M174" s="3"/>
      <c r="N174" s="3"/>
      <c r="O174" s="52"/>
      <c r="P174" s="3"/>
    </row>
    <row r="175" spans="2:16">
      <c r="B175" s="28"/>
      <c r="C175" s="3"/>
      <c r="E175" s="35"/>
      <c r="F175" s="28"/>
      <c r="G175" s="28"/>
      <c r="H175" s="29"/>
      <c r="I175" s="14"/>
      <c r="K175" s="3"/>
      <c r="M175" s="3"/>
      <c r="N175" s="3"/>
      <c r="O175" s="52"/>
      <c r="P175" s="3"/>
    </row>
    <row r="176" spans="2:16">
      <c r="B176" s="28"/>
      <c r="C176" s="3"/>
      <c r="E176" s="35"/>
      <c r="F176" s="28"/>
      <c r="G176" s="28"/>
      <c r="H176" s="29"/>
      <c r="I176" s="14"/>
      <c r="K176" s="3"/>
      <c r="M176" s="3"/>
      <c r="N176" s="3"/>
      <c r="O176" s="52"/>
      <c r="P176" s="3"/>
    </row>
    <row r="177" spans="2:16">
      <c r="B177" s="28"/>
      <c r="C177" s="3"/>
      <c r="E177" s="35"/>
      <c r="F177" s="28"/>
      <c r="G177" s="28"/>
      <c r="H177" s="29"/>
      <c r="I177" s="14"/>
      <c r="K177" s="3"/>
      <c r="M177" s="3"/>
      <c r="N177" s="3"/>
      <c r="O177" s="52"/>
      <c r="P177" s="3"/>
    </row>
    <row r="178" spans="2:16">
      <c r="B178" s="28"/>
      <c r="C178" s="3"/>
      <c r="E178" s="35"/>
      <c r="F178" s="28"/>
      <c r="G178" s="28"/>
      <c r="H178" s="29"/>
      <c r="I178" s="14"/>
      <c r="K178" s="3"/>
      <c r="M178" s="3"/>
      <c r="N178" s="3"/>
      <c r="O178" s="52"/>
      <c r="P178" s="3"/>
    </row>
    <row r="179" spans="2:16">
      <c r="B179" s="28"/>
      <c r="C179" s="3"/>
      <c r="E179" s="35"/>
      <c r="F179" s="28"/>
      <c r="G179" s="28"/>
      <c r="H179" s="29"/>
      <c r="I179" s="14"/>
      <c r="K179" s="3"/>
      <c r="M179" s="3"/>
      <c r="N179" s="3"/>
      <c r="O179" s="52"/>
      <c r="P179" s="3"/>
    </row>
    <row r="180" spans="2:16">
      <c r="B180" s="28"/>
      <c r="C180" s="3"/>
      <c r="E180" s="35"/>
      <c r="F180" s="28"/>
      <c r="G180" s="28"/>
      <c r="H180" s="29"/>
      <c r="I180" s="14"/>
      <c r="K180" s="3"/>
      <c r="M180" s="3"/>
      <c r="N180" s="3"/>
      <c r="O180" s="52"/>
      <c r="P180" s="3"/>
    </row>
    <row r="181" spans="2:16">
      <c r="B181" s="28"/>
      <c r="C181" s="3"/>
      <c r="E181" s="35"/>
      <c r="F181" s="28"/>
      <c r="G181" s="28"/>
      <c r="H181" s="29"/>
      <c r="I181" s="14"/>
      <c r="K181" s="3"/>
      <c r="M181" s="3"/>
      <c r="N181" s="3"/>
      <c r="O181" s="52"/>
      <c r="P181" s="3"/>
    </row>
    <row r="182" spans="2:16">
      <c r="B182" s="28"/>
      <c r="C182" s="3"/>
      <c r="E182" s="35"/>
      <c r="F182" s="28"/>
      <c r="G182" s="28"/>
      <c r="H182" s="29"/>
      <c r="I182" s="14"/>
      <c r="K182" s="3"/>
      <c r="M182" s="3"/>
      <c r="N182" s="3"/>
      <c r="O182" s="52"/>
      <c r="P182" s="3"/>
    </row>
    <row r="183" spans="2:16">
      <c r="B183" s="28"/>
      <c r="C183" s="3"/>
      <c r="E183" s="35"/>
      <c r="F183" s="28"/>
      <c r="G183" s="28"/>
      <c r="H183" s="29"/>
      <c r="I183" s="14"/>
      <c r="K183" s="3"/>
      <c r="M183" s="3"/>
      <c r="N183" s="3"/>
      <c r="O183" s="52"/>
      <c r="P183" s="3"/>
    </row>
    <row r="184" spans="2:16">
      <c r="B184" s="28"/>
      <c r="C184" s="3"/>
      <c r="E184" s="35"/>
      <c r="F184" s="28"/>
      <c r="G184" s="28"/>
      <c r="H184" s="29"/>
      <c r="I184" s="14"/>
      <c r="K184" s="3"/>
      <c r="M184" s="3"/>
      <c r="N184" s="3"/>
      <c r="O184" s="52"/>
      <c r="P184" s="3"/>
    </row>
    <row r="185" spans="2:16">
      <c r="B185" s="28"/>
      <c r="C185" s="3"/>
      <c r="E185" s="35"/>
      <c r="F185" s="28"/>
      <c r="G185" s="28"/>
      <c r="H185" s="29"/>
      <c r="I185" s="14"/>
      <c r="K185" s="3"/>
      <c r="M185" s="3"/>
      <c r="N185" s="3"/>
      <c r="O185" s="52"/>
      <c r="P185" s="3"/>
    </row>
    <row r="186" spans="2:16">
      <c r="B186" s="28"/>
      <c r="C186" s="3"/>
      <c r="E186" s="35"/>
      <c r="F186" s="28"/>
      <c r="G186" s="28"/>
      <c r="H186" s="29"/>
      <c r="I186" s="14"/>
      <c r="K186" s="3"/>
      <c r="M186" s="3"/>
      <c r="N186" s="3"/>
      <c r="O186" s="52"/>
      <c r="P186" s="3"/>
    </row>
    <row r="187" spans="2:16">
      <c r="B187" s="28"/>
      <c r="C187" s="3"/>
      <c r="E187" s="35"/>
      <c r="F187" s="28"/>
      <c r="G187" s="28"/>
      <c r="H187" s="29"/>
      <c r="I187" s="14"/>
      <c r="K187" s="3"/>
      <c r="M187" s="3"/>
      <c r="N187" s="3"/>
      <c r="O187" s="52"/>
      <c r="P187" s="3"/>
    </row>
    <row r="188" spans="2:16">
      <c r="B188" s="28"/>
      <c r="C188" s="3"/>
      <c r="E188" s="35"/>
      <c r="F188" s="28"/>
      <c r="G188" s="28"/>
      <c r="H188" s="29"/>
      <c r="I188" s="14"/>
      <c r="K188" s="3"/>
      <c r="M188" s="3"/>
      <c r="N188" s="3"/>
      <c r="O188" s="52"/>
      <c r="P188" s="3"/>
    </row>
    <row r="189" spans="2:16">
      <c r="B189" s="28"/>
      <c r="C189" s="3"/>
      <c r="E189" s="35"/>
      <c r="F189" s="28"/>
      <c r="G189" s="28"/>
      <c r="H189" s="29"/>
      <c r="I189" s="14"/>
      <c r="K189" s="3"/>
      <c r="M189" s="3"/>
      <c r="N189" s="3"/>
      <c r="O189" s="52"/>
      <c r="P189" s="3"/>
    </row>
    <row r="190" spans="2:16">
      <c r="B190" s="28"/>
      <c r="C190" s="3"/>
      <c r="E190" s="35"/>
      <c r="F190" s="28"/>
      <c r="G190" s="28"/>
      <c r="H190" s="29"/>
      <c r="I190" s="14"/>
      <c r="K190" s="3"/>
      <c r="M190" s="3"/>
      <c r="N190" s="3"/>
      <c r="O190" s="52"/>
      <c r="P190" s="3"/>
    </row>
    <row r="191" spans="2:16">
      <c r="B191" s="28"/>
      <c r="C191" s="3"/>
      <c r="E191" s="35"/>
      <c r="F191" s="28"/>
      <c r="G191" s="28"/>
      <c r="H191" s="29"/>
      <c r="I191" s="14"/>
      <c r="K191" s="3"/>
      <c r="M191" s="3"/>
      <c r="N191" s="3"/>
      <c r="O191" s="52"/>
      <c r="P191" s="3"/>
    </row>
    <row r="192" spans="2:16">
      <c r="B192" s="28"/>
      <c r="C192" s="3"/>
      <c r="E192" s="35"/>
      <c r="F192" s="28"/>
      <c r="G192" s="28"/>
      <c r="H192" s="29"/>
      <c r="I192" s="14"/>
      <c r="K192" s="3"/>
      <c r="M192" s="3"/>
      <c r="N192" s="3"/>
      <c r="O192" s="52"/>
      <c r="P192" s="3"/>
    </row>
    <row r="193" spans="2:16">
      <c r="B193" s="28"/>
      <c r="C193" s="3"/>
      <c r="E193" s="35"/>
      <c r="F193" s="28"/>
      <c r="G193" s="28"/>
      <c r="H193" s="29"/>
      <c r="I193" s="14"/>
      <c r="K193" s="3"/>
      <c r="M193" s="3"/>
      <c r="N193" s="3"/>
      <c r="O193" s="52"/>
      <c r="P193" s="3"/>
    </row>
    <row r="194" spans="2:16">
      <c r="B194" s="28"/>
      <c r="C194" s="3"/>
      <c r="E194" s="35"/>
      <c r="F194" s="28"/>
      <c r="G194" s="28"/>
      <c r="H194" s="29"/>
      <c r="I194" s="14"/>
      <c r="K194" s="3"/>
      <c r="M194" s="3"/>
      <c r="N194" s="3"/>
      <c r="O194" s="52"/>
      <c r="P194" s="3"/>
    </row>
    <row r="195" spans="2:16">
      <c r="B195" s="28"/>
      <c r="C195" s="3"/>
      <c r="E195" s="35"/>
      <c r="F195" s="28"/>
      <c r="G195" s="28"/>
      <c r="H195" s="29"/>
      <c r="I195" s="14"/>
      <c r="K195" s="3"/>
      <c r="M195" s="3"/>
      <c r="N195" s="3"/>
      <c r="O195" s="52"/>
      <c r="P195" s="3"/>
    </row>
    <row r="196" spans="2:16">
      <c r="B196" s="28"/>
      <c r="C196" s="3"/>
      <c r="E196" s="35"/>
      <c r="F196" s="28"/>
      <c r="G196" s="28"/>
      <c r="H196" s="29"/>
      <c r="I196" s="14"/>
      <c r="K196" s="3"/>
      <c r="M196" s="3"/>
      <c r="N196" s="3"/>
      <c r="O196" s="52"/>
      <c r="P196" s="3"/>
    </row>
    <row r="197" spans="2:16">
      <c r="B197" s="28"/>
      <c r="C197" s="3"/>
      <c r="E197" s="35"/>
      <c r="F197" s="28"/>
      <c r="G197" s="28"/>
      <c r="H197" s="29"/>
      <c r="I197" s="14"/>
      <c r="K197" s="3"/>
      <c r="M197" s="3"/>
      <c r="N197" s="3"/>
      <c r="O197" s="52"/>
      <c r="P197" s="3"/>
    </row>
    <row r="198" spans="2:16">
      <c r="B198" s="28"/>
      <c r="C198" s="3"/>
      <c r="E198" s="35"/>
      <c r="F198" s="28"/>
      <c r="G198" s="28"/>
      <c r="H198" s="29"/>
      <c r="I198" s="14"/>
      <c r="K198" s="3"/>
      <c r="M198" s="3"/>
      <c r="N198" s="3"/>
      <c r="O198" s="52"/>
      <c r="P198" s="3"/>
    </row>
    <row r="199" spans="2:16">
      <c r="B199" s="28"/>
      <c r="C199" s="3"/>
      <c r="E199" s="35"/>
      <c r="F199" s="28"/>
      <c r="G199" s="28"/>
      <c r="H199" s="29"/>
      <c r="I199" s="14"/>
      <c r="K199" s="3"/>
      <c r="M199" s="3"/>
      <c r="N199" s="3"/>
      <c r="O199" s="52"/>
      <c r="P199" s="3"/>
    </row>
    <row r="200" spans="2:16">
      <c r="B200" s="28"/>
      <c r="C200" s="3"/>
      <c r="E200" s="35"/>
      <c r="F200" s="28"/>
      <c r="G200" s="28"/>
      <c r="H200" s="29"/>
      <c r="I200" s="14"/>
      <c r="K200" s="3"/>
      <c r="M200" s="3"/>
      <c r="N200" s="3"/>
      <c r="O200" s="52"/>
      <c r="P200" s="3"/>
    </row>
    <row r="201" spans="2:16">
      <c r="B201" s="28"/>
      <c r="C201" s="3"/>
      <c r="E201" s="35"/>
      <c r="F201" s="28"/>
      <c r="G201" s="28"/>
      <c r="H201" s="29"/>
      <c r="I201" s="14"/>
      <c r="K201" s="3"/>
      <c r="M201" s="3"/>
      <c r="N201" s="3"/>
      <c r="O201" s="52"/>
      <c r="P201" s="3"/>
    </row>
    <row r="202" spans="2:16">
      <c r="B202" s="28"/>
      <c r="C202" s="3"/>
      <c r="E202" s="35"/>
      <c r="F202" s="28"/>
      <c r="G202" s="28"/>
      <c r="H202" s="29"/>
      <c r="I202" s="14"/>
      <c r="K202" s="3"/>
      <c r="M202" s="3"/>
      <c r="N202" s="3"/>
      <c r="O202" s="52"/>
      <c r="P202" s="3"/>
    </row>
    <row r="203" spans="2:16">
      <c r="B203" s="28"/>
      <c r="C203" s="3"/>
      <c r="E203" s="35"/>
      <c r="F203" s="28"/>
      <c r="G203" s="28"/>
      <c r="H203" s="29"/>
      <c r="I203" s="14"/>
      <c r="K203" s="3"/>
      <c r="M203" s="3"/>
      <c r="N203" s="3"/>
      <c r="O203" s="52"/>
      <c r="P203" s="3"/>
    </row>
    <row r="204" spans="2:16">
      <c r="B204" s="28"/>
      <c r="C204" s="3"/>
      <c r="E204" s="35"/>
      <c r="F204" s="28"/>
      <c r="G204" s="28"/>
      <c r="H204" s="29"/>
      <c r="I204" s="14"/>
      <c r="K204" s="3"/>
      <c r="M204" s="3"/>
      <c r="N204" s="3"/>
      <c r="O204" s="52"/>
      <c r="P204" s="3"/>
    </row>
    <row r="205" spans="2:16">
      <c r="B205" s="28"/>
      <c r="C205" s="3"/>
      <c r="E205" s="35"/>
      <c r="F205" s="28"/>
      <c r="G205" s="28"/>
      <c r="H205" s="29"/>
      <c r="I205" s="14"/>
      <c r="K205" s="3"/>
      <c r="M205" s="3"/>
      <c r="N205" s="3"/>
      <c r="O205" s="52"/>
      <c r="P205" s="3"/>
    </row>
    <row r="206" spans="2:16">
      <c r="B206" s="28"/>
      <c r="C206" s="3"/>
      <c r="E206" s="35"/>
      <c r="F206" s="28"/>
      <c r="G206" s="28"/>
      <c r="H206" s="29"/>
      <c r="I206" s="14"/>
      <c r="K206" s="3"/>
      <c r="M206" s="3"/>
      <c r="N206" s="3"/>
      <c r="O206" s="52"/>
      <c r="P206" s="3"/>
    </row>
    <row r="207" spans="2:16">
      <c r="E207" s="2"/>
      <c r="H207" s="29"/>
      <c r="I207" s="30"/>
    </row>
    <row r="208" spans="2:16">
      <c r="E208" s="2"/>
      <c r="H208" s="29"/>
      <c r="I208" s="30"/>
    </row>
    <row r="209" spans="5:9">
      <c r="E209" s="2"/>
      <c r="H209" s="29"/>
      <c r="I209" s="30"/>
    </row>
    <row r="210" spans="5:9">
      <c r="E210" s="2"/>
      <c r="H210" s="29"/>
      <c r="I210" s="30"/>
    </row>
    <row r="211" spans="5:9">
      <c r="E211" s="2"/>
      <c r="H211" s="29"/>
      <c r="I211" s="30"/>
    </row>
    <row r="212" spans="5:9">
      <c r="E212" s="2"/>
      <c r="H212" s="29"/>
      <c r="I212" s="30"/>
    </row>
    <row r="213" spans="5:9">
      <c r="E213" s="2"/>
      <c r="H213" s="29"/>
      <c r="I213" s="30"/>
    </row>
    <row r="214" spans="5:9">
      <c r="E214" s="2"/>
      <c r="H214" s="29"/>
      <c r="I214" s="30"/>
    </row>
    <row r="215" spans="5:9">
      <c r="E215" s="2"/>
      <c r="H215" s="29"/>
      <c r="I215" s="30"/>
    </row>
    <row r="216" spans="5:9">
      <c r="E216" s="2"/>
      <c r="H216" s="29"/>
      <c r="I216" s="30"/>
    </row>
    <row r="217" spans="5:9">
      <c r="E217" s="2"/>
      <c r="H217" s="29"/>
      <c r="I217" s="30"/>
    </row>
    <row r="218" spans="5:9">
      <c r="E218" s="2"/>
      <c r="H218" s="29"/>
      <c r="I218" s="30"/>
    </row>
    <row r="219" spans="5:9">
      <c r="E219" s="2"/>
      <c r="H219" s="29"/>
      <c r="I219" s="30"/>
    </row>
    <row r="220" spans="5:9">
      <c r="E220" s="2"/>
      <c r="H220" s="29"/>
      <c r="I220" s="30"/>
    </row>
    <row r="221" spans="5:9">
      <c r="E221" s="2"/>
      <c r="H221" s="29"/>
      <c r="I221" s="30"/>
    </row>
    <row r="222" spans="5:9">
      <c r="E222" s="2"/>
      <c r="H222" s="29"/>
      <c r="I222" s="30"/>
    </row>
    <row r="223" spans="5:9">
      <c r="E223" s="2"/>
      <c r="H223" s="29"/>
      <c r="I223" s="30"/>
    </row>
    <row r="224" spans="5:9">
      <c r="E224" s="2"/>
      <c r="H224" s="29"/>
      <c r="I224" s="30"/>
    </row>
    <row r="225" spans="5:9">
      <c r="E225" s="2"/>
      <c r="H225" s="29"/>
      <c r="I225" s="30"/>
    </row>
    <row r="226" spans="5:9">
      <c r="E226" s="2"/>
      <c r="H226" s="29"/>
      <c r="I226" s="30"/>
    </row>
    <row r="227" spans="5:9">
      <c r="E227" s="2"/>
      <c r="H227" s="29"/>
      <c r="I227" s="30"/>
    </row>
    <row r="228" spans="5:9">
      <c r="E228" s="2"/>
      <c r="H228" s="29"/>
      <c r="I228" s="30"/>
    </row>
    <row r="229" spans="5:9">
      <c r="E229" s="2"/>
      <c r="H229" s="29"/>
      <c r="I229" s="30"/>
    </row>
    <row r="230" spans="5:9">
      <c r="E230" s="2"/>
      <c r="H230" s="29"/>
      <c r="I230" s="30"/>
    </row>
    <row r="231" spans="5:9">
      <c r="E231" s="2"/>
      <c r="H231" s="29"/>
      <c r="I231" s="30"/>
    </row>
    <row r="232" spans="5:9">
      <c r="E232" s="2"/>
      <c r="H232" s="29"/>
      <c r="I232" s="30"/>
    </row>
    <row r="233" spans="5:9">
      <c r="E233" s="2"/>
      <c r="H233" s="29"/>
      <c r="I233" s="30"/>
    </row>
    <row r="234" spans="5:9">
      <c r="E234" s="2"/>
      <c r="H234" s="29"/>
      <c r="I234" s="30"/>
    </row>
    <row r="235" spans="5:9">
      <c r="E235" s="2"/>
      <c r="H235" s="29"/>
      <c r="I235" s="30"/>
    </row>
    <row r="236" spans="5:9">
      <c r="E236" s="2"/>
      <c r="H236" s="29"/>
      <c r="I236" s="30"/>
    </row>
    <row r="237" spans="5:9">
      <c r="E237" s="2"/>
      <c r="H237" s="29"/>
      <c r="I237" s="30"/>
    </row>
    <row r="238" spans="5:9">
      <c r="E238" s="2"/>
      <c r="H238" s="29"/>
      <c r="I238" s="30"/>
    </row>
    <row r="239" spans="5:9">
      <c r="E239" s="2"/>
      <c r="H239" s="29"/>
      <c r="I239" s="30"/>
    </row>
    <row r="240" spans="5:9">
      <c r="E240" s="2"/>
      <c r="H240" s="29"/>
      <c r="I240" s="30"/>
    </row>
    <row r="241" spans="5:9">
      <c r="E241" s="2"/>
      <c r="H241" s="29"/>
      <c r="I241" s="30"/>
    </row>
    <row r="242" spans="5:9">
      <c r="E242" s="2"/>
      <c r="H242" s="29"/>
      <c r="I242" s="30"/>
    </row>
    <row r="243" spans="5:9">
      <c r="E243" s="2"/>
      <c r="H243" s="29"/>
      <c r="I243" s="30"/>
    </row>
    <row r="244" spans="5:9">
      <c r="E244" s="2"/>
      <c r="H244" s="29"/>
      <c r="I244" s="30"/>
    </row>
    <row r="245" spans="5:9">
      <c r="E245" s="2"/>
      <c r="H245" s="29"/>
      <c r="I245" s="30"/>
    </row>
    <row r="246" spans="5:9">
      <c r="E246" s="2"/>
      <c r="H246" s="29"/>
      <c r="I246" s="30"/>
    </row>
    <row r="247" spans="5:9">
      <c r="E247" s="2"/>
      <c r="H247" s="29"/>
      <c r="I247" s="30"/>
    </row>
    <row r="248" spans="5:9">
      <c r="E248" s="2"/>
      <c r="H248" s="29"/>
      <c r="I248" s="30"/>
    </row>
    <row r="249" spans="5:9">
      <c r="E249" s="2"/>
      <c r="H249" s="29"/>
      <c r="I249" s="30"/>
    </row>
    <row r="250" spans="5:9">
      <c r="E250" s="2"/>
      <c r="H250" s="29"/>
      <c r="I250" s="30"/>
    </row>
    <row r="251" spans="5:9">
      <c r="E251" s="2"/>
      <c r="H251" s="29"/>
      <c r="I251" s="30"/>
    </row>
    <row r="252" spans="5:9">
      <c r="E252" s="2"/>
      <c r="H252" s="29"/>
      <c r="I252" s="30"/>
    </row>
    <row r="253" spans="5:9">
      <c r="E253" s="2"/>
      <c r="H253" s="29"/>
      <c r="I253" s="30"/>
    </row>
    <row r="254" spans="5:9">
      <c r="E254" s="2"/>
      <c r="H254" s="29"/>
      <c r="I254" s="30"/>
    </row>
    <row r="255" spans="5:9">
      <c r="E255" s="2"/>
      <c r="H255" s="29"/>
      <c r="I255" s="30"/>
    </row>
    <row r="256" spans="5:9">
      <c r="E256" s="2"/>
      <c r="H256" s="29"/>
      <c r="I256" s="30"/>
    </row>
    <row r="257" spans="5:9">
      <c r="E257" s="2"/>
      <c r="H257" s="29"/>
      <c r="I257" s="30"/>
    </row>
    <row r="258" spans="5:9">
      <c r="E258" s="2"/>
      <c r="H258" s="29"/>
      <c r="I258" s="30"/>
    </row>
    <row r="259" spans="5:9">
      <c r="E259" s="2"/>
      <c r="H259" s="29"/>
      <c r="I259" s="30"/>
    </row>
    <row r="260" spans="5:9">
      <c r="E260" s="2"/>
      <c r="H260" s="29"/>
      <c r="I260" s="30"/>
    </row>
    <row r="261" spans="5:9">
      <c r="E261" s="2"/>
      <c r="H261" s="29"/>
      <c r="I261" s="30"/>
    </row>
    <row r="262" spans="5:9">
      <c r="E262" s="2"/>
      <c r="H262" s="29"/>
      <c r="I262" s="30"/>
    </row>
    <row r="263" spans="5:9">
      <c r="E263" s="2"/>
      <c r="H263" s="29"/>
      <c r="I263" s="30"/>
    </row>
    <row r="264" spans="5:9">
      <c r="E264" s="2"/>
      <c r="H264" s="29"/>
      <c r="I264" s="30"/>
    </row>
    <row r="265" spans="5:9">
      <c r="E265" s="2"/>
      <c r="H265" s="29"/>
      <c r="I265" s="30"/>
    </row>
    <row r="266" spans="5:9">
      <c r="E266" s="2"/>
      <c r="H266" s="29"/>
      <c r="I266" s="30"/>
    </row>
    <row r="267" spans="5:9">
      <c r="E267" s="2"/>
      <c r="H267" s="29"/>
      <c r="I267" s="30"/>
    </row>
    <row r="268" spans="5:9">
      <c r="E268" s="2"/>
      <c r="H268" s="29"/>
      <c r="I268" s="30"/>
    </row>
    <row r="269" spans="5:9">
      <c r="E269" s="2"/>
      <c r="H269" s="29"/>
      <c r="I269" s="30"/>
    </row>
    <row r="270" spans="5:9">
      <c r="E270" s="2"/>
      <c r="H270" s="29"/>
      <c r="I270" s="30"/>
    </row>
    <row r="271" spans="5:9">
      <c r="E271" s="2"/>
      <c r="H271" s="29"/>
      <c r="I271" s="30"/>
    </row>
    <row r="272" spans="5:9">
      <c r="E272" s="2"/>
      <c r="H272" s="29"/>
      <c r="I272" s="30"/>
    </row>
    <row r="273" spans="5:9">
      <c r="E273" s="2"/>
      <c r="H273" s="29"/>
      <c r="I273" s="30"/>
    </row>
    <row r="274" spans="5:9">
      <c r="E274" s="2"/>
      <c r="H274" s="29"/>
      <c r="I274" s="30"/>
    </row>
    <row r="275" spans="5:9">
      <c r="E275" s="2"/>
      <c r="H275" s="29"/>
      <c r="I275" s="30"/>
    </row>
    <row r="276" spans="5:9">
      <c r="E276" s="2"/>
      <c r="H276" s="29"/>
      <c r="I276" s="30"/>
    </row>
    <row r="277" spans="5:9">
      <c r="E277" s="2"/>
      <c r="H277" s="29"/>
      <c r="I277" s="30"/>
    </row>
    <row r="278" spans="5:9">
      <c r="E278" s="2"/>
      <c r="H278" s="29"/>
      <c r="I278" s="30"/>
    </row>
    <row r="279" spans="5:9">
      <c r="E279" s="2"/>
      <c r="H279" s="29"/>
      <c r="I279" s="30"/>
    </row>
    <row r="280" spans="5:9">
      <c r="E280" s="2"/>
      <c r="H280" s="29"/>
      <c r="I280" s="30"/>
    </row>
    <row r="281" spans="5:9">
      <c r="E281" s="2"/>
      <c r="H281" s="29"/>
      <c r="I281" s="30"/>
    </row>
    <row r="282" spans="5:9">
      <c r="E282" s="2"/>
      <c r="H282" s="29"/>
      <c r="I282" s="30"/>
    </row>
    <row r="283" spans="5:9">
      <c r="E283" s="2"/>
      <c r="H283" s="29"/>
      <c r="I283" s="30"/>
    </row>
    <row r="284" spans="5:9">
      <c r="E284" s="2"/>
      <c r="H284" s="29"/>
      <c r="I284" s="30"/>
    </row>
    <row r="285" spans="5:9">
      <c r="E285" s="2"/>
      <c r="H285" s="29"/>
      <c r="I285" s="30"/>
    </row>
    <row r="286" spans="5:9">
      <c r="E286" s="2"/>
      <c r="H286" s="29"/>
      <c r="I286" s="30"/>
    </row>
    <row r="287" spans="5:9">
      <c r="E287" s="2"/>
      <c r="H287" s="29"/>
      <c r="I287" s="30"/>
    </row>
    <row r="288" spans="5:9">
      <c r="E288" s="2"/>
      <c r="H288" s="29"/>
      <c r="I288" s="30"/>
    </row>
    <row r="289" spans="5:9">
      <c r="E289" s="2"/>
      <c r="H289" s="29"/>
      <c r="I289" s="30"/>
    </row>
    <row r="290" spans="5:9">
      <c r="E290" s="2"/>
      <c r="H290" s="29"/>
      <c r="I290" s="30"/>
    </row>
    <row r="291" spans="5:9">
      <c r="E291" s="2"/>
      <c r="H291" s="29"/>
      <c r="I291" s="30"/>
    </row>
    <row r="292" spans="5:9">
      <c r="E292" s="2"/>
      <c r="H292" s="29"/>
      <c r="I292" s="30"/>
    </row>
    <row r="293" spans="5:9">
      <c r="E293" s="2"/>
      <c r="H293" s="29"/>
      <c r="I293" s="30"/>
    </row>
    <row r="294" spans="5:9">
      <c r="E294" s="2"/>
      <c r="H294" s="29"/>
      <c r="I294" s="30"/>
    </row>
    <row r="295" spans="5:9">
      <c r="E295" s="2"/>
      <c r="H295" s="29"/>
      <c r="I295" s="30"/>
    </row>
    <row r="296" spans="5:9">
      <c r="E296" s="2"/>
      <c r="H296" s="29"/>
      <c r="I296" s="30"/>
    </row>
    <row r="297" spans="5:9">
      <c r="E297" s="2"/>
      <c r="H297" s="29"/>
      <c r="I297" s="30"/>
    </row>
    <row r="298" spans="5:9">
      <c r="E298" s="2"/>
      <c r="H298" s="29"/>
      <c r="I298" s="30"/>
    </row>
    <row r="299" spans="5:9">
      <c r="E299" s="2"/>
      <c r="H299" s="29"/>
      <c r="I299" s="30"/>
    </row>
    <row r="300" spans="5:9">
      <c r="E300" s="2"/>
      <c r="H300" s="29"/>
      <c r="I300" s="30"/>
    </row>
    <row r="301" spans="5:9">
      <c r="E301" s="2"/>
      <c r="H301" s="29"/>
      <c r="I301" s="30"/>
    </row>
    <row r="302" spans="5:9">
      <c r="E302" s="2"/>
      <c r="H302" s="29"/>
      <c r="I302" s="30"/>
    </row>
    <row r="303" spans="5:9">
      <c r="E303" s="2"/>
      <c r="H303" s="29"/>
      <c r="I303" s="30"/>
    </row>
    <row r="304" spans="5:9">
      <c r="E304" s="2"/>
      <c r="H304" s="29"/>
      <c r="I304" s="30"/>
    </row>
    <row r="305" spans="5:9">
      <c r="E305" s="2"/>
      <c r="H305" s="29"/>
      <c r="I305" s="30"/>
    </row>
    <row r="306" spans="5:9">
      <c r="E306" s="2"/>
      <c r="H306" s="29"/>
      <c r="I306" s="30"/>
    </row>
    <row r="307" spans="5:9">
      <c r="E307" s="2"/>
      <c r="H307" s="29"/>
      <c r="I307" s="30"/>
    </row>
    <row r="308" spans="5:9">
      <c r="E308" s="2"/>
      <c r="H308" s="29"/>
      <c r="I308" s="30"/>
    </row>
    <row r="309" spans="5:9">
      <c r="E309" s="2"/>
      <c r="H309" s="29"/>
      <c r="I309" s="30"/>
    </row>
    <row r="310" spans="5:9">
      <c r="E310" s="2"/>
      <c r="H310" s="29"/>
      <c r="I310" s="30"/>
    </row>
    <row r="311" spans="5:9">
      <c r="E311" s="2"/>
      <c r="H311" s="29"/>
      <c r="I311" s="30"/>
    </row>
    <row r="312" spans="5:9">
      <c r="E312" s="2"/>
      <c r="H312" s="29"/>
      <c r="I312" s="30"/>
    </row>
    <row r="313" spans="5:9">
      <c r="E313" s="2"/>
      <c r="H313" s="29"/>
      <c r="I313" s="30"/>
    </row>
    <row r="314" spans="5:9">
      <c r="E314" s="2"/>
      <c r="H314" s="29"/>
      <c r="I314" s="30"/>
    </row>
    <row r="315" spans="5:9">
      <c r="E315" s="2"/>
      <c r="H315" s="29"/>
      <c r="I315" s="30"/>
    </row>
    <row r="316" spans="5:9">
      <c r="E316" s="2"/>
      <c r="H316" s="29"/>
      <c r="I316" s="30"/>
    </row>
    <row r="317" spans="5:9">
      <c r="E317" s="2"/>
      <c r="H317" s="29"/>
      <c r="I317" s="30"/>
    </row>
    <row r="318" spans="5:9">
      <c r="E318" s="2"/>
      <c r="H318" s="29"/>
      <c r="I318" s="30"/>
    </row>
    <row r="319" spans="5:9">
      <c r="E319" s="2"/>
      <c r="H319" s="29"/>
      <c r="I319" s="30"/>
    </row>
    <row r="320" spans="5:9">
      <c r="E320" s="2"/>
      <c r="H320" s="29"/>
      <c r="I320" s="30"/>
    </row>
    <row r="321" spans="5:9">
      <c r="E321" s="2"/>
      <c r="H321" s="29"/>
      <c r="I321" s="30"/>
    </row>
    <row r="322" spans="5:9">
      <c r="E322" s="2"/>
      <c r="H322" s="29"/>
      <c r="I322" s="30"/>
    </row>
    <row r="323" spans="5:9">
      <c r="E323" s="2"/>
      <c r="H323" s="29"/>
      <c r="I323" s="30"/>
    </row>
    <row r="324" spans="5:9">
      <c r="E324" s="2"/>
      <c r="H324" s="29"/>
      <c r="I324" s="30"/>
    </row>
    <row r="325" spans="5:9">
      <c r="E325" s="2"/>
      <c r="H325" s="29"/>
      <c r="I325" s="30"/>
    </row>
    <row r="326" spans="5:9">
      <c r="E326" s="2"/>
      <c r="H326" s="29"/>
      <c r="I326" s="30"/>
    </row>
    <row r="327" spans="5:9">
      <c r="E327" s="2"/>
      <c r="H327" s="29"/>
      <c r="I327" s="30"/>
    </row>
    <row r="328" spans="5:9">
      <c r="E328" s="2"/>
      <c r="H328" s="29"/>
      <c r="I328" s="30"/>
    </row>
    <row r="329" spans="5:9">
      <c r="E329" s="2"/>
      <c r="H329" s="29"/>
      <c r="I329" s="30"/>
    </row>
    <row r="330" spans="5:9">
      <c r="E330" s="2"/>
      <c r="H330" s="29"/>
      <c r="I330" s="30"/>
    </row>
    <row r="331" spans="5:9">
      <c r="E331" s="2"/>
      <c r="H331" s="29"/>
      <c r="I331" s="30"/>
    </row>
    <row r="332" spans="5:9">
      <c r="E332" s="2"/>
      <c r="H332" s="29"/>
      <c r="I332" s="30"/>
    </row>
    <row r="333" spans="5:9">
      <c r="E333" s="2"/>
      <c r="H333" s="29"/>
      <c r="I333" s="30"/>
    </row>
    <row r="334" spans="5:9">
      <c r="E334" s="2"/>
      <c r="H334" s="29"/>
      <c r="I334" s="30"/>
    </row>
    <row r="335" spans="5:9">
      <c r="E335" s="2"/>
      <c r="H335" s="29"/>
      <c r="I335" s="30"/>
    </row>
    <row r="336" spans="5:9">
      <c r="E336" s="2"/>
      <c r="H336" s="29"/>
      <c r="I336" s="30"/>
    </row>
    <row r="337" spans="5:9">
      <c r="E337" s="2"/>
      <c r="H337" s="29"/>
      <c r="I337" s="30"/>
    </row>
    <row r="338" spans="5:9">
      <c r="E338" s="2"/>
      <c r="H338" s="29"/>
      <c r="I338" s="30"/>
    </row>
    <row r="339" spans="5:9">
      <c r="E339" s="2"/>
      <c r="H339" s="29"/>
      <c r="I339" s="30"/>
    </row>
    <row r="340" spans="5:9">
      <c r="E340" s="2"/>
      <c r="H340" s="29"/>
      <c r="I340" s="30"/>
    </row>
    <row r="341" spans="5:9">
      <c r="E341" s="2"/>
      <c r="H341" s="29"/>
      <c r="I341" s="30"/>
    </row>
    <row r="342" spans="5:9">
      <c r="E342" s="2"/>
      <c r="H342" s="29"/>
      <c r="I342" s="30"/>
    </row>
    <row r="343" spans="5:9">
      <c r="E343" s="2"/>
      <c r="H343" s="29"/>
      <c r="I343" s="30"/>
    </row>
    <row r="344" spans="5:9">
      <c r="E344" s="2"/>
      <c r="H344" s="29"/>
      <c r="I344" s="30"/>
    </row>
    <row r="345" spans="5:9">
      <c r="E345" s="2"/>
      <c r="H345" s="29"/>
      <c r="I345" s="30"/>
    </row>
    <row r="346" spans="5:9">
      <c r="E346" s="2"/>
      <c r="H346" s="29"/>
      <c r="I346" s="30"/>
    </row>
    <row r="347" spans="5:9">
      <c r="E347" s="2"/>
      <c r="H347" s="29"/>
      <c r="I347" s="30"/>
    </row>
    <row r="348" spans="5:9">
      <c r="E348" s="2"/>
      <c r="H348" s="29"/>
      <c r="I348" s="30"/>
    </row>
    <row r="349" spans="5:9">
      <c r="E349" s="2"/>
      <c r="H349" s="29"/>
      <c r="I349" s="30"/>
    </row>
    <row r="350" spans="5:9">
      <c r="E350" s="2"/>
      <c r="H350" s="29"/>
      <c r="I350" s="30"/>
    </row>
    <row r="351" spans="5:9">
      <c r="E351" s="2"/>
      <c r="H351" s="29"/>
      <c r="I351" s="30"/>
    </row>
    <row r="352" spans="5:9">
      <c r="E352" s="2"/>
      <c r="H352" s="29"/>
      <c r="I352" s="30"/>
    </row>
    <row r="353" spans="5:9">
      <c r="E353" s="2"/>
      <c r="H353" s="29"/>
      <c r="I353" s="30"/>
    </row>
    <row r="354" spans="5:9">
      <c r="E354" s="2"/>
      <c r="H354" s="29"/>
      <c r="I354" s="30"/>
    </row>
    <row r="355" spans="5:9">
      <c r="E355" s="2"/>
      <c r="H355" s="29"/>
      <c r="I355" s="30"/>
    </row>
    <row r="356" spans="5:9">
      <c r="E356" s="2"/>
      <c r="H356" s="29"/>
      <c r="I356" s="30"/>
    </row>
    <row r="357" spans="5:9">
      <c r="E357" s="2"/>
      <c r="H357" s="29"/>
      <c r="I357" s="30"/>
    </row>
    <row r="358" spans="5:9">
      <c r="E358" s="2"/>
      <c r="H358" s="29"/>
      <c r="I358" s="30"/>
    </row>
    <row r="359" spans="5:9">
      <c r="E359" s="2"/>
      <c r="H359" s="29"/>
      <c r="I359" s="30"/>
    </row>
    <row r="360" spans="5:9">
      <c r="E360" s="2"/>
      <c r="H360" s="29"/>
      <c r="I360" s="30"/>
    </row>
    <row r="361" spans="5:9">
      <c r="E361" s="2"/>
      <c r="H361" s="29"/>
      <c r="I361" s="30"/>
    </row>
    <row r="362" spans="5:9">
      <c r="E362" s="2"/>
      <c r="H362" s="29"/>
      <c r="I362" s="30"/>
    </row>
    <row r="363" spans="5:9">
      <c r="E363" s="2"/>
      <c r="H363" s="29"/>
      <c r="I363" s="30"/>
    </row>
    <row r="364" spans="5:9">
      <c r="E364" s="2"/>
      <c r="H364" s="29"/>
      <c r="I364" s="30"/>
    </row>
    <row r="365" spans="5:9">
      <c r="E365" s="2"/>
      <c r="H365" s="29"/>
      <c r="I365" s="30"/>
    </row>
    <row r="366" spans="5:9">
      <c r="E366" s="2"/>
      <c r="H366" s="29"/>
      <c r="I366" s="30"/>
    </row>
    <row r="367" spans="5:9">
      <c r="E367" s="2"/>
      <c r="H367" s="29"/>
      <c r="I367" s="30"/>
    </row>
    <row r="368" spans="5:9">
      <c r="E368" s="2"/>
      <c r="H368" s="29"/>
      <c r="I368" s="30"/>
    </row>
    <row r="369" spans="5:9">
      <c r="E369" s="2"/>
      <c r="H369" s="29"/>
      <c r="I369" s="30"/>
    </row>
    <row r="370" spans="5:9">
      <c r="E370" s="2"/>
      <c r="H370" s="29"/>
      <c r="I370" s="30"/>
    </row>
    <row r="371" spans="5:9">
      <c r="E371" s="2"/>
      <c r="H371" s="29"/>
      <c r="I371" s="30"/>
    </row>
    <row r="372" spans="5:9">
      <c r="E372" s="2"/>
      <c r="H372" s="29"/>
      <c r="I372" s="30"/>
    </row>
    <row r="373" spans="5:9">
      <c r="E373" s="2"/>
      <c r="H373" s="29"/>
      <c r="I373" s="30"/>
    </row>
    <row r="374" spans="5:9">
      <c r="E374" s="2"/>
      <c r="H374" s="29"/>
      <c r="I374" s="30"/>
    </row>
    <row r="375" spans="5:9">
      <c r="E375" s="2"/>
      <c r="H375" s="29"/>
      <c r="I375" s="30"/>
    </row>
    <row r="376" spans="5:9">
      <c r="E376" s="2"/>
      <c r="H376" s="29"/>
      <c r="I376" s="30"/>
    </row>
    <row r="377" spans="5:9">
      <c r="E377" s="2"/>
      <c r="H377" s="29"/>
      <c r="I377" s="30"/>
    </row>
    <row r="378" spans="5:9">
      <c r="E378" s="2"/>
      <c r="H378" s="29"/>
      <c r="I378" s="30"/>
    </row>
    <row r="379" spans="5:9">
      <c r="E379" s="2"/>
      <c r="H379" s="29"/>
      <c r="I379" s="30"/>
    </row>
    <row r="380" spans="5:9">
      <c r="E380" s="2"/>
      <c r="H380" s="29"/>
      <c r="I380" s="30"/>
    </row>
    <row r="381" spans="5:9">
      <c r="E381" s="2"/>
      <c r="H381" s="29"/>
      <c r="I381" s="30"/>
    </row>
    <row r="382" spans="5:9">
      <c r="E382" s="2"/>
      <c r="H382" s="29"/>
      <c r="I382" s="30"/>
    </row>
    <row r="383" spans="5:9">
      <c r="E383" s="2"/>
      <c r="H383" s="29"/>
      <c r="I383" s="30"/>
    </row>
    <row r="384" spans="5:9">
      <c r="E384" s="2"/>
      <c r="H384" s="29"/>
      <c r="I384" s="30"/>
    </row>
    <row r="385" spans="5:9">
      <c r="E385" s="2"/>
      <c r="H385" s="29"/>
      <c r="I385" s="30"/>
    </row>
    <row r="386" spans="5:9">
      <c r="E386" s="2"/>
      <c r="H386" s="29"/>
      <c r="I386" s="30"/>
    </row>
    <row r="387" spans="5:9">
      <c r="E387" s="2"/>
      <c r="H387" s="29"/>
      <c r="I387" s="30"/>
    </row>
    <row r="388" spans="5:9">
      <c r="E388" s="2"/>
      <c r="H388" s="29"/>
      <c r="I388" s="30"/>
    </row>
    <row r="389" spans="5:9">
      <c r="E389" s="2"/>
      <c r="H389" s="29"/>
      <c r="I389" s="30"/>
    </row>
    <row r="390" spans="5:9">
      <c r="E390" s="2"/>
      <c r="H390" s="29"/>
      <c r="I390" s="30"/>
    </row>
    <row r="391" spans="5:9">
      <c r="E391" s="2"/>
      <c r="H391" s="29"/>
      <c r="I391" s="30"/>
    </row>
    <row r="392" spans="5:9">
      <c r="E392" s="2"/>
      <c r="H392" s="29"/>
      <c r="I392" s="30"/>
    </row>
    <row r="393" spans="5:9">
      <c r="E393" s="2"/>
      <c r="H393" s="29"/>
      <c r="I393" s="30"/>
    </row>
    <row r="394" spans="5:9">
      <c r="E394" s="2"/>
      <c r="H394" s="29"/>
      <c r="I394" s="30"/>
    </row>
    <row r="395" spans="5:9">
      <c r="E395" s="2"/>
      <c r="H395" s="29"/>
      <c r="I395" s="30"/>
    </row>
    <row r="396" spans="5:9">
      <c r="E396" s="2"/>
      <c r="H396" s="29"/>
      <c r="I396" s="30"/>
    </row>
    <row r="397" spans="5:9">
      <c r="E397" s="2"/>
      <c r="H397" s="29"/>
      <c r="I397" s="30"/>
    </row>
    <row r="398" spans="5:9">
      <c r="E398" s="2"/>
      <c r="H398" s="29"/>
      <c r="I398" s="30"/>
    </row>
    <row r="399" spans="5:9">
      <c r="E399" s="2"/>
      <c r="H399" s="29"/>
      <c r="I399" s="30"/>
    </row>
    <row r="400" spans="5:9">
      <c r="E400" s="2"/>
      <c r="H400" s="29"/>
      <c r="I400" s="30"/>
    </row>
    <row r="401" spans="5:9">
      <c r="E401" s="2"/>
      <c r="H401" s="29"/>
      <c r="I401" s="30"/>
    </row>
    <row r="402" spans="5:9">
      <c r="E402" s="2"/>
      <c r="H402" s="29"/>
      <c r="I402" s="30"/>
    </row>
    <row r="403" spans="5:9">
      <c r="E403" s="2"/>
      <c r="H403" s="29"/>
      <c r="I403" s="30"/>
    </row>
    <row r="404" spans="5:9">
      <c r="E404" s="2"/>
      <c r="H404" s="29"/>
      <c r="I404" s="30"/>
    </row>
    <row r="405" spans="5:9">
      <c r="E405" s="2"/>
      <c r="H405" s="29"/>
      <c r="I405" s="30"/>
    </row>
    <row r="406" spans="5:9">
      <c r="E406" s="2"/>
      <c r="H406" s="29"/>
      <c r="I406" s="30"/>
    </row>
    <row r="407" spans="5:9">
      <c r="E407" s="2"/>
      <c r="H407" s="29"/>
      <c r="I407" s="30"/>
    </row>
    <row r="408" spans="5:9">
      <c r="E408" s="2"/>
      <c r="H408" s="29"/>
      <c r="I408" s="30"/>
    </row>
    <row r="409" spans="5:9">
      <c r="E409" s="2"/>
      <c r="H409" s="29"/>
      <c r="I409" s="30"/>
    </row>
    <row r="410" spans="5:9">
      <c r="E410" s="2"/>
      <c r="H410" s="29"/>
      <c r="I410" s="30"/>
    </row>
    <row r="411" spans="5:9">
      <c r="E411" s="2"/>
      <c r="H411" s="29"/>
      <c r="I411" s="30"/>
    </row>
    <row r="412" spans="5:9">
      <c r="E412" s="2"/>
      <c r="H412" s="29"/>
      <c r="I412" s="30"/>
    </row>
    <row r="413" spans="5:9">
      <c r="E413" s="2"/>
      <c r="H413" s="29"/>
      <c r="I413" s="30"/>
    </row>
    <row r="414" spans="5:9">
      <c r="E414" s="2"/>
      <c r="H414" s="29"/>
      <c r="I414" s="30"/>
    </row>
    <row r="415" spans="5:9">
      <c r="E415" s="2"/>
      <c r="H415" s="29"/>
      <c r="I415" s="30"/>
    </row>
    <row r="416" spans="5:9">
      <c r="E416" s="2"/>
      <c r="H416" s="29"/>
      <c r="I416" s="30"/>
    </row>
    <row r="417" spans="5:9">
      <c r="E417" s="2"/>
      <c r="H417" s="29"/>
      <c r="I417" s="30"/>
    </row>
    <row r="418" spans="5:9">
      <c r="E418" s="2"/>
      <c r="H418" s="29"/>
      <c r="I418" s="30"/>
    </row>
    <row r="419" spans="5:9">
      <c r="E419" s="2"/>
      <c r="H419" s="29"/>
      <c r="I419" s="30"/>
    </row>
    <row r="420" spans="5:9">
      <c r="E420" s="2"/>
      <c r="H420" s="29"/>
      <c r="I420" s="30"/>
    </row>
    <row r="421" spans="5:9">
      <c r="E421" s="2"/>
      <c r="H421" s="29"/>
      <c r="I421" s="30"/>
    </row>
    <row r="422" spans="5:9">
      <c r="E422" s="2"/>
      <c r="H422" s="29"/>
      <c r="I422" s="30"/>
    </row>
    <row r="423" spans="5:9">
      <c r="E423" s="2"/>
      <c r="H423" s="29"/>
      <c r="I423" s="30"/>
    </row>
    <row r="424" spans="5:9">
      <c r="E424" s="2"/>
      <c r="H424" s="29"/>
      <c r="I424" s="30"/>
    </row>
    <row r="425" spans="5:9">
      <c r="E425" s="2"/>
      <c r="H425" s="29"/>
      <c r="I425" s="30"/>
    </row>
    <row r="426" spans="5:9">
      <c r="E426" s="2"/>
      <c r="H426" s="29"/>
      <c r="I426" s="30"/>
    </row>
    <row r="427" spans="5:9">
      <c r="E427" s="2"/>
      <c r="H427" s="29"/>
      <c r="I427" s="30"/>
    </row>
    <row r="428" spans="5:9">
      <c r="E428" s="2"/>
      <c r="H428" s="29"/>
      <c r="I428" s="30"/>
    </row>
    <row r="429" spans="5:9">
      <c r="E429" s="2"/>
      <c r="H429" s="29"/>
      <c r="I429" s="30"/>
    </row>
    <row r="430" spans="5:9">
      <c r="E430" s="2"/>
      <c r="H430" s="29"/>
      <c r="I430" s="30"/>
    </row>
    <row r="431" spans="5:9">
      <c r="E431" s="2"/>
      <c r="H431" s="29"/>
      <c r="I431" s="30"/>
    </row>
    <row r="432" spans="5:9">
      <c r="E432" s="2"/>
      <c r="H432" s="29"/>
      <c r="I432" s="30"/>
    </row>
    <row r="433" spans="5:9">
      <c r="E433" s="2"/>
      <c r="H433" s="29"/>
      <c r="I433" s="30"/>
    </row>
    <row r="434" spans="5:9">
      <c r="E434" s="2"/>
      <c r="H434" s="29"/>
      <c r="I434" s="30"/>
    </row>
    <row r="435" spans="5:9">
      <c r="E435" s="2"/>
      <c r="H435" s="29"/>
      <c r="I435" s="30"/>
    </row>
    <row r="436" spans="5:9">
      <c r="E436" s="2"/>
      <c r="H436" s="29"/>
      <c r="I436" s="30"/>
    </row>
    <row r="437" spans="5:9">
      <c r="E437" s="2"/>
      <c r="H437" s="29"/>
      <c r="I437" s="30"/>
    </row>
    <row r="438" spans="5:9">
      <c r="E438" s="2"/>
      <c r="H438" s="29"/>
      <c r="I438" s="30"/>
    </row>
    <row r="439" spans="5:9">
      <c r="E439" s="2"/>
      <c r="H439" s="29"/>
      <c r="I439" s="30"/>
    </row>
    <row r="440" spans="5:9">
      <c r="E440" s="2"/>
      <c r="H440" s="29"/>
      <c r="I440" s="30"/>
    </row>
    <row r="441" spans="5:9">
      <c r="E441" s="2"/>
      <c r="H441" s="29"/>
      <c r="I441" s="30"/>
    </row>
    <row r="442" spans="5:9">
      <c r="E442" s="2"/>
      <c r="H442" s="29"/>
      <c r="I442" s="30"/>
    </row>
    <row r="443" spans="5:9">
      <c r="E443" s="2"/>
      <c r="H443" s="29"/>
      <c r="I443" s="30"/>
    </row>
    <row r="444" spans="5:9">
      <c r="E444" s="2"/>
      <c r="H444" s="29"/>
      <c r="I444" s="30"/>
    </row>
    <row r="445" spans="5:9">
      <c r="E445" s="2"/>
      <c r="H445" s="29"/>
      <c r="I445" s="30"/>
    </row>
    <row r="446" spans="5:9">
      <c r="E446" s="2"/>
      <c r="H446" s="29"/>
      <c r="I446" s="30"/>
    </row>
    <row r="447" spans="5:9">
      <c r="E447" s="2"/>
      <c r="H447" s="29"/>
      <c r="I447" s="30"/>
    </row>
    <row r="448" spans="5:9">
      <c r="E448" s="2"/>
      <c r="H448" s="29"/>
      <c r="I448" s="30"/>
    </row>
    <row r="449" spans="5:9">
      <c r="E449" s="2"/>
      <c r="H449" s="29"/>
      <c r="I449" s="30"/>
    </row>
    <row r="450" spans="5:9">
      <c r="E450" s="2"/>
      <c r="H450" s="29"/>
      <c r="I450" s="30"/>
    </row>
    <row r="451" spans="5:9">
      <c r="E451" s="2"/>
      <c r="H451" s="29"/>
      <c r="I451" s="30"/>
    </row>
    <row r="452" spans="5:9">
      <c r="E452" s="2"/>
      <c r="H452" s="29"/>
      <c r="I452" s="30"/>
    </row>
    <row r="453" spans="5:9">
      <c r="E453" s="2"/>
      <c r="H453" s="29"/>
      <c r="I453" s="30"/>
    </row>
    <row r="454" spans="5:9">
      <c r="E454" s="2"/>
      <c r="H454" s="29"/>
      <c r="I454" s="30"/>
    </row>
    <row r="455" spans="5:9">
      <c r="E455" s="2"/>
      <c r="H455" s="29"/>
      <c r="I455" s="30"/>
    </row>
    <row r="456" spans="5:9">
      <c r="E456" s="2"/>
      <c r="H456" s="29"/>
      <c r="I456" s="30"/>
    </row>
    <row r="457" spans="5:9">
      <c r="E457" s="2"/>
      <c r="H457" s="29"/>
      <c r="I457" s="30"/>
    </row>
    <row r="458" spans="5:9">
      <c r="E458" s="2"/>
      <c r="H458" s="29"/>
      <c r="I458" s="30"/>
    </row>
    <row r="459" spans="5:9">
      <c r="E459" s="2"/>
      <c r="H459" s="29"/>
      <c r="I459" s="30"/>
    </row>
    <row r="460" spans="5:9">
      <c r="E460" s="2"/>
      <c r="H460" s="29"/>
      <c r="I460" s="30"/>
    </row>
    <row r="461" spans="5:9">
      <c r="E461" s="2"/>
      <c r="H461" s="29"/>
      <c r="I461" s="30"/>
    </row>
    <row r="462" spans="5:9">
      <c r="E462" s="2"/>
      <c r="H462" s="29"/>
      <c r="I462" s="30"/>
    </row>
    <row r="463" spans="5:9">
      <c r="E463" s="2"/>
      <c r="H463" s="29"/>
      <c r="I463" s="30"/>
    </row>
    <row r="464" spans="5:9">
      <c r="E464" s="2"/>
      <c r="H464" s="29"/>
      <c r="I464" s="30"/>
    </row>
    <row r="465" spans="5:9">
      <c r="E465" s="2"/>
      <c r="H465" s="29"/>
      <c r="I465" s="30"/>
    </row>
    <row r="466" spans="5:9">
      <c r="E466" s="2"/>
      <c r="H466" s="29"/>
      <c r="I466" s="30"/>
    </row>
    <row r="467" spans="5:9">
      <c r="E467" s="2"/>
      <c r="H467" s="29"/>
      <c r="I467" s="30"/>
    </row>
    <row r="468" spans="5:9">
      <c r="E468" s="2"/>
      <c r="H468" s="29"/>
      <c r="I468" s="30"/>
    </row>
    <row r="469" spans="5:9">
      <c r="E469" s="2"/>
      <c r="H469" s="29"/>
      <c r="I469" s="30"/>
    </row>
    <row r="470" spans="5:9">
      <c r="E470" s="2"/>
      <c r="H470" s="29"/>
      <c r="I470" s="30"/>
    </row>
    <row r="471" spans="5:9">
      <c r="E471" s="2"/>
      <c r="H471" s="29"/>
      <c r="I471" s="30"/>
    </row>
    <row r="472" spans="5:9">
      <c r="E472" s="2"/>
      <c r="H472" s="29"/>
      <c r="I472" s="30"/>
    </row>
    <row r="473" spans="5:9">
      <c r="E473" s="2"/>
      <c r="H473" s="29"/>
      <c r="I473" s="30"/>
    </row>
    <row r="474" spans="5:9">
      <c r="E474" s="2"/>
      <c r="H474" s="29"/>
      <c r="I474" s="30"/>
    </row>
    <row r="475" spans="5:9">
      <c r="E475" s="2"/>
      <c r="H475" s="29"/>
      <c r="I475" s="30"/>
    </row>
    <row r="476" spans="5:9">
      <c r="E476" s="2"/>
      <c r="H476" s="29"/>
      <c r="I476" s="30"/>
    </row>
    <row r="477" spans="5:9">
      <c r="E477" s="2"/>
      <c r="H477" s="29"/>
      <c r="I477" s="30"/>
    </row>
    <row r="478" spans="5:9">
      <c r="E478" s="2"/>
      <c r="H478" s="29"/>
      <c r="I478" s="30"/>
    </row>
    <row r="479" spans="5:9">
      <c r="E479" s="2"/>
      <c r="H479" s="29"/>
      <c r="I479" s="30"/>
    </row>
    <row r="480" spans="5:9">
      <c r="E480" s="2"/>
      <c r="H480" s="29"/>
      <c r="I480" s="30"/>
    </row>
    <row r="481" spans="5:9">
      <c r="E481" s="2"/>
      <c r="H481" s="29"/>
      <c r="I481" s="30"/>
    </row>
    <row r="482" spans="5:9">
      <c r="E482" s="2"/>
      <c r="H482" s="29"/>
      <c r="I482" s="30"/>
    </row>
    <row r="483" spans="5:9">
      <c r="E483" s="2"/>
      <c r="H483" s="29"/>
      <c r="I483" s="30"/>
    </row>
    <row r="484" spans="5:9">
      <c r="E484" s="2"/>
      <c r="H484" s="29"/>
      <c r="I484" s="30"/>
    </row>
    <row r="485" spans="5:9">
      <c r="E485" s="2"/>
      <c r="H485" s="29"/>
      <c r="I485" s="30"/>
    </row>
    <row r="486" spans="5:9">
      <c r="E486" s="2"/>
      <c r="H486" s="29"/>
      <c r="I486" s="30"/>
    </row>
    <row r="487" spans="5:9">
      <c r="E487" s="2"/>
      <c r="H487" s="29"/>
      <c r="I487" s="30"/>
    </row>
    <row r="488" spans="5:9">
      <c r="E488" s="2"/>
      <c r="H488" s="29"/>
      <c r="I488" s="30"/>
    </row>
    <row r="489" spans="5:9">
      <c r="E489" s="2"/>
      <c r="H489" s="29"/>
      <c r="I489" s="30"/>
    </row>
    <row r="490" spans="5:9">
      <c r="E490" s="2"/>
      <c r="H490" s="29"/>
      <c r="I490" s="30"/>
    </row>
    <row r="491" spans="5:9">
      <c r="E491" s="2"/>
      <c r="H491" s="29"/>
      <c r="I491" s="30"/>
    </row>
    <row r="492" spans="5:9">
      <c r="E492" s="2"/>
      <c r="H492" s="29"/>
      <c r="I492" s="30"/>
    </row>
    <row r="493" spans="5:9">
      <c r="E493" s="2"/>
      <c r="H493" s="29"/>
      <c r="I493" s="30"/>
    </row>
    <row r="494" spans="5:9">
      <c r="E494" s="2"/>
      <c r="H494" s="29"/>
      <c r="I494" s="30"/>
    </row>
    <row r="495" spans="5:9">
      <c r="E495" s="2"/>
      <c r="H495" s="29"/>
      <c r="I495" s="30"/>
    </row>
    <row r="496" spans="5:9">
      <c r="E496" s="2"/>
      <c r="H496" s="29"/>
      <c r="I496" s="30"/>
    </row>
    <row r="497" spans="5:9">
      <c r="E497" s="2"/>
      <c r="H497" s="29"/>
      <c r="I497" s="30"/>
    </row>
    <row r="498" spans="5:9">
      <c r="E498" s="2"/>
      <c r="H498" s="29"/>
      <c r="I498" s="30"/>
    </row>
    <row r="499" spans="5:9">
      <c r="E499" s="2"/>
      <c r="H499" s="29"/>
      <c r="I499" s="30"/>
    </row>
    <row r="500" spans="5:9">
      <c r="E500" s="2"/>
      <c r="H500" s="29"/>
      <c r="I500" s="30"/>
    </row>
    <row r="501" spans="5:9">
      <c r="E501" s="2"/>
      <c r="H501" s="29"/>
      <c r="I501" s="30"/>
    </row>
    <row r="502" spans="5:9">
      <c r="E502" s="2"/>
      <c r="H502" s="29"/>
      <c r="I502" s="30"/>
    </row>
    <row r="503" spans="5:9">
      <c r="E503" s="2"/>
      <c r="H503" s="29"/>
      <c r="I503" s="30"/>
    </row>
    <row r="504" spans="5:9">
      <c r="E504" s="2"/>
      <c r="H504" s="29"/>
      <c r="I504" s="30"/>
    </row>
    <row r="505" spans="5:9">
      <c r="E505" s="2"/>
      <c r="H505" s="29"/>
      <c r="I505" s="30"/>
    </row>
    <row r="506" spans="5:9">
      <c r="E506" s="2"/>
      <c r="H506" s="29"/>
      <c r="I506" s="30"/>
    </row>
    <row r="507" spans="5:9">
      <c r="E507" s="2"/>
      <c r="H507" s="29"/>
      <c r="I507" s="30"/>
    </row>
    <row r="508" spans="5:9">
      <c r="E508" s="2"/>
      <c r="H508" s="29"/>
      <c r="I508" s="30"/>
    </row>
    <row r="509" spans="5:9">
      <c r="E509" s="2"/>
      <c r="H509" s="29"/>
      <c r="I509" s="30"/>
    </row>
    <row r="510" spans="5:9">
      <c r="E510" s="2"/>
      <c r="H510" s="29"/>
      <c r="I510" s="30"/>
    </row>
    <row r="511" spans="5:9">
      <c r="E511" s="2"/>
      <c r="H511" s="29"/>
      <c r="I511" s="30"/>
    </row>
    <row r="512" spans="5:9">
      <c r="E512" s="2"/>
      <c r="H512" s="29"/>
      <c r="I512" s="30"/>
    </row>
    <row r="513" spans="5:9">
      <c r="E513" s="2"/>
      <c r="H513" s="29"/>
      <c r="I513" s="30"/>
    </row>
    <row r="514" spans="5:9">
      <c r="E514" s="2"/>
      <c r="H514" s="29"/>
      <c r="I514" s="30"/>
    </row>
    <row r="515" spans="5:9">
      <c r="E515" s="2"/>
      <c r="H515" s="29"/>
      <c r="I515" s="30"/>
    </row>
    <row r="516" spans="5:9">
      <c r="E516" s="2"/>
      <c r="H516" s="29"/>
      <c r="I516" s="30"/>
    </row>
    <row r="517" spans="5:9">
      <c r="E517" s="2"/>
      <c r="H517" s="29"/>
      <c r="I517" s="30"/>
    </row>
    <row r="518" spans="5:9">
      <c r="E518" s="2"/>
      <c r="H518" s="29"/>
      <c r="I518" s="30"/>
    </row>
    <row r="519" spans="5:9">
      <c r="E519" s="2"/>
      <c r="H519" s="29"/>
      <c r="I519" s="30"/>
    </row>
    <row r="520" spans="5:9">
      <c r="E520" s="2"/>
      <c r="H520" s="29"/>
      <c r="I520" s="30"/>
    </row>
    <row r="521" spans="5:9">
      <c r="E521" s="2"/>
      <c r="H521" s="29"/>
      <c r="I521" s="30"/>
    </row>
    <row r="522" spans="5:9">
      <c r="E522" s="2"/>
      <c r="H522" s="29"/>
      <c r="I522" s="30"/>
    </row>
    <row r="523" spans="5:9">
      <c r="E523" s="2"/>
      <c r="H523" s="29"/>
      <c r="I523" s="30"/>
    </row>
    <row r="524" spans="5:9">
      <c r="E524" s="2"/>
      <c r="H524" s="29"/>
      <c r="I524" s="30"/>
    </row>
    <row r="525" spans="5:9">
      <c r="E525" s="2"/>
      <c r="H525" s="29"/>
      <c r="I525" s="30"/>
    </row>
    <row r="526" spans="5:9">
      <c r="E526" s="2"/>
      <c r="H526" s="29"/>
      <c r="I526" s="30"/>
    </row>
    <row r="527" spans="5:9">
      <c r="E527" s="2"/>
      <c r="H527" s="29"/>
      <c r="I527" s="30"/>
    </row>
    <row r="528" spans="5:9">
      <c r="E528" s="2"/>
      <c r="H528" s="29"/>
      <c r="I528" s="30"/>
    </row>
    <row r="529" spans="5:9">
      <c r="E529" s="2"/>
      <c r="H529" s="29"/>
      <c r="I529" s="30"/>
    </row>
    <row r="530" spans="5:9">
      <c r="E530" s="2"/>
      <c r="H530" s="29"/>
      <c r="I530" s="30"/>
    </row>
    <row r="531" spans="5:9">
      <c r="E531" s="2"/>
      <c r="H531" s="29"/>
      <c r="I531" s="30"/>
    </row>
    <row r="532" spans="5:9">
      <c r="E532" s="2"/>
      <c r="H532" s="29"/>
      <c r="I532" s="30"/>
    </row>
    <row r="533" spans="5:9">
      <c r="E533" s="2"/>
      <c r="H533" s="29"/>
      <c r="I533" s="30"/>
    </row>
    <row r="534" spans="5:9">
      <c r="E534" s="2"/>
      <c r="H534" s="29"/>
      <c r="I534" s="30"/>
    </row>
    <row r="535" spans="5:9">
      <c r="E535" s="2"/>
      <c r="H535" s="29"/>
      <c r="I535" s="30"/>
    </row>
    <row r="536" spans="5:9">
      <c r="E536" s="2"/>
      <c r="H536" s="29"/>
      <c r="I536" s="30"/>
    </row>
    <row r="537" spans="5:9">
      <c r="E537" s="2"/>
      <c r="H537" s="29"/>
      <c r="I537" s="30"/>
    </row>
    <row r="538" spans="5:9">
      <c r="E538" s="2"/>
      <c r="H538" s="29"/>
      <c r="I538" s="30"/>
    </row>
    <row r="539" spans="5:9">
      <c r="E539" s="2"/>
      <c r="H539" s="29"/>
      <c r="I539" s="30"/>
    </row>
    <row r="540" spans="5:9">
      <c r="E540" s="2"/>
      <c r="H540" s="29"/>
      <c r="I540" s="30"/>
    </row>
    <row r="541" spans="5:9">
      <c r="E541" s="2"/>
      <c r="H541" s="29"/>
      <c r="I541" s="30"/>
    </row>
    <row r="542" spans="5:9">
      <c r="E542" s="2"/>
      <c r="H542" s="29"/>
      <c r="I542" s="30"/>
    </row>
    <row r="543" spans="5:9">
      <c r="E543" s="2"/>
      <c r="H543" s="29"/>
      <c r="I543" s="30"/>
    </row>
    <row r="544" spans="5:9">
      <c r="E544" s="2"/>
      <c r="H544" s="29"/>
      <c r="I544" s="30"/>
    </row>
    <row r="545" spans="5:9">
      <c r="E545" s="2"/>
      <c r="H545" s="29"/>
      <c r="I545" s="30"/>
    </row>
    <row r="546" spans="5:9">
      <c r="E546" s="2"/>
      <c r="H546" s="29"/>
      <c r="I546" s="30"/>
    </row>
    <row r="547" spans="5:9">
      <c r="E547" s="2"/>
      <c r="H547" s="29"/>
      <c r="I547" s="30"/>
    </row>
    <row r="548" spans="5:9">
      <c r="E548" s="2"/>
      <c r="H548" s="29"/>
      <c r="I548" s="30"/>
    </row>
    <row r="549" spans="5:9">
      <c r="E549" s="2"/>
      <c r="H549" s="29"/>
      <c r="I549" s="30"/>
    </row>
    <row r="550" spans="5:9">
      <c r="E550" s="2"/>
      <c r="H550" s="29"/>
      <c r="I550" s="30"/>
    </row>
    <row r="551" spans="5:9">
      <c r="E551" s="2"/>
      <c r="H551" s="29"/>
      <c r="I551" s="30"/>
    </row>
    <row r="552" spans="5:9">
      <c r="E552" s="2"/>
      <c r="H552" s="29"/>
      <c r="I552" s="30"/>
    </row>
    <row r="553" spans="5:9">
      <c r="E553" s="2"/>
      <c r="H553" s="29"/>
      <c r="I553" s="30"/>
    </row>
    <row r="554" spans="5:9">
      <c r="E554" s="2"/>
      <c r="H554" s="29"/>
      <c r="I554" s="30"/>
    </row>
    <row r="555" spans="5:9">
      <c r="E555" s="2"/>
      <c r="H555" s="29"/>
      <c r="I555" s="30"/>
    </row>
    <row r="556" spans="5:9">
      <c r="E556" s="2"/>
      <c r="H556" s="29"/>
      <c r="I556" s="30"/>
    </row>
    <row r="557" spans="5:9">
      <c r="E557" s="2"/>
      <c r="H557" s="29"/>
      <c r="I557" s="30"/>
    </row>
    <row r="558" spans="5:9">
      <c r="E558" s="2"/>
      <c r="H558" s="29"/>
      <c r="I558" s="30"/>
    </row>
    <row r="559" spans="5:9">
      <c r="E559" s="2"/>
      <c r="H559" s="29"/>
      <c r="I559" s="30"/>
    </row>
    <row r="560" spans="5:9">
      <c r="E560" s="2"/>
      <c r="H560" s="29"/>
      <c r="I560" s="30"/>
    </row>
    <row r="561" spans="5:9">
      <c r="E561" s="2"/>
      <c r="H561" s="29"/>
      <c r="I561" s="30"/>
    </row>
    <row r="562" spans="5:9">
      <c r="E562" s="2"/>
      <c r="H562" s="29"/>
      <c r="I562" s="30"/>
    </row>
    <row r="563" spans="5:9">
      <c r="E563" s="2"/>
      <c r="H563" s="29"/>
      <c r="I563" s="30"/>
    </row>
    <row r="564" spans="5:9">
      <c r="E564" s="2"/>
      <c r="H564" s="29"/>
      <c r="I564" s="30"/>
    </row>
    <row r="565" spans="5:9">
      <c r="E565" s="2"/>
      <c r="H565" s="29"/>
      <c r="I565" s="30"/>
    </row>
    <row r="566" spans="5:9">
      <c r="E566" s="2"/>
      <c r="H566" s="29"/>
      <c r="I566" s="30"/>
    </row>
    <row r="567" spans="5:9">
      <c r="E567" s="2"/>
      <c r="H567" s="29"/>
      <c r="I567" s="30"/>
    </row>
    <row r="568" spans="5:9">
      <c r="E568" s="2"/>
      <c r="H568" s="29"/>
      <c r="I568" s="30"/>
    </row>
    <row r="569" spans="5:9">
      <c r="E569" s="2"/>
      <c r="H569" s="29"/>
      <c r="I569" s="30"/>
    </row>
    <row r="570" spans="5:9">
      <c r="E570" s="2"/>
      <c r="H570" s="29"/>
      <c r="I570" s="30"/>
    </row>
    <row r="571" spans="5:9">
      <c r="E571" s="2"/>
      <c r="H571" s="29"/>
      <c r="I571" s="30"/>
    </row>
    <row r="572" spans="5:9">
      <c r="E572" s="2"/>
      <c r="H572" s="29"/>
      <c r="I572" s="30"/>
    </row>
    <row r="573" spans="5:9">
      <c r="E573" s="2"/>
      <c r="H573" s="29"/>
      <c r="I573" s="30"/>
    </row>
    <row r="574" spans="5:9">
      <c r="E574" s="2"/>
      <c r="H574" s="29"/>
      <c r="I574" s="30"/>
    </row>
    <row r="575" spans="5:9">
      <c r="E575" s="2"/>
      <c r="H575" s="29"/>
      <c r="I575" s="30"/>
    </row>
    <row r="576" spans="5:9">
      <c r="E576" s="2"/>
      <c r="H576" s="29"/>
      <c r="I576" s="30"/>
    </row>
    <row r="577" spans="5:9">
      <c r="E577" s="2"/>
      <c r="H577" s="29"/>
      <c r="I577" s="30"/>
    </row>
    <row r="578" spans="5:9">
      <c r="E578" s="2"/>
      <c r="H578" s="29"/>
      <c r="I578" s="30"/>
    </row>
    <row r="579" spans="5:9">
      <c r="E579" s="2"/>
      <c r="H579" s="29"/>
      <c r="I579" s="30"/>
    </row>
    <row r="580" spans="5:9">
      <c r="E580" s="2"/>
      <c r="H580" s="29"/>
      <c r="I580" s="30"/>
    </row>
    <row r="581" spans="5:9">
      <c r="E581" s="2"/>
      <c r="H581" s="29"/>
      <c r="I581" s="30"/>
    </row>
    <row r="582" spans="5:9">
      <c r="E582" s="2"/>
      <c r="H582" s="29"/>
      <c r="I582" s="30"/>
    </row>
    <row r="583" spans="5:9">
      <c r="E583" s="2"/>
      <c r="H583" s="29"/>
      <c r="I583" s="30"/>
    </row>
    <row r="584" spans="5:9">
      <c r="E584" s="2"/>
      <c r="H584" s="29"/>
      <c r="I584" s="30"/>
    </row>
    <row r="585" spans="5:9">
      <c r="E585" s="2"/>
      <c r="H585" s="29"/>
      <c r="I585" s="30"/>
    </row>
    <row r="586" spans="5:9">
      <c r="E586" s="2"/>
      <c r="H586" s="29"/>
      <c r="I586" s="30"/>
    </row>
    <row r="587" spans="5:9">
      <c r="E587" s="2"/>
      <c r="H587" s="29"/>
      <c r="I587" s="30"/>
    </row>
    <row r="588" spans="5:9">
      <c r="E588" s="2"/>
      <c r="H588" s="29"/>
      <c r="I588" s="30"/>
    </row>
    <row r="589" spans="5:9">
      <c r="E589" s="2"/>
      <c r="H589" s="29"/>
      <c r="I589" s="30"/>
    </row>
    <row r="590" spans="5:9">
      <c r="E590" s="2"/>
      <c r="H590" s="29"/>
      <c r="I590" s="30"/>
    </row>
    <row r="591" spans="5:9">
      <c r="E591" s="2"/>
      <c r="H591" s="29"/>
      <c r="I591" s="30"/>
    </row>
    <row r="592" spans="5:9">
      <c r="E592" s="2"/>
      <c r="H592" s="29"/>
      <c r="I592" s="30"/>
    </row>
    <row r="593" spans="5:9">
      <c r="E593" s="2"/>
      <c r="H593" s="29"/>
      <c r="I593" s="30"/>
    </row>
    <row r="594" spans="5:9">
      <c r="E594" s="2"/>
      <c r="H594" s="29"/>
      <c r="I594" s="30"/>
    </row>
    <row r="595" spans="5:9">
      <c r="E595" s="2"/>
      <c r="H595" s="29"/>
      <c r="I595" s="30"/>
    </row>
    <row r="596" spans="5:9">
      <c r="E596" s="2"/>
      <c r="H596" s="29"/>
      <c r="I596" s="30"/>
    </row>
    <row r="597" spans="5:9">
      <c r="E597" s="2"/>
      <c r="H597" s="29"/>
      <c r="I597" s="30"/>
    </row>
    <row r="598" spans="5:9">
      <c r="E598" s="2"/>
      <c r="H598" s="29"/>
      <c r="I598" s="30"/>
    </row>
    <row r="599" spans="5:9">
      <c r="E599" s="2"/>
      <c r="H599" s="29"/>
      <c r="I599" s="30"/>
    </row>
    <row r="600" spans="5:9">
      <c r="E600" s="2"/>
      <c r="H600" s="29"/>
      <c r="I600" s="30"/>
    </row>
    <row r="601" spans="5:9">
      <c r="E601" s="2"/>
      <c r="H601" s="29"/>
      <c r="I601" s="30"/>
    </row>
    <row r="602" spans="5:9">
      <c r="E602" s="2"/>
      <c r="H602" s="29"/>
      <c r="I602" s="30"/>
    </row>
    <row r="603" spans="5:9">
      <c r="E603" s="2"/>
      <c r="H603" s="29"/>
      <c r="I603" s="30"/>
    </row>
    <row r="604" spans="5:9">
      <c r="E604" s="2"/>
      <c r="H604" s="29"/>
      <c r="I604" s="30"/>
    </row>
    <row r="605" spans="5:9">
      <c r="E605" s="2"/>
      <c r="H605" s="29"/>
      <c r="I605" s="30"/>
    </row>
    <row r="606" spans="5:9">
      <c r="E606" s="2"/>
      <c r="H606" s="29"/>
      <c r="I606" s="30"/>
    </row>
    <row r="607" spans="5:9">
      <c r="E607" s="2"/>
      <c r="H607" s="29"/>
      <c r="I607" s="30"/>
    </row>
    <row r="608" spans="5:9">
      <c r="E608" s="2"/>
      <c r="H608" s="29"/>
      <c r="I608" s="30"/>
    </row>
    <row r="609" spans="5:9">
      <c r="E609" s="2"/>
      <c r="H609" s="29"/>
      <c r="I609" s="30"/>
    </row>
    <row r="610" spans="5:9">
      <c r="E610" s="2"/>
      <c r="H610" s="29"/>
      <c r="I610" s="30"/>
    </row>
    <row r="611" spans="5:9">
      <c r="E611" s="2"/>
      <c r="H611" s="29"/>
      <c r="I611" s="30"/>
    </row>
    <row r="612" spans="5:9">
      <c r="E612" s="2"/>
      <c r="H612" s="29"/>
      <c r="I612" s="30"/>
    </row>
    <row r="613" spans="5:9">
      <c r="E613" s="2"/>
      <c r="H613" s="29"/>
      <c r="I613" s="30"/>
    </row>
    <row r="614" spans="5:9">
      <c r="E614" s="2"/>
      <c r="H614" s="29"/>
      <c r="I614" s="30"/>
    </row>
    <row r="615" spans="5:9">
      <c r="E615" s="2"/>
      <c r="H615" s="29"/>
      <c r="I615" s="30"/>
    </row>
    <row r="616" spans="5:9">
      <c r="E616" s="2"/>
      <c r="H616" s="29"/>
      <c r="I616" s="30"/>
    </row>
    <row r="617" spans="5:9">
      <c r="E617" s="2"/>
      <c r="H617" s="29"/>
      <c r="I617" s="30"/>
    </row>
    <row r="618" spans="5:9">
      <c r="E618" s="2"/>
      <c r="H618" s="29"/>
      <c r="I618" s="30"/>
    </row>
    <row r="619" spans="5:9">
      <c r="E619" s="2"/>
      <c r="H619" s="29"/>
      <c r="I619" s="30"/>
    </row>
    <row r="620" spans="5:9">
      <c r="E620" s="2"/>
      <c r="H620" s="29"/>
      <c r="I620" s="30"/>
    </row>
    <row r="621" spans="5:9">
      <c r="E621" s="2"/>
      <c r="H621" s="29"/>
      <c r="I621" s="30"/>
    </row>
    <row r="622" spans="5:9">
      <c r="E622" s="2"/>
      <c r="H622" s="29"/>
      <c r="I622" s="30"/>
    </row>
    <row r="623" spans="5:9">
      <c r="E623" s="2"/>
      <c r="H623" s="29"/>
      <c r="I623" s="30"/>
    </row>
    <row r="624" spans="5:9">
      <c r="E624" s="2"/>
      <c r="H624" s="29"/>
      <c r="I624" s="30"/>
    </row>
    <row r="625" spans="5:9">
      <c r="E625" s="2"/>
      <c r="H625" s="29"/>
      <c r="I625" s="30"/>
    </row>
    <row r="626" spans="5:9">
      <c r="E626" s="2"/>
      <c r="H626" s="29"/>
      <c r="I626" s="30"/>
    </row>
    <row r="627" spans="5:9">
      <c r="E627" s="2"/>
      <c r="H627" s="29"/>
      <c r="I627" s="30"/>
    </row>
    <row r="628" spans="5:9">
      <c r="E628" s="2"/>
      <c r="H628" s="29"/>
      <c r="I628" s="30"/>
    </row>
    <row r="629" spans="5:9">
      <c r="E629" s="2"/>
      <c r="H629" s="29"/>
      <c r="I629" s="30"/>
    </row>
    <row r="630" spans="5:9">
      <c r="E630" s="2"/>
      <c r="H630" s="29"/>
      <c r="I630" s="30"/>
    </row>
    <row r="631" spans="5:9">
      <c r="E631" s="2"/>
      <c r="H631" s="29"/>
      <c r="I631" s="30"/>
    </row>
    <row r="632" spans="5:9">
      <c r="E632" s="2"/>
      <c r="H632" s="29"/>
      <c r="I632" s="30"/>
    </row>
    <row r="633" spans="5:9">
      <c r="E633" s="2"/>
      <c r="H633" s="29"/>
      <c r="I633" s="30"/>
    </row>
    <row r="634" spans="5:9">
      <c r="E634" s="2"/>
      <c r="H634" s="29"/>
      <c r="I634" s="30"/>
    </row>
    <row r="635" spans="5:9">
      <c r="E635" s="2"/>
      <c r="H635" s="29"/>
      <c r="I635" s="30"/>
    </row>
    <row r="636" spans="5:9">
      <c r="E636" s="2"/>
      <c r="H636" s="29"/>
      <c r="I636" s="30"/>
    </row>
    <row r="637" spans="5:9">
      <c r="E637" s="2"/>
      <c r="H637" s="29"/>
      <c r="I637" s="30"/>
    </row>
    <row r="638" spans="5:9">
      <c r="E638" s="2"/>
      <c r="H638" s="29"/>
      <c r="I638" s="30"/>
    </row>
    <row r="639" spans="5:9">
      <c r="E639" s="2"/>
      <c r="H639" s="29"/>
      <c r="I639" s="30"/>
    </row>
    <row r="640" spans="5:9">
      <c r="E640" s="2"/>
      <c r="H640" s="29"/>
      <c r="I640" s="30"/>
    </row>
    <row r="641" spans="5:9">
      <c r="E641" s="2"/>
      <c r="H641" s="29"/>
      <c r="I641" s="30"/>
    </row>
    <row r="642" spans="5:9">
      <c r="E642" s="2"/>
      <c r="H642" s="29"/>
      <c r="I642" s="30"/>
    </row>
    <row r="643" spans="5:9">
      <c r="E643" s="2"/>
      <c r="H643" s="29"/>
      <c r="I643" s="30"/>
    </row>
    <row r="644" spans="5:9">
      <c r="E644" s="2"/>
      <c r="H644" s="29"/>
      <c r="I644" s="30"/>
    </row>
    <row r="645" spans="5:9">
      <c r="E645" s="2"/>
      <c r="H645" s="29"/>
      <c r="I645" s="30"/>
    </row>
    <row r="646" spans="5:9">
      <c r="E646" s="2"/>
      <c r="H646" s="29"/>
      <c r="I646" s="30"/>
    </row>
    <row r="647" spans="5:9">
      <c r="E647" s="2"/>
      <c r="H647" s="29"/>
      <c r="I647" s="30"/>
    </row>
    <row r="648" spans="5:9">
      <c r="E648" s="2"/>
      <c r="H648" s="29"/>
      <c r="I648" s="30"/>
    </row>
    <row r="649" spans="5:9">
      <c r="E649" s="2"/>
      <c r="H649" s="29"/>
      <c r="I649" s="30"/>
    </row>
    <row r="650" spans="5:9">
      <c r="E650" s="2"/>
      <c r="H650" s="29"/>
      <c r="I650" s="30"/>
    </row>
    <row r="651" spans="5:9">
      <c r="E651" s="2"/>
      <c r="H651" s="29"/>
      <c r="I651" s="30"/>
    </row>
    <row r="652" spans="5:9">
      <c r="E652" s="2"/>
      <c r="H652" s="29"/>
      <c r="I652" s="30"/>
    </row>
    <row r="653" spans="5:9">
      <c r="E653" s="2"/>
      <c r="H653" s="29"/>
      <c r="I653" s="30"/>
    </row>
    <row r="654" spans="5:9">
      <c r="E654" s="2"/>
      <c r="H654" s="29"/>
      <c r="I654" s="30"/>
    </row>
    <row r="655" spans="5:9">
      <c r="E655" s="2"/>
      <c r="H655" s="29"/>
      <c r="I655" s="30"/>
    </row>
    <row r="656" spans="5:9">
      <c r="E656" s="2"/>
      <c r="H656" s="29"/>
      <c r="I656" s="30"/>
    </row>
    <row r="657" spans="5:9">
      <c r="E657" s="2"/>
      <c r="H657" s="29"/>
      <c r="I657" s="30"/>
    </row>
    <row r="658" spans="5:9">
      <c r="E658" s="2"/>
      <c r="H658" s="29"/>
      <c r="I658" s="30"/>
    </row>
    <row r="659" spans="5:9">
      <c r="E659" s="2"/>
      <c r="H659" s="29"/>
      <c r="I659" s="30"/>
    </row>
    <row r="660" spans="5:9">
      <c r="E660" s="2"/>
      <c r="H660" s="29"/>
      <c r="I660" s="30"/>
    </row>
    <row r="661" spans="5:9">
      <c r="E661" s="2"/>
      <c r="H661" s="29"/>
      <c r="I661" s="30"/>
    </row>
    <row r="662" spans="5:9">
      <c r="E662" s="2"/>
      <c r="H662" s="29"/>
      <c r="I662" s="30"/>
    </row>
    <row r="663" spans="5:9">
      <c r="E663" s="2"/>
      <c r="H663" s="29"/>
      <c r="I663" s="30"/>
    </row>
    <row r="664" spans="5:9">
      <c r="E664" s="2"/>
      <c r="H664" s="29"/>
      <c r="I664" s="30"/>
    </row>
    <row r="665" spans="5:9">
      <c r="E665" s="2"/>
      <c r="H665" s="29"/>
      <c r="I665" s="30"/>
    </row>
    <row r="666" spans="5:9">
      <c r="E666" s="2"/>
      <c r="H666" s="29"/>
      <c r="I666" s="30"/>
    </row>
    <row r="667" spans="5:9">
      <c r="E667" s="2"/>
      <c r="H667" s="29"/>
      <c r="I667" s="30"/>
    </row>
    <row r="668" spans="5:9">
      <c r="E668" s="2"/>
      <c r="H668" s="29"/>
      <c r="I668" s="30"/>
    </row>
    <row r="669" spans="5:9">
      <c r="E669" s="2"/>
      <c r="H669" s="29"/>
      <c r="I669" s="30"/>
    </row>
    <row r="670" spans="5:9">
      <c r="E670" s="2"/>
      <c r="H670" s="29"/>
      <c r="I670" s="30"/>
    </row>
    <row r="671" spans="5:9">
      <c r="E671" s="2"/>
      <c r="H671" s="29"/>
      <c r="I671" s="30"/>
    </row>
    <row r="672" spans="5:9">
      <c r="E672" s="2"/>
      <c r="H672" s="29"/>
      <c r="I672" s="30"/>
    </row>
    <row r="673" spans="5:9">
      <c r="E673" s="2"/>
      <c r="H673" s="29"/>
      <c r="I673" s="30"/>
    </row>
    <row r="674" spans="5:9">
      <c r="E674" s="2"/>
      <c r="H674" s="29"/>
      <c r="I674" s="30"/>
    </row>
    <row r="675" spans="5:9">
      <c r="E675" s="2"/>
      <c r="H675" s="29"/>
      <c r="I675" s="30"/>
    </row>
    <row r="676" spans="5:9">
      <c r="E676" s="2"/>
      <c r="H676" s="29"/>
      <c r="I676" s="30"/>
    </row>
    <row r="677" spans="5:9">
      <c r="E677" s="2"/>
      <c r="H677" s="29"/>
      <c r="I677" s="30"/>
    </row>
    <row r="678" spans="5:9">
      <c r="E678" s="2"/>
      <c r="H678" s="29"/>
      <c r="I678" s="30"/>
    </row>
    <row r="679" spans="5:9">
      <c r="E679" s="2"/>
      <c r="H679" s="29"/>
      <c r="I679" s="30"/>
    </row>
    <row r="680" spans="5:9">
      <c r="E680" s="2"/>
      <c r="H680" s="29"/>
      <c r="I680" s="30"/>
    </row>
    <row r="681" spans="5:9">
      <c r="E681" s="2"/>
      <c r="H681" s="29"/>
      <c r="I681" s="30"/>
    </row>
    <row r="682" spans="5:9">
      <c r="E682" s="2"/>
      <c r="H682" s="29"/>
      <c r="I682" s="30"/>
    </row>
    <row r="683" spans="5:9">
      <c r="E683" s="2"/>
      <c r="H683" s="29"/>
      <c r="I683" s="30"/>
    </row>
    <row r="684" spans="5:9">
      <c r="E684" s="2"/>
      <c r="H684" s="29"/>
      <c r="I684" s="30"/>
    </row>
    <row r="685" spans="5:9">
      <c r="E685" s="2"/>
      <c r="H685" s="29"/>
      <c r="I685" s="30"/>
    </row>
    <row r="686" spans="5:9">
      <c r="E686" s="2"/>
      <c r="H686" s="29"/>
      <c r="I686" s="30"/>
    </row>
    <row r="687" spans="5:9">
      <c r="E687" s="2"/>
      <c r="H687" s="29"/>
      <c r="I687" s="30"/>
    </row>
    <row r="688" spans="5:9">
      <c r="E688" s="2"/>
      <c r="H688" s="29"/>
      <c r="I688" s="30"/>
    </row>
    <row r="689" spans="5:9">
      <c r="E689" s="2"/>
      <c r="H689" s="29"/>
      <c r="I689" s="30"/>
    </row>
    <row r="690" spans="5:9">
      <c r="E690" s="2"/>
      <c r="H690" s="29"/>
      <c r="I690" s="30"/>
    </row>
    <row r="691" spans="5:9">
      <c r="E691" s="2"/>
      <c r="H691" s="29"/>
      <c r="I691" s="30"/>
    </row>
    <row r="692" spans="5:9">
      <c r="E692" s="2"/>
      <c r="H692" s="29"/>
      <c r="I692" s="30"/>
    </row>
    <row r="693" spans="5:9">
      <c r="E693" s="2"/>
      <c r="H693" s="29"/>
      <c r="I693" s="30"/>
    </row>
    <row r="694" spans="5:9">
      <c r="E694" s="2"/>
      <c r="H694" s="29"/>
      <c r="I694" s="30"/>
    </row>
    <row r="695" spans="5:9">
      <c r="E695" s="2"/>
      <c r="H695" s="29"/>
      <c r="I695" s="30"/>
    </row>
    <row r="696" spans="5:9">
      <c r="E696" s="2"/>
      <c r="H696" s="29"/>
      <c r="I696" s="30"/>
    </row>
    <row r="697" spans="5:9">
      <c r="E697" s="2"/>
      <c r="H697" s="29"/>
      <c r="I697" s="30"/>
    </row>
    <row r="698" spans="5:9">
      <c r="E698" s="2"/>
      <c r="H698" s="29"/>
      <c r="I698" s="30"/>
    </row>
    <row r="699" spans="5:9">
      <c r="E699" s="2"/>
      <c r="H699" s="29"/>
      <c r="I699" s="30"/>
    </row>
    <row r="700" spans="5:9">
      <c r="E700" s="2"/>
      <c r="H700" s="29"/>
      <c r="I700" s="30"/>
    </row>
    <row r="701" spans="5:9">
      <c r="E701" s="2"/>
      <c r="H701" s="29"/>
      <c r="I701" s="30"/>
    </row>
    <row r="702" spans="5:9">
      <c r="E702" s="2"/>
      <c r="H702" s="29"/>
      <c r="I702" s="30"/>
    </row>
    <row r="703" spans="5:9">
      <c r="E703" s="2"/>
      <c r="H703" s="29"/>
      <c r="I703" s="30"/>
    </row>
    <row r="704" spans="5:9">
      <c r="E704" s="2"/>
      <c r="H704" s="29"/>
      <c r="I704" s="30"/>
    </row>
    <row r="705" spans="5:9">
      <c r="E705" s="2"/>
      <c r="H705" s="29"/>
      <c r="I705" s="30"/>
    </row>
    <row r="706" spans="5:9">
      <c r="E706" s="2"/>
      <c r="H706" s="29"/>
      <c r="I706" s="30"/>
    </row>
    <row r="707" spans="5:9">
      <c r="E707" s="2"/>
      <c r="H707" s="29"/>
      <c r="I707" s="30"/>
    </row>
    <row r="708" spans="5:9">
      <c r="E708" s="2"/>
      <c r="H708" s="29"/>
      <c r="I708" s="30"/>
    </row>
    <row r="709" spans="5:9">
      <c r="E709" s="2"/>
      <c r="H709" s="29"/>
      <c r="I709" s="30"/>
    </row>
    <row r="710" spans="5:9">
      <c r="E710" s="2"/>
      <c r="H710" s="29"/>
      <c r="I710" s="30"/>
    </row>
    <row r="711" spans="5:9">
      <c r="E711" s="2"/>
      <c r="H711" s="29"/>
      <c r="I711" s="30"/>
    </row>
    <row r="712" spans="5:9">
      <c r="E712" s="2"/>
      <c r="H712" s="29"/>
      <c r="I712" s="30"/>
    </row>
    <row r="713" spans="5:9">
      <c r="E713" s="2"/>
      <c r="H713" s="29"/>
      <c r="I713" s="30"/>
    </row>
    <row r="714" spans="5:9">
      <c r="E714" s="2"/>
      <c r="H714" s="29"/>
      <c r="I714" s="30"/>
    </row>
    <row r="715" spans="5:9">
      <c r="E715" s="2"/>
      <c r="H715" s="29"/>
      <c r="I715" s="30"/>
    </row>
    <row r="716" spans="5:9">
      <c r="E716" s="2"/>
      <c r="H716" s="29"/>
      <c r="I716" s="30"/>
    </row>
    <row r="717" spans="5:9">
      <c r="E717" s="2"/>
      <c r="H717" s="29"/>
      <c r="I717" s="30"/>
    </row>
    <row r="718" spans="5:9">
      <c r="E718" s="2"/>
      <c r="H718" s="29"/>
      <c r="I718" s="30"/>
    </row>
    <row r="719" spans="5:9">
      <c r="E719" s="2"/>
      <c r="H719" s="29"/>
      <c r="I719" s="30"/>
    </row>
    <row r="720" spans="5:9">
      <c r="E720" s="2"/>
      <c r="H720" s="29"/>
      <c r="I720" s="30"/>
    </row>
    <row r="721" spans="5:9">
      <c r="E721" s="2"/>
      <c r="H721" s="29"/>
      <c r="I721" s="30"/>
    </row>
    <row r="722" spans="5:9">
      <c r="E722" s="2"/>
      <c r="H722" s="29"/>
      <c r="I722" s="30"/>
    </row>
    <row r="723" spans="5:9">
      <c r="E723" s="2"/>
      <c r="H723" s="29"/>
      <c r="I723" s="30"/>
    </row>
    <row r="724" spans="5:9">
      <c r="E724" s="2"/>
      <c r="H724" s="29"/>
      <c r="I724" s="30"/>
    </row>
    <row r="725" spans="5:9">
      <c r="E725" s="2"/>
      <c r="H725" s="29"/>
      <c r="I725" s="30"/>
    </row>
    <row r="726" spans="5:9">
      <c r="E726" s="2"/>
      <c r="H726" s="29"/>
      <c r="I726" s="30"/>
    </row>
    <row r="727" spans="5:9">
      <c r="E727" s="2"/>
      <c r="H727" s="29"/>
      <c r="I727" s="30"/>
    </row>
    <row r="728" spans="5:9">
      <c r="E728" s="2"/>
      <c r="H728" s="29"/>
      <c r="I728" s="30"/>
    </row>
    <row r="729" spans="5:9">
      <c r="E729" s="2"/>
      <c r="H729" s="29"/>
      <c r="I729" s="30"/>
    </row>
    <row r="730" spans="5:9">
      <c r="E730" s="2"/>
      <c r="H730" s="29"/>
      <c r="I730" s="30"/>
    </row>
    <row r="731" spans="5:9">
      <c r="E731" s="2"/>
      <c r="H731" s="29"/>
      <c r="I731" s="30"/>
    </row>
    <row r="732" spans="5:9">
      <c r="E732" s="2"/>
      <c r="H732" s="29"/>
      <c r="I732" s="30"/>
    </row>
    <row r="733" spans="5:9">
      <c r="E733" s="2"/>
      <c r="H733" s="29"/>
      <c r="I733" s="30"/>
    </row>
    <row r="734" spans="5:9">
      <c r="E734" s="2"/>
      <c r="H734" s="29"/>
      <c r="I734" s="30"/>
    </row>
    <row r="735" spans="5:9">
      <c r="E735" s="2"/>
      <c r="H735" s="29"/>
      <c r="I735" s="30"/>
    </row>
    <row r="736" spans="5:9">
      <c r="E736" s="2"/>
      <c r="H736" s="29"/>
      <c r="I736" s="30"/>
    </row>
    <row r="737" spans="5:9">
      <c r="E737" s="2"/>
      <c r="H737" s="29"/>
      <c r="I737" s="30"/>
    </row>
    <row r="738" spans="5:9">
      <c r="E738" s="2"/>
      <c r="H738" s="29"/>
      <c r="I738" s="30"/>
    </row>
    <row r="739" spans="5:9">
      <c r="E739" s="2"/>
      <c r="H739" s="29"/>
      <c r="I739" s="30"/>
    </row>
    <row r="740" spans="5:9">
      <c r="E740" s="2"/>
      <c r="H740" s="29"/>
      <c r="I740" s="30"/>
    </row>
    <row r="741" spans="5:9">
      <c r="E741" s="2"/>
      <c r="H741" s="29"/>
      <c r="I741" s="30"/>
    </row>
    <row r="742" spans="5:9">
      <c r="E742" s="2"/>
      <c r="H742" s="29"/>
      <c r="I742" s="30"/>
    </row>
    <row r="743" spans="5:9">
      <c r="E743" s="2"/>
      <c r="H743" s="29"/>
      <c r="I743" s="30"/>
    </row>
    <row r="744" spans="5:9">
      <c r="E744" s="2"/>
      <c r="H744" s="29"/>
      <c r="I744" s="30"/>
    </row>
    <row r="745" spans="5:9">
      <c r="E745" s="2"/>
      <c r="H745" s="29"/>
      <c r="I745" s="30"/>
    </row>
    <row r="746" spans="5:9">
      <c r="E746" s="2"/>
      <c r="H746" s="29"/>
      <c r="I746" s="30"/>
    </row>
    <row r="747" spans="5:9">
      <c r="E747" s="2"/>
      <c r="H747" s="29"/>
      <c r="I747" s="30"/>
    </row>
    <row r="748" spans="5:9">
      <c r="E748" s="2"/>
      <c r="H748" s="29"/>
      <c r="I748" s="30"/>
    </row>
    <row r="749" spans="5:9">
      <c r="E749" s="2"/>
      <c r="H749" s="29"/>
      <c r="I749" s="30"/>
    </row>
    <row r="750" spans="5:9">
      <c r="E750" s="2"/>
      <c r="H750" s="29"/>
      <c r="I750" s="30"/>
    </row>
    <row r="751" spans="5:9">
      <c r="E751" s="2"/>
      <c r="H751" s="29"/>
      <c r="I751" s="30"/>
    </row>
    <row r="752" spans="5:9">
      <c r="E752" s="2"/>
      <c r="H752" s="29"/>
      <c r="I752" s="30"/>
    </row>
    <row r="753" spans="5:9">
      <c r="E753" s="2"/>
      <c r="H753" s="29"/>
      <c r="I753" s="30"/>
    </row>
    <row r="754" spans="5:9">
      <c r="E754" s="2"/>
      <c r="H754" s="29"/>
      <c r="I754" s="30"/>
    </row>
    <row r="755" spans="5:9">
      <c r="E755" s="2"/>
      <c r="H755" s="29"/>
      <c r="I755" s="30"/>
    </row>
    <row r="756" spans="5:9">
      <c r="E756" s="2"/>
      <c r="H756" s="29"/>
      <c r="I756" s="30"/>
    </row>
    <row r="757" spans="5:9">
      <c r="E757" s="2"/>
      <c r="H757" s="29"/>
      <c r="I757" s="30"/>
    </row>
    <row r="758" spans="5:9">
      <c r="E758" s="2"/>
      <c r="H758" s="29"/>
      <c r="I758" s="30"/>
    </row>
    <row r="759" spans="5:9">
      <c r="E759" s="2"/>
      <c r="H759" s="29"/>
      <c r="I759" s="30"/>
    </row>
    <row r="760" spans="5:9">
      <c r="E760" s="2"/>
      <c r="H760" s="29"/>
      <c r="I760" s="30"/>
    </row>
    <row r="761" spans="5:9">
      <c r="E761" s="2"/>
      <c r="H761" s="29"/>
      <c r="I761" s="30"/>
    </row>
    <row r="762" spans="5:9">
      <c r="E762" s="2"/>
      <c r="H762" s="29"/>
      <c r="I762" s="30"/>
    </row>
    <row r="763" spans="5:9">
      <c r="E763" s="2"/>
      <c r="H763" s="29"/>
      <c r="I763" s="30"/>
    </row>
    <row r="764" spans="5:9">
      <c r="E764" s="2"/>
      <c r="H764" s="29"/>
      <c r="I764" s="30"/>
    </row>
    <row r="765" spans="5:9">
      <c r="E765" s="2"/>
      <c r="H765" s="29"/>
      <c r="I765" s="30"/>
    </row>
    <row r="766" spans="5:9">
      <c r="E766" s="2"/>
      <c r="H766" s="29"/>
      <c r="I766" s="30"/>
    </row>
    <row r="767" spans="5:9">
      <c r="E767" s="2"/>
      <c r="H767" s="29"/>
      <c r="I767" s="30"/>
    </row>
    <row r="768" spans="5:9">
      <c r="E768" s="2"/>
      <c r="H768" s="29"/>
      <c r="I768" s="30"/>
    </row>
    <row r="769" spans="5:9">
      <c r="E769" s="2"/>
      <c r="H769" s="29"/>
      <c r="I769" s="30"/>
    </row>
    <row r="770" spans="5:9">
      <c r="E770" s="2"/>
      <c r="H770" s="29"/>
      <c r="I770" s="30"/>
    </row>
    <row r="771" spans="5:9">
      <c r="E771" s="2"/>
      <c r="H771" s="29"/>
      <c r="I771" s="30"/>
    </row>
    <row r="772" spans="5:9">
      <c r="E772" s="2"/>
      <c r="H772" s="29"/>
      <c r="I772" s="30"/>
    </row>
    <row r="773" spans="5:9">
      <c r="E773" s="2"/>
      <c r="H773" s="29"/>
      <c r="I773" s="30"/>
    </row>
    <row r="774" spans="5:9">
      <c r="E774" s="2"/>
      <c r="H774" s="29"/>
      <c r="I774" s="30"/>
    </row>
    <row r="775" spans="5:9">
      <c r="E775" s="2"/>
      <c r="H775" s="29"/>
      <c r="I775" s="30"/>
    </row>
    <row r="776" spans="5:9">
      <c r="E776" s="2"/>
      <c r="H776" s="29"/>
      <c r="I776" s="30"/>
    </row>
    <row r="777" spans="5:9">
      <c r="E777" s="2"/>
      <c r="H777" s="29"/>
      <c r="I777" s="30"/>
    </row>
    <row r="778" spans="5:9">
      <c r="E778" s="2"/>
      <c r="H778" s="29"/>
      <c r="I778" s="30"/>
    </row>
    <row r="779" spans="5:9">
      <c r="E779" s="2"/>
      <c r="H779" s="29"/>
      <c r="I779" s="30"/>
    </row>
    <row r="780" spans="5:9">
      <c r="E780" s="2"/>
      <c r="H780" s="29"/>
      <c r="I780" s="30"/>
    </row>
    <row r="781" spans="5:9">
      <c r="E781" s="2"/>
      <c r="H781" s="29"/>
      <c r="I781" s="30"/>
    </row>
    <row r="782" spans="5:9">
      <c r="E782" s="2"/>
      <c r="H782" s="29"/>
      <c r="I782" s="30"/>
    </row>
    <row r="783" spans="5:9">
      <c r="E783" s="2"/>
      <c r="H783" s="29"/>
      <c r="I783" s="30"/>
    </row>
    <row r="784" spans="5:9">
      <c r="E784" s="2"/>
      <c r="H784" s="29"/>
      <c r="I784" s="30"/>
    </row>
    <row r="785" spans="5:9">
      <c r="E785" s="2"/>
      <c r="H785" s="29"/>
      <c r="I785" s="30"/>
    </row>
    <row r="786" spans="5:9">
      <c r="E786" s="2"/>
      <c r="H786" s="29"/>
      <c r="I786" s="30"/>
    </row>
    <row r="787" spans="5:9">
      <c r="E787" s="2"/>
      <c r="H787" s="29"/>
      <c r="I787" s="30"/>
    </row>
    <row r="788" spans="5:9">
      <c r="E788" s="2"/>
      <c r="H788" s="29"/>
      <c r="I788" s="30"/>
    </row>
    <row r="789" spans="5:9">
      <c r="E789" s="2"/>
      <c r="H789" s="29"/>
      <c r="I789" s="30"/>
    </row>
    <row r="790" spans="5:9">
      <c r="E790" s="2"/>
      <c r="H790" s="29"/>
      <c r="I790" s="30"/>
    </row>
    <row r="791" spans="5:9">
      <c r="E791" s="2"/>
      <c r="H791" s="29"/>
      <c r="I791" s="30"/>
    </row>
    <row r="792" spans="5:9">
      <c r="E792" s="2"/>
      <c r="H792" s="29"/>
      <c r="I792" s="30"/>
    </row>
    <row r="793" spans="5:9">
      <c r="E793" s="2"/>
      <c r="H793" s="29"/>
      <c r="I793" s="30"/>
    </row>
    <row r="794" spans="5:9">
      <c r="E794" s="2"/>
      <c r="H794" s="29"/>
      <c r="I794" s="30"/>
    </row>
    <row r="795" spans="5:9">
      <c r="E795" s="2"/>
      <c r="H795" s="29"/>
      <c r="I795" s="30"/>
    </row>
    <row r="796" spans="5:9">
      <c r="E796" s="2"/>
      <c r="H796" s="29"/>
      <c r="I796" s="30"/>
    </row>
    <row r="797" spans="5:9">
      <c r="E797" s="2"/>
      <c r="H797" s="29"/>
      <c r="I797" s="30"/>
    </row>
    <row r="798" spans="5:9">
      <c r="E798" s="2"/>
      <c r="H798" s="29"/>
      <c r="I798" s="30"/>
    </row>
    <row r="799" spans="5:9">
      <c r="E799" s="2"/>
      <c r="H799" s="29"/>
      <c r="I799" s="30"/>
    </row>
    <row r="800" spans="5:9">
      <c r="E800" s="2"/>
      <c r="H800" s="29"/>
      <c r="I800" s="30"/>
    </row>
    <row r="801" spans="5:9">
      <c r="E801" s="2"/>
      <c r="H801" s="29"/>
      <c r="I801" s="30"/>
    </row>
    <row r="802" spans="5:9">
      <c r="E802" s="2"/>
      <c r="H802" s="29"/>
      <c r="I802" s="30"/>
    </row>
    <row r="803" spans="5:9">
      <c r="E803" s="2"/>
      <c r="H803" s="29"/>
      <c r="I803" s="30"/>
    </row>
    <row r="804" spans="5:9">
      <c r="E804" s="2"/>
      <c r="H804" s="29"/>
      <c r="I804" s="30"/>
    </row>
    <row r="805" spans="5:9">
      <c r="E805" s="2"/>
      <c r="H805" s="29"/>
      <c r="I805" s="30"/>
    </row>
    <row r="806" spans="5:9">
      <c r="E806" s="2"/>
      <c r="H806" s="29"/>
      <c r="I806" s="30"/>
    </row>
    <row r="807" spans="5:9">
      <c r="E807" s="2"/>
      <c r="H807" s="29"/>
      <c r="I807" s="30"/>
    </row>
    <row r="808" spans="5:9">
      <c r="E808" s="2"/>
      <c r="H808" s="29"/>
      <c r="I808" s="30"/>
    </row>
    <row r="809" spans="5:9">
      <c r="E809" s="2"/>
      <c r="H809" s="29"/>
      <c r="I809" s="30"/>
    </row>
    <row r="810" spans="5:9">
      <c r="E810" s="2"/>
      <c r="H810" s="29"/>
      <c r="I810" s="30"/>
    </row>
    <row r="811" spans="5:9">
      <c r="E811" s="2"/>
      <c r="H811" s="29"/>
      <c r="I811" s="30"/>
    </row>
    <row r="812" spans="5:9">
      <c r="E812" s="2"/>
      <c r="H812" s="29"/>
      <c r="I812" s="30"/>
    </row>
    <row r="813" spans="5:9">
      <c r="E813" s="2"/>
      <c r="H813" s="29"/>
      <c r="I813" s="30"/>
    </row>
    <row r="814" spans="5:9">
      <c r="E814" s="2"/>
      <c r="H814" s="29"/>
      <c r="I814" s="30"/>
    </row>
    <row r="815" spans="5:9">
      <c r="E815" s="2"/>
      <c r="H815" s="29"/>
      <c r="I815" s="30"/>
    </row>
    <row r="816" spans="5:9">
      <c r="E816" s="2"/>
      <c r="H816" s="29"/>
      <c r="I816" s="30"/>
    </row>
    <row r="817" spans="5:9">
      <c r="E817" s="2"/>
      <c r="H817" s="29"/>
      <c r="I817" s="30"/>
    </row>
    <row r="818" spans="5:9">
      <c r="E818" s="2"/>
      <c r="H818" s="29"/>
      <c r="I818" s="30"/>
    </row>
    <row r="819" spans="5:9">
      <c r="E819" s="2"/>
      <c r="H819" s="29"/>
      <c r="I819" s="30"/>
    </row>
    <row r="820" spans="5:9">
      <c r="E820" s="2"/>
      <c r="H820" s="29"/>
      <c r="I820" s="30"/>
    </row>
    <row r="821" spans="5:9">
      <c r="E821" s="2"/>
      <c r="H821" s="29"/>
      <c r="I821" s="30"/>
    </row>
    <row r="822" spans="5:9">
      <c r="E822" s="2"/>
      <c r="H822" s="29"/>
      <c r="I822" s="30"/>
    </row>
    <row r="823" spans="5:9">
      <c r="E823" s="2"/>
      <c r="H823" s="29"/>
      <c r="I823" s="30"/>
    </row>
    <row r="824" spans="5:9">
      <c r="E824" s="2"/>
      <c r="H824" s="29"/>
      <c r="I824" s="30"/>
    </row>
    <row r="825" spans="5:9">
      <c r="E825" s="2"/>
      <c r="H825" s="29"/>
      <c r="I825" s="30"/>
    </row>
    <row r="826" spans="5:9">
      <c r="E826" s="2"/>
      <c r="H826" s="29"/>
      <c r="I826" s="30"/>
    </row>
    <row r="827" spans="5:9">
      <c r="E827" s="2"/>
      <c r="H827" s="29"/>
      <c r="I827" s="30"/>
    </row>
    <row r="828" spans="5:9">
      <c r="E828" s="2"/>
      <c r="H828" s="29"/>
      <c r="I828" s="30"/>
    </row>
    <row r="829" spans="5:9">
      <c r="E829" s="2"/>
      <c r="H829" s="29"/>
      <c r="I829" s="30"/>
    </row>
    <row r="830" spans="5:9">
      <c r="E830" s="2"/>
      <c r="H830" s="29"/>
      <c r="I830" s="30"/>
    </row>
    <row r="831" spans="5:9">
      <c r="E831" s="2"/>
      <c r="H831" s="29"/>
      <c r="I831" s="30"/>
    </row>
    <row r="832" spans="5:9">
      <c r="E832" s="2"/>
      <c r="H832" s="29"/>
      <c r="I832" s="30"/>
    </row>
    <row r="833" spans="5:9">
      <c r="E833" s="2"/>
      <c r="H833" s="29"/>
      <c r="I833" s="30"/>
    </row>
    <row r="834" spans="5:9">
      <c r="E834" s="2"/>
      <c r="H834" s="29"/>
      <c r="I834" s="30"/>
    </row>
    <row r="835" spans="5:9">
      <c r="E835" s="2"/>
      <c r="H835" s="29"/>
      <c r="I835" s="30"/>
    </row>
    <row r="836" spans="5:9">
      <c r="E836" s="2"/>
      <c r="H836" s="29"/>
      <c r="I836" s="30"/>
    </row>
    <row r="837" spans="5:9">
      <c r="E837" s="2"/>
      <c r="H837" s="29"/>
      <c r="I837" s="30"/>
    </row>
    <row r="838" spans="5:9">
      <c r="E838" s="2"/>
      <c r="H838" s="29"/>
      <c r="I838" s="30"/>
    </row>
    <row r="839" spans="5:9">
      <c r="E839" s="2"/>
      <c r="H839" s="29"/>
      <c r="I839" s="30"/>
    </row>
    <row r="840" spans="5:9">
      <c r="E840" s="2"/>
      <c r="H840" s="29"/>
      <c r="I840" s="30"/>
    </row>
    <row r="841" spans="5:9">
      <c r="E841" s="2"/>
      <c r="H841" s="29"/>
      <c r="I841" s="30"/>
    </row>
    <row r="842" spans="5:9">
      <c r="E842" s="2"/>
      <c r="H842" s="29"/>
      <c r="I842" s="30"/>
    </row>
    <row r="843" spans="5:9">
      <c r="E843" s="2"/>
      <c r="H843" s="29"/>
      <c r="I843" s="30"/>
    </row>
    <row r="844" spans="5:9">
      <c r="E844" s="2"/>
      <c r="H844" s="29"/>
      <c r="I844" s="30"/>
    </row>
    <row r="845" spans="5:9">
      <c r="E845" s="2"/>
      <c r="H845" s="29"/>
      <c r="I845" s="30"/>
    </row>
    <row r="846" spans="5:9">
      <c r="E846" s="2"/>
      <c r="H846" s="29"/>
      <c r="I846" s="30"/>
    </row>
    <row r="847" spans="5:9">
      <c r="E847" s="2"/>
      <c r="H847" s="29"/>
      <c r="I847" s="30"/>
    </row>
    <row r="848" spans="5:9">
      <c r="E848" s="2"/>
      <c r="H848" s="29"/>
      <c r="I848" s="30"/>
    </row>
    <row r="849" spans="5:9">
      <c r="E849" s="2"/>
      <c r="H849" s="29"/>
      <c r="I849" s="30"/>
    </row>
    <row r="850" spans="5:9">
      <c r="E850" s="2"/>
      <c r="H850" s="29"/>
      <c r="I850" s="30"/>
    </row>
    <row r="851" spans="5:9">
      <c r="E851" s="2"/>
      <c r="H851" s="29"/>
      <c r="I851" s="30"/>
    </row>
    <row r="852" spans="5:9">
      <c r="E852" s="2"/>
      <c r="H852" s="29"/>
      <c r="I852" s="30"/>
    </row>
    <row r="853" spans="5:9">
      <c r="E853" s="2"/>
      <c r="H853" s="29"/>
      <c r="I853" s="30"/>
    </row>
    <row r="854" spans="5:9">
      <c r="E854" s="2"/>
      <c r="H854" s="29"/>
      <c r="I854" s="30"/>
    </row>
    <row r="855" spans="5:9">
      <c r="E855" s="2"/>
      <c r="H855" s="29"/>
      <c r="I855" s="30"/>
    </row>
    <row r="856" spans="5:9">
      <c r="E856" s="2"/>
      <c r="H856" s="29"/>
      <c r="I856" s="30"/>
    </row>
    <row r="857" spans="5:9">
      <c r="E857" s="2"/>
      <c r="H857" s="29"/>
      <c r="I857" s="30"/>
    </row>
    <row r="858" spans="5:9">
      <c r="E858" s="2"/>
      <c r="H858" s="29"/>
      <c r="I858" s="30"/>
    </row>
    <row r="859" spans="5:9">
      <c r="E859" s="2"/>
      <c r="H859" s="29"/>
      <c r="I859" s="30"/>
    </row>
    <row r="860" spans="5:9">
      <c r="E860" s="2"/>
      <c r="H860" s="29"/>
      <c r="I860" s="30"/>
    </row>
    <row r="861" spans="5:9">
      <c r="E861" s="2"/>
      <c r="H861" s="29"/>
      <c r="I861" s="30"/>
    </row>
    <row r="862" spans="5:9">
      <c r="E862" s="2"/>
      <c r="H862" s="29"/>
      <c r="I862" s="30"/>
    </row>
    <row r="863" spans="5:9">
      <c r="E863" s="2"/>
      <c r="H863" s="29"/>
      <c r="I863" s="30"/>
    </row>
    <row r="864" spans="5:9">
      <c r="E864" s="2"/>
      <c r="H864" s="29"/>
      <c r="I864" s="30"/>
    </row>
    <row r="865" spans="5:9">
      <c r="E865" s="2"/>
      <c r="H865" s="29"/>
      <c r="I865" s="30"/>
    </row>
    <row r="866" spans="5:9">
      <c r="E866" s="2"/>
      <c r="H866" s="29"/>
      <c r="I866" s="30"/>
    </row>
    <row r="867" spans="5:9">
      <c r="E867" s="2"/>
      <c r="H867" s="29"/>
      <c r="I867" s="30"/>
    </row>
    <row r="868" spans="5:9">
      <c r="E868" s="2"/>
      <c r="H868" s="29"/>
      <c r="I868" s="30"/>
    </row>
    <row r="869" spans="5:9">
      <c r="E869" s="2"/>
      <c r="H869" s="29"/>
      <c r="I869" s="30"/>
    </row>
    <row r="870" spans="5:9">
      <c r="E870" s="2"/>
      <c r="H870" s="29"/>
      <c r="I870" s="30"/>
    </row>
    <row r="871" spans="5:9">
      <c r="E871" s="2"/>
      <c r="H871" s="29"/>
      <c r="I871" s="30"/>
    </row>
    <row r="872" spans="5:9">
      <c r="E872" s="2"/>
      <c r="H872" s="29"/>
      <c r="I872" s="30"/>
    </row>
    <row r="873" spans="5:9">
      <c r="E873" s="2"/>
      <c r="H873" s="29"/>
      <c r="I873" s="30"/>
    </row>
    <row r="874" spans="5:9">
      <c r="E874" s="2"/>
      <c r="H874" s="29"/>
      <c r="I874" s="30"/>
    </row>
    <row r="875" spans="5:9">
      <c r="E875" s="2"/>
      <c r="H875" s="29"/>
      <c r="I875" s="30"/>
    </row>
    <row r="876" spans="5:9">
      <c r="E876" s="2"/>
      <c r="H876" s="29"/>
      <c r="I876" s="30"/>
    </row>
    <row r="877" spans="5:9">
      <c r="E877" s="2"/>
      <c r="H877" s="29"/>
      <c r="I877" s="30"/>
    </row>
    <row r="878" spans="5:9">
      <c r="E878" s="2"/>
      <c r="H878" s="29"/>
      <c r="I878" s="30"/>
    </row>
    <row r="879" spans="5:9">
      <c r="E879" s="2"/>
      <c r="H879" s="29"/>
      <c r="I879" s="30"/>
    </row>
    <row r="880" spans="5:9">
      <c r="E880" s="2"/>
      <c r="H880" s="29"/>
      <c r="I880" s="30"/>
    </row>
    <row r="881" spans="5:9">
      <c r="E881" s="2"/>
      <c r="H881" s="29"/>
      <c r="I881" s="30"/>
    </row>
    <row r="882" spans="5:9">
      <c r="E882" s="2"/>
      <c r="H882" s="29"/>
      <c r="I882" s="30"/>
    </row>
    <row r="883" spans="5:9">
      <c r="E883" s="2"/>
      <c r="H883" s="29"/>
      <c r="I883" s="30"/>
    </row>
    <row r="884" spans="5:9">
      <c r="E884" s="2"/>
      <c r="H884" s="29"/>
      <c r="I884" s="30"/>
    </row>
    <row r="885" spans="5:9">
      <c r="E885" s="2"/>
      <c r="H885" s="29"/>
      <c r="I885" s="30"/>
    </row>
    <row r="886" spans="5:9">
      <c r="E886" s="2"/>
      <c r="H886" s="29"/>
      <c r="I886" s="30"/>
    </row>
    <row r="887" spans="5:9">
      <c r="E887" s="2"/>
      <c r="H887" s="29"/>
      <c r="I887" s="30"/>
    </row>
    <row r="888" spans="5:9">
      <c r="E888" s="2"/>
      <c r="H888" s="29"/>
      <c r="I888" s="30"/>
    </row>
    <row r="889" spans="5:9">
      <c r="E889" s="2"/>
      <c r="H889" s="29"/>
      <c r="I889" s="30"/>
    </row>
    <row r="890" spans="5:9">
      <c r="E890" s="2"/>
      <c r="H890" s="29"/>
      <c r="I890" s="30"/>
    </row>
    <row r="891" spans="5:9">
      <c r="E891" s="2"/>
      <c r="H891" s="29"/>
      <c r="I891" s="30"/>
    </row>
    <row r="892" spans="5:9">
      <c r="E892" s="2"/>
      <c r="H892" s="29"/>
      <c r="I892" s="30"/>
    </row>
    <row r="893" spans="5:9">
      <c r="E893" s="2"/>
      <c r="H893" s="29"/>
      <c r="I893" s="30"/>
    </row>
    <row r="894" spans="5:9">
      <c r="E894" s="2"/>
      <c r="H894" s="29"/>
      <c r="I894" s="30"/>
    </row>
    <row r="895" spans="5:9">
      <c r="E895" s="2"/>
      <c r="H895" s="29"/>
      <c r="I895" s="30"/>
    </row>
    <row r="896" spans="5:9">
      <c r="E896" s="2"/>
      <c r="H896" s="29"/>
      <c r="I896" s="30"/>
    </row>
    <row r="897" spans="5:9">
      <c r="E897" s="2"/>
      <c r="H897" s="29"/>
      <c r="I897" s="30"/>
    </row>
    <row r="898" spans="5:9">
      <c r="E898" s="2"/>
      <c r="H898" s="29"/>
      <c r="I898" s="30"/>
    </row>
    <row r="899" spans="5:9">
      <c r="E899" s="2"/>
      <c r="H899" s="29"/>
      <c r="I899" s="30"/>
    </row>
    <row r="900" spans="5:9">
      <c r="E900" s="2"/>
      <c r="H900" s="29"/>
      <c r="I900" s="30"/>
    </row>
    <row r="901" spans="5:9">
      <c r="E901" s="2"/>
      <c r="H901" s="29"/>
      <c r="I901" s="30"/>
    </row>
    <row r="902" spans="5:9">
      <c r="E902" s="2"/>
      <c r="H902" s="29"/>
      <c r="I902" s="30"/>
    </row>
    <row r="903" spans="5:9">
      <c r="E903" s="2"/>
      <c r="H903" s="29"/>
      <c r="I903" s="30"/>
    </row>
    <row r="904" spans="5:9">
      <c r="E904" s="2"/>
      <c r="H904" s="29"/>
      <c r="I904" s="30"/>
    </row>
    <row r="905" spans="5:9">
      <c r="E905" s="2"/>
      <c r="H905" s="29"/>
      <c r="I905" s="30"/>
    </row>
    <row r="906" spans="5:9">
      <c r="E906" s="2"/>
      <c r="H906" s="29"/>
      <c r="I906" s="30"/>
    </row>
    <row r="907" spans="5:9">
      <c r="E907" s="2"/>
      <c r="H907" s="29"/>
      <c r="I907" s="30"/>
    </row>
    <row r="908" spans="5:9">
      <c r="E908" s="2"/>
      <c r="H908" s="29"/>
      <c r="I908" s="30"/>
    </row>
    <row r="909" spans="5:9">
      <c r="E909" s="2"/>
      <c r="H909" s="29"/>
      <c r="I909" s="30"/>
    </row>
    <row r="910" spans="5:9">
      <c r="E910" s="2"/>
      <c r="H910" s="29"/>
      <c r="I910" s="30"/>
    </row>
    <row r="911" spans="5:9">
      <c r="E911" s="2"/>
      <c r="H911" s="29"/>
      <c r="I911" s="30"/>
    </row>
    <row r="912" spans="5:9">
      <c r="E912" s="2"/>
      <c r="H912" s="29"/>
      <c r="I912" s="30"/>
    </row>
    <row r="913" spans="5:9">
      <c r="E913" s="2"/>
      <c r="H913" s="29"/>
      <c r="I913" s="30"/>
    </row>
    <row r="914" spans="5:9">
      <c r="E914" s="2"/>
      <c r="H914" s="29"/>
      <c r="I914" s="30"/>
    </row>
    <row r="915" spans="5:9">
      <c r="E915" s="2"/>
      <c r="H915" s="29"/>
      <c r="I915" s="30"/>
    </row>
    <row r="916" spans="5:9">
      <c r="E916" s="2"/>
      <c r="H916" s="29"/>
      <c r="I916" s="30"/>
    </row>
    <row r="917" spans="5:9">
      <c r="E917" s="2"/>
      <c r="H917" s="29"/>
      <c r="I917" s="30"/>
    </row>
    <row r="918" spans="5:9">
      <c r="E918" s="2"/>
      <c r="H918" s="29"/>
      <c r="I918" s="30"/>
    </row>
    <row r="919" spans="5:9">
      <c r="E919" s="2"/>
      <c r="H919" s="29"/>
      <c r="I919" s="30"/>
    </row>
    <row r="920" spans="5:9">
      <c r="E920" s="2"/>
      <c r="H920" s="29"/>
      <c r="I920" s="30"/>
    </row>
    <row r="921" spans="5:9">
      <c r="E921" s="2"/>
      <c r="H921" s="29"/>
      <c r="I921" s="30"/>
    </row>
    <row r="922" spans="5:9">
      <c r="E922" s="2"/>
      <c r="H922" s="29"/>
      <c r="I922" s="30"/>
    </row>
    <row r="923" spans="5:9">
      <c r="E923" s="2"/>
      <c r="H923" s="29"/>
      <c r="I923" s="30"/>
    </row>
    <row r="924" spans="5:9">
      <c r="E924" s="2"/>
      <c r="H924" s="29"/>
      <c r="I924" s="30"/>
    </row>
    <row r="925" spans="5:9">
      <c r="E925" s="2"/>
      <c r="H925" s="29"/>
      <c r="I925" s="30"/>
    </row>
    <row r="926" spans="5:9">
      <c r="E926" s="2"/>
      <c r="H926" s="29"/>
      <c r="I926" s="30"/>
    </row>
    <row r="927" spans="5:9">
      <c r="E927" s="2"/>
      <c r="H927" s="29"/>
      <c r="I927" s="30"/>
    </row>
    <row r="928" spans="5:9">
      <c r="E928" s="2"/>
      <c r="H928" s="29"/>
      <c r="I928" s="30"/>
    </row>
    <row r="929" spans="5:9">
      <c r="E929" s="2"/>
      <c r="H929" s="29"/>
      <c r="I929" s="30"/>
    </row>
    <row r="930" spans="5:9">
      <c r="E930" s="2"/>
      <c r="H930" s="29"/>
      <c r="I930" s="30"/>
    </row>
    <row r="931" spans="5:9">
      <c r="E931" s="2"/>
      <c r="H931" s="29"/>
      <c r="I931" s="30"/>
    </row>
    <row r="932" spans="5:9">
      <c r="E932" s="2"/>
      <c r="H932" s="29"/>
      <c r="I932" s="30"/>
    </row>
    <row r="933" spans="5:9">
      <c r="E933" s="2"/>
      <c r="H933" s="29"/>
      <c r="I933" s="30"/>
    </row>
    <row r="934" spans="5:9">
      <c r="E934" s="2"/>
      <c r="H934" s="29"/>
      <c r="I934" s="30"/>
    </row>
    <row r="935" spans="5:9">
      <c r="E935" s="2"/>
      <c r="H935" s="29"/>
      <c r="I935" s="30"/>
    </row>
    <row r="936" spans="5:9">
      <c r="E936" s="2"/>
      <c r="H936" s="29"/>
      <c r="I936" s="30"/>
    </row>
    <row r="937" spans="5:9">
      <c r="E937" s="2"/>
      <c r="H937" s="29"/>
      <c r="I937" s="30"/>
    </row>
    <row r="938" spans="5:9">
      <c r="E938" s="2"/>
      <c r="H938" s="29"/>
      <c r="I938" s="30"/>
    </row>
    <row r="939" spans="5:9">
      <c r="E939" s="2"/>
      <c r="H939" s="29"/>
      <c r="I939" s="30"/>
    </row>
    <row r="940" spans="5:9">
      <c r="E940" s="2"/>
      <c r="H940" s="29"/>
      <c r="I940" s="30"/>
    </row>
    <row r="941" spans="5:9">
      <c r="E941" s="2"/>
      <c r="H941" s="29"/>
      <c r="I941" s="30"/>
    </row>
    <row r="942" spans="5:9">
      <c r="E942" s="2"/>
      <c r="H942" s="29"/>
      <c r="I942" s="30"/>
    </row>
    <row r="943" spans="5:9">
      <c r="E943" s="2"/>
      <c r="H943" s="29"/>
      <c r="I943" s="30"/>
    </row>
    <row r="944" spans="5:9">
      <c r="E944" s="2"/>
      <c r="H944" s="29"/>
      <c r="I944" s="30"/>
    </row>
    <row r="945" spans="5:9">
      <c r="E945" s="2"/>
      <c r="H945" s="29"/>
      <c r="I945" s="30"/>
    </row>
    <row r="946" spans="5:9">
      <c r="E946" s="2"/>
      <c r="H946" s="29"/>
      <c r="I946" s="30"/>
    </row>
    <row r="947" spans="5:9">
      <c r="E947" s="2"/>
      <c r="H947" s="29"/>
      <c r="I947" s="30"/>
    </row>
    <row r="948" spans="5:9">
      <c r="E948" s="2"/>
      <c r="H948" s="29"/>
      <c r="I948" s="30"/>
    </row>
    <row r="949" spans="5:9">
      <c r="E949" s="2"/>
      <c r="H949" s="29"/>
      <c r="I949" s="30"/>
    </row>
    <row r="950" spans="5:9">
      <c r="E950" s="2"/>
      <c r="H950" s="29"/>
      <c r="I950" s="30"/>
    </row>
    <row r="951" spans="5:9">
      <c r="E951" s="2"/>
      <c r="H951" s="29"/>
      <c r="I951" s="30"/>
    </row>
    <row r="952" spans="5:9">
      <c r="E952" s="2"/>
      <c r="H952" s="29"/>
      <c r="I952" s="30"/>
    </row>
    <row r="953" spans="5:9">
      <c r="E953" s="2"/>
      <c r="H953" s="29"/>
      <c r="I953" s="30"/>
    </row>
    <row r="954" spans="5:9">
      <c r="E954" s="2"/>
      <c r="H954" s="29"/>
      <c r="I954" s="30"/>
    </row>
    <row r="955" spans="5:9">
      <c r="E955" s="2"/>
      <c r="H955" s="29"/>
      <c r="I955" s="30"/>
    </row>
    <row r="956" spans="5:9">
      <c r="E956" s="2"/>
      <c r="H956" s="29"/>
      <c r="I956" s="30"/>
    </row>
    <row r="957" spans="5:9">
      <c r="E957" s="2"/>
      <c r="H957" s="29"/>
      <c r="I957" s="30"/>
    </row>
    <row r="958" spans="5:9">
      <c r="E958" s="2"/>
      <c r="H958" s="29"/>
      <c r="I958" s="30"/>
    </row>
    <row r="959" spans="5:9">
      <c r="E959" s="2"/>
      <c r="H959" s="29"/>
      <c r="I959" s="30"/>
    </row>
    <row r="960" spans="5:9">
      <c r="E960" s="2"/>
      <c r="H960" s="29"/>
      <c r="I960" s="30"/>
    </row>
    <row r="961" spans="5:9">
      <c r="E961" s="2"/>
      <c r="H961" s="29"/>
      <c r="I961" s="30"/>
    </row>
    <row r="962" spans="5:9">
      <c r="E962" s="2"/>
      <c r="H962" s="29"/>
      <c r="I962" s="30"/>
    </row>
    <row r="963" spans="5:9">
      <c r="E963" s="2"/>
      <c r="H963" s="29"/>
      <c r="I963" s="30"/>
    </row>
    <row r="964" spans="5:9">
      <c r="E964" s="2"/>
      <c r="H964" s="29"/>
      <c r="I964" s="30"/>
    </row>
    <row r="965" spans="5:9">
      <c r="E965" s="2"/>
      <c r="H965" s="29"/>
      <c r="I965" s="30"/>
    </row>
    <row r="966" spans="5:9">
      <c r="E966" s="2"/>
      <c r="H966" s="29"/>
      <c r="I966" s="30"/>
    </row>
    <row r="967" spans="5:9">
      <c r="E967" s="2"/>
      <c r="H967" s="29"/>
      <c r="I967" s="30"/>
    </row>
    <row r="968" spans="5:9">
      <c r="E968" s="2"/>
      <c r="H968" s="29"/>
      <c r="I968" s="30"/>
    </row>
    <row r="969" spans="5:9">
      <c r="E969" s="2"/>
      <c r="H969" s="29"/>
      <c r="I969" s="30"/>
    </row>
    <row r="970" spans="5:9">
      <c r="E970" s="2"/>
      <c r="H970" s="29"/>
      <c r="I970" s="30"/>
    </row>
    <row r="971" spans="5:9">
      <c r="E971" s="2"/>
      <c r="H971" s="29"/>
      <c r="I971" s="30"/>
    </row>
    <row r="972" spans="5:9">
      <c r="E972" s="2"/>
      <c r="H972" s="29"/>
      <c r="I972" s="30"/>
    </row>
    <row r="973" spans="5:9">
      <c r="E973" s="2"/>
      <c r="H973" s="29"/>
      <c r="I973" s="30"/>
    </row>
    <row r="974" spans="5:9">
      <c r="E974" s="2"/>
      <c r="H974" s="29"/>
      <c r="I974" s="30"/>
    </row>
    <row r="975" spans="5:9">
      <c r="E975" s="2"/>
      <c r="H975" s="29"/>
      <c r="I975" s="30"/>
    </row>
    <row r="976" spans="5:9">
      <c r="E976" s="2"/>
      <c r="H976" s="29"/>
      <c r="I976" s="30"/>
    </row>
    <row r="977" spans="5:9">
      <c r="E977" s="2"/>
      <c r="H977" s="29"/>
      <c r="I977" s="30"/>
    </row>
    <row r="978" spans="5:9">
      <c r="E978" s="2"/>
      <c r="H978" s="29"/>
      <c r="I978" s="30"/>
    </row>
    <row r="979" spans="5:9">
      <c r="E979" s="2"/>
      <c r="H979" s="29"/>
      <c r="I979" s="30"/>
    </row>
    <row r="980" spans="5:9">
      <c r="E980" s="2"/>
      <c r="H980" s="29"/>
      <c r="I980" s="30"/>
    </row>
    <row r="981" spans="5:9">
      <c r="E981" s="2"/>
      <c r="H981" s="29"/>
      <c r="I981" s="30"/>
    </row>
    <row r="982" spans="5:9">
      <c r="E982" s="2"/>
      <c r="H982" s="29"/>
      <c r="I982" s="30"/>
    </row>
    <row r="983" spans="5:9">
      <c r="E983" s="2"/>
      <c r="H983" s="29"/>
      <c r="I983" s="30"/>
    </row>
    <row r="984" spans="5:9">
      <c r="E984" s="2"/>
      <c r="H984" s="29"/>
      <c r="I984" s="30"/>
    </row>
    <row r="985" spans="5:9">
      <c r="E985" s="2"/>
      <c r="H985" s="29"/>
      <c r="I985" s="30"/>
    </row>
    <row r="986" spans="5:9">
      <c r="E986" s="2"/>
      <c r="H986" s="29"/>
      <c r="I986" s="30"/>
    </row>
  </sheetData>
  <dataValidations count="1">
    <dataValidation type="list" allowBlank="1" showErrorMessage="1" sqref="W3:W9" xr:uid="{00000000-0002-0000-0100-000000000000}">
      <formula1>"Open,Inprogress,Closed"</formula1>
    </dataValidation>
  </dataValidations>
  <hyperlinks>
    <hyperlink ref="M3" r:id="rId1" xr:uid="{00000000-0004-0000-0100-000000000000}"/>
    <hyperlink ref="M4" r:id="rId2" xr:uid="{00000000-0004-0000-0100-000001000000}"/>
    <hyperlink ref="M5" r:id="rId3" xr:uid="{00000000-0004-0000-0100-000002000000}"/>
    <hyperlink ref="M7" r:id="rId4" xr:uid="{00000000-0004-0000-0100-000003000000}"/>
    <hyperlink ref="M8" r:id="rId5" xr:uid="{00000000-0004-0000-0100-000004000000}"/>
    <hyperlink ref="M9" r:id="rId6" xr:uid="{00000000-0004-0000-0100-000005000000}"/>
  </hyperlinks>
  <pageMargins left="0" right="0" top="0" bottom="0" header="0" footer="0"/>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7"/>
  <sheetViews>
    <sheetView topLeftCell="B1" workbookViewId="0">
      <selection activeCell="I20" sqref="E20:I20"/>
    </sheetView>
  </sheetViews>
  <sheetFormatPr defaultColWidth="12.5703125" defaultRowHeight="15" customHeight="1"/>
  <cols>
    <col min="1" max="1" width="11.140625" customWidth="1"/>
    <col min="2" max="2" width="21.28515625" customWidth="1"/>
    <col min="3" max="6" width="12.5703125" customWidth="1"/>
    <col min="11" max="11" width="27.7109375" customWidth="1"/>
  </cols>
  <sheetData>
    <row r="1" spans="1:26" ht="15.75" customHeight="1">
      <c r="A1" s="1" t="s">
        <v>248</v>
      </c>
      <c r="B1" s="31" t="s">
        <v>11</v>
      </c>
      <c r="C1" s="32" t="s">
        <v>306</v>
      </c>
      <c r="D1" s="31" t="s">
        <v>250</v>
      </c>
      <c r="E1" s="32" t="s">
        <v>308</v>
      </c>
      <c r="F1" s="32" t="s">
        <v>309</v>
      </c>
      <c r="G1" s="31" t="s">
        <v>310</v>
      </c>
      <c r="H1" s="31" t="s">
        <v>312</v>
      </c>
      <c r="I1" s="31" t="s">
        <v>253</v>
      </c>
      <c r="J1" s="33" t="s">
        <v>313</v>
      </c>
      <c r="K1" s="34" t="s">
        <v>274</v>
      </c>
      <c r="L1" s="35"/>
      <c r="M1" s="35"/>
      <c r="N1" s="35"/>
      <c r="O1" s="35"/>
      <c r="P1" s="35"/>
      <c r="Q1" s="35"/>
      <c r="R1" s="35"/>
      <c r="S1" s="35"/>
      <c r="T1" s="35"/>
      <c r="U1" s="35"/>
      <c r="V1" s="35"/>
      <c r="W1" s="35"/>
      <c r="X1" s="35"/>
      <c r="Y1" s="35"/>
      <c r="Z1" s="35"/>
    </row>
    <row r="2" spans="1:26" ht="15.75" customHeight="1">
      <c r="A2" s="109">
        <v>1</v>
      </c>
      <c r="B2" s="25" t="s">
        <v>1919</v>
      </c>
      <c r="C2" s="27" t="s">
        <v>1920</v>
      </c>
      <c r="D2" s="26" t="s">
        <v>1577</v>
      </c>
      <c r="E2" s="26" t="s">
        <v>553</v>
      </c>
      <c r="F2" s="27" t="s">
        <v>1921</v>
      </c>
      <c r="G2" s="26" t="s">
        <v>560</v>
      </c>
      <c r="H2" s="26" t="s">
        <v>556</v>
      </c>
      <c r="I2" s="26" t="s">
        <v>557</v>
      </c>
      <c r="J2" s="26" t="s">
        <v>737</v>
      </c>
      <c r="K2" s="26" t="s">
        <v>1620</v>
      </c>
      <c r="L2" s="35"/>
      <c r="M2" s="35"/>
      <c r="N2" s="35"/>
      <c r="O2" s="35"/>
      <c r="P2" s="35"/>
      <c r="Q2" s="35"/>
      <c r="R2" s="35"/>
      <c r="S2" s="35"/>
      <c r="T2" s="35"/>
      <c r="U2" s="35"/>
      <c r="V2" s="35"/>
    </row>
    <row r="3" spans="1:26" ht="15.75" customHeight="1"/>
    <row r="4" spans="1:26" ht="15.75" customHeight="1"/>
    <row r="5" spans="1:26" ht="15.75" customHeight="1"/>
    <row r="6" spans="1:26" ht="15.75" customHeight="1"/>
    <row r="7" spans="1:26" ht="15.75" customHeight="1"/>
    <row r="8" spans="1:26" ht="15.75" customHeight="1"/>
    <row r="9" spans="1:26" ht="15.75" customHeight="1"/>
    <row r="10" spans="1:26" ht="15.75" customHeight="1"/>
    <row r="11" spans="1:26" ht="15.75" customHeight="1"/>
    <row r="12" spans="1:26" ht="15.75" customHeight="1"/>
    <row r="13" spans="1:26" ht="15.75" customHeight="1"/>
    <row r="14" spans="1:26" ht="15.75" customHeight="1"/>
    <row r="15" spans="1:26" ht="15.75" customHeight="1"/>
    <row r="16" spans="1:2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dataValidations count="4">
    <dataValidation type="list" allowBlank="1" showErrorMessage="1" sqref="G2" xr:uid="{00000000-0002-0000-0200-000000000000}">
      <formula1>"Minor,Significant,Major"</formula1>
    </dataValidation>
    <dataValidation type="list" allowBlank="1" showErrorMessage="1" sqref="I2" xr:uid="{00000000-0002-0000-0200-000001000000}">
      <formula1>"Open,Inprogress,Closed"</formula1>
    </dataValidation>
    <dataValidation type="list" allowBlank="1" showErrorMessage="1" sqref="E2" xr:uid="{00000000-0002-0000-0200-000003000000}">
      <formula1>"Bounceback,Defect,None"</formula1>
    </dataValidation>
    <dataValidation type="list" allowBlank="1" showErrorMessage="1" sqref="H2" xr:uid="{00000000-0002-0000-0200-000004000000}">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0000000-0002-0000-0200-000002000000}">
          <x14:formula1>
            <xm:f>Details!$A$2:$A$10</xm:f>
          </x14:formula1>
          <xm:sqref>J2</xm:sqref>
        </x14:dataValidation>
      </x14:dataValidations>
    </ext>
  </extLst>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14726-A9B5-4AA9-92FC-E1E08376B0D6}">
  <dimension ref="C3:C10"/>
  <sheetViews>
    <sheetView topLeftCell="A2" workbookViewId="0">
      <selection activeCell="C3" sqref="C3:C10"/>
    </sheetView>
  </sheetViews>
  <sheetFormatPr defaultRowHeight="12.75"/>
  <cols>
    <col min="3" max="3" width="13.7109375" customWidth="1"/>
  </cols>
  <sheetData>
    <row r="3" spans="3:3">
      <c r="C3" t="s">
        <v>1922</v>
      </c>
    </row>
    <row r="4" spans="3:3">
      <c r="C4" t="s">
        <v>1923</v>
      </c>
    </row>
    <row r="5" spans="3:3">
      <c r="C5" t="s">
        <v>278</v>
      </c>
    </row>
    <row r="6" spans="3:3">
      <c r="C6" t="s">
        <v>283</v>
      </c>
    </row>
    <row r="7" spans="3:3">
      <c r="C7" t="s">
        <v>636</v>
      </c>
    </row>
    <row r="8" spans="3:3">
      <c r="C8" t="s">
        <v>1053</v>
      </c>
    </row>
    <row r="9" spans="3:3">
      <c r="C9" t="s">
        <v>1192</v>
      </c>
    </row>
    <row r="10" spans="3:3">
      <c r="C10" t="s">
        <v>13</v>
      </c>
    </row>
  </sheetData>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2D39A-C4E3-4CF7-9DAC-2CA885FB340C}">
  <dimension ref="A1:AB157"/>
  <sheetViews>
    <sheetView workbookViewId="0"/>
  </sheetViews>
  <sheetFormatPr defaultRowHeight="12.75"/>
  <sheetData>
    <row r="1" spans="1:28">
      <c r="A1">
        <v>1</v>
      </c>
      <c r="B1" t="s">
        <v>1021</v>
      </c>
      <c r="C1">
        <v>46037</v>
      </c>
      <c r="D1">
        <v>46051</v>
      </c>
      <c r="E1" t="s">
        <v>1314</v>
      </c>
      <c r="F1" t="s">
        <v>1031</v>
      </c>
      <c r="G1" t="s">
        <v>1294</v>
      </c>
      <c r="H1" t="s">
        <v>1295</v>
      </c>
      <c r="I1" t="s">
        <v>1315</v>
      </c>
      <c r="J1">
        <v>3</v>
      </c>
      <c r="AB1" t="s">
        <v>1316</v>
      </c>
    </row>
    <row r="2" spans="1:28">
      <c r="A2">
        <v>2</v>
      </c>
      <c r="B2" t="s">
        <v>1021</v>
      </c>
      <c r="C2">
        <v>46037</v>
      </c>
      <c r="D2">
        <v>46051</v>
      </c>
      <c r="E2" t="s">
        <v>84</v>
      </c>
      <c r="F2" t="s">
        <v>1035</v>
      </c>
      <c r="G2" t="s">
        <v>1317</v>
      </c>
      <c r="H2" t="s">
        <v>1318</v>
      </c>
      <c r="I2" t="s">
        <v>13</v>
      </c>
      <c r="J2">
        <v>2</v>
      </c>
      <c r="K2">
        <v>2</v>
      </c>
      <c r="M2" t="s">
        <v>318</v>
      </c>
      <c r="N2" t="s">
        <v>1022</v>
      </c>
      <c r="O2" t="s">
        <v>320</v>
      </c>
      <c r="P2" t="s">
        <v>448</v>
      </c>
      <c r="Q2" t="s">
        <v>1319</v>
      </c>
      <c r="R2" t="s">
        <v>1320</v>
      </c>
      <c r="S2">
        <v>45635</v>
      </c>
      <c r="T2">
        <v>45635</v>
      </c>
      <c r="U2" t="s">
        <v>448</v>
      </c>
      <c r="V2" t="s">
        <v>579</v>
      </c>
      <c r="W2" t="s">
        <v>1321</v>
      </c>
      <c r="X2">
        <v>45636</v>
      </c>
      <c r="Y2" t="s">
        <v>320</v>
      </c>
      <c r="Z2" t="s">
        <v>320</v>
      </c>
      <c r="AA2" t="s">
        <v>320</v>
      </c>
    </row>
    <row r="3" spans="1:28">
      <c r="A3">
        <v>3</v>
      </c>
      <c r="B3" t="s">
        <v>1021</v>
      </c>
      <c r="C3">
        <v>46037</v>
      </c>
      <c r="D3">
        <v>46051</v>
      </c>
      <c r="E3" t="s">
        <v>84</v>
      </c>
      <c r="F3" t="s">
        <v>1322</v>
      </c>
      <c r="G3" t="s">
        <v>1323</v>
      </c>
      <c r="H3" t="s">
        <v>1324</v>
      </c>
      <c r="I3" t="s">
        <v>13</v>
      </c>
      <c r="J3">
        <v>3</v>
      </c>
      <c r="K3">
        <v>3</v>
      </c>
      <c r="M3" t="s">
        <v>318</v>
      </c>
      <c r="N3" t="s">
        <v>1325</v>
      </c>
      <c r="O3" t="s">
        <v>320</v>
      </c>
      <c r="P3" t="s">
        <v>1326</v>
      </c>
      <c r="Q3" t="s">
        <v>320</v>
      </c>
      <c r="R3" t="s">
        <v>1327</v>
      </c>
      <c r="S3">
        <v>45635</v>
      </c>
      <c r="T3">
        <v>45635</v>
      </c>
      <c r="U3" t="s">
        <v>1326</v>
      </c>
      <c r="V3" t="s">
        <v>320</v>
      </c>
      <c r="W3" t="s">
        <v>1173</v>
      </c>
      <c r="X3">
        <v>45636</v>
      </c>
      <c r="Y3" t="s">
        <v>320</v>
      </c>
      <c r="Z3" t="s">
        <v>320</v>
      </c>
      <c r="AA3" t="s">
        <v>320</v>
      </c>
    </row>
    <row r="4" spans="1:28">
      <c r="A4">
        <v>4</v>
      </c>
      <c r="B4" t="s">
        <v>1021</v>
      </c>
      <c r="C4">
        <v>46037</v>
      </c>
      <c r="D4">
        <v>46051</v>
      </c>
      <c r="E4" t="s">
        <v>84</v>
      </c>
      <c r="F4" t="s">
        <v>1325</v>
      </c>
      <c r="G4" t="s">
        <v>1328</v>
      </c>
      <c r="H4" t="s">
        <v>1329</v>
      </c>
      <c r="I4" t="s">
        <v>13</v>
      </c>
      <c r="J4">
        <v>2</v>
      </c>
      <c r="K4">
        <v>2</v>
      </c>
      <c r="M4" t="s">
        <v>318</v>
      </c>
      <c r="N4" t="s">
        <v>1322</v>
      </c>
      <c r="O4" t="s">
        <v>320</v>
      </c>
      <c r="P4" t="s">
        <v>1326</v>
      </c>
      <c r="Q4" t="s">
        <v>320</v>
      </c>
      <c r="R4" t="s">
        <v>1330</v>
      </c>
      <c r="S4">
        <v>45635</v>
      </c>
      <c r="T4">
        <v>45636</v>
      </c>
      <c r="U4" t="s">
        <v>1326</v>
      </c>
      <c r="V4" t="s">
        <v>579</v>
      </c>
      <c r="W4" t="s">
        <v>1173</v>
      </c>
      <c r="X4">
        <v>45636</v>
      </c>
      <c r="Y4" t="s">
        <v>320</v>
      </c>
      <c r="Z4" t="s">
        <v>320</v>
      </c>
      <c r="AA4" t="s">
        <v>320</v>
      </c>
    </row>
    <row r="5" spans="1:28">
      <c r="A5">
        <v>5</v>
      </c>
      <c r="B5" t="s">
        <v>1021</v>
      </c>
      <c r="C5">
        <v>46037</v>
      </c>
      <c r="D5">
        <v>46051</v>
      </c>
      <c r="E5" t="s">
        <v>84</v>
      </c>
      <c r="F5" t="s">
        <v>1022</v>
      </c>
      <c r="G5" t="s">
        <v>1051</v>
      </c>
      <c r="H5" t="s">
        <v>1331</v>
      </c>
      <c r="I5" t="s">
        <v>13</v>
      </c>
      <c r="J5">
        <v>1</v>
      </c>
      <c r="K5">
        <v>1</v>
      </c>
      <c r="M5" t="s">
        <v>318</v>
      </c>
      <c r="N5" t="s">
        <v>1035</v>
      </c>
      <c r="O5" t="s">
        <v>320</v>
      </c>
      <c r="P5" t="s">
        <v>448</v>
      </c>
      <c r="Q5" t="s">
        <v>1332</v>
      </c>
      <c r="R5" t="s">
        <v>1333</v>
      </c>
      <c r="S5">
        <v>45643</v>
      </c>
      <c r="T5">
        <v>45645</v>
      </c>
      <c r="U5" t="s">
        <v>448</v>
      </c>
      <c r="V5" t="s">
        <v>579</v>
      </c>
      <c r="W5" t="s">
        <v>323</v>
      </c>
      <c r="X5">
        <v>45645</v>
      </c>
      <c r="Y5" t="s">
        <v>320</v>
      </c>
      <c r="Z5" t="s">
        <v>320</v>
      </c>
      <c r="AA5" t="s">
        <v>320</v>
      </c>
    </row>
    <row r="6" spans="1:28">
      <c r="A6">
        <v>6</v>
      </c>
      <c r="B6" t="s">
        <v>1021</v>
      </c>
      <c r="C6">
        <v>46037</v>
      </c>
      <c r="D6">
        <v>46051</v>
      </c>
      <c r="E6" t="s">
        <v>1334</v>
      </c>
      <c r="F6" t="s">
        <v>1322</v>
      </c>
      <c r="G6" t="s">
        <v>1335</v>
      </c>
      <c r="H6" t="s">
        <v>1336</v>
      </c>
      <c r="I6" t="s">
        <v>1337</v>
      </c>
      <c r="J6">
        <v>3</v>
      </c>
      <c r="K6">
        <v>3</v>
      </c>
      <c r="M6" t="s">
        <v>318</v>
      </c>
      <c r="N6" t="s">
        <v>1325</v>
      </c>
      <c r="O6" t="s">
        <v>320</v>
      </c>
      <c r="P6" t="s">
        <v>1326</v>
      </c>
      <c r="Q6" t="s">
        <v>320</v>
      </c>
      <c r="R6" t="s">
        <v>1338</v>
      </c>
      <c r="S6">
        <v>45643</v>
      </c>
      <c r="T6">
        <v>45645</v>
      </c>
      <c r="U6" t="s">
        <v>1326</v>
      </c>
      <c r="V6" t="s">
        <v>579</v>
      </c>
      <c r="W6" t="s">
        <v>323</v>
      </c>
      <c r="X6">
        <v>45645</v>
      </c>
      <c r="Y6" t="s">
        <v>320</v>
      </c>
      <c r="Z6" t="s">
        <v>320</v>
      </c>
      <c r="AA6" t="s">
        <v>320</v>
      </c>
      <c r="AB6" t="s">
        <v>1339</v>
      </c>
    </row>
    <row r="7" spans="1:28">
      <c r="A7">
        <v>7</v>
      </c>
      <c r="B7" t="s">
        <v>1021</v>
      </c>
      <c r="C7">
        <v>46037</v>
      </c>
      <c r="D7">
        <v>46051</v>
      </c>
      <c r="E7" t="s">
        <v>1334</v>
      </c>
      <c r="F7" t="s">
        <v>1297</v>
      </c>
      <c r="G7" t="s">
        <v>1298</v>
      </c>
      <c r="H7" t="s">
        <v>1299</v>
      </c>
      <c r="I7" t="s">
        <v>1315</v>
      </c>
      <c r="J7">
        <v>5</v>
      </c>
      <c r="AB7" t="s">
        <v>1340</v>
      </c>
    </row>
    <row r="8" spans="1:28">
      <c r="A8">
        <v>8</v>
      </c>
      <c r="B8" t="s">
        <v>1021</v>
      </c>
      <c r="C8">
        <v>46037</v>
      </c>
      <c r="D8">
        <v>46051</v>
      </c>
      <c r="E8" t="s">
        <v>1334</v>
      </c>
      <c r="F8" t="s">
        <v>1322</v>
      </c>
      <c r="G8" t="s">
        <v>1341</v>
      </c>
      <c r="H8" t="s">
        <v>1342</v>
      </c>
      <c r="I8" t="s">
        <v>283</v>
      </c>
      <c r="J8">
        <v>2</v>
      </c>
      <c r="K8">
        <v>2</v>
      </c>
      <c r="M8" t="s">
        <v>318</v>
      </c>
      <c r="N8" t="s">
        <v>1325</v>
      </c>
      <c r="O8" t="s">
        <v>320</v>
      </c>
      <c r="P8" t="s">
        <v>448</v>
      </c>
      <c r="R8" t="s">
        <v>1343</v>
      </c>
      <c r="S8">
        <v>45656</v>
      </c>
      <c r="T8">
        <v>45657</v>
      </c>
      <c r="U8" t="s">
        <v>448</v>
      </c>
      <c r="V8" t="s">
        <v>1344</v>
      </c>
      <c r="W8" t="s">
        <v>323</v>
      </c>
      <c r="X8">
        <v>45659</v>
      </c>
      <c r="Y8" t="s">
        <v>320</v>
      </c>
      <c r="Z8" t="s">
        <v>320</v>
      </c>
      <c r="AA8" t="s">
        <v>320</v>
      </c>
      <c r="AB8" t="s">
        <v>1345</v>
      </c>
    </row>
    <row r="9" spans="1:28">
      <c r="A9">
        <v>9</v>
      </c>
      <c r="B9" t="s">
        <v>1021</v>
      </c>
      <c r="C9">
        <v>46037</v>
      </c>
      <c r="D9">
        <v>46051</v>
      </c>
      <c r="E9" t="s">
        <v>1334</v>
      </c>
      <c r="F9" t="s">
        <v>1325</v>
      </c>
      <c r="G9" t="s">
        <v>1346</v>
      </c>
      <c r="H9" t="s">
        <v>1347</v>
      </c>
      <c r="I9" t="s">
        <v>283</v>
      </c>
      <c r="J9">
        <v>3</v>
      </c>
      <c r="K9">
        <v>3</v>
      </c>
      <c r="M9" t="s">
        <v>318</v>
      </c>
      <c r="N9" t="s">
        <v>1322</v>
      </c>
      <c r="O9" t="s">
        <v>320</v>
      </c>
      <c r="P9" t="s">
        <v>448</v>
      </c>
      <c r="R9" t="s">
        <v>1348</v>
      </c>
      <c r="S9">
        <v>45656</v>
      </c>
      <c r="T9">
        <v>45657</v>
      </c>
      <c r="U9" t="s">
        <v>448</v>
      </c>
      <c r="W9" t="s">
        <v>323</v>
      </c>
      <c r="X9">
        <v>45659</v>
      </c>
      <c r="Y9" t="s">
        <v>320</v>
      </c>
      <c r="Z9" t="s">
        <v>320</v>
      </c>
      <c r="AA9" t="s">
        <v>320</v>
      </c>
      <c r="AB9" t="s">
        <v>1345</v>
      </c>
    </row>
    <row r="10" spans="1:28">
      <c r="A10">
        <v>1</v>
      </c>
      <c r="B10" t="s">
        <v>1021</v>
      </c>
      <c r="C10">
        <v>46037</v>
      </c>
      <c r="D10">
        <v>46051</v>
      </c>
      <c r="E10" t="s">
        <v>1293</v>
      </c>
      <c r="F10" t="s">
        <v>1031</v>
      </c>
      <c r="G10" t="s">
        <v>1294</v>
      </c>
      <c r="H10" t="s">
        <v>1295</v>
      </c>
      <c r="I10" t="s">
        <v>13</v>
      </c>
      <c r="J10">
        <v>3</v>
      </c>
      <c r="K10">
        <v>3</v>
      </c>
      <c r="AB10" t="s">
        <v>1296</v>
      </c>
    </row>
    <row r="11" spans="1:28">
      <c r="A11">
        <v>2</v>
      </c>
      <c r="B11" t="s">
        <v>1021</v>
      </c>
      <c r="C11">
        <v>46037</v>
      </c>
      <c r="D11">
        <v>46051</v>
      </c>
      <c r="E11" t="s">
        <v>88</v>
      </c>
      <c r="F11" t="s">
        <v>1297</v>
      </c>
      <c r="G11" t="s">
        <v>1298</v>
      </c>
      <c r="H11" t="s">
        <v>1299</v>
      </c>
      <c r="I11" t="s">
        <v>278</v>
      </c>
      <c r="J11">
        <v>3</v>
      </c>
      <c r="AB11" t="s">
        <v>1300</v>
      </c>
    </row>
    <row r="12" spans="1:28">
      <c r="A12">
        <v>3</v>
      </c>
      <c r="B12" t="s">
        <v>1021</v>
      </c>
      <c r="C12">
        <v>46037</v>
      </c>
      <c r="D12">
        <v>46051</v>
      </c>
      <c r="E12" t="s">
        <v>88</v>
      </c>
      <c r="F12" t="s">
        <v>1031</v>
      </c>
      <c r="G12" t="s">
        <v>1279</v>
      </c>
      <c r="H12" t="s">
        <v>1280</v>
      </c>
      <c r="I12" t="s">
        <v>13</v>
      </c>
      <c r="J12">
        <v>3</v>
      </c>
      <c r="K12">
        <v>3</v>
      </c>
      <c r="M12" t="s">
        <v>318</v>
      </c>
      <c r="N12" t="s">
        <v>1035</v>
      </c>
      <c r="O12" t="s">
        <v>320</v>
      </c>
      <c r="P12" t="s">
        <v>1035</v>
      </c>
      <c r="Q12" t="s">
        <v>320</v>
      </c>
      <c r="R12" t="s">
        <v>1301</v>
      </c>
      <c r="S12">
        <v>45672</v>
      </c>
      <c r="T12">
        <v>45673</v>
      </c>
      <c r="U12" t="s">
        <v>448</v>
      </c>
      <c r="V12" t="s">
        <v>1302</v>
      </c>
      <c r="W12" t="s">
        <v>323</v>
      </c>
      <c r="X12">
        <v>45673</v>
      </c>
      <c r="Y12" t="s">
        <v>320</v>
      </c>
      <c r="Z12" t="s">
        <v>320</v>
      </c>
      <c r="AA12" t="s">
        <v>320</v>
      </c>
    </row>
    <row r="13" spans="1:28">
      <c r="A13">
        <v>4</v>
      </c>
      <c r="B13" t="s">
        <v>1021</v>
      </c>
      <c r="C13">
        <v>46037</v>
      </c>
      <c r="D13">
        <v>46051</v>
      </c>
      <c r="E13" t="s">
        <v>88</v>
      </c>
      <c r="F13" t="s">
        <v>1035</v>
      </c>
      <c r="G13" t="s">
        <v>1282</v>
      </c>
      <c r="H13" t="s">
        <v>1283</v>
      </c>
      <c r="I13" t="s">
        <v>13</v>
      </c>
      <c r="J13">
        <v>2</v>
      </c>
      <c r="K13">
        <v>2</v>
      </c>
      <c r="M13" t="s">
        <v>318</v>
      </c>
      <c r="N13" t="s">
        <v>1022</v>
      </c>
      <c r="O13" t="s">
        <v>320</v>
      </c>
      <c r="P13" t="s">
        <v>1022</v>
      </c>
      <c r="Q13" t="s">
        <v>320</v>
      </c>
      <c r="R13" t="s">
        <v>1303</v>
      </c>
      <c r="S13">
        <v>45666</v>
      </c>
      <c r="T13">
        <v>45667</v>
      </c>
      <c r="U13" t="s">
        <v>448</v>
      </c>
      <c r="V13" t="s">
        <v>320</v>
      </c>
      <c r="W13" t="s">
        <v>323</v>
      </c>
      <c r="X13">
        <v>45667</v>
      </c>
      <c r="Y13" t="s">
        <v>320</v>
      </c>
      <c r="Z13" t="s">
        <v>320</v>
      </c>
      <c r="AA13" t="s">
        <v>320</v>
      </c>
    </row>
    <row r="14" spans="1:28">
      <c r="A14">
        <v>5</v>
      </c>
      <c r="B14" t="s">
        <v>1021</v>
      </c>
      <c r="C14">
        <v>46037</v>
      </c>
      <c r="D14">
        <v>46051</v>
      </c>
      <c r="E14" t="s">
        <v>88</v>
      </c>
      <c r="F14" t="s">
        <v>1031</v>
      </c>
      <c r="G14" t="s">
        <v>1304</v>
      </c>
      <c r="H14" t="s">
        <v>1305</v>
      </c>
      <c r="I14" t="s">
        <v>13</v>
      </c>
      <c r="J14">
        <v>1</v>
      </c>
      <c r="K14">
        <v>1</v>
      </c>
      <c r="M14" t="s">
        <v>318</v>
      </c>
      <c r="N14" t="s">
        <v>1035</v>
      </c>
      <c r="O14" t="s">
        <v>320</v>
      </c>
      <c r="P14" t="s">
        <v>1035</v>
      </c>
      <c r="Q14" t="s">
        <v>320</v>
      </c>
      <c r="R14" t="s">
        <v>1306</v>
      </c>
      <c r="S14">
        <v>45671</v>
      </c>
      <c r="T14">
        <v>45671</v>
      </c>
      <c r="U14" t="s">
        <v>448</v>
      </c>
      <c r="V14" t="s">
        <v>1307</v>
      </c>
      <c r="W14" t="s">
        <v>323</v>
      </c>
      <c r="X14">
        <v>45672</v>
      </c>
      <c r="Y14" t="s">
        <v>320</v>
      </c>
      <c r="Z14" t="s">
        <v>320</v>
      </c>
      <c r="AA14" t="s">
        <v>320</v>
      </c>
    </row>
    <row r="15" spans="1:28">
      <c r="A15">
        <v>6</v>
      </c>
      <c r="B15" t="s">
        <v>1021</v>
      </c>
      <c r="C15">
        <v>46037</v>
      </c>
      <c r="D15">
        <v>46051</v>
      </c>
      <c r="E15" t="s">
        <v>88</v>
      </c>
      <c r="F15" t="s">
        <v>1026</v>
      </c>
      <c r="G15" t="s">
        <v>1308</v>
      </c>
      <c r="H15" t="s">
        <v>1309</v>
      </c>
      <c r="I15" t="s">
        <v>13</v>
      </c>
      <c r="J15">
        <v>2</v>
      </c>
      <c r="K15">
        <v>2</v>
      </c>
      <c r="M15" t="s">
        <v>318</v>
      </c>
      <c r="N15" t="s">
        <v>448</v>
      </c>
      <c r="O15" t="s">
        <v>320</v>
      </c>
      <c r="P15" t="s">
        <v>448</v>
      </c>
      <c r="Q15" t="s">
        <v>320</v>
      </c>
      <c r="R15" t="s">
        <v>1310</v>
      </c>
      <c r="S15">
        <v>45671</v>
      </c>
      <c r="T15">
        <v>45672</v>
      </c>
      <c r="U15" t="s">
        <v>322</v>
      </c>
      <c r="V15" t="s">
        <v>320</v>
      </c>
      <c r="W15" t="s">
        <v>323</v>
      </c>
      <c r="X15">
        <v>45672</v>
      </c>
      <c r="Y15" t="s">
        <v>320</v>
      </c>
      <c r="Z15" t="s">
        <v>320</v>
      </c>
      <c r="AA15" t="s">
        <v>320</v>
      </c>
    </row>
    <row r="16" spans="1:28">
      <c r="A16">
        <v>7</v>
      </c>
      <c r="B16" t="s">
        <v>1021</v>
      </c>
      <c r="C16">
        <v>46037</v>
      </c>
      <c r="D16">
        <v>46051</v>
      </c>
      <c r="E16" t="s">
        <v>88</v>
      </c>
      <c r="F16" t="s">
        <v>1026</v>
      </c>
      <c r="G16" t="s">
        <v>1311</v>
      </c>
      <c r="H16" t="s">
        <v>1312</v>
      </c>
      <c r="I16" t="s">
        <v>13</v>
      </c>
      <c r="J16">
        <v>2</v>
      </c>
      <c r="K16">
        <v>2</v>
      </c>
      <c r="M16" t="s">
        <v>318</v>
      </c>
      <c r="N16" t="s">
        <v>1022</v>
      </c>
      <c r="O16" t="s">
        <v>320</v>
      </c>
      <c r="P16" t="s">
        <v>1022</v>
      </c>
      <c r="Q16" t="s">
        <v>320</v>
      </c>
      <c r="R16" t="s">
        <v>1313</v>
      </c>
      <c r="S16">
        <v>45671</v>
      </c>
      <c r="T16">
        <v>45672</v>
      </c>
      <c r="U16" t="s">
        <v>448</v>
      </c>
      <c r="V16" t="s">
        <v>320</v>
      </c>
      <c r="W16" t="s">
        <v>323</v>
      </c>
      <c r="X16">
        <v>45671</v>
      </c>
      <c r="Y16" t="s">
        <v>320</v>
      </c>
      <c r="Z16" t="s">
        <v>320</v>
      </c>
      <c r="AA16" t="s">
        <v>320</v>
      </c>
    </row>
    <row r="17" spans="1:28">
      <c r="A17">
        <v>1</v>
      </c>
      <c r="B17" t="s">
        <v>1021</v>
      </c>
      <c r="C17">
        <v>46037</v>
      </c>
      <c r="D17">
        <v>46051</v>
      </c>
      <c r="E17" t="s">
        <v>91</v>
      </c>
      <c r="F17" t="s">
        <v>1064</v>
      </c>
      <c r="G17" t="s">
        <v>1245</v>
      </c>
      <c r="H17" t="s">
        <v>1246</v>
      </c>
      <c r="I17" t="s">
        <v>278</v>
      </c>
      <c r="J17">
        <v>8</v>
      </c>
      <c r="AB17" t="s">
        <v>1272</v>
      </c>
    </row>
    <row r="18" spans="1:28">
      <c r="A18">
        <v>2</v>
      </c>
      <c r="B18" t="s">
        <v>1021</v>
      </c>
      <c r="C18">
        <v>46037</v>
      </c>
      <c r="D18">
        <v>46051</v>
      </c>
      <c r="E18" t="s">
        <v>91</v>
      </c>
      <c r="F18" t="s">
        <v>1035</v>
      </c>
      <c r="G18" t="s">
        <v>1252</v>
      </c>
      <c r="H18" t="s">
        <v>1253</v>
      </c>
      <c r="I18" t="s">
        <v>13</v>
      </c>
      <c r="J18">
        <v>3</v>
      </c>
      <c r="K18">
        <v>3</v>
      </c>
      <c r="M18" t="s">
        <v>1273</v>
      </c>
      <c r="AB18" t="s">
        <v>1274</v>
      </c>
    </row>
    <row r="19" spans="1:28">
      <c r="A19">
        <v>3</v>
      </c>
      <c r="B19" t="s">
        <v>1021</v>
      </c>
      <c r="C19">
        <v>46037</v>
      </c>
      <c r="D19">
        <v>46051</v>
      </c>
      <c r="E19" t="s">
        <v>91</v>
      </c>
      <c r="F19" t="s">
        <v>322</v>
      </c>
      <c r="G19" t="s">
        <v>1275</v>
      </c>
      <c r="H19" t="s">
        <v>1276</v>
      </c>
      <c r="I19" t="s">
        <v>278</v>
      </c>
      <c r="J19">
        <v>3</v>
      </c>
      <c r="AB19" t="s">
        <v>1277</v>
      </c>
    </row>
    <row r="20" spans="1:28">
      <c r="A20">
        <v>4</v>
      </c>
      <c r="B20" t="s">
        <v>1021</v>
      </c>
      <c r="C20">
        <v>46037</v>
      </c>
      <c r="D20">
        <v>46051</v>
      </c>
      <c r="E20" t="s">
        <v>91</v>
      </c>
      <c r="F20" t="s">
        <v>1278</v>
      </c>
      <c r="G20" t="s">
        <v>1279</v>
      </c>
      <c r="H20" t="s">
        <v>1280</v>
      </c>
      <c r="I20" t="s">
        <v>13</v>
      </c>
      <c r="J20">
        <v>0.5</v>
      </c>
      <c r="K20">
        <v>0.5</v>
      </c>
      <c r="M20" t="s">
        <v>318</v>
      </c>
      <c r="N20" t="s">
        <v>1029</v>
      </c>
      <c r="P20" t="s">
        <v>320</v>
      </c>
      <c r="Q20" t="s">
        <v>320</v>
      </c>
      <c r="R20" t="s">
        <v>320</v>
      </c>
      <c r="S20" t="s">
        <v>320</v>
      </c>
      <c r="T20" t="s">
        <v>320</v>
      </c>
      <c r="U20" t="s">
        <v>320</v>
      </c>
      <c r="V20" t="s">
        <v>320</v>
      </c>
      <c r="W20" t="s">
        <v>320</v>
      </c>
      <c r="AB20" t="s">
        <v>1281</v>
      </c>
    </row>
    <row r="21" spans="1:28">
      <c r="A21">
        <v>5</v>
      </c>
      <c r="B21" t="s">
        <v>1021</v>
      </c>
      <c r="C21">
        <v>46037</v>
      </c>
      <c r="D21">
        <v>46051</v>
      </c>
      <c r="E21" t="s">
        <v>91</v>
      </c>
      <c r="F21" t="s">
        <v>1278</v>
      </c>
      <c r="G21" t="s">
        <v>1282</v>
      </c>
      <c r="H21" t="s">
        <v>1283</v>
      </c>
      <c r="I21" t="s">
        <v>13</v>
      </c>
      <c r="J21">
        <v>0.5</v>
      </c>
      <c r="K21">
        <v>0.5</v>
      </c>
      <c r="M21" t="s">
        <v>318</v>
      </c>
      <c r="N21" t="s">
        <v>1029</v>
      </c>
      <c r="P21" t="s">
        <v>320</v>
      </c>
      <c r="Q21" t="s">
        <v>320</v>
      </c>
      <c r="R21" t="s">
        <v>320</v>
      </c>
      <c r="S21" t="s">
        <v>320</v>
      </c>
      <c r="T21" t="s">
        <v>320</v>
      </c>
      <c r="U21" t="s">
        <v>320</v>
      </c>
      <c r="V21" t="s">
        <v>320</v>
      </c>
      <c r="W21" t="s">
        <v>320</v>
      </c>
      <c r="AB21" t="s">
        <v>1281</v>
      </c>
    </row>
    <row r="22" spans="1:28">
      <c r="A22">
        <v>6</v>
      </c>
      <c r="B22" t="s">
        <v>1021</v>
      </c>
      <c r="C22">
        <v>46037</v>
      </c>
      <c r="D22">
        <v>46051</v>
      </c>
      <c r="E22" t="s">
        <v>91</v>
      </c>
      <c r="F22" t="s">
        <v>1278</v>
      </c>
      <c r="G22" t="s">
        <v>1284</v>
      </c>
      <c r="H22" t="s">
        <v>1285</v>
      </c>
      <c r="I22" t="s">
        <v>13</v>
      </c>
      <c r="J22">
        <v>1</v>
      </c>
      <c r="K22">
        <v>1</v>
      </c>
      <c r="M22" t="s">
        <v>318</v>
      </c>
      <c r="N22" t="s">
        <v>1029</v>
      </c>
      <c r="P22" t="s">
        <v>320</v>
      </c>
      <c r="Q22" t="s">
        <v>320</v>
      </c>
      <c r="R22" t="s">
        <v>320</v>
      </c>
      <c r="S22" t="s">
        <v>320</v>
      </c>
      <c r="T22" t="s">
        <v>320</v>
      </c>
      <c r="U22" t="s">
        <v>320</v>
      </c>
      <c r="V22" t="s">
        <v>320</v>
      </c>
      <c r="W22" t="s">
        <v>320</v>
      </c>
      <c r="AB22" t="s">
        <v>1281</v>
      </c>
    </row>
    <row r="23" spans="1:28">
      <c r="A23">
        <v>1</v>
      </c>
      <c r="B23" t="s">
        <v>1021</v>
      </c>
      <c r="C23">
        <v>46037</v>
      </c>
      <c r="D23">
        <v>46051</v>
      </c>
      <c r="E23" t="s">
        <v>94</v>
      </c>
      <c r="F23" t="s">
        <v>1064</v>
      </c>
      <c r="G23" t="s">
        <v>1245</v>
      </c>
      <c r="H23" t="s">
        <v>1246</v>
      </c>
      <c r="I23" t="s">
        <v>13</v>
      </c>
      <c r="J23">
        <v>5</v>
      </c>
      <c r="K23">
        <v>11.25</v>
      </c>
      <c r="L23">
        <v>45</v>
      </c>
      <c r="M23" t="s">
        <v>318</v>
      </c>
      <c r="N23" t="s">
        <v>1029</v>
      </c>
      <c r="O23" s="144" t="s">
        <v>1247</v>
      </c>
      <c r="P23" t="s">
        <v>1132</v>
      </c>
      <c r="Q23" t="s">
        <v>1248</v>
      </c>
      <c r="R23" t="s">
        <v>1249</v>
      </c>
      <c r="S23">
        <v>45695</v>
      </c>
      <c r="T23">
        <v>45698</v>
      </c>
      <c r="U23" t="s">
        <v>322</v>
      </c>
      <c r="V23" t="s">
        <v>1250</v>
      </c>
      <c r="W23" t="s">
        <v>323</v>
      </c>
      <c r="X23">
        <v>45698</v>
      </c>
      <c r="Y23" t="s">
        <v>320</v>
      </c>
      <c r="Z23" t="s">
        <v>320</v>
      </c>
      <c r="AA23" t="s">
        <v>320</v>
      </c>
      <c r="AB23" t="s">
        <v>1251</v>
      </c>
    </row>
    <row r="24" spans="1:28">
      <c r="A24">
        <v>2</v>
      </c>
      <c r="B24" t="s">
        <v>1021</v>
      </c>
      <c r="C24">
        <v>46037</v>
      </c>
      <c r="D24">
        <v>46051</v>
      </c>
      <c r="E24" t="s">
        <v>94</v>
      </c>
      <c r="F24" t="s">
        <v>1132</v>
      </c>
      <c r="G24" t="s">
        <v>1252</v>
      </c>
      <c r="H24" t="s">
        <v>1253</v>
      </c>
      <c r="I24" t="s">
        <v>13</v>
      </c>
      <c r="J24">
        <v>3</v>
      </c>
      <c r="K24">
        <v>11.25</v>
      </c>
      <c r="L24">
        <v>45</v>
      </c>
      <c r="M24" t="s">
        <v>318</v>
      </c>
      <c r="N24" t="s">
        <v>1029</v>
      </c>
      <c r="O24" t="s">
        <v>1254</v>
      </c>
      <c r="P24" t="s">
        <v>1064</v>
      </c>
      <c r="Q24" t="s">
        <v>1255</v>
      </c>
      <c r="R24" t="s">
        <v>1256</v>
      </c>
      <c r="S24">
        <v>45699</v>
      </c>
      <c r="T24">
        <v>45700</v>
      </c>
      <c r="U24" t="s">
        <v>322</v>
      </c>
      <c r="V24" t="s">
        <v>1257</v>
      </c>
      <c r="W24" t="s">
        <v>323</v>
      </c>
      <c r="X24">
        <v>45700</v>
      </c>
      <c r="Y24" t="s">
        <v>320</v>
      </c>
      <c r="Z24" t="s">
        <v>320</v>
      </c>
      <c r="AA24" t="s">
        <v>320</v>
      </c>
      <c r="AB24" t="s">
        <v>1258</v>
      </c>
    </row>
    <row r="25" spans="1:28">
      <c r="A25">
        <v>3</v>
      </c>
      <c r="B25" t="s">
        <v>1021</v>
      </c>
      <c r="C25">
        <v>46037</v>
      </c>
      <c r="D25">
        <v>46051</v>
      </c>
      <c r="E25" t="s">
        <v>94</v>
      </c>
      <c r="F25" t="s">
        <v>1259</v>
      </c>
      <c r="G25" t="s">
        <v>1260</v>
      </c>
      <c r="H25" t="s">
        <v>1224</v>
      </c>
      <c r="I25" t="s">
        <v>278</v>
      </c>
      <c r="J25">
        <v>3</v>
      </c>
      <c r="AA25" t="s">
        <v>320</v>
      </c>
      <c r="AB25" t="s">
        <v>1261</v>
      </c>
    </row>
    <row r="26" spans="1:28">
      <c r="A26">
        <v>4</v>
      </c>
      <c r="B26" t="s">
        <v>1021</v>
      </c>
      <c r="C26">
        <v>46037</v>
      </c>
      <c r="D26">
        <v>46051</v>
      </c>
      <c r="E26" t="s">
        <v>94</v>
      </c>
      <c r="F26" t="s">
        <v>1259</v>
      </c>
      <c r="G26" t="s">
        <v>1262</v>
      </c>
      <c r="H26" t="s">
        <v>1263</v>
      </c>
      <c r="I26" t="s">
        <v>13</v>
      </c>
      <c r="J26">
        <v>3</v>
      </c>
      <c r="K26">
        <v>3</v>
      </c>
      <c r="AA26" t="s">
        <v>320</v>
      </c>
      <c r="AB26" t="s">
        <v>1264</v>
      </c>
    </row>
    <row r="27" spans="1:28">
      <c r="A27">
        <v>1</v>
      </c>
      <c r="B27" t="s">
        <v>1021</v>
      </c>
      <c r="C27">
        <v>46037</v>
      </c>
      <c r="D27">
        <v>46051</v>
      </c>
      <c r="E27" t="s">
        <v>97</v>
      </c>
      <c r="F27" t="s">
        <v>1022</v>
      </c>
      <c r="G27" t="s">
        <v>1217</v>
      </c>
      <c r="H27" t="s">
        <v>1218</v>
      </c>
      <c r="I27" t="s">
        <v>13</v>
      </c>
      <c r="J27">
        <v>2</v>
      </c>
      <c r="K27">
        <v>5</v>
      </c>
      <c r="L27">
        <v>19.75</v>
      </c>
      <c r="M27" t="s">
        <v>318</v>
      </c>
      <c r="N27" t="s">
        <v>1029</v>
      </c>
      <c r="O27" t="s">
        <v>320</v>
      </c>
      <c r="P27" t="s">
        <v>1035</v>
      </c>
      <c r="Q27" t="s">
        <v>320</v>
      </c>
      <c r="R27" t="s">
        <v>1219</v>
      </c>
      <c r="S27">
        <v>45705</v>
      </c>
      <c r="T27">
        <v>45708</v>
      </c>
      <c r="U27" t="s">
        <v>322</v>
      </c>
      <c r="V27" t="s">
        <v>320</v>
      </c>
      <c r="W27" t="s">
        <v>323</v>
      </c>
      <c r="X27">
        <v>45708</v>
      </c>
      <c r="Y27" t="s">
        <v>320</v>
      </c>
      <c r="Z27" t="s">
        <v>320</v>
      </c>
      <c r="AA27" t="s">
        <v>320</v>
      </c>
    </row>
    <row r="28" spans="1:28">
      <c r="A28">
        <v>2</v>
      </c>
      <c r="B28" t="s">
        <v>1021</v>
      </c>
      <c r="C28">
        <v>46037</v>
      </c>
      <c r="D28">
        <v>46051</v>
      </c>
      <c r="E28" t="s">
        <v>97</v>
      </c>
      <c r="F28" t="s">
        <v>1035</v>
      </c>
      <c r="G28" t="s">
        <v>1220</v>
      </c>
      <c r="H28" t="s">
        <v>1221</v>
      </c>
      <c r="I28" t="s">
        <v>13</v>
      </c>
      <c r="J28">
        <v>3</v>
      </c>
      <c r="K28">
        <v>8</v>
      </c>
      <c r="L28">
        <v>32</v>
      </c>
      <c r="M28" t="s">
        <v>318</v>
      </c>
      <c r="N28" t="s">
        <v>1029</v>
      </c>
      <c r="O28" t="s">
        <v>320</v>
      </c>
      <c r="P28" t="s">
        <v>1022</v>
      </c>
      <c r="Q28" t="s">
        <v>320</v>
      </c>
      <c r="R28" t="s">
        <v>1222</v>
      </c>
      <c r="S28">
        <v>45707</v>
      </c>
      <c r="T28">
        <v>45708</v>
      </c>
      <c r="U28" t="s">
        <v>322</v>
      </c>
      <c r="V28" t="s">
        <v>320</v>
      </c>
      <c r="W28" t="s">
        <v>323</v>
      </c>
      <c r="X28">
        <v>45708</v>
      </c>
      <c r="Y28" t="s">
        <v>320</v>
      </c>
      <c r="Z28" t="s">
        <v>320</v>
      </c>
      <c r="AA28" t="s">
        <v>320</v>
      </c>
    </row>
    <row r="29" spans="1:28">
      <c r="A29">
        <v>3</v>
      </c>
      <c r="B29" t="s">
        <v>1021</v>
      </c>
      <c r="C29">
        <v>46037</v>
      </c>
      <c r="D29">
        <v>46051</v>
      </c>
      <c r="E29" t="s">
        <v>97</v>
      </c>
      <c r="F29" t="s">
        <v>322</v>
      </c>
      <c r="G29" t="s">
        <v>1223</v>
      </c>
      <c r="H29" t="s">
        <v>1224</v>
      </c>
      <c r="I29" t="s">
        <v>278</v>
      </c>
      <c r="J29">
        <v>3</v>
      </c>
      <c r="K29">
        <v>5.5</v>
      </c>
      <c r="L29">
        <v>22</v>
      </c>
      <c r="AB29" t="s">
        <v>1225</v>
      </c>
    </row>
    <row r="30" spans="1:28">
      <c r="A30">
        <v>4</v>
      </c>
      <c r="B30" t="s">
        <v>1021</v>
      </c>
      <c r="C30">
        <v>46037</v>
      </c>
      <c r="D30">
        <v>46051</v>
      </c>
      <c r="E30" t="s">
        <v>1226</v>
      </c>
      <c r="F30" t="s">
        <v>1227</v>
      </c>
      <c r="G30" t="s">
        <v>1228</v>
      </c>
      <c r="H30" t="s">
        <v>1166</v>
      </c>
      <c r="I30" t="s">
        <v>278</v>
      </c>
      <c r="J30">
        <v>3</v>
      </c>
      <c r="K30">
        <v>19.5</v>
      </c>
      <c r="L30">
        <v>78</v>
      </c>
      <c r="AB30" t="s">
        <v>1229</v>
      </c>
    </row>
    <row r="31" spans="1:28">
      <c r="A31">
        <v>5</v>
      </c>
      <c r="B31" t="s">
        <v>1021</v>
      </c>
      <c r="C31">
        <v>46037</v>
      </c>
      <c r="D31">
        <v>46051</v>
      </c>
      <c r="E31" t="s">
        <v>1226</v>
      </c>
      <c r="F31" t="s">
        <v>1035</v>
      </c>
      <c r="G31" t="s">
        <v>1230</v>
      </c>
      <c r="H31" t="s">
        <v>1231</v>
      </c>
      <c r="I31" t="s">
        <v>13</v>
      </c>
      <c r="J31">
        <v>1</v>
      </c>
      <c r="K31">
        <v>1</v>
      </c>
      <c r="L31">
        <v>5.5</v>
      </c>
      <c r="M31" t="s">
        <v>318</v>
      </c>
      <c r="N31" t="s">
        <v>1022</v>
      </c>
      <c r="O31" t="s">
        <v>320</v>
      </c>
      <c r="P31" t="s">
        <v>1022</v>
      </c>
      <c r="Q31" t="s">
        <v>320</v>
      </c>
      <c r="R31" t="s">
        <v>1232</v>
      </c>
      <c r="S31">
        <v>45708</v>
      </c>
      <c r="T31">
        <v>45708</v>
      </c>
      <c r="U31" t="s">
        <v>322</v>
      </c>
      <c r="V31" t="s">
        <v>320</v>
      </c>
      <c r="W31" t="s">
        <v>323</v>
      </c>
      <c r="X31">
        <v>45708</v>
      </c>
      <c r="Y31" t="s">
        <v>350</v>
      </c>
      <c r="Z31" t="s">
        <v>320</v>
      </c>
      <c r="AA31" t="s">
        <v>320</v>
      </c>
    </row>
    <row r="32" spans="1:28">
      <c r="A32">
        <v>6</v>
      </c>
      <c r="B32" t="s">
        <v>1021</v>
      </c>
      <c r="C32">
        <v>46037</v>
      </c>
      <c r="D32">
        <v>46051</v>
      </c>
      <c r="E32" t="s">
        <v>1226</v>
      </c>
      <c r="F32" s="144" t="s">
        <v>1233</v>
      </c>
      <c r="G32" t="s">
        <v>1234</v>
      </c>
      <c r="H32" t="s">
        <v>1235</v>
      </c>
      <c r="I32" t="s">
        <v>13</v>
      </c>
      <c r="J32">
        <v>1</v>
      </c>
      <c r="K32">
        <v>1</v>
      </c>
      <c r="L32">
        <v>12</v>
      </c>
    </row>
    <row r="33" spans="1:28">
      <c r="A33">
        <v>7</v>
      </c>
      <c r="B33" t="s">
        <v>1021</v>
      </c>
      <c r="C33">
        <v>46037</v>
      </c>
      <c r="D33">
        <v>46051</v>
      </c>
      <c r="E33" t="s">
        <v>97</v>
      </c>
      <c r="F33" s="144" t="s">
        <v>1233</v>
      </c>
      <c r="G33" t="s">
        <v>1236</v>
      </c>
      <c r="H33" t="s">
        <v>1237</v>
      </c>
      <c r="I33" t="s">
        <v>13</v>
      </c>
      <c r="J33">
        <v>1</v>
      </c>
      <c r="K33">
        <v>1</v>
      </c>
      <c r="L33">
        <v>8.25</v>
      </c>
    </row>
    <row r="34" spans="1:28">
      <c r="A34">
        <v>1</v>
      </c>
      <c r="B34" t="s">
        <v>1021</v>
      </c>
      <c r="C34">
        <v>46037</v>
      </c>
      <c r="D34">
        <v>46051</v>
      </c>
      <c r="E34" t="s">
        <v>101</v>
      </c>
      <c r="F34" t="s">
        <v>1168</v>
      </c>
      <c r="G34" t="s">
        <v>1165</v>
      </c>
      <c r="H34" t="s">
        <v>1166</v>
      </c>
      <c r="I34" t="s">
        <v>283</v>
      </c>
      <c r="J34">
        <v>3</v>
      </c>
      <c r="L34">
        <v>64</v>
      </c>
      <c r="AB34" t="s">
        <v>1196</v>
      </c>
    </row>
    <row r="35" spans="1:28">
      <c r="A35">
        <v>2</v>
      </c>
      <c r="B35" t="s">
        <v>1021</v>
      </c>
      <c r="C35">
        <v>46037</v>
      </c>
      <c r="D35">
        <v>46051</v>
      </c>
      <c r="E35" t="s">
        <v>101</v>
      </c>
      <c r="F35" t="s">
        <v>1035</v>
      </c>
      <c r="G35" t="s">
        <v>1197</v>
      </c>
      <c r="H35" t="s">
        <v>1198</v>
      </c>
      <c r="I35" t="s">
        <v>13</v>
      </c>
      <c r="J35">
        <v>3</v>
      </c>
      <c r="L35">
        <v>51.5</v>
      </c>
      <c r="AB35" t="s">
        <v>1199</v>
      </c>
    </row>
    <row r="36" spans="1:28">
      <c r="A36">
        <v>3</v>
      </c>
      <c r="B36" t="s">
        <v>1021</v>
      </c>
      <c r="C36">
        <v>46037</v>
      </c>
      <c r="D36">
        <v>46051</v>
      </c>
      <c r="E36" t="s">
        <v>101</v>
      </c>
      <c r="F36" t="s">
        <v>1022</v>
      </c>
      <c r="G36" t="s">
        <v>1200</v>
      </c>
      <c r="H36" t="s">
        <v>1201</v>
      </c>
      <c r="I36" t="s">
        <v>13</v>
      </c>
      <c r="J36">
        <v>3</v>
      </c>
      <c r="K36">
        <v>3</v>
      </c>
      <c r="L36">
        <v>62</v>
      </c>
      <c r="M36" t="s">
        <v>318</v>
      </c>
      <c r="N36" t="s">
        <v>1029</v>
      </c>
      <c r="O36" t="s">
        <v>1202</v>
      </c>
      <c r="P36" t="s">
        <v>1035</v>
      </c>
      <c r="Q36" t="s">
        <v>320</v>
      </c>
      <c r="R36" t="s">
        <v>1203</v>
      </c>
      <c r="S36">
        <v>45727</v>
      </c>
      <c r="T36">
        <v>45728</v>
      </c>
      <c r="U36" t="s">
        <v>448</v>
      </c>
      <c r="V36" t="s">
        <v>1204</v>
      </c>
      <c r="W36" t="s">
        <v>323</v>
      </c>
      <c r="X36">
        <v>45728</v>
      </c>
      <c r="Y36" t="s">
        <v>320</v>
      </c>
      <c r="Z36" t="s">
        <v>320</v>
      </c>
      <c r="AA36" t="s">
        <v>320</v>
      </c>
    </row>
    <row r="37" spans="1:28">
      <c r="A37">
        <v>4</v>
      </c>
      <c r="B37" t="s">
        <v>1021</v>
      </c>
      <c r="C37">
        <v>46037</v>
      </c>
      <c r="D37">
        <v>46051</v>
      </c>
      <c r="E37" t="s">
        <v>101</v>
      </c>
      <c r="F37" t="s">
        <v>1064</v>
      </c>
      <c r="G37" t="s">
        <v>1205</v>
      </c>
      <c r="H37" t="s">
        <v>1206</v>
      </c>
      <c r="I37" t="s">
        <v>13</v>
      </c>
      <c r="J37">
        <v>2</v>
      </c>
      <c r="L37">
        <v>24.75</v>
      </c>
      <c r="AB37" t="s">
        <v>1207</v>
      </c>
    </row>
    <row r="38" spans="1:28">
      <c r="A38">
        <v>1</v>
      </c>
      <c r="B38" t="s">
        <v>1021</v>
      </c>
      <c r="C38">
        <v>46037</v>
      </c>
      <c r="D38">
        <v>46051</v>
      </c>
      <c r="E38" t="s">
        <v>104</v>
      </c>
      <c r="F38" t="s">
        <v>448</v>
      </c>
      <c r="G38" t="s">
        <v>1165</v>
      </c>
      <c r="H38" t="s">
        <v>1166</v>
      </c>
      <c r="I38" t="s">
        <v>13</v>
      </c>
      <c r="J38">
        <v>1</v>
      </c>
      <c r="K38">
        <v>1</v>
      </c>
      <c r="L38">
        <v>35.25</v>
      </c>
      <c r="M38" t="s">
        <v>318</v>
      </c>
      <c r="N38" t="s">
        <v>1029</v>
      </c>
      <c r="O38" t="s">
        <v>320</v>
      </c>
      <c r="P38" t="s">
        <v>1035</v>
      </c>
      <c r="Q38" t="s">
        <v>320</v>
      </c>
      <c r="R38" s="144" t="s">
        <v>1167</v>
      </c>
      <c r="S38">
        <v>45729</v>
      </c>
      <c r="T38">
        <v>45730</v>
      </c>
      <c r="U38" t="s">
        <v>448</v>
      </c>
      <c r="V38" t="s">
        <v>320</v>
      </c>
      <c r="W38" t="s">
        <v>323</v>
      </c>
      <c r="X38">
        <v>45730</v>
      </c>
      <c r="Y38" t="s">
        <v>320</v>
      </c>
      <c r="Z38" t="s">
        <v>320</v>
      </c>
      <c r="AA38" t="s">
        <v>320</v>
      </c>
    </row>
    <row r="39" spans="1:28">
      <c r="A39">
        <v>2</v>
      </c>
      <c r="B39" t="s">
        <v>1021</v>
      </c>
      <c r="C39">
        <v>46037</v>
      </c>
      <c r="D39">
        <v>46051</v>
      </c>
      <c r="E39" t="s">
        <v>104</v>
      </c>
      <c r="F39" t="s">
        <v>1168</v>
      </c>
      <c r="G39" t="s">
        <v>1169</v>
      </c>
      <c r="H39" t="s">
        <v>1170</v>
      </c>
      <c r="I39" t="s">
        <v>13</v>
      </c>
      <c r="J39">
        <v>2</v>
      </c>
      <c r="K39">
        <v>2</v>
      </c>
      <c r="L39">
        <v>16.75</v>
      </c>
      <c r="M39" t="s">
        <v>318</v>
      </c>
      <c r="N39" t="s">
        <v>1171</v>
      </c>
      <c r="O39" t="s">
        <v>320</v>
      </c>
      <c r="P39" t="s">
        <v>1035</v>
      </c>
      <c r="Q39" t="s">
        <v>320</v>
      </c>
      <c r="R39" t="s">
        <v>1172</v>
      </c>
      <c r="S39">
        <v>45733</v>
      </c>
      <c r="T39">
        <v>45734</v>
      </c>
      <c r="U39" t="s">
        <v>448</v>
      </c>
      <c r="V39" t="s">
        <v>320</v>
      </c>
      <c r="W39" t="s">
        <v>1173</v>
      </c>
      <c r="X39">
        <v>45734</v>
      </c>
      <c r="Y39" t="s">
        <v>320</v>
      </c>
      <c r="Z39" t="s">
        <v>320</v>
      </c>
      <c r="AA39" t="s">
        <v>320</v>
      </c>
    </row>
    <row r="40" spans="1:28">
      <c r="A40">
        <v>3</v>
      </c>
      <c r="B40" t="s">
        <v>1021</v>
      </c>
      <c r="C40">
        <v>46037</v>
      </c>
      <c r="D40">
        <v>46051</v>
      </c>
      <c r="E40" t="s">
        <v>104</v>
      </c>
      <c r="F40" t="s">
        <v>1174</v>
      </c>
      <c r="G40" t="s">
        <v>1175</v>
      </c>
      <c r="H40" t="s">
        <v>1176</v>
      </c>
      <c r="I40" t="s">
        <v>13</v>
      </c>
      <c r="J40">
        <v>2</v>
      </c>
      <c r="K40">
        <v>2</v>
      </c>
      <c r="L40">
        <v>46.25</v>
      </c>
      <c r="M40" t="s">
        <v>318</v>
      </c>
      <c r="N40" t="s">
        <v>1029</v>
      </c>
      <c r="O40" t="s">
        <v>320</v>
      </c>
      <c r="P40" t="s">
        <v>1022</v>
      </c>
      <c r="Q40" t="s">
        <v>320</v>
      </c>
      <c r="R40" t="s">
        <v>1177</v>
      </c>
      <c r="S40">
        <v>45734</v>
      </c>
      <c r="T40">
        <v>45736</v>
      </c>
      <c r="U40" t="s">
        <v>448</v>
      </c>
      <c r="V40" t="s">
        <v>320</v>
      </c>
      <c r="W40" t="s">
        <v>1173</v>
      </c>
      <c r="X40">
        <v>45736</v>
      </c>
      <c r="Y40" t="s">
        <v>320</v>
      </c>
      <c r="Z40" t="s">
        <v>320</v>
      </c>
      <c r="AA40" t="s">
        <v>320</v>
      </c>
    </row>
    <row r="41" spans="1:28">
      <c r="A41">
        <v>4</v>
      </c>
      <c r="B41" t="s">
        <v>1021</v>
      </c>
      <c r="C41">
        <v>46037</v>
      </c>
      <c r="D41">
        <v>46051</v>
      </c>
      <c r="E41" t="s">
        <v>104</v>
      </c>
      <c r="F41" t="s">
        <v>1178</v>
      </c>
      <c r="G41" t="s">
        <v>1179</v>
      </c>
      <c r="H41" t="s">
        <v>1180</v>
      </c>
      <c r="I41" t="s">
        <v>13</v>
      </c>
      <c r="J41">
        <v>8</v>
      </c>
      <c r="K41">
        <v>8</v>
      </c>
      <c r="L41">
        <v>99</v>
      </c>
      <c r="M41" t="s">
        <v>318</v>
      </c>
      <c r="N41" t="s">
        <v>1029</v>
      </c>
      <c r="O41" t="s">
        <v>320</v>
      </c>
      <c r="P41" t="s">
        <v>1132</v>
      </c>
      <c r="Q41" t="s">
        <v>320</v>
      </c>
      <c r="R41" t="s">
        <v>1181</v>
      </c>
      <c r="S41">
        <v>45741</v>
      </c>
      <c r="T41">
        <v>45742</v>
      </c>
      <c r="U41" t="s">
        <v>448</v>
      </c>
      <c r="V41" t="s">
        <v>1182</v>
      </c>
      <c r="W41" t="s">
        <v>1173</v>
      </c>
      <c r="X41">
        <v>45742</v>
      </c>
      <c r="Y41" t="s">
        <v>320</v>
      </c>
      <c r="Z41" t="s">
        <v>320</v>
      </c>
      <c r="AA41" t="s">
        <v>320</v>
      </c>
    </row>
    <row r="42" spans="1:28">
      <c r="A42">
        <v>5</v>
      </c>
      <c r="B42" t="s">
        <v>1021</v>
      </c>
      <c r="C42">
        <v>46037</v>
      </c>
      <c r="D42">
        <v>46051</v>
      </c>
      <c r="E42" t="s">
        <v>104</v>
      </c>
      <c r="F42" t="s">
        <v>448</v>
      </c>
      <c r="G42" t="s">
        <v>1183</v>
      </c>
      <c r="H42" t="s">
        <v>1184</v>
      </c>
      <c r="I42" t="s">
        <v>13</v>
      </c>
      <c r="J42">
        <v>1</v>
      </c>
      <c r="K42">
        <v>11.5</v>
      </c>
    </row>
    <row r="43" spans="1:28">
      <c r="A43">
        <v>6</v>
      </c>
      <c r="B43" t="s">
        <v>1021</v>
      </c>
      <c r="C43">
        <v>46037</v>
      </c>
      <c r="D43">
        <v>46051</v>
      </c>
      <c r="E43" t="s">
        <v>1185</v>
      </c>
      <c r="F43" t="s">
        <v>1168</v>
      </c>
      <c r="G43" t="s">
        <v>1186</v>
      </c>
      <c r="H43" t="s">
        <v>1187</v>
      </c>
      <c r="I43" t="s">
        <v>13</v>
      </c>
      <c r="J43">
        <v>2</v>
      </c>
      <c r="K43">
        <v>9.25</v>
      </c>
      <c r="M43" t="s">
        <v>318</v>
      </c>
      <c r="N43" t="s">
        <v>1029</v>
      </c>
      <c r="O43" t="s">
        <v>320</v>
      </c>
      <c r="P43" t="s">
        <v>1022</v>
      </c>
      <c r="Q43" t="s">
        <v>320</v>
      </c>
      <c r="R43" t="s">
        <v>1181</v>
      </c>
      <c r="S43">
        <v>45741</v>
      </c>
      <c r="T43">
        <v>45742</v>
      </c>
      <c r="U43" t="s">
        <v>448</v>
      </c>
      <c r="V43" t="s">
        <v>320</v>
      </c>
      <c r="W43" t="s">
        <v>1173</v>
      </c>
      <c r="X43">
        <v>45742</v>
      </c>
      <c r="Y43" t="s">
        <v>320</v>
      </c>
      <c r="Z43" t="s">
        <v>320</v>
      </c>
      <c r="AA43" t="s">
        <v>320</v>
      </c>
    </row>
    <row r="44" spans="1:28">
      <c r="A44">
        <v>7</v>
      </c>
      <c r="B44" t="s">
        <v>1021</v>
      </c>
      <c r="C44">
        <v>46037</v>
      </c>
      <c r="D44">
        <v>46051</v>
      </c>
      <c r="E44" t="s">
        <v>1185</v>
      </c>
      <c r="F44" t="s">
        <v>1188</v>
      </c>
      <c r="G44" t="s">
        <v>1189</v>
      </c>
      <c r="H44" t="s">
        <v>1190</v>
      </c>
      <c r="I44" t="s">
        <v>13</v>
      </c>
      <c r="J44">
        <v>3</v>
      </c>
      <c r="K44">
        <v>17.5</v>
      </c>
      <c r="M44" t="s">
        <v>318</v>
      </c>
      <c r="N44" t="s">
        <v>1029</v>
      </c>
      <c r="O44" t="s">
        <v>320</v>
      </c>
      <c r="P44" t="s">
        <v>1035</v>
      </c>
      <c r="Q44" t="s">
        <v>320</v>
      </c>
      <c r="R44" t="s">
        <v>1191</v>
      </c>
      <c r="S44">
        <v>45742</v>
      </c>
      <c r="T44">
        <v>45743</v>
      </c>
      <c r="U44" t="s">
        <v>448</v>
      </c>
      <c r="V44" t="s">
        <v>320</v>
      </c>
      <c r="W44" t="s">
        <v>323</v>
      </c>
      <c r="X44">
        <v>45743</v>
      </c>
      <c r="Y44" t="s">
        <v>320</v>
      </c>
      <c r="Z44" t="s">
        <v>320</v>
      </c>
      <c r="AA44" t="s">
        <v>320</v>
      </c>
    </row>
    <row r="45" spans="1:28">
      <c r="A45">
        <v>1</v>
      </c>
      <c r="B45" t="s">
        <v>1021</v>
      </c>
      <c r="C45">
        <v>45744</v>
      </c>
      <c r="D45">
        <v>45757</v>
      </c>
      <c r="E45" t="s">
        <v>108</v>
      </c>
      <c r="F45" t="s">
        <v>1132</v>
      </c>
      <c r="G45" t="s">
        <v>1133</v>
      </c>
      <c r="H45" t="s">
        <v>1134</v>
      </c>
      <c r="I45" t="s">
        <v>13</v>
      </c>
      <c r="J45">
        <v>8</v>
      </c>
      <c r="L45">
        <v>168</v>
      </c>
      <c r="M45" t="s">
        <v>318</v>
      </c>
      <c r="N45" t="s">
        <v>1029</v>
      </c>
      <c r="O45" s="144" t="s">
        <v>1135</v>
      </c>
      <c r="P45" t="s">
        <v>1064</v>
      </c>
      <c r="Q45" t="s">
        <v>320</v>
      </c>
      <c r="R45" t="s">
        <v>1136</v>
      </c>
      <c r="S45">
        <v>45755</v>
      </c>
      <c r="T45">
        <v>45756</v>
      </c>
      <c r="U45" t="s">
        <v>448</v>
      </c>
      <c r="V45" t="s">
        <v>320</v>
      </c>
      <c r="W45" t="s">
        <v>1137</v>
      </c>
      <c r="X45">
        <v>45756</v>
      </c>
      <c r="Y45" t="s">
        <v>320</v>
      </c>
      <c r="Z45" t="s">
        <v>320</v>
      </c>
      <c r="AA45" t="s">
        <v>320</v>
      </c>
      <c r="AB45" s="144" t="s">
        <v>1138</v>
      </c>
    </row>
    <row r="46" spans="1:28">
      <c r="A46">
        <v>2</v>
      </c>
      <c r="B46" t="s">
        <v>1021</v>
      </c>
      <c r="C46">
        <v>45744</v>
      </c>
      <c r="D46">
        <v>45757</v>
      </c>
      <c r="E46" t="s">
        <v>108</v>
      </c>
      <c r="F46" t="s">
        <v>448</v>
      </c>
      <c r="G46" t="s">
        <v>1123</v>
      </c>
      <c r="H46" t="s">
        <v>1124</v>
      </c>
      <c r="I46" t="s">
        <v>636</v>
      </c>
      <c r="J46">
        <v>3</v>
      </c>
      <c r="L46">
        <v>24.5</v>
      </c>
      <c r="M46" t="s">
        <v>318</v>
      </c>
      <c r="N46" t="s">
        <v>448</v>
      </c>
      <c r="O46" t="s">
        <v>320</v>
      </c>
      <c r="P46" t="s">
        <v>322</v>
      </c>
      <c r="Q46" t="s">
        <v>320</v>
      </c>
      <c r="R46" t="s">
        <v>1139</v>
      </c>
      <c r="S46">
        <v>45757</v>
      </c>
      <c r="T46">
        <v>45757</v>
      </c>
      <c r="U46" t="s">
        <v>322</v>
      </c>
      <c r="V46" t="s">
        <v>320</v>
      </c>
      <c r="W46" t="s">
        <v>1137</v>
      </c>
      <c r="X46">
        <v>45757</v>
      </c>
      <c r="Y46" t="s">
        <v>320</v>
      </c>
      <c r="Z46" t="s">
        <v>320</v>
      </c>
      <c r="AA46" t="s">
        <v>320</v>
      </c>
      <c r="AB46" s="144" t="s">
        <v>1140</v>
      </c>
    </row>
    <row r="47" spans="1:28">
      <c r="A47">
        <v>3</v>
      </c>
      <c r="B47" t="s">
        <v>1021</v>
      </c>
      <c r="C47">
        <v>45744</v>
      </c>
      <c r="D47">
        <v>45757</v>
      </c>
      <c r="E47" t="s">
        <v>108</v>
      </c>
      <c r="F47" t="s">
        <v>1022</v>
      </c>
      <c r="G47" t="s">
        <v>1141</v>
      </c>
      <c r="H47" t="s">
        <v>1142</v>
      </c>
      <c r="I47" t="s">
        <v>13</v>
      </c>
      <c r="L47">
        <v>11.5</v>
      </c>
      <c r="M47" t="s">
        <v>318</v>
      </c>
      <c r="N47" t="s">
        <v>1029</v>
      </c>
      <c r="O47" t="s">
        <v>320</v>
      </c>
      <c r="P47" t="s">
        <v>448</v>
      </c>
      <c r="Q47" t="s">
        <v>320</v>
      </c>
      <c r="R47" t="s">
        <v>1143</v>
      </c>
      <c r="S47">
        <v>45756</v>
      </c>
      <c r="T47">
        <v>45757</v>
      </c>
      <c r="U47" t="s">
        <v>448</v>
      </c>
      <c r="V47" t="s">
        <v>320</v>
      </c>
      <c r="W47" t="s">
        <v>1137</v>
      </c>
      <c r="X47">
        <v>45757</v>
      </c>
      <c r="Y47" t="s">
        <v>320</v>
      </c>
      <c r="Z47" t="s">
        <v>320</v>
      </c>
      <c r="AA47" t="s">
        <v>320</v>
      </c>
      <c r="AB47" s="144" t="s">
        <v>1144</v>
      </c>
    </row>
    <row r="48" spans="1:28">
      <c r="A48">
        <v>4</v>
      </c>
      <c r="B48" t="s">
        <v>1021</v>
      </c>
      <c r="C48">
        <v>45744</v>
      </c>
      <c r="D48">
        <v>45757</v>
      </c>
      <c r="E48" t="s">
        <v>108</v>
      </c>
      <c r="F48" s="144" t="s">
        <v>1145</v>
      </c>
      <c r="G48" t="s">
        <v>1146</v>
      </c>
      <c r="H48" t="s">
        <v>1147</v>
      </c>
      <c r="I48" t="s">
        <v>13</v>
      </c>
      <c r="J48">
        <v>1</v>
      </c>
      <c r="K48">
        <v>1</v>
      </c>
      <c r="L48">
        <v>21.5</v>
      </c>
      <c r="AB48" t="s">
        <v>1148</v>
      </c>
    </row>
    <row r="49" spans="1:28">
      <c r="A49">
        <v>5</v>
      </c>
      <c r="B49" t="s">
        <v>1021</v>
      </c>
      <c r="C49">
        <v>45744</v>
      </c>
      <c r="D49">
        <v>45757</v>
      </c>
      <c r="E49" t="s">
        <v>108</v>
      </c>
      <c r="F49" t="s">
        <v>448</v>
      </c>
      <c r="G49" t="s">
        <v>1149</v>
      </c>
      <c r="H49" t="s">
        <v>1150</v>
      </c>
      <c r="I49" t="s">
        <v>13</v>
      </c>
      <c r="J49">
        <v>1</v>
      </c>
      <c r="K49">
        <v>1</v>
      </c>
      <c r="L49">
        <v>25.25</v>
      </c>
    </row>
    <row r="50" spans="1:28">
      <c r="A50">
        <v>1</v>
      </c>
      <c r="B50" t="s">
        <v>1021</v>
      </c>
      <c r="C50">
        <v>45757</v>
      </c>
      <c r="D50">
        <v>45771</v>
      </c>
      <c r="E50" t="s">
        <v>112</v>
      </c>
      <c r="F50" t="s">
        <v>1035</v>
      </c>
      <c r="G50" t="s">
        <v>1110</v>
      </c>
      <c r="H50" t="s">
        <v>1111</v>
      </c>
      <c r="I50" t="s">
        <v>13</v>
      </c>
      <c r="J50">
        <v>3</v>
      </c>
      <c r="L50">
        <v>25.73</v>
      </c>
      <c r="N50" t="s">
        <v>1029</v>
      </c>
      <c r="O50" t="s">
        <v>320</v>
      </c>
      <c r="P50" t="s">
        <v>1022</v>
      </c>
      <c r="Q50" t="s">
        <v>320</v>
      </c>
      <c r="R50" t="s">
        <v>1112</v>
      </c>
      <c r="S50">
        <v>45762</v>
      </c>
      <c r="T50">
        <v>45763</v>
      </c>
      <c r="U50" t="s">
        <v>448</v>
      </c>
      <c r="V50" t="s">
        <v>320</v>
      </c>
      <c r="W50" t="s">
        <v>323</v>
      </c>
      <c r="X50">
        <v>45763</v>
      </c>
      <c r="Y50" t="s">
        <v>320</v>
      </c>
      <c r="Z50" t="s">
        <v>320</v>
      </c>
      <c r="AA50" t="s">
        <v>320</v>
      </c>
      <c r="AB50" s="144" t="s">
        <v>1113</v>
      </c>
    </row>
    <row r="51" spans="1:28">
      <c r="A51">
        <v>2</v>
      </c>
      <c r="B51" t="s">
        <v>1021</v>
      </c>
      <c r="C51">
        <v>45757</v>
      </c>
      <c r="D51">
        <v>45771</v>
      </c>
      <c r="E51" t="s">
        <v>112</v>
      </c>
      <c r="F51" t="s">
        <v>1022</v>
      </c>
      <c r="G51" t="s">
        <v>1114</v>
      </c>
      <c r="H51" t="s">
        <v>1115</v>
      </c>
      <c r="I51" t="s">
        <v>13</v>
      </c>
      <c r="J51">
        <v>2</v>
      </c>
      <c r="K51">
        <v>2</v>
      </c>
      <c r="L51">
        <v>2.25</v>
      </c>
      <c r="M51" t="s">
        <v>1116</v>
      </c>
      <c r="P51" t="s">
        <v>1117</v>
      </c>
    </row>
    <row r="52" spans="1:28">
      <c r="A52">
        <v>3</v>
      </c>
      <c r="B52" t="s">
        <v>1021</v>
      </c>
      <c r="C52">
        <v>45757</v>
      </c>
      <c r="D52">
        <v>45771</v>
      </c>
      <c r="E52" t="s">
        <v>112</v>
      </c>
      <c r="F52" t="s">
        <v>1031</v>
      </c>
      <c r="G52" t="s">
        <v>1118</v>
      </c>
      <c r="H52" t="s">
        <v>1119</v>
      </c>
      <c r="I52" t="s">
        <v>13</v>
      </c>
      <c r="J52">
        <v>2</v>
      </c>
      <c r="K52">
        <v>2</v>
      </c>
      <c r="L52">
        <v>26.5</v>
      </c>
      <c r="M52" t="s">
        <v>318</v>
      </c>
      <c r="N52" t="s">
        <v>1029</v>
      </c>
      <c r="O52" t="s">
        <v>320</v>
      </c>
      <c r="P52" t="s">
        <v>1035</v>
      </c>
      <c r="Q52" t="s">
        <v>320</v>
      </c>
      <c r="R52" t="s">
        <v>1120</v>
      </c>
      <c r="S52">
        <v>45765</v>
      </c>
      <c r="T52">
        <v>45768</v>
      </c>
      <c r="U52" t="s">
        <v>322</v>
      </c>
      <c r="V52" t="s">
        <v>320</v>
      </c>
      <c r="W52" t="s">
        <v>323</v>
      </c>
      <c r="X52">
        <v>45768</v>
      </c>
      <c r="Y52" t="s">
        <v>320</v>
      </c>
      <c r="Z52" t="s">
        <v>320</v>
      </c>
      <c r="AA52" t="s">
        <v>320</v>
      </c>
      <c r="AB52" s="144" t="s">
        <v>1121</v>
      </c>
    </row>
    <row r="53" spans="1:28">
      <c r="A53">
        <v>4</v>
      </c>
      <c r="B53" t="s">
        <v>1021</v>
      </c>
      <c r="C53">
        <v>45757</v>
      </c>
      <c r="D53">
        <v>45771</v>
      </c>
      <c r="E53" t="s">
        <v>112</v>
      </c>
      <c r="F53" t="s">
        <v>1122</v>
      </c>
      <c r="G53" t="s">
        <v>1123</v>
      </c>
      <c r="H53" t="s">
        <v>1124</v>
      </c>
      <c r="I53" t="s">
        <v>13</v>
      </c>
      <c r="J53">
        <v>2</v>
      </c>
      <c r="K53">
        <v>2</v>
      </c>
      <c r="L53">
        <v>18.5</v>
      </c>
      <c r="AB53" t="s">
        <v>1125</v>
      </c>
    </row>
    <row r="54" spans="1:28">
      <c r="A54">
        <v>5</v>
      </c>
      <c r="B54" t="s">
        <v>1021</v>
      </c>
      <c r="C54">
        <v>45757</v>
      </c>
      <c r="D54">
        <v>45771</v>
      </c>
      <c r="E54" t="s">
        <v>1126</v>
      </c>
      <c r="F54" t="s">
        <v>1127</v>
      </c>
      <c r="G54" t="s">
        <v>1128</v>
      </c>
      <c r="H54" t="s">
        <v>1129</v>
      </c>
      <c r="I54" t="s">
        <v>13</v>
      </c>
      <c r="J54">
        <v>5</v>
      </c>
      <c r="K54">
        <v>5</v>
      </c>
      <c r="L54">
        <v>77</v>
      </c>
      <c r="AB54" t="s">
        <v>1130</v>
      </c>
    </row>
    <row r="55" spans="1:28">
      <c r="A55">
        <v>1</v>
      </c>
      <c r="B55" t="s">
        <v>1021</v>
      </c>
      <c r="C55">
        <v>45771</v>
      </c>
      <c r="D55">
        <v>45785</v>
      </c>
      <c r="E55" t="s">
        <v>116</v>
      </c>
      <c r="F55" t="s">
        <v>1022</v>
      </c>
      <c r="G55" t="s">
        <v>1092</v>
      </c>
      <c r="H55" t="s">
        <v>1093</v>
      </c>
      <c r="I55" t="s">
        <v>13</v>
      </c>
      <c r="J55">
        <v>3</v>
      </c>
      <c r="L55">
        <v>50</v>
      </c>
      <c r="AB55" s="144" t="s">
        <v>1094</v>
      </c>
    </row>
    <row r="56" spans="1:28">
      <c r="A56">
        <v>2</v>
      </c>
      <c r="B56" t="s">
        <v>1021</v>
      </c>
      <c r="C56">
        <v>45771</v>
      </c>
      <c r="D56">
        <v>45785</v>
      </c>
      <c r="E56" t="s">
        <v>116</v>
      </c>
      <c r="F56" t="s">
        <v>1035</v>
      </c>
      <c r="G56" t="s">
        <v>1095</v>
      </c>
      <c r="H56" t="s">
        <v>1096</v>
      </c>
      <c r="I56" t="s">
        <v>13</v>
      </c>
      <c r="J56">
        <v>2</v>
      </c>
      <c r="K56">
        <v>2</v>
      </c>
      <c r="L56">
        <v>47.25</v>
      </c>
      <c r="M56" t="s">
        <v>318</v>
      </c>
      <c r="N56" t="s">
        <v>1029</v>
      </c>
      <c r="O56" t="s">
        <v>1097</v>
      </c>
      <c r="P56" t="s">
        <v>1022</v>
      </c>
      <c r="Q56" t="s">
        <v>320</v>
      </c>
      <c r="R56" t="s">
        <v>1098</v>
      </c>
      <c r="S56">
        <v>45776</v>
      </c>
      <c r="T56">
        <v>45778</v>
      </c>
      <c r="U56" t="s">
        <v>448</v>
      </c>
      <c r="V56" t="s">
        <v>320</v>
      </c>
      <c r="W56" t="s">
        <v>323</v>
      </c>
      <c r="X56">
        <v>45778</v>
      </c>
      <c r="Y56" t="s">
        <v>1099</v>
      </c>
      <c r="Z56" t="s">
        <v>320</v>
      </c>
      <c r="AA56" t="s">
        <v>320</v>
      </c>
      <c r="AB56" s="144" t="s">
        <v>1100</v>
      </c>
    </row>
    <row r="57" spans="1:28">
      <c r="A57">
        <v>3</v>
      </c>
      <c r="B57" t="s">
        <v>1021</v>
      </c>
      <c r="C57">
        <v>45771</v>
      </c>
      <c r="D57">
        <v>45785</v>
      </c>
      <c r="E57" t="s">
        <v>116</v>
      </c>
      <c r="F57" t="s">
        <v>448</v>
      </c>
      <c r="G57" t="s">
        <v>1067</v>
      </c>
      <c r="H57" t="s">
        <v>1068</v>
      </c>
      <c r="I57" t="s">
        <v>278</v>
      </c>
      <c r="J57">
        <v>2</v>
      </c>
      <c r="L57">
        <v>2.5</v>
      </c>
    </row>
    <row r="58" spans="1:28">
      <c r="A58">
        <v>4</v>
      </c>
      <c r="B58" t="s">
        <v>1021</v>
      </c>
      <c r="C58">
        <v>45771</v>
      </c>
      <c r="D58">
        <v>45785</v>
      </c>
      <c r="E58" t="s">
        <v>116</v>
      </c>
      <c r="F58" t="s">
        <v>1026</v>
      </c>
      <c r="G58" t="s">
        <v>1070</v>
      </c>
      <c r="H58" t="s">
        <v>1071</v>
      </c>
      <c r="I58" t="s">
        <v>1053</v>
      </c>
      <c r="J58">
        <v>5</v>
      </c>
      <c r="K58">
        <v>3</v>
      </c>
      <c r="L58">
        <v>65.25</v>
      </c>
      <c r="M58" t="s">
        <v>318</v>
      </c>
      <c r="N58" t="s">
        <v>1029</v>
      </c>
      <c r="P58" t="s">
        <v>1022</v>
      </c>
      <c r="Q58" t="s">
        <v>320</v>
      </c>
      <c r="R58" t="s">
        <v>1101</v>
      </c>
      <c r="S58">
        <v>45784</v>
      </c>
      <c r="T58">
        <v>45785</v>
      </c>
      <c r="U58" t="s">
        <v>322</v>
      </c>
      <c r="V58" t="s">
        <v>320</v>
      </c>
      <c r="W58" t="s">
        <v>323</v>
      </c>
      <c r="X58">
        <v>45785</v>
      </c>
      <c r="Y58" s="144" t="s">
        <v>1102</v>
      </c>
      <c r="Z58" t="s">
        <v>320</v>
      </c>
      <c r="AA58" t="s">
        <v>320</v>
      </c>
      <c r="AB58" s="144" t="s">
        <v>1103</v>
      </c>
    </row>
    <row r="59" spans="1:28">
      <c r="A59">
        <v>5</v>
      </c>
      <c r="B59" t="s">
        <v>1021</v>
      </c>
      <c r="C59">
        <v>45771</v>
      </c>
      <c r="D59">
        <v>45785</v>
      </c>
      <c r="E59" t="s">
        <v>116</v>
      </c>
      <c r="F59" t="s">
        <v>1104</v>
      </c>
      <c r="G59" t="s">
        <v>1105</v>
      </c>
      <c r="H59" t="s">
        <v>1106</v>
      </c>
      <c r="I59" t="s">
        <v>13</v>
      </c>
      <c r="J59">
        <v>3</v>
      </c>
      <c r="L59">
        <v>16</v>
      </c>
      <c r="M59" t="s">
        <v>318</v>
      </c>
      <c r="N59" t="s">
        <v>1029</v>
      </c>
      <c r="O59" t="s">
        <v>1107</v>
      </c>
      <c r="P59" t="s">
        <v>1022</v>
      </c>
      <c r="Q59" t="s">
        <v>320</v>
      </c>
      <c r="R59" t="s">
        <v>1108</v>
      </c>
      <c r="S59">
        <v>45782</v>
      </c>
      <c r="T59">
        <v>45784</v>
      </c>
      <c r="U59" t="s">
        <v>322</v>
      </c>
      <c r="V59" t="s">
        <v>320</v>
      </c>
      <c r="W59" t="s">
        <v>323</v>
      </c>
      <c r="X59">
        <v>45784</v>
      </c>
      <c r="Y59" t="s">
        <v>320</v>
      </c>
      <c r="Z59" t="s">
        <v>320</v>
      </c>
      <c r="AA59" t="s">
        <v>320</v>
      </c>
      <c r="AB59" t="s">
        <v>1109</v>
      </c>
    </row>
    <row r="60" spans="1:28">
      <c r="A60">
        <v>1</v>
      </c>
      <c r="B60" t="s">
        <v>1021</v>
      </c>
      <c r="C60">
        <v>45786</v>
      </c>
      <c r="D60">
        <v>45799</v>
      </c>
      <c r="E60" t="s">
        <v>120</v>
      </c>
      <c r="F60" t="s">
        <v>1064</v>
      </c>
      <c r="G60" t="s">
        <v>1065</v>
      </c>
      <c r="H60" t="s">
        <v>1024</v>
      </c>
      <c r="I60" t="s">
        <v>13</v>
      </c>
      <c r="J60">
        <v>3</v>
      </c>
      <c r="K60">
        <v>3</v>
      </c>
      <c r="L60">
        <v>58.25</v>
      </c>
      <c r="AB60" s="144" t="s">
        <v>1066</v>
      </c>
    </row>
    <row r="61" spans="1:28">
      <c r="A61">
        <v>2</v>
      </c>
      <c r="B61" t="s">
        <v>1021</v>
      </c>
      <c r="C61">
        <v>45786</v>
      </c>
      <c r="D61">
        <v>45799</v>
      </c>
      <c r="E61" t="s">
        <v>120</v>
      </c>
      <c r="F61" t="s">
        <v>448</v>
      </c>
      <c r="G61" t="s">
        <v>1067</v>
      </c>
      <c r="H61" t="s">
        <v>1068</v>
      </c>
      <c r="I61" t="s">
        <v>13</v>
      </c>
      <c r="J61">
        <v>2</v>
      </c>
      <c r="K61">
        <v>2</v>
      </c>
      <c r="L61">
        <v>13</v>
      </c>
      <c r="M61" t="s">
        <v>318</v>
      </c>
      <c r="N61" t="s">
        <v>1029</v>
      </c>
      <c r="O61" t="s">
        <v>320</v>
      </c>
      <c r="P61" t="s">
        <v>322</v>
      </c>
      <c r="Q61" t="s">
        <v>320</v>
      </c>
      <c r="R61" t="s">
        <v>1069</v>
      </c>
      <c r="S61">
        <v>45798</v>
      </c>
      <c r="T61">
        <v>45798</v>
      </c>
      <c r="U61" t="s">
        <v>322</v>
      </c>
      <c r="V61" t="s">
        <v>320</v>
      </c>
      <c r="W61" t="s">
        <v>323</v>
      </c>
      <c r="X61">
        <v>45798</v>
      </c>
      <c r="Y61" t="s">
        <v>320</v>
      </c>
      <c r="Z61" t="s">
        <v>320</v>
      </c>
      <c r="AA61" t="s">
        <v>320</v>
      </c>
    </row>
    <row r="62" spans="1:28">
      <c r="A62">
        <v>3</v>
      </c>
      <c r="B62" t="s">
        <v>1021</v>
      </c>
      <c r="C62">
        <v>45786</v>
      </c>
      <c r="D62">
        <v>45799</v>
      </c>
      <c r="E62" t="s">
        <v>120</v>
      </c>
      <c r="F62" t="s">
        <v>448</v>
      </c>
      <c r="G62" t="s">
        <v>1070</v>
      </c>
      <c r="H62" t="s">
        <v>1071</v>
      </c>
      <c r="I62" t="s">
        <v>13</v>
      </c>
      <c r="J62">
        <v>2</v>
      </c>
      <c r="K62">
        <v>2</v>
      </c>
      <c r="L62">
        <v>50.75</v>
      </c>
      <c r="AB62" t="s">
        <v>1072</v>
      </c>
    </row>
    <row r="63" spans="1:28">
      <c r="A63">
        <v>4</v>
      </c>
      <c r="B63" t="s">
        <v>1021</v>
      </c>
      <c r="C63">
        <v>45786</v>
      </c>
      <c r="D63">
        <v>45799</v>
      </c>
      <c r="E63" t="s">
        <v>120</v>
      </c>
      <c r="F63" t="s">
        <v>1022</v>
      </c>
      <c r="G63" t="s">
        <v>1073</v>
      </c>
      <c r="H63" t="s">
        <v>1074</v>
      </c>
      <c r="I63" t="s">
        <v>13</v>
      </c>
      <c r="L63">
        <v>23.5</v>
      </c>
      <c r="M63" t="s">
        <v>318</v>
      </c>
      <c r="N63" t="s">
        <v>1029</v>
      </c>
      <c r="O63" t="s">
        <v>320</v>
      </c>
      <c r="P63" t="s">
        <v>1035</v>
      </c>
      <c r="Q63" t="s">
        <v>320</v>
      </c>
      <c r="R63" t="s">
        <v>1075</v>
      </c>
      <c r="S63">
        <v>45786</v>
      </c>
      <c r="T63">
        <v>45787</v>
      </c>
      <c r="U63" t="s">
        <v>448</v>
      </c>
      <c r="V63" t="s">
        <v>320</v>
      </c>
      <c r="W63" t="s">
        <v>323</v>
      </c>
      <c r="X63">
        <v>45787</v>
      </c>
      <c r="Y63" t="s">
        <v>320</v>
      </c>
      <c r="Z63" t="s">
        <v>320</v>
      </c>
      <c r="AA63" t="s">
        <v>320</v>
      </c>
      <c r="AB63" t="s">
        <v>1076</v>
      </c>
    </row>
    <row r="64" spans="1:28">
      <c r="A64">
        <v>5</v>
      </c>
      <c r="B64" t="s">
        <v>1021</v>
      </c>
      <c r="C64">
        <v>45786</v>
      </c>
      <c r="D64">
        <v>45799</v>
      </c>
      <c r="E64" t="s">
        <v>120</v>
      </c>
      <c r="F64" t="s">
        <v>1026</v>
      </c>
      <c r="G64" t="s">
        <v>1077</v>
      </c>
      <c r="H64" t="s">
        <v>1078</v>
      </c>
      <c r="I64" t="s">
        <v>13</v>
      </c>
      <c r="J64">
        <v>3</v>
      </c>
      <c r="K64">
        <v>3</v>
      </c>
      <c r="L64">
        <v>72</v>
      </c>
      <c r="M64" t="s">
        <v>318</v>
      </c>
      <c r="N64" t="s">
        <v>1029</v>
      </c>
      <c r="O64" t="s">
        <v>320</v>
      </c>
      <c r="P64" t="s">
        <v>322</v>
      </c>
      <c r="Q64" t="s">
        <v>320</v>
      </c>
      <c r="R64" t="s">
        <v>1079</v>
      </c>
      <c r="S64">
        <v>45798</v>
      </c>
      <c r="T64">
        <v>45799</v>
      </c>
      <c r="U64" t="s">
        <v>448</v>
      </c>
      <c r="V64" t="s">
        <v>1080</v>
      </c>
      <c r="W64" t="s">
        <v>323</v>
      </c>
      <c r="X64">
        <v>45799</v>
      </c>
      <c r="Y64" t="s">
        <v>320</v>
      </c>
      <c r="Z64" t="s">
        <v>320</v>
      </c>
      <c r="AA64" t="s">
        <v>320</v>
      </c>
      <c r="AB64" t="s">
        <v>1081</v>
      </c>
    </row>
    <row r="65" spans="1:28">
      <c r="A65">
        <v>6</v>
      </c>
      <c r="B65" t="s">
        <v>1021</v>
      </c>
      <c r="C65">
        <v>45786</v>
      </c>
      <c r="D65">
        <v>45799</v>
      </c>
      <c r="E65" t="s">
        <v>120</v>
      </c>
      <c r="F65" t="s">
        <v>448</v>
      </c>
      <c r="G65" t="s">
        <v>1082</v>
      </c>
      <c r="H65" t="s">
        <v>1083</v>
      </c>
      <c r="I65" t="s">
        <v>13</v>
      </c>
      <c r="J65">
        <v>3</v>
      </c>
      <c r="K65">
        <v>3</v>
      </c>
      <c r="L65">
        <v>38.5</v>
      </c>
      <c r="M65" t="s">
        <v>318</v>
      </c>
      <c r="N65" t="s">
        <v>1029</v>
      </c>
      <c r="O65" t="s">
        <v>320</v>
      </c>
      <c r="P65" t="s">
        <v>322</v>
      </c>
      <c r="Q65" t="s">
        <v>320</v>
      </c>
      <c r="R65" t="s">
        <v>1084</v>
      </c>
      <c r="S65">
        <v>45796</v>
      </c>
      <c r="T65">
        <v>45798</v>
      </c>
      <c r="U65" t="s">
        <v>322</v>
      </c>
      <c r="V65" t="s">
        <v>320</v>
      </c>
      <c r="W65" t="s">
        <v>323</v>
      </c>
      <c r="X65">
        <v>45798</v>
      </c>
      <c r="Y65" t="s">
        <v>320</v>
      </c>
      <c r="Z65" t="s">
        <v>320</v>
      </c>
      <c r="AA65" t="s">
        <v>320</v>
      </c>
    </row>
    <row r="66" spans="1:28">
      <c r="A66">
        <v>1</v>
      </c>
      <c r="B66" t="s">
        <v>1021</v>
      </c>
      <c r="C66">
        <v>45800</v>
      </c>
      <c r="D66">
        <v>45813</v>
      </c>
      <c r="E66" t="s">
        <v>124</v>
      </c>
      <c r="F66" t="s">
        <v>1022</v>
      </c>
      <c r="G66" t="s">
        <v>1023</v>
      </c>
      <c r="H66" t="s">
        <v>1024</v>
      </c>
      <c r="I66" t="s">
        <v>13</v>
      </c>
      <c r="J66">
        <v>3</v>
      </c>
      <c r="K66">
        <v>3</v>
      </c>
      <c r="L66">
        <v>57</v>
      </c>
      <c r="AB66" s="144" t="s">
        <v>1025</v>
      </c>
    </row>
    <row r="67" spans="1:28">
      <c r="A67">
        <v>2</v>
      </c>
      <c r="B67" t="s">
        <v>1021</v>
      </c>
      <c r="C67">
        <v>45800</v>
      </c>
      <c r="D67">
        <v>45813</v>
      </c>
      <c r="E67" t="s">
        <v>124</v>
      </c>
      <c r="F67" t="s">
        <v>1026</v>
      </c>
      <c r="G67" t="s">
        <v>1027</v>
      </c>
      <c r="H67" t="s">
        <v>1028</v>
      </c>
      <c r="I67" t="s">
        <v>283</v>
      </c>
      <c r="J67">
        <v>5</v>
      </c>
      <c r="L67">
        <v>141.75</v>
      </c>
      <c r="M67" t="s">
        <v>318</v>
      </c>
      <c r="N67" t="s">
        <v>1029</v>
      </c>
      <c r="O67" t="s">
        <v>1030</v>
      </c>
      <c r="P67" t="s">
        <v>1031</v>
      </c>
      <c r="Q67" t="s">
        <v>320</v>
      </c>
      <c r="R67" t="s">
        <v>1032</v>
      </c>
      <c r="S67">
        <v>45812</v>
      </c>
      <c r="T67">
        <v>45813</v>
      </c>
      <c r="U67" t="s">
        <v>448</v>
      </c>
      <c r="V67" t="s">
        <v>320</v>
      </c>
      <c r="W67" t="s">
        <v>323</v>
      </c>
      <c r="X67">
        <v>45813</v>
      </c>
      <c r="Y67" s="144" t="s">
        <v>1033</v>
      </c>
      <c r="AB67" s="144" t="s">
        <v>1034</v>
      </c>
    </row>
    <row r="68" spans="1:28">
      <c r="A68">
        <v>3</v>
      </c>
      <c r="B68" t="s">
        <v>1021</v>
      </c>
      <c r="C68">
        <v>45800</v>
      </c>
      <c r="D68">
        <v>45813</v>
      </c>
      <c r="E68" t="s">
        <v>124</v>
      </c>
      <c r="F68" t="s">
        <v>1035</v>
      </c>
      <c r="G68" t="s">
        <v>1036</v>
      </c>
      <c r="H68" t="s">
        <v>1037</v>
      </c>
      <c r="I68" t="s">
        <v>13</v>
      </c>
      <c r="J68">
        <v>2</v>
      </c>
      <c r="K68">
        <v>2</v>
      </c>
      <c r="L68">
        <v>39.25</v>
      </c>
      <c r="M68" t="s">
        <v>318</v>
      </c>
      <c r="N68" t="s">
        <v>1029</v>
      </c>
      <c r="O68" t="s">
        <v>320</v>
      </c>
      <c r="P68" t="s">
        <v>1022</v>
      </c>
      <c r="Q68" t="s">
        <v>320</v>
      </c>
      <c r="R68" t="s">
        <v>1038</v>
      </c>
      <c r="S68">
        <v>45803</v>
      </c>
      <c r="T68">
        <v>45805</v>
      </c>
      <c r="U68" t="s">
        <v>448</v>
      </c>
      <c r="V68" t="s">
        <v>320</v>
      </c>
      <c r="W68" t="s">
        <v>323</v>
      </c>
      <c r="X68">
        <v>45805</v>
      </c>
      <c r="Y68" t="s">
        <v>320</v>
      </c>
      <c r="Z68" t="s">
        <v>320</v>
      </c>
      <c r="AA68" t="s">
        <v>320</v>
      </c>
      <c r="AB68" s="144" t="s">
        <v>1039</v>
      </c>
    </row>
    <row r="69" spans="1:28">
      <c r="A69">
        <v>4</v>
      </c>
      <c r="B69" t="s">
        <v>1021</v>
      </c>
      <c r="C69">
        <v>45800</v>
      </c>
      <c r="D69">
        <v>45813</v>
      </c>
      <c r="E69" t="s">
        <v>124</v>
      </c>
      <c r="F69" t="s">
        <v>1040</v>
      </c>
      <c r="G69" t="s">
        <v>1041</v>
      </c>
      <c r="H69" t="s">
        <v>1042</v>
      </c>
      <c r="I69" t="s">
        <v>13</v>
      </c>
      <c r="J69">
        <v>1</v>
      </c>
      <c r="K69">
        <v>1</v>
      </c>
      <c r="L69">
        <v>24.75</v>
      </c>
      <c r="AB69" s="144" t="s">
        <v>1043</v>
      </c>
    </row>
    <row r="70" spans="1:28">
      <c r="A70">
        <v>5</v>
      </c>
      <c r="B70" t="s">
        <v>1021</v>
      </c>
      <c r="C70">
        <v>45800</v>
      </c>
      <c r="D70">
        <v>45813</v>
      </c>
      <c r="E70" t="s">
        <v>124</v>
      </c>
      <c r="F70" t="s">
        <v>233</v>
      </c>
      <c r="G70" t="s">
        <v>1044</v>
      </c>
      <c r="H70" t="s">
        <v>1045</v>
      </c>
      <c r="I70" t="s">
        <v>13</v>
      </c>
      <c r="J70">
        <v>5</v>
      </c>
      <c r="K70">
        <v>5</v>
      </c>
      <c r="L70">
        <v>66</v>
      </c>
      <c r="AB70" s="144" t="s">
        <v>1043</v>
      </c>
    </row>
    <row r="71" spans="1:28">
      <c r="A71">
        <v>6</v>
      </c>
      <c r="B71" t="s">
        <v>1021</v>
      </c>
      <c r="C71">
        <v>45800</v>
      </c>
      <c r="D71">
        <v>45813</v>
      </c>
      <c r="E71" t="s">
        <v>1046</v>
      </c>
      <c r="F71" t="s">
        <v>232</v>
      </c>
      <c r="G71" t="s">
        <v>1010</v>
      </c>
      <c r="H71" t="s">
        <v>1011</v>
      </c>
      <c r="I71" t="s">
        <v>278</v>
      </c>
      <c r="J71">
        <v>3</v>
      </c>
      <c r="L71">
        <v>102.5</v>
      </c>
      <c r="AB71" s="144" t="s">
        <v>1047</v>
      </c>
    </row>
    <row r="72" spans="1:28">
      <c r="A72">
        <v>7</v>
      </c>
      <c r="B72" t="s">
        <v>1021</v>
      </c>
      <c r="C72">
        <v>45800</v>
      </c>
      <c r="D72">
        <v>45813</v>
      </c>
      <c r="E72" t="s">
        <v>1046</v>
      </c>
      <c r="F72" t="s">
        <v>448</v>
      </c>
      <c r="G72" t="s">
        <v>1048</v>
      </c>
      <c r="H72" t="s">
        <v>1049</v>
      </c>
      <c r="I72" t="s">
        <v>13</v>
      </c>
      <c r="J72">
        <v>2</v>
      </c>
      <c r="K72">
        <v>2</v>
      </c>
      <c r="L72">
        <v>7.25</v>
      </c>
      <c r="AB72" s="144" t="s">
        <v>1050</v>
      </c>
    </row>
    <row r="73" spans="1:28">
      <c r="A73">
        <v>1</v>
      </c>
      <c r="B73" t="s">
        <v>5</v>
      </c>
      <c r="C73">
        <v>45814</v>
      </c>
      <c r="D73">
        <v>45826</v>
      </c>
      <c r="E73" t="s">
        <v>128</v>
      </c>
      <c r="F73" t="s">
        <v>233</v>
      </c>
      <c r="G73" t="s">
        <v>1010</v>
      </c>
      <c r="H73" t="s">
        <v>1011</v>
      </c>
      <c r="I73" t="s">
        <v>1053</v>
      </c>
      <c r="J73">
        <v>2</v>
      </c>
      <c r="L73">
        <v>49.25</v>
      </c>
      <c r="N73" t="s">
        <v>319</v>
      </c>
      <c r="O73" s="144" t="s">
        <v>1012</v>
      </c>
      <c r="P73" t="s">
        <v>232</v>
      </c>
      <c r="Q73" t="s">
        <v>579</v>
      </c>
      <c r="R73" t="s">
        <v>1054</v>
      </c>
      <c r="S73">
        <v>45817</v>
      </c>
      <c r="T73">
        <v>45826</v>
      </c>
      <c r="U73" t="s">
        <v>322</v>
      </c>
      <c r="V73" t="s">
        <v>320</v>
      </c>
      <c r="W73" t="s">
        <v>323</v>
      </c>
      <c r="X73">
        <v>45826</v>
      </c>
      <c r="Y73" t="s">
        <v>320</v>
      </c>
      <c r="Z73" t="s">
        <v>320</v>
      </c>
      <c r="AA73" t="s">
        <v>320</v>
      </c>
      <c r="AB73" s="144" t="s">
        <v>1055</v>
      </c>
    </row>
    <row r="74" spans="1:28">
      <c r="A74">
        <v>2</v>
      </c>
      <c r="B74" t="s">
        <v>5</v>
      </c>
      <c r="C74">
        <v>45814</v>
      </c>
      <c r="D74">
        <v>45827</v>
      </c>
      <c r="E74" t="s">
        <v>128</v>
      </c>
      <c r="F74" t="s">
        <v>1056</v>
      </c>
      <c r="G74" t="s">
        <v>1013</v>
      </c>
      <c r="H74" t="s">
        <v>1014</v>
      </c>
      <c r="I74" t="s">
        <v>283</v>
      </c>
      <c r="J74">
        <v>5</v>
      </c>
      <c r="L74">
        <v>222.5</v>
      </c>
      <c r="N74" t="s">
        <v>319</v>
      </c>
      <c r="O74" s="144" t="s">
        <v>1057</v>
      </c>
      <c r="P74" t="s">
        <v>233</v>
      </c>
      <c r="R74" t="s">
        <v>1058</v>
      </c>
      <c r="S74">
        <v>45825</v>
      </c>
      <c r="U74" t="s">
        <v>322</v>
      </c>
      <c r="AB74" s="144" t="s">
        <v>1059</v>
      </c>
    </row>
    <row r="75" spans="1:28">
      <c r="A75">
        <v>3</v>
      </c>
      <c r="B75" t="s">
        <v>5</v>
      </c>
      <c r="C75">
        <v>45814</v>
      </c>
      <c r="D75">
        <v>45827</v>
      </c>
      <c r="E75" t="s">
        <v>1924</v>
      </c>
      <c r="F75" t="s">
        <v>233</v>
      </c>
      <c r="G75" t="s">
        <v>1061</v>
      </c>
      <c r="H75" t="s">
        <v>1011</v>
      </c>
      <c r="I75" t="s">
        <v>13</v>
      </c>
      <c r="J75">
        <v>2</v>
      </c>
      <c r="K75">
        <v>2</v>
      </c>
      <c r="L75">
        <v>12</v>
      </c>
      <c r="N75" t="s">
        <v>319</v>
      </c>
      <c r="P75" t="s">
        <v>232</v>
      </c>
      <c r="Q75" t="s">
        <v>579</v>
      </c>
      <c r="R75" t="s">
        <v>1062</v>
      </c>
      <c r="S75">
        <v>45825</v>
      </c>
      <c r="T75">
        <v>45826</v>
      </c>
      <c r="U75" t="s">
        <v>322</v>
      </c>
      <c r="V75" t="s">
        <v>320</v>
      </c>
      <c r="W75" t="s">
        <v>323</v>
      </c>
      <c r="X75">
        <v>45826</v>
      </c>
      <c r="Y75" t="s">
        <v>320</v>
      </c>
      <c r="Z75" t="s">
        <v>320</v>
      </c>
      <c r="AA75" t="s">
        <v>320</v>
      </c>
      <c r="AB75" s="144" t="s">
        <v>1063</v>
      </c>
    </row>
    <row r="76" spans="1:28">
      <c r="A76">
        <v>1</v>
      </c>
      <c r="B76" t="s">
        <v>5</v>
      </c>
      <c r="C76">
        <v>45827</v>
      </c>
      <c r="D76">
        <v>45841</v>
      </c>
      <c r="E76" t="s">
        <v>132</v>
      </c>
      <c r="F76" t="s">
        <v>233</v>
      </c>
      <c r="G76" t="s">
        <v>987</v>
      </c>
      <c r="H76" t="s">
        <v>988</v>
      </c>
      <c r="I76" t="s">
        <v>283</v>
      </c>
      <c r="J76">
        <v>5</v>
      </c>
      <c r="L76">
        <v>115</v>
      </c>
      <c r="M76" t="s">
        <v>318</v>
      </c>
      <c r="N76" t="s">
        <v>319</v>
      </c>
      <c r="O76" s="144" t="s">
        <v>1002</v>
      </c>
      <c r="P76" t="s">
        <v>232</v>
      </c>
      <c r="R76" t="s">
        <v>990</v>
      </c>
      <c r="S76">
        <v>45840</v>
      </c>
      <c r="U76" t="s">
        <v>595</v>
      </c>
      <c r="V76" t="s">
        <v>320</v>
      </c>
      <c r="AB76" s="144" t="s">
        <v>1003</v>
      </c>
    </row>
    <row r="77" spans="1:28">
      <c r="A77">
        <v>2</v>
      </c>
      <c r="B77" t="s">
        <v>5</v>
      </c>
      <c r="C77">
        <v>45827</v>
      </c>
      <c r="D77">
        <v>45841</v>
      </c>
      <c r="E77" t="s">
        <v>132</v>
      </c>
      <c r="F77" t="s">
        <v>975</v>
      </c>
      <c r="G77" t="s">
        <v>1004</v>
      </c>
      <c r="H77" t="s">
        <v>1005</v>
      </c>
      <c r="I77" t="s">
        <v>13</v>
      </c>
      <c r="J77">
        <v>5</v>
      </c>
      <c r="L77">
        <v>154.25</v>
      </c>
      <c r="M77" t="s">
        <v>318</v>
      </c>
      <c r="N77" t="s">
        <v>319</v>
      </c>
      <c r="O77" s="144" t="s">
        <v>1006</v>
      </c>
      <c r="P77" t="s">
        <v>233</v>
      </c>
      <c r="R77" t="s">
        <v>1007</v>
      </c>
      <c r="S77">
        <v>45839</v>
      </c>
      <c r="T77">
        <v>45839</v>
      </c>
      <c r="U77" t="s">
        <v>595</v>
      </c>
      <c r="V77" t="s">
        <v>579</v>
      </c>
      <c r="W77" t="s">
        <v>323</v>
      </c>
      <c r="X77">
        <v>45839</v>
      </c>
      <c r="Y77" t="s">
        <v>579</v>
      </c>
      <c r="Z77" t="s">
        <v>579</v>
      </c>
      <c r="AA77" t="s">
        <v>579</v>
      </c>
      <c r="AB77" s="144" t="s">
        <v>1008</v>
      </c>
    </row>
    <row r="78" spans="1:28">
      <c r="A78">
        <v>3</v>
      </c>
      <c r="B78" t="s">
        <v>5</v>
      </c>
      <c r="C78">
        <v>45827</v>
      </c>
      <c r="D78">
        <v>45841</v>
      </c>
      <c r="E78" t="s">
        <v>132</v>
      </c>
      <c r="F78" t="s">
        <v>1009</v>
      </c>
      <c r="G78" t="s">
        <v>1010</v>
      </c>
      <c r="H78" t="s">
        <v>1011</v>
      </c>
      <c r="I78" t="s">
        <v>13</v>
      </c>
      <c r="J78">
        <v>1</v>
      </c>
      <c r="L78">
        <v>3.75</v>
      </c>
      <c r="N78" t="s">
        <v>319</v>
      </c>
      <c r="O78" s="144" t="s">
        <v>1012</v>
      </c>
    </row>
    <row r="79" spans="1:28">
      <c r="A79">
        <v>4</v>
      </c>
      <c r="B79" t="s">
        <v>5</v>
      </c>
      <c r="C79">
        <v>45827</v>
      </c>
      <c r="D79">
        <v>45841</v>
      </c>
      <c r="E79" t="s">
        <v>132</v>
      </c>
      <c r="F79" t="s">
        <v>975</v>
      </c>
      <c r="G79" t="s">
        <v>1013</v>
      </c>
      <c r="H79" t="s">
        <v>1014</v>
      </c>
      <c r="I79" t="s">
        <v>13</v>
      </c>
      <c r="J79">
        <v>1</v>
      </c>
      <c r="L79">
        <v>43.75</v>
      </c>
      <c r="M79" t="s">
        <v>318</v>
      </c>
      <c r="N79" t="s">
        <v>319</v>
      </c>
      <c r="O79" s="144" t="s">
        <v>1015</v>
      </c>
      <c r="P79" t="s">
        <v>957</v>
      </c>
      <c r="Q79" t="s">
        <v>579</v>
      </c>
      <c r="R79" t="s">
        <v>1016</v>
      </c>
      <c r="S79">
        <v>45825</v>
      </c>
      <c r="T79">
        <v>45835</v>
      </c>
      <c r="U79" t="s">
        <v>322</v>
      </c>
      <c r="V79" t="s">
        <v>579</v>
      </c>
      <c r="W79" t="s">
        <v>323</v>
      </c>
      <c r="X79">
        <v>45835</v>
      </c>
      <c r="Y79" s="144" t="s">
        <v>1017</v>
      </c>
      <c r="Z79" t="s">
        <v>579</v>
      </c>
      <c r="AA79" t="s">
        <v>579</v>
      </c>
      <c r="AB79" t="s">
        <v>1018</v>
      </c>
    </row>
    <row r="80" spans="1:28">
      <c r="A80">
        <v>5</v>
      </c>
      <c r="B80" t="s">
        <v>5</v>
      </c>
      <c r="C80">
        <v>45840</v>
      </c>
      <c r="D80">
        <v>45854</v>
      </c>
      <c r="E80" t="s">
        <v>1925</v>
      </c>
      <c r="F80" t="s">
        <v>975</v>
      </c>
      <c r="G80" t="s">
        <v>971</v>
      </c>
      <c r="H80" t="s">
        <v>976</v>
      </c>
      <c r="I80" t="s">
        <v>278</v>
      </c>
      <c r="J80">
        <v>3</v>
      </c>
      <c r="L80">
        <v>33.5</v>
      </c>
      <c r="AB80" s="144" t="s">
        <v>1926</v>
      </c>
    </row>
    <row r="81" spans="1:28">
      <c r="A81">
        <v>1</v>
      </c>
      <c r="B81" t="s">
        <v>5</v>
      </c>
      <c r="C81">
        <v>45841</v>
      </c>
      <c r="D81">
        <v>45855</v>
      </c>
      <c r="E81" t="s">
        <v>136</v>
      </c>
      <c r="F81" t="s">
        <v>233</v>
      </c>
      <c r="G81" t="s">
        <v>987</v>
      </c>
      <c r="H81" t="s">
        <v>988</v>
      </c>
      <c r="I81" t="s">
        <v>13</v>
      </c>
      <c r="J81">
        <v>3</v>
      </c>
      <c r="L81">
        <v>64.5</v>
      </c>
      <c r="M81">
        <v>45842</v>
      </c>
      <c r="N81">
        <v>45847</v>
      </c>
      <c r="O81" t="s">
        <v>318</v>
      </c>
      <c r="P81" t="s">
        <v>319</v>
      </c>
      <c r="Q81" s="144" t="s">
        <v>989</v>
      </c>
      <c r="R81" t="s">
        <v>362</v>
      </c>
      <c r="S81" t="s">
        <v>320</v>
      </c>
      <c r="T81" t="s">
        <v>990</v>
      </c>
      <c r="U81">
        <v>45845</v>
      </c>
      <c r="V81">
        <v>45854</v>
      </c>
      <c r="W81" t="s">
        <v>595</v>
      </c>
    </row>
    <row r="82" spans="1:28">
      <c r="A82">
        <v>2</v>
      </c>
      <c r="B82" t="s">
        <v>5</v>
      </c>
      <c r="C82">
        <v>45841</v>
      </c>
      <c r="D82">
        <v>45855</v>
      </c>
      <c r="E82" t="s">
        <v>136</v>
      </c>
      <c r="F82" t="s">
        <v>975</v>
      </c>
      <c r="G82" t="s">
        <v>971</v>
      </c>
      <c r="H82" t="s">
        <v>976</v>
      </c>
      <c r="I82" t="s">
        <v>283</v>
      </c>
      <c r="J82">
        <v>3</v>
      </c>
      <c r="L82">
        <v>220</v>
      </c>
      <c r="M82">
        <v>45842</v>
      </c>
      <c r="N82">
        <v>45854</v>
      </c>
      <c r="O82" t="s">
        <v>318</v>
      </c>
      <c r="P82" t="s">
        <v>319</v>
      </c>
      <c r="Q82" s="144" t="s">
        <v>992</v>
      </c>
      <c r="R82" t="s">
        <v>980</v>
      </c>
      <c r="S82" t="s">
        <v>320</v>
      </c>
      <c r="T82" t="s">
        <v>978</v>
      </c>
      <c r="U82">
        <v>45854</v>
      </c>
      <c r="W82" t="s">
        <v>448</v>
      </c>
    </row>
    <row r="83" spans="1:28">
      <c r="A83">
        <v>3</v>
      </c>
      <c r="B83" t="s">
        <v>5</v>
      </c>
      <c r="C83">
        <v>45841</v>
      </c>
      <c r="D83">
        <v>45855</v>
      </c>
      <c r="E83" t="s">
        <v>136</v>
      </c>
      <c r="F83" t="s">
        <v>233</v>
      </c>
      <c r="G83" t="s">
        <v>994</v>
      </c>
      <c r="H83" t="s">
        <v>995</v>
      </c>
      <c r="I83" t="s">
        <v>13</v>
      </c>
      <c r="J83">
        <v>3</v>
      </c>
      <c r="L83">
        <v>33</v>
      </c>
      <c r="M83">
        <v>45846</v>
      </c>
      <c r="N83">
        <v>45848</v>
      </c>
      <c r="O83" t="s">
        <v>318</v>
      </c>
      <c r="P83" t="s">
        <v>319</v>
      </c>
      <c r="R83" t="s">
        <v>980</v>
      </c>
      <c r="S83" t="s">
        <v>320</v>
      </c>
      <c r="T83" t="s">
        <v>996</v>
      </c>
      <c r="U83">
        <v>45847</v>
      </c>
      <c r="V83">
        <v>45854</v>
      </c>
      <c r="W83" t="s">
        <v>448</v>
      </c>
    </row>
    <row r="84" spans="1:28">
      <c r="A84">
        <v>4</v>
      </c>
      <c r="B84" t="s">
        <v>5</v>
      </c>
      <c r="C84">
        <v>45841</v>
      </c>
      <c r="D84">
        <v>45855</v>
      </c>
      <c r="E84" t="s">
        <v>136</v>
      </c>
      <c r="F84" t="s">
        <v>233</v>
      </c>
      <c r="G84" t="s">
        <v>936</v>
      </c>
      <c r="H84" t="s">
        <v>937</v>
      </c>
      <c r="I84" t="s">
        <v>283</v>
      </c>
      <c r="J84">
        <v>5</v>
      </c>
      <c r="L84">
        <v>33</v>
      </c>
      <c r="M84">
        <v>45849</v>
      </c>
      <c r="N84">
        <v>45855</v>
      </c>
      <c r="O84" t="s">
        <v>318</v>
      </c>
      <c r="R84" t="s">
        <v>980</v>
      </c>
      <c r="S84" t="s">
        <v>320</v>
      </c>
      <c r="T84" t="s">
        <v>938</v>
      </c>
      <c r="U84">
        <v>45854</v>
      </c>
      <c r="W84" t="s">
        <v>448</v>
      </c>
    </row>
    <row r="85" spans="1:28">
      <c r="A85">
        <v>1</v>
      </c>
      <c r="B85" t="s">
        <v>5</v>
      </c>
      <c r="C85">
        <v>45855</v>
      </c>
      <c r="D85">
        <v>45869</v>
      </c>
      <c r="E85" t="s">
        <v>140</v>
      </c>
      <c r="F85" t="s">
        <v>975</v>
      </c>
      <c r="G85" t="s">
        <v>971</v>
      </c>
      <c r="H85" t="s">
        <v>976</v>
      </c>
      <c r="I85" t="s">
        <v>13</v>
      </c>
      <c r="J85">
        <v>3</v>
      </c>
      <c r="K85">
        <v>3</v>
      </c>
      <c r="L85">
        <v>135.75</v>
      </c>
      <c r="M85">
        <v>45856</v>
      </c>
      <c r="N85">
        <v>45859</v>
      </c>
      <c r="O85" t="s">
        <v>318</v>
      </c>
      <c r="P85" t="s">
        <v>517</v>
      </c>
      <c r="Q85" s="144" t="s">
        <v>977</v>
      </c>
      <c r="R85" t="s">
        <v>233</v>
      </c>
      <c r="S85" t="s">
        <v>320</v>
      </c>
      <c r="T85" t="s">
        <v>978</v>
      </c>
      <c r="U85">
        <v>45854</v>
      </c>
      <c r="V85">
        <v>45867</v>
      </c>
      <c r="W85" t="s">
        <v>448</v>
      </c>
      <c r="X85" t="s">
        <v>320</v>
      </c>
      <c r="Y85" t="s">
        <v>320</v>
      </c>
      <c r="Z85">
        <v>45867</v>
      </c>
      <c r="AA85" t="s">
        <v>320</v>
      </c>
    </row>
    <row r="86" spans="1:28">
      <c r="A86">
        <v>2</v>
      </c>
      <c r="B86" t="s">
        <v>5</v>
      </c>
      <c r="C86">
        <v>45855</v>
      </c>
      <c r="D86">
        <v>45869</v>
      </c>
      <c r="E86" t="s">
        <v>140</v>
      </c>
      <c r="F86" t="s">
        <v>233</v>
      </c>
      <c r="G86" t="s">
        <v>936</v>
      </c>
      <c r="H86" t="s">
        <v>937</v>
      </c>
      <c r="I86" t="s">
        <v>278</v>
      </c>
      <c r="J86">
        <v>3</v>
      </c>
      <c r="K86">
        <v>3</v>
      </c>
      <c r="L86">
        <v>102.75</v>
      </c>
      <c r="M86">
        <v>45856</v>
      </c>
      <c r="N86">
        <v>45869</v>
      </c>
      <c r="O86" t="s">
        <v>318</v>
      </c>
      <c r="P86" t="s">
        <v>517</v>
      </c>
      <c r="R86" t="s">
        <v>980</v>
      </c>
      <c r="S86" t="s">
        <v>320</v>
      </c>
      <c r="T86" t="s">
        <v>938</v>
      </c>
      <c r="U86">
        <v>45854</v>
      </c>
      <c r="V86">
        <v>45869</v>
      </c>
      <c r="W86" t="s">
        <v>448</v>
      </c>
      <c r="X86" t="s">
        <v>320</v>
      </c>
      <c r="Y86" t="s">
        <v>320</v>
      </c>
      <c r="Z86">
        <v>45869</v>
      </c>
      <c r="AA86" t="s">
        <v>320</v>
      </c>
    </row>
    <row r="87" spans="1:28">
      <c r="A87">
        <v>1</v>
      </c>
      <c r="B87" t="s">
        <v>5</v>
      </c>
      <c r="C87">
        <v>45869</v>
      </c>
      <c r="D87">
        <v>45883</v>
      </c>
      <c r="E87" t="s">
        <v>144</v>
      </c>
      <c r="F87" t="s">
        <v>233</v>
      </c>
      <c r="G87" t="s">
        <v>936</v>
      </c>
      <c r="H87" t="s">
        <v>937</v>
      </c>
      <c r="I87" t="s">
        <v>283</v>
      </c>
      <c r="J87">
        <v>5</v>
      </c>
      <c r="L87">
        <v>111.75</v>
      </c>
      <c r="M87">
        <v>45869</v>
      </c>
      <c r="N87">
        <v>45882</v>
      </c>
      <c r="O87" t="s">
        <v>318</v>
      </c>
      <c r="P87" t="s">
        <v>517</v>
      </c>
      <c r="Q87" t="s">
        <v>320</v>
      </c>
      <c r="R87" t="s">
        <v>953</v>
      </c>
      <c r="S87" t="s">
        <v>320</v>
      </c>
      <c r="T87" t="s">
        <v>938</v>
      </c>
      <c r="U87">
        <v>45882</v>
      </c>
      <c r="V87">
        <v>45882</v>
      </c>
      <c r="W87" t="s">
        <v>595</v>
      </c>
      <c r="X87" t="s">
        <v>320</v>
      </c>
      <c r="Y87" t="s">
        <v>323</v>
      </c>
      <c r="Z87">
        <v>45882</v>
      </c>
      <c r="AA87" t="s">
        <v>320</v>
      </c>
      <c r="AB87" t="s">
        <v>320</v>
      </c>
    </row>
    <row r="88" spans="1:28">
      <c r="A88">
        <v>2</v>
      </c>
      <c r="B88" t="s">
        <v>5</v>
      </c>
      <c r="C88">
        <v>45869</v>
      </c>
      <c r="D88">
        <v>45883</v>
      </c>
      <c r="E88" t="s">
        <v>144</v>
      </c>
      <c r="F88" t="s">
        <v>362</v>
      </c>
      <c r="G88" t="s">
        <v>955</v>
      </c>
      <c r="H88" t="s">
        <v>956</v>
      </c>
      <c r="I88" t="s">
        <v>13</v>
      </c>
      <c r="J88">
        <v>2</v>
      </c>
      <c r="K88">
        <v>2</v>
      </c>
      <c r="L88">
        <v>58.75</v>
      </c>
      <c r="M88">
        <v>45870</v>
      </c>
      <c r="N88">
        <v>45877</v>
      </c>
      <c r="O88" t="s">
        <v>318</v>
      </c>
      <c r="P88" t="s">
        <v>517</v>
      </c>
      <c r="Q88" t="s">
        <v>579</v>
      </c>
      <c r="R88" t="s">
        <v>957</v>
      </c>
      <c r="S88" t="s">
        <v>320</v>
      </c>
      <c r="T88" t="s">
        <v>958</v>
      </c>
      <c r="U88">
        <v>45876</v>
      </c>
      <c r="V88">
        <v>45881</v>
      </c>
      <c r="W88" t="s">
        <v>595</v>
      </c>
      <c r="X88" t="s">
        <v>320</v>
      </c>
      <c r="Y88" t="s">
        <v>323</v>
      </c>
      <c r="Z88">
        <v>45881</v>
      </c>
      <c r="AA88" t="s">
        <v>320</v>
      </c>
      <c r="AB88" t="s">
        <v>320</v>
      </c>
    </row>
    <row r="89" spans="1:28">
      <c r="A89">
        <v>3</v>
      </c>
      <c r="B89" t="s">
        <v>5</v>
      </c>
      <c r="C89">
        <v>45869</v>
      </c>
      <c r="D89">
        <v>45883</v>
      </c>
      <c r="E89" t="s">
        <v>144</v>
      </c>
      <c r="F89" t="s">
        <v>957</v>
      </c>
      <c r="G89" t="s">
        <v>960</v>
      </c>
      <c r="H89" t="s">
        <v>961</v>
      </c>
      <c r="I89" t="s">
        <v>13</v>
      </c>
      <c r="J89">
        <v>3</v>
      </c>
      <c r="K89">
        <v>3</v>
      </c>
      <c r="L89">
        <v>78.25</v>
      </c>
      <c r="M89">
        <v>45870</v>
      </c>
      <c r="N89">
        <v>45881</v>
      </c>
      <c r="O89" t="s">
        <v>318</v>
      </c>
      <c r="P89" t="s">
        <v>517</v>
      </c>
      <c r="Q89" s="144" t="s">
        <v>962</v>
      </c>
      <c r="R89" t="s">
        <v>362</v>
      </c>
      <c r="S89" t="s">
        <v>320</v>
      </c>
      <c r="T89" t="s">
        <v>963</v>
      </c>
      <c r="U89">
        <v>45881</v>
      </c>
      <c r="V89">
        <v>45882</v>
      </c>
      <c r="W89" t="s">
        <v>448</v>
      </c>
      <c r="X89" t="s">
        <v>320</v>
      </c>
      <c r="Y89" t="s">
        <v>323</v>
      </c>
      <c r="Z89">
        <v>45882</v>
      </c>
      <c r="AA89" t="s">
        <v>320</v>
      </c>
      <c r="AB89" t="s">
        <v>320</v>
      </c>
    </row>
    <row r="90" spans="1:28">
      <c r="A90">
        <v>1</v>
      </c>
      <c r="B90" t="s">
        <v>5</v>
      </c>
      <c r="C90">
        <v>45883</v>
      </c>
      <c r="D90">
        <v>45897</v>
      </c>
      <c r="E90" t="s">
        <v>148</v>
      </c>
      <c r="F90" t="s">
        <v>233</v>
      </c>
      <c r="G90" t="s">
        <v>943</v>
      </c>
      <c r="H90" t="s">
        <v>944</v>
      </c>
      <c r="I90" t="s">
        <v>13</v>
      </c>
      <c r="J90">
        <v>3</v>
      </c>
      <c r="K90">
        <v>3</v>
      </c>
      <c r="L90">
        <v>89.75</v>
      </c>
      <c r="M90">
        <v>45883</v>
      </c>
      <c r="N90">
        <v>45895</v>
      </c>
      <c r="O90" t="s">
        <v>320</v>
      </c>
      <c r="P90" t="s">
        <v>517</v>
      </c>
      <c r="Q90" s="144" t="s">
        <v>945</v>
      </c>
      <c r="R90" t="s">
        <v>362</v>
      </c>
      <c r="S90" t="s">
        <v>320</v>
      </c>
      <c r="T90" t="s">
        <v>946</v>
      </c>
      <c r="U90">
        <v>45894</v>
      </c>
      <c r="V90">
        <v>45896</v>
      </c>
      <c r="W90" t="s">
        <v>595</v>
      </c>
      <c r="X90" t="s">
        <v>320</v>
      </c>
      <c r="Y90" t="s">
        <v>323</v>
      </c>
      <c r="Z90">
        <v>45896</v>
      </c>
      <c r="AA90" t="s">
        <v>320</v>
      </c>
      <c r="AB90" t="s">
        <v>320</v>
      </c>
    </row>
    <row r="91" spans="1:28">
      <c r="A91">
        <v>2</v>
      </c>
      <c r="B91" t="s">
        <v>5</v>
      </c>
      <c r="C91">
        <v>45883</v>
      </c>
      <c r="D91">
        <v>45897</v>
      </c>
      <c r="E91" t="s">
        <v>148</v>
      </c>
      <c r="F91" t="s">
        <v>948</v>
      </c>
      <c r="G91" t="s">
        <v>927</v>
      </c>
      <c r="H91" t="s">
        <v>928</v>
      </c>
      <c r="I91" t="s">
        <v>283</v>
      </c>
      <c r="J91">
        <v>8</v>
      </c>
      <c r="L91">
        <v>149.66999999999999</v>
      </c>
      <c r="M91">
        <v>45883</v>
      </c>
      <c r="N91">
        <v>45896</v>
      </c>
      <c r="O91" t="s">
        <v>320</v>
      </c>
      <c r="P91" t="s">
        <v>517</v>
      </c>
      <c r="Q91" s="144" t="s">
        <v>949</v>
      </c>
      <c r="R91" t="s">
        <v>498</v>
      </c>
      <c r="S91" t="s">
        <v>320</v>
      </c>
      <c r="T91" t="s">
        <v>930</v>
      </c>
      <c r="U91">
        <v>45897</v>
      </c>
      <c r="W91" t="s">
        <v>595</v>
      </c>
      <c r="X91" t="s">
        <v>320</v>
      </c>
    </row>
    <row r="92" spans="1:28">
      <c r="A92">
        <v>1</v>
      </c>
      <c r="B92" t="s">
        <v>5</v>
      </c>
      <c r="C92">
        <v>45897</v>
      </c>
      <c r="D92">
        <v>45911</v>
      </c>
      <c r="E92" t="s">
        <v>152</v>
      </c>
      <c r="F92" t="s">
        <v>233</v>
      </c>
      <c r="G92" t="s">
        <v>922</v>
      </c>
      <c r="H92" t="s">
        <v>923</v>
      </c>
      <c r="I92" t="s">
        <v>13</v>
      </c>
      <c r="J92">
        <v>5</v>
      </c>
      <c r="L92">
        <v>70.5</v>
      </c>
      <c r="M92">
        <v>45897</v>
      </c>
      <c r="N92">
        <v>45909</v>
      </c>
      <c r="O92" t="s">
        <v>320</v>
      </c>
      <c r="P92" t="s">
        <v>517</v>
      </c>
      <c r="Q92" t="s">
        <v>924</v>
      </c>
      <c r="R92" t="s">
        <v>232</v>
      </c>
      <c r="S92" t="s">
        <v>320</v>
      </c>
      <c r="T92" t="s">
        <v>925</v>
      </c>
      <c r="U92">
        <v>45903</v>
      </c>
      <c r="V92">
        <v>45909</v>
      </c>
      <c r="W92" t="s">
        <v>595</v>
      </c>
      <c r="X92" t="s">
        <v>320</v>
      </c>
      <c r="Y92" t="s">
        <v>323</v>
      </c>
      <c r="Z92">
        <v>45909</v>
      </c>
      <c r="AA92" t="s">
        <v>320</v>
      </c>
      <c r="AB92" t="s">
        <v>320</v>
      </c>
    </row>
    <row r="93" spans="1:28">
      <c r="A93">
        <v>2</v>
      </c>
      <c r="B93" t="s">
        <v>5</v>
      </c>
      <c r="C93">
        <v>45897</v>
      </c>
      <c r="D93">
        <v>45911</v>
      </c>
      <c r="E93" t="s">
        <v>152</v>
      </c>
      <c r="F93" t="s">
        <v>362</v>
      </c>
      <c r="G93" t="s">
        <v>927</v>
      </c>
      <c r="H93" t="s">
        <v>928</v>
      </c>
      <c r="I93" t="s">
        <v>13</v>
      </c>
      <c r="J93">
        <v>3</v>
      </c>
      <c r="L93">
        <v>102.17</v>
      </c>
      <c r="M93">
        <v>45898</v>
      </c>
      <c r="N93">
        <v>45905</v>
      </c>
      <c r="O93" t="s">
        <v>320</v>
      </c>
      <c r="P93" t="s">
        <v>517</v>
      </c>
      <c r="R93" t="s">
        <v>233</v>
      </c>
      <c r="S93" t="s">
        <v>929</v>
      </c>
      <c r="T93" t="s">
        <v>930</v>
      </c>
      <c r="U93">
        <v>45894</v>
      </c>
      <c r="V93">
        <v>45909</v>
      </c>
      <c r="W93" t="s">
        <v>595</v>
      </c>
      <c r="X93" t="s">
        <v>320</v>
      </c>
      <c r="Y93" t="s">
        <v>323</v>
      </c>
      <c r="Z93">
        <v>45909</v>
      </c>
      <c r="AA93" t="s">
        <v>320</v>
      </c>
      <c r="AB93" t="s">
        <v>320</v>
      </c>
    </row>
    <row r="94" spans="1:28">
      <c r="A94">
        <v>3</v>
      </c>
      <c r="B94" t="s">
        <v>5</v>
      </c>
      <c r="C94">
        <v>45897</v>
      </c>
      <c r="D94">
        <v>45911</v>
      </c>
      <c r="E94" t="s">
        <v>152</v>
      </c>
      <c r="F94" t="s">
        <v>293</v>
      </c>
      <c r="G94" t="s">
        <v>932</v>
      </c>
      <c r="H94" t="s">
        <v>933</v>
      </c>
      <c r="I94" t="s">
        <v>13</v>
      </c>
      <c r="J94">
        <v>2</v>
      </c>
      <c r="L94">
        <v>48.75</v>
      </c>
      <c r="M94">
        <v>45898</v>
      </c>
      <c r="N94">
        <v>45904</v>
      </c>
      <c r="O94" t="s">
        <v>320</v>
      </c>
      <c r="P94" t="s">
        <v>517</v>
      </c>
      <c r="R94" t="s">
        <v>232</v>
      </c>
      <c r="S94" t="s">
        <v>320</v>
      </c>
      <c r="T94" t="s">
        <v>934</v>
      </c>
      <c r="U94">
        <v>45901</v>
      </c>
      <c r="V94">
        <v>45905</v>
      </c>
      <c r="W94" t="s">
        <v>595</v>
      </c>
      <c r="X94" t="s">
        <v>320</v>
      </c>
      <c r="Y94" t="s">
        <v>323</v>
      </c>
      <c r="Z94">
        <v>45905</v>
      </c>
      <c r="AA94" t="s">
        <v>320</v>
      </c>
      <c r="AB94" t="s">
        <v>320</v>
      </c>
    </row>
    <row r="95" spans="1:28">
      <c r="A95">
        <v>4</v>
      </c>
      <c r="B95" t="s">
        <v>5</v>
      </c>
      <c r="C95">
        <v>45883</v>
      </c>
      <c r="D95">
        <v>45897</v>
      </c>
      <c r="E95" t="s">
        <v>152</v>
      </c>
      <c r="F95" t="s">
        <v>233</v>
      </c>
      <c r="G95" t="s">
        <v>936</v>
      </c>
      <c r="H95" t="s">
        <v>937</v>
      </c>
      <c r="I95" t="s">
        <v>13</v>
      </c>
      <c r="J95">
        <v>2</v>
      </c>
      <c r="L95">
        <v>37</v>
      </c>
      <c r="M95">
        <v>45909</v>
      </c>
      <c r="N95">
        <v>45910</v>
      </c>
      <c r="O95" t="s">
        <v>320</v>
      </c>
      <c r="R95" t="s">
        <v>232</v>
      </c>
      <c r="S95" t="s">
        <v>320</v>
      </c>
      <c r="T95" t="s">
        <v>938</v>
      </c>
      <c r="U95">
        <v>45882</v>
      </c>
      <c r="V95">
        <v>45911</v>
      </c>
      <c r="W95" t="s">
        <v>595</v>
      </c>
      <c r="X95" t="s">
        <v>320</v>
      </c>
      <c r="Y95" t="s">
        <v>323</v>
      </c>
      <c r="Z95">
        <v>45911</v>
      </c>
      <c r="AA95" t="s">
        <v>320</v>
      </c>
      <c r="AB95" t="s">
        <v>320</v>
      </c>
    </row>
    <row r="96" spans="1:28">
      <c r="A96">
        <v>1</v>
      </c>
      <c r="B96" t="s">
        <v>5</v>
      </c>
      <c r="C96">
        <v>45911</v>
      </c>
      <c r="D96">
        <v>45925</v>
      </c>
      <c r="E96" t="s">
        <v>156</v>
      </c>
      <c r="F96" t="s">
        <v>514</v>
      </c>
      <c r="G96" t="s">
        <v>904</v>
      </c>
      <c r="H96" t="s">
        <v>871</v>
      </c>
      <c r="I96" t="s">
        <v>278</v>
      </c>
      <c r="J96">
        <v>5</v>
      </c>
      <c r="L96">
        <v>129.5</v>
      </c>
      <c r="M96">
        <v>45911</v>
      </c>
      <c r="N96">
        <v>45925</v>
      </c>
      <c r="O96" t="s">
        <v>579</v>
      </c>
      <c r="P96" t="s">
        <v>517</v>
      </c>
      <c r="Q96" s="144" t="s">
        <v>905</v>
      </c>
      <c r="R96" t="s">
        <v>232</v>
      </c>
      <c r="S96" t="s">
        <v>320</v>
      </c>
      <c r="T96" t="s">
        <v>873</v>
      </c>
      <c r="U96">
        <v>45923</v>
      </c>
      <c r="V96" t="s">
        <v>320</v>
      </c>
      <c r="W96" t="s">
        <v>320</v>
      </c>
      <c r="X96" t="s">
        <v>320</v>
      </c>
      <c r="Y96" t="s">
        <v>320</v>
      </c>
      <c r="Z96" t="s">
        <v>320</v>
      </c>
      <c r="AA96" t="s">
        <v>320</v>
      </c>
      <c r="AB96" t="s">
        <v>320</v>
      </c>
    </row>
    <row r="97" spans="1:28">
      <c r="A97">
        <v>2</v>
      </c>
      <c r="B97" t="s">
        <v>5</v>
      </c>
      <c r="C97">
        <v>45911</v>
      </c>
      <c r="D97">
        <v>45925</v>
      </c>
      <c r="E97" t="s">
        <v>156</v>
      </c>
      <c r="F97" t="s">
        <v>232</v>
      </c>
      <c r="G97" t="s">
        <v>907</v>
      </c>
      <c r="H97" t="s">
        <v>908</v>
      </c>
      <c r="I97" t="s">
        <v>13</v>
      </c>
      <c r="J97">
        <v>2</v>
      </c>
      <c r="L97">
        <v>62</v>
      </c>
      <c r="M97">
        <v>45912</v>
      </c>
      <c r="N97">
        <v>45919</v>
      </c>
      <c r="P97" t="s">
        <v>517</v>
      </c>
      <c r="Q97" t="s">
        <v>909</v>
      </c>
      <c r="T97" t="s">
        <v>910</v>
      </c>
      <c r="U97">
        <v>45916</v>
      </c>
      <c r="V97">
        <v>45925</v>
      </c>
      <c r="W97" t="s">
        <v>448</v>
      </c>
      <c r="X97" t="s">
        <v>320</v>
      </c>
      <c r="Y97" t="s">
        <v>323</v>
      </c>
      <c r="Z97">
        <v>45925</v>
      </c>
      <c r="AA97" t="s">
        <v>320</v>
      </c>
      <c r="AB97" t="s">
        <v>320</v>
      </c>
    </row>
    <row r="98" spans="1:28">
      <c r="A98">
        <v>3</v>
      </c>
      <c r="B98" t="s">
        <v>5</v>
      </c>
      <c r="C98">
        <v>45911</v>
      </c>
      <c r="D98">
        <v>45925</v>
      </c>
      <c r="E98" t="s">
        <v>156</v>
      </c>
      <c r="F98" t="s">
        <v>293</v>
      </c>
      <c r="G98" t="s">
        <v>912</v>
      </c>
      <c r="H98" t="s">
        <v>913</v>
      </c>
      <c r="I98" t="s">
        <v>13</v>
      </c>
      <c r="J98">
        <v>2</v>
      </c>
      <c r="L98">
        <v>47.5</v>
      </c>
      <c r="M98">
        <v>45912</v>
      </c>
      <c r="N98">
        <v>45923</v>
      </c>
      <c r="O98" t="s">
        <v>318</v>
      </c>
      <c r="P98" t="s">
        <v>517</v>
      </c>
      <c r="Q98" s="144" t="s">
        <v>914</v>
      </c>
      <c r="R98" t="s">
        <v>232</v>
      </c>
      <c r="S98" t="s">
        <v>320</v>
      </c>
      <c r="T98" t="s">
        <v>915</v>
      </c>
      <c r="U98">
        <v>45923</v>
      </c>
      <c r="V98">
        <v>45924</v>
      </c>
      <c r="W98" t="s">
        <v>448</v>
      </c>
      <c r="X98" t="s">
        <v>320</v>
      </c>
      <c r="Y98" t="s">
        <v>323</v>
      </c>
      <c r="Z98">
        <v>45924</v>
      </c>
      <c r="AA98" t="s">
        <v>320</v>
      </c>
      <c r="AB98" t="s">
        <v>320</v>
      </c>
    </row>
    <row r="99" spans="1:28">
      <c r="A99">
        <v>1</v>
      </c>
      <c r="B99" t="s">
        <v>5</v>
      </c>
      <c r="C99">
        <v>45925</v>
      </c>
      <c r="D99">
        <v>45939</v>
      </c>
      <c r="E99" t="s">
        <v>160</v>
      </c>
      <c r="F99" t="s">
        <v>488</v>
      </c>
      <c r="G99" t="s">
        <v>839</v>
      </c>
      <c r="H99" t="s">
        <v>840</v>
      </c>
      <c r="I99" t="s">
        <v>278</v>
      </c>
      <c r="J99">
        <v>5</v>
      </c>
      <c r="L99">
        <v>157.75</v>
      </c>
      <c r="M99">
        <v>45926</v>
      </c>
      <c r="N99">
        <v>45938</v>
      </c>
      <c r="O99" t="s">
        <v>318</v>
      </c>
      <c r="P99" t="s">
        <v>517</v>
      </c>
      <c r="Q99" s="144" t="s">
        <v>867</v>
      </c>
      <c r="T99" t="s">
        <v>868</v>
      </c>
    </row>
    <row r="100" spans="1:28">
      <c r="A100">
        <v>2</v>
      </c>
      <c r="B100" t="s">
        <v>5</v>
      </c>
      <c r="C100">
        <v>45925</v>
      </c>
      <c r="D100">
        <v>45939</v>
      </c>
      <c r="E100" t="s">
        <v>160</v>
      </c>
      <c r="F100" t="s">
        <v>233</v>
      </c>
      <c r="G100" t="s">
        <v>870</v>
      </c>
      <c r="H100" t="s">
        <v>871</v>
      </c>
      <c r="I100" t="s">
        <v>13</v>
      </c>
      <c r="J100">
        <v>3</v>
      </c>
      <c r="K100">
        <v>3</v>
      </c>
      <c r="L100">
        <v>56.75</v>
      </c>
      <c r="M100">
        <v>45926</v>
      </c>
      <c r="N100">
        <v>45936</v>
      </c>
      <c r="O100" t="s">
        <v>318</v>
      </c>
      <c r="P100" t="s">
        <v>517</v>
      </c>
      <c r="Q100" s="144" t="s">
        <v>872</v>
      </c>
      <c r="R100" t="s">
        <v>232</v>
      </c>
      <c r="S100" t="s">
        <v>320</v>
      </c>
      <c r="T100" t="s">
        <v>873</v>
      </c>
      <c r="U100">
        <v>45938</v>
      </c>
      <c r="V100">
        <v>45939</v>
      </c>
      <c r="W100" t="s">
        <v>448</v>
      </c>
      <c r="X100" t="s">
        <v>579</v>
      </c>
      <c r="Y100" t="s">
        <v>323</v>
      </c>
      <c r="Z100">
        <v>45939</v>
      </c>
      <c r="AA100" t="s">
        <v>320</v>
      </c>
      <c r="AB100" t="s">
        <v>320</v>
      </c>
    </row>
    <row r="101" spans="1:28">
      <c r="A101">
        <v>3</v>
      </c>
      <c r="B101" t="s">
        <v>5</v>
      </c>
      <c r="C101">
        <v>45925</v>
      </c>
      <c r="D101">
        <v>45939</v>
      </c>
      <c r="E101" t="s">
        <v>160</v>
      </c>
      <c r="F101" t="s">
        <v>427</v>
      </c>
      <c r="G101" t="s">
        <v>875</v>
      </c>
      <c r="H101" t="s">
        <v>876</v>
      </c>
      <c r="I101" t="s">
        <v>13</v>
      </c>
      <c r="J101">
        <v>2</v>
      </c>
      <c r="L101">
        <v>26</v>
      </c>
      <c r="M101">
        <v>45926</v>
      </c>
      <c r="N101">
        <v>45930</v>
      </c>
      <c r="O101" t="s">
        <v>318</v>
      </c>
      <c r="P101" t="s">
        <v>517</v>
      </c>
      <c r="Q101" t="s">
        <v>320</v>
      </c>
      <c r="R101" t="s">
        <v>232</v>
      </c>
      <c r="S101" t="s">
        <v>320</v>
      </c>
      <c r="T101" t="s">
        <v>877</v>
      </c>
      <c r="U101">
        <v>45930</v>
      </c>
      <c r="V101">
        <v>45934</v>
      </c>
      <c r="W101" t="s">
        <v>448</v>
      </c>
      <c r="X101" t="s">
        <v>320</v>
      </c>
      <c r="Y101" t="s">
        <v>323</v>
      </c>
      <c r="Z101">
        <v>45934</v>
      </c>
      <c r="AA101" t="s">
        <v>320</v>
      </c>
      <c r="AB101" t="s">
        <v>320</v>
      </c>
    </row>
    <row r="102" spans="1:28">
      <c r="A102">
        <v>4</v>
      </c>
      <c r="B102" t="s">
        <v>5</v>
      </c>
      <c r="C102">
        <v>45925</v>
      </c>
      <c r="D102">
        <v>45939</v>
      </c>
      <c r="E102" t="s">
        <v>160</v>
      </c>
      <c r="F102" t="s">
        <v>879</v>
      </c>
      <c r="G102" t="s">
        <v>880</v>
      </c>
      <c r="H102" t="s">
        <v>881</v>
      </c>
      <c r="I102" t="s">
        <v>13</v>
      </c>
      <c r="J102">
        <v>5</v>
      </c>
      <c r="K102">
        <v>5</v>
      </c>
      <c r="L102">
        <v>45.5</v>
      </c>
      <c r="M102">
        <v>45926</v>
      </c>
      <c r="N102">
        <v>45934</v>
      </c>
      <c r="O102" t="s">
        <v>318</v>
      </c>
      <c r="P102" t="s">
        <v>517</v>
      </c>
      <c r="Q102" s="144" t="s">
        <v>882</v>
      </c>
      <c r="R102" t="s">
        <v>427</v>
      </c>
      <c r="T102" t="s">
        <v>883</v>
      </c>
      <c r="U102">
        <v>45931</v>
      </c>
      <c r="V102">
        <v>45934</v>
      </c>
      <c r="W102" t="s">
        <v>448</v>
      </c>
      <c r="X102" t="s">
        <v>320</v>
      </c>
      <c r="Y102" t="s">
        <v>795</v>
      </c>
      <c r="Z102">
        <v>45934</v>
      </c>
      <c r="AA102" t="s">
        <v>320</v>
      </c>
      <c r="AB102" t="s">
        <v>320</v>
      </c>
    </row>
    <row r="103" spans="1:28">
      <c r="A103">
        <v>5</v>
      </c>
      <c r="B103" t="s">
        <v>5</v>
      </c>
      <c r="C103">
        <v>45925</v>
      </c>
      <c r="D103">
        <v>45939</v>
      </c>
      <c r="E103" t="s">
        <v>885</v>
      </c>
      <c r="F103" t="s">
        <v>427</v>
      </c>
      <c r="G103" t="s">
        <v>886</v>
      </c>
      <c r="H103" t="s">
        <v>887</v>
      </c>
      <c r="I103" t="s">
        <v>13</v>
      </c>
      <c r="J103">
        <v>1</v>
      </c>
      <c r="L103">
        <v>9</v>
      </c>
      <c r="M103">
        <v>45933</v>
      </c>
      <c r="N103">
        <v>45933</v>
      </c>
      <c r="O103" t="s">
        <v>318</v>
      </c>
      <c r="P103" t="s">
        <v>517</v>
      </c>
      <c r="Q103" t="s">
        <v>888</v>
      </c>
      <c r="R103" t="s">
        <v>232</v>
      </c>
      <c r="S103" t="s">
        <v>320</v>
      </c>
      <c r="T103" t="s">
        <v>889</v>
      </c>
      <c r="U103">
        <v>45936</v>
      </c>
      <c r="V103">
        <v>45937</v>
      </c>
      <c r="W103" t="s">
        <v>448</v>
      </c>
      <c r="X103" t="s">
        <v>320</v>
      </c>
      <c r="Y103" t="s">
        <v>323</v>
      </c>
      <c r="Z103">
        <v>45937</v>
      </c>
      <c r="AA103" t="s">
        <v>320</v>
      </c>
      <c r="AB103" t="s">
        <v>320</v>
      </c>
    </row>
    <row r="104" spans="1:28">
      <c r="A104">
        <v>6</v>
      </c>
      <c r="B104" t="s">
        <v>5</v>
      </c>
      <c r="C104">
        <v>45925</v>
      </c>
      <c r="D104">
        <v>45939</v>
      </c>
      <c r="E104" t="s">
        <v>885</v>
      </c>
      <c r="F104" t="s">
        <v>427</v>
      </c>
      <c r="G104" t="s">
        <v>891</v>
      </c>
      <c r="H104" t="s">
        <v>892</v>
      </c>
      <c r="I104" t="s">
        <v>13</v>
      </c>
      <c r="J104">
        <v>1</v>
      </c>
      <c r="L104">
        <v>6</v>
      </c>
      <c r="M104">
        <v>45933</v>
      </c>
      <c r="N104">
        <v>45933</v>
      </c>
      <c r="O104" t="s">
        <v>318</v>
      </c>
      <c r="P104" t="s">
        <v>517</v>
      </c>
      <c r="Q104" t="s">
        <v>320</v>
      </c>
      <c r="R104" t="s">
        <v>232</v>
      </c>
      <c r="S104" t="s">
        <v>320</v>
      </c>
      <c r="T104" t="s">
        <v>893</v>
      </c>
      <c r="U104">
        <v>45936</v>
      </c>
      <c r="V104">
        <v>45937</v>
      </c>
      <c r="W104" t="s">
        <v>448</v>
      </c>
      <c r="X104" t="s">
        <v>320</v>
      </c>
      <c r="Y104" t="s">
        <v>323</v>
      </c>
      <c r="Z104">
        <v>45937</v>
      </c>
      <c r="AA104" t="s">
        <v>320</v>
      </c>
      <c r="AB104" t="s">
        <v>320</v>
      </c>
    </row>
    <row r="105" spans="1:28">
      <c r="A105">
        <v>7</v>
      </c>
      <c r="B105" t="s">
        <v>5</v>
      </c>
      <c r="C105">
        <v>45925</v>
      </c>
      <c r="D105">
        <v>45939</v>
      </c>
      <c r="E105" t="s">
        <v>885</v>
      </c>
      <c r="F105" t="s">
        <v>233</v>
      </c>
      <c r="G105" t="s">
        <v>895</v>
      </c>
      <c r="H105" t="s">
        <v>896</v>
      </c>
      <c r="I105" t="s">
        <v>13</v>
      </c>
      <c r="J105">
        <v>5</v>
      </c>
      <c r="L105">
        <v>32.25</v>
      </c>
      <c r="M105">
        <v>45933</v>
      </c>
      <c r="N105">
        <v>45938</v>
      </c>
      <c r="O105" t="s">
        <v>318</v>
      </c>
      <c r="P105" t="s">
        <v>517</v>
      </c>
      <c r="Q105" t="s">
        <v>320</v>
      </c>
      <c r="R105" t="s">
        <v>232</v>
      </c>
      <c r="S105" t="s">
        <v>320</v>
      </c>
      <c r="T105" t="s">
        <v>897</v>
      </c>
      <c r="U105">
        <v>45936</v>
      </c>
      <c r="V105">
        <v>45938</v>
      </c>
      <c r="W105" t="s">
        <v>448</v>
      </c>
      <c r="X105" t="s">
        <v>320</v>
      </c>
      <c r="Y105" t="s">
        <v>323</v>
      </c>
      <c r="Z105">
        <v>45938</v>
      </c>
      <c r="AA105" t="s">
        <v>320</v>
      </c>
      <c r="AB105" t="s">
        <v>320</v>
      </c>
    </row>
    <row r="106" spans="1:28">
      <c r="A106">
        <v>8</v>
      </c>
      <c r="B106" t="s">
        <v>5</v>
      </c>
      <c r="C106">
        <v>45925</v>
      </c>
      <c r="D106">
        <v>45939</v>
      </c>
      <c r="E106" t="s">
        <v>885</v>
      </c>
      <c r="F106" t="s">
        <v>899</v>
      </c>
      <c r="G106" t="s">
        <v>819</v>
      </c>
      <c r="H106" t="s">
        <v>845</v>
      </c>
      <c r="I106" t="s">
        <v>278</v>
      </c>
      <c r="J106">
        <v>3</v>
      </c>
      <c r="L106">
        <v>31.75</v>
      </c>
      <c r="M106">
        <v>45936</v>
      </c>
      <c r="O106" t="s">
        <v>318</v>
      </c>
    </row>
    <row r="107" spans="1:28">
      <c r="A107">
        <v>1</v>
      </c>
      <c r="B107" t="s">
        <v>5</v>
      </c>
      <c r="C107">
        <v>45939</v>
      </c>
      <c r="D107">
        <v>45953</v>
      </c>
      <c r="E107" t="s">
        <v>165</v>
      </c>
      <c r="F107" t="s">
        <v>838</v>
      </c>
      <c r="G107" t="s">
        <v>839</v>
      </c>
      <c r="H107" t="s">
        <v>840</v>
      </c>
      <c r="I107" t="s">
        <v>13</v>
      </c>
      <c r="J107">
        <v>5</v>
      </c>
      <c r="L107">
        <v>214.25</v>
      </c>
      <c r="M107">
        <v>45940</v>
      </c>
      <c r="N107">
        <v>45952</v>
      </c>
      <c r="O107" t="s">
        <v>318</v>
      </c>
      <c r="P107" t="s">
        <v>517</v>
      </c>
      <c r="Q107" s="144" t="s">
        <v>841</v>
      </c>
      <c r="T107" t="s">
        <v>842</v>
      </c>
      <c r="U107">
        <v>45947</v>
      </c>
      <c r="V107">
        <v>45953</v>
      </c>
      <c r="W107" t="s">
        <v>448</v>
      </c>
      <c r="Y107" t="s">
        <v>323</v>
      </c>
      <c r="Z107">
        <v>45953</v>
      </c>
      <c r="AA107" s="144" t="s">
        <v>843</v>
      </c>
      <c r="AB107" t="s">
        <v>320</v>
      </c>
    </row>
    <row r="108" spans="1:28">
      <c r="A108">
        <v>2</v>
      </c>
      <c r="B108" t="s">
        <v>5</v>
      </c>
      <c r="C108">
        <v>45939</v>
      </c>
      <c r="D108">
        <v>45953</v>
      </c>
      <c r="E108" t="s">
        <v>165</v>
      </c>
      <c r="F108" t="s">
        <v>293</v>
      </c>
      <c r="G108" t="s">
        <v>819</v>
      </c>
      <c r="H108" t="s">
        <v>845</v>
      </c>
      <c r="I108" t="s">
        <v>278</v>
      </c>
      <c r="J108">
        <v>3</v>
      </c>
      <c r="L108">
        <v>70.5</v>
      </c>
      <c r="M108">
        <v>45940</v>
      </c>
      <c r="O108" t="s">
        <v>318</v>
      </c>
      <c r="P108" t="s">
        <v>517</v>
      </c>
      <c r="Q108" s="144" t="s">
        <v>846</v>
      </c>
      <c r="R108" t="s">
        <v>232</v>
      </c>
      <c r="T108" t="s">
        <v>847</v>
      </c>
      <c r="U108">
        <v>45947</v>
      </c>
    </row>
    <row r="109" spans="1:28">
      <c r="A109">
        <v>3</v>
      </c>
      <c r="B109" t="s">
        <v>5</v>
      </c>
      <c r="C109">
        <v>45939</v>
      </c>
      <c r="D109">
        <v>45953</v>
      </c>
      <c r="E109" t="s">
        <v>165</v>
      </c>
      <c r="F109" t="s">
        <v>689</v>
      </c>
      <c r="G109" t="s">
        <v>849</v>
      </c>
      <c r="H109" t="s">
        <v>850</v>
      </c>
      <c r="I109" t="s">
        <v>13</v>
      </c>
      <c r="J109">
        <v>3</v>
      </c>
      <c r="L109">
        <v>112.25</v>
      </c>
      <c r="M109">
        <v>45940</v>
      </c>
      <c r="N109">
        <v>45953</v>
      </c>
      <c r="O109" t="s">
        <v>318</v>
      </c>
      <c r="R109" t="s">
        <v>595</v>
      </c>
      <c r="S109" t="s">
        <v>320</v>
      </c>
    </row>
    <row r="110" spans="1:28">
      <c r="A110">
        <v>4</v>
      </c>
      <c r="B110" t="s">
        <v>5</v>
      </c>
      <c r="C110">
        <v>45939</v>
      </c>
      <c r="D110">
        <v>45953</v>
      </c>
      <c r="E110" t="s">
        <v>165</v>
      </c>
      <c r="F110" t="s">
        <v>852</v>
      </c>
      <c r="G110" t="s">
        <v>853</v>
      </c>
      <c r="H110" t="s">
        <v>854</v>
      </c>
      <c r="I110" t="s">
        <v>13</v>
      </c>
      <c r="J110">
        <v>2</v>
      </c>
      <c r="L110">
        <v>12</v>
      </c>
      <c r="M110">
        <v>45940</v>
      </c>
      <c r="N110">
        <v>45940</v>
      </c>
      <c r="O110" t="s">
        <v>318</v>
      </c>
      <c r="P110" t="s">
        <v>517</v>
      </c>
      <c r="Q110" s="144" t="s">
        <v>855</v>
      </c>
      <c r="R110" t="s">
        <v>595</v>
      </c>
      <c r="S110" t="s">
        <v>320</v>
      </c>
      <c r="T110" t="s">
        <v>856</v>
      </c>
      <c r="U110">
        <v>45940</v>
      </c>
      <c r="V110">
        <v>45945</v>
      </c>
      <c r="W110" t="s">
        <v>595</v>
      </c>
      <c r="X110" t="s">
        <v>320</v>
      </c>
      <c r="Y110" t="s">
        <v>323</v>
      </c>
      <c r="Z110">
        <v>45945</v>
      </c>
      <c r="AA110" t="s">
        <v>857</v>
      </c>
      <c r="AB110" t="s">
        <v>320</v>
      </c>
    </row>
    <row r="111" spans="1:28">
      <c r="A111">
        <v>5</v>
      </c>
      <c r="B111" t="s">
        <v>5</v>
      </c>
      <c r="C111">
        <v>45939</v>
      </c>
      <c r="D111">
        <v>45953</v>
      </c>
      <c r="E111" t="s">
        <v>859</v>
      </c>
      <c r="F111" t="s">
        <v>448</v>
      </c>
      <c r="G111" t="s">
        <v>860</v>
      </c>
      <c r="H111" t="s">
        <v>861</v>
      </c>
      <c r="I111" t="s">
        <v>13</v>
      </c>
      <c r="J111">
        <v>2</v>
      </c>
      <c r="L111">
        <v>7.5</v>
      </c>
      <c r="M111">
        <v>45951</v>
      </c>
      <c r="N111">
        <v>45952</v>
      </c>
      <c r="O111" t="s">
        <v>318</v>
      </c>
      <c r="P111" t="s">
        <v>448</v>
      </c>
      <c r="Q111" t="s">
        <v>320</v>
      </c>
      <c r="R111" t="s">
        <v>323</v>
      </c>
      <c r="S111" t="s">
        <v>320</v>
      </c>
      <c r="T111" t="s">
        <v>862</v>
      </c>
      <c r="U111">
        <v>45953</v>
      </c>
      <c r="V111">
        <v>45953</v>
      </c>
      <c r="W111" t="s">
        <v>448</v>
      </c>
      <c r="X111" t="s">
        <v>320</v>
      </c>
      <c r="Y111" t="s">
        <v>323</v>
      </c>
      <c r="Z111">
        <v>45953</v>
      </c>
      <c r="AA111" t="s">
        <v>320</v>
      </c>
      <c r="AB111" t="s">
        <v>320</v>
      </c>
    </row>
    <row r="112" spans="1:28">
      <c r="A112">
        <v>6</v>
      </c>
      <c r="B112" t="s">
        <v>5</v>
      </c>
      <c r="C112">
        <v>45939</v>
      </c>
      <c r="D112">
        <v>45953</v>
      </c>
      <c r="E112" t="s">
        <v>863</v>
      </c>
      <c r="F112" t="s">
        <v>448</v>
      </c>
      <c r="G112" t="s">
        <v>864</v>
      </c>
      <c r="H112" t="s">
        <v>865</v>
      </c>
      <c r="I112" t="s">
        <v>13</v>
      </c>
      <c r="J112">
        <v>1</v>
      </c>
      <c r="L112">
        <v>0.75</v>
      </c>
      <c r="M112">
        <v>45951</v>
      </c>
      <c r="N112">
        <v>45953</v>
      </c>
    </row>
    <row r="113" spans="1:28">
      <c r="A113">
        <v>1</v>
      </c>
      <c r="B113" t="s">
        <v>5</v>
      </c>
      <c r="C113">
        <v>45953</v>
      </c>
      <c r="D113">
        <v>45967</v>
      </c>
      <c r="E113" t="s">
        <v>169</v>
      </c>
      <c r="F113" t="s">
        <v>233</v>
      </c>
      <c r="G113" t="s">
        <v>805</v>
      </c>
      <c r="H113" t="s">
        <v>806</v>
      </c>
      <c r="I113" t="s">
        <v>13</v>
      </c>
      <c r="J113">
        <v>3</v>
      </c>
      <c r="M113">
        <v>45954</v>
      </c>
      <c r="N113">
        <v>45957</v>
      </c>
      <c r="O113" t="s">
        <v>318</v>
      </c>
      <c r="Q113" t="s">
        <v>320</v>
      </c>
      <c r="R113" t="s">
        <v>234</v>
      </c>
      <c r="S113" t="s">
        <v>320</v>
      </c>
      <c r="T113" t="s">
        <v>807</v>
      </c>
      <c r="U113">
        <v>45957</v>
      </c>
      <c r="V113">
        <v>45967</v>
      </c>
      <c r="W113" t="s">
        <v>595</v>
      </c>
      <c r="X113" t="s">
        <v>320</v>
      </c>
      <c r="Y113" t="s">
        <v>323</v>
      </c>
      <c r="Z113">
        <v>45967</v>
      </c>
      <c r="AA113" t="s">
        <v>320</v>
      </c>
      <c r="AB113" t="s">
        <v>320</v>
      </c>
    </row>
    <row r="114" spans="1:28">
      <c r="A114">
        <v>2</v>
      </c>
      <c r="B114" t="s">
        <v>5</v>
      </c>
      <c r="C114">
        <v>45953</v>
      </c>
      <c r="D114">
        <v>45967</v>
      </c>
      <c r="E114" t="s">
        <v>169</v>
      </c>
      <c r="F114" t="s">
        <v>234</v>
      </c>
      <c r="G114" t="s">
        <v>809</v>
      </c>
      <c r="H114" t="s">
        <v>810</v>
      </c>
      <c r="I114" t="s">
        <v>13</v>
      </c>
      <c r="J114">
        <v>1</v>
      </c>
      <c r="M114">
        <v>45954</v>
      </c>
      <c r="N114">
        <v>45954</v>
      </c>
      <c r="O114" t="s">
        <v>318</v>
      </c>
      <c r="P114" t="s">
        <v>517</v>
      </c>
      <c r="Q114" t="s">
        <v>320</v>
      </c>
      <c r="R114" t="s">
        <v>595</v>
      </c>
      <c r="S114" t="s">
        <v>320</v>
      </c>
      <c r="T114" t="s">
        <v>811</v>
      </c>
      <c r="U114">
        <v>45954</v>
      </c>
      <c r="V114">
        <v>45954</v>
      </c>
      <c r="W114" t="s">
        <v>448</v>
      </c>
      <c r="X114" t="s">
        <v>320</v>
      </c>
      <c r="Y114" t="s">
        <v>323</v>
      </c>
      <c r="Z114">
        <v>45954</v>
      </c>
      <c r="AA114" t="s">
        <v>320</v>
      </c>
      <c r="AB114" t="s">
        <v>320</v>
      </c>
    </row>
    <row r="115" spans="1:28">
      <c r="A115">
        <v>3</v>
      </c>
      <c r="B115" t="s">
        <v>5</v>
      </c>
      <c r="C115">
        <v>45953</v>
      </c>
      <c r="D115">
        <v>45967</v>
      </c>
      <c r="E115" t="s">
        <v>169</v>
      </c>
      <c r="F115" t="s">
        <v>234</v>
      </c>
      <c r="G115" t="s">
        <v>812</v>
      </c>
      <c r="H115" t="s">
        <v>813</v>
      </c>
      <c r="I115" t="s">
        <v>13</v>
      </c>
      <c r="J115">
        <v>1</v>
      </c>
      <c r="M115">
        <v>45954</v>
      </c>
      <c r="N115">
        <v>45954</v>
      </c>
      <c r="O115" t="s">
        <v>318</v>
      </c>
      <c r="P115" t="s">
        <v>517</v>
      </c>
      <c r="Q115" t="s">
        <v>320</v>
      </c>
      <c r="R115" t="s">
        <v>595</v>
      </c>
      <c r="S115" t="s">
        <v>320</v>
      </c>
      <c r="T115" t="s">
        <v>814</v>
      </c>
      <c r="U115">
        <v>45954</v>
      </c>
      <c r="V115">
        <v>45954</v>
      </c>
      <c r="W115" t="s">
        <v>448</v>
      </c>
      <c r="X115" t="s">
        <v>320</v>
      </c>
      <c r="Y115" t="s">
        <v>323</v>
      </c>
      <c r="Z115">
        <v>45954</v>
      </c>
      <c r="AA115" t="s">
        <v>320</v>
      </c>
      <c r="AB115" t="s">
        <v>320</v>
      </c>
    </row>
    <row r="116" spans="1:28">
      <c r="A116">
        <v>4</v>
      </c>
      <c r="B116" t="s">
        <v>5</v>
      </c>
      <c r="C116">
        <v>45953</v>
      </c>
      <c r="D116">
        <v>45967</v>
      </c>
      <c r="E116" t="s">
        <v>169</v>
      </c>
      <c r="F116" t="s">
        <v>740</v>
      </c>
      <c r="G116" t="s">
        <v>815</v>
      </c>
      <c r="H116" t="s">
        <v>816</v>
      </c>
      <c r="I116" t="s">
        <v>13</v>
      </c>
      <c r="J116">
        <v>3</v>
      </c>
      <c r="M116">
        <v>45954</v>
      </c>
      <c r="N116">
        <v>45964</v>
      </c>
      <c r="O116" t="s">
        <v>318</v>
      </c>
      <c r="P116" t="s">
        <v>517</v>
      </c>
      <c r="Q116" s="144" t="s">
        <v>817</v>
      </c>
      <c r="R116" t="s">
        <v>233</v>
      </c>
      <c r="S116" t="s">
        <v>320</v>
      </c>
      <c r="T116" t="s">
        <v>818</v>
      </c>
      <c r="U116">
        <v>45960</v>
      </c>
      <c r="V116">
        <v>45964</v>
      </c>
      <c r="W116" t="s">
        <v>595</v>
      </c>
      <c r="X116" t="s">
        <v>320</v>
      </c>
      <c r="Y116" t="s">
        <v>323</v>
      </c>
      <c r="Z116">
        <v>45964</v>
      </c>
      <c r="AA116" t="s">
        <v>350</v>
      </c>
      <c r="AB116" t="s">
        <v>350</v>
      </c>
    </row>
    <row r="117" spans="1:28">
      <c r="A117">
        <v>5</v>
      </c>
      <c r="B117" t="s">
        <v>5</v>
      </c>
      <c r="C117">
        <v>45953</v>
      </c>
      <c r="D117">
        <v>45967</v>
      </c>
      <c r="E117" t="s">
        <v>169</v>
      </c>
      <c r="F117" t="s">
        <v>280</v>
      </c>
      <c r="G117" t="s">
        <v>819</v>
      </c>
      <c r="H117" t="s">
        <v>820</v>
      </c>
      <c r="I117" t="s">
        <v>13</v>
      </c>
      <c r="J117">
        <v>5</v>
      </c>
      <c r="M117">
        <v>45954</v>
      </c>
      <c r="N117">
        <v>45965</v>
      </c>
      <c r="O117" t="s">
        <v>318</v>
      </c>
      <c r="P117" t="s">
        <v>517</v>
      </c>
      <c r="Q117" s="144" t="s">
        <v>821</v>
      </c>
      <c r="T117" t="s">
        <v>822</v>
      </c>
      <c r="U117">
        <v>45964</v>
      </c>
      <c r="V117">
        <v>45965</v>
      </c>
      <c r="W117" t="s">
        <v>595</v>
      </c>
      <c r="X117" t="s">
        <v>794</v>
      </c>
      <c r="Y117" t="s">
        <v>323</v>
      </c>
      <c r="Z117">
        <v>45965</v>
      </c>
      <c r="AA117" t="s">
        <v>320</v>
      </c>
      <c r="AB117" t="s">
        <v>320</v>
      </c>
    </row>
    <row r="118" spans="1:28">
      <c r="A118">
        <v>6</v>
      </c>
      <c r="B118" t="s">
        <v>5</v>
      </c>
      <c r="C118">
        <v>45953</v>
      </c>
      <c r="D118">
        <v>45967</v>
      </c>
      <c r="E118" t="s">
        <v>169</v>
      </c>
      <c r="F118" t="s">
        <v>234</v>
      </c>
      <c r="G118" t="s">
        <v>824</v>
      </c>
      <c r="H118" t="s">
        <v>825</v>
      </c>
      <c r="I118" t="s">
        <v>13</v>
      </c>
      <c r="J118">
        <v>2</v>
      </c>
      <c r="M118">
        <v>45957</v>
      </c>
      <c r="N118">
        <v>45958</v>
      </c>
    </row>
    <row r="119" spans="1:28">
      <c r="A119">
        <v>7</v>
      </c>
      <c r="B119" t="s">
        <v>5</v>
      </c>
      <c r="C119">
        <v>45953</v>
      </c>
      <c r="D119">
        <v>45967</v>
      </c>
      <c r="E119" t="s">
        <v>827</v>
      </c>
      <c r="F119" t="s">
        <v>233</v>
      </c>
      <c r="G119" t="s">
        <v>828</v>
      </c>
      <c r="H119" t="s">
        <v>829</v>
      </c>
      <c r="I119" t="s">
        <v>13</v>
      </c>
      <c r="J119">
        <v>2</v>
      </c>
      <c r="M119">
        <v>45958</v>
      </c>
      <c r="N119">
        <v>45961</v>
      </c>
      <c r="O119" t="s">
        <v>318</v>
      </c>
      <c r="P119" t="s">
        <v>517</v>
      </c>
      <c r="Q119" t="s">
        <v>320</v>
      </c>
      <c r="R119" t="s">
        <v>297</v>
      </c>
      <c r="S119" t="s">
        <v>320</v>
      </c>
      <c r="T119" t="s">
        <v>830</v>
      </c>
      <c r="U119">
        <v>45959</v>
      </c>
      <c r="V119">
        <v>45964</v>
      </c>
      <c r="W119" t="s">
        <v>595</v>
      </c>
      <c r="X119" t="s">
        <v>320</v>
      </c>
      <c r="Y119" t="s">
        <v>323</v>
      </c>
      <c r="Z119">
        <v>45964</v>
      </c>
      <c r="AA119" t="s">
        <v>320</v>
      </c>
      <c r="AB119" t="s">
        <v>320</v>
      </c>
    </row>
    <row r="120" spans="1:28">
      <c r="A120">
        <v>8</v>
      </c>
      <c r="B120" t="s">
        <v>5</v>
      </c>
      <c r="C120">
        <v>45953</v>
      </c>
      <c r="D120">
        <v>45967</v>
      </c>
      <c r="E120" t="s">
        <v>827</v>
      </c>
      <c r="F120" t="s">
        <v>233</v>
      </c>
      <c r="G120" t="s">
        <v>832</v>
      </c>
      <c r="H120" t="s">
        <v>833</v>
      </c>
      <c r="I120" t="s">
        <v>13</v>
      </c>
      <c r="J120">
        <v>1</v>
      </c>
      <c r="M120">
        <v>45961</v>
      </c>
      <c r="N120">
        <v>45961</v>
      </c>
      <c r="O120" t="s">
        <v>318</v>
      </c>
      <c r="P120" t="s">
        <v>517</v>
      </c>
      <c r="Q120" t="s">
        <v>320</v>
      </c>
      <c r="R120" t="s">
        <v>232</v>
      </c>
      <c r="S120" t="s">
        <v>320</v>
      </c>
      <c r="T120" t="s">
        <v>834</v>
      </c>
      <c r="U120">
        <v>45961</v>
      </c>
      <c r="V120">
        <v>45964</v>
      </c>
      <c r="W120" t="s">
        <v>595</v>
      </c>
      <c r="X120" t="s">
        <v>320</v>
      </c>
      <c r="Y120" t="s">
        <v>323</v>
      </c>
      <c r="Z120">
        <v>45964</v>
      </c>
      <c r="AA120" t="s">
        <v>320</v>
      </c>
      <c r="AB120" t="s">
        <v>320</v>
      </c>
    </row>
    <row r="121" spans="1:28">
      <c r="A121">
        <v>9</v>
      </c>
      <c r="B121" t="s">
        <v>5</v>
      </c>
      <c r="C121">
        <v>45953</v>
      </c>
      <c r="D121">
        <v>45967</v>
      </c>
      <c r="E121" t="s">
        <v>827</v>
      </c>
      <c r="F121" t="s">
        <v>233</v>
      </c>
      <c r="G121" t="s">
        <v>771</v>
      </c>
      <c r="H121" t="s">
        <v>772</v>
      </c>
      <c r="I121" t="s">
        <v>278</v>
      </c>
      <c r="J121">
        <v>3</v>
      </c>
      <c r="M121">
        <v>45964</v>
      </c>
    </row>
    <row r="122" spans="1:28">
      <c r="A122">
        <v>1</v>
      </c>
      <c r="B122" t="s">
        <v>5</v>
      </c>
      <c r="C122">
        <v>45967</v>
      </c>
      <c r="D122">
        <v>45981</v>
      </c>
      <c r="E122" t="s">
        <v>174</v>
      </c>
      <c r="F122" t="s">
        <v>233</v>
      </c>
      <c r="G122" t="s">
        <v>771</v>
      </c>
      <c r="H122" t="s">
        <v>772</v>
      </c>
      <c r="I122" t="s">
        <v>13</v>
      </c>
      <c r="J122">
        <v>2</v>
      </c>
      <c r="L122">
        <v>47.75</v>
      </c>
      <c r="M122">
        <v>45968</v>
      </c>
      <c r="N122">
        <v>45972</v>
      </c>
      <c r="O122" t="s">
        <v>318</v>
      </c>
      <c r="P122" t="s">
        <v>517</v>
      </c>
      <c r="Q122" s="144" t="s">
        <v>773</v>
      </c>
      <c r="R122" t="s">
        <v>774</v>
      </c>
      <c r="S122" t="s">
        <v>320</v>
      </c>
      <c r="T122" t="s">
        <v>775</v>
      </c>
      <c r="U122">
        <v>45971</v>
      </c>
      <c r="V122">
        <v>45975</v>
      </c>
      <c r="W122" t="s">
        <v>595</v>
      </c>
      <c r="X122" t="s">
        <v>320</v>
      </c>
      <c r="Y122" t="s">
        <v>323</v>
      </c>
      <c r="Z122">
        <v>45975</v>
      </c>
      <c r="AA122" t="s">
        <v>320</v>
      </c>
      <c r="AB122" t="s">
        <v>320</v>
      </c>
    </row>
    <row r="123" spans="1:28">
      <c r="A123">
        <v>2</v>
      </c>
      <c r="B123" t="s">
        <v>5</v>
      </c>
      <c r="C123">
        <v>45967</v>
      </c>
      <c r="D123">
        <v>45981</v>
      </c>
      <c r="E123" t="s">
        <v>174</v>
      </c>
      <c r="F123" t="s">
        <v>740</v>
      </c>
      <c r="G123" t="s">
        <v>777</v>
      </c>
      <c r="H123" t="s">
        <v>778</v>
      </c>
      <c r="I123" t="s">
        <v>13</v>
      </c>
      <c r="J123">
        <v>5</v>
      </c>
      <c r="L123">
        <v>138.75</v>
      </c>
      <c r="M123">
        <v>45968</v>
      </c>
      <c r="N123">
        <v>45980</v>
      </c>
      <c r="O123" t="s">
        <v>318</v>
      </c>
      <c r="P123" t="s">
        <v>517</v>
      </c>
      <c r="R123" t="s">
        <v>234</v>
      </c>
      <c r="S123" t="s">
        <v>320</v>
      </c>
      <c r="T123" t="s">
        <v>779</v>
      </c>
      <c r="U123">
        <v>45973</v>
      </c>
      <c r="V123">
        <v>45980</v>
      </c>
      <c r="W123" t="s">
        <v>595</v>
      </c>
      <c r="X123" t="s">
        <v>320</v>
      </c>
      <c r="Y123" t="s">
        <v>323</v>
      </c>
      <c r="Z123">
        <v>45980</v>
      </c>
      <c r="AA123" t="s">
        <v>320</v>
      </c>
      <c r="AB123" t="s">
        <v>320</v>
      </c>
    </row>
    <row r="124" spans="1:28">
      <c r="A124">
        <v>3</v>
      </c>
      <c r="B124" t="s">
        <v>5</v>
      </c>
      <c r="C124">
        <v>45967</v>
      </c>
      <c r="D124">
        <v>45967</v>
      </c>
      <c r="E124" t="s">
        <v>174</v>
      </c>
      <c r="F124" t="s">
        <v>232</v>
      </c>
      <c r="G124" t="s">
        <v>780</v>
      </c>
      <c r="H124" t="s">
        <v>781</v>
      </c>
      <c r="I124" t="s">
        <v>13</v>
      </c>
      <c r="J124">
        <v>2</v>
      </c>
      <c r="L124">
        <v>82.5</v>
      </c>
      <c r="M124">
        <v>45968</v>
      </c>
      <c r="N124">
        <v>45979</v>
      </c>
      <c r="O124" t="s">
        <v>318</v>
      </c>
      <c r="P124" t="s">
        <v>517</v>
      </c>
      <c r="Q124" t="s">
        <v>782</v>
      </c>
      <c r="R124" t="s">
        <v>293</v>
      </c>
      <c r="S124" t="s">
        <v>320</v>
      </c>
      <c r="T124" t="s">
        <v>783</v>
      </c>
      <c r="U124">
        <v>45978</v>
      </c>
      <c r="V124">
        <v>45979</v>
      </c>
      <c r="W124" t="s">
        <v>595</v>
      </c>
      <c r="X124" t="s">
        <v>320</v>
      </c>
      <c r="Y124" t="s">
        <v>323</v>
      </c>
      <c r="Z124">
        <v>45979</v>
      </c>
      <c r="AA124" t="s">
        <v>320</v>
      </c>
      <c r="AB124" t="s">
        <v>320</v>
      </c>
    </row>
    <row r="125" spans="1:28">
      <c r="A125">
        <v>4</v>
      </c>
      <c r="B125" t="s">
        <v>5</v>
      </c>
      <c r="C125">
        <v>45967</v>
      </c>
      <c r="D125">
        <v>45981</v>
      </c>
      <c r="E125" t="s">
        <v>174</v>
      </c>
      <c r="F125" t="s">
        <v>293</v>
      </c>
      <c r="G125" t="s">
        <v>785</v>
      </c>
      <c r="H125" t="s">
        <v>786</v>
      </c>
      <c r="I125" t="s">
        <v>13</v>
      </c>
      <c r="J125">
        <v>1</v>
      </c>
      <c r="L125">
        <v>9.25</v>
      </c>
      <c r="M125">
        <v>45968</v>
      </c>
      <c r="N125">
        <v>45968</v>
      </c>
      <c r="O125" t="s">
        <v>318</v>
      </c>
      <c r="P125" t="s">
        <v>517</v>
      </c>
      <c r="Q125" t="s">
        <v>320</v>
      </c>
      <c r="R125" t="s">
        <v>232</v>
      </c>
      <c r="S125" t="s">
        <v>320</v>
      </c>
      <c r="T125" t="s">
        <v>787</v>
      </c>
      <c r="U125">
        <v>45968</v>
      </c>
      <c r="V125">
        <v>45969</v>
      </c>
      <c r="W125" t="s">
        <v>595</v>
      </c>
      <c r="X125" t="s">
        <v>320</v>
      </c>
      <c r="Y125" t="s">
        <v>323</v>
      </c>
      <c r="Z125">
        <v>45969</v>
      </c>
      <c r="AA125" t="s">
        <v>320</v>
      </c>
      <c r="AB125" t="s">
        <v>320</v>
      </c>
    </row>
    <row r="126" spans="1:28">
      <c r="A126">
        <v>5</v>
      </c>
      <c r="B126" t="s">
        <v>5</v>
      </c>
      <c r="C126">
        <v>45967</v>
      </c>
      <c r="D126">
        <v>45981</v>
      </c>
      <c r="E126" t="s">
        <v>174</v>
      </c>
      <c r="F126" t="s">
        <v>789</v>
      </c>
      <c r="G126" t="s">
        <v>790</v>
      </c>
      <c r="H126" t="s">
        <v>791</v>
      </c>
      <c r="I126" t="s">
        <v>13</v>
      </c>
      <c r="J126">
        <v>5</v>
      </c>
      <c r="L126">
        <v>123.25</v>
      </c>
      <c r="M126">
        <v>45968</v>
      </c>
      <c r="N126">
        <v>45981</v>
      </c>
      <c r="O126" t="s">
        <v>318</v>
      </c>
      <c r="P126" t="s">
        <v>517</v>
      </c>
      <c r="Q126" s="144" t="s">
        <v>792</v>
      </c>
      <c r="R126" t="s">
        <v>498</v>
      </c>
      <c r="S126" t="s">
        <v>320</v>
      </c>
      <c r="T126" t="s">
        <v>793</v>
      </c>
      <c r="U126">
        <v>45980</v>
      </c>
      <c r="V126">
        <v>45981</v>
      </c>
      <c r="W126" t="s">
        <v>595</v>
      </c>
      <c r="X126" t="s">
        <v>794</v>
      </c>
      <c r="Y126" t="s">
        <v>795</v>
      </c>
      <c r="Z126">
        <v>45981</v>
      </c>
      <c r="AA126" t="s">
        <v>320</v>
      </c>
      <c r="AB126" t="s">
        <v>320</v>
      </c>
    </row>
    <row r="127" spans="1:28">
      <c r="A127">
        <v>7</v>
      </c>
      <c r="B127" t="s">
        <v>5</v>
      </c>
      <c r="C127">
        <v>45967</v>
      </c>
      <c r="D127">
        <v>45981</v>
      </c>
      <c r="E127" t="s">
        <v>797</v>
      </c>
      <c r="F127" t="s">
        <v>293</v>
      </c>
      <c r="G127" t="s">
        <v>798</v>
      </c>
      <c r="H127" t="s">
        <v>799</v>
      </c>
      <c r="I127" t="s">
        <v>13</v>
      </c>
      <c r="J127">
        <v>1</v>
      </c>
      <c r="L127">
        <v>11</v>
      </c>
      <c r="M127">
        <v>45975</v>
      </c>
      <c r="N127">
        <v>45975</v>
      </c>
      <c r="O127" t="s">
        <v>318</v>
      </c>
      <c r="P127" t="s">
        <v>517</v>
      </c>
      <c r="Q127" t="s">
        <v>320</v>
      </c>
      <c r="R127" t="s">
        <v>232</v>
      </c>
      <c r="S127" t="s">
        <v>320</v>
      </c>
      <c r="T127" t="s">
        <v>800</v>
      </c>
      <c r="U127">
        <v>45975</v>
      </c>
      <c r="V127">
        <v>45978</v>
      </c>
      <c r="W127" t="s">
        <v>595</v>
      </c>
      <c r="X127" t="s">
        <v>320</v>
      </c>
      <c r="Y127" t="s">
        <v>323</v>
      </c>
      <c r="Z127">
        <v>45978</v>
      </c>
      <c r="AA127" t="s">
        <v>320</v>
      </c>
      <c r="AB127" t="s">
        <v>320</v>
      </c>
    </row>
    <row r="128" spans="1:28">
      <c r="A128">
        <v>1</v>
      </c>
      <c r="B128" t="s">
        <v>5</v>
      </c>
      <c r="C128">
        <v>45981</v>
      </c>
      <c r="D128">
        <v>45995</v>
      </c>
      <c r="E128" t="s">
        <v>177</v>
      </c>
      <c r="F128" t="s">
        <v>740</v>
      </c>
      <c r="G128" t="s">
        <v>741</v>
      </c>
      <c r="H128" t="s">
        <v>742</v>
      </c>
      <c r="I128" t="s">
        <v>13</v>
      </c>
      <c r="J128">
        <v>5</v>
      </c>
      <c r="L128">
        <v>73.75</v>
      </c>
      <c r="M128">
        <v>45982</v>
      </c>
      <c r="N128">
        <v>45987</v>
      </c>
      <c r="O128" t="s">
        <v>318</v>
      </c>
      <c r="P128" t="s">
        <v>549</v>
      </c>
      <c r="Q128" s="144" t="s">
        <v>743</v>
      </c>
      <c r="R128" t="s">
        <v>234</v>
      </c>
      <c r="S128" t="s">
        <v>320</v>
      </c>
      <c r="T128" t="s">
        <v>744</v>
      </c>
      <c r="U128">
        <v>45986</v>
      </c>
      <c r="V128">
        <v>45993</v>
      </c>
      <c r="W128" t="s">
        <v>448</v>
      </c>
      <c r="X128" t="s">
        <v>320</v>
      </c>
      <c r="Y128" t="s">
        <v>323</v>
      </c>
      <c r="Z128">
        <v>45993</v>
      </c>
      <c r="AA128" t="s">
        <v>320</v>
      </c>
      <c r="AB128" t="s">
        <v>320</v>
      </c>
    </row>
    <row r="129" spans="1:28">
      <c r="A129">
        <v>2</v>
      </c>
      <c r="B129" t="s">
        <v>5</v>
      </c>
      <c r="C129">
        <v>45981</v>
      </c>
      <c r="D129">
        <v>45995</v>
      </c>
      <c r="E129" t="s">
        <v>177</v>
      </c>
      <c r="F129" t="s">
        <v>233</v>
      </c>
      <c r="G129" t="s">
        <v>746</v>
      </c>
      <c r="H129" t="s">
        <v>747</v>
      </c>
      <c r="I129" t="s">
        <v>13</v>
      </c>
      <c r="J129">
        <v>3</v>
      </c>
      <c r="L129">
        <v>38</v>
      </c>
      <c r="M129">
        <v>45982</v>
      </c>
      <c r="N129">
        <v>45987</v>
      </c>
      <c r="O129" t="s">
        <v>318</v>
      </c>
      <c r="P129" t="s">
        <v>549</v>
      </c>
      <c r="Q129" t="s">
        <v>320</v>
      </c>
      <c r="R129" t="s">
        <v>297</v>
      </c>
      <c r="S129" t="s">
        <v>320</v>
      </c>
      <c r="T129" t="s">
        <v>748</v>
      </c>
      <c r="U129">
        <v>45987</v>
      </c>
      <c r="V129">
        <v>45993</v>
      </c>
      <c r="W129" t="s">
        <v>595</v>
      </c>
      <c r="X129" t="s">
        <v>320</v>
      </c>
      <c r="Y129" t="s">
        <v>323</v>
      </c>
      <c r="Z129">
        <v>45993</v>
      </c>
      <c r="AA129" t="s">
        <v>320</v>
      </c>
      <c r="AB129" t="s">
        <v>320</v>
      </c>
    </row>
    <row r="130" spans="1:28">
      <c r="A130">
        <v>3</v>
      </c>
      <c r="B130" t="s">
        <v>5</v>
      </c>
      <c r="C130">
        <v>45981</v>
      </c>
      <c r="D130">
        <v>45995</v>
      </c>
      <c r="E130" t="s">
        <v>177</v>
      </c>
      <c r="F130" t="s">
        <v>750</v>
      </c>
      <c r="G130" t="s">
        <v>751</v>
      </c>
      <c r="H130" t="s">
        <v>752</v>
      </c>
      <c r="I130" t="s">
        <v>13</v>
      </c>
      <c r="J130">
        <v>3</v>
      </c>
      <c r="L130">
        <v>58.5</v>
      </c>
      <c r="M130">
        <v>45982</v>
      </c>
      <c r="N130">
        <v>45986</v>
      </c>
      <c r="O130" t="s">
        <v>318</v>
      </c>
      <c r="P130" t="s">
        <v>549</v>
      </c>
      <c r="R130" t="s">
        <v>427</v>
      </c>
      <c r="S130" t="s">
        <v>320</v>
      </c>
      <c r="T130" t="s">
        <v>753</v>
      </c>
      <c r="U130">
        <v>45987</v>
      </c>
      <c r="V130">
        <v>45993</v>
      </c>
      <c r="W130" t="s">
        <v>595</v>
      </c>
      <c r="X130" t="s">
        <v>320</v>
      </c>
      <c r="Y130" t="s">
        <v>323</v>
      </c>
      <c r="Z130">
        <v>45993</v>
      </c>
      <c r="AA130" t="s">
        <v>320</v>
      </c>
      <c r="AB130" t="s">
        <v>320</v>
      </c>
    </row>
    <row r="131" spans="1:28">
      <c r="A131">
        <v>4</v>
      </c>
      <c r="B131" t="s">
        <v>5</v>
      </c>
      <c r="C131">
        <v>45981</v>
      </c>
      <c r="D131">
        <v>45995</v>
      </c>
      <c r="E131" t="s">
        <v>177</v>
      </c>
      <c r="F131" t="s">
        <v>233</v>
      </c>
      <c r="G131" t="s">
        <v>755</v>
      </c>
      <c r="H131" t="s">
        <v>756</v>
      </c>
      <c r="I131" t="s">
        <v>13</v>
      </c>
      <c r="J131">
        <v>3</v>
      </c>
      <c r="L131">
        <v>45</v>
      </c>
      <c r="M131">
        <v>45987</v>
      </c>
      <c r="N131">
        <v>45994</v>
      </c>
      <c r="O131" t="s">
        <v>318</v>
      </c>
      <c r="P131" t="s">
        <v>549</v>
      </c>
      <c r="Q131" t="s">
        <v>320</v>
      </c>
      <c r="R131" t="s">
        <v>232</v>
      </c>
      <c r="S131" t="s">
        <v>320</v>
      </c>
      <c r="T131" t="s">
        <v>757</v>
      </c>
      <c r="U131">
        <v>45994</v>
      </c>
      <c r="V131">
        <v>45995</v>
      </c>
      <c r="W131" t="s">
        <v>595</v>
      </c>
      <c r="X131" t="s">
        <v>320</v>
      </c>
      <c r="Y131" t="s">
        <v>323</v>
      </c>
      <c r="Z131">
        <v>45995</v>
      </c>
      <c r="AA131" t="s">
        <v>320</v>
      </c>
      <c r="AB131" t="s">
        <v>320</v>
      </c>
    </row>
    <row r="132" spans="1:28">
      <c r="A132">
        <v>5</v>
      </c>
      <c r="B132" t="s">
        <v>5</v>
      </c>
      <c r="C132">
        <v>45981</v>
      </c>
      <c r="D132">
        <v>45995</v>
      </c>
      <c r="E132" t="s">
        <v>759</v>
      </c>
      <c r="F132" t="s">
        <v>573</v>
      </c>
      <c r="G132" t="s">
        <v>760</v>
      </c>
      <c r="H132" t="s">
        <v>761</v>
      </c>
      <c r="I132" t="s">
        <v>13</v>
      </c>
      <c r="J132">
        <v>3</v>
      </c>
      <c r="L132">
        <v>114.5</v>
      </c>
      <c r="M132">
        <v>45987</v>
      </c>
      <c r="N132">
        <v>45995</v>
      </c>
      <c r="O132" t="s">
        <v>318</v>
      </c>
      <c r="P132" t="s">
        <v>549</v>
      </c>
      <c r="Q132" s="144" t="s">
        <v>762</v>
      </c>
      <c r="R132" t="s">
        <v>763</v>
      </c>
      <c r="S132" t="s">
        <v>320</v>
      </c>
      <c r="T132" t="s">
        <v>764</v>
      </c>
      <c r="U132">
        <v>45995</v>
      </c>
      <c r="V132">
        <v>45995</v>
      </c>
      <c r="W132" t="s">
        <v>448</v>
      </c>
      <c r="X132" t="s">
        <v>320</v>
      </c>
      <c r="Y132" t="s">
        <v>323</v>
      </c>
      <c r="Z132">
        <v>45995</v>
      </c>
      <c r="AA132" t="s">
        <v>765</v>
      </c>
      <c r="AB132" t="s">
        <v>320</v>
      </c>
    </row>
    <row r="133" spans="1:28">
      <c r="A133">
        <v>1</v>
      </c>
      <c r="B133" t="s">
        <v>5</v>
      </c>
      <c r="C133">
        <v>45995</v>
      </c>
      <c r="D133">
        <v>46009</v>
      </c>
      <c r="E133" t="s">
        <v>181</v>
      </c>
      <c r="F133" t="s">
        <v>293</v>
      </c>
      <c r="G133" t="s">
        <v>700</v>
      </c>
      <c r="H133" t="s">
        <v>701</v>
      </c>
      <c r="I133" t="s">
        <v>13</v>
      </c>
      <c r="J133">
        <v>1</v>
      </c>
      <c r="L133">
        <v>23.5</v>
      </c>
      <c r="M133">
        <v>45996</v>
      </c>
      <c r="N133">
        <v>45999</v>
      </c>
      <c r="O133" t="s">
        <v>318</v>
      </c>
      <c r="P133" t="s">
        <v>549</v>
      </c>
      <c r="Q133" s="144" t="s">
        <v>702</v>
      </c>
      <c r="R133" t="s">
        <v>234</v>
      </c>
      <c r="S133" t="s">
        <v>579</v>
      </c>
      <c r="T133" t="s">
        <v>703</v>
      </c>
      <c r="U133">
        <v>45999</v>
      </c>
      <c r="V133">
        <v>46006</v>
      </c>
      <c r="W133" t="s">
        <v>595</v>
      </c>
      <c r="X133" t="s">
        <v>320</v>
      </c>
      <c r="Y133" t="s">
        <v>323</v>
      </c>
      <c r="Z133">
        <v>46006</v>
      </c>
      <c r="AA133" t="s">
        <v>320</v>
      </c>
      <c r="AB133" t="s">
        <v>320</v>
      </c>
    </row>
    <row r="134" spans="1:28">
      <c r="A134">
        <v>2</v>
      </c>
      <c r="B134" t="s">
        <v>5</v>
      </c>
      <c r="C134">
        <v>45995</v>
      </c>
      <c r="D134">
        <v>46009</v>
      </c>
      <c r="E134" t="s">
        <v>181</v>
      </c>
      <c r="F134" t="s">
        <v>233</v>
      </c>
      <c r="G134" t="s">
        <v>705</v>
      </c>
      <c r="H134" t="s">
        <v>706</v>
      </c>
      <c r="I134" t="s">
        <v>13</v>
      </c>
      <c r="J134">
        <v>3</v>
      </c>
      <c r="L134">
        <v>48</v>
      </c>
      <c r="M134">
        <v>45996</v>
      </c>
      <c r="N134">
        <v>46001</v>
      </c>
      <c r="O134" t="s">
        <v>318</v>
      </c>
      <c r="P134" t="s">
        <v>549</v>
      </c>
      <c r="Q134" t="s">
        <v>320</v>
      </c>
      <c r="R134" t="s">
        <v>232</v>
      </c>
      <c r="S134" t="s">
        <v>320</v>
      </c>
      <c r="T134" t="s">
        <v>707</v>
      </c>
      <c r="U134">
        <v>46001</v>
      </c>
      <c r="V134">
        <v>46007</v>
      </c>
      <c r="W134" t="s">
        <v>595</v>
      </c>
      <c r="X134" t="s">
        <v>320</v>
      </c>
      <c r="Y134" t="s">
        <v>323</v>
      </c>
      <c r="Z134">
        <v>46007</v>
      </c>
      <c r="AA134" t="s">
        <v>320</v>
      </c>
      <c r="AB134" t="s">
        <v>320</v>
      </c>
    </row>
    <row r="135" spans="1:28">
      <c r="A135">
        <v>3</v>
      </c>
      <c r="B135" t="s">
        <v>5</v>
      </c>
      <c r="C135">
        <v>45995</v>
      </c>
      <c r="D135">
        <v>46009</v>
      </c>
      <c r="E135" t="s">
        <v>181</v>
      </c>
      <c r="F135" t="s">
        <v>234</v>
      </c>
      <c r="G135" t="s">
        <v>709</v>
      </c>
      <c r="H135" t="s">
        <v>710</v>
      </c>
      <c r="I135" t="s">
        <v>13</v>
      </c>
      <c r="J135">
        <v>3</v>
      </c>
      <c r="L135">
        <v>90</v>
      </c>
      <c r="M135">
        <v>45996</v>
      </c>
      <c r="N135">
        <v>46002</v>
      </c>
      <c r="O135" t="s">
        <v>318</v>
      </c>
      <c r="P135" t="s">
        <v>549</v>
      </c>
      <c r="Q135" s="144" t="s">
        <v>711</v>
      </c>
      <c r="R135" t="s">
        <v>712</v>
      </c>
      <c r="S135" t="s">
        <v>320</v>
      </c>
      <c r="T135" t="s">
        <v>713</v>
      </c>
      <c r="U135">
        <v>46002</v>
      </c>
      <c r="V135">
        <v>46008</v>
      </c>
      <c r="W135" t="s">
        <v>448</v>
      </c>
      <c r="X135" t="s">
        <v>320</v>
      </c>
      <c r="Y135" t="s">
        <v>323</v>
      </c>
      <c r="Z135">
        <v>46009</v>
      </c>
      <c r="AA135" t="s">
        <v>320</v>
      </c>
      <c r="AB135" t="s">
        <v>320</v>
      </c>
    </row>
    <row r="136" spans="1:28">
      <c r="A136">
        <v>4</v>
      </c>
      <c r="B136" t="s">
        <v>5</v>
      </c>
      <c r="C136">
        <v>45995</v>
      </c>
      <c r="D136">
        <v>46009</v>
      </c>
      <c r="E136" t="s">
        <v>181</v>
      </c>
      <c r="F136" t="s">
        <v>715</v>
      </c>
      <c r="G136" t="s">
        <v>716</v>
      </c>
      <c r="H136" t="s">
        <v>717</v>
      </c>
      <c r="I136" t="s">
        <v>13</v>
      </c>
      <c r="J136">
        <v>5</v>
      </c>
      <c r="L136">
        <v>155.25</v>
      </c>
      <c r="M136">
        <v>45996</v>
      </c>
      <c r="N136">
        <v>46009</v>
      </c>
      <c r="O136" t="s">
        <v>318</v>
      </c>
      <c r="P136" t="s">
        <v>549</v>
      </c>
      <c r="Q136" s="144" t="s">
        <v>718</v>
      </c>
      <c r="R136" t="s">
        <v>712</v>
      </c>
      <c r="S136" t="s">
        <v>579</v>
      </c>
      <c r="T136" t="s">
        <v>719</v>
      </c>
      <c r="U136">
        <v>46003</v>
      </c>
      <c r="V136">
        <v>46009</v>
      </c>
      <c r="W136" t="s">
        <v>595</v>
      </c>
      <c r="X136" t="s">
        <v>720</v>
      </c>
      <c r="Y136" t="s">
        <v>323</v>
      </c>
      <c r="Z136">
        <v>46009</v>
      </c>
      <c r="AA136" t="s">
        <v>320</v>
      </c>
      <c r="AB136" t="s">
        <v>320</v>
      </c>
    </row>
    <row r="137" spans="1:28">
      <c r="A137">
        <v>5</v>
      </c>
      <c r="B137" t="s">
        <v>5</v>
      </c>
      <c r="C137">
        <v>45995</v>
      </c>
      <c r="D137">
        <v>46009</v>
      </c>
      <c r="E137" t="s">
        <v>181</v>
      </c>
      <c r="F137" t="s">
        <v>293</v>
      </c>
      <c r="G137" t="s">
        <v>722</v>
      </c>
      <c r="H137" t="s">
        <v>723</v>
      </c>
      <c r="I137" t="s">
        <v>13</v>
      </c>
      <c r="J137">
        <v>1</v>
      </c>
      <c r="L137">
        <v>15</v>
      </c>
      <c r="M137">
        <v>45996</v>
      </c>
      <c r="N137">
        <v>45996</v>
      </c>
      <c r="O137" t="s">
        <v>318</v>
      </c>
      <c r="P137" t="s">
        <v>549</v>
      </c>
      <c r="Q137" t="s">
        <v>320</v>
      </c>
      <c r="R137" t="s">
        <v>234</v>
      </c>
      <c r="S137" t="s">
        <v>579</v>
      </c>
      <c r="T137" t="s">
        <v>703</v>
      </c>
      <c r="U137">
        <v>45996</v>
      </c>
      <c r="V137">
        <v>46006</v>
      </c>
      <c r="W137" t="s">
        <v>595</v>
      </c>
      <c r="X137" t="s">
        <v>320</v>
      </c>
      <c r="Y137" t="s">
        <v>323</v>
      </c>
      <c r="Z137">
        <v>46006</v>
      </c>
      <c r="AA137" t="s">
        <v>320</v>
      </c>
      <c r="AB137" t="s">
        <v>320</v>
      </c>
    </row>
    <row r="138" spans="1:28">
      <c r="A138">
        <v>6</v>
      </c>
      <c r="B138" t="s">
        <v>5</v>
      </c>
      <c r="C138">
        <v>45995</v>
      </c>
      <c r="D138">
        <v>46009</v>
      </c>
      <c r="E138" t="s">
        <v>181</v>
      </c>
      <c r="F138" t="s">
        <v>293</v>
      </c>
      <c r="G138" t="s">
        <v>725</v>
      </c>
      <c r="H138" t="s">
        <v>726</v>
      </c>
      <c r="I138" t="s">
        <v>13</v>
      </c>
      <c r="J138">
        <v>1</v>
      </c>
      <c r="L138">
        <v>30.75</v>
      </c>
      <c r="M138">
        <v>46000</v>
      </c>
      <c r="N138">
        <v>46006</v>
      </c>
      <c r="O138" t="s">
        <v>318</v>
      </c>
      <c r="P138" t="s">
        <v>549</v>
      </c>
      <c r="Q138" s="144" t="s">
        <v>727</v>
      </c>
      <c r="R138" t="s">
        <v>232</v>
      </c>
      <c r="S138" t="s">
        <v>579</v>
      </c>
      <c r="T138" t="s">
        <v>728</v>
      </c>
      <c r="U138">
        <v>46001</v>
      </c>
      <c r="V138">
        <v>46006</v>
      </c>
      <c r="W138" t="s">
        <v>595</v>
      </c>
      <c r="X138" t="s">
        <v>320</v>
      </c>
      <c r="Y138" t="s">
        <v>323</v>
      </c>
      <c r="Z138">
        <v>46006</v>
      </c>
      <c r="AA138" t="s">
        <v>320</v>
      </c>
      <c r="AB138" t="s">
        <v>320</v>
      </c>
    </row>
    <row r="139" spans="1:28">
      <c r="A139">
        <v>7</v>
      </c>
      <c r="B139" t="s">
        <v>5</v>
      </c>
      <c r="C139">
        <v>45995</v>
      </c>
      <c r="D139">
        <v>46009</v>
      </c>
      <c r="E139" t="s">
        <v>730</v>
      </c>
      <c r="F139" t="s">
        <v>233</v>
      </c>
      <c r="G139" t="s">
        <v>693</v>
      </c>
      <c r="H139" t="s">
        <v>694</v>
      </c>
      <c r="I139" t="s">
        <v>283</v>
      </c>
      <c r="J139">
        <v>3</v>
      </c>
      <c r="L139">
        <v>30</v>
      </c>
      <c r="M139">
        <v>46003</v>
      </c>
      <c r="N139">
        <v>46007</v>
      </c>
      <c r="R139" t="s">
        <v>297</v>
      </c>
      <c r="S139" t="s">
        <v>320</v>
      </c>
      <c r="T139" t="s">
        <v>695</v>
      </c>
      <c r="U139">
        <v>46007</v>
      </c>
      <c r="W139" t="s">
        <v>595</v>
      </c>
      <c r="X139" t="s">
        <v>320</v>
      </c>
      <c r="Y139" t="s">
        <v>323</v>
      </c>
    </row>
    <row r="140" spans="1:28">
      <c r="A140">
        <v>1</v>
      </c>
      <c r="B140" t="s">
        <v>5</v>
      </c>
      <c r="C140">
        <v>46009</v>
      </c>
      <c r="D140">
        <v>46037</v>
      </c>
      <c r="E140" t="s">
        <v>186</v>
      </c>
      <c r="F140" t="s">
        <v>233</v>
      </c>
      <c r="G140" t="s">
        <v>648</v>
      </c>
      <c r="H140" t="s">
        <v>649</v>
      </c>
      <c r="I140" t="s">
        <v>13</v>
      </c>
      <c r="J140">
        <v>1</v>
      </c>
      <c r="L140">
        <v>6.75</v>
      </c>
      <c r="M140">
        <v>46013</v>
      </c>
      <c r="N140">
        <v>46013</v>
      </c>
      <c r="O140" t="s">
        <v>318</v>
      </c>
      <c r="P140" t="s">
        <v>650</v>
      </c>
      <c r="Q140" t="s">
        <v>320</v>
      </c>
      <c r="R140" t="s">
        <v>297</v>
      </c>
      <c r="S140" t="s">
        <v>320</v>
      </c>
      <c r="V140">
        <v>46027</v>
      </c>
      <c r="W140" t="s">
        <v>595</v>
      </c>
      <c r="X140" t="s">
        <v>320</v>
      </c>
      <c r="Y140" t="s">
        <v>651</v>
      </c>
      <c r="Z140">
        <v>46027</v>
      </c>
      <c r="AA140" t="s">
        <v>320</v>
      </c>
      <c r="AB140" t="s">
        <v>320</v>
      </c>
    </row>
    <row r="141" spans="1:28">
      <c r="A141">
        <v>2</v>
      </c>
      <c r="B141" t="s">
        <v>5</v>
      </c>
      <c r="C141">
        <v>46009</v>
      </c>
      <c r="D141">
        <v>46037</v>
      </c>
      <c r="E141" t="s">
        <v>186</v>
      </c>
      <c r="F141" t="s">
        <v>297</v>
      </c>
      <c r="G141" t="s">
        <v>653</v>
      </c>
      <c r="H141" t="s">
        <v>654</v>
      </c>
      <c r="I141" t="s">
        <v>13</v>
      </c>
      <c r="J141">
        <v>1</v>
      </c>
      <c r="L141">
        <v>13.75</v>
      </c>
      <c r="M141">
        <v>46013</v>
      </c>
      <c r="N141">
        <v>46013</v>
      </c>
      <c r="O141" t="s">
        <v>318</v>
      </c>
      <c r="P141" t="s">
        <v>650</v>
      </c>
      <c r="Q141" t="s">
        <v>320</v>
      </c>
      <c r="R141" t="s">
        <v>233</v>
      </c>
      <c r="T141" t="s">
        <v>655</v>
      </c>
      <c r="U141">
        <v>46013</v>
      </c>
      <c r="V141">
        <v>46015</v>
      </c>
      <c r="W141" t="s">
        <v>448</v>
      </c>
    </row>
    <row r="142" spans="1:28">
      <c r="A142">
        <v>3</v>
      </c>
      <c r="B142" t="s">
        <v>5</v>
      </c>
      <c r="C142">
        <v>46009</v>
      </c>
      <c r="D142">
        <v>46037</v>
      </c>
      <c r="E142" t="s">
        <v>186</v>
      </c>
      <c r="F142" t="s">
        <v>293</v>
      </c>
      <c r="G142" t="s">
        <v>657</v>
      </c>
      <c r="H142" t="s">
        <v>658</v>
      </c>
      <c r="I142" t="s">
        <v>13</v>
      </c>
      <c r="J142">
        <v>1</v>
      </c>
      <c r="L142">
        <v>14.75</v>
      </c>
      <c r="M142">
        <v>46013</v>
      </c>
      <c r="N142">
        <v>46014</v>
      </c>
      <c r="O142" t="s">
        <v>318</v>
      </c>
      <c r="P142" t="s">
        <v>650</v>
      </c>
      <c r="R142" t="s">
        <v>232</v>
      </c>
      <c r="T142" t="s">
        <v>659</v>
      </c>
      <c r="U142">
        <v>46013</v>
      </c>
      <c r="V142">
        <v>46015</v>
      </c>
      <c r="W142" t="s">
        <v>448</v>
      </c>
    </row>
    <row r="143" spans="1:28">
      <c r="A143">
        <v>4</v>
      </c>
      <c r="B143" t="s">
        <v>5</v>
      </c>
      <c r="C143">
        <v>46009</v>
      </c>
      <c r="D143">
        <v>46037</v>
      </c>
      <c r="E143" t="s">
        <v>186</v>
      </c>
      <c r="F143" t="s">
        <v>661</v>
      </c>
      <c r="G143" t="s">
        <v>662</v>
      </c>
      <c r="H143" t="s">
        <v>663</v>
      </c>
      <c r="I143" t="s">
        <v>13</v>
      </c>
      <c r="J143">
        <v>1</v>
      </c>
      <c r="L143">
        <v>3.75</v>
      </c>
      <c r="M143">
        <v>46013</v>
      </c>
      <c r="N143">
        <v>46014</v>
      </c>
      <c r="O143" t="s">
        <v>318</v>
      </c>
      <c r="P143" t="s">
        <v>650</v>
      </c>
      <c r="R143" t="s">
        <v>297</v>
      </c>
      <c r="T143" t="s">
        <v>659</v>
      </c>
      <c r="U143">
        <v>46013</v>
      </c>
      <c r="V143">
        <v>46015</v>
      </c>
      <c r="W143" t="s">
        <v>448</v>
      </c>
    </row>
    <row r="144" spans="1:28">
      <c r="A144">
        <v>5</v>
      </c>
      <c r="B144" t="s">
        <v>5</v>
      </c>
      <c r="C144">
        <v>46009</v>
      </c>
      <c r="D144">
        <v>46037</v>
      </c>
      <c r="E144" t="s">
        <v>186</v>
      </c>
      <c r="F144" t="s">
        <v>664</v>
      </c>
      <c r="G144" t="s">
        <v>665</v>
      </c>
      <c r="H144" t="s">
        <v>666</v>
      </c>
      <c r="I144" t="s">
        <v>13</v>
      </c>
      <c r="J144">
        <v>1</v>
      </c>
      <c r="L144">
        <v>1</v>
      </c>
      <c r="M144">
        <v>46013</v>
      </c>
      <c r="N144">
        <v>46014</v>
      </c>
      <c r="O144" t="s">
        <v>318</v>
      </c>
      <c r="P144" t="s">
        <v>650</v>
      </c>
      <c r="R144" t="s">
        <v>233</v>
      </c>
      <c r="T144" t="s">
        <v>659</v>
      </c>
      <c r="U144">
        <v>46013</v>
      </c>
      <c r="V144">
        <v>46015</v>
      </c>
      <c r="W144" t="s">
        <v>448</v>
      </c>
    </row>
    <row r="145" spans="1:28">
      <c r="A145">
        <v>6</v>
      </c>
      <c r="B145" t="s">
        <v>5</v>
      </c>
      <c r="C145">
        <v>46009</v>
      </c>
      <c r="D145">
        <v>46037</v>
      </c>
      <c r="E145" t="s">
        <v>186</v>
      </c>
      <c r="F145" t="s">
        <v>233</v>
      </c>
      <c r="G145" t="s">
        <v>668</v>
      </c>
      <c r="H145" t="s">
        <v>669</v>
      </c>
      <c r="I145" t="s">
        <v>13</v>
      </c>
      <c r="J145">
        <v>1</v>
      </c>
      <c r="L145">
        <v>9.25</v>
      </c>
      <c r="M145">
        <v>46014</v>
      </c>
      <c r="N145">
        <v>46015</v>
      </c>
      <c r="O145" t="s">
        <v>318</v>
      </c>
      <c r="P145" t="s">
        <v>650</v>
      </c>
      <c r="Q145" t="s">
        <v>320</v>
      </c>
      <c r="R145" t="s">
        <v>232</v>
      </c>
      <c r="S145" t="s">
        <v>320</v>
      </c>
      <c r="W145" t="s">
        <v>595</v>
      </c>
      <c r="X145" t="s">
        <v>320</v>
      </c>
      <c r="Y145" t="s">
        <v>320</v>
      </c>
      <c r="AA145" t="s">
        <v>320</v>
      </c>
      <c r="AB145" t="s">
        <v>320</v>
      </c>
    </row>
    <row r="146" spans="1:28">
      <c r="A146">
        <v>7</v>
      </c>
      <c r="B146" t="s">
        <v>5</v>
      </c>
      <c r="C146">
        <v>46009</v>
      </c>
      <c r="D146">
        <v>46037</v>
      </c>
      <c r="E146" t="s">
        <v>186</v>
      </c>
      <c r="F146" t="s">
        <v>671</v>
      </c>
      <c r="G146" t="s">
        <v>672</v>
      </c>
      <c r="H146" t="s">
        <v>673</v>
      </c>
      <c r="I146" t="s">
        <v>13</v>
      </c>
      <c r="J146">
        <v>3</v>
      </c>
      <c r="L146">
        <v>120</v>
      </c>
      <c r="M146">
        <v>46014</v>
      </c>
      <c r="N146">
        <v>46036</v>
      </c>
      <c r="O146" t="s">
        <v>318</v>
      </c>
      <c r="P146" t="s">
        <v>650</v>
      </c>
      <c r="Q146" s="144" t="s">
        <v>674</v>
      </c>
      <c r="R146" t="s">
        <v>232</v>
      </c>
      <c r="T146" s="144" t="s">
        <v>675</v>
      </c>
      <c r="U146">
        <v>46017</v>
      </c>
      <c r="V146">
        <v>46037</v>
      </c>
      <c r="W146" t="s">
        <v>448</v>
      </c>
      <c r="X146" t="s">
        <v>320</v>
      </c>
      <c r="Y146" t="s">
        <v>320</v>
      </c>
      <c r="Z146">
        <v>46036</v>
      </c>
    </row>
    <row r="147" spans="1:28">
      <c r="A147">
        <v>8</v>
      </c>
      <c r="B147" t="s">
        <v>5</v>
      </c>
      <c r="C147">
        <v>46009</v>
      </c>
      <c r="D147">
        <v>46037</v>
      </c>
      <c r="E147" t="s">
        <v>186</v>
      </c>
      <c r="F147" t="s">
        <v>676</v>
      </c>
      <c r="G147" t="s">
        <v>677</v>
      </c>
      <c r="H147" t="s">
        <v>678</v>
      </c>
      <c r="I147" t="s">
        <v>13</v>
      </c>
      <c r="J147">
        <v>3</v>
      </c>
      <c r="L147">
        <v>249.75</v>
      </c>
      <c r="M147">
        <v>46014</v>
      </c>
      <c r="N147">
        <v>46036</v>
      </c>
      <c r="O147" t="s">
        <v>318</v>
      </c>
      <c r="P147" t="s">
        <v>650</v>
      </c>
      <c r="Q147" s="144" t="s">
        <v>679</v>
      </c>
      <c r="R147" t="s">
        <v>448</v>
      </c>
      <c r="S147" t="s">
        <v>320</v>
      </c>
      <c r="T147" s="144" t="s">
        <v>680</v>
      </c>
      <c r="U147" s="144" t="s">
        <v>681</v>
      </c>
      <c r="V147">
        <v>46037</v>
      </c>
      <c r="W147" t="s">
        <v>595</v>
      </c>
      <c r="X147" t="s">
        <v>320</v>
      </c>
      <c r="Y147" t="s">
        <v>323</v>
      </c>
      <c r="Z147">
        <v>46036</v>
      </c>
      <c r="AA147" t="s">
        <v>320</v>
      </c>
    </row>
    <row r="148" spans="1:28">
      <c r="A148">
        <v>9</v>
      </c>
      <c r="B148" t="s">
        <v>5</v>
      </c>
      <c r="C148">
        <v>46009</v>
      </c>
      <c r="D148">
        <v>46037</v>
      </c>
      <c r="E148" t="s">
        <v>186</v>
      </c>
      <c r="F148" t="s">
        <v>427</v>
      </c>
      <c r="G148" t="s">
        <v>683</v>
      </c>
      <c r="H148" t="s">
        <v>684</v>
      </c>
      <c r="I148" t="s">
        <v>13</v>
      </c>
      <c r="J148">
        <v>1</v>
      </c>
      <c r="L148">
        <v>33</v>
      </c>
      <c r="M148">
        <v>46013</v>
      </c>
      <c r="N148">
        <v>46013</v>
      </c>
      <c r="P148" t="s">
        <v>650</v>
      </c>
      <c r="R148" t="s">
        <v>685</v>
      </c>
      <c r="T148" t="s">
        <v>686</v>
      </c>
      <c r="U148">
        <v>46007</v>
      </c>
      <c r="V148">
        <v>46015</v>
      </c>
      <c r="W148" t="s">
        <v>448</v>
      </c>
      <c r="X148" t="s">
        <v>320</v>
      </c>
      <c r="Y148" t="s">
        <v>323</v>
      </c>
      <c r="Z148">
        <v>46015</v>
      </c>
      <c r="AA148" t="s">
        <v>320</v>
      </c>
      <c r="AB148" t="s">
        <v>320</v>
      </c>
    </row>
    <row r="149" spans="1:28">
      <c r="A149">
        <v>10</v>
      </c>
      <c r="B149" t="s">
        <v>5</v>
      </c>
      <c r="C149">
        <v>46009</v>
      </c>
      <c r="D149">
        <v>46037</v>
      </c>
      <c r="E149" t="s">
        <v>688</v>
      </c>
      <c r="F149" t="s">
        <v>689</v>
      </c>
      <c r="G149" t="s">
        <v>690</v>
      </c>
      <c r="H149" t="s">
        <v>691</v>
      </c>
      <c r="I149" t="s">
        <v>13</v>
      </c>
      <c r="J149">
        <v>1</v>
      </c>
      <c r="L149">
        <v>32</v>
      </c>
      <c r="M149">
        <v>46030</v>
      </c>
      <c r="N149">
        <v>46036</v>
      </c>
      <c r="O149" t="s">
        <v>318</v>
      </c>
      <c r="P149" t="s">
        <v>650</v>
      </c>
      <c r="Q149" t="s">
        <v>320</v>
      </c>
      <c r="R149" t="s">
        <v>297</v>
      </c>
      <c r="S149" t="s">
        <v>320</v>
      </c>
      <c r="W149" t="s">
        <v>595</v>
      </c>
      <c r="X149" t="s">
        <v>320</v>
      </c>
      <c r="Y149" t="s">
        <v>320</v>
      </c>
      <c r="AA149" t="s">
        <v>320</v>
      </c>
      <c r="AB149" t="s">
        <v>320</v>
      </c>
    </row>
    <row r="150" spans="1:28">
      <c r="A150">
        <v>11</v>
      </c>
      <c r="B150" t="s">
        <v>5</v>
      </c>
      <c r="C150">
        <v>46009</v>
      </c>
      <c r="D150">
        <v>46037</v>
      </c>
      <c r="E150" t="s">
        <v>186</v>
      </c>
      <c r="F150" t="s">
        <v>233</v>
      </c>
      <c r="G150" t="s">
        <v>693</v>
      </c>
      <c r="H150" t="s">
        <v>694</v>
      </c>
      <c r="I150" t="s">
        <v>13</v>
      </c>
      <c r="J150">
        <v>2</v>
      </c>
      <c r="L150">
        <v>13.5</v>
      </c>
      <c r="M150">
        <v>46029</v>
      </c>
      <c r="N150">
        <v>46029</v>
      </c>
      <c r="O150" t="s">
        <v>318</v>
      </c>
      <c r="P150" t="s">
        <v>650</v>
      </c>
      <c r="Q150" t="s">
        <v>320</v>
      </c>
      <c r="R150" t="s">
        <v>297</v>
      </c>
      <c r="S150" t="s">
        <v>320</v>
      </c>
      <c r="T150" t="s">
        <v>695</v>
      </c>
      <c r="U150">
        <v>46030</v>
      </c>
      <c r="V150">
        <v>46031</v>
      </c>
      <c r="W150" t="s">
        <v>595</v>
      </c>
      <c r="X150" t="s">
        <v>320</v>
      </c>
      <c r="Y150" t="s">
        <v>323</v>
      </c>
      <c r="Z150">
        <v>46031</v>
      </c>
      <c r="AA150" t="s">
        <v>320</v>
      </c>
      <c r="AB150" t="s">
        <v>320</v>
      </c>
    </row>
    <row r="151" spans="1:28">
      <c r="A151">
        <v>12</v>
      </c>
      <c r="B151" t="s">
        <v>5</v>
      </c>
      <c r="C151">
        <v>46009</v>
      </c>
      <c r="D151">
        <v>46037</v>
      </c>
      <c r="E151" t="s">
        <v>688</v>
      </c>
      <c r="F151" t="s">
        <v>697</v>
      </c>
      <c r="G151" t="s">
        <v>634</v>
      </c>
      <c r="H151" t="s">
        <v>698</v>
      </c>
      <c r="I151" t="s">
        <v>278</v>
      </c>
      <c r="J151">
        <v>3</v>
      </c>
      <c r="L151">
        <v>29.25</v>
      </c>
      <c r="M151">
        <v>46030</v>
      </c>
      <c r="N151">
        <v>46030</v>
      </c>
      <c r="P151" t="s">
        <v>650</v>
      </c>
      <c r="R151" t="s">
        <v>297</v>
      </c>
      <c r="T151" t="s">
        <v>637</v>
      </c>
      <c r="U151">
        <v>46036</v>
      </c>
      <c r="W151" t="s">
        <v>595</v>
      </c>
      <c r="X151" t="s">
        <v>320</v>
      </c>
      <c r="Y151" t="s">
        <v>323</v>
      </c>
      <c r="AA151" t="s">
        <v>320</v>
      </c>
      <c r="AB151" t="s">
        <v>320</v>
      </c>
    </row>
    <row r="152" spans="1:28">
      <c r="A152">
        <v>1</v>
      </c>
      <c r="B152" t="s">
        <v>5</v>
      </c>
      <c r="C152">
        <v>46038</v>
      </c>
      <c r="D152">
        <v>46051</v>
      </c>
      <c r="E152" t="s">
        <v>1927</v>
      </c>
      <c r="F152" t="s">
        <v>233</v>
      </c>
      <c r="G152" t="s">
        <v>1928</v>
      </c>
      <c r="H152" t="s">
        <v>617</v>
      </c>
      <c r="I152" t="s">
        <v>283</v>
      </c>
      <c r="J152">
        <v>3</v>
      </c>
      <c r="M152">
        <v>46038</v>
      </c>
      <c r="N152">
        <v>46044</v>
      </c>
      <c r="O152" t="s">
        <v>318</v>
      </c>
      <c r="P152" t="s">
        <v>549</v>
      </c>
      <c r="Q152" s="144" t="s">
        <v>618</v>
      </c>
      <c r="R152" t="s">
        <v>297</v>
      </c>
      <c r="S152" t="s">
        <v>320</v>
      </c>
      <c r="AB152" t="s">
        <v>320</v>
      </c>
    </row>
    <row r="153" spans="1:28">
      <c r="A153">
        <v>2</v>
      </c>
      <c r="B153" t="s">
        <v>5</v>
      </c>
      <c r="C153">
        <v>46038</v>
      </c>
      <c r="D153">
        <v>46051</v>
      </c>
      <c r="E153" t="s">
        <v>1927</v>
      </c>
      <c r="F153" t="s">
        <v>234</v>
      </c>
      <c r="G153" t="s">
        <v>621</v>
      </c>
      <c r="H153" t="s">
        <v>622</v>
      </c>
      <c r="I153" t="s">
        <v>278</v>
      </c>
      <c r="J153">
        <v>3</v>
      </c>
      <c r="M153">
        <v>46038</v>
      </c>
      <c r="O153" t="s">
        <v>318</v>
      </c>
      <c r="P153" t="s">
        <v>549</v>
      </c>
      <c r="Q153" s="144" t="s">
        <v>623</v>
      </c>
      <c r="S153" t="s">
        <v>320</v>
      </c>
    </row>
    <row r="154" spans="1:28">
      <c r="A154">
        <v>3</v>
      </c>
      <c r="B154" t="s">
        <v>5</v>
      </c>
      <c r="C154">
        <v>46038</v>
      </c>
      <c r="D154">
        <v>46051</v>
      </c>
      <c r="E154" t="s">
        <v>1927</v>
      </c>
      <c r="F154" t="s">
        <v>297</v>
      </c>
      <c r="G154" t="s">
        <v>626</v>
      </c>
      <c r="H154" t="s">
        <v>627</v>
      </c>
      <c r="I154" t="s">
        <v>278</v>
      </c>
      <c r="J154">
        <v>3</v>
      </c>
      <c r="M154">
        <v>46038</v>
      </c>
      <c r="N154">
        <v>46044</v>
      </c>
      <c r="O154" t="s">
        <v>318</v>
      </c>
      <c r="P154" t="s">
        <v>549</v>
      </c>
      <c r="Q154" s="144" t="s">
        <v>628</v>
      </c>
      <c r="R154" t="s">
        <v>233</v>
      </c>
      <c r="S154" t="s">
        <v>320</v>
      </c>
    </row>
    <row r="155" spans="1:28">
      <c r="A155">
        <v>4</v>
      </c>
      <c r="B155" t="s">
        <v>5</v>
      </c>
      <c r="C155">
        <v>46038</v>
      </c>
      <c r="D155">
        <v>46051</v>
      </c>
      <c r="E155" t="s">
        <v>1927</v>
      </c>
      <c r="F155" t="s">
        <v>280</v>
      </c>
      <c r="G155" t="s">
        <v>630</v>
      </c>
      <c r="H155" t="s">
        <v>631</v>
      </c>
      <c r="I155" t="s">
        <v>278</v>
      </c>
      <c r="J155">
        <v>3</v>
      </c>
      <c r="M155">
        <v>46038</v>
      </c>
      <c r="O155" t="s">
        <v>318</v>
      </c>
      <c r="P155" t="s">
        <v>549</v>
      </c>
      <c r="Q155" s="144" t="s">
        <v>632</v>
      </c>
      <c r="R155" t="s">
        <v>293</v>
      </c>
      <c r="S155" t="s">
        <v>320</v>
      </c>
      <c r="AB155" t="s">
        <v>320</v>
      </c>
    </row>
    <row r="156" spans="1:28">
      <c r="A156">
        <v>5</v>
      </c>
      <c r="B156" t="s">
        <v>5</v>
      </c>
      <c r="C156">
        <v>46038</v>
      </c>
      <c r="D156">
        <v>46051</v>
      </c>
      <c r="E156" t="s">
        <v>1927</v>
      </c>
      <c r="F156" t="s">
        <v>293</v>
      </c>
      <c r="G156" t="s">
        <v>634</v>
      </c>
      <c r="H156" t="s">
        <v>635</v>
      </c>
      <c r="I156" t="s">
        <v>278</v>
      </c>
      <c r="J156">
        <v>2</v>
      </c>
      <c r="M156">
        <v>46041</v>
      </c>
      <c r="O156" t="s">
        <v>318</v>
      </c>
      <c r="P156" t="s">
        <v>549</v>
      </c>
      <c r="T156" t="s">
        <v>637</v>
      </c>
      <c r="U156">
        <v>46036</v>
      </c>
    </row>
    <row r="157" spans="1:28">
      <c r="A157">
        <v>6</v>
      </c>
      <c r="B157" t="s">
        <v>5</v>
      </c>
      <c r="C157">
        <v>46038</v>
      </c>
      <c r="D157">
        <v>46051</v>
      </c>
      <c r="E157" t="s">
        <v>1929</v>
      </c>
      <c r="F157" t="s">
        <v>301</v>
      </c>
      <c r="G157" t="s">
        <v>640</v>
      </c>
      <c r="H157" t="s">
        <v>1930</v>
      </c>
      <c r="I157" t="s">
        <v>278</v>
      </c>
      <c r="J157">
        <v>3</v>
      </c>
      <c r="M157">
        <v>46045</v>
      </c>
      <c r="N157">
        <v>46045</v>
      </c>
      <c r="P157" t="s">
        <v>549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i:0#.f|membership|ganapathiraman.balasubramanian@relevantz.com</cp:lastModifiedBy>
  <cp:revision/>
  <dcterms:created xsi:type="dcterms:W3CDTF">2024-02-16T13:03:59Z</dcterms:created>
  <dcterms:modified xsi:type="dcterms:W3CDTF">2026-05-17T10:30:57Z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2025-12-12T05:33:13Z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c74c1a27-b994-45d6-8604-28ace9e57865</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