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5539" documentId="11_AD9303A27792E24C9F5108879488DE6A208F9487" xr6:coauthVersionLast="47" xr6:coauthVersionMax="47" xr10:uidLastSave="{9875DF1F-E96D-472D-BAAE-8411CF45347B}"/>
  <bookViews>
    <workbookView xWindow="0" yWindow="0" windowWidth="0" windowHeight="0" firstSheet="4" activeTab="4" xr2:uid="{00000000-000D-0000-FFFF-FFFF00000000}"/>
  </bookViews>
  <sheets>
    <sheet name="BOH Wave Team" sheetId="76" r:id="rId1"/>
    <sheet name="Defect-template" sheetId="64" r:id="rId2"/>
    <sheet name="Dashboard" sheetId="1" r:id="rId3"/>
    <sheet name="26.06 Sprint 4-Status" sheetId="154" r:id="rId4"/>
    <sheet name="26.06 Sprint 4 - Defect Tracker" sheetId="155" r:id="rId5"/>
    <sheet name="26.06 Sprint 3-Status " sheetId="152" r:id="rId6"/>
    <sheet name="26.06 Sprint 3 - Defect Tracker" sheetId="153" r:id="rId7"/>
    <sheet name="26.06 Sprint 2-Status" sheetId="151" r:id="rId8"/>
    <sheet name="26.06 Sprint 2 - Defect Tracker" sheetId="150" r:id="rId9"/>
    <sheet name="26.06 Sprint 1-Status" sheetId="148" r:id="rId10"/>
    <sheet name="26.06 Sprint 1 - Defect Tracker" sheetId="149" r:id="rId11"/>
    <sheet name="26.3 Sprint 4-Status" sheetId="146" r:id="rId12"/>
    <sheet name="ExportData" sheetId="117" r:id="rId13"/>
    <sheet name="26.3 Sprint 4 - Defect Tracker" sheetId="147" r:id="rId14"/>
    <sheet name="26.3 Sprint 3-Status" sheetId="144" r:id="rId15"/>
    <sheet name="26.3 Sprint 3 - Defect Tracker" sheetId="145" r:id="rId16"/>
    <sheet name="26.3 Sprint 2-Status" sheetId="142" r:id="rId17"/>
    <sheet name="26.3 Sprint 2 - Defect Tracker" sheetId="143" r:id="rId18"/>
    <sheet name="26.3 Sprint 1-Status" sheetId="140" r:id="rId19"/>
    <sheet name="26.3 Sprint 1 - Defect Tracker" sheetId="141" r:id="rId20"/>
    <sheet name="26.1 Sprint 3-Status" sheetId="138" r:id="rId21"/>
    <sheet name="26.1 Sprint 3 - Defect Tracker" sheetId="139" r:id="rId22"/>
    <sheet name="4.2 Sprint 2-Status" sheetId="135" r:id="rId23"/>
    <sheet name="4.2 Sprint 2 - Defect Trac" sheetId="136" r:id="rId24"/>
    <sheet name="4.2 Sprint 2 - Praveen" sheetId="137" r:id="rId25"/>
    <sheet name="4.2 Sprint 1-Status" sheetId="132" r:id="rId26"/>
    <sheet name="4.2 Sprint 1 - Defect Trac" sheetId="133" r:id="rId27"/>
    <sheet name="4.2 Sprint 1 - Praveen  " sheetId="134" r:id="rId28"/>
    <sheet name="4.1 Sprint 3-Status" sheetId="129" r:id="rId29"/>
    <sheet name="4.1 Sprint 3 - Defect Trac" sheetId="130" r:id="rId30"/>
    <sheet name="4.1 Sprint 3 - Praveen " sheetId="131" r:id="rId31"/>
    <sheet name="4.1 Sprint 2-Status" sheetId="126" r:id="rId32"/>
    <sheet name="4.1 Sprint 2 - Defect Trac" sheetId="127" r:id="rId33"/>
    <sheet name="4.1 Sprint 2 - Praveen" sheetId="128" r:id="rId34"/>
    <sheet name="4.1 Sprint 1-Status" sheetId="124" r:id="rId35"/>
    <sheet name="4.1 Sprint 1 - Defect Trac" sheetId="125" r:id="rId36"/>
    <sheet name="4.0 Sprint 3-Status" sheetId="122" r:id="rId37"/>
    <sheet name="4.0 Sprint 3 - Defect Trac" sheetId="123" r:id="rId38"/>
    <sheet name="4.0 Sprint 2-Status" sheetId="120" r:id="rId39"/>
    <sheet name="4.0 Sprint 2 - Defect Trac" sheetId="121" r:id="rId40"/>
    <sheet name="4.0 Sprint 1-Status" sheetId="118" r:id="rId41"/>
    <sheet name="4.0 Sprint 1 - Defect Trac" sheetId="119" r:id="rId42"/>
    <sheet name="3.23 Sprint 6-Status" sheetId="115" r:id="rId43"/>
    <sheet name="3.23 Sprint 6 - Defect Trac" sheetId="116" r:id="rId44"/>
    <sheet name="3.23 Sprint 5-Status" sheetId="112" r:id="rId45"/>
    <sheet name="3.23 Sprint 5 - Defect Trac" sheetId="113" r:id="rId46"/>
    <sheet name="3.23 Sprint 4-Status" sheetId="109" r:id="rId47"/>
    <sheet name="3.23 Sprint 4 - Defect Trac" sheetId="110" r:id="rId48"/>
    <sheet name="3.23 Sprint 3-Status" sheetId="106" r:id="rId49"/>
    <sheet name="3.23 Sprint 3 - Defect Trac" sheetId="107" r:id="rId50"/>
    <sheet name="3.23 Sprint 2-Status" sheetId="103" r:id="rId51"/>
    <sheet name="3.23 Sprint 2 - Defect Trac" sheetId="104" r:id="rId52"/>
    <sheet name="3.23 Sprint 1-Status" sheetId="100" r:id="rId53"/>
    <sheet name="3.23 Sprint 1 - Defect Trac" sheetId="101" r:id="rId54"/>
    <sheet name="3.22 Sprint 6-Status" sheetId="98" r:id="rId55"/>
    <sheet name="3.22 Sprint 5 - Defect Tracker" sheetId="91" r:id="rId56"/>
    <sheet name="Checklist" sheetId="8" r:id="rId57"/>
    <sheet name="Details" sheetId="9" r:id="rId58"/>
    <sheet name="Settings" sheetId="56" r:id="rId5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55" l="1"/>
  <c r="K5" i="154"/>
  <c r="K4" i="154"/>
  <c r="K3" i="154"/>
  <c r="K2" i="154"/>
  <c r="K7" i="152"/>
  <c r="K9" i="152"/>
  <c r="K8" i="152"/>
  <c r="K4" i="152"/>
  <c r="K6" i="152"/>
  <c r="K3" i="152"/>
  <c r="K2" i="152"/>
  <c r="K5" i="152"/>
  <c r="K4" i="151"/>
  <c r="K6" i="151"/>
  <c r="K5" i="151"/>
  <c r="K2" i="151"/>
  <c r="K3" i="151"/>
  <c r="L3" i="149"/>
  <c r="K3" i="148"/>
  <c r="L2" i="149"/>
  <c r="K10" i="148"/>
  <c r="K9" i="148"/>
  <c r="K7" i="148"/>
  <c r="K2" i="148"/>
  <c r="K8" i="148"/>
  <c r="K4" i="148"/>
  <c r="K5" i="148"/>
  <c r="K6" i="148"/>
  <c r="K10" i="146"/>
  <c r="K9" i="146"/>
  <c r="L10" i="147"/>
  <c r="L2" i="147"/>
  <c r="L9" i="147"/>
  <c r="K8" i="146"/>
  <c r="L4" i="147"/>
  <c r="K7" i="146"/>
  <c r="L3" i="147"/>
  <c r="K6" i="146"/>
  <c r="K2" i="146"/>
  <c r="K3" i="146"/>
  <c r="K4" i="146"/>
  <c r="K5" i="146"/>
  <c r="L3" i="145"/>
  <c r="K3" i="144"/>
  <c r="K5" i="144"/>
  <c r="K4" i="144"/>
  <c r="K6" i="144"/>
  <c r="K2" i="144"/>
  <c r="K7" i="142"/>
  <c r="K6" i="142"/>
  <c r="K5" i="142"/>
  <c r="K3" i="142"/>
  <c r="K4" i="142"/>
  <c r="K2" i="142"/>
  <c r="K8" i="140"/>
  <c r="K7" i="140"/>
  <c r="K2" i="140"/>
  <c r="K6" i="140"/>
  <c r="L2" i="141"/>
  <c r="L3" i="141"/>
  <c r="K5" i="140"/>
  <c r="K4" i="140"/>
  <c r="K3" i="140"/>
  <c r="K5" i="138"/>
  <c r="K3" i="138"/>
  <c r="K4" i="138"/>
  <c r="K2" i="138"/>
  <c r="L2" i="136"/>
  <c r="K12" i="135"/>
  <c r="K11" i="135"/>
  <c r="K7" i="135"/>
  <c r="L3" i="136"/>
  <c r="K8" i="135"/>
  <c r="K9" i="135"/>
  <c r="K10" i="135"/>
  <c r="K4" i="135"/>
  <c r="K5" i="135"/>
  <c r="K6" i="135"/>
  <c r="K3" i="135"/>
  <c r="K2" i="135"/>
  <c r="K11" i="132"/>
  <c r="L2" i="133"/>
  <c r="K10" i="132"/>
  <c r="K9" i="132"/>
  <c r="K8" i="132"/>
  <c r="K7" i="132"/>
  <c r="K6" i="132"/>
  <c r="K5" i="132"/>
  <c r="K4" i="132"/>
  <c r="K3" i="132"/>
  <c r="K6" i="129"/>
  <c r="K5" i="129"/>
  <c r="K2" i="132"/>
  <c r="L8" i="130"/>
  <c r="K7" i="129"/>
  <c r="L7" i="130"/>
  <c r="K3" i="129"/>
  <c r="K4" i="129"/>
  <c r="L3" i="130"/>
  <c r="L4" i="130"/>
  <c r="L5" i="130"/>
  <c r="L6" i="130"/>
  <c r="L2" i="130"/>
  <c r="K2" i="129"/>
  <c r="L10" i="127"/>
  <c r="L7" i="127"/>
  <c r="L4" i="127"/>
  <c r="L5" i="127"/>
  <c r="L6" i="127"/>
  <c r="K7" i="126"/>
  <c r="K10" i="126"/>
  <c r="K3" i="126"/>
  <c r="K6" i="126"/>
  <c r="K8" i="126"/>
  <c r="K9" i="126"/>
  <c r="K7" i="124"/>
  <c r="K4" i="126"/>
  <c r="K5" i="126"/>
  <c r="L3" i="127"/>
  <c r="L2" i="127"/>
  <c r="K2" i="126"/>
  <c r="L3" i="125"/>
  <c r="L4" i="125"/>
  <c r="L5" i="125"/>
  <c r="L6" i="125"/>
  <c r="L7" i="125"/>
  <c r="L8" i="125"/>
  <c r="L9" i="125"/>
  <c r="L10" i="125"/>
  <c r="L11" i="125"/>
  <c r="L2" i="125"/>
  <c r="K3" i="124"/>
  <c r="K4" i="124"/>
  <c r="K5" i="124"/>
  <c r="K6" i="124"/>
  <c r="K8" i="124"/>
  <c r="K2" i="124"/>
  <c r="K16" i="122"/>
  <c r="K17" i="122"/>
  <c r="K11" i="122"/>
  <c r="K12" i="122"/>
  <c r="K13" i="122"/>
  <c r="K14" i="122"/>
  <c r="K15" i="122"/>
  <c r="L4" i="123"/>
  <c r="K10" i="122"/>
  <c r="K9" i="122"/>
  <c r="L3" i="123"/>
  <c r="L2" i="123"/>
  <c r="K8" i="122"/>
  <c r="K7" i="122"/>
  <c r="K6" i="122"/>
  <c r="K4" i="122"/>
  <c r="K3" i="122"/>
  <c r="K2" i="122"/>
  <c r="K9" i="120"/>
  <c r="K10" i="120"/>
  <c r="K7" i="120"/>
  <c r="K8" i="120"/>
  <c r="K9" i="118"/>
  <c r="K6" i="120"/>
  <c r="K5" i="120"/>
  <c r="K4" i="120"/>
  <c r="K3" i="120"/>
  <c r="K2" i="120"/>
  <c r="K8" i="118"/>
  <c r="L2" i="119"/>
  <c r="K7" i="118"/>
  <c r="K3" i="118"/>
  <c r="K4" i="118"/>
  <c r="K5" i="118"/>
  <c r="K6" i="118"/>
  <c r="K2" i="118"/>
  <c r="L2" i="116"/>
  <c r="K9" i="117"/>
  <c r="K8" i="117"/>
  <c r="K7" i="117"/>
  <c r="K6" i="117"/>
  <c r="K5" i="117"/>
  <c r="K4" i="117"/>
  <c r="K3" i="117"/>
  <c r="K2" i="117"/>
  <c r="K6" i="115"/>
  <c r="K7" i="115"/>
  <c r="K8" i="115"/>
  <c r="K9" i="115"/>
  <c r="K3" i="115"/>
  <c r="K4" i="115"/>
  <c r="K5" i="115"/>
  <c r="K2" i="115"/>
  <c r="K9" i="112"/>
  <c r="K10" i="112"/>
  <c r="K3" i="112"/>
  <c r="K4" i="112"/>
  <c r="K5" i="112"/>
  <c r="K6" i="112"/>
  <c r="K7" i="112"/>
  <c r="K8" i="112"/>
  <c r="K11" i="112"/>
  <c r="K2" i="112"/>
  <c r="K5" i="109"/>
  <c r="K11" i="109"/>
  <c r="K10" i="109"/>
  <c r="K12" i="109"/>
  <c r="K13" i="109"/>
  <c r="K14" i="109"/>
  <c r="K15" i="109"/>
  <c r="K3" i="109"/>
  <c r="K4" i="109"/>
  <c r="K6" i="109"/>
  <c r="K7" i="109"/>
  <c r="K8" i="109"/>
  <c r="K9" i="109"/>
  <c r="K2" i="109"/>
  <c r="K9" i="106"/>
  <c r="K12" i="106"/>
  <c r="K11" i="106"/>
  <c r="K13" i="106"/>
  <c r="K3" i="106"/>
  <c r="K4" i="106"/>
  <c r="K5" i="106"/>
  <c r="K6" i="106"/>
  <c r="K7" i="106"/>
  <c r="K8" i="106"/>
  <c r="K10" i="106"/>
  <c r="K2" i="106"/>
  <c r="K3" i="103"/>
  <c r="K4" i="103"/>
  <c r="K5" i="103"/>
  <c r="K6" i="103"/>
  <c r="K7" i="103"/>
  <c r="K8" i="103"/>
  <c r="K9" i="103"/>
  <c r="K10" i="103"/>
  <c r="K2" i="103"/>
  <c r="B1" i="1" a="1"/>
  <c r="B1" i="1"/>
  <c r="F1" i="1" l="1"/>
  <c r="H1" i="1"/>
  <c r="D1" i="1"/>
  <c r="A52" i="1"/>
  <c r="A53" i="1"/>
  <c r="A51" i="1"/>
  <c r="A49" i="1"/>
  <c r="A50" i="1"/>
  <c r="A47" i="1"/>
  <c r="A48" i="1"/>
  <c r="A45" i="1"/>
  <c r="A46" i="1"/>
  <c r="A43" i="1"/>
  <c r="A44" i="1"/>
  <c r="A41" i="1"/>
  <c r="A42" i="1"/>
  <c r="A39" i="1"/>
  <c r="A40" i="1"/>
  <c r="A37" i="1"/>
  <c r="A38" i="1"/>
  <c r="A35" i="1"/>
  <c r="A36" i="1"/>
  <c r="A33" i="1"/>
  <c r="A34" i="1"/>
  <c r="A31" i="1"/>
  <c r="A32" i="1"/>
  <c r="A3" i="1"/>
  <c r="A30" i="1"/>
  <c r="A29" i="1"/>
  <c r="A28" i="1"/>
  <c r="A27" i="1"/>
  <c r="A26" i="1"/>
  <c r="A25" i="1"/>
  <c r="A4" i="1"/>
  <c r="A5" i="1"/>
  <c r="A6" i="1"/>
  <c r="A7" i="1"/>
  <c r="A8" i="1"/>
  <c r="A9" i="1"/>
  <c r="A10" i="1"/>
  <c r="A11" i="1"/>
  <c r="A12" i="1"/>
  <c r="A13" i="1"/>
  <c r="A14" i="1"/>
  <c r="A15" i="1"/>
  <c r="A16" i="1"/>
  <c r="A17" i="1"/>
  <c r="A18" i="1"/>
  <c r="A19" i="1"/>
  <c r="A20" i="1"/>
  <c r="A21" i="1"/>
  <c r="A22" i="1"/>
  <c r="A23" i="1"/>
  <c r="A56" i="1" l="1"/>
  <c r="A57" i="1"/>
  <c r="A54" i="1"/>
  <c r="A5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tc={6D709082-7BE3-4A82-93D0-0A721D77E3D3}</author>
  </authors>
  <commentList>
    <comment ref="M53" authorId="0" shapeId="0" xr:uid="{6D709082-7BE3-4A82-93D0-0A721D77E3D3}">
      <text>
        <t>[Threaded comment]
Your version of Excel allows you to read this threaded comment; however, any edits to it will get removed if the file is opened in a newer version of Excel. Learn more: https://go.microsoft.com/fwlink/?linkid=870924
Comment:
    1 Unplanned Leave (Deepika)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tc={B0437F0E-F235-4449-B2DF-1B827C039BB6}</author>
  </authors>
  <commentList>
    <comment ref="AB3" authorId="0" shapeId="0" xr:uid="{B0437F0E-F235-4449-B2DF-1B827C039BB6}">
      <text>
        <t>[Threaded comment]
Your version of Excel allows you to read this threaded comment; however, any edits to it will get removed if the file is opened in a newer version of Excel. Learn more: https://go.microsoft.com/fwlink/?linkid=870924
Comment:
    Testing Comment:
Found an issue: District Tier 1, features are not visible to the admin users. Bounce back this story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tc={22F53C09-DA6B-426D-A9F9-9B3724EB527C}</author>
  </authors>
  <commentList>
    <comment ref="L2" authorId="0" shapeId="0" xr:uid="{22F53C09-DA6B-426D-A9F9-9B3724EB527C}">
      <text>
        <t>[Threaded comment]
Your version of Excel allows you to read this threaded comment; however, any edits to it will get removed if the file is opened in a newer version of Excel. Learn more: https://go.microsoft.com/fwlink/?linkid=870924
Comment:
    Unable to test, due to JOB failed in MPtest, Andrew is working on to fix the issue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tc={E106C3AD-1707-4A37-B567-A389799F5A6E}</author>
  </authors>
  <commentList>
    <comment ref="AB5" authorId="0" shapeId="0" xr:uid="{E106C3AD-1707-4A37-B567-A389799F5A6E}">
      <text>
        <t>[Threaded comment]
Your version of Excel allows you to read this threaded comment; however, any edits to it will get removed if the file is opened in a newer version of Excel. Learn more: https://go.microsoft.com/fwlink/?linkid=870924
Comment:
    We Don't have test Environment to Test the AI Story, there is a hot fix.
QA Environment is against the hot fix branch</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<sst xmlns="http://schemas.openxmlformats.org/spreadsheetml/2006/main" count="5921" uniqueCount="948">
  <si>
    <t>S.no</t>
  </si>
  <si>
    <t>Application Name</t>
  </si>
  <si>
    <t>Developer</t>
  </si>
  <si>
    <t>Description</t>
  </si>
  <si>
    <t>Status</t>
  </si>
  <si>
    <t>Comments</t>
  </si>
  <si>
    <t>Extensions AI</t>
  </si>
  <si>
    <t>Rajiv / Deepika / Joel</t>
  </si>
  <si>
    <t>Extensions AI packages in console application</t>
  </si>
  <si>
    <t>Completed</t>
  </si>
  <si>
    <t>Extensions AI packages integration in BOH application</t>
  </si>
  <si>
    <t>Extensions AI packages integration in BOH application with OpenAI</t>
  </si>
  <si>
    <t>Extensions AI packages integration in BOH application with AzureAI</t>
  </si>
  <si>
    <t>Extensions AI packages integration in BOH application with Vertex AI</t>
  </si>
  <si>
    <t>Vertex not supported</t>
  </si>
  <si>
    <t>Sementic Kernal</t>
  </si>
  <si>
    <t>Using Sementic Kernal In Console application</t>
  </si>
  <si>
    <t>Using Sementic Kernal In BOH application with Openai</t>
  </si>
  <si>
    <t>Using Sementic Kernal In BOH application with Azureai</t>
  </si>
  <si>
    <t>Using Sementic Kernal In BOH application with Vertexai</t>
  </si>
  <si>
    <t>Prompt Optimization</t>
  </si>
  <si>
    <t>Optimized prompt using sementic kernal in console application</t>
  </si>
  <si>
    <t>Optimized prompt using sementic kernal with Vertex &amp; Openai</t>
  </si>
  <si>
    <t>API</t>
  </si>
  <si>
    <t>New API using sementic kernal with multiple LLM's</t>
  </si>
  <si>
    <t>New API without using sementic kernal with multiple LLM's</t>
  </si>
  <si>
    <t>BOH AI Connectivity</t>
  </si>
  <si>
    <t>Creating new option in existing AI menu</t>
  </si>
  <si>
    <t>Consume the new API to integrate with existing BOH</t>
  </si>
  <si>
    <t>UI Changes to pass the LLM</t>
  </si>
  <si>
    <t>Pass Token counts and display to the AI connectivity output</t>
  </si>
  <si>
    <t xml:space="preserve">Optimize the code to use only sementic kernal in API </t>
  </si>
  <si>
    <t>UI changes to display the Raw response from the API</t>
  </si>
  <si>
    <t>Reviewing the POC</t>
  </si>
  <si>
    <t>GCP Access</t>
  </si>
  <si>
    <t>Explore the vertex setting on the newly created account</t>
  </si>
  <si>
    <t>Testing</t>
  </si>
  <si>
    <t>Priyadharshini</t>
  </si>
  <si>
    <t>Testing assigned test cases, reviewing the existing BOH code and learning C#</t>
  </si>
  <si>
    <t>Document Preparation</t>
  </si>
  <si>
    <t>Rajiv</t>
  </si>
  <si>
    <t>PPT document preparation about AI</t>
  </si>
  <si>
    <t>Extensions AI - API</t>
  </si>
  <si>
    <t>Creating new API using Extensions AI with Vertex alone</t>
  </si>
  <si>
    <t>Creating new API using Extensions AI with mutilple LLM's</t>
  </si>
  <si>
    <t>Writing test scripts on recipe module</t>
  </si>
  <si>
    <t>Vertor db</t>
  </si>
  <si>
    <t>Joel</t>
  </si>
  <si>
    <t>Vector db embeddings</t>
  </si>
  <si>
    <t>Deepika</t>
  </si>
  <si>
    <t>Image search</t>
  </si>
  <si>
    <t>Story - 47271</t>
  </si>
  <si>
    <t>47271 - Tiered Access Levels - aka Feature Flags (Acceleration)</t>
  </si>
  <si>
    <t>BigQuery</t>
  </si>
  <si>
    <t>Working on finishing up BigQuery Semantic search</t>
  </si>
  <si>
    <t>OCR</t>
  </si>
  <si>
    <t>OCR document intelligence</t>
  </si>
  <si>
    <t>ImageToText</t>
  </si>
  <si>
    <t>Uploaded Image to text conversion</t>
  </si>
  <si>
    <t>Incremental Indexing</t>
  </si>
  <si>
    <t>Incremental indexing to optimize the search</t>
  </si>
  <si>
    <t>Story - 47451</t>
  </si>
  <si>
    <t>QR code Login</t>
  </si>
  <si>
    <t>Story - 47441</t>
  </si>
  <si>
    <t>Import Suggested Menus</t>
  </si>
  <si>
    <t>Story - 46936</t>
  </si>
  <si>
    <t>Joel &amp; Rajiv</t>
  </si>
  <si>
    <t>Implement RAG</t>
  </si>
  <si>
    <t>Story - 47452</t>
  </si>
  <si>
    <t>Implement AI Abstraction Layer</t>
  </si>
  <si>
    <t>On Hold</t>
  </si>
  <si>
    <t>Story - 46935</t>
  </si>
  <si>
    <t>Additional Instructions Improvements</t>
  </si>
  <si>
    <t>S.No</t>
  </si>
  <si>
    <t>Sprint #</t>
  </si>
  <si>
    <t>Story/Defect ID</t>
  </si>
  <si>
    <t>Parent Story</t>
  </si>
  <si>
    <t>Issue Type</t>
  </si>
  <si>
    <t xml:space="preserve">Issue Description </t>
  </si>
  <si>
    <t>Priority</t>
  </si>
  <si>
    <t>Defect Source</t>
  </si>
  <si>
    <t>Type</t>
  </si>
  <si>
    <t>Root Cause Category</t>
  </si>
  <si>
    <t>Current Sprint</t>
  </si>
  <si>
    <t>Current Sprint Sheet</t>
  </si>
  <si>
    <t>Sprint Start Date</t>
  </si>
  <si>
    <t>Sprint End Date</t>
  </si>
  <si>
    <t>BOH Wave</t>
  </si>
  <si>
    <t>Users</t>
  </si>
  <si>
    <t>rajivgandhi.sugumaran@relevantz.com;deepika.saravanan@relevantz.com;priyadharsini.kamalakannan@relevantz.com;krupa.bhatkar@relevantz.com;pradeepa.shanmugham@relevantz.com</t>
  </si>
  <si>
    <t>Teams Name(GP-HSS-Mosaic BOH Wave)</t>
  </si>
  <si>
    <t>19:9509f03b5d034514b73c6b54be3710da@thread.v2</t>
  </si>
  <si>
    <t>Sprint Type</t>
  </si>
  <si>
    <t>Assigned</t>
  </si>
  <si>
    <t>Story points introduced/removed</t>
  </si>
  <si>
    <t>Sprint Summary</t>
  </si>
  <si>
    <t>Accomplishments 
(Sprint Goal)</t>
  </si>
  <si>
    <t>Remarks</t>
  </si>
  <si>
    <t>Retro Points
(Internal &amp; External)</t>
  </si>
  <si>
    <t>Planned Leave</t>
  </si>
  <si>
    <t>Total Leave</t>
  </si>
  <si>
    <t>Data sanity
Audit Status</t>
  </si>
  <si>
    <t>AuditDate</t>
  </si>
  <si>
    <t>Backlog Health</t>
  </si>
  <si>
    <t>3.18 Sprint 7</t>
  </si>
  <si>
    <t>Regression sprint</t>
  </si>
  <si>
    <t>Internal:
External:</t>
  </si>
  <si>
    <t>3.18 Sprint 8</t>
  </si>
  <si>
    <t>43230 - Story carried due to reports validation pending in Regression</t>
  </si>
  <si>
    <t>3.18 Sprint 9</t>
  </si>
  <si>
    <t>3.19 Sprint 1</t>
  </si>
  <si>
    <t xml:space="preserve">Took a long time for regression of the production record and production record formats.
Dev and QA focusing on 3.18 release, so not started testing 3.19 release stories. </t>
  </si>
  <si>
    <t>3.19 Sprint 2</t>
  </si>
  <si>
    <t>1 story carry forwarded and completed 4 stories from stretch.</t>
  </si>
  <si>
    <t>3.19 Sprint 3</t>
  </si>
  <si>
    <t>1 Story carried due to lot of testing scope involved and underestimated the effort. 2 Stretch stories completed.</t>
  </si>
  <si>
    <t>3.19 Sprint 4</t>
  </si>
  <si>
    <t>Addition to current sprint, completed 3 stories from stretch</t>
  </si>
  <si>
    <t>3.19 Sprint 5</t>
  </si>
  <si>
    <t>One 13 SP carried to next sprint, Client CRC fix is inprogress.</t>
  </si>
  <si>
    <t>3.19 Sprint 6</t>
  </si>
  <si>
    <t>3.19 Sprint 7</t>
  </si>
  <si>
    <t>3.19 Sprint 8</t>
  </si>
  <si>
    <t>Regression sprint and worked on regression defects(which doesn't have sp)</t>
  </si>
  <si>
    <t>3.20 Sprint 1</t>
  </si>
  <si>
    <t>Completed all the assigned stories</t>
  </si>
  <si>
    <t>3.20 Sprint 2</t>
  </si>
  <si>
    <t>3.20 Sprint 3</t>
  </si>
  <si>
    <t>Addition to current sprint, completed 2 stories from stretch</t>
  </si>
  <si>
    <t>3.20 Sprint 4</t>
  </si>
  <si>
    <t>Addition to current sprint, completed 1 story from stretch</t>
  </si>
  <si>
    <t>3.20 Sprint 5</t>
  </si>
  <si>
    <r>
      <rPr>
        <sz val="10"/>
        <color rgb="FF000000"/>
        <rFont val="Arial"/>
        <scheme val="minor"/>
      </rPr>
      <t xml:space="preserve">Due to Public Holiday(2 Days) and onsite QA PTO, dev scope was reduced in the sprint and team worked and completed development on stretch stories. Even though development completed, those stories are pending for onsite QA testing, so carried to the next sprint.
</t>
    </r>
    <r>
      <rPr>
        <b/>
        <sz val="10"/>
        <color rgb="FF000000"/>
        <rFont val="Arial"/>
        <scheme val="minor"/>
      </rPr>
      <t xml:space="preserve">03-Sep-24:
</t>
    </r>
    <r>
      <rPr>
        <sz val="10"/>
        <color rgb="FF000000"/>
        <rFont val="Arial"/>
        <scheme val="minor"/>
      </rPr>
      <t>CRC Peer - 0, Onsite - 0, Client - 1.
Internal Defect - 0, External Defect - 1.</t>
    </r>
  </si>
  <si>
    <t>3.20 Sprint 6</t>
  </si>
  <si>
    <t>14 sp - Introduced</t>
  </si>
  <si>
    <r>
      <rPr>
        <sz val="10"/>
        <color rgb="FF000000"/>
        <rFont val="Arial"/>
        <scheme val="minor"/>
      </rPr>
      <t xml:space="preserve">Addition to current sprint, completed 2 stories from stretch
</t>
    </r>
    <r>
      <rPr>
        <b/>
        <sz val="10"/>
        <color rgb="FF000000"/>
        <rFont val="Arial"/>
        <scheme val="minor"/>
      </rPr>
      <t xml:space="preserve">17-Sep-24:
</t>
    </r>
    <r>
      <rPr>
        <sz val="10"/>
        <color rgb="FF000000"/>
        <rFont val="Arial"/>
        <scheme val="minor"/>
      </rPr>
      <t>CRC Peer - 0, Onsite - 0, Client - 0.
Internal Defect - 0, External Defect - 2.</t>
    </r>
  </si>
  <si>
    <t>3.20 Sprint 7</t>
  </si>
  <si>
    <r>
      <rPr>
        <sz val="10"/>
        <color rgb="FF000000"/>
        <rFont val="Arial"/>
        <scheme val="minor"/>
      </rPr>
      <t xml:space="preserve">Addition to current sprint, completed 3 stories and 1 defect from stretch
</t>
    </r>
    <r>
      <rPr>
        <b/>
        <sz val="10"/>
        <color rgb="FF000000"/>
        <rFont val="Arial"/>
        <scheme val="minor"/>
      </rPr>
      <t xml:space="preserve">01-Oct-24:
</t>
    </r>
    <r>
      <rPr>
        <sz val="10"/>
        <color rgb="FF000000"/>
        <rFont val="Arial"/>
        <scheme val="minor"/>
      </rPr>
      <t>CRC Peer - 0, Onsite - 0, Client - 0.
Internal Defect - 0, External Defect - 1.</t>
    </r>
  </si>
  <si>
    <t>3.20 Sprint 8</t>
  </si>
  <si>
    <r>
      <rPr>
        <sz val="10"/>
        <color rgb="FF000000"/>
        <rFont val="Arial"/>
        <scheme val="minor"/>
      </rPr>
      <t xml:space="preserve">"Addition to current sprint, completed 1 stories from stretch and 2 Stories in QA
</t>
    </r>
    <r>
      <rPr>
        <b/>
        <sz val="10"/>
        <color rgb="FF000000"/>
        <rFont val="Arial"/>
        <scheme val="minor"/>
      </rPr>
      <t xml:space="preserve">15-Oct-24:
</t>
    </r>
    <r>
      <rPr>
        <sz val="10"/>
        <color rgb="FF000000"/>
        <rFont val="Arial"/>
        <scheme val="minor"/>
      </rPr>
      <t>CRC Peer - 1, Onsite - 0, Client - 0.
Internal Defect - 0, External Defect - 0."</t>
    </r>
  </si>
  <si>
    <t>3.20 Sprint 9</t>
  </si>
  <si>
    <r>
      <rPr>
        <sz val="10"/>
        <color rgb="FF000000"/>
        <rFont val="Arial"/>
        <scheme val="minor"/>
      </rPr>
      <t xml:space="preserve">Addition to current sprint, completed 1 stories from stretch
</t>
    </r>
    <r>
      <rPr>
        <b/>
        <sz val="10"/>
        <color rgb="FF000000"/>
        <rFont val="Arial"/>
        <scheme val="minor"/>
      </rPr>
      <t xml:space="preserve">29-Oct-24:
</t>
    </r>
    <r>
      <rPr>
        <sz val="10"/>
        <color rgb="FF000000"/>
        <rFont val="Arial"/>
        <scheme val="minor"/>
      </rPr>
      <t>CRC Peer - 0, Onsite - 0, Client - 0.
Internal Defect - 0, External Defect - 0.</t>
    </r>
  </si>
  <si>
    <r>
      <rPr>
        <b/>
        <sz val="10"/>
        <color rgb="FF000000"/>
        <rFont val="Arial"/>
        <scheme val="minor"/>
      </rPr>
      <t>Internal: 
External:</t>
    </r>
    <r>
      <rPr>
        <sz val="10"/>
        <color rgb="FF000000"/>
        <rFont val="Arial"/>
        <scheme val="minor"/>
      </rPr>
      <t xml:space="preserve"> Completed sprint and stretch stories</t>
    </r>
  </si>
  <si>
    <t>3.20 Sprint 10</t>
  </si>
  <si>
    <t>4/3</t>
  </si>
  <si>
    <t>Completed regression on "Recipes",''Ingredients","Products" and "Inventory" Modules</t>
  </si>
  <si>
    <t>"46411" Mosaic BOH - 3.20 Regression - Ordering (Big Module) - Currently being in progress was removed and introduced 46412 and 46413. 
Development Cum Regression sprint
CRC Peer - 0, 
CRC Onsite - 0, 
CRC Client - 0.
Internal Defect - 0, 
External Defect - 0.</t>
  </si>
  <si>
    <t>NA</t>
  </si>
  <si>
    <t>3.20 Sprint 11</t>
  </si>
  <si>
    <t>Completed Regression and Regression defects  and worked on few production defects</t>
  </si>
  <si>
    <t>The development for story "46525"-Mosaic BOH - Bidding - Add the ability to attach any doc in bid analysis - is completed however the testing and review is incomplete due to hot fix release and one of the hot fix change was affecting the story. Until that is fixed it could not be pushed
Development Cum Regression sprint
CRC Peer - 0, 
CRC Onsite - 0, 
CRC Client - 0.
Internal Defect - 2
Regression Defect- 10 
External Defect - 0.</t>
  </si>
  <si>
    <t>Internal:
External: Performance issue after 3.20 release</t>
  </si>
  <si>
    <t>3.21 Sprint 1</t>
  </si>
  <si>
    <t>Completed committed stories on time and worked on a few production defects.</t>
  </si>
  <si>
    <t xml:space="preserve">
The development for story "46743" - is in progress as we have to update the Kendo controls to latest version and fix affected components across the application.The story could spill over few more sprints as the same was done earlier  (story 35612) which took total 316 hrs.
It is a Development ---- Working control wise,once done with one will move to next control
CRC Peer - 1, 
CRC Onsite - 0, 
CRC Client - 0.
Internal Defect - 1
External Defect - 0.</t>
  </si>
  <si>
    <t>External: Kendo Update broke many screens
Completed a few defects from stretch
Completed the committed stories other than Kendo</t>
  </si>
  <si>
    <t>3.21 Sprint 2</t>
  </si>
  <si>
    <t>Bidding - Ability to Edit Bid Pricelist, Adding Substitute Recipes(by site in Production Qtys), Adding User Visibility/Last Modified details to Menus and Vendors, and Defects.</t>
  </si>
  <si>
    <t>46674 - Fixed the failed test cases in the Product and Ingredient Module
43702 - Development completed and in QA
CRC Peer - 1, 
CRC Onsite - 1, 
CRC Client - 0.
Internal Defect - 2
External Defect - 2.</t>
  </si>
  <si>
    <t>External: Automation parallel execution
Substitution Recipe Story progress</t>
  </si>
  <si>
    <t>3.21 Sprint 3</t>
  </si>
  <si>
    <t>Add substitute recipe in the Production Quantities for a site for a menu date - (Step 3), Adding Privacy Policy and Terms of Use, Combining “copy” buttons to dropdown option on Menu/Production Qty’s page, and Defect fixes for 3.21..</t>
  </si>
  <si>
    <t>Addition to current sprint, completed 2 stories from stretch and 2 more stories in QA
46674 - Fixed the failed test cases in the Inventory Module (10.75 StP)
CRC Peer - 0, 
CRC Onsite -1, 
CRC Client - 0.
Internal Defect - 0
External Defect - 0.</t>
  </si>
  <si>
    <t>Internal: 
External: Completed sprint and stretch stories.Client appreciated for completing all the stories and defect in the actual commit</t>
  </si>
  <si>
    <t>3.21 Sprint 4</t>
  </si>
  <si>
    <t>Adding Substituted Recipes in Production Record Report, Adding note to Bid Analysis Page, and begin 3.21 Regression Testing.  WAVE(Gen AI) - UI Design.</t>
  </si>
  <si>
    <t>Addition to current sprint, worked on stories from stretch and 1 story in QA
CRC Peer - 0, 
CRC Onsite -0, 
CRC Client - 0.
Internal Defect - 3
External Defect - 0.</t>
  </si>
  <si>
    <t>Internal: 
External: Completed Regression, Completed committed stories and a few from stretch</t>
  </si>
  <si>
    <t>3.22 Sprint 1</t>
  </si>
  <si>
    <t>Substitute Recipes - Updating Inventory Usage, Tech Debt(Updating 3rd parties), Separating Order Quantities(Vendor, Warehouse, &amp; CK), and Defects.</t>
  </si>
  <si>
    <t>Addition to current sprint, worked on stories from stretch and 2 stories in QA
CRC Peer - 0, 
CRC Onsite -0, 
CRC Client - 0.
Internal Defect - 2
External Defect - 1.</t>
  </si>
  <si>
    <t>Internal: 
External: Completed sprint and stretch stories.Craig and Richard B appreciated for completing all the stories and defect in the actual commit</t>
  </si>
  <si>
    <t>3.22 Sprint 2</t>
  </si>
  <si>
    <t xml:space="preserve"> Substitute Recipes - Include in MealViewer,  Auto-Generate Production Planning Recap, Add Product Status in Product List report, and Tiered Access Levels(WAVE Acceleration) .</t>
  </si>
  <si>
    <t>Addition to current sprint, completed 1 story from the stretch
46857 - Carry over to next sprint, due to the lot of scenarios to cover from menu planning screen to meal viewer sync. We completed menus and working on meal viewer sync.Also Unplanned PTO.
Krupa working on Stretch story 46743 - Kendo Update, this requires more dev hours to fix the broken component and test all over the application, we keep the stories in stretch and working on. The effort we put into this was not included.
CRC Peer - 0, 
CRC Onsite -1, 
CRC Client - 1.
Internal Defect - 0
External Defect - 1.</t>
  </si>
  <si>
    <t>Internal: 
External: Richard Boutin and Andrew - Got lot of work completed and reviewed.
What didn't go well:
Unplanned PTO
MV - Substitute recipe story.</t>
  </si>
  <si>
    <t>3.22 Sprint 3</t>
  </si>
  <si>
    <t xml:space="preserve"> Substitute Recipes (Include in MealViewer and Add to Production Costing Report), Location change for Vendor Orders Export Formats, Defects, and WAVE GenAI: Importing Suggested Menus</t>
  </si>
  <si>
    <t>47441 -[WAVE]Mosaic BOH - Gen AI (Initiative #37515) - Import Suggested Menus Carry over to next sprint due to amount of work and testing involved. Underestimated the effort during planning. 
CRC Peer - 0, 
CRC Onsite -0, 
CRC Client - 0.
Internal Defect - 3
External Defect - 1.
Considerd 47615 and 47461 - 13sp/ each for automation coverage</t>
  </si>
  <si>
    <t>Internal: 
External: Richard Boutin and Andrew - Got lot of work completed and reviewed.
What didn't go well:
MV - Substitute recipe story.
Underestimated AI story (47441)</t>
  </si>
  <si>
    <t>3.22 Sprint 4</t>
  </si>
  <si>
    <t>CN2025 Updates, Tech Debt(Kendo Update), Substitute Recipes - Include in MealViewer, and WAVE GenAI(QR Code Login, Import Suggested Menus, and Implement AI Abstraction Layer).</t>
  </si>
  <si>
    <t>CRC Peer - 1, 
CRC Onsite -3, 
CRC Client - 3.
Internal Defect - 0
External Defect - 0.</t>
  </si>
  <si>
    <t>Internal:
External:
What went well :
Gen AI work
Kendo ready for testing
What didn’t go well : 
AI story not compatible with . Net</t>
  </si>
  <si>
    <t>3.22 Sprint 5</t>
  </si>
  <si>
    <t>Tech Debt(Kendo Update), WAVE GenAI, and begin 3.22 Regression Testing</t>
  </si>
  <si>
    <t>47441 - story got carry forwarded - Issues found by the team and needs rework
47902 - Dev completed, Testing pending
CRC Peer - 0, 
CRC Onsite -1, 
CRC Client - 0,
Internal Defect - 0
External Defect - 0.</t>
  </si>
  <si>
    <t>Internal:
External:
What went well :
1)Regression Testing
2)AI Development
What didn’t go well : 
1)COVID(unexpected PTO)
2)Accidental workflow step changes(defect marked for POV when was PR)
3)Underestimated work Wave/UI - Andrew's story</t>
  </si>
  <si>
    <t>3.22 Sprint 6</t>
  </si>
  <si>
    <t>Introduced - 10 SP
48174 - 5 SP
48175 - 5 SP</t>
  </si>
  <si>
    <t>3.22 Regression Testing and WAVE GenAI</t>
  </si>
  <si>
    <t>CRC Peer - 0, 
CRC Onsite -0, 
CRC Client - 0,
Internal Defect - 0
External Defect - 0.</t>
  </si>
  <si>
    <t>Internal:
External:
What went well :
1) Defects fixed turnaround.
2)Regression time reduced
What didn’t go well : 
1)Regression defects found(Most caused by Kendo updates)
2)Web server authentication issues with AI.
3)Craig locked out of computer/system</t>
  </si>
  <si>
    <t>3.23 Sprint 1</t>
  </si>
  <si>
    <t xml:space="preserve">
</t>
  </si>
  <si>
    <t>3.22 Regression Testing, Defect fixes for 3.22.1 Interim release, and WAVE GenAI &amp; Tier Model.</t>
  </si>
  <si>
    <t>Stories: 3 out of 4 committed stories has been completed and 1 not completed
Defects: 
CRC Peer - 0, 
CRC Onsite -0, 
CRC Client - 0,
Internal Defect - 0
External Defect - 0.</t>
  </si>
  <si>
    <t>Internal:
External:
What went well :Completed many defects 
What didn’t go well : Nil</t>
  </si>
  <si>
    <t>3.23 Sprint 2</t>
  </si>
  <si>
    <t>Fixed a lot of defects, Good progress in the AI work</t>
  </si>
  <si>
    <t>Stories: 1 out of 4 committed stories and 1 from stretch has been completed
Defects: 
CRC Peer - 1, 
CRC Onsite -0, 
CRC Client - 1,
Internal Defect - 0
External Defect - 0.</t>
  </si>
  <si>
    <t>Internal:
External:
What went well : Completed many defects and good progress in the AI work
What didn’t go well : Could not test wave stories, no test environment due to interim release</t>
  </si>
  <si>
    <t>3.23 Sprint 3</t>
  </si>
  <si>
    <t>Defect fixes, 3.22.1 Interim Release Prep/Checkout, and WAVE GenAI &amp; Tier Model.</t>
  </si>
  <si>
    <t>Remarks: Client is not ready to setup their GCP accounts on the web servers, due to this environment issue, we cannot tested the stories in this sprint, we have re-structured the database and call the AI through scheduler service.
Stories: 1 out of 6 committed stories has been completed, 5 committed stories not completed.
Defects: 1 stretch defect fixed
CRC Peer - 0, 
CRC Onsite -0, 
CRC Client - 0,
Internal Defect - 2
External Defect - 0.</t>
  </si>
  <si>
    <t>Internal:
External:
What went well : 1)Tino had 50 handwritten test cases for AI, 2) fixed AI defects
What didn’t go well : GEN AI testing environmental Issues</t>
  </si>
  <si>
    <t>3.23 Sprint 4</t>
  </si>
  <si>
    <t>Introduced - 5 SP
49065 - 5 SP
1 defect fixed
25498 - 2SP</t>
  </si>
  <si>
    <t xml:space="preserve">Tier Model , Nutrition Facts Labels, Create Ingredient, Creative Recipe - Portion size - Update the original response, Parent Data Table - Child Data Table , Add Allergens details to the Get Creative Recipes , Nutrients - measurement conversion </t>
  </si>
  <si>
    <t>WAVE GenAI Nutrient fact label - create ingredient, Get Creative Recipe enhancement</t>
  </si>
  <si>
    <r>
      <rPr>
        <b/>
        <sz val="10"/>
        <color rgb="FF000000"/>
        <rFont val="Arial"/>
        <scheme val="minor"/>
      </rPr>
      <t>Stories</t>
    </r>
    <r>
      <rPr>
        <sz val="10"/>
        <color rgb="FF000000"/>
        <rFont val="Arial"/>
        <scheme val="minor"/>
      </rPr>
      <t xml:space="preserve">: 8 out of 9 committed stories has been completed and 1 not completed
</t>
    </r>
    <r>
      <rPr>
        <b/>
        <sz val="10"/>
        <color rgb="FF000000"/>
        <rFont val="Arial"/>
        <scheme val="minor"/>
      </rPr>
      <t>Defects</t>
    </r>
    <r>
      <rPr>
        <sz val="10"/>
        <color rgb="FF000000"/>
        <rFont val="Arial"/>
        <scheme val="minor"/>
      </rPr>
      <t>: 1 defect not completed
CRC Peer - 0, 
CRC Onsite -1, 
CRC Client - 0,
Internal Defect - 1
External Defect - 0.</t>
    </r>
  </si>
  <si>
    <t>Internal:
External:
What went well : Nutrient fact label story completion, Get Creative Recipe enhancement
What didn’t go well : AI Accuracy</t>
  </si>
  <si>
    <t>/</t>
  </si>
  <si>
    <t>3.23 Sprint 5</t>
  </si>
  <si>
    <t xml:space="preserve">Tier Model - Feature/Menus visibility based on the Tier levels, Nutrition Facts Label-Attach Image, Filter Task by list, Adjust background to Full screen, Physical Count worksheet.
</t>
  </si>
  <si>
    <t>Tier Level, Image attachment from nutrition fact label</t>
  </si>
  <si>
    <r>
      <rPr>
        <b/>
        <sz val="10"/>
        <color rgb="FF000000"/>
        <rFont val="Arial"/>
        <scheme val="minor"/>
      </rPr>
      <t>Stories</t>
    </r>
    <r>
      <rPr>
        <sz val="10"/>
        <color rgb="FF000000"/>
        <rFont val="Arial"/>
        <scheme val="minor"/>
      </rPr>
      <t xml:space="preserve">: 3 out of 3 committed stories and 3 from stretch has been completed
</t>
    </r>
    <r>
      <rPr>
        <b/>
        <sz val="10"/>
        <color rgb="FF000000"/>
        <rFont val="Arial"/>
        <scheme val="minor"/>
      </rPr>
      <t>Defects</t>
    </r>
    <r>
      <rPr>
        <sz val="10"/>
        <color rgb="FF000000"/>
        <rFont val="Arial"/>
        <scheme val="minor"/>
      </rPr>
      <t xml:space="preserve">: 
</t>
    </r>
    <r>
      <rPr>
        <b/>
        <sz val="10"/>
        <color rgb="FF000000"/>
        <rFont val="Arial"/>
        <scheme val="minor"/>
      </rPr>
      <t>HIghlights</t>
    </r>
    <r>
      <rPr>
        <sz val="10"/>
        <color rgb="FF000000"/>
        <rFont val="Arial"/>
        <scheme val="minor"/>
      </rPr>
      <t xml:space="preserve">: Tier Level, Nutrition Fact Label
</t>
    </r>
    <r>
      <rPr>
        <b/>
        <sz val="10"/>
        <color rgb="FF000000"/>
        <rFont val="Arial"/>
        <scheme val="minor"/>
      </rPr>
      <t>Kudos</t>
    </r>
    <r>
      <rPr>
        <sz val="10"/>
        <color rgb="FF000000"/>
        <rFont val="Arial"/>
        <scheme val="minor"/>
      </rPr>
      <t>: Lot of tickets has been compteted from committed and stretch
CRC Peer - 0, 
CRC Onsite -1, 
CRC Client - 0,
Internal Defect - 1
External Defect - 0.</t>
    </r>
  </si>
  <si>
    <t>Internal:
What went well : Tier Models, Introduction of grooming session
What didn’t go well : Test Data was not clear, Due to introduction of Vega Components issue in testing DOM elements 
External:
What went well : 
What didn’t go well :</t>
  </si>
  <si>
    <t>3.23 Sprint 6</t>
  </si>
  <si>
    <t>Introduced 
49415 - 5 sp</t>
  </si>
  <si>
    <t>Iterative AI call to parse Inventory Worksheet images, UI for verification and Editing the AI Response of the Inventory Parsing, Model switching, Ability to upload images from the system for nutrition fact label</t>
  </si>
  <si>
    <t>Inventory worksheet image parsing, 
model switching</t>
  </si>
  <si>
    <r>
      <rPr>
        <b/>
        <sz val="10"/>
        <color rgb="FF000000"/>
        <rFont val="Arial"/>
        <scheme val="minor"/>
      </rPr>
      <t>Stories</t>
    </r>
    <r>
      <rPr>
        <sz val="10"/>
        <color rgb="FF000000"/>
        <rFont val="Arial"/>
        <scheme val="minor"/>
      </rPr>
      <t xml:space="preserve">: Out of 4 Committed stories, 3 has been completed and 1 not completed
</t>
    </r>
    <r>
      <rPr>
        <b/>
        <sz val="10"/>
        <color rgb="FF000000"/>
        <rFont val="Arial"/>
        <scheme val="minor"/>
      </rPr>
      <t>Defects</t>
    </r>
    <r>
      <rPr>
        <sz val="10"/>
        <color rgb="FF000000"/>
        <rFont val="Arial"/>
        <scheme val="minor"/>
      </rPr>
      <t xml:space="preserve">: 1 committed defect has been completed
</t>
    </r>
    <r>
      <rPr>
        <b/>
        <sz val="10"/>
        <color rgb="FF000000"/>
        <rFont val="Arial"/>
        <scheme val="minor"/>
      </rPr>
      <t>Highlights</t>
    </r>
    <r>
      <rPr>
        <sz val="10"/>
        <color rgb="FF000000"/>
        <rFont val="Arial"/>
        <scheme val="minor"/>
      </rPr>
      <t xml:space="preserve">: Inventory worksheet parsing and lot of research and testing on invertory work sheet parsing
</t>
    </r>
    <r>
      <rPr>
        <b/>
        <sz val="10"/>
        <color rgb="FF000000"/>
        <rFont val="Arial"/>
        <scheme val="minor"/>
      </rPr>
      <t>Kudos</t>
    </r>
    <r>
      <rPr>
        <sz val="10"/>
        <color rgb="FF000000"/>
        <rFont val="Arial"/>
        <scheme val="minor"/>
      </rPr>
      <t>: Most of the stories were completed
CRC Peer - 0, 
CRC Onsite -0, 
CRC Client - 0,
Internal Defect - 1
External Defect - 0.</t>
    </r>
  </si>
  <si>
    <t>What went well : 2 main stories was completed
What didn’t go well : Unable to test 1 story, due to onshore tester not available</t>
  </si>
  <si>
    <t>4.0 Sprint 1</t>
  </si>
  <si>
    <t>Introduced 
49653 - 5 sp</t>
  </si>
  <si>
    <t>AI Assistant - Add the ability to upload images from the system, Improve Quality of Breakfast Menu Suggestions, Offer More Recipe Variety, Model switching - UI, Rework on the Mobile experience for Image/doc upload</t>
  </si>
  <si>
    <t>Gen AI(Performance Improvements, Importing Physical Count, and Mobile)</t>
  </si>
  <si>
    <r>
      <rPr>
        <b/>
        <sz val="10"/>
        <color rgb="FF000000"/>
        <rFont val="Arial"/>
        <scheme val="minor"/>
      </rPr>
      <t>Stories</t>
    </r>
    <r>
      <rPr>
        <sz val="10"/>
        <color rgb="FF000000"/>
        <rFont val="Arial"/>
        <scheme val="minor"/>
      </rPr>
      <t xml:space="preserve">: 4 Out of 4 Committed stories and 1 stretch story has been completed
</t>
    </r>
    <r>
      <rPr>
        <b/>
        <sz val="10"/>
        <color rgb="FF000000"/>
        <rFont val="Arial"/>
        <scheme val="minor"/>
      </rPr>
      <t>Defects</t>
    </r>
    <r>
      <rPr>
        <sz val="10"/>
        <color rgb="FF000000"/>
        <rFont val="Arial"/>
        <scheme val="minor"/>
      </rPr>
      <t xml:space="preserve">: 1 stretch defect has been completed
</t>
    </r>
    <r>
      <rPr>
        <b/>
        <sz val="10"/>
        <color rgb="FF000000"/>
        <rFont val="Arial"/>
        <scheme val="minor"/>
      </rPr>
      <t>Highlights</t>
    </r>
    <r>
      <rPr>
        <sz val="10"/>
        <color rgb="FF000000"/>
        <rFont val="Arial"/>
        <scheme val="minor"/>
      </rPr>
      <t xml:space="preserve">: New UI from mobile upload
</t>
    </r>
    <r>
      <rPr>
        <b/>
        <sz val="10"/>
        <color rgb="FF000000"/>
        <rFont val="Arial"/>
        <scheme val="minor"/>
      </rPr>
      <t>Kudos</t>
    </r>
    <r>
      <rPr>
        <sz val="10"/>
        <color rgb="FF000000"/>
        <rFont val="Arial"/>
        <scheme val="minor"/>
      </rPr>
      <t>: Client is happy for the new mobile upload UI
CRC Peer - 0, 
CRC Onsite -0, 
CRC Client - 0,
Internal Defect - 1
External Defect - 0.</t>
    </r>
  </si>
  <si>
    <t>What went well : Completed all the committed stories and some stretch stories
What didn’t go well : NA</t>
  </si>
  <si>
    <t>4.0 Sprint 2</t>
  </si>
  <si>
    <t>Introduced
49685 - 5 SP
49820 - 5 SP</t>
  </si>
  <si>
    <t>Rework on the Mobile experience for Image/doc upload, Import AI-extracted Physical Count values into products/items,User Ratings, UI Refresh (Import Menu Popup Changes), Submit physical count, AI Entry Point screen 4 columns, UI Refresh (Nutrition Facts Labels Edit Screen), Gen AI Assistant and Tasks Pages</t>
  </si>
  <si>
    <t>Gen AI Improvements: Data from Images (Nutrient Fact Labels)</t>
  </si>
  <si>
    <r>
      <rPr>
        <b/>
        <sz val="10"/>
        <color rgb="FF000000"/>
        <rFont val="Arial"/>
        <scheme val="minor"/>
      </rPr>
      <t>Stories</t>
    </r>
    <r>
      <rPr>
        <sz val="10"/>
        <color rgb="FF000000"/>
        <rFont val="Arial"/>
        <scheme val="minor"/>
      </rPr>
      <t xml:space="preserve">: 3 out of 3  committed stories and 2 from stretch has been completed
</t>
    </r>
    <r>
      <rPr>
        <b/>
        <sz val="10"/>
        <color rgb="FF000000"/>
        <rFont val="Arial"/>
        <scheme val="minor"/>
      </rPr>
      <t>Defects</t>
    </r>
    <r>
      <rPr>
        <sz val="10"/>
        <color rgb="FF000000"/>
        <rFont val="Arial"/>
        <scheme val="minor"/>
      </rPr>
      <t xml:space="preserve">: 1 committed defect has been completed
</t>
    </r>
    <r>
      <rPr>
        <b/>
        <sz val="10"/>
        <color rgb="FF000000"/>
        <rFont val="Arial"/>
        <scheme val="minor"/>
      </rPr>
      <t>Highlights</t>
    </r>
    <r>
      <rPr>
        <sz val="10"/>
        <color rgb="FF000000"/>
        <rFont val="Arial"/>
        <scheme val="minor"/>
      </rPr>
      <t xml:space="preserve">: Import physical count values, User Ratings, New Mobile UI, New breadcrumbs
</t>
    </r>
    <r>
      <rPr>
        <b/>
        <sz val="10"/>
        <color rgb="FF000000"/>
        <rFont val="Arial"/>
        <scheme val="minor"/>
      </rPr>
      <t>Kudos</t>
    </r>
    <r>
      <rPr>
        <sz val="10"/>
        <color rgb="FF000000"/>
        <rFont val="Arial"/>
        <scheme val="minor"/>
      </rPr>
      <t>: 
CRC Peer - 0, 
CRC Onsite -0, 
CRC Client - 0,
Internal Defect - 1
External Defect - 0.</t>
    </r>
  </si>
  <si>
    <t>What went well : Completed all the committed stories and devlopment completed most of the stretch stories
What didn’t go well : NA</t>
  </si>
  <si>
    <t>4.0 Sprint 3</t>
  </si>
  <si>
    <t>Gen AI UI Refresh - AI Entry Point screen 4 columns, UI Refresh (Nutrition Facts Labels Edit Screen), Gen AI Assistant and Tasks Pages, Additional search details to identify a unique physical count record, Gen AI - Conversation Workflow, Refactor AI Code to use common API call, Nutrition facts label UI changes, UI changes for physical count upload, Mobile Workflow Changes, UI changes for Production Records,  Gen AI - Terms of Service,Additional Physical Count Assistant UXUI Modifications (23 SEP 2025), Production Record Assistant - AI Production Record Format &amp; Execute</t>
  </si>
  <si>
    <t>Gen AI Improvements: Data from Images (Nutrient Fact Labels), Production Record, UI changes for physical count</t>
  </si>
  <si>
    <r>
      <rPr>
        <b/>
        <sz val="10"/>
        <color rgb="FF000000"/>
        <rFont val="Arial"/>
        <scheme val="minor"/>
      </rPr>
      <t>Stories</t>
    </r>
    <r>
      <rPr>
        <sz val="10"/>
        <color rgb="FF000000"/>
        <rFont val="Arial"/>
        <scheme val="minor"/>
      </rPr>
      <t xml:space="preserve">: 5 out of 5 committed stories and 10 stories from stretch has been completed
</t>
    </r>
    <r>
      <rPr>
        <b/>
        <sz val="10"/>
        <color rgb="FF000000"/>
        <rFont val="Arial"/>
        <scheme val="minor"/>
      </rPr>
      <t>Defects</t>
    </r>
    <r>
      <rPr>
        <sz val="10"/>
        <color rgb="FF000000"/>
        <rFont val="Arial"/>
        <scheme val="minor"/>
      </rPr>
      <t xml:space="preserve">: 2 defects from stretch has been completed
</t>
    </r>
    <r>
      <rPr>
        <b/>
        <sz val="10"/>
        <color rgb="FF000000"/>
        <rFont val="Arial"/>
        <scheme val="minor"/>
      </rPr>
      <t>Highlights</t>
    </r>
    <r>
      <rPr>
        <sz val="10"/>
        <color rgb="FF000000"/>
        <rFont val="Arial"/>
        <scheme val="minor"/>
      </rPr>
      <t xml:space="preserve">: AI Entry Point, UI changes for nutrition fact label, additional search details, code refactor, Conversation workflow, UI Changes physical count worksheet upload, Production records, UI changes for production record,Terms of Service
</t>
    </r>
    <r>
      <rPr>
        <b/>
        <sz val="10"/>
        <color rgb="FF000000"/>
        <rFont val="Arial"/>
        <scheme val="minor"/>
      </rPr>
      <t>Kudos</t>
    </r>
    <r>
      <rPr>
        <sz val="10"/>
        <color rgb="FF000000"/>
        <rFont val="Arial"/>
        <scheme val="minor"/>
      </rPr>
      <t>: 
CRC Peer - 0, 
CRC Onsite -0, 
CRC Client - 0,
Internal Defect - 5
External Defect - 1.</t>
    </r>
  </si>
  <si>
    <t xml:space="preserve">What went well : Completed all the committed stories and most of the stretch stories
What didn’t go well : </t>
  </si>
  <si>
    <t>4.1 Sprint 1</t>
  </si>
  <si>
    <t xml:space="preserve"> AI Task Grid Status values, Physical Count - Freeze Column Headers from scrolling, Production Record UI changes, Menu Generation Additional Instructions workflow issue, Support multiple images for a Production Record Import, Move prompts to the database, Sanitize uploaded image parsing	</t>
  </si>
  <si>
    <t>Improvements to Gen AI UX</t>
  </si>
  <si>
    <r>
      <rPr>
        <b/>
        <sz val="10"/>
        <color rgb="FF000000"/>
        <rFont val="Arial"/>
        <scheme val="minor"/>
      </rPr>
      <t>Stories</t>
    </r>
    <r>
      <rPr>
        <sz val="10"/>
        <color rgb="FF000000"/>
        <rFont val="Arial"/>
        <scheme val="minor"/>
      </rPr>
      <t xml:space="preserve">: 4 out of 3 committed stories and 2 stretch story has been completed
</t>
    </r>
    <r>
      <rPr>
        <b/>
        <sz val="10"/>
        <color rgb="FF000000"/>
        <rFont val="Arial"/>
        <scheme val="minor"/>
      </rPr>
      <t>Defects</t>
    </r>
    <r>
      <rPr>
        <sz val="10"/>
        <color rgb="FF000000"/>
        <rFont val="Arial"/>
        <scheme val="minor"/>
      </rPr>
      <t xml:space="preserve">: 5 defects has been completed
</t>
    </r>
    <r>
      <rPr>
        <b/>
        <sz val="10"/>
        <color rgb="FF000000"/>
        <rFont val="Arial"/>
        <scheme val="minor"/>
      </rPr>
      <t>Highlights</t>
    </r>
    <r>
      <rPr>
        <sz val="10"/>
        <color rgb="FF000000"/>
        <rFont val="Arial"/>
        <scheme val="minor"/>
      </rPr>
      <t xml:space="preserve">: UI changes in both physical and production worksheet upload
</t>
    </r>
    <r>
      <rPr>
        <b/>
        <sz val="10"/>
        <color rgb="FF000000"/>
        <rFont val="Arial"/>
        <scheme val="minor"/>
      </rPr>
      <t>Kudos</t>
    </r>
    <r>
      <rPr>
        <sz val="10"/>
        <color rgb="FF000000"/>
        <rFont val="Arial"/>
        <scheme val="minor"/>
      </rPr>
      <t>: 
CRC Peer - 0, 
CRC Onsite -0, 
CRC Client - 0,
Internal Defect - 0
External Defect - 0.</t>
    </r>
  </si>
  <si>
    <t>What went well : 
1. AI release
2. Completed committed stories and 2 stories from stretch
What didn’t go well :
1. Token Limits AI</t>
  </si>
  <si>
    <t>4.1 Sprint 2</t>
  </si>
  <si>
    <t>Production Record - Move Image to top &amp; Edit grid to botton &amp; freeze column headers &amp; Recipe column, Move prompts to the database, Physical Count, Production Record, and Nutrition Facts Label Image viewer, Filter Site selectors based on the user's Site Group access, AI Task Status Values (Menu Gen &amp; Nutrition Facts), Add Additional Logs in AI, AI Should be 'Edit Fields' not individual Security Page items</t>
  </si>
  <si>
    <t>UI changes in Physical count, production record and nutrition fact label, AI Task Status changes, Security pages, Move prompt to DB</t>
  </si>
  <si>
    <r>
      <rPr>
        <b/>
        <sz val="10"/>
        <color rgb="FF000000"/>
        <rFont val="Arial"/>
        <scheme val="minor"/>
      </rPr>
      <t>Stories</t>
    </r>
    <r>
      <rPr>
        <sz val="10"/>
        <color rgb="FF000000"/>
        <rFont val="Arial"/>
        <scheme val="minor"/>
      </rPr>
      <t xml:space="preserve">: 4 out of 4 committed stories and 2 from stretch has been completed
</t>
    </r>
    <r>
      <rPr>
        <b/>
        <sz val="10"/>
        <color rgb="FF000000"/>
        <rFont val="Arial"/>
        <scheme val="minor"/>
      </rPr>
      <t>Defects</t>
    </r>
    <r>
      <rPr>
        <sz val="10"/>
        <color rgb="FF000000"/>
        <rFont val="Arial"/>
        <scheme val="minor"/>
      </rPr>
      <t xml:space="preserve">: 5 out of 6 committed defects has been completed, 1 defect under dispute
</t>
    </r>
    <r>
      <rPr>
        <b/>
        <sz val="10"/>
        <color rgb="FF000000"/>
        <rFont val="Arial"/>
        <scheme val="minor"/>
      </rPr>
      <t>Highlights</t>
    </r>
    <r>
      <rPr>
        <sz val="10"/>
        <color rgb="FF000000"/>
        <rFont val="Arial"/>
        <scheme val="minor"/>
      </rPr>
      <t xml:space="preserve">: UI changes in Physical count, production record and nutrition fact label, AI Task Status changes, Security pages
</t>
    </r>
    <r>
      <rPr>
        <b/>
        <sz val="10"/>
        <color rgb="FF000000"/>
        <rFont val="Arial"/>
        <scheme val="minor"/>
      </rPr>
      <t>Kudos</t>
    </r>
    <r>
      <rPr>
        <sz val="10"/>
        <color rgb="FF000000"/>
        <rFont val="Arial"/>
        <scheme val="minor"/>
      </rPr>
      <t>: 
CRC Peer - 0, 
CRC Onsite -1, 
CRC Client - 0,
Internal Defect - 1
External Defect - 6.</t>
    </r>
  </si>
  <si>
    <t>What went well : Completed all the committed stories and 2 from stretch
What didn’t go well : Scheduler some times not working in QA Environment</t>
  </si>
  <si>
    <t>4.1 Sprint 3</t>
  </si>
  <si>
    <t xml:space="preserve">Nutrition Facts Label - Create a Measurement from the Serving Size, Image upload functionality should filter to acceptable document types, Gen AI - In-App AI Marketing, Production Record Upload - Add Note that only menus with Planned Quantities will show up	</t>
  </si>
  <si>
    <t>Nutrition Facts Label - Create a Measurement from the Serving Size, In-App AI Marketing images</t>
  </si>
  <si>
    <r>
      <rPr>
        <b/>
        <sz val="10"/>
        <color rgb="FF000000"/>
        <rFont val="Arial"/>
        <scheme val="minor"/>
      </rPr>
      <t>Stories</t>
    </r>
    <r>
      <rPr>
        <sz val="10"/>
        <color rgb="FF000000"/>
        <rFont val="Arial"/>
        <scheme val="minor"/>
      </rPr>
      <t xml:space="preserve">: 4 out of 4 committed stories and 1 bounce back story has been completed
</t>
    </r>
    <r>
      <rPr>
        <b/>
        <sz val="10"/>
        <color rgb="FF000000"/>
        <rFont val="Arial"/>
        <scheme val="minor"/>
      </rPr>
      <t>Defects</t>
    </r>
    <r>
      <rPr>
        <sz val="10"/>
        <color rgb="FF000000"/>
        <rFont val="Arial"/>
        <scheme val="minor"/>
      </rPr>
      <t xml:space="preserve">: 4 out of 6 commtted defects has been completed
</t>
    </r>
    <r>
      <rPr>
        <b/>
        <sz val="10"/>
        <color rgb="FF000000"/>
        <rFont val="Arial"/>
        <scheme val="minor"/>
      </rPr>
      <t>Highlights</t>
    </r>
    <r>
      <rPr>
        <sz val="10"/>
        <color rgb="FF000000"/>
        <rFont val="Arial"/>
        <scheme val="minor"/>
      </rPr>
      <t xml:space="preserve">:
</t>
    </r>
    <r>
      <rPr>
        <b/>
        <sz val="10"/>
        <color rgb="FF000000"/>
        <rFont val="Arial"/>
        <scheme val="minor"/>
      </rPr>
      <t>Kudos</t>
    </r>
    <r>
      <rPr>
        <sz val="10"/>
        <color rgb="FF000000"/>
        <rFont val="Arial"/>
        <scheme val="minor"/>
      </rPr>
      <t>: 
CRC Peer - 0, 
CRC Onsite -0, 
CRC Client - 0,
Internal Defect - 1
External Defect - 7</t>
    </r>
  </si>
  <si>
    <t>BOH:
What went well:
Completed 3 stretch stories &amp; 4 defects.
What didn't go well
Firewall issue/Random messages appearing in the application.
Wave: 
What went well :
Completed all the committed , stretch stories &amp; defects.
What didn't go well
Firewall issue/Random messages appearing in the application &amp; environmental issues in QA.</t>
  </si>
  <si>
    <t>4.2 Sprint 1</t>
  </si>
  <si>
    <t>ER Have categories or more specific storage categories be able to be filtered out on the Transfer Pull Sheet report,
Requisition# needs to be shown in the Transfers for Warehouse orders,
Persist filter options on Receiving screen,
Bidding - Estimated Quantity - Warning message,
Bidding - Expand the Vendor Quotes - Bid Analysis grid for better view,
Warehouse - Add Delivery Route field to Transfers screen,
Warehouse - Add Delivery Route field to Warehouse Orders Bulk Approval screen,
Warehouse - Add Delivery Route field to Warehouse Orders screen,
Inventory Inquiry - Item Availability Report,
Mosaic BOH - Bidding - Add Bid Status search filter under bidding response</t>
  </si>
  <si>
    <t>Bidding UI Changes, Transfer pull sheet report, Persist filter, Add Delivery route field.in warehouse orders, Inquiry item Report, Bid Status Search filter</t>
  </si>
  <si>
    <r>
      <rPr>
        <b/>
        <sz val="10"/>
        <color rgb="FF000000"/>
        <rFont val="Arial"/>
        <scheme val="minor"/>
      </rPr>
      <t>Stories</t>
    </r>
    <r>
      <rPr>
        <sz val="10"/>
        <color rgb="FF000000"/>
        <rFont val="Arial"/>
        <scheme val="minor"/>
      </rPr>
      <t xml:space="preserve">: 3 out of 3 committed stories and 7 from stretch has been completed
</t>
    </r>
    <r>
      <rPr>
        <b/>
        <sz val="10"/>
        <color rgb="FF000000"/>
        <rFont val="Arial"/>
        <scheme val="minor"/>
      </rPr>
      <t>Defects</t>
    </r>
    <r>
      <rPr>
        <sz val="10"/>
        <color rgb="FF000000"/>
        <rFont val="Arial"/>
        <scheme val="minor"/>
      </rPr>
      <t xml:space="preserve">: 1 stretch defect fixed
</t>
    </r>
    <r>
      <rPr>
        <b/>
        <sz val="10"/>
        <color rgb="FF000000"/>
        <rFont val="Arial"/>
        <scheme val="minor"/>
      </rPr>
      <t>Highlights</t>
    </r>
    <r>
      <rPr>
        <sz val="10"/>
        <color rgb="FF000000"/>
        <rFont val="Arial"/>
        <scheme val="minor"/>
      </rPr>
      <t xml:space="preserve">:
</t>
    </r>
    <r>
      <rPr>
        <b/>
        <sz val="10"/>
        <color rgb="FF000000"/>
        <rFont val="Arial"/>
        <scheme val="minor"/>
      </rPr>
      <t>Kudos</t>
    </r>
    <r>
      <rPr>
        <sz val="10"/>
        <color rgb="FF000000"/>
        <rFont val="Arial"/>
        <scheme val="minor"/>
      </rPr>
      <t xml:space="preserve">: 
</t>
    </r>
    <r>
      <rPr>
        <b/>
        <sz val="10"/>
        <color rgb="FF000000"/>
        <rFont val="Arial"/>
        <scheme val="minor"/>
      </rPr>
      <t xml:space="preserve">RCA Mitigation: </t>
    </r>
    <r>
      <rPr>
        <sz val="10"/>
        <color rgb="FF000000"/>
        <rFont val="Arial"/>
        <scheme val="minor"/>
      </rPr>
      <t xml:space="preserve">It's a existing common issue in all muliselect dropdownlist
</t>
    </r>
    <r>
      <rPr>
        <b/>
        <sz val="10"/>
        <color rgb="FF000000"/>
        <rFont val="Arial"/>
        <scheme val="minor"/>
      </rPr>
      <t xml:space="preserve">Mitigation Plan: </t>
    </r>
    <r>
      <rPr>
        <sz val="10"/>
        <color rgb="FF000000"/>
        <rFont val="Arial"/>
        <scheme val="minor"/>
      </rPr>
      <t xml:space="preserve"> Updating the kendo common code to fix
CRC Peer - 0, 
CRC Onsite -1, 
CRC Client - 0,
Internal Defect - 2
External Defect - 0</t>
    </r>
  </si>
  <si>
    <t xml:space="preserve">What went well : Completed all the committed stories and 7 from stretch
What didn’t go well : </t>
  </si>
  <si>
    <t>4.2 Sprint 2</t>
  </si>
  <si>
    <t>Introduced Regression 50799, 50800</t>
  </si>
  <si>
    <t>Add page-break between days option to Production record report format setup (NK conversion feature gap), 
Warehouse Orders - 'View Report' - show the status with the date, 
Addition of new filter for Inventory Worksheet Physical counts, Warehouse - Add Delivery Route to Warehouse Orders report, Bidding Status Change, 
Regression - Inventory, Products, Bidding</t>
  </si>
  <si>
    <t>Regression</t>
  </si>
  <si>
    <r>
      <rPr>
        <b/>
        <sz val="10"/>
        <color rgb="FF000000"/>
        <rFont val="Arial"/>
        <scheme val="minor"/>
      </rPr>
      <t>Stories</t>
    </r>
    <r>
      <rPr>
        <sz val="10"/>
        <color rgb="FF000000"/>
        <rFont val="Arial"/>
        <scheme val="minor"/>
      </rPr>
      <t xml:space="preserve">: 7 out of 7 committed stories and 3 from stretch has been completed
</t>
    </r>
    <r>
      <rPr>
        <b/>
        <sz val="10"/>
        <color rgb="FF000000"/>
        <rFont val="Arial"/>
        <scheme val="minor"/>
      </rPr>
      <t>Defects</t>
    </r>
    <r>
      <rPr>
        <sz val="10"/>
        <color rgb="FF000000"/>
        <rFont val="Arial"/>
        <scheme val="minor"/>
      </rPr>
      <t xml:space="preserve">: 1 stretch defect fixed
</t>
    </r>
    <r>
      <rPr>
        <b/>
        <sz val="10"/>
        <color rgb="FF000000"/>
        <rFont val="Arial"/>
        <scheme val="minor"/>
      </rPr>
      <t>Highlights</t>
    </r>
    <r>
      <rPr>
        <sz val="10"/>
        <color rgb="FF000000"/>
        <rFont val="Arial"/>
        <scheme val="minor"/>
      </rPr>
      <t xml:space="preserve">:
</t>
    </r>
    <r>
      <rPr>
        <b/>
        <sz val="10"/>
        <color rgb="FF000000"/>
        <rFont val="Arial"/>
        <scheme val="minor"/>
      </rPr>
      <t>Kudos</t>
    </r>
    <r>
      <rPr>
        <sz val="10"/>
        <color rgb="FF000000"/>
        <rFont val="Arial"/>
        <scheme val="minor"/>
      </rPr>
      <t>: 
CRC Peer - 0, 
CRC Onsite -0, 
CRC Client - 0,
Internal Defect - 1
External Defect - 1</t>
    </r>
  </si>
  <si>
    <t>What went well : Completed all the committed stories and 3 from stretch
What didn’t go well : N/A</t>
  </si>
  <si>
    <t>26.1 Sprint 3</t>
  </si>
  <si>
    <t xml:space="preserve"> Inventory - Option to Export Inventory Worksheet,Regression - Bidding, Regression - Inventory, Regression - Inventory</t>
  </si>
  <si>
    <t xml:space="preserve">Regression - Inventory and Bidding,Option to Export Inventory Worksheet
</t>
  </si>
  <si>
    <r>
      <rPr>
        <b/>
        <sz val="10"/>
        <color rgb="FF000000"/>
        <rFont val="Arial"/>
        <scheme val="minor"/>
      </rPr>
      <t>Stories</t>
    </r>
    <r>
      <rPr>
        <sz val="10"/>
        <color rgb="FF000000"/>
        <rFont val="Arial"/>
        <scheme val="minor"/>
      </rPr>
      <t xml:space="preserve">: 3 out of 3 stories has been completed and 1 from stretch
</t>
    </r>
    <r>
      <rPr>
        <b/>
        <sz val="10"/>
        <color rgb="FF000000"/>
        <rFont val="Arial"/>
        <scheme val="minor"/>
      </rPr>
      <t>Defects</t>
    </r>
    <r>
      <rPr>
        <sz val="10"/>
        <color rgb="FF000000"/>
        <rFont val="Arial"/>
        <scheme val="minor"/>
      </rPr>
      <t xml:space="preserve">: 4 out of 4 Defects has been completed and 2 from strech completed
</t>
    </r>
    <r>
      <rPr>
        <b/>
        <sz val="10"/>
        <color rgb="FF000000"/>
        <rFont val="Arial"/>
        <scheme val="minor"/>
      </rPr>
      <t>Highlights</t>
    </r>
    <r>
      <rPr>
        <sz val="10"/>
        <color rgb="FF000000"/>
        <rFont val="Arial"/>
        <scheme val="minor"/>
      </rPr>
      <t xml:space="preserve">:
</t>
    </r>
    <r>
      <rPr>
        <b/>
        <sz val="10"/>
        <color rgb="FF000000"/>
        <rFont val="Arial"/>
        <scheme val="minor"/>
      </rPr>
      <t>Kudos</t>
    </r>
    <r>
      <rPr>
        <sz val="10"/>
        <color rgb="FF000000"/>
        <rFont val="Arial"/>
        <scheme val="minor"/>
      </rPr>
      <t>: 
CRC Peer - 0, 
CRC Onsite -0, 
CRC Client - 0,
Internal Defect - 4
External Defect - 0</t>
    </r>
  </si>
  <si>
    <t>What went well :  Completed all the committed stories and 1 from stretch.
Completed all defects in commited and 2 from stretch defects completed .
Completed  Regression.
What didn’t go well : NA`</t>
  </si>
  <si>
    <t>26.3 Sprint 1</t>
  </si>
  <si>
    <t> Inventory Transfer Report - Add "consolidated" filter (Nampa) 
Bidding - Bid Status Change from Awarded - Deactivate/Delete Pricelist
Bidding - Calculate Estimated Qty	
Warehouse/Central Kitchen Item Availability Report - Add site level order quantity details</t>
  </si>
  <si>
    <t> Bidding, Inventory Transfer Report (Adding consolidated Filter), and Defect Fixes. </t>
  </si>
  <si>
    <r>
      <rPr>
        <b/>
        <sz val="10"/>
        <color rgb="FF000000"/>
        <rFont val="Arial"/>
        <scheme val="minor"/>
      </rPr>
      <t>Stories</t>
    </r>
    <r>
      <rPr>
        <sz val="10"/>
        <color rgb="FF000000"/>
        <rFont val="Arial"/>
        <scheme val="minor"/>
      </rPr>
      <t xml:space="preserve">: Completed all the 4 committed stories and 2 stories from stretch.
</t>
    </r>
    <r>
      <rPr>
        <b/>
        <sz val="10"/>
        <color rgb="FF000000"/>
        <rFont val="Arial"/>
        <scheme val="minor"/>
      </rPr>
      <t>Defects</t>
    </r>
    <r>
      <rPr>
        <sz val="10"/>
        <color rgb="FF000000"/>
        <rFont val="Arial"/>
        <scheme val="minor"/>
      </rPr>
      <t xml:space="preserve">: Completed 2 commited and 1 stretch defect.
</t>
    </r>
    <r>
      <rPr>
        <b/>
        <sz val="10"/>
        <color rgb="FF000000"/>
        <rFont val="Arial"/>
        <scheme val="minor"/>
      </rPr>
      <t>Highlights</t>
    </r>
    <r>
      <rPr>
        <sz val="10"/>
        <color rgb="FF000000"/>
        <rFont val="Arial"/>
        <scheme val="minor"/>
      </rPr>
      <t xml:space="preserve">:
</t>
    </r>
    <r>
      <rPr>
        <b/>
        <sz val="10"/>
        <color rgb="FF000000"/>
        <rFont val="Arial"/>
        <scheme val="minor"/>
      </rPr>
      <t>Kudos</t>
    </r>
    <r>
      <rPr>
        <sz val="10"/>
        <color rgb="FF000000"/>
        <rFont val="Arial"/>
        <scheme val="minor"/>
      </rPr>
      <t>: 
CRC Peer - 0, 
CRC Onsite -0, 
CRC Client - 0,
Internal Defect - 3
External Defect - 0</t>
    </r>
  </si>
  <si>
    <t>What went well :Completed all the 4 committed stories and 2 stories from stretch.
Completed 2 commited defects and 1 from stretch .
What didn’t go well :NA</t>
  </si>
  <si>
    <t>26.3 Sprint 2</t>
  </si>
  <si>
    <t>Display Warehouse Availability when Creating Warehouse Orders,  
Hide Bid Priority field on Product Maintenance,
Warehouse/Central Kitchen Item Availability Report - Add Items On Hand filter,
Add button to print Bidding Responses to Bid Maintenance screen,
Bid Response/Analysis - Requested item vs Quoted Item [Substitution Workflow]</t>
  </si>
  <si>
    <t>Warehouse availability report, Removing Bidpriority, Bidding requested and quoted items</t>
  </si>
  <si>
    <r>
      <rPr>
        <b/>
        <sz val="10"/>
        <color rgb="FF000000"/>
        <rFont val="Arial"/>
        <scheme val="minor"/>
      </rPr>
      <t>Stories</t>
    </r>
    <r>
      <rPr>
        <sz val="10"/>
        <color rgb="FF000000"/>
        <rFont val="Arial"/>
        <scheme val="minor"/>
      </rPr>
      <t xml:space="preserve">: Completed 5 out of 5 committed stories
</t>
    </r>
    <r>
      <rPr>
        <b/>
        <sz val="10"/>
        <color rgb="FF000000"/>
        <rFont val="Arial"/>
        <scheme val="minor"/>
      </rPr>
      <t>Defects</t>
    </r>
    <r>
      <rPr>
        <sz val="10"/>
        <color rgb="FF000000"/>
        <rFont val="Arial"/>
        <scheme val="minor"/>
      </rPr>
      <t xml:space="preserve">: Nil
</t>
    </r>
    <r>
      <rPr>
        <b/>
        <sz val="10"/>
        <color rgb="FF000000"/>
        <rFont val="Arial"/>
        <scheme val="minor"/>
      </rPr>
      <t>Highlights</t>
    </r>
    <r>
      <rPr>
        <sz val="10"/>
        <color rgb="FF000000"/>
        <rFont val="Arial"/>
        <scheme val="minor"/>
      </rPr>
      <t xml:space="preserve">:
</t>
    </r>
    <r>
      <rPr>
        <b/>
        <sz val="10"/>
        <color rgb="FF000000"/>
        <rFont val="Arial"/>
        <scheme val="minor"/>
      </rPr>
      <t>Kudos</t>
    </r>
    <r>
      <rPr>
        <sz val="10"/>
        <color rgb="FF000000"/>
        <rFont val="Arial"/>
        <scheme val="minor"/>
      </rPr>
      <t>: 
CRC Peer - 0, 
CRC Onsite -0, 
CRC Client - 0,
Internal Defect - 0
External Defect - 0</t>
    </r>
  </si>
  <si>
    <t xml:space="preserve">What went well : Completed all the committed stories
What didn’t go well : </t>
  </si>
  <si>
    <t>26.3 Sprint 3</t>
  </si>
  <si>
    <t>2 Stories Completed from Stretch (7 SP)</t>
  </si>
  <si>
    <t>Central Kitchen - Bulk Order Approval.
Bidding - Cleanup Bid Priority related code in the backend.
Add the ability to Bulk commit transfers.
Bidding - Bid Response/Analysis - Requested item vs Quoted Item [Substitution Workflow] - Bottom Line.
Transfers - Search By Warehouse Order Number.</t>
  </si>
  <si>
    <t>Central Kitchen and Transfers - Bulk Approvals, Bid Priority code cleanup, WO# at Transfers, Bid Analysis/Response screen with warnings when quoted item differ from requested</t>
  </si>
  <si>
    <r>
      <rPr>
        <b/>
        <sz val="10"/>
        <color rgb="FF000000"/>
        <rFont val="Arial"/>
        <scheme val="minor"/>
      </rPr>
      <t>Stories</t>
    </r>
    <r>
      <rPr>
        <sz val="10"/>
        <color rgb="FF000000"/>
        <rFont val="Arial"/>
        <scheme val="minor"/>
      </rPr>
      <t xml:space="preserve">: Completed 3 out of 3 commited stories and 2 from stretch
</t>
    </r>
    <r>
      <rPr>
        <b/>
        <sz val="10"/>
        <color rgb="FF000000"/>
        <rFont val="Arial"/>
        <scheme val="minor"/>
      </rPr>
      <t>Defects</t>
    </r>
    <r>
      <rPr>
        <sz val="10"/>
        <color rgb="FF000000"/>
        <rFont val="Arial"/>
        <scheme val="minor"/>
      </rPr>
      <t>: Completed 2 Defects
CRC Peer - 0, 
CRC Onsite -0, 
CRC Client - 0,
Internal Defect - 0
External Defect - 2</t>
    </r>
  </si>
  <si>
    <t>What went well : Completed 3  commited stories and 2 from stretch
What didn’t go well : Nil</t>
  </si>
  <si>
    <t>26.3 Sprint 4</t>
  </si>
  <si>
    <t>Stretch story - 2 SP
Stretch defects - 11 SP
Total 13 SP completed from stretch</t>
  </si>
  <si>
    <t>Regression - Inventory,Products and Bidding modules.
And also completed some stories : Transfers - Search and Replace - View Report, Products - Add security group for Products - Bulk Fulfillment (1),Ability to sort P/U Quantity and S/U Quantity for the physical counts screen,Products - Add Bulk Fulfillment menu option (2)</t>
  </si>
  <si>
    <t>Stories: Completed 7 out of 7 committed stories and 1 Story from stretch
Defects: Completed 4 Defects
CRC Peer - 0, 
CRC Onsite -0, 
CRC Client - 0,
Internal Defect - 4
External Defect - 0</t>
  </si>
  <si>
    <t>What went well: Got thru regression quicker than estimated (3 weeks)
Found and Fixed Lots of Defects
Updates to regression test cases
What didn't go well: Found 4 defects in regression</t>
  </si>
  <si>
    <t>26.06 Sprint 1</t>
  </si>
  <si>
    <t>6 SP - Defects completed from stretch</t>
  </si>
  <si>
    <t xml:space="preserve"> Bid Analysis - Add the Bid import document to the Bid Analysis attachment
Inventory - Restrict duplicate items(Transfers and Usage)
Product List Report - Add a new filter for Item Origin
 Products - Origin - Add new option "Non-Domestic (unspecified)" to droplist
Ingredients - Add Notes
 Bidding - Add Last modified details in Bid Response and Bid Analysis
Inventory - Bulk Adjustments - 1 - Security page
Inventory - Bulk Adjustments - 2 - Search for Products
</t>
  </si>
  <si>
    <t>Bidding, Bulk Adjustments, Adding Item Origin Filter to Product List report, and Defect Fixes</t>
  </si>
  <si>
    <t>Stories: Completed 8 out of 8 committed stories 
CRC Peer - 0, 
CRC Onsite -0, 
CRC Client - 0,
Internal Defect - 1
External Defect - 1</t>
  </si>
  <si>
    <t>What went well : Completed 8  commited stories 
What didn’t go well : Nil</t>
  </si>
  <si>
    <t>26.06 Sprint 2</t>
  </si>
  <si>
    <t>Inventory - Bulk Adjustments - New screen to update the bulk adjustments, 
Inventory - Search Transfers by Transfer # - added new filter to search by transfer #, 
Performance improvisation on product group to retrieve the data faster to show in the result grid, 
Inventory - Add User Tracking for Physical Count transactions to who added, modified and committed the record, 
Item Maintenance - 3 - Left Side Nav Menu and landing page, 
Products - Addition of new Bulk Fulfillment screen (3) - to update the bulk fulfillment</t>
  </si>
  <si>
    <t>Bulk Adjustments, Item Maintenance, Bulk fulfillment, Report filters</t>
  </si>
  <si>
    <t>Stories: Completed  5 out of 6 committed stories 
Defects: Completed 1 stretch defect
CRC Peer - 0, 
CRC Onsite -0, 
CRC Client - 0,
Internal Defect - 1
External Defect - 0</t>
  </si>
  <si>
    <t>What went well : Completed 5 commited stories 
What didn’t go well : QA server issue on build release</t>
  </si>
  <si>
    <t>26.06 Sprint 3</t>
  </si>
  <si>
    <t>Inventory - Bulk Adjustments - Create Bulk Adjustments screen, 
Products - Adding Bulk Fulfillment by Group (4), 
Report - Inventory Transfer - Add category filters to filter the data
Report - Shopping List - Add the ability to exclude a product from the shopping list report.</t>
  </si>
  <si>
    <t>Bulk Adjustments, Bulk fulfillment,
 Report filters, Exclustion list in reports</t>
  </si>
  <si>
    <t>Stories: Completed  4 out of 5 committed stories 
Defects: Nil
CRC Peer - 0, 
CRC Onsite -0, 
CRC Client - 0,
Internal Defect - 0
External Defect - 0</t>
  </si>
  <si>
    <t>What went well : Completed 4 commited stories 
What didn’t go well:
PTOs</t>
  </si>
  <si>
    <t>26.06 Sprint 4</t>
  </si>
  <si>
    <t xml:space="preserve">Sprint </t>
  </si>
  <si>
    <t>Story ID/Defect ID</t>
  </si>
  <si>
    <t>Estimated(sp)</t>
  </si>
  <si>
    <t>Actual(sp)</t>
  </si>
  <si>
    <t>Actual Hours Worklog</t>
  </si>
  <si>
    <t>Dev start date</t>
  </si>
  <si>
    <t>Dev end date</t>
  </si>
  <si>
    <t>Unit testing</t>
  </si>
  <si>
    <t>Peer Tested By</t>
  </si>
  <si>
    <t>Peer Tested Comments, if any</t>
  </si>
  <si>
    <t>Peer Reviewed By</t>
  </si>
  <si>
    <t>Peer Code Review Comments, if any</t>
  </si>
  <si>
    <t>PR Number/Link</t>
  </si>
  <si>
    <t>PR Created Date</t>
  </si>
  <si>
    <t>PR Approved Date</t>
  </si>
  <si>
    <t>Reviewer 1</t>
  </si>
  <si>
    <t>Code Review Comments, if any</t>
  </si>
  <si>
    <t>Reviewer 2</t>
  </si>
  <si>
    <t>Approved Date</t>
  </si>
  <si>
    <t>Code Review Comments, if any2</t>
  </si>
  <si>
    <t>Internal PO -POV Comments</t>
  </si>
  <si>
    <t>Client PO -POV Comments</t>
  </si>
  <si>
    <t xml:space="preserve">Does this story meet expectations?
</t>
  </si>
  <si>
    <t>[WAVE] Mosaic BOH - Central Kitchen - Who Can Order Finished Products - Site Setting</t>
  </si>
  <si>
    <t>Story Being Developed</t>
  </si>
  <si>
    <t>Yes</t>
  </si>
  <si>
    <t>Krupa</t>
  </si>
  <si>
    <t>Default "Yes" option is not working</t>
  </si>
  <si>
    <t>https://dev.azure.com/heartlandschools/Mosaic/_git/BOH/pullrequest/48990</t>
  </si>
  <si>
    <t>If CK flag is no then Finished Product ingredient linked product should show.</t>
  </si>
  <si>
    <t>Meets Expectation</t>
  </si>
  <si>
    <t>26.06 Sprint 4 Stretch</t>
  </si>
  <si>
    <t>Mosaic BOH - ExcludeFromSuggestion cleanup - code &amp; db clean up</t>
  </si>
  <si>
    <t>Story Peer Review</t>
  </si>
  <si>
    <t>Charles</t>
  </si>
  <si>
    <t>Nil</t>
  </si>
  <si>
    <t>https://dev.azure.com/heartlandschools/Mosaic/_git/BOH/pullrequest/48993</t>
  </si>
  <si>
    <t>[WAVE] Mosaic BOH - Central Kitchen - Who Can Order Finished Products - Overrides</t>
  </si>
  <si>
    <t>[WAVE] Mosaic BOH - Products - Adding Bulk Fulfillment by Group - Add Product (4b)</t>
  </si>
  <si>
    <t>Priya</t>
  </si>
  <si>
    <t>Mosaic-BOH-Wave-Acceleration-Bidding Response Automation Story</t>
  </si>
  <si>
    <t>Mosaic BOH - Site &amp; Other dropdown values are disappeared in Product Fulfilment while using Keyboard selection</t>
  </si>
  <si>
    <t>High</t>
  </si>
  <si>
    <t>Manual</t>
  </si>
  <si>
    <t>Internal</t>
  </si>
  <si>
    <t>Defect Being Fixed</t>
  </si>
  <si>
    <t>Existing_Issues</t>
  </si>
  <si>
    <t>[WAVE] Mosaic BOH - Inventory - Bulk Adjustments - 3 - Create Bulk Adjustments screen</t>
  </si>
  <si>
    <t>Story Completed</t>
  </si>
  <si>
    <t>Done</t>
  </si>
  <si>
    <t>Sugesstion : Enter button should redirects to the Bulk Adjustment screen</t>
  </si>
  <si>
    <t>https://dev.azure.com/heartlandschools/Mosaic/_git/BOH/pullrequest/48952</t>
  </si>
  <si>
    <t>[WAVE] Mosaic BOH - Inventory - Bulk Adjustments - 4 - Managing Bulk Adjustments</t>
  </si>
  <si>
    <t>UI Mistakes and AC points missing</t>
  </si>
  <si>
    <t>P/U and S/U are mentioned as Mandatory field in AC by Robyn(Client side), Craig suggessted Either one is Mandatory field. Added few Bouncebacks and developer also on PTO. So story will carry forward to next sprint.</t>
  </si>
  <si>
    <t>[WAVE] Mosaic BOH - Products - Adding Bulk Fulfillment by Group (4)</t>
  </si>
  <si>
    <t>Cosmetic and UI sugesstion given</t>
  </si>
  <si>
    <t>https://dev.azure.com/heartlandschools/Mosaic/_git/BOH/pullrequest/48841</t>
  </si>
  <si>
    <t>[WAVE] Mosaic BOH - Report - Inventory Transfer - Add category filters (Independence 30, MO)</t>
  </si>
  <si>
    <t>https://dev.azure.com/heartlandschools/Mosaic/_git/BOH/pullrequest/48678</t>
  </si>
  <si>
    <t>Remove blank selection in the dropdown</t>
  </si>
  <si>
    <t>Mosaic BOH - Report - Shopping List - Add the ability to exclude a product (Fresno)</t>
  </si>
  <si>
    <t>Sugesstion : Order must allow to select from the dropdown</t>
  </si>
  <si>
    <t>https://dev.azure.com/heartlandschools/Mosaic/_git/BOH/pullrequest/48840</t>
  </si>
  <si>
    <t>26.06 Sprint 3 Stretch</t>
  </si>
  <si>
    <t>[Wave] Mosaic BOH - Bidding Automation Testing</t>
  </si>
  <si>
    <t>https://heartlandschools.visualstudio.com/Mosaic/_git/BOH/pullrequest/48996</t>
  </si>
  <si>
    <t>[WAVE] Mosaic BOH - Inventory - Search Transfers by Transfer #</t>
  </si>
  <si>
    <t>https://dev.azure.com/heartlandschools/Mosaic/_git/BOH/pullrequest/48373</t>
  </si>
  <si>
    <t>[WAVE] - Mosaic BOH - Performance improvisation on product group</t>
  </si>
  <si>
    <t>https://dev.azure.com/heartlandschools/Mosaic/_git/BOH/pullrequest/48416</t>
  </si>
  <si>
    <t>[WAVE] Mosaic BOH - Inventory - Add User Tracking for Physical Count transactions</t>
  </si>
  <si>
    <t>Remove commented lines</t>
  </si>
  <si>
    <t>https://dev.azure.com/heartlandschools/Mosaic/_git/BOH/pullrequest/48460</t>
  </si>
  <si>
    <t>[WAVE] Mosaic BOH - Item Maintenance - 3 - Left Side Nav Menu and landing page</t>
  </si>
  <si>
    <t>https://dev.azure.com/heartlandschools/Mosaic/_git/BOH/pullrequest/48531</t>
  </si>
  <si>
    <t>Breadcrumbs issue</t>
  </si>
  <si>
    <t>[WAVE] Mosaic BOH - Products - Addition of new Bulk Fulfillment screen (3)</t>
  </si>
  <si>
    <t>https://dev.azure.com/heartlandschools/Mosaic/_git/BOH/pullrequest/48536</t>
  </si>
  <si>
    <t>26.06 Sprint 2 Stretch</t>
  </si>
  <si>
    <t>MosaiC_BOH_Wave_Acceleration Automation Script</t>
  </si>
  <si>
    <t>28-04-26</t>
  </si>
  <si>
    <t>Suresh</t>
  </si>
  <si>
    <t>https://dev.azure.com/heartlandschools/Mosaic/_git/BOH/pullrequest/48631</t>
  </si>
  <si>
    <t>Defect</t>
  </si>
  <si>
    <t>Mosaic - BOH -Wave-Acceleration-Bidding Multiple issues</t>
  </si>
  <si>
    <t>Defect Fixed</t>
  </si>
  <si>
    <t>Existing Production Issue, defect was not identified in the previous test cycles</t>
  </si>
  <si>
    <t>[Wave]Mosaic BOH - Bidding - Add Last modified details in Bid Response and Bid Analysis</t>
  </si>
  <si>
    <t>Cosmetic issue :Last Modified On:' follow the same format in bid response screen , like other screens 'Last modified on:</t>
  </si>
  <si>
    <t>NIL</t>
  </si>
  <si>
    <t>https://dev.azure.com/heartlandschools/Mosaic/_git/BOH/pullrequest/48046</t>
  </si>
  <si>
    <t>[Wave] Mosaic BOH - Inventory - Restrict duplicate items(Transfers and Usage)</t>
  </si>
  <si>
    <t>By Product Group search is not working in Transfer,Usage and Warehouse Hotspot Transfer screen(existing issue).</t>
  </si>
  <si>
    <t>nil</t>
  </si>
  <si>
    <t>https://dev.azure.com/heartlandschools/Mosaic/_git/BOH/pullrequest/48130</t>
  </si>
  <si>
    <t>[WAVE]Mosaic BOH - Products - Origin - Add new option "Non-Domestic (unspecified)" to droplist</t>
  </si>
  <si>
    <t>https://dev.azure.com/heartlandschools/Mosaic/_git/BOH/pullrequest/48099</t>
  </si>
  <si>
    <t>NIl</t>
  </si>
  <si>
    <t>[WAVE]Mosaic BOH - Product List Report - Add a new filter for Item Origin</t>
  </si>
  <si>
    <t>https://dev.azure.com/heartlandschools/Mosaic/_git/BOH/pullrequest/48261</t>
  </si>
  <si>
    <t>Remove the extra space</t>
  </si>
  <si>
    <t>[WAVE] Mosaic BOH - Ingredients - Add Notes</t>
  </si>
  <si>
    <t>https://dev.azure.com/heartlandschools/Mosaic/_git/BOH/pullrequest/48100</t>
  </si>
  <si>
    <t>[WAVE] Mosaic BOH - Inventory - Bulk Adjustments - 1 - Security page</t>
  </si>
  <si>
    <t>https://dev.azure.com/heartlandschools/Mosaic/_git/BOH/pullrequest/48195</t>
  </si>
  <si>
    <t>[Wave]Mosaic BOH - Bid Analysis - Add the Bid import document to the Bid Analysis attachment</t>
  </si>
  <si>
    <t>https://dev.azure.com/heartlandschools/Mosaic/_git/BOH/pullrequest/48286</t>
  </si>
  <si>
    <t xml:space="preserve">Charles
</t>
  </si>
  <si>
    <t>It is blocking to test the story, because when click on the 'Import Test' button from the Bidding Response screen getting server error</t>
  </si>
  <si>
    <t>[WAVE] Mosaic BOH - Inventory - Bulk Adjustments - 2 - Search for Products</t>
  </si>
  <si>
    <t>https://dev.azure.com/heartlandschools/Mosaic/_git/BOH/pullrequest/48226</t>
  </si>
  <si>
    <t>Check all box is checked even when any box is checked</t>
  </si>
  <si>
    <t>26.06 Sprint 1 Stretch</t>
  </si>
  <si>
    <t>Mosaic Boh-Wave-Acceleration - Bidding Automation Test Scripts</t>
  </si>
  <si>
    <t>https://heartlandschools.visualstudio.com/Mosaic/_git/BOH/pullrequest/48403</t>
  </si>
  <si>
    <t>Completed 8 Test Cases from the Bid Responses screen.</t>
  </si>
  <si>
    <t>Mosaic - BOH -Wave-Acceleration- By Product Group is not working</t>
  </si>
  <si>
    <t>The defect was related to CSS issue.Found during internal testing.</t>
  </si>
  <si>
    <t>Mosaic BoH - multiple - Cannot bulk export vendor orders after approval</t>
  </si>
  <si>
    <t>External</t>
  </si>
  <si>
    <t>Development</t>
  </si>
  <si>
    <t>In the defect 26863 we have disabled the approved button functionality on approved status in all bulk approval screens, but in vendor bulk approval button caption is changed</t>
  </si>
  <si>
    <t>[Wave] - Mosaic BOH(WH) - Transfers - Search and Replace - View Report</t>
  </si>
  <si>
    <t>https://dev.azure.com/heartlandschools/Mosaic/_git/BOH/pullrequest/47594</t>
  </si>
  <si>
    <t>1. Product name can be in a single line instead of wrapping
2. On Hand, On Order, Reserved details are hidden
3. Records should not be broken; it can be on the new page
4. Purchase unit and Stock unit combined need to be displayed in the Unit (refer to Quantity per purchase unit in the transfers)
5. It should be "Sending Site:" It should not be SiteName</t>
  </si>
  <si>
    <t>Needs Improvement</t>
  </si>
  <si>
    <t>[WAVE] Mosaic BOH - Products - Add security group for Products - Bulk Fulfillment (1)</t>
  </si>
  <si>
    <t xml:space="preserve">Rajiv </t>
  </si>
  <si>
    <t>https://dev.azure.com/heartlandschools/Mosaic/_git/BOH/pullrequest/47481</t>
  </si>
  <si>
    <t>For the Admin security group, it needs to be checked by default</t>
  </si>
  <si>
    <t>[WAVE]-Mosaic BOH- Ability to sort P/U Quantity and S/U Quantity for the physical counts screen</t>
  </si>
  <si>
    <t>1) Sorting not cleared when dropdown value is changed.
2. At the time of storing some of the P/Q and S/Q Values are vanished and values are mismatching after sorting</t>
  </si>
  <si>
    <t>https://dev.azure.com/heartlandschools/Mosaic/_git/BOH/pullrequest/47507</t>
  </si>
  <si>
    <t>An Existing issue - while sorting any column some product datas are interchanged or not saved</t>
  </si>
  <si>
    <t>[WAVE] Mosaic BOH - Products - Add Bulk Fulfillment menu option (2)</t>
  </si>
  <si>
    <t>Issue : Menus visibility based on the Tier Levels not handled.</t>
  </si>
  <si>
    <t>https://dev.azure.com/heartlandschools/Mosaic/_git/BOH/pullrequest/47514</t>
  </si>
  <si>
    <t>Team</t>
  </si>
  <si>
    <t>[WAVE]Mosaic BOH - 26.3 Regression - Inventory</t>
  </si>
  <si>
    <t>[Wave]Mosaic BOH - 26.3 Regression - Products</t>
  </si>
  <si>
    <t>[Wave]Mosaic BOH - 26.3 Regression - Bidding</t>
  </si>
  <si>
    <t>26.3 Sprint 4 Stretch</t>
  </si>
  <si>
    <t>[Wave] Mosaic BOH - Hide Bulk Fulfillment menu</t>
  </si>
  <si>
    <t>https://dev.azure.com/heartlandschools/Mosaic/_git/BOH/pullrequest/47597</t>
  </si>
  <si>
    <t>[Wave] Mosaic -BOH Bidding Maintenance Edit Screen Automation Test Scripts</t>
  </si>
  <si>
    <t>https://heartlandschools.visualstudio.com/Mosaic/_git/BOH/pullrequest/48132</t>
  </si>
  <si>
    <t>Completed 6 stories and 3 Inprogress created PR</t>
  </si>
  <si>
    <t>[WAVE]Mosaic BOH - Gen AI (Initiative #37515) - AI Assistant - Add the ability to upload images from the system</t>
  </si>
  <si>
    <t>https://dev.azure.com/heartlandschools/Mosaic/_git/BOH/pullrequest/43487</t>
  </si>
  <si>
    <t>[Wave]Mosaic BOH - Iterative AI call to parse Inventory Worksheet images</t>
  </si>
  <si>
    <t>https://dev.azure.com/heartlandschools/Mosaic/_git/BOH/pullrequest/43668</t>
  </si>
  <si>
    <t>Andrew</t>
  </si>
  <si>
    <t>[Wave]Mosaic BOH - UI for verification and Editing the AI Response of the Inventory Parsing</t>
  </si>
  <si>
    <t>[WAVE]Mosaic BOH - Gen AI (Initiative #37515) - Model switching</t>
  </si>
  <si>
    <t>https://dev.azure.com/heartlandschools/Mosaic/_git/BOH/pullrequest/43743</t>
  </si>
  <si>
    <t>3.23 Sprint 6 [Stretch]</t>
  </si>
  <si>
    <t>[WAVE]Mosaic BOH - Gen AI (Initiative #37515) 
- Improve Quality of Breakfast Menu Suggestions</t>
  </si>
  <si>
    <t>https://dev.azure.com/heartlandschools/Mosaic/_git/BOH/pullrequest/43610</t>
  </si>
  <si>
    <t>[WAVE]Mosaic BOH - Gen AI (Initiative #37515) - Offer More Recipe Variety</t>
  </si>
  <si>
    <t xml:space="preserve">[WAVE]Mosaic BOH - Gen AI (Initiative #37515) - Model switching - UI	</t>
  </si>
  <si>
    <t>[Wave]Mosaic BOH - Automation for Create a Menu Plan</t>
  </si>
  <si>
    <t>Mosaic BOH - Wave- Orders within par level - Not Set is not working- Common issue in All Bulk Approvals</t>
  </si>
  <si>
    <t>Minor</t>
  </si>
  <si>
    <t>Requirements</t>
  </si>
  <si>
    <t>Existng code Issue found in production. Common issue
 and fixed it on all bulk approval screen</t>
  </si>
  <si>
    <t>[Wave]Mosaic BOH - Bidding - Estimated Qty issue</t>
  </si>
  <si>
    <t>Existing issues &amp; Javascript error , missed at manual Test</t>
  </si>
  <si>
    <t>Mosaic BOH Wave - Common Issue in All Orders Screens</t>
  </si>
  <si>
    <t>Existing issues, and it's not identified in earlier test cycles</t>
  </si>
  <si>
    <t>Mosaic BOH - Regression - Transfers - Search and Replace - Can see Shipped status in the replace screen</t>
  </si>
  <si>
    <t>Defect found in regression, issue not identified in earlier test cycles</t>
  </si>
  <si>
    <t>Mosaic BOH - Regression - Bidding - Responses - Bid Response # field not searching correctly</t>
  </si>
  <si>
    <t>Defect found in regression</t>
  </si>
  <si>
    <t>Mosaic BOH - Regression - Ordering - All order pages - Par Level validation calculation is not being flagged correctly</t>
  </si>
  <si>
    <t>Mosaic BOH - Regression - Inventory - Physical Counts screen - Buttons not all on one line</t>
  </si>
  <si>
    <t>Mosaic BOH - Wave - System Allows Multiple Approvals for Already Approved Orders in all Bulk Approval Screens(WH &amp; CK)</t>
  </si>
  <si>
    <t>Mosaic BOH - Wave-Acceleration - Bid Analysis - Application Throws Console Error on Cancel Button Click</t>
  </si>
  <si>
    <t>Mosaic BOH - Regression - Central Kitchen Orders - Created transfer is showing status of committed but is only submitted</t>
  </si>
  <si>
    <t>[WAVE] Mosaic BOH - Central Kitchen - Bulk Order Approval</t>
  </si>
  <si>
    <t>https://dev.azure.com/heartlandschools/Mosaic/_git/BOH/pullrequest/47171</t>
  </si>
  <si>
    <t>Par Level - Not set 
Not working properly</t>
  </si>
  <si>
    <t>Testing only moved to this sprint</t>
  </si>
  <si>
    <t>[Wave]Mosaic BOH - Bidding - Cleanup Bid Priority related code in the backend</t>
  </si>
  <si>
    <t>https://dev.azure.com/heartlandschools/Mosaic/_git/BOH/pullrequest/47265</t>
  </si>
  <si>
    <t>[WAVE]Mosaic BOH - Add the ability to Bulk commit transfers</t>
  </si>
  <si>
    <r>
      <rPr>
        <b/>
        <sz val="10"/>
        <color rgb="FF000000"/>
        <rFont val="Arial"/>
        <scheme val="minor"/>
      </rPr>
      <t xml:space="preserve">Here are suggestions to keep the application consistent
</t>
    </r>
    <r>
      <rPr>
        <sz val="10"/>
        <color rgb="FF000000"/>
        <rFont val="Arial"/>
        <scheme val="minor"/>
      </rPr>
      <t>1. If any required fields not selected, consolidate all warning messages and display to Failure Reason popup
2. When click the Transfer# hyperlink, open transfer item to the new tab</t>
    </r>
  </si>
  <si>
    <t>https://dev.azure.com/heartlandschools/Mosaic/_git/BOH/pullrequest/47312</t>
  </si>
  <si>
    <t>Increase the width of warning window</t>
  </si>
  <si>
    <t>26.3 Sprint 3 Stretch</t>
  </si>
  <si>
    <t>[Wave]Mosaic BOH - Bidding - Bid Response/Analysis - Requested item vs Quoted Item [Substitution Workflow] - Bottom Line</t>
  </si>
  <si>
    <t>https://dev.azure.com/heartlandschools/Mosaic/_git/BOH/pullrequest/47396</t>
  </si>
  <si>
    <t>[Wave] Mosaic BOH - Transfers - Search By Warehouse Order Number</t>
  </si>
  <si>
    <t>https://dev.azure.com/heartlandschools/Mosaic/_git/BOH/pullrequest/47316</t>
  </si>
  <si>
    <t>Need hyperlink in warehouse order #</t>
  </si>
  <si>
    <t>[WAVE] Mosaic BOH - Delivery and Source Site Details are showing even after removing the products-Vendor and Warehouse Order</t>
  </si>
  <si>
    <t>The defect was not identified in the previous test cycles</t>
  </si>
  <si>
    <t>[WAVE] Mosaic BOH - Bidding - "Selecting a Vendor" warning message</t>
  </si>
  <si>
    <t>[WAVE] Mosaic BOH - Display Warehouse Availability when Creating Warehouse Orders</t>
  </si>
  <si>
    <t>https://dev.azure.com/heartlandschools/Mosaic/_git/BOH/pullrequest/46936</t>
  </si>
  <si>
    <t>[WAVE] Mosaic BOH - Bidding - Hide Bid Priority field on Product Maintenance</t>
  </si>
  <si>
    <t>https://dev.azure.com/heartlandschools/Mosaic/_git/BOH/pullrequest/46941</t>
  </si>
  <si>
    <t>[WAVE] Mosaic BOH - Warehouse/Central Kitchen Item Availability Report - Add Items On Hand filter</t>
  </si>
  <si>
    <t>https://dev.azure.com/heartlandschools/Mosaic/_git/BOH/pullrequest/47058</t>
  </si>
  <si>
    <t>[WAVE] Mosaic BOH - Add button to print Bidding Responses to Bid Maintenance screen</t>
  </si>
  <si>
    <t>https://dev.azure.com/heartlandschools/Mosaic/_git/BOH/pullrequest/46955</t>
  </si>
  <si>
    <t>[Wave]Mosaic BOH - Bidding - Bid Response/Analysis - Requested item vs Quoted Item [Substitution Workflow]</t>
  </si>
  <si>
    <t>https://dev.azure.com/heartlandschools/Mosaic/_git/BOH/pullrequest/47292</t>
  </si>
  <si>
    <t>Testing was not completed by myself at Line Item and was having validation errors</t>
  </si>
  <si>
    <t>26.3 Sprint 2 Stretch</t>
  </si>
  <si>
    <t xml:space="preserve">[Wave] Mosaic-BOH- Automation for Bidding Maintenance Screen	
</t>
  </si>
  <si>
    <t>17-02-2026</t>
  </si>
  <si>
    <t>https://heartlandschools.visualstudio.com/Mosaic/_git/BOH/pullrequest/47291</t>
  </si>
  <si>
    <t>8 Test Script written in Bidding Menu</t>
  </si>
  <si>
    <t>[Wave] -  Mosaic BOH - Bidding - Bid Status Change from Awarded - Deactivate/Delete Pricelist</t>
  </si>
  <si>
    <t>https://dev.azure.com/heartlandschools/Mosaic/_git/BOH/pullrequest/46639</t>
  </si>
  <si>
    <t>[WAVE] Mosaic BOH - Warehouse/Central Kitchen Item Availability Report - Add site level order quantity details</t>
  </si>
  <si>
    <t>https://dev.azure.com/heartlandschools/Mosaic/_git/BOH/pullrequest/46775</t>
  </si>
  <si>
    <t>Site# is missing in the report</t>
  </si>
  <si>
    <t>[Wave]Mosaic BOH - Bidding - Calculate Estimated Qty</t>
  </si>
  <si>
    <t>https://dev.azure.com/heartlandschools/Mosaic/_git/BOH/pullrequest/46710</t>
  </si>
  <si>
    <t>Alignment and font needs to be corrected</t>
  </si>
  <si>
    <t>Gary: To test it with 200+ records. 
-Working as directed.
Craig- cosmetic changes</t>
  </si>
  <si>
    <t xml:space="preserve">51517	</t>
  </si>
  <si>
    <t>[WAVE] Mosaic BOH - Inventory Transfer Report - Add "consolidated" filter (Nampa)</t>
  </si>
  <si>
    <t>https://dev.azure.com/heartlandschools/Mosaic/_git/BOH/pullrequest/46905</t>
  </si>
  <si>
    <t>26.3 Sprint 1 Stretch</t>
  </si>
  <si>
    <t>[Wave] -  Mosaic BOH - Bidding Maintenance Automation Test Cases</t>
  </si>
  <si>
    <t>https://heartlandschools.visualstudio.com/Mosaic/_git/BOH/pullrequest/47036</t>
  </si>
  <si>
    <t>HeartLand Logo is blocking the Automation script
in this Sprint 5 Test Cases Completed and 2 in Progress</t>
  </si>
  <si>
    <t>[WAVE] Mosaic BOH - Bidding - Remove Bid Priority column from Bid Maintenance</t>
  </si>
  <si>
    <t>https://dev.azure.com/heartlandschools/Mosaic/_git/BOH/pullrequest/46942</t>
  </si>
  <si>
    <t>[WAVE] Mosaic BOH - Bidding - Hide Bidding Setup menu</t>
  </si>
  <si>
    <t>https://dev.azure.com/heartlandschools/Mosaic/_git/BOH/pullrequest/46974</t>
  </si>
  <si>
    <t>Mosaic BOH - Wave-Acceleration- Bidding Security Group Page</t>
  </si>
  <si>
    <t>The defect was identified during regression testing but was not detected in the earlier test cycles</t>
  </si>
  <si>
    <t>26.3 Sprint 1 Strech</t>
  </si>
  <si>
    <t>Mosaic_Wave_Acceleration Inventory-Physical Count- Usage Category not showing in the generated Excel sheet for some reports</t>
  </si>
  <si>
    <t>The usage category which was mentioned has not shown at excel sheet.It has not handled when it needs to be shown at left side in excel sheet. So added the existing methods that all other categories is assigned with</t>
  </si>
  <si>
    <t>[Wave] Mosaic BOH - Common issue in Filter Search Dropdown</t>
  </si>
  <si>
    <t>[Wave]Mosaic BOH - Inventory - Option to Export Inventory Worksheet</t>
  </si>
  <si>
    <t>1) Search based on the UI data even if 
user changed the date and doesnt save it
2) Product Item Number Missing</t>
  </si>
  <si>
    <t>N/A</t>
  </si>
  <si>
    <t>https://dev.azure.com/heartlandschools/Mosaic/_git/BOH/pullrequest/46342</t>
  </si>
  <si>
    <t>1. Disable the Export button before saving the new physical count 
2. Sort Order - needs to be corrected
3. Product Number to Product # in sort order
4. Space b/w two words in sort order</t>
  </si>
  <si>
    <t>Fix the review comment</t>
  </si>
  <si>
    <t>[Wave]Mosaic BOH - 4.2 Regression - Bidding</t>
  </si>
  <si>
    <t>Craig</t>
  </si>
  <si>
    <t>This regression story is completed in the last sprint</t>
  </si>
  <si>
    <t>[Wave]Mosaic BOH - 26.1 Regression - Inventory</t>
  </si>
  <si>
    <t>162+ test cases has been completed</t>
  </si>
  <si>
    <t>26.1 Sprint 3 Stretch</t>
  </si>
  <si>
    <t>[WAVE] Mosaic BOH - Add "App Switcher" to feature flag</t>
  </si>
  <si>
    <t>https://heartlandschools.visualstudio.com/Mosaic/_git/BOH/pullrequest/46640</t>
  </si>
  <si>
    <t>App Switcher' is showing in the feature flag</t>
  </si>
  <si>
    <t>[WAVE]Mosaic BOH - Regression - Inventory - Receiving - Exception Hyperlink not working on committed or uncommitted receiving trx</t>
  </si>
  <si>
    <t>[WAVE]Mosaic BOH -Regression - Inventory - Physical Counts - Tab order on grid is not working correctly</t>
  </si>
  <si>
    <t>It was not handled in javascript earlier.Can do prevented by doing proper UI testing</t>
  </si>
  <si>
    <t>[WAVE]Mosaic BOH - Regression - Bidding - Setup - Can't type a decimal in the Discount % search box</t>
  </si>
  <si>
    <t>[WAVE]Mosaic BOH - Regression - Inventory - Physical Count Screen - The Show Less/Show More option is hard to see because of font color</t>
  </si>
  <si>
    <t>Kalida team updated the UI from Black to white that caused this issue.</t>
  </si>
  <si>
    <t>[WAVE] Mosaic BOH - Error when importing bid response</t>
  </si>
  <si>
    <t>Mosaic BOH - Regression - Bidding - View Only Security Group permissions do not change what the user can do.</t>
  </si>
  <si>
    <t>multiple issues mentioned in the ticket, developer fixed 1 issue only in the code and forgot to clear data from database and other issues were like a new requirement since it was never coded the expected way.</t>
  </si>
  <si>
    <t xml:space="preserve">[WAVE] Mosaic BOH - Add page-break between days option to Production record report format setup (NK conversion feature gap) </t>
  </si>
  <si>
    <t xml:space="preserve">[Wave]Mosaic BOH - Warehouse Orders - 'View Report' - show the status with the date </t>
  </si>
  <si>
    <t>https://dev.azure.com/heartlandschools/Mosaic/_git/BOH/pullrequest/45866</t>
  </si>
  <si>
    <t xml:space="preserve">[WAVE] - Mosaic BOH- Addition of new filter for Inventory Worksheet Physical counts	
</t>
  </si>
  <si>
    <t>https://dev.azure.com/heartlandschools/Mosaic/_git/BOH/pullrequest/46170</t>
  </si>
  <si>
    <t>AC Updated for display the new filed in the report as well as in search grid in setup page</t>
  </si>
  <si>
    <t>[WAVE] Mosaic BOH - Warehouse - Add Delivery Route to Warehouse Orders report</t>
  </si>
  <si>
    <t>26/11/25</t>
  </si>
  <si>
    <t>Remove unneccesary namespace</t>
  </si>
  <si>
    <t>https://dev.azure.com/heartlandschools/Mosaic/_git/BOH/pullrequest/46002</t>
  </si>
  <si>
    <t>Gap variations in report</t>
  </si>
  <si>
    <t>[WAVE]Mosaic BOH - ER - Add Receiving Invoice Total column in the receiving search screen</t>
  </si>
  <si>
    <t>Remove unneccesary spaces</t>
  </si>
  <si>
    <t>https://dev.azure.com/heartlandschools/Mosaic/_git/BOH/pullrequest/46106</t>
  </si>
  <si>
    <t>Missing $ symbol and sorting issue</t>
  </si>
  <si>
    <t>[WAVE]Mosaic BOH - 4.2 Regression - Inventory</t>
  </si>
  <si>
    <t>4.2 Sprint 2 Stretch</t>
  </si>
  <si>
    <t>BOH [Wave] - Automation Acceleration-Bidding stories</t>
  </si>
  <si>
    <t xml:space="preserve">Completed 4 Test Cases but PR not created, working on Regression in this sprint </t>
  </si>
  <si>
    <t>[WAVE] Mosaic BOH - Bidding Status Change</t>
  </si>
  <si>
    <t>https://dev.azure.com/heartlandschools/Mosaic/_git/BOH/pullrequest/46235</t>
  </si>
  <si>
    <t>[Wave]Mosaic BOH - 4.2 Regression - Products</t>
  </si>
  <si>
    <t xml:space="preserve">Comments </t>
  </si>
  <si>
    <t>[WAVE] Mosaic BOH - Inventory Receiving - Inactive Sites Show up in Search Filters</t>
  </si>
  <si>
    <t>RCA : In Testing it has been missed and
Mitigation Plan: Will do a proper unit testing to 
prevent issues</t>
  </si>
  <si>
    <t>Bounce back</t>
  </si>
  <si>
    <t>RCA: Due to code checkin after fixing POV comments and didn't test the scenario . 
Mitigation Plan: Will do a proper unit testing to prevent issues</t>
  </si>
  <si>
    <t xml:space="preserve">Description </t>
  </si>
  <si>
    <t>POV Comments</t>
  </si>
  <si>
    <t>Praveen</t>
  </si>
  <si>
    <t>Story</t>
  </si>
  <si>
    <t>[WAVE] Mosaic BOH - ER - Add category filters (usage, storage, etc) to the EOM Inventory report</t>
  </si>
  <si>
    <t>Story Ready for testing</t>
  </si>
  <si>
    <t>Need to check the alignment in MS Word</t>
  </si>
  <si>
    <t>Mosaic BOH - Inventory Inquiry - Hitting the Print Inventory Trans. Report button multiple times produces popup that doesn't go away if Yes is clicked</t>
  </si>
  <si>
    <t>Defect Peer review</t>
  </si>
  <si>
    <t>4.2 Sprint 2 Regression</t>
  </si>
  <si>
    <t>[BAU]Mosaic BOH - 4.2 Regression - Ordering</t>
  </si>
  <si>
    <t>[BAU]Mosaic BOH - 4.2 Regression - Menu</t>
  </si>
  <si>
    <t>[BAU]Mosaic BOH - 4.2 Regression - Reports</t>
  </si>
  <si>
    <t>Story being developed</t>
  </si>
  <si>
    <t>(WAVE)Mosaic BOH - ER - Have categories or more specific storage categories be able to be filtered out on the Transfer Pull Sheet report</t>
  </si>
  <si>
    <t>https://dev.azure.com/heartlandschools/Mosaic/_git/BOH/pullrequest/45699</t>
  </si>
  <si>
    <t>Shenba: Storage category not needed in the report if filter not selectable in UI</t>
  </si>
  <si>
    <t>[WAVE] Mosaic BOH(WH)- Requisition# needs to be shown in the Transfers for Warehouse orders</t>
  </si>
  <si>
    <t>https://dev.azure.com/heartlandschools/Mosaic/_git/BOH/pullrequest/45668</t>
  </si>
  <si>
    <t>[WAVE] Mosaic BOH - Persist filter options on Receiving screen</t>
  </si>
  <si>
    <t>https://dev.azure.com/heartlandschools/Mosaic/_git/BOH/pullrequest/45809</t>
  </si>
  <si>
    <t xml:space="preserve">4.2 - Sprint 1 Stretch
</t>
  </si>
  <si>
    <t>[Wave]Mosaic BOH - Bidding - Estimated Quantity - Warning message</t>
  </si>
  <si>
    <t>https://dev.azure.com/heartlandschools/Mosaic/_git/BOH/pullrequest/45721</t>
  </si>
  <si>
    <t xml:space="preserve">[Wave] Mosaic BOH - Bidding - Expand the Vendor Quotes - Bid Analysis grid for better view	
</t>
  </si>
  <si>
    <t>https://dev.azure.com/heartlandschools/Mosaic/_git/BOH/pullrequest/45786</t>
  </si>
  <si>
    <t>[WAVE] Mosaic BOH - Warehouse - Add Delivery Route field to Transfers screen</t>
  </si>
  <si>
    <t>To remove commented lines</t>
  </si>
  <si>
    <t>https://dev.azure.com/heartlandschools/Mosaic/_git/BOH/pullrequest/45896</t>
  </si>
  <si>
    <t xml:space="preserve">[WAVE] Mosaic BOH - Warehouse - Add Delivery Route field to Warehouse Orders Bulk Approval screen	</t>
  </si>
  <si>
    <t>https://dev.azure.com/heartlandschools/Mosaic/_git/BOH/pullrequest/45913</t>
  </si>
  <si>
    <t>[WAVE] Mosaic BOH - Warehouse - Add Delivery Route field to Warehouse Orders screen</t>
  </si>
  <si>
    <t>[WAVE]Mosaic BOH - Inventory Inquiry - Item Availability Report</t>
  </si>
  <si>
    <t>https://dev.azure.com/heartlandschools/Mosaic/_git/BOH/pullrequest/45986</t>
  </si>
  <si>
    <t>Shenba: Alignment issue</t>
  </si>
  <si>
    <t xml:space="preserve">[Wave]- Mosaic BOH - Bidding - Add Bid Status search filter under bidding response	</t>
  </si>
  <si>
    <t>[WAVE] Mosaic BOH- Acceleration-Automation</t>
  </si>
  <si>
    <t>Ready with the skeleton once story completed without bug will create the PR in the Next Sprint</t>
  </si>
  <si>
    <t>[Wave] Mosaic BOH - Bidding - Responses and Bid Analysis UI issues</t>
  </si>
  <si>
    <t>It's not updated in the AC</t>
  </si>
  <si>
    <t>It's a existing common issue</t>
  </si>
  <si>
    <t>Bounceback</t>
  </si>
  <si>
    <t>When selected it causes a blank page at beginning of report</t>
  </si>
  <si>
    <t>Design</t>
  </si>
  <si>
    <t>Header option is missed during the devlopment, due to it's in seperate tab with more settings options</t>
  </si>
  <si>
    <t>Click 'Cancel' button from warning popup, Estimated Qty field will get highlighted with RED color, Now click on the SAVE button 'Required Field are missing information' warning message is showing.EXPECTED is system should not through warning message when click on the SAVE Button</t>
  </si>
  <si>
    <t>Focused only on the popup cancel button, combination of both cancel and save button missed out</t>
  </si>
  <si>
    <t>(BAU) Mosaic BOH - AI - Next Navigation is not working in the Physical Count</t>
  </si>
  <si>
    <t>Also check the Previous button navigation
Performance.</t>
  </si>
  <si>
    <t>story</t>
  </si>
  <si>
    <t>[Wave]Mosaic BOH - Warehouse Orders - 'View Report' - show the status with the date</t>
  </si>
  <si>
    <t>Change date format to DD/MM/YYYY</t>
  </si>
  <si>
    <t>Mosaic BOH - ER - Product List Report - Add a new filter for Notes - 'Has Notes:'</t>
  </si>
  <si>
    <t>Story Ready For Testing</t>
  </si>
  <si>
    <t xml:space="preserve">  Has Notes - should have space
empty page is seen in the report
Has Notes in the report header having spacing - its not aligned
Has Notes 'No' and Needs Attention scenario is not implemented	</t>
  </si>
  <si>
    <t xml:space="preserve">[WAVE] Mosaic BOH - GenAI - Nutrition Facts Label - Create a Measurement from the Serving Size	
</t>
  </si>
  <si>
    <t>https://dev.azure.com/heartlandschools/Mosaic/_git/BOH/pullrequest/45359</t>
  </si>
  <si>
    <t>Richard</t>
  </si>
  <si>
    <t xml:space="preserve">[Wave]Mosaic BOH - Gen AI - Image upload functionality should filter to acceptable document types	
</t>
  </si>
  <si>
    <t>https://dev.azure.com/heartlandschools/Mosaic/_git/BOH/pullrequest/45400</t>
  </si>
  <si>
    <t>[Wave] Mosaic BOH - Gen AI - In-App AI Marketing</t>
  </si>
  <si>
    <t>https://dev.azure.com/heartlandschools/Mosaic/_git/BOH/pullrequest/45456</t>
  </si>
  <si>
    <t xml:space="preserve">(WAVE)Mosaic BOH - AI - Suggested Change for UI - Production Record Upload - Add Note that only menus with Planned Quantities will show up	
</t>
  </si>
  <si>
    <t>https://dev.azure.com/heartlandschools/Mosaic/_git/BOH/pullrequest/45524</t>
  </si>
  <si>
    <t>4.1 Sprint 3-Strech</t>
  </si>
  <si>
    <t xml:space="preserve">[Wave]Mosaic BOH - Automation	
</t>
  </si>
  <si>
    <t>https://heartlandschools.visualstudio.com/Mosaic/_git/BOH/pullrequest/45647</t>
  </si>
  <si>
    <t>13 Test cases completed</t>
  </si>
  <si>
    <t>[Wave] Mosaic BOH - AI Should be 'Edit Fields' not individual Security Page items</t>
  </si>
  <si>
    <t>create common variable for table names instead of hardcoding it.
also refactor the code to reuse data table creation for field and page in single function.</t>
  </si>
  <si>
    <t>https://dev.azure.com/heartlandschools/Mosaic/_git/BOH/pullrequest/45562</t>
  </si>
  <si>
    <t xml:space="preserve">[Wave] Mosaic BOH - AI Assistant- Scan Handwritten Counts-Not Allowing to Upload the Large Files	</t>
  </si>
  <si>
    <t>Issue not reproduced</t>
  </si>
  <si>
    <t>[Wave] Mosaic BOH-GEN AI-Next Navigation is not working in the Physical Count</t>
  </si>
  <si>
    <t>Issue not reproduced for 1st 2 cases</t>
  </si>
  <si>
    <t>(WAVE)Mosaic BOH - AI - Production Record Upload is showing the wrong menu date when you click on the AI Production Record Task link</t>
  </si>
  <si>
    <t>[Wave] Mosaic BOH Wave-Gen AI-Menu Assistant-Menu Options Buttons are disabled and Menu Plan screen become empty</t>
  </si>
  <si>
    <t>[WAVE] Mosaic BOH - GEN AI- Production Record- Production Record showing wrong values because Duplication of Recipes not Recognized by the AI</t>
  </si>
  <si>
    <t>26131 - [Wave]Mosaic BOH - Gen AI - Scan Production Records-Warning Message issue</t>
  </si>
  <si>
    <t>4.1 - Sprint 3 Stretch</t>
  </si>
  <si>
    <t>Mosaic BOH[Wave] - Gen AI - Nutrition Fact Label - Warning Popup for Save button not showing</t>
  </si>
  <si>
    <t>Create a Menu Plan screen is not displaying..Announcement details are showing</t>
  </si>
  <si>
    <t>Bounce Back. Authorization Issue at Menu . And Some districts page s were not shown</t>
  </si>
  <si>
    <t>[Wave]Mosaic BOH - Gen AI - Scan Production Records- Warning Message issue</t>
  </si>
  <si>
    <t>Need to apply in Physical count page also.</t>
  </si>
  <si>
    <t>(WAVE)Mosaic BOH - GenAI - Changes for UI - Production Record Upload &amp; Physical Count Upload</t>
  </si>
  <si>
    <t>Changes in Alignment.</t>
  </si>
  <si>
    <t>[WAVE] Mosaic BOH - GEN AI - Production Record - Move Image to top &amp; Edit grid to botton &amp; freeze column headers &amp; Recipe column</t>
  </si>
  <si>
    <t>https://dev.azure.com/heartlandschools/Mosaic/_git/BOH/pullrequest/45102</t>
  </si>
  <si>
    <t>Image Zoom controls change</t>
  </si>
  <si>
    <t>[WAVE] Mosaic BOH - GEN AI - Move prompts to the database</t>
  </si>
  <si>
    <t>https://dev.azure.com/heartlandschools/Mosaic/_git/BOH/pullrequest/45295</t>
  </si>
  <si>
    <t xml:space="preserve">[WAVE] Mosaic BOH - GEN AI - Physical Count, Production Record, and Nutrition Facts Label Image viewer	
</t>
  </si>
  <si>
    <t>https://dev.azure.com/heartlandschools/Mosaic/_git/BOH/pullrequest/45156</t>
  </si>
  <si>
    <t>Typo mistake in variable name</t>
  </si>
  <si>
    <t xml:space="preserve">[WAVE] Mosaic BOH - GEN AI - Filter Site selectors based on the user's Site Group access	
</t>
  </si>
  <si>
    <t>https://dev.azure.com/heartlandschools/Mosaic/_git/BOH/pullrequest/45157</t>
  </si>
  <si>
    <t>Inactive sites are shown remove it and SSO users check</t>
  </si>
  <si>
    <t>4.1 Sprint 2 [Stretch]</t>
  </si>
  <si>
    <t xml:space="preserve">[WAVE] Mosaic BOH - GenAI - AI Task Status Values (Menu Gen &amp; Nutrition Facts)	
</t>
  </si>
  <si>
    <t>https://dev.azure.com/heartlandschools/Mosaic/_git/BOH/pullrequest/45158</t>
  </si>
  <si>
    <t xml:space="preserve">[Wave] Mosaic BOH - Gen AI - Add Additional Logs in AI	
</t>
  </si>
  <si>
    <t>https://dev.azure.com/heartlandschools/Mosaic/_git/BOH/pullrequest/45180</t>
  </si>
  <si>
    <t>4.1 Sprint 1 [Stretch]</t>
  </si>
  <si>
    <t>https://dev.azure.com/heartlandschools/Mosaic/_git/BOH/pullrequest/45253</t>
  </si>
  <si>
    <t>[WAVE] Mosaic BOH - GEN AI - Physical Count Worksheet UI Issues</t>
  </si>
  <si>
    <t>After the AI Release some issues are found,so created a defect.All these issues are existing in the Production Environment</t>
  </si>
  <si>
    <t>[WAVE] Mosaic BOH - GEN AI - AI Parsed Values P/U and S/U Qty Some values are not fetching in Inventory Physical Count Worksheet</t>
  </si>
  <si>
    <t>[WAVE] Mosaic BOH - GEN AI - Physical Count Updated Results - "Not Matching" is showing wrong value</t>
  </si>
  <si>
    <t>[WAVE] Mosaic BOH - GEN AI - Production Record Assistant - Results when an unrelated Prod Rec image is uploaded</t>
  </si>
  <si>
    <t xml:space="preserve">[WAVE] Mosaic BOH - GEN AI - Menu Generation failing due to exceeding the token limit	</t>
  </si>
  <si>
    <t>This must be tested in the Staging Environment once Latest code is updated in the staging will test this defect.not reproduced in the MPTest env</t>
  </si>
  <si>
    <t>The container specifications must remain consistent across the Nutrition Facts, Production Records, and Physical Counts. Additionally, the container should be stable and must not vary from the reference image provided.</t>
  </si>
  <si>
    <t>4.1 Sprint 2 Stretch</t>
  </si>
  <si>
    <t xml:space="preserve">26195	</t>
  </si>
  <si>
    <t>Mosaic BOH - AI - Creating menus - After clicking Generate Menus the program says Generating Menus but doesn't come back</t>
  </si>
  <si>
    <t>Defect Peer Review</t>
  </si>
  <si>
    <t xml:space="preserve">        </t>
  </si>
  <si>
    <t>Mosaic BOH - AI - (ON QA MPTest) Upload Production Record page - I am seeing site names in a non-alphabetical order - Using Site Number not Site Name</t>
  </si>
  <si>
    <t>[WAVE] Mosaic BOH - GEN AI - AI Task Grid Status values</t>
  </si>
  <si>
    <t>https://dev.azure.com/heartlandschools/Mosaic/_git/BOH/pullrequest/44940</t>
  </si>
  <si>
    <t>[WAVE] Mosaic BOH - GEN AI - Physical Count - Freeze Column Headers from scrolling</t>
  </si>
  <si>
    <t>https://dev.azure.com/heartlandschools/Mosaic/_git/BOH/pullrequest/44941</t>
  </si>
  <si>
    <t>-</t>
  </si>
  <si>
    <t>Image Zoom controls change, Add Recipe Desc column</t>
  </si>
  <si>
    <t>Gary and Tino suggested a few changes for zooming  and fixed those changes</t>
  </si>
  <si>
    <t>[WAVE] Mosaic BOH - GEN AI - Menu Generation Additional Instructions workflow issue</t>
  </si>
  <si>
    <t>https://dev.azure.com/heartlandschools/Mosaic/_git/BOH/pullrequest/44942</t>
  </si>
  <si>
    <t>[Wave]Mosaic BOH - Gen AI - Support multiple images for a Production Record Import</t>
  </si>
  <si>
    <t>https://dev.azure.com/heartlandschools/Mosaic/_git/BOH/pullrequest/45023</t>
  </si>
  <si>
    <t xml:space="preserve">[WAVE] Mosaic BOH - GEN AI - Sanitize uploaded image parsing	
</t>
  </si>
  <si>
    <t>https://dev.azure.com/heartlandschools/Mosaic/_git/BOH/pullrequest/44983</t>
  </si>
  <si>
    <t>priya</t>
  </si>
  <si>
    <t>Frequent UI changes so PR not created for the current sprint.Automation test script writting is inprogress</t>
  </si>
  <si>
    <t>Issue is still existing(no warning message is showing),When trying to attach the same image again</t>
  </si>
  <si>
    <t>Mosaic BOH Wave-AI Assistant-Nutrition Fact Label Issues</t>
  </si>
  <si>
    <t xml:space="preserve">[Wave] Mosaic BOH - AI Assistant-Menu Plan- Sometimes Date not selecting from the calendar,when click on the Date	
</t>
  </si>
  <si>
    <t xml:space="preserve">Mosaic BOH Wave-AI Assistant- Nutrition Fact Labels Issues </t>
  </si>
  <si>
    <t>Some issues are not fixed</t>
  </si>
  <si>
    <t>Some Values are not fetching in the inventory</t>
  </si>
  <si>
    <t>[WAVE] Mosaic BOH - GEN AI - Physical Count Worksheet QR Code Mobile Flow issue</t>
  </si>
  <si>
    <t xml:space="preserve">4.1 - Sprint 1 Stretch
</t>
  </si>
  <si>
    <t>[Wave] Mosaic BOH - AI Assistant- Production Record Cosmetic and UI issues</t>
  </si>
  <si>
    <t>[Wave]Mosaic BOH - Gen AI UI Refresh - AI Entry Point screen 4 columns</t>
  </si>
  <si>
    <t>https://dev.azure.com/heartlandschools/Mosaic/_git/BOH/pullrequest/44222</t>
  </si>
  <si>
    <t>Rajiv &amp; Joel</t>
  </si>
  <si>
    <t xml:space="preserve">[WAVE] Gen AI - UI Refresh (Nutrition Facts Labels Edit Screen)	</t>
  </si>
  <si>
    <t>https://dev.azure.com/heartlandschools/Mosaic/_git/BOH/pullrequest/44298</t>
  </si>
  <si>
    <t>[Wave]Mosaic BOH - Gen AI Assistant and Tasks Pages</t>
  </si>
  <si>
    <t>https://dev.azure.com/heartlandschools/Mosaic/_git/BOH/pullrequest/44265</t>
  </si>
  <si>
    <t>[Wave]Mosaic BOH - Gen AI - Additional search details to identify a unique physical count record</t>
  </si>
  <si>
    <t>https://dev.azure.com/heartlandschools/Mosaic/_git/BOH/pullrequest/44422</t>
  </si>
  <si>
    <t>Exceeds Expectation</t>
  </si>
  <si>
    <t>[WAVE]Mosaic BOH - Gen AI (Initiative #37515) - Production Record</t>
  </si>
  <si>
    <t>https://dev.azure.com/heartlandschools/Mosaic/_git/BOH/pullrequest/44548</t>
  </si>
  <si>
    <t>4.0 Sprint 3 [Stretch]</t>
  </si>
  <si>
    <t>Deepika &amp; Joel</t>
  </si>
  <si>
    <t>Gen AI - Conversation Workflow</t>
  </si>
  <si>
    <t>https://dev.azure.com/heartlandschools/Mosaic/_git/BOH/pullrequest/44503</t>
  </si>
  <si>
    <t xml:space="preserve">2 menu day throws error </t>
  </si>
  <si>
    <t>Refactor AI Code to use common API call</t>
  </si>
  <si>
    <t>https://dev.azure.com/heartlandschools/Mosaic/_git/BOH/pullrequest/44380</t>
  </si>
  <si>
    <t>[Wave]Mosaic BOH - Nutrition facts label UI changes</t>
  </si>
  <si>
    <t>https://dev.azure.com/heartlandschools/Mosaic/_git/BOH/pullrequest/44639</t>
  </si>
  <si>
    <t xml:space="preserve">[Wave]Mosaic BOH - Gen AI - UI changes for Physical Count Worksheet Upload	</t>
  </si>
  <si>
    <t>https://dev.azure.com/heartlandschools/Mosaic/_git/BOH/pullrequest/44689</t>
  </si>
  <si>
    <t>Radio buttons need gap, Dialoge box needs to added</t>
  </si>
  <si>
    <t>[Wave]Mosaic BOH - Gen AI - Mobile Workflow Changes</t>
  </si>
  <si>
    <t>[Wave]Mosaic BOH - Gen AI - UI changes for Production Records</t>
  </si>
  <si>
    <t>Minor changes TBD v2.o</t>
  </si>
  <si>
    <t>[Wave]Mosaic BOH - Gen AI - Terms of Service</t>
  </si>
  <si>
    <t>https://dev.azure.com/heartlandschools/Mosaic/_git/BOH/pullrequest/44656</t>
  </si>
  <si>
    <t>[Wave]Mosaic BOH - Gen AI - Terms of Service (Acceptance workflow)</t>
  </si>
  <si>
    <t>https://dev.azure.com/heartlandschools/Mosaic/_git/BOH/pullrequest/44711</t>
  </si>
  <si>
    <t>[WAVE] Mosaic BOH (GEN AI) - Additional Physical Count Assistant UXUI Modifications (23 SEP 2025)</t>
  </si>
  <si>
    <t>https://dev.azure.com/heartlandschools/Mosaic/_git/BOH/pullrequest/44756</t>
  </si>
  <si>
    <t>[WAVE] Mosaic BOH - Production Record Assistant - AI Production Record Format &amp; Execute</t>
  </si>
  <si>
    <t>https://dev.azure.com/heartlandschools/Mosaic/_git/BOH/pullrequest/44849</t>
  </si>
  <si>
    <t xml:space="preserve">49912	
</t>
  </si>
  <si>
    <t>[Wave]Mosaic BOH - Automation for nutrition fact label</t>
  </si>
  <si>
    <t>https://heartlandschools.visualstudio.com/Mosaic/_git/BOH/pullrequest/44394</t>
  </si>
  <si>
    <t xml:space="preserve">[WAVE] Mosaic BOH-AI Assistant-Physical Count Worksheet-AI Task-Task Status-Submit Review Button Displayed in AI Task	
</t>
  </si>
  <si>
    <t>Defect Ready For Testing</t>
  </si>
  <si>
    <t xml:space="preserve">[Wave] Mosaic BOH - AI Assistant - AI not recognizing hyphens in Product Number (Inventory Worksheets)	
</t>
  </si>
  <si>
    <t>[WAVE]Mosaic BOH - Gen AI - Rework on the Mobile experience for Image/doc upload</t>
  </si>
  <si>
    <t>https://dev.azure.com/heartlandschools/Mosaic/_git/BOH/pullrequest/44169</t>
  </si>
  <si>
    <t>[Wave]Mosaic BOH - Import AI-extracted Physical Count values into products/items</t>
  </si>
  <si>
    <t>https://dev.azure.com/heartlandschools/Mosaic/_git/BOH/pullrequest/44165</t>
  </si>
  <si>
    <t>[WAVE]Mosaic BOH - Gen AI (Initiative #37515) - User Ratings</t>
  </si>
  <si>
    <t>https://dev.azure.com/heartlandschools/Mosaic/_git/BOH/pullrequest/44022</t>
  </si>
  <si>
    <t>4.0 Sprint 2 [Stretch]</t>
  </si>
  <si>
    <t>Gen AI - UI Refresh (Import Menu Popup Changes)</t>
  </si>
  <si>
    <t>https://dev.azure.com/heartlandschools/Mosaic/_git/BOH/pullrequest/44237</t>
  </si>
  <si>
    <t>[Wave]Mosaic BOH - GenAI - Submit physical count</t>
  </si>
  <si>
    <t>BounceBack</t>
  </si>
  <si>
    <t>[Wave]Mosaic BOH - Automation for AI Task creation Use my Recipe and Get creative</t>
  </si>
  <si>
    <t>https://heartlandschools.visualstudio.com/Mosaic/_git/BOH/pullrequest/44308</t>
  </si>
  <si>
    <t>Mosaic BOH GenAI - Create a Menu Plan-My Recipes-Add Menu- Menu's are importing in the preview screen,clicking on the empty Dates from the Calendar</t>
  </si>
  <si>
    <t>fixed</t>
  </si>
  <si>
    <t>https://dev.azure.com/heartlandschools/Mosaic/_git/BOH/pullrequest/43845</t>
  </si>
  <si>
    <t>4.0 Sprint 1 [Stretch]</t>
  </si>
  <si>
    <t>https://dev.azure.com/heartlandschools/Mosaic/_git/BOH/pullrequest/43888</t>
  </si>
  <si>
    <t>Logo Need to change</t>
  </si>
  <si>
    <t>[Wave]Mosaic BOH - Gen AI - Specific AI task types</t>
  </si>
  <si>
    <t>https://dev.azure.com/heartlandschools/Mosaic/_git/BOH/pullrequest/43833</t>
  </si>
  <si>
    <t>[Wave]Mosaic BOH -AI Assistant-Scan HandWritten Count- Tasks</t>
  </si>
  <si>
    <t>Added Bounce Bank and Assign back to the developer</t>
  </si>
  <si>
    <t>Story Being Tested</t>
  </si>
  <si>
    <t>Unable to Test because after adding Get Creative or Use My Recipe, Not showing in AI Task List</t>
  </si>
  <si>
    <t>https://heartlandschools.visualstudio.com/Mosaic/_git/BOH/pullrequest/43715</t>
  </si>
  <si>
    <t>Created a Defect 25727</t>
  </si>
  <si>
    <t>[WAVE]Mosaic BOH -AI Assistant-Menu Popup screen-Minor UI Issues</t>
  </si>
  <si>
    <t>Tool tip flickering issue fixed</t>
  </si>
  <si>
    <t xml:space="preserve">Mosaic BOH [WAVE] - Tier Model - Feature/Menus visibility based on the Tier levels	
</t>
  </si>
  <si>
    <t>https://dev.azure.com/heartlandschools/Mosaic/_git/BOH/pullrequest/42631</t>
  </si>
  <si>
    <t>[WAVE]Mosaic BOH - Gen AI (Initiative #37515) - Nutrition Facts Labels - Attach the image to the created ingredient</t>
  </si>
  <si>
    <t>https://dev.azure.com/heartlandschools/Mosaic/_git/BOH/pullrequest/43386</t>
  </si>
  <si>
    <t>Extension type to constants</t>
  </si>
  <si>
    <t>[WAVE]Mosaic BOH - Gen AI (Initiative #37515) - Get Creative - Add the option to print the menu details</t>
  </si>
  <si>
    <t>Included physical count worksheet from the kendo UI to vega components</t>
  </si>
  <si>
    <t>3.23 Sprint 5 [Stretch]</t>
  </si>
  <si>
    <t>[WAVE]Mosaic BOH - Gen AI (Initiative #37515) - Filter task lists by district</t>
  </si>
  <si>
    <t>https://dev.azure.com/heartlandschools/Mosaic/_git/BOH/pullrequest/43263</t>
  </si>
  <si>
    <t>[WAVE]Mosaic BOH - Gen AI (Initiative #37515) - Adjust background to full screen</t>
  </si>
  <si>
    <t>https://dev.azure.com/heartlandschools/Mosaic/_git/BOH/pullrequest/43276</t>
  </si>
  <si>
    <t>[WAVE]Mosaic BOH - Gen AI (Initiative #37515) - Physical Count Worksheet</t>
  </si>
  <si>
    <t>In this sprint, this stretch story is about 1) trying out document parsing with VertexAI for multiple batches of Inventory Worksheet Images, 2) fine tuning the parameters for better accuracy in extraction, and 3) coming up with an optimal AI prompt
[22-Jul-25]: Testing Framework is ready. Prompt is complete. Testing with Image Transformation is complete. Prompt has been tuned and ready to be used in code.</t>
  </si>
  <si>
    <t>Remove unused codes</t>
  </si>
  <si>
    <t>UI  changes</t>
  </si>
  <si>
    <t>Inprogress in writting the create menu</t>
  </si>
  <si>
    <t>AI-Assistant-Create a Menu Plan-My Recipes-Add Menu- Menu's are importing in the preview screen,clicking on the empty Dates from the Calendar</t>
  </si>
  <si>
    <t>Story Not Completed. This is due to problems that arrises in  saving data through entities and navigation property. And I am facing some scenarios work for some part of code and some or not so working on it.</t>
  </si>
  <si>
    <t>[WAVE]Mosaic BOH - Gen AI (Initiative #37515) - Nutrition Facts Labels</t>
  </si>
  <si>
    <t>https://dev.azure.com/heartlandschools/Mosaic/_git/BOH/pullrequest/42535</t>
  </si>
  <si>
    <t xml:space="preserve">[WAVE]Mosaic BOH - Gen AI (Initiative #37515) - Nutrition Facts Labels - Create Ingredient	
</t>
  </si>
  <si>
    <t>https://dev.azure.com/heartlandschools/Mosaic/_git/BOH/pullrequest/43162</t>
  </si>
  <si>
    <t>[WAVE] Mosaic BOH - AI Get Creative Recipe - Portion size - Update the original response</t>
  </si>
  <si>
    <t>https://dev.azure.com/heartlandschools/Mosaic/_git/BOH/pullrequest/42723</t>
  </si>
  <si>
    <t>[WAVE] Mosaic BOH - Gen AI - Parent Data Table - Child Data Table</t>
  </si>
  <si>
    <t>https://dev.azure.com/heartlandschools/Mosaic/_git/BOH/pullrequest/42990</t>
  </si>
  <si>
    <t>[WAVE]Mosaic BOH - Gen AI (Initiative #37515) - Add Allergens details to the Get Creative Recipes</t>
  </si>
  <si>
    <t>https://dev.azure.com/heartlandschools/Mosaic/_git/BOH/pullrequest/42879</t>
  </si>
  <si>
    <t xml:space="preserve">[WAVE]Mosaic BOH - Gen AI (Initiative #37515) - AI should handle the Nutrients - measurement conversion	
</t>
  </si>
  <si>
    <t>https://dev.azure.com/heartlandschools/Mosaic/_git/BOH/pullrequest/42831</t>
  </si>
  <si>
    <t>Mosaic BOH - Gen AI - Displaying the AI tasks - Update the existing module to the new schema</t>
  </si>
  <si>
    <t>Remove commented codes</t>
  </si>
  <si>
    <t>[WAVE]Mosaic BOH - Gen AI (Initiative #37515) - Physical Count Worksheet - Code/Uploading images</t>
  </si>
  <si>
    <t>https://dev.azure.com/heartlandschools/Mosaic/_git/BOH/pullrequest/43176</t>
  </si>
  <si>
    <t>3.23 Sprint 4 [Stretch]</t>
  </si>
  <si>
    <t>https://dev.azure.com/heartlandschools/Mosaic/_git/BOH/pullrequest/43175</t>
  </si>
  <si>
    <t>Newly introduced story</t>
  </si>
  <si>
    <r>
      <rPr>
        <sz val="10"/>
        <color rgb="FF000000"/>
        <rFont val="Arial"/>
        <scheme val="minor"/>
      </rPr>
      <t xml:space="preserve">In this sprint, this stretch story is about 1) trying out document parsing with VertexAI for multiple batches of Inventory Worksheet Images, 2) fine tuning the parameters for better accuracy in extraction, and 3) coming up with an optimal AI prompt
</t>
    </r>
    <r>
      <rPr>
        <i/>
        <sz val="10"/>
        <color rgb="FF000000"/>
        <rFont val="Arial"/>
        <scheme val="minor"/>
      </rPr>
      <t>[08-Jul-25]</t>
    </r>
    <r>
      <rPr>
        <sz val="10"/>
        <color rgb="FF000000"/>
        <rFont val="Arial"/>
        <scheme val="minor"/>
      </rPr>
      <t>: Testing Framework is ready. Prompt is almost complete. Image Transformation is in progress. Data Extraction Testing is in progress.</t>
    </r>
  </si>
  <si>
    <t xml:space="preserve">[WAVE]Mosaic BOH - Automation	
</t>
  </si>
  <si>
    <t>3.23 - Sprint 4</t>
  </si>
  <si>
    <t xml:space="preserve">[Wave] Mosaic BOH -AI Assistant- Get Creative Recipe	
</t>
  </si>
  <si>
    <t>fixed the view recipe link issue</t>
  </si>
  <si>
    <t xml:space="preserve">Mosaic BOH [WAVE] - Tier Model	
</t>
  </si>
  <si>
    <t>https://dev.azure.com/heartlandschools/Mosaic/_git/BOH/pullrequest/42398</t>
  </si>
  <si>
    <t>Working as Expected</t>
  </si>
  <si>
    <t>Backlog - Due to Admin security Group doesnt change on district Tier level</t>
  </si>
  <si>
    <t>Unable to test, due to JOB failed in MPtest, Andrew is working on it to fix the issue</t>
  </si>
  <si>
    <t>Database schema related changes to the story 48695</t>
  </si>
  <si>
    <t>3.23 Sprint 3 [Stretch]</t>
  </si>
  <si>
    <t>Raised an defect 25465 and written manual test cases for the current sprint stories. For Automation Framework is changed from MStest to NUnit, couldn't write automation test script and also couldn't test the stories manually because of the status is Failing for all the stories .Andrew is fixing the issue.</t>
  </si>
  <si>
    <t>Minor UI issues like alignment, text visibility has been fixed.. Task Status is getting Failed couldn't test the flow.</t>
  </si>
  <si>
    <t xml:space="preserve">[Wave] Mosaic BOH - AI Assistant- Scan Nutrition Labels	
</t>
  </si>
  <si>
    <t>fixed session timeout, breadcrumbs, toaster</t>
  </si>
  <si>
    <t>implement POV comments</t>
  </si>
  <si>
    <t>The SaveSecurityGroupForDistrict.cs file in the business project is setup to instantiate the class and pass in the _DBContext where normally in the Business logic classes they are all partial classes of MenuPlanning and have access to the _DBContext directly. Can we change this page to match our usual formatting? </t>
  </si>
  <si>
    <t>Will wait for hotfix release</t>
  </si>
  <si>
    <t>Remove the code changes done at getMembershipRoles and remove entries at table level</t>
  </si>
  <si>
    <t>Since more files changes exist. First 48149 changes willbe moved then the current will moved . but willl wait for hotfix release.</t>
  </si>
  <si>
    <t xml:space="preserve">[WAVE] Mosaic BOH - AI Get Creative Prompt Needs More Context	
</t>
  </si>
  <si>
    <t>https://dev.azure.com/heartlandschools/Mosaic/_git/BOH/pullrequest/42316</t>
  </si>
  <si>
    <t>Due to Hot fix release, we cannot test this story right now, option is hidden in MPTest</t>
  </si>
  <si>
    <t>3.23 Sprint 2 [Stretch]</t>
  </si>
  <si>
    <t xml:space="preserve">[WAVE]Mosaic BOH - Gen AI (Initiative #37515) - RAG Continued	
</t>
  </si>
  <si>
    <t>https://dev.azure.com/heartlandschools/Mosaic/_git/BOH/pullrequest/42402</t>
  </si>
  <si>
    <t>[28-May-25] Continuing with AITask Hierarchy</t>
  </si>
  <si>
    <t>DB Schema changes complete. Implementation in progress</t>
  </si>
  <si>
    <t>Development completed, need to test.</t>
  </si>
  <si>
    <t>Written Manual Test Case for the current sprint stories. No Environment to test the stories Due to Hot Fix Branch .Tested and closed the story 48296 in DB.And for Automation Framework is changing from MSTest to NUnit</t>
  </si>
  <si>
    <t>[WAVE]Mosaic BOH - Gen AI (Initiative #37515) - Add the ability to View Preparation Details for a 'Creative' Recipe in a Popup</t>
  </si>
  <si>
    <t>https://dev.azure.com/heartlandschools/Mosaic/_git/BOH/pullrequest/41931</t>
  </si>
  <si>
    <t>Add Measurement details</t>
  </si>
  <si>
    <t>The functionality is completed and is working fine in the local dev environment. In this implementation, the call to the AI model is executed in the webserver as opposed to the scheduler's environment (The menu assistant implementation executes the call to the AI model in the scheduler's environment where the Google Application Default Credentials have been set up correctly). Since ADC is not yet set up in the webservers, the call to the AI model fails when accessing this functionality. This issue should get resolved once the authentication (ADC) is set up in the webservers.</t>
  </si>
  <si>
    <t xml:space="preserve">[WAVE]Mosaic BOH - Gen AI (Initiative #37515) - Ability to add Name to the Image	
</t>
  </si>
  <si>
    <t>https://dev.azure.com/heartlandschools/Mosaic/_git/BOH/pullrequest/42030</t>
  </si>
  <si>
    <t>Could't Test because, Scan Nutrition Labels is showing Coming Soon, Not Clickable.Option is blocked in 3.22 release by Andrew, so unable to test in this sprintSame Functionality Available in  47755</t>
  </si>
  <si>
    <t>_</t>
  </si>
  <si>
    <t>Any change in tier level it should reflect in all the Security Groups</t>
  </si>
  <si>
    <t xml:space="preserve">Tier level set in the security group should be specific to the  district </t>
  </si>
  <si>
    <t>Conducted Client POV on Tuesday, after that Gary asked to hold on this story and later discussed with the onshore team and asked to proceed with the story. Added the comments in the story</t>
  </si>
  <si>
    <t>Devlopment completed, Andrew needs to improve more prompt to get the creative recipe on 23rd May,so had to rework on the prompt</t>
  </si>
  <si>
    <t>3.23 Sprint 1 [Stretch]</t>
  </si>
  <si>
    <t xml:space="preserve">Upgrading of Google.Cloud.AIPlatform.V1 from 2.27 to 3.31 has to be in a separate deliverable. </t>
  </si>
  <si>
    <t>1.Product/Ingedient Name - you are right, 2.Display the image, though it's not a nutrition label
3. Show the picture and nutrition side by side - Left side image and right side nutrition fact label</t>
  </si>
  <si>
    <t>Devlopment completed, PR not yet approved</t>
  </si>
  <si>
    <t>https://dev.azure.com/heartlandschools/Mosaic/_git/BOH/pullrequest/42410</t>
  </si>
  <si>
    <t xml:space="preserve">Written Automation test script for AI stories and Created a PR.
2. Written Manual test cases for the story 47902,47226,48168
</t>
  </si>
  <si>
    <t>[WAVE]Mosaic BOH - Gen AI (Initiative #37515) - Import Suggested Menus</t>
  </si>
  <si>
    <t>https://dev.azure.com/heartlandschools/Mosaic/_git/BOH/pullrequest/41755</t>
  </si>
  <si>
    <t>[WAVE] Mosaic BOH - GEN AI (Initiative #37515) - Add a Security Page for 'AI Assistant' (Needed for Beta)</t>
  </si>
  <si>
    <t>https://dev.azure.com/heartlandschools/Mosaic/_git/BOH/pullrequest/41852</t>
  </si>
  <si>
    <t>[WAVE]Mosaic BOH - Gen AI (Initiative #37515) - QR Code Login</t>
  </si>
  <si>
    <t>https://dev.azure.com/heartlandschools/Mosaic/_git/BOH/pullrequest/41427</t>
  </si>
  <si>
    <t>Andrew will push their ops team to set up the ADC in the webserver for 47226 to work. Not planned for Beta release</t>
  </si>
  <si>
    <t>3.22 Sprint 6 [Stretch]</t>
  </si>
  <si>
    <t>Started working on 9th May</t>
  </si>
  <si>
    <t>Added Unit tests for all the AI stories, PR not approved yet.</t>
  </si>
  <si>
    <t>[WAVE]Mosaic BOH - Gen AI (Initiative #37515) - Discovery for Confidence score</t>
  </si>
  <si>
    <t xml:space="preserve">POC for image upload </t>
  </si>
  <si>
    <t>[WAVE]Mosaic BOH - Gen AI (Initiative #37515) - Evaluate Google Vision API and Document API for parsing information from images</t>
  </si>
  <si>
    <r>
      <rPr>
        <b/>
        <sz val="10"/>
        <color rgb="FF000000"/>
        <rFont val="Arial"/>
        <scheme val="minor"/>
      </rPr>
      <t xml:space="preserve">POC </t>
    </r>
    <r>
      <rPr>
        <sz val="10"/>
        <color rgb="FF000000"/>
        <rFont val="Arial"/>
        <scheme val="minor"/>
      </rPr>
      <t xml:space="preserve">for Evaluating Google Vision API.
</t>
    </r>
    <r>
      <rPr>
        <u/>
        <sz val="10"/>
        <color rgb="FF000000"/>
        <rFont val="Arial"/>
        <scheme val="minor"/>
      </rPr>
      <t>Conclusion:</t>
    </r>
    <r>
      <rPr>
        <sz val="10"/>
        <color rgb="FF000000"/>
        <rFont val="Arial"/>
        <scheme val="minor"/>
      </rPr>
      <t xml:space="preserve"> Vision API helps only with detecting text in the image. We need to process it further manually or with another AI call. Also, it would need additional resource provisioning. So, its decided to go with Vertex AI that has the multi-modal capability as well as downstream processing intelligence.</t>
    </r>
  </si>
  <si>
    <t>Started working on 13th of May</t>
  </si>
  <si>
    <t>https://docs.google.com/document/d/1J7Qy8QJFFmA8YO_pHAZlEOdLtsaKGbtZVhQuiGmysVo/edit?addon_store&amp;pli=1&amp;tab=t.0</t>
  </si>
  <si>
    <t xml:space="preserve">Written Manual Test cases for the AI stories in Azure.
Written and Executed the Automation Test Script for AI Stories.
Manually Tested and Closed the Stories 47441,47902,47451.
</t>
  </si>
  <si>
    <t>a</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</si>
  <si>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</si>
  <si>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</si>
  <si>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</si>
  <si>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</si>
  <si>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</si>
  <si>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</si>
  <si>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</si>
  <si>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</si>
  <si>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</si>
  <si>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</si>
  <si>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</si>
  <si>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</si>
  <si>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</si>
  <si>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</si>
  <si>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</si>
  <si>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</si>
  <si>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Enhancements</t>
  </si>
  <si>
    <t>QA</t>
  </si>
  <si>
    <t>Documentation</t>
  </si>
  <si>
    <t>Project_Management</t>
  </si>
  <si>
    <t>Environment_Related</t>
  </si>
  <si>
    <t>Product Owner - Verify</t>
  </si>
  <si>
    <t>Story Approved</t>
  </si>
  <si>
    <t>Defect Found</t>
  </si>
  <si>
    <t>Defect Verified</t>
  </si>
  <si>
    <t>Defect Being Tested</t>
  </si>
  <si>
    <t>Defect Rejected</t>
  </si>
  <si>
    <t>Defect Needs More Info</t>
  </si>
  <si>
    <t>Defect 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</si>
</sst>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7">
    <font>
      <sz val="10"/>
      <color rgb="FF000000"/>
      <name val="Arial"/>
      <scheme val="minor"/>
    </font>
    <font>
      <b/>
      <sz val="10"/>
      <color rgb="FFFFFFFF"/>
      <name val="Calibri"/>
    </font>
    <font>
      <sz val="10"/>
      <color theme="1"/>
      <name val="Arial"/>
      <scheme val="minor"/>
    </font>
    <font>
      <b/>
      <sz val="10"/>
      <color rgb="FFFFFFFF"/>
      <name val="Arial"/>
      <scheme val="minor"/>
    </font>
    <font>
      <sz val="10"/>
      <color theme="1"/>
      <name val="Arial"/>
    </font>
    <font>
      <b/>
      <sz val="10"/>
      <color theme="1"/>
      <name val="Arial"/>
      <scheme val="minor"/>
    </font>
    <font>
      <sz val="10"/>
      <name val="Arial"/>
    </font>
    <font>
      <b/>
      <sz val="9"/>
      <color rgb="FFFFFFFF"/>
      <name val="&quot;Proxima Nova&quot;"/>
    </font>
    <font>
      <sz val="10"/>
      <color theme="1"/>
      <name val="&quot;Proxima Nova&quot;"/>
    </font>
    <font>
      <u/>
      <sz val="10"/>
      <color theme="10"/>
      <name val="Arial"/>
      <scheme val="minor"/>
    </font>
    <font>
      <sz val="10"/>
      <color rgb="FF000000"/>
      <name val="Arial"/>
      <charset val="1"/>
    </font>
    <font>
      <b/>
      <sz val="10"/>
      <color theme="1"/>
      <name val="Calibri"/>
    </font>
    <font>
      <sz val="10"/>
      <color theme="1"/>
      <name val="Calibri"/>
    </font>
    <font>
      <b/>
      <sz val="10"/>
      <color rgb="FF000000"/>
      <name val="Arial"/>
      <scheme val="minor"/>
    </font>
    <font>
      <b/>
      <sz val="10"/>
      <color theme="1"/>
      <name val="Arial"/>
    </font>
    <font>
      <b/>
      <sz val="12"/>
      <color theme="0"/>
      <name val="Arial"/>
      <scheme val="minor"/>
    </font>
    <font>
      <u/>
      <sz val="10"/>
      <color rgb="FF000000"/>
      <name val="Arial"/>
      <scheme val="minor"/>
    </font>
    <font>
      <sz val="10"/>
      <color rgb="FF000000"/>
      <name val="Calibri"/>
    </font>
    <font>
      <i/>
      <sz val="10"/>
      <color rgb="FF000000"/>
      <name val="Arial"/>
      <scheme val="minor"/>
    </font>
    <font>
      <sz val="10"/>
      <color rgb="FF000000"/>
      <name val="Arial"/>
      <scheme val="major"/>
    </font>
    <font>
      <sz val="10"/>
      <color rgb="FF000000"/>
      <name val="Calibri"/>
      <charset val="1"/>
    </font>
    <font>
      <sz val="10"/>
      <color rgb="FFFF0000"/>
      <name val="Calibri"/>
    </font>
    <font>
      <sz val="10"/>
      <color rgb="FF2A3E51"/>
      <name val="Arial"/>
      <scheme val="minor"/>
    </font>
    <font>
      <sz val="10"/>
      <color rgb="FF1C2933"/>
      <name val="Arial"/>
      <scheme val="minor"/>
    </font>
    <font>
      <sz val="10"/>
      <color rgb="FF000000"/>
      <name val="Arial"/>
    </font>
    <font>
      <sz val="10"/>
      <color rgb="FF000000"/>
      <name val="Liberation Sans"/>
      <charset val="1"/>
    </font>
    <font>
      <sz val="10"/>
      <color rgb="FF2A3E51"/>
      <name val="Arial"/>
      <scheme val="major"/>
    </font>
  </fonts>
  <fills count="19">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D9D9D9"/>
        <bgColor rgb="FFD9D9D9"/>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7" tint="0.39997558519241921"/>
        <bgColor indexed="64"/>
      </patternFill>
    </fill>
    <fill>
      <patternFill patternType="solid">
        <fgColor rgb="FFFFFFFF"/>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right style="thin">
        <color rgb="FF000000"/>
      </right>
      <top/>
      <bottom/>
      <diagonal/>
    </border>
    <border>
      <left style="medium">
        <color rgb="FF000000"/>
      </left>
      <right/>
      <top style="medium">
        <color rgb="FF000000"/>
      </top>
      <bottom/>
      <diagonal/>
    </border>
  </borders>
  <cellStyleXfs count="2">
    <xf numFmtId="0" fontId="0" fillId="0" borderId="0"/>
    <xf numFmtId="0" fontId="9" fillId="0" borderId="0" applyNumberFormat="0" applyFill="0" applyBorder="0" applyAlignment="0" applyProtection="0"/>
  </cellStyleXfs>
  <cellXfs count="429">
    <xf numFmtId="0" fontId="0" fillId="0" borderId="0" xfId="0"/>
    <xf numFmtId="0" fontId="1" fillId="2" borderId="1" xfId="0" applyFont="1" applyFill="1" applyBorder="1" applyAlignment="1">
      <alignment horizontal="center" wrapText="1"/>
    </xf>
    <xf numFmtId="0" fontId="2" fillId="0" borderId="1" xfId="0" applyFont="1" applyBorder="1"/>
    <xf numFmtId="0" fontId="1" fillId="3" borderId="1" xfId="0" applyFont="1" applyFill="1" applyBorder="1" applyAlignment="1">
      <alignment horizontal="center" wrapText="1"/>
    </xf>
    <xf numFmtId="0" fontId="4" fillId="0" borderId="1" xfId="0" applyFont="1" applyBorder="1"/>
    <xf numFmtId="0" fontId="2" fillId="0" borderId="1" xfId="0" applyFont="1" applyBorder="1" applyAlignment="1">
      <alignment vertical="center" wrapText="1"/>
    </xf>
    <xf numFmtId="0" fontId="4" fillId="0" borderId="0" xfId="0" applyFont="1"/>
    <xf numFmtId="0" fontId="5" fillId="6" borderId="1" xfId="0" applyFont="1" applyFill="1" applyBorder="1"/>
    <xf numFmtId="0" fontId="2" fillId="0" borderId="0" xfId="0" applyFont="1"/>
    <xf numFmtId="0" fontId="7" fillId="5" borderId="1" xfId="0" applyFont="1" applyFill="1" applyBorder="1" applyAlignment="1">
      <alignment horizontal="center"/>
    </xf>
    <xf numFmtId="0" fontId="8" fillId="4" borderId="2" xfId="0" applyFont="1" applyFill="1" applyBorder="1" applyAlignment="1">
      <alignment horizontal="center"/>
    </xf>
    <xf numFmtId="0" fontId="4" fillId="0" borderId="1" xfId="0" applyFont="1" applyBorder="1" applyAlignment="1">
      <alignment horizontal="left" vertical="center" wrapText="1"/>
    </xf>
    <xf numFmtId="0" fontId="0" fillId="0" borderId="1" xfId="0" applyBorder="1"/>
    <xf numFmtId="0" fontId="0" fillId="0" borderId="1" xfId="0" applyBorder="1" applyAlignment="1">
      <alignment horizontal="left" wrapText="1"/>
    </xf>
    <xf numFmtId="0" fontId="0" fillId="0" borderId="1" xfId="0" applyBorder="1" applyAlignment="1">
      <alignment wrapText="1"/>
    </xf>
    <xf numFmtId="0" fontId="0" fillId="0" borderId="0" xfId="0" applyAlignment="1">
      <alignment wrapText="1"/>
    </xf>
    <xf numFmtId="0" fontId="0" fillId="0" borderId="0" xfId="0" applyAlignment="1">
      <alignment horizontal="left"/>
    </xf>
    <xf numFmtId="0" fontId="10" fillId="0" borderId="0" xfId="0" applyFont="1"/>
    <xf numFmtId="0" fontId="0" fillId="0" borderId="1" xfId="0" applyBorder="1" applyAlignment="1">
      <alignment vertical="center" wrapText="1"/>
    </xf>
    <xf numFmtId="0" fontId="0" fillId="0" borderId="3" xfId="0" applyBorder="1"/>
    <xf numFmtId="0" fontId="9" fillId="0" borderId="1" xfId="1" applyBorder="1"/>
    <xf numFmtId="0" fontId="2" fillId="0" borderId="1" xfId="0" applyFont="1" applyBorder="1" applyAlignment="1">
      <alignment vertical="center"/>
    </xf>
    <xf numFmtId="0" fontId="9" fillId="0" borderId="3" xfId="1" applyBorder="1" applyAlignment="1">
      <alignment wrapText="1"/>
    </xf>
    <xf numFmtId="0" fontId="1" fillId="2" borderId="3" xfId="0" applyFont="1" applyFill="1" applyBorder="1" applyAlignment="1">
      <alignment horizontal="center" wrapText="1"/>
    </xf>
    <xf numFmtId="0" fontId="4" fillId="0" borderId="1" xfId="0" applyFont="1" applyBorder="1" applyAlignment="1">
      <alignment horizontal="center" vertical="center"/>
    </xf>
    <xf numFmtId="0" fontId="0" fillId="0" borderId="1" xfId="0" applyBorder="1" applyAlignment="1">
      <alignment vertic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1" fillId="2" borderId="6" xfId="0" applyNumberFormat="1" applyFont="1" applyFill="1" applyBorder="1" applyAlignment="1">
      <alignment horizontal="center" vertical="center" wrapText="1"/>
    </xf>
    <xf numFmtId="0" fontId="1" fillId="2" borderId="6"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0" fillId="0" borderId="0" xfId="0" applyAlignment="1">
      <alignment vertical="center"/>
    </xf>
    <xf numFmtId="0" fontId="10" fillId="0" borderId="7" xfId="0" applyFont="1" applyBorder="1" applyAlignment="1">
      <alignment vertical="center" readingOrder="1"/>
    </xf>
    <xf numFmtId="0" fontId="10" fillId="0" borderId="0" xfId="0" applyFont="1" applyAlignment="1">
      <alignment vertical="center" readingOrder="1"/>
    </xf>
    <xf numFmtId="49" fontId="2" fillId="0" borderId="6" xfId="0" applyNumberFormat="1" applyFont="1" applyBorder="1" applyAlignment="1">
      <alignment horizontal="right" vertical="center"/>
    </xf>
    <xf numFmtId="0" fontId="2" fillId="0" borderId="6" xfId="0" applyFont="1" applyBorder="1" applyAlignment="1">
      <alignment vertical="center" wrapText="1"/>
    </xf>
    <xf numFmtId="0" fontId="2" fillId="0" borderId="6" xfId="0" applyFont="1" applyBorder="1" applyAlignment="1">
      <alignment vertical="center"/>
    </xf>
    <xf numFmtId="49" fontId="2" fillId="0" borderId="1" xfId="0" applyNumberFormat="1" applyFont="1" applyBorder="1" applyAlignment="1">
      <alignment horizontal="right" vertical="center"/>
    </xf>
    <xf numFmtId="49" fontId="2" fillId="0" borderId="13" xfId="0" applyNumberFormat="1" applyFont="1" applyBorder="1" applyAlignment="1">
      <alignment horizontal="right" vertical="center"/>
    </xf>
    <xf numFmtId="0" fontId="2" fillId="0" borderId="13" xfId="0" applyFont="1" applyBorder="1" applyAlignment="1">
      <alignment vertical="center"/>
    </xf>
    <xf numFmtId="49" fontId="2" fillId="0" borderId="1"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2" fillId="0" borderId="13" xfId="0" applyNumberFormat="1" applyFont="1" applyBorder="1" applyAlignment="1">
      <alignment horizontal="center" vertical="center"/>
    </xf>
    <xf numFmtId="0" fontId="0" fillId="0" borderId="13" xfId="0" applyBorder="1" applyAlignment="1">
      <alignment vertical="center" wrapText="1"/>
    </xf>
    <xf numFmtId="49" fontId="0" fillId="0" borderId="0" xfId="0" applyNumberFormat="1" applyAlignment="1">
      <alignment horizontal="center" vertical="center"/>
    </xf>
    <xf numFmtId="0" fontId="1" fillId="2"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9" fillId="0" borderId="1" xfId="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49" fontId="2" fillId="0" borderId="13" xfId="0" applyNumberFormat="1" applyFont="1" applyBorder="1" applyAlignment="1">
      <alignment horizontal="center" vertical="center" wrapText="1"/>
    </xf>
    <xf numFmtId="0" fontId="0" fillId="0" borderId="0" xfId="0" applyAlignment="1">
      <alignment horizontal="center" vertical="center"/>
    </xf>
    <xf numFmtId="0" fontId="14" fillId="7" borderId="1" xfId="0" applyFont="1" applyFill="1" applyBorder="1" applyAlignment="1">
      <alignment horizontal="center" vertical="center"/>
    </xf>
    <xf numFmtId="0" fontId="4" fillId="0" borderId="3" xfId="0" applyFont="1" applyBorder="1" applyAlignment="1">
      <alignment horizontal="center" vertical="center" wrapText="1"/>
    </xf>
    <xf numFmtId="0" fontId="4" fillId="7" borderId="3" xfId="0" applyFont="1" applyFill="1" applyBorder="1" applyAlignment="1">
      <alignment horizontal="center" vertical="center" wrapText="1"/>
    </xf>
    <xf numFmtId="49" fontId="10" fillId="0" borderId="1" xfId="0" applyNumberFormat="1" applyFont="1" applyBorder="1" applyAlignment="1">
      <alignment horizontal="right" vertical="center" readingOrder="1"/>
    </xf>
    <xf numFmtId="49" fontId="10" fillId="0" borderId="8" xfId="0" applyNumberFormat="1" applyFont="1" applyBorder="1" applyAlignment="1">
      <alignment horizontal="center" vertical="center" readingOrder="1"/>
    </xf>
    <xf numFmtId="49" fontId="10" fillId="0" borderId="11" xfId="0" applyNumberFormat="1" applyFont="1" applyBorder="1" applyAlignment="1">
      <alignment horizontal="center" vertical="center" readingOrder="1"/>
    </xf>
    <xf numFmtId="49" fontId="2" fillId="0" borderId="13" xfId="0" applyNumberFormat="1" applyFont="1" applyBorder="1" applyAlignment="1">
      <alignment horizontal="left" vertical="center" wrapText="1"/>
    </xf>
    <xf numFmtId="14" fontId="0" fillId="0" borderId="0" xfId="0" applyNumberFormat="1" applyAlignment="1">
      <alignment horizontal="center"/>
    </xf>
    <xf numFmtId="0" fontId="10" fillId="0" borderId="5" xfId="0" applyFont="1" applyBorder="1" applyAlignment="1">
      <alignment horizontal="center" vertical="center" readingOrder="1"/>
    </xf>
    <xf numFmtId="0" fontId="10" fillId="0" borderId="9" xfId="0" applyFont="1" applyBorder="1" applyAlignment="1">
      <alignment horizontal="center" vertical="center" readingOrder="1"/>
    </xf>
    <xf numFmtId="0" fontId="0" fillId="0" borderId="6" xfId="0" applyBorder="1" applyAlignment="1">
      <alignment horizontal="center" vertical="center"/>
    </xf>
    <xf numFmtId="0" fontId="0" fillId="0" borderId="2" xfId="0" applyBorder="1" applyAlignment="1">
      <alignment horizontal="center" vertical="center"/>
    </xf>
    <xf numFmtId="49" fontId="2" fillId="7" borderId="13" xfId="0" applyNumberFormat="1" applyFont="1" applyFill="1" applyBorder="1" applyAlignment="1">
      <alignment horizontal="left" vertical="center" wrapText="1"/>
    </xf>
    <xf numFmtId="0" fontId="0" fillId="7" borderId="13" xfId="0" applyFill="1" applyBorder="1" applyAlignment="1">
      <alignment vertical="center" wrapText="1"/>
    </xf>
    <xf numFmtId="0" fontId="2" fillId="7" borderId="1" xfId="0" applyFont="1" applyFill="1" applyBorder="1" applyAlignment="1">
      <alignment vertical="center" wrapText="1"/>
    </xf>
    <xf numFmtId="0" fontId="15" fillId="11" borderId="1" xfId="0" applyFont="1" applyFill="1" applyBorder="1" applyAlignment="1">
      <alignment horizontal="center"/>
    </xf>
    <xf numFmtId="0" fontId="0" fillId="0" borderId="3" xfId="0" applyBorder="1" applyAlignment="1">
      <alignment horizontal="center" vertical="center"/>
    </xf>
    <xf numFmtId="0" fontId="2" fillId="0" borderId="3" xfId="0" applyFont="1" applyBorder="1" applyAlignment="1">
      <alignment horizontal="center" vertical="center"/>
    </xf>
    <xf numFmtId="0" fontId="15" fillId="11" borderId="6" xfId="0" applyFont="1" applyFill="1" applyBorder="1" applyAlignment="1">
      <alignment horizontal="center"/>
    </xf>
    <xf numFmtId="0" fontId="15" fillId="11" borderId="3" xfId="0" applyFont="1" applyFill="1" applyBorder="1" applyAlignment="1">
      <alignment horizontal="center"/>
    </xf>
    <xf numFmtId="0" fontId="1" fillId="2" borderId="6"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9" fillId="8" borderId="1" xfId="1" applyFill="1" applyBorder="1"/>
    <xf numFmtId="0" fontId="4" fillId="8" borderId="1" xfId="0" applyFont="1" applyFill="1" applyBorder="1"/>
    <xf numFmtId="0" fontId="2" fillId="7"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xf>
    <xf numFmtId="15" fontId="4" fillId="7" borderId="1" xfId="0" applyNumberFormat="1" applyFont="1" applyFill="1" applyBorder="1" applyAlignment="1">
      <alignment horizontal="center" vertical="center"/>
    </xf>
    <xf numFmtId="0" fontId="4" fillId="0" borderId="6" xfId="0" applyFont="1" applyBorder="1" applyAlignment="1">
      <alignment horizontal="center" vertical="center"/>
    </xf>
    <xf numFmtId="49" fontId="0" fillId="0" borderId="1" xfId="0" applyNumberFormat="1" applyBorder="1" applyAlignment="1">
      <alignment horizontal="center" vertical="center"/>
    </xf>
    <xf numFmtId="0" fontId="2" fillId="0" borderId="3" xfId="0" applyFont="1" applyBorder="1" applyAlignment="1">
      <alignment vertical="center"/>
    </xf>
    <xf numFmtId="49" fontId="2" fillId="0" borderId="3" xfId="0" applyNumberFormat="1" applyFont="1" applyBorder="1" applyAlignment="1">
      <alignment horizontal="center" vertical="center"/>
    </xf>
    <xf numFmtId="49" fontId="2" fillId="0" borderId="12" xfId="0" applyNumberFormat="1" applyFont="1" applyBorder="1" applyAlignment="1">
      <alignment horizontal="left" vertical="center" wrapText="1"/>
    </xf>
    <xf numFmtId="0" fontId="0" fillId="0" borderId="12" xfId="0" applyBorder="1" applyAlignment="1">
      <alignment vertical="center" wrapText="1"/>
    </xf>
    <xf numFmtId="0" fontId="0" fillId="0" borderId="3" xfId="0" applyBorder="1" applyAlignment="1">
      <alignment vertical="center" wrapText="1"/>
    </xf>
    <xf numFmtId="0" fontId="0" fillId="9" borderId="0" xfId="0" applyFill="1"/>
    <xf numFmtId="14" fontId="0" fillId="0" borderId="0" xfId="0" applyNumberFormat="1"/>
    <xf numFmtId="0" fontId="0" fillId="10" borderId="0" xfId="0" applyFill="1"/>
    <xf numFmtId="0" fontId="9" fillId="0" borderId="0" xfId="1" applyAlignment="1"/>
    <xf numFmtId="0" fontId="0" fillId="0" borderId="7" xfId="0" applyBorder="1" applyAlignment="1">
      <alignment vertical="center"/>
    </xf>
    <xf numFmtId="0" fontId="12" fillId="0" borderId="5" xfId="0" applyFont="1" applyBorder="1" applyAlignment="1">
      <alignment horizontal="center" vertical="center" wrapText="1"/>
    </xf>
    <xf numFmtId="49" fontId="0" fillId="0" borderId="3" xfId="0" applyNumberFormat="1" applyBorder="1" applyAlignment="1">
      <alignment horizontal="center" vertical="center"/>
    </xf>
    <xf numFmtId="49" fontId="0" fillId="0" borderId="3" xfId="0" applyNumberFormat="1" applyBorder="1" applyAlignment="1">
      <alignment horizontal="left" vertical="center" wrapText="1"/>
    </xf>
    <xf numFmtId="0" fontId="0" fillId="0" borderId="3" xfId="0" applyBorder="1" applyAlignment="1">
      <alignment vertical="center"/>
    </xf>
    <xf numFmtId="0" fontId="3" fillId="2" borderId="3" xfId="0" applyFont="1" applyFill="1" applyBorder="1" applyAlignment="1">
      <alignment horizontal="center" vertical="center" wrapText="1"/>
    </xf>
    <xf numFmtId="0" fontId="9" fillId="7" borderId="1" xfId="1" applyFill="1" applyBorder="1" applyAlignment="1">
      <alignment wrapText="1"/>
    </xf>
    <xf numFmtId="0" fontId="0" fillId="7" borderId="1" xfId="0" applyFill="1" applyBorder="1" applyAlignment="1">
      <alignment horizontal="center" vertical="center" wrapText="1"/>
    </xf>
    <xf numFmtId="0" fontId="0" fillId="8" borderId="0" xfId="0" applyFill="1"/>
    <xf numFmtId="14" fontId="2" fillId="7" borderId="1" xfId="0" applyNumberFormat="1" applyFont="1" applyFill="1" applyBorder="1" applyAlignment="1">
      <alignment vertical="center" wrapText="1"/>
    </xf>
    <xf numFmtId="0" fontId="0" fillId="7" borderId="3" xfId="0" applyFill="1" applyBorder="1" applyAlignment="1">
      <alignment horizontal="center" vertical="center" wrapText="1"/>
    </xf>
    <xf numFmtId="0" fontId="12" fillId="7" borderId="3" xfId="0" applyFont="1" applyFill="1" applyBorder="1" applyAlignment="1">
      <alignment horizontal="center" vertical="center" wrapText="1"/>
    </xf>
    <xf numFmtId="14" fontId="2" fillId="7" borderId="3" xfId="0" applyNumberFormat="1" applyFont="1" applyFill="1" applyBorder="1" applyAlignment="1">
      <alignment vertical="center" wrapText="1"/>
    </xf>
    <xf numFmtId="0" fontId="2" fillId="7" borderId="3" xfId="0" applyFont="1" applyFill="1" applyBorder="1" applyAlignment="1">
      <alignment horizontal="center" vertical="center" wrapText="1"/>
    </xf>
    <xf numFmtId="15" fontId="4" fillId="7" borderId="3" xfId="0" applyNumberFormat="1" applyFont="1" applyFill="1" applyBorder="1" applyAlignment="1">
      <alignment horizontal="center" vertical="center"/>
    </xf>
    <xf numFmtId="0" fontId="2" fillId="0" borderId="14" xfId="0" applyFont="1" applyBorder="1" applyAlignment="1">
      <alignment vertical="center"/>
    </xf>
    <xf numFmtId="0" fontId="0" fillId="0" borderId="16" xfId="0" applyBorder="1" applyAlignment="1">
      <alignment vertical="center" wrapText="1"/>
    </xf>
    <xf numFmtId="0" fontId="0" fillId="0" borderId="2" xfId="0" applyBorder="1" applyAlignment="1">
      <alignment vertical="center" wrapText="1"/>
    </xf>
    <xf numFmtId="0" fontId="2" fillId="0" borderId="15" xfId="0" applyFont="1" applyBorder="1" applyAlignment="1">
      <alignment vertical="center"/>
    </xf>
    <xf numFmtId="0" fontId="0" fillId="0" borderId="17" xfId="0" applyBorder="1" applyAlignment="1">
      <alignment vertical="center" wrapText="1"/>
    </xf>
    <xf numFmtId="0" fontId="2" fillId="0" borderId="2" xfId="0" applyFont="1" applyBorder="1" applyAlignment="1">
      <alignment vertical="center"/>
    </xf>
    <xf numFmtId="0" fontId="0" fillId="0" borderId="1" xfId="0" applyBorder="1" applyAlignment="1">
      <alignment horizontal="center" vertical="center" wrapText="1"/>
    </xf>
    <xf numFmtId="0" fontId="4" fillId="7" borderId="3" xfId="0" applyFont="1" applyFill="1" applyBorder="1" applyAlignment="1">
      <alignment horizontal="center" vertical="center"/>
    </xf>
    <xf numFmtId="49" fontId="0" fillId="0" borderId="8" xfId="0" applyNumberFormat="1" applyBorder="1" applyAlignment="1">
      <alignment horizontal="left" vertical="center" wrapText="1"/>
    </xf>
    <xf numFmtId="49" fontId="0" fillId="0" borderId="16" xfId="0" applyNumberFormat="1" applyBorder="1" applyAlignment="1">
      <alignment horizontal="left" vertical="center" wrapText="1"/>
    </xf>
    <xf numFmtId="15" fontId="0" fillId="7" borderId="1" xfId="0" applyNumberFormat="1" applyFill="1" applyBorder="1" applyAlignment="1">
      <alignment horizontal="center" vertical="center"/>
    </xf>
    <xf numFmtId="15" fontId="4" fillId="7" borderId="10" xfId="0" applyNumberFormat="1" applyFont="1" applyFill="1" applyBorder="1" applyAlignment="1">
      <alignment horizontal="center" vertical="center"/>
    </xf>
    <xf numFmtId="0" fontId="10" fillId="0" borderId="6" xfId="0" applyFont="1" applyBorder="1" applyAlignment="1">
      <alignment horizontal="center" vertical="center"/>
    </xf>
    <xf numFmtId="15" fontId="4" fillId="7" borderId="14" xfId="0" applyNumberFormat="1" applyFont="1" applyFill="1" applyBorder="1" applyAlignment="1">
      <alignment horizontal="center" vertical="center"/>
    </xf>
    <xf numFmtId="15" fontId="0" fillId="0" borderId="0" xfId="0" applyNumberFormat="1" applyAlignment="1">
      <alignment vertical="center"/>
    </xf>
    <xf numFmtId="0" fontId="0" fillId="0" borderId="5" xfId="0" applyBorder="1" applyAlignment="1">
      <alignment vertical="center" wrapText="1"/>
    </xf>
    <xf numFmtId="49" fontId="0" fillId="0" borderId="10" xfId="0" applyNumberFormat="1" applyBorder="1" applyAlignment="1">
      <alignment horizontal="left" vertical="center" wrapText="1"/>
    </xf>
    <xf numFmtId="0" fontId="0" fillId="0" borderId="10" xfId="0" applyBorder="1" applyAlignment="1">
      <alignment vertical="center" wrapText="1"/>
    </xf>
    <xf numFmtId="0" fontId="2" fillId="0" borderId="18" xfId="0" applyFont="1" applyBorder="1" applyAlignment="1">
      <alignment vertical="center"/>
    </xf>
    <xf numFmtId="49" fontId="0" fillId="0" borderId="6" xfId="0" applyNumberFormat="1" applyBorder="1" applyAlignment="1">
      <alignment horizontal="left" vertical="center" wrapText="1"/>
    </xf>
    <xf numFmtId="0" fontId="1" fillId="2" borderId="14" xfId="0" applyFont="1" applyFill="1" applyBorder="1" applyAlignment="1">
      <alignment horizontal="center" vertical="center" wrapText="1"/>
    </xf>
    <xf numFmtId="0" fontId="0" fillId="0" borderId="12" xfId="0" applyBorder="1" applyAlignment="1">
      <alignment horizontal="center" vertical="center"/>
    </xf>
    <xf numFmtId="0" fontId="0" fillId="0" borderId="14" xfId="0" applyBorder="1" applyAlignment="1">
      <alignment horizontal="center" vertical="center"/>
    </xf>
    <xf numFmtId="14" fontId="2" fillId="7" borderId="5" xfId="0" applyNumberFormat="1" applyFont="1" applyFill="1" applyBorder="1" applyAlignment="1">
      <alignment vertical="center" wrapText="1"/>
    </xf>
    <xf numFmtId="0" fontId="9" fillId="0" borderId="1" xfId="1" applyBorder="1" applyAlignment="1">
      <alignment wrapText="1"/>
    </xf>
    <xf numFmtId="0" fontId="4" fillId="12" borderId="1" xfId="0" applyFont="1" applyFill="1" applyBorder="1" applyAlignment="1">
      <alignment horizontal="center" vertical="center" wrapText="1"/>
    </xf>
    <xf numFmtId="0" fontId="0" fillId="7" borderId="6" xfId="0" applyFill="1" applyBorder="1" applyAlignment="1">
      <alignment horizontal="center" vertical="center" wrapText="1"/>
    </xf>
    <xf numFmtId="0" fontId="10" fillId="0" borderId="5" xfId="0" applyFont="1" applyBorder="1" applyAlignment="1">
      <alignment horizontal="center" vertical="center"/>
    </xf>
    <xf numFmtId="0" fontId="0" fillId="0" borderId="19" xfId="0" applyBorder="1" applyAlignment="1">
      <alignment horizontal="center" vertical="center"/>
    </xf>
    <xf numFmtId="0" fontId="0" fillId="7" borderId="8" xfId="0" applyFill="1" applyBorder="1" applyAlignment="1">
      <alignment horizontal="center" vertical="center" wrapText="1"/>
    </xf>
    <xf numFmtId="0" fontId="9" fillId="0" borderId="14" xfId="1" applyBorder="1" applyAlignment="1">
      <alignment wrapText="1"/>
    </xf>
    <xf numFmtId="15" fontId="4" fillId="7" borderId="8" xfId="0" applyNumberFormat="1" applyFont="1" applyFill="1" applyBorder="1" applyAlignment="1">
      <alignment horizontal="center" vertical="center"/>
    </xf>
    <xf numFmtId="0" fontId="0" fillId="0" borderId="3" xfId="0" applyBorder="1" applyAlignment="1">
      <alignment horizontal="left" wrapText="1"/>
    </xf>
    <xf numFmtId="0" fontId="4" fillId="7" borderId="6" xfId="0" applyFont="1" applyFill="1" applyBorder="1" applyAlignment="1">
      <alignment horizontal="center" vertical="center" wrapText="1"/>
    </xf>
    <xf numFmtId="0" fontId="0" fillId="7" borderId="14" xfId="0" applyFill="1" applyBorder="1" applyAlignment="1">
      <alignment horizontal="center" vertical="center" wrapText="1"/>
    </xf>
    <xf numFmtId="0" fontId="0" fillId="7" borderId="13" xfId="0" applyFill="1" applyBorder="1" applyAlignment="1">
      <alignment horizontal="center" vertical="center" wrapText="1"/>
    </xf>
    <xf numFmtId="0" fontId="9" fillId="0" borderId="1" xfId="1" applyBorder="1" applyAlignment="1">
      <alignment horizontal="left" wrapText="1"/>
    </xf>
    <xf numFmtId="49" fontId="0" fillId="0" borderId="1" xfId="0" applyNumberFormat="1" applyBorder="1" applyAlignment="1">
      <alignment horizontal="center" vertical="center" wrapText="1"/>
    </xf>
    <xf numFmtId="0" fontId="12" fillId="7"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wrapText="1"/>
    </xf>
    <xf numFmtId="0" fontId="0" fillId="0" borderId="1" xfId="0" applyBorder="1" applyAlignment="1">
      <alignment horizontal="center" vertical="top" wrapText="1"/>
    </xf>
    <xf numFmtId="0" fontId="9" fillId="0" borderId="0" xfId="1" applyAlignment="1">
      <alignment wrapText="1"/>
    </xf>
    <xf numFmtId="15" fontId="0" fillId="7" borderId="1" xfId="0" applyNumberFormat="1" applyFill="1" applyBorder="1" applyAlignment="1">
      <alignment horizontal="center" vertical="center" wrapText="1"/>
    </xf>
    <xf numFmtId="15" fontId="0" fillId="0" borderId="1" xfId="0" applyNumberFormat="1" applyBorder="1"/>
    <xf numFmtId="0" fontId="0" fillId="0" borderId="5" xfId="0" applyBorder="1" applyAlignment="1">
      <alignment horizontal="center" vertical="center"/>
    </xf>
    <xf numFmtId="0" fontId="4" fillId="1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0" borderId="20" xfId="0" applyFont="1" applyBorder="1" applyAlignment="1">
      <alignment vertical="center"/>
    </xf>
    <xf numFmtId="0" fontId="4" fillId="13" borderId="1" xfId="0" applyFont="1" applyFill="1" applyBorder="1" applyAlignment="1">
      <alignment horizontal="center" vertical="center" wrapText="1"/>
    </xf>
    <xf numFmtId="0" fontId="4" fillId="13"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12" fillId="0" borderId="1" xfId="0" applyFont="1" applyBorder="1" applyAlignment="1">
      <alignment horizontal="center" vertical="center" wrapText="1"/>
    </xf>
    <xf numFmtId="14" fontId="2" fillId="0" borderId="1" xfId="0" applyNumberFormat="1" applyFont="1" applyBorder="1" applyAlignment="1">
      <alignment vertical="center" wrapText="1"/>
    </xf>
    <xf numFmtId="0" fontId="2" fillId="0" borderId="1"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3" xfId="0" applyFont="1" applyBorder="1" applyAlignment="1">
      <alignment horizontal="center" vertical="center" wrapText="1"/>
    </xf>
    <xf numFmtId="0" fontId="2" fillId="0" borderId="3" xfId="0" applyFont="1" applyBorder="1" applyAlignment="1">
      <alignment horizontal="center" vertical="center" wrapText="1"/>
    </xf>
    <xf numFmtId="14" fontId="0" fillId="7" borderId="1" xfId="0" applyNumberFormat="1" applyFill="1" applyBorder="1" applyAlignment="1">
      <alignment horizontal="center" vertical="center" wrapText="1"/>
    </xf>
    <xf numFmtId="0" fontId="1" fillId="2" borderId="3" xfId="0" applyFont="1" applyFill="1" applyBorder="1" applyAlignment="1">
      <alignment wrapText="1"/>
    </xf>
    <xf numFmtId="0" fontId="1" fillId="5" borderId="3" xfId="0" applyFont="1" applyFill="1" applyBorder="1" applyAlignment="1">
      <alignment horizontal="center" wrapText="1"/>
    </xf>
    <xf numFmtId="0" fontId="1" fillId="3" borderId="3" xfId="0" applyFont="1" applyFill="1" applyBorder="1" applyAlignment="1">
      <alignment horizontal="center" wrapText="1"/>
    </xf>
    <xf numFmtId="0" fontId="17" fillId="0" borderId="1" xfId="0" applyFont="1" applyBorder="1" applyAlignment="1">
      <alignment horizontal="center" vertical="center" wrapText="1"/>
    </xf>
    <xf numFmtId="15" fontId="0" fillId="0" borderId="1" xfId="0" applyNumberFormat="1" applyBorder="1" applyAlignment="1">
      <alignment horizontal="center" vertical="center" wrapText="1"/>
    </xf>
    <xf numFmtId="0" fontId="4" fillId="0" borderId="6" xfId="0" applyFont="1" applyBorder="1" applyAlignment="1">
      <alignment horizontal="center" vertical="center" wrapText="1"/>
    </xf>
    <xf numFmtId="0" fontId="4" fillId="0" borderId="14" xfId="0" applyFont="1" applyBorder="1" applyAlignment="1">
      <alignment horizontal="center" vertical="center" wrapText="1"/>
    </xf>
    <xf numFmtId="49" fontId="0" fillId="0" borderId="9" xfId="0" applyNumberFormat="1" applyBorder="1" applyAlignment="1">
      <alignment horizontal="center" vertical="center" wrapText="1"/>
    </xf>
    <xf numFmtId="0" fontId="19" fillId="0" borderId="0" xfId="0" applyFont="1" applyAlignment="1">
      <alignment wrapText="1"/>
    </xf>
    <xf numFmtId="15" fontId="0" fillId="0" borderId="3" xfId="0" applyNumberFormat="1" applyBorder="1" applyAlignment="1">
      <alignment horizontal="center" vertical="center" wrapText="1"/>
    </xf>
    <xf numFmtId="49" fontId="2" fillId="0" borderId="12" xfId="0" applyNumberFormat="1" applyFont="1" applyBorder="1" applyAlignment="1">
      <alignment horizontal="center" vertical="center"/>
    </xf>
    <xf numFmtId="49" fontId="0" fillId="0" borderId="10" xfId="0" applyNumberFormat="1" applyBorder="1" applyAlignment="1">
      <alignment horizontal="center" vertical="center"/>
    </xf>
    <xf numFmtId="49" fontId="0" fillId="0" borderId="6" xfId="0" applyNumberFormat="1" applyBorder="1" applyAlignment="1">
      <alignment horizontal="center" vertical="center" wrapText="1"/>
    </xf>
    <xf numFmtId="49" fontId="0" fillId="0" borderId="14" xfId="0" applyNumberFormat="1" applyBorder="1" applyAlignment="1">
      <alignment horizontal="center" vertical="center"/>
    </xf>
    <xf numFmtId="49" fontId="0" fillId="0" borderId="6" xfId="0" applyNumberFormat="1" applyBorder="1" applyAlignment="1">
      <alignment horizontal="center" vertical="center"/>
    </xf>
    <xf numFmtId="49" fontId="0" fillId="0" borderId="13" xfId="0" applyNumberFormat="1" applyBorder="1" applyAlignment="1">
      <alignment horizontal="center" vertical="center"/>
    </xf>
    <xf numFmtId="49" fontId="0" fillId="0" borderId="4" xfId="0" applyNumberFormat="1" applyBorder="1" applyAlignment="1">
      <alignment horizontal="left" vertical="center" wrapText="1"/>
    </xf>
    <xf numFmtId="0" fontId="4" fillId="0" borderId="5" xfId="0" applyFont="1" applyBorder="1" applyAlignment="1">
      <alignment horizontal="center" vertical="center"/>
    </xf>
    <xf numFmtId="0" fontId="0" fillId="0" borderId="6" xfId="0" applyBorder="1" applyAlignment="1">
      <alignment horizontal="center" vertical="center" wrapText="1"/>
    </xf>
    <xf numFmtId="0" fontId="0" fillId="0" borderId="14" xfId="0" applyBorder="1" applyAlignment="1">
      <alignment horizontal="center" vertical="center" wrapText="1"/>
    </xf>
    <xf numFmtId="0" fontId="12" fillId="9" borderId="1"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4" fillId="15" borderId="3" xfId="0" applyFont="1" applyFill="1" applyBorder="1" applyAlignment="1">
      <alignment horizontal="center" vertical="center" wrapText="1"/>
    </xf>
    <xf numFmtId="0" fontId="14" fillId="15" borderId="6" xfId="0" applyFont="1" applyFill="1" applyBorder="1" applyAlignment="1">
      <alignment horizontal="center" vertical="center"/>
    </xf>
    <xf numFmtId="15" fontId="0" fillId="0" borderId="6" xfId="0" applyNumberFormat="1" applyBorder="1"/>
    <xf numFmtId="0" fontId="0" fillId="7" borderId="5" xfId="0" applyFill="1" applyBorder="1" applyAlignment="1">
      <alignment horizontal="center" vertical="center" wrapText="1"/>
    </xf>
    <xf numFmtId="15" fontId="0" fillId="0" borderId="14" xfId="0" applyNumberFormat="1" applyBorder="1" applyAlignment="1">
      <alignment horizontal="center" vertical="center" wrapText="1"/>
    </xf>
    <xf numFmtId="0" fontId="2" fillId="0" borderId="6" xfId="0" applyFont="1" applyBorder="1" applyAlignment="1">
      <alignment horizontal="center" vertical="center" wrapText="1"/>
    </xf>
    <xf numFmtId="0" fontId="0" fillId="7" borderId="0" xfId="0" applyFill="1"/>
    <xf numFmtId="14" fontId="0" fillId="7" borderId="0" xfId="0" applyNumberFormat="1" applyFill="1"/>
    <xf numFmtId="0" fontId="0" fillId="7" borderId="0" xfId="0" applyFill="1" applyAlignment="1">
      <alignment horizontal="center"/>
    </xf>
    <xf numFmtId="0" fontId="10" fillId="7" borderId="1" xfId="0" applyFont="1" applyFill="1" applyBorder="1" applyAlignment="1">
      <alignment vertical="center" readingOrder="1"/>
    </xf>
    <xf numFmtId="14" fontId="10" fillId="7" borderId="5" xfId="0" applyNumberFormat="1" applyFont="1" applyFill="1" applyBorder="1" applyAlignment="1">
      <alignment vertical="center" readingOrder="1"/>
    </xf>
    <xf numFmtId="0" fontId="10" fillId="7" borderId="5" xfId="0" applyFont="1" applyFill="1" applyBorder="1" applyAlignment="1">
      <alignment horizontal="center" vertical="center" readingOrder="1"/>
    </xf>
    <xf numFmtId="0" fontId="10" fillId="7" borderId="2" xfId="0" applyFont="1" applyFill="1" applyBorder="1" applyAlignment="1">
      <alignment vertical="center" readingOrder="1"/>
    </xf>
    <xf numFmtId="14" fontId="10" fillId="7" borderId="4" xfId="0" applyNumberFormat="1" applyFont="1" applyFill="1" applyBorder="1" applyAlignment="1">
      <alignment vertical="center" readingOrder="1"/>
    </xf>
    <xf numFmtId="0" fontId="10" fillId="7" borderId="4" xfId="0" applyFont="1" applyFill="1" applyBorder="1" applyAlignment="1">
      <alignment horizontal="center" vertical="center" readingOrder="1"/>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2" fillId="7" borderId="1" xfId="0" applyFont="1" applyFill="1" applyBorder="1" applyAlignment="1">
      <alignment horizontal="center" vertical="center"/>
    </xf>
    <xf numFmtId="0" fontId="2" fillId="7" borderId="3" xfId="0" applyFont="1" applyFill="1" applyBorder="1" applyAlignment="1">
      <alignment vertical="center"/>
    </xf>
    <xf numFmtId="14" fontId="2" fillId="7" borderId="3" xfId="0" applyNumberFormat="1" applyFont="1" applyFill="1" applyBorder="1" applyAlignment="1">
      <alignment vertical="center"/>
    </xf>
    <xf numFmtId="0" fontId="2" fillId="7" borderId="3" xfId="0" applyFont="1" applyFill="1" applyBorder="1" applyAlignment="1">
      <alignment horizontal="center" vertical="center"/>
    </xf>
    <xf numFmtId="0" fontId="0" fillId="7" borderId="11" xfId="0" applyFill="1" applyBorder="1" applyAlignment="1">
      <alignment vertical="center"/>
    </xf>
    <xf numFmtId="0" fontId="0" fillId="7" borderId="8" xfId="0" applyFill="1" applyBorder="1" applyAlignment="1">
      <alignment horizontal="center" vertical="center"/>
    </xf>
    <xf numFmtId="0" fontId="0" fillId="7" borderId="3" xfId="0" applyFill="1" applyBorder="1" applyAlignment="1">
      <alignment vertical="center"/>
    </xf>
    <xf numFmtId="0" fontId="0" fillId="7" borderId="3" xfId="0" applyFill="1" applyBorder="1" applyAlignment="1">
      <alignment horizontal="center" vertical="center"/>
    </xf>
    <xf numFmtId="0" fontId="0" fillId="7" borderId="1" xfId="0" applyFill="1" applyBorder="1" applyAlignment="1">
      <alignment vertical="center"/>
    </xf>
    <xf numFmtId="0" fontId="0" fillId="7" borderId="1" xfId="0" applyFill="1" applyBorder="1" applyAlignment="1">
      <alignment horizontal="center" vertical="center"/>
    </xf>
    <xf numFmtId="0" fontId="0" fillId="7" borderId="2" xfId="0" applyFill="1" applyBorder="1" applyAlignment="1">
      <alignment vertical="center"/>
    </xf>
    <xf numFmtId="14" fontId="2" fillId="7" borderId="2" xfId="0" applyNumberFormat="1" applyFont="1" applyFill="1" applyBorder="1" applyAlignment="1">
      <alignment vertical="center"/>
    </xf>
    <xf numFmtId="0" fontId="0" fillId="7" borderId="2"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vertical="center"/>
    </xf>
    <xf numFmtId="0" fontId="0" fillId="7" borderId="0" xfId="0" applyFill="1" applyAlignment="1">
      <alignment horizontal="center" vertical="center"/>
    </xf>
    <xf numFmtId="49" fontId="0" fillId="7" borderId="1" xfId="0" applyNumberFormat="1" applyFill="1" applyBorder="1" applyAlignment="1">
      <alignment horizontal="center" vertical="center" wrapText="1"/>
    </xf>
    <xf numFmtId="49" fontId="0" fillId="7" borderId="14" xfId="0" applyNumberFormat="1" applyFill="1" applyBorder="1" applyAlignment="1">
      <alignment horizontal="center" vertical="center" wrapText="1"/>
    </xf>
    <xf numFmtId="49" fontId="0" fillId="7" borderId="14" xfId="0" applyNumberFormat="1" applyFill="1" applyBorder="1" applyAlignment="1">
      <alignment horizontal="left" vertical="center" wrapText="1"/>
    </xf>
    <xf numFmtId="0" fontId="0" fillId="7" borderId="1" xfId="0" applyFill="1" applyBorder="1" applyAlignment="1">
      <alignment vertical="center" wrapText="1"/>
    </xf>
    <xf numFmtId="0" fontId="0" fillId="7" borderId="5" xfId="0" applyFill="1" applyBorder="1" applyAlignment="1">
      <alignment vertical="center" wrapText="1"/>
    </xf>
    <xf numFmtId="0" fontId="2" fillId="7" borderId="6" xfId="0" applyFont="1" applyFill="1" applyBorder="1" applyAlignment="1">
      <alignment vertical="center"/>
    </xf>
    <xf numFmtId="49" fontId="0" fillId="7" borderId="3" xfId="0" applyNumberFormat="1" applyFill="1" applyBorder="1" applyAlignment="1">
      <alignment horizontal="left" vertical="center" wrapText="1"/>
    </xf>
    <xf numFmtId="0" fontId="2" fillId="8" borderId="1" xfId="0" applyFont="1" applyFill="1" applyBorder="1" applyAlignment="1">
      <alignment vertical="center"/>
    </xf>
    <xf numFmtId="0" fontId="0" fillId="8" borderId="1" xfId="0" applyFill="1" applyBorder="1" applyAlignment="1">
      <alignment vertical="center"/>
    </xf>
    <xf numFmtId="14" fontId="2" fillId="8" borderId="1" xfId="0" applyNumberFormat="1" applyFont="1" applyFill="1" applyBorder="1" applyAlignment="1">
      <alignment vertical="center"/>
    </xf>
    <xf numFmtId="0" fontId="0" fillId="8" borderId="5" xfId="0" applyFill="1" applyBorder="1" applyAlignment="1">
      <alignment horizontal="center" vertical="center"/>
    </xf>
    <xf numFmtId="0" fontId="0" fillId="8" borderId="1" xfId="0" applyFill="1" applyBorder="1" applyAlignment="1">
      <alignment horizontal="center" vertical="center"/>
    </xf>
    <xf numFmtId="49" fontId="0" fillId="8" borderId="1" xfId="0" applyNumberFormat="1" applyFill="1" applyBorder="1" applyAlignment="1">
      <alignment horizontal="center" vertical="center" wrapText="1"/>
    </xf>
    <xf numFmtId="49" fontId="0" fillId="8" borderId="9" xfId="0" applyNumberFormat="1" applyFill="1" applyBorder="1" applyAlignment="1">
      <alignment horizontal="center" vertical="center" wrapText="1"/>
    </xf>
    <xf numFmtId="0" fontId="0" fillId="8" borderId="5" xfId="0" applyFill="1" applyBorder="1" applyAlignment="1">
      <alignment vertical="center" wrapText="1"/>
    </xf>
    <xf numFmtId="0" fontId="2" fillId="8" borderId="6" xfId="0" applyFont="1" applyFill="1" applyBorder="1" applyAlignment="1">
      <alignment vertical="center"/>
    </xf>
    <xf numFmtId="0" fontId="0" fillId="8" borderId="0" xfId="0" applyFill="1" applyAlignment="1">
      <alignment vertical="center"/>
    </xf>
    <xf numFmtId="49" fontId="0" fillId="7" borderId="9" xfId="0" applyNumberFormat="1" applyFill="1" applyBorder="1" applyAlignment="1">
      <alignment horizontal="center" vertical="center" wrapText="1"/>
    </xf>
    <xf numFmtId="49" fontId="0" fillId="7" borderId="3" xfId="0" applyNumberFormat="1" applyFill="1" applyBorder="1" applyAlignment="1">
      <alignment horizontal="center" vertical="center" wrapText="1"/>
    </xf>
    <xf numFmtId="0" fontId="4" fillId="16" borderId="3" xfId="0" applyFont="1" applyFill="1" applyBorder="1" applyAlignment="1">
      <alignment horizontal="center" vertical="center" wrapText="1"/>
    </xf>
    <xf numFmtId="0" fontId="0" fillId="0" borderId="5" xfId="0" applyBorder="1"/>
    <xf numFmtId="15" fontId="0" fillId="0" borderId="8" xfId="0" applyNumberFormat="1" applyBorder="1" applyAlignment="1">
      <alignment horizontal="center" vertical="center" wrapText="1"/>
    </xf>
    <xf numFmtId="0" fontId="4" fillId="7" borderId="6" xfId="0" applyFont="1" applyFill="1" applyBorder="1" applyAlignment="1">
      <alignment horizontal="center" vertical="center"/>
    </xf>
    <xf numFmtId="0" fontId="0" fillId="0" borderId="5" xfId="0" applyBorder="1" applyAlignment="1">
      <alignment horizontal="center" vertical="center" wrapText="1"/>
    </xf>
    <xf numFmtId="0" fontId="10" fillId="0" borderId="1" xfId="0" applyFont="1" applyBorder="1"/>
    <xf numFmtId="0" fontId="4" fillId="17" borderId="6" xfId="0" applyFont="1" applyFill="1" applyBorder="1" applyAlignment="1">
      <alignment horizontal="center" vertical="center" wrapText="1"/>
    </xf>
    <xf numFmtId="15" fontId="0" fillId="0" borderId="11" xfId="0" applyNumberFormat="1" applyBorder="1" applyAlignment="1">
      <alignment horizontal="center" vertical="center" wrapText="1"/>
    </xf>
    <xf numFmtId="0" fontId="4" fillId="17" borderId="3" xfId="0" applyFont="1" applyFill="1" applyBorder="1" applyAlignment="1">
      <alignment horizontal="center" vertical="center" wrapText="1"/>
    </xf>
    <xf numFmtId="0" fontId="0" fillId="0" borderId="8" xfId="0" applyBorder="1" applyAlignment="1">
      <alignment horizontal="center" vertical="center" wrapText="1"/>
    </xf>
    <xf numFmtId="0" fontId="4" fillId="17" borderId="1" xfId="0" applyFont="1" applyFill="1" applyBorder="1" applyAlignment="1">
      <alignment horizontal="center" vertical="center" wrapText="1"/>
    </xf>
    <xf numFmtId="0" fontId="4" fillId="17" borderId="1" xfId="0" applyFont="1" applyFill="1" applyBorder="1" applyAlignment="1">
      <alignment horizontal="center" vertical="center"/>
    </xf>
    <xf numFmtId="0" fontId="0" fillId="0" borderId="14" xfId="0" applyBorder="1"/>
    <xf numFmtId="0" fontId="0" fillId="0" borderId="6" xfId="0" applyBorder="1"/>
    <xf numFmtId="0" fontId="1" fillId="3" borderId="6" xfId="0" applyFont="1" applyFill="1" applyBorder="1"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4" fillId="17" borderId="2" xfId="0" applyFont="1" applyFill="1" applyBorder="1" applyAlignment="1">
      <alignment horizontal="center" vertical="center" wrapText="1"/>
    </xf>
    <xf numFmtId="0" fontId="4" fillId="0" borderId="14" xfId="0" applyFont="1" applyBorder="1" applyAlignment="1">
      <alignment horizontal="center"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1" fillId="3" borderId="14" xfId="0" applyFont="1" applyFill="1" applyBorder="1" applyAlignment="1">
      <alignment horizontal="center" vertical="center" wrapText="1"/>
    </xf>
    <xf numFmtId="0" fontId="0" fillId="0" borderId="5" xfId="0" applyBorder="1" applyAlignment="1">
      <alignment wrapText="1"/>
    </xf>
    <xf numFmtId="0" fontId="2" fillId="0" borderId="5" xfId="0" applyFont="1" applyBorder="1" applyAlignment="1">
      <alignment horizontal="center" vertical="center" wrapText="1"/>
    </xf>
    <xf numFmtId="0" fontId="4" fillId="15" borderId="1" xfId="0" applyFont="1" applyFill="1" applyBorder="1" applyAlignment="1">
      <alignment horizontal="center" vertical="center"/>
    </xf>
    <xf numFmtId="0" fontId="4" fillId="15" borderId="3" xfId="0" applyFont="1" applyFill="1" applyBorder="1" applyAlignment="1">
      <alignment horizontal="center" vertical="center"/>
    </xf>
    <xf numFmtId="0" fontId="4" fillId="15" borderId="1" xfId="0" applyFont="1" applyFill="1" applyBorder="1" applyAlignment="1">
      <alignment horizontal="center" vertical="center" wrapText="1"/>
    </xf>
    <xf numFmtId="15" fontId="0" fillId="0" borderId="3" xfId="0" applyNumberFormat="1" applyBorder="1" applyAlignment="1">
      <alignment horizontal="center" vertical="center"/>
    </xf>
    <xf numFmtId="15" fontId="2" fillId="7" borderId="1" xfId="0" applyNumberFormat="1" applyFont="1" applyFill="1" applyBorder="1" applyAlignment="1">
      <alignment horizontal="center" vertical="center" wrapText="1"/>
    </xf>
    <xf numFmtId="15" fontId="0" fillId="0" borderId="3" xfId="0" applyNumberFormat="1" applyBorder="1"/>
    <xf numFmtId="15" fontId="0" fillId="0" borderId="1" xfId="0" applyNumberFormat="1" applyBorder="1" applyAlignment="1">
      <alignment horizontal="center" vertical="center"/>
    </xf>
    <xf numFmtId="14" fontId="2" fillId="7" borderId="3" xfId="0" applyNumberFormat="1" applyFont="1" applyFill="1" applyBorder="1" applyAlignment="1">
      <alignment horizontal="center" vertical="center" wrapText="1"/>
    </xf>
    <xf numFmtId="0" fontId="9" fillId="0" borderId="3" xfId="1" applyBorder="1" applyAlignment="1">
      <alignment horizontal="center" vertical="center" wrapText="1"/>
    </xf>
    <xf numFmtId="0" fontId="10" fillId="0" borderId="1" xfId="0" applyFont="1" applyBorder="1" applyAlignment="1">
      <alignment wrapText="1"/>
    </xf>
    <xf numFmtId="0" fontId="9" fillId="0" borderId="1" xfId="1" applyBorder="1" applyAlignment="1">
      <alignment horizontal="left" vertical="top" wrapText="1"/>
    </xf>
    <xf numFmtId="0" fontId="2" fillId="0" borderId="8" xfId="0" applyFont="1" applyBorder="1" applyAlignment="1">
      <alignment horizontal="center" vertical="center" wrapText="1"/>
    </xf>
    <xf numFmtId="0" fontId="0" fillId="0" borderId="14" xfId="0" applyBorder="1" applyAlignment="1">
      <alignment wrapText="1"/>
    </xf>
    <xf numFmtId="0" fontId="0" fillId="0" borderId="8" xfId="0" applyBorder="1" applyAlignment="1">
      <alignment wrapText="1"/>
    </xf>
    <xf numFmtId="0" fontId="20" fillId="0" borderId="3" xfId="0" applyFont="1"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xf>
    <xf numFmtId="0" fontId="21" fillId="0" borderId="5" xfId="0" applyFont="1" applyBorder="1" applyAlignment="1">
      <alignment horizontal="center" vertical="center" wrapText="1"/>
    </xf>
    <xf numFmtId="0" fontId="0" fillId="0" borderId="1" xfId="0" applyBorder="1" applyAlignment="1">
      <alignment horizontal="center" wrapText="1"/>
    </xf>
    <xf numFmtId="0" fontId="0" fillId="0" borderId="3" xfId="0" applyBorder="1" applyAlignment="1">
      <alignment horizontal="center" wrapText="1"/>
    </xf>
    <xf numFmtId="0" fontId="0" fillId="0" borderId="7" xfId="0" applyBorder="1" applyAlignment="1">
      <alignment horizontal="center" vertical="center"/>
    </xf>
    <xf numFmtId="0" fontId="0" fillId="0" borderId="2" xfId="0" applyBorder="1" applyAlignment="1">
      <alignment wrapText="1"/>
    </xf>
    <xf numFmtId="14" fontId="2" fillId="7" borderId="1" xfId="0" applyNumberFormat="1" applyFont="1" applyFill="1" applyBorder="1" applyAlignment="1">
      <alignment horizontal="center" vertical="center" wrapText="1"/>
    </xf>
    <xf numFmtId="15" fontId="0" fillId="0" borderId="3" xfId="0" applyNumberFormat="1" applyBorder="1" applyAlignment="1">
      <alignment vertical="center"/>
    </xf>
    <xf numFmtId="0" fontId="0" fillId="0" borderId="6" xfId="0" applyBorder="1" applyAlignment="1">
      <alignment wrapText="1"/>
    </xf>
    <xf numFmtId="0" fontId="4" fillId="0" borderId="5" xfId="0" applyFont="1" applyBorder="1" applyAlignment="1">
      <alignment horizontal="center" vertical="center" wrapText="1"/>
    </xf>
    <xf numFmtId="0" fontId="12" fillId="7" borderId="2" xfId="0" applyFont="1" applyFill="1" applyBorder="1" applyAlignment="1">
      <alignment horizontal="center" vertical="center" wrapText="1"/>
    </xf>
    <xf numFmtId="14" fontId="2" fillId="7" borderId="2" xfId="0" applyNumberFormat="1" applyFont="1" applyFill="1" applyBorder="1" applyAlignment="1">
      <alignment horizontal="center" vertical="center" wrapText="1"/>
    </xf>
    <xf numFmtId="0" fontId="0" fillId="0" borderId="2" xfId="0" applyBorder="1" applyAlignment="1">
      <alignment horizontal="center" vertical="center" wrapText="1"/>
    </xf>
    <xf numFmtId="0" fontId="12" fillId="0" borderId="2" xfId="0" applyFont="1" applyBorder="1" applyAlignment="1">
      <alignment horizontal="center" vertical="center" wrapText="1"/>
    </xf>
    <xf numFmtId="0" fontId="0" fillId="7" borderId="2" xfId="0" applyFill="1" applyBorder="1" applyAlignment="1">
      <alignment horizontal="center" vertical="center" wrapText="1"/>
    </xf>
    <xf numFmtId="15" fontId="0" fillId="0" borderId="2" xfId="0" applyNumberFormat="1" applyBorder="1" applyAlignment="1">
      <alignment horizontal="center" vertical="center" wrapText="1"/>
    </xf>
    <xf numFmtId="0" fontId="2" fillId="7" borderId="2" xfId="0" applyFont="1" applyFill="1" applyBorder="1" applyAlignment="1">
      <alignment horizontal="center" vertical="center" wrapText="1"/>
    </xf>
    <xf numFmtId="0" fontId="9" fillId="0" borderId="2" xfId="1" applyBorder="1" applyAlignment="1">
      <alignment horizontal="center" vertical="center" wrapText="1"/>
    </xf>
    <xf numFmtId="0" fontId="0" fillId="7" borderId="10" xfId="0" applyFill="1" applyBorder="1" applyAlignment="1">
      <alignment horizontal="center" vertical="center" wrapText="1"/>
    </xf>
    <xf numFmtId="0" fontId="2" fillId="7" borderId="10" xfId="0" applyFont="1" applyFill="1" applyBorder="1" applyAlignment="1">
      <alignment horizontal="center" vertical="center" wrapText="1"/>
    </xf>
    <xf numFmtId="0" fontId="9" fillId="0" borderId="10" xfId="1" applyBorder="1" applyAlignment="1">
      <alignment horizontal="center" vertical="center" wrapText="1"/>
    </xf>
    <xf numFmtId="15" fontId="0" fillId="0" borderId="6" xfId="0" applyNumberFormat="1" applyBorder="1" applyAlignment="1">
      <alignment horizontal="center" vertical="center" wrapText="1"/>
    </xf>
    <xf numFmtId="15" fontId="0" fillId="0" borderId="13" xfId="0" applyNumberFormat="1" applyBorder="1" applyAlignment="1">
      <alignment horizontal="center" vertical="center" wrapText="1"/>
    </xf>
    <xf numFmtId="15" fontId="0" fillId="0" borderId="5" xfId="0" applyNumberFormat="1" applyBorder="1" applyAlignment="1">
      <alignment horizontal="center" vertical="center" wrapText="1"/>
    </xf>
    <xf numFmtId="15" fontId="0" fillId="0" borderId="4" xfId="0" applyNumberFormat="1" applyBorder="1" applyAlignment="1">
      <alignment horizontal="center" vertical="center" wrapText="1"/>
    </xf>
    <xf numFmtId="0" fontId="0" fillId="7" borderId="19" xfId="0" applyFill="1" applyBorder="1" applyAlignment="1">
      <alignment horizontal="center" vertical="center" wrapText="1"/>
    </xf>
    <xf numFmtId="14" fontId="2" fillId="0" borderId="3" xfId="0" applyNumberFormat="1" applyFont="1" applyBorder="1" applyAlignment="1">
      <alignment horizontal="center" vertical="center" wrapText="1"/>
    </xf>
    <xf numFmtId="0" fontId="9" fillId="0" borderId="3" xfId="1" applyFill="1" applyBorder="1" applyAlignment="1">
      <alignment horizontal="center" vertical="center" wrapText="1"/>
    </xf>
    <xf numFmtId="14" fontId="2" fillId="0" borderId="1" xfId="0" applyNumberFormat="1" applyFont="1" applyBorder="1" applyAlignment="1">
      <alignment horizontal="center" vertical="center" wrapText="1"/>
    </xf>
    <xf numFmtId="0" fontId="22" fillId="18" borderId="3" xfId="0" applyFont="1" applyFill="1" applyBorder="1" applyAlignment="1">
      <alignment wrapText="1"/>
    </xf>
    <xf numFmtId="0" fontId="23" fillId="0" borderId="3" xfId="0" applyFont="1" applyBorder="1" applyAlignment="1">
      <alignment horizontal="center" vertical="center"/>
    </xf>
    <xf numFmtId="0" fontId="4" fillId="0" borderId="8" xfId="0" applyFont="1" applyBorder="1" applyAlignment="1">
      <alignment horizontal="center" vertical="center" wrapText="1"/>
    </xf>
    <xf numFmtId="0" fontId="9" fillId="0" borderId="0" xfId="1" applyAlignment="1">
      <alignment horizontal="center" vertical="center"/>
    </xf>
    <xf numFmtId="14" fontId="0" fillId="0" borderId="0" xfId="0" applyNumberFormat="1" applyAlignment="1">
      <alignment horizontal="center" vertical="center"/>
    </xf>
    <xf numFmtId="0" fontId="2" fillId="0" borderId="14" xfId="0" applyFont="1" applyBorder="1" applyAlignment="1">
      <alignment horizontal="center" vertical="center" wrapText="1"/>
    </xf>
    <xf numFmtId="0" fontId="21" fillId="0" borderId="1" xfId="0" applyFont="1" applyBorder="1" applyAlignment="1">
      <alignment horizontal="center" vertical="center" wrapText="1"/>
    </xf>
    <xf numFmtId="0" fontId="0" fillId="12" borderId="3" xfId="0" applyFill="1" applyBorder="1" applyAlignment="1">
      <alignment horizontal="center" wrapText="1"/>
    </xf>
    <xf numFmtId="0" fontId="0" fillId="12" borderId="1" xfId="0" applyFill="1" applyBorder="1" applyAlignment="1">
      <alignment horizontal="center" wrapText="1"/>
    </xf>
    <xf numFmtId="0" fontId="12" fillId="7" borderId="14" xfId="0" applyFont="1" applyFill="1" applyBorder="1" applyAlignment="1">
      <alignment horizontal="center" vertical="center" wrapText="1"/>
    </xf>
    <xf numFmtId="0" fontId="0" fillId="0" borderId="12" xfId="0" applyBorder="1" applyAlignment="1">
      <alignment horizontal="center" vertical="center" wrapText="1"/>
    </xf>
    <xf numFmtId="0" fontId="12" fillId="0" borderId="14" xfId="0" applyFont="1" applyBorder="1" applyAlignment="1">
      <alignment horizontal="center" vertical="center" wrapText="1"/>
    </xf>
    <xf numFmtId="14" fontId="0" fillId="0" borderId="1" xfId="0" applyNumberFormat="1" applyBorder="1" applyAlignment="1">
      <alignment horizontal="center" vertical="center" wrapText="1"/>
    </xf>
    <xf numFmtId="0" fontId="12" fillId="0" borderId="6" xfId="0" applyFont="1" applyBorder="1" applyAlignment="1">
      <alignment horizontal="center" vertical="center" wrapText="1"/>
    </xf>
    <xf numFmtId="14" fontId="0" fillId="0" borderId="3" xfId="0" applyNumberFormat="1" applyBorder="1" applyAlignment="1">
      <alignment horizontal="center" vertical="center"/>
    </xf>
    <xf numFmtId="0" fontId="2" fillId="7" borderId="5" xfId="0" applyFont="1" applyFill="1" applyBorder="1" applyAlignment="1">
      <alignment horizontal="center" vertical="center" wrapText="1"/>
    </xf>
    <xf numFmtId="0" fontId="0" fillId="0" borderId="8" xfId="0" applyBorder="1"/>
    <xf numFmtId="0" fontId="12" fillId="0" borderId="1" xfId="0" applyFont="1" applyBorder="1" applyAlignment="1">
      <alignment vertical="center" wrapText="1"/>
    </xf>
    <xf numFmtId="14" fontId="2" fillId="7" borderId="8" xfId="0" applyNumberFormat="1" applyFont="1" applyFill="1" applyBorder="1" applyAlignment="1">
      <alignment horizontal="center" vertical="center" wrapText="1"/>
    </xf>
    <xf numFmtId="14" fontId="2" fillId="7" borderId="6" xfId="0" applyNumberFormat="1" applyFont="1" applyFill="1" applyBorder="1" applyAlignment="1">
      <alignment horizontal="center" vertical="center" wrapText="1"/>
    </xf>
    <xf numFmtId="0" fontId="1" fillId="2" borderId="3" xfId="0" applyFont="1" applyFill="1" applyBorder="1" applyAlignment="1">
      <alignment vertical="center" wrapText="1"/>
    </xf>
    <xf numFmtId="0" fontId="9" fillId="0" borderId="1" xfId="1" applyBorder="1" applyAlignment="1">
      <alignment vertical="center" wrapText="1"/>
    </xf>
    <xf numFmtId="0" fontId="4" fillId="16" borderId="1" xfId="0" applyFont="1" applyFill="1" applyBorder="1" applyAlignment="1">
      <alignment horizontal="center" vertical="center"/>
    </xf>
    <xf numFmtId="0" fontId="1" fillId="3" borderId="3" xfId="0" applyFont="1" applyFill="1" applyBorder="1" applyAlignment="1">
      <alignment horizontal="center" vertical="center"/>
    </xf>
    <xf numFmtId="0" fontId="4" fillId="16" borderId="1" xfId="0" applyFont="1" applyFill="1" applyBorder="1" applyAlignment="1">
      <alignment horizontal="center" vertical="center" wrapText="1"/>
    </xf>
    <xf numFmtId="0" fontId="0" fillId="0" borderId="10" xfId="0" applyBorder="1" applyAlignment="1">
      <alignment horizontal="center" vertical="center"/>
    </xf>
    <xf numFmtId="0" fontId="0" fillId="0" borderId="19" xfId="0" applyBorder="1"/>
    <xf numFmtId="0" fontId="0" fillId="0" borderId="10" xfId="0" applyBorder="1"/>
    <xf numFmtId="0" fontId="0" fillId="0" borderId="12" xfId="0" applyBorder="1"/>
    <xf numFmtId="0" fontId="1" fillId="5" borderId="6"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0" fillId="0" borderId="1" xfId="0" applyBorder="1" applyAlignment="1">
      <alignment horizontal="center"/>
    </xf>
    <xf numFmtId="0" fontId="1" fillId="2"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0" fillId="0" borderId="3" xfId="0" applyBorder="1" applyAlignment="1">
      <alignment horizontal="left" vertical="center" wrapText="1"/>
    </xf>
    <xf numFmtId="49" fontId="0" fillId="0" borderId="0" xfId="0" applyNumberFormat="1" applyAlignment="1">
      <alignment horizontal="center" vertical="center" wrapText="1"/>
    </xf>
    <xf numFmtId="49" fontId="0" fillId="0" borderId="3" xfId="0" applyNumberFormat="1" applyBorder="1" applyAlignment="1">
      <alignment horizontal="center" vertical="center" wrapText="1"/>
    </xf>
    <xf numFmtId="0" fontId="0" fillId="0" borderId="8" xfId="0" applyBorder="1" applyAlignment="1">
      <alignment vertical="center" wrapText="1"/>
    </xf>
    <xf numFmtId="0" fontId="0" fillId="0" borderId="7" xfId="0" applyBorder="1" applyAlignment="1">
      <alignment vertical="center" wrapText="1"/>
    </xf>
    <xf numFmtId="0" fontId="0" fillId="0" borderId="5" xfId="0" applyBorder="1" applyAlignment="1">
      <alignment vertical="center"/>
    </xf>
    <xf numFmtId="0" fontId="24" fillId="12" borderId="3" xfId="0" applyFont="1" applyFill="1" applyBorder="1" applyAlignment="1">
      <alignment horizontal="center" vertical="center" wrapText="1"/>
    </xf>
    <xf numFmtId="0" fontId="0" fillId="0" borderId="1" xfId="0" quotePrefix="1" applyBorder="1" applyAlignment="1">
      <alignment horizontal="center"/>
    </xf>
    <xf numFmtId="49" fontId="0" fillId="0" borderId="1" xfId="0" applyNumberFormat="1" applyBorder="1" applyAlignment="1">
      <alignment horizontal="left" vertical="center" wrapText="1"/>
    </xf>
    <xf numFmtId="0" fontId="12" fillId="7" borderId="8" xfId="0"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10" xfId="0" applyBorder="1" applyAlignment="1">
      <alignment horizontal="center" vertical="center" wrapText="1"/>
    </xf>
    <xf numFmtId="0" fontId="0" fillId="0" borderId="14" xfId="0" applyBorder="1" applyAlignment="1">
      <alignment vertical="center" wrapText="1"/>
    </xf>
    <xf numFmtId="0" fontId="0" fillId="0" borderId="0" xfId="0" applyAlignment="1">
      <alignment vertical="center" wrapText="1"/>
    </xf>
    <xf numFmtId="0" fontId="0" fillId="7" borderId="7" xfId="0" applyFill="1" applyBorder="1" applyAlignment="1">
      <alignment vertical="center" wrapText="1"/>
    </xf>
    <xf numFmtId="0" fontId="0" fillId="8" borderId="7" xfId="0" applyFill="1" applyBorder="1" applyAlignment="1">
      <alignment vertical="center" wrapText="1"/>
    </xf>
    <xf numFmtId="0" fontId="0" fillId="0" borderId="11" xfId="0" applyBorder="1" applyAlignment="1">
      <alignment vertical="center" wrapText="1"/>
    </xf>
    <xf numFmtId="0" fontId="2" fillId="0" borderId="7" xfId="0" applyFont="1" applyBorder="1" applyAlignment="1">
      <alignment vertical="center"/>
    </xf>
    <xf numFmtId="0" fontId="2" fillId="0" borderId="11" xfId="0" applyFont="1" applyBorder="1" applyAlignment="1">
      <alignment vertical="center"/>
    </xf>
    <xf numFmtId="0" fontId="2" fillId="0" borderId="5" xfId="0" applyFont="1" applyBorder="1" applyAlignment="1">
      <alignment vertical="center"/>
    </xf>
    <xf numFmtId="14" fontId="0" fillId="0" borderId="2" xfId="0" applyNumberFormat="1"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wrapText="1"/>
    </xf>
    <xf numFmtId="14" fontId="0" fillId="0" borderId="3" xfId="0" applyNumberFormat="1" applyBorder="1" applyAlignment="1">
      <alignment horizontal="center" vertical="center" wrapText="1"/>
    </xf>
    <xf numFmtId="0" fontId="0" fillId="0" borderId="1" xfId="0" applyBorder="1" applyAlignment="1">
      <alignment horizontal="left" vertical="center" wrapText="1"/>
    </xf>
    <xf numFmtId="0" fontId="1" fillId="2" borderId="0" xfId="0" applyFont="1" applyFill="1" applyAlignment="1">
      <alignment horizontal="center" vertical="center" wrapText="1"/>
    </xf>
    <xf numFmtId="0" fontId="1" fillId="5"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10" xfId="0" applyBorder="1" applyAlignment="1">
      <alignment wrapText="1"/>
    </xf>
    <xf numFmtId="0" fontId="4" fillId="7" borderId="10"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7" borderId="0" xfId="0" applyFont="1" applyFill="1" applyAlignment="1">
      <alignment horizontal="center" vertical="center" wrapText="1"/>
    </xf>
    <xf numFmtId="49" fontId="0" fillId="0" borderId="14" xfId="0" applyNumberFormat="1" applyBorder="1" applyAlignment="1">
      <alignment horizontal="center" vertical="center" wrapText="1"/>
    </xf>
    <xf numFmtId="0" fontId="2" fillId="0" borderId="8" xfId="0" applyFont="1" applyBorder="1" applyAlignment="1">
      <alignment vertical="center"/>
    </xf>
    <xf numFmtId="0" fontId="0" fillId="0" borderId="11" xfId="0" applyBorder="1" applyAlignment="1">
      <alignment horizontal="center" vertical="center"/>
    </xf>
    <xf numFmtId="0" fontId="10" fillId="0" borderId="1" xfId="0" applyFont="1" applyBorder="1" applyAlignment="1">
      <alignment horizontal="center" vertical="center"/>
    </xf>
    <xf numFmtId="0" fontId="0" fillId="0" borderId="1" xfId="0" applyBorder="1" applyAlignment="1">
      <alignment horizontal="left" vertical="center" wrapText="1" indent="1"/>
    </xf>
    <xf numFmtId="0" fontId="4" fillId="7" borderId="2" xfId="0" applyFont="1" applyFill="1" applyBorder="1" applyAlignment="1">
      <alignment horizontal="center" vertical="center" wrapText="1"/>
    </xf>
    <xf numFmtId="0" fontId="0" fillId="0" borderId="2" xfId="0" applyBorder="1"/>
    <xf numFmtId="0" fontId="0" fillId="0" borderId="13"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vertical="center"/>
    </xf>
    <xf numFmtId="0" fontId="4" fillId="0" borderId="4" xfId="0" applyFont="1" applyBorder="1" applyAlignment="1">
      <alignment horizontal="center" vertical="center" wrapText="1"/>
    </xf>
    <xf numFmtId="0" fontId="0" fillId="0" borderId="3" xfId="0" applyBorder="1" applyAlignment="1">
      <alignment horizontal="center"/>
    </xf>
    <xf numFmtId="0" fontId="25" fillId="0" borderId="1" xfId="0" applyFont="1" applyBorder="1"/>
    <xf numFmtId="0" fontId="25" fillId="0" borderId="1" xfId="0" applyFont="1" applyBorder="1" applyAlignment="1">
      <alignment horizontal="center" vertical="center"/>
    </xf>
    <xf numFmtId="15" fontId="25" fillId="0" borderId="1" xfId="0" applyNumberFormat="1" applyFont="1" applyBorder="1"/>
    <xf numFmtId="0" fontId="10" fillId="0" borderId="2" xfId="0" applyFont="1" applyBorder="1" applyAlignment="1">
      <alignment horizontal="center" vertical="center"/>
    </xf>
    <xf numFmtId="0" fontId="4" fillId="15" borderId="2" xfId="0" applyFont="1" applyFill="1" applyBorder="1" applyAlignment="1">
      <alignment horizontal="center" vertical="center" wrapText="1"/>
    </xf>
    <xf numFmtId="0" fontId="4" fillId="15" borderId="10" xfId="0" applyFont="1" applyFill="1" applyBorder="1" applyAlignment="1">
      <alignment horizontal="center" vertical="center" wrapText="1"/>
    </xf>
    <xf numFmtId="0" fontId="4" fillId="15" borderId="14" xfId="0" applyFont="1" applyFill="1" applyBorder="1" applyAlignment="1">
      <alignment horizontal="center" vertical="center" wrapText="1"/>
    </xf>
    <xf numFmtId="0" fontId="4" fillId="15" borderId="12" xfId="0" applyFont="1" applyFill="1" applyBorder="1" applyAlignment="1">
      <alignment horizontal="center" vertical="center" wrapText="1"/>
    </xf>
    <xf numFmtId="0" fontId="0" fillId="0" borderId="9" xfId="0" applyBorder="1"/>
    <xf numFmtId="0" fontId="0" fillId="7" borderId="4" xfId="0" applyFill="1" applyBorder="1" applyAlignment="1">
      <alignment horizontal="center" vertical="center" wrapText="1"/>
    </xf>
    <xf numFmtId="0" fontId="4" fillId="7" borderId="14"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0" fillId="0" borderId="9" xfId="0" applyBorder="1" applyAlignment="1">
      <alignment vertical="center"/>
    </xf>
    <xf numFmtId="0" fontId="0" fillId="0" borderId="9" xfId="0" applyBorder="1" applyAlignment="1">
      <alignment vertical="center" wrapText="1"/>
    </xf>
    <xf numFmtId="14" fontId="0" fillId="7" borderId="1" xfId="0" applyNumberFormat="1" applyFill="1" applyBorder="1" applyAlignment="1">
      <alignment vertical="center"/>
    </xf>
    <xf numFmtId="14" fontId="0" fillId="7" borderId="6" xfId="0" applyNumberFormat="1" applyFill="1" applyBorder="1" applyAlignment="1">
      <alignment vertical="center"/>
    </xf>
    <xf numFmtId="0" fontId="11" fillId="8" borderId="6" xfId="0" applyFont="1" applyFill="1" applyBorder="1" applyAlignment="1">
      <alignment horizontal="center" vertical="center" wrapText="1"/>
    </xf>
    <xf numFmtId="164" fontId="2" fillId="0" borderId="6" xfId="0" applyNumberFormat="1" applyFont="1" applyBorder="1" applyAlignment="1">
      <alignment vertical="center"/>
    </xf>
    <xf numFmtId="164" fontId="2" fillId="0" borderId="14" xfId="0" applyNumberFormat="1" applyFont="1" applyBorder="1" applyAlignment="1">
      <alignment vertical="center"/>
    </xf>
    <xf numFmtId="0" fontId="0" fillId="0" borderId="14" xfId="0" applyBorder="1" applyAlignment="1">
      <alignment vertical="center"/>
    </xf>
    <xf numFmtId="0" fontId="0" fillId="0" borderId="6" xfId="0" applyBorder="1" applyAlignment="1">
      <alignment vertical="center"/>
    </xf>
    <xf numFmtId="0" fontId="0" fillId="0" borderId="13" xfId="0" applyBorder="1" applyAlignment="1">
      <alignment vertical="center"/>
    </xf>
    <xf numFmtId="0" fontId="0" fillId="0" borderId="12" xfId="0" applyBorder="1" applyAlignment="1">
      <alignment vertical="center"/>
    </xf>
    <xf numFmtId="0" fontId="0" fillId="7" borderId="6" xfId="0" applyFill="1" applyBorder="1" applyAlignment="1">
      <alignment vertical="center"/>
    </xf>
    <xf numFmtId="0" fontId="0" fillId="8" borderId="6" xfId="0" applyFill="1" applyBorder="1" applyAlignment="1">
      <alignment vertical="center"/>
    </xf>
    <xf numFmtId="0" fontId="0" fillId="0" borderId="11" xfId="0" applyBorder="1" applyAlignment="1">
      <alignment vertical="center"/>
    </xf>
    <xf numFmtId="0" fontId="0" fillId="0" borderId="8" xfId="0" applyBorder="1" applyAlignment="1">
      <alignment vertical="center"/>
    </xf>
    <xf numFmtId="0" fontId="4" fillId="8" borderId="1" xfId="0" applyFont="1" applyFill="1" applyBorder="1" applyAlignment="1">
      <alignment horizontal="center" vertical="center" wrapText="1"/>
    </xf>
    <xf numFmtId="0" fontId="0" fillId="0" borderId="1" xfId="0" applyBorder="1" applyAlignment="1">
      <alignment horizontal="center" vertical="center" wrapText="1" indent="1"/>
    </xf>
    <xf numFmtId="0" fontId="26" fillId="18" borderId="9" xfId="0" applyFont="1" applyFill="1" applyBorder="1" applyAlignment="1">
      <alignment wrapText="1"/>
    </xf>
    <xf numFmtId="0" fontId="2" fillId="0" borderId="6" xfId="0" applyFont="1" applyBorder="1" applyAlignment="1">
      <alignment wrapText="1"/>
    </xf>
    <xf numFmtId="0" fontId="5" fillId="6" borderId="0" xfId="0" applyFont="1" applyFill="1" applyAlignment="1"/>
    <xf numFmtId="0" fontId="0" fillId="0" borderId="0" xfId="0" applyAlignment="1"/>
    <xf numFmtId="0" fontId="6" fillId="0" borderId="7" xfId="0" applyFont="1" applyBorder="1" applyAlignment="1"/>
    <xf numFmtId="0" fontId="6" fillId="0" borderId="5" xfId="0" applyFont="1" applyBorder="1" applyAlignment="1"/>
  </cellXfs>
  <cellStyles count="2">
    <cellStyle name="Hyperlink" xfId="1" builtinId="8"/>
    <cellStyle name="Normal" xfId="0" builtinId="0"/>
  </cellStyles>
  <dxfs count="28">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numFmt numFmtId="20" formatCode="d\-mmm\-yy"/>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0" formatCode="d\-mmm\-yy"/>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20" formatCode="d\-mmm\-yy"/>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bottom style="thin">
          <color rgb="FF000000"/>
        </bottom>
      </border>
    </dxf>
    <dxf>
      <border>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persons/person.xml><?xml version="1.0" encoding="utf-8"?>
<personList xmlns="http://schemas.microsoft.com/office/spreadsheetml/2018/threadedcomments" xmlns:x="http://schemas.openxmlformats.org/spreadsheetml/2006/main">
  <person displayName="Priyadharsini Kamalakannan" id="{B192DDAD-7126-4A25-A938-80C20EEEF98D}" userId="S::priyadharsini.kamalakannan@relevantz.com::9e4a0581-a648-4fc0-99e2-23c3da35075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29462A-C5B7-44B1-B30C-179361C6BC15}" name="Table1" displayName="Table1" ref="A1:AB9" totalsRowShown="0" headerRowDxfId="27" headerRowBorderDxfId="25" tableBorderDxfId="26">
  <autoFilter ref="A1:AB9" xr:uid="{B629462A-C5B7-44B1-B30C-179361C6BC15}"/>
  <tableColumns count="28">
    <tableColumn id="1" xr3:uid="{01F31DF6-3820-43A5-8A47-58C669C799C8}" name="S.No" dataDxfId="24"/>
    <tableColumn id="2" xr3:uid="{A49CA208-E88D-4F20-A4BF-191777E09AF7}" name="Application Name" dataDxfId="23"/>
    <tableColumn id="3" xr3:uid="{63B24847-DF13-44BF-9346-232406EE3C88}" name="Sprint Start Date" dataDxfId="22"/>
    <tableColumn id="4" xr3:uid="{1AF5AB31-8BA8-407C-AE50-E2D8F7F0B3C2}" name="Sprint End Date" dataDxfId="21"/>
    <tableColumn id="5" xr3:uid="{1BE5D68A-B65D-451F-AD0D-D2931A26F481}" name="Sprint " dataDxfId="20"/>
    <tableColumn id="6" xr3:uid="{49CBFA5A-B714-47D8-B38F-9B7516110B86}" name="Developer" dataDxfId="19"/>
    <tableColumn id="7" xr3:uid="{93D09550-E52A-4C43-B9AD-CAFDD6869C14}" name="Story ID/Defect ID" dataDxfId="18"/>
    <tableColumn id="8" xr3:uid="{58880389-B892-4106-9B6C-83A7BF0B8C2D}" name="Description" dataDxfId="17"/>
    <tableColumn id="9" xr3:uid="{63101796-8B41-4763-8311-0B88A7939058}" name="Status" dataDxfId="16"/>
    <tableColumn id="10" xr3:uid="{D34E397B-7075-42DF-B205-61C503A0BE6B}" name="Estimated(sp)" dataDxfId="15"/>
    <tableColumn id="11" xr3:uid="{74CE78F1-401D-4C6E-A09E-E01760E23D1A}" name="Actual(sp)" dataDxfId="14">
      <calculatedColumnFormula>L2/4</calculatedColumnFormula>
    </tableColumn>
    <tableColumn id="12" xr3:uid="{7E8FF9C5-3537-4719-86CE-91A47E307413}" name="Actual Hours Worklog" dataDxfId="13"/>
    <tableColumn id="13" xr3:uid="{3D79A9EE-F57C-4884-8005-62D6D82221EC}" name="Dev start date" dataDxfId="12"/>
    <tableColumn id="14" xr3:uid="{72EE5E3A-84BB-40E1-999C-194325191F2B}" name="Dev end date" dataDxfId="11"/>
    <tableColumn id="15" xr3:uid="{106B7D0A-1DC2-4C44-8579-566582511FBE}" name="Unit testing" dataDxfId="10"/>
    <tableColumn id="16" xr3:uid="{711A04B9-1FB9-42A1-8C85-B01DE72C0145}" name="Peer Tested By"/>
    <tableColumn id="17" xr3:uid="{1560AEED-63F9-4BE2-8217-ED834930307D}" name="Peer Tested Comments, if any"/>
    <tableColumn id="18" xr3:uid="{7828B248-986F-466D-825A-6DE44A8B2F2E}" name="Peer Reviewed By" dataDxfId="9"/>
    <tableColumn id="19" xr3:uid="{E8BB2F16-7908-4394-889A-DF321970E9C3}" name="Peer Code Review Comments, if any"/>
    <tableColumn id="20" xr3:uid="{BFDBEFB3-C63E-4E00-BC24-D061B1D343C8}" name="PR Number/Link" dataDxfId="8" dataCellStyle="Hyperlink"/>
    <tableColumn id="21" xr3:uid="{479D793C-4ACE-45D8-A022-6D8AABC8602A}" name="PR Created Date" dataDxfId="7"/>
    <tableColumn id="22" xr3:uid="{B43F2A3A-26B9-4C9A-89C3-D22DD071E118}" name="PR Approved Date" dataDxfId="6"/>
    <tableColumn id="23" xr3:uid="{13C0C8EC-A881-4CF3-A0D1-850DCC9E638C}" name="Reviewer 1" dataDxfId="5"/>
    <tableColumn id="24" xr3:uid="{3A927785-AB18-4418-A5E9-63CAD1BE07A8}" name="Code Review Comments, if any" dataDxfId="4"/>
    <tableColumn id="25" xr3:uid="{A526C239-7636-460C-8882-6576C76F4EB3}" name="Reviewer 2" dataDxfId="3"/>
    <tableColumn id="26" xr3:uid="{4766A9E8-797A-4F39-AECD-810737F7A179}" name="Approved Date" dataDxfId="2"/>
    <tableColumn id="27" xr3:uid="{62F5C32B-BF77-41ED-B1AF-5E076356E5BE}" name="Code Review Comments, if any2" dataDxfId="1"/>
    <tableColumn id="28" xr3:uid="{E323011B-8F32-49AB-9487-234044D48EC5}" name="Internal PO -POV 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53" dT="2026-03-31T09:11:00.07" personId="{B192DDAD-7126-4A25-A938-80C20EEEF98D}" id="{6D709082-7BE3-4A82-93D0-0A721D77E3D3}">
    <text>1 Unplanned Leave (Deepika)</text>
  </threadedComment>
</ThreadedComments>
</file>

<file path=xl/threadedComments/threadedComment2.xml><?xml version="1.0" encoding="utf-8"?>
<ThreadedComments xmlns="http://schemas.microsoft.com/office/spreadsheetml/2018/threadedcomments" xmlns:x="http://schemas.openxmlformats.org/spreadsheetml/2006/main">
  <threadedComment ref="AB3" dT="2025-06-25T10:37:34.97" personId="{B192DDAD-7126-4A25-A938-80C20EEEF98D}" id="{B0437F0E-F235-4449-B2DF-1B827C039BB6}">
    <text>Testing Comment:
Found an issue: District Tier 1, features are not visible to the admin users. Bounce back this story</text>
  </threadedComment>
</ThreadedComments>
</file>

<file path=xl/threadedComments/threadedComment3.xml><?xml version="1.0" encoding="utf-8"?>
<ThreadedComments xmlns="http://schemas.microsoft.com/office/spreadsheetml/2018/threadedcomments" xmlns:x="http://schemas.openxmlformats.org/spreadsheetml/2006/main">
  <threadedComment ref="L2" dT="2025-06-24T13:45:53.42" personId="{B192DDAD-7126-4A25-A938-80C20EEEF98D}" id="{22F53C09-DA6B-426D-A9F9-9B3724EB527C}">
    <text>Unable to test, due to JOB failed in MPtest, Andrew is working on to fix the issue</text>
  </threadedComment>
</ThreadedComments>
</file>

<file path=xl/threadedComments/threadedComment4.xml><?xml version="1.0" encoding="utf-8"?>
<ThreadedComments xmlns="http://schemas.microsoft.com/office/spreadsheetml/2018/threadedcomments" xmlns:x="http://schemas.openxmlformats.org/spreadsheetml/2006/main">
  <threadedComment ref="AB5" dT="2025-05-27T14:23:59.00" personId="{B192DDAD-7126-4A25-A938-80C20EEEF98D}" id="{E106C3AD-1707-4A37-B567-A389799F5A6E}">
    <text>We Don't have test Environment to Test the AI Story, there is a hot fix.
QA Environment is against the hot fix branch</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19:9509f03b5d034514b73c6b54be3710da@thread.v2" TargetMode="Externa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hyperlink" Target="https://dev.azure.com/heartlandschools/Mosaic/_git/BOH/pullrequest/48993" TargetMode="External"/><Relationship Id="rId1" Type="http://schemas.openxmlformats.org/officeDocument/2006/relationships/hyperlink" Target="https://dev.azure.com/heartlandschools/Mosaic/_git/BOH/pullrequest/4899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ev.azure.com/heartlandschools/Mosaic/_git/BOH/pullrequest/48841" TargetMode="External"/><Relationship Id="rId2" Type="http://schemas.openxmlformats.org/officeDocument/2006/relationships/hyperlink" Target="https://dev.azure.com/heartlandschools/Mosaic/_git/BOH/pullrequest/48840" TargetMode="External"/><Relationship Id="rId1" Type="http://schemas.openxmlformats.org/officeDocument/2006/relationships/hyperlink" Target="https://dev.azure.com/heartlandschools/Mosaic/_git/BOH/pullrequest/48678" TargetMode="External"/><Relationship Id="rId6" Type="http://schemas.openxmlformats.org/officeDocument/2006/relationships/hyperlink" Target="https://dev.azure.com/heartlandschools/Mosaic/_git/BOH/pullrequest/48952" TargetMode="External"/><Relationship Id="rId5" Type="http://schemas.openxmlformats.org/officeDocument/2006/relationships/hyperlink" Target="https://dev.azure.com/heartlandschools/Mosaic/_git/BOH/pullrequest/48952" TargetMode="External"/><Relationship Id="rId4" Type="http://schemas.openxmlformats.org/officeDocument/2006/relationships/hyperlink" Target="https://heartlandschools.visualstudio.com/Mosaic/_git/BOH/pullrequest/48996"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ev.azure.com/heartlandschools/Mosaic/_git/BOH/pullrequest/48531" TargetMode="External"/><Relationship Id="rId2" Type="http://schemas.openxmlformats.org/officeDocument/2006/relationships/hyperlink" Target="https://dev.azure.com/heartlandschools/Mosaic/_git/BOH/pullrequest/48416" TargetMode="External"/><Relationship Id="rId1" Type="http://schemas.openxmlformats.org/officeDocument/2006/relationships/hyperlink" Target="https://dev.azure.com/heartlandschools/Mosaic/_git/BOH/pullrequest/48373" TargetMode="External"/><Relationship Id="rId6" Type="http://schemas.openxmlformats.org/officeDocument/2006/relationships/hyperlink" Target="https://dev.azure.com/heartlandschools/Mosaic/_git/BOH/pullrequest/48631" TargetMode="External"/><Relationship Id="rId5" Type="http://schemas.openxmlformats.org/officeDocument/2006/relationships/hyperlink" Target="https://dev.azure.com/heartlandschools/Mosaic/_git/BOH/pullrequest/48460" TargetMode="External"/><Relationship Id="rId4" Type="http://schemas.openxmlformats.org/officeDocument/2006/relationships/hyperlink" Target="https://dev.azure.com/heartlandschools/Mosaic/_git/BOH/pullrequest/4853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ev.azure.com/heartlandschools/Mosaic/_git/BOH/pullrequest/48286" TargetMode="External"/><Relationship Id="rId3" Type="http://schemas.openxmlformats.org/officeDocument/2006/relationships/hyperlink" Target="https://dev.azure.com/heartlandschools/Mosaic/_git/BOH/pullrequest/48046" TargetMode="External"/><Relationship Id="rId7" Type="http://schemas.openxmlformats.org/officeDocument/2006/relationships/hyperlink" Target="https://dev.azure.com/heartlandschools/Mosaic/_git/BOH/pullrequest/48226" TargetMode="External"/><Relationship Id="rId2" Type="http://schemas.openxmlformats.org/officeDocument/2006/relationships/hyperlink" Target="https://dev.azure.com/heartlandschools/Mosaic/_git/BOH/pullrequest/48099" TargetMode="External"/><Relationship Id="rId1" Type="http://schemas.openxmlformats.org/officeDocument/2006/relationships/hyperlink" Target="https://dev.azure.com/heartlandschools/Mosaic/_git/BOH/pullrequest/48100" TargetMode="External"/><Relationship Id="rId6" Type="http://schemas.openxmlformats.org/officeDocument/2006/relationships/hyperlink" Target="https://dev.azure.com/heartlandschools/Mosaic/_git/BOH/pullrequest/48195" TargetMode="External"/><Relationship Id="rId5" Type="http://schemas.openxmlformats.org/officeDocument/2006/relationships/hyperlink" Target="https://dev.azure.com/heartlandschools/Mosaic/_git/BOH/pullrequest/48261" TargetMode="External"/><Relationship Id="rId4" Type="http://schemas.openxmlformats.org/officeDocument/2006/relationships/hyperlink" Target="https://dev.azure.com/heartlandschools/Mosaic/_git/BOH/pullrequest/48130" TargetMode="External"/><Relationship Id="rId9" Type="http://schemas.openxmlformats.org/officeDocument/2006/relationships/hyperlink" Target="https://heartlandschools.visualstudio.com/Mosaic/_git/BOH/pullrequest/4840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v.azure.com/heartlandschools/Mosaic/_git/BOH/pullrequest/47507" TargetMode="External"/><Relationship Id="rId2" Type="http://schemas.openxmlformats.org/officeDocument/2006/relationships/hyperlink" Target="https://dev.azure.com/heartlandschools/Mosaic/_git/BOH/pullrequest/47514" TargetMode="External"/><Relationship Id="rId1" Type="http://schemas.openxmlformats.org/officeDocument/2006/relationships/hyperlink" Target="https://dev.azure.com/heartlandschools/Mosaic/_git/BOH/pullrequest/47481" TargetMode="External"/><Relationship Id="rId6" Type="http://schemas.openxmlformats.org/officeDocument/2006/relationships/hyperlink" Target="https://heartlandschools.visualstudio.com/Mosaic/_git/BOH/pullrequest/48132" TargetMode="External"/><Relationship Id="rId5" Type="http://schemas.openxmlformats.org/officeDocument/2006/relationships/hyperlink" Target="https://dev.azure.com/heartlandschools/Mosaic/_git/BOH/pullrequest/47597" TargetMode="External"/><Relationship Id="rId4" Type="http://schemas.openxmlformats.org/officeDocument/2006/relationships/hyperlink" Target="https://dev.azure.com/heartlandschools/Mosaic/_git/BOH/pullrequest/4759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dev.azure.com/heartlandschools/Mosaic/_git/BOH/pullrequest/43668" TargetMode="External"/><Relationship Id="rId7" Type="http://schemas.openxmlformats.org/officeDocument/2006/relationships/table" Target="../tables/table1.xml"/><Relationship Id="rId2" Type="http://schemas.openxmlformats.org/officeDocument/2006/relationships/hyperlink" Target="https://dev.azure.com/heartlandschools/Mosaic/_git/BOH/pullrequest/43610" TargetMode="External"/><Relationship Id="rId1" Type="http://schemas.openxmlformats.org/officeDocument/2006/relationships/hyperlink" Target="https://dev.azure.com/heartlandschools/Mosaic/_git/BOH/pullrequest/43487" TargetMode="External"/><Relationship Id="rId6" Type="http://schemas.openxmlformats.org/officeDocument/2006/relationships/hyperlink" Target="https://dev.azure.com/heartlandschools/Mosaic/_git/BOH/pullrequest/43743" TargetMode="External"/><Relationship Id="rId5" Type="http://schemas.openxmlformats.org/officeDocument/2006/relationships/hyperlink" Target="https://dev.azure.com/heartlandschools/Mosaic/_git/BOH/pullrequest/43743" TargetMode="External"/><Relationship Id="rId4" Type="http://schemas.openxmlformats.org/officeDocument/2006/relationships/hyperlink" Target="https://dev.azure.com/heartlandschools/Mosaic/_git/BOH/pullrequest/43668"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dev.azure.com/heartlandschools/Mosaic/_git/BOH/pullrequest/47316" TargetMode="External"/><Relationship Id="rId2" Type="http://schemas.openxmlformats.org/officeDocument/2006/relationships/hyperlink" Target="https://dev.azure.com/heartlandschools/Mosaic/_git/BOH/pullrequest/47265" TargetMode="External"/><Relationship Id="rId1" Type="http://schemas.openxmlformats.org/officeDocument/2006/relationships/hyperlink" Target="https://dev.azure.com/heartlandschools/Mosaic/_git/BOH/pullrequest/47171" TargetMode="External"/><Relationship Id="rId5" Type="http://schemas.openxmlformats.org/officeDocument/2006/relationships/hyperlink" Target="https://dev.azure.com/heartlandschools/Mosaic/_git/BOH/pullrequest/47396" TargetMode="External"/><Relationship Id="rId4" Type="http://schemas.openxmlformats.org/officeDocument/2006/relationships/hyperlink" Target="https://dev.azure.com/heartlandschools/Mosaic/_git/BOH/pullrequest/47312"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dev.azure.com/heartlandschools/Mosaic/_git/BOH/pullrequest/46955" TargetMode="External"/><Relationship Id="rId2" Type="http://schemas.openxmlformats.org/officeDocument/2006/relationships/hyperlink" Target="https://dev.azure.com/heartlandschools/Mosaic/_git/BOH/pullrequest/46941" TargetMode="External"/><Relationship Id="rId1" Type="http://schemas.openxmlformats.org/officeDocument/2006/relationships/hyperlink" Target="https://dev.azure.com/heartlandschools/Mosaic/_git/BOH/pullrequest/46936" TargetMode="External"/><Relationship Id="rId6" Type="http://schemas.openxmlformats.org/officeDocument/2006/relationships/hyperlink" Target="https://dev.azure.com/heartlandschools/Mosaic/_git/BOH/pullrequest/47292" TargetMode="External"/><Relationship Id="rId5" Type="http://schemas.openxmlformats.org/officeDocument/2006/relationships/hyperlink" Target="https://heartlandschools.visualstudio.com/Mosaic/_git/BOH/pullrequest/47291" TargetMode="External"/><Relationship Id="rId4" Type="http://schemas.openxmlformats.org/officeDocument/2006/relationships/hyperlink" Target="https://dev.azure.com/heartlandschools/Mosaic/_git/BOH/pullrequest/47058"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dev.azure.com/heartlandschools/Mosaic/_git/BOH/pullrequest/46775" TargetMode="External"/><Relationship Id="rId7" Type="http://schemas.openxmlformats.org/officeDocument/2006/relationships/hyperlink" Target="https://heartlandschools.visualstudio.com/Mosaic/_git/BOH/pullrequest/47036" TargetMode="External"/><Relationship Id="rId2" Type="http://schemas.openxmlformats.org/officeDocument/2006/relationships/hyperlink" Target="https://dev.azure.com/heartlandschools/Mosaic/_git/BOH/pullrequest/46710" TargetMode="External"/><Relationship Id="rId1" Type="http://schemas.openxmlformats.org/officeDocument/2006/relationships/hyperlink" Target="https://dev.azure.com/heartlandschools/Mosaic/_git/BOH/pullrequest/46639" TargetMode="External"/><Relationship Id="rId6" Type="http://schemas.openxmlformats.org/officeDocument/2006/relationships/hyperlink" Target="https://dev.azure.com/heartlandschools/Mosaic/_git/BOH/pullrequest/46905" TargetMode="External"/><Relationship Id="rId5" Type="http://schemas.openxmlformats.org/officeDocument/2006/relationships/hyperlink" Target="https://dev.azure.com/heartlandschools/Mosaic/_git/BOH/pullrequest/46974" TargetMode="External"/><Relationship Id="rId4" Type="http://schemas.openxmlformats.org/officeDocument/2006/relationships/hyperlink" Target="https://dev.azure.com/heartlandschools/Mosaic/_git/BOH/pullrequest/46942"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heartlandschools.visualstudio.com/Mosaic/_git/BOH/pullrequest/46640" TargetMode="External"/><Relationship Id="rId1" Type="http://schemas.openxmlformats.org/officeDocument/2006/relationships/hyperlink" Target="https://dev.azure.com/heartlandschools/Mosaic/_git/BOH/pullrequest/46342"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dev.azure.com/heartlandschools/Mosaic/_git/BOH/pullrequest/46106" TargetMode="External"/><Relationship Id="rId2" Type="http://schemas.openxmlformats.org/officeDocument/2006/relationships/hyperlink" Target="https://dev.azure.com/heartlandschools/Mosaic/_git/BOH/pullrequest/45866" TargetMode="External"/><Relationship Id="rId1" Type="http://schemas.openxmlformats.org/officeDocument/2006/relationships/hyperlink" Target="https://dev.azure.com/heartlandschools/Mosaic/_git/BOH/pullrequest/45699" TargetMode="External"/><Relationship Id="rId6" Type="http://schemas.openxmlformats.org/officeDocument/2006/relationships/hyperlink" Target="https://dev.azure.com/heartlandschools/Mosaic/_git/BOH/pullrequest/46235" TargetMode="External"/><Relationship Id="rId5" Type="http://schemas.openxmlformats.org/officeDocument/2006/relationships/hyperlink" Target="https://dev.azure.com/heartlandschools/Mosaic/_git/BOH/pullrequest/46170" TargetMode="External"/><Relationship Id="rId4" Type="http://schemas.openxmlformats.org/officeDocument/2006/relationships/hyperlink" Target="https://dev.azure.com/heartlandschools/Mosaic/_git/BOH/pullrequest/46002"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dev.azure.com/heartlandschools/Mosaic/_git/BOH/pullrequest/45913" TargetMode="External"/><Relationship Id="rId3" Type="http://schemas.openxmlformats.org/officeDocument/2006/relationships/hyperlink" Target="https://dev.azure.com/heartlandschools/Mosaic/_git/BOH/pullrequest/45721" TargetMode="External"/><Relationship Id="rId7" Type="http://schemas.openxmlformats.org/officeDocument/2006/relationships/hyperlink" Target="https://dev.azure.com/heartlandschools/Mosaic/_git/BOH/pullrequest/45896" TargetMode="External"/><Relationship Id="rId2" Type="http://schemas.openxmlformats.org/officeDocument/2006/relationships/hyperlink" Target="https://dev.azure.com/heartlandschools/Mosaic/_git/BOH/pullrequest/45699" TargetMode="External"/><Relationship Id="rId1" Type="http://schemas.openxmlformats.org/officeDocument/2006/relationships/hyperlink" Target="https://dev.azure.com/heartlandschools/Mosaic/_git/BOH/pullrequest/45668" TargetMode="External"/><Relationship Id="rId6" Type="http://schemas.openxmlformats.org/officeDocument/2006/relationships/hyperlink" Target="https://dev.azure.com/heartlandschools/Mosaic/_git/BOH/pullrequest/45896" TargetMode="External"/><Relationship Id="rId5" Type="http://schemas.openxmlformats.org/officeDocument/2006/relationships/hyperlink" Target="https://dev.azure.com/heartlandschools/Mosaic/_git/BOH/pullrequest/45809" TargetMode="External"/><Relationship Id="rId10" Type="http://schemas.openxmlformats.org/officeDocument/2006/relationships/hyperlink" Target="https://dev.azure.com/heartlandschools/Mosaic/_git/BOH/pullrequest/45986" TargetMode="External"/><Relationship Id="rId4" Type="http://schemas.openxmlformats.org/officeDocument/2006/relationships/hyperlink" Target="https://dev.azure.com/heartlandschools/Mosaic/_git/BOH/pullrequest/45786" TargetMode="External"/><Relationship Id="rId9" Type="http://schemas.openxmlformats.org/officeDocument/2006/relationships/hyperlink" Target="https://dev.azure.com/heartlandschools/Mosaic/_git/BOH/pullrequest/45986"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dev.azure.com/heartlandschools/Mosaic/_git/BOH/pullrequest/45456" TargetMode="External"/><Relationship Id="rId2" Type="http://schemas.openxmlformats.org/officeDocument/2006/relationships/hyperlink" Target="https://dev.azure.com/heartlandschools/Mosaic/_git/BOH/pullrequest/45400" TargetMode="External"/><Relationship Id="rId1" Type="http://schemas.openxmlformats.org/officeDocument/2006/relationships/hyperlink" Target="https://dev.azure.com/heartlandschools/Mosaic/_git/BOH/pullrequest/45359" TargetMode="External"/><Relationship Id="rId6" Type="http://schemas.openxmlformats.org/officeDocument/2006/relationships/hyperlink" Target="https://heartlandschools.visualstudio.com/Mosaic/_git/BOH/pullrequest/45647" TargetMode="External"/><Relationship Id="rId5" Type="http://schemas.openxmlformats.org/officeDocument/2006/relationships/hyperlink" Target="https://dev.azure.com/heartlandschools/Mosaic/_git/BOH/pullrequest/45562" TargetMode="External"/><Relationship Id="rId4" Type="http://schemas.openxmlformats.org/officeDocument/2006/relationships/hyperlink" Target="https://dev.azure.com/heartlandschools/Mosaic/_git/BOH/pullrequest/45524"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dev.azure.com/heartlandschools/Mosaic/_git/BOH/pullrequest/45158" TargetMode="External"/><Relationship Id="rId7" Type="http://schemas.openxmlformats.org/officeDocument/2006/relationships/hyperlink" Target="https://dev.azure.com/heartlandschools/Mosaic/_git/BOH/pullrequest/45295" TargetMode="External"/><Relationship Id="rId2" Type="http://schemas.openxmlformats.org/officeDocument/2006/relationships/hyperlink" Target="https://dev.azure.com/heartlandschools/Mosaic/_git/BOH/pullrequest/45156" TargetMode="External"/><Relationship Id="rId1" Type="http://schemas.openxmlformats.org/officeDocument/2006/relationships/hyperlink" Target="https://dev.azure.com/heartlandschools/Mosaic/_git/BOH/pullrequest/45102" TargetMode="External"/><Relationship Id="rId6" Type="http://schemas.openxmlformats.org/officeDocument/2006/relationships/hyperlink" Target="https://dev.azure.com/heartlandschools/Mosaic/_git/BOH/pullrequest/45180" TargetMode="External"/><Relationship Id="rId5" Type="http://schemas.openxmlformats.org/officeDocument/2006/relationships/hyperlink" Target="https://dev.azure.com/heartlandschools/Mosaic/_git/BOH/pullrequest/45253" TargetMode="External"/><Relationship Id="rId4" Type="http://schemas.openxmlformats.org/officeDocument/2006/relationships/hyperlink" Target="https://dev.azure.com/heartlandschools/Mosaic/_git/BOH/pullrequest/4515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dev.azure.com/heartlandschools/Mosaic/_git/BOH/pullrequest/44983" TargetMode="External"/><Relationship Id="rId2" Type="http://schemas.openxmlformats.org/officeDocument/2006/relationships/hyperlink" Target="https://dev.azure.com/heartlandschools/Mosaic/_git/BOH/pullrequest/44941" TargetMode="External"/><Relationship Id="rId1" Type="http://schemas.openxmlformats.org/officeDocument/2006/relationships/hyperlink" Target="https://dev.azure.com/heartlandschools/Mosaic/_git/BOH/pullrequest/44940" TargetMode="External"/><Relationship Id="rId6" Type="http://schemas.openxmlformats.org/officeDocument/2006/relationships/hyperlink" Target="https://dev.azure.com/heartlandschools/Mosaic/_git/BOH/pullrequest/44942" TargetMode="External"/><Relationship Id="rId5" Type="http://schemas.openxmlformats.org/officeDocument/2006/relationships/hyperlink" Target="https://dev.azure.com/heartlandschools/Mosaic/_git/BOH/pullrequest/45102" TargetMode="External"/><Relationship Id="rId4" Type="http://schemas.openxmlformats.org/officeDocument/2006/relationships/hyperlink" Target="https://dev.azure.com/heartlandschools/Mosaic/_git/BOH/pullrequest/45023"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dev.azure.com/heartlandschools/Mosaic/_git/BOH/pullrequest/44548" TargetMode="External"/><Relationship Id="rId13" Type="http://schemas.openxmlformats.org/officeDocument/2006/relationships/hyperlink" Target="https://dev.azure.com/heartlandschools/Mosaic/_git/BOH/pullrequest/44548" TargetMode="External"/><Relationship Id="rId3" Type="http://schemas.openxmlformats.org/officeDocument/2006/relationships/hyperlink" Target="https://dev.azure.com/heartlandschools/Mosaic/_git/BOH/pullrequest/44298" TargetMode="External"/><Relationship Id="rId7" Type="http://schemas.openxmlformats.org/officeDocument/2006/relationships/hyperlink" Target="https://dev.azure.com/heartlandschools/Mosaic/_git/BOH/pullrequest/44503" TargetMode="External"/><Relationship Id="rId12" Type="http://schemas.openxmlformats.org/officeDocument/2006/relationships/hyperlink" Target="https://dev.azure.com/heartlandschools/Mosaic/_git/BOH/pullrequest/44756" TargetMode="External"/><Relationship Id="rId2" Type="http://schemas.openxmlformats.org/officeDocument/2006/relationships/hyperlink" Target="https://dev.azure.com/heartlandschools/Mosaic/_git/BOH/pullrequest/44222" TargetMode="External"/><Relationship Id="rId16" Type="http://schemas.openxmlformats.org/officeDocument/2006/relationships/hyperlink" Target="https://heartlandschools.visualstudio.com/Mosaic/_git/BOH/pullrequest/44394" TargetMode="External"/><Relationship Id="rId1" Type="http://schemas.openxmlformats.org/officeDocument/2006/relationships/hyperlink" Target="https://dev.azure.com/heartlandschools/Mosaic/_git/BOH/pullrequest/44265" TargetMode="External"/><Relationship Id="rId6" Type="http://schemas.openxmlformats.org/officeDocument/2006/relationships/hyperlink" Target="https://dev.azure.com/heartlandschools/Mosaic/_git/BOH/pullrequest/44639" TargetMode="External"/><Relationship Id="rId11" Type="http://schemas.openxmlformats.org/officeDocument/2006/relationships/hyperlink" Target="https://dev.azure.com/heartlandschools/Mosaic/_git/BOH/pullrequest/44711" TargetMode="External"/><Relationship Id="rId5" Type="http://schemas.openxmlformats.org/officeDocument/2006/relationships/hyperlink" Target="https://dev.azure.com/heartlandschools/Mosaic/_git/BOH/pullrequest/44422" TargetMode="External"/><Relationship Id="rId15" Type="http://schemas.openxmlformats.org/officeDocument/2006/relationships/hyperlink" Target="https://dev.azure.com/heartlandschools/Mosaic/_git/BOH/pullrequest/44849" TargetMode="External"/><Relationship Id="rId10" Type="http://schemas.openxmlformats.org/officeDocument/2006/relationships/hyperlink" Target="https://dev.azure.com/heartlandschools/Mosaic/_git/BOH/pullrequest/44689" TargetMode="External"/><Relationship Id="rId4" Type="http://schemas.openxmlformats.org/officeDocument/2006/relationships/hyperlink" Target="https://dev.azure.com/heartlandschools/Mosaic/_git/BOH/pullrequest/44380" TargetMode="External"/><Relationship Id="rId9" Type="http://schemas.openxmlformats.org/officeDocument/2006/relationships/hyperlink" Target="https://dev.azure.com/heartlandschools/Mosaic/_git/BOH/pullrequest/44548" TargetMode="External"/><Relationship Id="rId14" Type="http://schemas.openxmlformats.org/officeDocument/2006/relationships/hyperlink" Target="https://dev.azure.com/heartlandschools/Mosaic/_git/BOH/pullrequest/44656"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heartlandschools.visualstudio.com/Mosaic/_git/BOH/pullrequest/44308" TargetMode="External"/><Relationship Id="rId3" Type="http://schemas.openxmlformats.org/officeDocument/2006/relationships/hyperlink" Target="https://dev.azure.com/heartlandschools/Mosaic/_git/BOH/pullrequest/44165" TargetMode="External"/><Relationship Id="rId7" Type="http://schemas.openxmlformats.org/officeDocument/2006/relationships/hyperlink" Target="https://dev.azure.com/heartlandschools/Mosaic/_git/BOH/pullrequest/44298" TargetMode="External"/><Relationship Id="rId2" Type="http://schemas.openxmlformats.org/officeDocument/2006/relationships/hyperlink" Target="https://dev.azure.com/heartlandschools/Mosaic/_git/BOH/pullrequest/44022" TargetMode="External"/><Relationship Id="rId1" Type="http://schemas.openxmlformats.org/officeDocument/2006/relationships/hyperlink" Target="https://dev.azure.com/heartlandschools/Mosaic/_git/BOH/pullrequest/44169" TargetMode="External"/><Relationship Id="rId6" Type="http://schemas.openxmlformats.org/officeDocument/2006/relationships/hyperlink" Target="https://dev.azure.com/heartlandschools/Mosaic/_git/BOH/pullrequest/44222" TargetMode="External"/><Relationship Id="rId5" Type="http://schemas.openxmlformats.org/officeDocument/2006/relationships/hyperlink" Target="https://dev.azure.com/heartlandschools/Mosaic/_git/BOH/pullrequest/44265" TargetMode="External"/><Relationship Id="rId4" Type="http://schemas.openxmlformats.org/officeDocument/2006/relationships/hyperlink" Target="https://dev.azure.com/heartlandschools/Mosaic/_git/BOH/pullrequest/44165" TargetMode="External"/><Relationship Id="rId9" Type="http://schemas.openxmlformats.org/officeDocument/2006/relationships/hyperlink" Target="https://dev.azure.com/heartlandschools/Mosaic/_git/BOH/pullrequest/44237"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dev.azure.com/heartlandschools/Mosaic/_git/BOH/pullrequest/43888" TargetMode="External"/><Relationship Id="rId7" Type="http://schemas.openxmlformats.org/officeDocument/2006/relationships/hyperlink" Target="https://dev.azure.com/heartlandschools/Mosaic/_git/BOH/pullrequest/44022" TargetMode="External"/><Relationship Id="rId2" Type="http://schemas.openxmlformats.org/officeDocument/2006/relationships/hyperlink" Target="https://dev.azure.com/heartlandschools/Mosaic/_git/BOH/pullrequest/43743" TargetMode="External"/><Relationship Id="rId1" Type="http://schemas.openxmlformats.org/officeDocument/2006/relationships/hyperlink" Target="https://dev.azure.com/heartlandschools/Mosaic/_git/BOH/pullrequest/43833" TargetMode="External"/><Relationship Id="rId6" Type="http://schemas.openxmlformats.org/officeDocument/2006/relationships/hyperlink" Target="https://dev.azure.com/heartlandschools/Mosaic/_git/BOH/pullrequest/43845" TargetMode="External"/><Relationship Id="rId5" Type="http://schemas.openxmlformats.org/officeDocument/2006/relationships/hyperlink" Target="https://dev.azure.com/heartlandschools/Mosaic/_git/BOH/pullrequest/43610" TargetMode="External"/><Relationship Id="rId4" Type="http://schemas.openxmlformats.org/officeDocument/2006/relationships/hyperlink" Target="https://dev.azure.com/heartlandschools/Mosaic/_git/BOH/pullrequest/43487"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dev.azure.com/heartlandschools/Mosaic/_git/BOH/pullrequest/43668" TargetMode="External"/><Relationship Id="rId7" Type="http://schemas.openxmlformats.org/officeDocument/2006/relationships/hyperlink" Target="https://heartlandschools.visualstudio.com/Mosaic/_git/BOH/pullrequest/43715" TargetMode="External"/><Relationship Id="rId2" Type="http://schemas.openxmlformats.org/officeDocument/2006/relationships/hyperlink" Target="https://dev.azure.com/heartlandschools/Mosaic/_git/BOH/pullrequest/43610" TargetMode="External"/><Relationship Id="rId1" Type="http://schemas.openxmlformats.org/officeDocument/2006/relationships/hyperlink" Target="https://dev.azure.com/heartlandschools/Mosaic/_git/BOH/pullrequest/43487" TargetMode="External"/><Relationship Id="rId6" Type="http://schemas.openxmlformats.org/officeDocument/2006/relationships/hyperlink" Target="https://dev.azure.com/heartlandschools/Mosaic/_git/BOH/pullrequest/43743" TargetMode="External"/><Relationship Id="rId5" Type="http://schemas.openxmlformats.org/officeDocument/2006/relationships/hyperlink" Target="https://dev.azure.com/heartlandschools/Mosaic/_git/BOH/pullrequest/43743" TargetMode="External"/><Relationship Id="rId4" Type="http://schemas.openxmlformats.org/officeDocument/2006/relationships/hyperlink" Target="https://dev.azure.com/heartlandschools/Mosaic/_git/BOH/pullrequest/43668"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https://dev.azure.com/heartlandschools/Mosaic/_git/BOH/pullrequest/43276" TargetMode="External"/><Relationship Id="rId2" Type="http://schemas.openxmlformats.org/officeDocument/2006/relationships/hyperlink" Target="https://dev.azure.com/heartlandschools/Mosaic/_git/BOH/pullrequest/43386" TargetMode="External"/><Relationship Id="rId1" Type="http://schemas.openxmlformats.org/officeDocument/2006/relationships/hyperlink" Target="https://dev.azure.com/heartlandschools/Mosaic/_git/BOH/pullrequest/42631" TargetMode="External"/><Relationship Id="rId6" Type="http://schemas.openxmlformats.org/officeDocument/2006/relationships/hyperlink" Target="https://dev.azure.com/heartlandschools/Mosaic/_git/BOH/pullrequest/43487" TargetMode="External"/><Relationship Id="rId5" Type="http://schemas.openxmlformats.org/officeDocument/2006/relationships/hyperlink" Target="https://dev.azure.com/heartlandschools/Mosaic/_git/BOH/pullrequest/43386" TargetMode="External"/><Relationship Id="rId4" Type="http://schemas.openxmlformats.org/officeDocument/2006/relationships/hyperlink" Target="https://dev.azure.com/heartlandschools/Mosaic/_git/BOH/pullrequest/43263"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https://dev.azure.com/heartlandschools/Mosaic/_git/BOH/pullrequest/42990" TargetMode="External"/><Relationship Id="rId3" Type="http://schemas.openxmlformats.org/officeDocument/2006/relationships/hyperlink" Target="https://dev.azure.com/heartlandschools/Mosaic/_git/BOH/pullrequest/42723" TargetMode="External"/><Relationship Id="rId7" Type="http://schemas.openxmlformats.org/officeDocument/2006/relationships/hyperlink" Target="https://dev.azure.com/heartlandschools/Mosaic/_git/BOH/pullrequest/42990" TargetMode="External"/><Relationship Id="rId2" Type="http://schemas.openxmlformats.org/officeDocument/2006/relationships/hyperlink" Target="https://dev.azure.com/heartlandschools/Mosaic/_git/BOH/pullrequest/43162" TargetMode="External"/><Relationship Id="rId1" Type="http://schemas.openxmlformats.org/officeDocument/2006/relationships/hyperlink" Target="https://dev.azure.com/heartlandschools/Mosaic/_git/BOH/pullrequest/42631" TargetMode="External"/><Relationship Id="rId6" Type="http://schemas.openxmlformats.org/officeDocument/2006/relationships/hyperlink" Target="https://dev.azure.com/heartlandschools/Mosaic/_git/BOH/pullrequest/42879" TargetMode="External"/><Relationship Id="rId5" Type="http://schemas.openxmlformats.org/officeDocument/2006/relationships/hyperlink" Target="https://dev.azure.com/heartlandschools/Mosaic/_git/BOH/pullrequest/42831" TargetMode="External"/><Relationship Id="rId10" Type="http://schemas.openxmlformats.org/officeDocument/2006/relationships/hyperlink" Target="https://dev.azure.com/heartlandschools/Mosaic/_git/BOH/pullrequest/43176" TargetMode="External"/><Relationship Id="rId4" Type="http://schemas.openxmlformats.org/officeDocument/2006/relationships/hyperlink" Target="https://dev.azure.com/heartlandschools/Mosaic/_git/BOH/pullrequest/42535" TargetMode="External"/><Relationship Id="rId9" Type="http://schemas.openxmlformats.org/officeDocument/2006/relationships/hyperlink" Target="https://dev.azure.com/heartlandschools/Mosaic/_git/BOH/pullrequest/43175"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https://dev.azure.com/heartlandschools/Mosaic/_git/BOH/pullrequest/42879" TargetMode="External"/><Relationship Id="rId3" Type="http://schemas.openxmlformats.org/officeDocument/2006/relationships/hyperlink" Target="https://dev.azure.com/heartlandschools/Mosaic/_git/BOH/pullrequest/42535" TargetMode="External"/><Relationship Id="rId7" Type="http://schemas.openxmlformats.org/officeDocument/2006/relationships/hyperlink" Target="https://dev.azure.com/heartlandschools/Mosaic/_git/BOH/pullrequest/42990" TargetMode="External"/><Relationship Id="rId12" Type="http://schemas.microsoft.com/office/2017/10/relationships/threadedComment" Target="../threadedComments/threadedComment2.xml"/><Relationship Id="rId2" Type="http://schemas.openxmlformats.org/officeDocument/2006/relationships/hyperlink" Target="https://dev.azure.com/heartlandschools/Mosaic/_git/BOH/pullrequest/42631" TargetMode="External"/><Relationship Id="rId1" Type="http://schemas.openxmlformats.org/officeDocument/2006/relationships/hyperlink" Target="https://dev.azure.com/heartlandschools/Mosaic/_git/BOH/pullrequest/42398" TargetMode="External"/><Relationship Id="rId6" Type="http://schemas.openxmlformats.org/officeDocument/2006/relationships/hyperlink" Target="https://dev.azure.com/heartlandschools/Mosaic/_git/BOH/pullrequest/42831" TargetMode="External"/><Relationship Id="rId11" Type="http://schemas.openxmlformats.org/officeDocument/2006/relationships/comments" Target="../comments2.xml"/><Relationship Id="rId5" Type="http://schemas.openxmlformats.org/officeDocument/2006/relationships/hyperlink" Target="https://dev.azure.com/heartlandschools/Mosaic/_git/BOH/pullrequest/42535" TargetMode="External"/><Relationship Id="rId10" Type="http://schemas.openxmlformats.org/officeDocument/2006/relationships/vmlDrawing" Target="../drawings/vmlDrawing2.vml"/><Relationship Id="rId4" Type="http://schemas.openxmlformats.org/officeDocument/2006/relationships/hyperlink" Target="https://dev.azure.com/heartlandschools/Mosaic/_git/BOH/pullrequest/42723" TargetMode="External"/><Relationship Id="rId9" Type="http://schemas.openxmlformats.org/officeDocument/2006/relationships/hyperlink" Target="https://dev.azure.com/heartlandschools/Mosaic/_git/BOH/pullrequest/42990" TargetMode="External"/></Relationships>
</file>

<file path=xl/worksheets/_rels/sheet5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1.xml.rels><?xml version="1.0" encoding="UTF-8" standalone="yes"?>
<Relationships xmlns="http://schemas.openxmlformats.org/package/2006/relationships"><Relationship Id="rId3" Type="http://schemas.openxmlformats.org/officeDocument/2006/relationships/hyperlink" Target="https://dev.azure.com/heartlandschools/Mosaic/_git/BOH/pullrequest/42398" TargetMode="External"/><Relationship Id="rId7" Type="http://schemas.openxmlformats.org/officeDocument/2006/relationships/hyperlink" Target="https://dev.azure.com/heartlandschools/Mosaic/_git/BOH/pullrequest/42723" TargetMode="External"/><Relationship Id="rId2" Type="http://schemas.openxmlformats.org/officeDocument/2006/relationships/hyperlink" Target="https://dev.azure.com/heartlandschools/Mosaic/_git/BOH/pullrequest/42535" TargetMode="External"/><Relationship Id="rId1" Type="http://schemas.openxmlformats.org/officeDocument/2006/relationships/hyperlink" Target="https://dev.azure.com/heartlandschools/Mosaic/_git/BOH/pullrequest/42316" TargetMode="External"/><Relationship Id="rId6" Type="http://schemas.openxmlformats.org/officeDocument/2006/relationships/hyperlink" Target="https://dev.azure.com/heartlandschools/Mosaic/_git/BOH/pullrequest/42631" TargetMode="External"/><Relationship Id="rId5" Type="http://schemas.openxmlformats.org/officeDocument/2006/relationships/hyperlink" Target="https://dev.azure.com/heartlandschools/Mosaic/_git/BOH/pullrequest/42535" TargetMode="External"/><Relationship Id="rId4" Type="http://schemas.openxmlformats.org/officeDocument/2006/relationships/hyperlink" Target="https://dev.azure.com/heartlandschools/Mosaic/_git/BOH/pullrequest/42402" TargetMode="External"/></Relationships>
</file>

<file path=xl/worksheets/_rels/sheet53.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hyperlink" Target="https://dev.azure.com/heartlandschools/Mosaic/_git/BOH/pullrequest/42316" TargetMode="External"/><Relationship Id="rId7" Type="http://schemas.openxmlformats.org/officeDocument/2006/relationships/hyperlink" Target="https://dev.azure.com/heartlandschools/Mosaic/_git/BOH/pullrequest/42410" TargetMode="External"/><Relationship Id="rId2" Type="http://schemas.openxmlformats.org/officeDocument/2006/relationships/hyperlink" Target="https://dev.azure.com/heartlandschools/Mosaic/_git/BOH/pullrequest/42030" TargetMode="External"/><Relationship Id="rId1" Type="http://schemas.openxmlformats.org/officeDocument/2006/relationships/hyperlink" Target="https://dev.azure.com/heartlandschools/Mosaic/_git/BOH/pullrequest/41931" TargetMode="External"/><Relationship Id="rId6" Type="http://schemas.openxmlformats.org/officeDocument/2006/relationships/hyperlink" Target="https://dev.azure.com/heartlandschools/Mosaic/_git/BOH/pullrequest/42402" TargetMode="External"/><Relationship Id="rId5" Type="http://schemas.openxmlformats.org/officeDocument/2006/relationships/hyperlink" Target="https://dev.azure.com/heartlandschools/Mosaic/_git/BOH/pullrequest/42398" TargetMode="External"/><Relationship Id="rId10" Type="http://schemas.microsoft.com/office/2017/10/relationships/threadedComment" Target="../threadedComments/threadedComment4.xml"/><Relationship Id="rId4" Type="http://schemas.openxmlformats.org/officeDocument/2006/relationships/hyperlink" Target="https://dev.azure.com/heartlandschools/Mosaic/_git/BOH/pullrequest/42316" TargetMode="External"/><Relationship Id="rId9" Type="http://schemas.openxmlformats.org/officeDocument/2006/relationships/comments" Target="../comments4.xml"/></Relationships>
</file>

<file path=xl/worksheets/_rels/sheet55.xml.rels><?xml version="1.0" encoding="UTF-8" standalone="yes"?>
<Relationships xmlns="http://schemas.openxmlformats.org/package/2006/relationships"><Relationship Id="rId3" Type="http://schemas.openxmlformats.org/officeDocument/2006/relationships/hyperlink" Target="https://dev.azure.com/heartlandschools/Mosaic/_git/BOH/pullrequest/41852" TargetMode="External"/><Relationship Id="rId2" Type="http://schemas.openxmlformats.org/officeDocument/2006/relationships/hyperlink" Target="https://dev.azure.com/heartlandschools/Mosaic/_git/BOH/pullrequest/41427" TargetMode="External"/><Relationship Id="rId1" Type="http://schemas.openxmlformats.org/officeDocument/2006/relationships/hyperlink" Target="https://dev.azure.com/heartlandschools/Mosaic/_git/BOH/pullrequest/41931" TargetMode="External"/><Relationship Id="rId6" Type="http://schemas.openxmlformats.org/officeDocument/2006/relationships/hyperlink" Target="https://dev.azure.com/heartlandschools/Mosaic/_git/BOH/pullrequest/42030" TargetMode="External"/><Relationship Id="rId5" Type="http://schemas.openxmlformats.org/officeDocument/2006/relationships/hyperlink" Target="https://docs.google.com/document/d/1J7Qy8QJFFmA8YO_pHAZlEOdLtsaKGbtZVhQuiGmysVo/edit?addon_store&amp;pli=1&amp;tab=t.0" TargetMode="External"/><Relationship Id="rId4" Type="http://schemas.openxmlformats.org/officeDocument/2006/relationships/hyperlink" Target="https://dev.azure.com/heartlandschools/Mosaic/_git/BOH/pullrequest/417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3FA6-C167-444F-8DD2-5EAA23EEBD0D}">
  <dimension ref="A1:F39"/>
  <sheetViews>
    <sheetView topLeftCell="A27" workbookViewId="0">
      <selection activeCell="C49" sqref="C49"/>
    </sheetView>
  </sheetViews>
  <sheetFormatPr defaultRowHeight="12.75"/>
  <cols>
    <col min="2" max="2" width="25.5703125" customWidth="1"/>
    <col min="3" max="3" width="20.42578125" customWidth="1"/>
    <col min="4" max="4" width="67" customWidth="1"/>
    <col min="5" max="5" width="16.5703125" customWidth="1"/>
    <col min="6" max="6" width="33.42578125" customWidth="1"/>
  </cols>
  <sheetData>
    <row r="1" spans="1:6" ht="15.75">
      <c r="A1" s="68" t="s">
        <v>0</v>
      </c>
      <c r="B1" s="68" t="s">
        <v>1</v>
      </c>
      <c r="C1" s="68" t="s">
        <v>2</v>
      </c>
      <c r="D1" s="71" t="s">
        <v>3</v>
      </c>
      <c r="E1" s="68" t="s">
        <v>4</v>
      </c>
      <c r="F1" s="72" t="s">
        <v>5</v>
      </c>
    </row>
    <row r="2" spans="1:6">
      <c r="A2">
        <v>1</v>
      </c>
      <c r="B2" t="s">
        <v>6</v>
      </c>
      <c r="C2" t="s">
        <v>7</v>
      </c>
      <c r="D2" t="s">
        <v>8</v>
      </c>
      <c r="E2" t="s">
        <v>9</v>
      </c>
    </row>
    <row r="3" spans="1:6">
      <c r="A3">
        <v>2</v>
      </c>
      <c r="B3" t="s">
        <v>6</v>
      </c>
      <c r="C3" t="s">
        <v>7</v>
      </c>
      <c r="D3" t="s">
        <v>10</v>
      </c>
      <c r="E3" t="s">
        <v>9</v>
      </c>
    </row>
    <row r="4" spans="1:6">
      <c r="A4">
        <v>3</v>
      </c>
      <c r="B4" t="s">
        <v>6</v>
      </c>
      <c r="C4" t="s">
        <v>7</v>
      </c>
      <c r="D4" t="s">
        <v>11</v>
      </c>
      <c r="E4" t="s">
        <v>9</v>
      </c>
    </row>
    <row r="5" spans="1:6">
      <c r="A5">
        <v>4</v>
      </c>
      <c r="B5" t="s">
        <v>6</v>
      </c>
      <c r="C5" t="s">
        <v>7</v>
      </c>
      <c r="D5" t="s">
        <v>12</v>
      </c>
      <c r="E5" t="s">
        <v>9</v>
      </c>
    </row>
    <row r="6" spans="1:6">
      <c r="A6">
        <v>5</v>
      </c>
      <c r="B6" t="s">
        <v>6</v>
      </c>
      <c r="C6" t="s">
        <v>7</v>
      </c>
      <c r="D6" t="s">
        <v>13</v>
      </c>
      <c r="E6" t="s">
        <v>9</v>
      </c>
      <c r="F6" t="s">
        <v>14</v>
      </c>
    </row>
    <row r="7" spans="1:6">
      <c r="A7">
        <v>6</v>
      </c>
      <c r="B7" t="s">
        <v>15</v>
      </c>
      <c r="C7" t="s">
        <v>7</v>
      </c>
      <c r="D7" t="s">
        <v>16</v>
      </c>
      <c r="E7" t="s">
        <v>9</v>
      </c>
    </row>
    <row r="8" spans="1:6">
      <c r="A8">
        <v>7</v>
      </c>
      <c r="B8" t="s">
        <v>15</v>
      </c>
      <c r="C8" t="s">
        <v>7</v>
      </c>
      <c r="D8" t="s">
        <v>17</v>
      </c>
      <c r="E8" t="s">
        <v>9</v>
      </c>
    </row>
    <row r="9" spans="1:6">
      <c r="A9">
        <v>8</v>
      </c>
      <c r="B9" t="s">
        <v>15</v>
      </c>
      <c r="C9" t="s">
        <v>7</v>
      </c>
      <c r="D9" t="s">
        <v>18</v>
      </c>
      <c r="E9" t="s">
        <v>9</v>
      </c>
    </row>
    <row r="10" spans="1:6">
      <c r="A10">
        <v>9</v>
      </c>
      <c r="B10" t="s">
        <v>15</v>
      </c>
      <c r="C10" t="s">
        <v>7</v>
      </c>
      <c r="D10" t="s">
        <v>19</v>
      </c>
      <c r="E10" t="s">
        <v>9</v>
      </c>
    </row>
    <row r="11" spans="1:6">
      <c r="A11">
        <v>10</v>
      </c>
      <c r="B11" t="s">
        <v>20</v>
      </c>
      <c r="C11" t="s">
        <v>7</v>
      </c>
      <c r="D11" t="s">
        <v>21</v>
      </c>
      <c r="E11" t="s">
        <v>9</v>
      </c>
    </row>
    <row r="12" spans="1:6">
      <c r="A12">
        <v>11</v>
      </c>
      <c r="B12" t="s">
        <v>20</v>
      </c>
      <c r="C12" t="s">
        <v>7</v>
      </c>
      <c r="D12" t="s">
        <v>22</v>
      </c>
      <c r="E12" t="s">
        <v>9</v>
      </c>
    </row>
    <row r="13" spans="1:6">
      <c r="A13">
        <v>12</v>
      </c>
      <c r="B13" t="s">
        <v>23</v>
      </c>
      <c r="C13" t="s">
        <v>7</v>
      </c>
      <c r="D13" t="s">
        <v>24</v>
      </c>
      <c r="E13" t="s">
        <v>9</v>
      </c>
    </row>
    <row r="14" spans="1:6">
      <c r="A14">
        <v>13</v>
      </c>
      <c r="B14" t="s">
        <v>23</v>
      </c>
      <c r="C14" t="s">
        <v>7</v>
      </c>
      <c r="D14" t="s">
        <v>25</v>
      </c>
      <c r="E14" t="s">
        <v>9</v>
      </c>
    </row>
    <row r="15" spans="1:6">
      <c r="A15">
        <v>14</v>
      </c>
      <c r="B15" t="s">
        <v>26</v>
      </c>
      <c r="C15" t="s">
        <v>7</v>
      </c>
      <c r="D15" t="s">
        <v>27</v>
      </c>
      <c r="E15" t="s">
        <v>9</v>
      </c>
    </row>
    <row r="16" spans="1:6">
      <c r="A16">
        <v>15</v>
      </c>
      <c r="B16" t="s">
        <v>26</v>
      </c>
      <c r="C16" t="s">
        <v>7</v>
      </c>
      <c r="D16" t="s">
        <v>28</v>
      </c>
      <c r="E16" t="s">
        <v>9</v>
      </c>
    </row>
    <row r="17" spans="1:5">
      <c r="A17">
        <v>16</v>
      </c>
      <c r="B17" t="s">
        <v>26</v>
      </c>
      <c r="C17" t="s">
        <v>7</v>
      </c>
      <c r="D17" t="s">
        <v>29</v>
      </c>
      <c r="E17" t="s">
        <v>9</v>
      </c>
    </row>
    <row r="18" spans="1:5">
      <c r="A18">
        <v>17</v>
      </c>
      <c r="B18" t="s">
        <v>26</v>
      </c>
      <c r="C18" t="s">
        <v>7</v>
      </c>
      <c r="D18" t="s">
        <v>30</v>
      </c>
      <c r="E18" t="s">
        <v>9</v>
      </c>
    </row>
    <row r="19" spans="1:5">
      <c r="A19">
        <v>18</v>
      </c>
      <c r="B19" t="s">
        <v>26</v>
      </c>
      <c r="C19" t="s">
        <v>7</v>
      </c>
      <c r="D19" t="s">
        <v>31</v>
      </c>
      <c r="E19" t="s">
        <v>9</v>
      </c>
    </row>
    <row r="20" spans="1:5">
      <c r="A20">
        <v>19</v>
      </c>
      <c r="B20" t="s">
        <v>26</v>
      </c>
      <c r="C20" t="s">
        <v>7</v>
      </c>
      <c r="D20" t="s">
        <v>32</v>
      </c>
      <c r="E20" t="s">
        <v>9</v>
      </c>
    </row>
    <row r="21" spans="1:5">
      <c r="A21">
        <v>20</v>
      </c>
      <c r="B21" t="s">
        <v>26</v>
      </c>
      <c r="C21" t="s">
        <v>7</v>
      </c>
      <c r="D21" t="s">
        <v>33</v>
      </c>
      <c r="E21" t="s">
        <v>9</v>
      </c>
    </row>
    <row r="22" spans="1:5">
      <c r="A22">
        <v>21</v>
      </c>
      <c r="B22" t="s">
        <v>34</v>
      </c>
      <c r="C22" t="s">
        <v>7</v>
      </c>
      <c r="D22" t="s">
        <v>35</v>
      </c>
      <c r="E22" t="s">
        <v>9</v>
      </c>
    </row>
    <row r="23" spans="1:5">
      <c r="A23">
        <v>22</v>
      </c>
      <c r="B23" t="s">
        <v>36</v>
      </c>
      <c r="C23" t="s">
        <v>37</v>
      </c>
      <c r="D23" t="s">
        <v>38</v>
      </c>
      <c r="E23" t="s">
        <v>9</v>
      </c>
    </row>
    <row r="24" spans="1:5">
      <c r="A24">
        <v>23</v>
      </c>
      <c r="B24" t="s">
        <v>39</v>
      </c>
      <c r="C24" t="s">
        <v>40</v>
      </c>
      <c r="D24" t="s">
        <v>41</v>
      </c>
      <c r="E24" t="s">
        <v>9</v>
      </c>
    </row>
    <row r="25" spans="1:5">
      <c r="A25">
        <v>24</v>
      </c>
      <c r="B25" t="s">
        <v>42</v>
      </c>
      <c r="C25" t="s">
        <v>40</v>
      </c>
      <c r="D25" t="s">
        <v>43</v>
      </c>
      <c r="E25" t="s">
        <v>9</v>
      </c>
    </row>
    <row r="26" spans="1:5">
      <c r="A26">
        <v>25</v>
      </c>
      <c r="B26" t="s">
        <v>42</v>
      </c>
      <c r="C26" t="s">
        <v>40</v>
      </c>
      <c r="D26" t="s">
        <v>44</v>
      </c>
      <c r="E26" t="s">
        <v>9</v>
      </c>
    </row>
    <row r="27" spans="1:5">
      <c r="A27">
        <v>26</v>
      </c>
      <c r="B27" t="s">
        <v>36</v>
      </c>
      <c r="C27" t="s">
        <v>37</v>
      </c>
      <c r="D27" t="s">
        <v>45</v>
      </c>
      <c r="E27" t="s">
        <v>9</v>
      </c>
    </row>
    <row r="28" spans="1:5">
      <c r="A28">
        <v>27</v>
      </c>
      <c r="B28" t="s">
        <v>46</v>
      </c>
      <c r="C28" t="s">
        <v>47</v>
      </c>
      <c r="D28" t="s">
        <v>48</v>
      </c>
      <c r="E28" t="s">
        <v>9</v>
      </c>
    </row>
    <row r="29" spans="1:5">
      <c r="A29">
        <v>28</v>
      </c>
      <c r="B29" t="s">
        <v>42</v>
      </c>
      <c r="C29" t="s">
        <v>49</v>
      </c>
      <c r="D29" t="s">
        <v>50</v>
      </c>
      <c r="E29" t="s">
        <v>9</v>
      </c>
    </row>
    <row r="30" spans="1:5">
      <c r="A30">
        <v>29</v>
      </c>
      <c r="B30" t="s">
        <v>51</v>
      </c>
      <c r="C30" t="s">
        <v>40</v>
      </c>
      <c r="D30" s="16" t="s">
        <v>52</v>
      </c>
      <c r="E30" t="s">
        <v>9</v>
      </c>
    </row>
    <row r="31" spans="1:5">
      <c r="A31">
        <v>30</v>
      </c>
      <c r="B31" t="s">
        <v>53</v>
      </c>
      <c r="C31" t="s">
        <v>47</v>
      </c>
      <c r="D31" t="s">
        <v>54</v>
      </c>
      <c r="E31" t="s">
        <v>9</v>
      </c>
    </row>
    <row r="32" spans="1:5">
      <c r="A32">
        <v>31</v>
      </c>
      <c r="B32" t="s">
        <v>55</v>
      </c>
      <c r="C32" t="s">
        <v>47</v>
      </c>
      <c r="D32" t="s">
        <v>56</v>
      </c>
      <c r="E32" t="s">
        <v>9</v>
      </c>
    </row>
    <row r="33" spans="1:5">
      <c r="A33">
        <v>32</v>
      </c>
      <c r="B33" t="s">
        <v>57</v>
      </c>
      <c r="C33" t="s">
        <v>40</v>
      </c>
      <c r="D33" t="s">
        <v>58</v>
      </c>
      <c r="E33" t="s">
        <v>9</v>
      </c>
    </row>
    <row r="34" spans="1:5">
      <c r="A34">
        <v>33</v>
      </c>
      <c r="B34" t="s">
        <v>59</v>
      </c>
      <c r="C34" t="s">
        <v>47</v>
      </c>
      <c r="D34" t="s">
        <v>60</v>
      </c>
      <c r="E34" t="s">
        <v>9</v>
      </c>
    </row>
    <row r="35" spans="1:5">
      <c r="A35">
        <v>34</v>
      </c>
      <c r="B35" t="s">
        <v>61</v>
      </c>
      <c r="C35" t="s">
        <v>40</v>
      </c>
      <c r="D35" t="s">
        <v>62</v>
      </c>
      <c r="E35" t="s">
        <v>9</v>
      </c>
    </row>
    <row r="36" spans="1:5">
      <c r="A36">
        <v>35</v>
      </c>
      <c r="B36" t="s">
        <v>63</v>
      </c>
      <c r="C36" t="s">
        <v>49</v>
      </c>
      <c r="D36" s="17" t="s">
        <v>64</v>
      </c>
      <c r="E36" t="s">
        <v>9</v>
      </c>
    </row>
    <row r="37" spans="1:5">
      <c r="A37">
        <v>36</v>
      </c>
      <c r="B37" t="s">
        <v>65</v>
      </c>
      <c r="C37" t="s">
        <v>66</v>
      </c>
      <c r="D37" t="s">
        <v>67</v>
      </c>
      <c r="E37" t="s">
        <v>9</v>
      </c>
    </row>
    <row r="38" spans="1:5">
      <c r="A38">
        <v>37</v>
      </c>
      <c r="B38" t="s">
        <v>68</v>
      </c>
      <c r="C38" t="s">
        <v>66</v>
      </c>
      <c r="D38" t="s">
        <v>69</v>
      </c>
      <c r="E38" s="101" t="s">
        <v>70</v>
      </c>
    </row>
    <row r="39" spans="1:5">
      <c r="A39">
        <v>38</v>
      </c>
      <c r="B39" t="s">
        <v>71</v>
      </c>
      <c r="C39" t="s">
        <v>66</v>
      </c>
      <c r="D39" t="s">
        <v>72</v>
      </c>
      <c r="E39"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B027-8EAC-4491-8602-26373BA856D9}">
  <sheetPr>
    <tabColor rgb="FFFFFF00"/>
    <outlinePr summaryBelow="0" summaryRight="0"/>
  </sheetPr>
  <dimension ref="A1:AB992"/>
  <sheetViews>
    <sheetView topLeftCell="B1" workbookViewId="0">
      <selection activeCell="Y2" sqref="Y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73" t="s">
        <v>73</v>
      </c>
      <c r="B1" s="1" t="s">
        <v>74</v>
      </c>
      <c r="C1" s="74" t="s">
        <v>75</v>
      </c>
      <c r="D1" s="74" t="s">
        <v>76</v>
      </c>
      <c r="E1" s="1" t="s">
        <v>2</v>
      </c>
      <c r="F1" s="74" t="s">
        <v>77</v>
      </c>
      <c r="G1" s="74" t="s">
        <v>78</v>
      </c>
      <c r="H1" s="1" t="s">
        <v>79</v>
      </c>
      <c r="I1" s="1" t="s">
        <v>80</v>
      </c>
      <c r="J1" s="1" t="s">
        <v>81</v>
      </c>
      <c r="K1" s="1" t="s">
        <v>4</v>
      </c>
      <c r="L1" s="75" t="s">
        <v>82</v>
      </c>
      <c r="M1" s="3" t="s">
        <v>5</v>
      </c>
      <c r="N1" s="6"/>
      <c r="O1" s="6"/>
      <c r="P1" s="6"/>
      <c r="Q1" s="6"/>
      <c r="R1" s="6"/>
      <c r="S1" s="6"/>
      <c r="T1" s="6"/>
      <c r="U1" s="6"/>
      <c r="V1" s="6"/>
      <c r="W1" s="6"/>
      <c r="X1" s="6"/>
      <c r="Y1" s="6"/>
      <c r="Z1" s="6"/>
      <c r="AA1" s="6"/>
      <c r="AB1" s="6"/>
    </row>
    <row r="2" spans="1:28" ht="70.5" customHeight="1">
      <c r="B2" s="4"/>
      <c r="C2" s="20"/>
      <c r="D2" s="76"/>
      <c r="E2" s="12"/>
      <c r="F2" s="77"/>
      <c r="G2" s="13"/>
      <c r="H2" s="4"/>
      <c r="I2" s="77"/>
      <c r="J2" s="4"/>
      <c r="K2" s="77"/>
      <c r="L2" s="4"/>
      <c r="M2" s="12"/>
    </row>
    <row r="3" spans="1:28" ht="33.75" customHeight="1">
      <c r="B3" s="4"/>
      <c r="C3" s="20"/>
      <c r="D3" s="20"/>
      <c r="E3" s="4"/>
      <c r="F3" s="4"/>
      <c r="G3" s="13"/>
      <c r="H3" s="4"/>
      <c r="I3" s="4"/>
      <c r="J3" s="4"/>
      <c r="K3" s="4"/>
      <c r="L3" s="4"/>
      <c r="M3" s="12"/>
    </row>
    <row r="4" spans="1:28" ht="15.75" customHeight="1"/>
    <row r="5" spans="1:28" ht="15.75" customHeight="1"/>
    <row r="6" spans="1:28" ht="15.75" customHeight="1"/>
    <row r="7" spans="1:28" ht="15.75" customHeight="1">
      <c r="F7" s="15"/>
    </row>
    <row r="8" spans="1:28" ht="15.75" customHeight="1"/>
    <row r="9" spans="1:28" ht="15.75" customHeight="1"/>
    <row r="10" spans="1:28" ht="15.75" customHeight="1">
      <c r="K10" s="15"/>
    </row>
    <row r="11" spans="1:28" ht="15.75" customHeight="1"/>
    <row r="12" spans="1:28" ht="15.75" customHeight="1"/>
    <row r="13" spans="1:28" ht="15.75" customHeight="1"/>
    <row r="14" spans="1:28" ht="15.75" customHeight="1">
      <c r="N14" s="15"/>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92B66888-8AB4-4942-BECC-805CFEA4876B}">
      <formula1>"Internal,External"</formula1>
    </dataValidation>
    <dataValidation type="list" allowBlank="1" showErrorMessage="1" sqref="K3" xr:uid="{4A3C9226-780E-40C3-99B8-43109F9DFFDE}">
      <formula1>"Open,Inprogress,Closed"</formula1>
    </dataValidation>
    <dataValidation type="list" allowBlank="1" showErrorMessage="1" sqref="H2:H3" xr:uid="{E80433EC-91C7-4ACC-B674-2217FDD341F2}">
      <formula1>"Minor,Significant,Major"</formula1>
    </dataValidation>
    <dataValidation type="list" allowBlank="1" showErrorMessage="1" sqref="F3" xr:uid="{2D72D800-3881-4139-B5F4-C6FD58460D1F}">
      <formula1>"Bounceback,Defect,None"</formula1>
    </dataValidation>
    <dataValidation type="list" allowBlank="1" showErrorMessage="1" sqref="F2" xr:uid="{FAC88D58-DC73-4F7B-9A28-770E577C3983}">
      <formula1>"Bounceback/Sub-Defect,Defect,None"</formula1>
    </dataValidation>
    <dataValidation type="list" allowBlank="1" showErrorMessage="1" sqref="I2:I3" xr:uid="{2412D0CA-FA64-4B56-8EE4-612B9052685D}">
      <formula1>"Manual, Automation"</formula1>
    </dataValidation>
    <dataValidation type="list" allowBlank="1" showErrorMessage="1" sqref="K2" xr:uid="{FA6465CF-7705-4400-A135-94885864FA1C}">
      <formula1>"Open,Inprogress,Closed/Rejected"</formula1>
    </dataValidation>
    <dataValidation type="list" allowBlank="1" showErrorMessage="1" sqref="L2:L3" xr:uid="{5329737B-36D1-46E4-B596-262074F9C1D0}">
      <formula1>$A$2:$A$10</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57"/>
  <sheetViews>
    <sheetView showGridLines="0" workbookViewId="0">
      <pane ySplit="2" topLeftCell="A55" activePane="bottomLeft" state="frozen"/>
      <selection pane="bottomLeft" activeCell="A60" sqref="A60"/>
    </sheetView>
  </sheetViews>
  <sheetFormatPr defaultColWidth="12.5703125" defaultRowHeight="15.75" customHeight="1"/>
  <cols>
    <col min="1" max="1" width="18.140625" style="31" customWidth="1"/>
    <col min="2" max="2" width="12.5703125" style="225"/>
    <col min="3" max="4" width="12.85546875" style="225" customWidth="1"/>
    <col min="5" max="5" width="16.42578125" style="226" customWidth="1"/>
    <col min="6" max="6" width="12.5703125" style="52"/>
    <col min="7" max="7" width="20.28515625" style="44" customWidth="1"/>
    <col min="8" max="8" width="46.28515625" style="44" customWidth="1"/>
    <col min="9" max="9" width="41.140625" style="44" customWidth="1"/>
    <col min="10" max="10" width="66.28515625" style="31" customWidth="1"/>
    <col min="11" max="11" width="38.42578125" style="31" customWidth="1"/>
    <col min="12" max="12" width="18.5703125" style="31" customWidth="1"/>
    <col min="13" max="13" width="22.28515625" style="31" customWidth="1"/>
    <col min="14" max="14" width="16.85546875" style="31" customWidth="1"/>
    <col min="15" max="15" width="36.5703125" style="31" bestFit="1" customWidth="1"/>
    <col min="16" max="16384" width="12.5703125" style="31"/>
  </cols>
  <sheetData>
    <row r="1" spans="1:16" customFormat="1" ht="12.75">
      <c r="A1" s="89" t="s">
        <v>83</v>
      </c>
      <c r="B1" s="200" t="str" cm="1">
        <f t="array" aca="1" ref="B1" ca="1">INDEX($B$2:$B$104,MATCH(1,(($D$2:$D$104 &gt;=TODAY())*($C$2:$C$104&lt;=TODAY())),0))</f>
        <v>26.06 Sprint 4</v>
      </c>
      <c r="C1" s="200" t="s">
        <v>84</v>
      </c>
      <c r="D1" s="201" t="str">
        <f ca="1">CONCATENATE(B1,"-Status")</f>
        <v>26.06 Sprint 4-Status</v>
      </c>
      <c r="E1" s="202" t="s">
        <v>85</v>
      </c>
      <c r="F1" s="60">
        <f ca="1">VLOOKUP($B$1,$B$1:$C$108,2)</f>
        <v>46155</v>
      </c>
      <c r="G1" s="91" t="s">
        <v>86</v>
      </c>
      <c r="H1" s="90">
        <f ca="1">VLOOKUP($B$1,$B$1:$D$108,3)</f>
        <v>46168</v>
      </c>
      <c r="I1" s="91" t="s">
        <v>1</v>
      </c>
      <c r="J1" t="s">
        <v>87</v>
      </c>
      <c r="K1" s="31" t="s">
        <v>88</v>
      </c>
      <c r="L1" t="s">
        <v>89</v>
      </c>
      <c r="M1" t="s">
        <v>90</v>
      </c>
      <c r="N1" s="20" t="s">
        <v>91</v>
      </c>
      <c r="O1" s="92"/>
    </row>
    <row r="2" spans="1:16" ht="27">
      <c r="A2" s="26" t="s">
        <v>92</v>
      </c>
      <c r="B2" s="26" t="s">
        <v>74</v>
      </c>
      <c r="C2" s="26" t="s">
        <v>85</v>
      </c>
      <c r="D2" s="26" t="s">
        <v>86</v>
      </c>
      <c r="E2" s="26" t="s">
        <v>93</v>
      </c>
      <c r="F2" s="26" t="s">
        <v>9</v>
      </c>
      <c r="G2" s="27" t="s">
        <v>94</v>
      </c>
      <c r="H2" s="28" t="s">
        <v>95</v>
      </c>
      <c r="I2" s="28" t="s">
        <v>96</v>
      </c>
      <c r="J2" s="29" t="s">
        <v>97</v>
      </c>
      <c r="K2" s="26" t="s">
        <v>98</v>
      </c>
      <c r="L2" s="26" t="s">
        <v>99</v>
      </c>
      <c r="M2" s="26" t="s">
        <v>100</v>
      </c>
      <c r="N2" s="30" t="s">
        <v>101</v>
      </c>
      <c r="O2" s="410" t="s">
        <v>102</v>
      </c>
      <c r="P2" s="26" t="s">
        <v>103</v>
      </c>
    </row>
    <row r="3" spans="1:16" ht="24">
      <c r="A3" s="21" t="str">
        <f ca="1">IF(AND($D$1&gt;=C3,$D$1&lt;=D3),"CurrentSprint","NA")</f>
        <v>NA</v>
      </c>
      <c r="B3" s="203" t="s">
        <v>104</v>
      </c>
      <c r="C3" s="204">
        <v>45300</v>
      </c>
      <c r="D3" s="204">
        <v>45314</v>
      </c>
      <c r="E3" s="205">
        <v>25</v>
      </c>
      <c r="F3" s="61">
        <v>22</v>
      </c>
      <c r="G3" s="57"/>
      <c r="H3" s="58"/>
      <c r="I3" s="58"/>
      <c r="J3" s="32" t="s">
        <v>105</v>
      </c>
      <c r="K3" s="5" t="s">
        <v>106</v>
      </c>
      <c r="L3" s="5"/>
      <c r="M3" s="5"/>
      <c r="N3" s="21"/>
      <c r="O3" s="411"/>
      <c r="P3" s="25"/>
    </row>
    <row r="4" spans="1:16" ht="24">
      <c r="A4" s="21" t="str">
        <f t="shared" ref="A4:A24" ca="1" si="0">IF(AND($D$1&gt;=C4,$D$1&lt;=D4),"CurrentSprint","NA")</f>
        <v>NA</v>
      </c>
      <c r="B4" s="206" t="s">
        <v>107</v>
      </c>
      <c r="C4" s="207">
        <v>45315</v>
      </c>
      <c r="D4" s="207">
        <v>45328</v>
      </c>
      <c r="E4" s="208">
        <v>26</v>
      </c>
      <c r="F4" s="62">
        <v>21</v>
      </c>
      <c r="G4" s="56"/>
      <c r="H4" s="56"/>
      <c r="I4" s="56"/>
      <c r="J4" s="33" t="s">
        <v>108</v>
      </c>
      <c r="K4" s="5" t="s">
        <v>106</v>
      </c>
      <c r="L4" s="5"/>
      <c r="M4" s="5"/>
      <c r="N4" s="21"/>
      <c r="O4" s="411"/>
      <c r="P4" s="25"/>
    </row>
    <row r="5" spans="1:16" ht="24">
      <c r="A5" s="21" t="str">
        <f t="shared" ca="1" si="0"/>
        <v>NA</v>
      </c>
      <c r="B5" s="206" t="s">
        <v>109</v>
      </c>
      <c r="C5" s="207">
        <v>45329</v>
      </c>
      <c r="D5" s="207">
        <v>45342</v>
      </c>
      <c r="E5" s="208">
        <v>16</v>
      </c>
      <c r="F5" s="62">
        <v>16</v>
      </c>
      <c r="G5" s="56"/>
      <c r="H5" s="56"/>
      <c r="I5" s="56"/>
      <c r="J5" s="32" t="s">
        <v>105</v>
      </c>
      <c r="K5" s="5" t="s">
        <v>106</v>
      </c>
      <c r="L5" s="5"/>
      <c r="M5" s="5"/>
      <c r="N5" s="21"/>
      <c r="O5" s="411"/>
      <c r="P5" s="25"/>
    </row>
    <row r="6" spans="1:16" ht="39" customHeight="1">
      <c r="A6" s="21" t="str">
        <f t="shared" ca="1" si="0"/>
        <v>NA</v>
      </c>
      <c r="B6" s="209" t="s">
        <v>110</v>
      </c>
      <c r="C6" s="210">
        <v>45343</v>
      </c>
      <c r="D6" s="210">
        <v>45356</v>
      </c>
      <c r="E6" s="211">
        <v>23</v>
      </c>
      <c r="F6" s="50">
        <v>16</v>
      </c>
      <c r="G6" s="38"/>
      <c r="H6" s="38"/>
      <c r="I6" s="38"/>
      <c r="J6" s="35" t="s">
        <v>111</v>
      </c>
      <c r="K6" s="5" t="s">
        <v>106</v>
      </c>
      <c r="L6" s="5"/>
      <c r="M6" s="5"/>
      <c r="N6" s="21"/>
      <c r="O6" s="411"/>
      <c r="P6" s="25"/>
    </row>
    <row r="7" spans="1:16" ht="24">
      <c r="A7" s="21" t="str">
        <f t="shared" ca="1" si="0"/>
        <v>NA</v>
      </c>
      <c r="B7" s="209" t="s">
        <v>112</v>
      </c>
      <c r="C7" s="210">
        <v>45357</v>
      </c>
      <c r="D7" s="210">
        <v>45370</v>
      </c>
      <c r="E7" s="211">
        <v>20</v>
      </c>
      <c r="F7" s="50">
        <v>26</v>
      </c>
      <c r="G7" s="34"/>
      <c r="H7" s="34"/>
      <c r="I7" s="34"/>
      <c r="J7" s="36" t="s">
        <v>113</v>
      </c>
      <c r="K7" s="5" t="s">
        <v>106</v>
      </c>
      <c r="L7" s="5"/>
      <c r="M7" s="5"/>
      <c r="N7" s="21"/>
      <c r="O7" s="411"/>
      <c r="P7" s="25"/>
    </row>
    <row r="8" spans="1:16" ht="24">
      <c r="A8" s="21" t="str">
        <f t="shared" ca="1" si="0"/>
        <v>NA</v>
      </c>
      <c r="B8" s="209" t="s">
        <v>114</v>
      </c>
      <c r="C8" s="210">
        <v>45371</v>
      </c>
      <c r="D8" s="210">
        <v>45384</v>
      </c>
      <c r="E8" s="211">
        <v>22</v>
      </c>
      <c r="F8" s="50">
        <v>17</v>
      </c>
      <c r="G8" s="34"/>
      <c r="H8" s="34"/>
      <c r="I8" s="34"/>
      <c r="J8" s="36" t="s">
        <v>115</v>
      </c>
      <c r="K8" s="5" t="s">
        <v>106</v>
      </c>
      <c r="L8" s="5"/>
      <c r="M8" s="5"/>
      <c r="N8" s="21"/>
      <c r="O8" s="411"/>
      <c r="P8" s="25"/>
    </row>
    <row r="9" spans="1:16" ht="24">
      <c r="A9" s="21" t="str">
        <f t="shared" ca="1" si="0"/>
        <v>NA</v>
      </c>
      <c r="B9" s="209" t="s">
        <v>116</v>
      </c>
      <c r="C9" s="210">
        <v>45385</v>
      </c>
      <c r="D9" s="210">
        <v>45398</v>
      </c>
      <c r="E9" s="211">
        <v>21</v>
      </c>
      <c r="F9" s="50">
        <v>27</v>
      </c>
      <c r="G9" s="37"/>
      <c r="H9" s="38"/>
      <c r="I9" s="38"/>
      <c r="J9" s="39" t="s">
        <v>117</v>
      </c>
      <c r="K9" s="5" t="s">
        <v>106</v>
      </c>
      <c r="L9" s="5"/>
      <c r="M9" s="5"/>
      <c r="N9" s="21"/>
      <c r="O9" s="411"/>
      <c r="P9" s="25"/>
    </row>
    <row r="10" spans="1:16" ht="24">
      <c r="A10" s="21" t="str">
        <f t="shared" ca="1" si="0"/>
        <v>NA</v>
      </c>
      <c r="B10" s="209" t="s">
        <v>118</v>
      </c>
      <c r="C10" s="210">
        <v>45399</v>
      </c>
      <c r="D10" s="210">
        <v>45412</v>
      </c>
      <c r="E10" s="211">
        <v>18</v>
      </c>
      <c r="F10" s="50">
        <v>18</v>
      </c>
      <c r="G10" s="37"/>
      <c r="H10" s="34"/>
      <c r="I10" s="34"/>
      <c r="J10" s="36" t="s">
        <v>119</v>
      </c>
      <c r="K10" s="5" t="s">
        <v>106</v>
      </c>
      <c r="L10" s="5"/>
      <c r="M10" s="5"/>
      <c r="N10" s="21"/>
      <c r="O10" s="411"/>
      <c r="P10" s="25"/>
    </row>
    <row r="11" spans="1:16" ht="24">
      <c r="A11" s="21" t="str">
        <f t="shared" ca="1" si="0"/>
        <v>NA</v>
      </c>
      <c r="B11" s="209" t="s">
        <v>120</v>
      </c>
      <c r="C11" s="210">
        <v>45413</v>
      </c>
      <c r="D11" s="210">
        <v>45426</v>
      </c>
      <c r="E11" s="211">
        <v>36</v>
      </c>
      <c r="F11" s="50">
        <v>36</v>
      </c>
      <c r="G11" s="40"/>
      <c r="H11" s="41"/>
      <c r="I11" s="41"/>
      <c r="J11" s="36" t="s">
        <v>105</v>
      </c>
      <c r="K11" s="5" t="s">
        <v>106</v>
      </c>
      <c r="L11" s="5"/>
      <c r="M11" s="5"/>
      <c r="N11" s="21"/>
      <c r="O11" s="411"/>
      <c r="P11" s="25"/>
    </row>
    <row r="12" spans="1:16" ht="24">
      <c r="A12" s="21" t="str">
        <f t="shared" ca="1" si="0"/>
        <v>NA</v>
      </c>
      <c r="B12" s="209" t="s">
        <v>121</v>
      </c>
      <c r="C12" s="210">
        <v>45427</v>
      </c>
      <c r="D12" s="210">
        <v>45440</v>
      </c>
      <c r="E12" s="211">
        <v>30</v>
      </c>
      <c r="F12" s="50">
        <v>30</v>
      </c>
      <c r="G12" s="40"/>
      <c r="H12" s="41"/>
      <c r="I12" s="41"/>
      <c r="J12" s="36" t="s">
        <v>105</v>
      </c>
      <c r="K12" s="5" t="s">
        <v>106</v>
      </c>
      <c r="L12" s="5"/>
      <c r="M12" s="5"/>
      <c r="N12" s="21"/>
      <c r="O12" s="411"/>
      <c r="P12" s="25"/>
    </row>
    <row r="13" spans="1:16" ht="24">
      <c r="A13" s="21" t="str">
        <f t="shared" ca="1" si="0"/>
        <v>NA</v>
      </c>
      <c r="B13" s="209" t="s">
        <v>122</v>
      </c>
      <c r="C13" s="210">
        <v>45441</v>
      </c>
      <c r="D13" s="210">
        <v>45454</v>
      </c>
      <c r="E13" s="211">
        <v>14</v>
      </c>
      <c r="F13" s="50">
        <v>14</v>
      </c>
      <c r="G13" s="40"/>
      <c r="H13" s="41"/>
      <c r="I13" s="41"/>
      <c r="J13" s="36" t="s">
        <v>123</v>
      </c>
      <c r="K13" s="5" t="s">
        <v>106</v>
      </c>
      <c r="L13" s="5"/>
      <c r="M13" s="5"/>
      <c r="N13" s="21"/>
      <c r="O13" s="411"/>
      <c r="P13" s="25"/>
    </row>
    <row r="14" spans="1:16" ht="15.75" customHeight="1">
      <c r="A14" s="21" t="str">
        <f t="shared" ca="1" si="0"/>
        <v>NA</v>
      </c>
      <c r="B14" s="209" t="s">
        <v>124</v>
      </c>
      <c r="C14" s="210">
        <v>45455</v>
      </c>
      <c r="D14" s="210">
        <v>45468</v>
      </c>
      <c r="E14" s="211">
        <v>18</v>
      </c>
      <c r="F14" s="50">
        <v>18</v>
      </c>
      <c r="G14" s="40"/>
      <c r="H14" s="41"/>
      <c r="I14" s="41"/>
      <c r="J14" s="36" t="s">
        <v>125</v>
      </c>
      <c r="K14" s="5" t="s">
        <v>106</v>
      </c>
      <c r="L14" s="5"/>
      <c r="M14" s="5"/>
      <c r="N14" s="21"/>
      <c r="O14" s="411"/>
      <c r="P14" s="25"/>
    </row>
    <row r="15" spans="1:16" ht="15.75" customHeight="1">
      <c r="A15" s="21" t="str">
        <f t="shared" ca="1" si="0"/>
        <v>NA</v>
      </c>
      <c r="B15" s="209" t="s">
        <v>126</v>
      </c>
      <c r="C15" s="210">
        <v>45469</v>
      </c>
      <c r="D15" s="210">
        <v>45496</v>
      </c>
      <c r="E15" s="211">
        <v>31</v>
      </c>
      <c r="F15" s="50">
        <v>31</v>
      </c>
      <c r="G15" s="40"/>
      <c r="H15" s="41"/>
      <c r="I15" s="41"/>
      <c r="J15" s="36" t="s">
        <v>125</v>
      </c>
      <c r="K15" s="5" t="s">
        <v>106</v>
      </c>
      <c r="L15" s="5"/>
      <c r="M15" s="5"/>
      <c r="N15" s="21"/>
      <c r="O15" s="411"/>
      <c r="P15" s="25"/>
    </row>
    <row r="16" spans="1:16" ht="15.75" customHeight="1">
      <c r="A16" s="21" t="str">
        <f t="shared" ca="1" si="0"/>
        <v>NA</v>
      </c>
      <c r="B16" s="209" t="s">
        <v>127</v>
      </c>
      <c r="C16" s="210">
        <v>45497</v>
      </c>
      <c r="D16" s="210">
        <v>45510</v>
      </c>
      <c r="E16" s="211">
        <v>25</v>
      </c>
      <c r="F16" s="50">
        <v>25</v>
      </c>
      <c r="G16" s="40"/>
      <c r="H16" s="42"/>
      <c r="I16" s="42"/>
      <c r="J16" s="39" t="s">
        <v>128</v>
      </c>
      <c r="K16" s="5" t="s">
        <v>106</v>
      </c>
      <c r="L16" s="5"/>
      <c r="M16" s="5"/>
      <c r="N16" s="21"/>
      <c r="O16" s="411"/>
      <c r="P16" s="25"/>
    </row>
    <row r="17" spans="1:16" ht="15.75" customHeight="1">
      <c r="A17" s="21" t="str">
        <f t="shared" ca="1" si="0"/>
        <v>NA</v>
      </c>
      <c r="B17" s="209" t="s">
        <v>129</v>
      </c>
      <c r="C17" s="210">
        <v>45511</v>
      </c>
      <c r="D17" s="210">
        <v>45524</v>
      </c>
      <c r="E17" s="211">
        <v>19</v>
      </c>
      <c r="F17" s="50">
        <v>24</v>
      </c>
      <c r="G17" s="40"/>
      <c r="H17" s="42"/>
      <c r="I17" s="42"/>
      <c r="J17" s="39" t="s">
        <v>130</v>
      </c>
      <c r="K17" s="5" t="s">
        <v>106</v>
      </c>
      <c r="L17" s="5"/>
      <c r="M17" s="5"/>
      <c r="N17" s="21"/>
      <c r="O17" s="411"/>
      <c r="P17" s="25"/>
    </row>
    <row r="18" spans="1:16" ht="84.75" customHeight="1">
      <c r="A18" s="21" t="str">
        <f t="shared" ca="1" si="0"/>
        <v>NA</v>
      </c>
      <c r="B18" s="209" t="s">
        <v>131</v>
      </c>
      <c r="C18" s="210">
        <v>45525</v>
      </c>
      <c r="D18" s="210">
        <v>45538</v>
      </c>
      <c r="E18" s="211">
        <v>17</v>
      </c>
      <c r="F18" s="50">
        <v>17</v>
      </c>
      <c r="G18" s="40"/>
      <c r="H18" s="42"/>
      <c r="I18" s="42"/>
      <c r="J18" s="43" t="s">
        <v>132</v>
      </c>
      <c r="K18" s="5" t="s">
        <v>106</v>
      </c>
      <c r="L18" s="5"/>
      <c r="M18" s="5"/>
      <c r="N18" s="21" t="s">
        <v>9</v>
      </c>
      <c r="O18" s="411"/>
      <c r="P18" s="25"/>
    </row>
    <row r="19" spans="1:16" ht="48">
      <c r="A19" s="21" t="str">
        <f t="shared" ca="1" si="0"/>
        <v>NA</v>
      </c>
      <c r="B19" s="209" t="s">
        <v>133</v>
      </c>
      <c r="C19" s="210">
        <v>45539</v>
      </c>
      <c r="D19" s="210">
        <v>45552</v>
      </c>
      <c r="E19" s="211">
        <v>23</v>
      </c>
      <c r="F19" s="50">
        <v>37</v>
      </c>
      <c r="G19" s="40" t="s">
        <v>134</v>
      </c>
      <c r="H19" s="42"/>
      <c r="I19" s="42"/>
      <c r="J19" s="43" t="s">
        <v>135</v>
      </c>
      <c r="K19" s="5" t="s">
        <v>106</v>
      </c>
      <c r="L19" s="5"/>
      <c r="M19" s="5"/>
      <c r="N19" s="21" t="s">
        <v>9</v>
      </c>
      <c r="O19" s="411"/>
      <c r="P19" s="25"/>
    </row>
    <row r="20" spans="1:16" ht="51" customHeight="1">
      <c r="A20" s="21" t="str">
        <f t="shared" ca="1" si="0"/>
        <v>NA</v>
      </c>
      <c r="B20" s="209" t="s">
        <v>136</v>
      </c>
      <c r="C20" s="210">
        <v>45553</v>
      </c>
      <c r="D20" s="210">
        <v>45566</v>
      </c>
      <c r="E20" s="211">
        <v>8</v>
      </c>
      <c r="F20" s="50">
        <v>20</v>
      </c>
      <c r="G20" s="40"/>
      <c r="H20" s="42"/>
      <c r="I20" s="42"/>
      <c r="J20" s="43" t="s">
        <v>137</v>
      </c>
      <c r="K20" s="5" t="s">
        <v>106</v>
      </c>
      <c r="L20" s="5"/>
      <c r="M20" s="5"/>
      <c r="N20" s="21" t="s">
        <v>9</v>
      </c>
      <c r="O20" s="411"/>
      <c r="P20" s="25"/>
    </row>
    <row r="21" spans="1:16" ht="70.5" customHeight="1">
      <c r="A21" s="21" t="str">
        <f t="shared" ca="1" si="0"/>
        <v>NA</v>
      </c>
      <c r="B21" s="209" t="s">
        <v>138</v>
      </c>
      <c r="C21" s="210">
        <v>45567</v>
      </c>
      <c r="D21" s="210">
        <v>45580</v>
      </c>
      <c r="E21" s="211">
        <v>18</v>
      </c>
      <c r="F21" s="50">
        <v>15</v>
      </c>
      <c r="G21" s="40"/>
      <c r="H21" s="42"/>
      <c r="I21" s="42"/>
      <c r="J21" s="43" t="s">
        <v>139</v>
      </c>
      <c r="K21" s="5" t="s">
        <v>106</v>
      </c>
      <c r="L21" s="5"/>
      <c r="M21" s="5"/>
      <c r="N21" s="21" t="s">
        <v>9</v>
      </c>
      <c r="O21" s="411"/>
      <c r="P21" s="25"/>
    </row>
    <row r="22" spans="1:16" ht="60.75" customHeight="1">
      <c r="A22" s="21" t="str">
        <f t="shared" ca="1" si="0"/>
        <v>NA</v>
      </c>
      <c r="B22" s="209" t="s">
        <v>140</v>
      </c>
      <c r="C22" s="210">
        <v>45581</v>
      </c>
      <c r="D22" s="210">
        <v>45594</v>
      </c>
      <c r="E22" s="211">
        <v>25</v>
      </c>
      <c r="F22" s="50">
        <v>30</v>
      </c>
      <c r="G22" s="40"/>
      <c r="H22" s="42"/>
      <c r="I22" s="42"/>
      <c r="J22" s="43" t="s">
        <v>141</v>
      </c>
      <c r="K22" s="18" t="s">
        <v>142</v>
      </c>
      <c r="L22" s="18"/>
      <c r="M22" s="18"/>
      <c r="N22" s="21" t="s">
        <v>9</v>
      </c>
      <c r="O22" s="411"/>
      <c r="P22" s="25"/>
    </row>
    <row r="23" spans="1:16" ht="102" customHeight="1">
      <c r="A23" s="21" t="str">
        <f t="shared" ca="1" si="0"/>
        <v>NA</v>
      </c>
      <c r="B23" s="209" t="s">
        <v>143</v>
      </c>
      <c r="C23" s="210">
        <v>45595</v>
      </c>
      <c r="D23" s="210">
        <v>45608</v>
      </c>
      <c r="E23" s="211">
        <v>30</v>
      </c>
      <c r="F23" s="50">
        <v>30</v>
      </c>
      <c r="G23" s="40" t="s">
        <v>144</v>
      </c>
      <c r="H23" s="42"/>
      <c r="I23" s="51" t="s">
        <v>145</v>
      </c>
      <c r="J23" s="43" t="s">
        <v>146</v>
      </c>
      <c r="K23" s="5" t="s">
        <v>106</v>
      </c>
      <c r="L23" s="5"/>
      <c r="M23" s="5"/>
      <c r="N23" s="21" t="s">
        <v>9</v>
      </c>
      <c r="O23" s="411"/>
      <c r="P23" s="25"/>
    </row>
    <row r="24" spans="1:16" ht="128.25" customHeight="1">
      <c r="A24" s="21" t="s">
        <v>147</v>
      </c>
      <c r="B24" s="209" t="s">
        <v>148</v>
      </c>
      <c r="C24" s="210">
        <v>45609</v>
      </c>
      <c r="D24" s="210">
        <v>45636</v>
      </c>
      <c r="E24" s="211">
        <v>25</v>
      </c>
      <c r="F24" s="50">
        <v>20</v>
      </c>
      <c r="G24" s="40"/>
      <c r="H24" s="42"/>
      <c r="I24" s="59" t="s">
        <v>149</v>
      </c>
      <c r="J24" s="43" t="s">
        <v>150</v>
      </c>
      <c r="K24" s="5" t="s">
        <v>151</v>
      </c>
      <c r="L24" s="5"/>
      <c r="M24" s="5"/>
      <c r="N24" s="21" t="s">
        <v>9</v>
      </c>
      <c r="O24" s="411"/>
      <c r="P24" s="25"/>
    </row>
    <row r="25" spans="1:16" ht="153.75" customHeight="1">
      <c r="A25" s="21" t="str">
        <f ca="1">IF(AND($D$1&gt;=C25,$D$1&lt;=D25),"CurrentSprint","NA")</f>
        <v>NA</v>
      </c>
      <c r="B25" s="209" t="s">
        <v>152</v>
      </c>
      <c r="C25" s="210">
        <v>45637</v>
      </c>
      <c r="D25" s="210">
        <v>45664</v>
      </c>
      <c r="E25" s="211">
        <v>25</v>
      </c>
      <c r="F25" s="50">
        <v>25</v>
      </c>
      <c r="G25" s="40"/>
      <c r="H25" s="42"/>
      <c r="I25" s="65" t="s">
        <v>153</v>
      </c>
      <c r="J25" s="66" t="s">
        <v>154</v>
      </c>
      <c r="K25" s="67" t="s">
        <v>155</v>
      </c>
      <c r="L25" s="67"/>
      <c r="M25" s="67"/>
      <c r="N25" s="21" t="s">
        <v>9</v>
      </c>
      <c r="O25" s="411"/>
      <c r="P25" s="25"/>
    </row>
    <row r="26" spans="1:16" ht="130.5">
      <c r="A26" s="21" t="str">
        <f ca="1">IF(AND($D$1&gt;=C26,$D$1&lt;=D26),"CurrentSprint","NA")</f>
        <v>NA</v>
      </c>
      <c r="B26" s="209" t="s">
        <v>156</v>
      </c>
      <c r="C26" s="210">
        <v>45665</v>
      </c>
      <c r="D26" s="210">
        <v>45678</v>
      </c>
      <c r="E26" s="211">
        <v>20</v>
      </c>
      <c r="F26" s="50">
        <v>20</v>
      </c>
      <c r="G26" s="40"/>
      <c r="H26" s="42"/>
      <c r="I26" s="65" t="s">
        <v>157</v>
      </c>
      <c r="J26" s="43" t="s">
        <v>158</v>
      </c>
      <c r="K26" s="5" t="s">
        <v>159</v>
      </c>
      <c r="L26" s="5"/>
      <c r="M26" s="5"/>
      <c r="N26" s="21" t="s">
        <v>9</v>
      </c>
      <c r="O26" s="411"/>
      <c r="P26" s="25"/>
    </row>
    <row r="27" spans="1:16" ht="166.5">
      <c r="A27" s="21" t="str">
        <f ca="1">IF(AND($D$1&gt;=C27,$D$1&lt;=D27),"CurrentSprint","NA")</f>
        <v>NA</v>
      </c>
      <c r="B27" s="209" t="s">
        <v>160</v>
      </c>
      <c r="C27" s="210">
        <v>45679</v>
      </c>
      <c r="D27" s="210">
        <v>45692</v>
      </c>
      <c r="E27" s="211">
        <v>15</v>
      </c>
      <c r="F27" s="50">
        <v>47.25</v>
      </c>
      <c r="G27" s="40"/>
      <c r="H27" s="42"/>
      <c r="I27" s="59" t="s">
        <v>161</v>
      </c>
      <c r="J27" s="43" t="s">
        <v>162</v>
      </c>
      <c r="K27" s="18" t="s">
        <v>163</v>
      </c>
      <c r="L27" s="18"/>
      <c r="M27" s="18"/>
      <c r="N27" s="21" t="s">
        <v>9</v>
      </c>
      <c r="O27" s="411"/>
      <c r="P27" s="25"/>
    </row>
    <row r="28" spans="1:16" ht="107.25">
      <c r="A28" s="84" t="str">
        <f ca="1">IF(AND($D$1&gt;=C28,$D$1&lt;=D28),"CurrentSprint","NA")</f>
        <v>NA</v>
      </c>
      <c r="B28" s="212" t="s">
        <v>164</v>
      </c>
      <c r="C28" s="213">
        <v>45693</v>
      </c>
      <c r="D28" s="213">
        <v>45706</v>
      </c>
      <c r="E28" s="214">
        <v>16</v>
      </c>
      <c r="F28" s="70">
        <v>17</v>
      </c>
      <c r="G28" s="85"/>
      <c r="H28" s="182"/>
      <c r="I28" s="86" t="s">
        <v>165</v>
      </c>
      <c r="J28" s="87" t="s">
        <v>166</v>
      </c>
      <c r="K28" s="88" t="s">
        <v>167</v>
      </c>
      <c r="L28" s="88"/>
      <c r="M28" s="88"/>
      <c r="N28" s="21" t="s">
        <v>9</v>
      </c>
      <c r="O28" s="412"/>
      <c r="P28" s="25"/>
    </row>
    <row r="29" spans="1:16" ht="105.75" customHeight="1">
      <c r="A29" s="84" t="str">
        <f ca="1">IF(AND($D$1&gt;=C29,$D$1&lt;=D29),"CurrentSprint","NA")</f>
        <v>NA</v>
      </c>
      <c r="B29" s="215" t="s">
        <v>168</v>
      </c>
      <c r="C29" s="213">
        <v>45707</v>
      </c>
      <c r="D29" s="213">
        <v>45720</v>
      </c>
      <c r="E29" s="216">
        <v>13</v>
      </c>
      <c r="F29" s="69">
        <v>26</v>
      </c>
      <c r="G29" s="95"/>
      <c r="H29" s="95"/>
      <c r="I29" s="96" t="s">
        <v>169</v>
      </c>
      <c r="J29" s="88" t="s">
        <v>170</v>
      </c>
      <c r="K29" s="88" t="s">
        <v>171</v>
      </c>
      <c r="L29" s="88"/>
      <c r="M29" s="88"/>
      <c r="N29" s="84" t="s">
        <v>9</v>
      </c>
      <c r="O29" s="413"/>
      <c r="P29" s="25"/>
    </row>
    <row r="30" spans="1:16" s="93" customFormat="1" ht="165" customHeight="1">
      <c r="A30" s="84" t="str">
        <f ca="1">IF(AND($D$1&gt;=C30,$D$1&lt;=D30),"CurrentSprint","NA")</f>
        <v>NA</v>
      </c>
      <c r="B30" s="217" t="s">
        <v>172</v>
      </c>
      <c r="C30" s="213">
        <v>45721</v>
      </c>
      <c r="D30" s="213">
        <v>45734</v>
      </c>
      <c r="E30" s="218">
        <v>21</v>
      </c>
      <c r="F30" s="69">
        <v>38</v>
      </c>
      <c r="G30" s="185"/>
      <c r="H30" s="83"/>
      <c r="I30" s="116" t="s">
        <v>173</v>
      </c>
      <c r="J30" s="88" t="s">
        <v>174</v>
      </c>
      <c r="K30" s="88" t="s">
        <v>175</v>
      </c>
      <c r="L30" s="362"/>
      <c r="M30" s="362"/>
      <c r="N30" s="108" t="s">
        <v>9</v>
      </c>
      <c r="O30" s="414"/>
      <c r="P30" s="25"/>
    </row>
    <row r="31" spans="1:16" ht="121.5" customHeight="1">
      <c r="A31" s="21" t="str">
        <f ca="1">IF(AND($D$1&gt;=C31,$D$1&lt;=D31),"CurrentSprint","NA")</f>
        <v>NA</v>
      </c>
      <c r="B31" s="219" t="s">
        <v>176</v>
      </c>
      <c r="C31" s="210">
        <v>45735</v>
      </c>
      <c r="D31" s="210">
        <v>45748</v>
      </c>
      <c r="E31" s="220">
        <v>32</v>
      </c>
      <c r="F31" s="49">
        <v>50</v>
      </c>
      <c r="G31" s="186"/>
      <c r="H31" s="83"/>
      <c r="I31" s="117" t="s">
        <v>177</v>
      </c>
      <c r="J31" s="109" t="s">
        <v>178</v>
      </c>
      <c r="K31" s="112" t="s">
        <v>179</v>
      </c>
      <c r="L31" s="112"/>
      <c r="M31" s="112"/>
      <c r="N31" s="111" t="s">
        <v>9</v>
      </c>
      <c r="O31" s="406"/>
      <c r="P31" s="25"/>
    </row>
    <row r="32" spans="1:16" ht="123.75" customHeight="1">
      <c r="A32" s="113" t="str">
        <f ca="1">IF(AND($D$1&gt;=C32,$D$1&lt;=D32),"CurrentSprint","NA")</f>
        <v>NA</v>
      </c>
      <c r="B32" s="221" t="s">
        <v>180</v>
      </c>
      <c r="C32" s="222">
        <v>45749</v>
      </c>
      <c r="D32" s="222">
        <v>45762</v>
      </c>
      <c r="E32" s="223">
        <v>37</v>
      </c>
      <c r="F32" s="64">
        <v>34</v>
      </c>
      <c r="G32" s="187"/>
      <c r="H32" s="83"/>
      <c r="I32" s="188" t="s">
        <v>181</v>
      </c>
      <c r="J32" s="110" t="s">
        <v>182</v>
      </c>
      <c r="K32" s="110" t="s">
        <v>183</v>
      </c>
      <c r="L32" s="363"/>
      <c r="M32" s="363"/>
      <c r="N32" s="111" t="s">
        <v>9</v>
      </c>
      <c r="O32" s="415"/>
      <c r="P32" s="25"/>
    </row>
    <row r="33" spans="1:16" ht="168" customHeight="1">
      <c r="A33" s="84" t="str">
        <f ca="1">IF(AND($D$1&gt;=C33,$D$1&lt;=D33),"CurrentSprint","NA")</f>
        <v>NA</v>
      </c>
      <c r="B33" s="217" t="s">
        <v>184</v>
      </c>
      <c r="C33" s="213">
        <v>45763</v>
      </c>
      <c r="D33" s="213">
        <v>45776</v>
      </c>
      <c r="E33" s="218">
        <v>35</v>
      </c>
      <c r="F33" s="69">
        <v>32</v>
      </c>
      <c r="G33" s="95"/>
      <c r="H33" s="183"/>
      <c r="I33" s="124" t="s">
        <v>185</v>
      </c>
      <c r="J33" s="125" t="s">
        <v>186</v>
      </c>
      <c r="K33" s="125" t="s">
        <v>187</v>
      </c>
      <c r="L33" s="363"/>
      <c r="M33" s="363"/>
      <c r="N33" s="126" t="s">
        <v>9</v>
      </c>
      <c r="O33" s="416"/>
      <c r="P33" s="25"/>
    </row>
    <row r="34" spans="1:16" s="93" customFormat="1" ht="168" customHeight="1">
      <c r="A34" s="21" t="str">
        <f ca="1">IF(AND($D$1&gt;=C34,$D$1&lt;=D34),"CurrentSprint","NA")</f>
        <v>NA</v>
      </c>
      <c r="B34" s="219" t="s">
        <v>188</v>
      </c>
      <c r="C34" s="210">
        <v>45777</v>
      </c>
      <c r="D34" s="210">
        <v>45790</v>
      </c>
      <c r="E34" s="224">
        <v>9</v>
      </c>
      <c r="F34" s="49">
        <v>16</v>
      </c>
      <c r="G34" s="145" t="s">
        <v>189</v>
      </c>
      <c r="H34" s="184"/>
      <c r="I34" s="127" t="s">
        <v>190</v>
      </c>
      <c r="J34" s="18" t="s">
        <v>191</v>
      </c>
      <c r="K34" s="123" t="s">
        <v>192</v>
      </c>
      <c r="L34" s="363"/>
      <c r="M34" s="363"/>
      <c r="N34" s="161" t="s">
        <v>9</v>
      </c>
      <c r="O34" s="414"/>
      <c r="P34" s="25"/>
    </row>
    <row r="35" spans="1:16" ht="77.25" customHeight="1">
      <c r="A35" s="21" t="str">
        <f ca="1">IF(AND($D$1&gt;=C35,$D$1&lt;=D35),"CurrentSprint","NA")</f>
        <v>NA</v>
      </c>
      <c r="B35" s="219" t="s">
        <v>193</v>
      </c>
      <c r="C35" s="210">
        <v>45791</v>
      </c>
      <c r="D35" s="210">
        <v>45804</v>
      </c>
      <c r="E35" s="224">
        <v>19</v>
      </c>
      <c r="F35" s="49">
        <v>14</v>
      </c>
      <c r="G35" s="145" t="s">
        <v>194</v>
      </c>
      <c r="H35" s="184"/>
      <c r="I35" s="127" t="s">
        <v>195</v>
      </c>
      <c r="J35" s="18" t="s">
        <v>196</v>
      </c>
      <c r="K35" s="123" t="s">
        <v>197</v>
      </c>
      <c r="L35" s="363"/>
      <c r="M35" s="363"/>
      <c r="N35" s="161" t="s">
        <v>9</v>
      </c>
      <c r="O35" s="414"/>
      <c r="P35" s="25"/>
    </row>
    <row r="36" spans="1:16" ht="81" customHeight="1">
      <c r="A36" s="21" t="str">
        <f ca="1">IF(AND($D$1&gt;=C36,$D$1&lt;=D36),"CurrentSprint","NA")</f>
        <v>NA</v>
      </c>
      <c r="B36" s="219" t="s">
        <v>198</v>
      </c>
      <c r="C36" s="210">
        <v>45805</v>
      </c>
      <c r="D36" s="210">
        <v>45818</v>
      </c>
      <c r="E36" s="224">
        <v>14</v>
      </c>
      <c r="F36" s="49">
        <v>16</v>
      </c>
      <c r="G36" s="145"/>
      <c r="H36" s="184"/>
      <c r="I36" s="127" t="s">
        <v>199</v>
      </c>
      <c r="J36" s="18" t="s">
        <v>200</v>
      </c>
      <c r="K36" s="123" t="s">
        <v>201</v>
      </c>
      <c r="L36" s="363"/>
      <c r="M36" s="363"/>
      <c r="N36" s="161" t="s">
        <v>9</v>
      </c>
      <c r="O36" s="414"/>
      <c r="P36" s="25"/>
    </row>
    <row r="37" spans="1:16" s="225" customFormat="1" ht="105.75" customHeight="1">
      <c r="A37" s="209" t="str">
        <f ca="1">IF(AND($D$1&gt;=C37,$D$1&lt;=D37),"CurrentSprint","NA")</f>
        <v>NA</v>
      </c>
      <c r="B37" s="219" t="s">
        <v>202</v>
      </c>
      <c r="C37" s="210">
        <v>45819</v>
      </c>
      <c r="D37" s="210">
        <v>45832</v>
      </c>
      <c r="E37" s="224">
        <v>42</v>
      </c>
      <c r="F37" s="220">
        <v>34.5</v>
      </c>
      <c r="G37" s="227"/>
      <c r="H37" s="228"/>
      <c r="I37" s="229" t="s">
        <v>203</v>
      </c>
      <c r="J37" s="230" t="s">
        <v>204</v>
      </c>
      <c r="K37" s="231" t="s">
        <v>205</v>
      </c>
      <c r="L37" s="364"/>
      <c r="M37" s="364"/>
      <c r="N37" s="232" t="s">
        <v>9</v>
      </c>
      <c r="O37" s="417"/>
      <c r="P37" s="219"/>
    </row>
    <row r="38" spans="1:16" s="225" customFormat="1" ht="125.25" customHeight="1">
      <c r="A38" s="209" t="str">
        <f ca="1">IF(AND($D$1&gt;=C38,$D$1&lt;=D38),"CurrentSprint","NA")</f>
        <v>NA</v>
      </c>
      <c r="B38" s="219" t="s">
        <v>206</v>
      </c>
      <c r="C38" s="210">
        <v>45833</v>
      </c>
      <c r="D38" s="210">
        <v>45846</v>
      </c>
      <c r="E38" s="224">
        <v>28</v>
      </c>
      <c r="F38" s="220">
        <v>28</v>
      </c>
      <c r="G38" s="227" t="s">
        <v>207</v>
      </c>
      <c r="H38" s="227" t="s">
        <v>208</v>
      </c>
      <c r="I38" s="233" t="s">
        <v>209</v>
      </c>
      <c r="J38" s="230" t="s">
        <v>210</v>
      </c>
      <c r="K38" s="231" t="s">
        <v>211</v>
      </c>
      <c r="L38" s="364"/>
      <c r="M38" s="364"/>
      <c r="N38" s="232" t="s">
        <v>9</v>
      </c>
      <c r="O38" s="417" t="s">
        <v>212</v>
      </c>
      <c r="P38" s="219"/>
    </row>
    <row r="39" spans="1:16" s="225" customFormat="1" ht="131.25" customHeight="1">
      <c r="A39" s="209" t="str">
        <f ca="1">IF(AND($D$1&gt;=C39,$D$1&lt;=D39),"CurrentSprint","NA")</f>
        <v>NA</v>
      </c>
      <c r="B39" s="219" t="s">
        <v>213</v>
      </c>
      <c r="C39" s="210">
        <v>45847</v>
      </c>
      <c r="D39" s="210">
        <v>45860</v>
      </c>
      <c r="E39" s="224">
        <v>13</v>
      </c>
      <c r="F39" s="220">
        <v>20</v>
      </c>
      <c r="G39" s="227"/>
      <c r="H39" s="244" t="s">
        <v>214</v>
      </c>
      <c r="I39" s="245" t="s">
        <v>215</v>
      </c>
      <c r="J39" s="231" t="s">
        <v>216</v>
      </c>
      <c r="K39" s="231" t="s">
        <v>217</v>
      </c>
      <c r="L39" s="364"/>
      <c r="M39" s="364"/>
      <c r="N39" s="232" t="s">
        <v>9</v>
      </c>
      <c r="O39" s="417"/>
      <c r="P39" s="219"/>
    </row>
    <row r="40" spans="1:16" s="243" customFormat="1" ht="168.75" customHeight="1">
      <c r="A40" s="234" t="str">
        <f ca="1">IF(AND($D$1&gt;=C40,$D$1&lt;=D40),"CurrentSprint","NA")</f>
        <v>NA</v>
      </c>
      <c r="B40" s="235" t="s">
        <v>218</v>
      </c>
      <c r="C40" s="236">
        <v>45861</v>
      </c>
      <c r="D40" s="236">
        <v>45874</v>
      </c>
      <c r="E40" s="237">
        <v>26</v>
      </c>
      <c r="F40" s="238">
        <v>26</v>
      </c>
      <c r="G40" s="239" t="s">
        <v>219</v>
      </c>
      <c r="H40" s="240" t="s">
        <v>220</v>
      </c>
      <c r="I40" s="239" t="s">
        <v>221</v>
      </c>
      <c r="J40" s="241" t="s">
        <v>222</v>
      </c>
      <c r="K40" s="241" t="s">
        <v>223</v>
      </c>
      <c r="L40" s="365"/>
      <c r="M40" s="365"/>
      <c r="N40" s="242" t="s">
        <v>9</v>
      </c>
      <c r="O40" s="418"/>
      <c r="P40" s="235"/>
    </row>
    <row r="41" spans="1:16" s="243" customFormat="1" ht="141" customHeight="1">
      <c r="A41" s="234" t="str">
        <f ca="1">IF(AND($D$1&gt;=C41,$D$1&lt;=D41),"CurrentSprint","NA")</f>
        <v>NA</v>
      </c>
      <c r="B41" s="235" t="s">
        <v>224</v>
      </c>
      <c r="C41" s="236">
        <v>45875</v>
      </c>
      <c r="D41" s="236">
        <v>45888</v>
      </c>
      <c r="E41" s="237">
        <v>10</v>
      </c>
      <c r="F41" s="238">
        <v>20</v>
      </c>
      <c r="G41" s="239" t="s">
        <v>225</v>
      </c>
      <c r="H41" s="240" t="s">
        <v>226</v>
      </c>
      <c r="I41" s="239" t="s">
        <v>227</v>
      </c>
      <c r="J41" s="241" t="s">
        <v>228</v>
      </c>
      <c r="K41" s="241" t="s">
        <v>229</v>
      </c>
      <c r="L41" s="365"/>
      <c r="M41" s="365"/>
      <c r="N41" s="242" t="s">
        <v>9</v>
      </c>
      <c r="O41" s="418"/>
      <c r="P41" s="235"/>
    </row>
    <row r="42" spans="1:16" ht="158.25" customHeight="1">
      <c r="A42" s="21" t="str">
        <f ca="1">IF(AND($D$1&gt;=C42,$D$1&lt;=D42),"CurrentSprint","NA")</f>
        <v>NA</v>
      </c>
      <c r="B42" s="219" t="s">
        <v>230</v>
      </c>
      <c r="C42" s="210">
        <v>45889</v>
      </c>
      <c r="D42" s="210">
        <v>45902</v>
      </c>
      <c r="E42" s="224">
        <v>18</v>
      </c>
      <c r="F42" s="49">
        <v>29</v>
      </c>
      <c r="G42" s="145" t="s">
        <v>231</v>
      </c>
      <c r="H42" s="179" t="s">
        <v>232</v>
      </c>
      <c r="I42" s="145" t="s">
        <v>233</v>
      </c>
      <c r="J42" s="123" t="s">
        <v>234</v>
      </c>
      <c r="K42" s="123" t="s">
        <v>235</v>
      </c>
      <c r="L42" s="354"/>
      <c r="M42" s="354"/>
      <c r="N42" s="36" t="s">
        <v>9</v>
      </c>
      <c r="O42" s="414"/>
      <c r="P42" s="25"/>
    </row>
    <row r="43" spans="1:16" ht="206.25" customHeight="1">
      <c r="A43" s="21" t="str">
        <f ca="1">IF(AND($D$1&gt;=C43,$D$1&lt;=D43),"CurrentSprint","NA")</f>
        <v>NA</v>
      </c>
      <c r="B43" s="219" t="s">
        <v>236</v>
      </c>
      <c r="C43" s="210">
        <v>45903</v>
      </c>
      <c r="D43" s="210">
        <v>45930</v>
      </c>
      <c r="E43" s="224">
        <v>13</v>
      </c>
      <c r="F43" s="49">
        <v>99</v>
      </c>
      <c r="G43" s="145"/>
      <c r="H43" s="179" t="s">
        <v>237</v>
      </c>
      <c r="I43" s="145" t="s">
        <v>238</v>
      </c>
      <c r="J43" s="123" t="s">
        <v>239</v>
      </c>
      <c r="K43" s="123" t="s">
        <v>240</v>
      </c>
      <c r="L43" s="354"/>
      <c r="M43" s="354"/>
      <c r="N43" s="36" t="s">
        <v>9</v>
      </c>
      <c r="O43" s="414"/>
      <c r="P43" s="25"/>
    </row>
    <row r="44" spans="1:16" ht="153.75" customHeight="1">
      <c r="A44" s="21" t="str">
        <f ca="1">IF(AND($D$1&gt;=C44,$D$1&lt;=D44),"CurrentSprint","NA")</f>
        <v>NA</v>
      </c>
      <c r="B44" s="219" t="s">
        <v>241</v>
      </c>
      <c r="C44" s="210">
        <v>45931</v>
      </c>
      <c r="D44" s="210">
        <v>45944</v>
      </c>
      <c r="E44" s="224">
        <v>25</v>
      </c>
      <c r="F44" s="49">
        <v>28</v>
      </c>
      <c r="G44" s="145"/>
      <c r="H44" s="179" t="s">
        <v>242</v>
      </c>
      <c r="I44" s="145" t="s">
        <v>243</v>
      </c>
      <c r="J44" s="123" t="s">
        <v>244</v>
      </c>
      <c r="K44" s="123" t="s">
        <v>245</v>
      </c>
      <c r="L44" s="354"/>
      <c r="M44" s="354"/>
      <c r="N44" s="36" t="s">
        <v>9</v>
      </c>
      <c r="O44" s="414"/>
      <c r="P44" s="25"/>
    </row>
    <row r="45" spans="1:16" ht="174.75" customHeight="1">
      <c r="A45" s="21" t="str">
        <f ca="1">IF(AND($D$1&gt;=C45,$D$1&lt;=D45),"CurrentSprint","NA")</f>
        <v>NA</v>
      </c>
      <c r="B45" s="219" t="s">
        <v>246</v>
      </c>
      <c r="C45" s="210">
        <v>45945</v>
      </c>
      <c r="D45" s="210">
        <v>45958</v>
      </c>
      <c r="E45" s="224">
        <v>36</v>
      </c>
      <c r="F45" s="49">
        <v>39</v>
      </c>
      <c r="G45" s="145"/>
      <c r="H45" s="179" t="s">
        <v>247</v>
      </c>
      <c r="I45" s="145" t="s">
        <v>248</v>
      </c>
      <c r="J45" s="123" t="s">
        <v>249</v>
      </c>
      <c r="K45" s="123" t="s">
        <v>250</v>
      </c>
      <c r="L45" s="354"/>
      <c r="M45" s="354"/>
      <c r="N45" s="36" t="s">
        <v>9</v>
      </c>
      <c r="O45" s="414"/>
      <c r="P45" s="25"/>
    </row>
    <row r="46" spans="1:16" ht="159" customHeight="1">
      <c r="A46" s="21" t="str">
        <f ca="1">IF(AND($D$1&gt;=C46,$D$1&lt;=D46),"CurrentSprint","NA")</f>
        <v>NA</v>
      </c>
      <c r="B46" s="219" t="s">
        <v>251</v>
      </c>
      <c r="C46" s="210">
        <v>45959</v>
      </c>
      <c r="D46" s="210">
        <v>45972</v>
      </c>
      <c r="E46" s="224">
        <v>37</v>
      </c>
      <c r="F46" s="49">
        <v>36</v>
      </c>
      <c r="G46" s="145"/>
      <c r="H46" s="179" t="s">
        <v>252</v>
      </c>
      <c r="I46" s="145" t="s">
        <v>253</v>
      </c>
      <c r="J46" s="123" t="s">
        <v>254</v>
      </c>
      <c r="K46" s="123" t="s">
        <v>255</v>
      </c>
      <c r="L46" s="366"/>
      <c r="M46" s="366"/>
      <c r="N46" s="36" t="s">
        <v>9</v>
      </c>
      <c r="O46" s="414"/>
      <c r="P46" s="25"/>
    </row>
    <row r="47" spans="1:16" ht="243.75" customHeight="1">
      <c r="A47" s="21" t="str">
        <f ca="1">IF(AND($D$1&gt;=C47,$D$1&lt;=D47),"CurrentSprint","NA")</f>
        <v>NA</v>
      </c>
      <c r="B47" s="219" t="s">
        <v>256</v>
      </c>
      <c r="C47" s="210">
        <v>45973</v>
      </c>
      <c r="D47" s="210">
        <v>46000</v>
      </c>
      <c r="E47" s="224">
        <v>8</v>
      </c>
      <c r="F47" s="49">
        <v>37</v>
      </c>
      <c r="G47" s="145"/>
      <c r="H47" s="179" t="s">
        <v>257</v>
      </c>
      <c r="I47" s="145" t="s">
        <v>258</v>
      </c>
      <c r="J47" s="123" t="s">
        <v>259</v>
      </c>
      <c r="K47" s="354" t="s">
        <v>260</v>
      </c>
      <c r="L47" s="18"/>
      <c r="M47" s="18"/>
      <c r="N47" s="367" t="s">
        <v>9</v>
      </c>
      <c r="O47" s="414"/>
      <c r="P47" s="25"/>
    </row>
    <row r="48" spans="1:16" ht="141.75" customHeight="1">
      <c r="A48" s="21" t="str">
        <f ca="1">IF(AND($D$1&gt;=C48,$D$1&lt;=D48),"CurrentSprint","NA")</f>
        <v>NA</v>
      </c>
      <c r="B48" s="219" t="s">
        <v>261</v>
      </c>
      <c r="C48" s="210">
        <v>46001</v>
      </c>
      <c r="D48" s="210">
        <v>46028</v>
      </c>
      <c r="E48" s="224">
        <v>35</v>
      </c>
      <c r="F48" s="49">
        <v>42</v>
      </c>
      <c r="G48" s="145" t="s">
        <v>262</v>
      </c>
      <c r="H48" s="179" t="s">
        <v>263</v>
      </c>
      <c r="I48" s="145" t="s">
        <v>264</v>
      </c>
      <c r="J48" s="123" t="s">
        <v>265</v>
      </c>
      <c r="K48" s="354" t="s">
        <v>266</v>
      </c>
      <c r="L48" s="18"/>
      <c r="M48" s="18"/>
      <c r="N48" s="367" t="s">
        <v>9</v>
      </c>
      <c r="O48" s="414"/>
      <c r="P48" s="25"/>
    </row>
    <row r="49" spans="1:17" ht="164.25" customHeight="1">
      <c r="A49" s="84" t="str">
        <f ca="1">IF(AND($D$1&gt;=C49,$D$1&lt;=D49),"CurrentSprint","NA")</f>
        <v>NA</v>
      </c>
      <c r="B49" s="217" t="s">
        <v>267</v>
      </c>
      <c r="C49" s="213">
        <v>46029</v>
      </c>
      <c r="D49" s="213">
        <v>46042</v>
      </c>
      <c r="E49" s="216">
        <v>16</v>
      </c>
      <c r="F49" s="69">
        <v>18</v>
      </c>
      <c r="G49" s="352"/>
      <c r="H49" s="351" t="s">
        <v>268</v>
      </c>
      <c r="I49" s="352" t="s">
        <v>269</v>
      </c>
      <c r="J49" s="353" t="s">
        <v>270</v>
      </c>
      <c r="K49" s="366" t="s">
        <v>271</v>
      </c>
      <c r="L49" s="18"/>
      <c r="M49" s="18"/>
      <c r="N49" s="368" t="s">
        <v>9</v>
      </c>
      <c r="O49" s="413"/>
      <c r="P49" s="25"/>
    </row>
    <row r="50" spans="1:17" ht="164.25" customHeight="1">
      <c r="A50" s="21" t="str">
        <f ca="1">IF(AND($D$1&gt;=C50,$D$1&lt;=D50),"CurrentSprint","NA")</f>
        <v>NA</v>
      </c>
      <c r="B50" s="269" t="s">
        <v>272</v>
      </c>
      <c r="C50" s="292">
        <v>46043</v>
      </c>
      <c r="D50" s="292">
        <v>46056</v>
      </c>
      <c r="E50" s="220">
        <v>18</v>
      </c>
      <c r="F50" s="49">
        <v>24</v>
      </c>
      <c r="G50" s="145"/>
      <c r="H50" s="358" t="s">
        <v>273</v>
      </c>
      <c r="I50" s="184" t="s">
        <v>274</v>
      </c>
      <c r="J50" s="18" t="s">
        <v>275</v>
      </c>
      <c r="K50" s="354" t="s">
        <v>276</v>
      </c>
      <c r="L50" s="18">
        <v>0</v>
      </c>
      <c r="M50" s="18">
        <v>2.5</v>
      </c>
      <c r="N50" s="369" t="s">
        <v>9</v>
      </c>
      <c r="O50" s="93"/>
      <c r="P50" s="25"/>
    </row>
    <row r="51" spans="1:17" ht="170.25" customHeight="1">
      <c r="A51" s="21" t="str">
        <f ca="1">IF(AND($D$1&gt;=C51,$D$1&lt;=D51),"CurrentSprint","NA")</f>
        <v>NA</v>
      </c>
      <c r="B51" s="269" t="s">
        <v>277</v>
      </c>
      <c r="C51" s="292">
        <v>46057</v>
      </c>
      <c r="D51" s="292">
        <v>46070</v>
      </c>
      <c r="E51" s="220">
        <v>16</v>
      </c>
      <c r="F51" s="49">
        <v>16</v>
      </c>
      <c r="G51" s="145"/>
      <c r="H51" s="358" t="s">
        <v>278</v>
      </c>
      <c r="I51" s="184" t="s">
        <v>279</v>
      </c>
      <c r="J51" s="18" t="s">
        <v>280</v>
      </c>
      <c r="K51" s="354" t="s">
        <v>281</v>
      </c>
      <c r="L51" s="18">
        <v>3</v>
      </c>
      <c r="M51" s="18">
        <v>3</v>
      </c>
      <c r="N51" s="369" t="s">
        <v>9</v>
      </c>
      <c r="O51" s="93"/>
      <c r="P51" s="25"/>
    </row>
    <row r="52" spans="1:17" ht="96">
      <c r="A52" s="84" t="str">
        <f ca="1">IF(AND($D$1&gt;=C52,$D$1&lt;=D52),"CurrentSprint","NA")</f>
        <v>NA</v>
      </c>
      <c r="B52" s="281" t="s">
        <v>282</v>
      </c>
      <c r="C52" s="277">
        <v>46071</v>
      </c>
      <c r="D52" s="277">
        <v>46084</v>
      </c>
      <c r="E52" s="218">
        <v>11</v>
      </c>
      <c r="F52" s="69">
        <v>18</v>
      </c>
      <c r="G52" s="352" t="s">
        <v>283</v>
      </c>
      <c r="H52" s="96" t="s">
        <v>284</v>
      </c>
      <c r="I52" s="382" t="s">
        <v>285</v>
      </c>
      <c r="J52" s="88" t="s">
        <v>286</v>
      </c>
      <c r="K52" s="366" t="s">
        <v>287</v>
      </c>
      <c r="L52" s="88">
        <v>2</v>
      </c>
      <c r="M52" s="88">
        <v>2</v>
      </c>
      <c r="N52" s="383" t="s">
        <v>9</v>
      </c>
      <c r="O52" s="419"/>
      <c r="P52" s="25"/>
    </row>
    <row r="53" spans="1:17" ht="140.25" customHeight="1">
      <c r="A53" s="84" t="str">
        <f ca="1">IF(AND($D$1&gt;=C53,$D$1&lt;=D53),"CurrentSprint","NA")</f>
        <v>NA</v>
      </c>
      <c r="B53" s="170" t="s">
        <v>288</v>
      </c>
      <c r="C53" s="277">
        <v>46085</v>
      </c>
      <c r="D53" s="277">
        <v>46112</v>
      </c>
      <c r="E53" s="218">
        <v>41</v>
      </c>
      <c r="F53" s="69">
        <v>54</v>
      </c>
      <c r="G53" s="352" t="s">
        <v>289</v>
      </c>
      <c r="H53" s="96" t="s">
        <v>290</v>
      </c>
      <c r="I53" s="352" t="s">
        <v>290</v>
      </c>
      <c r="J53" s="88" t="s">
        <v>291</v>
      </c>
      <c r="K53" s="362" t="s">
        <v>292</v>
      </c>
      <c r="L53" s="97">
        <v>7</v>
      </c>
      <c r="M53" s="97">
        <v>8</v>
      </c>
      <c r="N53" s="383" t="s">
        <v>9</v>
      </c>
      <c r="O53" s="413"/>
      <c r="P53" s="25"/>
    </row>
    <row r="54" spans="1:17" s="25" customFormat="1" ht="163.5" customHeight="1">
      <c r="A54" s="21" t="str">
        <f ca="1">IF(AND($D$1&gt;=C54,$D$1&lt;=D54),"CurrentSprint","NA")</f>
        <v>NA</v>
      </c>
      <c r="B54" s="167" t="s">
        <v>293</v>
      </c>
      <c r="C54" s="292">
        <v>46113</v>
      </c>
      <c r="D54" s="292">
        <v>46126</v>
      </c>
      <c r="E54" s="218">
        <v>29</v>
      </c>
      <c r="F54" s="69">
        <v>35</v>
      </c>
      <c r="G54" s="352" t="s">
        <v>294</v>
      </c>
      <c r="H54" s="96" t="s">
        <v>295</v>
      </c>
      <c r="I54" s="352" t="s">
        <v>296</v>
      </c>
      <c r="J54" s="88" t="s">
        <v>297</v>
      </c>
      <c r="K54" s="88" t="s">
        <v>298</v>
      </c>
      <c r="L54" s="97">
        <v>2</v>
      </c>
      <c r="M54" s="97">
        <v>2</v>
      </c>
      <c r="N54" s="383" t="s">
        <v>9</v>
      </c>
      <c r="O54" s="413"/>
      <c r="Q54" s="355"/>
    </row>
    <row r="55" spans="1:17" ht="154.5">
      <c r="A55" s="21" t="str">
        <f ca="1">IF(AND($D$1&gt;=C55,$D$1&lt;=D55),"CurrentSprint","NA")</f>
        <v>NA</v>
      </c>
      <c r="B55" s="21" t="s">
        <v>299</v>
      </c>
      <c r="C55" s="408">
        <v>46127</v>
      </c>
      <c r="D55" s="409">
        <v>46140</v>
      </c>
      <c r="E55" s="218">
        <v>24</v>
      </c>
      <c r="F55" s="69">
        <v>24</v>
      </c>
      <c r="G55" s="96"/>
      <c r="H55" s="382" t="s">
        <v>300</v>
      </c>
      <c r="I55" s="382" t="s">
        <v>301</v>
      </c>
      <c r="J55" s="362" t="s">
        <v>302</v>
      </c>
      <c r="K55" s="88" t="s">
        <v>303</v>
      </c>
      <c r="L55" s="420">
        <v>2</v>
      </c>
      <c r="M55" s="413">
        <v>2</v>
      </c>
      <c r="N55" s="84" t="s">
        <v>9</v>
      </c>
      <c r="O55" s="419"/>
      <c r="P55" s="97"/>
    </row>
    <row r="56" spans="1:17" ht="131.25" customHeight="1">
      <c r="A56" s="21" t="str">
        <f ca="1">IF(AND($D$1&gt;=C56,$D$1&lt;=D56),"CurrentSprint","NA")</f>
        <v>NA</v>
      </c>
      <c r="B56" s="21" t="s">
        <v>304</v>
      </c>
      <c r="C56" s="408">
        <v>46141</v>
      </c>
      <c r="D56" s="409">
        <v>46154</v>
      </c>
      <c r="E56" s="220">
        <v>23</v>
      </c>
      <c r="F56" s="63">
        <v>23</v>
      </c>
      <c r="G56" s="83"/>
      <c r="H56" s="145" t="s">
        <v>305</v>
      </c>
      <c r="I56" s="184" t="s">
        <v>306</v>
      </c>
      <c r="J56" s="18" t="s">
        <v>307</v>
      </c>
      <c r="K56" s="18" t="s">
        <v>308</v>
      </c>
      <c r="L56" s="25">
        <v>3</v>
      </c>
      <c r="M56" s="414">
        <v>3</v>
      </c>
      <c r="N56" s="21" t="s">
        <v>9</v>
      </c>
      <c r="O56" s="355"/>
      <c r="P56" s="25"/>
    </row>
    <row r="57" spans="1:17" ht="15.75" customHeight="1">
      <c r="A57" s="21" t="str">
        <f ca="1">IF(AND($D$1&gt;=C57,$D$1&lt;=D57),"CurrentSprint","NA")</f>
        <v>NA</v>
      </c>
      <c r="B57" s="21" t="s">
        <v>309</v>
      </c>
      <c r="C57" s="408">
        <v>46155</v>
      </c>
      <c r="D57" s="408">
        <v>46168</v>
      </c>
      <c r="E57" s="220"/>
      <c r="F57" s="49"/>
      <c r="G57" s="83"/>
      <c r="H57" s="83"/>
      <c r="I57" s="83"/>
      <c r="J57" s="25"/>
      <c r="K57" s="25"/>
      <c r="L57" s="25"/>
      <c r="M57" s="25"/>
      <c r="N57" s="25"/>
      <c r="O57" s="25"/>
      <c r="P57" s="25"/>
    </row>
  </sheetData>
  <dataValidations count="1">
    <dataValidation type="list" allowBlank="1" showInputMessage="1" showErrorMessage="1" sqref="N3:N56" xr:uid="{3FB15BF2-F388-4AF9-945D-192144D9EF19}">
      <formula1>"Inprogress, Completed"</formula1>
    </dataValidation>
  </dataValidations>
  <hyperlinks>
    <hyperlink ref="N1" r:id="rId1" xr:uid="{9BC2667B-A05A-48CE-A923-104961EAB91D}"/>
  </hyperlinks>
  <pageMargins left="0" right="0" top="0" bottom="0" header="0" footer="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B33E3-63AC-4E79-9F46-BDAC9C84B32D}">
  <dimension ref="A1:AE6"/>
  <sheetViews>
    <sheetView topLeftCell="H1" workbookViewId="0">
      <selection activeCell="N2" sqref="N2"/>
    </sheetView>
  </sheetViews>
  <sheetFormatPr defaultRowHeight="25.5" customHeight="1"/>
  <cols>
    <col min="1" max="1" width="9.140625" style="285"/>
    <col min="2" max="2" width="12.5703125" style="285" customWidth="1"/>
    <col min="3" max="3" width="12.140625" style="285" customWidth="1"/>
    <col min="4" max="4" width="11.85546875" style="285" customWidth="1"/>
    <col min="5" max="5" width="22.28515625" style="285" customWidth="1"/>
    <col min="6" max="6" width="9.140625" style="285" bestFit="1" customWidth="1"/>
    <col min="7" max="7" width="11" style="285" bestFit="1" customWidth="1"/>
    <col min="8" max="8" width="61.5703125" style="285" customWidth="1"/>
    <col min="9" max="9" width="25.5703125" style="285" customWidth="1"/>
    <col min="10" max="12" width="9.140625" style="285" bestFit="1" customWidth="1"/>
    <col min="13" max="13" width="10" style="285" customWidth="1"/>
    <col min="14" max="14" width="10.5703125" style="285" customWidth="1"/>
    <col min="15" max="16" width="9.140625" style="285" bestFit="1" customWidth="1"/>
    <col min="17" max="17" width="54" style="285" customWidth="1"/>
    <col min="18" max="19" width="9.140625" style="285" bestFit="1" customWidth="1"/>
    <col min="20" max="20" width="48.85546875" style="285" customWidth="1"/>
    <col min="21" max="21" width="11.42578125" style="285" customWidth="1"/>
    <col min="22" max="22" width="9.5703125" style="285" bestFit="1" customWidth="1"/>
    <col min="23" max="25" width="9.140625" style="285" bestFit="1" customWidth="1"/>
    <col min="26" max="26" width="9.85546875" style="285" customWidth="1"/>
    <col min="27" max="27" width="9.140625" style="285" bestFit="1" customWidth="1"/>
    <col min="28" max="28" width="62" style="285" customWidth="1"/>
    <col min="29" max="29" width="28" style="285" customWidth="1"/>
    <col min="30" max="30" width="22.140625" style="285" customWidth="1"/>
    <col min="31" max="31" width="22.5703125" style="285" customWidth="1"/>
  </cols>
  <sheetData>
    <row r="1" spans="1:31" ht="53.25">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348" t="s">
        <v>5</v>
      </c>
      <c r="AE1" s="45" t="s">
        <v>332</v>
      </c>
    </row>
    <row r="2" spans="1:31" ht="38.25" customHeight="1">
      <c r="A2" s="114">
        <v>1</v>
      </c>
      <c r="B2" s="114" t="s">
        <v>87</v>
      </c>
      <c r="C2" s="327">
        <v>46155</v>
      </c>
      <c r="D2" s="327">
        <v>46168</v>
      </c>
      <c r="E2" s="164" t="s">
        <v>309</v>
      </c>
      <c r="F2" s="114" t="s">
        <v>40</v>
      </c>
      <c r="G2" s="114">
        <v>53024</v>
      </c>
      <c r="H2" s="114" t="s">
        <v>333</v>
      </c>
      <c r="I2" s="47" t="s">
        <v>334</v>
      </c>
      <c r="J2" s="114">
        <v>3</v>
      </c>
      <c r="K2" s="114">
        <f t="shared" ref="K2" si="0">L2/4</f>
        <v>1.75</v>
      </c>
      <c r="L2" s="114">
        <v>7</v>
      </c>
      <c r="M2" s="176">
        <v>46148</v>
      </c>
      <c r="N2" s="176">
        <v>46157</v>
      </c>
      <c r="O2" s="114" t="s">
        <v>335</v>
      </c>
      <c r="P2" s="114"/>
      <c r="Q2" s="48"/>
      <c r="R2" s="114" t="s">
        <v>336</v>
      </c>
      <c r="S2" s="114" t="s">
        <v>337</v>
      </c>
      <c r="T2" s="48" t="s">
        <v>338</v>
      </c>
      <c r="U2" s="176">
        <v>46154</v>
      </c>
      <c r="V2" s="176"/>
      <c r="W2" s="114"/>
      <c r="X2" s="114"/>
      <c r="Y2" s="114"/>
      <c r="Z2" s="114"/>
      <c r="AA2" s="114"/>
      <c r="AB2" s="114"/>
      <c r="AC2" s="114" t="s">
        <v>339</v>
      </c>
      <c r="AD2" s="114"/>
      <c r="AE2" s="114" t="s">
        <v>340</v>
      </c>
    </row>
    <row r="3" spans="1:31" ht="25.5" customHeight="1">
      <c r="A3" s="114">
        <v>2</v>
      </c>
      <c r="B3" s="114" t="s">
        <v>87</v>
      </c>
      <c r="C3" s="327">
        <v>46155</v>
      </c>
      <c r="D3" s="327">
        <v>46168</v>
      </c>
      <c r="E3" s="164" t="s">
        <v>341</v>
      </c>
      <c r="F3" s="114" t="s">
        <v>40</v>
      </c>
      <c r="G3" s="100">
        <v>53229</v>
      </c>
      <c r="H3" s="114" t="s">
        <v>342</v>
      </c>
      <c r="I3" s="272" t="s">
        <v>343</v>
      </c>
      <c r="J3" s="100">
        <v>1</v>
      </c>
      <c r="K3" s="114">
        <f t="shared" ref="K3:K4" si="1">L3/4</f>
        <v>0.5</v>
      </c>
      <c r="L3" s="114">
        <v>2</v>
      </c>
      <c r="M3" s="176">
        <v>46154</v>
      </c>
      <c r="N3" s="176">
        <v>46154</v>
      </c>
      <c r="O3" s="114" t="s">
        <v>147</v>
      </c>
      <c r="P3" s="114" t="s">
        <v>344</v>
      </c>
      <c r="Q3" s="114" t="s">
        <v>345</v>
      </c>
      <c r="R3" s="114" t="s">
        <v>344</v>
      </c>
      <c r="S3" s="114" t="s">
        <v>345</v>
      </c>
      <c r="T3" s="48" t="s">
        <v>346</v>
      </c>
      <c r="U3" s="176">
        <v>46154</v>
      </c>
      <c r="V3" s="176">
        <v>46154</v>
      </c>
      <c r="W3" s="114" t="s">
        <v>344</v>
      </c>
      <c r="X3" s="114" t="s">
        <v>345</v>
      </c>
      <c r="Y3" s="114" t="s">
        <v>344</v>
      </c>
      <c r="Z3" s="176">
        <v>46154</v>
      </c>
      <c r="AA3" s="114" t="s">
        <v>345</v>
      </c>
      <c r="AB3" s="386" t="s">
        <v>345</v>
      </c>
      <c r="AC3" s="114" t="s">
        <v>345</v>
      </c>
      <c r="AD3" s="114" t="s">
        <v>345</v>
      </c>
      <c r="AE3" s="114" t="s">
        <v>340</v>
      </c>
    </row>
    <row r="4" spans="1:31" ht="25.5" customHeight="1">
      <c r="A4" s="114">
        <v>3</v>
      </c>
      <c r="B4" s="114" t="s">
        <v>87</v>
      </c>
      <c r="C4" s="327">
        <v>46155</v>
      </c>
      <c r="D4" s="327">
        <v>46168</v>
      </c>
      <c r="E4" s="164" t="s">
        <v>341</v>
      </c>
      <c r="F4" s="114" t="s">
        <v>40</v>
      </c>
      <c r="G4" s="100">
        <v>53066</v>
      </c>
      <c r="H4" s="114" t="s">
        <v>347</v>
      </c>
      <c r="I4" s="47" t="s">
        <v>334</v>
      </c>
      <c r="J4" s="100">
        <v>8</v>
      </c>
      <c r="K4" s="114">
        <f t="shared" si="1"/>
        <v>2.75</v>
      </c>
      <c r="L4" s="114">
        <v>11</v>
      </c>
      <c r="M4" s="176">
        <v>46156</v>
      </c>
      <c r="N4" s="176"/>
      <c r="O4" s="114"/>
      <c r="P4" s="114"/>
      <c r="Q4" s="114"/>
      <c r="R4" s="114"/>
      <c r="S4" s="114"/>
      <c r="T4" s="48"/>
      <c r="U4" s="176"/>
      <c r="V4" s="176"/>
      <c r="W4" s="114"/>
      <c r="X4" s="114"/>
      <c r="Y4" s="114"/>
      <c r="Z4" s="176"/>
      <c r="AA4" s="114"/>
      <c r="AB4" s="386"/>
      <c r="AC4" s="114"/>
      <c r="AD4" s="114"/>
      <c r="AE4" s="114"/>
    </row>
    <row r="5" spans="1:31" ht="25.5" customHeight="1">
      <c r="A5" s="149">
        <v>4</v>
      </c>
      <c r="B5" s="149" t="s">
        <v>87</v>
      </c>
      <c r="C5" s="373">
        <v>46155</v>
      </c>
      <c r="D5" s="373">
        <v>46168</v>
      </c>
      <c r="E5" s="54" t="s">
        <v>341</v>
      </c>
      <c r="F5" s="149" t="s">
        <v>336</v>
      </c>
      <c r="G5" s="149">
        <v>53046</v>
      </c>
      <c r="H5" s="149" t="s">
        <v>348</v>
      </c>
      <c r="I5" s="55" t="s">
        <v>334</v>
      </c>
      <c r="J5" s="149">
        <v>8</v>
      </c>
      <c r="K5" s="114">
        <f>L5/4</f>
        <v>1</v>
      </c>
      <c r="L5" s="149">
        <v>4</v>
      </c>
      <c r="M5" s="181">
        <v>46155</v>
      </c>
      <c r="N5" s="181"/>
      <c r="O5" s="149"/>
      <c r="P5" s="149"/>
      <c r="Q5" s="149"/>
      <c r="R5" s="149"/>
      <c r="S5" s="149"/>
      <c r="T5" s="278"/>
      <c r="U5" s="149"/>
      <c r="V5" s="149"/>
      <c r="W5" s="149"/>
      <c r="X5" s="149"/>
      <c r="Y5" s="149"/>
      <c r="Z5" s="149"/>
      <c r="AA5" s="149"/>
      <c r="AB5" s="149"/>
      <c r="AC5" s="149"/>
      <c r="AD5" s="149"/>
      <c r="AE5" s="149"/>
    </row>
    <row r="6" spans="1:31" ht="25.5" customHeight="1">
      <c r="A6" s="114">
        <v>5</v>
      </c>
      <c r="B6" s="114" t="s">
        <v>87</v>
      </c>
      <c r="C6" s="327">
        <v>46155</v>
      </c>
      <c r="D6" s="327">
        <v>46168</v>
      </c>
      <c r="E6" s="164" t="s">
        <v>341</v>
      </c>
      <c r="F6" s="114" t="s">
        <v>349</v>
      </c>
      <c r="G6" s="114">
        <v>53285</v>
      </c>
      <c r="H6" s="114" t="s">
        <v>350</v>
      </c>
      <c r="I6" s="114" t="s">
        <v>334</v>
      </c>
      <c r="J6" s="114">
        <v>13</v>
      </c>
      <c r="K6" s="114"/>
      <c r="L6" s="114"/>
      <c r="M6" s="114"/>
      <c r="N6" s="114"/>
      <c r="O6" s="114"/>
      <c r="P6" s="114"/>
      <c r="Q6" s="114"/>
      <c r="R6" s="114"/>
      <c r="S6" s="114"/>
      <c r="T6" s="114"/>
      <c r="U6" s="114"/>
      <c r="V6" s="114"/>
      <c r="W6" s="114"/>
      <c r="X6" s="114"/>
      <c r="Y6" s="114"/>
      <c r="Z6" s="114"/>
      <c r="AA6" s="114"/>
      <c r="AB6" s="114"/>
      <c r="AC6" s="114"/>
      <c r="AD6" s="114"/>
      <c r="AE6" s="114"/>
    </row>
  </sheetData>
  <dataValidations count="1">
    <dataValidation type="list" allowBlank="1" showInputMessage="1" showErrorMessage="1" sqref="AE2:AE4" xr:uid="{5C6E177E-C0BE-433C-89F8-D8C0901FD45B}">
      <formula1>"Exceeds Expectation, Meets Expectation, Needs Improvement"</formula1>
    </dataValidation>
  </dataValidations>
  <hyperlinks>
    <hyperlink ref="T2" r:id="rId1" xr:uid="{F2AC9702-FF19-4327-8998-3EA71D0F619A}"/>
    <hyperlink ref="T3" r:id="rId2" xr:uid="{8716862D-3AAD-47F7-828C-F8FBFEEBE71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6E9ED78-60AD-48B8-ADFE-4875DC2EEE2D}">
          <x14:formula1>
            <xm:f>Settings!$C$3:$C$20</xm:f>
          </x14:formula1>
          <xm:sqref>I2:I5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A38B5-F142-4910-99BE-7356AEBABCA4}">
  <dimension ref="A1:T10"/>
  <sheetViews>
    <sheetView tabSelected="1" workbookViewId="0">
      <selection activeCell="J19" sqref="J19"/>
    </sheetView>
  </sheetViews>
  <sheetFormatPr defaultRowHeight="12.75"/>
  <cols>
    <col min="1" max="1" width="22.42578125" customWidth="1"/>
    <col min="2" max="4" width="9.140625" bestFit="1" customWidth="1"/>
    <col min="5" max="5" width="14.140625" customWidth="1"/>
    <col min="6" max="6" width="57.85546875" customWidth="1"/>
    <col min="7" max="8" width="9.140625" bestFit="1" customWidth="1"/>
    <col min="9" max="9" width="9.7109375" customWidth="1"/>
    <col min="10" max="10" width="22.85546875" customWidth="1"/>
    <col min="11" max="13" width="9.140625" bestFit="1" customWidth="1"/>
    <col min="14" max="14" width="15.7109375" customWidth="1"/>
    <col min="15" max="15" width="57.5703125" bestFit="1" customWidth="1"/>
  </cols>
  <sheetData>
    <row r="1" spans="1:20" ht="40.5">
      <c r="A1" s="375" t="s">
        <v>74</v>
      </c>
      <c r="B1" s="375" t="s">
        <v>75</v>
      </c>
      <c r="C1" s="375" t="s">
        <v>76</v>
      </c>
      <c r="D1" s="375" t="s">
        <v>2</v>
      </c>
      <c r="E1" s="375" t="s">
        <v>77</v>
      </c>
      <c r="F1" s="375" t="s">
        <v>78</v>
      </c>
      <c r="G1" s="375" t="s">
        <v>79</v>
      </c>
      <c r="H1" s="375" t="s">
        <v>80</v>
      </c>
      <c r="I1" s="375" t="s">
        <v>81</v>
      </c>
      <c r="J1" s="375" t="s">
        <v>4</v>
      </c>
      <c r="K1" s="375" t="s">
        <v>312</v>
      </c>
      <c r="L1" s="375" t="s">
        <v>313</v>
      </c>
      <c r="M1" s="375" t="s">
        <v>314</v>
      </c>
      <c r="N1" s="376" t="s">
        <v>82</v>
      </c>
      <c r="O1" s="377" t="s">
        <v>5</v>
      </c>
      <c r="P1" s="52"/>
      <c r="Q1" s="52"/>
      <c r="R1" s="52"/>
      <c r="S1" s="52"/>
      <c r="T1" s="52"/>
    </row>
    <row r="2" spans="1:20" ht="38.25" customHeight="1">
      <c r="A2" s="164" t="s">
        <v>341</v>
      </c>
      <c r="B2" s="49">
        <v>27315</v>
      </c>
      <c r="C2" s="12"/>
      <c r="D2" s="49" t="s">
        <v>49</v>
      </c>
      <c r="E2" s="346"/>
      <c r="F2" s="423" t="s">
        <v>351</v>
      </c>
      <c r="G2" s="69" t="s">
        <v>352</v>
      </c>
      <c r="H2" s="340" t="s">
        <v>353</v>
      </c>
      <c r="I2" s="97" t="s">
        <v>354</v>
      </c>
      <c r="J2" s="55" t="s">
        <v>355</v>
      </c>
      <c r="K2" s="286">
        <v>2</v>
      </c>
      <c r="L2" s="69">
        <f>M2/4</f>
        <v>1.5</v>
      </c>
      <c r="M2" s="130">
        <v>6</v>
      </c>
      <c r="N2" s="164" t="s">
        <v>356</v>
      </c>
      <c r="O2" s="12"/>
    </row>
    <row r="3" spans="1:20" ht="18.75" customHeight="1">
      <c r="A3" s="164"/>
      <c r="B3" s="49"/>
      <c r="C3" s="49"/>
      <c r="D3" s="49"/>
      <c r="E3" s="346"/>
      <c r="F3" s="402"/>
      <c r="G3" s="69"/>
      <c r="H3" s="384"/>
      <c r="I3" s="97"/>
      <c r="J3" s="55"/>
      <c r="K3" s="69"/>
      <c r="L3" s="69"/>
      <c r="M3" s="130"/>
      <c r="N3" s="164"/>
      <c r="O3" s="14"/>
    </row>
    <row r="4" spans="1:20">
      <c r="A4" s="55"/>
      <c r="B4" s="69"/>
      <c r="C4" s="19"/>
      <c r="D4" s="69"/>
      <c r="E4" s="69"/>
      <c r="F4" s="13"/>
      <c r="G4" s="69"/>
      <c r="H4" s="69"/>
      <c r="I4" s="97"/>
      <c r="J4" s="404"/>
      <c r="K4" s="69"/>
      <c r="L4" s="69"/>
      <c r="M4" s="69"/>
      <c r="N4" s="317"/>
      <c r="O4" s="19"/>
    </row>
    <row r="5" spans="1:20">
      <c r="A5" s="47"/>
      <c r="B5" s="49"/>
      <c r="C5" s="12"/>
      <c r="D5" s="49"/>
      <c r="E5" s="346"/>
      <c r="F5" s="13"/>
      <c r="G5" s="346"/>
      <c r="H5" s="346"/>
      <c r="I5" s="97"/>
      <c r="J5" s="47"/>
      <c r="K5" s="49"/>
      <c r="L5" s="49"/>
      <c r="M5" s="49"/>
      <c r="N5" s="164"/>
      <c r="O5" s="12"/>
    </row>
    <row r="6" spans="1:20">
      <c r="A6" s="387"/>
      <c r="B6" s="64"/>
      <c r="C6" s="388"/>
      <c r="D6" s="389"/>
      <c r="E6" s="390"/>
      <c r="F6" s="13"/>
      <c r="G6" s="64"/>
      <c r="H6" s="391"/>
      <c r="I6" s="97"/>
      <c r="J6" s="405"/>
      <c r="K6" s="64"/>
      <c r="L6" s="64"/>
      <c r="M6" s="64"/>
      <c r="N6" s="392"/>
      <c r="O6" s="388"/>
    </row>
    <row r="7" spans="1:20">
      <c r="A7" s="55"/>
      <c r="B7" s="69"/>
      <c r="C7" s="19"/>
      <c r="D7" s="130"/>
      <c r="E7" s="393"/>
      <c r="F7" s="140"/>
      <c r="G7" s="69"/>
      <c r="H7" s="286"/>
      <c r="I7" s="97"/>
      <c r="J7" s="404"/>
      <c r="K7" s="69"/>
      <c r="L7" s="69"/>
      <c r="M7" s="69"/>
      <c r="N7" s="317"/>
      <c r="O7" s="19"/>
    </row>
    <row r="8" spans="1:20">
      <c r="A8" s="47"/>
      <c r="B8" s="49"/>
      <c r="C8" s="12"/>
      <c r="D8" s="49"/>
      <c r="E8" s="346"/>
      <c r="F8" s="13"/>
      <c r="G8" s="49"/>
      <c r="H8" s="49"/>
      <c r="I8" s="97"/>
      <c r="J8" s="404"/>
      <c r="K8" s="49"/>
      <c r="L8" s="49"/>
      <c r="M8" s="49"/>
      <c r="N8" s="164"/>
      <c r="O8" s="12"/>
    </row>
    <row r="9" spans="1:20">
      <c r="A9" s="47"/>
      <c r="B9" s="49"/>
      <c r="C9" s="12"/>
      <c r="D9" s="49"/>
      <c r="E9" s="346"/>
      <c r="F9" s="13"/>
      <c r="G9" s="49"/>
      <c r="H9" s="49"/>
      <c r="I9" s="97"/>
      <c r="J9" s="47"/>
      <c r="K9" s="49"/>
      <c r="L9" s="49"/>
      <c r="M9" s="49"/>
      <c r="N9" s="164"/>
      <c r="O9" s="12"/>
    </row>
    <row r="10" spans="1:20">
      <c r="A10" s="47"/>
      <c r="B10" s="49"/>
      <c r="C10" s="12"/>
      <c r="D10" s="49"/>
      <c r="E10" s="346"/>
      <c r="F10" s="13"/>
      <c r="G10" s="49"/>
      <c r="H10" s="49"/>
      <c r="I10" s="25"/>
      <c r="J10" s="47"/>
      <c r="K10" s="49"/>
      <c r="L10" s="49"/>
      <c r="M10" s="49"/>
      <c r="N10" s="164"/>
      <c r="O10" s="12"/>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AC6659FE-2162-4C70-AB23-A6CA21D55B91}">
          <x14:formula1>
            <xm:f>Settings!$C$3:$C$20</xm:f>
          </x14:formula1>
          <xm:sqref>J2:J10</xm:sqref>
        </x14:dataValidation>
        <x14:dataValidation type="list" allowBlank="1" showErrorMessage="1" xr:uid="{8DC2E94D-930F-4B14-A6EE-912A000D3868}">
          <x14:formula1>
            <xm:f>Details!$A$2:$A$10</xm:f>
          </x14:formula1>
          <xm:sqref>N2:N10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2B71D-BB6B-4230-AFAC-E77FD624AA12}">
  <dimension ref="A1:AE9"/>
  <sheetViews>
    <sheetView topLeftCell="T1" workbookViewId="0">
      <selection activeCell="AD3" sqref="AD3"/>
    </sheetView>
  </sheetViews>
  <sheetFormatPr defaultRowHeight="25.5" customHeight="1"/>
  <cols>
    <col min="1" max="1" width="9.140625" style="285"/>
    <col min="2" max="2" width="12.5703125" style="285" customWidth="1"/>
    <col min="3" max="3" width="12.140625" style="285" customWidth="1"/>
    <col min="4" max="4" width="11.85546875" style="285" customWidth="1"/>
    <col min="5" max="5" width="22.28515625" style="285" customWidth="1"/>
    <col min="6" max="6" width="9.140625" style="285" bestFit="1" customWidth="1"/>
    <col min="7" max="7" width="11" style="285" bestFit="1" customWidth="1"/>
    <col min="8" max="8" width="61.5703125" style="285" customWidth="1"/>
    <col min="9" max="9" width="25.5703125" style="285" customWidth="1"/>
    <col min="10" max="12" width="9.140625" style="285" bestFit="1" customWidth="1"/>
    <col min="13" max="13" width="10" style="285" customWidth="1"/>
    <col min="14" max="14" width="10.5703125" style="285" customWidth="1"/>
    <col min="15" max="16" width="9.140625" style="285" bestFit="1" customWidth="1"/>
    <col min="17" max="17" width="54" style="285" customWidth="1"/>
    <col min="18" max="19" width="9.140625" style="285" bestFit="1" customWidth="1"/>
    <col min="20" max="20" width="48.85546875" style="285" customWidth="1"/>
    <col min="21" max="21" width="11.42578125" style="285" customWidth="1"/>
    <col min="22" max="22" width="9.5703125" style="285" bestFit="1" customWidth="1"/>
    <col min="23" max="25" width="9.140625" style="285" bestFit="1" customWidth="1"/>
    <col min="26" max="26" width="9.85546875" style="285" customWidth="1"/>
    <col min="27" max="27" width="9.140625" style="285" bestFit="1" customWidth="1"/>
    <col min="28" max="28" width="35" style="285" customWidth="1"/>
    <col min="29" max="29" width="9.140625" style="285" bestFit="1" customWidth="1"/>
    <col min="30" max="30" width="56.85546875" style="285" customWidth="1"/>
    <col min="31" max="31" width="22.5703125" style="285" customWidth="1"/>
  </cols>
  <sheetData>
    <row r="1" spans="1:31" ht="53.25">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348" t="s">
        <v>5</v>
      </c>
      <c r="AE1" s="45" t="s">
        <v>332</v>
      </c>
    </row>
    <row r="2" spans="1:31" ht="25.5" customHeight="1">
      <c r="A2" s="114">
        <v>1</v>
      </c>
      <c r="B2" s="114" t="s">
        <v>87</v>
      </c>
      <c r="C2" s="327">
        <v>46141</v>
      </c>
      <c r="D2" s="327">
        <v>46154</v>
      </c>
      <c r="E2" s="164" t="s">
        <v>304</v>
      </c>
      <c r="F2" s="100" t="s">
        <v>49</v>
      </c>
      <c r="G2" s="100">
        <v>52617</v>
      </c>
      <c r="H2" s="114" t="s">
        <v>357</v>
      </c>
      <c r="I2" s="272" t="s">
        <v>358</v>
      </c>
      <c r="J2" s="100">
        <v>2</v>
      </c>
      <c r="K2" s="114">
        <f>L2/4</f>
        <v>2.25</v>
      </c>
      <c r="L2" s="114">
        <v>9</v>
      </c>
      <c r="M2" s="176">
        <v>46141</v>
      </c>
      <c r="N2" s="176">
        <v>46146</v>
      </c>
      <c r="O2" s="114" t="s">
        <v>359</v>
      </c>
      <c r="P2" s="114" t="s">
        <v>349</v>
      </c>
      <c r="Q2" s="114" t="s">
        <v>360</v>
      </c>
      <c r="R2" s="114" t="s">
        <v>40</v>
      </c>
      <c r="S2" s="114" t="s">
        <v>345</v>
      </c>
      <c r="T2" s="48" t="s">
        <v>361</v>
      </c>
      <c r="U2" s="176">
        <v>46150</v>
      </c>
      <c r="V2" s="176">
        <v>46150</v>
      </c>
      <c r="W2" s="114" t="s">
        <v>344</v>
      </c>
      <c r="X2" s="114" t="s">
        <v>345</v>
      </c>
      <c r="Y2" s="114" t="s">
        <v>345</v>
      </c>
      <c r="Z2" s="114" t="s">
        <v>345</v>
      </c>
      <c r="AA2" s="114" t="s">
        <v>345</v>
      </c>
      <c r="AB2" s="114" t="s">
        <v>345</v>
      </c>
      <c r="AC2" s="114" t="s">
        <v>345</v>
      </c>
      <c r="AD2" s="114" t="s">
        <v>345</v>
      </c>
      <c r="AE2" s="114" t="s">
        <v>340</v>
      </c>
    </row>
    <row r="3" spans="1:31" ht="84.75" customHeight="1">
      <c r="A3" s="114">
        <v>2</v>
      </c>
      <c r="B3" s="114" t="s">
        <v>87</v>
      </c>
      <c r="C3" s="327">
        <v>46141</v>
      </c>
      <c r="D3" s="327">
        <v>46154</v>
      </c>
      <c r="E3" s="164" t="s">
        <v>304</v>
      </c>
      <c r="F3" s="114" t="s">
        <v>49</v>
      </c>
      <c r="G3" s="100">
        <v>52618</v>
      </c>
      <c r="H3" s="114" t="s">
        <v>362</v>
      </c>
      <c r="I3" s="421" t="s">
        <v>334</v>
      </c>
      <c r="J3" s="100">
        <v>8</v>
      </c>
      <c r="K3" s="114">
        <f>L3/4</f>
        <v>10</v>
      </c>
      <c r="L3" s="114">
        <v>40</v>
      </c>
      <c r="M3" s="176">
        <v>46141</v>
      </c>
      <c r="N3" s="176">
        <v>46150</v>
      </c>
      <c r="O3" s="114" t="s">
        <v>335</v>
      </c>
      <c r="P3" s="114" t="s">
        <v>40</v>
      </c>
      <c r="Q3" s="114" t="s">
        <v>345</v>
      </c>
      <c r="R3" s="114" t="s">
        <v>40</v>
      </c>
      <c r="S3" s="114" t="s">
        <v>345</v>
      </c>
      <c r="T3" s="48" t="s">
        <v>361</v>
      </c>
      <c r="U3" s="176">
        <v>46153</v>
      </c>
      <c r="V3" s="176">
        <v>46153</v>
      </c>
      <c r="W3" s="114" t="s">
        <v>344</v>
      </c>
      <c r="X3" s="114" t="s">
        <v>345</v>
      </c>
      <c r="Y3" s="114" t="s">
        <v>345</v>
      </c>
      <c r="Z3" s="176" t="s">
        <v>345</v>
      </c>
      <c r="AA3" s="114" t="s">
        <v>345</v>
      </c>
      <c r="AB3" s="422" t="s">
        <v>363</v>
      </c>
      <c r="AC3" s="114" t="s">
        <v>345</v>
      </c>
      <c r="AD3" s="114" t="s">
        <v>364</v>
      </c>
      <c r="AE3" s="114" t="s">
        <v>340</v>
      </c>
    </row>
    <row r="4" spans="1:31" ht="25.5" customHeight="1">
      <c r="A4" s="114">
        <v>3</v>
      </c>
      <c r="B4" s="114" t="s">
        <v>87</v>
      </c>
      <c r="C4" s="327">
        <v>46141</v>
      </c>
      <c r="D4" s="327">
        <v>46154</v>
      </c>
      <c r="E4" s="164" t="s">
        <v>304</v>
      </c>
      <c r="F4" s="114" t="s">
        <v>336</v>
      </c>
      <c r="G4" s="100">
        <v>51840</v>
      </c>
      <c r="H4" s="114" t="s">
        <v>365</v>
      </c>
      <c r="I4" s="272" t="s">
        <v>358</v>
      </c>
      <c r="J4" s="114">
        <v>5</v>
      </c>
      <c r="K4" s="114">
        <f>L4/4</f>
        <v>6.75</v>
      </c>
      <c r="L4" s="114">
        <v>27</v>
      </c>
      <c r="M4" s="176">
        <v>46141</v>
      </c>
      <c r="N4" s="176">
        <v>46147</v>
      </c>
      <c r="O4" s="114" t="s">
        <v>335</v>
      </c>
      <c r="P4" s="114" t="s">
        <v>349</v>
      </c>
      <c r="Q4" s="114" t="s">
        <v>366</v>
      </c>
      <c r="R4" s="114" t="s">
        <v>40</v>
      </c>
      <c r="S4" s="114" t="s">
        <v>345</v>
      </c>
      <c r="T4" s="48" t="s">
        <v>367</v>
      </c>
      <c r="U4" s="176">
        <v>46147</v>
      </c>
      <c r="V4" s="176">
        <v>46150</v>
      </c>
      <c r="W4" s="114" t="s">
        <v>344</v>
      </c>
      <c r="X4" s="114" t="s">
        <v>345</v>
      </c>
      <c r="Y4" s="114" t="s">
        <v>344</v>
      </c>
      <c r="Z4" s="176">
        <v>46150</v>
      </c>
      <c r="AA4" s="114" t="s">
        <v>345</v>
      </c>
      <c r="AB4" s="114" t="s">
        <v>345</v>
      </c>
      <c r="AC4" s="114" t="s">
        <v>345</v>
      </c>
      <c r="AD4" s="114" t="s">
        <v>345</v>
      </c>
      <c r="AE4" s="114" t="s">
        <v>340</v>
      </c>
    </row>
    <row r="5" spans="1:31" ht="25.5" customHeight="1">
      <c r="A5" s="114">
        <v>4</v>
      </c>
      <c r="B5" s="114" t="s">
        <v>87</v>
      </c>
      <c r="C5" s="327">
        <v>46141</v>
      </c>
      <c r="D5" s="327">
        <v>46154</v>
      </c>
      <c r="E5" s="164" t="s">
        <v>304</v>
      </c>
      <c r="F5" s="114" t="s">
        <v>40</v>
      </c>
      <c r="G5" s="47">
        <v>52505</v>
      </c>
      <c r="H5" s="114" t="s">
        <v>368</v>
      </c>
      <c r="I5" s="272" t="s">
        <v>358</v>
      </c>
      <c r="J5" s="114">
        <v>3</v>
      </c>
      <c r="K5" s="114">
        <f>L5/4</f>
        <v>1.5</v>
      </c>
      <c r="L5" s="114">
        <v>6</v>
      </c>
      <c r="M5" s="176">
        <v>46136</v>
      </c>
      <c r="N5" s="176">
        <v>46141</v>
      </c>
      <c r="O5" s="114" t="s">
        <v>335</v>
      </c>
      <c r="P5" s="114" t="s">
        <v>349</v>
      </c>
      <c r="Q5" s="114" t="s">
        <v>345</v>
      </c>
      <c r="R5" s="114" t="s">
        <v>336</v>
      </c>
      <c r="S5" s="114" t="s">
        <v>345</v>
      </c>
      <c r="T5" s="48" t="s">
        <v>369</v>
      </c>
      <c r="U5" s="176">
        <v>46141</v>
      </c>
      <c r="V5" s="176">
        <v>46142</v>
      </c>
      <c r="W5" s="114" t="s">
        <v>344</v>
      </c>
      <c r="X5" s="114" t="s">
        <v>345</v>
      </c>
      <c r="Y5" s="114" t="s">
        <v>344</v>
      </c>
      <c r="Z5" s="176">
        <v>46142</v>
      </c>
      <c r="AA5" s="114" t="s">
        <v>345</v>
      </c>
      <c r="AB5" s="114" t="s">
        <v>370</v>
      </c>
      <c r="AC5" s="114" t="s">
        <v>345</v>
      </c>
      <c r="AD5" s="114" t="s">
        <v>345</v>
      </c>
      <c r="AE5" s="114" t="s">
        <v>340</v>
      </c>
    </row>
    <row r="6" spans="1:31" ht="25.5" customHeight="1">
      <c r="A6" s="114">
        <v>5</v>
      </c>
      <c r="B6" s="114" t="s">
        <v>87</v>
      </c>
      <c r="C6" s="327">
        <v>46141</v>
      </c>
      <c r="D6" s="327">
        <v>46154</v>
      </c>
      <c r="E6" s="164" t="s">
        <v>304</v>
      </c>
      <c r="F6" s="114" t="s">
        <v>40</v>
      </c>
      <c r="G6" s="100">
        <v>44925</v>
      </c>
      <c r="H6" s="47" t="s">
        <v>371</v>
      </c>
      <c r="I6" s="272" t="s">
        <v>358</v>
      </c>
      <c r="J6" s="100">
        <v>5</v>
      </c>
      <c r="K6" s="114">
        <f>L6/4</f>
        <v>5.75</v>
      </c>
      <c r="L6" s="114">
        <v>23</v>
      </c>
      <c r="M6" s="176">
        <v>46141</v>
      </c>
      <c r="N6" s="176">
        <v>46148</v>
      </c>
      <c r="O6" s="114" t="s">
        <v>335</v>
      </c>
      <c r="P6" s="114" t="s">
        <v>349</v>
      </c>
      <c r="Q6" s="114" t="s">
        <v>372</v>
      </c>
      <c r="R6" s="114" t="s">
        <v>49</v>
      </c>
      <c r="S6" s="114" t="s">
        <v>345</v>
      </c>
      <c r="T6" s="48" t="s">
        <v>373</v>
      </c>
      <c r="U6" s="176">
        <v>46148</v>
      </c>
      <c r="V6" s="176">
        <v>46148</v>
      </c>
      <c r="W6" s="114" t="s">
        <v>344</v>
      </c>
      <c r="X6" s="114" t="s">
        <v>345</v>
      </c>
      <c r="Y6" s="114" t="s">
        <v>344</v>
      </c>
      <c r="Z6" s="176">
        <v>46148</v>
      </c>
      <c r="AA6" s="114" t="s">
        <v>345</v>
      </c>
      <c r="AB6" s="422" t="s">
        <v>345</v>
      </c>
      <c r="AC6" s="114" t="s">
        <v>345</v>
      </c>
      <c r="AD6" s="114" t="s">
        <v>345</v>
      </c>
      <c r="AE6" s="114" t="s">
        <v>340</v>
      </c>
    </row>
    <row r="7" spans="1:31" ht="25.5" customHeight="1">
      <c r="A7" s="114">
        <v>7</v>
      </c>
      <c r="B7" s="114" t="s">
        <v>87</v>
      </c>
      <c r="C7" s="327">
        <v>46141</v>
      </c>
      <c r="D7" s="327">
        <v>46154</v>
      </c>
      <c r="E7" s="164" t="s">
        <v>374</v>
      </c>
      <c r="F7" s="114" t="s">
        <v>349</v>
      </c>
      <c r="G7" s="114">
        <v>53119</v>
      </c>
      <c r="H7" s="114" t="s">
        <v>375</v>
      </c>
      <c r="I7" s="272" t="s">
        <v>358</v>
      </c>
      <c r="J7" s="114">
        <v>10</v>
      </c>
      <c r="K7" s="114">
        <f>L7/4</f>
        <v>10.5</v>
      </c>
      <c r="L7" s="114">
        <v>42</v>
      </c>
      <c r="M7" s="176">
        <v>46141</v>
      </c>
      <c r="N7" s="176">
        <v>46154</v>
      </c>
      <c r="O7" s="114" t="s">
        <v>335</v>
      </c>
      <c r="P7" s="114" t="s">
        <v>349</v>
      </c>
      <c r="Q7" s="114" t="s">
        <v>147</v>
      </c>
      <c r="R7" s="114" t="s">
        <v>147</v>
      </c>
      <c r="S7" s="114" t="s">
        <v>147</v>
      </c>
      <c r="T7" s="48" t="s">
        <v>376</v>
      </c>
      <c r="U7" s="114" t="s">
        <v>147</v>
      </c>
      <c r="V7" s="114" t="s">
        <v>147</v>
      </c>
      <c r="W7" s="114" t="s">
        <v>147</v>
      </c>
      <c r="X7" s="114" t="s">
        <v>147</v>
      </c>
      <c r="Y7" s="114" t="s">
        <v>147</v>
      </c>
      <c r="Z7" s="114" t="s">
        <v>147</v>
      </c>
      <c r="AA7" s="114" t="s">
        <v>147</v>
      </c>
      <c r="AB7" s="114" t="s">
        <v>147</v>
      </c>
      <c r="AC7" s="114" t="s">
        <v>147</v>
      </c>
      <c r="AD7" s="114" t="s">
        <v>147</v>
      </c>
      <c r="AE7" s="114" t="s">
        <v>147</v>
      </c>
    </row>
    <row r="8" spans="1:31" ht="25.5" customHeight="1">
      <c r="A8" s="114">
        <v>8</v>
      </c>
      <c r="B8" s="114" t="s">
        <v>87</v>
      </c>
      <c r="C8" s="327">
        <v>46141</v>
      </c>
      <c r="D8" s="327">
        <v>46154</v>
      </c>
      <c r="E8" s="164" t="s">
        <v>374</v>
      </c>
      <c r="F8" s="114" t="s">
        <v>40</v>
      </c>
      <c r="G8" s="114">
        <v>53024</v>
      </c>
      <c r="H8" s="114" t="s">
        <v>333</v>
      </c>
      <c r="I8" s="47" t="s">
        <v>334</v>
      </c>
      <c r="J8" s="114">
        <v>8</v>
      </c>
      <c r="K8" s="114">
        <f t="shared" ref="K8" si="0">L8/4</f>
        <v>6.75</v>
      </c>
      <c r="L8" s="114">
        <v>27</v>
      </c>
      <c r="M8" s="176">
        <v>46148</v>
      </c>
      <c r="N8" s="176"/>
      <c r="O8" s="114"/>
      <c r="P8" s="114"/>
      <c r="Q8" s="114"/>
      <c r="R8" s="114"/>
      <c r="S8" s="114"/>
      <c r="T8" s="114"/>
      <c r="U8" s="114"/>
      <c r="V8" s="114"/>
      <c r="W8" s="114"/>
      <c r="X8" s="114"/>
      <c r="Y8" s="114"/>
      <c r="Z8" s="114"/>
      <c r="AA8" s="114"/>
      <c r="AB8" s="114"/>
      <c r="AC8" s="114"/>
      <c r="AD8" s="114"/>
      <c r="AE8" s="114" t="s">
        <v>340</v>
      </c>
    </row>
    <row r="9" spans="1:31" ht="25.5" customHeight="1">
      <c r="A9" s="114">
        <v>6</v>
      </c>
      <c r="B9" s="114" t="s">
        <v>87</v>
      </c>
      <c r="C9" s="327">
        <v>46141</v>
      </c>
      <c r="D9" s="327">
        <v>46154</v>
      </c>
      <c r="E9" s="164" t="s">
        <v>374</v>
      </c>
      <c r="F9" s="114" t="s">
        <v>336</v>
      </c>
      <c r="G9" s="114">
        <v>53046</v>
      </c>
      <c r="H9" s="114" t="s">
        <v>348</v>
      </c>
      <c r="I9" s="47" t="s">
        <v>334</v>
      </c>
      <c r="J9" s="114">
        <v>8</v>
      </c>
      <c r="K9" s="114">
        <f>L9/4</f>
        <v>5.75</v>
      </c>
      <c r="L9" s="114">
        <v>23</v>
      </c>
      <c r="M9" s="176">
        <v>46147</v>
      </c>
      <c r="N9" s="114"/>
      <c r="O9" s="114"/>
      <c r="P9" s="114"/>
      <c r="Q9" s="114"/>
      <c r="R9" s="114"/>
      <c r="S9" s="114"/>
      <c r="T9" s="114"/>
      <c r="U9" s="114"/>
      <c r="V9" s="114"/>
      <c r="W9" s="114"/>
      <c r="X9" s="114"/>
      <c r="Y9" s="114"/>
      <c r="Z9" s="114"/>
      <c r="AA9" s="114"/>
      <c r="AB9" s="114"/>
      <c r="AC9" s="114"/>
      <c r="AD9" s="114"/>
      <c r="AE9" s="114" t="s">
        <v>340</v>
      </c>
    </row>
  </sheetData>
  <dataValidations count="1">
    <dataValidation type="list" allowBlank="1" showInputMessage="1" showErrorMessage="1" sqref="AE2:AE6 AE8:AE9" xr:uid="{0B589099-0ACF-4C6A-B745-2B2DB78DF43C}">
      <formula1>"Exceeds Expectation, Meets Expectation, Needs Improvement"</formula1>
    </dataValidation>
  </dataValidations>
  <hyperlinks>
    <hyperlink ref="T5" r:id="rId1" xr:uid="{AAD8D529-7E65-44C4-8D3F-72273C83A784}"/>
    <hyperlink ref="T6" r:id="rId2" xr:uid="{4B8569EF-032F-4E88-B0BA-E928938DB9AB}"/>
    <hyperlink ref="T4" r:id="rId3" xr:uid="{997C590D-08D2-4476-B0C1-304658397AFF}"/>
    <hyperlink ref="T7" r:id="rId4" xr:uid="{21163817-12D4-4EC4-BBCE-012F0E1E5041}"/>
    <hyperlink ref="T2" r:id="rId5" xr:uid="{2B37C27F-8329-403F-B180-4F5D3157D0E4}"/>
    <hyperlink ref="T3" r:id="rId6" xr:uid="{73A7FB33-7949-4DDD-A9BC-36AD856848E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CA56251-0AD7-4A4B-BD8F-1266B0FF20E8}">
          <x14:formula1>
            <xm:f>Settings!$C$3:$C$20</xm:f>
          </x14:formula1>
          <xm:sqref>I2:I9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DD376-3401-423F-B246-114552FE8AAC}">
  <dimension ref="A1:T10"/>
  <sheetViews>
    <sheetView workbookViewId="0">
      <selection activeCell="K2" sqref="K2"/>
    </sheetView>
  </sheetViews>
  <sheetFormatPr defaultRowHeight="12.75"/>
  <cols>
    <col min="1" max="1" width="22.42578125" customWidth="1"/>
    <col min="2" max="4" width="9.140625" bestFit="1" customWidth="1"/>
    <col min="5" max="5" width="14.140625" customWidth="1"/>
    <col min="6" max="6" width="57.85546875" customWidth="1"/>
    <col min="7" max="8" width="9.140625" bestFit="1" customWidth="1"/>
    <col min="9" max="9" width="9.7109375" customWidth="1"/>
    <col min="10" max="10" width="22.85546875" customWidth="1"/>
    <col min="11" max="13" width="9.140625" bestFit="1" customWidth="1"/>
    <col min="14" max="14" width="15.7109375" customWidth="1"/>
    <col min="15" max="15" width="57.5703125" bestFit="1" customWidth="1"/>
  </cols>
  <sheetData>
    <row r="1" spans="1:20" ht="40.5">
      <c r="A1" s="375" t="s">
        <v>74</v>
      </c>
      <c r="B1" s="375" t="s">
        <v>75</v>
      </c>
      <c r="C1" s="375" t="s">
        <v>76</v>
      </c>
      <c r="D1" s="375" t="s">
        <v>2</v>
      </c>
      <c r="E1" s="375" t="s">
        <v>77</v>
      </c>
      <c r="F1" s="375" t="s">
        <v>78</v>
      </c>
      <c r="G1" s="375" t="s">
        <v>79</v>
      </c>
      <c r="H1" s="375" t="s">
        <v>80</v>
      </c>
      <c r="I1" s="375" t="s">
        <v>81</v>
      </c>
      <c r="J1" s="375" t="s">
        <v>4</v>
      </c>
      <c r="K1" s="375" t="s">
        <v>312</v>
      </c>
      <c r="L1" s="375" t="s">
        <v>313</v>
      </c>
      <c r="M1" s="375" t="s">
        <v>314</v>
      </c>
      <c r="N1" s="376" t="s">
        <v>82</v>
      </c>
      <c r="O1" s="377" t="s">
        <v>5</v>
      </c>
      <c r="P1" s="52"/>
      <c r="Q1" s="52"/>
      <c r="R1" s="52"/>
      <c r="S1" s="52"/>
      <c r="T1" s="52"/>
    </row>
    <row r="2" spans="1:20" ht="17.25" customHeight="1">
      <c r="A2" s="164"/>
      <c r="B2" s="49"/>
      <c r="C2" s="12"/>
      <c r="D2" s="49"/>
      <c r="E2" s="346"/>
      <c r="F2" s="402"/>
      <c r="G2" s="69"/>
      <c r="H2" s="384"/>
      <c r="I2" s="97"/>
      <c r="J2" s="55"/>
      <c r="K2" s="286"/>
      <c r="L2" s="69"/>
      <c r="M2" s="130"/>
      <c r="N2" s="164"/>
      <c r="O2" s="12"/>
    </row>
    <row r="3" spans="1:20" ht="18.75" customHeight="1">
      <c r="A3" s="164"/>
      <c r="B3" s="49"/>
      <c r="C3" s="49"/>
      <c r="D3" s="49"/>
      <c r="E3" s="346"/>
      <c r="F3" s="402"/>
      <c r="G3" s="69"/>
      <c r="H3" s="384"/>
      <c r="I3" s="97"/>
      <c r="J3" s="55"/>
      <c r="K3" s="69"/>
      <c r="L3" s="69"/>
      <c r="M3" s="130"/>
      <c r="N3" s="164"/>
      <c r="O3" s="14"/>
    </row>
    <row r="4" spans="1:20">
      <c r="A4" s="55"/>
      <c r="B4" s="69"/>
      <c r="C4" s="19"/>
      <c r="D4" s="69"/>
      <c r="E4" s="69"/>
      <c r="F4" s="13"/>
      <c r="G4" s="69"/>
      <c r="H4" s="69"/>
      <c r="I4" s="97"/>
      <c r="J4" s="404"/>
      <c r="K4" s="69"/>
      <c r="L4" s="69"/>
      <c r="M4" s="69"/>
      <c r="N4" s="317"/>
      <c r="O4" s="19"/>
    </row>
    <row r="5" spans="1:20">
      <c r="A5" s="47"/>
      <c r="B5" s="49"/>
      <c r="C5" s="12"/>
      <c r="D5" s="49"/>
      <c r="E5" s="346"/>
      <c r="F5" s="13"/>
      <c r="G5" s="346"/>
      <c r="H5" s="346"/>
      <c r="I5" s="97"/>
      <c r="J5" s="47"/>
      <c r="K5" s="49"/>
      <c r="L5" s="49"/>
      <c r="M5" s="49"/>
      <c r="N5" s="164"/>
      <c r="O5" s="12"/>
    </row>
    <row r="6" spans="1:20">
      <c r="A6" s="387"/>
      <c r="B6" s="64"/>
      <c r="C6" s="388"/>
      <c r="D6" s="389"/>
      <c r="E6" s="390"/>
      <c r="F6" s="13"/>
      <c r="G6" s="64"/>
      <c r="H6" s="391"/>
      <c r="I6" s="97"/>
      <c r="J6" s="405"/>
      <c r="K6" s="64"/>
      <c r="L6" s="64"/>
      <c r="M6" s="64"/>
      <c r="N6" s="392"/>
      <c r="O6" s="388"/>
    </row>
    <row r="7" spans="1:20">
      <c r="A7" s="55"/>
      <c r="B7" s="69"/>
      <c r="C7" s="19"/>
      <c r="D7" s="130"/>
      <c r="E7" s="393"/>
      <c r="F7" s="140"/>
      <c r="G7" s="69"/>
      <c r="H7" s="286"/>
      <c r="I7" s="97"/>
      <c r="J7" s="404"/>
      <c r="K7" s="69"/>
      <c r="L7" s="69"/>
      <c r="M7" s="69"/>
      <c r="N7" s="317"/>
      <c r="O7" s="19"/>
    </row>
    <row r="8" spans="1:20">
      <c r="A8" s="47"/>
      <c r="B8" s="49"/>
      <c r="C8" s="12"/>
      <c r="D8" s="49"/>
      <c r="E8" s="346"/>
      <c r="F8" s="13"/>
      <c r="G8" s="49"/>
      <c r="H8" s="49"/>
      <c r="I8" s="97"/>
      <c r="J8" s="404"/>
      <c r="K8" s="49"/>
      <c r="L8" s="49"/>
      <c r="M8" s="49"/>
      <c r="N8" s="164"/>
      <c r="O8" s="12"/>
    </row>
    <row r="9" spans="1:20">
      <c r="A9" s="47"/>
      <c r="B9" s="49"/>
      <c r="C9" s="12"/>
      <c r="D9" s="49"/>
      <c r="E9" s="346"/>
      <c r="F9" s="13"/>
      <c r="G9" s="49"/>
      <c r="H9" s="49"/>
      <c r="I9" s="97"/>
      <c r="J9" s="47"/>
      <c r="K9" s="49"/>
      <c r="L9" s="49"/>
      <c r="M9" s="49"/>
      <c r="N9" s="164"/>
      <c r="O9" s="12"/>
    </row>
    <row r="10" spans="1:20">
      <c r="A10" s="47"/>
      <c r="B10" s="49"/>
      <c r="C10" s="12"/>
      <c r="D10" s="49"/>
      <c r="E10" s="346"/>
      <c r="F10" s="13"/>
      <c r="G10" s="49"/>
      <c r="H10" s="49"/>
      <c r="I10" s="25"/>
      <c r="J10" s="47"/>
      <c r="K10" s="49"/>
      <c r="L10" s="49"/>
      <c r="M10" s="49"/>
      <c r="N10" s="164"/>
      <c r="O10" s="12"/>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997902E6-7B84-4A08-A07C-0739583DDF2E}">
          <x14:formula1>
            <xm:f>Details!$A$2:$A$10</xm:f>
          </x14:formula1>
          <xm:sqref>N2:N10</xm:sqref>
        </x14:dataValidation>
        <x14:dataValidation type="list" allowBlank="1" showErrorMessage="1" xr:uid="{5AB27D59-37ED-4441-8D15-B828F061D2F1}">
          <x14:formula1>
            <xm:f>Settings!$C$3:$C$20</xm:f>
          </x14:formula1>
          <xm:sqref>J2:J10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F79A-E58F-460B-A441-5FAF206EBF06}">
  <dimension ref="A1:AE7"/>
  <sheetViews>
    <sheetView workbookViewId="0">
      <selection activeCell="J2" sqref="J2:J6"/>
    </sheetView>
  </sheetViews>
  <sheetFormatPr defaultRowHeight="25.5" customHeight="1"/>
  <cols>
    <col min="1" max="1" width="9.140625" style="285"/>
    <col min="2" max="2" width="12.5703125" style="285" customWidth="1"/>
    <col min="3" max="3" width="12.140625" style="285" customWidth="1"/>
    <col min="4" max="4" width="11.85546875" style="285" customWidth="1"/>
    <col min="5" max="5" width="20.42578125" style="285" customWidth="1"/>
    <col min="6" max="6" width="9.140625" style="285" bestFit="1" customWidth="1"/>
    <col min="7" max="7" width="11" style="285" bestFit="1" customWidth="1"/>
    <col min="8" max="8" width="61.5703125" style="285" customWidth="1"/>
    <col min="9" max="9" width="25.5703125" style="285" customWidth="1"/>
    <col min="10" max="12" width="9.140625" style="285" bestFit="1" customWidth="1"/>
    <col min="13" max="13" width="10" style="285" customWidth="1"/>
    <col min="14" max="14" width="10.5703125" style="285" customWidth="1"/>
    <col min="15" max="16" width="9.140625" style="285" bestFit="1" customWidth="1"/>
    <col min="17" max="17" width="54" style="285" customWidth="1"/>
    <col min="18" max="18" width="9.140625" style="285" bestFit="1" customWidth="1"/>
    <col min="19" max="19" width="19.42578125" style="285" customWidth="1"/>
    <col min="20" max="20" width="48.85546875" style="285" customWidth="1"/>
    <col min="21" max="21" width="11.42578125" style="285" customWidth="1"/>
    <col min="22" max="22" width="9.5703125" style="285" bestFit="1" customWidth="1"/>
    <col min="23" max="25" width="9.140625" style="285" bestFit="1" customWidth="1"/>
    <col min="26" max="26" width="9.85546875" style="285" customWidth="1"/>
    <col min="27" max="27" width="9.140625" style="285" bestFit="1" customWidth="1"/>
    <col min="28" max="28" width="62" style="285" customWidth="1"/>
    <col min="29" max="29" width="9.140625" style="285" bestFit="1" customWidth="1"/>
    <col min="30" max="30" width="41.140625" style="285" customWidth="1"/>
    <col min="31" max="31" width="25.85546875" style="285" customWidth="1"/>
  </cols>
  <sheetData>
    <row r="1" spans="1:31" ht="53.25">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348" t="s">
        <v>5</v>
      </c>
      <c r="AE1" s="45" t="s">
        <v>332</v>
      </c>
    </row>
    <row r="2" spans="1:31" ht="26.25" customHeight="1">
      <c r="A2" s="114">
        <v>1</v>
      </c>
      <c r="B2" s="114" t="s">
        <v>87</v>
      </c>
      <c r="C2" s="327">
        <v>46127</v>
      </c>
      <c r="D2" s="327">
        <v>46140</v>
      </c>
      <c r="E2" s="47" t="s">
        <v>299</v>
      </c>
      <c r="F2" s="114" t="s">
        <v>40</v>
      </c>
      <c r="G2" s="114">
        <v>28830</v>
      </c>
      <c r="H2" s="114" t="s">
        <v>377</v>
      </c>
      <c r="I2" s="47" t="s">
        <v>358</v>
      </c>
      <c r="J2" s="114">
        <v>1</v>
      </c>
      <c r="K2" s="114">
        <f>L2/4</f>
        <v>0.5</v>
      </c>
      <c r="L2" s="114">
        <v>2</v>
      </c>
      <c r="M2" s="176">
        <v>46120</v>
      </c>
      <c r="N2" s="176">
        <v>46125</v>
      </c>
      <c r="O2" s="114" t="s">
        <v>147</v>
      </c>
      <c r="P2" s="114" t="s">
        <v>49</v>
      </c>
      <c r="Q2" s="114" t="s">
        <v>345</v>
      </c>
      <c r="R2" s="114" t="s">
        <v>49</v>
      </c>
      <c r="S2" s="114" t="s">
        <v>345</v>
      </c>
      <c r="T2" s="48" t="s">
        <v>378</v>
      </c>
      <c r="U2" s="176">
        <v>46125</v>
      </c>
      <c r="V2" s="176">
        <v>46127</v>
      </c>
      <c r="W2" s="298" t="s">
        <v>344</v>
      </c>
      <c r="X2" s="298" t="s">
        <v>345</v>
      </c>
      <c r="Y2" s="298" t="s">
        <v>344</v>
      </c>
      <c r="Z2" s="176">
        <v>46127</v>
      </c>
      <c r="AA2" s="298" t="s">
        <v>345</v>
      </c>
      <c r="AB2" s="298" t="s">
        <v>345</v>
      </c>
      <c r="AC2" s="298" t="s">
        <v>345</v>
      </c>
      <c r="AD2" s="298" t="s">
        <v>345</v>
      </c>
      <c r="AE2" s="114" t="s">
        <v>340</v>
      </c>
    </row>
    <row r="3" spans="1:31" ht="24.75" customHeight="1">
      <c r="A3" s="114">
        <v>2</v>
      </c>
      <c r="B3" s="114" t="s">
        <v>87</v>
      </c>
      <c r="C3" s="327">
        <v>46127</v>
      </c>
      <c r="D3" s="327">
        <v>46140</v>
      </c>
      <c r="E3" s="47" t="s">
        <v>299</v>
      </c>
      <c r="F3" s="100" t="s">
        <v>40</v>
      </c>
      <c r="G3" s="100">
        <v>52863</v>
      </c>
      <c r="H3" s="100" t="s">
        <v>379</v>
      </c>
      <c r="I3" s="47" t="s">
        <v>358</v>
      </c>
      <c r="J3" s="114">
        <v>3</v>
      </c>
      <c r="K3" s="114">
        <f>L3/4</f>
        <v>3</v>
      </c>
      <c r="L3" s="114">
        <v>12</v>
      </c>
      <c r="M3" s="176">
        <v>46126</v>
      </c>
      <c r="N3" s="176">
        <v>46127</v>
      </c>
      <c r="O3" s="114" t="s">
        <v>147</v>
      </c>
      <c r="P3" s="114" t="s">
        <v>49</v>
      </c>
      <c r="Q3" s="114" t="s">
        <v>345</v>
      </c>
      <c r="R3" s="114" t="s">
        <v>49</v>
      </c>
      <c r="S3" s="114" t="s">
        <v>345</v>
      </c>
      <c r="T3" s="48" t="s">
        <v>380</v>
      </c>
      <c r="U3" s="176">
        <v>46127</v>
      </c>
      <c r="V3" s="176">
        <v>46128</v>
      </c>
      <c r="W3" s="298" t="s">
        <v>344</v>
      </c>
      <c r="X3" s="298" t="s">
        <v>345</v>
      </c>
      <c r="Y3" s="298" t="s">
        <v>344</v>
      </c>
      <c r="Z3" s="176">
        <v>46128</v>
      </c>
      <c r="AA3" s="298" t="s">
        <v>345</v>
      </c>
      <c r="AB3" s="298" t="s">
        <v>345</v>
      </c>
      <c r="AC3" s="298" t="s">
        <v>345</v>
      </c>
      <c r="AD3" s="298" t="s">
        <v>345</v>
      </c>
      <c r="AE3" s="298" t="s">
        <v>340</v>
      </c>
    </row>
    <row r="4" spans="1:31" ht="25.5" customHeight="1">
      <c r="A4" s="114">
        <v>3</v>
      </c>
      <c r="B4" s="114" t="s">
        <v>87</v>
      </c>
      <c r="C4" s="327">
        <v>46127</v>
      </c>
      <c r="D4" s="327">
        <v>46140</v>
      </c>
      <c r="E4" s="47" t="s">
        <v>299</v>
      </c>
      <c r="F4" s="114" t="s">
        <v>40</v>
      </c>
      <c r="G4" s="114">
        <v>52501</v>
      </c>
      <c r="H4" s="114" t="s">
        <v>381</v>
      </c>
      <c r="I4" s="47" t="s">
        <v>358</v>
      </c>
      <c r="J4" s="114">
        <v>5</v>
      </c>
      <c r="K4" s="114">
        <f>L4/4</f>
        <v>3</v>
      </c>
      <c r="L4" s="114">
        <v>12</v>
      </c>
      <c r="M4" s="176">
        <v>46127</v>
      </c>
      <c r="N4" s="176">
        <v>46129</v>
      </c>
      <c r="O4" s="114" t="s">
        <v>335</v>
      </c>
      <c r="P4" s="114" t="s">
        <v>49</v>
      </c>
      <c r="Q4" s="114" t="s">
        <v>345</v>
      </c>
      <c r="R4" s="114" t="s">
        <v>49</v>
      </c>
      <c r="S4" s="114" t="s">
        <v>382</v>
      </c>
      <c r="T4" s="48" t="s">
        <v>383</v>
      </c>
      <c r="U4" s="176">
        <v>46128</v>
      </c>
      <c r="V4" s="176">
        <v>46128</v>
      </c>
      <c r="W4" s="298" t="s">
        <v>344</v>
      </c>
      <c r="X4" s="298" t="s">
        <v>345</v>
      </c>
      <c r="Y4" s="298" t="s">
        <v>344</v>
      </c>
      <c r="Z4" s="176">
        <v>46128</v>
      </c>
      <c r="AA4" s="298" t="s">
        <v>345</v>
      </c>
      <c r="AB4" s="298" t="s">
        <v>345</v>
      </c>
      <c r="AC4" s="298" t="s">
        <v>345</v>
      </c>
      <c r="AD4" s="298" t="s">
        <v>345</v>
      </c>
      <c r="AE4" s="298" t="s">
        <v>340</v>
      </c>
    </row>
    <row r="5" spans="1:31" ht="25.5" customHeight="1">
      <c r="A5" s="114">
        <v>4</v>
      </c>
      <c r="B5" s="114" t="s">
        <v>87</v>
      </c>
      <c r="C5" s="327">
        <v>46127</v>
      </c>
      <c r="D5" s="327">
        <v>46140</v>
      </c>
      <c r="E5" s="47" t="s">
        <v>299</v>
      </c>
      <c r="F5" s="100" t="s">
        <v>40</v>
      </c>
      <c r="G5" s="100">
        <v>52685</v>
      </c>
      <c r="H5" s="100" t="s">
        <v>384</v>
      </c>
      <c r="I5" s="47" t="s">
        <v>358</v>
      </c>
      <c r="J5" s="114">
        <v>5</v>
      </c>
      <c r="K5" s="114">
        <f>L5/4</f>
        <v>4.5</v>
      </c>
      <c r="L5" s="114">
        <v>18</v>
      </c>
      <c r="M5" s="176">
        <v>46129</v>
      </c>
      <c r="N5" s="176">
        <v>46134</v>
      </c>
      <c r="O5" s="114" t="s">
        <v>147</v>
      </c>
      <c r="P5" s="114" t="s">
        <v>49</v>
      </c>
      <c r="Q5" s="114" t="s">
        <v>345</v>
      </c>
      <c r="R5" s="114" t="s">
        <v>49</v>
      </c>
      <c r="S5" s="114" t="s">
        <v>345</v>
      </c>
      <c r="T5" s="48" t="s">
        <v>385</v>
      </c>
      <c r="U5" s="176">
        <v>46134</v>
      </c>
      <c r="V5" s="176">
        <v>46134</v>
      </c>
      <c r="W5" s="298" t="s">
        <v>344</v>
      </c>
      <c r="X5" s="298" t="s">
        <v>345</v>
      </c>
      <c r="Y5" s="298" t="s">
        <v>344</v>
      </c>
      <c r="Z5" s="176">
        <v>46139</v>
      </c>
      <c r="AA5" s="298" t="s">
        <v>345</v>
      </c>
      <c r="AB5" s="114" t="s">
        <v>386</v>
      </c>
      <c r="AC5" s="298" t="s">
        <v>345</v>
      </c>
      <c r="AD5" s="298" t="s">
        <v>345</v>
      </c>
      <c r="AE5" s="298" t="s">
        <v>340</v>
      </c>
    </row>
    <row r="6" spans="1:31" ht="25.5" customHeight="1">
      <c r="A6" s="149">
        <v>5</v>
      </c>
      <c r="B6" s="149" t="s">
        <v>87</v>
      </c>
      <c r="C6" s="373">
        <v>46127</v>
      </c>
      <c r="D6" s="373">
        <v>46140</v>
      </c>
      <c r="E6" s="55" t="s">
        <v>299</v>
      </c>
      <c r="F6" s="103" t="s">
        <v>336</v>
      </c>
      <c r="G6" s="103">
        <v>51824</v>
      </c>
      <c r="H6" s="103" t="s">
        <v>387</v>
      </c>
      <c r="I6" s="55" t="s">
        <v>358</v>
      </c>
      <c r="J6" s="149">
        <v>5</v>
      </c>
      <c r="K6" s="149">
        <f>L6/4</f>
        <v>4</v>
      </c>
      <c r="L6" s="149">
        <v>16</v>
      </c>
      <c r="M6" s="181">
        <v>46127</v>
      </c>
      <c r="N6" s="181">
        <v>46133</v>
      </c>
      <c r="O6" s="149" t="s">
        <v>147</v>
      </c>
      <c r="P6" s="149" t="s">
        <v>40</v>
      </c>
      <c r="Q6" s="149" t="s">
        <v>345</v>
      </c>
      <c r="R6" s="149" t="s">
        <v>40</v>
      </c>
      <c r="S6" s="149" t="s">
        <v>345</v>
      </c>
      <c r="T6" s="278" t="s">
        <v>388</v>
      </c>
      <c r="U6" s="181">
        <v>46133</v>
      </c>
      <c r="V6" s="181">
        <v>46134</v>
      </c>
      <c r="W6" s="361" t="s">
        <v>344</v>
      </c>
      <c r="X6" s="149" t="s">
        <v>345</v>
      </c>
      <c r="Y6" s="149" t="s">
        <v>344</v>
      </c>
      <c r="Z6" s="181">
        <v>46134</v>
      </c>
      <c r="AA6" s="149" t="s">
        <v>345</v>
      </c>
      <c r="AB6" s="149" t="s">
        <v>345</v>
      </c>
      <c r="AC6" s="149" t="s">
        <v>345</v>
      </c>
      <c r="AD6" s="298" t="s">
        <v>345</v>
      </c>
      <c r="AE6" s="149" t="s">
        <v>340</v>
      </c>
    </row>
    <row r="7" spans="1:31" ht="25.5" customHeight="1">
      <c r="A7" s="114">
        <v>6</v>
      </c>
      <c r="B7" s="114" t="s">
        <v>87</v>
      </c>
      <c r="C7" s="327">
        <v>46127</v>
      </c>
      <c r="D7" s="327">
        <v>46140</v>
      </c>
      <c r="E7" s="164" t="s">
        <v>389</v>
      </c>
      <c r="F7" s="100" t="s">
        <v>349</v>
      </c>
      <c r="G7" s="100">
        <v>52913</v>
      </c>
      <c r="H7" s="100" t="s">
        <v>390</v>
      </c>
      <c r="I7" s="47" t="s">
        <v>358</v>
      </c>
      <c r="J7" s="114">
        <v>10</v>
      </c>
      <c r="K7" s="114">
        <v>10</v>
      </c>
      <c r="L7" s="114">
        <v>40</v>
      </c>
      <c r="M7" s="176">
        <v>46128</v>
      </c>
      <c r="N7" s="176" t="s">
        <v>391</v>
      </c>
      <c r="O7" s="114" t="s">
        <v>335</v>
      </c>
      <c r="P7" s="114" t="s">
        <v>349</v>
      </c>
      <c r="Q7" s="114" t="s">
        <v>345</v>
      </c>
      <c r="R7" s="114" t="s">
        <v>392</v>
      </c>
      <c r="S7" s="114" t="s">
        <v>345</v>
      </c>
      <c r="T7" s="48" t="s">
        <v>393</v>
      </c>
      <c r="U7" s="327">
        <v>46136</v>
      </c>
      <c r="V7" s="327">
        <v>46140</v>
      </c>
      <c r="W7" s="298" t="s">
        <v>344</v>
      </c>
      <c r="X7" s="114" t="s">
        <v>345</v>
      </c>
      <c r="Y7" s="114" t="s">
        <v>147</v>
      </c>
      <c r="Z7" s="327" t="s">
        <v>147</v>
      </c>
      <c r="AA7" s="114" t="s">
        <v>345</v>
      </c>
      <c r="AB7" s="114" t="s">
        <v>345</v>
      </c>
      <c r="AC7" s="114" t="s">
        <v>345</v>
      </c>
      <c r="AD7" s="114" t="s">
        <v>345</v>
      </c>
      <c r="AE7" s="114" t="s">
        <v>147</v>
      </c>
    </row>
  </sheetData>
  <dataValidations count="1">
    <dataValidation type="list" allowBlank="1" showInputMessage="1" showErrorMessage="1" sqref="AE2:AE5" xr:uid="{6620436F-80DC-484F-92F7-D103C2B201CB}">
      <formula1>"Exceeds Expectation, Meets Expectation, Needs Improvement"</formula1>
    </dataValidation>
  </dataValidations>
  <hyperlinks>
    <hyperlink ref="T2" r:id="rId1" xr:uid="{755FF051-364A-48E8-8B73-585DF9F9A152}"/>
    <hyperlink ref="T3" r:id="rId2" xr:uid="{E7F2355D-70BE-46CF-8548-B8A90E82442E}"/>
    <hyperlink ref="T5" r:id="rId3" xr:uid="{4F2E3FA7-4F36-4529-834A-469FC69F5AD4}"/>
    <hyperlink ref="T6" r:id="rId4" xr:uid="{185F0492-4148-4581-B2B5-471B13A1820D}"/>
    <hyperlink ref="T4" r:id="rId5" xr:uid="{E5405166-5D32-41BC-B01E-E2546E8E606D}"/>
    <hyperlink ref="T7" r:id="rId6" xr:uid="{03E9C7DB-1139-45EA-9799-5C5F67B271B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FF937D8-4C28-4788-9DE6-B53A34DD50BE}">
          <x14:formula1>
            <xm:f>Settings!$C$3:$C$20</xm:f>
          </x14:formula1>
          <xm:sqref>I2:I7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60CB6-29ED-4F32-9768-6611C483019A}">
  <dimension ref="A1:T11"/>
  <sheetViews>
    <sheetView workbookViewId="0">
      <selection activeCell="K2" sqref="K2"/>
    </sheetView>
  </sheetViews>
  <sheetFormatPr defaultRowHeight="12.75"/>
  <cols>
    <col min="1" max="1" width="22.42578125" customWidth="1"/>
    <col min="2" max="4" width="9.140625" bestFit="1" customWidth="1"/>
    <col min="5" max="5" width="14.140625" customWidth="1"/>
    <col min="6" max="6" width="57.85546875" customWidth="1"/>
    <col min="7" max="8" width="9.140625" bestFit="1" customWidth="1"/>
    <col min="9" max="9" width="9.7109375" customWidth="1"/>
    <col min="10" max="10" width="22.85546875" customWidth="1"/>
    <col min="11" max="13" width="9.140625" bestFit="1" customWidth="1"/>
    <col min="14" max="14" width="15.7109375" customWidth="1"/>
    <col min="15" max="15" width="57.5703125" bestFit="1" customWidth="1"/>
  </cols>
  <sheetData>
    <row r="1" spans="1:20" ht="40.5">
      <c r="A1" s="375" t="s">
        <v>74</v>
      </c>
      <c r="B1" s="375" t="s">
        <v>75</v>
      </c>
      <c r="C1" s="375" t="s">
        <v>76</v>
      </c>
      <c r="D1" s="375" t="s">
        <v>2</v>
      </c>
      <c r="E1" s="375" t="s">
        <v>77</v>
      </c>
      <c r="F1" s="375" t="s">
        <v>78</v>
      </c>
      <c r="G1" s="375" t="s">
        <v>79</v>
      </c>
      <c r="H1" s="375" t="s">
        <v>80</v>
      </c>
      <c r="I1" s="375" t="s">
        <v>81</v>
      </c>
      <c r="J1" s="375" t="s">
        <v>4</v>
      </c>
      <c r="K1" s="375" t="s">
        <v>312</v>
      </c>
      <c r="L1" s="375" t="s">
        <v>313</v>
      </c>
      <c r="M1" s="375" t="s">
        <v>314</v>
      </c>
      <c r="N1" s="376" t="s">
        <v>82</v>
      </c>
      <c r="O1" s="377" t="s">
        <v>5</v>
      </c>
      <c r="P1" s="52"/>
      <c r="Q1" s="52"/>
      <c r="R1" s="52"/>
      <c r="S1" s="52"/>
      <c r="T1" s="52"/>
    </row>
    <row r="2" spans="1:20" ht="30" customHeight="1">
      <c r="A2" s="164" t="s">
        <v>389</v>
      </c>
      <c r="B2" s="49">
        <v>27150</v>
      </c>
      <c r="C2" s="25"/>
      <c r="D2" s="49" t="s">
        <v>49</v>
      </c>
      <c r="E2" s="49" t="s">
        <v>394</v>
      </c>
      <c r="F2" s="406" t="s">
        <v>395</v>
      </c>
      <c r="G2" s="340" t="s">
        <v>352</v>
      </c>
      <c r="H2" s="340" t="s">
        <v>353</v>
      </c>
      <c r="I2" s="97" t="s">
        <v>354</v>
      </c>
      <c r="J2" s="69" t="s">
        <v>396</v>
      </c>
      <c r="K2" s="340">
        <v>2</v>
      </c>
      <c r="L2" s="49">
        <v>2</v>
      </c>
      <c r="M2" s="340">
        <v>8</v>
      </c>
      <c r="N2" s="164" t="s">
        <v>356</v>
      </c>
      <c r="O2" s="378" t="s">
        <v>397</v>
      </c>
    </row>
    <row r="3" spans="1:20" ht="17.25" customHeight="1">
      <c r="A3" s="164"/>
      <c r="B3" s="49"/>
      <c r="C3" s="12"/>
      <c r="D3" s="49"/>
      <c r="E3" s="346"/>
      <c r="F3" s="402"/>
      <c r="G3" s="69"/>
      <c r="H3" s="384"/>
      <c r="I3" s="97"/>
      <c r="J3" s="55"/>
      <c r="K3" s="286"/>
      <c r="L3" s="69"/>
      <c r="M3" s="130"/>
      <c r="N3" s="164"/>
      <c r="O3" s="12"/>
    </row>
    <row r="4" spans="1:20" ht="18.75" customHeight="1">
      <c r="A4" s="164"/>
      <c r="B4" s="49"/>
      <c r="C4" s="49"/>
      <c r="D4" s="49"/>
      <c r="E4" s="346"/>
      <c r="F4" s="402"/>
      <c r="G4" s="69"/>
      <c r="H4" s="384"/>
      <c r="I4" s="97"/>
      <c r="J4" s="55"/>
      <c r="K4" s="69"/>
      <c r="L4" s="69"/>
      <c r="M4" s="130"/>
      <c r="N4" s="164"/>
      <c r="O4" s="14"/>
    </row>
    <row r="5" spans="1:20">
      <c r="A5" s="55"/>
      <c r="B5" s="69"/>
      <c r="C5" s="19"/>
      <c r="D5" s="69"/>
      <c r="E5" s="69"/>
      <c r="F5" s="13"/>
      <c r="G5" s="69"/>
      <c r="H5" s="69"/>
      <c r="I5" s="97"/>
      <c r="J5" s="404"/>
      <c r="K5" s="69"/>
      <c r="L5" s="69"/>
      <c r="M5" s="69"/>
      <c r="N5" s="317"/>
      <c r="O5" s="19"/>
    </row>
    <row r="6" spans="1:20">
      <c r="A6" s="47"/>
      <c r="B6" s="49"/>
      <c r="C6" s="12"/>
      <c r="D6" s="49"/>
      <c r="E6" s="346"/>
      <c r="F6" s="13"/>
      <c r="G6" s="346"/>
      <c r="H6" s="346"/>
      <c r="I6" s="97"/>
      <c r="J6" s="47"/>
      <c r="K6" s="49"/>
      <c r="L6" s="49"/>
      <c r="M6" s="49"/>
      <c r="N6" s="164"/>
      <c r="O6" s="12"/>
    </row>
    <row r="7" spans="1:20">
      <c r="A7" s="387"/>
      <c r="B7" s="64"/>
      <c r="C7" s="388"/>
      <c r="D7" s="389"/>
      <c r="E7" s="390"/>
      <c r="F7" s="13"/>
      <c r="G7" s="64"/>
      <c r="H7" s="391"/>
      <c r="I7" s="97"/>
      <c r="J7" s="405"/>
      <c r="K7" s="64"/>
      <c r="L7" s="64"/>
      <c r="M7" s="64"/>
      <c r="N7" s="392"/>
      <c r="O7" s="388"/>
    </row>
    <row r="8" spans="1:20">
      <c r="A8" s="55"/>
      <c r="B8" s="69"/>
      <c r="C8" s="19"/>
      <c r="D8" s="130"/>
      <c r="E8" s="393"/>
      <c r="F8" s="140"/>
      <c r="G8" s="69"/>
      <c r="H8" s="286"/>
      <c r="I8" s="97"/>
      <c r="J8" s="404"/>
      <c r="K8" s="69"/>
      <c r="L8" s="69"/>
      <c r="M8" s="69"/>
      <c r="N8" s="317"/>
      <c r="O8" s="19"/>
    </row>
    <row r="9" spans="1:20">
      <c r="A9" s="47"/>
      <c r="B9" s="49"/>
      <c r="C9" s="12"/>
      <c r="D9" s="49"/>
      <c r="E9" s="346"/>
      <c r="F9" s="13"/>
      <c r="G9" s="49"/>
      <c r="H9" s="49"/>
      <c r="I9" s="97"/>
      <c r="J9" s="404"/>
      <c r="K9" s="49"/>
      <c r="L9" s="49"/>
      <c r="M9" s="49"/>
      <c r="N9" s="164"/>
      <c r="O9" s="12"/>
    </row>
    <row r="10" spans="1:20">
      <c r="A10" s="47"/>
      <c r="B10" s="49"/>
      <c r="C10" s="12"/>
      <c r="D10" s="49"/>
      <c r="E10" s="346"/>
      <c r="F10" s="13"/>
      <c r="G10" s="49"/>
      <c r="H10" s="49"/>
      <c r="I10" s="97"/>
      <c r="J10" s="47"/>
      <c r="K10" s="49"/>
      <c r="L10" s="49"/>
      <c r="M10" s="49"/>
      <c r="N10" s="164"/>
      <c r="O10" s="12"/>
    </row>
    <row r="11" spans="1:20">
      <c r="A11" s="47"/>
      <c r="B11" s="49"/>
      <c r="C11" s="12"/>
      <c r="D11" s="49"/>
      <c r="E11" s="346"/>
      <c r="F11" s="13"/>
      <c r="G11" s="49"/>
      <c r="H11" s="49"/>
      <c r="I11" s="25"/>
      <c r="J11" s="47"/>
      <c r="K11" s="49"/>
      <c r="L11" s="49"/>
      <c r="M11" s="49"/>
      <c r="N11" s="164"/>
      <c r="O11" s="12"/>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478D5850-2C4C-436D-965E-D1753484592E}">
          <x14:formula1>
            <xm:f>Settings!$C$3:$C$20</xm:f>
          </x14:formula1>
          <xm:sqref>J2:J11</xm:sqref>
        </x14:dataValidation>
        <x14:dataValidation type="list" allowBlank="1" showErrorMessage="1" xr:uid="{8A698ABC-FF69-4F44-BB74-8D78F228620A}">
          <x14:formula1>
            <xm:f>Details!$A$2:$A$10</xm:f>
          </x14:formula1>
          <xm:sqref>N2:N11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C0048-2CB6-4332-A773-CE5A21C2AF6C}">
  <dimension ref="A1:AE10"/>
  <sheetViews>
    <sheetView workbookViewId="0">
      <selection activeCell="F9" sqref="F9"/>
    </sheetView>
  </sheetViews>
  <sheetFormatPr defaultRowHeight="25.5" customHeight="1"/>
  <cols>
    <col min="1" max="1" width="9.140625" style="285"/>
    <col min="2" max="2" width="12.5703125" style="285" customWidth="1"/>
    <col min="3" max="3" width="13.5703125" style="285" customWidth="1"/>
    <col min="4" max="4" width="13" style="285" customWidth="1"/>
    <col min="5" max="5" width="20.42578125" style="285" customWidth="1"/>
    <col min="6" max="6" width="9.140625" style="285" bestFit="1" customWidth="1"/>
    <col min="7" max="7" width="11" style="285" bestFit="1" customWidth="1"/>
    <col min="8" max="8" width="59.28515625" style="285" customWidth="1"/>
    <col min="9" max="9" width="25.5703125" style="285" customWidth="1"/>
    <col min="10" max="12" width="9.140625" style="285" bestFit="1" customWidth="1"/>
    <col min="13" max="13" width="10" style="285" customWidth="1"/>
    <col min="14" max="14" width="10.5703125" style="285" customWidth="1"/>
    <col min="15" max="16" width="9.140625" style="285" bestFit="1" customWidth="1"/>
    <col min="17" max="17" width="54" style="285" customWidth="1"/>
    <col min="18" max="19" width="9.140625" style="285" bestFit="1" customWidth="1"/>
    <col min="20" max="20" width="48.85546875" style="285" customWidth="1"/>
    <col min="21" max="21" width="11.42578125" style="285" customWidth="1"/>
    <col min="22" max="22" width="9.5703125" style="285" bestFit="1" customWidth="1"/>
    <col min="23" max="25" width="9.140625" style="285" bestFit="1" customWidth="1"/>
    <col min="26" max="26" width="9.85546875" style="285" customWidth="1"/>
    <col min="27" max="27" width="9.140625" style="285" bestFit="1" customWidth="1"/>
    <col min="28" max="28" width="62" style="285" customWidth="1"/>
    <col min="29" max="29" width="9.140625" style="285" bestFit="1" customWidth="1"/>
    <col min="30" max="30" width="23.28515625" style="285" customWidth="1"/>
    <col min="31" max="31" width="25.85546875" style="285" customWidth="1"/>
  </cols>
  <sheetData>
    <row r="1" spans="1:31" ht="53.25">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348" t="s">
        <v>5</v>
      </c>
      <c r="AE1" s="45" t="s">
        <v>332</v>
      </c>
    </row>
    <row r="2" spans="1:31" ht="33" customHeight="1">
      <c r="A2" s="149">
        <v>1</v>
      </c>
      <c r="B2" s="149" t="s">
        <v>87</v>
      </c>
      <c r="C2" s="373">
        <v>46113</v>
      </c>
      <c r="D2" s="373">
        <v>46126</v>
      </c>
      <c r="E2" s="54" t="s">
        <v>293</v>
      </c>
      <c r="F2" s="103" t="s">
        <v>336</v>
      </c>
      <c r="G2" s="103">
        <v>52097</v>
      </c>
      <c r="H2" s="103" t="s">
        <v>398</v>
      </c>
      <c r="I2" s="398" t="s">
        <v>358</v>
      </c>
      <c r="J2" s="103">
        <v>3</v>
      </c>
      <c r="K2" s="149">
        <f>L2/4</f>
        <v>0.75</v>
      </c>
      <c r="L2" s="149">
        <v>3</v>
      </c>
      <c r="M2" s="181">
        <v>46113</v>
      </c>
      <c r="N2" s="181">
        <v>46114</v>
      </c>
      <c r="O2" s="149" t="s">
        <v>335</v>
      </c>
      <c r="P2" s="149" t="s">
        <v>349</v>
      </c>
      <c r="Q2" s="149" t="s">
        <v>399</v>
      </c>
      <c r="R2" s="149" t="s">
        <v>49</v>
      </c>
      <c r="S2" s="149" t="s">
        <v>400</v>
      </c>
      <c r="T2" s="278" t="s">
        <v>401</v>
      </c>
      <c r="U2" s="181">
        <v>46107</v>
      </c>
      <c r="V2" s="181">
        <v>46113</v>
      </c>
      <c r="W2" s="149" t="s">
        <v>344</v>
      </c>
      <c r="X2" s="149" t="s">
        <v>345</v>
      </c>
      <c r="Y2" s="149" t="s">
        <v>344</v>
      </c>
      <c r="Z2" s="181">
        <v>46113</v>
      </c>
      <c r="AA2" s="149" t="s">
        <v>345</v>
      </c>
      <c r="AB2" s="298" t="s">
        <v>345</v>
      </c>
      <c r="AC2" s="149" t="s">
        <v>345</v>
      </c>
      <c r="AD2" s="114" t="s">
        <v>345</v>
      </c>
      <c r="AE2" s="149" t="s">
        <v>340</v>
      </c>
    </row>
    <row r="3" spans="1:31" s="12" customFormat="1" ht="24">
      <c r="A3" s="114">
        <v>2</v>
      </c>
      <c r="B3" s="114" t="s">
        <v>87</v>
      </c>
      <c r="C3" s="327">
        <v>46113</v>
      </c>
      <c r="D3" s="327">
        <v>46126</v>
      </c>
      <c r="E3" s="54" t="s">
        <v>293</v>
      </c>
      <c r="F3" s="100" t="s">
        <v>336</v>
      </c>
      <c r="G3" s="100">
        <v>52382</v>
      </c>
      <c r="H3" s="100" t="s">
        <v>402</v>
      </c>
      <c r="I3" s="398" t="s">
        <v>358</v>
      </c>
      <c r="J3" s="114">
        <v>2</v>
      </c>
      <c r="K3" s="114">
        <f>L3/4</f>
        <v>1.5</v>
      </c>
      <c r="L3" s="114">
        <v>6</v>
      </c>
      <c r="M3" s="176">
        <v>46113</v>
      </c>
      <c r="N3" s="176">
        <v>46114</v>
      </c>
      <c r="O3" s="114" t="s">
        <v>335</v>
      </c>
      <c r="P3" s="114" t="s">
        <v>349</v>
      </c>
      <c r="Q3" s="114" t="s">
        <v>403</v>
      </c>
      <c r="R3" s="114" t="s">
        <v>49</v>
      </c>
      <c r="S3" s="114" t="s">
        <v>404</v>
      </c>
      <c r="T3" s="48" t="s">
        <v>405</v>
      </c>
      <c r="U3" s="176">
        <v>46112</v>
      </c>
      <c r="V3" s="181">
        <v>46113</v>
      </c>
      <c r="W3" s="114" t="s">
        <v>344</v>
      </c>
      <c r="X3" s="114" t="s">
        <v>345</v>
      </c>
      <c r="Y3" s="114" t="s">
        <v>344</v>
      </c>
      <c r="Z3" s="176">
        <v>46113</v>
      </c>
      <c r="AA3" s="114" t="s">
        <v>345</v>
      </c>
      <c r="AB3" s="298" t="s">
        <v>345</v>
      </c>
      <c r="AC3" s="114" t="s">
        <v>345</v>
      </c>
      <c r="AD3" s="114" t="s">
        <v>345</v>
      </c>
      <c r="AE3" s="114" t="s">
        <v>340</v>
      </c>
    </row>
    <row r="4" spans="1:31" ht="30" customHeight="1">
      <c r="A4" s="298">
        <v>3</v>
      </c>
      <c r="B4" s="298" t="s">
        <v>87</v>
      </c>
      <c r="C4" s="370">
        <v>46113</v>
      </c>
      <c r="D4" s="370">
        <v>46126</v>
      </c>
      <c r="E4" s="54" t="s">
        <v>293</v>
      </c>
      <c r="F4" s="300" t="s">
        <v>40</v>
      </c>
      <c r="G4" s="397">
        <v>51702</v>
      </c>
      <c r="H4" s="298" t="s">
        <v>406</v>
      </c>
      <c r="I4" s="398" t="s">
        <v>358</v>
      </c>
      <c r="J4" s="298">
        <v>1</v>
      </c>
      <c r="K4" s="114">
        <f>L4/4</f>
        <v>0.5</v>
      </c>
      <c r="L4" s="298">
        <v>2</v>
      </c>
      <c r="M4" s="301">
        <v>46113</v>
      </c>
      <c r="N4" s="301">
        <v>46113</v>
      </c>
      <c r="O4" s="298" t="s">
        <v>147</v>
      </c>
      <c r="P4" s="298" t="s">
        <v>49</v>
      </c>
      <c r="Q4" s="298" t="s">
        <v>400</v>
      </c>
      <c r="R4" s="298" t="s">
        <v>49</v>
      </c>
      <c r="S4" s="298" t="s">
        <v>400</v>
      </c>
      <c r="T4" s="303" t="s">
        <v>407</v>
      </c>
      <c r="U4" s="301">
        <v>46111</v>
      </c>
      <c r="V4" s="301">
        <v>46112</v>
      </c>
      <c r="W4" s="298" t="s">
        <v>344</v>
      </c>
      <c r="X4" s="298" t="s">
        <v>345</v>
      </c>
      <c r="Y4" s="298" t="s">
        <v>344</v>
      </c>
      <c r="Z4" s="301">
        <v>46112</v>
      </c>
      <c r="AA4" s="298" t="s">
        <v>345</v>
      </c>
      <c r="AB4" s="298" t="s">
        <v>345</v>
      </c>
      <c r="AC4" s="298" t="s">
        <v>345</v>
      </c>
      <c r="AD4" s="298" t="s">
        <v>408</v>
      </c>
      <c r="AE4" s="298" t="s">
        <v>340</v>
      </c>
    </row>
    <row r="5" spans="1:31" ht="25.5" customHeight="1">
      <c r="A5" s="114">
        <v>4</v>
      </c>
      <c r="B5" s="114" t="s">
        <v>87</v>
      </c>
      <c r="C5" s="327">
        <v>46113</v>
      </c>
      <c r="D5" s="327">
        <v>46126</v>
      </c>
      <c r="E5" s="54" t="s">
        <v>293</v>
      </c>
      <c r="F5" s="103" t="s">
        <v>40</v>
      </c>
      <c r="G5" s="403">
        <v>51452</v>
      </c>
      <c r="H5" s="114" t="s">
        <v>409</v>
      </c>
      <c r="I5" s="398" t="s">
        <v>358</v>
      </c>
      <c r="J5" s="114">
        <v>8</v>
      </c>
      <c r="K5" s="114">
        <f>L5/4</f>
        <v>7.5</v>
      </c>
      <c r="L5" s="114">
        <v>30</v>
      </c>
      <c r="M5" s="176">
        <v>46113</v>
      </c>
      <c r="N5" s="176">
        <v>46119</v>
      </c>
      <c r="O5" s="298" t="s">
        <v>147</v>
      </c>
      <c r="P5" s="298" t="s">
        <v>349</v>
      </c>
      <c r="Q5" s="298" t="s">
        <v>400</v>
      </c>
      <c r="R5" s="298" t="s">
        <v>49</v>
      </c>
      <c r="S5" s="298" t="s">
        <v>400</v>
      </c>
      <c r="T5" s="48" t="s">
        <v>410</v>
      </c>
      <c r="U5" s="176">
        <v>46119</v>
      </c>
      <c r="V5" s="301">
        <v>46120</v>
      </c>
      <c r="W5" s="298" t="s">
        <v>344</v>
      </c>
      <c r="X5" s="298" t="s">
        <v>345</v>
      </c>
      <c r="Y5" s="298" t="s">
        <v>344</v>
      </c>
      <c r="Z5" s="301">
        <v>46120</v>
      </c>
      <c r="AA5" s="298" t="s">
        <v>345</v>
      </c>
      <c r="AB5" s="298" t="s">
        <v>411</v>
      </c>
      <c r="AC5" s="298" t="s">
        <v>345</v>
      </c>
      <c r="AD5" s="298" t="s">
        <v>408</v>
      </c>
      <c r="AE5" s="298" t="s">
        <v>340</v>
      </c>
    </row>
    <row r="6" spans="1:31" ht="25.5" customHeight="1">
      <c r="A6" s="114">
        <v>5</v>
      </c>
      <c r="B6" s="114" t="s">
        <v>87</v>
      </c>
      <c r="C6" s="327">
        <v>46113</v>
      </c>
      <c r="D6" s="327">
        <v>46126</v>
      </c>
      <c r="E6" s="54" t="s">
        <v>293</v>
      </c>
      <c r="F6" s="114" t="s">
        <v>49</v>
      </c>
      <c r="G6" s="114">
        <v>51745</v>
      </c>
      <c r="H6" s="250" t="s">
        <v>412</v>
      </c>
      <c r="I6" s="398" t="s">
        <v>358</v>
      </c>
      <c r="J6" s="114">
        <v>2</v>
      </c>
      <c r="K6" s="114">
        <f>L6/4</f>
        <v>2.5</v>
      </c>
      <c r="L6" s="114">
        <v>10</v>
      </c>
      <c r="M6" s="176">
        <v>46113</v>
      </c>
      <c r="N6" s="176">
        <v>46114</v>
      </c>
      <c r="O6" s="114" t="s">
        <v>335</v>
      </c>
      <c r="P6" s="114" t="s">
        <v>40</v>
      </c>
      <c r="Q6" s="114" t="s">
        <v>400</v>
      </c>
      <c r="R6" s="114" t="s">
        <v>40</v>
      </c>
      <c r="S6" s="114" t="s">
        <v>400</v>
      </c>
      <c r="T6" s="48" t="s">
        <v>413</v>
      </c>
      <c r="U6" s="176">
        <v>46111</v>
      </c>
      <c r="V6" s="176">
        <v>46114</v>
      </c>
      <c r="W6" s="114" t="s">
        <v>344</v>
      </c>
      <c r="X6" s="114" t="s">
        <v>345</v>
      </c>
      <c r="Y6" s="114" t="s">
        <v>344</v>
      </c>
      <c r="Z6" s="176">
        <v>46114</v>
      </c>
      <c r="AA6" s="298" t="s">
        <v>345</v>
      </c>
      <c r="AB6" s="298" t="s">
        <v>345</v>
      </c>
      <c r="AC6" s="298" t="s">
        <v>345</v>
      </c>
      <c r="AD6" s="298" t="s">
        <v>408</v>
      </c>
      <c r="AE6" s="298" t="s">
        <v>340</v>
      </c>
    </row>
    <row r="7" spans="1:31" ht="25.5" customHeight="1">
      <c r="A7" s="114">
        <v>6</v>
      </c>
      <c r="B7" s="114" t="s">
        <v>87</v>
      </c>
      <c r="C7" s="327">
        <v>46113</v>
      </c>
      <c r="D7" s="327">
        <v>46126</v>
      </c>
      <c r="E7" s="54" t="s">
        <v>293</v>
      </c>
      <c r="F7" s="304" t="s">
        <v>49</v>
      </c>
      <c r="G7" s="298">
        <v>52614</v>
      </c>
      <c r="H7" s="114" t="s">
        <v>414</v>
      </c>
      <c r="I7" s="398" t="s">
        <v>358</v>
      </c>
      <c r="J7" s="114">
        <v>2</v>
      </c>
      <c r="K7" s="114">
        <f>L7/4</f>
        <v>1</v>
      </c>
      <c r="L7" s="114">
        <v>4</v>
      </c>
      <c r="M7" s="176">
        <v>46114</v>
      </c>
      <c r="N7" s="176">
        <v>46114</v>
      </c>
      <c r="O7" s="114" t="s">
        <v>335</v>
      </c>
      <c r="P7" s="114" t="s">
        <v>40</v>
      </c>
      <c r="Q7" s="114" t="s">
        <v>400</v>
      </c>
      <c r="R7" s="114" t="s">
        <v>40</v>
      </c>
      <c r="S7" s="114" t="s">
        <v>400</v>
      </c>
      <c r="T7" s="48" t="s">
        <v>415</v>
      </c>
      <c r="U7" s="176">
        <v>46114</v>
      </c>
      <c r="V7" s="176">
        <v>46118</v>
      </c>
      <c r="W7" s="114" t="s">
        <v>344</v>
      </c>
      <c r="X7" s="114" t="s">
        <v>345</v>
      </c>
      <c r="Y7" s="114" t="s">
        <v>344</v>
      </c>
      <c r="Z7" s="176">
        <v>46118</v>
      </c>
      <c r="AA7" s="298" t="s">
        <v>345</v>
      </c>
      <c r="AB7" s="298" t="s">
        <v>345</v>
      </c>
      <c r="AC7" s="298" t="s">
        <v>345</v>
      </c>
      <c r="AD7" s="298" t="s">
        <v>408</v>
      </c>
      <c r="AE7" s="298" t="s">
        <v>340</v>
      </c>
    </row>
    <row r="8" spans="1:31" ht="25.5" customHeight="1">
      <c r="A8" s="114">
        <v>7</v>
      </c>
      <c r="B8" s="114" t="s">
        <v>87</v>
      </c>
      <c r="C8" s="373">
        <v>46113</v>
      </c>
      <c r="D8" s="373">
        <v>46126</v>
      </c>
      <c r="E8" s="54" t="s">
        <v>293</v>
      </c>
      <c r="F8" s="100" t="s">
        <v>336</v>
      </c>
      <c r="G8" s="197">
        <v>52257</v>
      </c>
      <c r="H8" s="100" t="s">
        <v>416</v>
      </c>
      <c r="I8" s="398" t="s">
        <v>358</v>
      </c>
      <c r="J8" s="114">
        <v>8</v>
      </c>
      <c r="K8" s="114">
        <f>L8/4</f>
        <v>9</v>
      </c>
      <c r="L8" s="114">
        <v>36</v>
      </c>
      <c r="M8" s="176">
        <v>46113</v>
      </c>
      <c r="N8" s="176">
        <v>46120</v>
      </c>
      <c r="O8" s="114" t="s">
        <v>335</v>
      </c>
      <c r="P8" s="114" t="s">
        <v>40</v>
      </c>
      <c r="Q8" s="114" t="s">
        <v>400</v>
      </c>
      <c r="R8" s="114" t="s">
        <v>40</v>
      </c>
      <c r="S8" s="114" t="s">
        <v>400</v>
      </c>
      <c r="T8" s="48" t="s">
        <v>417</v>
      </c>
      <c r="U8" s="327">
        <v>46120</v>
      </c>
      <c r="V8" s="327">
        <v>46120</v>
      </c>
      <c r="W8" s="114" t="s">
        <v>418</v>
      </c>
      <c r="X8" s="114" t="s">
        <v>345</v>
      </c>
      <c r="Y8" s="114" t="s">
        <v>344</v>
      </c>
      <c r="Z8" s="327">
        <v>46120</v>
      </c>
      <c r="AA8" s="114" t="s">
        <v>345</v>
      </c>
      <c r="AB8" s="114"/>
      <c r="AC8" s="298" t="s">
        <v>345</v>
      </c>
      <c r="AD8" s="114" t="s">
        <v>419</v>
      </c>
      <c r="AE8" s="114" t="s">
        <v>340</v>
      </c>
    </row>
    <row r="9" spans="1:31" ht="25.5" customHeight="1">
      <c r="A9" s="114">
        <v>8</v>
      </c>
      <c r="B9" s="114" t="s">
        <v>87</v>
      </c>
      <c r="C9" s="373">
        <v>46113</v>
      </c>
      <c r="D9" s="373">
        <v>46126</v>
      </c>
      <c r="E9" s="54" t="s">
        <v>293</v>
      </c>
      <c r="F9" s="100" t="s">
        <v>49</v>
      </c>
      <c r="G9" s="403">
        <v>52615</v>
      </c>
      <c r="H9" s="100" t="s">
        <v>420</v>
      </c>
      <c r="I9" s="398" t="s">
        <v>358</v>
      </c>
      <c r="J9" s="114">
        <v>3</v>
      </c>
      <c r="K9" s="114">
        <f>L9/4</f>
        <v>2.25</v>
      </c>
      <c r="L9" s="114">
        <v>9</v>
      </c>
      <c r="M9" s="176">
        <v>46114</v>
      </c>
      <c r="N9" s="176">
        <v>46118</v>
      </c>
      <c r="O9" s="114" t="s">
        <v>335</v>
      </c>
      <c r="P9" s="114" t="s">
        <v>349</v>
      </c>
      <c r="Q9" s="114" t="s">
        <v>400</v>
      </c>
      <c r="R9" s="114" t="s">
        <v>40</v>
      </c>
      <c r="S9" s="114" t="s">
        <v>400</v>
      </c>
      <c r="T9" s="48" t="s">
        <v>421</v>
      </c>
      <c r="U9" s="176">
        <v>46115</v>
      </c>
      <c r="V9" s="176">
        <v>46118</v>
      </c>
      <c r="W9" s="114" t="s">
        <v>344</v>
      </c>
      <c r="X9" s="114" t="s">
        <v>345</v>
      </c>
      <c r="Y9" s="114" t="s">
        <v>344</v>
      </c>
      <c r="Z9" s="176">
        <v>46118</v>
      </c>
      <c r="AA9" s="298" t="s">
        <v>345</v>
      </c>
      <c r="AB9" s="298" t="s">
        <v>422</v>
      </c>
      <c r="AC9" s="298" t="s">
        <v>345</v>
      </c>
      <c r="AD9" s="298" t="s">
        <v>408</v>
      </c>
      <c r="AE9" s="298" t="s">
        <v>340</v>
      </c>
    </row>
    <row r="10" spans="1:31" ht="25.5" customHeight="1">
      <c r="A10" s="114">
        <v>10</v>
      </c>
      <c r="B10" s="114" t="s">
        <v>87</v>
      </c>
      <c r="C10" s="327">
        <v>46113</v>
      </c>
      <c r="D10" s="327">
        <v>46126</v>
      </c>
      <c r="E10" s="164" t="s">
        <v>423</v>
      </c>
      <c r="F10" s="114" t="s">
        <v>349</v>
      </c>
      <c r="G10" s="114">
        <v>52682</v>
      </c>
      <c r="H10" s="114" t="s">
        <v>424</v>
      </c>
      <c r="I10" s="398" t="s">
        <v>358</v>
      </c>
      <c r="J10" s="114">
        <v>10</v>
      </c>
      <c r="K10" s="114">
        <f>L10/4</f>
        <v>9.5</v>
      </c>
      <c r="L10" s="114">
        <v>38</v>
      </c>
      <c r="M10" s="176">
        <v>46113</v>
      </c>
      <c r="N10" s="176">
        <v>46126</v>
      </c>
      <c r="O10" s="114" t="s">
        <v>335</v>
      </c>
      <c r="P10" s="114" t="s">
        <v>349</v>
      </c>
      <c r="Q10" s="114" t="s">
        <v>400</v>
      </c>
      <c r="R10" s="114" t="s">
        <v>392</v>
      </c>
      <c r="S10" s="114"/>
      <c r="T10" s="48" t="s">
        <v>425</v>
      </c>
      <c r="U10" s="176">
        <v>46126</v>
      </c>
      <c r="V10" s="327">
        <v>46126</v>
      </c>
      <c r="W10" s="114" t="s">
        <v>418</v>
      </c>
      <c r="X10" s="114"/>
      <c r="Y10" s="114" t="s">
        <v>344</v>
      </c>
      <c r="Z10" s="114"/>
      <c r="AA10" s="114"/>
      <c r="AB10" s="114"/>
      <c r="AC10" s="114" t="s">
        <v>345</v>
      </c>
      <c r="AD10" s="114" t="s">
        <v>426</v>
      </c>
      <c r="AE10" s="114"/>
    </row>
  </sheetData>
  <dataValidations count="1">
    <dataValidation type="list" allowBlank="1" showInputMessage="1" showErrorMessage="1" sqref="AE2" xr:uid="{A91E7BD4-59E4-4F6B-AE55-3035FB709BE9}">
      <formula1>"Exceeds Expectation, Meets Expectation, Needs Improvement"</formula1>
    </dataValidation>
  </dataValidations>
  <hyperlinks>
    <hyperlink ref="T6" r:id="rId1" xr:uid="{76E03230-BC84-4734-83BF-755393EFAF59}"/>
    <hyperlink ref="T4" r:id="rId2" xr:uid="{65560658-7F49-40F8-857B-E6B4BCCEA9B2}"/>
    <hyperlink ref="T2" r:id="rId3" xr:uid="{77BC293F-77A8-4E96-83DB-A8AA76EF022D}"/>
    <hyperlink ref="T3" r:id="rId4" xr:uid="{FB78CA9E-05DB-41BF-953F-67183B0AD987}"/>
    <hyperlink ref="T5" r:id="rId5" xr:uid="{BB4FA48F-2D2B-4D32-9CB2-A4DA4A1124B3}"/>
    <hyperlink ref="T7" r:id="rId6" xr:uid="{1F415491-7F45-4B27-8855-9D0671429E1B}"/>
    <hyperlink ref="T9" r:id="rId7" xr:uid="{0E281C05-1C9E-4AC3-A473-FF2988A34B65}"/>
    <hyperlink ref="T8" r:id="rId8" xr:uid="{BF6ACCEF-E3C2-47E1-A4AC-112D69167555}"/>
    <hyperlink ref="T10" r:id="rId9" xr:uid="{F5707740-493B-4BEA-B0B5-F4E6EC9348E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3822BE1-5CB8-4274-89FE-4CD6C26CC3BE}">
          <x14:formula1>
            <xm:f>Settings!$C$3:$C$20</xm:f>
          </x14:formula1>
          <xm:sqref>I2:I10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BCA5F-5A86-468C-B94F-44719055CB48}">
  <dimension ref="A1:T10"/>
  <sheetViews>
    <sheetView topLeftCell="B1" workbookViewId="0">
      <selection activeCell="B4" sqref="B4"/>
    </sheetView>
  </sheetViews>
  <sheetFormatPr defaultRowHeight="12.75"/>
  <cols>
    <col min="1" max="1" width="22.42578125" customWidth="1"/>
    <col min="2" max="4" width="9.140625" bestFit="1" customWidth="1"/>
    <col min="5" max="5" width="14.140625" customWidth="1"/>
    <col min="6" max="6" width="57.85546875" customWidth="1"/>
    <col min="7" max="8" width="9.140625" bestFit="1" customWidth="1"/>
    <col min="9" max="9" width="9.7109375" customWidth="1"/>
    <col min="10" max="10" width="22.85546875" customWidth="1"/>
    <col min="11" max="13" width="9.140625" bestFit="1" customWidth="1"/>
    <col min="14" max="14" width="15.7109375" customWidth="1"/>
    <col min="15" max="15" width="57.5703125" bestFit="1" customWidth="1"/>
  </cols>
  <sheetData>
    <row r="1" spans="1:20" ht="40.5">
      <c r="A1" s="375" t="s">
        <v>74</v>
      </c>
      <c r="B1" s="375" t="s">
        <v>75</v>
      </c>
      <c r="C1" s="375" t="s">
        <v>76</v>
      </c>
      <c r="D1" s="375" t="s">
        <v>2</v>
      </c>
      <c r="E1" s="375" t="s">
        <v>77</v>
      </c>
      <c r="F1" s="375" t="s">
        <v>78</v>
      </c>
      <c r="G1" s="375" t="s">
        <v>79</v>
      </c>
      <c r="H1" s="375" t="s">
        <v>80</v>
      </c>
      <c r="I1" s="375" t="s">
        <v>81</v>
      </c>
      <c r="J1" s="375" t="s">
        <v>4</v>
      </c>
      <c r="K1" s="375" t="s">
        <v>312</v>
      </c>
      <c r="L1" s="375" t="s">
        <v>313</v>
      </c>
      <c r="M1" s="375" t="s">
        <v>314</v>
      </c>
      <c r="N1" s="376" t="s">
        <v>82</v>
      </c>
      <c r="O1" s="377" t="s">
        <v>5</v>
      </c>
      <c r="P1" s="52"/>
      <c r="Q1" s="52"/>
      <c r="R1" s="52"/>
      <c r="S1" s="52"/>
      <c r="T1" s="52"/>
    </row>
    <row r="2" spans="1:20" ht="30.75" customHeight="1">
      <c r="A2" s="164" t="s">
        <v>423</v>
      </c>
      <c r="B2" s="49">
        <v>27159</v>
      </c>
      <c r="C2" s="25"/>
      <c r="D2" s="49" t="s">
        <v>336</v>
      </c>
      <c r="E2" s="49" t="s">
        <v>394</v>
      </c>
      <c r="F2" s="407" t="s">
        <v>427</v>
      </c>
      <c r="G2" s="69" t="s">
        <v>352</v>
      </c>
      <c r="H2" s="384" t="s">
        <v>353</v>
      </c>
      <c r="I2" s="97" t="s">
        <v>354</v>
      </c>
      <c r="J2" s="55" t="s">
        <v>396</v>
      </c>
      <c r="K2" s="286">
        <v>5</v>
      </c>
      <c r="L2" s="69">
        <f>M2/4</f>
        <v>3</v>
      </c>
      <c r="M2" s="130">
        <v>12</v>
      </c>
      <c r="N2" s="164" t="s">
        <v>356</v>
      </c>
      <c r="O2" s="25" t="s">
        <v>428</v>
      </c>
    </row>
    <row r="3" spans="1:20" ht="36">
      <c r="A3" s="164" t="s">
        <v>423</v>
      </c>
      <c r="B3" s="49">
        <v>27144</v>
      </c>
      <c r="C3" s="49"/>
      <c r="D3" s="49" t="s">
        <v>40</v>
      </c>
      <c r="E3" s="49" t="s">
        <v>394</v>
      </c>
      <c r="F3" s="407" t="s">
        <v>429</v>
      </c>
      <c r="G3" s="69" t="s">
        <v>352</v>
      </c>
      <c r="H3" s="384" t="s">
        <v>353</v>
      </c>
      <c r="I3" s="97" t="s">
        <v>430</v>
      </c>
      <c r="J3" s="55" t="s">
        <v>396</v>
      </c>
      <c r="K3" s="69">
        <v>1</v>
      </c>
      <c r="L3" s="69">
        <f>M3/4</f>
        <v>1</v>
      </c>
      <c r="M3" s="130">
        <v>4</v>
      </c>
      <c r="N3" s="164" t="s">
        <v>431</v>
      </c>
      <c r="O3" s="18" t="s">
        <v>432</v>
      </c>
    </row>
    <row r="4" spans="1:20">
      <c r="A4" s="55"/>
      <c r="B4" s="69"/>
      <c r="C4" s="19"/>
      <c r="D4" s="69"/>
      <c r="E4" s="69"/>
      <c r="F4" s="13"/>
      <c r="G4" s="69"/>
      <c r="H4" s="69"/>
      <c r="I4" s="97"/>
      <c r="J4" s="404"/>
      <c r="K4" s="69"/>
      <c r="L4" s="69"/>
      <c r="M4" s="69"/>
      <c r="N4" s="317"/>
      <c r="O4" s="19"/>
    </row>
    <row r="5" spans="1:20">
      <c r="A5" s="47"/>
      <c r="B5" s="49"/>
      <c r="C5" s="12"/>
      <c r="D5" s="49"/>
      <c r="E5" s="346"/>
      <c r="F5" s="13"/>
      <c r="G5" s="346"/>
      <c r="H5" s="346"/>
      <c r="I5" s="97"/>
      <c r="J5" s="47"/>
      <c r="K5" s="49"/>
      <c r="L5" s="49"/>
      <c r="M5" s="49"/>
      <c r="N5" s="164"/>
      <c r="O5" s="12"/>
    </row>
    <row r="6" spans="1:20">
      <c r="A6" s="387"/>
      <c r="B6" s="64"/>
      <c r="C6" s="388"/>
      <c r="D6" s="389"/>
      <c r="E6" s="390"/>
      <c r="F6" s="13"/>
      <c r="G6" s="64"/>
      <c r="H6" s="391"/>
      <c r="I6" s="97"/>
      <c r="J6" s="405"/>
      <c r="K6" s="64"/>
      <c r="L6" s="64"/>
      <c r="M6" s="64"/>
      <c r="N6" s="392"/>
      <c r="O6" s="388"/>
    </row>
    <row r="7" spans="1:20">
      <c r="A7" s="55"/>
      <c r="B7" s="69"/>
      <c r="C7" s="19"/>
      <c r="D7" s="130"/>
      <c r="E7" s="393"/>
      <c r="F7" s="140"/>
      <c r="G7" s="69"/>
      <c r="H7" s="286"/>
      <c r="I7" s="97"/>
      <c r="J7" s="404"/>
      <c r="K7" s="69"/>
      <c r="L7" s="69"/>
      <c r="M7" s="69"/>
      <c r="N7" s="317"/>
      <c r="O7" s="19"/>
    </row>
    <row r="8" spans="1:20">
      <c r="A8" s="47"/>
      <c r="B8" s="49"/>
      <c r="C8" s="12"/>
      <c r="D8" s="49"/>
      <c r="E8" s="346"/>
      <c r="F8" s="13"/>
      <c r="G8" s="49"/>
      <c r="H8" s="49"/>
      <c r="I8" s="97"/>
      <c r="J8" s="404"/>
      <c r="K8" s="49"/>
      <c r="L8" s="49"/>
      <c r="M8" s="49"/>
      <c r="N8" s="164"/>
      <c r="O8" s="12"/>
    </row>
    <row r="9" spans="1:20">
      <c r="A9" s="47"/>
      <c r="B9" s="49"/>
      <c r="C9" s="12"/>
      <c r="D9" s="49"/>
      <c r="E9" s="346"/>
      <c r="F9" s="13"/>
      <c r="G9" s="49"/>
      <c r="H9" s="49"/>
      <c r="I9" s="97"/>
      <c r="J9" s="47"/>
      <c r="K9" s="49"/>
      <c r="L9" s="49"/>
      <c r="M9" s="49"/>
      <c r="N9" s="164"/>
      <c r="O9" s="12"/>
    </row>
    <row r="10" spans="1:20">
      <c r="A10" s="47"/>
      <c r="B10" s="49"/>
      <c r="C10" s="12"/>
      <c r="D10" s="49"/>
      <c r="E10" s="346"/>
      <c r="F10" s="13"/>
      <c r="G10" s="49"/>
      <c r="H10" s="49"/>
      <c r="I10" s="25"/>
      <c r="J10" s="47"/>
      <c r="K10" s="49"/>
      <c r="L10" s="49"/>
      <c r="M10" s="49"/>
      <c r="N10" s="164"/>
      <c r="O10" s="12"/>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A8CC12BD-927E-43D1-923A-C231689ACB94}">
          <x14:formula1>
            <xm:f>Details!$A$2:$A$10</xm:f>
          </x14:formula1>
          <xm:sqref>N2:N10</xm:sqref>
        </x14:dataValidation>
        <x14:dataValidation type="list" allowBlank="1" showErrorMessage="1" xr:uid="{30BC0B95-97D6-464A-81AD-887A1FBF3DEE}">
          <x14:formula1>
            <xm:f>Settings!$C$3:$C$20</xm:f>
          </x14:formula1>
          <xm:sqref>J2:J10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73D8-285A-4F24-87A8-FDAA0506E4EA}">
  <dimension ref="A1:AE10"/>
  <sheetViews>
    <sheetView workbookViewId="0">
      <selection activeCell="H4" sqref="H4"/>
    </sheetView>
  </sheetViews>
  <sheetFormatPr defaultRowHeight="25.5" customHeight="1"/>
  <cols>
    <col min="1" max="1" width="9.140625" style="285"/>
    <col min="2" max="2" width="12.5703125" style="285" customWidth="1"/>
    <col min="3" max="3" width="13.5703125" style="285" customWidth="1"/>
    <col min="4" max="4" width="13" style="285" customWidth="1"/>
    <col min="5" max="5" width="20.42578125" style="285" customWidth="1"/>
    <col min="6" max="6" width="9.140625" style="285"/>
    <col min="7" max="7" width="11" style="285" bestFit="1" customWidth="1"/>
    <col min="8" max="8" width="59.28515625" style="285" customWidth="1"/>
    <col min="9" max="9" width="25.5703125" style="285" customWidth="1"/>
    <col min="10" max="12" width="9.140625" style="285"/>
    <col min="13" max="13" width="10" style="285" customWidth="1"/>
    <col min="14" max="14" width="10.5703125" style="285" customWidth="1"/>
    <col min="15" max="16" width="9.140625" style="285"/>
    <col min="17" max="17" width="54" style="285" customWidth="1"/>
    <col min="18" max="19" width="9.140625" style="285"/>
    <col min="20" max="20" width="48.85546875" style="285" customWidth="1"/>
    <col min="21" max="21" width="11.42578125" style="285" customWidth="1"/>
    <col min="22" max="22" width="9.5703125" style="285" bestFit="1" customWidth="1"/>
    <col min="23" max="25" width="9.140625" style="285"/>
    <col min="26" max="26" width="9.85546875" style="285" customWidth="1"/>
    <col min="27" max="27" width="9.140625" style="285"/>
    <col min="28" max="28" width="62" style="285" customWidth="1"/>
    <col min="29" max="29" width="9.140625" style="285"/>
    <col min="30" max="30" width="23.28515625" style="285" customWidth="1"/>
    <col min="31" max="31" width="25.85546875" style="285" customWidth="1"/>
  </cols>
  <sheetData>
    <row r="1" spans="1:31" ht="53.25">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348" t="s">
        <v>5</v>
      </c>
      <c r="AE1" s="45" t="s">
        <v>332</v>
      </c>
    </row>
    <row r="2" spans="1:31" ht="37.5" customHeight="1">
      <c r="A2" s="114">
        <v>1</v>
      </c>
      <c r="B2" s="114" t="s">
        <v>87</v>
      </c>
      <c r="C2" s="327">
        <v>46085</v>
      </c>
      <c r="D2" s="327">
        <v>46112</v>
      </c>
      <c r="E2" s="164" t="s">
        <v>288</v>
      </c>
      <c r="F2" s="100" t="s">
        <v>40</v>
      </c>
      <c r="G2" s="114">
        <v>47650</v>
      </c>
      <c r="H2" s="114" t="s">
        <v>433</v>
      </c>
      <c r="I2" s="272" t="s">
        <v>358</v>
      </c>
      <c r="J2" s="114">
        <v>3</v>
      </c>
      <c r="K2" s="114">
        <f t="shared" ref="K2" si="0">L2/4</f>
        <v>1.5</v>
      </c>
      <c r="L2" s="114">
        <v>6</v>
      </c>
      <c r="M2" s="176">
        <v>46085</v>
      </c>
      <c r="N2" s="176">
        <v>46085</v>
      </c>
      <c r="O2" s="114" t="s">
        <v>335</v>
      </c>
      <c r="P2" s="114" t="s">
        <v>49</v>
      </c>
      <c r="Q2" s="114" t="s">
        <v>400</v>
      </c>
      <c r="R2" s="114" t="s">
        <v>49</v>
      </c>
      <c r="S2" s="114" t="s">
        <v>400</v>
      </c>
      <c r="T2" s="48" t="s">
        <v>434</v>
      </c>
      <c r="U2" s="176">
        <v>46085</v>
      </c>
      <c r="V2" s="176">
        <v>46086</v>
      </c>
      <c r="W2" s="114" t="s">
        <v>344</v>
      </c>
      <c r="X2" s="114" t="s">
        <v>345</v>
      </c>
      <c r="Y2" s="114" t="s">
        <v>344</v>
      </c>
      <c r="Z2" s="176">
        <v>46086</v>
      </c>
      <c r="AA2" s="114" t="s">
        <v>345</v>
      </c>
      <c r="AB2" s="386" t="s">
        <v>435</v>
      </c>
      <c r="AC2" s="114" t="s">
        <v>345</v>
      </c>
      <c r="AD2" s="114" t="s">
        <v>345</v>
      </c>
      <c r="AE2" s="114" t="s">
        <v>436</v>
      </c>
    </row>
    <row r="3" spans="1:31" ht="25.5" customHeight="1">
      <c r="A3" s="114">
        <v>2</v>
      </c>
      <c r="B3" s="114" t="s">
        <v>87</v>
      </c>
      <c r="C3" s="327">
        <v>46085</v>
      </c>
      <c r="D3" s="327">
        <v>46112</v>
      </c>
      <c r="E3" s="164" t="s">
        <v>288</v>
      </c>
      <c r="F3" s="100" t="s">
        <v>336</v>
      </c>
      <c r="G3" s="100">
        <v>51819</v>
      </c>
      <c r="H3" s="114" t="s">
        <v>437</v>
      </c>
      <c r="I3" s="272" t="s">
        <v>358</v>
      </c>
      <c r="J3" s="114">
        <v>2</v>
      </c>
      <c r="K3" s="114">
        <f>L3/4</f>
        <v>0.625</v>
      </c>
      <c r="L3" s="114">
        <v>2.5</v>
      </c>
      <c r="M3" s="176">
        <v>46085</v>
      </c>
      <c r="N3" s="176">
        <v>46085</v>
      </c>
      <c r="O3" s="114" t="s">
        <v>335</v>
      </c>
      <c r="P3" s="114" t="s">
        <v>349</v>
      </c>
      <c r="Q3" s="114" t="s">
        <v>400</v>
      </c>
      <c r="R3" s="114" t="s">
        <v>438</v>
      </c>
      <c r="S3" s="114" t="s">
        <v>400</v>
      </c>
      <c r="T3" s="48" t="s">
        <v>439</v>
      </c>
      <c r="U3" s="176">
        <v>46078</v>
      </c>
      <c r="V3" s="176">
        <v>46078</v>
      </c>
      <c r="W3" s="114" t="s">
        <v>344</v>
      </c>
      <c r="X3" s="114" t="s">
        <v>345</v>
      </c>
      <c r="Y3" s="114" t="s">
        <v>344</v>
      </c>
      <c r="Z3" s="176">
        <v>46078</v>
      </c>
      <c r="AA3" s="114" t="s">
        <v>345</v>
      </c>
      <c r="AB3" s="386" t="s">
        <v>440</v>
      </c>
      <c r="AC3" s="114" t="s">
        <v>345</v>
      </c>
      <c r="AD3" s="114" t="s">
        <v>408</v>
      </c>
      <c r="AE3" s="114" t="s">
        <v>340</v>
      </c>
    </row>
    <row r="4" spans="1:31" ht="30" customHeight="1">
      <c r="A4" s="114">
        <v>3</v>
      </c>
      <c r="B4" s="114" t="s">
        <v>87</v>
      </c>
      <c r="C4" s="327">
        <v>46085</v>
      </c>
      <c r="D4" s="327">
        <v>46112</v>
      </c>
      <c r="E4" s="164" t="s">
        <v>288</v>
      </c>
      <c r="F4" s="100" t="s">
        <v>49</v>
      </c>
      <c r="G4" s="385">
        <v>51429</v>
      </c>
      <c r="H4" s="114" t="s">
        <v>441</v>
      </c>
      <c r="I4" s="272" t="s">
        <v>358</v>
      </c>
      <c r="J4" s="114">
        <v>2</v>
      </c>
      <c r="K4" s="114">
        <f>L4/4</f>
        <v>2</v>
      </c>
      <c r="L4" s="114">
        <v>8</v>
      </c>
      <c r="M4" s="176">
        <v>46086</v>
      </c>
      <c r="N4" s="176">
        <v>46090</v>
      </c>
      <c r="O4" s="114" t="s">
        <v>335</v>
      </c>
      <c r="P4" s="114" t="s">
        <v>349</v>
      </c>
      <c r="Q4" s="114" t="s">
        <v>442</v>
      </c>
      <c r="R4" s="114" t="s">
        <v>336</v>
      </c>
      <c r="S4" s="114" t="s">
        <v>400</v>
      </c>
      <c r="T4" s="48" t="s">
        <v>443</v>
      </c>
      <c r="U4" s="176">
        <v>46090</v>
      </c>
      <c r="V4" s="176">
        <v>46091</v>
      </c>
      <c r="W4" s="114" t="s">
        <v>344</v>
      </c>
      <c r="X4" s="114" t="s">
        <v>345</v>
      </c>
      <c r="Y4" s="114" t="s">
        <v>344</v>
      </c>
      <c r="Z4" s="176">
        <v>46091</v>
      </c>
      <c r="AA4" s="114" t="s">
        <v>345</v>
      </c>
      <c r="AB4" s="114" t="s">
        <v>147</v>
      </c>
      <c r="AC4" s="114" t="s">
        <v>147</v>
      </c>
      <c r="AD4" s="114" t="s">
        <v>444</v>
      </c>
      <c r="AE4" s="114" t="s">
        <v>340</v>
      </c>
    </row>
    <row r="5" spans="1:31" ht="25.5" customHeight="1">
      <c r="A5" s="114">
        <v>4</v>
      </c>
      <c r="B5" s="114" t="s">
        <v>87</v>
      </c>
      <c r="C5" s="327">
        <v>46085</v>
      </c>
      <c r="D5" s="327">
        <v>46112</v>
      </c>
      <c r="E5" s="164" t="s">
        <v>288</v>
      </c>
      <c r="F5" s="100" t="s">
        <v>336</v>
      </c>
      <c r="G5" s="100">
        <v>51811</v>
      </c>
      <c r="H5" s="114" t="s">
        <v>445</v>
      </c>
      <c r="I5" s="272" t="s">
        <v>358</v>
      </c>
      <c r="J5" s="114">
        <v>1</v>
      </c>
      <c r="K5" s="114">
        <f>L5/4</f>
        <v>0.875</v>
      </c>
      <c r="L5" s="114">
        <v>3.5</v>
      </c>
      <c r="M5" s="176">
        <v>46085</v>
      </c>
      <c r="N5" s="176">
        <v>46085</v>
      </c>
      <c r="O5" s="114" t="s">
        <v>335</v>
      </c>
      <c r="P5" s="114" t="s">
        <v>349</v>
      </c>
      <c r="Q5" s="114" t="s">
        <v>446</v>
      </c>
      <c r="R5" s="114" t="s">
        <v>438</v>
      </c>
      <c r="S5" s="114" t="s">
        <v>400</v>
      </c>
      <c r="T5" s="48" t="s">
        <v>447</v>
      </c>
      <c r="U5" s="176">
        <v>46079</v>
      </c>
      <c r="V5" s="176">
        <v>46079</v>
      </c>
      <c r="W5" s="114" t="s">
        <v>344</v>
      </c>
      <c r="X5" s="114" t="s">
        <v>345</v>
      </c>
      <c r="Y5" s="114" t="s">
        <v>344</v>
      </c>
      <c r="Z5" s="176">
        <v>46079</v>
      </c>
      <c r="AA5" s="114" t="s">
        <v>345</v>
      </c>
      <c r="AB5" s="114" t="s">
        <v>345</v>
      </c>
      <c r="AC5" s="114" t="s">
        <v>345</v>
      </c>
      <c r="AD5" s="114" t="s">
        <v>408</v>
      </c>
      <c r="AE5" s="114" t="s">
        <v>340</v>
      </c>
    </row>
    <row r="6" spans="1:31" ht="25.5" customHeight="1">
      <c r="A6" s="114">
        <v>5</v>
      </c>
      <c r="B6" s="114" t="s">
        <v>87</v>
      </c>
      <c r="C6" s="327">
        <v>46085</v>
      </c>
      <c r="D6" s="327">
        <v>46112</v>
      </c>
      <c r="E6" s="164" t="s">
        <v>288</v>
      </c>
      <c r="F6" s="100" t="s">
        <v>448</v>
      </c>
      <c r="G6" s="114">
        <v>52158</v>
      </c>
      <c r="H6" s="114" t="s">
        <v>449</v>
      </c>
      <c r="I6" s="272" t="s">
        <v>358</v>
      </c>
      <c r="J6" s="114">
        <v>13</v>
      </c>
      <c r="K6" s="114">
        <f>L6/4</f>
        <v>15.75</v>
      </c>
      <c r="L6" s="114">
        <v>63</v>
      </c>
      <c r="M6" s="176">
        <v>46085</v>
      </c>
      <c r="N6" s="176">
        <v>46091</v>
      </c>
      <c r="O6" s="114" t="s">
        <v>147</v>
      </c>
      <c r="P6" s="114" t="s">
        <v>147</v>
      </c>
      <c r="Q6" s="114" t="s">
        <v>147</v>
      </c>
      <c r="R6" s="114" t="s">
        <v>147</v>
      </c>
      <c r="S6" s="114" t="s">
        <v>147</v>
      </c>
      <c r="T6" s="114" t="s">
        <v>147</v>
      </c>
      <c r="U6" s="114" t="s">
        <v>147</v>
      </c>
      <c r="V6" s="114" t="s">
        <v>147</v>
      </c>
      <c r="W6" s="114" t="s">
        <v>147</v>
      </c>
      <c r="X6" s="114" t="s">
        <v>147</v>
      </c>
      <c r="Y6" s="114" t="s">
        <v>147</v>
      </c>
      <c r="Z6" s="114" t="s">
        <v>147</v>
      </c>
      <c r="AA6" s="114" t="s">
        <v>147</v>
      </c>
      <c r="AB6" s="114" t="s">
        <v>147</v>
      </c>
      <c r="AC6" s="114" t="s">
        <v>147</v>
      </c>
      <c r="AD6" s="114" t="s">
        <v>147</v>
      </c>
      <c r="AE6" s="114" t="s">
        <v>147</v>
      </c>
    </row>
    <row r="7" spans="1:31" ht="25.5" customHeight="1">
      <c r="A7" s="114">
        <v>6</v>
      </c>
      <c r="B7" s="114" t="s">
        <v>87</v>
      </c>
      <c r="C7" s="327">
        <v>46085</v>
      </c>
      <c r="D7" s="327">
        <v>46112</v>
      </c>
      <c r="E7" s="164" t="s">
        <v>288</v>
      </c>
      <c r="F7" s="114" t="s">
        <v>448</v>
      </c>
      <c r="G7" s="114">
        <v>52159</v>
      </c>
      <c r="H7" s="114" t="s">
        <v>450</v>
      </c>
      <c r="I7" s="272" t="s">
        <v>358</v>
      </c>
      <c r="J7" s="114">
        <v>5</v>
      </c>
      <c r="K7" s="114">
        <f>L7/4</f>
        <v>11.25</v>
      </c>
      <c r="L7" s="114">
        <v>45</v>
      </c>
      <c r="M7" s="176">
        <v>46084</v>
      </c>
      <c r="N7" s="176">
        <v>46101</v>
      </c>
      <c r="O7" s="114" t="s">
        <v>147</v>
      </c>
      <c r="P7" s="114" t="s">
        <v>147</v>
      </c>
      <c r="Q7" s="114" t="s">
        <v>147</v>
      </c>
      <c r="R7" s="114" t="s">
        <v>147</v>
      </c>
      <c r="S7" s="114" t="s">
        <v>147</v>
      </c>
      <c r="T7" s="114" t="s">
        <v>147</v>
      </c>
      <c r="U7" s="114" t="s">
        <v>147</v>
      </c>
      <c r="V7" s="114" t="s">
        <v>147</v>
      </c>
      <c r="W7" s="114" t="s">
        <v>147</v>
      </c>
      <c r="X7" s="114" t="s">
        <v>147</v>
      </c>
      <c r="Y7" s="114" t="s">
        <v>147</v>
      </c>
      <c r="Z7" s="114" t="s">
        <v>147</v>
      </c>
      <c r="AA7" s="114" t="s">
        <v>147</v>
      </c>
      <c r="AB7" s="114" t="s">
        <v>147</v>
      </c>
      <c r="AC7" s="114" t="s">
        <v>147</v>
      </c>
      <c r="AD7" s="114" t="s">
        <v>147</v>
      </c>
      <c r="AE7" s="114" t="s">
        <v>147</v>
      </c>
    </row>
    <row r="8" spans="1:31" ht="25.5" customHeight="1">
      <c r="A8" s="114">
        <v>7</v>
      </c>
      <c r="B8" s="114" t="s">
        <v>87</v>
      </c>
      <c r="C8" s="327">
        <v>46085</v>
      </c>
      <c r="D8" s="327">
        <v>46112</v>
      </c>
      <c r="E8" s="164" t="s">
        <v>288</v>
      </c>
      <c r="F8" s="114" t="s">
        <v>448</v>
      </c>
      <c r="G8" s="114">
        <v>52163</v>
      </c>
      <c r="H8" s="114" t="s">
        <v>451</v>
      </c>
      <c r="I8" s="272" t="s">
        <v>358</v>
      </c>
      <c r="J8" s="114">
        <v>13</v>
      </c>
      <c r="K8" s="114">
        <f>L8/4</f>
        <v>10.75</v>
      </c>
      <c r="L8" s="114">
        <v>43</v>
      </c>
      <c r="M8" s="176">
        <v>46093</v>
      </c>
      <c r="N8" s="176">
        <v>46101</v>
      </c>
      <c r="O8" s="114" t="s">
        <v>147</v>
      </c>
      <c r="P8" s="114" t="s">
        <v>147</v>
      </c>
      <c r="Q8" s="114" t="s">
        <v>147</v>
      </c>
      <c r="R8" s="114" t="s">
        <v>147</v>
      </c>
      <c r="S8" s="114" t="s">
        <v>147</v>
      </c>
      <c r="T8" s="114" t="s">
        <v>147</v>
      </c>
      <c r="U8" s="114" t="s">
        <v>147</v>
      </c>
      <c r="V8" s="114" t="s">
        <v>147</v>
      </c>
      <c r="W8" s="114" t="s">
        <v>147</v>
      </c>
      <c r="X8" s="114" t="s">
        <v>147</v>
      </c>
      <c r="Y8" s="114" t="s">
        <v>147</v>
      </c>
      <c r="Z8" s="114" t="s">
        <v>147</v>
      </c>
      <c r="AA8" s="114" t="s">
        <v>147</v>
      </c>
      <c r="AB8" s="114" t="s">
        <v>147</v>
      </c>
      <c r="AC8" s="114" t="s">
        <v>147</v>
      </c>
      <c r="AD8" s="114" t="s">
        <v>147</v>
      </c>
      <c r="AE8" s="114" t="s">
        <v>147</v>
      </c>
    </row>
    <row r="9" spans="1:31" ht="25.5" customHeight="1">
      <c r="A9" s="114">
        <v>8</v>
      </c>
      <c r="B9" s="114" t="s">
        <v>87</v>
      </c>
      <c r="C9" s="327">
        <v>46085</v>
      </c>
      <c r="D9" s="327">
        <v>46112</v>
      </c>
      <c r="E9" s="164" t="s">
        <v>452</v>
      </c>
      <c r="F9" s="114" t="s">
        <v>336</v>
      </c>
      <c r="G9" s="114">
        <v>52185</v>
      </c>
      <c r="H9" s="114" t="s">
        <v>453</v>
      </c>
      <c r="I9" s="272" t="s">
        <v>358</v>
      </c>
      <c r="J9" s="114">
        <v>2</v>
      </c>
      <c r="K9" s="114">
        <f>L9/4</f>
        <v>0.5</v>
      </c>
      <c r="L9" s="114">
        <v>2</v>
      </c>
      <c r="M9" s="176">
        <v>46085</v>
      </c>
      <c r="N9" s="176">
        <v>46085</v>
      </c>
      <c r="O9" s="114" t="s">
        <v>335</v>
      </c>
      <c r="P9" s="114" t="s">
        <v>40</v>
      </c>
      <c r="Q9" s="114" t="s">
        <v>345</v>
      </c>
      <c r="R9" s="114" t="s">
        <v>438</v>
      </c>
      <c r="S9" s="114" t="s">
        <v>345</v>
      </c>
      <c r="T9" s="48" t="s">
        <v>454</v>
      </c>
      <c r="U9" s="176">
        <v>46085</v>
      </c>
      <c r="V9" s="176">
        <v>46085</v>
      </c>
      <c r="W9" s="114" t="s">
        <v>344</v>
      </c>
      <c r="X9" s="114" t="s">
        <v>345</v>
      </c>
      <c r="Y9" s="114" t="s">
        <v>344</v>
      </c>
      <c r="Z9" s="176">
        <v>46085</v>
      </c>
      <c r="AA9" s="114" t="s">
        <v>345</v>
      </c>
      <c r="AB9" s="114" t="s">
        <v>147</v>
      </c>
      <c r="AC9" s="114" t="s">
        <v>147</v>
      </c>
      <c r="AD9" s="114" t="s">
        <v>147</v>
      </c>
      <c r="AE9" s="114" t="s">
        <v>340</v>
      </c>
    </row>
    <row r="10" spans="1:31" ht="25.5" customHeight="1">
      <c r="A10" s="114">
        <v>9</v>
      </c>
      <c r="B10" s="114" t="s">
        <v>87</v>
      </c>
      <c r="C10" s="327">
        <v>46085</v>
      </c>
      <c r="D10" s="327">
        <v>46112</v>
      </c>
      <c r="E10" s="47" t="s">
        <v>452</v>
      </c>
      <c r="F10" s="114" t="s">
        <v>349</v>
      </c>
      <c r="G10" s="114">
        <v>52183</v>
      </c>
      <c r="H10" s="114" t="s">
        <v>455</v>
      </c>
      <c r="I10" s="272" t="s">
        <v>358</v>
      </c>
      <c r="J10" s="114">
        <v>10</v>
      </c>
      <c r="K10" s="114">
        <f>L10/4</f>
        <v>9.5</v>
      </c>
      <c r="L10" s="114">
        <v>38</v>
      </c>
      <c r="M10" s="176">
        <v>46104</v>
      </c>
      <c r="N10" s="176">
        <v>46112</v>
      </c>
      <c r="O10" s="395" t="s">
        <v>335</v>
      </c>
      <c r="P10" s="395" t="s">
        <v>349</v>
      </c>
      <c r="Q10" s="395" t="s">
        <v>345</v>
      </c>
      <c r="R10" s="395" t="s">
        <v>392</v>
      </c>
      <c r="S10" s="395" t="s">
        <v>345</v>
      </c>
      <c r="T10" s="48" t="s">
        <v>456</v>
      </c>
      <c r="U10" s="396">
        <v>46112</v>
      </c>
      <c r="V10" s="395"/>
      <c r="W10" s="395" t="s">
        <v>392</v>
      </c>
      <c r="X10" s="395" t="s">
        <v>147</v>
      </c>
      <c r="Y10" s="394"/>
      <c r="Z10" s="394"/>
      <c r="AA10" s="394"/>
      <c r="AB10" s="395" t="s">
        <v>147</v>
      </c>
      <c r="AC10" s="395" t="s">
        <v>147</v>
      </c>
      <c r="AD10" s="394" t="s">
        <v>457</v>
      </c>
      <c r="AE10" s="394"/>
    </row>
  </sheetData>
  <dataValidations count="1">
    <dataValidation type="list" allowBlank="1" showInputMessage="1" showErrorMessage="1" sqref="AE4 AE2" xr:uid="{70AAF93D-ACF7-496A-8646-FF4FD260D51F}">
      <formula1>"Exceeds Expectation, Meets Expectation, Needs Improvement"</formula1>
    </dataValidation>
  </dataValidations>
  <hyperlinks>
    <hyperlink ref="T3" r:id="rId1" xr:uid="{8A715283-A79C-4979-BB28-7BAE6DA13D66}"/>
    <hyperlink ref="T5" r:id="rId2" xr:uid="{B5E67F61-1E18-45B0-AE72-512C97D58F15}"/>
    <hyperlink ref="T4" r:id="rId3" xr:uid="{89458A4D-8CB3-4AA3-98EA-4F48CFAAC785}"/>
    <hyperlink ref="T2" r:id="rId4" xr:uid="{ED0602D1-E4E1-429D-880B-DE46AF69D6F9}"/>
    <hyperlink ref="T9" r:id="rId5" xr:uid="{0747BC38-9F90-40D3-8EE9-D8C17F8D1368}"/>
    <hyperlink ref="T10" r:id="rId6" xr:uid="{BE48AA9F-61FD-440C-BABE-871B130A4DD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8D11C5D-FEBE-4607-9104-EF7D2E83860B}">
          <x14:formula1>
            <xm:f>Settings!$C$3:$C$20</xm:f>
          </x14:formula1>
          <xm:sqref>I2:I10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E07F2-CC24-47B2-938B-220DF24157EB}">
  <dimension ref="A1:AB9"/>
  <sheetViews>
    <sheetView workbookViewId="0">
      <selection activeCell="G5" sqref="G5"/>
    </sheetView>
  </sheetViews>
  <sheetFormatPr defaultRowHeight="30" customHeight="1"/>
  <cols>
    <col min="1" max="1" width="4.7109375" bestFit="1" customWidth="1"/>
    <col min="5" max="5" width="19.28515625" customWidth="1"/>
    <col min="6" max="6" width="13.140625" customWidth="1"/>
    <col min="7" max="7" width="11" bestFit="1" customWidth="1"/>
    <col min="8" max="8" width="42.7109375" customWidth="1"/>
    <col min="9" max="9" width="23.5703125" customWidth="1"/>
    <col min="11" max="11" width="9" bestFit="1" customWidth="1"/>
    <col min="13" max="13" width="10" bestFit="1" customWidth="1"/>
    <col min="19" max="19" width="13.5703125" customWidth="1"/>
    <col min="20" max="20" width="17.42578125" customWidth="1"/>
    <col min="21" max="21" width="10" bestFit="1" customWidth="1"/>
    <col min="22" max="22" width="12" customWidth="1"/>
    <col min="26" max="26" width="11.7109375" customWidth="1"/>
    <col min="30" max="30" width="24.5703125" customWidth="1"/>
    <col min="31" max="31" width="18.7109375" bestFit="1" customWidth="1"/>
  </cols>
  <sheetData>
    <row r="1" spans="1:28" ht="75.75" customHeight="1">
      <c r="A1" s="158" t="s">
        <v>73</v>
      </c>
      <c r="B1" s="159" t="s">
        <v>1</v>
      </c>
      <c r="C1" s="159" t="s">
        <v>85</v>
      </c>
      <c r="D1" s="159" t="s">
        <v>86</v>
      </c>
      <c r="E1" s="159" t="s">
        <v>310</v>
      </c>
      <c r="F1" s="159" t="s">
        <v>2</v>
      </c>
      <c r="G1" s="159" t="s">
        <v>311</v>
      </c>
      <c r="H1" s="160" t="s">
        <v>3</v>
      </c>
      <c r="I1" s="159" t="s">
        <v>4</v>
      </c>
      <c r="J1" s="159" t="s">
        <v>312</v>
      </c>
      <c r="K1" s="159" t="s">
        <v>313</v>
      </c>
      <c r="L1" s="159" t="s">
        <v>314</v>
      </c>
      <c r="M1" s="159" t="s">
        <v>315</v>
      </c>
      <c r="N1" s="159" t="s">
        <v>316</v>
      </c>
      <c r="O1" s="159" t="s">
        <v>317</v>
      </c>
      <c r="P1" s="159" t="s">
        <v>318</v>
      </c>
      <c r="Q1" s="159" t="s">
        <v>319</v>
      </c>
      <c r="R1" s="159" t="s">
        <v>320</v>
      </c>
      <c r="S1" s="159" t="s">
        <v>321</v>
      </c>
      <c r="T1" s="159" t="s">
        <v>322</v>
      </c>
      <c r="U1" s="159" t="s">
        <v>323</v>
      </c>
      <c r="V1" s="159" t="s">
        <v>324</v>
      </c>
      <c r="W1" s="159" t="s">
        <v>325</v>
      </c>
      <c r="X1" s="159" t="s">
        <v>326</v>
      </c>
      <c r="Y1" s="159" t="s">
        <v>327</v>
      </c>
      <c r="Z1" s="159" t="s">
        <v>328</v>
      </c>
      <c r="AA1" s="159" t="s">
        <v>329</v>
      </c>
      <c r="AB1" s="159" t="s">
        <v>330</v>
      </c>
    </row>
    <row r="2" spans="1:28" ht="30" customHeight="1">
      <c r="A2" s="146">
        <v>1</v>
      </c>
      <c r="B2" s="79" t="s">
        <v>87</v>
      </c>
      <c r="C2" s="102">
        <v>45861</v>
      </c>
      <c r="D2" s="102">
        <v>45874</v>
      </c>
      <c r="E2" s="167" t="s">
        <v>218</v>
      </c>
      <c r="F2" s="114" t="s">
        <v>49</v>
      </c>
      <c r="G2" s="165">
        <v>48436</v>
      </c>
      <c r="H2" s="164" t="s">
        <v>458</v>
      </c>
      <c r="I2" s="54" t="s">
        <v>343</v>
      </c>
      <c r="J2" s="114">
        <v>2</v>
      </c>
      <c r="K2" s="100">
        <f>L2/4</f>
        <v>2.25</v>
      </c>
      <c r="L2" s="114">
        <v>9</v>
      </c>
      <c r="M2" s="176">
        <v>45833</v>
      </c>
      <c r="N2" s="176">
        <v>45860</v>
      </c>
      <c r="O2" s="78" t="s">
        <v>400</v>
      </c>
      <c r="P2" s="78" t="s">
        <v>400</v>
      </c>
      <c r="Q2" s="78" t="s">
        <v>400</v>
      </c>
      <c r="R2" s="100" t="s">
        <v>40</v>
      </c>
      <c r="S2" s="78" t="s">
        <v>400</v>
      </c>
      <c r="T2" s="132" t="s">
        <v>459</v>
      </c>
      <c r="U2" s="81">
        <v>45857</v>
      </c>
      <c r="V2" s="49" t="s">
        <v>345</v>
      </c>
      <c r="W2" s="49" t="s">
        <v>345</v>
      </c>
      <c r="X2" s="100" t="s">
        <v>345</v>
      </c>
      <c r="Y2" s="49" t="s">
        <v>345</v>
      </c>
      <c r="Z2" s="49" t="s">
        <v>345</v>
      </c>
      <c r="AA2" s="49" t="s">
        <v>408</v>
      </c>
      <c r="AB2" s="78" t="s">
        <v>400</v>
      </c>
    </row>
    <row r="3" spans="1:28" ht="30" customHeight="1">
      <c r="A3" s="146">
        <v>2</v>
      </c>
      <c r="B3" s="79" t="s">
        <v>87</v>
      </c>
      <c r="C3" s="102">
        <v>45861</v>
      </c>
      <c r="D3" s="102">
        <v>45874</v>
      </c>
      <c r="E3" s="167" t="s">
        <v>218</v>
      </c>
      <c r="F3" s="114" t="s">
        <v>47</v>
      </c>
      <c r="G3" s="193">
        <v>49285</v>
      </c>
      <c r="H3" s="164" t="s">
        <v>460</v>
      </c>
      <c r="I3" s="54" t="s">
        <v>343</v>
      </c>
      <c r="J3" s="114">
        <v>5</v>
      </c>
      <c r="K3" s="100">
        <f t="shared" ref="K3:K9" si="0">L3/4</f>
        <v>8</v>
      </c>
      <c r="L3" s="114">
        <v>32</v>
      </c>
      <c r="M3" s="176">
        <v>45856</v>
      </c>
      <c r="N3" s="181">
        <v>45869</v>
      </c>
      <c r="O3" s="78" t="s">
        <v>335</v>
      </c>
      <c r="P3" s="78" t="s">
        <v>400</v>
      </c>
      <c r="Q3" s="78" t="s">
        <v>400</v>
      </c>
      <c r="R3" s="100" t="s">
        <v>47</v>
      </c>
      <c r="S3" s="78" t="s">
        <v>400</v>
      </c>
      <c r="T3" s="132" t="s">
        <v>461</v>
      </c>
      <c r="U3" s="181">
        <v>45869</v>
      </c>
      <c r="V3" s="81"/>
      <c r="W3" s="100" t="s">
        <v>344</v>
      </c>
      <c r="X3" s="100" t="s">
        <v>345</v>
      </c>
      <c r="Y3" s="100" t="s">
        <v>462</v>
      </c>
      <c r="Z3" s="81"/>
      <c r="AA3" s="49"/>
      <c r="AB3" s="49"/>
    </row>
    <row r="4" spans="1:28" ht="30" customHeight="1">
      <c r="A4" s="146">
        <v>3</v>
      </c>
      <c r="B4" s="79" t="s">
        <v>87</v>
      </c>
      <c r="C4" s="102">
        <v>45861</v>
      </c>
      <c r="D4" s="102">
        <v>45874</v>
      </c>
      <c r="E4" s="167" t="s">
        <v>218</v>
      </c>
      <c r="F4" s="114" t="s">
        <v>40</v>
      </c>
      <c r="G4" s="193">
        <v>49286</v>
      </c>
      <c r="H4" s="180" t="s">
        <v>463</v>
      </c>
      <c r="I4" s="54" t="s">
        <v>343</v>
      </c>
      <c r="J4" s="114">
        <v>8</v>
      </c>
      <c r="K4" s="100">
        <f t="shared" si="0"/>
        <v>7.5</v>
      </c>
      <c r="L4" s="114">
        <v>30</v>
      </c>
      <c r="M4" s="176">
        <v>45860</v>
      </c>
      <c r="N4" s="181">
        <v>45869</v>
      </c>
      <c r="O4" s="78" t="s">
        <v>335</v>
      </c>
      <c r="P4" s="78" t="s">
        <v>400</v>
      </c>
      <c r="Q4" s="78" t="s">
        <v>400</v>
      </c>
      <c r="R4" s="100" t="s">
        <v>47</v>
      </c>
      <c r="S4" s="78" t="s">
        <v>400</v>
      </c>
      <c r="T4" s="132" t="s">
        <v>461</v>
      </c>
      <c r="U4" s="181">
        <v>45869</v>
      </c>
      <c r="V4" s="81"/>
      <c r="W4" s="100" t="s">
        <v>344</v>
      </c>
      <c r="X4" s="100" t="s">
        <v>345</v>
      </c>
      <c r="Y4" s="100" t="s">
        <v>462</v>
      </c>
      <c r="Z4" s="81"/>
      <c r="AA4" s="49"/>
      <c r="AB4" s="49"/>
    </row>
    <row r="5" spans="1:28" ht="30" customHeight="1">
      <c r="A5" s="146">
        <v>4</v>
      </c>
      <c r="B5" s="79" t="s">
        <v>87</v>
      </c>
      <c r="C5" s="102">
        <v>45861</v>
      </c>
      <c r="D5" s="102">
        <v>45874</v>
      </c>
      <c r="E5" s="167" t="s">
        <v>218</v>
      </c>
      <c r="F5" s="114" t="s">
        <v>47</v>
      </c>
      <c r="G5" s="192">
        <v>49005</v>
      </c>
      <c r="H5" s="164" t="s">
        <v>464</v>
      </c>
      <c r="I5" s="54" t="s">
        <v>343</v>
      </c>
      <c r="J5" s="149">
        <v>5</v>
      </c>
      <c r="K5" s="100">
        <f t="shared" si="0"/>
        <v>6</v>
      </c>
      <c r="L5" s="149">
        <v>24</v>
      </c>
      <c r="M5" s="181">
        <v>45833</v>
      </c>
      <c r="N5" s="181">
        <v>45873</v>
      </c>
      <c r="O5" s="78" t="s">
        <v>335</v>
      </c>
      <c r="P5" s="78" t="s">
        <v>400</v>
      </c>
      <c r="Q5" s="78" t="s">
        <v>400</v>
      </c>
      <c r="R5" s="103" t="s">
        <v>40</v>
      </c>
      <c r="S5" s="78" t="s">
        <v>400</v>
      </c>
      <c r="T5" s="22" t="s">
        <v>465</v>
      </c>
      <c r="U5" s="181">
        <v>45873</v>
      </c>
      <c r="V5" s="107"/>
      <c r="W5" s="103"/>
      <c r="X5" s="103"/>
      <c r="Y5" s="103"/>
      <c r="Z5" s="107"/>
      <c r="AA5" s="69"/>
      <c r="AB5" s="69"/>
    </row>
    <row r="6" spans="1:28" ht="30" customHeight="1">
      <c r="A6" s="146">
        <v>5</v>
      </c>
      <c r="B6" s="79" t="s">
        <v>87</v>
      </c>
      <c r="C6" s="102">
        <v>45861</v>
      </c>
      <c r="D6" s="102">
        <v>45874</v>
      </c>
      <c r="E6" s="167" t="s">
        <v>466</v>
      </c>
      <c r="F6" s="114" t="s">
        <v>49</v>
      </c>
      <c r="G6" s="165">
        <v>48742</v>
      </c>
      <c r="H6" s="164" t="s">
        <v>467</v>
      </c>
      <c r="I6" s="54" t="s">
        <v>343</v>
      </c>
      <c r="J6" s="114">
        <v>5</v>
      </c>
      <c r="K6" s="100">
        <f t="shared" si="0"/>
        <v>3.75</v>
      </c>
      <c r="L6" s="114">
        <v>15</v>
      </c>
      <c r="M6" s="176">
        <v>45861</v>
      </c>
      <c r="N6" s="181">
        <v>45865</v>
      </c>
      <c r="O6" s="78" t="s">
        <v>400</v>
      </c>
      <c r="P6" s="103" t="s">
        <v>400</v>
      </c>
      <c r="Q6" s="103" t="s">
        <v>400</v>
      </c>
      <c r="R6" s="103" t="s">
        <v>47</v>
      </c>
      <c r="S6" s="103" t="s">
        <v>400</v>
      </c>
      <c r="T6" s="22" t="s">
        <v>468</v>
      </c>
      <c r="U6" s="181">
        <v>45865</v>
      </c>
      <c r="V6" s="107">
        <v>45867</v>
      </c>
      <c r="W6" s="103" t="s">
        <v>344</v>
      </c>
      <c r="X6" s="103" t="s">
        <v>400</v>
      </c>
      <c r="Y6" s="103" t="s">
        <v>400</v>
      </c>
      <c r="Z6" s="81">
        <v>45867</v>
      </c>
      <c r="AA6" s="69" t="s">
        <v>400</v>
      </c>
      <c r="AB6" s="69" t="s">
        <v>400</v>
      </c>
    </row>
    <row r="7" spans="1:28" ht="30" customHeight="1">
      <c r="A7" s="94">
        <v>6</v>
      </c>
      <c r="B7" s="79" t="s">
        <v>87</v>
      </c>
      <c r="C7" s="102">
        <v>45861</v>
      </c>
      <c r="D7" s="102">
        <v>45874</v>
      </c>
      <c r="E7" s="167" t="s">
        <v>466</v>
      </c>
      <c r="F7" s="114" t="s">
        <v>49</v>
      </c>
      <c r="G7" s="165">
        <v>48743</v>
      </c>
      <c r="H7" s="164" t="s">
        <v>469</v>
      </c>
      <c r="I7" s="177" t="s">
        <v>334</v>
      </c>
      <c r="J7" s="114">
        <v>5</v>
      </c>
      <c r="K7" s="100">
        <f t="shared" si="0"/>
        <v>3</v>
      </c>
      <c r="L7" s="114">
        <v>12</v>
      </c>
      <c r="M7" s="181">
        <v>45869</v>
      </c>
      <c r="N7" s="19"/>
      <c r="O7" s="19"/>
      <c r="P7" s="19"/>
      <c r="Q7" s="19"/>
      <c r="R7" s="19"/>
      <c r="S7" s="19"/>
      <c r="T7" s="19"/>
      <c r="U7" s="19"/>
      <c r="V7" s="19"/>
      <c r="W7" s="19"/>
      <c r="X7" s="19"/>
      <c r="Y7" s="19"/>
      <c r="Z7" s="19"/>
      <c r="AA7" s="19"/>
      <c r="AB7" s="19"/>
    </row>
    <row r="8" spans="1:28" ht="30" customHeight="1">
      <c r="A8" s="94">
        <v>7</v>
      </c>
      <c r="B8" s="79" t="s">
        <v>87</v>
      </c>
      <c r="C8" s="102">
        <v>45861</v>
      </c>
      <c r="D8" s="102">
        <v>45874</v>
      </c>
      <c r="E8" s="167" t="s">
        <v>466</v>
      </c>
      <c r="F8" s="114" t="s">
        <v>40</v>
      </c>
      <c r="G8" s="192">
        <v>49415</v>
      </c>
      <c r="H8" s="164" t="s">
        <v>470</v>
      </c>
      <c r="I8" s="54" t="s">
        <v>343</v>
      </c>
      <c r="J8" s="114">
        <v>5</v>
      </c>
      <c r="K8" s="100">
        <f t="shared" si="0"/>
        <v>4.5</v>
      </c>
      <c r="L8" s="190">
        <v>18</v>
      </c>
      <c r="M8" s="181">
        <v>45869</v>
      </c>
      <c r="N8" s="181">
        <v>45873</v>
      </c>
      <c r="O8" s="78" t="s">
        <v>335</v>
      </c>
      <c r="P8" s="78" t="s">
        <v>400</v>
      </c>
      <c r="Q8" s="78" t="s">
        <v>400</v>
      </c>
      <c r="R8" s="103" t="s">
        <v>47</v>
      </c>
      <c r="S8" s="103" t="s">
        <v>400</v>
      </c>
      <c r="T8" s="22" t="s">
        <v>465</v>
      </c>
      <c r="U8" s="181">
        <v>45873</v>
      </c>
      <c r="V8" s="19"/>
      <c r="W8" s="19"/>
      <c r="X8" s="19"/>
      <c r="Y8" s="19"/>
      <c r="Z8" s="19"/>
      <c r="AA8" s="19"/>
      <c r="AB8" s="19"/>
    </row>
    <row r="9" spans="1:28" ht="30" customHeight="1">
      <c r="A9" s="168">
        <v>8</v>
      </c>
      <c r="B9" s="104" t="s">
        <v>87</v>
      </c>
      <c r="C9" s="105">
        <v>45861</v>
      </c>
      <c r="D9" s="105">
        <v>45874</v>
      </c>
      <c r="E9" s="170" t="s">
        <v>466</v>
      </c>
      <c r="F9" s="149" t="s">
        <v>37</v>
      </c>
      <c r="G9" s="169">
        <v>49307</v>
      </c>
      <c r="H9" s="54" t="s">
        <v>471</v>
      </c>
      <c r="I9" s="178" t="s">
        <v>334</v>
      </c>
      <c r="J9" s="149">
        <v>13</v>
      </c>
      <c r="K9" s="103">
        <f t="shared" si="0"/>
        <v>7.5</v>
      </c>
      <c r="L9" s="191">
        <v>30</v>
      </c>
      <c r="M9" s="19"/>
      <c r="N9" s="19"/>
      <c r="O9" s="19"/>
      <c r="P9" s="19"/>
      <c r="Q9" s="19"/>
      <c r="R9" s="19"/>
      <c r="S9" s="19"/>
      <c r="T9" s="19"/>
      <c r="U9" s="19"/>
      <c r="V9" s="19"/>
      <c r="W9" s="19"/>
      <c r="X9" s="19"/>
      <c r="Y9" s="19"/>
      <c r="Z9" s="19"/>
      <c r="AA9" s="19"/>
      <c r="AB9" s="19"/>
    </row>
  </sheetData>
  <hyperlinks>
    <hyperlink ref="T2" r:id="rId1" xr:uid="{8A7D33DF-0344-4C3C-AF76-84D00285064D}"/>
    <hyperlink ref="T6" r:id="rId2" xr:uid="{6F57174D-C5B0-4E16-9CBA-2A902D9C96C5}"/>
    <hyperlink ref="T4" r:id="rId3" xr:uid="{4E25097F-64C4-452C-9B4E-0A8BDC41FE78}"/>
    <hyperlink ref="T3" r:id="rId4" xr:uid="{29812BF5-83C7-4274-904C-49CBD81277DC}"/>
    <hyperlink ref="T5" r:id="rId5" xr:uid="{A5D83FFD-224A-41F4-A8A7-4DB7CE46A102}"/>
    <hyperlink ref="T8" r:id="rId6" xr:uid="{E2568AC4-8078-4281-9575-38AC0FDB341A}"/>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C2C144E3-B164-487C-996B-D8C9CC1756B9}">
          <x14:formula1>
            <xm:f>Settings!$C$3:$C$20</xm:f>
          </x14:formula1>
          <xm:sqref>I8 I2:I6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07D22-4718-4A3D-9829-8D9EEEE8EFCB}">
  <dimension ref="A1:T11"/>
  <sheetViews>
    <sheetView topLeftCell="F1" workbookViewId="0">
      <selection activeCell="I2" sqref="I2"/>
    </sheetView>
  </sheetViews>
  <sheetFormatPr defaultRowHeight="12.75"/>
  <cols>
    <col min="1" max="1" width="22.42578125" customWidth="1"/>
    <col min="6" max="6" width="57.85546875" customWidth="1"/>
    <col min="9" max="9" width="9.7109375" customWidth="1"/>
    <col min="10" max="10" width="22.85546875" customWidth="1"/>
    <col min="14" max="14" width="15.7109375" customWidth="1"/>
    <col min="15" max="15" width="57.5703125" bestFit="1" customWidth="1"/>
  </cols>
  <sheetData>
    <row r="1" spans="1:20" ht="40.5">
      <c r="A1" s="375" t="s">
        <v>74</v>
      </c>
      <c r="B1" s="375" t="s">
        <v>75</v>
      </c>
      <c r="C1" s="375" t="s">
        <v>76</v>
      </c>
      <c r="D1" s="375" t="s">
        <v>2</v>
      </c>
      <c r="E1" s="375" t="s">
        <v>77</v>
      </c>
      <c r="F1" s="375" t="s">
        <v>78</v>
      </c>
      <c r="G1" s="375" t="s">
        <v>79</v>
      </c>
      <c r="H1" s="375" t="s">
        <v>80</v>
      </c>
      <c r="I1" s="375" t="s">
        <v>81</v>
      </c>
      <c r="J1" s="375" t="s">
        <v>4</v>
      </c>
      <c r="K1" s="375" t="s">
        <v>312</v>
      </c>
      <c r="L1" s="375" t="s">
        <v>313</v>
      </c>
      <c r="M1" s="375" t="s">
        <v>314</v>
      </c>
      <c r="N1" s="376" t="s">
        <v>82</v>
      </c>
      <c r="O1" s="377" t="s">
        <v>5</v>
      </c>
      <c r="P1" s="52"/>
      <c r="Q1" s="52"/>
      <c r="R1" s="52"/>
      <c r="S1" s="52"/>
      <c r="T1" s="52"/>
    </row>
    <row r="2" spans="1:20" ht="24">
      <c r="A2" s="47" t="s">
        <v>288</v>
      </c>
      <c r="B2" s="49">
        <v>26857</v>
      </c>
      <c r="C2" s="12"/>
      <c r="D2" s="49" t="s">
        <v>49</v>
      </c>
      <c r="E2" s="49" t="s">
        <v>394</v>
      </c>
      <c r="F2" s="13" t="s">
        <v>472</v>
      </c>
      <c r="G2" s="340" t="s">
        <v>473</v>
      </c>
      <c r="H2" s="340" t="s">
        <v>353</v>
      </c>
      <c r="I2" s="97" t="s">
        <v>430</v>
      </c>
      <c r="J2" s="399" t="s">
        <v>396</v>
      </c>
      <c r="K2" s="340">
        <v>2</v>
      </c>
      <c r="L2" s="49">
        <f>M2/4</f>
        <v>4</v>
      </c>
      <c r="M2" s="340">
        <v>16</v>
      </c>
      <c r="N2" s="164" t="s">
        <v>474</v>
      </c>
      <c r="O2" s="378" t="s">
        <v>475</v>
      </c>
    </row>
    <row r="3" spans="1:20" ht="17.25" customHeight="1">
      <c r="A3" s="47" t="s">
        <v>452</v>
      </c>
      <c r="B3" s="49">
        <v>26926</v>
      </c>
      <c r="C3" s="12"/>
      <c r="D3" s="49" t="s">
        <v>49</v>
      </c>
      <c r="E3" s="346" t="s">
        <v>394</v>
      </c>
      <c r="F3" s="13" t="s">
        <v>476</v>
      </c>
      <c r="G3" s="69" t="s">
        <v>473</v>
      </c>
      <c r="H3" s="384" t="s">
        <v>353</v>
      </c>
      <c r="I3" s="97" t="s">
        <v>430</v>
      </c>
      <c r="J3" s="194" t="s">
        <v>396</v>
      </c>
      <c r="K3" s="286">
        <v>2</v>
      </c>
      <c r="L3" s="69">
        <f>M3/4</f>
        <v>3.75</v>
      </c>
      <c r="M3" s="130">
        <v>15</v>
      </c>
      <c r="N3" s="164" t="s">
        <v>431</v>
      </c>
      <c r="O3" s="12" t="s">
        <v>477</v>
      </c>
    </row>
    <row r="4" spans="1:20" ht="18.75" customHeight="1">
      <c r="A4" s="47" t="s">
        <v>452</v>
      </c>
      <c r="B4" s="49">
        <v>26957</v>
      </c>
      <c r="C4" s="49"/>
      <c r="D4" s="49" t="s">
        <v>40</v>
      </c>
      <c r="E4" s="49" t="s">
        <v>394</v>
      </c>
      <c r="F4" s="13" t="s">
        <v>478</v>
      </c>
      <c r="G4" s="69" t="s">
        <v>473</v>
      </c>
      <c r="H4" s="69" t="s">
        <v>353</v>
      </c>
      <c r="I4" s="97" t="s">
        <v>430</v>
      </c>
      <c r="J4" s="194" t="s">
        <v>396</v>
      </c>
      <c r="K4" s="69">
        <v>2</v>
      </c>
      <c r="L4" s="69">
        <f>M4/4</f>
        <v>0.25</v>
      </c>
      <c r="M4" s="130">
        <v>1</v>
      </c>
      <c r="N4" s="164" t="s">
        <v>356</v>
      </c>
      <c r="O4" s="12" t="s">
        <v>479</v>
      </c>
    </row>
    <row r="5" spans="1:20" ht="24">
      <c r="A5" s="55" t="s">
        <v>288</v>
      </c>
      <c r="B5" s="69">
        <v>26966</v>
      </c>
      <c r="C5" s="19"/>
      <c r="D5" s="69" t="s">
        <v>40</v>
      </c>
      <c r="E5" s="69" t="s">
        <v>394</v>
      </c>
      <c r="F5" s="13" t="s">
        <v>480</v>
      </c>
      <c r="G5" s="69" t="s">
        <v>473</v>
      </c>
      <c r="H5" s="69" t="s">
        <v>353</v>
      </c>
      <c r="I5" s="97" t="s">
        <v>430</v>
      </c>
      <c r="J5" s="400" t="s">
        <v>396</v>
      </c>
      <c r="K5" s="69" t="s">
        <v>147</v>
      </c>
      <c r="L5" s="69" t="s">
        <v>147</v>
      </c>
      <c r="M5" s="69" t="s">
        <v>147</v>
      </c>
      <c r="N5" s="317" t="s">
        <v>356</v>
      </c>
      <c r="O5" s="19" t="s">
        <v>481</v>
      </c>
    </row>
    <row r="6" spans="1:20" ht="24">
      <c r="A6" s="47" t="s">
        <v>288</v>
      </c>
      <c r="B6" s="49">
        <v>26981</v>
      </c>
      <c r="C6" s="12"/>
      <c r="D6" s="49" t="s">
        <v>336</v>
      </c>
      <c r="E6" s="346" t="s">
        <v>394</v>
      </c>
      <c r="F6" s="13" t="s">
        <v>482</v>
      </c>
      <c r="G6" s="346" t="s">
        <v>473</v>
      </c>
      <c r="H6" s="346" t="s">
        <v>353</v>
      </c>
      <c r="I6" s="97" t="s">
        <v>430</v>
      </c>
      <c r="J6" s="272" t="s">
        <v>396</v>
      </c>
      <c r="K6" s="49" t="s">
        <v>147</v>
      </c>
      <c r="L6" s="49" t="s">
        <v>147</v>
      </c>
      <c r="M6" s="49" t="s">
        <v>147</v>
      </c>
      <c r="N6" s="164" t="s">
        <v>356</v>
      </c>
      <c r="O6" s="12" t="s">
        <v>483</v>
      </c>
    </row>
    <row r="7" spans="1:20" ht="24">
      <c r="A7" s="387" t="s">
        <v>288</v>
      </c>
      <c r="B7" s="64">
        <v>27017</v>
      </c>
      <c r="C7" s="388"/>
      <c r="D7" s="389" t="s">
        <v>40</v>
      </c>
      <c r="E7" s="390" t="s">
        <v>394</v>
      </c>
      <c r="F7" s="13" t="s">
        <v>484</v>
      </c>
      <c r="G7" s="64" t="s">
        <v>473</v>
      </c>
      <c r="H7" s="391" t="s">
        <v>353</v>
      </c>
      <c r="I7" s="97" t="s">
        <v>430</v>
      </c>
      <c r="J7" s="401" t="s">
        <v>396</v>
      </c>
      <c r="K7" s="64" t="s">
        <v>147</v>
      </c>
      <c r="L7" s="64" t="s">
        <v>147</v>
      </c>
      <c r="M7" s="64" t="s">
        <v>147</v>
      </c>
      <c r="N7" s="392" t="s">
        <v>356</v>
      </c>
      <c r="O7" s="388" t="s">
        <v>479</v>
      </c>
    </row>
    <row r="8" spans="1:20" ht="24">
      <c r="A8" s="55" t="s">
        <v>288</v>
      </c>
      <c r="B8" s="69">
        <v>27041</v>
      </c>
      <c r="C8" s="19"/>
      <c r="D8" s="130" t="s">
        <v>40</v>
      </c>
      <c r="E8" s="393" t="s">
        <v>394</v>
      </c>
      <c r="F8" s="140" t="s">
        <v>485</v>
      </c>
      <c r="G8" s="69" t="s">
        <v>473</v>
      </c>
      <c r="H8" s="286" t="s">
        <v>353</v>
      </c>
      <c r="I8" s="97" t="s">
        <v>430</v>
      </c>
      <c r="J8" s="400" t="s">
        <v>396</v>
      </c>
      <c r="K8" s="69" t="s">
        <v>147</v>
      </c>
      <c r="L8" s="69" t="s">
        <v>147</v>
      </c>
      <c r="M8" s="69" t="s">
        <v>147</v>
      </c>
      <c r="N8" s="317" t="s">
        <v>356</v>
      </c>
      <c r="O8" s="19" t="s">
        <v>479</v>
      </c>
    </row>
    <row r="9" spans="1:20" ht="24">
      <c r="A9" s="47" t="s">
        <v>452</v>
      </c>
      <c r="B9" s="49">
        <v>26863</v>
      </c>
      <c r="C9" s="12"/>
      <c r="D9" s="49" t="s">
        <v>40</v>
      </c>
      <c r="E9" s="346" t="s">
        <v>394</v>
      </c>
      <c r="F9" s="13" t="s">
        <v>486</v>
      </c>
      <c r="G9" s="49" t="s">
        <v>473</v>
      </c>
      <c r="H9" s="49" t="s">
        <v>353</v>
      </c>
      <c r="I9" s="97" t="s">
        <v>430</v>
      </c>
      <c r="J9" s="400" t="s">
        <v>396</v>
      </c>
      <c r="K9" s="49">
        <v>5</v>
      </c>
      <c r="L9" s="49">
        <f>M9/4</f>
        <v>3</v>
      </c>
      <c r="M9" s="49">
        <v>12</v>
      </c>
      <c r="N9" s="164" t="s">
        <v>356</v>
      </c>
      <c r="O9" s="12" t="s">
        <v>479</v>
      </c>
    </row>
    <row r="10" spans="1:20" ht="24">
      <c r="A10" s="47" t="s">
        <v>452</v>
      </c>
      <c r="B10" s="49">
        <v>27070</v>
      </c>
      <c r="C10" s="12"/>
      <c r="D10" s="49" t="s">
        <v>40</v>
      </c>
      <c r="E10" s="346" t="s">
        <v>394</v>
      </c>
      <c r="F10" s="13" t="s">
        <v>487</v>
      </c>
      <c r="G10" s="49" t="s">
        <v>473</v>
      </c>
      <c r="H10" s="49" t="s">
        <v>353</v>
      </c>
      <c r="I10" s="97" t="s">
        <v>430</v>
      </c>
      <c r="J10" s="272" t="s">
        <v>396</v>
      </c>
      <c r="K10" s="49">
        <v>2</v>
      </c>
      <c r="L10" s="49">
        <f>M10/4</f>
        <v>1.5</v>
      </c>
      <c r="M10" s="49">
        <v>6</v>
      </c>
      <c r="N10" s="164" t="s">
        <v>356</v>
      </c>
      <c r="O10" s="12" t="s">
        <v>479</v>
      </c>
    </row>
    <row r="11" spans="1:20" ht="24">
      <c r="A11" s="47" t="s">
        <v>288</v>
      </c>
      <c r="B11" s="49">
        <v>27007</v>
      </c>
      <c r="C11" s="12"/>
      <c r="D11" s="49" t="s">
        <v>40</v>
      </c>
      <c r="E11" s="346" t="s">
        <v>394</v>
      </c>
      <c r="F11" s="13" t="s">
        <v>488</v>
      </c>
      <c r="G11" s="49" t="s">
        <v>473</v>
      </c>
      <c r="H11" s="49" t="s">
        <v>353</v>
      </c>
      <c r="I11" s="97" t="s">
        <v>430</v>
      </c>
      <c r="J11" s="272" t="s">
        <v>396</v>
      </c>
      <c r="K11" s="49" t="s">
        <v>147</v>
      </c>
      <c r="L11" s="49" t="s">
        <v>147</v>
      </c>
      <c r="M11" s="49" t="s">
        <v>147</v>
      </c>
      <c r="N11" s="164" t="s">
        <v>356</v>
      </c>
      <c r="O11" s="12" t="s">
        <v>479</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A4336579-CDD7-4605-9890-7FE3D30B54BC}">
          <x14:formula1>
            <xm:f>Settings!$C$3:$C$20</xm:f>
          </x14:formula1>
          <xm:sqref>J2:J11</xm:sqref>
        </x14:dataValidation>
        <x14:dataValidation type="list" allowBlank="1" showErrorMessage="1" xr:uid="{2AA2E32E-8FEB-4254-81D6-85CDF5A28257}">
          <x14:formula1>
            <xm:f>Details!$A$2:$A$10</xm:f>
          </x14:formula1>
          <xm:sqref>N2:N11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614F-55FF-4295-9F51-28D29B348FC6}">
  <dimension ref="A1:AE6"/>
  <sheetViews>
    <sheetView topLeftCell="H1" workbookViewId="0">
      <selection activeCell="Q10" sqref="Q10"/>
    </sheetView>
  </sheetViews>
  <sheetFormatPr defaultRowHeight="25.5" customHeight="1"/>
  <cols>
    <col min="1" max="1" width="9.140625" style="285"/>
    <col min="2" max="2" width="12.5703125" style="285" customWidth="1"/>
    <col min="3" max="3" width="13.5703125" style="285" customWidth="1"/>
    <col min="4" max="4" width="13" style="285" customWidth="1"/>
    <col min="5" max="5" width="20.42578125" style="285" customWidth="1"/>
    <col min="6" max="6" width="9.140625" style="285"/>
    <col min="7" max="7" width="11" style="285" bestFit="1" customWidth="1"/>
    <col min="8" max="8" width="59.28515625" style="285" customWidth="1"/>
    <col min="9" max="9" width="25.5703125" style="285" customWidth="1"/>
    <col min="10" max="12" width="9.140625" style="285"/>
    <col min="13" max="13" width="10" style="285" customWidth="1"/>
    <col min="14" max="14" width="10.5703125" style="285" customWidth="1"/>
    <col min="15" max="16" width="9.140625" style="285"/>
    <col min="17" max="17" width="54" style="285" customWidth="1"/>
    <col min="18" max="19" width="9.140625" style="285"/>
    <col min="20" max="20" width="48.85546875" style="285" customWidth="1"/>
    <col min="21" max="21" width="11.42578125" style="285" customWidth="1"/>
    <col min="22" max="22" width="9.5703125" style="285" bestFit="1" customWidth="1"/>
    <col min="23" max="25" width="9.140625" style="285"/>
    <col min="26" max="26" width="9.85546875" style="285" customWidth="1"/>
    <col min="27" max="27" width="9.140625" style="285"/>
    <col min="28" max="28" width="23.7109375" style="285" customWidth="1"/>
    <col min="29" max="29" width="9.140625" style="285"/>
    <col min="30" max="30" width="23.28515625" style="285" customWidth="1"/>
    <col min="31" max="31" width="25.85546875" style="285" customWidth="1"/>
  </cols>
  <sheetData>
    <row r="1" spans="1:31" ht="53.25">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348" t="s">
        <v>5</v>
      </c>
      <c r="AE1" s="45" t="s">
        <v>332</v>
      </c>
    </row>
    <row r="2" spans="1:31" ht="25.5" customHeight="1">
      <c r="A2" s="114">
        <v>1</v>
      </c>
      <c r="B2" s="114" t="s">
        <v>87</v>
      </c>
      <c r="C2" s="292">
        <v>46071</v>
      </c>
      <c r="D2" s="292">
        <v>46084</v>
      </c>
      <c r="E2" s="47" t="s">
        <v>282</v>
      </c>
      <c r="F2" s="114" t="s">
        <v>40</v>
      </c>
      <c r="G2" s="114">
        <v>48560</v>
      </c>
      <c r="H2" s="114" t="s">
        <v>489</v>
      </c>
      <c r="I2" s="47" t="s">
        <v>358</v>
      </c>
      <c r="J2" s="114">
        <v>3</v>
      </c>
      <c r="K2" s="114">
        <f>L2/4</f>
        <v>1.5</v>
      </c>
      <c r="L2" s="114">
        <v>6</v>
      </c>
      <c r="M2" s="176">
        <v>46058</v>
      </c>
      <c r="N2" s="176">
        <v>46064</v>
      </c>
      <c r="O2" s="114" t="s">
        <v>335</v>
      </c>
      <c r="P2" s="114" t="s">
        <v>336</v>
      </c>
      <c r="Q2" s="114" t="s">
        <v>400</v>
      </c>
      <c r="R2" s="114" t="s">
        <v>336</v>
      </c>
      <c r="S2" s="114" t="s">
        <v>400</v>
      </c>
      <c r="T2" s="48" t="s">
        <v>490</v>
      </c>
      <c r="U2" s="176">
        <v>46064</v>
      </c>
      <c r="V2" s="176">
        <v>46076</v>
      </c>
      <c r="W2" s="114" t="s">
        <v>344</v>
      </c>
      <c r="X2" s="114" t="s">
        <v>345</v>
      </c>
      <c r="Y2" s="114" t="s">
        <v>344</v>
      </c>
      <c r="Z2" s="176">
        <v>46076</v>
      </c>
      <c r="AA2" s="114" t="s">
        <v>345</v>
      </c>
      <c r="AB2" s="114" t="s">
        <v>491</v>
      </c>
      <c r="AC2" s="114" t="s">
        <v>345</v>
      </c>
      <c r="AD2" s="114" t="s">
        <v>492</v>
      </c>
      <c r="AE2" s="114" t="s">
        <v>340</v>
      </c>
    </row>
    <row r="3" spans="1:31" ht="25.5" customHeight="1">
      <c r="A3" s="114">
        <v>2</v>
      </c>
      <c r="B3" s="114" t="s">
        <v>87</v>
      </c>
      <c r="C3" s="292">
        <v>46071</v>
      </c>
      <c r="D3" s="292">
        <v>46084</v>
      </c>
      <c r="E3" s="47" t="s">
        <v>282</v>
      </c>
      <c r="F3" s="114" t="s">
        <v>40</v>
      </c>
      <c r="G3" s="114">
        <v>51889</v>
      </c>
      <c r="H3" s="114" t="s">
        <v>493</v>
      </c>
      <c r="I3" s="47" t="s">
        <v>358</v>
      </c>
      <c r="J3" s="114">
        <v>2</v>
      </c>
      <c r="K3" s="114">
        <f t="shared" ref="K3:K6" si="0">L3/4</f>
        <v>0.75</v>
      </c>
      <c r="L3" s="114">
        <v>3</v>
      </c>
      <c r="M3" s="176">
        <v>46065</v>
      </c>
      <c r="N3" s="176">
        <v>46069</v>
      </c>
      <c r="O3" s="114" t="s">
        <v>335</v>
      </c>
      <c r="P3" s="114" t="s">
        <v>344</v>
      </c>
      <c r="Q3" s="49" t="s">
        <v>400</v>
      </c>
      <c r="R3" s="114" t="s">
        <v>344</v>
      </c>
      <c r="S3" s="49" t="s">
        <v>400</v>
      </c>
      <c r="T3" s="48" t="s">
        <v>494</v>
      </c>
      <c r="U3" s="176">
        <v>46069</v>
      </c>
      <c r="V3" s="176">
        <v>46077</v>
      </c>
      <c r="W3" s="114" t="s">
        <v>344</v>
      </c>
      <c r="X3" s="114" t="s">
        <v>345</v>
      </c>
      <c r="Y3" s="114" t="s">
        <v>344</v>
      </c>
      <c r="Z3" s="176">
        <v>46077</v>
      </c>
      <c r="AA3" s="114" t="s">
        <v>345</v>
      </c>
      <c r="AB3" s="114" t="s">
        <v>345</v>
      </c>
      <c r="AC3" s="114" t="s">
        <v>345</v>
      </c>
      <c r="AD3" s="114" t="s">
        <v>492</v>
      </c>
      <c r="AE3" s="114" t="s">
        <v>340</v>
      </c>
    </row>
    <row r="4" spans="1:31" ht="64.5" customHeight="1">
      <c r="A4" s="114">
        <v>3</v>
      </c>
      <c r="B4" s="114" t="s">
        <v>87</v>
      </c>
      <c r="C4" s="292">
        <v>46071</v>
      </c>
      <c r="D4" s="292">
        <v>46084</v>
      </c>
      <c r="E4" s="78" t="s">
        <v>282</v>
      </c>
      <c r="F4" s="114" t="s">
        <v>336</v>
      </c>
      <c r="G4" s="114">
        <v>48557</v>
      </c>
      <c r="H4" s="114" t="s">
        <v>495</v>
      </c>
      <c r="I4" s="47" t="s">
        <v>358</v>
      </c>
      <c r="J4" s="114">
        <v>3</v>
      </c>
      <c r="K4" s="114">
        <f t="shared" si="0"/>
        <v>2.125</v>
      </c>
      <c r="L4" s="114">
        <v>8.5</v>
      </c>
      <c r="M4" s="327">
        <v>46072</v>
      </c>
      <c r="N4" s="327">
        <v>46078</v>
      </c>
      <c r="O4" s="114" t="s">
        <v>335</v>
      </c>
      <c r="P4" s="114" t="s">
        <v>349</v>
      </c>
      <c r="Q4" s="374" t="s">
        <v>496</v>
      </c>
      <c r="R4" s="114" t="s">
        <v>49</v>
      </c>
      <c r="S4" s="114" t="s">
        <v>400</v>
      </c>
      <c r="T4" s="48" t="s">
        <v>497</v>
      </c>
      <c r="U4" s="176">
        <v>46073</v>
      </c>
      <c r="V4" s="176">
        <v>46079</v>
      </c>
      <c r="W4" s="114" t="s">
        <v>344</v>
      </c>
      <c r="X4" s="114" t="s">
        <v>345</v>
      </c>
      <c r="Y4" s="114" t="s">
        <v>344</v>
      </c>
      <c r="Z4" s="176">
        <v>46079</v>
      </c>
      <c r="AA4" s="114" t="s">
        <v>345</v>
      </c>
      <c r="AB4" s="114" t="s">
        <v>345</v>
      </c>
      <c r="AC4" s="114" t="s">
        <v>498</v>
      </c>
      <c r="AD4" s="114" t="s">
        <v>408</v>
      </c>
      <c r="AE4" s="114" t="s">
        <v>340</v>
      </c>
    </row>
    <row r="5" spans="1:31" ht="25.5" customHeight="1">
      <c r="A5" s="114">
        <v>4</v>
      </c>
      <c r="B5" s="114" t="s">
        <v>87</v>
      </c>
      <c r="C5" s="292">
        <v>46071</v>
      </c>
      <c r="D5" s="292">
        <v>46084</v>
      </c>
      <c r="E5" s="47" t="s">
        <v>499</v>
      </c>
      <c r="F5" s="100" t="s">
        <v>49</v>
      </c>
      <c r="G5" s="100">
        <v>51981</v>
      </c>
      <c r="H5" s="100" t="s">
        <v>500</v>
      </c>
      <c r="I5" s="47" t="s">
        <v>358</v>
      </c>
      <c r="J5" s="114">
        <v>5</v>
      </c>
      <c r="K5" s="114">
        <f>L5/4</f>
        <v>5.25</v>
      </c>
      <c r="L5" s="114">
        <v>21</v>
      </c>
      <c r="M5" s="176">
        <v>46071</v>
      </c>
      <c r="N5" s="176">
        <v>46073</v>
      </c>
      <c r="O5" s="114" t="s">
        <v>335</v>
      </c>
      <c r="P5" s="114" t="s">
        <v>40</v>
      </c>
      <c r="Q5" s="114" t="s">
        <v>400</v>
      </c>
      <c r="R5" s="114" t="s">
        <v>438</v>
      </c>
      <c r="S5" s="114" t="s">
        <v>400</v>
      </c>
      <c r="T5" s="48" t="s">
        <v>501</v>
      </c>
      <c r="U5" s="176">
        <v>46073</v>
      </c>
      <c r="V5" s="176">
        <v>46080</v>
      </c>
      <c r="W5" s="114" t="s">
        <v>344</v>
      </c>
      <c r="X5" s="114" t="s">
        <v>345</v>
      </c>
      <c r="Y5" s="114" t="s">
        <v>147</v>
      </c>
      <c r="Z5" s="176">
        <v>46080</v>
      </c>
      <c r="AA5" s="114" t="s">
        <v>345</v>
      </c>
      <c r="AB5" s="114" t="s">
        <v>345</v>
      </c>
      <c r="AC5" s="114" t="s">
        <v>345</v>
      </c>
      <c r="AD5" s="114" t="s">
        <v>408</v>
      </c>
      <c r="AE5" s="114" t="s">
        <v>340</v>
      </c>
    </row>
    <row r="6" spans="1:31" ht="25.5" customHeight="1">
      <c r="A6" s="114">
        <v>5</v>
      </c>
      <c r="B6" s="114" t="s">
        <v>87</v>
      </c>
      <c r="C6" s="327">
        <v>46071</v>
      </c>
      <c r="D6" s="327">
        <v>46084</v>
      </c>
      <c r="E6" s="47" t="s">
        <v>499</v>
      </c>
      <c r="F6" s="114" t="s">
        <v>40</v>
      </c>
      <c r="G6" s="114">
        <v>51850</v>
      </c>
      <c r="H6" s="114" t="s">
        <v>502</v>
      </c>
      <c r="I6" s="47" t="s">
        <v>358</v>
      </c>
      <c r="J6" s="114">
        <v>2</v>
      </c>
      <c r="K6" s="114">
        <f t="shared" si="0"/>
        <v>1.5</v>
      </c>
      <c r="L6" s="114">
        <v>6</v>
      </c>
      <c r="M6" s="176">
        <v>46071</v>
      </c>
      <c r="N6" s="176">
        <v>46071</v>
      </c>
      <c r="O6" s="114" t="s">
        <v>335</v>
      </c>
      <c r="P6" s="114" t="s">
        <v>349</v>
      </c>
      <c r="Q6" s="114" t="s">
        <v>400</v>
      </c>
      <c r="R6" s="114" t="s">
        <v>336</v>
      </c>
      <c r="S6" s="114" t="s">
        <v>400</v>
      </c>
      <c r="T6" s="48" t="s">
        <v>503</v>
      </c>
      <c r="U6" s="176">
        <v>46071</v>
      </c>
      <c r="V6" s="176">
        <v>46072</v>
      </c>
      <c r="W6" s="114" t="s">
        <v>344</v>
      </c>
      <c r="X6" s="114" t="s">
        <v>345</v>
      </c>
      <c r="Y6" s="114" t="s">
        <v>344</v>
      </c>
      <c r="Z6" s="176">
        <v>46072</v>
      </c>
      <c r="AA6" s="114" t="s">
        <v>345</v>
      </c>
      <c r="AB6" s="114" t="s">
        <v>504</v>
      </c>
      <c r="AC6" s="114" t="s">
        <v>345</v>
      </c>
      <c r="AD6" s="114" t="s">
        <v>345</v>
      </c>
      <c r="AE6" s="114" t="s">
        <v>436</v>
      </c>
    </row>
  </sheetData>
  <dataValidations count="1">
    <dataValidation type="list" allowBlank="1" showInputMessage="1" showErrorMessage="1" sqref="AE2:AE6" xr:uid="{54515DC4-1CBD-4782-B007-5FD4B1F362F5}">
      <formula1>"Exceeds Expectation, Meets Expectation, Needs Improvement"</formula1>
    </dataValidation>
  </dataValidations>
  <hyperlinks>
    <hyperlink ref="T2" r:id="rId1" xr:uid="{DE62E52A-5507-4C71-96B0-99224B71BACB}"/>
    <hyperlink ref="T3" r:id="rId2" xr:uid="{141EF637-2E38-4ED6-8B52-195877A17788}"/>
    <hyperlink ref="T6" r:id="rId3" xr:uid="{A4F58C11-1251-4FBA-BCE6-CE9D6E32C5AE}"/>
    <hyperlink ref="T4" r:id="rId4" xr:uid="{BDA2864C-4D7F-42F3-A711-4952E42A3241}"/>
    <hyperlink ref="T5" r:id="rId5" xr:uid="{255BCD46-7CC1-4534-81AE-BBDE6CA5C98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EB7E851-5EEE-4434-A721-1A403CAC9AC4}">
          <x14:formula1>
            <xm:f>Settings!$C$3:$C$20</xm:f>
          </x14:formula1>
          <xm:sqref>I2:I6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5FDD-21A2-456C-970F-E85E390544AF}">
  <dimension ref="A1:T7"/>
  <sheetViews>
    <sheetView workbookViewId="0">
      <selection activeCell="O3" sqref="O3"/>
    </sheetView>
  </sheetViews>
  <sheetFormatPr defaultRowHeight="12.75"/>
  <cols>
    <col min="1" max="1" width="22.42578125" customWidth="1"/>
    <col min="6" max="6" width="53.28515625" customWidth="1"/>
    <col min="10" max="10" width="22.85546875" customWidth="1"/>
    <col min="14" max="14" width="15.7109375" customWidth="1"/>
    <col min="15" max="15" width="52.140625" customWidth="1"/>
  </cols>
  <sheetData>
    <row r="1" spans="1:20" ht="40.5">
      <c r="A1" s="375" t="s">
        <v>74</v>
      </c>
      <c r="B1" s="375" t="s">
        <v>75</v>
      </c>
      <c r="C1" s="375" t="s">
        <v>76</v>
      </c>
      <c r="D1" s="375" t="s">
        <v>2</v>
      </c>
      <c r="E1" s="375" t="s">
        <v>77</v>
      </c>
      <c r="F1" s="375" t="s">
        <v>78</v>
      </c>
      <c r="G1" s="375" t="s">
        <v>79</v>
      </c>
      <c r="H1" s="375" t="s">
        <v>80</v>
      </c>
      <c r="I1" s="375" t="s">
        <v>81</v>
      </c>
      <c r="J1" s="375" t="s">
        <v>4</v>
      </c>
      <c r="K1" s="375" t="s">
        <v>312</v>
      </c>
      <c r="L1" s="375" t="s">
        <v>313</v>
      </c>
      <c r="M1" s="375" t="s">
        <v>314</v>
      </c>
      <c r="N1" s="376" t="s">
        <v>82</v>
      </c>
      <c r="O1" s="377" t="s">
        <v>5</v>
      </c>
      <c r="P1" s="52"/>
      <c r="Q1" s="52"/>
      <c r="R1" s="52"/>
      <c r="S1" s="52"/>
      <c r="T1" s="52"/>
    </row>
    <row r="2" spans="1:20" s="15" customFormat="1" ht="36">
      <c r="A2" s="305" t="s">
        <v>282</v>
      </c>
      <c r="B2" s="361">
        <v>26744</v>
      </c>
      <c r="C2" s="378"/>
      <c r="D2" s="340" t="s">
        <v>40</v>
      </c>
      <c r="E2" s="340" t="s">
        <v>394</v>
      </c>
      <c r="F2" s="378" t="s">
        <v>505</v>
      </c>
      <c r="G2" s="340" t="s">
        <v>473</v>
      </c>
      <c r="H2" s="340" t="s">
        <v>353</v>
      </c>
      <c r="I2" s="114" t="s">
        <v>354</v>
      </c>
      <c r="J2" s="379" t="s">
        <v>396</v>
      </c>
      <c r="K2" s="380">
        <v>1</v>
      </c>
      <c r="L2" s="340">
        <v>1.75</v>
      </c>
      <c r="M2" s="340">
        <v>7</v>
      </c>
      <c r="N2" s="380" t="s">
        <v>356</v>
      </c>
      <c r="O2" s="361" t="s">
        <v>506</v>
      </c>
    </row>
    <row r="3" spans="1:20" ht="24">
      <c r="A3" s="78" t="s">
        <v>282</v>
      </c>
      <c r="B3" s="49">
        <v>26797</v>
      </c>
      <c r="C3" s="49"/>
      <c r="D3" s="49" t="s">
        <v>336</v>
      </c>
      <c r="E3" s="49" t="s">
        <v>394</v>
      </c>
      <c r="F3" s="14" t="s">
        <v>507</v>
      </c>
      <c r="G3" s="114" t="s">
        <v>473</v>
      </c>
      <c r="H3" s="114" t="s">
        <v>353</v>
      </c>
      <c r="I3" s="114" t="s">
        <v>430</v>
      </c>
      <c r="J3" s="47" t="s">
        <v>396</v>
      </c>
      <c r="K3" s="49">
        <v>2</v>
      </c>
      <c r="L3" s="49">
        <f>M3/4</f>
        <v>1.5</v>
      </c>
      <c r="M3" s="49">
        <v>6</v>
      </c>
      <c r="N3" s="164" t="s">
        <v>356</v>
      </c>
      <c r="O3" s="114" t="s">
        <v>506</v>
      </c>
    </row>
    <row r="4" spans="1:20">
      <c r="B4" s="52"/>
      <c r="D4" s="52"/>
      <c r="E4" s="52"/>
      <c r="F4" s="15"/>
      <c r="G4" s="52"/>
      <c r="H4" s="52"/>
      <c r="I4" s="52"/>
      <c r="J4" s="381"/>
    </row>
    <row r="5" spans="1:20">
      <c r="B5" s="52"/>
      <c r="D5" s="52"/>
      <c r="E5" s="52"/>
      <c r="F5" s="15"/>
      <c r="G5" s="52"/>
      <c r="H5" s="52"/>
      <c r="I5" s="52"/>
    </row>
    <row r="7" spans="1:20">
      <c r="F7" s="31"/>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B7B7BD0-7616-4C68-8141-4AFE6510BAB6}">
          <x14:formula1>
            <xm:f>Details!$A$2:$A$10</xm:f>
          </x14:formula1>
          <xm:sqref>N2:N3</xm:sqref>
        </x14:dataValidation>
        <x14:dataValidation type="list" allowBlank="1" showErrorMessage="1" xr:uid="{4582621A-C0DC-499C-B2C7-B49A8C7B75E6}">
          <x14:formula1>
            <xm:f>Settings!$C$3:$C$20</xm:f>
          </x14:formula1>
          <xm:sqref>J2:J4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8E598-BE4E-40DC-AC88-9F1FF8702CC8}">
  <dimension ref="A1:AE7"/>
  <sheetViews>
    <sheetView workbookViewId="0">
      <selection activeCell="G4" sqref="G4"/>
    </sheetView>
  </sheetViews>
  <sheetFormatPr defaultRowHeight="12.75"/>
  <cols>
    <col min="1" max="1" width="9.140625" style="285"/>
    <col min="2" max="2" width="12.5703125" style="285" customWidth="1"/>
    <col min="3" max="3" width="13.5703125" style="285" customWidth="1"/>
    <col min="4" max="4" width="13" style="285" customWidth="1"/>
    <col min="5" max="5" width="23.140625" style="285" customWidth="1"/>
    <col min="6" max="7" width="9.140625" style="285"/>
    <col min="8" max="8" width="68.5703125" style="285" customWidth="1"/>
    <col min="9" max="9" width="25.5703125" style="285" customWidth="1"/>
    <col min="10" max="12" width="9.140625" style="285"/>
    <col min="13" max="13" width="10" style="285" customWidth="1"/>
    <col min="14" max="14" width="10.5703125" style="285" customWidth="1"/>
    <col min="15" max="19" width="9.140625" style="285"/>
    <col min="20" max="20" width="48.85546875" style="285" customWidth="1"/>
    <col min="21" max="21" width="11.42578125" style="285" customWidth="1"/>
    <col min="22" max="22" width="9.5703125" style="285" bestFit="1" customWidth="1"/>
    <col min="23" max="25" width="9.140625" style="285"/>
    <col min="26" max="26" width="9.85546875" style="285" customWidth="1"/>
    <col min="27" max="27" width="9.140625" style="285"/>
    <col min="28" max="28" width="23.7109375" style="285" customWidth="1"/>
    <col min="29" max="29" width="9.140625" style="285"/>
    <col min="30" max="30" width="23.28515625" style="285" customWidth="1"/>
    <col min="31" max="31" width="25.85546875" style="285" customWidth="1"/>
  </cols>
  <sheetData>
    <row r="1" spans="1:31" ht="53.25">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348" t="s">
        <v>5</v>
      </c>
      <c r="AE1" s="45" t="s">
        <v>332</v>
      </c>
    </row>
    <row r="2" spans="1:31" ht="27">
      <c r="A2" s="79">
        <v>1</v>
      </c>
      <c r="B2" s="79" t="s">
        <v>87</v>
      </c>
      <c r="C2" s="292">
        <v>46057</v>
      </c>
      <c r="D2" s="292">
        <v>46070</v>
      </c>
      <c r="E2" s="78" t="s">
        <v>277</v>
      </c>
      <c r="F2" s="100" t="s">
        <v>40</v>
      </c>
      <c r="G2" s="100">
        <v>51516</v>
      </c>
      <c r="H2" s="79" t="s">
        <v>508</v>
      </c>
      <c r="I2" s="272" t="s">
        <v>358</v>
      </c>
      <c r="J2" s="114">
        <v>2</v>
      </c>
      <c r="K2" s="114">
        <f>L2/4</f>
        <v>1.25</v>
      </c>
      <c r="L2" s="114">
        <v>5</v>
      </c>
      <c r="M2" s="176">
        <v>46049</v>
      </c>
      <c r="N2" s="176">
        <v>46051</v>
      </c>
      <c r="O2" s="78" t="s">
        <v>359</v>
      </c>
      <c r="P2" s="78" t="s">
        <v>49</v>
      </c>
      <c r="Q2" s="78" t="s">
        <v>400</v>
      </c>
      <c r="R2" s="78" t="s">
        <v>49</v>
      </c>
      <c r="S2" s="78" t="s">
        <v>400</v>
      </c>
      <c r="T2" s="48" t="s">
        <v>509</v>
      </c>
      <c r="U2" s="176">
        <v>46051</v>
      </c>
      <c r="V2" s="176">
        <v>46052</v>
      </c>
      <c r="W2" s="114" t="s">
        <v>344</v>
      </c>
      <c r="X2" s="49" t="s">
        <v>400</v>
      </c>
      <c r="Y2" s="114" t="s">
        <v>344</v>
      </c>
      <c r="Z2" s="176">
        <v>46052</v>
      </c>
      <c r="AA2" s="49" t="s">
        <v>400</v>
      </c>
      <c r="AB2" s="49" t="s">
        <v>400</v>
      </c>
      <c r="AC2" s="49" t="s">
        <v>400</v>
      </c>
      <c r="AD2" s="49" t="s">
        <v>400</v>
      </c>
      <c r="AE2" s="114" t="s">
        <v>340</v>
      </c>
    </row>
    <row r="3" spans="1:31" ht="29.25" customHeight="1">
      <c r="A3" s="114">
        <v>2</v>
      </c>
      <c r="B3" s="79" t="s">
        <v>87</v>
      </c>
      <c r="C3" s="292">
        <v>46057</v>
      </c>
      <c r="D3" s="292">
        <v>46070</v>
      </c>
      <c r="E3" s="78" t="s">
        <v>277</v>
      </c>
      <c r="F3" s="100" t="s">
        <v>40</v>
      </c>
      <c r="G3" s="114">
        <v>51550</v>
      </c>
      <c r="H3" s="114" t="s">
        <v>510</v>
      </c>
      <c r="I3" s="272" t="s">
        <v>358</v>
      </c>
      <c r="J3" s="114">
        <v>1</v>
      </c>
      <c r="K3" s="114">
        <f t="shared" ref="K3:K4" si="0">L3/4</f>
        <v>0.75</v>
      </c>
      <c r="L3" s="114">
        <v>3</v>
      </c>
      <c r="M3" s="176">
        <v>46052</v>
      </c>
      <c r="N3" s="176">
        <v>46052</v>
      </c>
      <c r="O3" s="78" t="s">
        <v>359</v>
      </c>
      <c r="P3" s="78" t="s">
        <v>49</v>
      </c>
      <c r="Q3" s="78" t="s">
        <v>400</v>
      </c>
      <c r="R3" s="78" t="s">
        <v>49</v>
      </c>
      <c r="S3" s="78" t="s">
        <v>400</v>
      </c>
      <c r="T3" s="48" t="s">
        <v>511</v>
      </c>
      <c r="U3" s="176">
        <v>46051</v>
      </c>
      <c r="V3" s="176">
        <v>46057</v>
      </c>
      <c r="W3" s="114" t="s">
        <v>344</v>
      </c>
      <c r="X3" s="49" t="s">
        <v>400</v>
      </c>
      <c r="Y3" s="114" t="s">
        <v>344</v>
      </c>
      <c r="Z3" s="176">
        <v>46057</v>
      </c>
      <c r="AA3" s="49" t="s">
        <v>400</v>
      </c>
      <c r="AB3" s="49" t="s">
        <v>400</v>
      </c>
      <c r="AC3" s="49" t="s">
        <v>400</v>
      </c>
      <c r="AD3" s="49" t="s">
        <v>400</v>
      </c>
      <c r="AE3" s="114" t="s">
        <v>340</v>
      </c>
    </row>
    <row r="4" spans="1:31" ht="27.75" customHeight="1">
      <c r="A4" s="149">
        <v>3</v>
      </c>
      <c r="B4" s="104" t="s">
        <v>87</v>
      </c>
      <c r="C4" s="277">
        <v>46057</v>
      </c>
      <c r="D4" s="277">
        <v>46070</v>
      </c>
      <c r="E4" s="106" t="s">
        <v>277</v>
      </c>
      <c r="F4" s="103" t="s">
        <v>40</v>
      </c>
      <c r="G4" s="149">
        <v>28879</v>
      </c>
      <c r="H4" s="149" t="s">
        <v>512</v>
      </c>
      <c r="I4" s="194" t="s">
        <v>358</v>
      </c>
      <c r="J4" s="149">
        <v>3</v>
      </c>
      <c r="K4" s="149">
        <f t="shared" si="0"/>
        <v>3</v>
      </c>
      <c r="L4" s="149">
        <v>12</v>
      </c>
      <c r="M4" s="176">
        <v>46057</v>
      </c>
      <c r="N4" s="176">
        <v>46058</v>
      </c>
      <c r="O4" s="78" t="s">
        <v>359</v>
      </c>
      <c r="P4" s="78" t="s">
        <v>49</v>
      </c>
      <c r="Q4" s="78" t="s">
        <v>400</v>
      </c>
      <c r="R4" s="78" t="s">
        <v>49</v>
      </c>
      <c r="S4" s="78" t="s">
        <v>400</v>
      </c>
      <c r="T4" s="278" t="s">
        <v>513</v>
      </c>
      <c r="U4" s="176">
        <v>46058</v>
      </c>
      <c r="V4" s="176">
        <v>46063</v>
      </c>
      <c r="W4" s="114" t="s">
        <v>344</v>
      </c>
      <c r="X4" s="49" t="s">
        <v>400</v>
      </c>
      <c r="Y4" s="114" t="s">
        <v>344</v>
      </c>
      <c r="Z4" s="176">
        <v>46063</v>
      </c>
      <c r="AA4" s="49" t="s">
        <v>400</v>
      </c>
      <c r="AB4" s="49" t="s">
        <v>400</v>
      </c>
      <c r="AC4" s="49" t="s">
        <v>400</v>
      </c>
      <c r="AD4" s="49" t="s">
        <v>400</v>
      </c>
      <c r="AE4" s="114" t="s">
        <v>340</v>
      </c>
    </row>
    <row r="5" spans="1:31" ht="28.5" customHeight="1">
      <c r="A5" s="149">
        <v>4</v>
      </c>
      <c r="B5" s="149" t="s">
        <v>87</v>
      </c>
      <c r="C5" s="277">
        <v>46057</v>
      </c>
      <c r="D5" s="277">
        <v>46070</v>
      </c>
      <c r="E5" s="106" t="s">
        <v>277</v>
      </c>
      <c r="F5" s="149" t="s">
        <v>49</v>
      </c>
      <c r="G5" s="149">
        <v>51347</v>
      </c>
      <c r="H5" s="149" t="s">
        <v>514</v>
      </c>
      <c r="I5" s="194" t="s">
        <v>358</v>
      </c>
      <c r="J5" s="149">
        <v>2</v>
      </c>
      <c r="K5" s="149">
        <f>L5/4</f>
        <v>1.75</v>
      </c>
      <c r="L5" s="149">
        <v>7</v>
      </c>
      <c r="M5" s="176">
        <v>46057</v>
      </c>
      <c r="N5" s="176">
        <v>46057</v>
      </c>
      <c r="O5" s="78" t="s">
        <v>359</v>
      </c>
      <c r="P5" s="149" t="s">
        <v>40</v>
      </c>
      <c r="Q5" s="149" t="s">
        <v>400</v>
      </c>
      <c r="R5" s="149" t="s">
        <v>40</v>
      </c>
      <c r="S5" s="149" t="s">
        <v>400</v>
      </c>
      <c r="T5" s="278" t="s">
        <v>515</v>
      </c>
      <c r="U5" s="176">
        <v>46064</v>
      </c>
      <c r="V5" s="176">
        <v>46064</v>
      </c>
      <c r="W5" s="149" t="s">
        <v>344</v>
      </c>
      <c r="X5" s="49" t="s">
        <v>400</v>
      </c>
      <c r="Y5" s="149" t="s">
        <v>400</v>
      </c>
      <c r="Z5" s="149" t="s">
        <v>400</v>
      </c>
      <c r="AA5" s="149" t="s">
        <v>400</v>
      </c>
      <c r="AB5" s="149" t="s">
        <v>400</v>
      </c>
      <c r="AC5" s="149" t="s">
        <v>400</v>
      </c>
      <c r="AD5" s="149" t="s">
        <v>400</v>
      </c>
      <c r="AE5" s="149" t="s">
        <v>340</v>
      </c>
    </row>
    <row r="6" spans="1:31" ht="56.25" customHeight="1">
      <c r="A6" s="149">
        <v>5</v>
      </c>
      <c r="B6" s="149" t="s">
        <v>87</v>
      </c>
      <c r="C6" s="277">
        <v>46057</v>
      </c>
      <c r="D6" s="277">
        <v>46070</v>
      </c>
      <c r="E6" s="106" t="s">
        <v>277</v>
      </c>
      <c r="F6" s="149" t="s">
        <v>49</v>
      </c>
      <c r="G6" s="149">
        <v>49576</v>
      </c>
      <c r="H6" s="149" t="s">
        <v>516</v>
      </c>
      <c r="I6" s="194" t="s">
        <v>358</v>
      </c>
      <c r="J6" s="149">
        <v>8</v>
      </c>
      <c r="K6" s="149">
        <f>L6/4</f>
        <v>12.75</v>
      </c>
      <c r="L6" s="149">
        <v>51</v>
      </c>
      <c r="M6" s="181">
        <v>46057</v>
      </c>
      <c r="N6" s="373">
        <v>46070</v>
      </c>
      <c r="O6" s="78" t="s">
        <v>359</v>
      </c>
      <c r="P6" s="149" t="s">
        <v>40</v>
      </c>
      <c r="Q6" s="149" t="s">
        <v>400</v>
      </c>
      <c r="R6" s="149" t="s">
        <v>40</v>
      </c>
      <c r="S6" s="149" t="s">
        <v>400</v>
      </c>
      <c r="T6" s="278" t="s">
        <v>517</v>
      </c>
      <c r="U6" s="181">
        <v>46069</v>
      </c>
      <c r="V6" s="181">
        <v>46069</v>
      </c>
      <c r="W6" s="149" t="s">
        <v>344</v>
      </c>
      <c r="X6" s="49" t="s">
        <v>400</v>
      </c>
      <c r="Y6" s="149" t="s">
        <v>400</v>
      </c>
      <c r="Z6" s="149" t="s">
        <v>400</v>
      </c>
      <c r="AA6" s="149" t="s">
        <v>400</v>
      </c>
      <c r="AB6" s="149" t="s">
        <v>400</v>
      </c>
      <c r="AC6" s="149" t="s">
        <v>400</v>
      </c>
      <c r="AD6" s="149" t="s">
        <v>518</v>
      </c>
      <c r="AE6" s="149" t="s">
        <v>340</v>
      </c>
    </row>
    <row r="7" spans="1:31" ht="24">
      <c r="A7" s="114">
        <v>6</v>
      </c>
      <c r="B7" s="114" t="s">
        <v>87</v>
      </c>
      <c r="C7" s="292">
        <v>46057</v>
      </c>
      <c r="D7" s="292">
        <v>46070</v>
      </c>
      <c r="E7" s="114" t="s">
        <v>519</v>
      </c>
      <c r="F7" s="114" t="s">
        <v>349</v>
      </c>
      <c r="G7" s="114">
        <v>51786</v>
      </c>
      <c r="H7" s="114" t="s">
        <v>520</v>
      </c>
      <c r="I7" s="272" t="s">
        <v>358</v>
      </c>
      <c r="J7" s="114">
        <v>8</v>
      </c>
      <c r="K7" s="114">
        <f t="shared" ref="K7" si="1">L7/4</f>
        <v>8</v>
      </c>
      <c r="L7" s="114">
        <v>32</v>
      </c>
      <c r="M7" s="176">
        <v>46057</v>
      </c>
      <c r="N7" s="114" t="s">
        <v>521</v>
      </c>
      <c r="O7" s="114" t="s">
        <v>359</v>
      </c>
      <c r="P7" s="114" t="s">
        <v>349</v>
      </c>
      <c r="Q7" s="114" t="s">
        <v>400</v>
      </c>
      <c r="R7" s="114"/>
      <c r="S7" s="114" t="s">
        <v>400</v>
      </c>
      <c r="T7" s="48" t="s">
        <v>522</v>
      </c>
      <c r="U7" s="176">
        <v>46070</v>
      </c>
      <c r="V7" s="114"/>
      <c r="W7" s="114" t="s">
        <v>344</v>
      </c>
      <c r="X7" s="114" t="s">
        <v>400</v>
      </c>
      <c r="Y7" s="114" t="s">
        <v>400</v>
      </c>
      <c r="Z7" s="114" t="s">
        <v>400</v>
      </c>
      <c r="AA7" s="114" t="s">
        <v>400</v>
      </c>
      <c r="AB7" s="114" t="s">
        <v>400</v>
      </c>
      <c r="AC7" s="114" t="s">
        <v>400</v>
      </c>
      <c r="AD7" s="114" t="s">
        <v>523</v>
      </c>
      <c r="AE7" s="114"/>
    </row>
  </sheetData>
  <dataValidations count="1">
    <dataValidation type="list" allowBlank="1" showInputMessage="1" showErrorMessage="1" sqref="AE2:AE6" xr:uid="{CD4ABF12-492D-4943-A086-350133CB34D0}">
      <formula1>"Exceeds Expectation, Meets Expectation, Needs Improvement"</formula1>
    </dataValidation>
  </dataValidations>
  <hyperlinks>
    <hyperlink ref="T2" r:id="rId1" xr:uid="{CC0BB1E1-63F5-46D0-A016-6B8B068BE994}"/>
    <hyperlink ref="T3" r:id="rId2" xr:uid="{E89F61D0-4F50-4C6F-B032-1C4D1B7B97D7}"/>
    <hyperlink ref="T5" r:id="rId3" xr:uid="{A7446EB5-55D4-4BAF-A41C-47A3819F4923}"/>
    <hyperlink ref="T4" r:id="rId4" xr:uid="{444924CD-7C4A-4E84-AAA1-DB159DF4D399}"/>
    <hyperlink ref="T7" r:id="rId5" xr:uid="{6EB7FFE8-C08F-4312-AC3E-CA8494F24B10}"/>
    <hyperlink ref="T6" r:id="rId6" xr:uid="{A861D991-8279-40E2-98F7-B75ED84A2EB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893AFED-DBC1-4C49-B3A3-AF580416E347}">
          <x14:formula1>
            <xm:f>Settings!$C$3:$C$20</xm:f>
          </x14:formula1>
          <xm:sqref>I2:I7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123B7-D975-4CBA-85E1-B926C82A4212}">
  <dimension ref="A1:T6"/>
  <sheetViews>
    <sheetView workbookViewId="0">
      <selection activeCell="A2" sqref="A2"/>
    </sheetView>
  </sheetViews>
  <sheetFormatPr defaultRowHeight="12.75"/>
  <cols>
    <col min="1" max="1" width="22.42578125" customWidth="1"/>
    <col min="6" max="6" width="53.28515625" customWidth="1"/>
    <col min="10" max="10" width="22.85546875" customWidth="1"/>
    <col min="14" max="14" width="15.7109375" customWidth="1"/>
    <col min="15" max="15" width="52.140625" customWidth="1"/>
  </cols>
  <sheetData>
    <row r="1" spans="1:20" ht="40.5">
      <c r="A1" s="45" t="s">
        <v>74</v>
      </c>
      <c r="B1" s="45" t="s">
        <v>75</v>
      </c>
      <c r="C1" s="45" t="s">
        <v>76</v>
      </c>
      <c r="D1" s="45" t="s">
        <v>2</v>
      </c>
      <c r="E1" s="45" t="s">
        <v>77</v>
      </c>
      <c r="F1" s="45" t="s">
        <v>78</v>
      </c>
      <c r="G1" s="45" t="s">
        <v>79</v>
      </c>
      <c r="H1" s="45" t="s">
        <v>80</v>
      </c>
      <c r="I1" s="45" t="s">
        <v>81</v>
      </c>
      <c r="J1" s="45" t="s">
        <v>4</v>
      </c>
      <c r="K1" s="45" t="s">
        <v>312</v>
      </c>
      <c r="L1" s="45" t="s">
        <v>313</v>
      </c>
      <c r="M1" s="45" t="s">
        <v>314</v>
      </c>
      <c r="N1" s="349" t="s">
        <v>82</v>
      </c>
      <c r="O1" s="348" t="s">
        <v>5</v>
      </c>
      <c r="P1" s="136"/>
      <c r="Q1" s="340"/>
      <c r="R1" s="340"/>
      <c r="S1" s="340"/>
      <c r="T1" s="129"/>
    </row>
    <row r="6" spans="1:20">
      <c r="F6" s="3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871A1-B973-471B-868F-FAA2508BE9B7}">
  <dimension ref="A1:AE8"/>
  <sheetViews>
    <sheetView topLeftCell="F1" workbookViewId="0">
      <selection activeCell="M8" sqref="M8"/>
    </sheetView>
  </sheetViews>
  <sheetFormatPr defaultRowHeight="12.75"/>
  <cols>
    <col min="1" max="1" width="9.140625" style="285"/>
    <col min="2" max="2" width="12.5703125" style="285" customWidth="1"/>
    <col min="3" max="3" width="13.5703125" style="285" customWidth="1"/>
    <col min="4" max="4" width="13" style="285" customWidth="1"/>
    <col min="5" max="5" width="23.140625" style="285" customWidth="1"/>
    <col min="6" max="7" width="9.140625" style="285"/>
    <col min="8" max="8" width="46.7109375" style="285" customWidth="1"/>
    <col min="9" max="9" width="25.5703125" style="285" customWidth="1"/>
    <col min="10" max="19" width="9.140625" style="285"/>
    <col min="20" max="20" width="26.5703125" style="285" customWidth="1"/>
    <col min="21" max="21" width="9.140625" style="285"/>
    <col min="22" max="22" width="9.5703125" style="285" bestFit="1" customWidth="1"/>
    <col min="23" max="27" width="9.140625" style="285"/>
    <col min="28" max="28" width="23.7109375" style="285" customWidth="1"/>
    <col min="29" max="29" width="9.140625" style="285"/>
    <col min="30" max="30" width="23.28515625" style="285" customWidth="1"/>
    <col min="31" max="31" width="25.85546875" style="285" customWidth="1"/>
  </cols>
  <sheetData>
    <row r="1" spans="1:31" ht="53.25">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348" t="s">
        <v>5</v>
      </c>
      <c r="AE1" s="45" t="s">
        <v>332</v>
      </c>
    </row>
    <row r="2" spans="1:31" ht="36">
      <c r="A2" s="79">
        <v>1</v>
      </c>
      <c r="B2" s="79" t="s">
        <v>87</v>
      </c>
      <c r="C2" s="292">
        <v>46043</v>
      </c>
      <c r="D2" s="292">
        <v>46056</v>
      </c>
      <c r="E2" s="78" t="s">
        <v>272</v>
      </c>
      <c r="F2" s="100" t="s">
        <v>40</v>
      </c>
      <c r="G2" s="100">
        <v>51357</v>
      </c>
      <c r="H2" s="147" t="s">
        <v>524</v>
      </c>
      <c r="I2" s="47" t="s">
        <v>358</v>
      </c>
      <c r="J2" s="250">
        <v>2</v>
      </c>
      <c r="K2" s="114">
        <f>L2/4</f>
        <v>0.75</v>
      </c>
      <c r="L2" s="114">
        <v>3</v>
      </c>
      <c r="M2" s="176">
        <v>46034</v>
      </c>
      <c r="N2" s="176">
        <v>46036</v>
      </c>
      <c r="O2" s="78" t="s">
        <v>335</v>
      </c>
      <c r="P2" s="78" t="s">
        <v>49</v>
      </c>
      <c r="Q2" s="78" t="s">
        <v>400</v>
      </c>
      <c r="R2" s="78" t="s">
        <v>49</v>
      </c>
      <c r="S2" s="78" t="s">
        <v>400</v>
      </c>
      <c r="T2" s="48" t="s">
        <v>525</v>
      </c>
      <c r="U2" s="176">
        <v>46036</v>
      </c>
      <c r="V2" s="176">
        <v>46041</v>
      </c>
      <c r="W2" s="114" t="s">
        <v>344</v>
      </c>
      <c r="X2" s="69" t="s">
        <v>400</v>
      </c>
      <c r="Y2" s="114" t="s">
        <v>344</v>
      </c>
      <c r="Z2" s="176">
        <v>46041</v>
      </c>
      <c r="AA2" s="69" t="s">
        <v>400</v>
      </c>
      <c r="AB2" s="69" t="s">
        <v>400</v>
      </c>
      <c r="AC2" s="69" t="s">
        <v>400</v>
      </c>
      <c r="AD2" s="114"/>
      <c r="AE2" s="114" t="s">
        <v>340</v>
      </c>
    </row>
    <row r="3" spans="1:31" ht="36">
      <c r="A3" s="79">
        <v>2</v>
      </c>
      <c r="B3" s="104" t="s">
        <v>87</v>
      </c>
      <c r="C3" s="277">
        <v>46043</v>
      </c>
      <c r="D3" s="277">
        <v>46056</v>
      </c>
      <c r="E3" s="106" t="s">
        <v>272</v>
      </c>
      <c r="F3" s="103" t="s">
        <v>40</v>
      </c>
      <c r="G3" s="103">
        <v>50120</v>
      </c>
      <c r="H3" s="142" t="s">
        <v>526</v>
      </c>
      <c r="I3" s="47" t="s">
        <v>358</v>
      </c>
      <c r="J3" s="255">
        <v>5</v>
      </c>
      <c r="K3" s="149">
        <f>L3/4</f>
        <v>4.5</v>
      </c>
      <c r="L3" s="149">
        <v>18</v>
      </c>
      <c r="M3" s="181">
        <v>46041</v>
      </c>
      <c r="N3" s="176">
        <v>46044</v>
      </c>
      <c r="O3" s="78" t="s">
        <v>335</v>
      </c>
      <c r="P3" s="78" t="s">
        <v>49</v>
      </c>
      <c r="Q3" s="78" t="s">
        <v>400</v>
      </c>
      <c r="R3" s="78" t="s">
        <v>49</v>
      </c>
      <c r="S3" s="78" t="s">
        <v>400</v>
      </c>
      <c r="T3" s="278" t="s">
        <v>527</v>
      </c>
      <c r="U3" s="176">
        <v>46044</v>
      </c>
      <c r="V3" s="176">
        <v>46045</v>
      </c>
      <c r="W3" s="114" t="s">
        <v>344</v>
      </c>
      <c r="X3" s="69" t="s">
        <v>400</v>
      </c>
      <c r="Y3" s="114" t="s">
        <v>344</v>
      </c>
      <c r="Z3" s="176">
        <v>46045</v>
      </c>
      <c r="AA3" s="69" t="s">
        <v>400</v>
      </c>
      <c r="AB3" s="149" t="s">
        <v>528</v>
      </c>
      <c r="AC3" s="69" t="s">
        <v>400</v>
      </c>
      <c r="AD3" s="149"/>
      <c r="AE3" s="149" t="s">
        <v>436</v>
      </c>
    </row>
    <row r="4" spans="1:31" ht="48">
      <c r="A4" s="79">
        <v>3</v>
      </c>
      <c r="B4" s="104" t="s">
        <v>87</v>
      </c>
      <c r="C4" s="277">
        <v>46043</v>
      </c>
      <c r="D4" s="277">
        <v>46056</v>
      </c>
      <c r="E4" s="106" t="s">
        <v>272</v>
      </c>
      <c r="F4" s="103" t="s">
        <v>49</v>
      </c>
      <c r="G4" s="104">
        <v>50816</v>
      </c>
      <c r="H4" s="324" t="s">
        <v>529</v>
      </c>
      <c r="I4" s="80" t="s">
        <v>358</v>
      </c>
      <c r="J4" s="286">
        <v>2</v>
      </c>
      <c r="K4" s="114">
        <f t="shared" ref="K2:K4" si="0">L4/4</f>
        <v>2</v>
      </c>
      <c r="L4" s="69">
        <v>8</v>
      </c>
      <c r="M4" s="181">
        <v>46041</v>
      </c>
      <c r="N4" s="181">
        <v>46043</v>
      </c>
      <c r="O4" s="69" t="s">
        <v>335</v>
      </c>
      <c r="P4" s="69" t="s">
        <v>40</v>
      </c>
      <c r="Q4" s="106" t="s">
        <v>400</v>
      </c>
      <c r="R4" s="69" t="s">
        <v>40</v>
      </c>
      <c r="S4" s="106" t="s">
        <v>400</v>
      </c>
      <c r="T4" s="278" t="s">
        <v>530</v>
      </c>
      <c r="U4" s="181">
        <v>46041</v>
      </c>
      <c r="V4" s="293">
        <v>46043</v>
      </c>
      <c r="W4" s="69" t="s">
        <v>40</v>
      </c>
      <c r="X4" s="69" t="s">
        <v>400</v>
      </c>
      <c r="Y4" s="69" t="s">
        <v>344</v>
      </c>
      <c r="Z4" s="293">
        <v>46043</v>
      </c>
      <c r="AA4" s="69" t="s">
        <v>147</v>
      </c>
      <c r="AB4" s="149" t="s">
        <v>531</v>
      </c>
      <c r="AC4" s="69" t="s">
        <v>147</v>
      </c>
      <c r="AD4" s="350" t="s">
        <v>532</v>
      </c>
      <c r="AE4" s="69" t="s">
        <v>340</v>
      </c>
    </row>
    <row r="5" spans="1:31" ht="36">
      <c r="A5" s="79">
        <v>4</v>
      </c>
      <c r="B5" s="79" t="s">
        <v>87</v>
      </c>
      <c r="C5" s="292">
        <v>46043</v>
      </c>
      <c r="D5" s="292">
        <v>46056</v>
      </c>
      <c r="E5" s="78" t="s">
        <v>272</v>
      </c>
      <c r="F5" s="100" t="s">
        <v>336</v>
      </c>
      <c r="G5" s="100" t="s">
        <v>533</v>
      </c>
      <c r="H5" s="134" t="s">
        <v>534</v>
      </c>
      <c r="I5" s="164" t="s">
        <v>358</v>
      </c>
      <c r="J5" s="250">
        <v>5</v>
      </c>
      <c r="K5" s="114">
        <f>L5/4</f>
        <v>4.5</v>
      </c>
      <c r="L5" s="114">
        <v>18</v>
      </c>
      <c r="M5" s="176">
        <v>46043</v>
      </c>
      <c r="N5" s="176">
        <v>46050</v>
      </c>
      <c r="O5" s="114" t="s">
        <v>335</v>
      </c>
      <c r="P5" s="114" t="s">
        <v>40</v>
      </c>
      <c r="Q5" s="114" t="s">
        <v>400</v>
      </c>
      <c r="R5" s="114" t="s">
        <v>40</v>
      </c>
      <c r="S5" s="114" t="s">
        <v>400</v>
      </c>
      <c r="T5" s="48" t="s">
        <v>535</v>
      </c>
      <c r="U5" s="327">
        <v>46050</v>
      </c>
      <c r="V5" s="327">
        <v>46051</v>
      </c>
      <c r="W5" s="114" t="s">
        <v>40</v>
      </c>
      <c r="X5" s="114" t="s">
        <v>400</v>
      </c>
      <c r="Y5" s="114" t="s">
        <v>344</v>
      </c>
      <c r="Z5" s="327">
        <v>46055</v>
      </c>
      <c r="AA5" s="114" t="s">
        <v>400</v>
      </c>
      <c r="AB5" s="114" t="s">
        <v>400</v>
      </c>
      <c r="AC5" s="114" t="s">
        <v>400</v>
      </c>
      <c r="AD5" s="114"/>
      <c r="AE5" s="69" t="s">
        <v>340</v>
      </c>
    </row>
    <row r="6" spans="1:31" ht="60">
      <c r="A6" s="298">
        <v>5</v>
      </c>
      <c r="B6" s="296" t="s">
        <v>87</v>
      </c>
      <c r="C6" s="297">
        <v>46043</v>
      </c>
      <c r="D6" s="297">
        <v>46056</v>
      </c>
      <c r="E6" s="360" t="s">
        <v>536</v>
      </c>
      <c r="F6" s="298" t="s">
        <v>349</v>
      </c>
      <c r="G6" s="298">
        <v>51635</v>
      </c>
      <c r="H6" s="371" t="s">
        <v>537</v>
      </c>
      <c r="I6" s="164" t="s">
        <v>358</v>
      </c>
      <c r="J6" s="372">
        <v>13</v>
      </c>
      <c r="K6" s="361">
        <f t="shared" ref="K6:K8" si="1">L6/4</f>
        <v>6</v>
      </c>
      <c r="L6" s="298">
        <v>24</v>
      </c>
      <c r="M6" s="301">
        <v>46043</v>
      </c>
      <c r="N6" s="301">
        <v>46056</v>
      </c>
      <c r="O6" s="298" t="s">
        <v>335</v>
      </c>
      <c r="P6" s="298" t="s">
        <v>349</v>
      </c>
      <c r="Q6" s="298" t="s">
        <v>400</v>
      </c>
      <c r="R6" s="298" t="s">
        <v>400</v>
      </c>
      <c r="S6" s="298" t="s">
        <v>400</v>
      </c>
      <c r="T6" s="303" t="s">
        <v>538</v>
      </c>
      <c r="U6" s="370">
        <v>46083</v>
      </c>
      <c r="V6" s="298"/>
      <c r="W6" s="298"/>
      <c r="X6" s="114" t="s">
        <v>400</v>
      </c>
      <c r="Y6" s="298"/>
      <c r="Z6" s="298"/>
      <c r="AA6" s="114" t="s">
        <v>400</v>
      </c>
      <c r="AB6" s="114" t="s">
        <v>400</v>
      </c>
      <c r="AC6" s="114" t="s">
        <v>400</v>
      </c>
      <c r="AD6" s="298" t="s">
        <v>539</v>
      </c>
      <c r="AE6" s="298"/>
    </row>
    <row r="7" spans="1:31" ht="36">
      <c r="A7" s="149">
        <v>6</v>
      </c>
      <c r="B7" s="359" t="s">
        <v>87</v>
      </c>
      <c r="C7" s="277">
        <v>46043</v>
      </c>
      <c r="D7" s="277">
        <v>46056</v>
      </c>
      <c r="E7" s="170" t="s">
        <v>536</v>
      </c>
      <c r="F7" s="191" t="s">
        <v>40</v>
      </c>
      <c r="G7" s="149">
        <v>51551</v>
      </c>
      <c r="H7" s="191" t="s">
        <v>540</v>
      </c>
      <c r="I7" s="164" t="s">
        <v>358</v>
      </c>
      <c r="J7" s="262">
        <v>2</v>
      </c>
      <c r="K7" s="149">
        <f t="shared" si="1"/>
        <v>1.5</v>
      </c>
      <c r="L7" s="255">
        <v>6</v>
      </c>
      <c r="M7" s="181">
        <v>46052</v>
      </c>
      <c r="N7" s="181">
        <v>46052</v>
      </c>
      <c r="O7" s="106" t="s">
        <v>335</v>
      </c>
      <c r="P7" s="106" t="s">
        <v>49</v>
      </c>
      <c r="Q7" s="106" t="s">
        <v>400</v>
      </c>
      <c r="R7" s="106" t="s">
        <v>49</v>
      </c>
      <c r="S7" s="106" t="s">
        <v>400</v>
      </c>
      <c r="T7" s="278" t="s">
        <v>541</v>
      </c>
      <c r="U7" s="181">
        <v>46052</v>
      </c>
      <c r="V7" s="181">
        <v>46052</v>
      </c>
      <c r="W7" s="149" t="s">
        <v>344</v>
      </c>
      <c r="X7" s="69" t="s">
        <v>400</v>
      </c>
      <c r="Y7" s="149" t="s">
        <v>344</v>
      </c>
      <c r="Z7" s="181">
        <v>46052</v>
      </c>
      <c r="AA7" s="69" t="s">
        <v>400</v>
      </c>
      <c r="AB7" s="69" t="s">
        <v>400</v>
      </c>
      <c r="AC7" s="69" t="s">
        <v>400</v>
      </c>
      <c r="AD7" s="191"/>
      <c r="AE7" s="69" t="s">
        <v>340</v>
      </c>
    </row>
    <row r="8" spans="1:31" ht="36">
      <c r="A8" s="114">
        <v>7</v>
      </c>
      <c r="B8" s="79" t="s">
        <v>87</v>
      </c>
      <c r="C8" s="292">
        <v>46043</v>
      </c>
      <c r="D8" s="292">
        <v>46056</v>
      </c>
      <c r="E8" s="167" t="s">
        <v>536</v>
      </c>
      <c r="F8" s="114" t="s">
        <v>40</v>
      </c>
      <c r="G8" s="114">
        <v>51552</v>
      </c>
      <c r="H8" s="190" t="s">
        <v>542</v>
      </c>
      <c r="I8" s="164" t="s">
        <v>358</v>
      </c>
      <c r="J8" s="250">
        <v>2</v>
      </c>
      <c r="K8" s="114">
        <f t="shared" si="1"/>
        <v>0.75</v>
      </c>
      <c r="L8" s="114">
        <v>3</v>
      </c>
      <c r="M8" s="176">
        <v>46052</v>
      </c>
      <c r="N8" s="176">
        <v>46052</v>
      </c>
      <c r="O8" s="78" t="s">
        <v>335</v>
      </c>
      <c r="P8" s="114" t="s">
        <v>344</v>
      </c>
      <c r="Q8" s="78" t="s">
        <v>400</v>
      </c>
      <c r="R8" s="114" t="s">
        <v>344</v>
      </c>
      <c r="S8" s="78" t="s">
        <v>400</v>
      </c>
      <c r="T8" s="48" t="s">
        <v>543</v>
      </c>
      <c r="U8" s="176">
        <v>46052</v>
      </c>
      <c r="V8" s="176">
        <v>46052</v>
      </c>
      <c r="W8" s="114" t="s">
        <v>344</v>
      </c>
      <c r="X8" s="49" t="s">
        <v>400</v>
      </c>
      <c r="Y8" s="114" t="s">
        <v>344</v>
      </c>
      <c r="Z8" s="176">
        <v>46052</v>
      </c>
      <c r="AA8" s="49" t="s">
        <v>400</v>
      </c>
      <c r="AB8" s="49" t="s">
        <v>400</v>
      </c>
      <c r="AC8" s="49" t="s">
        <v>400</v>
      </c>
      <c r="AD8" s="114"/>
      <c r="AE8" s="49" t="s">
        <v>340</v>
      </c>
    </row>
  </sheetData>
  <dataValidations count="1">
    <dataValidation type="list" allowBlank="1" showInputMessage="1" showErrorMessage="1" sqref="AE2:AE5 AE7:AE8" xr:uid="{73B7A1A2-57A3-489A-B422-AFBBC61517F3}">
      <formula1>"Exceeds Expectation, Meets Expectation, Needs Improvement"</formula1>
    </dataValidation>
  </dataValidations>
  <hyperlinks>
    <hyperlink ref="T2" r:id="rId1" xr:uid="{B5DE1170-BD05-4B13-9406-8B8A880D0E0E}"/>
    <hyperlink ref="T4" r:id="rId2" xr:uid="{53A9F922-6B1E-4B77-BCDD-40FC6AC6ED00}"/>
    <hyperlink ref="T3" r:id="rId3" xr:uid="{B2479676-E2A8-417B-8333-347EA68A954F}"/>
    <hyperlink ref="T7" r:id="rId4" xr:uid="{A505F5BB-98B6-451F-AF65-6618898A6260}"/>
    <hyperlink ref="T8" r:id="rId5" xr:uid="{03568DE3-202D-43AE-BC6E-46685ACABE89}"/>
    <hyperlink ref="T5" r:id="rId6" xr:uid="{F0A9C64E-A59E-40D5-A6CE-0BDE504B41A8}"/>
    <hyperlink ref="T6" r:id="rId7" xr:uid="{6CB34851-1C67-489F-B586-41E54656ADA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FBBB1EC-8BA6-4E3F-B495-97092A45155D}">
          <x14:formula1>
            <xm:f>Settings!$C$3:$C$20</xm:f>
          </x14:formula1>
          <xm:sqref>I2:I8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8FAA-D445-4158-AEE1-7BA0323FC450}">
  <dimension ref="A1:T4"/>
  <sheetViews>
    <sheetView workbookViewId="0">
      <selection activeCell="K2" sqref="K2:O2"/>
    </sheetView>
  </sheetViews>
  <sheetFormatPr defaultRowHeight="12.75"/>
  <cols>
    <col min="1" max="1" width="22.42578125" customWidth="1"/>
    <col min="6" max="6" width="36.7109375" customWidth="1"/>
    <col min="10" max="10" width="22.85546875" customWidth="1"/>
    <col min="14" max="14" width="15.7109375" customWidth="1"/>
    <col min="15" max="15" width="52.140625" customWidth="1"/>
  </cols>
  <sheetData>
    <row r="1" spans="1:20" ht="40.5">
      <c r="A1" s="45" t="s">
        <v>74</v>
      </c>
      <c r="B1" s="45" t="s">
        <v>75</v>
      </c>
      <c r="C1" s="45" t="s">
        <v>76</v>
      </c>
      <c r="D1" s="45" t="s">
        <v>2</v>
      </c>
      <c r="E1" s="45" t="s">
        <v>77</v>
      </c>
      <c r="F1" s="45" t="s">
        <v>78</v>
      </c>
      <c r="G1" s="45" t="s">
        <v>79</v>
      </c>
      <c r="H1" s="45" t="s">
        <v>80</v>
      </c>
      <c r="I1" s="45" t="s">
        <v>81</v>
      </c>
      <c r="J1" s="45" t="s">
        <v>4</v>
      </c>
      <c r="K1" s="45" t="s">
        <v>312</v>
      </c>
      <c r="L1" s="45" t="s">
        <v>313</v>
      </c>
      <c r="M1" s="45" t="s">
        <v>314</v>
      </c>
      <c r="N1" s="349" t="s">
        <v>82</v>
      </c>
      <c r="O1" s="348" t="s">
        <v>5</v>
      </c>
      <c r="P1" s="136"/>
      <c r="Q1" s="340"/>
      <c r="R1" s="340"/>
      <c r="S1" s="340"/>
      <c r="T1" s="129"/>
    </row>
    <row r="2" spans="1:20" ht="24">
      <c r="A2" s="167" t="s">
        <v>272</v>
      </c>
      <c r="B2" s="49">
        <v>26546</v>
      </c>
      <c r="C2" s="49"/>
      <c r="D2" s="69" t="s">
        <v>49</v>
      </c>
      <c r="E2" s="49" t="s">
        <v>394</v>
      </c>
      <c r="F2" s="114" t="s">
        <v>544</v>
      </c>
      <c r="G2" s="49" t="s">
        <v>473</v>
      </c>
      <c r="H2" s="49" t="s">
        <v>353</v>
      </c>
      <c r="I2" s="49" t="s">
        <v>354</v>
      </c>
      <c r="J2" s="55" t="s">
        <v>396</v>
      </c>
      <c r="K2" s="164">
        <v>2</v>
      </c>
      <c r="L2" s="12">
        <f>M2/4</f>
        <v>0.25</v>
      </c>
      <c r="M2" s="12">
        <v>1</v>
      </c>
      <c r="N2" s="164" t="s">
        <v>356</v>
      </c>
      <c r="O2" s="288" t="s">
        <v>545</v>
      </c>
    </row>
    <row r="3" spans="1:20" ht="48">
      <c r="A3" s="170" t="s">
        <v>546</v>
      </c>
      <c r="B3" s="69">
        <v>26640</v>
      </c>
      <c r="C3" s="69"/>
      <c r="D3" s="69" t="s">
        <v>49</v>
      </c>
      <c r="E3" s="69" t="s">
        <v>394</v>
      </c>
      <c r="F3" s="149" t="s">
        <v>547</v>
      </c>
      <c r="G3" s="69" t="s">
        <v>473</v>
      </c>
      <c r="H3" s="69" t="s">
        <v>353</v>
      </c>
      <c r="I3" s="69" t="s">
        <v>354</v>
      </c>
      <c r="J3" s="55" t="s">
        <v>396</v>
      </c>
      <c r="K3" s="54">
        <v>2</v>
      </c>
      <c r="L3" s="19">
        <f>M3/4</f>
        <v>2.25</v>
      </c>
      <c r="M3" s="19">
        <v>9</v>
      </c>
      <c r="N3" s="54" t="s">
        <v>356</v>
      </c>
      <c r="O3" s="150" t="s">
        <v>548</v>
      </c>
    </row>
    <row r="4" spans="1:20" ht="24">
      <c r="A4" s="167" t="s">
        <v>272</v>
      </c>
      <c r="B4" s="49">
        <v>26416</v>
      </c>
      <c r="C4" s="49"/>
      <c r="D4" s="49" t="s">
        <v>336</v>
      </c>
      <c r="E4" s="49" t="s">
        <v>394</v>
      </c>
      <c r="F4" s="114" t="s">
        <v>549</v>
      </c>
      <c r="G4" s="49" t="s">
        <v>473</v>
      </c>
      <c r="H4" s="49" t="s">
        <v>353</v>
      </c>
      <c r="I4" s="49" t="s">
        <v>354</v>
      </c>
      <c r="J4" s="47" t="s">
        <v>396</v>
      </c>
      <c r="K4" s="49">
        <v>2</v>
      </c>
      <c r="L4" s="49">
        <v>2</v>
      </c>
      <c r="M4" s="49">
        <v>8</v>
      </c>
      <c r="N4" s="164" t="s">
        <v>356</v>
      </c>
      <c r="O4" s="288" t="s">
        <v>545</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E8E9C54B-7E40-4A10-BD30-FB20E466C882}">
          <x14:formula1>
            <xm:f>Settings!$C$3:$C$20</xm:f>
          </x14:formula1>
          <xm:sqref>J2:J4</xm:sqref>
        </x14:dataValidation>
        <x14:dataValidation type="list" allowBlank="1" showErrorMessage="1" xr:uid="{49A1D40E-398C-44CC-B86B-F1CDECC6003C}">
          <x14:formula1>
            <xm:f>Details!$A$2:$A$10</xm:f>
          </x14:formula1>
          <xm:sqref>N2:N4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5688-B343-4595-96C3-88BABC3EF603}">
  <dimension ref="A1:AE5"/>
  <sheetViews>
    <sheetView topLeftCell="A1048532" workbookViewId="0">
      <selection activeCell="C1048562" sqref="C1048562"/>
    </sheetView>
  </sheetViews>
  <sheetFormatPr defaultRowHeight="12.75"/>
  <cols>
    <col min="1" max="1" width="6.42578125" style="52" customWidth="1"/>
    <col min="2" max="2" width="13" customWidth="1"/>
    <col min="3" max="3" width="12.42578125" customWidth="1"/>
    <col min="4" max="4" width="13" customWidth="1"/>
    <col min="5" max="5" width="20.7109375" customWidth="1"/>
    <col min="6" max="6" width="14.140625" customWidth="1"/>
    <col min="7" max="7" width="11" customWidth="1"/>
    <col min="8" max="8" width="47.7109375" style="52" customWidth="1"/>
    <col min="9" max="9" width="25" customWidth="1"/>
    <col min="10" max="10" width="8.42578125" style="52" customWidth="1"/>
    <col min="11" max="11" width="8.7109375" style="52" customWidth="1"/>
    <col min="12" max="12" width="10.7109375" style="52" customWidth="1"/>
    <col min="13" max="13" width="13.85546875" customWidth="1"/>
    <col min="14" max="14" width="11.5703125" customWidth="1"/>
    <col min="16" max="16" width="12.140625" style="52" customWidth="1"/>
    <col min="17" max="17" width="38.140625" style="31" customWidth="1"/>
    <col min="18" max="18" width="17" style="52" customWidth="1"/>
    <col min="19" max="19" width="25.42578125" style="31" customWidth="1"/>
    <col min="20" max="20" width="18.5703125" style="31" customWidth="1"/>
    <col min="21" max="21" width="16" style="31" customWidth="1"/>
    <col min="22" max="22" width="17.5703125" style="31" customWidth="1"/>
    <col min="23" max="23" width="9.140625" style="52"/>
    <col min="24" max="24" width="17.5703125" style="52" customWidth="1"/>
    <col min="25" max="26" width="9.140625" style="52"/>
    <col min="27" max="27" width="19.42578125" style="52" customWidth="1"/>
    <col min="28" max="28" width="40.7109375" customWidth="1"/>
    <col min="29" max="29" width="19.28515625" customWidth="1"/>
    <col min="30" max="30" width="27.5703125" customWidth="1"/>
    <col min="31" max="31" width="19.5703125" customWidth="1"/>
  </cols>
  <sheetData>
    <row r="1" spans="1:31" ht="40.5">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347" t="s">
        <v>319</v>
      </c>
      <c r="R1" s="45" t="s">
        <v>320</v>
      </c>
      <c r="S1" s="335" t="s">
        <v>321</v>
      </c>
      <c r="T1" s="335" t="s">
        <v>322</v>
      </c>
      <c r="U1" s="335" t="s">
        <v>323</v>
      </c>
      <c r="V1" s="335" t="s">
        <v>324</v>
      </c>
      <c r="W1" s="45" t="s">
        <v>325</v>
      </c>
      <c r="X1" s="45" t="s">
        <v>326</v>
      </c>
      <c r="Y1" s="45" t="s">
        <v>327</v>
      </c>
      <c r="Z1" s="45" t="s">
        <v>328</v>
      </c>
      <c r="AA1" s="45" t="s">
        <v>329</v>
      </c>
      <c r="AB1" s="45" t="s">
        <v>330</v>
      </c>
      <c r="AC1" s="45" t="s">
        <v>331</v>
      </c>
      <c r="AD1" s="338" t="s">
        <v>5</v>
      </c>
      <c r="AE1" s="45" t="s">
        <v>332</v>
      </c>
    </row>
    <row r="2" spans="1:31" ht="60">
      <c r="A2" s="49">
        <v>1</v>
      </c>
      <c r="B2" s="79" t="s">
        <v>87</v>
      </c>
      <c r="C2" s="292">
        <v>46029</v>
      </c>
      <c r="D2" s="292">
        <v>46042</v>
      </c>
      <c r="E2" s="78" t="s">
        <v>267</v>
      </c>
      <c r="F2" s="49" t="s">
        <v>49</v>
      </c>
      <c r="G2" s="165">
        <v>51036</v>
      </c>
      <c r="H2" s="114" t="s">
        <v>550</v>
      </c>
      <c r="I2" s="339" t="s">
        <v>358</v>
      </c>
      <c r="J2" s="165">
        <v>2</v>
      </c>
      <c r="K2" s="49">
        <f>L2/4</f>
        <v>2</v>
      </c>
      <c r="L2" s="49">
        <v>8</v>
      </c>
      <c r="M2" s="181">
        <v>46003</v>
      </c>
      <c r="N2" s="181">
        <v>46013</v>
      </c>
      <c r="O2" s="330" t="s">
        <v>335</v>
      </c>
      <c r="P2" s="49" t="s">
        <v>392</v>
      </c>
      <c r="Q2" s="18" t="s">
        <v>551</v>
      </c>
      <c r="R2" s="49" t="s">
        <v>40</v>
      </c>
      <c r="S2" s="49" t="s">
        <v>552</v>
      </c>
      <c r="T2" s="336" t="s">
        <v>553</v>
      </c>
      <c r="U2" s="292">
        <v>46014</v>
      </c>
      <c r="V2" s="292">
        <v>46031</v>
      </c>
      <c r="W2" s="49" t="s">
        <v>40</v>
      </c>
      <c r="X2" s="49" t="s">
        <v>147</v>
      </c>
      <c r="Y2" s="49" t="s">
        <v>344</v>
      </c>
      <c r="Z2" s="292">
        <v>46038</v>
      </c>
      <c r="AA2" s="49" t="s">
        <v>147</v>
      </c>
      <c r="AB2" s="14" t="s">
        <v>554</v>
      </c>
      <c r="AC2" s="49" t="s">
        <v>400</v>
      </c>
      <c r="AD2" s="14" t="s">
        <v>555</v>
      </c>
      <c r="AE2" s="12" t="s">
        <v>340</v>
      </c>
    </row>
    <row r="3" spans="1:31" ht="27" customHeight="1">
      <c r="A3" s="49">
        <v>2</v>
      </c>
      <c r="B3" s="79" t="s">
        <v>87</v>
      </c>
      <c r="C3" s="292">
        <v>46029</v>
      </c>
      <c r="D3" s="292">
        <v>46042</v>
      </c>
      <c r="E3" s="167" t="s">
        <v>267</v>
      </c>
      <c r="F3" s="114" t="s">
        <v>448</v>
      </c>
      <c r="G3" s="49">
        <v>51368</v>
      </c>
      <c r="H3" s="165" t="s">
        <v>556</v>
      </c>
      <c r="I3" s="339" t="s">
        <v>358</v>
      </c>
      <c r="J3" s="49">
        <v>1</v>
      </c>
      <c r="K3" s="49">
        <f t="shared" ref="K3:K5" si="0">L3/4</f>
        <v>0</v>
      </c>
      <c r="L3" s="49">
        <v>0</v>
      </c>
      <c r="M3" s="181">
        <v>46029</v>
      </c>
      <c r="N3" s="181">
        <v>46029</v>
      </c>
      <c r="O3" s="78" t="s">
        <v>147</v>
      </c>
      <c r="P3" s="78" t="s">
        <v>147</v>
      </c>
      <c r="Q3" s="78" t="s">
        <v>147</v>
      </c>
      <c r="R3" s="78" t="s">
        <v>147</v>
      </c>
      <c r="S3" s="78" t="s">
        <v>147</v>
      </c>
      <c r="T3" s="78" t="s">
        <v>147</v>
      </c>
      <c r="U3" s="78" t="s">
        <v>147</v>
      </c>
      <c r="V3" s="78" t="s">
        <v>147</v>
      </c>
      <c r="W3" s="78" t="s">
        <v>557</v>
      </c>
      <c r="X3" s="78" t="s">
        <v>147</v>
      </c>
      <c r="Y3" s="78" t="s">
        <v>147</v>
      </c>
      <c r="Z3" s="78" t="s">
        <v>147</v>
      </c>
      <c r="AA3" s="78" t="s">
        <v>147</v>
      </c>
      <c r="AB3" s="78" t="s">
        <v>147</v>
      </c>
      <c r="AC3" s="49" t="s">
        <v>400</v>
      </c>
      <c r="AD3" s="49" t="s">
        <v>558</v>
      </c>
      <c r="AE3" s="12"/>
    </row>
    <row r="4" spans="1:31" ht="28.5" customHeight="1">
      <c r="A4" s="49">
        <v>3</v>
      </c>
      <c r="B4" s="79" t="s">
        <v>87</v>
      </c>
      <c r="C4" s="292">
        <v>46029</v>
      </c>
      <c r="D4" s="292">
        <v>46042</v>
      </c>
      <c r="E4" s="167" t="s">
        <v>267</v>
      </c>
      <c r="F4" s="114" t="s">
        <v>448</v>
      </c>
      <c r="G4" s="49">
        <v>51423</v>
      </c>
      <c r="H4" s="165" t="s">
        <v>559</v>
      </c>
      <c r="I4" s="339" t="s">
        <v>358</v>
      </c>
      <c r="J4" s="49">
        <v>13</v>
      </c>
      <c r="K4" s="49">
        <f t="shared" si="0"/>
        <v>18.25</v>
      </c>
      <c r="L4" s="49">
        <v>73</v>
      </c>
      <c r="M4" s="181">
        <v>46029</v>
      </c>
      <c r="N4" s="181">
        <v>46035</v>
      </c>
      <c r="O4" s="78" t="s">
        <v>147</v>
      </c>
      <c r="P4" s="78" t="s">
        <v>147</v>
      </c>
      <c r="Q4" s="78" t="s">
        <v>147</v>
      </c>
      <c r="R4" s="78" t="s">
        <v>147</v>
      </c>
      <c r="S4" s="78" t="s">
        <v>147</v>
      </c>
      <c r="T4" s="78" t="s">
        <v>147</v>
      </c>
      <c r="U4" s="78" t="s">
        <v>147</v>
      </c>
      <c r="V4" s="78" t="s">
        <v>147</v>
      </c>
      <c r="W4" s="78" t="s">
        <v>557</v>
      </c>
      <c r="X4" s="78" t="s">
        <v>147</v>
      </c>
      <c r="Y4" s="78" t="s">
        <v>147</v>
      </c>
      <c r="Z4" s="78" t="s">
        <v>147</v>
      </c>
      <c r="AA4" s="78" t="s">
        <v>147</v>
      </c>
      <c r="AB4" s="78" t="s">
        <v>147</v>
      </c>
      <c r="AC4" s="49" t="s">
        <v>400</v>
      </c>
      <c r="AD4" s="49" t="s">
        <v>560</v>
      </c>
      <c r="AE4" s="12"/>
    </row>
    <row r="5" spans="1:31" ht="30" customHeight="1">
      <c r="A5" s="49">
        <v>6</v>
      </c>
      <c r="B5" s="79" t="s">
        <v>87</v>
      </c>
      <c r="C5" s="292">
        <v>46029</v>
      </c>
      <c r="D5" s="292">
        <v>46042</v>
      </c>
      <c r="E5" s="167" t="s">
        <v>561</v>
      </c>
      <c r="F5" s="114" t="s">
        <v>336</v>
      </c>
      <c r="G5" s="165">
        <v>51250</v>
      </c>
      <c r="H5" s="114" t="s">
        <v>562</v>
      </c>
      <c r="I5" s="337" t="s">
        <v>358</v>
      </c>
      <c r="J5" s="49">
        <v>2</v>
      </c>
      <c r="K5" s="49">
        <f t="shared" si="0"/>
        <v>2</v>
      </c>
      <c r="L5" s="49">
        <v>8</v>
      </c>
      <c r="M5" s="176">
        <v>46036</v>
      </c>
      <c r="N5" s="176">
        <v>46036</v>
      </c>
      <c r="O5" s="78" t="s">
        <v>335</v>
      </c>
      <c r="P5" s="49" t="s">
        <v>40</v>
      </c>
      <c r="Q5" s="49" t="s">
        <v>345</v>
      </c>
      <c r="R5" s="49" t="s">
        <v>40</v>
      </c>
      <c r="S5" s="49" t="s">
        <v>345</v>
      </c>
      <c r="T5" s="48" t="s">
        <v>563</v>
      </c>
      <c r="U5" s="176">
        <v>46036</v>
      </c>
      <c r="V5" s="176">
        <v>46036</v>
      </c>
      <c r="W5" s="49" t="s">
        <v>40</v>
      </c>
      <c r="X5" s="49" t="s">
        <v>147</v>
      </c>
      <c r="Y5" s="49" t="s">
        <v>344</v>
      </c>
      <c r="Z5" s="176">
        <v>46038</v>
      </c>
      <c r="AA5" s="49" t="s">
        <v>147</v>
      </c>
      <c r="AB5" s="346" t="s">
        <v>147</v>
      </c>
      <c r="AC5" s="346" t="s">
        <v>147</v>
      </c>
      <c r="AD5" s="357" t="s">
        <v>564</v>
      </c>
      <c r="AE5" s="346" t="s">
        <v>340</v>
      </c>
    </row>
  </sheetData>
  <dataValidations count="1">
    <dataValidation type="list" allowBlank="1" showInputMessage="1" showErrorMessage="1" sqref="AE2 AE5" xr:uid="{0FC61E0B-A1F0-43F2-9E6F-1359A33F5D4C}">
      <formula1>"Exceeds Expectation, Meets Expectation, Needs Improvement"</formula1>
    </dataValidation>
  </dataValidations>
  <hyperlinks>
    <hyperlink ref="T2" r:id="rId1" xr:uid="{29043E44-998E-4DF9-9D34-649928D26E12}"/>
    <hyperlink ref="T5" r:id="rId2" xr:uid="{ADF75FC9-9466-4ED8-95DD-C679AD8DB59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AC9768B-4BC8-4F0D-A52F-94777C6110AD}">
          <x14:formula1>
            <xm:f>Settings!$C$3:$C$20</xm:f>
          </x14:formula1>
          <xm:sqref>I2:I5</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142CA-6E51-4D79-AD7A-E8EDFD76EE53}">
  <dimension ref="A1:T7"/>
  <sheetViews>
    <sheetView workbookViewId="0">
      <selection activeCell="B8" sqref="B8"/>
    </sheetView>
  </sheetViews>
  <sheetFormatPr defaultRowHeight="12.75"/>
  <cols>
    <col min="1" max="1" width="19.5703125" customWidth="1"/>
    <col min="2" max="2" width="11.140625" style="52" customWidth="1"/>
    <col min="3" max="3" width="10.140625" style="52" customWidth="1"/>
    <col min="4" max="4" width="15.7109375" style="52" customWidth="1"/>
    <col min="5" max="5" width="13.28515625" style="52" customWidth="1"/>
    <col min="6" max="6" width="45" style="285" customWidth="1"/>
    <col min="7" max="7" width="9.140625" style="52"/>
    <col min="8" max="8" width="10" style="52" customWidth="1"/>
    <col min="9" max="9" width="10.5703125" style="52" customWidth="1"/>
    <col min="10" max="10" width="27.5703125" customWidth="1"/>
    <col min="11" max="11" width="8.85546875" style="52" customWidth="1"/>
    <col min="12" max="13" width="9.140625" style="52"/>
    <col min="14" max="14" width="16.5703125" style="52" customWidth="1"/>
    <col min="15" max="15" width="28.7109375" style="52" customWidth="1"/>
    <col min="16" max="16" width="9.140625" style="341"/>
    <col min="17" max="19" width="9.140625" style="342"/>
    <col min="20" max="20" width="9.140625" style="343"/>
  </cols>
  <sheetData>
    <row r="1" spans="1:20" s="52" customFormat="1" ht="40.5">
      <c r="A1" s="26" t="s">
        <v>74</v>
      </c>
      <c r="B1" s="26" t="s">
        <v>75</v>
      </c>
      <c r="C1" s="26" t="s">
        <v>76</v>
      </c>
      <c r="D1" s="26" t="s">
        <v>2</v>
      </c>
      <c r="E1" s="26" t="s">
        <v>77</v>
      </c>
      <c r="F1" s="26" t="s">
        <v>78</v>
      </c>
      <c r="G1" s="26" t="s">
        <v>79</v>
      </c>
      <c r="H1" s="26" t="s">
        <v>80</v>
      </c>
      <c r="I1" s="26" t="s">
        <v>81</v>
      </c>
      <c r="J1" s="26" t="s">
        <v>4</v>
      </c>
      <c r="K1" s="26" t="s">
        <v>312</v>
      </c>
      <c r="L1" s="26" t="s">
        <v>313</v>
      </c>
      <c r="M1" s="26" t="s">
        <v>314</v>
      </c>
      <c r="N1" s="344" t="s">
        <v>82</v>
      </c>
      <c r="O1" s="46" t="s">
        <v>5</v>
      </c>
      <c r="P1" s="136"/>
      <c r="Q1" s="340"/>
      <c r="R1" s="340"/>
      <c r="S1" s="340"/>
      <c r="T1" s="129"/>
    </row>
    <row r="2" spans="1:20" ht="42.75" customHeight="1">
      <c r="A2" s="167" t="s">
        <v>267</v>
      </c>
      <c r="B2" s="49">
        <v>26510</v>
      </c>
      <c r="C2" s="49"/>
      <c r="D2" s="49" t="s">
        <v>40</v>
      </c>
      <c r="E2" s="114" t="s">
        <v>394</v>
      </c>
      <c r="F2" s="114" t="s">
        <v>565</v>
      </c>
      <c r="G2" s="114" t="s">
        <v>473</v>
      </c>
      <c r="H2" s="114" t="s">
        <v>353</v>
      </c>
      <c r="I2" s="69" t="s">
        <v>354</v>
      </c>
      <c r="J2" s="133" t="s">
        <v>396</v>
      </c>
      <c r="K2" s="114"/>
      <c r="L2" s="100"/>
      <c r="M2" s="114"/>
      <c r="N2" s="177" t="s">
        <v>356</v>
      </c>
      <c r="O2" s="288" t="s">
        <v>545</v>
      </c>
    </row>
    <row r="3" spans="1:20" ht="36">
      <c r="A3" s="167" t="s">
        <v>267</v>
      </c>
      <c r="B3" s="114">
        <v>26509</v>
      </c>
      <c r="C3" s="49"/>
      <c r="D3" s="49" t="s">
        <v>49</v>
      </c>
      <c r="E3" s="114" t="s">
        <v>394</v>
      </c>
      <c r="F3" s="114" t="s">
        <v>566</v>
      </c>
      <c r="G3" s="49" t="s">
        <v>473</v>
      </c>
      <c r="H3" s="49" t="s">
        <v>353</v>
      </c>
      <c r="I3" s="69" t="s">
        <v>354</v>
      </c>
      <c r="J3" s="133" t="s">
        <v>396</v>
      </c>
      <c r="K3" s="49"/>
      <c r="L3" s="100"/>
      <c r="M3" s="49"/>
      <c r="N3" s="177" t="s">
        <v>356</v>
      </c>
      <c r="O3" s="114" t="s">
        <v>567</v>
      </c>
    </row>
    <row r="4" spans="1:20" s="12" customFormat="1" ht="35.25" customHeight="1">
      <c r="A4" s="167" t="s">
        <v>267</v>
      </c>
      <c r="B4" s="49">
        <v>26512</v>
      </c>
      <c r="C4" s="49"/>
      <c r="D4" s="49" t="s">
        <v>40</v>
      </c>
      <c r="E4" s="49" t="s">
        <v>394</v>
      </c>
      <c r="F4" s="114" t="s">
        <v>568</v>
      </c>
      <c r="G4" s="49" t="s">
        <v>473</v>
      </c>
      <c r="H4" s="49" t="s">
        <v>353</v>
      </c>
      <c r="I4" s="69" t="s">
        <v>354</v>
      </c>
      <c r="J4" s="133" t="s">
        <v>396</v>
      </c>
      <c r="K4" s="49"/>
      <c r="L4" s="100"/>
      <c r="M4" s="49"/>
      <c r="N4" s="177" t="s">
        <v>356</v>
      </c>
      <c r="O4" s="288" t="s">
        <v>545</v>
      </c>
      <c r="P4" s="247"/>
    </row>
    <row r="5" spans="1:20" s="12" customFormat="1" ht="36">
      <c r="A5" s="167" t="s">
        <v>267</v>
      </c>
      <c r="B5" s="49">
        <v>26511</v>
      </c>
      <c r="C5" s="49"/>
      <c r="D5" s="49" t="s">
        <v>336</v>
      </c>
      <c r="E5" s="49" t="s">
        <v>394</v>
      </c>
      <c r="F5" s="114" t="s">
        <v>569</v>
      </c>
      <c r="G5" s="49" t="s">
        <v>473</v>
      </c>
      <c r="H5" s="49" t="s">
        <v>353</v>
      </c>
      <c r="I5" s="69" t="s">
        <v>354</v>
      </c>
      <c r="J5" s="345" t="s">
        <v>396</v>
      </c>
      <c r="K5" s="49"/>
      <c r="L5" s="100"/>
      <c r="M5" s="49"/>
      <c r="N5" s="177" t="s">
        <v>356</v>
      </c>
      <c r="O5" s="288" t="s">
        <v>570</v>
      </c>
      <c r="P5" s="247"/>
    </row>
    <row r="6" spans="1:20" ht="38.25" customHeight="1">
      <c r="A6" s="170" t="s">
        <v>561</v>
      </c>
      <c r="B6" s="69">
        <v>26489</v>
      </c>
      <c r="C6" s="69"/>
      <c r="D6" s="69" t="s">
        <v>40</v>
      </c>
      <c r="E6" s="69" t="s">
        <v>394</v>
      </c>
      <c r="F6" s="149" t="s">
        <v>571</v>
      </c>
      <c r="G6" s="69" t="s">
        <v>473</v>
      </c>
      <c r="H6" s="69" t="s">
        <v>353</v>
      </c>
      <c r="I6" s="69" t="s">
        <v>354</v>
      </c>
      <c r="J6" s="356" t="s">
        <v>396</v>
      </c>
      <c r="K6" s="69"/>
      <c r="L6" s="103"/>
      <c r="M6" s="69"/>
      <c r="N6" s="178" t="s">
        <v>356</v>
      </c>
      <c r="O6" s="289" t="s">
        <v>545</v>
      </c>
    </row>
    <row r="7" spans="1:20" s="19" customFormat="1" ht="84">
      <c r="A7" s="167" t="s">
        <v>561</v>
      </c>
      <c r="B7" s="49">
        <v>26544</v>
      </c>
      <c r="C7" s="49"/>
      <c r="D7" s="49" t="s">
        <v>336</v>
      </c>
      <c r="E7" s="49" t="s">
        <v>394</v>
      </c>
      <c r="F7" s="114" t="s">
        <v>572</v>
      </c>
      <c r="G7" s="49" t="s">
        <v>473</v>
      </c>
      <c r="H7" s="49" t="s">
        <v>353</v>
      </c>
      <c r="I7" s="49" t="s">
        <v>354</v>
      </c>
      <c r="J7" s="133" t="s">
        <v>396</v>
      </c>
      <c r="K7" s="49"/>
      <c r="L7" s="100"/>
      <c r="M7" s="49"/>
      <c r="N7" s="164" t="s">
        <v>356</v>
      </c>
      <c r="O7" s="288" t="s">
        <v>573</v>
      </c>
      <c r="P7" s="331"/>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FF7B84E1-DD2A-4682-BE0F-8CD201B900C1}">
          <x14:formula1>
            <xm:f>Settings!$C$3:$C$20</xm:f>
          </x14:formula1>
          <xm:sqref>J2:J7</xm:sqref>
        </x14:dataValidation>
        <x14:dataValidation type="list" allowBlank="1" showErrorMessage="1" xr:uid="{9C2CF8A7-89DB-420C-B6D3-1829796F3820}">
          <x14:formula1>
            <xm:f>Details!$A$2:$A$10</xm:f>
          </x14:formula1>
          <xm:sqref>N2:N7</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CBCF-057E-4F4A-8CCC-10D9F5109C08}">
  <dimension ref="A1:AF14"/>
  <sheetViews>
    <sheetView topLeftCell="D4" workbookViewId="0">
      <selection activeCell="H10" sqref="H10"/>
    </sheetView>
  </sheetViews>
  <sheetFormatPr defaultRowHeight="30" customHeight="1"/>
  <cols>
    <col min="1" max="1" width="4.7109375" style="52" bestFit="1" customWidth="1"/>
    <col min="3" max="3" width="11" customWidth="1"/>
    <col min="4" max="4" width="12" customWidth="1"/>
    <col min="5" max="5" width="19.28515625" customWidth="1"/>
    <col min="6" max="6" width="13.140625" customWidth="1"/>
    <col min="7" max="7" width="11" bestFit="1" customWidth="1"/>
    <col min="8" max="8" width="42.7109375" customWidth="1"/>
    <col min="9" max="9" width="23.5703125" customWidth="1"/>
    <col min="10" max="10" width="9.140625" style="52"/>
    <col min="11" max="11" width="9" bestFit="1" customWidth="1"/>
    <col min="12" max="12" width="9.140625" style="52"/>
    <col min="13" max="13" width="10" bestFit="1" customWidth="1"/>
    <col min="14" max="14" width="11.85546875" customWidth="1"/>
    <col min="16" max="18" width="9.140625" style="52"/>
    <col min="19" max="19" width="13.5703125" style="52" customWidth="1"/>
    <col min="20" max="20" width="17.42578125" style="52" customWidth="1"/>
    <col min="21" max="21" width="10" style="52" bestFit="1" customWidth="1"/>
    <col min="22" max="22" width="12" customWidth="1"/>
    <col min="26" max="26" width="11.7109375" customWidth="1"/>
    <col min="28" max="28" width="25.28515625" customWidth="1"/>
    <col min="30" max="30" width="24.5703125" customWidth="1"/>
    <col min="31" max="31" width="18.7109375" bestFit="1" customWidth="1"/>
  </cols>
  <sheetData>
    <row r="1" spans="1:32" ht="75.75" customHeight="1">
      <c r="A1" s="26" t="s">
        <v>73</v>
      </c>
      <c r="B1" s="26" t="s">
        <v>1</v>
      </c>
      <c r="C1" s="26" t="s">
        <v>85</v>
      </c>
      <c r="D1" s="26" t="s">
        <v>86</v>
      </c>
      <c r="E1" s="26" t="s">
        <v>310</v>
      </c>
      <c r="F1" s="26" t="s">
        <v>2</v>
      </c>
      <c r="G1" s="157" t="s">
        <v>311</v>
      </c>
      <c r="H1" s="157" t="s">
        <v>3</v>
      </c>
      <c r="I1" s="26" t="s">
        <v>4</v>
      </c>
      <c r="J1" s="26" t="s">
        <v>312</v>
      </c>
      <c r="K1" s="26" t="s">
        <v>313</v>
      </c>
      <c r="L1" s="26" t="s">
        <v>314</v>
      </c>
      <c r="M1" s="26" t="s">
        <v>315</v>
      </c>
      <c r="N1" s="26" t="s">
        <v>316</v>
      </c>
      <c r="O1" s="26" t="s">
        <v>317</v>
      </c>
      <c r="P1" s="26" t="s">
        <v>318</v>
      </c>
      <c r="Q1" s="26" t="s">
        <v>319</v>
      </c>
      <c r="R1" s="26" t="s">
        <v>320</v>
      </c>
      <c r="S1" s="26" t="s">
        <v>321</v>
      </c>
      <c r="T1" s="26" t="s">
        <v>322</v>
      </c>
      <c r="U1" s="26" t="s">
        <v>323</v>
      </c>
      <c r="V1" s="26" t="s">
        <v>324</v>
      </c>
      <c r="W1" s="26" t="s">
        <v>325</v>
      </c>
      <c r="X1" s="26" t="s">
        <v>326</v>
      </c>
      <c r="Y1" s="26" t="s">
        <v>327</v>
      </c>
      <c r="Z1" s="26" t="s">
        <v>328</v>
      </c>
      <c r="AA1" s="26" t="s">
        <v>329</v>
      </c>
      <c r="AB1" s="26" t="s">
        <v>330</v>
      </c>
      <c r="AC1" s="26" t="s">
        <v>331</v>
      </c>
      <c r="AD1" s="46" t="s">
        <v>5</v>
      </c>
      <c r="AE1" s="26" t="s">
        <v>332</v>
      </c>
    </row>
    <row r="2" spans="1:32" ht="36" customHeight="1">
      <c r="A2" s="165">
        <v>1</v>
      </c>
      <c r="B2" s="79" t="s">
        <v>87</v>
      </c>
      <c r="C2" s="292">
        <v>46001</v>
      </c>
      <c r="D2" s="292">
        <v>46028</v>
      </c>
      <c r="E2" s="167" t="s">
        <v>261</v>
      </c>
      <c r="F2" s="114" t="s">
        <v>40</v>
      </c>
      <c r="G2" s="165">
        <v>50627</v>
      </c>
      <c r="H2" s="165" t="s">
        <v>574</v>
      </c>
      <c r="I2" s="256" t="s">
        <v>358</v>
      </c>
      <c r="J2" s="100">
        <v>1</v>
      </c>
      <c r="K2" s="100">
        <f>L2/4</f>
        <v>0</v>
      </c>
      <c r="L2" s="49"/>
      <c r="M2" s="176">
        <v>45980</v>
      </c>
      <c r="N2" s="176">
        <v>45987</v>
      </c>
      <c r="O2" s="78" t="s">
        <v>335</v>
      </c>
      <c r="P2" s="78" t="s">
        <v>49</v>
      </c>
      <c r="Q2" s="78" t="s">
        <v>400</v>
      </c>
      <c r="R2" s="78" t="s">
        <v>49</v>
      </c>
      <c r="S2" s="78" t="s">
        <v>400</v>
      </c>
      <c r="T2" s="48" t="s">
        <v>575</v>
      </c>
      <c r="U2" s="276">
        <v>45982</v>
      </c>
      <c r="V2" s="176">
        <v>45987</v>
      </c>
      <c r="W2" s="100" t="s">
        <v>344</v>
      </c>
      <c r="X2" s="100" t="s">
        <v>345</v>
      </c>
      <c r="Y2" s="100" t="s">
        <v>344</v>
      </c>
      <c r="Z2" s="176">
        <v>45987</v>
      </c>
      <c r="AA2" s="100" t="s">
        <v>345</v>
      </c>
      <c r="AB2" s="49" t="s">
        <v>345</v>
      </c>
      <c r="AC2" s="100" t="s">
        <v>345</v>
      </c>
      <c r="AD2" s="100" t="s">
        <v>345</v>
      </c>
      <c r="AE2" s="12" t="s">
        <v>340</v>
      </c>
    </row>
    <row r="3" spans="1:32" s="52" customFormat="1" ht="30" customHeight="1">
      <c r="A3" s="49">
        <v>2</v>
      </c>
      <c r="B3" s="79" t="s">
        <v>87</v>
      </c>
      <c r="C3" s="292">
        <v>46001</v>
      </c>
      <c r="D3" s="292">
        <v>46028</v>
      </c>
      <c r="E3" s="167" t="s">
        <v>261</v>
      </c>
      <c r="F3" s="114" t="s">
        <v>40</v>
      </c>
      <c r="G3" s="321">
        <v>50824</v>
      </c>
      <c r="H3" s="165" t="s">
        <v>575</v>
      </c>
      <c r="I3" s="256" t="s">
        <v>358</v>
      </c>
      <c r="J3" s="49">
        <v>1</v>
      </c>
      <c r="K3" s="100">
        <f>L3/4</f>
        <v>0</v>
      </c>
      <c r="L3" s="49"/>
      <c r="M3" s="176">
        <v>45980</v>
      </c>
      <c r="N3" s="176">
        <v>45981</v>
      </c>
      <c r="O3" s="78" t="s">
        <v>335</v>
      </c>
      <c r="P3" s="114" t="s">
        <v>40</v>
      </c>
      <c r="Q3" s="78" t="s">
        <v>400</v>
      </c>
      <c r="R3" s="114" t="s">
        <v>40</v>
      </c>
      <c r="S3" s="78" t="s">
        <v>400</v>
      </c>
      <c r="T3" s="48" t="s">
        <v>576</v>
      </c>
      <c r="U3" s="276">
        <v>45982</v>
      </c>
      <c r="V3" s="276">
        <v>45985</v>
      </c>
      <c r="W3" s="100" t="s">
        <v>344</v>
      </c>
      <c r="X3" s="100" t="s">
        <v>345</v>
      </c>
      <c r="Y3" s="100" t="s">
        <v>344</v>
      </c>
      <c r="Z3" s="276">
        <v>45985</v>
      </c>
      <c r="AA3" s="49" t="s">
        <v>345</v>
      </c>
      <c r="AB3" s="49" t="s">
        <v>345</v>
      </c>
      <c r="AC3" s="100" t="s">
        <v>345</v>
      </c>
      <c r="AD3" s="100" t="s">
        <v>345</v>
      </c>
      <c r="AE3" s="12" t="s">
        <v>340</v>
      </c>
    </row>
    <row r="4" spans="1:32" ht="30" customHeight="1">
      <c r="A4" s="69">
        <v>3</v>
      </c>
      <c r="B4" s="104" t="s">
        <v>87</v>
      </c>
      <c r="C4" s="277">
        <v>46001</v>
      </c>
      <c r="D4" s="292">
        <v>46028</v>
      </c>
      <c r="E4" s="170" t="s">
        <v>261</v>
      </c>
      <c r="F4" s="149" t="s">
        <v>40</v>
      </c>
      <c r="G4" s="169">
        <v>50775</v>
      </c>
      <c r="H4" s="169" t="s">
        <v>577</v>
      </c>
      <c r="I4" s="256" t="s">
        <v>358</v>
      </c>
      <c r="J4" s="69">
        <v>5</v>
      </c>
      <c r="K4" s="100">
        <f>L4/4</f>
        <v>4.75</v>
      </c>
      <c r="L4" s="69">
        <v>19</v>
      </c>
      <c r="M4" s="181">
        <v>45999</v>
      </c>
      <c r="N4" s="181">
        <v>46002</v>
      </c>
      <c r="O4" s="78" t="s">
        <v>335</v>
      </c>
      <c r="P4" s="78" t="s">
        <v>49</v>
      </c>
      <c r="Q4" s="78" t="s">
        <v>400</v>
      </c>
      <c r="R4" s="78" t="s">
        <v>49</v>
      </c>
      <c r="S4" s="78" t="s">
        <v>400</v>
      </c>
      <c r="T4" s="48" t="s">
        <v>578</v>
      </c>
      <c r="U4" s="181">
        <v>46002</v>
      </c>
      <c r="V4" s="276">
        <v>45983</v>
      </c>
      <c r="W4" s="100" t="s">
        <v>344</v>
      </c>
      <c r="X4" s="100" t="s">
        <v>345</v>
      </c>
      <c r="Y4" s="100" t="s">
        <v>344</v>
      </c>
      <c r="Z4" s="276">
        <v>45983</v>
      </c>
      <c r="AA4" s="49" t="s">
        <v>345</v>
      </c>
      <c r="AB4" s="49" t="s">
        <v>345</v>
      </c>
      <c r="AC4" s="100" t="s">
        <v>345</v>
      </c>
      <c r="AD4" s="150" t="s">
        <v>579</v>
      </c>
      <c r="AE4" s="19" t="s">
        <v>340</v>
      </c>
    </row>
    <row r="5" spans="1:32" ht="30" customHeight="1">
      <c r="A5" s="49">
        <v>4</v>
      </c>
      <c r="B5" s="79" t="s">
        <v>87</v>
      </c>
      <c r="C5" s="277">
        <v>46001</v>
      </c>
      <c r="D5" s="292">
        <v>46028</v>
      </c>
      <c r="E5" s="167" t="s">
        <v>261</v>
      </c>
      <c r="F5" s="49" t="s">
        <v>49</v>
      </c>
      <c r="G5" s="169">
        <v>48556</v>
      </c>
      <c r="H5" s="169" t="s">
        <v>580</v>
      </c>
      <c r="I5" s="254" t="s">
        <v>358</v>
      </c>
      <c r="J5" s="69">
        <v>1</v>
      </c>
      <c r="K5" s="103">
        <f>L5/4</f>
        <v>0</v>
      </c>
      <c r="L5" s="69"/>
      <c r="M5" s="181" t="s">
        <v>581</v>
      </c>
      <c r="N5" s="181">
        <v>45669</v>
      </c>
      <c r="O5" s="69" t="s">
        <v>335</v>
      </c>
      <c r="P5" s="69" t="s">
        <v>40</v>
      </c>
      <c r="Q5" s="69" t="s">
        <v>400</v>
      </c>
      <c r="R5" s="69" t="s">
        <v>40</v>
      </c>
      <c r="S5" s="149" t="s">
        <v>582</v>
      </c>
      <c r="T5" s="278" t="s">
        <v>583</v>
      </c>
      <c r="U5" s="329">
        <v>45700</v>
      </c>
      <c r="V5" s="273">
        <v>45995</v>
      </c>
      <c r="W5" s="103" t="s">
        <v>344</v>
      </c>
      <c r="X5" s="103" t="s">
        <v>345</v>
      </c>
      <c r="Y5" s="103" t="s">
        <v>344</v>
      </c>
      <c r="Z5" s="273">
        <v>45995</v>
      </c>
      <c r="AA5" s="69" t="s">
        <v>345</v>
      </c>
      <c r="AB5" s="19" t="s">
        <v>584</v>
      </c>
      <c r="AC5" s="69" t="s">
        <v>345</v>
      </c>
      <c r="AD5" s="69" t="s">
        <v>345</v>
      </c>
      <c r="AE5" s="19" t="s">
        <v>340</v>
      </c>
    </row>
    <row r="6" spans="1:32" ht="30" customHeight="1">
      <c r="A6" s="69">
        <v>5</v>
      </c>
      <c r="B6" s="324" t="s">
        <v>87</v>
      </c>
      <c r="C6" s="277">
        <v>46001</v>
      </c>
      <c r="D6" s="277">
        <v>46028</v>
      </c>
      <c r="E6" s="281" t="s">
        <v>261</v>
      </c>
      <c r="F6" s="325" t="s">
        <v>49</v>
      </c>
      <c r="G6" s="326">
        <v>47504</v>
      </c>
      <c r="H6" s="165" t="s">
        <v>585</v>
      </c>
      <c r="I6" s="256" t="s">
        <v>358</v>
      </c>
      <c r="J6" s="114">
        <v>1</v>
      </c>
      <c r="K6" s="100">
        <f>L6/4</f>
        <v>2</v>
      </c>
      <c r="L6" s="190">
        <v>8</v>
      </c>
      <c r="M6" s="176">
        <v>45996</v>
      </c>
      <c r="N6" s="176">
        <v>45999</v>
      </c>
      <c r="O6" s="250" t="s">
        <v>335</v>
      </c>
      <c r="P6" s="114" t="s">
        <v>40</v>
      </c>
      <c r="Q6" s="114" t="s">
        <v>400</v>
      </c>
      <c r="R6" s="114" t="s">
        <v>40</v>
      </c>
      <c r="S6" s="114" t="s">
        <v>586</v>
      </c>
      <c r="T6" s="48" t="s">
        <v>587</v>
      </c>
      <c r="U6" s="327">
        <v>45881</v>
      </c>
      <c r="V6" s="276">
        <v>46000</v>
      </c>
      <c r="W6" s="100" t="s">
        <v>344</v>
      </c>
      <c r="X6" s="100" t="s">
        <v>345</v>
      </c>
      <c r="Y6" s="100" t="s">
        <v>344</v>
      </c>
      <c r="Z6" s="276">
        <v>46000</v>
      </c>
      <c r="AA6" s="49" t="s">
        <v>345</v>
      </c>
      <c r="AB6" s="114" t="s">
        <v>588</v>
      </c>
      <c r="AC6" s="49" t="s">
        <v>345</v>
      </c>
      <c r="AD6" s="49" t="s">
        <v>345</v>
      </c>
      <c r="AE6" s="12" t="s">
        <v>340</v>
      </c>
      <c r="AF6" s="285"/>
    </row>
    <row r="7" spans="1:32" ht="30" customHeight="1">
      <c r="A7" s="69">
        <v>6</v>
      </c>
      <c r="B7" s="324" t="s">
        <v>87</v>
      </c>
      <c r="C7" s="277">
        <v>46001</v>
      </c>
      <c r="D7" s="277">
        <v>46028</v>
      </c>
      <c r="E7" s="281" t="s">
        <v>261</v>
      </c>
      <c r="F7" s="149" t="s">
        <v>448</v>
      </c>
      <c r="G7" s="326">
        <v>50799</v>
      </c>
      <c r="H7" s="165" t="s">
        <v>589</v>
      </c>
      <c r="I7" s="256" t="s">
        <v>358</v>
      </c>
      <c r="J7" s="114">
        <v>13</v>
      </c>
      <c r="K7" s="100">
        <f>L7/4</f>
        <v>14</v>
      </c>
      <c r="L7" s="190">
        <v>56</v>
      </c>
      <c r="M7" s="176">
        <v>46013</v>
      </c>
      <c r="N7" s="176"/>
      <c r="O7" s="250"/>
      <c r="P7" s="114"/>
      <c r="Q7" s="114"/>
      <c r="R7" s="114"/>
      <c r="S7" s="114"/>
      <c r="T7" s="48"/>
      <c r="U7" s="327"/>
      <c r="V7" s="276"/>
      <c r="W7" s="100"/>
      <c r="X7" s="100"/>
      <c r="Y7" s="100"/>
      <c r="Z7" s="276"/>
      <c r="AA7" s="49"/>
      <c r="AB7" s="114"/>
      <c r="AC7" s="49"/>
      <c r="AD7" s="49"/>
      <c r="AE7" s="12"/>
      <c r="AF7" s="285"/>
    </row>
    <row r="8" spans="1:32" ht="30" customHeight="1">
      <c r="A8" s="49">
        <v>7</v>
      </c>
      <c r="B8" s="79" t="s">
        <v>87</v>
      </c>
      <c r="C8" s="292">
        <v>46001</v>
      </c>
      <c r="D8" s="292">
        <v>46028</v>
      </c>
      <c r="E8" s="170" t="s">
        <v>590</v>
      </c>
      <c r="F8" s="114" t="s">
        <v>349</v>
      </c>
      <c r="G8" s="328">
        <v>51199</v>
      </c>
      <c r="H8" s="49" t="s">
        <v>591</v>
      </c>
      <c r="I8" s="256" t="s">
        <v>358</v>
      </c>
      <c r="J8" s="49">
        <v>13</v>
      </c>
      <c r="K8" s="100">
        <f>L8/4</f>
        <v>7.5</v>
      </c>
      <c r="L8" s="63">
        <v>30</v>
      </c>
      <c r="M8" s="176">
        <v>46002</v>
      </c>
      <c r="N8" s="176"/>
      <c r="O8" s="247"/>
      <c r="P8" s="49"/>
      <c r="Q8" s="49"/>
      <c r="R8" s="49"/>
      <c r="S8" s="49"/>
      <c r="T8" s="49"/>
      <c r="U8" s="49"/>
      <c r="V8" s="12"/>
      <c r="W8" s="12"/>
      <c r="X8" s="12"/>
      <c r="Y8" s="12"/>
      <c r="Z8" s="12"/>
      <c r="AA8" s="12"/>
      <c r="AB8" s="12"/>
      <c r="AC8" s="12"/>
      <c r="AD8" s="12" t="s">
        <v>592</v>
      </c>
      <c r="AE8" s="12"/>
    </row>
    <row r="9" spans="1:32" ht="30" customHeight="1">
      <c r="A9" s="69">
        <v>8</v>
      </c>
      <c r="B9" s="104" t="s">
        <v>87</v>
      </c>
      <c r="C9" s="277">
        <v>46001</v>
      </c>
      <c r="D9" s="277">
        <v>46028</v>
      </c>
      <c r="E9" s="170" t="s">
        <v>590</v>
      </c>
      <c r="F9" s="149" t="s">
        <v>40</v>
      </c>
      <c r="G9" s="326">
        <v>45875</v>
      </c>
      <c r="H9" s="165" t="s">
        <v>593</v>
      </c>
      <c r="I9" s="256" t="s">
        <v>358</v>
      </c>
      <c r="J9" s="114">
        <v>5</v>
      </c>
      <c r="K9" s="100">
        <f>L9/4</f>
        <v>6</v>
      </c>
      <c r="L9" s="190">
        <v>24</v>
      </c>
      <c r="M9" s="176">
        <v>46003</v>
      </c>
      <c r="N9" s="176">
        <v>46007</v>
      </c>
      <c r="O9" s="330" t="s">
        <v>335</v>
      </c>
      <c r="P9" s="78" t="s">
        <v>49</v>
      </c>
      <c r="Q9" s="78" t="s">
        <v>400</v>
      </c>
      <c r="R9" s="78" t="s">
        <v>49</v>
      </c>
      <c r="S9" s="78" t="s">
        <v>400</v>
      </c>
      <c r="T9" s="48" t="s">
        <v>594</v>
      </c>
      <c r="U9" s="327">
        <v>46007</v>
      </c>
      <c r="V9" s="276">
        <v>46009</v>
      </c>
      <c r="W9" s="100" t="s">
        <v>344</v>
      </c>
      <c r="X9" s="100" t="s">
        <v>345</v>
      </c>
      <c r="Y9" s="100" t="s">
        <v>344</v>
      </c>
      <c r="Z9" s="276">
        <v>46009</v>
      </c>
      <c r="AA9" s="49" t="s">
        <v>345</v>
      </c>
      <c r="AB9" s="49" t="s">
        <v>345</v>
      </c>
      <c r="AC9" s="100" t="s">
        <v>345</v>
      </c>
      <c r="AD9" s="49" t="s">
        <v>345</v>
      </c>
      <c r="AE9" s="12" t="s">
        <v>340</v>
      </c>
      <c r="AF9" s="285"/>
    </row>
    <row r="10" spans="1:32" ht="30" customHeight="1">
      <c r="A10" s="49">
        <v>9</v>
      </c>
      <c r="B10" s="79" t="s">
        <v>87</v>
      </c>
      <c r="C10" s="292">
        <v>46001</v>
      </c>
      <c r="D10" s="333">
        <v>46028</v>
      </c>
      <c r="E10" s="170" t="s">
        <v>590</v>
      </c>
      <c r="F10" s="69" t="s">
        <v>49</v>
      </c>
      <c r="G10" s="326">
        <v>51036</v>
      </c>
      <c r="H10" s="149" t="s">
        <v>550</v>
      </c>
      <c r="I10" s="54" t="s">
        <v>334</v>
      </c>
      <c r="J10" s="69"/>
      <c r="K10" s="103">
        <f>L10/4</f>
        <v>5.75</v>
      </c>
      <c r="L10" s="130">
        <v>23</v>
      </c>
      <c r="M10" s="181">
        <v>46003</v>
      </c>
      <c r="N10" s="181"/>
      <c r="O10" s="331"/>
      <c r="P10" s="69"/>
      <c r="Q10" s="69"/>
      <c r="R10" s="69"/>
      <c r="S10" s="69"/>
      <c r="T10" s="69"/>
      <c r="U10" s="69"/>
      <c r="V10" s="19"/>
      <c r="W10" s="19"/>
      <c r="X10" s="19"/>
      <c r="Y10" s="19"/>
      <c r="Z10" s="19"/>
      <c r="AA10" s="19"/>
      <c r="AB10" s="19"/>
      <c r="AC10" s="19"/>
      <c r="AD10" s="19"/>
      <c r="AE10" s="19" t="s">
        <v>340</v>
      </c>
    </row>
    <row r="11" spans="1:32" ht="30" customHeight="1">
      <c r="A11" s="49">
        <v>10</v>
      </c>
      <c r="B11" s="79" t="s">
        <v>87</v>
      </c>
      <c r="C11" s="292">
        <v>46001</v>
      </c>
      <c r="D11" s="333">
        <v>46028</v>
      </c>
      <c r="E11" s="170" t="s">
        <v>261</v>
      </c>
      <c r="F11" s="149" t="s">
        <v>448</v>
      </c>
      <c r="G11" s="49">
        <v>50800</v>
      </c>
      <c r="H11" s="332" t="s">
        <v>595</v>
      </c>
      <c r="I11" s="256" t="s">
        <v>358</v>
      </c>
      <c r="J11" s="49">
        <v>13</v>
      </c>
      <c r="K11" s="100">
        <f>L11/4</f>
        <v>12</v>
      </c>
      <c r="L11" s="49">
        <v>48</v>
      </c>
      <c r="M11" s="176">
        <v>46013</v>
      </c>
      <c r="N11" s="12"/>
      <c r="O11" s="12"/>
      <c r="P11" s="49"/>
      <c r="Q11" s="49"/>
      <c r="R11" s="49"/>
      <c r="S11" s="49"/>
      <c r="T11" s="49"/>
      <c r="U11" s="49"/>
      <c r="V11" s="12"/>
      <c r="W11" s="12"/>
      <c r="X11" s="12"/>
      <c r="Y11" s="12"/>
      <c r="Z11" s="12"/>
      <c r="AA11" s="12"/>
      <c r="AB11" s="12"/>
      <c r="AC11" s="12"/>
      <c r="AD11" s="12"/>
      <c r="AE11" s="12"/>
    </row>
    <row r="12" spans="1:32" ht="30" customHeight="1">
      <c r="A12" s="49">
        <v>11</v>
      </c>
      <c r="B12" s="79" t="s">
        <v>87</v>
      </c>
      <c r="C12" s="334">
        <v>46001</v>
      </c>
      <c r="D12" s="292">
        <v>46028</v>
      </c>
      <c r="E12" s="269" t="s">
        <v>590</v>
      </c>
      <c r="F12" s="250" t="s">
        <v>448</v>
      </c>
      <c r="G12" s="155">
        <v>51368</v>
      </c>
      <c r="H12" s="332" t="s">
        <v>556</v>
      </c>
      <c r="I12" s="164" t="s">
        <v>334</v>
      </c>
      <c r="J12" s="49">
        <v>13</v>
      </c>
      <c r="K12" s="100">
        <f>L12/4</f>
        <v>14.5</v>
      </c>
      <c r="L12" s="49">
        <v>58</v>
      </c>
      <c r="M12" s="176">
        <v>46022</v>
      </c>
      <c r="N12" s="12"/>
      <c r="O12" s="12"/>
      <c r="P12" s="49"/>
      <c r="Q12" s="49"/>
      <c r="R12" s="49"/>
      <c r="S12" s="49"/>
      <c r="T12" s="49"/>
      <c r="U12" s="49"/>
      <c r="V12" s="12"/>
      <c r="W12" s="12"/>
      <c r="X12" s="12"/>
      <c r="Y12" s="12"/>
      <c r="Z12" s="12"/>
      <c r="AA12" s="12"/>
      <c r="AB12" s="12"/>
      <c r="AC12" s="12"/>
      <c r="AD12" s="12"/>
      <c r="AE12" s="12"/>
    </row>
    <row r="14" spans="1:32" ht="30" customHeight="1">
      <c r="C14" s="90"/>
      <c r="D14" s="90"/>
      <c r="J14"/>
      <c r="L14"/>
      <c r="N14" s="90"/>
      <c r="T14" s="318"/>
      <c r="U14" s="319"/>
    </row>
  </sheetData>
  <dataValidations count="1">
    <dataValidation type="list" allowBlank="1" showInputMessage="1" showErrorMessage="1" sqref="AE2:AE4" xr:uid="{3827C4E8-B05E-462A-B75E-C29E5C3335EF}">
      <formula1>"Exceeds Expectation, Meets Expectation, Needs Improvement"</formula1>
    </dataValidation>
  </dataValidations>
  <hyperlinks>
    <hyperlink ref="T2" r:id="rId1" xr:uid="{5946DC2F-D03A-434E-BD36-0A7643B83E2A}"/>
    <hyperlink ref="T3" r:id="rId2" xr:uid="{FB7ABF58-CB34-4160-8CF8-B1C11FBD6E4F}"/>
    <hyperlink ref="T6" r:id="rId3" xr:uid="{2991A815-D18E-4EDC-A76E-BEDF518621DE}"/>
    <hyperlink ref="T5" r:id="rId4" xr:uid="{0CA478A6-05D1-4E20-84A1-F4542B72D3F9}"/>
    <hyperlink ref="T4" r:id="rId5" xr:uid="{58DD33D7-6442-4611-9A90-07C87243B0E0}"/>
    <hyperlink ref="T9" r:id="rId6" xr:uid="{C3840EAE-E768-4E79-B24B-C243CC49BCE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6095127-FEE9-4A76-A690-3899DEC8C469}">
          <x14:formula1>
            <xm:f>Settings!$C$3:$C$20</xm:f>
          </x14:formula1>
          <xm:sqref>I2:I12</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4DD7-ABD4-4E07-BC0E-AA1DC2CDDCB9}">
  <dimension ref="A1:O3"/>
  <sheetViews>
    <sheetView topLeftCell="F1" workbookViewId="0">
      <selection activeCell="I10" sqref="I10"/>
    </sheetView>
  </sheetViews>
  <sheetFormatPr defaultRowHeight="12.75"/>
  <cols>
    <col min="1" max="1" width="29" style="15" customWidth="1"/>
    <col min="2" max="2" width="11.28515625" style="285" bestFit="1" customWidth="1"/>
    <col min="3" max="5" width="9.140625" style="15" bestFit="1" customWidth="1"/>
    <col min="6" max="6" width="38" style="15" customWidth="1"/>
    <col min="7" max="9" width="9.140625" style="15" bestFit="1" customWidth="1"/>
    <col min="10" max="10" width="26.7109375" style="15" customWidth="1"/>
    <col min="11" max="11" width="11.42578125" style="285" customWidth="1"/>
    <col min="12" max="12" width="10.140625" style="15" customWidth="1"/>
    <col min="13" max="13" width="11.42578125" style="15" customWidth="1"/>
    <col min="14" max="14" width="19.28515625" style="15" customWidth="1"/>
    <col min="15" max="15" width="50" style="15" customWidth="1"/>
    <col min="16" max="16" width="24.42578125" style="15" customWidth="1"/>
    <col min="17" max="16384" width="9.140625" style="15"/>
  </cols>
  <sheetData>
    <row r="1" spans="1:15" ht="27">
      <c r="A1" s="23" t="s">
        <v>74</v>
      </c>
      <c r="B1" s="45" t="s">
        <v>75</v>
      </c>
      <c r="C1" s="172" t="s">
        <v>76</v>
      </c>
      <c r="D1" s="23" t="s">
        <v>2</v>
      </c>
      <c r="E1" s="172" t="s">
        <v>77</v>
      </c>
      <c r="F1" s="172" t="s">
        <v>78</v>
      </c>
      <c r="G1" s="23" t="s">
        <v>79</v>
      </c>
      <c r="H1" s="23" t="s">
        <v>80</v>
      </c>
      <c r="I1" s="23" t="s">
        <v>81</v>
      </c>
      <c r="J1" s="23" t="s">
        <v>4</v>
      </c>
      <c r="K1" s="45" t="s">
        <v>312</v>
      </c>
      <c r="L1" s="45" t="s">
        <v>313</v>
      </c>
      <c r="M1" s="45" t="s">
        <v>314</v>
      </c>
      <c r="N1" s="173" t="s">
        <v>82</v>
      </c>
      <c r="O1" s="174" t="s">
        <v>596</v>
      </c>
    </row>
    <row r="2" spans="1:15" ht="36">
      <c r="A2" s="150" t="s">
        <v>590</v>
      </c>
      <c r="B2" s="149">
        <v>26205</v>
      </c>
      <c r="C2" s="150"/>
      <c r="D2" s="149" t="s">
        <v>49</v>
      </c>
      <c r="E2" s="150" t="s">
        <v>394</v>
      </c>
      <c r="F2" s="149" t="s">
        <v>597</v>
      </c>
      <c r="G2" s="150" t="s">
        <v>473</v>
      </c>
      <c r="H2" s="150" t="s">
        <v>353</v>
      </c>
      <c r="I2" s="150" t="s">
        <v>430</v>
      </c>
      <c r="J2" s="54" t="s">
        <v>396</v>
      </c>
      <c r="K2" s="149">
        <v>2</v>
      </c>
      <c r="L2" s="100">
        <f>M2/4</f>
        <v>2</v>
      </c>
      <c r="M2" s="149">
        <v>8</v>
      </c>
      <c r="N2" s="177" t="s">
        <v>356</v>
      </c>
      <c r="O2" s="150" t="s">
        <v>598</v>
      </c>
    </row>
    <row r="3" spans="1:15" ht="48">
      <c r="A3" s="14" t="s">
        <v>590</v>
      </c>
      <c r="B3" s="328"/>
      <c r="C3" s="165">
        <v>47504</v>
      </c>
      <c r="D3" s="250" t="s">
        <v>49</v>
      </c>
      <c r="E3" s="14" t="s">
        <v>599</v>
      </c>
      <c r="F3" s="165" t="s">
        <v>585</v>
      </c>
      <c r="G3" s="14" t="s">
        <v>473</v>
      </c>
      <c r="H3" s="14" t="s">
        <v>353</v>
      </c>
      <c r="I3" s="14" t="s">
        <v>354</v>
      </c>
      <c r="J3" s="164" t="s">
        <v>396</v>
      </c>
      <c r="K3" s="114"/>
      <c r="L3" s="100">
        <f>M3/4</f>
        <v>0</v>
      </c>
      <c r="M3" s="14"/>
      <c r="N3" s="177" t="s">
        <v>431</v>
      </c>
      <c r="O3" s="14" t="s">
        <v>600</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6959178-C2D4-440D-B941-F60084B05115}">
          <x14:formula1>
            <xm:f>Details!$A$2:$A$10</xm:f>
          </x14:formula1>
          <xm:sqref>N2:N3</xm:sqref>
        </x14:dataValidation>
        <x14:dataValidation type="list" allowBlank="1" showErrorMessage="1" xr:uid="{34573AFF-D92F-43E2-B691-982CAFBB8A14}">
          <x14:formula1>
            <xm:f>Settings!$C$3:$C$20</xm:f>
          </x14:formula1>
          <xm:sqref>J2:J3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32611-A135-49E6-8C61-44AAD7D87C8B}">
  <dimension ref="A1:H6"/>
  <sheetViews>
    <sheetView workbookViewId="0">
      <selection activeCell="C6" sqref="C6"/>
    </sheetView>
  </sheetViews>
  <sheetFormatPr defaultRowHeight="12.75"/>
  <cols>
    <col min="1" max="1" width="29" style="15" customWidth="1"/>
    <col min="2" max="2" width="11.5703125" style="15" customWidth="1"/>
    <col min="3" max="3" width="10.85546875" style="285" customWidth="1"/>
    <col min="4" max="5" width="9.140625" style="15" bestFit="1" customWidth="1"/>
    <col min="6" max="6" width="48.7109375" style="15" customWidth="1"/>
    <col min="7" max="7" width="22.28515625" style="15" customWidth="1"/>
    <col min="8" max="8" width="36.5703125" style="15" customWidth="1"/>
    <col min="9" max="16" width="9.140625" style="15" bestFit="1" customWidth="1"/>
    <col min="17" max="16384" width="9.140625" style="15"/>
  </cols>
  <sheetData>
    <row r="1" spans="1:8" ht="34.5" customHeight="1">
      <c r="A1" s="23" t="s">
        <v>74</v>
      </c>
      <c r="B1" s="26" t="s">
        <v>312</v>
      </c>
      <c r="C1" s="45" t="s">
        <v>75</v>
      </c>
      <c r="D1" s="23" t="s">
        <v>2</v>
      </c>
      <c r="E1" s="172" t="s">
        <v>77</v>
      </c>
      <c r="F1" s="172" t="s">
        <v>601</v>
      </c>
      <c r="G1" s="174" t="s">
        <v>4</v>
      </c>
      <c r="H1" s="23" t="s">
        <v>602</v>
      </c>
    </row>
    <row r="2" spans="1:8" ht="36.75" customHeight="1">
      <c r="A2" s="114" t="s">
        <v>590</v>
      </c>
      <c r="B2" s="114">
        <v>5</v>
      </c>
      <c r="C2" s="114">
        <v>50938</v>
      </c>
      <c r="D2" s="114" t="s">
        <v>603</v>
      </c>
      <c r="E2" s="114" t="s">
        <v>604</v>
      </c>
      <c r="F2" s="114" t="s">
        <v>605</v>
      </c>
      <c r="G2" s="114" t="s">
        <v>606</v>
      </c>
      <c r="H2" s="114" t="s">
        <v>607</v>
      </c>
    </row>
    <row r="3" spans="1:8" ht="48.75" customHeight="1">
      <c r="A3" s="114" t="s">
        <v>590</v>
      </c>
      <c r="B3" s="114">
        <v>3</v>
      </c>
      <c r="C3" s="114">
        <v>26469</v>
      </c>
      <c r="D3" s="114" t="s">
        <v>603</v>
      </c>
      <c r="E3" s="114" t="s">
        <v>394</v>
      </c>
      <c r="F3" s="114" t="s">
        <v>608</v>
      </c>
      <c r="G3" s="114" t="s">
        <v>609</v>
      </c>
      <c r="H3" s="114" t="s">
        <v>345</v>
      </c>
    </row>
    <row r="4" spans="1:8" ht="45" customHeight="1">
      <c r="A4" s="114" t="s">
        <v>610</v>
      </c>
      <c r="B4" s="114">
        <v>3</v>
      </c>
      <c r="C4" s="114">
        <v>50801</v>
      </c>
      <c r="D4" s="114" t="s">
        <v>603</v>
      </c>
      <c r="E4" s="114" t="s">
        <v>36</v>
      </c>
      <c r="F4" s="114" t="s">
        <v>611</v>
      </c>
      <c r="G4" s="114" t="s">
        <v>358</v>
      </c>
      <c r="H4" s="114" t="s">
        <v>147</v>
      </c>
    </row>
    <row r="5" spans="1:8" ht="42.75" customHeight="1">
      <c r="A5" s="114" t="s">
        <v>610</v>
      </c>
      <c r="B5" s="114">
        <v>3</v>
      </c>
      <c r="C5" s="114">
        <v>50795</v>
      </c>
      <c r="D5" s="114" t="s">
        <v>603</v>
      </c>
      <c r="E5" s="114" t="s">
        <v>36</v>
      </c>
      <c r="F5" s="114" t="s">
        <v>612</v>
      </c>
      <c r="G5" s="114" t="s">
        <v>358</v>
      </c>
      <c r="H5" s="114" t="s">
        <v>147</v>
      </c>
    </row>
    <row r="6" spans="1:8" ht="37.5" customHeight="1">
      <c r="A6" s="114" t="s">
        <v>610</v>
      </c>
      <c r="B6" s="114">
        <v>3</v>
      </c>
      <c r="C6" s="114">
        <v>50796</v>
      </c>
      <c r="D6" s="114" t="s">
        <v>603</v>
      </c>
      <c r="E6" s="114" t="s">
        <v>36</v>
      </c>
      <c r="F6" s="114" t="s">
        <v>613</v>
      </c>
      <c r="G6" s="114" t="s">
        <v>614</v>
      </c>
      <c r="H6" s="114" t="s">
        <v>147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3C9B-368E-416F-9222-BBF51F29B390}">
  <dimension ref="A1:BO12"/>
  <sheetViews>
    <sheetView topLeftCell="A3" workbookViewId="0">
      <selection activeCell="M12" sqref="M12"/>
    </sheetView>
  </sheetViews>
  <sheetFormatPr defaultRowHeight="30" customHeight="1"/>
  <cols>
    <col min="1" max="1" width="4.7109375" bestFit="1" customWidth="1"/>
    <col min="3" max="3" width="11" customWidth="1"/>
    <col min="4" max="4" width="12" customWidth="1"/>
    <col min="5" max="5" width="19.28515625" customWidth="1"/>
    <col min="6" max="6" width="13.140625" customWidth="1"/>
    <col min="7" max="7" width="11" bestFit="1" customWidth="1"/>
    <col min="8" max="8" width="42.7109375" customWidth="1"/>
    <col min="9" max="9" width="23.5703125" customWidth="1"/>
    <col min="10" max="10" width="9.140625" style="52"/>
    <col min="11" max="11" width="9" bestFit="1" customWidth="1"/>
    <col min="12" max="12" width="9.140625" style="52"/>
    <col min="13" max="13" width="10" bestFit="1" customWidth="1"/>
    <col min="14" max="14" width="11.85546875" customWidth="1"/>
    <col min="19" max="19" width="13.5703125" customWidth="1"/>
    <col min="20" max="20" width="17.42578125" customWidth="1"/>
    <col min="21" max="21" width="10" bestFit="1" customWidth="1"/>
    <col min="22" max="22" width="12" customWidth="1"/>
    <col min="26" max="26" width="11.7109375" customWidth="1"/>
    <col min="28" max="28" width="25.28515625" customWidth="1"/>
    <col min="30" max="30" width="24.5703125" customWidth="1"/>
    <col min="31" max="31" width="18.7109375" bestFit="1" customWidth="1"/>
  </cols>
  <sheetData>
    <row r="1" spans="1:67" ht="75.75" customHeight="1">
      <c r="A1" s="26" t="s">
        <v>73</v>
      </c>
      <c r="B1" s="26" t="s">
        <v>1</v>
      </c>
      <c r="C1" s="26" t="s">
        <v>85</v>
      </c>
      <c r="D1" s="26" t="s">
        <v>86</v>
      </c>
      <c r="E1" s="26" t="s">
        <v>310</v>
      </c>
      <c r="F1" s="26" t="s">
        <v>2</v>
      </c>
      <c r="G1" s="157" t="s">
        <v>311</v>
      </c>
      <c r="H1" s="157" t="s">
        <v>3</v>
      </c>
      <c r="I1" s="26" t="s">
        <v>4</v>
      </c>
      <c r="J1" s="26" t="s">
        <v>312</v>
      </c>
      <c r="K1" s="26" t="s">
        <v>313</v>
      </c>
      <c r="L1" s="26" t="s">
        <v>314</v>
      </c>
      <c r="M1" s="26" t="s">
        <v>315</v>
      </c>
      <c r="N1" s="26" t="s">
        <v>316</v>
      </c>
      <c r="O1" s="26" t="s">
        <v>317</v>
      </c>
      <c r="P1" s="26" t="s">
        <v>318</v>
      </c>
      <c r="Q1" s="26" t="s">
        <v>319</v>
      </c>
      <c r="R1" s="26" t="s">
        <v>320</v>
      </c>
      <c r="S1" s="26" t="s">
        <v>321</v>
      </c>
      <c r="T1" s="26" t="s">
        <v>322</v>
      </c>
      <c r="U1" s="26" t="s">
        <v>323</v>
      </c>
      <c r="V1" s="26" t="s">
        <v>324</v>
      </c>
      <c r="W1" s="26" t="s">
        <v>325</v>
      </c>
      <c r="X1" s="26" t="s">
        <v>326</v>
      </c>
      <c r="Y1" s="26" t="s">
        <v>327</v>
      </c>
      <c r="Z1" s="26" t="s">
        <v>328</v>
      </c>
      <c r="AA1" s="26" t="s">
        <v>329</v>
      </c>
      <c r="AB1" s="26" t="s">
        <v>330</v>
      </c>
      <c r="AC1" s="26" t="s">
        <v>331</v>
      </c>
      <c r="AD1" s="46" t="s">
        <v>5</v>
      </c>
      <c r="AE1" s="26" t="s">
        <v>332</v>
      </c>
    </row>
    <row r="2" spans="1:67" ht="36" customHeight="1">
      <c r="A2" s="169">
        <v>1</v>
      </c>
      <c r="B2" s="104" t="s">
        <v>87</v>
      </c>
      <c r="C2" s="277">
        <v>45973</v>
      </c>
      <c r="D2" s="277">
        <v>46000</v>
      </c>
      <c r="E2" s="170" t="s">
        <v>256</v>
      </c>
      <c r="F2" s="149" t="s">
        <v>40</v>
      </c>
      <c r="G2" s="169">
        <v>50318</v>
      </c>
      <c r="H2" s="169" t="s">
        <v>615</v>
      </c>
      <c r="I2" s="194" t="s">
        <v>358</v>
      </c>
      <c r="J2" s="103">
        <v>3</v>
      </c>
      <c r="K2" s="103">
        <f>L2/4</f>
        <v>3</v>
      </c>
      <c r="L2" s="69">
        <v>12</v>
      </c>
      <c r="M2" s="181">
        <v>45973</v>
      </c>
      <c r="N2" s="181">
        <v>45978</v>
      </c>
      <c r="O2" s="106" t="s">
        <v>335</v>
      </c>
      <c r="P2" s="106" t="s">
        <v>49</v>
      </c>
      <c r="Q2" s="106" t="s">
        <v>400</v>
      </c>
      <c r="R2" s="106" t="s">
        <v>49</v>
      </c>
      <c r="S2" s="106" t="s">
        <v>400</v>
      </c>
      <c r="T2" s="22" t="s">
        <v>616</v>
      </c>
      <c r="U2" s="273">
        <v>45974</v>
      </c>
      <c r="V2" s="181">
        <v>45978</v>
      </c>
      <c r="W2" s="103" t="s">
        <v>344</v>
      </c>
      <c r="X2" s="103" t="s">
        <v>345</v>
      </c>
      <c r="Y2" s="103" t="s">
        <v>344</v>
      </c>
      <c r="Z2" s="181">
        <v>45978</v>
      </c>
      <c r="AA2" s="103" t="s">
        <v>345</v>
      </c>
      <c r="AB2" s="103" t="s">
        <v>617</v>
      </c>
      <c r="AC2" s="103" t="s">
        <v>345</v>
      </c>
      <c r="AD2" s="103" t="s">
        <v>345</v>
      </c>
      <c r="AE2" s="19" t="s">
        <v>340</v>
      </c>
    </row>
    <row r="3" spans="1:67" s="52" customFormat="1" ht="30" customHeight="1">
      <c r="A3" s="49">
        <v>2</v>
      </c>
      <c r="B3" s="79" t="s">
        <v>87</v>
      </c>
      <c r="C3" s="292">
        <v>45973</v>
      </c>
      <c r="D3" s="292">
        <v>46000</v>
      </c>
      <c r="E3" s="167" t="s">
        <v>256</v>
      </c>
      <c r="F3" s="49" t="s">
        <v>49</v>
      </c>
      <c r="G3" s="165">
        <v>50041</v>
      </c>
      <c r="H3" s="165" t="s">
        <v>618</v>
      </c>
      <c r="I3" s="194" t="s">
        <v>358</v>
      </c>
      <c r="J3" s="49">
        <v>2</v>
      </c>
      <c r="K3" s="100">
        <f>L3/4</f>
        <v>2</v>
      </c>
      <c r="L3" s="49">
        <v>8</v>
      </c>
      <c r="M3" s="176">
        <v>45973</v>
      </c>
      <c r="N3" s="176">
        <v>45973</v>
      </c>
      <c r="O3" s="78" t="s">
        <v>335</v>
      </c>
      <c r="P3" s="114" t="s">
        <v>40</v>
      </c>
      <c r="Q3" s="78" t="s">
        <v>400</v>
      </c>
      <c r="R3" s="114" t="s">
        <v>40</v>
      </c>
      <c r="S3" s="78" t="s">
        <v>400</v>
      </c>
      <c r="T3" s="48" t="s">
        <v>619</v>
      </c>
      <c r="U3" s="276">
        <v>45973</v>
      </c>
      <c r="V3" s="276">
        <v>45973</v>
      </c>
      <c r="W3" s="103" t="s">
        <v>344</v>
      </c>
      <c r="X3" s="103" t="s">
        <v>345</v>
      </c>
      <c r="Y3" s="103" t="s">
        <v>344</v>
      </c>
      <c r="Z3" s="181">
        <v>45973</v>
      </c>
      <c r="AA3" s="49" t="s">
        <v>345</v>
      </c>
      <c r="AB3" s="49" t="s">
        <v>345</v>
      </c>
      <c r="AC3" s="103" t="s">
        <v>345</v>
      </c>
      <c r="AD3" s="103" t="s">
        <v>345</v>
      </c>
      <c r="AE3" s="12" t="s">
        <v>340</v>
      </c>
    </row>
    <row r="4" spans="1:67" ht="30" customHeight="1">
      <c r="A4" s="49">
        <v>3</v>
      </c>
      <c r="B4" s="79" t="s">
        <v>87</v>
      </c>
      <c r="C4" s="292">
        <v>45973</v>
      </c>
      <c r="D4" s="292">
        <v>46000</v>
      </c>
      <c r="E4" s="167" t="s">
        <v>256</v>
      </c>
      <c r="F4" s="49" t="s">
        <v>49</v>
      </c>
      <c r="G4" s="165">
        <v>50804</v>
      </c>
      <c r="H4" s="165" t="s">
        <v>620</v>
      </c>
      <c r="I4" s="194" t="s">
        <v>358</v>
      </c>
      <c r="J4" s="49">
        <v>3</v>
      </c>
      <c r="K4" s="100">
        <f>L4/4</f>
        <v>3</v>
      </c>
      <c r="L4" s="49">
        <v>12</v>
      </c>
      <c r="M4" s="176">
        <v>45974</v>
      </c>
      <c r="N4" s="176">
        <v>45975</v>
      </c>
      <c r="O4" s="78" t="s">
        <v>335</v>
      </c>
      <c r="P4" s="114" t="s">
        <v>40</v>
      </c>
      <c r="Q4" s="78" t="s">
        <v>400</v>
      </c>
      <c r="R4" s="114" t="s">
        <v>40</v>
      </c>
      <c r="S4" s="78" t="s">
        <v>400</v>
      </c>
      <c r="T4" s="48" t="s">
        <v>621</v>
      </c>
      <c r="U4" s="176">
        <v>45980</v>
      </c>
      <c r="V4" s="307">
        <v>45980</v>
      </c>
      <c r="W4" s="100" t="s">
        <v>344</v>
      </c>
      <c r="X4" s="100" t="s">
        <v>345</v>
      </c>
      <c r="Y4" s="100" t="s">
        <v>344</v>
      </c>
      <c r="Z4" s="309">
        <v>45980</v>
      </c>
      <c r="AA4" s="49" t="s">
        <v>345</v>
      </c>
      <c r="AB4" s="63" t="s">
        <v>345</v>
      </c>
      <c r="AC4" s="134" t="s">
        <v>345</v>
      </c>
      <c r="AD4" s="100" t="s">
        <v>345</v>
      </c>
      <c r="AE4" s="247" t="s">
        <v>340</v>
      </c>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row>
    <row r="5" spans="1:67" ht="30" customHeight="1">
      <c r="A5" s="64">
        <v>4</v>
      </c>
      <c r="B5" s="296" t="s">
        <v>87</v>
      </c>
      <c r="C5" s="297">
        <v>45973</v>
      </c>
      <c r="D5" s="297">
        <v>46000</v>
      </c>
      <c r="E5" s="167" t="s">
        <v>622</v>
      </c>
      <c r="F5" s="298" t="s">
        <v>40</v>
      </c>
      <c r="G5" s="299">
        <v>50845</v>
      </c>
      <c r="H5" s="299" t="s">
        <v>623</v>
      </c>
      <c r="I5" s="194" t="s">
        <v>358</v>
      </c>
      <c r="J5" s="64">
        <v>3</v>
      </c>
      <c r="K5" s="300">
        <f>L5/4</f>
        <v>3</v>
      </c>
      <c r="L5" s="64">
        <v>12</v>
      </c>
      <c r="M5" s="301">
        <v>45975</v>
      </c>
      <c r="N5" s="301">
        <v>45975</v>
      </c>
      <c r="O5" s="302" t="s">
        <v>335</v>
      </c>
      <c r="P5" s="302" t="s">
        <v>49</v>
      </c>
      <c r="Q5" s="302" t="s">
        <v>400</v>
      </c>
      <c r="R5" s="302" t="s">
        <v>49</v>
      </c>
      <c r="S5" s="302" t="s">
        <v>400</v>
      </c>
      <c r="T5" s="303" t="s">
        <v>624</v>
      </c>
      <c r="U5" s="301">
        <v>45975</v>
      </c>
      <c r="V5" s="308">
        <v>45975</v>
      </c>
      <c r="W5" s="103" t="s">
        <v>344</v>
      </c>
      <c r="X5" s="103" t="s">
        <v>345</v>
      </c>
      <c r="Y5" s="103" t="s">
        <v>344</v>
      </c>
      <c r="Z5" s="310">
        <v>45975</v>
      </c>
      <c r="AA5" s="304" t="s">
        <v>345</v>
      </c>
      <c r="AB5" s="304" t="s">
        <v>345</v>
      </c>
      <c r="AC5" s="143" t="s">
        <v>345</v>
      </c>
      <c r="AD5" s="100" t="s">
        <v>345</v>
      </c>
      <c r="AE5" s="247" t="s">
        <v>340</v>
      </c>
    </row>
    <row r="6" spans="1:67" ht="30" customHeight="1">
      <c r="A6" s="69">
        <v>5</v>
      </c>
      <c r="B6" s="104" t="s">
        <v>87</v>
      </c>
      <c r="C6" s="277">
        <v>45973</v>
      </c>
      <c r="D6" s="277">
        <v>46000</v>
      </c>
      <c r="E6" s="167" t="s">
        <v>622</v>
      </c>
      <c r="F6" s="149" t="s">
        <v>40</v>
      </c>
      <c r="G6" s="169">
        <v>50181</v>
      </c>
      <c r="H6" s="169" t="s">
        <v>625</v>
      </c>
      <c r="I6" s="194" t="s">
        <v>358</v>
      </c>
      <c r="J6" s="69">
        <v>3</v>
      </c>
      <c r="K6" s="304">
        <f>L6/4</f>
        <v>1.5</v>
      </c>
      <c r="L6" s="69">
        <v>6</v>
      </c>
      <c r="M6" s="181">
        <v>45979</v>
      </c>
      <c r="N6" s="181">
        <v>45979</v>
      </c>
      <c r="O6" s="305" t="s">
        <v>335</v>
      </c>
      <c r="P6" s="305" t="s">
        <v>49</v>
      </c>
      <c r="Q6" s="305" t="s">
        <v>400</v>
      </c>
      <c r="R6" s="305" t="s">
        <v>49</v>
      </c>
      <c r="S6" s="305" t="s">
        <v>400</v>
      </c>
      <c r="T6" s="306" t="s">
        <v>626</v>
      </c>
      <c r="U6" s="181">
        <v>45979</v>
      </c>
      <c r="V6" s="198">
        <v>45979</v>
      </c>
      <c r="W6" s="100" t="s">
        <v>344</v>
      </c>
      <c r="X6" s="100" t="s">
        <v>345</v>
      </c>
      <c r="Y6" s="100" t="s">
        <v>344</v>
      </c>
      <c r="Z6" s="253">
        <v>45979</v>
      </c>
      <c r="AA6" s="100" t="s">
        <v>345</v>
      </c>
      <c r="AB6" s="100" t="s">
        <v>345</v>
      </c>
      <c r="AC6" s="311" t="s">
        <v>345</v>
      </c>
      <c r="AD6" s="304" t="s">
        <v>345</v>
      </c>
      <c r="AE6" s="19" t="s">
        <v>340</v>
      </c>
    </row>
    <row r="7" spans="1:67" ht="30" customHeight="1">
      <c r="A7" s="49">
        <v>6</v>
      </c>
      <c r="B7" s="79" t="s">
        <v>87</v>
      </c>
      <c r="C7" s="292">
        <v>45973</v>
      </c>
      <c r="D7" s="292">
        <v>46000</v>
      </c>
      <c r="E7" s="167" t="s">
        <v>622</v>
      </c>
      <c r="F7" s="49" t="s">
        <v>49</v>
      </c>
      <c r="G7" s="165">
        <v>49557</v>
      </c>
      <c r="H7" s="165" t="s">
        <v>627</v>
      </c>
      <c r="I7" s="194" t="s">
        <v>358</v>
      </c>
      <c r="J7" s="49">
        <v>3</v>
      </c>
      <c r="K7" s="100">
        <f>L7/4</f>
        <v>7</v>
      </c>
      <c r="L7" s="49">
        <v>28</v>
      </c>
      <c r="M7" s="307">
        <v>45978</v>
      </c>
      <c r="N7" s="307">
        <v>45985</v>
      </c>
      <c r="O7" s="78" t="s">
        <v>335</v>
      </c>
      <c r="P7" s="114" t="s">
        <v>40</v>
      </c>
      <c r="Q7" s="78" t="s">
        <v>400</v>
      </c>
      <c r="R7" s="114" t="s">
        <v>40</v>
      </c>
      <c r="S7" s="78" t="s">
        <v>628</v>
      </c>
      <c r="T7" s="48" t="s">
        <v>629</v>
      </c>
      <c r="U7" s="181">
        <v>45982</v>
      </c>
      <c r="V7" s="198">
        <v>45986</v>
      </c>
      <c r="W7" s="100" t="s">
        <v>344</v>
      </c>
      <c r="X7" s="100" t="s">
        <v>345</v>
      </c>
      <c r="Y7" s="100" t="s">
        <v>344</v>
      </c>
      <c r="Z7" s="253">
        <v>45986</v>
      </c>
      <c r="AA7" s="100" t="s">
        <v>345</v>
      </c>
      <c r="AB7" s="100" t="s">
        <v>345</v>
      </c>
      <c r="AC7" s="155" t="s">
        <v>345</v>
      </c>
      <c r="AD7" s="49" t="s">
        <v>345</v>
      </c>
      <c r="AE7" s="12" t="s">
        <v>340</v>
      </c>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row>
    <row r="8" spans="1:67" s="52" customFormat="1" ht="30" customHeight="1">
      <c r="A8" s="49">
        <v>9</v>
      </c>
      <c r="B8" s="79" t="s">
        <v>87</v>
      </c>
      <c r="C8" s="292">
        <v>45973</v>
      </c>
      <c r="D8" s="292">
        <v>46000</v>
      </c>
      <c r="E8" s="167" t="s">
        <v>622</v>
      </c>
      <c r="F8" s="49" t="s">
        <v>40</v>
      </c>
      <c r="G8" s="165">
        <v>48555</v>
      </c>
      <c r="H8" s="165" t="s">
        <v>630</v>
      </c>
      <c r="I8" s="194" t="s">
        <v>358</v>
      </c>
      <c r="J8" s="49">
        <v>3</v>
      </c>
      <c r="K8" s="100">
        <f>L8/4</f>
        <v>1.5</v>
      </c>
      <c r="L8" s="49">
        <v>6</v>
      </c>
      <c r="M8" s="176">
        <v>45985</v>
      </c>
      <c r="N8" s="176">
        <v>45986</v>
      </c>
      <c r="O8" s="106" t="s">
        <v>335</v>
      </c>
      <c r="P8" s="106" t="s">
        <v>49</v>
      </c>
      <c r="Q8" s="106" t="s">
        <v>400</v>
      </c>
      <c r="R8" s="106" t="s">
        <v>49</v>
      </c>
      <c r="S8" s="106" t="s">
        <v>400</v>
      </c>
      <c r="T8" s="48" t="s">
        <v>631</v>
      </c>
      <c r="U8" s="176">
        <v>45986</v>
      </c>
      <c r="V8" s="198">
        <v>45986</v>
      </c>
      <c r="W8" s="100" t="s">
        <v>344</v>
      </c>
      <c r="X8" s="100" t="s">
        <v>345</v>
      </c>
      <c r="Y8" s="100" t="s">
        <v>344</v>
      </c>
      <c r="Z8" s="253">
        <v>45986</v>
      </c>
      <c r="AA8" s="100" t="s">
        <v>345</v>
      </c>
      <c r="AB8" s="100" t="s">
        <v>345</v>
      </c>
      <c r="AC8" s="155" t="s">
        <v>345</v>
      </c>
      <c r="AD8" s="49" t="s">
        <v>345</v>
      </c>
      <c r="AE8" s="12" t="s">
        <v>340</v>
      </c>
    </row>
    <row r="9" spans="1:67" ht="30" customHeight="1">
      <c r="A9" s="69">
        <v>10</v>
      </c>
      <c r="B9" s="169" t="s">
        <v>87</v>
      </c>
      <c r="C9" s="312">
        <v>45973</v>
      </c>
      <c r="D9" s="312">
        <v>46000</v>
      </c>
      <c r="E9" s="167" t="s">
        <v>622</v>
      </c>
      <c r="F9" s="69" t="s">
        <v>49</v>
      </c>
      <c r="G9" s="169">
        <v>48554</v>
      </c>
      <c r="H9" s="169" t="s">
        <v>632</v>
      </c>
      <c r="I9" s="194" t="s">
        <v>358</v>
      </c>
      <c r="J9" s="69">
        <v>3</v>
      </c>
      <c r="K9" s="149">
        <f>L9/4</f>
        <v>3</v>
      </c>
      <c r="L9" s="69">
        <v>12</v>
      </c>
      <c r="M9" s="181">
        <v>45985</v>
      </c>
      <c r="N9" s="181">
        <v>45986</v>
      </c>
      <c r="O9" s="170" t="s">
        <v>335</v>
      </c>
      <c r="P9" s="149" t="s">
        <v>40</v>
      </c>
      <c r="Q9" s="170" t="s">
        <v>400</v>
      </c>
      <c r="R9" s="149" t="s">
        <v>40</v>
      </c>
      <c r="S9" s="106" t="s">
        <v>400</v>
      </c>
      <c r="T9" s="313" t="s">
        <v>629</v>
      </c>
      <c r="U9" s="181">
        <v>45985</v>
      </c>
      <c r="V9" s="181">
        <v>45986</v>
      </c>
      <c r="W9" s="114" t="s">
        <v>344</v>
      </c>
      <c r="X9" s="114" t="s">
        <v>345</v>
      </c>
      <c r="Y9" s="114" t="s">
        <v>344</v>
      </c>
      <c r="Z9" s="253">
        <v>45986</v>
      </c>
      <c r="AA9" s="114" t="s">
        <v>345</v>
      </c>
      <c r="AB9" s="69" t="s">
        <v>345</v>
      </c>
      <c r="AC9" s="69" t="s">
        <v>345</v>
      </c>
      <c r="AD9" s="69" t="s">
        <v>345</v>
      </c>
      <c r="AE9" s="12" t="s">
        <v>340</v>
      </c>
    </row>
    <row r="10" spans="1:67" ht="30" customHeight="1">
      <c r="A10" s="69">
        <v>11</v>
      </c>
      <c r="B10" s="104" t="s">
        <v>87</v>
      </c>
      <c r="C10" s="277">
        <v>45973</v>
      </c>
      <c r="D10" s="277">
        <v>46000</v>
      </c>
      <c r="E10" s="199" t="s">
        <v>622</v>
      </c>
      <c r="F10" s="49" t="s">
        <v>40</v>
      </c>
      <c r="G10" s="165">
        <v>40915</v>
      </c>
      <c r="H10" s="165" t="s">
        <v>633</v>
      </c>
      <c r="I10" s="194" t="s">
        <v>358</v>
      </c>
      <c r="J10" s="49">
        <v>8</v>
      </c>
      <c r="K10" s="100">
        <f t="shared" ref="K10" si="0">L10/4</f>
        <v>6</v>
      </c>
      <c r="L10" s="49">
        <v>24</v>
      </c>
      <c r="M10" s="176">
        <v>45988</v>
      </c>
      <c r="N10" s="176">
        <v>45994</v>
      </c>
      <c r="O10" s="78" t="s">
        <v>335</v>
      </c>
      <c r="P10" s="78" t="s">
        <v>49</v>
      </c>
      <c r="Q10" s="78" t="s">
        <v>400</v>
      </c>
      <c r="R10" s="78" t="s">
        <v>49</v>
      </c>
      <c r="S10" s="78" t="s">
        <v>400</v>
      </c>
      <c r="T10" s="48" t="s">
        <v>634</v>
      </c>
      <c r="U10" s="176">
        <v>45993</v>
      </c>
      <c r="V10" s="176">
        <v>45995</v>
      </c>
      <c r="W10" s="114" t="s">
        <v>344</v>
      </c>
      <c r="X10" s="114" t="s">
        <v>345</v>
      </c>
      <c r="Y10" s="114" t="s">
        <v>344</v>
      </c>
      <c r="Z10" s="176">
        <v>45995</v>
      </c>
      <c r="AA10" s="114" t="s">
        <v>345</v>
      </c>
      <c r="AB10" s="69" t="s">
        <v>635</v>
      </c>
      <c r="AC10" s="69" t="s">
        <v>345</v>
      </c>
      <c r="AD10" s="69" t="s">
        <v>345</v>
      </c>
      <c r="AE10" s="19" t="s">
        <v>340</v>
      </c>
    </row>
    <row r="11" spans="1:67" ht="30" customHeight="1">
      <c r="A11" s="69">
        <v>13</v>
      </c>
      <c r="B11" s="169" t="s">
        <v>87</v>
      </c>
      <c r="C11" s="312">
        <v>45973</v>
      </c>
      <c r="D11" s="312">
        <v>46000</v>
      </c>
      <c r="E11" s="320" t="s">
        <v>622</v>
      </c>
      <c r="F11" s="69" t="s">
        <v>40</v>
      </c>
      <c r="G11" s="169">
        <v>51090</v>
      </c>
      <c r="H11" s="169" t="s">
        <v>636</v>
      </c>
      <c r="I11" s="194" t="s">
        <v>358</v>
      </c>
      <c r="J11" s="69">
        <v>3</v>
      </c>
      <c r="K11" s="149">
        <f t="shared" ref="K11" si="1">L11/4</f>
        <v>1.5</v>
      </c>
      <c r="L11" s="69">
        <v>6</v>
      </c>
      <c r="M11" s="181">
        <v>45994</v>
      </c>
      <c r="N11" s="181">
        <v>45995</v>
      </c>
      <c r="O11" s="106" t="s">
        <v>335</v>
      </c>
      <c r="P11" s="106" t="s">
        <v>49</v>
      </c>
      <c r="Q11" s="106" t="s">
        <v>400</v>
      </c>
      <c r="R11" s="106" t="s">
        <v>49</v>
      </c>
      <c r="S11" s="106" t="s">
        <v>400</v>
      </c>
      <c r="T11" s="278" t="s">
        <v>634</v>
      </c>
      <c r="U11" s="181">
        <v>45995</v>
      </c>
      <c r="V11" s="181">
        <v>45995</v>
      </c>
      <c r="W11" s="149" t="s">
        <v>344</v>
      </c>
      <c r="X11" s="149" t="s">
        <v>345</v>
      </c>
      <c r="Y11" s="149" t="s">
        <v>344</v>
      </c>
      <c r="Z11" s="181">
        <v>45995</v>
      </c>
      <c r="AA11" s="149" t="s">
        <v>345</v>
      </c>
      <c r="AB11" s="19"/>
      <c r="AC11" s="149" t="s">
        <v>345</v>
      </c>
      <c r="AD11" s="149" t="s">
        <v>345</v>
      </c>
      <c r="AE11" s="19" t="s">
        <v>340</v>
      </c>
    </row>
    <row r="12" spans="1:67" ht="30" customHeight="1">
      <c r="A12" s="49">
        <v>14</v>
      </c>
      <c r="B12" s="165" t="s">
        <v>87</v>
      </c>
      <c r="C12" s="314">
        <v>45973</v>
      </c>
      <c r="D12" s="314">
        <v>46000</v>
      </c>
      <c r="E12" s="167" t="s">
        <v>622</v>
      </c>
      <c r="F12" s="49" t="s">
        <v>349</v>
      </c>
      <c r="G12" s="49">
        <v>50997</v>
      </c>
      <c r="H12" s="12" t="s">
        <v>637</v>
      </c>
      <c r="I12" s="272" t="s">
        <v>358</v>
      </c>
      <c r="J12" s="49">
        <v>13</v>
      </c>
      <c r="K12" s="49">
        <v>9.5</v>
      </c>
      <c r="L12" s="49">
        <v>38</v>
      </c>
      <c r="M12" s="276">
        <v>45978</v>
      </c>
      <c r="N12" s="176">
        <v>46000</v>
      </c>
      <c r="O12" s="78" t="s">
        <v>400</v>
      </c>
      <c r="P12" s="78" t="s">
        <v>400</v>
      </c>
      <c r="Q12" s="78" t="s">
        <v>400</v>
      </c>
      <c r="R12" s="78" t="s">
        <v>400</v>
      </c>
      <c r="S12" s="78" t="s">
        <v>400</v>
      </c>
      <c r="T12" s="78" t="s">
        <v>400</v>
      </c>
      <c r="U12" s="78" t="s">
        <v>400</v>
      </c>
      <c r="V12" s="78" t="s">
        <v>400</v>
      </c>
      <c r="W12" s="78" t="s">
        <v>400</v>
      </c>
      <c r="X12" s="78" t="s">
        <v>400</v>
      </c>
      <c r="Y12" s="78" t="s">
        <v>400</v>
      </c>
      <c r="Z12" s="78" t="s">
        <v>400</v>
      </c>
      <c r="AA12" s="78" t="s">
        <v>400</v>
      </c>
      <c r="AB12" s="78" t="s">
        <v>400</v>
      </c>
      <c r="AC12" s="78" t="s">
        <v>400</v>
      </c>
      <c r="AD12" s="12" t="s">
        <v>638</v>
      </c>
      <c r="AE12" s="12"/>
    </row>
  </sheetData>
  <dataValidations count="1">
    <dataValidation type="list" allowBlank="1" showInputMessage="1" showErrorMessage="1" sqref="AE2:AE11" xr:uid="{925B29F6-7357-4E47-B425-982DF3F086B2}">
      <formula1>"Exceeds Expectation, Meets Expectation, Needs Improvement"</formula1>
    </dataValidation>
  </dataValidations>
  <hyperlinks>
    <hyperlink ref="T3" r:id="rId1" xr:uid="{6A973C06-A7D7-4B0E-AFA6-BAC66A867971}"/>
    <hyperlink ref="T2" r:id="rId2" xr:uid="{A6552FE7-0E48-4A2F-9BC4-9139B90393CD}"/>
    <hyperlink ref="T5" r:id="rId3" xr:uid="{6CB9B07B-373C-4787-AB50-067FD5480E8C}"/>
    <hyperlink ref="T6" r:id="rId4" xr:uid="{EC647D7D-7EB3-4F0E-8344-E55AB9A2D814}"/>
    <hyperlink ref="T4" r:id="rId5" xr:uid="{F60F2F8E-C59F-4E8A-8814-D6608D7CE79B}"/>
    <hyperlink ref="T9" r:id="rId6" xr:uid="{974461DC-FB94-465A-996A-D50831E40ECC}"/>
    <hyperlink ref="T7" r:id="rId7" xr:uid="{C5F818F8-E3B1-4EAA-9105-2F78361A8BDE}"/>
    <hyperlink ref="T8" r:id="rId8" xr:uid="{3C229526-3201-47E4-9422-2E339BD8FAF9}"/>
    <hyperlink ref="T10" r:id="rId9" xr:uid="{BC3BEA5E-E547-4400-9227-0B9F756E3F91}"/>
    <hyperlink ref="T11" r:id="rId10" xr:uid="{F263BF51-C1D1-4A48-99F1-D2282861F08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3EC2095-B18E-4D4F-956D-4F63B0201B4B}">
          <x14:formula1>
            <xm:f>Settings!$C$3:$C$20</xm:f>
          </x14:formula1>
          <xm:sqref>I2:I12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2B09-9309-471B-B3E7-B08B05D97141}">
  <dimension ref="A1:O5"/>
  <sheetViews>
    <sheetView workbookViewId="0">
      <selection activeCell="J2" sqref="J2"/>
    </sheetView>
  </sheetViews>
  <sheetFormatPr defaultRowHeight="12.75"/>
  <cols>
    <col min="1" max="1" width="29" style="15" customWidth="1"/>
    <col min="2" max="2" width="11.28515625" style="285" bestFit="1" customWidth="1"/>
    <col min="3" max="5" width="9.140625" style="15" bestFit="1" customWidth="1"/>
    <col min="6" max="6" width="38" style="15" customWidth="1"/>
    <col min="7" max="9" width="9.140625" style="15" bestFit="1" customWidth="1"/>
    <col min="10" max="10" width="26.7109375" style="15" customWidth="1"/>
    <col min="11" max="11" width="11.42578125" style="15" customWidth="1"/>
    <col min="12" max="12" width="10.140625" style="15" customWidth="1"/>
    <col min="13" max="13" width="11.42578125" style="15" customWidth="1"/>
    <col min="14" max="14" width="19.28515625" style="15" customWidth="1"/>
    <col min="15" max="15" width="29.5703125" style="15" customWidth="1"/>
    <col min="16" max="16384" width="9.140625" style="15"/>
  </cols>
  <sheetData>
    <row r="1" spans="1:15" ht="27">
      <c r="A1" s="23" t="s">
        <v>74</v>
      </c>
      <c r="B1" s="45" t="s">
        <v>75</v>
      </c>
      <c r="C1" s="172" t="s">
        <v>76</v>
      </c>
      <c r="D1" s="23" t="s">
        <v>2</v>
      </c>
      <c r="E1" s="172" t="s">
        <v>77</v>
      </c>
      <c r="F1" s="172" t="s">
        <v>78</v>
      </c>
      <c r="G1" s="23" t="s">
        <v>79</v>
      </c>
      <c r="H1" s="23" t="s">
        <v>80</v>
      </c>
      <c r="I1" s="23" t="s">
        <v>81</v>
      </c>
      <c r="J1" s="23" t="s">
        <v>4</v>
      </c>
      <c r="K1" s="45" t="s">
        <v>312</v>
      </c>
      <c r="L1" s="45" t="s">
        <v>313</v>
      </c>
      <c r="M1" s="45" t="s">
        <v>314</v>
      </c>
      <c r="N1" s="173" t="s">
        <v>82</v>
      </c>
      <c r="O1" s="174" t="s">
        <v>5</v>
      </c>
    </row>
    <row r="2" spans="1:15" ht="24">
      <c r="A2" s="19" t="s">
        <v>622</v>
      </c>
      <c r="B2" s="316">
        <v>26378</v>
      </c>
      <c r="C2" s="150"/>
      <c r="D2" s="150" t="s">
        <v>49</v>
      </c>
      <c r="E2" s="150" t="s">
        <v>394</v>
      </c>
      <c r="F2" s="315" t="s">
        <v>639</v>
      </c>
      <c r="G2" s="150" t="s">
        <v>473</v>
      </c>
      <c r="H2" s="150" t="s">
        <v>353</v>
      </c>
      <c r="I2" s="150" t="s">
        <v>430</v>
      </c>
      <c r="J2" s="54" t="s">
        <v>396</v>
      </c>
      <c r="K2" s="54">
        <v>3</v>
      </c>
      <c r="L2" s="54">
        <f t="shared" ref="L2" si="0">M2/4</f>
        <v>4</v>
      </c>
      <c r="M2" s="54">
        <v>16</v>
      </c>
      <c r="N2" s="177" t="s">
        <v>431</v>
      </c>
      <c r="O2" s="150" t="s">
        <v>640</v>
      </c>
    </row>
    <row r="3" spans="1:15" s="150" customFormat="1" ht="24">
      <c r="A3" s="19" t="s">
        <v>622</v>
      </c>
      <c r="B3" s="149">
        <v>26416</v>
      </c>
      <c r="E3" s="150" t="s">
        <v>394</v>
      </c>
      <c r="F3" s="150" t="s">
        <v>549</v>
      </c>
      <c r="G3" s="150" t="s">
        <v>473</v>
      </c>
      <c r="H3" s="150" t="s">
        <v>353</v>
      </c>
      <c r="I3" s="150" t="s">
        <v>430</v>
      </c>
      <c r="N3" s="177" t="s">
        <v>356</v>
      </c>
      <c r="O3" s="150" t="s">
        <v>641</v>
      </c>
    </row>
    <row r="4" spans="1:15" s="150" customFormat="1" ht="36">
      <c r="A4" s="19" t="s">
        <v>622</v>
      </c>
      <c r="B4" s="255">
        <v>50627</v>
      </c>
      <c r="D4" s="150" t="s">
        <v>40</v>
      </c>
      <c r="E4" s="317" t="s">
        <v>642</v>
      </c>
      <c r="F4" s="282" t="s">
        <v>643</v>
      </c>
      <c r="G4" s="150" t="s">
        <v>473</v>
      </c>
      <c r="H4" s="283" t="s">
        <v>353</v>
      </c>
      <c r="I4" s="150" t="s">
        <v>354</v>
      </c>
      <c r="N4" s="177" t="s">
        <v>644</v>
      </c>
      <c r="O4" s="150" t="s">
        <v>645</v>
      </c>
    </row>
    <row r="5" spans="1:15" s="14" customFormat="1" ht="84">
      <c r="A5" s="12" t="s">
        <v>622</v>
      </c>
      <c r="B5" s="114">
        <v>50845</v>
      </c>
      <c r="D5" s="14" t="s">
        <v>40</v>
      </c>
      <c r="E5" s="164" t="s">
        <v>642</v>
      </c>
      <c r="F5" s="14" t="s">
        <v>646</v>
      </c>
      <c r="G5" s="14" t="s">
        <v>473</v>
      </c>
      <c r="H5" s="14" t="s">
        <v>353</v>
      </c>
      <c r="I5" s="14" t="s">
        <v>354</v>
      </c>
      <c r="N5" s="177" t="s">
        <v>431</v>
      </c>
      <c r="O5" s="14" t="s">
        <v>647</v>
      </c>
    </row>
  </sheetData>
  <dataValidations count="1">
    <dataValidation type="list" allowBlank="1" showErrorMessage="1" sqref="E4:E5" xr:uid="{9F2A0260-26F3-4702-9A18-DBE22A3725A6}">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CA58B29A-4794-46F7-A221-57CEACD0BD50}">
          <x14:formula1>
            <xm:f>Settings!$C$3:$C$20</xm:f>
          </x14:formula1>
          <xm:sqref>J2</xm:sqref>
        </x14:dataValidation>
        <x14:dataValidation type="list" allowBlank="1" showErrorMessage="1" xr:uid="{77F8F03A-B51D-4B4E-98B7-0954F86A542B}">
          <x14:formula1>
            <xm:f>Details!$A$2:$A$10</xm:f>
          </x14:formula1>
          <xm:sqref>N2:N5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E670D-D547-43F8-BC51-F2A03B3EF1D4}">
  <dimension ref="A1:G4"/>
  <sheetViews>
    <sheetView workbookViewId="0">
      <selection activeCell="F3" sqref="F3"/>
    </sheetView>
  </sheetViews>
  <sheetFormatPr defaultRowHeight="12.75"/>
  <cols>
    <col min="1" max="1" width="29" style="15" customWidth="1"/>
    <col min="2" max="2" width="9.140625" style="285" bestFit="1" customWidth="1"/>
    <col min="3" max="4" width="9.140625" style="15" bestFit="1" customWidth="1"/>
    <col min="5" max="5" width="48.7109375" style="15" customWidth="1"/>
    <col min="6" max="6" width="22.28515625" style="15" customWidth="1"/>
    <col min="7" max="7" width="36.5703125" style="15" customWidth="1"/>
    <col min="8" max="15" width="9.140625" style="15" bestFit="1" customWidth="1"/>
    <col min="16" max="16384" width="9.140625" style="15"/>
  </cols>
  <sheetData>
    <row r="1" spans="1:7" ht="27">
      <c r="A1" s="23" t="s">
        <v>74</v>
      </c>
      <c r="B1" s="45" t="s">
        <v>75</v>
      </c>
      <c r="C1" s="23" t="s">
        <v>2</v>
      </c>
      <c r="D1" s="172" t="s">
        <v>77</v>
      </c>
      <c r="E1" s="172" t="s">
        <v>601</v>
      </c>
      <c r="F1" s="174" t="s">
        <v>4</v>
      </c>
      <c r="G1" s="23" t="s">
        <v>602</v>
      </c>
    </row>
    <row r="2" spans="1:7" ht="46.5" customHeight="1">
      <c r="A2" s="170" t="s">
        <v>256</v>
      </c>
      <c r="B2" s="170">
        <v>26204</v>
      </c>
      <c r="C2" s="170" t="s">
        <v>603</v>
      </c>
      <c r="D2" s="170" t="s">
        <v>394</v>
      </c>
      <c r="E2" s="150" t="s">
        <v>648</v>
      </c>
      <c r="F2" s="322" t="s">
        <v>9</v>
      </c>
      <c r="G2" s="170" t="s">
        <v>649</v>
      </c>
    </row>
    <row r="3" spans="1:7" ht="37.5" customHeight="1">
      <c r="A3" s="167" t="s">
        <v>256</v>
      </c>
      <c r="B3" s="167">
        <v>50824</v>
      </c>
      <c r="C3" s="167" t="s">
        <v>603</v>
      </c>
      <c r="D3" s="167" t="s">
        <v>650</v>
      </c>
      <c r="E3" s="294" t="s">
        <v>651</v>
      </c>
      <c r="F3" s="323" t="s">
        <v>9</v>
      </c>
      <c r="G3" s="269" t="s">
        <v>652</v>
      </c>
    </row>
    <row r="4" spans="1:7" ht="72" customHeight="1">
      <c r="A4" s="167" t="s">
        <v>256</v>
      </c>
      <c r="B4" s="167">
        <v>42586</v>
      </c>
      <c r="C4" s="167" t="s">
        <v>603</v>
      </c>
      <c r="D4" s="167" t="s">
        <v>650</v>
      </c>
      <c r="E4" s="190" t="s">
        <v>653</v>
      </c>
      <c r="F4" s="164" t="s">
        <v>654</v>
      </c>
      <c r="G4" s="269" t="s">
        <v>655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8D3F6F9-BB68-4887-9FCE-683368309F21}">
          <x14:formula1>
            <xm:f>Settings!$C$3:$C$20</xm:f>
          </x14:formula1>
          <xm:sqref>F4</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85639-5691-462B-BB91-CAC4CACD54F5}">
  <dimension ref="A1:AE7"/>
  <sheetViews>
    <sheetView topLeftCell="E1" workbookViewId="0">
      <selection activeCell="W4" sqref="W4:AC4"/>
    </sheetView>
  </sheetViews>
  <sheetFormatPr defaultRowHeight="30" customHeight="1"/>
  <cols>
    <col min="1" max="1" width="4.7109375" bestFit="1" customWidth="1"/>
    <col min="3" max="3" width="11" customWidth="1"/>
    <col min="4" max="4" width="12" customWidth="1"/>
    <col min="5" max="5" width="19.28515625" customWidth="1"/>
    <col min="6" max="6" width="13.140625" customWidth="1"/>
    <col min="7" max="7" width="11" bestFit="1" customWidth="1"/>
    <col min="8" max="8" width="42.7109375" customWidth="1"/>
    <col min="9" max="9" width="23.5703125" customWidth="1"/>
    <col min="10" max="10" width="9.140625" style="52"/>
    <col min="11" max="11" width="9" bestFit="1" customWidth="1"/>
    <col min="12" max="12" width="9.140625" style="52"/>
    <col min="13" max="13" width="10" bestFit="1" customWidth="1"/>
    <col min="14" max="14" width="11.85546875" customWidth="1"/>
    <col min="19" max="19" width="13.5703125" customWidth="1"/>
    <col min="20" max="20" width="17.42578125" customWidth="1"/>
    <col min="21" max="21" width="10" bestFit="1" customWidth="1"/>
    <col min="22" max="22" width="12" customWidth="1"/>
    <col min="26" max="26" width="11.7109375" customWidth="1"/>
    <col min="28" max="28" width="25.28515625" customWidth="1"/>
    <col min="30" max="30" width="24.5703125" customWidth="1"/>
    <col min="31" max="31" width="18.7109375" bestFit="1" customWidth="1"/>
  </cols>
  <sheetData>
    <row r="1" spans="1:31" ht="75.75" customHeight="1">
      <c r="A1" s="45" t="s">
        <v>73</v>
      </c>
      <c r="B1" s="45" t="s">
        <v>1</v>
      </c>
      <c r="C1" s="45" t="s">
        <v>85</v>
      </c>
      <c r="D1" s="45" t="s">
        <v>86</v>
      </c>
      <c r="E1" s="45" t="s">
        <v>310</v>
      </c>
      <c r="F1" s="45" t="s">
        <v>2</v>
      </c>
      <c r="G1" s="98"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267" t="s">
        <v>5</v>
      </c>
      <c r="AE1" s="45" t="s">
        <v>332</v>
      </c>
    </row>
    <row r="2" spans="1:31" ht="30" customHeight="1">
      <c r="A2" s="165">
        <v>1</v>
      </c>
      <c r="B2" s="79" t="s">
        <v>87</v>
      </c>
      <c r="C2" s="102">
        <v>45959</v>
      </c>
      <c r="D2" s="102">
        <v>45972</v>
      </c>
      <c r="E2" s="167" t="s">
        <v>251</v>
      </c>
      <c r="F2" s="149" t="s">
        <v>40</v>
      </c>
      <c r="G2" s="165">
        <v>50437</v>
      </c>
      <c r="H2" s="165" t="s">
        <v>656</v>
      </c>
      <c r="I2" s="133" t="s">
        <v>358</v>
      </c>
      <c r="J2" s="100">
        <v>5</v>
      </c>
      <c r="K2" s="103">
        <f>L2/4</f>
        <v>3</v>
      </c>
      <c r="L2" s="286">
        <v>12</v>
      </c>
      <c r="M2" s="181">
        <v>45957</v>
      </c>
      <c r="N2" s="181">
        <v>45959</v>
      </c>
      <c r="O2" s="78" t="s">
        <v>335</v>
      </c>
      <c r="P2" s="78" t="s">
        <v>49</v>
      </c>
      <c r="Q2" s="78" t="s">
        <v>400</v>
      </c>
      <c r="R2" s="78" t="s">
        <v>49</v>
      </c>
      <c r="S2" s="78" t="s">
        <v>400</v>
      </c>
      <c r="T2" s="132" t="s">
        <v>657</v>
      </c>
      <c r="U2" s="181">
        <v>45959</v>
      </c>
      <c r="V2" s="181">
        <v>45959</v>
      </c>
      <c r="W2" s="100" t="s">
        <v>344</v>
      </c>
      <c r="X2" s="100" t="s">
        <v>345</v>
      </c>
      <c r="Y2" s="100" t="s">
        <v>658</v>
      </c>
      <c r="Z2" s="181">
        <v>45959</v>
      </c>
      <c r="AA2" s="100" t="s">
        <v>345</v>
      </c>
      <c r="AB2" s="100" t="s">
        <v>345</v>
      </c>
      <c r="AC2" s="100" t="s">
        <v>345</v>
      </c>
      <c r="AD2" s="19"/>
      <c r="AE2" s="12" t="s">
        <v>340</v>
      </c>
    </row>
    <row r="3" spans="1:31" ht="30" customHeight="1">
      <c r="A3" s="165">
        <v>2</v>
      </c>
      <c r="B3" s="79" t="s">
        <v>87</v>
      </c>
      <c r="C3" s="102">
        <v>45959</v>
      </c>
      <c r="D3" s="102">
        <v>45972</v>
      </c>
      <c r="E3" s="199" t="s">
        <v>251</v>
      </c>
      <c r="F3" s="149" t="s">
        <v>40</v>
      </c>
      <c r="G3" s="94">
        <v>50452</v>
      </c>
      <c r="H3" s="165" t="s">
        <v>659</v>
      </c>
      <c r="I3" s="133" t="s">
        <v>358</v>
      </c>
      <c r="J3" s="134">
        <v>3</v>
      </c>
      <c r="K3" s="103">
        <f>L3/4</f>
        <v>3</v>
      </c>
      <c r="L3" s="286">
        <v>12</v>
      </c>
      <c r="M3" s="181">
        <v>45960</v>
      </c>
      <c r="N3" s="181">
        <v>45961</v>
      </c>
      <c r="O3" s="78" t="s">
        <v>335</v>
      </c>
      <c r="P3" s="78" t="s">
        <v>49</v>
      </c>
      <c r="Q3" s="78" t="s">
        <v>400</v>
      </c>
      <c r="R3" s="78" t="s">
        <v>49</v>
      </c>
      <c r="S3" s="78" t="s">
        <v>400</v>
      </c>
      <c r="T3" s="132" t="s">
        <v>660</v>
      </c>
      <c r="U3" s="181">
        <v>45961</v>
      </c>
      <c r="V3" s="181">
        <v>45961</v>
      </c>
      <c r="W3" s="100" t="s">
        <v>344</v>
      </c>
      <c r="X3" s="100" t="s">
        <v>345</v>
      </c>
      <c r="Y3" s="100" t="s">
        <v>658</v>
      </c>
      <c r="Z3" s="181">
        <v>45961</v>
      </c>
      <c r="AA3" s="100" t="s">
        <v>345</v>
      </c>
      <c r="AB3" s="100" t="s">
        <v>345</v>
      </c>
      <c r="AC3" s="100" t="s">
        <v>345</v>
      </c>
      <c r="AD3" s="19"/>
      <c r="AE3" s="12" t="s">
        <v>340</v>
      </c>
    </row>
    <row r="4" spans="1:31" ht="30" customHeight="1">
      <c r="A4" s="165">
        <v>3</v>
      </c>
      <c r="B4" s="79" t="s">
        <v>87</v>
      </c>
      <c r="C4" s="102">
        <v>45959</v>
      </c>
      <c r="D4" s="102">
        <v>45972</v>
      </c>
      <c r="E4" s="199" t="s">
        <v>251</v>
      </c>
      <c r="F4" s="149" t="s">
        <v>40</v>
      </c>
      <c r="G4" s="94">
        <v>50597</v>
      </c>
      <c r="H4" s="165" t="s">
        <v>661</v>
      </c>
      <c r="I4" s="133" t="s">
        <v>358</v>
      </c>
      <c r="J4" s="134">
        <v>5</v>
      </c>
      <c r="K4" s="103">
        <f>L4/4</f>
        <v>4.5</v>
      </c>
      <c r="L4" s="286">
        <v>18</v>
      </c>
      <c r="M4" s="181">
        <v>45965</v>
      </c>
      <c r="N4" s="181">
        <v>45966</v>
      </c>
      <c r="O4" s="78" t="s">
        <v>335</v>
      </c>
      <c r="P4" s="78" t="s">
        <v>49</v>
      </c>
      <c r="Q4" s="78" t="s">
        <v>400</v>
      </c>
      <c r="R4" s="78" t="s">
        <v>49</v>
      </c>
      <c r="S4" s="78" t="s">
        <v>400</v>
      </c>
      <c r="T4" s="132" t="s">
        <v>662</v>
      </c>
      <c r="U4" s="181">
        <v>45966</v>
      </c>
      <c r="V4" s="181">
        <v>45967</v>
      </c>
      <c r="W4" s="100" t="s">
        <v>344</v>
      </c>
      <c r="X4" s="100" t="s">
        <v>345</v>
      </c>
      <c r="Y4" s="100" t="s">
        <v>658</v>
      </c>
      <c r="Z4" s="181">
        <v>45967</v>
      </c>
      <c r="AA4" s="100" t="s">
        <v>345</v>
      </c>
      <c r="AB4" s="100" t="s">
        <v>345</v>
      </c>
      <c r="AC4" s="100" t="s">
        <v>345</v>
      </c>
      <c r="AD4" s="19"/>
      <c r="AE4" s="12" t="s">
        <v>340</v>
      </c>
    </row>
    <row r="5" spans="1:31" ht="30" customHeight="1">
      <c r="A5" s="165">
        <v>4</v>
      </c>
      <c r="B5" s="79" t="s">
        <v>87</v>
      </c>
      <c r="C5" s="102">
        <v>45959</v>
      </c>
      <c r="D5" s="102">
        <v>45972</v>
      </c>
      <c r="E5" s="199" t="s">
        <v>251</v>
      </c>
      <c r="F5" s="149" t="s">
        <v>40</v>
      </c>
      <c r="G5" s="287">
        <v>50601</v>
      </c>
      <c r="H5" s="165" t="s">
        <v>663</v>
      </c>
      <c r="I5" s="133" t="s">
        <v>358</v>
      </c>
      <c r="J5" s="142">
        <v>3</v>
      </c>
      <c r="K5" s="103">
        <f>L5/4</f>
        <v>3</v>
      </c>
      <c r="L5" s="69">
        <v>12</v>
      </c>
      <c r="M5" s="181">
        <v>45960</v>
      </c>
      <c r="N5" s="181">
        <v>45961</v>
      </c>
      <c r="O5" s="78" t="s">
        <v>335</v>
      </c>
      <c r="P5" s="78" t="s">
        <v>40</v>
      </c>
      <c r="Q5" s="78" t="s">
        <v>400</v>
      </c>
      <c r="R5" s="78" t="s">
        <v>40</v>
      </c>
      <c r="S5" s="78" t="s">
        <v>400</v>
      </c>
      <c r="T5" s="132" t="s">
        <v>664</v>
      </c>
      <c r="U5" s="181">
        <v>45967</v>
      </c>
      <c r="V5" s="181">
        <v>45967</v>
      </c>
      <c r="W5" s="100" t="s">
        <v>344</v>
      </c>
      <c r="X5" s="100" t="s">
        <v>345</v>
      </c>
      <c r="Y5" s="100" t="s">
        <v>658</v>
      </c>
      <c r="Z5" s="181">
        <v>45967</v>
      </c>
      <c r="AA5" s="100" t="s">
        <v>345</v>
      </c>
      <c r="AB5" s="100" t="s">
        <v>345</v>
      </c>
      <c r="AC5" s="100" t="s">
        <v>345</v>
      </c>
      <c r="AD5" s="19"/>
      <c r="AE5" s="12" t="s">
        <v>340</v>
      </c>
    </row>
    <row r="6" spans="1:31" ht="30" customHeight="1">
      <c r="A6" s="165">
        <v>5</v>
      </c>
      <c r="B6" s="146" t="s">
        <v>87</v>
      </c>
      <c r="C6" s="102">
        <v>45959</v>
      </c>
      <c r="D6" s="102">
        <v>45972</v>
      </c>
      <c r="E6" s="199" t="s">
        <v>665</v>
      </c>
      <c r="F6" s="49" t="s">
        <v>349</v>
      </c>
      <c r="G6" s="165">
        <v>50659</v>
      </c>
      <c r="H6" s="165" t="s">
        <v>666</v>
      </c>
      <c r="I6" s="133" t="s">
        <v>358</v>
      </c>
      <c r="J6" s="142">
        <v>5</v>
      </c>
      <c r="K6" s="103">
        <f>L6/4</f>
        <v>5.5</v>
      </c>
      <c r="L6" s="69">
        <v>22</v>
      </c>
      <c r="M6" s="293">
        <v>45960</v>
      </c>
      <c r="N6" s="293">
        <v>45972</v>
      </c>
      <c r="O6" s="49" t="s">
        <v>335</v>
      </c>
      <c r="P6" s="49" t="s">
        <v>392</v>
      </c>
      <c r="Q6" s="78" t="s">
        <v>400</v>
      </c>
      <c r="R6" s="49" t="s">
        <v>392</v>
      </c>
      <c r="S6" s="78" t="s">
        <v>400</v>
      </c>
      <c r="T6" s="132" t="s">
        <v>667</v>
      </c>
      <c r="U6" s="276">
        <v>45972</v>
      </c>
      <c r="V6" s="100" t="s">
        <v>345</v>
      </c>
      <c r="W6" s="100" t="s">
        <v>344</v>
      </c>
      <c r="X6" s="100" t="s">
        <v>345</v>
      </c>
      <c r="Y6" s="100" t="s">
        <v>345</v>
      </c>
      <c r="Z6" s="100" t="s">
        <v>345</v>
      </c>
      <c r="AA6" s="100" t="s">
        <v>345</v>
      </c>
      <c r="AB6" s="100" t="s">
        <v>345</v>
      </c>
      <c r="AC6" s="100" t="s">
        <v>345</v>
      </c>
      <c r="AD6" s="12" t="s">
        <v>668</v>
      </c>
      <c r="AE6" s="12"/>
    </row>
    <row r="7" spans="1:31" s="52" customFormat="1" ht="106.5" customHeight="1">
      <c r="A7" s="165">
        <v>6</v>
      </c>
      <c r="B7" s="146" t="s">
        <v>87</v>
      </c>
      <c r="C7" s="292">
        <v>45959</v>
      </c>
      <c r="D7" s="292">
        <v>45972</v>
      </c>
      <c r="E7" s="199" t="s">
        <v>251</v>
      </c>
      <c r="F7" s="49" t="s">
        <v>49</v>
      </c>
      <c r="G7" s="165">
        <v>50459</v>
      </c>
      <c r="H7" s="165" t="s">
        <v>669</v>
      </c>
      <c r="I7" s="133" t="s">
        <v>358</v>
      </c>
      <c r="J7" s="49">
        <v>2</v>
      </c>
      <c r="K7" s="197">
        <f>L7/4</f>
        <v>2.25</v>
      </c>
      <c r="L7" s="290">
        <v>9</v>
      </c>
      <c r="M7" s="176">
        <v>45965</v>
      </c>
      <c r="N7" s="176">
        <v>45965</v>
      </c>
      <c r="O7" s="78" t="s">
        <v>335</v>
      </c>
      <c r="P7" s="78" t="s">
        <v>40</v>
      </c>
      <c r="Q7" s="78" t="s">
        <v>400</v>
      </c>
      <c r="R7" s="78" t="s">
        <v>336</v>
      </c>
      <c r="S7" s="78" t="s">
        <v>670</v>
      </c>
      <c r="T7" s="48" t="s">
        <v>671</v>
      </c>
      <c r="U7" s="276">
        <v>45968</v>
      </c>
      <c r="V7" s="276">
        <v>45968</v>
      </c>
      <c r="W7" s="100" t="s">
        <v>344</v>
      </c>
      <c r="X7" s="100" t="s">
        <v>345</v>
      </c>
      <c r="Y7" s="134" t="s">
        <v>658</v>
      </c>
      <c r="Z7" s="176">
        <v>45968</v>
      </c>
      <c r="AA7" s="155" t="s">
        <v>400</v>
      </c>
      <c r="AB7" s="49" t="s">
        <v>400</v>
      </c>
      <c r="AC7" s="49" t="s">
        <v>400</v>
      </c>
      <c r="AD7" s="49"/>
      <c r="AE7" s="12" t="s">
        <v>340</v>
      </c>
    </row>
  </sheetData>
  <dataValidations count="1">
    <dataValidation type="list" allowBlank="1" showInputMessage="1" showErrorMessage="1" sqref="AE2:AE5 AE7" xr:uid="{DF4FA12A-0B31-42D8-A94D-C7A59CA2FFEF}">
      <formula1>"Exceeds Expectation, Meets Expectation, Needs Improvement"</formula1>
    </dataValidation>
  </dataValidations>
  <hyperlinks>
    <hyperlink ref="T2" r:id="rId1" xr:uid="{908A9300-D4B2-4949-9A79-7E1D71E39AA3}"/>
    <hyperlink ref="T3" r:id="rId2" xr:uid="{3A3C1168-B6BE-4EDA-B33F-13C1CF1E9A33}"/>
    <hyperlink ref="T4" r:id="rId3" xr:uid="{90D7CDF7-F5A5-4E1D-A269-7303AB53FD5F}"/>
    <hyperlink ref="T5" r:id="rId4" xr:uid="{172618AC-05D9-4F89-B180-632A981884D2}"/>
    <hyperlink ref="T7" r:id="rId5" xr:uid="{00BD8168-0665-4876-BEC8-97860DDAAE68}"/>
    <hyperlink ref="T6" r:id="rId6" xr:uid="{9B9BB4A6-71CF-417D-B9E0-A3002115F92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DCA3E0A-89F0-4246-BFE8-34C6E3B4B8D7}">
          <x14:formula1>
            <xm:f>Settings!$C$3:$C$20</xm:f>
          </x14:formula1>
          <xm:sqref>I2:I7</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A19A-FCF9-4FFB-90FE-9D4C88AFB2E1}">
  <dimension ref="A1:O9"/>
  <sheetViews>
    <sheetView topLeftCell="A3" workbookViewId="0">
      <selection activeCell="N4" sqref="N4"/>
    </sheetView>
  </sheetViews>
  <sheetFormatPr defaultRowHeight="12.75"/>
  <cols>
    <col min="1" max="1" width="29" style="15" customWidth="1"/>
    <col min="2" max="2" width="9.140625" style="285"/>
    <col min="3" max="5" width="9.140625" style="15"/>
    <col min="6" max="6" width="38" style="15" customWidth="1"/>
    <col min="7" max="9" width="9.140625" style="15"/>
    <col min="10" max="10" width="26.7109375" style="15" customWidth="1"/>
    <col min="11" max="11" width="11.42578125" style="15" customWidth="1"/>
    <col min="12" max="12" width="10.140625" style="15" customWidth="1"/>
    <col min="13" max="13" width="11.42578125" style="15" customWidth="1"/>
    <col min="14" max="14" width="19.28515625" style="15" customWidth="1"/>
    <col min="15" max="15" width="29.5703125" style="15" customWidth="1"/>
    <col min="16" max="16384" width="9.140625" style="15"/>
  </cols>
  <sheetData>
    <row r="1" spans="1:15" ht="27">
      <c r="A1" s="23" t="s">
        <v>74</v>
      </c>
      <c r="B1" s="45" t="s">
        <v>75</v>
      </c>
      <c r="C1" s="172" t="s">
        <v>76</v>
      </c>
      <c r="D1" s="23" t="s">
        <v>2</v>
      </c>
      <c r="E1" s="172" t="s">
        <v>77</v>
      </c>
      <c r="F1" s="172" t="s">
        <v>78</v>
      </c>
      <c r="G1" s="23" t="s">
        <v>79</v>
      </c>
      <c r="H1" s="23" t="s">
        <v>80</v>
      </c>
      <c r="I1" s="23" t="s">
        <v>81</v>
      </c>
      <c r="J1" s="23" t="s">
        <v>4</v>
      </c>
      <c r="K1" s="45" t="s">
        <v>312</v>
      </c>
      <c r="L1" s="45" t="s">
        <v>313</v>
      </c>
      <c r="M1" s="45" t="s">
        <v>314</v>
      </c>
      <c r="N1" s="173" t="s">
        <v>82</v>
      </c>
      <c r="O1" s="174" t="s">
        <v>5</v>
      </c>
    </row>
    <row r="2" spans="1:15" ht="36.75" customHeight="1">
      <c r="A2" s="167" t="s">
        <v>251</v>
      </c>
      <c r="B2" s="167">
        <v>25851</v>
      </c>
      <c r="C2" s="165"/>
      <c r="D2" s="114" t="s">
        <v>40</v>
      </c>
      <c r="E2" s="167" t="s">
        <v>394</v>
      </c>
      <c r="F2" s="279" t="s">
        <v>672</v>
      </c>
      <c r="G2" s="164" t="s">
        <v>473</v>
      </c>
      <c r="H2" s="164" t="s">
        <v>353</v>
      </c>
      <c r="I2" s="164" t="s">
        <v>430</v>
      </c>
      <c r="J2" s="47" t="s">
        <v>355</v>
      </c>
      <c r="K2" s="164">
        <v>2</v>
      </c>
      <c r="L2" s="164">
        <f>M2/4</f>
        <v>1.5</v>
      </c>
      <c r="M2" s="164">
        <v>6</v>
      </c>
      <c r="N2" s="164" t="s">
        <v>431</v>
      </c>
      <c r="O2" s="14" t="s">
        <v>673</v>
      </c>
    </row>
    <row r="3" spans="1:15" ht="23.25">
      <c r="A3" s="167" t="s">
        <v>251</v>
      </c>
      <c r="B3" s="114">
        <v>26204</v>
      </c>
      <c r="C3" s="14"/>
      <c r="D3" s="114" t="s">
        <v>49</v>
      </c>
      <c r="E3" s="114" t="s">
        <v>394</v>
      </c>
      <c r="F3" s="14" t="s">
        <v>674</v>
      </c>
      <c r="G3" s="164" t="s">
        <v>473</v>
      </c>
      <c r="H3" s="164" t="s">
        <v>353</v>
      </c>
      <c r="I3" s="164" t="s">
        <v>430</v>
      </c>
      <c r="J3" s="47" t="s">
        <v>355</v>
      </c>
      <c r="K3" s="164">
        <v>2</v>
      </c>
      <c r="L3" s="164">
        <f t="shared" ref="L3:L6" si="0">M3/4</f>
        <v>1.5</v>
      </c>
      <c r="M3" s="164">
        <v>6</v>
      </c>
      <c r="N3" s="164" t="s">
        <v>431</v>
      </c>
      <c r="O3" s="150" t="s">
        <v>675</v>
      </c>
    </row>
    <row r="4" spans="1:15" ht="46.5">
      <c r="A4" s="167" t="s">
        <v>251</v>
      </c>
      <c r="B4" s="114">
        <v>26170</v>
      </c>
      <c r="C4" s="14"/>
      <c r="D4" s="149" t="s">
        <v>49</v>
      </c>
      <c r="E4" s="114" t="s">
        <v>394</v>
      </c>
      <c r="F4" s="14" t="s">
        <v>676</v>
      </c>
      <c r="G4" s="164" t="s">
        <v>473</v>
      </c>
      <c r="H4" s="164" t="s">
        <v>353</v>
      </c>
      <c r="I4" s="164" t="s">
        <v>430</v>
      </c>
      <c r="J4" s="272" t="s">
        <v>396</v>
      </c>
      <c r="K4" s="164">
        <v>2</v>
      </c>
      <c r="L4" s="164">
        <f t="shared" si="0"/>
        <v>0.375</v>
      </c>
      <c r="M4" s="164">
        <v>1.5</v>
      </c>
      <c r="N4" s="177" t="s">
        <v>431</v>
      </c>
      <c r="O4" s="14"/>
    </row>
    <row r="5" spans="1:15" ht="35.25">
      <c r="A5" s="167" t="s">
        <v>251</v>
      </c>
      <c r="B5" s="114">
        <v>26195</v>
      </c>
      <c r="C5" s="14"/>
      <c r="D5" s="114" t="s">
        <v>47</v>
      </c>
      <c r="E5" s="114" t="s">
        <v>394</v>
      </c>
      <c r="F5" s="14" t="s">
        <v>677</v>
      </c>
      <c r="G5" s="164" t="s">
        <v>473</v>
      </c>
      <c r="H5" s="164" t="s">
        <v>353</v>
      </c>
      <c r="I5" s="164" t="s">
        <v>430</v>
      </c>
      <c r="J5" s="272" t="s">
        <v>396</v>
      </c>
      <c r="K5" s="164">
        <v>2</v>
      </c>
      <c r="L5" s="164">
        <f t="shared" si="0"/>
        <v>0</v>
      </c>
      <c r="M5" s="164"/>
      <c r="N5" s="164" t="s">
        <v>431</v>
      </c>
      <c r="O5" s="291"/>
    </row>
    <row r="6" spans="1:15" ht="46.5">
      <c r="A6" s="170" t="s">
        <v>251</v>
      </c>
      <c r="B6" s="149">
        <v>26219</v>
      </c>
      <c r="C6" s="150"/>
      <c r="D6" s="149" t="s">
        <v>49</v>
      </c>
      <c r="E6" s="149" t="s">
        <v>394</v>
      </c>
      <c r="F6" s="150" t="s">
        <v>678</v>
      </c>
      <c r="G6" s="54" t="s">
        <v>473</v>
      </c>
      <c r="H6" s="54" t="s">
        <v>353</v>
      </c>
      <c r="I6" s="164" t="s">
        <v>430</v>
      </c>
      <c r="J6" s="272" t="s">
        <v>396</v>
      </c>
      <c r="K6" s="54">
        <v>3</v>
      </c>
      <c r="L6" s="54">
        <f t="shared" si="0"/>
        <v>3.375</v>
      </c>
      <c r="M6" s="164">
        <v>13.5</v>
      </c>
      <c r="N6" s="164" t="s">
        <v>431</v>
      </c>
      <c r="O6" s="150"/>
    </row>
    <row r="7" spans="1:15" ht="23.25">
      <c r="A7" s="167" t="s">
        <v>251</v>
      </c>
      <c r="B7" s="114">
        <v>26131</v>
      </c>
      <c r="C7" s="14"/>
      <c r="D7" s="149" t="s">
        <v>49</v>
      </c>
      <c r="E7" s="114" t="s">
        <v>394</v>
      </c>
      <c r="F7" s="14" t="s">
        <v>679</v>
      </c>
      <c r="G7" s="164" t="s">
        <v>473</v>
      </c>
      <c r="H7" s="164" t="s">
        <v>353</v>
      </c>
      <c r="I7" s="164" t="s">
        <v>430</v>
      </c>
      <c r="J7" s="272" t="s">
        <v>396</v>
      </c>
      <c r="K7" s="164">
        <v>3</v>
      </c>
      <c r="L7" s="164">
        <f t="shared" ref="L7:L8" si="1">M7/4</f>
        <v>0</v>
      </c>
      <c r="M7" s="164"/>
      <c r="N7" s="164" t="s">
        <v>431</v>
      </c>
      <c r="O7" s="14"/>
    </row>
    <row r="8" spans="1:15" ht="35.25">
      <c r="A8" s="170" t="s">
        <v>680</v>
      </c>
      <c r="B8" s="170">
        <v>26262</v>
      </c>
      <c r="C8" s="150"/>
      <c r="D8" s="150" t="s">
        <v>49</v>
      </c>
      <c r="E8" s="149" t="s">
        <v>394</v>
      </c>
      <c r="F8" s="150" t="s">
        <v>681</v>
      </c>
      <c r="G8" s="54" t="s">
        <v>473</v>
      </c>
      <c r="H8" s="54" t="s">
        <v>353</v>
      </c>
      <c r="I8" s="54" t="s">
        <v>430</v>
      </c>
      <c r="J8" s="272" t="s">
        <v>396</v>
      </c>
      <c r="K8" s="54">
        <v>3</v>
      </c>
      <c r="L8" s="54">
        <f t="shared" si="1"/>
        <v>1.5</v>
      </c>
      <c r="M8" s="54">
        <v>6</v>
      </c>
      <c r="N8" s="164" t="s">
        <v>431</v>
      </c>
      <c r="O8" s="150"/>
    </row>
    <row r="9" spans="1:15" ht="35.25">
      <c r="A9" s="167" t="s">
        <v>251</v>
      </c>
      <c r="B9" s="114"/>
      <c r="C9" s="190">
        <v>50459</v>
      </c>
      <c r="D9" s="114" t="s">
        <v>49</v>
      </c>
      <c r="E9" s="295" t="s">
        <v>642</v>
      </c>
      <c r="F9" s="14" t="s">
        <v>682</v>
      </c>
      <c r="G9" s="14" t="s">
        <v>473</v>
      </c>
      <c r="H9" s="14" t="s">
        <v>353</v>
      </c>
      <c r="I9" s="14" t="s">
        <v>354</v>
      </c>
      <c r="J9" s="272" t="s">
        <v>396</v>
      </c>
      <c r="K9" s="14"/>
      <c r="L9" s="14"/>
      <c r="M9" s="294"/>
      <c r="N9" s="164" t="s">
        <v>431</v>
      </c>
      <c r="O9" s="268" t="s">
        <v>683</v>
      </c>
    </row>
  </sheetData>
  <dataValidations count="4">
    <dataValidation type="list" allowBlank="1" showErrorMessage="1" sqref="I2:I8" xr:uid="{1955FC2B-C3DD-402B-9072-E0DC50ECC4F9}">
      <formula1>"Internal,External"</formula1>
    </dataValidation>
    <dataValidation type="list" allowBlank="1" showErrorMessage="1" sqref="G2:G5 G7:G8" xr:uid="{FCE98A3C-C9AA-4512-B7FD-EDEDE0C1772F}">
      <formula1>"Minor,Significant,Major"</formula1>
    </dataValidation>
    <dataValidation type="list" allowBlank="1" showErrorMessage="1" sqref="H2:H5 H7:H8" xr:uid="{24337CE0-C8D5-470B-9A57-54BFE91C3378}">
      <formula1>"Manual, Automation"</formula1>
    </dataValidation>
    <dataValidation type="list" allowBlank="1" showErrorMessage="1" sqref="E9" xr:uid="{4DCD3475-477F-4E1D-93E0-931057C1165A}">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F854C7AF-CA99-40BF-A356-BD9A75936B9C}">
          <x14:formula1>
            <xm:f>Settings!$C$3:$C$20</xm:f>
          </x14:formula1>
          <xm:sqref>J2:J9</xm:sqref>
        </x14:dataValidation>
        <x14:dataValidation type="list" allowBlank="1" showErrorMessage="1" xr:uid="{710F6A10-45A7-4264-A48A-CA4791C971B1}">
          <x14:formula1>
            <xm:f>Details!$A$2:$A$10</xm:f>
          </x14:formula1>
          <xm:sqref>N2:N9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42BA1-DB95-4CFA-A984-7B834A02F6C9}">
  <dimension ref="A1:G3"/>
  <sheetViews>
    <sheetView workbookViewId="0">
      <selection activeCell="K11" sqref="K11"/>
    </sheetView>
  </sheetViews>
  <sheetFormatPr defaultRowHeight="12.75"/>
  <cols>
    <col min="1" max="1" width="29" style="15" customWidth="1"/>
    <col min="2" max="2" width="9.140625" style="285" bestFit="1" customWidth="1"/>
    <col min="3" max="4" width="9.140625" style="15" bestFit="1" customWidth="1"/>
    <col min="5" max="5" width="48.7109375" style="15" customWidth="1"/>
    <col min="6" max="6" width="22.28515625" style="15" customWidth="1"/>
    <col min="7" max="7" width="36.5703125" style="15" customWidth="1"/>
    <col min="8" max="15" width="9.140625" style="15" bestFit="1" customWidth="1"/>
    <col min="16" max="16384" width="9.140625" style="15"/>
  </cols>
  <sheetData>
    <row r="1" spans="1:7" ht="27">
      <c r="A1" s="23" t="s">
        <v>74</v>
      </c>
      <c r="B1" s="45" t="s">
        <v>75</v>
      </c>
      <c r="C1" s="23" t="s">
        <v>2</v>
      </c>
      <c r="D1" s="172" t="s">
        <v>77</v>
      </c>
      <c r="E1" s="172" t="s">
        <v>601</v>
      </c>
      <c r="F1" s="174" t="s">
        <v>4</v>
      </c>
      <c r="G1" s="23" t="s">
        <v>602</v>
      </c>
    </row>
    <row r="2" spans="1:7" ht="46.5" customHeight="1">
      <c r="A2" s="170" t="s">
        <v>251</v>
      </c>
      <c r="B2" s="170">
        <v>26131</v>
      </c>
      <c r="C2" s="170" t="s">
        <v>603</v>
      </c>
      <c r="D2" s="170" t="s">
        <v>394</v>
      </c>
      <c r="E2" s="150" t="s">
        <v>684</v>
      </c>
      <c r="F2" s="289" t="s">
        <v>9</v>
      </c>
      <c r="G2" s="170" t="s">
        <v>685</v>
      </c>
    </row>
    <row r="3" spans="1:7" ht="37.5" customHeight="1">
      <c r="A3" s="167" t="s">
        <v>251</v>
      </c>
      <c r="B3" s="167">
        <v>50601</v>
      </c>
      <c r="C3" s="167" t="s">
        <v>603</v>
      </c>
      <c r="D3" s="167" t="s">
        <v>604</v>
      </c>
      <c r="E3" s="14" t="s">
        <v>686</v>
      </c>
      <c r="F3" s="288" t="s">
        <v>9</v>
      </c>
      <c r="G3" s="167" t="s">
        <v>687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2C13F-9089-42BA-B682-6D3E870F385C}">
  <dimension ref="A1:AE10"/>
  <sheetViews>
    <sheetView topLeftCell="H5" workbookViewId="0">
      <selection activeCell="AD10" sqref="AD10"/>
    </sheetView>
  </sheetViews>
  <sheetFormatPr defaultRowHeight="30" customHeight="1"/>
  <cols>
    <col min="1" max="1" width="4.7109375" bestFit="1" customWidth="1"/>
    <col min="3" max="3" width="11" customWidth="1"/>
    <col min="4" max="4" width="12" customWidth="1"/>
    <col min="5" max="5" width="19.28515625" customWidth="1"/>
    <col min="6" max="6" width="13.140625" customWidth="1"/>
    <col min="7" max="7" width="11" bestFit="1" customWidth="1"/>
    <col min="8" max="8" width="42.7109375" customWidth="1"/>
    <col min="9" max="9" width="23.5703125" customWidth="1"/>
    <col min="11" max="11" width="9" bestFit="1" customWidth="1"/>
    <col min="12" max="12" width="9.140625" style="52"/>
    <col min="13" max="13" width="10" bestFit="1" customWidth="1"/>
    <col min="14" max="14" width="11.85546875" customWidth="1"/>
    <col min="19" max="19" width="13.5703125" customWidth="1"/>
    <col min="20" max="20" width="17.42578125" customWidth="1"/>
    <col min="21" max="21" width="10" bestFit="1" customWidth="1"/>
    <col min="22" max="22" width="12" customWidth="1"/>
    <col min="26" max="26" width="11.7109375" customWidth="1"/>
    <col min="28" max="28" width="25.28515625" customWidth="1"/>
    <col min="30" max="30" width="24.5703125" customWidth="1"/>
    <col min="31" max="31" width="18.7109375" bestFit="1" customWidth="1"/>
  </cols>
  <sheetData>
    <row r="1" spans="1:31" ht="75.75" customHeight="1">
      <c r="A1" s="45" t="s">
        <v>73</v>
      </c>
      <c r="B1" s="45" t="s">
        <v>1</v>
      </c>
      <c r="C1" s="45" t="s">
        <v>85</v>
      </c>
      <c r="D1" s="45" t="s">
        <v>86</v>
      </c>
      <c r="E1" s="45" t="s">
        <v>310</v>
      </c>
      <c r="F1" s="45" t="s">
        <v>2</v>
      </c>
      <c r="G1" s="45"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267" t="s">
        <v>5</v>
      </c>
      <c r="AE1" s="45" t="s">
        <v>332</v>
      </c>
    </row>
    <row r="2" spans="1:31" ht="48.75" customHeight="1">
      <c r="A2" s="165">
        <v>1</v>
      </c>
      <c r="B2" s="79" t="s">
        <v>87</v>
      </c>
      <c r="C2" s="102">
        <v>45945</v>
      </c>
      <c r="D2" s="102">
        <v>45958</v>
      </c>
      <c r="E2" s="167" t="s">
        <v>246</v>
      </c>
      <c r="F2" s="114" t="s">
        <v>49</v>
      </c>
      <c r="G2" s="165">
        <v>50274</v>
      </c>
      <c r="H2" s="165" t="s">
        <v>688</v>
      </c>
      <c r="I2" s="133" t="s">
        <v>358</v>
      </c>
      <c r="J2" s="100">
        <v>2</v>
      </c>
      <c r="K2" s="100">
        <f t="shared" ref="K2:K5" si="0">L2/4</f>
        <v>0.5</v>
      </c>
      <c r="L2" s="100">
        <v>2</v>
      </c>
      <c r="M2" s="176">
        <v>45939</v>
      </c>
      <c r="N2" s="176">
        <v>45940</v>
      </c>
      <c r="O2" s="78" t="s">
        <v>335</v>
      </c>
      <c r="P2" s="69" t="s">
        <v>40</v>
      </c>
      <c r="Q2" s="78" t="s">
        <v>400</v>
      </c>
      <c r="R2" s="78" t="s">
        <v>40</v>
      </c>
      <c r="S2" s="78" t="s">
        <v>400</v>
      </c>
      <c r="T2" s="132" t="s">
        <v>689</v>
      </c>
      <c r="U2" s="176">
        <v>45943</v>
      </c>
      <c r="V2" s="176">
        <v>45945</v>
      </c>
      <c r="W2" s="100" t="s">
        <v>344</v>
      </c>
      <c r="X2" s="100" t="s">
        <v>345</v>
      </c>
      <c r="Y2" s="100" t="s">
        <v>658</v>
      </c>
      <c r="Z2" s="176">
        <v>45945</v>
      </c>
      <c r="AA2" s="100" t="s">
        <v>345</v>
      </c>
      <c r="AB2" s="78" t="s">
        <v>690</v>
      </c>
      <c r="AC2" s="100" t="s">
        <v>345</v>
      </c>
      <c r="AD2" s="12"/>
      <c r="AE2" s="12" t="s">
        <v>340</v>
      </c>
    </row>
    <row r="3" spans="1:31" ht="39" customHeight="1">
      <c r="A3" s="165">
        <v>2</v>
      </c>
      <c r="B3" s="79" t="s">
        <v>87</v>
      </c>
      <c r="C3" s="102">
        <v>45945</v>
      </c>
      <c r="D3" s="102">
        <v>45958</v>
      </c>
      <c r="E3" s="167" t="s">
        <v>246</v>
      </c>
      <c r="F3" s="114" t="s">
        <v>47</v>
      </c>
      <c r="G3" s="165">
        <v>50297</v>
      </c>
      <c r="H3" s="165" t="s">
        <v>691</v>
      </c>
      <c r="I3" s="133" t="s">
        <v>358</v>
      </c>
      <c r="J3" s="100">
        <v>13</v>
      </c>
      <c r="K3" s="100">
        <f>L3/4</f>
        <v>5.25</v>
      </c>
      <c r="L3" s="100">
        <v>21</v>
      </c>
      <c r="M3" s="176">
        <v>45939</v>
      </c>
      <c r="N3" s="276">
        <v>45957</v>
      </c>
      <c r="O3" s="69" t="s">
        <v>335</v>
      </c>
      <c r="P3" s="69" t="s">
        <v>40</v>
      </c>
      <c r="Q3" s="69" t="s">
        <v>400</v>
      </c>
      <c r="R3" s="69" t="s">
        <v>40</v>
      </c>
      <c r="S3" s="69" t="s">
        <v>400</v>
      </c>
      <c r="T3" s="132" t="s">
        <v>692</v>
      </c>
      <c r="U3" s="276">
        <v>45957</v>
      </c>
      <c r="V3" s="276">
        <v>45957</v>
      </c>
      <c r="W3" s="100" t="s">
        <v>344</v>
      </c>
      <c r="X3" s="100" t="s">
        <v>345</v>
      </c>
      <c r="Y3" s="100" t="s">
        <v>658</v>
      </c>
      <c r="Z3" s="276">
        <v>45957</v>
      </c>
      <c r="AA3" s="100" t="s">
        <v>345</v>
      </c>
      <c r="AB3" s="100" t="s">
        <v>345</v>
      </c>
      <c r="AC3" s="100" t="s">
        <v>345</v>
      </c>
      <c r="AD3" s="12"/>
      <c r="AE3" s="12" t="s">
        <v>340</v>
      </c>
    </row>
    <row r="4" spans="1:31" ht="30" customHeight="1">
      <c r="A4" s="165">
        <v>3</v>
      </c>
      <c r="B4" s="79" t="s">
        <v>87</v>
      </c>
      <c r="C4" s="102">
        <v>45945</v>
      </c>
      <c r="D4" s="102">
        <v>45958</v>
      </c>
      <c r="E4" s="167" t="s">
        <v>246</v>
      </c>
      <c r="F4" s="114" t="s">
        <v>40</v>
      </c>
      <c r="G4" s="165">
        <v>50272</v>
      </c>
      <c r="H4" s="165" t="s">
        <v>693</v>
      </c>
      <c r="I4" s="133" t="s">
        <v>358</v>
      </c>
      <c r="J4" s="100">
        <v>8</v>
      </c>
      <c r="K4" s="100">
        <f t="shared" si="0"/>
        <v>4.5</v>
      </c>
      <c r="L4" s="100">
        <v>18</v>
      </c>
      <c r="M4" s="176">
        <v>45945</v>
      </c>
      <c r="N4" s="276">
        <v>45953</v>
      </c>
      <c r="O4" s="78" t="s">
        <v>335</v>
      </c>
      <c r="P4" s="78" t="s">
        <v>49</v>
      </c>
      <c r="Q4" s="78" t="s">
        <v>400</v>
      </c>
      <c r="R4" s="78" t="s">
        <v>49</v>
      </c>
      <c r="S4" s="78" t="s">
        <v>400</v>
      </c>
      <c r="T4" s="132" t="s">
        <v>694</v>
      </c>
      <c r="U4" s="276">
        <v>45953</v>
      </c>
      <c r="V4" s="276">
        <v>45953</v>
      </c>
      <c r="W4" s="100" t="s">
        <v>344</v>
      </c>
      <c r="X4" s="100" t="s">
        <v>345</v>
      </c>
      <c r="Y4" s="100" t="s">
        <v>658</v>
      </c>
      <c r="Z4" s="276">
        <v>45953</v>
      </c>
      <c r="AA4" s="14" t="s">
        <v>695</v>
      </c>
      <c r="AB4" s="100" t="s">
        <v>345</v>
      </c>
      <c r="AC4" s="100" t="s">
        <v>345</v>
      </c>
      <c r="AD4" s="12"/>
      <c r="AE4" s="12" t="s">
        <v>340</v>
      </c>
    </row>
    <row r="5" spans="1:31" s="52" customFormat="1" ht="37.5" customHeight="1">
      <c r="A5" s="169">
        <v>4</v>
      </c>
      <c r="B5" s="104" t="s">
        <v>87</v>
      </c>
      <c r="C5" s="277">
        <v>45945</v>
      </c>
      <c r="D5" s="277">
        <v>45958</v>
      </c>
      <c r="E5" s="170" t="s">
        <v>246</v>
      </c>
      <c r="F5" s="69" t="s">
        <v>49</v>
      </c>
      <c r="G5" s="169">
        <v>50284</v>
      </c>
      <c r="H5" s="169" t="s">
        <v>696</v>
      </c>
      <c r="I5" s="133" t="s">
        <v>358</v>
      </c>
      <c r="J5" s="103">
        <v>2</v>
      </c>
      <c r="K5" s="103">
        <f t="shared" si="0"/>
        <v>2</v>
      </c>
      <c r="L5" s="149">
        <v>8</v>
      </c>
      <c r="M5" s="273">
        <v>45945</v>
      </c>
      <c r="N5" s="176">
        <v>45946</v>
      </c>
      <c r="O5" s="69" t="s">
        <v>335</v>
      </c>
      <c r="P5" s="69" t="s">
        <v>40</v>
      </c>
      <c r="Q5" s="69" t="s">
        <v>400</v>
      </c>
      <c r="R5" s="69" t="s">
        <v>40</v>
      </c>
      <c r="S5" s="69" t="s">
        <v>400</v>
      </c>
      <c r="T5" s="278" t="s">
        <v>697</v>
      </c>
      <c r="U5" s="176">
        <v>45947</v>
      </c>
      <c r="V5" s="176">
        <v>45947</v>
      </c>
      <c r="W5" s="100" t="s">
        <v>344</v>
      </c>
      <c r="X5" s="100" t="s">
        <v>345</v>
      </c>
      <c r="Y5" s="100" t="s">
        <v>658</v>
      </c>
      <c r="Z5" s="176">
        <v>45947</v>
      </c>
      <c r="AA5" s="100" t="s">
        <v>345</v>
      </c>
      <c r="AB5" s="149" t="s">
        <v>698</v>
      </c>
      <c r="AC5" s="69"/>
      <c r="AD5" s="69"/>
      <c r="AE5" s="12" t="s">
        <v>340</v>
      </c>
    </row>
    <row r="6" spans="1:31" ht="30" customHeight="1">
      <c r="A6" s="165">
        <v>5</v>
      </c>
      <c r="B6" s="79" t="s">
        <v>87</v>
      </c>
      <c r="C6" s="102">
        <v>45945</v>
      </c>
      <c r="D6" s="102">
        <v>45958</v>
      </c>
      <c r="E6" s="167" t="s">
        <v>699</v>
      </c>
      <c r="F6" s="114" t="s">
        <v>40</v>
      </c>
      <c r="G6" s="165">
        <v>50436</v>
      </c>
      <c r="H6" s="165" t="s">
        <v>700</v>
      </c>
      <c r="I6" s="133" t="s">
        <v>358</v>
      </c>
      <c r="J6" s="103">
        <v>2</v>
      </c>
      <c r="K6" s="103">
        <f>L6/4</f>
        <v>1.5</v>
      </c>
      <c r="L6" s="149">
        <v>6</v>
      </c>
      <c r="M6" s="176">
        <v>45946</v>
      </c>
      <c r="N6" s="176">
        <v>45946</v>
      </c>
      <c r="O6" s="78" t="s">
        <v>335</v>
      </c>
      <c r="P6" s="78" t="s">
        <v>49</v>
      </c>
      <c r="Q6" s="78" t="s">
        <v>400</v>
      </c>
      <c r="R6" s="78" t="s">
        <v>49</v>
      </c>
      <c r="S6" s="78" t="s">
        <v>400</v>
      </c>
      <c r="T6" s="132" t="s">
        <v>701</v>
      </c>
      <c r="U6" s="176">
        <v>45946</v>
      </c>
      <c r="V6" s="176">
        <v>45946</v>
      </c>
      <c r="W6" s="100" t="s">
        <v>344</v>
      </c>
      <c r="X6" s="100" t="s">
        <v>345</v>
      </c>
      <c r="Y6" s="100" t="s">
        <v>658</v>
      </c>
      <c r="Z6" s="176">
        <v>45946</v>
      </c>
      <c r="AA6" s="100" t="s">
        <v>345</v>
      </c>
      <c r="AB6" s="100" t="s">
        <v>345</v>
      </c>
      <c r="AC6" s="100" t="s">
        <v>345</v>
      </c>
      <c r="AD6" s="12"/>
      <c r="AE6" s="12" t="s">
        <v>340</v>
      </c>
    </row>
    <row r="7" spans="1:31" ht="30" customHeight="1">
      <c r="A7" s="165">
        <v>6</v>
      </c>
      <c r="B7" s="79" t="s">
        <v>87</v>
      </c>
      <c r="C7" s="102">
        <v>45945</v>
      </c>
      <c r="D7" s="102">
        <v>45958</v>
      </c>
      <c r="E7" s="167" t="s">
        <v>699</v>
      </c>
      <c r="F7" s="114" t="s">
        <v>40</v>
      </c>
      <c r="G7" s="165">
        <v>50476</v>
      </c>
      <c r="H7" s="165" t="s">
        <v>702</v>
      </c>
      <c r="I7" s="133" t="s">
        <v>358</v>
      </c>
      <c r="J7" s="103">
        <v>3</v>
      </c>
      <c r="K7" s="103">
        <f>L7/4</f>
        <v>1.5</v>
      </c>
      <c r="L7" s="149">
        <v>6</v>
      </c>
      <c r="M7" s="176">
        <v>45947</v>
      </c>
      <c r="N7" s="176">
        <v>45947</v>
      </c>
      <c r="O7" s="78" t="s">
        <v>335</v>
      </c>
      <c r="P7" s="78" t="s">
        <v>49</v>
      </c>
      <c r="Q7" s="78" t="s">
        <v>400</v>
      </c>
      <c r="R7" s="78" t="s">
        <v>49</v>
      </c>
      <c r="S7" s="78" t="s">
        <v>400</v>
      </c>
      <c r="T7" s="132" t="s">
        <v>703</v>
      </c>
      <c r="U7" s="176">
        <v>45947</v>
      </c>
      <c r="V7" s="176">
        <v>45947</v>
      </c>
      <c r="W7" s="100" t="s">
        <v>344</v>
      </c>
      <c r="X7" s="100" t="s">
        <v>345</v>
      </c>
      <c r="Y7" s="100" t="s">
        <v>658</v>
      </c>
      <c r="Z7" s="176">
        <v>45947</v>
      </c>
      <c r="AA7" s="100" t="s">
        <v>345</v>
      </c>
      <c r="AB7" s="100" t="s">
        <v>345</v>
      </c>
      <c r="AC7" s="100" t="s">
        <v>345</v>
      </c>
      <c r="AD7" s="12"/>
      <c r="AE7" s="12" t="s">
        <v>340</v>
      </c>
    </row>
    <row r="8" spans="1:31" ht="30" customHeight="1">
      <c r="A8" s="165">
        <v>7</v>
      </c>
      <c r="B8" s="79" t="s">
        <v>87</v>
      </c>
      <c r="C8" s="102">
        <v>45945</v>
      </c>
      <c r="D8" s="102">
        <v>45958</v>
      </c>
      <c r="E8" s="167" t="s">
        <v>699</v>
      </c>
      <c r="F8" s="114" t="s">
        <v>40</v>
      </c>
      <c r="G8" s="165">
        <v>50437</v>
      </c>
      <c r="H8" s="165" t="s">
        <v>656</v>
      </c>
      <c r="I8" s="164" t="s">
        <v>334</v>
      </c>
      <c r="J8" s="103">
        <v>5</v>
      </c>
      <c r="K8" s="103">
        <f>L8/4</f>
        <v>3</v>
      </c>
      <c r="L8" s="49">
        <v>12</v>
      </c>
      <c r="M8" s="176">
        <v>45957</v>
      </c>
      <c r="N8" s="12"/>
      <c r="O8" s="12"/>
      <c r="P8" s="12"/>
      <c r="Q8" s="12"/>
      <c r="R8" s="12"/>
      <c r="S8" s="12"/>
      <c r="T8" s="12"/>
      <c r="U8" s="12"/>
      <c r="V8" s="12"/>
      <c r="W8" s="12"/>
      <c r="X8" s="12"/>
      <c r="Y8" s="12"/>
      <c r="Z8" s="12"/>
      <c r="AA8" s="12"/>
      <c r="AB8" s="12"/>
      <c r="AC8" s="12"/>
      <c r="AD8" s="12"/>
      <c r="AE8" s="12"/>
    </row>
    <row r="9" spans="1:31" ht="30" customHeight="1">
      <c r="A9" s="165">
        <v>8</v>
      </c>
      <c r="B9" s="79" t="s">
        <v>87</v>
      </c>
      <c r="C9" s="102">
        <v>45931</v>
      </c>
      <c r="D9" s="102">
        <v>45944</v>
      </c>
      <c r="E9" s="167" t="s">
        <v>704</v>
      </c>
      <c r="F9" s="49" t="s">
        <v>349</v>
      </c>
      <c r="G9" s="165">
        <v>50392</v>
      </c>
      <c r="H9" s="165" t="s">
        <v>666</v>
      </c>
      <c r="I9" s="164" t="s">
        <v>334</v>
      </c>
      <c r="J9" s="49">
        <v>13</v>
      </c>
      <c r="K9" s="103">
        <f>L9/4</f>
        <v>0</v>
      </c>
      <c r="L9" s="49"/>
      <c r="M9" s="12"/>
      <c r="N9" s="12"/>
      <c r="O9" s="12"/>
      <c r="P9" s="12"/>
      <c r="Q9" s="12"/>
      <c r="R9" s="12"/>
      <c r="S9" s="12"/>
      <c r="T9" s="12"/>
      <c r="U9" s="12"/>
      <c r="V9" s="12"/>
      <c r="W9" s="12"/>
      <c r="X9" s="12"/>
      <c r="Y9" s="12"/>
      <c r="Z9" s="12"/>
      <c r="AA9" s="12"/>
      <c r="AB9" s="12"/>
      <c r="AC9" s="12"/>
      <c r="AD9" s="12"/>
      <c r="AE9" s="12"/>
    </row>
    <row r="10" spans="1:31" ht="30" customHeight="1">
      <c r="A10" s="165">
        <v>9</v>
      </c>
      <c r="B10" s="79" t="s">
        <v>87</v>
      </c>
      <c r="C10" s="102">
        <v>45931</v>
      </c>
      <c r="D10" s="102">
        <v>45944</v>
      </c>
      <c r="E10" s="167" t="s">
        <v>704</v>
      </c>
      <c r="F10" s="49" t="s">
        <v>49</v>
      </c>
      <c r="G10" s="165">
        <v>50459</v>
      </c>
      <c r="H10" s="165" t="s">
        <v>669</v>
      </c>
      <c r="I10" s="164" t="s">
        <v>343</v>
      </c>
      <c r="J10" s="49">
        <v>4</v>
      </c>
      <c r="K10" s="49">
        <f>L10/4</f>
        <v>6.5</v>
      </c>
      <c r="L10" s="49">
        <v>26</v>
      </c>
      <c r="M10" s="176">
        <v>45946</v>
      </c>
      <c r="N10" s="276">
        <v>45953</v>
      </c>
      <c r="O10" s="49" t="s">
        <v>335</v>
      </c>
      <c r="P10" s="49" t="s">
        <v>40</v>
      </c>
      <c r="Q10" s="49" t="s">
        <v>400</v>
      </c>
      <c r="R10" s="49" t="s">
        <v>40</v>
      </c>
      <c r="S10" s="49" t="s">
        <v>400</v>
      </c>
      <c r="T10" s="280" t="s">
        <v>705</v>
      </c>
      <c r="U10" s="276">
        <v>45953</v>
      </c>
      <c r="V10" s="276">
        <v>45954</v>
      </c>
      <c r="W10" s="100" t="s">
        <v>344</v>
      </c>
      <c r="X10" s="100" t="s">
        <v>345</v>
      </c>
      <c r="Y10" s="100" t="s">
        <v>658</v>
      </c>
      <c r="Z10" s="276">
        <v>45954</v>
      </c>
      <c r="AA10" s="100" t="s">
        <v>345</v>
      </c>
      <c r="AB10" s="100" t="s">
        <v>345</v>
      </c>
      <c r="AC10" s="100" t="s">
        <v>345</v>
      </c>
      <c r="AD10" s="12"/>
      <c r="AE10" s="12" t="s">
        <v>340</v>
      </c>
    </row>
  </sheetData>
  <dataValidations count="1">
    <dataValidation type="list" allowBlank="1" showInputMessage="1" showErrorMessage="1" sqref="AE2:AE7 AE10" xr:uid="{2CFE2421-9004-45BE-AF6A-D185C94757F1}">
      <formula1>"Exceeds Expectation, Meets Expectation, Needs Improvement"</formula1>
    </dataValidation>
  </dataValidations>
  <hyperlinks>
    <hyperlink ref="T2" r:id="rId1" xr:uid="{9BCDADC3-F032-45E9-A82F-7F26EE460240}"/>
    <hyperlink ref="T4" r:id="rId2" xr:uid="{EE484499-E6CE-4D34-A2C7-D6CAC4A13E48}"/>
    <hyperlink ref="T6" r:id="rId3" xr:uid="{19EC48C0-7371-4EB8-B092-3700C5325A7F}"/>
    <hyperlink ref="T5" r:id="rId4" xr:uid="{CEE9037D-0B59-4FBD-97A9-9D1015AE41B9}"/>
    <hyperlink ref="T10" r:id="rId5" xr:uid="{12629CFF-42D0-4615-B6FF-6764F0B4C9E5}"/>
    <hyperlink ref="T7" r:id="rId6" xr:uid="{22FC8BCA-1DF4-420C-AC86-3BFE82A21C6C}"/>
    <hyperlink ref="T3" r:id="rId7" xr:uid="{73A34277-1D78-4835-97EC-6FE1081621D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4403E64-2FC9-4621-BFDA-D7C05181D824}">
          <x14:formula1>
            <xm:f>Settings!$C$3:$C$20</xm:f>
          </x14:formula1>
          <xm:sqref>I2:I10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67CB-5A3C-4771-BC83-A1AB0690F194}">
  <dimension ref="A1:O13"/>
  <sheetViews>
    <sheetView topLeftCell="E8" workbookViewId="0">
      <selection activeCell="E8" sqref="E8"/>
    </sheetView>
  </sheetViews>
  <sheetFormatPr defaultRowHeight="12.75"/>
  <cols>
    <col min="1" max="1" width="29" style="15" customWidth="1"/>
    <col min="2" max="2" width="9.140625" style="285"/>
    <col min="3" max="5" width="9.140625" style="15"/>
    <col min="6" max="6" width="38" style="15" customWidth="1"/>
    <col min="7" max="9" width="9.140625" style="15"/>
    <col min="10" max="10" width="26.7109375" style="15" customWidth="1"/>
    <col min="11" max="11" width="11.42578125" style="15" customWidth="1"/>
    <col min="12" max="12" width="10.140625" style="15" customWidth="1"/>
    <col min="13" max="13" width="11.42578125" style="15" customWidth="1"/>
    <col min="14" max="14" width="19.28515625" style="15" customWidth="1"/>
    <col min="15" max="15" width="29.5703125" style="15" customWidth="1"/>
    <col min="16" max="16384" width="9.140625" style="15"/>
  </cols>
  <sheetData>
    <row r="1" spans="1:15" ht="27">
      <c r="A1" s="23" t="s">
        <v>74</v>
      </c>
      <c r="B1" s="45" t="s">
        <v>75</v>
      </c>
      <c r="C1" s="172" t="s">
        <v>76</v>
      </c>
      <c r="D1" s="23" t="s">
        <v>2</v>
      </c>
      <c r="E1" s="172" t="s">
        <v>77</v>
      </c>
      <c r="F1" s="172" t="s">
        <v>78</v>
      </c>
      <c r="G1" s="23" t="s">
        <v>79</v>
      </c>
      <c r="H1" s="23" t="s">
        <v>80</v>
      </c>
      <c r="I1" s="23" t="s">
        <v>81</v>
      </c>
      <c r="J1" s="23" t="s">
        <v>4</v>
      </c>
      <c r="K1" s="45" t="s">
        <v>312</v>
      </c>
      <c r="L1" s="45" t="s">
        <v>313</v>
      </c>
      <c r="M1" s="45" t="s">
        <v>314</v>
      </c>
      <c r="N1" s="173" t="s">
        <v>82</v>
      </c>
      <c r="O1" s="174" t="s">
        <v>5</v>
      </c>
    </row>
    <row r="2" spans="1:15" ht="36.75" customHeight="1">
      <c r="A2" s="167" t="s">
        <v>246</v>
      </c>
      <c r="B2" s="167">
        <v>25851</v>
      </c>
      <c r="C2" s="165"/>
      <c r="D2" s="114" t="s">
        <v>40</v>
      </c>
      <c r="E2" s="170" t="s">
        <v>394</v>
      </c>
      <c r="F2" s="279" t="s">
        <v>672</v>
      </c>
      <c r="G2" s="164" t="s">
        <v>473</v>
      </c>
      <c r="H2" s="164" t="s">
        <v>353</v>
      </c>
      <c r="I2" s="164" t="s">
        <v>430</v>
      </c>
      <c r="J2" s="47" t="s">
        <v>654</v>
      </c>
      <c r="K2" s="164">
        <v>2</v>
      </c>
      <c r="L2" s="164">
        <f>M2/4</f>
        <v>0</v>
      </c>
      <c r="M2" s="164"/>
      <c r="N2" s="164" t="s">
        <v>644</v>
      </c>
      <c r="O2" s="14" t="s">
        <v>673</v>
      </c>
    </row>
    <row r="3" spans="1:15" ht="37.5" customHeight="1">
      <c r="A3" s="167" t="s">
        <v>246</v>
      </c>
      <c r="B3" s="167">
        <v>26036</v>
      </c>
      <c r="C3" s="14"/>
      <c r="D3" s="170" t="s">
        <v>40</v>
      </c>
      <c r="E3" s="170" t="s">
        <v>394</v>
      </c>
      <c r="F3" s="14" t="s">
        <v>706</v>
      </c>
      <c r="G3" s="164" t="s">
        <v>473</v>
      </c>
      <c r="H3" s="164" t="s">
        <v>353</v>
      </c>
      <c r="I3" s="164" t="s">
        <v>430</v>
      </c>
      <c r="J3" s="133" t="s">
        <v>396</v>
      </c>
      <c r="K3" s="164">
        <v>1</v>
      </c>
      <c r="L3" s="164">
        <f t="shared" ref="L3:L7" si="0">M3/4</f>
        <v>0</v>
      </c>
      <c r="M3" s="164"/>
      <c r="N3" s="54" t="s">
        <v>431</v>
      </c>
      <c r="O3" s="14" t="s">
        <v>707</v>
      </c>
    </row>
    <row r="4" spans="1:15" ht="46.5">
      <c r="A4" s="167" t="s">
        <v>246</v>
      </c>
      <c r="B4" s="167">
        <v>26040</v>
      </c>
      <c r="C4" s="14"/>
      <c r="D4" s="170" t="s">
        <v>40</v>
      </c>
      <c r="E4" s="170" t="s">
        <v>394</v>
      </c>
      <c r="F4" s="14" t="s">
        <v>708</v>
      </c>
      <c r="G4" s="164" t="s">
        <v>473</v>
      </c>
      <c r="H4" s="164" t="s">
        <v>353</v>
      </c>
      <c r="I4" s="164" t="s">
        <v>430</v>
      </c>
      <c r="J4" s="133" t="s">
        <v>396</v>
      </c>
      <c r="K4" s="164">
        <v>2</v>
      </c>
      <c r="L4" s="164">
        <f t="shared" si="0"/>
        <v>1.5</v>
      </c>
      <c r="M4" s="164">
        <v>6</v>
      </c>
      <c r="N4" s="54" t="s">
        <v>644</v>
      </c>
      <c r="O4" s="14" t="s">
        <v>707</v>
      </c>
    </row>
    <row r="5" spans="1:15" ht="46.5">
      <c r="A5" s="167" t="s">
        <v>246</v>
      </c>
      <c r="B5" s="167">
        <v>26041</v>
      </c>
      <c r="C5" s="14"/>
      <c r="D5" s="170" t="s">
        <v>40</v>
      </c>
      <c r="E5" s="170" t="s">
        <v>394</v>
      </c>
      <c r="F5" s="14" t="s">
        <v>709</v>
      </c>
      <c r="G5" s="164" t="s">
        <v>473</v>
      </c>
      <c r="H5" s="164" t="s">
        <v>353</v>
      </c>
      <c r="I5" s="164" t="s">
        <v>430</v>
      </c>
      <c r="J5" s="133" t="s">
        <v>396</v>
      </c>
      <c r="K5" s="164">
        <v>2</v>
      </c>
      <c r="L5" s="164">
        <f t="shared" si="0"/>
        <v>1.5</v>
      </c>
      <c r="M5" s="164">
        <v>6</v>
      </c>
      <c r="N5" s="54" t="s">
        <v>431</v>
      </c>
      <c r="O5" s="14" t="s">
        <v>707</v>
      </c>
    </row>
    <row r="6" spans="1:15" ht="46.5">
      <c r="A6" s="167" t="s">
        <v>246</v>
      </c>
      <c r="B6" s="170">
        <v>26054</v>
      </c>
      <c r="C6" s="150"/>
      <c r="D6" s="167" t="s">
        <v>49</v>
      </c>
      <c r="E6" s="167" t="s">
        <v>394</v>
      </c>
      <c r="F6" s="14" t="s">
        <v>710</v>
      </c>
      <c r="G6" s="164" t="s">
        <v>473</v>
      </c>
      <c r="H6" s="164" t="s">
        <v>353</v>
      </c>
      <c r="I6" s="164" t="s">
        <v>430</v>
      </c>
      <c r="J6" s="133" t="s">
        <v>396</v>
      </c>
      <c r="K6" s="164">
        <v>2</v>
      </c>
      <c r="L6" s="164">
        <f t="shared" si="0"/>
        <v>3</v>
      </c>
      <c r="M6" s="164">
        <v>12</v>
      </c>
      <c r="N6" s="164" t="s">
        <v>474</v>
      </c>
      <c r="O6" s="14" t="s">
        <v>707</v>
      </c>
    </row>
    <row r="7" spans="1:15" ht="58.5">
      <c r="A7" s="170" t="s">
        <v>246</v>
      </c>
      <c r="B7" s="281">
        <v>26070</v>
      </c>
      <c r="C7" s="282"/>
      <c r="D7" s="170" t="s">
        <v>40</v>
      </c>
      <c r="E7" s="170" t="s">
        <v>394</v>
      </c>
      <c r="F7" s="283" t="s">
        <v>711</v>
      </c>
      <c r="G7" s="54" t="s">
        <v>473</v>
      </c>
      <c r="H7" s="54" t="s">
        <v>353</v>
      </c>
      <c r="I7" s="164" t="s">
        <v>430</v>
      </c>
      <c r="J7" s="133" t="s">
        <v>396</v>
      </c>
      <c r="K7" s="54">
        <v>2</v>
      </c>
      <c r="L7" s="164">
        <f>M7/4</f>
        <v>0</v>
      </c>
      <c r="M7" s="54"/>
      <c r="N7" s="54" t="s">
        <v>644</v>
      </c>
      <c r="O7" s="283" t="s">
        <v>712</v>
      </c>
    </row>
    <row r="8" spans="1:15" ht="69">
      <c r="A8" s="149" t="s">
        <v>246</v>
      </c>
      <c r="B8" s="149"/>
      <c r="C8" s="284">
        <v>50272</v>
      </c>
      <c r="D8" s="170" t="s">
        <v>40</v>
      </c>
      <c r="E8" s="54" t="s">
        <v>642</v>
      </c>
      <c r="F8" s="282" t="s">
        <v>713</v>
      </c>
      <c r="G8" s="54" t="s">
        <v>473</v>
      </c>
      <c r="H8" s="54" t="s">
        <v>353</v>
      </c>
      <c r="I8" s="164" t="s">
        <v>354</v>
      </c>
      <c r="J8" s="133" t="s">
        <v>396</v>
      </c>
      <c r="K8" s="150"/>
      <c r="L8" s="150"/>
      <c r="M8" s="282"/>
      <c r="N8" s="54" t="s">
        <v>431</v>
      </c>
      <c r="O8" s="283"/>
    </row>
    <row r="9" spans="1:15" s="14" customFormat="1" ht="35.25">
      <c r="A9" s="167" t="s">
        <v>714</v>
      </c>
      <c r="B9" s="167" t="s">
        <v>715</v>
      </c>
      <c r="C9" s="165"/>
      <c r="D9" s="114" t="s">
        <v>47</v>
      </c>
      <c r="E9" s="170" t="s">
        <v>394</v>
      </c>
      <c r="F9" s="279" t="s">
        <v>677</v>
      </c>
      <c r="G9" s="164" t="s">
        <v>473</v>
      </c>
      <c r="H9" s="164" t="s">
        <v>353</v>
      </c>
      <c r="I9" s="164" t="s">
        <v>430</v>
      </c>
      <c r="J9" s="47" t="s">
        <v>355</v>
      </c>
      <c r="K9" s="164"/>
      <c r="L9" s="164"/>
      <c r="M9" s="164"/>
      <c r="N9" s="54" t="s">
        <v>644</v>
      </c>
    </row>
    <row r="10" spans="1:15" ht="35.25">
      <c r="A10" s="149" t="s">
        <v>714</v>
      </c>
      <c r="B10" s="149">
        <v>26181</v>
      </c>
      <c r="C10" s="284"/>
      <c r="D10" s="170" t="s">
        <v>49</v>
      </c>
      <c r="E10" s="54" t="s">
        <v>394</v>
      </c>
      <c r="F10" s="282" t="s">
        <v>716</v>
      </c>
      <c r="G10" s="54" t="s">
        <v>473</v>
      </c>
      <c r="H10" s="54" t="s">
        <v>353</v>
      </c>
      <c r="I10" s="164" t="s">
        <v>430</v>
      </c>
      <c r="J10" s="149" t="s">
        <v>717</v>
      </c>
      <c r="K10" s="150">
        <v>2</v>
      </c>
      <c r="L10" s="150">
        <f>M10/4</f>
        <v>3</v>
      </c>
      <c r="M10" s="282">
        <v>12</v>
      </c>
      <c r="N10" s="54" t="s">
        <v>431</v>
      </c>
      <c r="O10" s="283"/>
    </row>
    <row r="11" spans="1:15" s="150" customFormat="1" ht="36" customHeight="1">
      <c r="A11" s="149" t="s">
        <v>714</v>
      </c>
      <c r="B11" s="149">
        <v>26131</v>
      </c>
      <c r="C11" s="284"/>
      <c r="D11" s="170" t="s">
        <v>49</v>
      </c>
      <c r="E11" s="54" t="s">
        <v>394</v>
      </c>
      <c r="F11" s="150" t="s">
        <v>684</v>
      </c>
      <c r="G11" s="54" t="s">
        <v>473</v>
      </c>
      <c r="H11" s="54" t="s">
        <v>353</v>
      </c>
      <c r="I11" s="164" t="s">
        <v>430</v>
      </c>
      <c r="J11" s="149" t="s">
        <v>355</v>
      </c>
      <c r="K11" s="150">
        <v>2</v>
      </c>
      <c r="L11" s="150">
        <v>1.5</v>
      </c>
      <c r="M11" s="282">
        <v>6</v>
      </c>
      <c r="N11" s="54" t="s">
        <v>431</v>
      </c>
    </row>
    <row r="12" spans="1:15" s="14" customFormat="1" ht="23.25">
      <c r="A12" s="114" t="s">
        <v>714</v>
      </c>
      <c r="B12" s="114">
        <v>26204</v>
      </c>
      <c r="D12" s="114" t="s">
        <v>40</v>
      </c>
      <c r="E12" s="114" t="s">
        <v>394</v>
      </c>
      <c r="F12" s="14" t="s">
        <v>674</v>
      </c>
      <c r="G12" s="54" t="s">
        <v>473</v>
      </c>
      <c r="H12" s="54" t="s">
        <v>353</v>
      </c>
      <c r="I12" s="164" t="s">
        <v>430</v>
      </c>
      <c r="O12" s="14" t="s">
        <v>673</v>
      </c>
    </row>
    <row r="13" spans="1:15">
      <c r="N13" s="15" t="s">
        <v>718</v>
      </c>
    </row>
  </sheetData>
  <dataValidations count="4">
    <dataValidation type="list" allowBlank="1" showErrorMessage="1" sqref="H2:H12" xr:uid="{1D071371-DE09-45B8-B7F6-FCB7DD57928F}">
      <formula1>"Manual, Automation"</formula1>
    </dataValidation>
    <dataValidation type="list" allowBlank="1" showErrorMessage="1" sqref="G2:G12" xr:uid="{9C6F90FB-E1C1-4C6E-B5B0-C90F8919E0E8}">
      <formula1>"Minor,Significant,Major"</formula1>
    </dataValidation>
    <dataValidation type="list" allowBlank="1" showErrorMessage="1" sqref="I2:I12" xr:uid="{615764E1-95E6-4230-8186-3268B050306D}">
      <formula1>"Internal,External"</formula1>
    </dataValidation>
    <dataValidation type="list" allowBlank="1" showErrorMessage="1" sqref="E8:E11" xr:uid="{BDF5E332-ED72-4E75-AFA2-93B62024FD42}">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E26B6690-3A97-4344-9202-361ADD3D362D}">
          <x14:formula1>
            <xm:f>Settings!$C$3:$C$20</xm:f>
          </x14:formula1>
          <xm:sqref>J2:J8</xm:sqref>
        </x14:dataValidation>
        <x14:dataValidation type="list" allowBlank="1" showErrorMessage="1" xr:uid="{4DD4B60F-2E34-4113-818B-7872DC9F1FC8}">
          <x14:formula1>
            <xm:f>Details!$A$2:$A$10</xm:f>
          </x14:formula1>
          <xm:sqref>N2:N11</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B844F-5648-4C6A-8B8C-7491130A7567}">
  <dimension ref="A1:F3"/>
  <sheetViews>
    <sheetView workbookViewId="0">
      <selection activeCell="F2" sqref="F2"/>
    </sheetView>
  </sheetViews>
  <sheetFormatPr defaultRowHeight="12.75"/>
  <cols>
    <col min="1" max="1" width="29" style="15" customWidth="1"/>
    <col min="2" max="2" width="9.140625" style="285"/>
    <col min="3" max="4" width="9.140625" style="15"/>
    <col min="5" max="5" width="48.7109375" style="15" customWidth="1"/>
    <col min="6" max="6" width="25.140625" style="15" customWidth="1"/>
    <col min="7" max="16384" width="9.140625" style="15"/>
  </cols>
  <sheetData>
    <row r="1" spans="1:6" ht="27">
      <c r="A1" s="23" t="s">
        <v>74</v>
      </c>
      <c r="B1" s="45" t="s">
        <v>75</v>
      </c>
      <c r="C1" s="23" t="s">
        <v>2</v>
      </c>
      <c r="D1" s="172" t="s">
        <v>77</v>
      </c>
      <c r="E1" s="172" t="s">
        <v>78</v>
      </c>
      <c r="F1" s="174" t="s">
        <v>4</v>
      </c>
    </row>
    <row r="2" spans="1:6" ht="53.25" customHeight="1">
      <c r="A2" s="167" t="s">
        <v>246</v>
      </c>
      <c r="B2" s="167">
        <v>26185</v>
      </c>
      <c r="C2" s="114" t="s">
        <v>603</v>
      </c>
      <c r="D2" s="170" t="s">
        <v>394</v>
      </c>
      <c r="E2" s="279" t="s">
        <v>719</v>
      </c>
      <c r="F2" s="288" t="s">
        <v>9</v>
      </c>
    </row>
    <row r="3" spans="1:6" ht="47.25" customHeight="1">
      <c r="A3" s="14"/>
      <c r="B3" s="114"/>
      <c r="C3" s="14"/>
      <c r="D3" s="14"/>
      <c r="E3" s="14"/>
      <c r="F3" s="14"/>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CEBE-5BF2-4D55-A925-C012FDF07B53}">
  <dimension ref="A1:AE9"/>
  <sheetViews>
    <sheetView topLeftCell="A2" workbookViewId="0">
      <selection activeCell="A4" sqref="A4:XFD4"/>
    </sheetView>
  </sheetViews>
  <sheetFormatPr defaultRowHeight="30" customHeight="1"/>
  <cols>
    <col min="1" max="1" width="4.7109375" bestFit="1" customWidth="1"/>
    <col min="4" max="4" width="12" customWidth="1"/>
    <col min="5" max="5" width="19.28515625" customWidth="1"/>
    <col min="6" max="6" width="13.140625" customWidth="1"/>
    <col min="7" max="7" width="11" bestFit="1" customWidth="1"/>
    <col min="8" max="8" width="42.7109375" customWidth="1"/>
    <col min="9" max="9" width="23.5703125" customWidth="1"/>
    <col min="11" max="11" width="9" bestFit="1" customWidth="1"/>
    <col min="13" max="13" width="10" bestFit="1" customWidth="1"/>
    <col min="14" max="14" width="11.85546875" customWidth="1"/>
    <col min="19" max="19" width="13.5703125" customWidth="1"/>
    <col min="20" max="20" width="17.42578125" customWidth="1"/>
    <col min="21" max="21" width="10" bestFit="1" customWidth="1"/>
    <col min="22" max="22" width="12" customWidth="1"/>
    <col min="26" max="26" width="11.7109375" customWidth="1"/>
    <col min="28" max="28" width="17.28515625" customWidth="1"/>
    <col min="30" max="30" width="24.5703125" customWidth="1"/>
    <col min="31" max="31" width="18.7109375" bestFit="1" customWidth="1"/>
  </cols>
  <sheetData>
    <row r="1" spans="1:31" ht="75.75" customHeight="1">
      <c r="A1" s="45" t="s">
        <v>73</v>
      </c>
      <c r="B1" s="45" t="s">
        <v>1</v>
      </c>
      <c r="C1" s="45" t="s">
        <v>85</v>
      </c>
      <c r="D1" s="45" t="s">
        <v>86</v>
      </c>
      <c r="E1" s="45" t="s">
        <v>310</v>
      </c>
      <c r="F1" s="45" t="s">
        <v>2</v>
      </c>
      <c r="G1" s="45" t="s">
        <v>311</v>
      </c>
      <c r="H1" s="98" t="s">
        <v>3</v>
      </c>
      <c r="I1" s="45" t="s">
        <v>4</v>
      </c>
      <c r="J1" s="45" t="s">
        <v>312</v>
      </c>
      <c r="K1" s="45" t="s">
        <v>313</v>
      </c>
      <c r="L1" s="45" t="s">
        <v>314</v>
      </c>
      <c r="M1" s="45" t="s">
        <v>315</v>
      </c>
      <c r="N1" s="45" t="s">
        <v>316</v>
      </c>
      <c r="O1" s="45" t="s">
        <v>317</v>
      </c>
      <c r="P1" s="45" t="s">
        <v>318</v>
      </c>
      <c r="Q1" s="45" t="s">
        <v>319</v>
      </c>
      <c r="R1" s="45" t="s">
        <v>320</v>
      </c>
      <c r="S1" s="45" t="s">
        <v>321</v>
      </c>
      <c r="T1" s="45" t="s">
        <v>322</v>
      </c>
      <c r="U1" s="45" t="s">
        <v>323</v>
      </c>
      <c r="V1" s="45" t="s">
        <v>324</v>
      </c>
      <c r="W1" s="45" t="s">
        <v>325</v>
      </c>
      <c r="X1" s="45" t="s">
        <v>326</v>
      </c>
      <c r="Y1" s="45" t="s">
        <v>327</v>
      </c>
      <c r="Z1" s="45" t="s">
        <v>328</v>
      </c>
      <c r="AA1" s="45" t="s">
        <v>329</v>
      </c>
      <c r="AB1" s="45" t="s">
        <v>330</v>
      </c>
      <c r="AC1" s="45" t="s">
        <v>331</v>
      </c>
      <c r="AD1" s="267" t="s">
        <v>5</v>
      </c>
      <c r="AE1" s="26" t="s">
        <v>332</v>
      </c>
    </row>
    <row r="2" spans="1:31" ht="30" customHeight="1">
      <c r="A2" s="165">
        <v>1</v>
      </c>
      <c r="B2" s="79" t="s">
        <v>87</v>
      </c>
      <c r="C2" s="102">
        <v>45931</v>
      </c>
      <c r="D2" s="102">
        <v>45944</v>
      </c>
      <c r="E2" s="167" t="s">
        <v>241</v>
      </c>
      <c r="F2" s="114" t="s">
        <v>40</v>
      </c>
      <c r="G2" s="165">
        <v>50271</v>
      </c>
      <c r="H2" s="165" t="s">
        <v>720</v>
      </c>
      <c r="I2" s="272" t="s">
        <v>358</v>
      </c>
      <c r="J2" s="100">
        <v>1</v>
      </c>
      <c r="K2" s="100">
        <f t="shared" ref="K2:K8" si="0">L2/4</f>
        <v>1</v>
      </c>
      <c r="L2" s="100">
        <v>4</v>
      </c>
      <c r="M2" s="176">
        <v>45933</v>
      </c>
      <c r="N2" s="176">
        <v>45933</v>
      </c>
      <c r="O2" s="78" t="s">
        <v>335</v>
      </c>
      <c r="P2" s="78" t="s">
        <v>49</v>
      </c>
      <c r="Q2" s="78" t="s">
        <v>400</v>
      </c>
      <c r="R2" s="78" t="s">
        <v>49</v>
      </c>
      <c r="S2" s="78" t="s">
        <v>400</v>
      </c>
      <c r="T2" s="132" t="s">
        <v>721</v>
      </c>
      <c r="U2" s="176">
        <v>45933</v>
      </c>
      <c r="V2" s="176">
        <v>45937</v>
      </c>
      <c r="W2" s="100" t="s">
        <v>344</v>
      </c>
      <c r="X2" s="100" t="s">
        <v>345</v>
      </c>
      <c r="Y2" s="100" t="s">
        <v>344</v>
      </c>
      <c r="Z2" s="176">
        <v>45937</v>
      </c>
      <c r="AA2" s="49" t="s">
        <v>400</v>
      </c>
      <c r="AB2" s="78" t="s">
        <v>400</v>
      </c>
      <c r="AC2" s="114" t="s">
        <v>400</v>
      </c>
      <c r="AD2" s="259"/>
      <c r="AE2" s="12" t="s">
        <v>340</v>
      </c>
    </row>
    <row r="3" spans="1:31" ht="30" customHeight="1">
      <c r="A3" s="165">
        <v>2</v>
      </c>
      <c r="B3" s="79" t="s">
        <v>87</v>
      </c>
      <c r="C3" s="102">
        <v>45931</v>
      </c>
      <c r="D3" s="102">
        <v>45944</v>
      </c>
      <c r="E3" s="167" t="s">
        <v>241</v>
      </c>
      <c r="F3" s="114" t="s">
        <v>40</v>
      </c>
      <c r="G3" s="165">
        <v>50273</v>
      </c>
      <c r="H3" s="165" t="s">
        <v>722</v>
      </c>
      <c r="I3" s="272" t="s">
        <v>358</v>
      </c>
      <c r="J3" s="100">
        <v>2</v>
      </c>
      <c r="K3" s="100">
        <f t="shared" si="0"/>
        <v>2</v>
      </c>
      <c r="L3" s="100">
        <v>8</v>
      </c>
      <c r="M3" s="176">
        <v>45933</v>
      </c>
      <c r="N3" s="176">
        <v>45936</v>
      </c>
      <c r="O3" s="78" t="s">
        <v>335</v>
      </c>
      <c r="P3" s="78" t="s">
        <v>49</v>
      </c>
      <c r="Q3" s="78" t="s">
        <v>400</v>
      </c>
      <c r="R3" s="78" t="s">
        <v>49</v>
      </c>
      <c r="S3" s="78" t="s">
        <v>400</v>
      </c>
      <c r="T3" s="132" t="s">
        <v>723</v>
      </c>
      <c r="U3" s="176">
        <v>45933</v>
      </c>
      <c r="V3" s="176">
        <v>45937</v>
      </c>
      <c r="W3" s="100" t="s">
        <v>344</v>
      </c>
      <c r="X3" s="100" t="s">
        <v>345</v>
      </c>
      <c r="Y3" s="100" t="s">
        <v>344</v>
      </c>
      <c r="Z3" s="176">
        <v>45937</v>
      </c>
      <c r="AA3" s="49" t="s">
        <v>400</v>
      </c>
      <c r="AB3" s="78" t="s">
        <v>400</v>
      </c>
      <c r="AC3" s="114" t="s">
        <v>400</v>
      </c>
      <c r="AD3" s="259"/>
      <c r="AE3" s="12" t="s">
        <v>340</v>
      </c>
    </row>
    <row r="4" spans="1:31" ht="48.75" customHeight="1">
      <c r="A4" s="165">
        <v>3</v>
      </c>
      <c r="B4" s="79" t="s">
        <v>87</v>
      </c>
      <c r="C4" s="102">
        <v>45931</v>
      </c>
      <c r="D4" s="102">
        <v>45944</v>
      </c>
      <c r="E4" s="167" t="s">
        <v>241</v>
      </c>
      <c r="F4" s="114" t="s">
        <v>49</v>
      </c>
      <c r="G4" s="165">
        <v>50274</v>
      </c>
      <c r="H4" s="165" t="s">
        <v>688</v>
      </c>
      <c r="I4" s="164" t="s">
        <v>343</v>
      </c>
      <c r="J4" s="100">
        <v>3</v>
      </c>
      <c r="K4" s="100">
        <f t="shared" si="0"/>
        <v>2</v>
      </c>
      <c r="L4" s="100">
        <v>8</v>
      </c>
      <c r="M4" s="176">
        <v>45939</v>
      </c>
      <c r="N4" s="176">
        <v>45940</v>
      </c>
      <c r="O4" s="78" t="s">
        <v>335</v>
      </c>
      <c r="P4" s="78" t="s">
        <v>40</v>
      </c>
      <c r="Q4" s="78" t="s">
        <v>400</v>
      </c>
      <c r="R4" s="78" t="s">
        <v>40</v>
      </c>
      <c r="S4" s="78" t="s">
        <v>400</v>
      </c>
      <c r="T4" s="152" t="s">
        <v>689</v>
      </c>
      <c r="U4" s="176">
        <v>45943</v>
      </c>
      <c r="V4" s="176" t="s">
        <v>724</v>
      </c>
      <c r="W4" s="100" t="s">
        <v>344</v>
      </c>
      <c r="X4" s="100" t="s">
        <v>724</v>
      </c>
      <c r="Y4" s="100" t="s">
        <v>724</v>
      </c>
      <c r="Z4" s="176" t="s">
        <v>724</v>
      </c>
      <c r="AA4" s="49" t="s">
        <v>724</v>
      </c>
      <c r="AB4" s="78" t="s">
        <v>725</v>
      </c>
      <c r="AC4" s="114" t="s">
        <v>724</v>
      </c>
      <c r="AD4" s="78" t="s">
        <v>726</v>
      </c>
      <c r="AE4" s="12" t="s">
        <v>340</v>
      </c>
    </row>
    <row r="5" spans="1:31" ht="39" customHeight="1">
      <c r="A5" s="165">
        <v>4</v>
      </c>
      <c r="B5" s="79" t="s">
        <v>87</v>
      </c>
      <c r="C5" s="102">
        <v>45931</v>
      </c>
      <c r="D5" s="102">
        <v>45944</v>
      </c>
      <c r="E5" s="167" t="s">
        <v>241</v>
      </c>
      <c r="F5" s="114" t="s">
        <v>49</v>
      </c>
      <c r="G5" s="165">
        <v>50277</v>
      </c>
      <c r="H5" s="165" t="s">
        <v>727</v>
      </c>
      <c r="I5" s="272" t="s">
        <v>358</v>
      </c>
      <c r="J5" s="100">
        <v>5</v>
      </c>
      <c r="K5" s="100">
        <f t="shared" si="0"/>
        <v>1.5</v>
      </c>
      <c r="L5" s="103">
        <v>6</v>
      </c>
      <c r="M5" s="273">
        <v>45933</v>
      </c>
      <c r="N5" s="273">
        <v>45933</v>
      </c>
      <c r="O5" s="78" t="s">
        <v>335</v>
      </c>
      <c r="P5" s="78" t="s">
        <v>40</v>
      </c>
      <c r="Q5" s="78" t="s">
        <v>400</v>
      </c>
      <c r="R5" s="78" t="s">
        <v>40</v>
      </c>
      <c r="S5" s="78" t="s">
        <v>400</v>
      </c>
      <c r="T5" s="152" t="s">
        <v>728</v>
      </c>
      <c r="U5" s="273">
        <v>45933</v>
      </c>
      <c r="V5" s="274">
        <v>45943</v>
      </c>
      <c r="W5" s="100" t="s">
        <v>344</v>
      </c>
      <c r="X5" s="100" t="s">
        <v>345</v>
      </c>
      <c r="Y5" s="100" t="s">
        <v>344</v>
      </c>
      <c r="Z5" s="274">
        <v>45943</v>
      </c>
      <c r="AA5" s="49" t="s">
        <v>400</v>
      </c>
      <c r="AB5" s="78" t="s">
        <v>400</v>
      </c>
      <c r="AC5" s="114" t="s">
        <v>400</v>
      </c>
      <c r="AD5" s="258"/>
      <c r="AE5" s="12" t="s">
        <v>340</v>
      </c>
    </row>
    <row r="6" spans="1:31" ht="39" customHeight="1">
      <c r="A6" s="165">
        <v>5</v>
      </c>
      <c r="B6" s="79" t="s">
        <v>87</v>
      </c>
      <c r="C6" s="102">
        <v>45931</v>
      </c>
      <c r="D6" s="102">
        <v>45944</v>
      </c>
      <c r="E6" s="167" t="s">
        <v>704</v>
      </c>
      <c r="F6" s="114" t="s">
        <v>47</v>
      </c>
      <c r="G6" s="165">
        <v>50314</v>
      </c>
      <c r="H6" s="165" t="s">
        <v>729</v>
      </c>
      <c r="I6" s="272" t="s">
        <v>358</v>
      </c>
      <c r="J6" s="134">
        <v>5</v>
      </c>
      <c r="K6" s="100">
        <f t="shared" si="0"/>
        <v>6.75</v>
      </c>
      <c r="L6" s="103">
        <v>27</v>
      </c>
      <c r="M6" s="273">
        <v>45933</v>
      </c>
      <c r="N6" s="273">
        <v>45939</v>
      </c>
      <c r="O6" s="78" t="s">
        <v>335</v>
      </c>
      <c r="P6" s="78" t="s">
        <v>49</v>
      </c>
      <c r="Q6" s="78" t="s">
        <v>400</v>
      </c>
      <c r="R6" s="78" t="s">
        <v>49</v>
      </c>
      <c r="S6" s="78" t="s">
        <v>400</v>
      </c>
      <c r="T6" s="22" t="s">
        <v>730</v>
      </c>
      <c r="U6" s="275">
        <v>45940</v>
      </c>
      <c r="V6" s="275">
        <v>45940</v>
      </c>
      <c r="W6" s="19" t="s">
        <v>344</v>
      </c>
      <c r="X6" s="19" t="s">
        <v>345</v>
      </c>
      <c r="Y6" s="19" t="s">
        <v>344</v>
      </c>
      <c r="Z6" s="275">
        <v>45940</v>
      </c>
      <c r="AA6" s="49" t="s">
        <v>400</v>
      </c>
      <c r="AB6" s="78" t="s">
        <v>400</v>
      </c>
      <c r="AC6" s="114" t="s">
        <v>400</v>
      </c>
      <c r="AD6" s="258"/>
      <c r="AE6" s="12" t="s">
        <v>340</v>
      </c>
    </row>
    <row r="7" spans="1:31" ht="39" customHeight="1">
      <c r="A7" s="165">
        <v>6</v>
      </c>
      <c r="B7" s="79" t="s">
        <v>87</v>
      </c>
      <c r="C7" s="102">
        <v>45931</v>
      </c>
      <c r="D7" s="102">
        <v>45944</v>
      </c>
      <c r="E7" s="167" t="s">
        <v>704</v>
      </c>
      <c r="F7" s="114" t="s">
        <v>47</v>
      </c>
      <c r="G7" s="165">
        <v>50297</v>
      </c>
      <c r="H7" s="165" t="s">
        <v>691</v>
      </c>
      <c r="I7" s="164" t="s">
        <v>334</v>
      </c>
      <c r="J7" s="134">
        <v>13</v>
      </c>
      <c r="K7" s="100">
        <f t="shared" ref="K7" si="1">L7/4</f>
        <v>5.25</v>
      </c>
      <c r="L7" s="103">
        <v>21</v>
      </c>
      <c r="M7" s="273">
        <v>45939</v>
      </c>
      <c r="N7" s="19"/>
      <c r="O7" s="19"/>
      <c r="P7" s="19"/>
      <c r="Q7" s="19"/>
      <c r="R7" s="19"/>
      <c r="S7" s="19"/>
      <c r="T7" s="22"/>
      <c r="U7" s="19"/>
      <c r="V7" s="19"/>
      <c r="W7" s="19"/>
      <c r="X7" s="19"/>
      <c r="Y7" s="19"/>
      <c r="Z7" s="19"/>
      <c r="AA7" s="19"/>
      <c r="AB7" s="19"/>
      <c r="AC7" s="19"/>
      <c r="AD7" s="258"/>
      <c r="AE7" s="19"/>
    </row>
    <row r="8" spans="1:31" ht="30" customHeight="1">
      <c r="A8" s="165">
        <v>7</v>
      </c>
      <c r="B8" s="79" t="s">
        <v>87</v>
      </c>
      <c r="C8" s="102">
        <v>45931</v>
      </c>
      <c r="D8" s="102">
        <v>45944</v>
      </c>
      <c r="E8" s="167" t="s">
        <v>704</v>
      </c>
      <c r="F8" s="149" t="s">
        <v>40</v>
      </c>
      <c r="G8" s="169">
        <v>50279</v>
      </c>
      <c r="H8" s="169" t="s">
        <v>731</v>
      </c>
      <c r="I8" s="194" t="s">
        <v>358</v>
      </c>
      <c r="J8" s="142">
        <v>5</v>
      </c>
      <c r="K8" s="103">
        <f t="shared" si="0"/>
        <v>3</v>
      </c>
      <c r="L8" s="103">
        <v>12</v>
      </c>
      <c r="M8" s="181">
        <v>45936</v>
      </c>
      <c r="N8" s="181">
        <v>45937</v>
      </c>
      <c r="O8" s="106" t="s">
        <v>335</v>
      </c>
      <c r="P8" s="78" t="s">
        <v>49</v>
      </c>
      <c r="Q8" s="106" t="s">
        <v>400</v>
      </c>
      <c r="R8" s="78" t="s">
        <v>49</v>
      </c>
      <c r="S8" s="106" t="s">
        <v>400</v>
      </c>
      <c r="T8" s="22" t="s">
        <v>732</v>
      </c>
      <c r="U8" s="181">
        <v>45937</v>
      </c>
      <c r="V8" s="181">
        <v>45937</v>
      </c>
      <c r="W8" s="103" t="s">
        <v>344</v>
      </c>
      <c r="X8" s="103" t="s">
        <v>345</v>
      </c>
      <c r="Y8" s="103" t="s">
        <v>344</v>
      </c>
      <c r="Z8" s="181">
        <v>45937</v>
      </c>
      <c r="AA8" s="69" t="s">
        <v>400</v>
      </c>
      <c r="AB8" s="106" t="s">
        <v>400</v>
      </c>
      <c r="AC8" s="149" t="s">
        <v>400</v>
      </c>
      <c r="AD8" s="19"/>
      <c r="AE8" s="19" t="s">
        <v>340</v>
      </c>
    </row>
    <row r="9" spans="1:31" ht="30" customHeight="1">
      <c r="A9">
        <v>8</v>
      </c>
      <c r="B9" s="79" t="s">
        <v>87</v>
      </c>
      <c r="C9" s="102">
        <v>45931</v>
      </c>
      <c r="D9" s="102">
        <v>45944</v>
      </c>
      <c r="E9" s="199" t="s">
        <v>704</v>
      </c>
      <c r="F9" s="49" t="s">
        <v>733</v>
      </c>
      <c r="G9" s="49">
        <v>50392</v>
      </c>
      <c r="H9" s="14" t="s">
        <v>666</v>
      </c>
      <c r="I9" s="164" t="s">
        <v>334</v>
      </c>
      <c r="J9" s="49">
        <v>13</v>
      </c>
      <c r="K9" s="49">
        <v>2.5</v>
      </c>
      <c r="L9" s="49">
        <v>11</v>
      </c>
      <c r="M9" s="276">
        <v>45937</v>
      </c>
      <c r="N9" s="12"/>
      <c r="O9" s="12"/>
      <c r="P9" s="12"/>
      <c r="Q9" s="12"/>
      <c r="R9" s="12"/>
      <c r="S9" s="12"/>
      <c r="T9" s="12"/>
      <c r="U9" s="12"/>
      <c r="V9" s="12"/>
      <c r="W9" s="12"/>
      <c r="X9" s="12"/>
      <c r="Y9" s="12"/>
      <c r="Z9" s="12"/>
      <c r="AA9" s="12"/>
      <c r="AB9" s="12"/>
      <c r="AC9" s="12"/>
      <c r="AD9" s="12" t="s">
        <v>734</v>
      </c>
      <c r="AE9" s="12"/>
    </row>
  </sheetData>
  <dataValidations count="1">
    <dataValidation type="list" allowBlank="1" showInputMessage="1" showErrorMessage="1" sqref="AE2:AE6 AE8" xr:uid="{595EB335-654D-4E13-B5BA-79A5F4AEF713}">
      <formula1>"Exceeds Expectation, Meets Expectation, Needs Improvement"</formula1>
    </dataValidation>
  </dataValidations>
  <hyperlinks>
    <hyperlink ref="T2" r:id="rId1" xr:uid="{928C8EBE-99A4-4A40-A6C8-FDC527F77BE5}"/>
    <hyperlink ref="T3" r:id="rId2" xr:uid="{4B981D78-3314-4B91-B468-9E6AC0BDE25A}"/>
    <hyperlink ref="T8" r:id="rId3" xr:uid="{8E0C7C99-CF66-4D56-B5AC-BA15F57839E6}"/>
    <hyperlink ref="T6" r:id="rId4" xr:uid="{FE0A5F7E-37FE-478C-ACEA-59BDD8C33F7E}"/>
    <hyperlink ref="T4" r:id="rId5" xr:uid="{F10840D2-2E9C-4FBE-8F96-8E38DD39A0E7}"/>
    <hyperlink ref="T5" r:id="rId6" xr:uid="{B5A24289-51CE-4C52-8CAB-A7C90D7AD4B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53907C9-41DB-4E78-8F7A-CA19F2ACF4B1}">
          <x14:formula1>
            <xm:f>Settings!$C$3:$C$20</xm:f>
          </x14:formula1>
          <xm:sqref>I2:I9</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BCA81-DAD3-4A7D-AB7E-A3EB34BE032A}">
  <dimension ref="A1:O12"/>
  <sheetViews>
    <sheetView workbookViewId="0">
      <selection activeCell="F4" sqref="F4:F5"/>
    </sheetView>
  </sheetViews>
  <sheetFormatPr defaultRowHeight="12.75"/>
  <cols>
    <col min="1" max="1" width="29" customWidth="1"/>
    <col min="6" max="6" width="38" customWidth="1"/>
    <col min="10" max="10" width="21.7109375" bestFit="1" customWidth="1"/>
    <col min="11" max="11" width="11.42578125" customWidth="1"/>
    <col min="12" max="12" width="10.140625" customWidth="1"/>
    <col min="13" max="13" width="11.42578125" customWidth="1"/>
    <col min="14" max="14" width="19.28515625" customWidth="1"/>
    <col min="15" max="15" width="23" customWidth="1"/>
  </cols>
  <sheetData>
    <row r="1" spans="1:15" ht="27">
      <c r="A1" s="23" t="s">
        <v>74</v>
      </c>
      <c r="B1" s="172" t="s">
        <v>75</v>
      </c>
      <c r="C1" s="172" t="s">
        <v>76</v>
      </c>
      <c r="D1" s="23" t="s">
        <v>2</v>
      </c>
      <c r="E1" s="172" t="s">
        <v>77</v>
      </c>
      <c r="F1" s="172" t="s">
        <v>78</v>
      </c>
      <c r="G1" s="23" t="s">
        <v>79</v>
      </c>
      <c r="H1" s="23" t="s">
        <v>80</v>
      </c>
      <c r="I1" s="23" t="s">
        <v>81</v>
      </c>
      <c r="J1" s="23" t="s">
        <v>4</v>
      </c>
      <c r="K1" s="45" t="s">
        <v>312</v>
      </c>
      <c r="L1" s="45" t="s">
        <v>313</v>
      </c>
      <c r="M1" s="45" t="s">
        <v>314</v>
      </c>
      <c r="N1" s="173" t="s">
        <v>82</v>
      </c>
      <c r="O1" s="174" t="s">
        <v>5</v>
      </c>
    </row>
    <row r="2" spans="1:15" ht="36.75" customHeight="1">
      <c r="A2" s="167" t="s">
        <v>241</v>
      </c>
      <c r="B2" s="167">
        <v>25851</v>
      </c>
      <c r="C2" s="165">
        <v>49464</v>
      </c>
      <c r="D2" s="49" t="s">
        <v>40</v>
      </c>
      <c r="E2" s="24" t="s">
        <v>394</v>
      </c>
      <c r="F2" s="251" t="s">
        <v>672</v>
      </c>
      <c r="G2" s="24" t="s">
        <v>473</v>
      </c>
      <c r="H2" s="24" t="s">
        <v>353</v>
      </c>
      <c r="I2" s="24" t="s">
        <v>354</v>
      </c>
      <c r="J2" s="80" t="s">
        <v>355</v>
      </c>
      <c r="K2" s="164">
        <v>2</v>
      </c>
      <c r="L2" s="164">
        <f>M2/4</f>
        <v>1.5</v>
      </c>
      <c r="M2" s="164">
        <v>6</v>
      </c>
      <c r="N2" s="24" t="s">
        <v>431</v>
      </c>
      <c r="O2" s="14" t="s">
        <v>735</v>
      </c>
    </row>
    <row r="3" spans="1:15" ht="23.25">
      <c r="A3" s="167" t="s">
        <v>241</v>
      </c>
      <c r="B3" s="167">
        <v>25925</v>
      </c>
      <c r="C3" s="165"/>
      <c r="D3" s="49" t="s">
        <v>40</v>
      </c>
      <c r="E3" s="24" t="s">
        <v>394</v>
      </c>
      <c r="F3" s="149" t="s">
        <v>736</v>
      </c>
      <c r="G3" s="24" t="s">
        <v>473</v>
      </c>
      <c r="H3" s="24" t="s">
        <v>353</v>
      </c>
      <c r="I3" s="24" t="s">
        <v>354</v>
      </c>
      <c r="J3" s="270" t="s">
        <v>396</v>
      </c>
      <c r="K3" s="164">
        <v>2</v>
      </c>
      <c r="L3" s="164">
        <f t="shared" ref="L3:L11" si="0">M3/4</f>
        <v>0.75</v>
      </c>
      <c r="M3" s="164">
        <v>3</v>
      </c>
      <c r="N3" s="24" t="s">
        <v>431</v>
      </c>
      <c r="O3" s="12"/>
    </row>
    <row r="4" spans="1:15" ht="48">
      <c r="A4" s="167" t="s">
        <v>241</v>
      </c>
      <c r="B4" s="170">
        <v>25902</v>
      </c>
      <c r="C4" s="169"/>
      <c r="D4" s="69" t="s">
        <v>49</v>
      </c>
      <c r="E4" s="264" t="s">
        <v>394</v>
      </c>
      <c r="F4" s="150" t="s">
        <v>737</v>
      </c>
      <c r="G4" s="265" t="s">
        <v>473</v>
      </c>
      <c r="H4" s="266" t="s">
        <v>353</v>
      </c>
      <c r="I4" s="266" t="s">
        <v>354</v>
      </c>
      <c r="J4" s="271" t="s">
        <v>396</v>
      </c>
      <c r="K4" s="54">
        <v>2</v>
      </c>
      <c r="L4" s="164">
        <f t="shared" si="0"/>
        <v>3</v>
      </c>
      <c r="M4" s="164">
        <v>12</v>
      </c>
      <c r="N4" s="266" t="s">
        <v>431</v>
      </c>
      <c r="O4" s="19"/>
    </row>
    <row r="5" spans="1:15" ht="33" customHeight="1">
      <c r="A5" s="170" t="s">
        <v>241</v>
      </c>
      <c r="B5" s="170">
        <v>26039</v>
      </c>
      <c r="C5" s="19"/>
      <c r="D5" s="170" t="s">
        <v>40</v>
      </c>
      <c r="E5" s="170" t="s">
        <v>394</v>
      </c>
      <c r="F5" s="150" t="s">
        <v>738</v>
      </c>
      <c r="G5" s="266" t="s">
        <v>473</v>
      </c>
      <c r="H5" s="266" t="s">
        <v>353</v>
      </c>
      <c r="I5" s="266" t="s">
        <v>430</v>
      </c>
      <c r="J5" s="271" t="s">
        <v>396</v>
      </c>
      <c r="K5" s="54">
        <v>2</v>
      </c>
      <c r="L5" s="164">
        <f t="shared" si="0"/>
        <v>1.5</v>
      </c>
      <c r="M5" s="164">
        <v>6</v>
      </c>
      <c r="N5" s="266" t="s">
        <v>431</v>
      </c>
      <c r="O5" s="19"/>
    </row>
    <row r="6" spans="1:15" ht="37.5" customHeight="1">
      <c r="A6" s="167" t="s">
        <v>241</v>
      </c>
      <c r="B6" s="167">
        <v>26036</v>
      </c>
      <c r="C6" s="12"/>
      <c r="D6" s="170" t="s">
        <v>40</v>
      </c>
      <c r="E6" s="170" t="s">
        <v>394</v>
      </c>
      <c r="F6" s="14" t="s">
        <v>706</v>
      </c>
      <c r="G6" s="24" t="s">
        <v>473</v>
      </c>
      <c r="H6" s="24" t="s">
        <v>353</v>
      </c>
      <c r="I6" s="24" t="s">
        <v>430</v>
      </c>
      <c r="J6" s="80" t="s">
        <v>355</v>
      </c>
      <c r="K6" s="164">
        <v>1</v>
      </c>
      <c r="L6" s="164">
        <f t="shared" si="0"/>
        <v>0.75</v>
      </c>
      <c r="M6" s="164">
        <v>3</v>
      </c>
      <c r="N6" s="266" t="s">
        <v>431</v>
      </c>
      <c r="O6" s="12" t="s">
        <v>739</v>
      </c>
    </row>
    <row r="7" spans="1:15" ht="46.5">
      <c r="A7" s="167" t="s">
        <v>241</v>
      </c>
      <c r="B7" s="167">
        <v>26040</v>
      </c>
      <c r="C7" s="12"/>
      <c r="D7" s="170" t="s">
        <v>40</v>
      </c>
      <c r="E7" s="170" t="s">
        <v>394</v>
      </c>
      <c r="F7" s="14" t="s">
        <v>708</v>
      </c>
      <c r="G7" s="24" t="s">
        <v>473</v>
      </c>
      <c r="H7" s="24" t="s">
        <v>353</v>
      </c>
      <c r="I7" s="24" t="s">
        <v>430</v>
      </c>
      <c r="J7" s="80" t="s">
        <v>355</v>
      </c>
      <c r="K7" s="164">
        <v>1</v>
      </c>
      <c r="L7" s="164">
        <f t="shared" si="0"/>
        <v>0.75</v>
      </c>
      <c r="M7" s="164">
        <v>3</v>
      </c>
      <c r="N7" s="266" t="s">
        <v>431</v>
      </c>
      <c r="O7" s="14" t="s">
        <v>740</v>
      </c>
    </row>
    <row r="8" spans="1:15" ht="35.25">
      <c r="A8" s="167" t="s">
        <v>241</v>
      </c>
      <c r="B8" s="167">
        <v>26041</v>
      </c>
      <c r="C8" s="12"/>
      <c r="D8" s="170" t="s">
        <v>40</v>
      </c>
      <c r="E8" s="170" t="s">
        <v>394</v>
      </c>
      <c r="F8" s="14" t="s">
        <v>709</v>
      </c>
      <c r="G8" s="24" t="s">
        <v>473</v>
      </c>
      <c r="H8" s="24" t="s">
        <v>353</v>
      </c>
      <c r="I8" s="24" t="s">
        <v>430</v>
      </c>
      <c r="J8" s="80" t="s">
        <v>355</v>
      </c>
      <c r="K8" s="164">
        <v>1</v>
      </c>
      <c r="L8" s="164">
        <f t="shared" si="0"/>
        <v>0.75</v>
      </c>
      <c r="M8" s="164">
        <v>3</v>
      </c>
      <c r="N8" s="266" t="s">
        <v>431</v>
      </c>
      <c r="O8" s="12"/>
    </row>
    <row r="9" spans="1:15" ht="35.25">
      <c r="A9" s="167" t="s">
        <v>241</v>
      </c>
      <c r="B9" s="167">
        <v>26043</v>
      </c>
      <c r="C9" s="12"/>
      <c r="D9" s="167" t="s">
        <v>40</v>
      </c>
      <c r="E9" s="167" t="s">
        <v>394</v>
      </c>
      <c r="F9" s="14" t="s">
        <v>741</v>
      </c>
      <c r="G9" s="24" t="s">
        <v>473</v>
      </c>
      <c r="H9" s="24" t="s">
        <v>353</v>
      </c>
      <c r="I9" s="24" t="s">
        <v>430</v>
      </c>
      <c r="J9" s="271" t="s">
        <v>396</v>
      </c>
      <c r="K9" s="164">
        <v>2</v>
      </c>
      <c r="L9" s="164">
        <f t="shared" si="0"/>
        <v>1.5</v>
      </c>
      <c r="M9" s="164">
        <v>6</v>
      </c>
      <c r="N9" s="266" t="s">
        <v>431</v>
      </c>
      <c r="O9" s="12"/>
    </row>
    <row r="10" spans="1:15" ht="35.25">
      <c r="A10" s="170" t="s">
        <v>241</v>
      </c>
      <c r="B10" s="170">
        <v>26054</v>
      </c>
      <c r="C10" s="19"/>
      <c r="D10" s="167" t="s">
        <v>49</v>
      </c>
      <c r="E10" s="167" t="s">
        <v>394</v>
      </c>
      <c r="F10" s="14" t="s">
        <v>710</v>
      </c>
      <c r="G10" s="24" t="s">
        <v>473</v>
      </c>
      <c r="H10" s="24" t="s">
        <v>353</v>
      </c>
      <c r="I10" s="24" t="s">
        <v>430</v>
      </c>
      <c r="J10" s="80" t="s">
        <v>717</v>
      </c>
      <c r="K10" s="164">
        <v>1</v>
      </c>
      <c r="L10" s="164">
        <f t="shared" si="0"/>
        <v>1.5</v>
      </c>
      <c r="M10" s="164">
        <v>6</v>
      </c>
      <c r="N10" s="24" t="s">
        <v>431</v>
      </c>
      <c r="O10" s="247"/>
    </row>
    <row r="11" spans="1:15" ht="69">
      <c r="A11" s="167" t="s">
        <v>742</v>
      </c>
      <c r="B11" s="269">
        <v>26070</v>
      </c>
      <c r="C11" s="259"/>
      <c r="D11" s="167" t="s">
        <v>40</v>
      </c>
      <c r="E11" s="167" t="s">
        <v>394</v>
      </c>
      <c r="F11" s="268" t="s">
        <v>711</v>
      </c>
      <c r="G11" s="24" t="s">
        <v>473</v>
      </c>
      <c r="H11" s="24" t="s">
        <v>353</v>
      </c>
      <c r="I11" s="24" t="s">
        <v>430</v>
      </c>
      <c r="J11" s="80" t="s">
        <v>654</v>
      </c>
      <c r="K11" s="164">
        <v>2</v>
      </c>
      <c r="L11" s="164">
        <f t="shared" si="0"/>
        <v>1.5</v>
      </c>
      <c r="M11" s="164">
        <v>6</v>
      </c>
      <c r="N11" s="24" t="s">
        <v>431</v>
      </c>
      <c r="O11" s="268" t="s">
        <v>712</v>
      </c>
    </row>
    <row r="12" spans="1:15" ht="23.25">
      <c r="A12" s="167" t="s">
        <v>241</v>
      </c>
      <c r="B12" s="269">
        <v>26115</v>
      </c>
      <c r="C12" s="259"/>
      <c r="D12" s="167" t="s">
        <v>49</v>
      </c>
      <c r="E12" s="167" t="s">
        <v>394</v>
      </c>
      <c r="F12" s="268" t="s">
        <v>743</v>
      </c>
      <c r="G12" s="24" t="s">
        <v>473</v>
      </c>
      <c r="H12" s="24" t="s">
        <v>353</v>
      </c>
      <c r="I12" s="24" t="s">
        <v>430</v>
      </c>
      <c r="J12" s="271" t="s">
        <v>396</v>
      </c>
      <c r="K12" s="164">
        <v>2</v>
      </c>
      <c r="L12" s="164">
        <v>2.5</v>
      </c>
      <c r="M12" s="164">
        <v>10</v>
      </c>
      <c r="N12" s="24" t="s">
        <v>431</v>
      </c>
      <c r="O12" s="247"/>
    </row>
  </sheetData>
  <dataValidations count="4">
    <dataValidation type="list" allowBlank="1" showErrorMessage="1" sqref="E2:E3" xr:uid="{B161B8ED-DE5D-44FE-BC05-0714F747C101}">
      <formula1>"Bounceback,Defect,None"</formula1>
    </dataValidation>
    <dataValidation type="list" allowBlank="1" showErrorMessage="1" sqref="I2:I12" xr:uid="{BD602E80-7E8C-438B-BEC0-8BB8CF58A796}">
      <formula1>"Internal,External"</formula1>
    </dataValidation>
    <dataValidation type="list" allowBlank="1" showErrorMessage="1" sqref="G2:G12" xr:uid="{F871D808-D83A-4E52-931B-59BFAB465FA6}">
      <formula1>"Minor,Significant,Major"</formula1>
    </dataValidation>
    <dataValidation type="list" allowBlank="1" showErrorMessage="1" sqref="H2:H12" xr:uid="{291138F7-868A-47B9-A16E-CC8F011B192E}">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1B278A0C-8106-43DB-9CD8-06BD2F13782C}">
          <x14:formula1>
            <xm:f>Details!$A$2:$A$10</xm:f>
          </x14:formula1>
          <xm:sqref>N2:N12</xm:sqref>
        </x14:dataValidation>
        <x14:dataValidation type="list" allowBlank="1" showErrorMessage="1" xr:uid="{1E6DF740-F3A3-4F7F-872A-7010BDC3BAF1}">
          <x14:formula1>
            <xm:f>Settings!$C$3:$C$20</xm:f>
          </x14:formula1>
          <xm:sqref>J2:J12</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DFC9-2C53-4B06-98FD-D548BE69C5B3}">
  <dimension ref="A1:AE18"/>
  <sheetViews>
    <sheetView topLeftCell="E6" workbookViewId="0">
      <selection activeCell="G9" sqref="G9"/>
    </sheetView>
  </sheetViews>
  <sheetFormatPr defaultRowHeight="30" customHeight="1"/>
  <cols>
    <col min="1" max="1" width="4.7109375" bestFit="1" customWidth="1"/>
    <col min="5" max="5" width="19.28515625" customWidth="1"/>
    <col min="6" max="6" width="13.140625" customWidth="1"/>
    <col min="7" max="7" width="11" bestFit="1" customWidth="1"/>
    <col min="8" max="8" width="42.7109375" customWidth="1"/>
    <col min="9" max="9" width="23.5703125" customWidth="1"/>
    <col min="11" max="11" width="9" bestFit="1" customWidth="1"/>
    <col min="13" max="13" width="10" bestFit="1" customWidth="1"/>
    <col min="14" max="14" width="11.85546875" customWidth="1"/>
    <col min="19" max="19" width="13.5703125" customWidth="1"/>
    <col min="20" max="20" width="17.42578125" customWidth="1"/>
    <col min="21" max="21" width="10" bestFit="1" customWidth="1"/>
    <col min="22" max="22" width="12" customWidth="1"/>
    <col min="26" max="26" width="11.7109375" customWidth="1"/>
    <col min="30" max="30" width="24.5703125" customWidth="1"/>
    <col min="31" max="31" width="18.7109375" bestFit="1" customWidth="1"/>
  </cols>
  <sheetData>
    <row r="1" spans="1:31" ht="75.75" customHeight="1">
      <c r="A1" s="26" t="s">
        <v>73</v>
      </c>
      <c r="B1" s="26" t="s">
        <v>1</v>
      </c>
      <c r="C1" s="26" t="s">
        <v>85</v>
      </c>
      <c r="D1" s="26" t="s">
        <v>86</v>
      </c>
      <c r="E1" s="26" t="s">
        <v>310</v>
      </c>
      <c r="F1" s="26" t="s">
        <v>2</v>
      </c>
      <c r="G1" s="26" t="s">
        <v>311</v>
      </c>
      <c r="H1" s="157" t="s">
        <v>3</v>
      </c>
      <c r="I1" s="26" t="s">
        <v>4</v>
      </c>
      <c r="J1" s="26" t="s">
        <v>312</v>
      </c>
      <c r="K1" s="26" t="s">
        <v>313</v>
      </c>
      <c r="L1" s="26" t="s">
        <v>314</v>
      </c>
      <c r="M1" s="26" t="s">
        <v>315</v>
      </c>
      <c r="N1" s="26" t="s">
        <v>316</v>
      </c>
      <c r="O1" s="26" t="s">
        <v>317</v>
      </c>
      <c r="P1" s="26" t="s">
        <v>318</v>
      </c>
      <c r="Q1" s="26" t="s">
        <v>319</v>
      </c>
      <c r="R1" s="26" t="s">
        <v>320</v>
      </c>
      <c r="S1" s="26" t="s">
        <v>321</v>
      </c>
      <c r="T1" s="26" t="s">
        <v>322</v>
      </c>
      <c r="U1" s="26" t="s">
        <v>323</v>
      </c>
      <c r="V1" s="26" t="s">
        <v>324</v>
      </c>
      <c r="W1" s="26" t="s">
        <v>325</v>
      </c>
      <c r="X1" s="26" t="s">
        <v>326</v>
      </c>
      <c r="Y1" s="26" t="s">
        <v>327</v>
      </c>
      <c r="Z1" s="26" t="s">
        <v>328</v>
      </c>
      <c r="AA1" s="26" t="s">
        <v>329</v>
      </c>
      <c r="AB1" s="26" t="s">
        <v>330</v>
      </c>
      <c r="AC1" s="26" t="s">
        <v>331</v>
      </c>
      <c r="AD1" s="260" t="s">
        <v>5</v>
      </c>
      <c r="AE1" s="26" t="s">
        <v>332</v>
      </c>
    </row>
    <row r="2" spans="1:31" ht="30" customHeight="1">
      <c r="A2" s="165">
        <v>1</v>
      </c>
      <c r="B2" s="79" t="s">
        <v>87</v>
      </c>
      <c r="C2" s="102">
        <v>45903</v>
      </c>
      <c r="D2" s="102">
        <v>45930</v>
      </c>
      <c r="E2" s="167" t="s">
        <v>236</v>
      </c>
      <c r="F2" s="114" t="s">
        <v>49</v>
      </c>
      <c r="G2" s="165">
        <v>49684</v>
      </c>
      <c r="H2" s="164" t="s">
        <v>744</v>
      </c>
      <c r="I2" s="254" t="s">
        <v>358</v>
      </c>
      <c r="J2" s="114">
        <v>2</v>
      </c>
      <c r="K2" s="100">
        <f t="shared" ref="K2:K7" si="0">L2/4</f>
        <v>0.5</v>
      </c>
      <c r="L2" s="190">
        <v>2</v>
      </c>
      <c r="M2" s="181">
        <v>45891</v>
      </c>
      <c r="N2" s="181" t="s">
        <v>400</v>
      </c>
      <c r="O2" s="78" t="s">
        <v>335</v>
      </c>
      <c r="P2" s="78" t="s">
        <v>49</v>
      </c>
      <c r="Q2" s="78" t="s">
        <v>400</v>
      </c>
      <c r="R2" s="78" t="s">
        <v>40</v>
      </c>
      <c r="S2" s="78" t="s">
        <v>400</v>
      </c>
      <c r="T2" s="22" t="s">
        <v>745</v>
      </c>
      <c r="U2" s="198">
        <v>45897</v>
      </c>
      <c r="V2" s="198">
        <v>45897</v>
      </c>
      <c r="W2" s="100" t="s">
        <v>344</v>
      </c>
      <c r="X2" s="100" t="s">
        <v>345</v>
      </c>
      <c r="Y2" s="100" t="s">
        <v>344</v>
      </c>
      <c r="Z2" s="198">
        <v>45897</v>
      </c>
      <c r="AA2" s="49" t="s">
        <v>400</v>
      </c>
      <c r="AB2" s="78" t="s">
        <v>400</v>
      </c>
      <c r="AC2" s="114" t="s">
        <v>400</v>
      </c>
      <c r="AD2" s="258"/>
      <c r="AE2" s="12" t="s">
        <v>340</v>
      </c>
    </row>
    <row r="3" spans="1:31" ht="30" customHeight="1">
      <c r="A3" s="165">
        <v>2</v>
      </c>
      <c r="B3" s="79" t="s">
        <v>87</v>
      </c>
      <c r="C3" s="102">
        <v>45903</v>
      </c>
      <c r="D3" s="102">
        <v>45930</v>
      </c>
      <c r="E3" s="167" t="s">
        <v>236</v>
      </c>
      <c r="F3" s="114" t="s">
        <v>746</v>
      </c>
      <c r="G3" s="165">
        <v>49685</v>
      </c>
      <c r="H3" s="164" t="s">
        <v>747</v>
      </c>
      <c r="I3" s="254" t="s">
        <v>358</v>
      </c>
      <c r="J3" s="114">
        <v>3</v>
      </c>
      <c r="K3" s="100">
        <f t="shared" si="0"/>
        <v>1.5</v>
      </c>
      <c r="L3" s="190">
        <v>6</v>
      </c>
      <c r="M3" s="181">
        <v>45895</v>
      </c>
      <c r="N3" s="181">
        <v>45902</v>
      </c>
      <c r="O3" s="78" t="s">
        <v>335</v>
      </c>
      <c r="P3" s="78" t="s">
        <v>40</v>
      </c>
      <c r="Q3" s="78" t="s">
        <v>400</v>
      </c>
      <c r="R3" s="103" t="s">
        <v>47</v>
      </c>
      <c r="S3" s="103" t="s">
        <v>400</v>
      </c>
      <c r="T3" s="22" t="s">
        <v>748</v>
      </c>
      <c r="U3" s="181">
        <v>45902</v>
      </c>
      <c r="V3" s="181">
        <v>45904</v>
      </c>
      <c r="W3" s="100" t="s">
        <v>344</v>
      </c>
      <c r="X3" s="100" t="s">
        <v>345</v>
      </c>
      <c r="Y3" s="100" t="s">
        <v>344</v>
      </c>
      <c r="Z3" s="181">
        <v>45904</v>
      </c>
      <c r="AA3" s="49" t="s">
        <v>400</v>
      </c>
      <c r="AB3" s="78" t="s">
        <v>400</v>
      </c>
      <c r="AC3" s="114" t="s">
        <v>400</v>
      </c>
      <c r="AD3" s="258"/>
      <c r="AE3" s="12" t="s">
        <v>340</v>
      </c>
    </row>
    <row r="4" spans="1:31" ht="30" customHeight="1">
      <c r="A4" s="165">
        <v>3</v>
      </c>
      <c r="B4" s="79" t="s">
        <v>87</v>
      </c>
      <c r="C4" s="102">
        <v>45903</v>
      </c>
      <c r="D4" s="102">
        <v>45930</v>
      </c>
      <c r="E4" s="167" t="s">
        <v>236</v>
      </c>
      <c r="F4" s="114" t="s">
        <v>40</v>
      </c>
      <c r="G4" s="165">
        <v>49820</v>
      </c>
      <c r="H4" s="164" t="s">
        <v>749</v>
      </c>
      <c r="I4" s="252" t="s">
        <v>358</v>
      </c>
      <c r="J4" s="114">
        <v>3</v>
      </c>
      <c r="K4" s="100">
        <f t="shared" si="0"/>
        <v>1.5</v>
      </c>
      <c r="L4" s="190">
        <v>6</v>
      </c>
      <c r="M4" s="181">
        <v>45897</v>
      </c>
      <c r="N4" s="248">
        <v>45898</v>
      </c>
      <c r="O4" s="78" t="s">
        <v>335</v>
      </c>
      <c r="P4" s="78" t="s">
        <v>40</v>
      </c>
      <c r="Q4" s="78" t="s">
        <v>400</v>
      </c>
      <c r="R4" s="103" t="s">
        <v>47</v>
      </c>
      <c r="S4" s="103" t="s">
        <v>400</v>
      </c>
      <c r="T4" s="22" t="s">
        <v>750</v>
      </c>
      <c r="U4" s="198">
        <v>45898</v>
      </c>
      <c r="V4" s="181">
        <v>45902</v>
      </c>
      <c r="W4" s="100" t="s">
        <v>344</v>
      </c>
      <c r="X4" s="100" t="s">
        <v>345</v>
      </c>
      <c r="Y4" s="100" t="s">
        <v>344</v>
      </c>
      <c r="Z4" s="181">
        <v>45902</v>
      </c>
      <c r="AA4" s="49" t="s">
        <v>400</v>
      </c>
      <c r="AB4" s="78" t="s">
        <v>400</v>
      </c>
      <c r="AC4" s="114" t="s">
        <v>400</v>
      </c>
      <c r="AD4" s="258"/>
      <c r="AE4" s="12" t="s">
        <v>340</v>
      </c>
    </row>
    <row r="5" spans="1:31" ht="30" customHeight="1">
      <c r="A5" s="165">
        <v>4</v>
      </c>
      <c r="B5" s="79" t="s">
        <v>87</v>
      </c>
      <c r="C5" s="102">
        <v>45903</v>
      </c>
      <c r="D5" s="102">
        <v>45930</v>
      </c>
      <c r="E5" s="167" t="s">
        <v>236</v>
      </c>
      <c r="F5" s="114" t="s">
        <v>344</v>
      </c>
      <c r="G5" s="165">
        <v>49846</v>
      </c>
      <c r="H5" s="164" t="s">
        <v>751</v>
      </c>
      <c r="I5" s="252" t="s">
        <v>358</v>
      </c>
      <c r="J5" s="114">
        <v>5</v>
      </c>
      <c r="K5" s="100">
        <v>3.5</v>
      </c>
      <c r="L5" s="190">
        <v>13</v>
      </c>
      <c r="M5" s="181">
        <v>45903</v>
      </c>
      <c r="N5" s="181">
        <v>45908</v>
      </c>
      <c r="O5" s="78" t="s">
        <v>335</v>
      </c>
      <c r="P5" s="78" t="s">
        <v>40</v>
      </c>
      <c r="Q5" s="78" t="s">
        <v>400</v>
      </c>
      <c r="R5" s="78" t="s">
        <v>40</v>
      </c>
      <c r="S5" s="78" t="s">
        <v>400</v>
      </c>
      <c r="T5" s="22" t="s">
        <v>752</v>
      </c>
      <c r="U5" s="181">
        <v>45905</v>
      </c>
      <c r="V5" s="181">
        <v>45908</v>
      </c>
      <c r="W5" s="100" t="s">
        <v>344</v>
      </c>
      <c r="X5" s="100" t="s">
        <v>345</v>
      </c>
      <c r="Y5" s="100" t="s">
        <v>658</v>
      </c>
      <c r="Z5" s="181">
        <v>45908</v>
      </c>
      <c r="AA5" s="49" t="s">
        <v>400</v>
      </c>
      <c r="AB5" s="78" t="s">
        <v>400</v>
      </c>
      <c r="AC5" s="114" t="s">
        <v>400</v>
      </c>
      <c r="AD5" s="258"/>
      <c r="AE5" s="12" t="s">
        <v>753</v>
      </c>
    </row>
    <row r="6" spans="1:31" ht="30" customHeight="1">
      <c r="A6" s="165">
        <v>5</v>
      </c>
      <c r="B6" s="79" t="s">
        <v>87</v>
      </c>
      <c r="C6" s="102">
        <v>45903</v>
      </c>
      <c r="D6" s="102">
        <v>45930</v>
      </c>
      <c r="E6" s="167" t="s">
        <v>236</v>
      </c>
      <c r="F6" s="114" t="s">
        <v>47</v>
      </c>
      <c r="G6" s="165">
        <v>47756</v>
      </c>
      <c r="H6" s="164" t="s">
        <v>754</v>
      </c>
      <c r="I6" s="252" t="s">
        <v>358</v>
      </c>
      <c r="J6" s="114">
        <v>13</v>
      </c>
      <c r="K6" s="100">
        <f t="shared" si="0"/>
        <v>14.5</v>
      </c>
      <c r="L6" s="190">
        <v>58</v>
      </c>
      <c r="M6" s="181">
        <v>45910</v>
      </c>
      <c r="N6" s="248">
        <v>45926</v>
      </c>
      <c r="O6" s="78"/>
      <c r="P6" s="78"/>
      <c r="Q6" s="78"/>
      <c r="R6" s="103"/>
      <c r="S6" s="103"/>
      <c r="T6" s="132" t="s">
        <v>755</v>
      </c>
      <c r="U6" s="198"/>
      <c r="V6" s="181"/>
      <c r="W6" s="197"/>
      <c r="X6" s="100"/>
      <c r="Y6" s="100"/>
      <c r="Z6" s="181"/>
      <c r="AA6" s="49"/>
      <c r="AB6" s="78"/>
      <c r="AC6" s="49"/>
      <c r="AD6" s="258"/>
      <c r="AE6" s="12"/>
    </row>
    <row r="7" spans="1:31" ht="30" customHeight="1">
      <c r="A7" s="165">
        <v>6</v>
      </c>
      <c r="B7" s="79" t="s">
        <v>87</v>
      </c>
      <c r="C7" s="102">
        <v>45903</v>
      </c>
      <c r="D7" s="102">
        <v>45930</v>
      </c>
      <c r="E7" s="167" t="s">
        <v>756</v>
      </c>
      <c r="F7" s="114" t="s">
        <v>757</v>
      </c>
      <c r="G7" s="165">
        <v>49657</v>
      </c>
      <c r="H7" s="177" t="s">
        <v>758</v>
      </c>
      <c r="I7" s="252" t="s">
        <v>358</v>
      </c>
      <c r="J7" s="250">
        <v>13</v>
      </c>
      <c r="K7" s="100">
        <f t="shared" si="0"/>
        <v>7.5</v>
      </c>
      <c r="L7" s="190">
        <v>30</v>
      </c>
      <c r="M7" s="181">
        <v>45903</v>
      </c>
      <c r="N7" s="248">
        <v>45925</v>
      </c>
      <c r="O7" s="78" t="s">
        <v>335</v>
      </c>
      <c r="P7" s="78" t="s">
        <v>47</v>
      </c>
      <c r="Q7" s="78" t="s">
        <v>400</v>
      </c>
      <c r="R7" s="103" t="s">
        <v>47</v>
      </c>
      <c r="S7" s="103" t="s">
        <v>400</v>
      </c>
      <c r="T7" s="22" t="s">
        <v>759</v>
      </c>
      <c r="U7" s="198">
        <v>45911</v>
      </c>
      <c r="V7" s="181">
        <v>45925</v>
      </c>
      <c r="W7" s="197" t="s">
        <v>344</v>
      </c>
      <c r="X7" s="100" t="s">
        <v>345</v>
      </c>
      <c r="Y7" s="100" t="s">
        <v>344</v>
      </c>
      <c r="Z7" s="181">
        <v>45925</v>
      </c>
      <c r="AA7" s="49" t="s">
        <v>400</v>
      </c>
      <c r="AB7" s="78" t="s">
        <v>760</v>
      </c>
      <c r="AC7" s="49" t="s">
        <v>400</v>
      </c>
      <c r="AD7" s="258"/>
      <c r="AE7" s="12" t="s">
        <v>340</v>
      </c>
    </row>
    <row r="8" spans="1:31" ht="30" customHeight="1">
      <c r="A8" s="165">
        <v>7</v>
      </c>
      <c r="B8" s="79" t="s">
        <v>87</v>
      </c>
      <c r="C8" s="102">
        <v>45903</v>
      </c>
      <c r="D8" s="102">
        <v>45930</v>
      </c>
      <c r="E8" s="167" t="s">
        <v>756</v>
      </c>
      <c r="F8" s="114" t="s">
        <v>47</v>
      </c>
      <c r="G8" s="165">
        <v>49922</v>
      </c>
      <c r="H8" s="177" t="s">
        <v>761</v>
      </c>
      <c r="I8" s="252" t="s">
        <v>358</v>
      </c>
      <c r="J8" s="250">
        <v>5</v>
      </c>
      <c r="K8" s="100">
        <f t="shared" ref="K8:K17" si="1">L8/4</f>
        <v>3.75</v>
      </c>
      <c r="L8" s="190">
        <v>15</v>
      </c>
      <c r="M8" s="181">
        <v>45902</v>
      </c>
      <c r="N8" s="248">
        <v>45905</v>
      </c>
      <c r="O8" s="78" t="s">
        <v>335</v>
      </c>
      <c r="P8" s="103" t="s">
        <v>47</v>
      </c>
      <c r="Q8" s="78" t="s">
        <v>400</v>
      </c>
      <c r="R8" s="78" t="s">
        <v>40</v>
      </c>
      <c r="S8" s="103" t="s">
        <v>400</v>
      </c>
      <c r="T8" s="22" t="s">
        <v>762</v>
      </c>
      <c r="U8" s="198">
        <v>45905</v>
      </c>
      <c r="V8" s="181">
        <v>45905</v>
      </c>
      <c r="W8" s="100" t="s">
        <v>344</v>
      </c>
      <c r="X8" s="100" t="s">
        <v>345</v>
      </c>
      <c r="Y8" s="100" t="s">
        <v>344</v>
      </c>
      <c r="Z8" s="181">
        <v>45905</v>
      </c>
      <c r="AA8" s="49" t="s">
        <v>400</v>
      </c>
      <c r="AB8" s="78" t="s">
        <v>400</v>
      </c>
      <c r="AC8" s="114" t="s">
        <v>400</v>
      </c>
      <c r="AD8" s="258"/>
      <c r="AE8" s="12" t="s">
        <v>340</v>
      </c>
    </row>
    <row r="9" spans="1:31" ht="30" customHeight="1">
      <c r="A9" s="165">
        <v>8</v>
      </c>
      <c r="B9" s="79" t="s">
        <v>87</v>
      </c>
      <c r="C9" s="102">
        <v>45903</v>
      </c>
      <c r="D9" s="102">
        <v>45930</v>
      </c>
      <c r="E9" s="167" t="s">
        <v>756</v>
      </c>
      <c r="F9" s="114" t="s">
        <v>40</v>
      </c>
      <c r="G9" s="165">
        <v>49960</v>
      </c>
      <c r="H9" s="177" t="s">
        <v>763</v>
      </c>
      <c r="I9" s="256" t="s">
        <v>358</v>
      </c>
      <c r="J9" s="250">
        <v>5</v>
      </c>
      <c r="K9" s="100">
        <f t="shared" si="1"/>
        <v>3</v>
      </c>
      <c r="L9" s="190">
        <v>12</v>
      </c>
      <c r="M9" s="181">
        <v>45909</v>
      </c>
      <c r="N9" s="248">
        <v>45918</v>
      </c>
      <c r="O9" s="78" t="s">
        <v>335</v>
      </c>
      <c r="P9" s="78" t="s">
        <v>40</v>
      </c>
      <c r="Q9" s="78" t="s">
        <v>400</v>
      </c>
      <c r="R9" s="103" t="s">
        <v>47</v>
      </c>
      <c r="S9" s="103" t="s">
        <v>400</v>
      </c>
      <c r="T9" s="22" t="s">
        <v>764</v>
      </c>
      <c r="U9" s="248">
        <v>45918</v>
      </c>
      <c r="V9" s="248">
        <v>45918</v>
      </c>
      <c r="W9" s="100" t="s">
        <v>344</v>
      </c>
      <c r="X9" s="100" t="s">
        <v>345</v>
      </c>
      <c r="Y9" s="100" t="s">
        <v>344</v>
      </c>
      <c r="Z9" s="248">
        <v>45918</v>
      </c>
      <c r="AA9" s="49" t="s">
        <v>400</v>
      </c>
      <c r="AB9" s="78" t="s">
        <v>400</v>
      </c>
      <c r="AC9" s="114" t="s">
        <v>400</v>
      </c>
      <c r="AD9" s="258"/>
      <c r="AE9" s="12" t="s">
        <v>340</v>
      </c>
    </row>
    <row r="10" spans="1:31" ht="30" customHeight="1">
      <c r="A10" s="165">
        <v>9</v>
      </c>
      <c r="B10" s="79" t="s">
        <v>87</v>
      </c>
      <c r="C10" s="102">
        <v>45903</v>
      </c>
      <c r="D10" s="102">
        <v>45930</v>
      </c>
      <c r="E10" s="167" t="s">
        <v>756</v>
      </c>
      <c r="F10" s="114" t="s">
        <v>40</v>
      </c>
      <c r="G10" s="165">
        <v>49847</v>
      </c>
      <c r="H10" s="177" t="s">
        <v>765</v>
      </c>
      <c r="I10" s="263" t="s">
        <v>358</v>
      </c>
      <c r="J10" s="250">
        <v>8</v>
      </c>
      <c r="K10" s="100">
        <f t="shared" si="1"/>
        <v>7.5</v>
      </c>
      <c r="L10" s="190">
        <v>30</v>
      </c>
      <c r="M10" s="181">
        <v>45912</v>
      </c>
      <c r="N10" s="248">
        <v>45923</v>
      </c>
      <c r="O10" s="78" t="s">
        <v>335</v>
      </c>
      <c r="P10" s="78" t="s">
        <v>40</v>
      </c>
      <c r="Q10" s="78" t="s">
        <v>400</v>
      </c>
      <c r="R10" s="103" t="s">
        <v>47</v>
      </c>
      <c r="S10" s="103" t="s">
        <v>400</v>
      </c>
      <c r="T10" s="22" t="s">
        <v>766</v>
      </c>
      <c r="U10" s="253">
        <v>45922</v>
      </c>
      <c r="V10" s="248">
        <v>45923</v>
      </c>
      <c r="W10" s="100" t="s">
        <v>344</v>
      </c>
      <c r="X10" s="100" t="s">
        <v>345</v>
      </c>
      <c r="Y10" s="100" t="s">
        <v>344</v>
      </c>
      <c r="Z10" s="248">
        <v>45923</v>
      </c>
      <c r="AA10" s="49" t="s">
        <v>400</v>
      </c>
      <c r="AB10" s="78" t="s">
        <v>767</v>
      </c>
      <c r="AC10" s="114" t="s">
        <v>400</v>
      </c>
      <c r="AD10" s="258"/>
      <c r="AE10" s="12" t="s">
        <v>340</v>
      </c>
    </row>
    <row r="11" spans="1:31" ht="30" customHeight="1">
      <c r="A11" s="165">
        <v>10</v>
      </c>
      <c r="B11" s="79" t="s">
        <v>87</v>
      </c>
      <c r="C11" s="102">
        <v>45903</v>
      </c>
      <c r="D11" s="102">
        <v>45930</v>
      </c>
      <c r="E11" s="167" t="s">
        <v>756</v>
      </c>
      <c r="F11" s="114" t="s">
        <v>49</v>
      </c>
      <c r="G11" s="165">
        <v>50000</v>
      </c>
      <c r="H11" s="177" t="s">
        <v>768</v>
      </c>
      <c r="I11" s="263" t="s">
        <v>358</v>
      </c>
      <c r="J11" s="250">
        <v>5</v>
      </c>
      <c r="K11" s="100">
        <f t="shared" si="1"/>
        <v>2.5</v>
      </c>
      <c r="L11" s="190">
        <v>10</v>
      </c>
      <c r="M11" s="176">
        <v>45915</v>
      </c>
      <c r="N11" s="176">
        <v>45916</v>
      </c>
      <c r="O11" s="78" t="s">
        <v>335</v>
      </c>
      <c r="P11" s="78" t="s">
        <v>49</v>
      </c>
      <c r="Q11" s="78" t="s">
        <v>400</v>
      </c>
      <c r="R11" s="78" t="s">
        <v>40</v>
      </c>
      <c r="S11" s="78" t="s">
        <v>400</v>
      </c>
      <c r="T11" s="132" t="s">
        <v>755</v>
      </c>
      <c r="U11" s="176">
        <v>45915</v>
      </c>
      <c r="V11" s="176">
        <v>45917</v>
      </c>
      <c r="W11" s="100" t="s">
        <v>344</v>
      </c>
      <c r="X11" s="100" t="s">
        <v>345</v>
      </c>
      <c r="Y11" s="100" t="s">
        <v>344</v>
      </c>
      <c r="Z11" s="176">
        <v>45917</v>
      </c>
      <c r="AA11" s="49" t="s">
        <v>400</v>
      </c>
      <c r="AB11" s="78" t="s">
        <v>400</v>
      </c>
      <c r="AC11" s="114" t="s">
        <v>400</v>
      </c>
      <c r="AD11" s="259"/>
      <c r="AE11" s="12" t="s">
        <v>340</v>
      </c>
    </row>
    <row r="12" spans="1:31" ht="30" customHeight="1">
      <c r="A12" s="165">
        <v>11</v>
      </c>
      <c r="B12" s="79" t="s">
        <v>87</v>
      </c>
      <c r="C12" s="102">
        <v>45903</v>
      </c>
      <c r="D12" s="102">
        <v>45930</v>
      </c>
      <c r="E12" s="167" t="s">
        <v>756</v>
      </c>
      <c r="F12" s="114" t="s">
        <v>49</v>
      </c>
      <c r="G12" s="165">
        <v>50004</v>
      </c>
      <c r="H12" s="177" t="s">
        <v>769</v>
      </c>
      <c r="I12" s="263" t="s">
        <v>358</v>
      </c>
      <c r="J12" s="250">
        <v>13</v>
      </c>
      <c r="K12" s="100">
        <f t="shared" si="1"/>
        <v>12</v>
      </c>
      <c r="L12" s="190">
        <v>48</v>
      </c>
      <c r="M12" s="176">
        <v>45917</v>
      </c>
      <c r="N12" s="248">
        <v>45925</v>
      </c>
      <c r="O12" s="78" t="s">
        <v>335</v>
      </c>
      <c r="P12" s="78" t="s">
        <v>49</v>
      </c>
      <c r="Q12" s="78" t="s">
        <v>400</v>
      </c>
      <c r="R12" s="78" t="s">
        <v>40</v>
      </c>
      <c r="S12" s="78" t="s">
        <v>400</v>
      </c>
      <c r="T12" s="132" t="s">
        <v>755</v>
      </c>
      <c r="U12" s="196">
        <v>45922</v>
      </c>
      <c r="V12" s="176">
        <v>45925</v>
      </c>
      <c r="W12" s="100" t="s">
        <v>344</v>
      </c>
      <c r="X12" s="100" t="s">
        <v>345</v>
      </c>
      <c r="Y12" s="100" t="s">
        <v>344</v>
      </c>
      <c r="Z12" s="176">
        <v>45925</v>
      </c>
      <c r="AA12" s="49" t="s">
        <v>400</v>
      </c>
      <c r="AB12" s="78" t="s">
        <v>400</v>
      </c>
      <c r="AC12" s="114" t="s">
        <v>400</v>
      </c>
      <c r="AD12" s="259" t="s">
        <v>770</v>
      </c>
      <c r="AE12" s="12" t="s">
        <v>340</v>
      </c>
    </row>
    <row r="13" spans="1:31" ht="30" customHeight="1">
      <c r="A13" s="169">
        <v>12</v>
      </c>
      <c r="B13" s="104" t="s">
        <v>87</v>
      </c>
      <c r="C13" s="105">
        <v>45903</v>
      </c>
      <c r="D13" s="105">
        <v>45930</v>
      </c>
      <c r="E13" s="170" t="s">
        <v>756</v>
      </c>
      <c r="F13" s="149" t="s">
        <v>49</v>
      </c>
      <c r="G13" s="169">
        <v>49957</v>
      </c>
      <c r="H13" s="178" t="s">
        <v>771</v>
      </c>
      <c r="I13" s="256" t="s">
        <v>358</v>
      </c>
      <c r="J13" s="255">
        <v>3</v>
      </c>
      <c r="K13" s="100">
        <f t="shared" si="1"/>
        <v>1.5</v>
      </c>
      <c r="L13" s="191">
        <v>6</v>
      </c>
      <c r="M13" s="181">
        <v>45918</v>
      </c>
      <c r="N13" s="181">
        <v>45919</v>
      </c>
      <c r="O13" s="78" t="s">
        <v>335</v>
      </c>
      <c r="P13" s="78" t="s">
        <v>49</v>
      </c>
      <c r="Q13" s="78" t="s">
        <v>400</v>
      </c>
      <c r="R13" s="78" t="s">
        <v>40</v>
      </c>
      <c r="S13" s="78" t="s">
        <v>400</v>
      </c>
      <c r="T13" s="152" t="s">
        <v>772</v>
      </c>
      <c r="U13" s="181">
        <v>45919</v>
      </c>
      <c r="V13" s="181">
        <v>45919</v>
      </c>
      <c r="W13" s="100" t="s">
        <v>344</v>
      </c>
      <c r="X13" s="100" t="s">
        <v>345</v>
      </c>
      <c r="Y13" s="100" t="s">
        <v>344</v>
      </c>
      <c r="Z13" s="181">
        <v>45919</v>
      </c>
      <c r="AA13" s="49" t="s">
        <v>400</v>
      </c>
      <c r="AB13" s="78" t="s">
        <v>400</v>
      </c>
      <c r="AC13" s="114" t="s">
        <v>400</v>
      </c>
      <c r="AD13" s="258"/>
      <c r="AE13" s="12" t="s">
        <v>340</v>
      </c>
    </row>
    <row r="14" spans="1:31" ht="30" customHeight="1">
      <c r="A14" s="165">
        <v>13</v>
      </c>
      <c r="B14" s="79" t="s">
        <v>87</v>
      </c>
      <c r="C14" s="102">
        <v>45903</v>
      </c>
      <c r="D14" s="102">
        <v>45930</v>
      </c>
      <c r="E14" s="167" t="s">
        <v>756</v>
      </c>
      <c r="F14" s="114" t="s">
        <v>336</v>
      </c>
      <c r="G14" s="165">
        <v>50122</v>
      </c>
      <c r="H14" s="164" t="s">
        <v>773</v>
      </c>
      <c r="I14" s="256" t="s">
        <v>358</v>
      </c>
      <c r="J14" s="190">
        <v>5</v>
      </c>
      <c r="K14" s="100">
        <f t="shared" si="1"/>
        <v>4.25</v>
      </c>
      <c r="L14" s="114">
        <v>17</v>
      </c>
      <c r="M14" s="176">
        <v>45918</v>
      </c>
      <c r="N14" s="176">
        <v>45923</v>
      </c>
      <c r="O14" s="78" t="s">
        <v>335</v>
      </c>
      <c r="P14" s="78" t="s">
        <v>49</v>
      </c>
      <c r="Q14" s="78" t="s">
        <v>400</v>
      </c>
      <c r="R14" s="78" t="s">
        <v>40</v>
      </c>
      <c r="S14" s="78" t="s">
        <v>400</v>
      </c>
      <c r="T14" s="132" t="s">
        <v>774</v>
      </c>
      <c r="U14" s="176">
        <v>45923</v>
      </c>
      <c r="V14" s="176">
        <v>45923</v>
      </c>
      <c r="W14" s="100" t="s">
        <v>344</v>
      </c>
      <c r="X14" s="100" t="s">
        <v>345</v>
      </c>
      <c r="Y14" s="100" t="s">
        <v>344</v>
      </c>
      <c r="Z14" s="176">
        <v>45923</v>
      </c>
      <c r="AA14" s="49" t="s">
        <v>400</v>
      </c>
      <c r="AB14" s="78" t="s">
        <v>400</v>
      </c>
      <c r="AC14" s="114" t="s">
        <v>400</v>
      </c>
      <c r="AD14" s="12"/>
      <c r="AE14" s="12" t="s">
        <v>340</v>
      </c>
    </row>
    <row r="15" spans="1:31" ht="36.75" customHeight="1">
      <c r="A15" s="165">
        <v>14</v>
      </c>
      <c r="B15" s="79" t="s">
        <v>87</v>
      </c>
      <c r="C15" s="102">
        <v>45903</v>
      </c>
      <c r="D15" s="102">
        <v>45930</v>
      </c>
      <c r="E15" s="167" t="s">
        <v>756</v>
      </c>
      <c r="F15" s="114" t="s">
        <v>40</v>
      </c>
      <c r="G15" s="165">
        <v>50202</v>
      </c>
      <c r="H15" s="177" t="s">
        <v>775</v>
      </c>
      <c r="I15" s="256" t="s">
        <v>358</v>
      </c>
      <c r="J15" s="261">
        <v>5</v>
      </c>
      <c r="K15" s="100">
        <f t="shared" si="1"/>
        <v>3</v>
      </c>
      <c r="L15" s="114">
        <v>12</v>
      </c>
      <c r="M15" s="176">
        <v>45924</v>
      </c>
      <c r="N15" s="176">
        <v>45924</v>
      </c>
      <c r="O15" s="78" t="s">
        <v>335</v>
      </c>
      <c r="P15" s="78" t="s">
        <v>40</v>
      </c>
      <c r="Q15" s="78" t="s">
        <v>400</v>
      </c>
      <c r="R15" s="103" t="s">
        <v>47</v>
      </c>
      <c r="S15" s="103" t="s">
        <v>400</v>
      </c>
      <c r="T15" s="132" t="s">
        <v>776</v>
      </c>
      <c r="U15" s="176">
        <v>45924</v>
      </c>
      <c r="V15" s="176">
        <v>45924</v>
      </c>
      <c r="W15" s="100" t="s">
        <v>344</v>
      </c>
      <c r="X15" s="100" t="s">
        <v>345</v>
      </c>
      <c r="Y15" s="100" t="s">
        <v>344</v>
      </c>
      <c r="Z15" s="176">
        <v>45924</v>
      </c>
      <c r="AA15" s="49" t="s">
        <v>400</v>
      </c>
      <c r="AB15" s="78" t="s">
        <v>400</v>
      </c>
      <c r="AC15" s="114" t="s">
        <v>400</v>
      </c>
      <c r="AD15" s="12"/>
      <c r="AE15" s="12" t="s">
        <v>340</v>
      </c>
    </row>
    <row r="16" spans="1:31" ht="46.5" customHeight="1">
      <c r="A16" s="169">
        <v>15</v>
      </c>
      <c r="B16" s="79" t="s">
        <v>87</v>
      </c>
      <c r="C16" s="102">
        <v>45903</v>
      </c>
      <c r="D16" s="102">
        <v>45930</v>
      </c>
      <c r="E16" s="167" t="s">
        <v>756</v>
      </c>
      <c r="F16" s="114" t="s">
        <v>336</v>
      </c>
      <c r="G16" s="165">
        <v>50164</v>
      </c>
      <c r="H16" s="14" t="s">
        <v>777</v>
      </c>
      <c r="I16" s="256" t="s">
        <v>358</v>
      </c>
      <c r="J16" s="261">
        <v>5</v>
      </c>
      <c r="K16" s="100">
        <f t="shared" si="1"/>
        <v>4</v>
      </c>
      <c r="L16" s="114">
        <v>16</v>
      </c>
      <c r="M16" s="176">
        <v>45924</v>
      </c>
      <c r="N16" s="176">
        <v>45929</v>
      </c>
      <c r="O16" s="78" t="s">
        <v>335</v>
      </c>
      <c r="P16" s="78" t="s">
        <v>49</v>
      </c>
      <c r="Q16" s="78" t="s">
        <v>400</v>
      </c>
      <c r="R16" s="78" t="s">
        <v>40</v>
      </c>
      <c r="S16" s="78" t="s">
        <v>400</v>
      </c>
      <c r="T16" s="22" t="s">
        <v>778</v>
      </c>
      <c r="U16" s="176">
        <v>45929</v>
      </c>
      <c r="V16" s="176">
        <v>45929</v>
      </c>
      <c r="W16" s="100" t="s">
        <v>344</v>
      </c>
      <c r="X16" s="100" t="s">
        <v>345</v>
      </c>
      <c r="Y16" s="100" t="s">
        <v>344</v>
      </c>
      <c r="Z16" s="176">
        <v>45929</v>
      </c>
      <c r="AA16" s="49" t="s">
        <v>400</v>
      </c>
      <c r="AB16" s="78" t="s">
        <v>400</v>
      </c>
      <c r="AC16" s="114" t="s">
        <v>400</v>
      </c>
      <c r="AD16" s="19"/>
      <c r="AE16" s="12" t="s">
        <v>340</v>
      </c>
    </row>
    <row r="17" spans="1:31" ht="30" customHeight="1">
      <c r="A17" s="169">
        <v>16</v>
      </c>
      <c r="B17" s="104" t="s">
        <v>87</v>
      </c>
      <c r="C17" s="105">
        <v>45903</v>
      </c>
      <c r="D17" s="105">
        <v>45930</v>
      </c>
      <c r="E17" s="170" t="s">
        <v>756</v>
      </c>
      <c r="F17" s="149" t="s">
        <v>37</v>
      </c>
      <c r="G17" s="169" t="s">
        <v>779</v>
      </c>
      <c r="H17" s="178" t="s">
        <v>780</v>
      </c>
      <c r="I17" s="256" t="s">
        <v>358</v>
      </c>
      <c r="J17" s="262">
        <v>13</v>
      </c>
      <c r="K17" s="100">
        <f t="shared" si="1"/>
        <v>1.25</v>
      </c>
      <c r="L17" s="149">
        <v>5</v>
      </c>
      <c r="M17" s="19"/>
      <c r="N17" s="19"/>
      <c r="O17" s="19"/>
      <c r="P17" s="19"/>
      <c r="Q17" s="19"/>
      <c r="R17" s="19"/>
      <c r="S17" s="19"/>
      <c r="T17" s="22" t="s">
        <v>781</v>
      </c>
      <c r="U17" s="19"/>
      <c r="V17" s="19"/>
      <c r="W17" s="19"/>
      <c r="X17" s="19"/>
      <c r="Y17" s="19"/>
      <c r="Z17" s="19"/>
      <c r="AA17" s="19"/>
      <c r="AB17" s="19"/>
      <c r="AC17" s="19"/>
      <c r="AD17" s="19"/>
      <c r="AE17" s="19"/>
    </row>
    <row r="18" spans="1:31" s="12" customFormat="1" ht="30" customHeight="1">
      <c r="A18" s="169"/>
    </row>
  </sheetData>
  <dataValidations count="1">
    <dataValidation type="list" allowBlank="1" showInputMessage="1" showErrorMessage="1" sqref="AE2:AE16" xr:uid="{AB78CC5E-F3C1-4E0D-A077-953A6BC756C3}">
      <formula1>"Exceeds Expectation, Meets Expectation, Needs Improvement"</formula1>
    </dataValidation>
  </dataValidations>
  <hyperlinks>
    <hyperlink ref="T4" r:id="rId1" xr:uid="{D60F793F-C7B7-4E5B-8B2C-83DCA6474230}"/>
    <hyperlink ref="T2" r:id="rId2" xr:uid="{603DB207-86FC-4005-9FFA-427275848F02}"/>
    <hyperlink ref="T3" r:id="rId3" xr:uid="{D289E3B1-55A3-4C39-BA9F-57D707D9D727}"/>
    <hyperlink ref="T8" r:id="rId4" xr:uid="{C2F41D0C-6F3F-4F50-823E-AE3A7DE1E8E0}"/>
    <hyperlink ref="T5" r:id="rId5" xr:uid="{4647CB9D-A648-4820-B32E-DB748CF7AB2D}"/>
    <hyperlink ref="T9" r:id="rId6" xr:uid="{B87F39EB-4CFD-4CF7-B272-8F2E6CE0B86A}"/>
    <hyperlink ref="T7" r:id="rId7" xr:uid="{E78953B7-31DE-4442-B893-BD0E087618DF}"/>
    <hyperlink ref="T11" r:id="rId8" xr:uid="{3BF07F2C-ED50-4AE6-8488-3229AEA9D3BE}"/>
    <hyperlink ref="T12" r:id="rId9" xr:uid="{34ED91A9-5EC1-4942-8936-FB4247200DE0}"/>
    <hyperlink ref="T10" r:id="rId10" xr:uid="{06F16AE1-66F9-4F45-9CDB-888781C472AA}"/>
    <hyperlink ref="T14" r:id="rId11" xr:uid="{0F120E8C-4CAE-45BA-ABD6-88503E583CDC}"/>
    <hyperlink ref="T15" r:id="rId12" xr:uid="{A7388207-97B4-4F40-A105-E754F0B4D1A4}"/>
    <hyperlink ref="T6" r:id="rId13" xr:uid="{09EFE7B0-37FE-4ABD-9D03-2E2415129B0F}"/>
    <hyperlink ref="T13" r:id="rId14" xr:uid="{D4E076C3-CA84-403C-A27B-5A06BCCCF6EF}"/>
    <hyperlink ref="T16" r:id="rId15" xr:uid="{2C78E57F-05AA-4470-B215-9A036DEF083F}"/>
    <hyperlink ref="T17" r:id="rId16" xr:uid="{B4E85358-764F-4106-83F3-A5E0160EFF4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48A9773-5FBC-4314-A21C-E6CF09DD08E6}">
          <x14:formula1>
            <xm:f>Settings!$C$3:$C$20</xm:f>
          </x14:formula1>
          <xm:sqref>I2:I17</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02420-9E1A-4094-A09F-09808D4BFD36}">
  <dimension ref="A1:O7"/>
  <sheetViews>
    <sheetView workbookViewId="0">
      <selection activeCell="J5" sqref="J5"/>
    </sheetView>
  </sheetViews>
  <sheetFormatPr defaultRowHeight="12.75"/>
  <cols>
    <col min="1" max="1" width="29" customWidth="1"/>
    <col min="6" max="6" width="38" customWidth="1"/>
    <col min="10" max="10" width="18.140625" customWidth="1"/>
    <col min="11" max="11" width="11.42578125" customWidth="1"/>
    <col min="12" max="12" width="10.140625" customWidth="1"/>
    <col min="13" max="13" width="11.42578125" customWidth="1"/>
    <col min="14" max="14" width="19.28515625" customWidth="1"/>
  </cols>
  <sheetData>
    <row r="1" spans="1:15" ht="27">
      <c r="A1" s="23" t="s">
        <v>74</v>
      </c>
      <c r="B1" s="172" t="s">
        <v>75</v>
      </c>
      <c r="C1" s="172" t="s">
        <v>76</v>
      </c>
      <c r="D1" s="23" t="s">
        <v>2</v>
      </c>
      <c r="E1" s="172" t="s">
        <v>77</v>
      </c>
      <c r="F1" s="172" t="s">
        <v>78</v>
      </c>
      <c r="G1" s="23" t="s">
        <v>79</v>
      </c>
      <c r="H1" s="23" t="s">
        <v>80</v>
      </c>
      <c r="I1" s="23" t="s">
        <v>81</v>
      </c>
      <c r="J1" s="23" t="s">
        <v>4</v>
      </c>
      <c r="K1" s="45" t="s">
        <v>312</v>
      </c>
      <c r="L1" s="45" t="s">
        <v>313</v>
      </c>
      <c r="M1" s="45" t="s">
        <v>314</v>
      </c>
      <c r="N1" s="173" t="s">
        <v>82</v>
      </c>
      <c r="O1" s="174" t="s">
        <v>5</v>
      </c>
    </row>
    <row r="2" spans="1:15" ht="36.75" customHeight="1">
      <c r="A2" s="167" t="s">
        <v>756</v>
      </c>
      <c r="B2" s="167">
        <v>25851</v>
      </c>
      <c r="C2" s="165">
        <v>49464</v>
      </c>
      <c r="D2" s="49" t="s">
        <v>40</v>
      </c>
      <c r="E2" s="24" t="s">
        <v>394</v>
      </c>
      <c r="F2" s="251" t="s">
        <v>672</v>
      </c>
      <c r="G2" s="24" t="s">
        <v>473</v>
      </c>
      <c r="H2" s="24" t="s">
        <v>353</v>
      </c>
      <c r="I2" s="24" t="s">
        <v>354</v>
      </c>
      <c r="J2" s="80" t="s">
        <v>355</v>
      </c>
      <c r="K2" s="164">
        <v>3</v>
      </c>
      <c r="L2" s="164">
        <f>M2/4</f>
        <v>3</v>
      </c>
      <c r="M2" s="164">
        <v>12</v>
      </c>
      <c r="N2" s="24" t="s">
        <v>431</v>
      </c>
      <c r="O2" s="14"/>
    </row>
    <row r="3" spans="1:15" ht="46.5">
      <c r="A3" s="167" t="s">
        <v>756</v>
      </c>
      <c r="B3" s="167">
        <v>25852</v>
      </c>
      <c r="C3" s="165">
        <v>49708</v>
      </c>
      <c r="D3" s="49" t="s">
        <v>40</v>
      </c>
      <c r="E3" s="24" t="s">
        <v>394</v>
      </c>
      <c r="F3" s="114" t="s">
        <v>782</v>
      </c>
      <c r="G3" s="24" t="s">
        <v>473</v>
      </c>
      <c r="H3" s="24" t="s">
        <v>353</v>
      </c>
      <c r="I3" s="24" t="s">
        <v>354</v>
      </c>
      <c r="J3" s="257" t="s">
        <v>396</v>
      </c>
      <c r="K3" s="164">
        <v>3</v>
      </c>
      <c r="L3" s="164">
        <f>M3/4</f>
        <v>3</v>
      </c>
      <c r="M3" s="164">
        <v>12</v>
      </c>
      <c r="N3" s="24" t="s">
        <v>431</v>
      </c>
      <c r="O3" s="12"/>
    </row>
    <row r="4" spans="1:15" ht="23.25">
      <c r="A4" s="167" t="s">
        <v>756</v>
      </c>
      <c r="B4" s="167">
        <v>25925</v>
      </c>
      <c r="C4" s="165"/>
      <c r="D4" s="49" t="s">
        <v>40</v>
      </c>
      <c r="E4" s="24" t="s">
        <v>394</v>
      </c>
      <c r="F4" s="149" t="s">
        <v>736</v>
      </c>
      <c r="G4" s="24" t="s">
        <v>473</v>
      </c>
      <c r="H4" s="24" t="s">
        <v>353</v>
      </c>
      <c r="I4" s="24" t="s">
        <v>354</v>
      </c>
      <c r="J4" s="80" t="s">
        <v>654</v>
      </c>
      <c r="K4" s="164">
        <v>3</v>
      </c>
      <c r="L4" s="164">
        <f>M4/4</f>
        <v>1.5</v>
      </c>
      <c r="M4" s="164">
        <v>6</v>
      </c>
      <c r="N4" s="24" t="s">
        <v>431</v>
      </c>
      <c r="O4" s="12"/>
    </row>
    <row r="5" spans="1:15" ht="46.5">
      <c r="A5" s="170" t="s">
        <v>756</v>
      </c>
      <c r="B5" s="170">
        <v>25902</v>
      </c>
      <c r="C5" s="169"/>
      <c r="D5" s="69" t="s">
        <v>49</v>
      </c>
      <c r="E5" s="264" t="s">
        <v>394</v>
      </c>
      <c r="F5" s="150" t="s">
        <v>737</v>
      </c>
      <c r="G5" s="265" t="s">
        <v>473</v>
      </c>
      <c r="H5" s="266" t="s">
        <v>353</v>
      </c>
      <c r="I5" s="266" t="s">
        <v>354</v>
      </c>
      <c r="J5" s="266" t="s">
        <v>783</v>
      </c>
      <c r="K5" s="54">
        <v>3</v>
      </c>
      <c r="L5" s="54">
        <v>3</v>
      </c>
      <c r="M5" s="54">
        <v>12</v>
      </c>
      <c r="N5" s="266" t="s">
        <v>431</v>
      </c>
      <c r="O5" s="19"/>
    </row>
    <row r="6" spans="1:15" ht="46.5">
      <c r="A6" s="167" t="s">
        <v>756</v>
      </c>
      <c r="B6" s="167">
        <v>25935</v>
      </c>
      <c r="C6" s="167"/>
      <c r="D6" s="167" t="s">
        <v>40</v>
      </c>
      <c r="E6" s="167" t="s">
        <v>394</v>
      </c>
      <c r="F6" s="14" t="s">
        <v>784</v>
      </c>
      <c r="G6" s="24" t="s">
        <v>473</v>
      </c>
      <c r="H6" s="24" t="s">
        <v>353</v>
      </c>
      <c r="I6" s="24" t="s">
        <v>430</v>
      </c>
      <c r="J6" s="257" t="s">
        <v>396</v>
      </c>
      <c r="K6" s="164">
        <v>3</v>
      </c>
      <c r="L6" s="164">
        <v>1.5</v>
      </c>
      <c r="M6" s="164">
        <v>6</v>
      </c>
      <c r="N6" s="24" t="s">
        <v>431</v>
      </c>
      <c r="O6" s="12"/>
    </row>
    <row r="7" spans="1:15" ht="33" customHeight="1">
      <c r="A7" s="167" t="s">
        <v>756</v>
      </c>
      <c r="B7" s="167">
        <v>26039</v>
      </c>
      <c r="C7" s="12"/>
      <c r="D7" s="167" t="s">
        <v>40</v>
      </c>
      <c r="E7" s="167" t="s">
        <v>394</v>
      </c>
      <c r="F7" s="14" t="s">
        <v>738</v>
      </c>
      <c r="G7" s="24" t="s">
        <v>473</v>
      </c>
      <c r="H7" s="24" t="s">
        <v>353</v>
      </c>
      <c r="I7" s="24" t="s">
        <v>430</v>
      </c>
      <c r="J7" s="80" t="s">
        <v>355</v>
      </c>
      <c r="K7" s="164">
        <v>3</v>
      </c>
      <c r="L7" s="164">
        <v>1.5</v>
      </c>
      <c r="M7" s="164">
        <v>6</v>
      </c>
      <c r="N7" s="24" t="s">
        <v>431</v>
      </c>
      <c r="O7" s="12"/>
    </row>
  </sheetData>
  <dataValidations count="4">
    <dataValidation type="list" allowBlank="1" showErrorMessage="1" sqref="H2:H7" xr:uid="{F000BFC8-EB51-417A-B801-5A3A178B31FA}">
      <formula1>"Manual, Automation"</formula1>
    </dataValidation>
    <dataValidation type="list" allowBlank="1" showErrorMessage="1" sqref="E2:E4" xr:uid="{C79ED8B5-9A85-4402-9D64-1A7CF2F22D6B}">
      <formula1>"Bounceback,Defect,None"</formula1>
    </dataValidation>
    <dataValidation type="list" allowBlank="1" showErrorMessage="1" sqref="G2:G7" xr:uid="{3468504E-9C21-4177-945A-31769E8B6186}">
      <formula1>"Minor,Significant,Major"</formula1>
    </dataValidation>
    <dataValidation type="list" allowBlank="1" showErrorMessage="1" sqref="I2:I7" xr:uid="{CEBBF08B-CCB9-4A5B-A19E-2333B95DC2CB}">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5220A323-79F6-4734-8FDC-ECAED9F46886}">
          <x14:formula1>
            <xm:f>Settings!$C$3:$C$20</xm:f>
          </x14:formula1>
          <xm:sqref>J2:J7</xm:sqref>
        </x14:dataValidation>
        <x14:dataValidation type="list" allowBlank="1" showErrorMessage="1" xr:uid="{8FF93D8A-5896-4930-872C-B682DC710CDF}">
          <x14:formula1>
            <xm:f>Details!$A$2:$A$10</xm:f>
          </x14:formula1>
          <xm:sqref>N2:N7</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874F-4181-4FD5-B8D0-74B699D08FFB}">
  <dimension ref="A1:AE10"/>
  <sheetViews>
    <sheetView topLeftCell="G3" workbookViewId="0">
      <selection activeCell="G5" sqref="G5"/>
    </sheetView>
  </sheetViews>
  <sheetFormatPr defaultRowHeight="30" customHeight="1"/>
  <cols>
    <col min="1" max="1" width="4.7109375" bestFit="1" customWidth="1"/>
    <col min="5" max="5" width="19.28515625" customWidth="1"/>
    <col min="6" max="6" width="13.140625" customWidth="1"/>
    <col min="7" max="7" width="11" bestFit="1" customWidth="1"/>
    <col min="8" max="8" width="42.7109375" customWidth="1"/>
    <col min="9" max="9" width="23.5703125" customWidth="1"/>
    <col min="11" max="11" width="9" bestFit="1" customWidth="1"/>
    <col min="13" max="13" width="10" bestFit="1" customWidth="1"/>
    <col min="14" max="14" width="11.85546875" customWidth="1"/>
    <col min="19" max="19" width="13.5703125" customWidth="1"/>
    <col min="20" max="20" width="17.42578125" customWidth="1"/>
    <col min="21" max="21" width="10" bestFit="1" customWidth="1"/>
    <col min="22" max="22" width="12" customWidth="1"/>
    <col min="26" max="26" width="11.7109375" customWidth="1"/>
    <col min="30" max="30" width="24.5703125" customWidth="1"/>
    <col min="31" max="31" width="18.7109375" bestFit="1" customWidth="1"/>
  </cols>
  <sheetData>
    <row r="1" spans="1:31" ht="75.75" customHeight="1">
      <c r="A1" s="26" t="s">
        <v>73</v>
      </c>
      <c r="B1" s="26" t="s">
        <v>1</v>
      </c>
      <c r="C1" s="26" t="s">
        <v>85</v>
      </c>
      <c r="D1" s="26" t="s">
        <v>86</v>
      </c>
      <c r="E1" s="26" t="s">
        <v>310</v>
      </c>
      <c r="F1" s="26" t="s">
        <v>2</v>
      </c>
      <c r="G1" s="26" t="s">
        <v>311</v>
      </c>
      <c r="H1" s="157" t="s">
        <v>3</v>
      </c>
      <c r="I1" s="26" t="s">
        <v>4</v>
      </c>
      <c r="J1" s="26" t="s">
        <v>312</v>
      </c>
      <c r="K1" s="26" t="s">
        <v>313</v>
      </c>
      <c r="L1" s="26" t="s">
        <v>314</v>
      </c>
      <c r="M1" s="26" t="s">
        <v>315</v>
      </c>
      <c r="N1" s="26" t="s">
        <v>316</v>
      </c>
      <c r="O1" s="26" t="s">
        <v>317</v>
      </c>
      <c r="P1" s="26" t="s">
        <v>318</v>
      </c>
      <c r="Q1" s="26" t="s">
        <v>319</v>
      </c>
      <c r="R1" s="26" t="s">
        <v>320</v>
      </c>
      <c r="S1" s="26" t="s">
        <v>321</v>
      </c>
      <c r="T1" s="26" t="s">
        <v>322</v>
      </c>
      <c r="U1" s="26" t="s">
        <v>323</v>
      </c>
      <c r="V1" s="26" t="s">
        <v>324</v>
      </c>
      <c r="W1" s="26" t="s">
        <v>325</v>
      </c>
      <c r="X1" s="26" t="s">
        <v>326</v>
      </c>
      <c r="Y1" s="26" t="s">
        <v>327</v>
      </c>
      <c r="Z1" s="26" t="s">
        <v>328</v>
      </c>
      <c r="AA1" s="26" t="s">
        <v>329</v>
      </c>
      <c r="AB1" s="26" t="s">
        <v>330</v>
      </c>
      <c r="AC1" s="26" t="s">
        <v>331</v>
      </c>
      <c r="AD1" s="46" t="s">
        <v>5</v>
      </c>
      <c r="AE1" s="26" t="s">
        <v>332</v>
      </c>
    </row>
    <row r="2" spans="1:31" ht="30" customHeight="1">
      <c r="A2" s="165">
        <v>1</v>
      </c>
      <c r="B2" s="79" t="s">
        <v>87</v>
      </c>
      <c r="C2" s="102">
        <v>45889</v>
      </c>
      <c r="D2" s="102">
        <v>45902</v>
      </c>
      <c r="E2" s="167" t="s">
        <v>230</v>
      </c>
      <c r="F2" s="114" t="s">
        <v>40</v>
      </c>
      <c r="G2" s="165">
        <v>49464</v>
      </c>
      <c r="H2" s="164" t="s">
        <v>785</v>
      </c>
      <c r="I2" s="246" t="s">
        <v>358</v>
      </c>
      <c r="J2" s="114">
        <v>3</v>
      </c>
      <c r="K2" s="100">
        <f t="shared" ref="K2" si="0">L2/4</f>
        <v>3.75</v>
      </c>
      <c r="L2" s="190">
        <v>15</v>
      </c>
      <c r="M2" s="181">
        <v>45875</v>
      </c>
      <c r="N2" s="181">
        <v>45887</v>
      </c>
      <c r="O2" s="78" t="s">
        <v>335</v>
      </c>
      <c r="P2" s="78" t="s">
        <v>40</v>
      </c>
      <c r="Q2" s="78" t="s">
        <v>400</v>
      </c>
      <c r="R2" s="103" t="s">
        <v>47</v>
      </c>
      <c r="S2" s="103" t="s">
        <v>400</v>
      </c>
      <c r="T2" s="22" t="s">
        <v>786</v>
      </c>
      <c r="U2" s="181">
        <v>45895</v>
      </c>
      <c r="V2" s="181">
        <v>45895</v>
      </c>
      <c r="W2" s="100" t="s">
        <v>344</v>
      </c>
      <c r="X2" s="100" t="s">
        <v>345</v>
      </c>
      <c r="Y2" s="100" t="s">
        <v>462</v>
      </c>
      <c r="Z2" s="181">
        <v>45895</v>
      </c>
      <c r="AA2" s="49" t="s">
        <v>408</v>
      </c>
      <c r="AB2" s="78" t="s">
        <v>400</v>
      </c>
      <c r="AC2" s="114" t="s">
        <v>400</v>
      </c>
      <c r="AD2" s="19"/>
      <c r="AE2" s="19" t="s">
        <v>340</v>
      </c>
    </row>
    <row r="3" spans="1:31" ht="30" customHeight="1">
      <c r="A3" s="165">
        <v>2</v>
      </c>
      <c r="B3" s="79" t="s">
        <v>87</v>
      </c>
      <c r="C3" s="102">
        <v>45889</v>
      </c>
      <c r="D3" s="102">
        <v>45902</v>
      </c>
      <c r="E3" s="167" t="s">
        <v>230</v>
      </c>
      <c r="F3" s="114" t="s">
        <v>47</v>
      </c>
      <c r="G3" s="165">
        <v>49602</v>
      </c>
      <c r="H3" s="164" t="s">
        <v>787</v>
      </c>
      <c r="I3" s="246" t="s">
        <v>358</v>
      </c>
      <c r="J3" s="114">
        <v>13</v>
      </c>
      <c r="K3" s="100">
        <f>L3/4</f>
        <v>8.5</v>
      </c>
      <c r="L3" s="190">
        <v>34</v>
      </c>
      <c r="M3" s="181">
        <v>45880</v>
      </c>
      <c r="N3" s="181">
        <v>45895</v>
      </c>
      <c r="O3" s="78" t="s">
        <v>335</v>
      </c>
      <c r="P3" s="78" t="s">
        <v>47</v>
      </c>
      <c r="Q3" s="78" t="s">
        <v>400</v>
      </c>
      <c r="R3" s="103" t="s">
        <v>40</v>
      </c>
      <c r="S3" s="103" t="s">
        <v>400</v>
      </c>
      <c r="T3" s="22" t="s">
        <v>788</v>
      </c>
      <c r="U3" s="181">
        <v>45895</v>
      </c>
      <c r="V3" s="181">
        <v>45896</v>
      </c>
      <c r="W3" s="100" t="s">
        <v>344</v>
      </c>
      <c r="X3" s="100" t="s">
        <v>345</v>
      </c>
      <c r="Y3" s="100" t="s">
        <v>344</v>
      </c>
      <c r="Z3" s="181">
        <v>45896</v>
      </c>
      <c r="AA3" s="49" t="s">
        <v>408</v>
      </c>
      <c r="AB3" s="78" t="s">
        <v>400</v>
      </c>
      <c r="AC3" s="114" t="s">
        <v>400</v>
      </c>
      <c r="AD3" s="19"/>
      <c r="AE3" s="19" t="s">
        <v>340</v>
      </c>
    </row>
    <row r="4" spans="1:31" ht="30" customHeight="1">
      <c r="A4" s="165">
        <v>3</v>
      </c>
      <c r="B4" s="79" t="s">
        <v>87</v>
      </c>
      <c r="C4" s="102">
        <v>45889</v>
      </c>
      <c r="D4" s="102">
        <v>45902</v>
      </c>
      <c r="E4" s="167" t="s">
        <v>230</v>
      </c>
      <c r="F4" s="114" t="s">
        <v>49</v>
      </c>
      <c r="G4" s="165">
        <v>49653</v>
      </c>
      <c r="H4" s="164" t="s">
        <v>789</v>
      </c>
      <c r="I4" s="246" t="s">
        <v>358</v>
      </c>
      <c r="J4" s="114">
        <v>2</v>
      </c>
      <c r="K4" s="100">
        <f t="shared" ref="K4:K10" si="1">L4/4</f>
        <v>0.5</v>
      </c>
      <c r="L4" s="190">
        <v>2</v>
      </c>
      <c r="M4" s="181">
        <v>45883</v>
      </c>
      <c r="N4" s="181">
        <v>45888</v>
      </c>
      <c r="O4" s="78" t="s">
        <v>335</v>
      </c>
      <c r="P4" s="78" t="s">
        <v>49</v>
      </c>
      <c r="Q4" s="78" t="s">
        <v>400</v>
      </c>
      <c r="R4" s="100" t="s">
        <v>40</v>
      </c>
      <c r="S4" s="78" t="s">
        <v>400</v>
      </c>
      <c r="T4" s="22" t="s">
        <v>790</v>
      </c>
      <c r="U4" s="198">
        <v>45888</v>
      </c>
      <c r="V4" s="181">
        <v>45891</v>
      </c>
      <c r="W4" s="100" t="s">
        <v>344</v>
      </c>
      <c r="X4" s="100" t="s">
        <v>345</v>
      </c>
      <c r="Y4" s="100" t="s">
        <v>344</v>
      </c>
      <c r="Z4" s="181">
        <v>45891</v>
      </c>
      <c r="AA4" s="49" t="s">
        <v>408</v>
      </c>
      <c r="AB4" s="78" t="s">
        <v>400</v>
      </c>
      <c r="AC4" s="114" t="s">
        <v>400</v>
      </c>
      <c r="AD4" s="19"/>
      <c r="AE4" s="19" t="s">
        <v>340</v>
      </c>
    </row>
    <row r="5" spans="1:31" ht="30" customHeight="1">
      <c r="A5" s="165">
        <v>4</v>
      </c>
      <c r="B5" s="79" t="s">
        <v>87</v>
      </c>
      <c r="C5" s="102">
        <v>45889</v>
      </c>
      <c r="D5" s="102">
        <v>45902</v>
      </c>
      <c r="E5" s="167" t="s">
        <v>791</v>
      </c>
      <c r="F5" s="114" t="s">
        <v>49</v>
      </c>
      <c r="G5" s="165">
        <v>49704</v>
      </c>
      <c r="H5" s="164" t="s">
        <v>792</v>
      </c>
      <c r="I5" s="246" t="s">
        <v>358</v>
      </c>
      <c r="J5" s="114">
        <v>3</v>
      </c>
      <c r="K5" s="100">
        <f t="shared" si="1"/>
        <v>3</v>
      </c>
      <c r="L5" s="190">
        <v>12</v>
      </c>
      <c r="M5" s="181">
        <v>45889</v>
      </c>
      <c r="N5" s="181">
        <v>45897</v>
      </c>
      <c r="O5" s="78" t="s">
        <v>335</v>
      </c>
      <c r="P5" s="78" t="s">
        <v>49</v>
      </c>
      <c r="Q5" s="78" t="s">
        <v>400</v>
      </c>
      <c r="R5" s="100" t="s">
        <v>40</v>
      </c>
      <c r="S5" s="78" t="s">
        <v>400</v>
      </c>
      <c r="T5" s="22" t="s">
        <v>793</v>
      </c>
      <c r="U5" s="181">
        <v>45897</v>
      </c>
      <c r="V5" s="181">
        <v>45897</v>
      </c>
      <c r="W5" s="100" t="s">
        <v>344</v>
      </c>
      <c r="X5" s="100" t="s">
        <v>345</v>
      </c>
      <c r="Y5" s="100" t="s">
        <v>344</v>
      </c>
      <c r="Z5" s="181">
        <v>45897</v>
      </c>
      <c r="AA5" s="49" t="s">
        <v>408</v>
      </c>
      <c r="AB5" s="78" t="s">
        <v>400</v>
      </c>
      <c r="AC5" s="114" t="s">
        <v>400</v>
      </c>
      <c r="AD5" s="19"/>
      <c r="AE5" s="19"/>
    </row>
    <row r="6" spans="1:31" ht="30" customHeight="1">
      <c r="A6" s="165">
        <v>5</v>
      </c>
      <c r="B6" s="79" t="s">
        <v>87</v>
      </c>
      <c r="C6" s="102">
        <v>45889</v>
      </c>
      <c r="D6" s="102">
        <v>45902</v>
      </c>
      <c r="E6" s="167" t="s">
        <v>791</v>
      </c>
      <c r="F6" s="114" t="s">
        <v>40</v>
      </c>
      <c r="G6" s="165">
        <v>49708</v>
      </c>
      <c r="H6" s="164" t="s">
        <v>794</v>
      </c>
      <c r="I6" s="246" t="s">
        <v>358</v>
      </c>
      <c r="J6" s="114">
        <v>5</v>
      </c>
      <c r="K6" s="100">
        <f t="shared" si="1"/>
        <v>6</v>
      </c>
      <c r="L6" s="190">
        <v>24</v>
      </c>
      <c r="M6" s="181">
        <v>45889</v>
      </c>
      <c r="N6" s="181">
        <v>45895</v>
      </c>
      <c r="O6" s="78" t="s">
        <v>335</v>
      </c>
      <c r="P6" s="78" t="s">
        <v>40</v>
      </c>
      <c r="Q6" s="78" t="s">
        <v>400</v>
      </c>
      <c r="R6" s="103" t="s">
        <v>47</v>
      </c>
      <c r="S6" s="103" t="s">
        <v>400</v>
      </c>
      <c r="T6" s="22" t="s">
        <v>788</v>
      </c>
      <c r="U6" s="181">
        <v>45895</v>
      </c>
      <c r="V6" s="181">
        <v>45896</v>
      </c>
      <c r="W6" s="100" t="s">
        <v>344</v>
      </c>
      <c r="X6" s="100" t="s">
        <v>345</v>
      </c>
      <c r="Y6" s="100" t="s">
        <v>344</v>
      </c>
      <c r="Z6" s="181">
        <v>45896</v>
      </c>
      <c r="AA6" s="49" t="s">
        <v>408</v>
      </c>
      <c r="AB6" s="78" t="s">
        <v>400</v>
      </c>
      <c r="AC6" s="114" t="s">
        <v>400</v>
      </c>
      <c r="AD6" s="19"/>
      <c r="AE6" s="19" t="s">
        <v>340</v>
      </c>
    </row>
    <row r="7" spans="1:31" ht="30" customHeight="1">
      <c r="A7" s="165">
        <v>6</v>
      </c>
      <c r="B7" s="79" t="s">
        <v>87</v>
      </c>
      <c r="C7" s="102">
        <v>45889</v>
      </c>
      <c r="D7" s="102">
        <v>45902</v>
      </c>
      <c r="E7" s="167" t="s">
        <v>791</v>
      </c>
      <c r="F7" s="114" t="s">
        <v>49</v>
      </c>
      <c r="G7" s="165">
        <v>49684</v>
      </c>
      <c r="H7" s="164" t="s">
        <v>744</v>
      </c>
      <c r="I7" s="55" t="s">
        <v>334</v>
      </c>
      <c r="J7" s="114">
        <v>3</v>
      </c>
      <c r="K7" s="100">
        <f t="shared" si="1"/>
        <v>6</v>
      </c>
      <c r="L7" s="190">
        <v>24</v>
      </c>
      <c r="M7" s="181">
        <v>45891</v>
      </c>
      <c r="N7" s="181" t="s">
        <v>400</v>
      </c>
      <c r="O7" s="78" t="s">
        <v>335</v>
      </c>
      <c r="P7" s="78" t="s">
        <v>49</v>
      </c>
      <c r="Q7" s="78" t="s">
        <v>400</v>
      </c>
      <c r="R7" s="78" t="s">
        <v>40</v>
      </c>
      <c r="S7" s="78" t="s">
        <v>400</v>
      </c>
      <c r="T7" s="22" t="s">
        <v>745</v>
      </c>
      <c r="U7" s="198">
        <v>45897</v>
      </c>
      <c r="V7" s="198">
        <v>45897</v>
      </c>
      <c r="W7" s="100" t="s">
        <v>344</v>
      </c>
      <c r="X7" s="100" t="s">
        <v>345</v>
      </c>
      <c r="Y7" s="100" t="s">
        <v>344</v>
      </c>
      <c r="Z7" s="198">
        <v>45897</v>
      </c>
      <c r="AA7" s="49" t="s">
        <v>400</v>
      </c>
      <c r="AB7" s="78" t="s">
        <v>400</v>
      </c>
      <c r="AC7" s="114" t="s">
        <v>400</v>
      </c>
      <c r="AD7" s="19" t="s">
        <v>795</v>
      </c>
      <c r="AE7" s="19"/>
    </row>
    <row r="8" spans="1:31" ht="30" customHeight="1">
      <c r="A8" s="165">
        <v>7</v>
      </c>
      <c r="B8" s="79" t="s">
        <v>87</v>
      </c>
      <c r="C8" s="102">
        <v>45889</v>
      </c>
      <c r="D8" s="102">
        <v>45902</v>
      </c>
      <c r="E8" s="167" t="s">
        <v>791</v>
      </c>
      <c r="F8" s="114" t="s">
        <v>746</v>
      </c>
      <c r="G8" s="165">
        <v>49685</v>
      </c>
      <c r="H8" s="164" t="s">
        <v>747</v>
      </c>
      <c r="I8" s="177" t="s">
        <v>343</v>
      </c>
      <c r="J8" s="114">
        <v>5</v>
      </c>
      <c r="K8" s="100">
        <f t="shared" si="1"/>
        <v>4.5</v>
      </c>
      <c r="L8" s="190">
        <v>18</v>
      </c>
      <c r="M8" s="181">
        <v>45895</v>
      </c>
      <c r="N8" s="181">
        <v>45902</v>
      </c>
      <c r="O8" s="78" t="s">
        <v>335</v>
      </c>
      <c r="P8" s="78" t="s">
        <v>40</v>
      </c>
      <c r="Q8" s="78" t="s">
        <v>400</v>
      </c>
      <c r="R8" s="103" t="s">
        <v>47</v>
      </c>
      <c r="S8" s="103" t="s">
        <v>400</v>
      </c>
      <c r="T8" s="22" t="s">
        <v>748</v>
      </c>
      <c r="U8" s="181">
        <v>45902</v>
      </c>
      <c r="V8" s="181"/>
      <c r="W8" s="197"/>
      <c r="X8" s="100"/>
      <c r="Y8" s="100"/>
      <c r="Z8" s="181"/>
      <c r="AA8" s="49"/>
      <c r="AB8" s="78"/>
      <c r="AC8" s="49"/>
      <c r="AD8" s="19"/>
      <c r="AE8" s="19" t="s">
        <v>340</v>
      </c>
    </row>
    <row r="9" spans="1:31" ht="30" customHeight="1">
      <c r="A9" s="165">
        <v>8</v>
      </c>
      <c r="B9" s="79" t="s">
        <v>87</v>
      </c>
      <c r="C9" s="102">
        <v>45889</v>
      </c>
      <c r="D9" s="102">
        <v>45902</v>
      </c>
      <c r="E9" s="167" t="s">
        <v>791</v>
      </c>
      <c r="F9" s="114" t="s">
        <v>40</v>
      </c>
      <c r="G9" s="165">
        <v>49820</v>
      </c>
      <c r="H9" s="164" t="s">
        <v>749</v>
      </c>
      <c r="I9" s="177" t="s">
        <v>343</v>
      </c>
      <c r="J9" s="114">
        <v>5</v>
      </c>
      <c r="K9" s="100">
        <f t="shared" si="1"/>
        <v>4.5</v>
      </c>
      <c r="L9" s="190">
        <v>18</v>
      </c>
      <c r="M9" s="181">
        <v>45897</v>
      </c>
      <c r="N9" s="248">
        <v>45898</v>
      </c>
      <c r="O9" s="78" t="s">
        <v>335</v>
      </c>
      <c r="P9" s="78" t="s">
        <v>40</v>
      </c>
      <c r="Q9" s="78" t="s">
        <v>400</v>
      </c>
      <c r="R9" s="103" t="s">
        <v>47</v>
      </c>
      <c r="S9" s="103" t="s">
        <v>400</v>
      </c>
      <c r="T9" s="22" t="s">
        <v>750</v>
      </c>
      <c r="U9" s="198">
        <v>45898</v>
      </c>
      <c r="V9" s="181"/>
      <c r="W9" s="197"/>
      <c r="X9" s="100"/>
      <c r="Y9" s="100"/>
      <c r="Z9" s="181"/>
      <c r="AA9" s="49"/>
      <c r="AB9" s="78"/>
      <c r="AC9" s="49"/>
      <c r="AD9" s="19"/>
      <c r="AE9" s="19" t="s">
        <v>340</v>
      </c>
    </row>
    <row r="10" spans="1:31" ht="30" customHeight="1">
      <c r="A10" s="165">
        <v>9</v>
      </c>
      <c r="B10" s="79" t="s">
        <v>87</v>
      </c>
      <c r="C10" s="102">
        <v>45889</v>
      </c>
      <c r="D10" s="102">
        <v>45902</v>
      </c>
      <c r="E10" s="167" t="s">
        <v>791</v>
      </c>
      <c r="F10" s="114" t="s">
        <v>37</v>
      </c>
      <c r="G10" s="165">
        <v>49746</v>
      </c>
      <c r="H10" s="164" t="s">
        <v>796</v>
      </c>
      <c r="I10" s="177" t="s">
        <v>358</v>
      </c>
      <c r="J10" s="114">
        <v>13</v>
      </c>
      <c r="K10" s="100">
        <f t="shared" si="1"/>
        <v>3</v>
      </c>
      <c r="L10" s="190">
        <v>12</v>
      </c>
      <c r="M10" s="176"/>
      <c r="N10" s="247"/>
      <c r="O10" s="12"/>
      <c r="P10" s="12"/>
      <c r="Q10" s="12"/>
      <c r="R10" s="12"/>
      <c r="S10" s="12"/>
      <c r="T10" s="132" t="s">
        <v>797</v>
      </c>
      <c r="U10" s="196">
        <v>45902</v>
      </c>
      <c r="V10" s="176"/>
      <c r="W10" s="197"/>
      <c r="X10" s="100"/>
      <c r="Y10" s="12"/>
      <c r="Z10" s="12"/>
      <c r="AA10" s="12"/>
      <c r="AB10" s="12"/>
      <c r="AC10" s="12"/>
      <c r="AD10" s="12"/>
      <c r="AE10" s="12"/>
    </row>
  </sheetData>
  <dataValidations count="1">
    <dataValidation type="list" allowBlank="1" showInputMessage="1" showErrorMessage="1" sqref="AE2:AE9" xr:uid="{1E6458D4-524F-4299-82D8-7C43EA2CD754}">
      <formula1>"Exceeds Expectation, Meets Expectation, Needs Improvement"</formula1>
    </dataValidation>
  </dataValidations>
  <hyperlinks>
    <hyperlink ref="T2" r:id="rId1" xr:uid="{C64B32E6-281B-4E22-A3D2-FEE19F37A851}"/>
    <hyperlink ref="T4" r:id="rId2" xr:uid="{40134AA5-DFC2-4C0D-992C-86286B320F61}"/>
    <hyperlink ref="T3" r:id="rId3" xr:uid="{9B4A8408-1262-4A43-BB8C-98FC9537BD50}"/>
    <hyperlink ref="T6" r:id="rId4" xr:uid="{70852D66-CA16-4C61-AD76-71F37533BD61}"/>
    <hyperlink ref="T9" r:id="rId5" xr:uid="{F45E9E34-F8CF-49A0-B9FA-652F603615CA}"/>
    <hyperlink ref="T7" r:id="rId6" xr:uid="{6519D50F-1638-496C-AAD5-E4AE029019A0}"/>
    <hyperlink ref="T8" r:id="rId7" xr:uid="{08303E53-CABA-4E15-B00C-C96B406212D5}"/>
    <hyperlink ref="T10" r:id="rId8" xr:uid="{67F281EC-20DE-46B5-92AD-92DBEDC188D0}"/>
    <hyperlink ref="T5" r:id="rId9" xr:uid="{6B5D22B2-E114-46B5-AE88-2AD6102E88F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37F70E8-3C66-4674-B730-DE3B7C32396D}">
          <x14:formula1>
            <xm:f>Settings!$C$3:$C$20</xm:f>
          </x14:formula1>
          <xm:sqref>I2:I9</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C462-3F75-444D-B18A-471571078390}">
  <dimension ref="A1:O3"/>
  <sheetViews>
    <sheetView topLeftCell="D1" workbookViewId="0">
      <selection activeCell="O3" sqref="O3"/>
    </sheetView>
  </sheetViews>
  <sheetFormatPr defaultRowHeight="12.75"/>
  <cols>
    <col min="1" max="1" width="29" customWidth="1"/>
    <col min="6" max="6" width="38" customWidth="1"/>
    <col min="10" max="10" width="18.140625" customWidth="1"/>
    <col min="11" max="11" width="11.42578125" customWidth="1"/>
    <col min="12" max="12" width="10.140625" customWidth="1"/>
    <col min="13" max="13" width="11.42578125" customWidth="1"/>
    <col min="14" max="14" width="19.28515625" customWidth="1"/>
  </cols>
  <sheetData>
    <row r="1" spans="1:15" ht="27">
      <c r="A1" s="23" t="s">
        <v>74</v>
      </c>
      <c r="B1" s="172" t="s">
        <v>75</v>
      </c>
      <c r="C1" s="172" t="s">
        <v>76</v>
      </c>
      <c r="D1" s="23" t="s">
        <v>2</v>
      </c>
      <c r="E1" s="172" t="s">
        <v>77</v>
      </c>
      <c r="F1" s="172" t="s">
        <v>78</v>
      </c>
      <c r="G1" s="23" t="s">
        <v>79</v>
      </c>
      <c r="H1" s="23" t="s">
        <v>80</v>
      </c>
      <c r="I1" s="23" t="s">
        <v>81</v>
      </c>
      <c r="J1" s="23" t="s">
        <v>4</v>
      </c>
      <c r="K1" s="45" t="s">
        <v>312</v>
      </c>
      <c r="L1" s="45" t="s">
        <v>313</v>
      </c>
      <c r="M1" s="45" t="s">
        <v>314</v>
      </c>
      <c r="N1" s="173" t="s">
        <v>82</v>
      </c>
      <c r="O1" s="174" t="s">
        <v>5</v>
      </c>
    </row>
    <row r="2" spans="1:15" ht="36.75" customHeight="1">
      <c r="A2" s="199" t="s">
        <v>230</v>
      </c>
      <c r="B2" s="199">
        <v>25606</v>
      </c>
      <c r="C2" s="94"/>
      <c r="D2" s="49" t="s">
        <v>49</v>
      </c>
      <c r="E2" s="82" t="s">
        <v>394</v>
      </c>
      <c r="F2" s="14" t="s">
        <v>798</v>
      </c>
      <c r="G2" s="189" t="s">
        <v>473</v>
      </c>
      <c r="H2" s="24" t="s">
        <v>353</v>
      </c>
      <c r="I2" s="24" t="s">
        <v>354</v>
      </c>
      <c r="J2" s="249" t="s">
        <v>396</v>
      </c>
      <c r="K2" s="164">
        <v>3</v>
      </c>
      <c r="L2" s="164">
        <v>1.5</v>
      </c>
      <c r="M2" s="164">
        <v>6</v>
      </c>
      <c r="N2" s="189" t="s">
        <v>431</v>
      </c>
      <c r="O2" s="14" t="s">
        <v>799</v>
      </c>
    </row>
    <row r="3" spans="1:15">
      <c r="F3" s="52"/>
    </row>
  </sheetData>
  <dataValidations count="4">
    <dataValidation type="list" allowBlank="1" showErrorMessage="1" sqref="I2" xr:uid="{B254D5B0-755F-41A2-ABFD-798DC40E817C}">
      <formula1>"Internal,External"</formula1>
    </dataValidation>
    <dataValidation type="list" allowBlank="1" showErrorMessage="1" sqref="G2" xr:uid="{C696EF10-B4A0-4967-8AC9-139E2FB48690}">
      <formula1>"Minor,Significant,Major"</formula1>
    </dataValidation>
    <dataValidation type="list" allowBlank="1" showErrorMessage="1" sqref="E2" xr:uid="{CF25CF88-C26C-4BAD-8909-2729C73F988A}">
      <formula1>"Bounceback,Defect,None"</formula1>
    </dataValidation>
    <dataValidation type="list" allowBlank="1" showErrorMessage="1" sqref="H2" xr:uid="{A9427CF1-9BA2-44F8-9ED2-0557EA4FDC08}">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294B63C9-C953-4601-9FA6-789FEAD05BCC}">
          <x14:formula1>
            <xm:f>Details!$A$2:$A$10</xm:f>
          </x14:formula1>
          <xm:sqref>N2</xm:sqref>
        </x14:dataValidation>
        <x14:dataValidation type="list" allowBlank="1" showErrorMessage="1" xr:uid="{054E280B-80A6-497F-8A70-5DC5608CFD48}">
          <x14:formula1>
            <xm:f>Settings!$C$3:$C$20</xm:f>
          </x14:formula1>
          <xm:sqref>J2</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6CBA-1864-4034-AAA3-AAFFFB5A855D}">
  <dimension ref="A1:AE10"/>
  <sheetViews>
    <sheetView topLeftCell="D1" workbookViewId="0">
      <selection activeCell="E8" sqref="E8"/>
    </sheetView>
  </sheetViews>
  <sheetFormatPr defaultRowHeight="30" customHeight="1"/>
  <cols>
    <col min="1" max="1" width="4.7109375" bestFit="1" customWidth="1"/>
    <col min="5" max="5" width="19.28515625" customWidth="1"/>
    <col min="6" max="6" width="13.140625" customWidth="1"/>
    <col min="7" max="7" width="11" bestFit="1" customWidth="1"/>
    <col min="8" max="8" width="42.7109375" customWidth="1"/>
    <col min="9" max="9" width="23.5703125" customWidth="1"/>
    <col min="11" max="11" width="9" bestFit="1" customWidth="1"/>
    <col min="13" max="13" width="10" bestFit="1" customWidth="1"/>
    <col min="14" max="14" width="11.85546875" customWidth="1"/>
    <col min="19" max="19" width="13.5703125" customWidth="1"/>
    <col min="20" max="20" width="17.42578125" customWidth="1"/>
    <col min="21" max="21" width="10" bestFit="1" customWidth="1"/>
    <col min="22" max="22" width="12" customWidth="1"/>
    <col min="26" max="26" width="11.7109375" customWidth="1"/>
    <col min="30" max="30" width="24.5703125" customWidth="1"/>
    <col min="31" max="31" width="18.7109375" bestFit="1" customWidth="1"/>
  </cols>
  <sheetData>
    <row r="1" spans="1:31" ht="75.75" customHeight="1">
      <c r="A1" s="26" t="s">
        <v>73</v>
      </c>
      <c r="B1" s="26" t="s">
        <v>1</v>
      </c>
      <c r="C1" s="26" t="s">
        <v>85</v>
      </c>
      <c r="D1" s="26" t="s">
        <v>86</v>
      </c>
      <c r="E1" s="26" t="s">
        <v>310</v>
      </c>
      <c r="F1" s="26" t="s">
        <v>2</v>
      </c>
      <c r="G1" s="26" t="s">
        <v>311</v>
      </c>
      <c r="H1" s="157" t="s">
        <v>3</v>
      </c>
      <c r="I1" s="26" t="s">
        <v>4</v>
      </c>
      <c r="J1" s="26" t="s">
        <v>312</v>
      </c>
      <c r="K1" s="26" t="s">
        <v>313</v>
      </c>
      <c r="L1" s="26" t="s">
        <v>314</v>
      </c>
      <c r="M1" s="26" t="s">
        <v>315</v>
      </c>
      <c r="N1" s="26" t="s">
        <v>316</v>
      </c>
      <c r="O1" s="26" t="s">
        <v>317</v>
      </c>
      <c r="P1" s="26" t="s">
        <v>318</v>
      </c>
      <c r="Q1" s="26" t="s">
        <v>319</v>
      </c>
      <c r="R1" s="26" t="s">
        <v>320</v>
      </c>
      <c r="S1" s="26" t="s">
        <v>321</v>
      </c>
      <c r="T1" s="26" t="s">
        <v>322</v>
      </c>
      <c r="U1" s="26" t="s">
        <v>323</v>
      </c>
      <c r="V1" s="26" t="s">
        <v>324</v>
      </c>
      <c r="W1" s="26" t="s">
        <v>325</v>
      </c>
      <c r="X1" s="26" t="s">
        <v>326</v>
      </c>
      <c r="Y1" s="26" t="s">
        <v>327</v>
      </c>
      <c r="Z1" s="26" t="s">
        <v>328</v>
      </c>
      <c r="AA1" s="26" t="s">
        <v>329</v>
      </c>
      <c r="AB1" s="26" t="s">
        <v>330</v>
      </c>
      <c r="AC1" s="26" t="s">
        <v>331</v>
      </c>
      <c r="AD1" s="46" t="s">
        <v>5</v>
      </c>
      <c r="AE1" s="26" t="s">
        <v>332</v>
      </c>
    </row>
    <row r="2" spans="1:31" ht="30" customHeight="1">
      <c r="A2" s="79">
        <v>1</v>
      </c>
      <c r="B2" s="79" t="s">
        <v>87</v>
      </c>
      <c r="C2" s="102">
        <v>45875</v>
      </c>
      <c r="D2" s="102">
        <v>45888</v>
      </c>
      <c r="E2" s="167" t="s">
        <v>224</v>
      </c>
      <c r="F2" s="114" t="s">
        <v>49</v>
      </c>
      <c r="G2" s="165">
        <v>48436</v>
      </c>
      <c r="H2" s="164" t="s">
        <v>458</v>
      </c>
      <c r="I2" s="194" t="s">
        <v>358</v>
      </c>
      <c r="J2" s="114">
        <v>3</v>
      </c>
      <c r="K2" s="100">
        <f>L2/4</f>
        <v>1.5</v>
      </c>
      <c r="L2" s="114">
        <v>6</v>
      </c>
      <c r="M2" s="176">
        <v>45833</v>
      </c>
      <c r="N2" s="176">
        <v>45860</v>
      </c>
      <c r="O2" s="78" t="s">
        <v>400</v>
      </c>
      <c r="P2" s="78" t="s">
        <v>49</v>
      </c>
      <c r="Q2" s="78" t="s">
        <v>400</v>
      </c>
      <c r="R2" s="100" t="s">
        <v>40</v>
      </c>
      <c r="S2" s="78" t="s">
        <v>400</v>
      </c>
      <c r="T2" s="132" t="s">
        <v>459</v>
      </c>
      <c r="U2" s="81">
        <v>45857</v>
      </c>
      <c r="V2" s="49" t="s">
        <v>345</v>
      </c>
      <c r="W2" s="49" t="s">
        <v>345</v>
      </c>
      <c r="X2" s="100" t="s">
        <v>345</v>
      </c>
      <c r="Y2" s="49" t="s">
        <v>345</v>
      </c>
      <c r="Z2" s="49" t="s">
        <v>345</v>
      </c>
      <c r="AA2" s="49" t="s">
        <v>408</v>
      </c>
      <c r="AB2" s="78" t="s">
        <v>400</v>
      </c>
      <c r="AC2" s="49" t="s">
        <v>345</v>
      </c>
      <c r="AD2" s="14"/>
      <c r="AE2" s="12" t="s">
        <v>340</v>
      </c>
    </row>
    <row r="3" spans="1:31" ht="30" customHeight="1">
      <c r="A3" s="79">
        <v>2</v>
      </c>
      <c r="B3" s="79" t="s">
        <v>87</v>
      </c>
      <c r="C3" s="102">
        <v>45875</v>
      </c>
      <c r="D3" s="102">
        <v>45888</v>
      </c>
      <c r="E3" s="167" t="s">
        <v>224</v>
      </c>
      <c r="F3" s="114" t="s">
        <v>49</v>
      </c>
      <c r="G3" s="165">
        <v>48742</v>
      </c>
      <c r="H3" s="164" t="s">
        <v>467</v>
      </c>
      <c r="I3" s="194" t="s">
        <v>358</v>
      </c>
      <c r="J3" s="114">
        <v>1</v>
      </c>
      <c r="K3" s="100">
        <f t="shared" ref="K3:K6" si="0">L3/4</f>
        <v>0</v>
      </c>
      <c r="L3" s="114"/>
      <c r="M3" s="176">
        <v>45861</v>
      </c>
      <c r="N3" s="181">
        <v>45865</v>
      </c>
      <c r="O3" s="78" t="s">
        <v>400</v>
      </c>
      <c r="P3" s="78" t="s">
        <v>49</v>
      </c>
      <c r="Q3" s="103" t="s">
        <v>400</v>
      </c>
      <c r="R3" s="103" t="s">
        <v>47</v>
      </c>
      <c r="S3" s="103" t="s">
        <v>400</v>
      </c>
      <c r="T3" s="22" t="s">
        <v>468</v>
      </c>
      <c r="U3" s="181">
        <v>45865</v>
      </c>
      <c r="V3" s="107">
        <v>45867</v>
      </c>
      <c r="W3" s="103" t="s">
        <v>344</v>
      </c>
      <c r="X3" s="103" t="s">
        <v>400</v>
      </c>
      <c r="Y3" s="103" t="s">
        <v>400</v>
      </c>
      <c r="Z3" s="49" t="s">
        <v>345</v>
      </c>
      <c r="AA3" s="69" t="s">
        <v>400</v>
      </c>
      <c r="AB3" s="69" t="s">
        <v>400</v>
      </c>
      <c r="AC3" s="69" t="s">
        <v>400</v>
      </c>
      <c r="AD3" s="150"/>
      <c r="AE3" s="12" t="s">
        <v>340</v>
      </c>
    </row>
    <row r="4" spans="1:31" ht="30" customHeight="1">
      <c r="A4" s="165">
        <v>3</v>
      </c>
      <c r="B4" s="79" t="s">
        <v>87</v>
      </c>
      <c r="C4" s="102">
        <v>45875</v>
      </c>
      <c r="D4" s="102">
        <v>45888</v>
      </c>
      <c r="E4" s="167" t="s">
        <v>224</v>
      </c>
      <c r="F4" s="114" t="s">
        <v>49</v>
      </c>
      <c r="G4" s="165">
        <v>48743</v>
      </c>
      <c r="H4" s="164" t="s">
        <v>469</v>
      </c>
      <c r="I4" s="194" t="s">
        <v>358</v>
      </c>
      <c r="J4" s="114">
        <v>3</v>
      </c>
      <c r="K4" s="100">
        <f t="shared" si="0"/>
        <v>3</v>
      </c>
      <c r="L4" s="114">
        <v>12</v>
      </c>
      <c r="M4" s="181">
        <v>45869</v>
      </c>
      <c r="N4" s="181">
        <v>45876</v>
      </c>
      <c r="O4" s="78" t="s">
        <v>400</v>
      </c>
      <c r="P4" s="78" t="s">
        <v>49</v>
      </c>
      <c r="Q4" s="103" t="s">
        <v>400</v>
      </c>
      <c r="R4" s="103" t="s">
        <v>47</v>
      </c>
      <c r="S4" s="103" t="s">
        <v>400</v>
      </c>
      <c r="T4" s="22" t="s">
        <v>800</v>
      </c>
      <c r="U4" s="181">
        <v>45876</v>
      </c>
      <c r="V4" s="181">
        <v>45880</v>
      </c>
      <c r="W4" s="103" t="s">
        <v>344</v>
      </c>
      <c r="X4" s="103" t="s">
        <v>400</v>
      </c>
      <c r="Y4" s="103" t="s">
        <v>400</v>
      </c>
      <c r="Z4" s="181">
        <v>45880</v>
      </c>
      <c r="AA4" s="69" t="s">
        <v>400</v>
      </c>
      <c r="AB4" s="69" t="s">
        <v>400</v>
      </c>
      <c r="AC4" s="69" t="s">
        <v>400</v>
      </c>
      <c r="AD4" s="19"/>
      <c r="AE4" s="12" t="s">
        <v>340</v>
      </c>
    </row>
    <row r="5" spans="1:31" ht="30" customHeight="1">
      <c r="A5" s="165">
        <v>4</v>
      </c>
      <c r="B5" s="79" t="s">
        <v>87</v>
      </c>
      <c r="C5" s="102">
        <v>45875</v>
      </c>
      <c r="D5" s="102">
        <v>45888</v>
      </c>
      <c r="E5" s="167" t="s">
        <v>224</v>
      </c>
      <c r="F5" s="114" t="s">
        <v>40</v>
      </c>
      <c r="G5" s="165">
        <v>49415</v>
      </c>
      <c r="H5" s="164" t="s">
        <v>470</v>
      </c>
      <c r="I5" s="194" t="s">
        <v>358</v>
      </c>
      <c r="J5" s="114">
        <v>3</v>
      </c>
      <c r="K5" s="100">
        <f t="shared" si="0"/>
        <v>0.75</v>
      </c>
      <c r="L5" s="190">
        <v>3</v>
      </c>
      <c r="M5" s="181">
        <v>45869</v>
      </c>
      <c r="N5" s="181">
        <v>45873</v>
      </c>
      <c r="O5" s="78" t="s">
        <v>335</v>
      </c>
      <c r="P5" s="78" t="s">
        <v>40</v>
      </c>
      <c r="Q5" s="78" t="s">
        <v>400</v>
      </c>
      <c r="R5" s="103" t="s">
        <v>47</v>
      </c>
      <c r="S5" s="103" t="s">
        <v>400</v>
      </c>
      <c r="T5" s="22" t="s">
        <v>465</v>
      </c>
      <c r="U5" s="181">
        <v>45873</v>
      </c>
      <c r="V5" s="181">
        <v>45882</v>
      </c>
      <c r="W5" s="100" t="s">
        <v>344</v>
      </c>
      <c r="X5" s="100" t="s">
        <v>345</v>
      </c>
      <c r="Y5" s="100" t="s">
        <v>462</v>
      </c>
      <c r="Z5" s="181">
        <v>45882</v>
      </c>
      <c r="AA5" s="49" t="s">
        <v>408</v>
      </c>
      <c r="AB5" s="78" t="s">
        <v>400</v>
      </c>
      <c r="AC5" s="49" t="s">
        <v>345</v>
      </c>
      <c r="AD5" s="19"/>
      <c r="AE5" s="19" t="s">
        <v>340</v>
      </c>
    </row>
    <row r="6" spans="1:31" ht="30" customHeight="1">
      <c r="A6" s="165">
        <v>5</v>
      </c>
      <c r="B6" s="79" t="s">
        <v>87</v>
      </c>
      <c r="C6" s="102">
        <v>45875</v>
      </c>
      <c r="D6" s="102">
        <v>45888</v>
      </c>
      <c r="E6" s="167" t="s">
        <v>801</v>
      </c>
      <c r="F6" s="114" t="s">
        <v>40</v>
      </c>
      <c r="G6" s="165">
        <v>49464</v>
      </c>
      <c r="H6" s="164" t="s">
        <v>785</v>
      </c>
      <c r="I6" s="55" t="s">
        <v>334</v>
      </c>
      <c r="J6" s="114">
        <v>13</v>
      </c>
      <c r="K6" s="100">
        <f t="shared" si="0"/>
        <v>9.5</v>
      </c>
      <c r="L6" s="190">
        <v>38</v>
      </c>
      <c r="M6" s="181">
        <v>45875</v>
      </c>
      <c r="N6" s="181">
        <v>45887</v>
      </c>
      <c r="O6" s="78" t="s">
        <v>335</v>
      </c>
      <c r="P6" s="78" t="s">
        <v>40</v>
      </c>
      <c r="Q6" s="78" t="s">
        <v>400</v>
      </c>
      <c r="R6" s="103" t="s">
        <v>47</v>
      </c>
      <c r="S6" s="103" t="s">
        <v>400</v>
      </c>
      <c r="T6" s="22" t="s">
        <v>802</v>
      </c>
      <c r="U6" s="181">
        <v>45882</v>
      </c>
      <c r="V6" s="181">
        <v>45887</v>
      </c>
      <c r="W6" s="100" t="s">
        <v>344</v>
      </c>
      <c r="X6" s="100" t="s">
        <v>345</v>
      </c>
      <c r="Y6" s="100" t="s">
        <v>462</v>
      </c>
      <c r="Z6" s="181">
        <v>45887</v>
      </c>
      <c r="AA6" s="49" t="s">
        <v>408</v>
      </c>
      <c r="AB6" s="78" t="s">
        <v>400</v>
      </c>
      <c r="AC6" s="49" t="s">
        <v>803</v>
      </c>
      <c r="AD6" s="19"/>
      <c r="AE6" s="19" t="s">
        <v>340</v>
      </c>
    </row>
    <row r="7" spans="1:31" ht="30" customHeight="1">
      <c r="A7" s="165">
        <v>6</v>
      </c>
      <c r="B7" s="79" t="s">
        <v>87</v>
      </c>
      <c r="C7" s="102">
        <v>45875</v>
      </c>
      <c r="D7" s="102">
        <v>45888</v>
      </c>
      <c r="E7" s="167" t="s">
        <v>801</v>
      </c>
      <c r="F7" s="114" t="s">
        <v>47</v>
      </c>
      <c r="G7" s="165">
        <v>49495</v>
      </c>
      <c r="H7" s="164" t="s">
        <v>804</v>
      </c>
      <c r="I7" s="194" t="s">
        <v>358</v>
      </c>
      <c r="J7" s="114">
        <v>8</v>
      </c>
      <c r="K7" s="100">
        <f>L7/4</f>
        <v>9</v>
      </c>
      <c r="L7" s="190">
        <v>36</v>
      </c>
      <c r="M7" s="181">
        <v>45869</v>
      </c>
      <c r="N7" s="181">
        <v>45881</v>
      </c>
      <c r="O7" s="78" t="s">
        <v>335</v>
      </c>
      <c r="P7" s="78" t="s">
        <v>47</v>
      </c>
      <c r="Q7" s="78" t="s">
        <v>400</v>
      </c>
      <c r="R7" s="103" t="s">
        <v>49</v>
      </c>
      <c r="S7" s="103" t="s">
        <v>400</v>
      </c>
      <c r="T7" s="22" t="s">
        <v>805</v>
      </c>
      <c r="U7" s="181">
        <v>45876</v>
      </c>
      <c r="V7" s="181">
        <v>45881</v>
      </c>
      <c r="W7" s="100" t="s">
        <v>344</v>
      </c>
      <c r="X7" s="100" t="s">
        <v>345</v>
      </c>
      <c r="Y7" s="100" t="s">
        <v>462</v>
      </c>
      <c r="Z7" s="181">
        <v>45876</v>
      </c>
      <c r="AA7" s="49" t="s">
        <v>408</v>
      </c>
      <c r="AB7" s="78" t="s">
        <v>400</v>
      </c>
      <c r="AC7" s="49" t="s">
        <v>345</v>
      </c>
      <c r="AD7" s="19"/>
      <c r="AE7" s="19" t="s">
        <v>340</v>
      </c>
    </row>
    <row r="8" spans="1:31" ht="30" customHeight="1">
      <c r="A8" s="165">
        <v>7</v>
      </c>
      <c r="B8" s="79" t="s">
        <v>87</v>
      </c>
      <c r="C8" s="102">
        <v>45875</v>
      </c>
      <c r="D8" s="102">
        <v>45888</v>
      </c>
      <c r="E8" s="167" t="s">
        <v>801</v>
      </c>
      <c r="F8" s="114" t="s">
        <v>47</v>
      </c>
      <c r="G8" s="165">
        <v>49602</v>
      </c>
      <c r="H8" s="164" t="s">
        <v>787</v>
      </c>
      <c r="I8" s="55" t="s">
        <v>334</v>
      </c>
      <c r="J8" s="114">
        <v>13</v>
      </c>
      <c r="K8" s="100">
        <f>L8/4</f>
        <v>6</v>
      </c>
      <c r="L8" s="190">
        <v>24</v>
      </c>
      <c r="M8" s="181">
        <v>45880</v>
      </c>
      <c r="N8" s="181"/>
      <c r="O8" s="78"/>
      <c r="P8" s="78"/>
      <c r="Q8" s="78"/>
      <c r="R8" s="103"/>
      <c r="S8" s="103"/>
      <c r="T8" s="22"/>
      <c r="U8" s="181"/>
      <c r="V8" s="181"/>
      <c r="W8" s="100"/>
      <c r="X8" s="100"/>
      <c r="Y8" s="100"/>
      <c r="Z8" s="181"/>
      <c r="AA8" s="49"/>
      <c r="AB8" s="78"/>
      <c r="AC8" s="49"/>
      <c r="AD8" s="19"/>
      <c r="AE8" s="19"/>
    </row>
    <row r="9" spans="1:31" ht="30" customHeight="1">
      <c r="A9" s="165">
        <v>8</v>
      </c>
      <c r="B9" s="79" t="s">
        <v>87</v>
      </c>
      <c r="C9" s="102">
        <v>45875</v>
      </c>
      <c r="D9" s="102">
        <v>45888</v>
      </c>
      <c r="E9" s="167" t="s">
        <v>801</v>
      </c>
      <c r="F9" s="114" t="s">
        <v>49</v>
      </c>
      <c r="G9" s="165">
        <v>49653</v>
      </c>
      <c r="H9" s="164" t="s">
        <v>789</v>
      </c>
      <c r="I9" s="177" t="s">
        <v>343</v>
      </c>
      <c r="J9" s="114">
        <v>5</v>
      </c>
      <c r="K9" s="100">
        <f>L9/4</f>
        <v>4.5</v>
      </c>
      <c r="L9" s="190">
        <v>18</v>
      </c>
      <c r="M9" s="181">
        <v>45883</v>
      </c>
      <c r="N9" s="181">
        <v>45888</v>
      </c>
      <c r="O9" s="78" t="s">
        <v>335</v>
      </c>
      <c r="P9" s="78" t="s">
        <v>49</v>
      </c>
      <c r="Q9" s="78" t="s">
        <v>400</v>
      </c>
      <c r="R9" s="100" t="s">
        <v>40</v>
      </c>
      <c r="S9" s="78" t="s">
        <v>400</v>
      </c>
      <c r="T9" s="22" t="s">
        <v>790</v>
      </c>
      <c r="U9" s="198">
        <v>45888</v>
      </c>
      <c r="V9" s="181"/>
      <c r="W9" s="197"/>
      <c r="X9" s="100"/>
      <c r="Y9" s="100"/>
      <c r="Z9" s="181"/>
      <c r="AA9" s="49"/>
      <c r="AB9" s="78"/>
      <c r="AC9" s="49"/>
      <c r="AD9" s="19"/>
      <c r="AE9" s="19" t="s">
        <v>340</v>
      </c>
    </row>
    <row r="10" spans="1:31" ht="30" customHeight="1">
      <c r="A10" s="165">
        <v>9</v>
      </c>
      <c r="B10" s="79" t="s">
        <v>87</v>
      </c>
      <c r="C10" s="102">
        <v>45875</v>
      </c>
      <c r="D10" s="102">
        <v>45888</v>
      </c>
      <c r="E10" s="167" t="s">
        <v>801</v>
      </c>
      <c r="F10" s="114" t="s">
        <v>37</v>
      </c>
      <c r="G10" s="165">
        <v>49307</v>
      </c>
      <c r="H10" s="164" t="s">
        <v>471</v>
      </c>
      <c r="I10" s="177" t="s">
        <v>334</v>
      </c>
      <c r="J10" s="114">
        <v>13</v>
      </c>
      <c r="K10" s="100">
        <v>4.5</v>
      </c>
      <c r="L10" s="190">
        <v>18</v>
      </c>
      <c r="M10" s="12"/>
      <c r="N10" s="12"/>
      <c r="O10" s="12"/>
      <c r="P10" s="12"/>
      <c r="Q10" s="12"/>
      <c r="R10" s="12"/>
      <c r="S10" s="12"/>
      <c r="T10" s="132"/>
      <c r="U10" s="196"/>
      <c r="V10" s="176"/>
      <c r="W10" s="197"/>
      <c r="X10" s="100"/>
      <c r="Y10" s="12"/>
      <c r="Z10" s="12"/>
      <c r="AA10" s="12"/>
      <c r="AB10" s="12"/>
      <c r="AC10" s="12"/>
      <c r="AD10" s="12"/>
      <c r="AE10" s="12"/>
    </row>
  </sheetData>
  <dataValidations count="1">
    <dataValidation type="list" allowBlank="1" showInputMessage="1" showErrorMessage="1" sqref="AE2:AE9" xr:uid="{5324C92B-EF07-45DF-B140-5AF7B62E2D77}">
      <formula1>"Exceeds Expectation, Meets Expectation, Needs Improvement"</formula1>
    </dataValidation>
  </dataValidations>
  <hyperlinks>
    <hyperlink ref="T7" r:id="rId1" xr:uid="{48B9702A-9684-4307-AA7F-173E624EF790}"/>
    <hyperlink ref="T5" r:id="rId2" xr:uid="{B074F7C6-45F7-4D18-B538-66F25A9CD01B}"/>
    <hyperlink ref="T6" r:id="rId3" xr:uid="{CDB3D117-1811-4C66-A048-B3EFD5C57DBE}"/>
    <hyperlink ref="T2" r:id="rId4" xr:uid="{94B86ABC-97CD-4B7F-8BC0-42648127995E}"/>
    <hyperlink ref="T3" r:id="rId5" xr:uid="{8EF5A627-2E32-4D73-A8F5-57025C3D721E}"/>
    <hyperlink ref="T4" r:id="rId6" xr:uid="{280A4AD3-4ADA-47D3-9EB7-ACC788BA9557}"/>
    <hyperlink ref="T9" r:id="rId7" xr:uid="{4A9DE1C2-A06D-41D3-805B-211925DFDE2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DF6A8B5-8DCC-445A-9BAC-6FA0B04D4E0A}">
          <x14:formula1>
            <xm:f>Settings!$C$3:$C$20</xm:f>
          </x14:formula1>
          <xm:sqref>I2:I9</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C279-DD70-409E-BE64-FCCD4314E570}">
  <dimension ref="A1:O2"/>
  <sheetViews>
    <sheetView workbookViewId="0">
      <selection activeCell="J2" sqref="J2"/>
    </sheetView>
  </sheetViews>
  <sheetFormatPr defaultRowHeight="12.75"/>
  <cols>
    <col min="1" max="1" width="29" customWidth="1"/>
    <col min="6" max="6" width="38" customWidth="1"/>
    <col min="10" max="10" width="18.140625" customWidth="1"/>
    <col min="11" max="11" width="11.42578125" customWidth="1"/>
    <col min="12" max="12" width="10.140625" customWidth="1"/>
    <col min="13" max="13" width="11.42578125" customWidth="1"/>
    <col min="14" max="14" width="19.28515625" customWidth="1"/>
  </cols>
  <sheetData>
    <row r="1" spans="1:15" ht="27">
      <c r="A1" s="23" t="s">
        <v>74</v>
      </c>
      <c r="B1" s="172" t="s">
        <v>75</v>
      </c>
      <c r="C1" s="172" t="s">
        <v>76</v>
      </c>
      <c r="D1" s="23" t="s">
        <v>2</v>
      </c>
      <c r="E1" s="172" t="s">
        <v>77</v>
      </c>
      <c r="F1" s="172" t="s">
        <v>78</v>
      </c>
      <c r="G1" s="23" t="s">
        <v>79</v>
      </c>
      <c r="H1" s="23" t="s">
        <v>80</v>
      </c>
      <c r="I1" s="23" t="s">
        <v>81</v>
      </c>
      <c r="J1" s="23" t="s">
        <v>4</v>
      </c>
      <c r="K1" s="45" t="s">
        <v>312</v>
      </c>
      <c r="L1" s="45" t="s">
        <v>313</v>
      </c>
      <c r="M1" s="45" t="s">
        <v>314</v>
      </c>
      <c r="N1" s="173" t="s">
        <v>82</v>
      </c>
      <c r="O1" s="174" t="s">
        <v>5</v>
      </c>
    </row>
    <row r="2" spans="1:15" ht="36.75" customHeight="1">
      <c r="A2" s="167" t="s">
        <v>801</v>
      </c>
      <c r="B2" s="165">
        <v>25727</v>
      </c>
      <c r="C2" s="165">
        <v>49286</v>
      </c>
      <c r="D2" s="49" t="s">
        <v>40</v>
      </c>
      <c r="E2" s="24" t="s">
        <v>394</v>
      </c>
      <c r="F2" s="11" t="s">
        <v>806</v>
      </c>
      <c r="G2" s="24" t="s">
        <v>473</v>
      </c>
      <c r="H2" s="24" t="s">
        <v>353</v>
      </c>
      <c r="I2" s="24" t="s">
        <v>354</v>
      </c>
      <c r="J2" s="195" t="s">
        <v>358</v>
      </c>
      <c r="K2" s="164">
        <v>2</v>
      </c>
      <c r="L2" s="164">
        <f>M2/4</f>
        <v>1.5</v>
      </c>
      <c r="M2" s="164">
        <v>6</v>
      </c>
      <c r="N2" s="189" t="s">
        <v>431</v>
      </c>
      <c r="O2" s="14"/>
    </row>
  </sheetData>
  <dataValidations count="4">
    <dataValidation type="list" allowBlank="1" showErrorMessage="1" sqref="H2" xr:uid="{6FD4BD51-39A2-436A-888A-DC1AD4EE4212}">
      <formula1>"Manual, Automation"</formula1>
    </dataValidation>
    <dataValidation type="list" allowBlank="1" showErrorMessage="1" sqref="E2" xr:uid="{21A755B0-E691-42A6-B960-A090D54378DD}">
      <formula1>"Bounceback,Defect,None"</formula1>
    </dataValidation>
    <dataValidation type="list" allowBlank="1" showErrorMessage="1" sqref="G2" xr:uid="{60D229B6-BF5B-4746-BF6D-3D600D57D05C}">
      <formula1>"Minor,Significant,Major"</formula1>
    </dataValidation>
    <dataValidation type="list" allowBlank="1" showErrorMessage="1" sqref="I2" xr:uid="{8E96EBDB-4BC5-4DE3-A1A9-8A8ABD5F6BA0}">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55BCCDCF-5325-4966-8AE7-78AD802F6D97}">
          <x14:formula1>
            <xm:f>Settings!$C$3:$C$20</xm:f>
          </x14:formula1>
          <xm:sqref>J2</xm:sqref>
        </x14:dataValidation>
        <x14:dataValidation type="list" allowBlank="1" showErrorMessage="1" xr:uid="{D404E430-9E85-4902-98AA-BC73C2A6479E}">
          <x14:formula1>
            <xm:f>Details!$A$2:$A$10</xm:f>
          </x14:formula1>
          <xm:sqref>N2</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637E3-550E-4788-9E5A-44A8E4BC3379}">
  <dimension ref="A1:AE9"/>
  <sheetViews>
    <sheetView workbookViewId="0">
      <selection activeCell="E9" sqref="E9"/>
    </sheetView>
  </sheetViews>
  <sheetFormatPr defaultRowHeight="30" customHeight="1"/>
  <cols>
    <col min="1" max="1" width="4.7109375" bestFit="1" customWidth="1"/>
    <col min="5" max="5" width="19.28515625" customWidth="1"/>
    <col min="6" max="6" width="13.140625" customWidth="1"/>
    <col min="7" max="7" width="11" bestFit="1" customWidth="1"/>
    <col min="8" max="8" width="42.7109375" customWidth="1"/>
    <col min="9" max="9" width="23.5703125" customWidth="1"/>
    <col min="11" max="11" width="9" bestFit="1" customWidth="1"/>
    <col min="13" max="13" width="10" bestFit="1" customWidth="1"/>
    <col min="19" max="19" width="13.5703125" customWidth="1"/>
    <col min="20" max="20" width="17.42578125" customWidth="1"/>
    <col min="21" max="21" width="10" bestFit="1" customWidth="1"/>
    <col min="22" max="22" width="12" customWidth="1"/>
    <col min="26" max="26" width="11.7109375" customWidth="1"/>
    <col min="30" max="30" width="24.5703125" customWidth="1"/>
    <col min="31" max="31" width="18.7109375" bestFit="1" customWidth="1"/>
  </cols>
  <sheetData>
    <row r="1" spans="1:31" ht="75.75" customHeight="1">
      <c r="A1" s="26" t="s">
        <v>73</v>
      </c>
      <c r="B1" s="26" t="s">
        <v>1</v>
      </c>
      <c r="C1" s="26" t="s">
        <v>85</v>
      </c>
      <c r="D1" s="26" t="s">
        <v>86</v>
      </c>
      <c r="E1" s="26" t="s">
        <v>310</v>
      </c>
      <c r="F1" s="26" t="s">
        <v>2</v>
      </c>
      <c r="G1" s="26" t="s">
        <v>311</v>
      </c>
      <c r="H1" s="157" t="s">
        <v>3</v>
      </c>
      <c r="I1" s="26" t="s">
        <v>4</v>
      </c>
      <c r="J1" s="26" t="s">
        <v>312</v>
      </c>
      <c r="K1" s="26" t="s">
        <v>313</v>
      </c>
      <c r="L1" s="26" t="s">
        <v>314</v>
      </c>
      <c r="M1" s="26" t="s">
        <v>315</v>
      </c>
      <c r="N1" s="26" t="s">
        <v>316</v>
      </c>
      <c r="O1" s="26" t="s">
        <v>317</v>
      </c>
      <c r="P1" s="26" t="s">
        <v>318</v>
      </c>
      <c r="Q1" s="26" t="s">
        <v>319</v>
      </c>
      <c r="R1" s="26" t="s">
        <v>320</v>
      </c>
      <c r="S1" s="26" t="s">
        <v>321</v>
      </c>
      <c r="T1" s="26" t="s">
        <v>322</v>
      </c>
      <c r="U1" s="26" t="s">
        <v>323</v>
      </c>
      <c r="V1" s="26" t="s">
        <v>324</v>
      </c>
      <c r="W1" s="26" t="s">
        <v>325</v>
      </c>
      <c r="X1" s="26" t="s">
        <v>326</v>
      </c>
      <c r="Y1" s="26" t="s">
        <v>327</v>
      </c>
      <c r="Z1" s="26" t="s">
        <v>328</v>
      </c>
      <c r="AA1" s="26" t="s">
        <v>329</v>
      </c>
      <c r="AB1" s="26" t="s">
        <v>330</v>
      </c>
      <c r="AC1" s="26" t="s">
        <v>331</v>
      </c>
      <c r="AD1" s="46" t="s">
        <v>5</v>
      </c>
      <c r="AE1" s="26" t="s">
        <v>332</v>
      </c>
    </row>
    <row r="2" spans="1:31" ht="30" customHeight="1">
      <c r="A2" s="79">
        <v>1</v>
      </c>
      <c r="B2" s="79" t="s">
        <v>87</v>
      </c>
      <c r="C2" s="102">
        <v>45861</v>
      </c>
      <c r="D2" s="102">
        <v>45874</v>
      </c>
      <c r="E2" s="167" t="s">
        <v>218</v>
      </c>
      <c r="F2" s="114" t="s">
        <v>49</v>
      </c>
      <c r="G2" s="165">
        <v>48436</v>
      </c>
      <c r="H2" s="164" t="s">
        <v>458</v>
      </c>
      <c r="I2" s="55" t="s">
        <v>334</v>
      </c>
      <c r="J2" s="114">
        <v>2</v>
      </c>
      <c r="K2" s="100">
        <f>L2/4</f>
        <v>2.25</v>
      </c>
      <c r="L2" s="114">
        <v>9</v>
      </c>
      <c r="M2" s="176">
        <v>45833</v>
      </c>
      <c r="N2" s="176">
        <v>45860</v>
      </c>
      <c r="O2" s="78" t="s">
        <v>400</v>
      </c>
      <c r="P2" s="78" t="s">
        <v>400</v>
      </c>
      <c r="Q2" s="78" t="s">
        <v>400</v>
      </c>
      <c r="R2" s="100" t="s">
        <v>40</v>
      </c>
      <c r="S2" s="78" t="s">
        <v>400</v>
      </c>
      <c r="T2" s="132" t="s">
        <v>459</v>
      </c>
      <c r="U2" s="81">
        <v>45857</v>
      </c>
      <c r="V2" s="49" t="s">
        <v>345</v>
      </c>
      <c r="W2" s="49" t="s">
        <v>345</v>
      </c>
      <c r="X2" s="100" t="s">
        <v>345</v>
      </c>
      <c r="Y2" s="49" t="s">
        <v>345</v>
      </c>
      <c r="Z2" s="49" t="s">
        <v>345</v>
      </c>
      <c r="AA2" s="49" t="s">
        <v>408</v>
      </c>
      <c r="AB2" s="78" t="s">
        <v>400</v>
      </c>
      <c r="AC2" s="49" t="s">
        <v>345</v>
      </c>
      <c r="AD2" s="14" t="s">
        <v>807</v>
      </c>
      <c r="AE2" s="12" t="s">
        <v>340</v>
      </c>
    </row>
    <row r="3" spans="1:31" ht="30" customHeight="1">
      <c r="A3" s="79">
        <v>2</v>
      </c>
      <c r="B3" s="79" t="s">
        <v>87</v>
      </c>
      <c r="C3" s="102">
        <v>45861</v>
      </c>
      <c r="D3" s="102">
        <v>45874</v>
      </c>
      <c r="E3" s="167" t="s">
        <v>218</v>
      </c>
      <c r="F3" s="114" t="s">
        <v>47</v>
      </c>
      <c r="G3" s="193">
        <v>49285</v>
      </c>
      <c r="H3" s="164" t="s">
        <v>460</v>
      </c>
      <c r="I3" s="194" t="s">
        <v>358</v>
      </c>
      <c r="J3" s="114">
        <v>8</v>
      </c>
      <c r="K3" s="100">
        <f t="shared" ref="K3:K9" si="0">L3/4</f>
        <v>8</v>
      </c>
      <c r="L3" s="114">
        <v>32</v>
      </c>
      <c r="M3" s="176">
        <v>45856</v>
      </c>
      <c r="N3" s="181">
        <v>45869</v>
      </c>
      <c r="O3" s="78" t="s">
        <v>335</v>
      </c>
      <c r="P3" s="78" t="s">
        <v>400</v>
      </c>
      <c r="Q3" s="78" t="s">
        <v>400</v>
      </c>
      <c r="R3" s="100" t="s">
        <v>47</v>
      </c>
      <c r="S3" s="78" t="s">
        <v>400</v>
      </c>
      <c r="T3" s="132" t="s">
        <v>461</v>
      </c>
      <c r="U3" s="181">
        <v>45869</v>
      </c>
      <c r="V3" s="181">
        <v>45873</v>
      </c>
      <c r="W3" s="100" t="s">
        <v>344</v>
      </c>
      <c r="X3" s="100" t="s">
        <v>345</v>
      </c>
      <c r="Y3" s="100" t="s">
        <v>462</v>
      </c>
      <c r="Z3" s="181">
        <v>45873</v>
      </c>
      <c r="AA3" s="49" t="s">
        <v>408</v>
      </c>
      <c r="AB3" s="78" t="s">
        <v>400</v>
      </c>
      <c r="AC3" s="49" t="s">
        <v>345</v>
      </c>
      <c r="AD3" s="14"/>
      <c r="AE3" s="12" t="s">
        <v>340</v>
      </c>
    </row>
    <row r="4" spans="1:31" ht="30" customHeight="1">
      <c r="A4" s="79">
        <v>3</v>
      </c>
      <c r="B4" s="79" t="s">
        <v>87</v>
      </c>
      <c r="C4" s="102">
        <v>45861</v>
      </c>
      <c r="D4" s="102">
        <v>45874</v>
      </c>
      <c r="E4" s="167" t="s">
        <v>218</v>
      </c>
      <c r="F4" s="114" t="s">
        <v>40</v>
      </c>
      <c r="G4" s="193">
        <v>49286</v>
      </c>
      <c r="H4" s="180" t="s">
        <v>463</v>
      </c>
      <c r="I4" s="194" t="s">
        <v>358</v>
      </c>
      <c r="J4" s="114">
        <v>8</v>
      </c>
      <c r="K4" s="100">
        <f t="shared" si="0"/>
        <v>7.5</v>
      </c>
      <c r="L4" s="114">
        <v>30</v>
      </c>
      <c r="M4" s="176">
        <v>45860</v>
      </c>
      <c r="N4" s="181">
        <v>45869</v>
      </c>
      <c r="O4" s="78" t="s">
        <v>335</v>
      </c>
      <c r="P4" s="78" t="s">
        <v>400</v>
      </c>
      <c r="Q4" s="78" t="s">
        <v>400</v>
      </c>
      <c r="R4" s="100" t="s">
        <v>47</v>
      </c>
      <c r="S4" s="78" t="s">
        <v>400</v>
      </c>
      <c r="T4" s="132" t="s">
        <v>461</v>
      </c>
      <c r="U4" s="181">
        <v>45869</v>
      </c>
      <c r="V4" s="181">
        <v>45873</v>
      </c>
      <c r="W4" s="100" t="s">
        <v>344</v>
      </c>
      <c r="X4" s="100" t="s">
        <v>345</v>
      </c>
      <c r="Y4" s="100" t="s">
        <v>462</v>
      </c>
      <c r="Z4" s="181">
        <v>45873</v>
      </c>
      <c r="AA4" s="49" t="s">
        <v>408</v>
      </c>
      <c r="AB4" s="78" t="s">
        <v>400</v>
      </c>
      <c r="AC4" s="49" t="s">
        <v>345</v>
      </c>
      <c r="AD4" s="14"/>
      <c r="AE4" s="12" t="s">
        <v>340</v>
      </c>
    </row>
    <row r="5" spans="1:31" ht="30" customHeight="1">
      <c r="A5" s="79">
        <v>4</v>
      </c>
      <c r="B5" s="79" t="s">
        <v>87</v>
      </c>
      <c r="C5" s="102">
        <v>45861</v>
      </c>
      <c r="D5" s="102">
        <v>45874</v>
      </c>
      <c r="E5" s="167" t="s">
        <v>218</v>
      </c>
      <c r="F5" s="114" t="s">
        <v>47</v>
      </c>
      <c r="G5" s="192">
        <v>49005</v>
      </c>
      <c r="H5" s="164" t="s">
        <v>464</v>
      </c>
      <c r="I5" s="194" t="s">
        <v>358</v>
      </c>
      <c r="J5" s="149">
        <v>8</v>
      </c>
      <c r="K5" s="100">
        <f t="shared" si="0"/>
        <v>7.5</v>
      </c>
      <c r="L5" s="149">
        <v>30</v>
      </c>
      <c r="M5" s="181">
        <v>45833</v>
      </c>
      <c r="N5" s="181">
        <v>45873</v>
      </c>
      <c r="O5" s="78" t="s">
        <v>335</v>
      </c>
      <c r="P5" s="78" t="s">
        <v>400</v>
      </c>
      <c r="Q5" s="78" t="s">
        <v>400</v>
      </c>
      <c r="R5" s="103" t="s">
        <v>40</v>
      </c>
      <c r="S5" s="78" t="s">
        <v>400</v>
      </c>
      <c r="T5" s="22" t="s">
        <v>465</v>
      </c>
      <c r="U5" s="181">
        <v>45873</v>
      </c>
      <c r="V5" s="181">
        <v>45873</v>
      </c>
      <c r="W5" s="100" t="s">
        <v>344</v>
      </c>
      <c r="X5" s="100" t="s">
        <v>345</v>
      </c>
      <c r="Y5" s="100" t="s">
        <v>462</v>
      </c>
      <c r="Z5" s="181">
        <v>45873</v>
      </c>
      <c r="AA5" s="49" t="s">
        <v>408</v>
      </c>
      <c r="AB5" s="78" t="s">
        <v>400</v>
      </c>
      <c r="AC5" s="49" t="s">
        <v>345</v>
      </c>
      <c r="AD5" s="150"/>
      <c r="AE5" s="12" t="s">
        <v>340</v>
      </c>
    </row>
    <row r="6" spans="1:31" ht="30" customHeight="1">
      <c r="A6" s="79">
        <v>5</v>
      </c>
      <c r="B6" s="79" t="s">
        <v>87</v>
      </c>
      <c r="C6" s="102">
        <v>45861</v>
      </c>
      <c r="D6" s="102">
        <v>45874</v>
      </c>
      <c r="E6" s="167" t="s">
        <v>466</v>
      </c>
      <c r="F6" s="114" t="s">
        <v>49</v>
      </c>
      <c r="G6" s="165">
        <v>48742</v>
      </c>
      <c r="H6" s="164" t="s">
        <v>467</v>
      </c>
      <c r="I6" s="194" t="s">
        <v>808</v>
      </c>
      <c r="J6" s="114">
        <v>5</v>
      </c>
      <c r="K6" s="100">
        <f t="shared" si="0"/>
        <v>3.75</v>
      </c>
      <c r="L6" s="114">
        <v>15</v>
      </c>
      <c r="M6" s="176">
        <v>45861</v>
      </c>
      <c r="N6" s="181">
        <v>45865</v>
      </c>
      <c r="O6" s="78" t="s">
        <v>400</v>
      </c>
      <c r="P6" s="103" t="s">
        <v>400</v>
      </c>
      <c r="Q6" s="103" t="s">
        <v>400</v>
      </c>
      <c r="R6" s="103" t="s">
        <v>47</v>
      </c>
      <c r="S6" s="103" t="s">
        <v>400</v>
      </c>
      <c r="T6" s="22" t="s">
        <v>468</v>
      </c>
      <c r="U6" s="181">
        <v>45865</v>
      </c>
      <c r="V6" s="107">
        <v>45867</v>
      </c>
      <c r="W6" s="103" t="s">
        <v>344</v>
      </c>
      <c r="X6" s="103" t="s">
        <v>400</v>
      </c>
      <c r="Y6" s="103" t="s">
        <v>400</v>
      </c>
      <c r="Z6" s="81">
        <v>45867</v>
      </c>
      <c r="AA6" s="69" t="s">
        <v>400</v>
      </c>
      <c r="AB6" s="69" t="s">
        <v>400</v>
      </c>
      <c r="AC6" s="69" t="s">
        <v>400</v>
      </c>
      <c r="AD6" s="150" t="s">
        <v>809</v>
      </c>
      <c r="AE6" s="19" t="s">
        <v>340</v>
      </c>
    </row>
    <row r="7" spans="1:31" ht="30" customHeight="1">
      <c r="A7" s="165">
        <v>6</v>
      </c>
      <c r="B7" s="79" t="s">
        <v>87</v>
      </c>
      <c r="C7" s="102">
        <v>45861</v>
      </c>
      <c r="D7" s="102">
        <v>45874</v>
      </c>
      <c r="E7" s="167" t="s">
        <v>466</v>
      </c>
      <c r="F7" s="114" t="s">
        <v>49</v>
      </c>
      <c r="G7" s="165">
        <v>48743</v>
      </c>
      <c r="H7" s="164" t="s">
        <v>469</v>
      </c>
      <c r="I7" s="177" t="s">
        <v>334</v>
      </c>
      <c r="J7" s="114">
        <v>5</v>
      </c>
      <c r="K7" s="100">
        <f t="shared" si="0"/>
        <v>4.5</v>
      </c>
      <c r="L7" s="114">
        <v>18</v>
      </c>
      <c r="M7" s="181">
        <v>45869</v>
      </c>
      <c r="N7" s="19"/>
      <c r="O7" s="19"/>
      <c r="P7" s="19"/>
      <c r="Q7" s="19"/>
      <c r="R7" s="19"/>
      <c r="S7" s="19"/>
      <c r="T7" s="19"/>
      <c r="U7" s="19"/>
      <c r="V7" s="19"/>
      <c r="W7" s="19"/>
      <c r="X7" s="19"/>
      <c r="Y7" s="19"/>
      <c r="Z7" s="19"/>
      <c r="AA7" s="19"/>
      <c r="AB7" s="19"/>
      <c r="AC7" s="19"/>
      <c r="AD7" s="19"/>
      <c r="AE7" s="19"/>
    </row>
    <row r="8" spans="1:31" ht="30" customHeight="1">
      <c r="A8" s="165">
        <v>7</v>
      </c>
      <c r="B8" s="79" t="s">
        <v>87</v>
      </c>
      <c r="C8" s="102">
        <v>45861</v>
      </c>
      <c r="D8" s="102">
        <v>45874</v>
      </c>
      <c r="E8" s="167" t="s">
        <v>466</v>
      </c>
      <c r="F8" s="114" t="s">
        <v>40</v>
      </c>
      <c r="G8" s="192">
        <v>49415</v>
      </c>
      <c r="H8" s="164" t="s">
        <v>470</v>
      </c>
      <c r="I8" s="54" t="s">
        <v>343</v>
      </c>
      <c r="J8" s="114">
        <v>5</v>
      </c>
      <c r="K8" s="100">
        <f t="shared" si="0"/>
        <v>6.25</v>
      </c>
      <c r="L8" s="190">
        <v>25</v>
      </c>
      <c r="M8" s="181">
        <v>45869</v>
      </c>
      <c r="N8" s="181">
        <v>45873</v>
      </c>
      <c r="O8" s="78" t="s">
        <v>335</v>
      </c>
      <c r="P8" s="78" t="s">
        <v>400</v>
      </c>
      <c r="Q8" s="78" t="s">
        <v>400</v>
      </c>
      <c r="R8" s="103" t="s">
        <v>47</v>
      </c>
      <c r="S8" s="103" t="s">
        <v>400</v>
      </c>
      <c r="T8" s="22" t="s">
        <v>465</v>
      </c>
      <c r="U8" s="181">
        <v>45873</v>
      </c>
      <c r="V8" s="181">
        <v>45873</v>
      </c>
      <c r="W8" s="100" t="s">
        <v>344</v>
      </c>
      <c r="X8" s="100" t="s">
        <v>345</v>
      </c>
      <c r="Y8" s="100" t="s">
        <v>462</v>
      </c>
      <c r="Z8" s="181">
        <v>45873</v>
      </c>
      <c r="AA8" s="49" t="s">
        <v>408</v>
      </c>
      <c r="AB8" s="78" t="s">
        <v>400</v>
      </c>
      <c r="AC8" s="49" t="s">
        <v>345</v>
      </c>
      <c r="AD8" s="19"/>
      <c r="AE8" s="19" t="s">
        <v>340</v>
      </c>
    </row>
    <row r="9" spans="1:31" ht="30" customHeight="1">
      <c r="A9" s="165">
        <v>8</v>
      </c>
      <c r="B9" s="79" t="s">
        <v>87</v>
      </c>
      <c r="C9" s="102">
        <v>45861</v>
      </c>
      <c r="D9" s="102">
        <v>45874</v>
      </c>
      <c r="E9" s="167" t="s">
        <v>466</v>
      </c>
      <c r="F9" s="114" t="s">
        <v>37</v>
      </c>
      <c r="G9" s="165">
        <v>49307</v>
      </c>
      <c r="H9" s="164" t="s">
        <v>471</v>
      </c>
      <c r="I9" s="177" t="s">
        <v>334</v>
      </c>
      <c r="J9" s="114">
        <v>13</v>
      </c>
      <c r="K9" s="100">
        <f t="shared" si="0"/>
        <v>7.5</v>
      </c>
      <c r="L9" s="190">
        <v>30</v>
      </c>
      <c r="M9" s="12"/>
      <c r="N9" s="12"/>
      <c r="O9" s="12"/>
      <c r="P9" s="12"/>
      <c r="Q9" s="12"/>
      <c r="R9" s="12"/>
      <c r="S9" s="12"/>
      <c r="T9" s="132" t="s">
        <v>810</v>
      </c>
      <c r="U9" s="154">
        <v>45870</v>
      </c>
      <c r="V9" s="181">
        <v>45873</v>
      </c>
      <c r="W9" s="100" t="s">
        <v>344</v>
      </c>
      <c r="X9" s="100" t="s">
        <v>345</v>
      </c>
      <c r="Y9" s="12"/>
      <c r="Z9" s="12"/>
      <c r="AA9" s="12"/>
      <c r="AB9" s="12"/>
      <c r="AC9" s="12"/>
      <c r="AD9" s="12" t="s">
        <v>811</v>
      </c>
      <c r="AE9" s="12"/>
    </row>
  </sheetData>
  <dataValidations count="1">
    <dataValidation type="list" allowBlank="1" showInputMessage="1" showErrorMessage="1" sqref="AE2:AE6 AE8" xr:uid="{4B06F582-AA93-4A6F-8D63-DEF138DF139C}">
      <formula1>"Exceeds Expectation, Meets Expectation, Needs Improvement"</formula1>
    </dataValidation>
  </dataValidations>
  <hyperlinks>
    <hyperlink ref="T2" r:id="rId1" xr:uid="{57BD9530-DE50-45D5-A0C3-19F8FDC231E1}"/>
    <hyperlink ref="T6" r:id="rId2" xr:uid="{537E5C2C-602D-4A3E-AC57-D33BF8E3AEB9}"/>
    <hyperlink ref="T4" r:id="rId3" xr:uid="{8206E33D-0E0C-4D81-854D-E192BA6EEEFB}"/>
    <hyperlink ref="T3" r:id="rId4" xr:uid="{08B271D3-652D-44A6-B6EA-D23352C3B372}"/>
    <hyperlink ref="T5" r:id="rId5" xr:uid="{63399B13-8B3C-4F4E-A51D-9772FB521059}"/>
    <hyperlink ref="T8" r:id="rId6" xr:uid="{CCF9469B-044E-4E3D-82AD-5D0EF9CE139E}"/>
    <hyperlink ref="T9" r:id="rId7" xr:uid="{A0A9923D-84F6-40CA-B461-E9B30C9771B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9C8CA67-D97C-40C1-ADFE-55F121B025D1}">
          <x14:formula1>
            <xm:f>Settings!$C$3:$C$20</xm:f>
          </x14:formula1>
          <xm:sqref>I8 I2:I6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7C87E-E234-4F8A-BBC3-3D12CC2E0647}">
  <dimension ref="A1:O2"/>
  <sheetViews>
    <sheetView workbookViewId="0">
      <selection activeCell="J2" sqref="J2"/>
    </sheetView>
  </sheetViews>
  <sheetFormatPr defaultRowHeight="12.75"/>
  <cols>
    <col min="1" max="1" width="13.7109375" customWidth="1"/>
    <col min="6" max="6" width="38" customWidth="1"/>
    <col min="10" max="10" width="18.140625" customWidth="1"/>
    <col min="11" max="11" width="11.42578125" customWidth="1"/>
    <col min="12" max="12" width="10.140625" customWidth="1"/>
    <col min="13" max="13" width="11.42578125" customWidth="1"/>
    <col min="14" max="14" width="19.28515625" customWidth="1"/>
  </cols>
  <sheetData>
    <row r="1" spans="1:15" ht="27">
      <c r="A1" s="23" t="s">
        <v>74</v>
      </c>
      <c r="B1" s="172" t="s">
        <v>75</v>
      </c>
      <c r="C1" s="172" t="s">
        <v>76</v>
      </c>
      <c r="D1" s="23" t="s">
        <v>2</v>
      </c>
      <c r="E1" s="172" t="s">
        <v>77</v>
      </c>
      <c r="F1" s="172" t="s">
        <v>78</v>
      </c>
      <c r="G1" s="23" t="s">
        <v>79</v>
      </c>
      <c r="H1" s="23" t="s">
        <v>80</v>
      </c>
      <c r="I1" s="23" t="s">
        <v>81</v>
      </c>
      <c r="J1" s="23" t="s">
        <v>4</v>
      </c>
      <c r="K1" s="45" t="s">
        <v>312</v>
      </c>
      <c r="L1" s="45" t="s">
        <v>313</v>
      </c>
      <c r="M1" s="45" t="s">
        <v>314</v>
      </c>
      <c r="N1" s="173" t="s">
        <v>82</v>
      </c>
      <c r="O1" s="174" t="s">
        <v>5</v>
      </c>
    </row>
    <row r="2" spans="1:15" ht="36.75" customHeight="1">
      <c r="A2" s="167" t="s">
        <v>218</v>
      </c>
      <c r="B2" s="165">
        <v>25313</v>
      </c>
      <c r="C2" s="165">
        <v>47441</v>
      </c>
      <c r="D2" s="49" t="s">
        <v>40</v>
      </c>
      <c r="E2" s="24" t="s">
        <v>642</v>
      </c>
      <c r="F2" s="11" t="s">
        <v>812</v>
      </c>
      <c r="G2" s="24" t="s">
        <v>473</v>
      </c>
      <c r="H2" s="24" t="s">
        <v>353</v>
      </c>
      <c r="I2" s="24" t="s">
        <v>354</v>
      </c>
      <c r="J2" s="195" t="s">
        <v>358</v>
      </c>
      <c r="K2" s="164">
        <v>2</v>
      </c>
      <c r="L2" s="164">
        <f>M2/4</f>
        <v>1.5</v>
      </c>
      <c r="M2" s="164">
        <v>6</v>
      </c>
      <c r="N2" s="189" t="s">
        <v>644</v>
      </c>
      <c r="O2" s="14" t="s">
        <v>813</v>
      </c>
    </row>
  </sheetData>
  <dataValidations count="4">
    <dataValidation type="list" allowBlank="1" showErrorMessage="1" sqref="I2" xr:uid="{9C85186A-870B-4E6B-A3BD-79C088018F16}">
      <formula1>"Internal,External"</formula1>
    </dataValidation>
    <dataValidation type="list" allowBlank="1" showErrorMessage="1" sqref="G2" xr:uid="{FC9B0DF5-2BB9-4C54-998D-0618FA7D6AB1}">
      <formula1>"Minor,Significant,Major"</formula1>
    </dataValidation>
    <dataValidation type="list" allowBlank="1" showErrorMessage="1" sqref="E2" xr:uid="{37F4225B-0BFE-46FC-A603-DB21341CA8C2}">
      <formula1>"Bounceback,Defect,None"</formula1>
    </dataValidation>
    <dataValidation type="list" allowBlank="1" showErrorMessage="1" sqref="H2" xr:uid="{EEFCFE5B-7635-497E-BE91-0DB19C0D6063}">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1F7B13C4-9677-4B63-9ADE-3861462332D6}">
          <x14:formula1>
            <xm:f>Details!$A$2:$A$10</xm:f>
          </x14:formula1>
          <xm:sqref>N2</xm:sqref>
        </x14:dataValidation>
        <x14:dataValidation type="list" allowBlank="1" showErrorMessage="1" xr:uid="{3156F508-DC77-47D1-9439-645907BCE796}">
          <x14:formula1>
            <xm:f>Settings!$C$3:$C$20</xm:f>
          </x14:formula1>
          <xm:sqref>J2</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0691-7B62-43F6-8784-814CCC494B84}">
  <dimension ref="A1:AE11"/>
  <sheetViews>
    <sheetView topLeftCell="F3" workbookViewId="0">
      <selection activeCell="H6" sqref="H6"/>
    </sheetView>
  </sheetViews>
  <sheetFormatPr defaultRowHeight="30" customHeight="1"/>
  <cols>
    <col min="1" max="1" width="4.7109375" bestFit="1" customWidth="1"/>
    <col min="5" max="5" width="19.28515625" customWidth="1"/>
    <col min="6" max="6" width="13.140625" customWidth="1"/>
    <col min="7" max="7" width="11" bestFit="1" customWidth="1"/>
    <col min="8" max="8" width="42.7109375" customWidth="1"/>
    <col min="9" max="9" width="23.5703125" customWidth="1"/>
    <col min="11" max="11" width="9" bestFit="1" customWidth="1"/>
    <col min="13" max="13" width="10" bestFit="1" customWidth="1"/>
    <col min="19" max="19" width="13.5703125" customWidth="1"/>
    <col min="20" max="20" width="17.42578125" customWidth="1"/>
    <col min="21" max="21" width="10" bestFit="1" customWidth="1"/>
    <col min="22" max="22" width="12" customWidth="1"/>
    <col min="24" max="24" width="15.140625" customWidth="1"/>
    <col min="26" max="26" width="11.7109375" customWidth="1"/>
    <col min="30" max="30" width="24.5703125" customWidth="1"/>
    <col min="31" max="31" width="18.7109375" bestFit="1" customWidth="1"/>
  </cols>
  <sheetData>
    <row r="1" spans="1:31" ht="75.75" customHeight="1">
      <c r="A1" s="26" t="s">
        <v>73</v>
      </c>
      <c r="B1" s="26" t="s">
        <v>1</v>
      </c>
      <c r="C1" s="26" t="s">
        <v>85</v>
      </c>
      <c r="D1" s="26" t="s">
        <v>86</v>
      </c>
      <c r="E1" s="26" t="s">
        <v>310</v>
      </c>
      <c r="F1" s="26" t="s">
        <v>2</v>
      </c>
      <c r="G1" s="26" t="s">
        <v>311</v>
      </c>
      <c r="H1" s="157" t="s">
        <v>3</v>
      </c>
      <c r="I1" s="26" t="s">
        <v>4</v>
      </c>
      <c r="J1" s="26" t="s">
        <v>312</v>
      </c>
      <c r="K1" s="26" t="s">
        <v>313</v>
      </c>
      <c r="L1" s="26" t="s">
        <v>314</v>
      </c>
      <c r="M1" s="26" t="s">
        <v>315</v>
      </c>
      <c r="N1" s="26" t="s">
        <v>316</v>
      </c>
      <c r="O1" s="26" t="s">
        <v>317</v>
      </c>
      <c r="P1" s="26" t="s">
        <v>318</v>
      </c>
      <c r="Q1" s="26" t="s">
        <v>319</v>
      </c>
      <c r="R1" s="26" t="s">
        <v>320</v>
      </c>
      <c r="S1" s="26" t="s">
        <v>321</v>
      </c>
      <c r="T1" s="26" t="s">
        <v>322</v>
      </c>
      <c r="U1" s="26" t="s">
        <v>323</v>
      </c>
      <c r="V1" s="26" t="s">
        <v>324</v>
      </c>
      <c r="W1" s="26" t="s">
        <v>325</v>
      </c>
      <c r="X1" s="26" t="s">
        <v>326</v>
      </c>
      <c r="Y1" s="26" t="s">
        <v>327</v>
      </c>
      <c r="Z1" s="26" t="s">
        <v>328</v>
      </c>
      <c r="AA1" s="26" t="s">
        <v>329</v>
      </c>
      <c r="AB1" s="26" t="s">
        <v>330</v>
      </c>
      <c r="AC1" s="26" t="s">
        <v>331</v>
      </c>
      <c r="AD1" s="46" t="s">
        <v>5</v>
      </c>
      <c r="AE1" s="26" t="s">
        <v>332</v>
      </c>
    </row>
    <row r="2" spans="1:31" ht="30" customHeight="1">
      <c r="A2" s="79">
        <v>1</v>
      </c>
      <c r="B2" s="79" t="s">
        <v>87</v>
      </c>
      <c r="C2" s="102">
        <v>45847</v>
      </c>
      <c r="D2" s="102">
        <v>45860</v>
      </c>
      <c r="E2" s="78" t="s">
        <v>213</v>
      </c>
      <c r="F2" s="114" t="s">
        <v>49</v>
      </c>
      <c r="G2" s="79">
        <v>48449</v>
      </c>
      <c r="H2" s="47" t="s">
        <v>814</v>
      </c>
      <c r="I2" s="156" t="s">
        <v>358</v>
      </c>
      <c r="J2" s="100">
        <v>2</v>
      </c>
      <c r="K2" s="100">
        <f>L2/4</f>
        <v>3.75</v>
      </c>
      <c r="L2" s="100">
        <v>15</v>
      </c>
      <c r="M2" s="81">
        <v>45806</v>
      </c>
      <c r="N2" s="153">
        <v>45852</v>
      </c>
      <c r="O2" s="100" t="s">
        <v>335</v>
      </c>
      <c r="P2" s="100" t="s">
        <v>349</v>
      </c>
      <c r="Q2" s="100" t="s">
        <v>400</v>
      </c>
      <c r="R2" s="100" t="s">
        <v>40</v>
      </c>
      <c r="S2" s="100" t="s">
        <v>400</v>
      </c>
      <c r="T2" s="132" t="s">
        <v>815</v>
      </c>
      <c r="U2" s="153">
        <v>45783</v>
      </c>
      <c r="V2" s="100" t="s">
        <v>724</v>
      </c>
      <c r="W2" s="100" t="s">
        <v>344</v>
      </c>
      <c r="X2" s="100" t="s">
        <v>400</v>
      </c>
      <c r="Y2" s="100" t="s">
        <v>724</v>
      </c>
      <c r="Z2" s="100" t="s">
        <v>724</v>
      </c>
      <c r="AA2" s="47" t="s">
        <v>724</v>
      </c>
      <c r="AB2" s="49" t="s">
        <v>345</v>
      </c>
      <c r="AC2" s="49" t="s">
        <v>345</v>
      </c>
      <c r="AD2" s="151"/>
      <c r="AE2" s="12" t="s">
        <v>340</v>
      </c>
    </row>
    <row r="3" spans="1:31" ht="30" customHeight="1">
      <c r="A3" s="79">
        <v>2</v>
      </c>
      <c r="B3" s="79" t="s">
        <v>87</v>
      </c>
      <c r="C3" s="102">
        <v>45847</v>
      </c>
      <c r="D3" s="102">
        <v>45860</v>
      </c>
      <c r="E3" s="78" t="s">
        <v>213</v>
      </c>
      <c r="F3" s="114" t="s">
        <v>40</v>
      </c>
      <c r="G3" s="165">
        <v>49065</v>
      </c>
      <c r="H3" s="164" t="s">
        <v>816</v>
      </c>
      <c r="I3" s="156" t="s">
        <v>358</v>
      </c>
      <c r="J3" s="114">
        <v>3</v>
      </c>
      <c r="K3" s="100">
        <f t="shared" ref="K3:K11" si="0">L3/4</f>
        <v>1.5</v>
      </c>
      <c r="L3" s="114">
        <v>6</v>
      </c>
      <c r="M3" s="81">
        <v>45848</v>
      </c>
      <c r="N3" s="81">
        <v>45853</v>
      </c>
      <c r="O3" s="100" t="s">
        <v>335</v>
      </c>
      <c r="P3" s="100" t="s">
        <v>349</v>
      </c>
      <c r="Q3" s="100" t="s">
        <v>400</v>
      </c>
      <c r="R3" s="100" t="s">
        <v>47</v>
      </c>
      <c r="S3" s="100" t="s">
        <v>400</v>
      </c>
      <c r="T3" s="132" t="s">
        <v>817</v>
      </c>
      <c r="U3" s="81">
        <v>45853</v>
      </c>
      <c r="V3" s="81">
        <v>45853</v>
      </c>
      <c r="W3" s="100" t="s">
        <v>344</v>
      </c>
      <c r="X3" s="100" t="s">
        <v>818</v>
      </c>
      <c r="Y3" s="100" t="s">
        <v>462</v>
      </c>
      <c r="Z3" s="81">
        <v>45855</v>
      </c>
      <c r="AA3" s="49" t="s">
        <v>345</v>
      </c>
      <c r="AB3" s="49" t="s">
        <v>345</v>
      </c>
      <c r="AC3" s="49" t="s">
        <v>345</v>
      </c>
      <c r="AD3" s="14"/>
      <c r="AE3" s="12" t="s">
        <v>340</v>
      </c>
    </row>
    <row r="4" spans="1:31" ht="30" customHeight="1">
      <c r="A4" s="79">
        <v>3</v>
      </c>
      <c r="B4" s="79" t="s">
        <v>87</v>
      </c>
      <c r="C4" s="102">
        <v>45847</v>
      </c>
      <c r="D4" s="102">
        <v>45860</v>
      </c>
      <c r="E4" s="78" t="s">
        <v>213</v>
      </c>
      <c r="F4" s="114" t="s">
        <v>40</v>
      </c>
      <c r="G4" s="165">
        <v>48649</v>
      </c>
      <c r="H4" s="164" t="s">
        <v>819</v>
      </c>
      <c r="I4" s="156" t="s">
        <v>358</v>
      </c>
      <c r="J4" s="114">
        <v>8</v>
      </c>
      <c r="K4" s="100">
        <f t="shared" si="0"/>
        <v>8.25</v>
      </c>
      <c r="L4" s="114">
        <v>33</v>
      </c>
      <c r="M4" s="81">
        <v>45848</v>
      </c>
      <c r="N4" s="81">
        <v>45853</v>
      </c>
      <c r="O4" s="100" t="s">
        <v>335</v>
      </c>
      <c r="P4" s="100" t="s">
        <v>349</v>
      </c>
      <c r="Q4" s="100" t="s">
        <v>400</v>
      </c>
      <c r="R4" s="100" t="s">
        <v>47</v>
      </c>
      <c r="S4" s="100" t="s">
        <v>400</v>
      </c>
      <c r="T4" s="132" t="s">
        <v>817</v>
      </c>
      <c r="U4" s="81">
        <v>45853</v>
      </c>
      <c r="V4" s="81">
        <v>45853</v>
      </c>
      <c r="W4" s="100" t="s">
        <v>344</v>
      </c>
      <c r="X4" s="49" t="s">
        <v>345</v>
      </c>
      <c r="Y4" s="100" t="s">
        <v>462</v>
      </c>
      <c r="Z4" s="81">
        <v>45856</v>
      </c>
      <c r="AA4" s="49" t="s">
        <v>345</v>
      </c>
      <c r="AB4" s="49" t="s">
        <v>345</v>
      </c>
      <c r="AC4" s="49" t="s">
        <v>345</v>
      </c>
      <c r="AD4" s="14" t="s">
        <v>820</v>
      </c>
      <c r="AE4" s="12" t="s">
        <v>340</v>
      </c>
    </row>
    <row r="5" spans="1:31" ht="30" customHeight="1">
      <c r="A5" s="79">
        <v>4</v>
      </c>
      <c r="B5" s="79" t="s">
        <v>87</v>
      </c>
      <c r="C5" s="102">
        <v>45847</v>
      </c>
      <c r="D5" s="102">
        <v>45860</v>
      </c>
      <c r="E5" s="167" t="s">
        <v>821</v>
      </c>
      <c r="F5" s="114" t="s">
        <v>40</v>
      </c>
      <c r="G5" s="165">
        <v>49117</v>
      </c>
      <c r="H5" s="164" t="s">
        <v>822</v>
      </c>
      <c r="I5" s="156" t="s">
        <v>358</v>
      </c>
      <c r="J5" s="114">
        <v>2</v>
      </c>
      <c r="K5" s="100">
        <f t="shared" si="0"/>
        <v>1.5</v>
      </c>
      <c r="L5" s="114">
        <v>6</v>
      </c>
      <c r="M5" s="81">
        <v>45847</v>
      </c>
      <c r="N5" s="81">
        <v>45847</v>
      </c>
      <c r="O5" s="100" t="s">
        <v>335</v>
      </c>
      <c r="P5" s="100" t="s">
        <v>349</v>
      </c>
      <c r="Q5" s="100" t="s">
        <v>400</v>
      </c>
      <c r="R5" s="100" t="s">
        <v>47</v>
      </c>
      <c r="S5" s="100" t="s">
        <v>400</v>
      </c>
      <c r="T5" s="132" t="s">
        <v>823</v>
      </c>
      <c r="U5" s="81">
        <v>45847</v>
      </c>
      <c r="V5" s="81">
        <v>45847</v>
      </c>
      <c r="W5" s="100" t="s">
        <v>344</v>
      </c>
      <c r="X5" s="49" t="s">
        <v>345</v>
      </c>
      <c r="Y5" s="100" t="s">
        <v>344</v>
      </c>
      <c r="Z5" s="81">
        <v>45847</v>
      </c>
      <c r="AA5" s="49" t="s">
        <v>345</v>
      </c>
      <c r="AB5" s="49" t="s">
        <v>345</v>
      </c>
      <c r="AC5" s="49" t="s">
        <v>345</v>
      </c>
      <c r="AD5" s="14"/>
      <c r="AE5" s="12" t="s">
        <v>340</v>
      </c>
    </row>
    <row r="6" spans="1:31" ht="30" customHeight="1">
      <c r="A6" s="79">
        <v>5</v>
      </c>
      <c r="B6" s="79" t="s">
        <v>87</v>
      </c>
      <c r="C6" s="102">
        <v>45847</v>
      </c>
      <c r="D6" s="102">
        <v>45860</v>
      </c>
      <c r="E6" s="167" t="s">
        <v>821</v>
      </c>
      <c r="F6" s="114" t="s">
        <v>40</v>
      </c>
      <c r="G6" s="165">
        <v>49118</v>
      </c>
      <c r="H6" s="164" t="s">
        <v>824</v>
      </c>
      <c r="I6" s="156" t="s">
        <v>358</v>
      </c>
      <c r="J6" s="114">
        <v>2</v>
      </c>
      <c r="K6" s="100">
        <f t="shared" si="0"/>
        <v>1.5</v>
      </c>
      <c r="L6" s="114">
        <v>6</v>
      </c>
      <c r="M6" s="81">
        <v>45847</v>
      </c>
      <c r="N6" s="81">
        <v>45847</v>
      </c>
      <c r="O6" s="100" t="s">
        <v>335</v>
      </c>
      <c r="P6" s="100" t="s">
        <v>349</v>
      </c>
      <c r="Q6" s="100" t="s">
        <v>400</v>
      </c>
      <c r="R6" s="100" t="s">
        <v>47</v>
      </c>
      <c r="S6" s="100" t="s">
        <v>400</v>
      </c>
      <c r="T6" s="132" t="s">
        <v>825</v>
      </c>
      <c r="U6" s="81">
        <v>45847</v>
      </c>
      <c r="V6" s="81">
        <v>45847</v>
      </c>
      <c r="W6" s="100" t="s">
        <v>344</v>
      </c>
      <c r="X6" s="49" t="s">
        <v>345</v>
      </c>
      <c r="Y6" s="100" t="s">
        <v>344</v>
      </c>
      <c r="Z6" s="81">
        <v>45847</v>
      </c>
      <c r="AA6" s="49" t="s">
        <v>345</v>
      </c>
      <c r="AB6" s="49" t="s">
        <v>345</v>
      </c>
      <c r="AC6" s="49" t="s">
        <v>345</v>
      </c>
      <c r="AD6" s="14"/>
      <c r="AE6" s="12" t="s">
        <v>340</v>
      </c>
    </row>
    <row r="7" spans="1:31" ht="30" customHeight="1">
      <c r="A7" s="79">
        <v>6</v>
      </c>
      <c r="B7" s="79" t="s">
        <v>87</v>
      </c>
      <c r="C7" s="102">
        <v>45847</v>
      </c>
      <c r="D7" s="102">
        <v>45860</v>
      </c>
      <c r="E7" s="167" t="s">
        <v>821</v>
      </c>
      <c r="F7" s="114" t="s">
        <v>47</v>
      </c>
      <c r="G7" s="165">
        <v>47757</v>
      </c>
      <c r="H7" s="164" t="s">
        <v>826</v>
      </c>
      <c r="I7" s="156" t="s">
        <v>358</v>
      </c>
      <c r="J7" s="114">
        <v>3</v>
      </c>
      <c r="K7" s="100">
        <f t="shared" si="0"/>
        <v>7.5</v>
      </c>
      <c r="L7" s="114">
        <v>30</v>
      </c>
      <c r="M7" s="81">
        <v>45847</v>
      </c>
      <c r="N7" s="81">
        <v>45860</v>
      </c>
      <c r="O7" s="78" t="s">
        <v>552</v>
      </c>
      <c r="P7" s="78" t="s">
        <v>552</v>
      </c>
      <c r="Q7" s="78" t="s">
        <v>400</v>
      </c>
      <c r="R7" s="78" t="s">
        <v>47</v>
      </c>
      <c r="S7" s="78" t="s">
        <v>400</v>
      </c>
      <c r="T7" s="132" t="s">
        <v>552</v>
      </c>
      <c r="U7" s="49" t="s">
        <v>345</v>
      </c>
      <c r="V7" s="49" t="s">
        <v>345</v>
      </c>
      <c r="W7" s="49" t="s">
        <v>345</v>
      </c>
      <c r="X7" s="49" t="s">
        <v>345</v>
      </c>
      <c r="Y7" s="49" t="s">
        <v>345</v>
      </c>
      <c r="Z7" s="49" t="s">
        <v>345</v>
      </c>
      <c r="AA7" s="49" t="s">
        <v>345</v>
      </c>
      <c r="AB7" s="49" t="s">
        <v>345</v>
      </c>
      <c r="AC7" s="49" t="s">
        <v>345</v>
      </c>
      <c r="AD7" s="14" t="s">
        <v>827</v>
      </c>
      <c r="AE7" s="12" t="s">
        <v>340</v>
      </c>
    </row>
    <row r="8" spans="1:31" ht="30" customHeight="1">
      <c r="A8" s="79">
        <v>7</v>
      </c>
      <c r="B8" s="79" t="s">
        <v>87</v>
      </c>
      <c r="C8" s="102">
        <v>45847</v>
      </c>
      <c r="D8" s="102">
        <v>45860</v>
      </c>
      <c r="E8" s="167" t="s">
        <v>821</v>
      </c>
      <c r="F8" s="114" t="s">
        <v>49</v>
      </c>
      <c r="G8" s="165">
        <v>48436</v>
      </c>
      <c r="H8" s="164" t="s">
        <v>458</v>
      </c>
      <c r="I8" s="164" t="s">
        <v>343</v>
      </c>
      <c r="J8" s="114">
        <v>2</v>
      </c>
      <c r="K8" s="100">
        <f t="shared" si="0"/>
        <v>7.75</v>
      </c>
      <c r="L8" s="114">
        <v>31</v>
      </c>
      <c r="M8" s="176">
        <v>45833</v>
      </c>
      <c r="N8" s="176">
        <v>45860</v>
      </c>
      <c r="O8" s="78" t="s">
        <v>400</v>
      </c>
      <c r="P8" s="78" t="s">
        <v>400</v>
      </c>
      <c r="Q8" s="78" t="s">
        <v>400</v>
      </c>
      <c r="R8" s="100" t="s">
        <v>40</v>
      </c>
      <c r="S8" s="100" t="s">
        <v>828</v>
      </c>
      <c r="T8" s="132" t="s">
        <v>459</v>
      </c>
      <c r="U8" s="81">
        <v>45857</v>
      </c>
      <c r="V8" s="49" t="s">
        <v>345</v>
      </c>
      <c r="W8" s="49" t="s">
        <v>345</v>
      </c>
      <c r="X8" s="100" t="s">
        <v>345</v>
      </c>
      <c r="Y8" s="49" t="s">
        <v>345</v>
      </c>
      <c r="Z8" s="81" t="s">
        <v>345</v>
      </c>
      <c r="AA8" s="49" t="s">
        <v>408</v>
      </c>
      <c r="AB8" s="49" t="s">
        <v>829</v>
      </c>
      <c r="AC8" s="49" t="s">
        <v>345</v>
      </c>
      <c r="AD8" s="14"/>
      <c r="AE8" s="12" t="s">
        <v>340</v>
      </c>
    </row>
    <row r="9" spans="1:31" ht="30" customHeight="1">
      <c r="A9" s="79">
        <v>8</v>
      </c>
      <c r="B9" s="79" t="s">
        <v>87</v>
      </c>
      <c r="C9" s="102">
        <v>45847</v>
      </c>
      <c r="D9" s="102">
        <v>45860</v>
      </c>
      <c r="E9" s="167" t="s">
        <v>821</v>
      </c>
      <c r="F9" s="114" t="s">
        <v>47</v>
      </c>
      <c r="G9" s="165">
        <v>49285</v>
      </c>
      <c r="H9" s="164" t="s">
        <v>460</v>
      </c>
      <c r="I9" s="164" t="s">
        <v>334</v>
      </c>
      <c r="J9" s="114">
        <v>5</v>
      </c>
      <c r="K9" s="100">
        <f t="shared" si="0"/>
        <v>4.5</v>
      </c>
      <c r="L9" s="114">
        <v>18</v>
      </c>
      <c r="M9" s="114"/>
      <c r="N9" s="114"/>
      <c r="O9" s="100"/>
      <c r="P9" s="100"/>
      <c r="Q9" s="100"/>
      <c r="R9" s="100"/>
      <c r="S9" s="100"/>
      <c r="T9" s="132"/>
      <c r="U9" s="81"/>
      <c r="V9" s="81"/>
      <c r="W9" s="100"/>
      <c r="X9" s="100"/>
      <c r="Y9" s="100"/>
      <c r="Z9" s="81"/>
      <c r="AA9" s="49"/>
      <c r="AB9" s="49"/>
      <c r="AC9" s="49"/>
      <c r="AD9" s="14"/>
      <c r="AE9" s="12"/>
    </row>
    <row r="10" spans="1:31" ht="30" customHeight="1">
      <c r="A10" s="79">
        <v>9</v>
      </c>
      <c r="B10" s="79" t="s">
        <v>87</v>
      </c>
      <c r="C10" s="102">
        <v>45847</v>
      </c>
      <c r="D10" s="102">
        <v>45860</v>
      </c>
      <c r="E10" s="167" t="s">
        <v>821</v>
      </c>
      <c r="F10" s="114" t="s">
        <v>40</v>
      </c>
      <c r="G10" s="165">
        <v>49286</v>
      </c>
      <c r="H10" s="164" t="s">
        <v>463</v>
      </c>
      <c r="I10" s="164" t="s">
        <v>334</v>
      </c>
      <c r="J10" s="114">
        <v>8</v>
      </c>
      <c r="K10" s="100">
        <f t="shared" si="0"/>
        <v>1.5</v>
      </c>
      <c r="L10" s="114">
        <v>6</v>
      </c>
      <c r="M10" s="114"/>
      <c r="N10" s="114"/>
      <c r="O10" s="100"/>
      <c r="P10" s="100"/>
      <c r="Q10" s="100"/>
      <c r="R10" s="100"/>
      <c r="S10" s="100"/>
      <c r="T10" s="132"/>
      <c r="U10" s="81"/>
      <c r="V10" s="81"/>
      <c r="W10" s="100"/>
      <c r="X10" s="100"/>
      <c r="Y10" s="100"/>
      <c r="Z10" s="81"/>
      <c r="AA10" s="49"/>
      <c r="AB10" s="49"/>
      <c r="AC10" s="49"/>
      <c r="AD10" s="14"/>
      <c r="AE10" s="12"/>
    </row>
    <row r="11" spans="1:31" ht="30" customHeight="1">
      <c r="A11" s="165">
        <v>10</v>
      </c>
      <c r="B11" s="79" t="s">
        <v>87</v>
      </c>
      <c r="C11" s="102">
        <v>45847</v>
      </c>
      <c r="D11" s="102">
        <v>45860</v>
      </c>
      <c r="E11" s="167" t="s">
        <v>821</v>
      </c>
      <c r="F11" s="114" t="s">
        <v>37</v>
      </c>
      <c r="G11" s="165">
        <v>49171</v>
      </c>
      <c r="H11" s="164" t="s">
        <v>471</v>
      </c>
      <c r="I11" s="164" t="s">
        <v>334</v>
      </c>
      <c r="J11" s="114">
        <v>13</v>
      </c>
      <c r="K11" s="100">
        <f t="shared" si="0"/>
        <v>3.75</v>
      </c>
      <c r="L11" s="114">
        <v>15</v>
      </c>
      <c r="M11" s="114"/>
      <c r="N11" s="114"/>
      <c r="O11" s="12"/>
      <c r="P11" s="12"/>
      <c r="Q11" s="12"/>
      <c r="R11" s="12"/>
      <c r="S11" s="12"/>
      <c r="T11" s="12"/>
      <c r="U11" s="12"/>
      <c r="V11" s="12"/>
      <c r="W11" s="12"/>
      <c r="X11" s="12"/>
      <c r="Y11" s="12"/>
      <c r="Z11" s="12"/>
      <c r="AA11" s="12"/>
      <c r="AB11" s="12"/>
      <c r="AC11" s="12"/>
      <c r="AD11" s="12" t="s">
        <v>830</v>
      </c>
      <c r="AE11" s="12"/>
    </row>
  </sheetData>
  <dataValidations count="1">
    <dataValidation type="list" allowBlank="1" showInputMessage="1" showErrorMessage="1" sqref="AE2:AE10" xr:uid="{43F181F7-2228-4150-81CD-5FA5C3D967EA}">
      <formula1>"Exceeds Expectation, Meets Expectation, Needs Improvement"</formula1>
    </dataValidation>
  </dataValidations>
  <hyperlinks>
    <hyperlink ref="T2" r:id="rId1" xr:uid="{1665F041-1974-4CA6-AA43-4BB7B8128A19}"/>
    <hyperlink ref="T3" r:id="rId2" xr:uid="{A7C8EFF2-82FA-4EDB-BF62-3C823ECBDC34}"/>
    <hyperlink ref="T6" r:id="rId3" xr:uid="{66600B82-231A-4C9E-BFD6-8180DD41572A}"/>
    <hyperlink ref="T5" r:id="rId4" xr:uid="{288BBE28-04C5-4F38-AC0C-8EE7801700AF}"/>
    <hyperlink ref="T4" r:id="rId5" xr:uid="{4414808D-3677-4FD5-A1E4-724F4844CA73}"/>
    <hyperlink ref="T8" r:id="rId6" xr:uid="{4E65D1A7-9256-4125-8D65-5698E8C4C9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A592524-C11D-41C0-85EA-3D9EF2027DE9}">
          <x14:formula1>
            <xm:f>Settings!$C$3:$C$20</xm:f>
          </x14:formula1>
          <xm:sqref>I2:I7</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6642-C5C7-4638-A0BD-DA73B608A7A1}">
  <dimension ref="A1:L3"/>
  <sheetViews>
    <sheetView workbookViewId="0">
      <selection activeCell="K2" sqref="K2"/>
    </sheetView>
  </sheetViews>
  <sheetFormatPr defaultRowHeight="12.75"/>
  <cols>
    <col min="6" max="6" width="25.140625" customWidth="1"/>
    <col min="10" max="10" width="18.140625" customWidth="1"/>
  </cols>
  <sheetData>
    <row r="1" spans="1:12" ht="40.5">
      <c r="A1" s="23" t="s">
        <v>74</v>
      </c>
      <c r="B1" s="172" t="s">
        <v>75</v>
      </c>
      <c r="C1" s="172" t="s">
        <v>76</v>
      </c>
      <c r="D1" s="23" t="s">
        <v>2</v>
      </c>
      <c r="E1" s="172" t="s">
        <v>77</v>
      </c>
      <c r="F1" s="172" t="s">
        <v>78</v>
      </c>
      <c r="G1" s="23" t="s">
        <v>79</v>
      </c>
      <c r="H1" s="23" t="s">
        <v>80</v>
      </c>
      <c r="I1" s="23" t="s">
        <v>81</v>
      </c>
      <c r="J1" s="23" t="s">
        <v>4</v>
      </c>
      <c r="K1" s="173" t="s">
        <v>82</v>
      </c>
      <c r="L1" s="174" t="s">
        <v>5</v>
      </c>
    </row>
    <row r="2" spans="1:12" ht="51.75" customHeight="1">
      <c r="A2" s="78">
        <v>5</v>
      </c>
      <c r="B2" s="49">
        <v>25606</v>
      </c>
      <c r="C2" s="165"/>
      <c r="D2" s="49" t="s">
        <v>49</v>
      </c>
      <c r="E2" s="24" t="s">
        <v>394</v>
      </c>
      <c r="F2" s="164" t="s">
        <v>831</v>
      </c>
      <c r="G2" s="24" t="s">
        <v>473</v>
      </c>
      <c r="H2" s="24" t="s">
        <v>353</v>
      </c>
      <c r="I2" s="24" t="s">
        <v>354</v>
      </c>
      <c r="J2" s="53" t="s">
        <v>334</v>
      </c>
      <c r="K2" s="24" t="s">
        <v>644</v>
      </c>
      <c r="L2" s="14"/>
    </row>
    <row r="3" spans="1:12" ht="45.75" customHeight="1">
      <c r="A3" s="78"/>
      <c r="B3" s="165"/>
      <c r="C3" s="165"/>
      <c r="D3" s="49"/>
      <c r="E3" s="24"/>
      <c r="F3" s="14"/>
      <c r="G3" s="24"/>
      <c r="H3" s="24"/>
      <c r="I3" s="24"/>
      <c r="J3" s="53"/>
      <c r="K3" s="24"/>
      <c r="L3" s="14"/>
    </row>
  </sheetData>
  <dataValidations count="4">
    <dataValidation type="list" allowBlank="1" showErrorMessage="1" sqref="H2:H3" xr:uid="{56ECCC49-171D-457A-9E40-106EF74FA7AD}">
      <formula1>"Manual, Automation"</formula1>
    </dataValidation>
    <dataValidation type="list" allowBlank="1" showErrorMessage="1" sqref="E2:E3" xr:uid="{A7869A10-9317-4521-A3E6-3DE5C83DF60A}">
      <formula1>"Bounceback,Defect,None"</formula1>
    </dataValidation>
    <dataValidation type="list" allowBlank="1" showErrorMessage="1" sqref="G2:G3" xr:uid="{F33495EB-53B8-4F3C-8402-4DDC274D4E56}">
      <formula1>"Minor,Significant,Major"</formula1>
    </dataValidation>
    <dataValidation type="list" allowBlank="1" showErrorMessage="1" sqref="I2:I3" xr:uid="{61E1FE77-6C99-43A9-A509-051A1A3221EA}">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BCC69387-2ACD-43FD-A36C-2DC7D0576D50}">
          <x14:formula1>
            <xm:f>Settings!$C$3:$C$20</xm:f>
          </x14:formula1>
          <xm:sqref>J2:J3</xm:sqref>
        </x14:dataValidation>
        <x14:dataValidation type="list" allowBlank="1" showErrorMessage="1" xr:uid="{B0CCDB56-8408-4AC1-8342-FC4FCCEA5434}">
          <x14:formula1>
            <xm:f>Details!$A$2:$A$10</xm:f>
          </x14:formula1>
          <xm:sqref>K2:K3</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6962-001A-4AA0-B930-F1487B86C68F}">
  <dimension ref="A1:AC15"/>
  <sheetViews>
    <sheetView workbookViewId="0">
      <selection activeCell="I2" sqref="I2:I10"/>
    </sheetView>
  </sheetViews>
  <sheetFormatPr defaultRowHeight="30" customHeight="1"/>
  <cols>
    <col min="1" max="1" width="4.7109375" bestFit="1" customWidth="1"/>
    <col min="5" max="5" width="19.28515625" customWidth="1"/>
    <col min="6" max="6" width="13.140625" customWidth="1"/>
    <col min="7" max="7" width="11" bestFit="1" customWidth="1"/>
    <col min="8" max="8" width="42.7109375" customWidth="1"/>
    <col min="9" max="9" width="23.5703125" customWidth="1"/>
    <col min="11" max="11" width="9" bestFit="1" customWidth="1"/>
    <col min="17" max="17" width="13.5703125" customWidth="1"/>
    <col min="18" max="18" width="17.42578125" customWidth="1"/>
    <col min="19" max="19" width="10" bestFit="1" customWidth="1"/>
    <col min="20" max="20" width="12" customWidth="1"/>
    <col min="24" max="24" width="11.7109375" customWidth="1"/>
    <col min="28" max="28" width="24.5703125" customWidth="1"/>
    <col min="29" max="29" width="18.7109375" bestFit="1" customWidth="1"/>
  </cols>
  <sheetData>
    <row r="1" spans="1:29" ht="75.75" customHeight="1">
      <c r="A1" s="26" t="s">
        <v>73</v>
      </c>
      <c r="B1" s="26" t="s">
        <v>1</v>
      </c>
      <c r="C1" s="26" t="s">
        <v>85</v>
      </c>
      <c r="D1" s="26" t="s">
        <v>86</v>
      </c>
      <c r="E1" s="26" t="s">
        <v>310</v>
      </c>
      <c r="F1" s="26" t="s">
        <v>2</v>
      </c>
      <c r="G1" s="26" t="s">
        <v>311</v>
      </c>
      <c r="H1" s="157" t="s">
        <v>3</v>
      </c>
      <c r="I1" s="26" t="s">
        <v>4</v>
      </c>
      <c r="J1" s="26" t="s">
        <v>312</v>
      </c>
      <c r="K1" s="26" t="s">
        <v>313</v>
      </c>
      <c r="L1" s="26" t="s">
        <v>314</v>
      </c>
      <c r="M1" s="26" t="s">
        <v>317</v>
      </c>
      <c r="N1" s="26" t="s">
        <v>318</v>
      </c>
      <c r="O1" s="26" t="s">
        <v>319</v>
      </c>
      <c r="P1" s="26" t="s">
        <v>320</v>
      </c>
      <c r="Q1" s="26" t="s">
        <v>321</v>
      </c>
      <c r="R1" s="26" t="s">
        <v>322</v>
      </c>
      <c r="S1" s="26" t="s">
        <v>323</v>
      </c>
      <c r="T1" s="26" t="s">
        <v>324</v>
      </c>
      <c r="U1" s="26" t="s">
        <v>325</v>
      </c>
      <c r="V1" s="26" t="s">
        <v>326</v>
      </c>
      <c r="W1" s="26" t="s">
        <v>327</v>
      </c>
      <c r="X1" s="26" t="s">
        <v>328</v>
      </c>
      <c r="Y1" s="26" t="s">
        <v>329</v>
      </c>
      <c r="Z1" s="26" t="s">
        <v>330</v>
      </c>
      <c r="AA1" s="26" t="s">
        <v>331</v>
      </c>
      <c r="AB1" s="46" t="s">
        <v>5</v>
      </c>
      <c r="AC1" s="26" t="s">
        <v>332</v>
      </c>
    </row>
    <row r="2" spans="1:29" ht="30" customHeight="1">
      <c r="A2" s="79">
        <v>1</v>
      </c>
      <c r="B2" s="79" t="s">
        <v>87</v>
      </c>
      <c r="C2" s="102">
        <v>45833</v>
      </c>
      <c r="D2" s="102">
        <v>45846</v>
      </c>
      <c r="E2" s="78" t="s">
        <v>206</v>
      </c>
      <c r="F2" s="114" t="s">
        <v>49</v>
      </c>
      <c r="G2" s="79">
        <v>48449</v>
      </c>
      <c r="H2" s="47" t="s">
        <v>814</v>
      </c>
      <c r="I2" s="54" t="s">
        <v>334</v>
      </c>
      <c r="J2" s="100">
        <v>2</v>
      </c>
      <c r="K2" s="100">
        <f>L2/4</f>
        <v>6.5</v>
      </c>
      <c r="L2" s="100">
        <v>26</v>
      </c>
      <c r="M2" s="100" t="s">
        <v>335</v>
      </c>
      <c r="N2" s="100" t="s">
        <v>349</v>
      </c>
      <c r="O2" s="100" t="s">
        <v>400</v>
      </c>
      <c r="P2" s="100" t="s">
        <v>40</v>
      </c>
      <c r="Q2" s="100" t="s">
        <v>400</v>
      </c>
      <c r="R2" s="132" t="s">
        <v>815</v>
      </c>
      <c r="S2" s="153">
        <v>45783</v>
      </c>
      <c r="T2" s="100" t="s">
        <v>724</v>
      </c>
      <c r="U2" s="100" t="s">
        <v>344</v>
      </c>
      <c r="V2" s="100" t="s">
        <v>400</v>
      </c>
      <c r="W2" s="100" t="s">
        <v>724</v>
      </c>
      <c r="X2" s="100" t="s">
        <v>724</v>
      </c>
      <c r="Y2" s="47" t="s">
        <v>724</v>
      </c>
      <c r="Z2" s="49" t="s">
        <v>345</v>
      </c>
      <c r="AA2" s="49" t="s">
        <v>345</v>
      </c>
      <c r="AB2" s="151" t="s">
        <v>832</v>
      </c>
      <c r="AC2" s="12" t="s">
        <v>340</v>
      </c>
    </row>
    <row r="3" spans="1:29" ht="30" customHeight="1">
      <c r="A3" s="79">
        <v>2</v>
      </c>
      <c r="B3" s="79" t="s">
        <v>87</v>
      </c>
      <c r="C3" s="102">
        <v>45833</v>
      </c>
      <c r="D3" s="102">
        <v>45846</v>
      </c>
      <c r="E3" s="78" t="s">
        <v>206</v>
      </c>
      <c r="F3" s="78" t="s">
        <v>37</v>
      </c>
      <c r="G3" s="78">
        <v>47755</v>
      </c>
      <c r="H3" s="47" t="s">
        <v>833</v>
      </c>
      <c r="I3" s="156" t="s">
        <v>358</v>
      </c>
      <c r="J3" s="100">
        <v>3</v>
      </c>
      <c r="K3" s="100">
        <f t="shared" ref="K3:K15" si="0">L3/4</f>
        <v>0.75</v>
      </c>
      <c r="L3" s="100">
        <v>3</v>
      </c>
      <c r="M3" s="100" t="s">
        <v>335</v>
      </c>
      <c r="N3" s="100" t="s">
        <v>349</v>
      </c>
      <c r="O3" s="100" t="s">
        <v>400</v>
      </c>
      <c r="P3" s="100" t="s">
        <v>47</v>
      </c>
      <c r="Q3" s="100" t="s">
        <v>400</v>
      </c>
      <c r="R3" s="132" t="s">
        <v>834</v>
      </c>
      <c r="S3" s="81">
        <v>45810</v>
      </c>
      <c r="T3" s="81">
        <v>45811</v>
      </c>
      <c r="U3" s="100" t="s">
        <v>344</v>
      </c>
      <c r="V3" s="100" t="s">
        <v>400</v>
      </c>
      <c r="W3" s="100" t="s">
        <v>462</v>
      </c>
      <c r="X3" s="81">
        <v>45817</v>
      </c>
      <c r="Y3" s="49" t="s">
        <v>345</v>
      </c>
      <c r="Z3" s="49" t="s">
        <v>345</v>
      </c>
      <c r="AA3" s="49" t="s">
        <v>345</v>
      </c>
      <c r="AB3" s="14"/>
      <c r="AC3" s="12" t="s">
        <v>340</v>
      </c>
    </row>
    <row r="4" spans="1:29" ht="39.75" customHeight="1">
      <c r="A4" s="79">
        <v>3</v>
      </c>
      <c r="B4" s="79" t="s">
        <v>87</v>
      </c>
      <c r="C4" s="102">
        <v>45833</v>
      </c>
      <c r="D4" s="102">
        <v>45846</v>
      </c>
      <c r="E4" s="78" t="s">
        <v>206</v>
      </c>
      <c r="F4" s="78" t="s">
        <v>37</v>
      </c>
      <c r="G4" s="78">
        <v>48488</v>
      </c>
      <c r="H4" s="47" t="s">
        <v>835</v>
      </c>
      <c r="I4" s="156" t="s">
        <v>358</v>
      </c>
      <c r="J4" s="100">
        <v>2</v>
      </c>
      <c r="K4" s="100">
        <f t="shared" si="0"/>
        <v>1.25</v>
      </c>
      <c r="L4" s="100">
        <v>5</v>
      </c>
      <c r="M4" s="100" t="s">
        <v>335</v>
      </c>
      <c r="N4" s="100" t="s">
        <v>349</v>
      </c>
      <c r="O4" s="100" t="s">
        <v>400</v>
      </c>
      <c r="P4" s="100" t="s">
        <v>47</v>
      </c>
      <c r="Q4" s="100" t="s">
        <v>400</v>
      </c>
      <c r="R4" s="132" t="s">
        <v>836</v>
      </c>
      <c r="S4" s="81">
        <v>45841</v>
      </c>
      <c r="T4" s="81">
        <v>45841</v>
      </c>
      <c r="U4" s="100" t="s">
        <v>344</v>
      </c>
      <c r="V4" s="100" t="s">
        <v>400</v>
      </c>
      <c r="W4" s="100" t="s">
        <v>462</v>
      </c>
      <c r="X4" s="81">
        <v>45841</v>
      </c>
      <c r="Y4" s="49" t="s">
        <v>345</v>
      </c>
      <c r="Z4" s="49" t="s">
        <v>345</v>
      </c>
      <c r="AA4" s="49" t="s">
        <v>345</v>
      </c>
      <c r="AB4" s="14"/>
      <c r="AC4" s="12" t="s">
        <v>340</v>
      </c>
    </row>
    <row r="5" spans="1:29" ht="30" customHeight="1">
      <c r="A5" s="79">
        <v>4</v>
      </c>
      <c r="B5" s="79" t="s">
        <v>87</v>
      </c>
      <c r="C5" s="102">
        <v>45833</v>
      </c>
      <c r="D5" s="102">
        <v>45846</v>
      </c>
      <c r="E5" s="78" t="s">
        <v>206</v>
      </c>
      <c r="F5" s="114" t="s">
        <v>40</v>
      </c>
      <c r="G5" s="78">
        <v>48568</v>
      </c>
      <c r="H5" s="47" t="s">
        <v>837</v>
      </c>
      <c r="I5" s="156" t="s">
        <v>358</v>
      </c>
      <c r="J5" s="100">
        <v>2</v>
      </c>
      <c r="K5" s="100">
        <f>L5/4</f>
        <v>0.25</v>
      </c>
      <c r="L5" s="114">
        <v>1</v>
      </c>
      <c r="M5" s="100" t="s">
        <v>335</v>
      </c>
      <c r="N5" s="100" t="s">
        <v>349</v>
      </c>
      <c r="O5" s="100" t="s">
        <v>400</v>
      </c>
      <c r="P5" s="100" t="s">
        <v>47</v>
      </c>
      <c r="Q5" s="100" t="s">
        <v>400</v>
      </c>
      <c r="R5" s="132" t="s">
        <v>838</v>
      </c>
      <c r="S5" s="81">
        <v>45818</v>
      </c>
      <c r="T5" s="81">
        <v>45818</v>
      </c>
      <c r="U5" s="100" t="s">
        <v>344</v>
      </c>
      <c r="V5" s="100" t="s">
        <v>400</v>
      </c>
      <c r="W5" s="100" t="s">
        <v>462</v>
      </c>
      <c r="X5" s="81">
        <v>45818</v>
      </c>
      <c r="Y5" s="49" t="s">
        <v>345</v>
      </c>
      <c r="Z5" s="49" t="s">
        <v>345</v>
      </c>
      <c r="AA5" s="49" t="s">
        <v>345</v>
      </c>
      <c r="AB5" s="14"/>
      <c r="AC5" s="12" t="s">
        <v>340</v>
      </c>
    </row>
    <row r="6" spans="1:29" ht="30" customHeight="1">
      <c r="A6" s="79">
        <v>5</v>
      </c>
      <c r="B6" s="79" t="s">
        <v>87</v>
      </c>
      <c r="C6" s="102">
        <v>45833</v>
      </c>
      <c r="D6" s="102">
        <v>45846</v>
      </c>
      <c r="E6" s="78" t="s">
        <v>206</v>
      </c>
      <c r="F6" s="114" t="s">
        <v>47</v>
      </c>
      <c r="G6" s="100">
        <v>48569</v>
      </c>
      <c r="H6" s="47" t="s">
        <v>839</v>
      </c>
      <c r="I6" s="156" t="s">
        <v>358</v>
      </c>
      <c r="J6" s="100">
        <v>2</v>
      </c>
      <c r="K6" s="100">
        <f t="shared" si="0"/>
        <v>0.25</v>
      </c>
      <c r="L6" s="114">
        <v>1</v>
      </c>
      <c r="M6" s="100" t="s">
        <v>335</v>
      </c>
      <c r="N6" s="100" t="s">
        <v>349</v>
      </c>
      <c r="O6" s="100" t="s">
        <v>400</v>
      </c>
      <c r="P6" s="100" t="s">
        <v>40</v>
      </c>
      <c r="Q6" s="100" t="s">
        <v>400</v>
      </c>
      <c r="R6" s="132" t="s">
        <v>840</v>
      </c>
      <c r="S6" s="81">
        <v>45833</v>
      </c>
      <c r="T6" s="81">
        <v>45835</v>
      </c>
      <c r="U6" s="100" t="s">
        <v>344</v>
      </c>
      <c r="V6" s="100" t="s">
        <v>400</v>
      </c>
      <c r="W6" s="100" t="s">
        <v>462</v>
      </c>
      <c r="X6" s="81">
        <v>45835</v>
      </c>
      <c r="Y6" s="49" t="s">
        <v>345</v>
      </c>
      <c r="Z6" s="49" t="s">
        <v>345</v>
      </c>
      <c r="AA6" s="49" t="s">
        <v>345</v>
      </c>
      <c r="AB6" s="14"/>
      <c r="AC6" s="12" t="s">
        <v>340</v>
      </c>
    </row>
    <row r="7" spans="1:29" ht="42" customHeight="1">
      <c r="A7" s="79">
        <v>6</v>
      </c>
      <c r="B7" s="79" t="s">
        <v>87</v>
      </c>
      <c r="C7" s="102">
        <v>45833</v>
      </c>
      <c r="D7" s="102">
        <v>45846</v>
      </c>
      <c r="E7" s="78" t="s">
        <v>206</v>
      </c>
      <c r="F7" s="114" t="s">
        <v>37</v>
      </c>
      <c r="G7" s="165">
        <v>48594</v>
      </c>
      <c r="H7" s="164" t="s">
        <v>841</v>
      </c>
      <c r="I7" s="156" t="s">
        <v>358</v>
      </c>
      <c r="J7" s="114">
        <v>3</v>
      </c>
      <c r="K7" s="100">
        <f t="shared" si="0"/>
        <v>0.5</v>
      </c>
      <c r="L7" s="114">
        <v>2</v>
      </c>
      <c r="M7" s="100" t="s">
        <v>335</v>
      </c>
      <c r="N7" s="100" t="s">
        <v>349</v>
      </c>
      <c r="O7" s="100" t="s">
        <v>400</v>
      </c>
      <c r="P7" s="100" t="s">
        <v>47</v>
      </c>
      <c r="Q7" s="100" t="s">
        <v>400</v>
      </c>
      <c r="R7" s="132" t="s">
        <v>842</v>
      </c>
      <c r="S7" s="81">
        <v>45825</v>
      </c>
      <c r="T7" s="81">
        <v>45828</v>
      </c>
      <c r="U7" s="100" t="s">
        <v>344</v>
      </c>
      <c r="V7" s="100" t="s">
        <v>400</v>
      </c>
      <c r="W7" s="100" t="s">
        <v>462</v>
      </c>
      <c r="X7" s="81">
        <v>45828</v>
      </c>
      <c r="Y7" s="49" t="s">
        <v>345</v>
      </c>
      <c r="Z7" s="49" t="s">
        <v>345</v>
      </c>
      <c r="AA7" s="49" t="s">
        <v>345</v>
      </c>
      <c r="AB7" s="14"/>
      <c r="AC7" s="12" t="s">
        <v>340</v>
      </c>
    </row>
    <row r="8" spans="1:29" ht="30" customHeight="1">
      <c r="A8" s="79">
        <v>7</v>
      </c>
      <c r="B8" s="79" t="s">
        <v>87</v>
      </c>
      <c r="C8" s="102">
        <v>45833</v>
      </c>
      <c r="D8" s="102">
        <v>45846</v>
      </c>
      <c r="E8" s="78" t="s">
        <v>206</v>
      </c>
      <c r="F8" s="114" t="s">
        <v>37</v>
      </c>
      <c r="G8" s="165">
        <v>48665</v>
      </c>
      <c r="H8" s="164" t="s">
        <v>843</v>
      </c>
      <c r="I8" s="156" t="s">
        <v>358</v>
      </c>
      <c r="J8" s="114">
        <v>3</v>
      </c>
      <c r="K8" s="100">
        <f t="shared" si="0"/>
        <v>0.5</v>
      </c>
      <c r="L8" s="114">
        <v>2</v>
      </c>
      <c r="M8" s="100" t="s">
        <v>335</v>
      </c>
      <c r="N8" s="100" t="s">
        <v>349</v>
      </c>
      <c r="O8" s="100" t="s">
        <v>400</v>
      </c>
      <c r="P8" s="100" t="s">
        <v>47</v>
      </c>
      <c r="Q8" s="100" t="s">
        <v>400</v>
      </c>
      <c r="R8" s="132" t="s">
        <v>844</v>
      </c>
      <c r="S8" s="81">
        <v>45821</v>
      </c>
      <c r="T8" s="81">
        <v>45824</v>
      </c>
      <c r="U8" s="100" t="s">
        <v>344</v>
      </c>
      <c r="V8" s="100" t="s">
        <v>400</v>
      </c>
      <c r="W8" s="100" t="s">
        <v>462</v>
      </c>
      <c r="X8" s="81">
        <v>45824</v>
      </c>
      <c r="Y8" s="49" t="s">
        <v>345</v>
      </c>
      <c r="Z8" s="49" t="s">
        <v>345</v>
      </c>
      <c r="AA8" s="49" t="s">
        <v>345</v>
      </c>
      <c r="AB8" s="14"/>
      <c r="AC8" s="12" t="s">
        <v>340</v>
      </c>
    </row>
    <row r="9" spans="1:29" ht="30" customHeight="1">
      <c r="A9" s="79">
        <v>8</v>
      </c>
      <c r="B9" s="79" t="s">
        <v>87</v>
      </c>
      <c r="C9" s="102">
        <v>45833</v>
      </c>
      <c r="D9" s="102">
        <v>45846</v>
      </c>
      <c r="E9" s="78" t="s">
        <v>206</v>
      </c>
      <c r="F9" s="114" t="s">
        <v>47</v>
      </c>
      <c r="G9" s="175">
        <v>48695</v>
      </c>
      <c r="H9" s="164" t="s">
        <v>845</v>
      </c>
      <c r="I9" s="156" t="s">
        <v>358</v>
      </c>
      <c r="J9" s="114">
        <v>3</v>
      </c>
      <c r="K9" s="100">
        <f t="shared" si="0"/>
        <v>0.5</v>
      </c>
      <c r="L9" s="114">
        <v>2</v>
      </c>
      <c r="M9" s="100" t="s">
        <v>335</v>
      </c>
      <c r="N9" s="100" t="s">
        <v>349</v>
      </c>
      <c r="O9" s="100" t="s">
        <v>400</v>
      </c>
      <c r="P9" s="100" t="s">
        <v>40</v>
      </c>
      <c r="Q9" s="100" t="s">
        <v>400</v>
      </c>
      <c r="R9" s="132" t="s">
        <v>840</v>
      </c>
      <c r="S9" s="81">
        <v>45833</v>
      </c>
      <c r="T9" s="81">
        <v>45835</v>
      </c>
      <c r="U9" s="100" t="s">
        <v>344</v>
      </c>
      <c r="V9" s="100" t="s">
        <v>846</v>
      </c>
      <c r="W9" s="100" t="s">
        <v>462</v>
      </c>
      <c r="X9" s="81">
        <v>45835</v>
      </c>
      <c r="Y9" s="49" t="s">
        <v>345</v>
      </c>
      <c r="Z9" s="49" t="s">
        <v>345</v>
      </c>
      <c r="AA9" s="49" t="s">
        <v>345</v>
      </c>
      <c r="AB9" s="14"/>
      <c r="AC9" s="12" t="s">
        <v>340</v>
      </c>
    </row>
    <row r="10" spans="1:29" ht="44.25" customHeight="1">
      <c r="A10" s="79">
        <v>9</v>
      </c>
      <c r="B10" s="79" t="s">
        <v>87</v>
      </c>
      <c r="C10" s="102">
        <v>45833</v>
      </c>
      <c r="D10" s="102">
        <v>45846</v>
      </c>
      <c r="E10" s="78" t="s">
        <v>206</v>
      </c>
      <c r="F10" s="114" t="s">
        <v>40</v>
      </c>
      <c r="G10" s="165">
        <v>48913</v>
      </c>
      <c r="H10" s="164" t="s">
        <v>847</v>
      </c>
      <c r="I10" s="156" t="s">
        <v>358</v>
      </c>
      <c r="J10" s="114">
        <v>8</v>
      </c>
      <c r="K10" s="100">
        <f>L10/4</f>
        <v>7.5</v>
      </c>
      <c r="L10" s="114">
        <v>30</v>
      </c>
      <c r="M10" s="100" t="s">
        <v>335</v>
      </c>
      <c r="N10" s="100" t="s">
        <v>40</v>
      </c>
      <c r="O10" s="100" t="s">
        <v>400</v>
      </c>
      <c r="P10" s="100" t="s">
        <v>47</v>
      </c>
      <c r="Q10" s="100" t="s">
        <v>400</v>
      </c>
      <c r="R10" s="132" t="s">
        <v>848</v>
      </c>
      <c r="S10" s="81">
        <v>45842</v>
      </c>
      <c r="T10" s="81">
        <v>45845</v>
      </c>
      <c r="U10" s="100" t="s">
        <v>344</v>
      </c>
      <c r="V10" s="49" t="s">
        <v>345</v>
      </c>
      <c r="W10" s="100" t="s">
        <v>344</v>
      </c>
      <c r="X10" s="81">
        <v>45845</v>
      </c>
      <c r="Y10" s="49" t="s">
        <v>345</v>
      </c>
      <c r="Z10" s="49" t="s">
        <v>345</v>
      </c>
      <c r="AA10" s="49" t="s">
        <v>345</v>
      </c>
      <c r="AB10" s="14"/>
      <c r="AC10" s="12" t="s">
        <v>340</v>
      </c>
    </row>
    <row r="11" spans="1:29" ht="39" customHeight="1">
      <c r="A11" s="79">
        <v>10</v>
      </c>
      <c r="B11" s="79" t="s">
        <v>87</v>
      </c>
      <c r="C11" s="102">
        <v>45833</v>
      </c>
      <c r="D11" s="102">
        <v>45846</v>
      </c>
      <c r="E11" s="167" t="s">
        <v>849</v>
      </c>
      <c r="F11" s="114" t="s">
        <v>40</v>
      </c>
      <c r="G11" s="165">
        <v>49065</v>
      </c>
      <c r="H11" s="164" t="s">
        <v>816</v>
      </c>
      <c r="I11" s="54" t="s">
        <v>343</v>
      </c>
      <c r="J11" s="114">
        <v>5</v>
      </c>
      <c r="K11" s="100">
        <f>L11/4</f>
        <v>4.5</v>
      </c>
      <c r="L11" s="114">
        <v>18</v>
      </c>
      <c r="M11" s="100" t="s">
        <v>335</v>
      </c>
      <c r="N11" s="100" t="s">
        <v>40</v>
      </c>
      <c r="O11" s="100" t="s">
        <v>400</v>
      </c>
      <c r="P11" s="100" t="s">
        <v>47</v>
      </c>
      <c r="Q11" s="100" t="s">
        <v>400</v>
      </c>
      <c r="R11" s="132" t="s">
        <v>850</v>
      </c>
      <c r="S11" s="81">
        <v>45842</v>
      </c>
      <c r="T11" s="81">
        <v>45845</v>
      </c>
      <c r="U11" s="100" t="s">
        <v>344</v>
      </c>
      <c r="V11" s="49" t="s">
        <v>345</v>
      </c>
      <c r="W11" s="100" t="s">
        <v>344</v>
      </c>
      <c r="X11" s="81">
        <v>45845</v>
      </c>
      <c r="Y11" s="49" t="s">
        <v>345</v>
      </c>
      <c r="Z11" s="49" t="s">
        <v>345</v>
      </c>
      <c r="AA11" s="49" t="s">
        <v>345</v>
      </c>
      <c r="AB11" s="14" t="s">
        <v>851</v>
      </c>
      <c r="AC11" s="12" t="s">
        <v>340</v>
      </c>
    </row>
    <row r="12" spans="1:29" ht="30" customHeight="1">
      <c r="A12" s="79">
        <v>11</v>
      </c>
      <c r="B12" s="79" t="s">
        <v>87</v>
      </c>
      <c r="C12" s="102">
        <v>45833</v>
      </c>
      <c r="D12" s="102">
        <v>45846</v>
      </c>
      <c r="E12" s="167" t="s">
        <v>849</v>
      </c>
      <c r="F12" s="114" t="s">
        <v>47</v>
      </c>
      <c r="G12" s="165">
        <v>47757</v>
      </c>
      <c r="H12" s="164" t="s">
        <v>826</v>
      </c>
      <c r="I12" s="55" t="s">
        <v>334</v>
      </c>
      <c r="J12" s="114">
        <v>13</v>
      </c>
      <c r="K12" s="100">
        <f t="shared" si="0"/>
        <v>14</v>
      </c>
      <c r="L12" s="114">
        <v>56</v>
      </c>
      <c r="M12" s="100"/>
      <c r="N12" s="100"/>
      <c r="O12" s="100"/>
      <c r="P12" s="100"/>
      <c r="Q12" s="100"/>
      <c r="R12" s="132"/>
      <c r="S12" s="81"/>
      <c r="T12" s="81"/>
      <c r="U12" s="100"/>
      <c r="V12" s="100"/>
      <c r="W12" s="100"/>
      <c r="X12" s="81"/>
      <c r="Y12" s="49"/>
      <c r="Z12" s="49"/>
      <c r="AA12" s="49"/>
      <c r="AB12" s="14" t="s">
        <v>852</v>
      </c>
      <c r="AC12" s="12" t="s">
        <v>340</v>
      </c>
    </row>
    <row r="13" spans="1:29" ht="48.75" customHeight="1">
      <c r="A13" s="79">
        <v>12</v>
      </c>
      <c r="B13" s="79" t="s">
        <v>87</v>
      </c>
      <c r="C13" s="102">
        <v>45833</v>
      </c>
      <c r="D13" s="102">
        <v>45846</v>
      </c>
      <c r="E13" s="167" t="s">
        <v>849</v>
      </c>
      <c r="F13" s="114" t="s">
        <v>40</v>
      </c>
      <c r="G13" s="165">
        <v>48649</v>
      </c>
      <c r="H13" s="164" t="s">
        <v>819</v>
      </c>
      <c r="I13" s="55" t="s">
        <v>334</v>
      </c>
      <c r="J13" s="114">
        <v>8</v>
      </c>
      <c r="K13" s="100">
        <f t="shared" si="0"/>
        <v>0</v>
      </c>
      <c r="L13" s="114"/>
      <c r="M13" s="100"/>
      <c r="N13" s="100"/>
      <c r="O13" s="100"/>
      <c r="P13" s="100"/>
      <c r="Q13" s="100"/>
      <c r="R13" s="132"/>
      <c r="S13" s="81"/>
      <c r="T13" s="81"/>
      <c r="U13" s="100"/>
      <c r="V13" s="100"/>
      <c r="W13" s="100"/>
      <c r="X13" s="81"/>
      <c r="Y13" s="49"/>
      <c r="Z13" s="49"/>
      <c r="AA13" s="49"/>
      <c r="AB13" s="14"/>
      <c r="AC13" s="12"/>
    </row>
    <row r="14" spans="1:29" ht="39.75" customHeight="1">
      <c r="A14" s="79">
        <v>13</v>
      </c>
      <c r="B14" s="79" t="s">
        <v>87</v>
      </c>
      <c r="C14" s="102">
        <v>45833</v>
      </c>
      <c r="D14" s="102">
        <v>45846</v>
      </c>
      <c r="E14" s="167" t="s">
        <v>849</v>
      </c>
      <c r="F14" s="114" t="s">
        <v>49</v>
      </c>
      <c r="G14" s="165">
        <v>48436</v>
      </c>
      <c r="H14" s="164" t="s">
        <v>458</v>
      </c>
      <c r="I14" s="164" t="s">
        <v>334</v>
      </c>
      <c r="J14" s="114">
        <v>8</v>
      </c>
      <c r="K14" s="100">
        <f t="shared" si="0"/>
        <v>4</v>
      </c>
      <c r="L14" s="114">
        <v>16</v>
      </c>
      <c r="M14" s="100"/>
      <c r="N14" s="100"/>
      <c r="O14" s="100"/>
      <c r="P14" s="100"/>
      <c r="Q14" s="100"/>
      <c r="R14" s="132"/>
      <c r="S14" s="81"/>
      <c r="T14" s="81"/>
      <c r="U14" s="100"/>
      <c r="V14" s="100"/>
      <c r="W14" s="100"/>
      <c r="X14" s="81"/>
      <c r="Y14" s="49"/>
      <c r="Z14" s="49"/>
      <c r="AA14" s="49"/>
      <c r="AB14" s="14"/>
      <c r="AC14" s="12"/>
    </row>
    <row r="15" spans="1:29" ht="30" customHeight="1">
      <c r="A15" s="165">
        <v>14</v>
      </c>
      <c r="B15" s="79" t="s">
        <v>87</v>
      </c>
      <c r="C15" s="102">
        <v>45833</v>
      </c>
      <c r="D15" s="102">
        <v>45846</v>
      </c>
      <c r="E15" s="167" t="s">
        <v>849</v>
      </c>
      <c r="F15" s="114" t="s">
        <v>37</v>
      </c>
      <c r="G15" s="165">
        <v>47615</v>
      </c>
      <c r="H15" s="164" t="s">
        <v>853</v>
      </c>
      <c r="I15" s="156" t="s">
        <v>358</v>
      </c>
      <c r="J15" s="114">
        <v>13</v>
      </c>
      <c r="K15" s="100">
        <f t="shared" si="0"/>
        <v>15</v>
      </c>
      <c r="L15" s="114">
        <v>60</v>
      </c>
      <c r="M15" s="12"/>
      <c r="N15" s="12"/>
      <c r="O15" s="12"/>
      <c r="P15" s="12"/>
      <c r="Q15" s="12"/>
      <c r="R15" s="12"/>
      <c r="S15" s="12"/>
      <c r="T15" s="12"/>
      <c r="U15" s="12"/>
      <c r="V15" s="12"/>
      <c r="W15" s="12"/>
      <c r="X15" s="12"/>
      <c r="Y15" s="12"/>
      <c r="Z15" s="12"/>
      <c r="AA15" s="12"/>
      <c r="AB15" s="12"/>
      <c r="AC15" s="12"/>
    </row>
  </sheetData>
  <dataValidations count="1">
    <dataValidation type="list" allowBlank="1" showInputMessage="1" showErrorMessage="1" sqref="AC2:AC14" xr:uid="{8A3A9A4D-4D65-47F6-B012-7C19DC442889}">
      <formula1>"Exceeds Expectation, Meets Expectation, Needs Improvement"</formula1>
    </dataValidation>
  </dataValidations>
  <hyperlinks>
    <hyperlink ref="R2" r:id="rId1" xr:uid="{14A36B25-4C66-45DC-9458-A5A23BB6B5E2}"/>
    <hyperlink ref="R4" r:id="rId2" xr:uid="{1A89FA0F-5DEC-4AB2-A49D-CB4F55C094F5}"/>
    <hyperlink ref="R5" r:id="rId3" xr:uid="{973BF57F-D658-4651-A891-FF634946E00F}"/>
    <hyperlink ref="R3" r:id="rId4" xr:uid="{F156E506-89CF-4FFE-8DBA-8BDBC1F58D67}"/>
    <hyperlink ref="R8" r:id="rId5" xr:uid="{6789FC24-15D5-4C57-B439-EE1171EBAFD9}"/>
    <hyperlink ref="R7" r:id="rId6" xr:uid="{F5B71C57-F949-4B52-88C8-1334B46BDD78}"/>
    <hyperlink ref="R6" r:id="rId7" xr:uid="{AC6D45F9-591D-44D6-BF4D-22547D7DBC17}"/>
    <hyperlink ref="R9" r:id="rId8" xr:uid="{B7302126-2717-4AF3-A8E9-2BF5A79EEC1C}"/>
    <hyperlink ref="R11" r:id="rId9" xr:uid="{330301A5-32C9-4D49-A2F5-F4710B8CBCC0}"/>
    <hyperlink ref="R10" r:id="rId10" xr:uid="{93C5200E-DD78-4137-8846-57BB0CF927E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526B48B-572D-4675-B6AA-B1A7FD89BE49}">
          <x14:formula1>
            <xm:f>Settings!$C$3:$C$20</xm:f>
          </x14:formula1>
          <xm:sqref>I2:I13 I15</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E5EF-1B8F-419A-AA34-58D8FE20A20C}">
  <dimension ref="A1:L3"/>
  <sheetViews>
    <sheetView workbookViewId="0">
      <selection activeCell="K11" sqref="J11:K21"/>
    </sheetView>
  </sheetViews>
  <sheetFormatPr defaultRowHeight="12.75"/>
  <cols>
    <col min="10" max="10" width="18.140625" customWidth="1"/>
  </cols>
  <sheetData>
    <row r="1" spans="1:12" ht="40.5">
      <c r="A1" s="23" t="s">
        <v>74</v>
      </c>
      <c r="B1" s="172" t="s">
        <v>75</v>
      </c>
      <c r="C1" s="172" t="s">
        <v>76</v>
      </c>
      <c r="D1" s="23" t="s">
        <v>2</v>
      </c>
      <c r="E1" s="172" t="s">
        <v>77</v>
      </c>
      <c r="F1" s="172" t="s">
        <v>78</v>
      </c>
      <c r="G1" s="23" t="s">
        <v>79</v>
      </c>
      <c r="H1" s="23" t="s">
        <v>80</v>
      </c>
      <c r="I1" s="23" t="s">
        <v>81</v>
      </c>
      <c r="J1" s="23" t="s">
        <v>4</v>
      </c>
      <c r="K1" s="173" t="s">
        <v>82</v>
      </c>
      <c r="L1" s="174" t="s">
        <v>5</v>
      </c>
    </row>
    <row r="2" spans="1:12" ht="51.75" customHeight="1">
      <c r="A2" s="78" t="s">
        <v>854</v>
      </c>
      <c r="B2" s="165">
        <v>25498</v>
      </c>
      <c r="C2" s="165">
        <v>48569</v>
      </c>
      <c r="D2" s="49" t="s">
        <v>40</v>
      </c>
      <c r="E2" s="24" t="s">
        <v>394</v>
      </c>
      <c r="F2" s="14" t="s">
        <v>855</v>
      </c>
      <c r="G2" s="24" t="s">
        <v>473</v>
      </c>
      <c r="H2" s="24" t="s">
        <v>353</v>
      </c>
      <c r="I2" s="24" t="s">
        <v>354</v>
      </c>
      <c r="J2" s="53" t="s">
        <v>396</v>
      </c>
      <c r="K2" s="24" t="s">
        <v>644</v>
      </c>
      <c r="L2" s="14" t="s">
        <v>856</v>
      </c>
    </row>
    <row r="3" spans="1:12" ht="45.75" customHeight="1">
      <c r="A3" s="78"/>
      <c r="B3" s="165"/>
      <c r="C3" s="165"/>
      <c r="D3" s="49"/>
      <c r="E3" s="24"/>
      <c r="F3" s="14"/>
      <c r="G3" s="24"/>
      <c r="H3" s="24"/>
      <c r="I3" s="24"/>
      <c r="J3" s="53"/>
      <c r="K3" s="24"/>
      <c r="L3" s="14"/>
    </row>
  </sheetData>
  <dataValidations count="4">
    <dataValidation type="list" allowBlank="1" showErrorMessage="1" sqref="I2:I3" xr:uid="{DA9E2C4E-CAD2-4811-8119-2037E55ED9EB}">
      <formula1>"Internal,External"</formula1>
    </dataValidation>
    <dataValidation type="list" allowBlank="1" showErrorMessage="1" sqref="G2:G3" xr:uid="{2745BC56-A652-43AC-902A-3A5889C9FD3E}">
      <formula1>"Minor,Significant,Major"</formula1>
    </dataValidation>
    <dataValidation type="list" allowBlank="1" showErrorMessage="1" sqref="E2:E3" xr:uid="{F15ECB9E-F24E-460F-A21B-F30DB99D880C}">
      <formula1>"Bounceback,Defect,None"</formula1>
    </dataValidation>
    <dataValidation type="list" allowBlank="1" showErrorMessage="1" sqref="H2:H3" xr:uid="{5F128454-87B9-4DD9-8FA7-C6F89E26FCF5}">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8685280B-7811-4442-91AB-C99432E89F46}">
          <x14:formula1>
            <xm:f>Details!$A$2:$A$10</xm:f>
          </x14:formula1>
          <xm:sqref>K2:K3</xm:sqref>
        </x14:dataValidation>
        <x14:dataValidation type="list" allowBlank="1" showErrorMessage="1" xr:uid="{A690AD9D-E18E-44ED-AC51-50F8182EB141}">
          <x14:formula1>
            <xm:f>Settings!$C$3:$C$20</xm:f>
          </x14:formula1>
          <xm:sqref>J2:J3</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07FB-EC53-409B-A202-E790FC57385F}">
  <dimension ref="A1:AC13"/>
  <sheetViews>
    <sheetView topLeftCell="C1" workbookViewId="0">
      <selection activeCell="J2" activeCellId="8" sqref="J10 J9 J8 J7 J6 J5 J4 J3 J2"/>
    </sheetView>
  </sheetViews>
  <sheetFormatPr defaultRowHeight="30" customHeight="1"/>
  <cols>
    <col min="1" max="1" width="4.7109375" bestFit="1" customWidth="1"/>
    <col min="5" max="5" width="19.28515625" customWidth="1"/>
    <col min="6" max="6" width="13.140625" customWidth="1"/>
    <col min="8" max="8" width="42.7109375" customWidth="1"/>
    <col min="9" max="9" width="23.5703125" customWidth="1"/>
    <col min="11" max="11" width="9" bestFit="1" customWidth="1"/>
    <col min="17" max="17" width="13.5703125" customWidth="1"/>
    <col min="18" max="18" width="17.42578125" customWidth="1"/>
    <col min="19" max="19" width="10" bestFit="1" customWidth="1"/>
    <col min="20" max="20" width="12" customWidth="1"/>
    <col min="24" max="24" width="11.7109375" customWidth="1"/>
    <col min="28" max="28" width="24.5703125" customWidth="1"/>
    <col min="29" max="29" width="18.7109375" bestFit="1" customWidth="1"/>
  </cols>
  <sheetData>
    <row r="1" spans="1:29" ht="75.75" customHeight="1">
      <c r="A1" s="26" t="s">
        <v>73</v>
      </c>
      <c r="B1" s="26" t="s">
        <v>1</v>
      </c>
      <c r="C1" s="26" t="s">
        <v>85</v>
      </c>
      <c r="D1" s="26" t="s">
        <v>86</v>
      </c>
      <c r="E1" s="26" t="s">
        <v>310</v>
      </c>
      <c r="F1" s="26" t="s">
        <v>2</v>
      </c>
      <c r="G1" s="26" t="s">
        <v>311</v>
      </c>
      <c r="H1" s="157" t="s">
        <v>3</v>
      </c>
      <c r="I1" s="26" t="s">
        <v>4</v>
      </c>
      <c r="J1" s="26" t="s">
        <v>312</v>
      </c>
      <c r="K1" s="26" t="s">
        <v>313</v>
      </c>
      <c r="L1" s="26" t="s">
        <v>314</v>
      </c>
      <c r="M1" s="26" t="s">
        <v>317</v>
      </c>
      <c r="N1" s="26" t="s">
        <v>318</v>
      </c>
      <c r="O1" s="26" t="s">
        <v>319</v>
      </c>
      <c r="P1" s="26" t="s">
        <v>320</v>
      </c>
      <c r="Q1" s="26" t="s">
        <v>321</v>
      </c>
      <c r="R1" s="26" t="s">
        <v>322</v>
      </c>
      <c r="S1" s="26" t="s">
        <v>323</v>
      </c>
      <c r="T1" s="26" t="s">
        <v>324</v>
      </c>
      <c r="U1" s="26" t="s">
        <v>325</v>
      </c>
      <c r="V1" s="26" t="s">
        <v>326</v>
      </c>
      <c r="W1" s="26" t="s">
        <v>327</v>
      </c>
      <c r="X1" s="26" t="s">
        <v>328</v>
      </c>
      <c r="Y1" s="26" t="s">
        <v>329</v>
      </c>
      <c r="Z1" s="26" t="s">
        <v>330</v>
      </c>
      <c r="AA1" s="26" t="s">
        <v>331</v>
      </c>
      <c r="AB1" s="46" t="s">
        <v>5</v>
      </c>
      <c r="AC1" s="26" t="s">
        <v>332</v>
      </c>
    </row>
    <row r="2" spans="1:29" ht="30" customHeight="1">
      <c r="A2" s="79">
        <v>1</v>
      </c>
      <c r="B2" s="79" t="s">
        <v>87</v>
      </c>
      <c r="C2" s="102">
        <v>45819</v>
      </c>
      <c r="D2" s="102">
        <v>45832</v>
      </c>
      <c r="E2" s="78" t="s">
        <v>202</v>
      </c>
      <c r="F2" s="114" t="s">
        <v>49</v>
      </c>
      <c r="G2" s="79">
        <v>48149</v>
      </c>
      <c r="H2" s="47" t="s">
        <v>857</v>
      </c>
      <c r="I2" s="156" t="s">
        <v>358</v>
      </c>
      <c r="J2" s="100">
        <v>2</v>
      </c>
      <c r="K2" s="100">
        <f>L2/4</f>
        <v>0.75</v>
      </c>
      <c r="L2" s="100">
        <v>3</v>
      </c>
      <c r="M2" s="100" t="s">
        <v>335</v>
      </c>
      <c r="N2" s="100" t="s">
        <v>349</v>
      </c>
      <c r="O2" s="100" t="s">
        <v>400</v>
      </c>
      <c r="P2" s="100" t="s">
        <v>344</v>
      </c>
      <c r="Q2" s="100" t="s">
        <v>400</v>
      </c>
      <c r="R2" s="132" t="s">
        <v>858</v>
      </c>
      <c r="S2" s="153">
        <v>45804</v>
      </c>
      <c r="T2" s="81">
        <v>45828</v>
      </c>
      <c r="U2" s="100" t="s">
        <v>344</v>
      </c>
      <c r="V2" s="100" t="s">
        <v>400</v>
      </c>
      <c r="W2" s="100" t="s">
        <v>462</v>
      </c>
      <c r="X2" s="81">
        <v>45828</v>
      </c>
      <c r="Y2" s="100" t="s">
        <v>400</v>
      </c>
      <c r="Z2" s="49" t="s">
        <v>345</v>
      </c>
      <c r="AA2" s="49" t="s">
        <v>345</v>
      </c>
      <c r="AB2" s="49" t="s">
        <v>859</v>
      </c>
      <c r="AC2" s="12" t="s">
        <v>340</v>
      </c>
    </row>
    <row r="3" spans="1:29" ht="30" customHeight="1">
      <c r="A3" s="79">
        <v>2</v>
      </c>
      <c r="B3" s="79" t="s">
        <v>87</v>
      </c>
      <c r="C3" s="102">
        <v>45819</v>
      </c>
      <c r="D3" s="102">
        <v>45832</v>
      </c>
      <c r="E3" s="78" t="s">
        <v>202</v>
      </c>
      <c r="F3" s="114" t="s">
        <v>49</v>
      </c>
      <c r="G3" s="79">
        <v>48449</v>
      </c>
      <c r="H3" s="47" t="s">
        <v>814</v>
      </c>
      <c r="I3" s="54" t="s">
        <v>343</v>
      </c>
      <c r="J3" s="100">
        <v>2</v>
      </c>
      <c r="K3" s="100">
        <f t="shared" ref="K3:K13" si="0">L3/4</f>
        <v>2.25</v>
      </c>
      <c r="L3" s="100">
        <v>9</v>
      </c>
      <c r="M3" s="100" t="s">
        <v>335</v>
      </c>
      <c r="N3" s="100" t="s">
        <v>349</v>
      </c>
      <c r="O3" s="100" t="s">
        <v>400</v>
      </c>
      <c r="P3" s="100" t="s">
        <v>40</v>
      </c>
      <c r="Q3" s="100" t="s">
        <v>400</v>
      </c>
      <c r="R3" s="132" t="s">
        <v>815</v>
      </c>
      <c r="S3" s="153">
        <v>45783</v>
      </c>
      <c r="T3" s="81">
        <v>45828</v>
      </c>
      <c r="U3" s="100" t="s">
        <v>344</v>
      </c>
      <c r="V3" s="100" t="s">
        <v>400</v>
      </c>
      <c r="W3" s="100" t="s">
        <v>462</v>
      </c>
      <c r="X3" s="81">
        <v>45828</v>
      </c>
      <c r="Y3" s="100" t="s">
        <v>400</v>
      </c>
      <c r="Z3" s="49" t="s">
        <v>345</v>
      </c>
      <c r="AA3" s="49" t="s">
        <v>345</v>
      </c>
      <c r="AB3" s="151" t="s">
        <v>860</v>
      </c>
      <c r="AC3" s="12" t="s">
        <v>340</v>
      </c>
    </row>
    <row r="4" spans="1:29" ht="30" customHeight="1">
      <c r="A4" s="79">
        <v>4</v>
      </c>
      <c r="B4" s="79" t="s">
        <v>87</v>
      </c>
      <c r="C4" s="102">
        <v>45819</v>
      </c>
      <c r="D4" s="102">
        <v>45832</v>
      </c>
      <c r="E4" s="78" t="s">
        <v>202</v>
      </c>
      <c r="F4" s="78" t="s">
        <v>37</v>
      </c>
      <c r="G4" s="78">
        <v>47755</v>
      </c>
      <c r="H4" s="47" t="s">
        <v>833</v>
      </c>
      <c r="I4" s="156" t="s">
        <v>654</v>
      </c>
      <c r="J4" s="100">
        <v>3</v>
      </c>
      <c r="K4" s="100">
        <f t="shared" si="0"/>
        <v>0</v>
      </c>
      <c r="L4" s="100"/>
      <c r="M4" s="100" t="s">
        <v>335</v>
      </c>
      <c r="N4" s="100" t="s">
        <v>40</v>
      </c>
      <c r="O4" s="100" t="s">
        <v>400</v>
      </c>
      <c r="P4" s="100" t="s">
        <v>47</v>
      </c>
      <c r="Q4" s="100" t="s">
        <v>400</v>
      </c>
      <c r="R4" s="132" t="s">
        <v>834</v>
      </c>
      <c r="S4" s="81">
        <v>45810</v>
      </c>
      <c r="T4" s="81">
        <v>45811</v>
      </c>
      <c r="U4" s="100" t="s">
        <v>344</v>
      </c>
      <c r="V4" s="100" t="s">
        <v>400</v>
      </c>
      <c r="W4" s="100" t="s">
        <v>462</v>
      </c>
      <c r="X4" s="81">
        <v>45817</v>
      </c>
      <c r="Y4" s="49" t="s">
        <v>345</v>
      </c>
      <c r="Z4" s="49" t="s">
        <v>345</v>
      </c>
      <c r="AA4" s="49" t="s">
        <v>345</v>
      </c>
      <c r="AB4" s="14" t="s">
        <v>861</v>
      </c>
      <c r="AC4" s="12" t="s">
        <v>340</v>
      </c>
    </row>
    <row r="5" spans="1:29" ht="30" customHeight="1">
      <c r="A5" s="79">
        <v>6</v>
      </c>
      <c r="B5" s="79" t="s">
        <v>87</v>
      </c>
      <c r="C5" s="102">
        <v>45819</v>
      </c>
      <c r="D5" s="102">
        <v>45832</v>
      </c>
      <c r="E5" s="78" t="s">
        <v>202</v>
      </c>
      <c r="F5" s="78" t="s">
        <v>37</v>
      </c>
      <c r="G5" s="78">
        <v>48488</v>
      </c>
      <c r="H5" s="47" t="s">
        <v>835</v>
      </c>
      <c r="I5" s="156" t="s">
        <v>654</v>
      </c>
      <c r="J5" s="100">
        <v>3</v>
      </c>
      <c r="K5" s="100">
        <f t="shared" si="0"/>
        <v>0</v>
      </c>
      <c r="L5" s="100"/>
      <c r="M5" s="100" t="s">
        <v>335</v>
      </c>
      <c r="N5" s="100" t="s">
        <v>40</v>
      </c>
      <c r="O5" s="100" t="s">
        <v>400</v>
      </c>
      <c r="P5" s="100" t="s">
        <v>47</v>
      </c>
      <c r="Q5" s="100" t="s">
        <v>400</v>
      </c>
      <c r="R5" s="132" t="s">
        <v>834</v>
      </c>
      <c r="S5" s="81">
        <v>45810</v>
      </c>
      <c r="T5" s="81">
        <v>45811</v>
      </c>
      <c r="U5" s="100" t="s">
        <v>344</v>
      </c>
      <c r="V5" s="100" t="s">
        <v>400</v>
      </c>
      <c r="W5" s="100" t="s">
        <v>462</v>
      </c>
      <c r="X5" s="81">
        <v>45817</v>
      </c>
      <c r="Y5" s="49" t="s">
        <v>345</v>
      </c>
      <c r="Z5" s="49" t="s">
        <v>345</v>
      </c>
      <c r="AA5" s="49" t="s">
        <v>345</v>
      </c>
      <c r="AB5" s="14" t="s">
        <v>861</v>
      </c>
      <c r="AC5" s="12" t="s">
        <v>340</v>
      </c>
    </row>
    <row r="6" spans="1:29" ht="30" customHeight="1">
      <c r="A6" s="79">
        <v>8</v>
      </c>
      <c r="B6" s="79" t="s">
        <v>87</v>
      </c>
      <c r="C6" s="102">
        <v>45819</v>
      </c>
      <c r="D6" s="102">
        <v>45832</v>
      </c>
      <c r="E6" s="78" t="s">
        <v>202</v>
      </c>
      <c r="F6" s="114" t="s">
        <v>40</v>
      </c>
      <c r="G6" s="78">
        <v>48568</v>
      </c>
      <c r="H6" s="47" t="s">
        <v>837</v>
      </c>
      <c r="I6" s="156" t="s">
        <v>654</v>
      </c>
      <c r="J6" s="100">
        <v>3</v>
      </c>
      <c r="K6" s="100">
        <f t="shared" si="0"/>
        <v>0</v>
      </c>
      <c r="L6" s="114"/>
      <c r="M6" s="100" t="s">
        <v>335</v>
      </c>
      <c r="N6" s="100" t="s">
        <v>40</v>
      </c>
      <c r="O6" s="100" t="s">
        <v>400</v>
      </c>
      <c r="P6" s="100" t="s">
        <v>47</v>
      </c>
      <c r="Q6" s="100" t="s">
        <v>400</v>
      </c>
      <c r="R6" s="132" t="s">
        <v>838</v>
      </c>
      <c r="S6" s="81">
        <v>45818</v>
      </c>
      <c r="T6" s="81">
        <v>45818</v>
      </c>
      <c r="U6" s="100" t="s">
        <v>344</v>
      </c>
      <c r="V6" s="100" t="s">
        <v>400</v>
      </c>
      <c r="W6" s="100" t="s">
        <v>462</v>
      </c>
      <c r="X6" s="81">
        <v>45818</v>
      </c>
      <c r="Y6" s="49" t="s">
        <v>345</v>
      </c>
      <c r="Z6" s="49" t="s">
        <v>345</v>
      </c>
      <c r="AA6" s="49" t="s">
        <v>345</v>
      </c>
      <c r="AB6" s="14" t="s">
        <v>861</v>
      </c>
      <c r="AC6" s="12" t="s">
        <v>340</v>
      </c>
    </row>
    <row r="7" spans="1:29" ht="30" customHeight="1">
      <c r="A7" s="79">
        <v>7</v>
      </c>
      <c r="B7" s="79" t="s">
        <v>87</v>
      </c>
      <c r="C7" s="102">
        <v>45819</v>
      </c>
      <c r="D7" s="102">
        <v>45832</v>
      </c>
      <c r="E7" s="78" t="s">
        <v>202</v>
      </c>
      <c r="F7" s="114" t="s">
        <v>47</v>
      </c>
      <c r="G7" s="78">
        <v>48569</v>
      </c>
      <c r="H7" s="47" t="s">
        <v>839</v>
      </c>
      <c r="I7" s="54" t="s">
        <v>343</v>
      </c>
      <c r="J7" s="100">
        <v>8</v>
      </c>
      <c r="K7" s="100">
        <f t="shared" si="0"/>
        <v>6</v>
      </c>
      <c r="L7" s="114">
        <v>24</v>
      </c>
      <c r="M7" s="100" t="s">
        <v>335</v>
      </c>
      <c r="N7" s="100" t="s">
        <v>47</v>
      </c>
      <c r="O7" s="100" t="s">
        <v>400</v>
      </c>
      <c r="P7" s="100" t="s">
        <v>40</v>
      </c>
      <c r="Q7" s="100" t="s">
        <v>400</v>
      </c>
      <c r="R7" s="132" t="s">
        <v>840</v>
      </c>
      <c r="S7" s="81">
        <v>45833</v>
      </c>
      <c r="T7" s="81"/>
      <c r="U7" s="100" t="s">
        <v>344</v>
      </c>
      <c r="V7" s="100"/>
      <c r="W7" s="100" t="s">
        <v>462</v>
      </c>
      <c r="X7" s="81"/>
      <c r="Y7" s="49"/>
      <c r="Z7" s="49" t="s">
        <v>345</v>
      </c>
      <c r="AA7" s="49" t="s">
        <v>345</v>
      </c>
      <c r="AB7" s="14" t="s">
        <v>862</v>
      </c>
      <c r="AC7" s="12"/>
    </row>
    <row r="8" spans="1:29" ht="30" customHeight="1">
      <c r="A8" s="79">
        <v>8</v>
      </c>
      <c r="B8" s="79" t="s">
        <v>87</v>
      </c>
      <c r="C8" s="102">
        <v>45819</v>
      </c>
      <c r="D8" s="166">
        <v>45832</v>
      </c>
      <c r="E8" s="167" t="s">
        <v>863</v>
      </c>
      <c r="F8" s="114" t="s">
        <v>49</v>
      </c>
      <c r="G8" s="165">
        <v>48594</v>
      </c>
      <c r="H8" s="164" t="s">
        <v>841</v>
      </c>
      <c r="I8" s="156" t="s">
        <v>654</v>
      </c>
      <c r="J8" s="114">
        <v>8</v>
      </c>
      <c r="K8" s="100">
        <f t="shared" si="0"/>
        <v>7</v>
      </c>
      <c r="L8" s="114">
        <v>28</v>
      </c>
      <c r="M8" s="100" t="s">
        <v>335</v>
      </c>
      <c r="N8" s="100" t="s">
        <v>349</v>
      </c>
      <c r="O8" s="100" t="s">
        <v>400</v>
      </c>
      <c r="P8" s="100" t="s">
        <v>47</v>
      </c>
      <c r="Q8" s="100" t="s">
        <v>400</v>
      </c>
      <c r="R8" s="132" t="s">
        <v>842</v>
      </c>
      <c r="S8" s="81">
        <v>45825</v>
      </c>
      <c r="T8" s="81">
        <v>45828</v>
      </c>
      <c r="U8" s="100" t="s">
        <v>344</v>
      </c>
      <c r="V8" s="100" t="s">
        <v>400</v>
      </c>
      <c r="W8" s="100" t="s">
        <v>462</v>
      </c>
      <c r="X8" s="81">
        <v>45828</v>
      </c>
      <c r="Y8" s="49" t="s">
        <v>345</v>
      </c>
      <c r="Z8" s="49" t="s">
        <v>345</v>
      </c>
      <c r="AA8" s="49" t="s">
        <v>345</v>
      </c>
      <c r="AB8" s="14" t="s">
        <v>861</v>
      </c>
      <c r="AC8" s="12" t="s">
        <v>340</v>
      </c>
    </row>
    <row r="9" spans="1:29" ht="30" customHeight="1">
      <c r="A9" s="79">
        <v>9</v>
      </c>
      <c r="B9" s="79" t="s">
        <v>87</v>
      </c>
      <c r="C9" s="102">
        <v>45819</v>
      </c>
      <c r="D9" s="166">
        <v>45832</v>
      </c>
      <c r="E9" s="167" t="s">
        <v>863</v>
      </c>
      <c r="F9" s="114" t="s">
        <v>40</v>
      </c>
      <c r="G9" s="165">
        <v>48665</v>
      </c>
      <c r="H9" s="164" t="s">
        <v>843</v>
      </c>
      <c r="I9" s="156" t="s">
        <v>654</v>
      </c>
      <c r="J9" s="114">
        <v>5</v>
      </c>
      <c r="K9" s="100">
        <f>L9/4</f>
        <v>3.75</v>
      </c>
      <c r="L9" s="114">
        <v>15</v>
      </c>
      <c r="M9" s="100" t="s">
        <v>335</v>
      </c>
      <c r="N9" s="100" t="s">
        <v>40</v>
      </c>
      <c r="O9" s="100" t="s">
        <v>400</v>
      </c>
      <c r="P9" s="100" t="s">
        <v>47</v>
      </c>
      <c r="Q9" s="100" t="s">
        <v>400</v>
      </c>
      <c r="R9" s="132" t="s">
        <v>844</v>
      </c>
      <c r="S9" s="81">
        <v>45821</v>
      </c>
      <c r="T9" s="81">
        <v>45824</v>
      </c>
      <c r="U9" s="100" t="s">
        <v>344</v>
      </c>
      <c r="V9" s="100" t="s">
        <v>400</v>
      </c>
      <c r="W9" s="100" t="s">
        <v>462</v>
      </c>
      <c r="X9" s="81">
        <v>45824</v>
      </c>
      <c r="Y9" s="49" t="s">
        <v>345</v>
      </c>
      <c r="Z9" s="49" t="s">
        <v>345</v>
      </c>
      <c r="AA9" s="49" t="s">
        <v>345</v>
      </c>
      <c r="AB9" s="14" t="s">
        <v>861</v>
      </c>
      <c r="AC9" s="12" t="s">
        <v>340</v>
      </c>
    </row>
    <row r="10" spans="1:29" ht="30" customHeight="1">
      <c r="A10" s="79">
        <v>10</v>
      </c>
      <c r="B10" s="79" t="s">
        <v>87</v>
      </c>
      <c r="C10" s="102">
        <v>45819</v>
      </c>
      <c r="D10" s="166">
        <v>45832</v>
      </c>
      <c r="E10" s="167" t="s">
        <v>863</v>
      </c>
      <c r="F10" s="114" t="s">
        <v>47</v>
      </c>
      <c r="G10" s="165">
        <v>48695</v>
      </c>
      <c r="H10" s="164" t="s">
        <v>845</v>
      </c>
      <c r="I10" s="55" t="s">
        <v>343</v>
      </c>
      <c r="J10" s="114">
        <v>8</v>
      </c>
      <c r="K10" s="100">
        <f t="shared" si="0"/>
        <v>14.75</v>
      </c>
      <c r="L10" s="114">
        <v>59</v>
      </c>
      <c r="M10" s="100" t="s">
        <v>335</v>
      </c>
      <c r="N10" s="100" t="s">
        <v>40</v>
      </c>
      <c r="O10" s="100" t="s">
        <v>400</v>
      </c>
      <c r="P10" s="100" t="s">
        <v>40</v>
      </c>
      <c r="Q10" s="100" t="s">
        <v>400</v>
      </c>
      <c r="R10" s="132" t="s">
        <v>840</v>
      </c>
      <c r="S10" s="81">
        <v>45833</v>
      </c>
      <c r="T10" s="81"/>
      <c r="U10" s="100" t="s">
        <v>344</v>
      </c>
      <c r="V10" s="100" t="s">
        <v>400</v>
      </c>
      <c r="W10" s="100" t="s">
        <v>462</v>
      </c>
      <c r="X10" s="81"/>
      <c r="Y10" s="49"/>
      <c r="Z10" s="49"/>
      <c r="AA10" s="49"/>
      <c r="AB10" s="14"/>
      <c r="AC10" s="12"/>
    </row>
    <row r="11" spans="1:29" ht="30" customHeight="1">
      <c r="A11" s="79">
        <v>11</v>
      </c>
      <c r="B11" s="79" t="s">
        <v>87</v>
      </c>
      <c r="C11" s="102">
        <v>45819</v>
      </c>
      <c r="D11" s="166">
        <v>45832</v>
      </c>
      <c r="E11" s="167" t="s">
        <v>863</v>
      </c>
      <c r="F11" s="114" t="s">
        <v>40</v>
      </c>
      <c r="G11" s="165">
        <v>48649</v>
      </c>
      <c r="H11" s="164" t="s">
        <v>819</v>
      </c>
      <c r="I11" s="55" t="s">
        <v>334</v>
      </c>
      <c r="J11" s="114">
        <v>8</v>
      </c>
      <c r="K11" s="100">
        <f t="shared" si="0"/>
        <v>1.5</v>
      </c>
      <c r="L11" s="114">
        <v>6</v>
      </c>
      <c r="M11" s="100"/>
      <c r="N11" s="100"/>
      <c r="O11" s="100"/>
      <c r="P11" s="100"/>
      <c r="Q11" s="100"/>
      <c r="R11" s="132"/>
      <c r="S11" s="81"/>
      <c r="T11" s="81"/>
      <c r="U11" s="100"/>
      <c r="V11" s="100"/>
      <c r="W11" s="100"/>
      <c r="X11" s="81"/>
      <c r="Y11" s="49"/>
      <c r="Z11" s="49"/>
      <c r="AA11" s="49"/>
      <c r="AB11" s="14"/>
      <c r="AC11" s="12"/>
    </row>
    <row r="12" spans="1:29" ht="30" customHeight="1">
      <c r="A12" s="79">
        <v>12</v>
      </c>
      <c r="B12" s="79" t="s">
        <v>87</v>
      </c>
      <c r="C12" s="102">
        <v>45819</v>
      </c>
      <c r="D12" s="166">
        <v>45832</v>
      </c>
      <c r="E12" s="167" t="s">
        <v>863</v>
      </c>
      <c r="F12" s="114" t="s">
        <v>47</v>
      </c>
      <c r="G12" s="165">
        <v>47757</v>
      </c>
      <c r="H12" s="164" t="s">
        <v>826</v>
      </c>
      <c r="I12" s="55" t="s">
        <v>334</v>
      </c>
      <c r="J12" s="114">
        <v>13</v>
      </c>
      <c r="K12" s="100">
        <f t="shared" si="0"/>
        <v>4.5</v>
      </c>
      <c r="L12" s="114">
        <v>18</v>
      </c>
      <c r="M12" s="100"/>
      <c r="N12" s="100"/>
      <c r="O12" s="100"/>
      <c r="P12" s="100"/>
      <c r="Q12" s="100"/>
      <c r="R12" s="132"/>
      <c r="S12" s="81"/>
      <c r="T12" s="81"/>
      <c r="U12" s="100"/>
      <c r="V12" s="100"/>
      <c r="W12" s="100"/>
      <c r="X12" s="81"/>
      <c r="Y12" s="49"/>
      <c r="Z12" s="49"/>
      <c r="AA12" s="49"/>
      <c r="AB12" s="14"/>
      <c r="AC12" s="12"/>
    </row>
    <row r="13" spans="1:29" ht="30" customHeight="1">
      <c r="A13" s="165">
        <v>13</v>
      </c>
      <c r="B13" s="165" t="s">
        <v>87</v>
      </c>
      <c r="C13" s="166">
        <v>45819</v>
      </c>
      <c r="D13" s="166">
        <v>45832</v>
      </c>
      <c r="E13" s="167" t="s">
        <v>863</v>
      </c>
      <c r="F13" s="114" t="s">
        <v>37</v>
      </c>
      <c r="G13" s="165">
        <v>47615</v>
      </c>
      <c r="H13" s="164" t="s">
        <v>853</v>
      </c>
      <c r="I13" s="164" t="s">
        <v>334</v>
      </c>
      <c r="J13" s="114">
        <v>13</v>
      </c>
      <c r="K13" s="100">
        <f t="shared" si="0"/>
        <v>12.25</v>
      </c>
      <c r="L13" s="114">
        <v>49</v>
      </c>
      <c r="M13" s="12"/>
      <c r="N13" s="12"/>
      <c r="O13" s="12"/>
      <c r="P13" s="12"/>
      <c r="Q13" s="12"/>
      <c r="R13" s="12"/>
      <c r="S13" s="12"/>
      <c r="T13" s="12"/>
      <c r="U13" s="12"/>
      <c r="V13" s="12"/>
      <c r="W13" s="12"/>
      <c r="X13" s="12"/>
      <c r="Y13" s="12"/>
      <c r="Z13" s="12"/>
      <c r="AA13" s="12"/>
      <c r="AB13" s="14" t="s">
        <v>864</v>
      </c>
      <c r="AC13" s="12"/>
    </row>
  </sheetData>
  <dataValidations count="1">
    <dataValidation type="list" allowBlank="1" showInputMessage="1" showErrorMessage="1" sqref="AC2:AC12" xr:uid="{0011C792-C30A-4EA6-B28B-DC583E81BB40}">
      <formula1>"Exceeds Expectation, Meets Expectation, Needs Improvement"</formula1>
    </dataValidation>
  </dataValidations>
  <hyperlinks>
    <hyperlink ref="R2" r:id="rId1" xr:uid="{A47B40FC-9A5B-4B94-9A4A-58240F2418D1}"/>
    <hyperlink ref="R3" r:id="rId2" xr:uid="{5718B01B-DC0F-47DC-8846-C4ECD00ABB76}"/>
    <hyperlink ref="R5" r:id="rId3" xr:uid="{7731310E-350D-4235-B136-F33B219611A7}"/>
    <hyperlink ref="R6" r:id="rId4" xr:uid="{B2A83A90-F22D-48C9-89FE-238A0880299D}"/>
    <hyperlink ref="R4" r:id="rId5" xr:uid="{1DEBE484-858A-4A41-93A7-0FE7BEDE7FED}"/>
    <hyperlink ref="R9" r:id="rId6" xr:uid="{DF893F71-6712-4D3D-81BC-945E16D1E903}"/>
    <hyperlink ref="R7" r:id="rId7" xr:uid="{9296C944-B9EF-4C88-9DD0-DB2A64E2A750}"/>
    <hyperlink ref="R8" r:id="rId8" xr:uid="{C3EDFBB6-4E0C-48E4-B799-FE6B7C2919A1}"/>
    <hyperlink ref="R10" r:id="rId9" xr:uid="{E8342880-4E1B-490D-A4C2-EE0F721F220C}"/>
  </hyperlinks>
  <pageMargins left="0.7" right="0.7" top="0.75" bottom="0.75" header="0.3" footer="0.3"/>
  <legacyDrawing r:id="rId10"/>
  <extLst>
    <ext xmlns:x14="http://schemas.microsoft.com/office/spreadsheetml/2009/9/main" uri="{CCE6A557-97BC-4b89-ADB6-D9C93CAAB3DF}">
      <x14:dataValidations xmlns:xm="http://schemas.microsoft.com/office/excel/2006/main" count="1">
        <x14:dataValidation type="list" allowBlank="1" showErrorMessage="1" xr:uid="{DFD24316-04DF-44D7-BEE0-CD956893B2F4}">
          <x14:formula1>
            <xm:f>Settings!$C$3:$C$20</xm:f>
          </x14:formula1>
          <xm:sqref>I2:I12</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69F8-9279-4AD5-95EB-5DF9EE814AE7}">
  <dimension ref="A1:L3"/>
  <sheetViews>
    <sheetView workbookViewId="0">
      <selection activeCell="A3" sqref="A3"/>
    </sheetView>
  </sheetViews>
  <sheetFormatPr defaultRowHeight="12.75"/>
  <cols>
    <col min="1" max="1" width="24.5703125" customWidth="1"/>
    <col min="5" max="5" width="13.42578125" customWidth="1"/>
    <col min="10" max="10" width="18.140625" customWidth="1"/>
    <col min="12" max="12" width="29.140625" customWidth="1"/>
  </cols>
  <sheetData>
    <row r="1" spans="1:12" ht="40.5">
      <c r="A1" s="23" t="s">
        <v>74</v>
      </c>
      <c r="B1" s="172" t="s">
        <v>75</v>
      </c>
      <c r="C1" s="172" t="s">
        <v>76</v>
      </c>
      <c r="D1" s="23" t="s">
        <v>2</v>
      </c>
      <c r="E1" s="172" t="s">
        <v>77</v>
      </c>
      <c r="F1" s="172" t="s">
        <v>78</v>
      </c>
      <c r="G1" s="23" t="s">
        <v>79</v>
      </c>
      <c r="H1" s="23" t="s">
        <v>80</v>
      </c>
      <c r="I1" s="23" t="s">
        <v>81</v>
      </c>
      <c r="J1" s="23" t="s">
        <v>4</v>
      </c>
      <c r="K1" s="173" t="s">
        <v>82</v>
      </c>
      <c r="L1" s="174" t="s">
        <v>5</v>
      </c>
    </row>
    <row r="2" spans="1:12" ht="51.75" customHeight="1">
      <c r="A2" s="167" t="s">
        <v>863</v>
      </c>
      <c r="B2" s="165">
        <v>25313</v>
      </c>
      <c r="C2" s="165">
        <v>47441</v>
      </c>
      <c r="D2" s="49" t="s">
        <v>40</v>
      </c>
      <c r="E2" s="24" t="s">
        <v>642</v>
      </c>
      <c r="F2" s="11" t="s">
        <v>812</v>
      </c>
      <c r="G2" s="24" t="s">
        <v>473</v>
      </c>
      <c r="H2" s="24" t="s">
        <v>353</v>
      </c>
      <c r="I2" s="24" t="s">
        <v>354</v>
      </c>
      <c r="J2" s="53" t="s">
        <v>355</v>
      </c>
      <c r="K2" s="24" t="s">
        <v>431</v>
      </c>
      <c r="L2" s="14" t="s">
        <v>865</v>
      </c>
    </row>
    <row r="3" spans="1:12" ht="45.75" customHeight="1">
      <c r="A3" s="167" t="s">
        <v>863</v>
      </c>
      <c r="B3" s="165">
        <v>25465</v>
      </c>
      <c r="C3" s="165">
        <v>47755</v>
      </c>
      <c r="D3" s="49" t="s">
        <v>40</v>
      </c>
      <c r="E3" s="24" t="s">
        <v>642</v>
      </c>
      <c r="F3" s="14" t="s">
        <v>866</v>
      </c>
      <c r="G3" s="24" t="s">
        <v>473</v>
      </c>
      <c r="H3" s="24" t="s">
        <v>353</v>
      </c>
      <c r="I3" s="24" t="s">
        <v>354</v>
      </c>
      <c r="J3" s="53" t="s">
        <v>396</v>
      </c>
      <c r="K3" s="24" t="s">
        <v>644</v>
      </c>
      <c r="L3" s="14" t="s">
        <v>867</v>
      </c>
    </row>
  </sheetData>
  <dataValidations count="4">
    <dataValidation type="list" allowBlank="1" showErrorMessage="1" sqref="H2:H3" xr:uid="{00BE433B-C3FE-4A1B-83CA-4DF06ACAFD34}">
      <formula1>"Manual, Automation"</formula1>
    </dataValidation>
    <dataValidation type="list" allowBlank="1" showErrorMessage="1" sqref="E2:E3" xr:uid="{CBA14CD5-1DCD-416B-93E2-9C75000C61F3}">
      <formula1>"Bounceback,Defect,None"</formula1>
    </dataValidation>
    <dataValidation type="list" allowBlank="1" showErrorMessage="1" sqref="G2:G3" xr:uid="{949445D1-3E94-4686-B28D-7C1216F24345}">
      <formula1>"Minor,Significant,Major"</formula1>
    </dataValidation>
    <dataValidation type="list" allowBlank="1" showErrorMessage="1" sqref="I2:I3" xr:uid="{A7F931A5-B457-48BF-92D1-935F8B7AD5D3}">
      <formula1>"Internal,External"</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ErrorMessage="1" xr:uid="{5B227EF9-6FB9-44F7-AFD9-B3375482B818}">
          <x14:formula1>
            <xm:f>Settings!$C$3:$C$20</xm:f>
          </x14:formula1>
          <xm:sqref>J2:J3</xm:sqref>
        </x14:dataValidation>
        <x14:dataValidation type="list" allowBlank="1" showErrorMessage="1" xr:uid="{0F824964-575D-4173-92AD-378210106C08}">
          <x14:formula1>
            <xm:f>Details!$A$2:$A$10</xm:f>
          </x14:formula1>
          <xm:sqref>K2:K3</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0C6A-F60C-439C-BB54-05D1021F4141}">
  <dimension ref="A1:AC10"/>
  <sheetViews>
    <sheetView topLeftCell="A2" workbookViewId="0">
      <selection activeCell="D8" sqref="D8"/>
    </sheetView>
  </sheetViews>
  <sheetFormatPr defaultRowHeight="30" customHeight="1"/>
  <cols>
    <col min="1" max="1" width="4.7109375" bestFit="1" customWidth="1"/>
    <col min="5" max="5" width="19.28515625" customWidth="1"/>
    <col min="6" max="6" width="13.140625" customWidth="1"/>
    <col min="8" max="8" width="42.7109375" customWidth="1"/>
    <col min="9" max="9" width="23.5703125" customWidth="1"/>
    <col min="11" max="11" width="9" bestFit="1" customWidth="1"/>
    <col min="17" max="17" width="13.5703125" customWidth="1"/>
    <col min="18" max="18" width="17.42578125" customWidth="1"/>
    <col min="19" max="19" width="10" bestFit="1" customWidth="1"/>
    <col min="20" max="20" width="12" customWidth="1"/>
    <col min="22" max="22" width="16.42578125" customWidth="1"/>
    <col min="24" max="24" width="11.7109375" customWidth="1"/>
    <col min="25" max="25" width="23.28515625" customWidth="1"/>
    <col min="28" max="28" width="31.5703125" customWidth="1"/>
    <col min="29" max="29" width="18.7109375" bestFit="1" customWidth="1"/>
  </cols>
  <sheetData>
    <row r="1" spans="1:29" ht="75.75" customHeight="1">
      <c r="A1" s="26" t="s">
        <v>73</v>
      </c>
      <c r="B1" s="26" t="s">
        <v>1</v>
      </c>
      <c r="C1" s="26" t="s">
        <v>85</v>
      </c>
      <c r="D1" s="26" t="s">
        <v>86</v>
      </c>
      <c r="E1" s="26" t="s">
        <v>310</v>
      </c>
      <c r="F1" s="26" t="s">
        <v>2</v>
      </c>
      <c r="G1" s="26" t="s">
        <v>311</v>
      </c>
      <c r="H1" s="157" t="s">
        <v>3</v>
      </c>
      <c r="I1" s="26" t="s">
        <v>4</v>
      </c>
      <c r="J1" s="26" t="s">
        <v>312</v>
      </c>
      <c r="K1" s="26" t="s">
        <v>313</v>
      </c>
      <c r="L1" s="26" t="s">
        <v>314</v>
      </c>
      <c r="M1" s="26" t="s">
        <v>317</v>
      </c>
      <c r="N1" s="26" t="s">
        <v>318</v>
      </c>
      <c r="O1" s="26" t="s">
        <v>319</v>
      </c>
      <c r="P1" s="26" t="s">
        <v>320</v>
      </c>
      <c r="Q1" s="26" t="s">
        <v>321</v>
      </c>
      <c r="R1" s="26" t="s">
        <v>322</v>
      </c>
      <c r="S1" s="26" t="s">
        <v>323</v>
      </c>
      <c r="T1" s="26" t="s">
        <v>324</v>
      </c>
      <c r="U1" s="26" t="s">
        <v>325</v>
      </c>
      <c r="V1" s="26" t="s">
        <v>326</v>
      </c>
      <c r="W1" s="26" t="s">
        <v>327</v>
      </c>
      <c r="X1" s="26" t="s">
        <v>328</v>
      </c>
      <c r="Y1" s="26" t="s">
        <v>329</v>
      </c>
      <c r="Z1" s="26" t="s">
        <v>330</v>
      </c>
      <c r="AA1" s="26" t="s">
        <v>331</v>
      </c>
      <c r="AB1" s="46" t="s">
        <v>5</v>
      </c>
      <c r="AC1" s="26" t="s">
        <v>332</v>
      </c>
    </row>
    <row r="2" spans="1:29" ht="138.75" customHeight="1">
      <c r="A2" s="79">
        <v>1</v>
      </c>
      <c r="B2" s="79" t="s">
        <v>87</v>
      </c>
      <c r="C2" s="102">
        <v>45805</v>
      </c>
      <c r="D2" s="102">
        <v>45818</v>
      </c>
      <c r="E2" s="78" t="s">
        <v>198</v>
      </c>
      <c r="F2" s="114" t="s">
        <v>49</v>
      </c>
      <c r="G2" s="79">
        <v>48149</v>
      </c>
      <c r="H2" s="47" t="s">
        <v>857</v>
      </c>
      <c r="I2" s="156" t="s">
        <v>654</v>
      </c>
      <c r="J2" s="100">
        <v>5</v>
      </c>
      <c r="K2" s="100">
        <f>L2/4</f>
        <v>3.75</v>
      </c>
      <c r="L2" s="100">
        <v>15</v>
      </c>
      <c r="M2" s="100" t="s">
        <v>335</v>
      </c>
      <c r="N2" s="100" t="s">
        <v>49</v>
      </c>
      <c r="O2" s="100" t="s">
        <v>400</v>
      </c>
      <c r="P2" s="100" t="s">
        <v>344</v>
      </c>
      <c r="Q2" s="100" t="s">
        <v>868</v>
      </c>
      <c r="R2" s="132" t="s">
        <v>858</v>
      </c>
      <c r="S2" s="153">
        <v>45804</v>
      </c>
      <c r="T2" s="171">
        <v>45818</v>
      </c>
      <c r="U2" s="100" t="s">
        <v>344</v>
      </c>
      <c r="V2" s="100" t="s">
        <v>400</v>
      </c>
      <c r="W2" s="100" t="s">
        <v>462</v>
      </c>
      <c r="X2" s="100" t="s">
        <v>724</v>
      </c>
      <c r="Y2" s="14" t="s">
        <v>869</v>
      </c>
      <c r="Z2" s="49" t="s">
        <v>345</v>
      </c>
      <c r="AA2" s="49" t="s">
        <v>345</v>
      </c>
      <c r="AB2" s="17" t="s">
        <v>870</v>
      </c>
      <c r="AC2" s="12" t="s">
        <v>340</v>
      </c>
    </row>
    <row r="3" spans="1:29" ht="78.75" customHeight="1">
      <c r="A3" s="79">
        <v>2</v>
      </c>
      <c r="B3" s="79" t="s">
        <v>87</v>
      </c>
      <c r="C3" s="102">
        <v>45805</v>
      </c>
      <c r="D3" s="102">
        <v>45818</v>
      </c>
      <c r="E3" s="78" t="s">
        <v>198</v>
      </c>
      <c r="F3" s="114" t="s">
        <v>49</v>
      </c>
      <c r="G3" s="79">
        <v>48449</v>
      </c>
      <c r="H3" s="47" t="s">
        <v>814</v>
      </c>
      <c r="I3" s="162" t="s">
        <v>343</v>
      </c>
      <c r="J3" s="100">
        <v>3</v>
      </c>
      <c r="K3" s="100">
        <f t="shared" ref="K3:K10" si="0">L3/4</f>
        <v>8.75</v>
      </c>
      <c r="L3" s="100">
        <v>35</v>
      </c>
      <c r="M3" s="100" t="s">
        <v>335</v>
      </c>
      <c r="N3" s="100" t="s">
        <v>49</v>
      </c>
      <c r="O3" s="100" t="s">
        <v>400</v>
      </c>
      <c r="P3" s="100" t="s">
        <v>40</v>
      </c>
      <c r="Q3" s="100" t="s">
        <v>400</v>
      </c>
      <c r="R3" s="132" t="s">
        <v>815</v>
      </c>
      <c r="S3" s="153">
        <v>45783</v>
      </c>
      <c r="T3" s="100" t="s">
        <v>724</v>
      </c>
      <c r="U3" s="100" t="s">
        <v>344</v>
      </c>
      <c r="V3" s="100" t="s">
        <v>871</v>
      </c>
      <c r="W3" s="100" t="s">
        <v>724</v>
      </c>
      <c r="X3" s="100" t="s">
        <v>724</v>
      </c>
      <c r="Y3" s="47" t="s">
        <v>724</v>
      </c>
      <c r="Z3" s="49" t="s">
        <v>345</v>
      </c>
      <c r="AA3" s="49" t="s">
        <v>345</v>
      </c>
      <c r="AB3" s="151" t="s">
        <v>872</v>
      </c>
      <c r="AC3" s="12" t="s">
        <v>340</v>
      </c>
    </row>
    <row r="4" spans="1:29" ht="30" customHeight="1">
      <c r="A4" s="79">
        <v>3</v>
      </c>
      <c r="B4" s="79" t="s">
        <v>87</v>
      </c>
      <c r="C4" s="102">
        <v>45805</v>
      </c>
      <c r="D4" s="102">
        <v>45818</v>
      </c>
      <c r="E4" s="78" t="s">
        <v>198</v>
      </c>
      <c r="F4" s="78" t="s">
        <v>349</v>
      </c>
      <c r="G4" s="78">
        <v>48296</v>
      </c>
      <c r="H4" s="47" t="s">
        <v>873</v>
      </c>
      <c r="I4" s="133" t="s">
        <v>358</v>
      </c>
      <c r="J4" s="100">
        <v>3</v>
      </c>
      <c r="K4" s="100">
        <f t="shared" si="0"/>
        <v>2</v>
      </c>
      <c r="L4" s="100">
        <v>8</v>
      </c>
      <c r="M4" s="100" t="s">
        <v>335</v>
      </c>
      <c r="N4" s="100" t="s">
        <v>349</v>
      </c>
      <c r="O4" s="100" t="s">
        <v>400</v>
      </c>
      <c r="P4" s="100" t="s">
        <v>47</v>
      </c>
      <c r="Q4" s="100" t="s">
        <v>400</v>
      </c>
      <c r="R4" s="132" t="s">
        <v>874</v>
      </c>
      <c r="S4" s="81">
        <v>45798</v>
      </c>
      <c r="T4" s="153">
        <v>45804</v>
      </c>
      <c r="U4" s="100" t="s">
        <v>344</v>
      </c>
      <c r="V4" s="100" t="s">
        <v>400</v>
      </c>
      <c r="W4" s="100" t="s">
        <v>462</v>
      </c>
      <c r="X4" s="153">
        <v>45804</v>
      </c>
      <c r="Y4" s="49" t="s">
        <v>345</v>
      </c>
      <c r="Z4" s="49" t="s">
        <v>345</v>
      </c>
      <c r="AA4" s="49" t="s">
        <v>345</v>
      </c>
      <c r="AB4" s="49" t="s">
        <v>345</v>
      </c>
      <c r="AC4" s="12" t="s">
        <v>340</v>
      </c>
    </row>
    <row r="5" spans="1:29" ht="42" customHeight="1">
      <c r="A5" s="79">
        <v>4</v>
      </c>
      <c r="B5" s="79" t="s">
        <v>87</v>
      </c>
      <c r="C5" s="102">
        <v>45805</v>
      </c>
      <c r="D5" s="102">
        <v>45818</v>
      </c>
      <c r="E5" s="78" t="s">
        <v>198</v>
      </c>
      <c r="F5" s="78" t="s">
        <v>40</v>
      </c>
      <c r="G5" s="78">
        <v>47755</v>
      </c>
      <c r="H5" s="47" t="s">
        <v>833</v>
      </c>
      <c r="I5" s="156" t="s">
        <v>654</v>
      </c>
      <c r="J5" s="100">
        <v>3</v>
      </c>
      <c r="K5" s="100">
        <f t="shared" si="0"/>
        <v>2</v>
      </c>
      <c r="L5" s="100">
        <v>8</v>
      </c>
      <c r="M5" s="100" t="s">
        <v>335</v>
      </c>
      <c r="N5" s="100" t="s">
        <v>40</v>
      </c>
      <c r="O5" s="100" t="s">
        <v>400</v>
      </c>
      <c r="P5" s="100" t="s">
        <v>47</v>
      </c>
      <c r="Q5" s="100" t="s">
        <v>400</v>
      </c>
      <c r="R5" s="132" t="s">
        <v>834</v>
      </c>
      <c r="S5" s="81">
        <v>45810</v>
      </c>
      <c r="T5" s="81">
        <v>45811</v>
      </c>
      <c r="U5" s="100" t="s">
        <v>344</v>
      </c>
      <c r="V5" s="100" t="s">
        <v>400</v>
      </c>
      <c r="W5" s="100" t="s">
        <v>462</v>
      </c>
      <c r="X5" s="81">
        <v>45817</v>
      </c>
      <c r="Y5" s="49" t="s">
        <v>345</v>
      </c>
      <c r="Z5" s="49" t="s">
        <v>345</v>
      </c>
      <c r="AA5" s="49" t="s">
        <v>345</v>
      </c>
      <c r="AB5" s="14" t="s">
        <v>875</v>
      </c>
      <c r="AC5" s="12" t="s">
        <v>340</v>
      </c>
    </row>
    <row r="6" spans="1:29" ht="30" customHeight="1">
      <c r="A6" s="79">
        <v>5</v>
      </c>
      <c r="B6" s="79" t="s">
        <v>87</v>
      </c>
      <c r="C6" s="102">
        <v>45805</v>
      </c>
      <c r="D6" s="102">
        <v>45818</v>
      </c>
      <c r="E6" s="78" t="s">
        <v>876</v>
      </c>
      <c r="F6" s="78" t="s">
        <v>47</v>
      </c>
      <c r="G6" s="78">
        <v>48164</v>
      </c>
      <c r="H6" s="47" t="s">
        <v>877</v>
      </c>
      <c r="I6" s="133" t="s">
        <v>358</v>
      </c>
      <c r="J6" s="100">
        <v>13</v>
      </c>
      <c r="K6" s="100">
        <f t="shared" si="0"/>
        <v>3</v>
      </c>
      <c r="L6" s="100">
        <v>12</v>
      </c>
      <c r="M6" s="100" t="s">
        <v>335</v>
      </c>
      <c r="N6" s="100" t="s">
        <v>47</v>
      </c>
      <c r="O6" s="100" t="s">
        <v>400</v>
      </c>
      <c r="P6" s="100" t="s">
        <v>40</v>
      </c>
      <c r="Q6" s="100" t="s">
        <v>400</v>
      </c>
      <c r="R6" s="132" t="s">
        <v>878</v>
      </c>
      <c r="S6" s="81">
        <v>45803</v>
      </c>
      <c r="T6" s="153">
        <v>45805</v>
      </c>
      <c r="U6" s="100" t="s">
        <v>344</v>
      </c>
      <c r="V6" s="100" t="s">
        <v>400</v>
      </c>
      <c r="W6" s="100" t="s">
        <v>462</v>
      </c>
      <c r="X6" s="153">
        <v>45805</v>
      </c>
      <c r="Y6" s="49" t="s">
        <v>345</v>
      </c>
      <c r="Z6" s="49" t="s">
        <v>345</v>
      </c>
      <c r="AA6" s="49" t="s">
        <v>345</v>
      </c>
      <c r="AB6" s="14" t="s">
        <v>879</v>
      </c>
      <c r="AC6" s="12" t="s">
        <v>340</v>
      </c>
    </row>
    <row r="7" spans="1:29" ht="58.5" customHeight="1">
      <c r="A7" s="79">
        <v>6</v>
      </c>
      <c r="B7" s="79" t="s">
        <v>87</v>
      </c>
      <c r="C7" s="102">
        <v>45805</v>
      </c>
      <c r="D7" s="102">
        <v>45818</v>
      </c>
      <c r="E7" s="78" t="s">
        <v>876</v>
      </c>
      <c r="F7" s="78" t="s">
        <v>40</v>
      </c>
      <c r="G7" s="78">
        <v>48488</v>
      </c>
      <c r="H7" s="47" t="s">
        <v>835</v>
      </c>
      <c r="I7" s="156" t="s">
        <v>654</v>
      </c>
      <c r="J7" s="100">
        <v>8</v>
      </c>
      <c r="K7" s="100">
        <f t="shared" si="0"/>
        <v>7.5</v>
      </c>
      <c r="L7" s="100">
        <v>30</v>
      </c>
      <c r="M7" s="100" t="s">
        <v>335</v>
      </c>
      <c r="N7" s="100" t="s">
        <v>40</v>
      </c>
      <c r="O7" s="100" t="s">
        <v>400</v>
      </c>
      <c r="P7" s="100" t="s">
        <v>47</v>
      </c>
      <c r="Q7" s="100" t="s">
        <v>400</v>
      </c>
      <c r="R7" s="132" t="s">
        <v>834</v>
      </c>
      <c r="S7" s="81">
        <v>45810</v>
      </c>
      <c r="T7" s="81">
        <v>45811</v>
      </c>
      <c r="U7" s="100" t="s">
        <v>344</v>
      </c>
      <c r="V7" s="100" t="s">
        <v>400</v>
      </c>
      <c r="W7" s="100" t="s">
        <v>462</v>
      </c>
      <c r="X7" s="81">
        <v>45817</v>
      </c>
      <c r="Y7" s="49" t="s">
        <v>345</v>
      </c>
      <c r="Z7" s="49" t="s">
        <v>345</v>
      </c>
      <c r="AA7" s="49" t="s">
        <v>345</v>
      </c>
      <c r="AB7" s="14" t="s">
        <v>875</v>
      </c>
      <c r="AC7" s="12" t="s">
        <v>340</v>
      </c>
    </row>
    <row r="8" spans="1:29" ht="30" customHeight="1">
      <c r="A8" s="79">
        <v>7</v>
      </c>
      <c r="B8" s="79" t="s">
        <v>87</v>
      </c>
      <c r="C8" s="102">
        <v>45805</v>
      </c>
      <c r="D8" s="102">
        <v>45818</v>
      </c>
      <c r="E8" s="78" t="s">
        <v>876</v>
      </c>
      <c r="F8" s="114" t="s">
        <v>47</v>
      </c>
      <c r="G8" s="78">
        <v>48569</v>
      </c>
      <c r="H8" s="47" t="s">
        <v>839</v>
      </c>
      <c r="I8" s="47" t="s">
        <v>334</v>
      </c>
      <c r="J8" s="100">
        <v>13</v>
      </c>
      <c r="K8" s="100">
        <f t="shared" si="0"/>
        <v>9</v>
      </c>
      <c r="L8" s="114">
        <v>36</v>
      </c>
      <c r="M8" s="100"/>
      <c r="N8" s="100"/>
      <c r="O8" s="100"/>
      <c r="P8" s="100"/>
      <c r="Q8" s="100"/>
      <c r="R8" s="12"/>
      <c r="S8" s="12"/>
      <c r="T8" s="12"/>
      <c r="U8" s="12"/>
      <c r="V8" s="12"/>
      <c r="W8" s="12"/>
      <c r="X8" s="12"/>
      <c r="Y8" s="12"/>
      <c r="Z8" s="12"/>
      <c r="AA8" s="12"/>
      <c r="AB8" s="14" t="s">
        <v>880</v>
      </c>
      <c r="AC8" s="12" t="s">
        <v>340</v>
      </c>
    </row>
    <row r="9" spans="1:29" ht="51.75" customHeight="1">
      <c r="A9" s="79">
        <v>8</v>
      </c>
      <c r="B9" s="79" t="s">
        <v>87</v>
      </c>
      <c r="C9" s="102">
        <v>45805</v>
      </c>
      <c r="D9" s="102">
        <v>45818</v>
      </c>
      <c r="E9" s="78" t="s">
        <v>876</v>
      </c>
      <c r="F9" s="114" t="s">
        <v>40</v>
      </c>
      <c r="G9" s="78">
        <v>48568</v>
      </c>
      <c r="H9" s="47" t="s">
        <v>837</v>
      </c>
      <c r="I9" s="163" t="s">
        <v>343</v>
      </c>
      <c r="J9" s="100">
        <v>5</v>
      </c>
      <c r="K9" s="100">
        <f t="shared" si="0"/>
        <v>4.5</v>
      </c>
      <c r="L9" s="114">
        <v>18</v>
      </c>
      <c r="M9" s="100" t="s">
        <v>335</v>
      </c>
      <c r="N9" s="100" t="s">
        <v>40</v>
      </c>
      <c r="O9" s="100" t="s">
        <v>400</v>
      </c>
      <c r="P9" s="100" t="s">
        <v>47</v>
      </c>
      <c r="Q9" s="100" t="s">
        <v>400</v>
      </c>
      <c r="R9" s="132" t="s">
        <v>838</v>
      </c>
      <c r="S9" s="81">
        <v>45818</v>
      </c>
      <c r="T9" s="81">
        <v>45818</v>
      </c>
      <c r="U9" s="100" t="s">
        <v>344</v>
      </c>
      <c r="V9" s="100" t="s">
        <v>400</v>
      </c>
      <c r="W9" s="100" t="s">
        <v>462</v>
      </c>
      <c r="X9" s="81">
        <v>45818</v>
      </c>
      <c r="Y9" s="49" t="s">
        <v>345</v>
      </c>
      <c r="Z9" s="49" t="s">
        <v>345</v>
      </c>
      <c r="AA9" s="49" t="s">
        <v>345</v>
      </c>
      <c r="AB9" s="14" t="s">
        <v>881</v>
      </c>
      <c r="AC9" s="12" t="s">
        <v>340</v>
      </c>
    </row>
    <row r="10" spans="1:29" ht="30" customHeight="1">
      <c r="A10" s="79">
        <v>9</v>
      </c>
      <c r="B10" s="79" t="s">
        <v>87</v>
      </c>
      <c r="C10" s="102">
        <v>45805</v>
      </c>
      <c r="D10" s="102">
        <v>45818</v>
      </c>
      <c r="E10" s="78" t="s">
        <v>876</v>
      </c>
      <c r="F10" s="114" t="s">
        <v>37</v>
      </c>
      <c r="G10" s="79">
        <v>47615</v>
      </c>
      <c r="H10" s="47" t="s">
        <v>853</v>
      </c>
      <c r="I10" s="47" t="s">
        <v>334</v>
      </c>
      <c r="J10" s="100">
        <v>13</v>
      </c>
      <c r="K10" s="100">
        <f t="shared" si="0"/>
        <v>10.5</v>
      </c>
      <c r="L10" s="114">
        <v>42</v>
      </c>
      <c r="M10" s="12"/>
      <c r="N10" s="12"/>
      <c r="O10" s="12"/>
      <c r="P10" s="12"/>
      <c r="Q10" s="12"/>
      <c r="R10" s="12"/>
      <c r="S10" s="12"/>
      <c r="T10" s="12"/>
      <c r="U10" s="12"/>
      <c r="V10" s="12"/>
      <c r="W10" s="12"/>
      <c r="X10" s="12"/>
      <c r="Y10" s="12"/>
      <c r="Z10" s="12"/>
      <c r="AA10" s="12"/>
      <c r="AB10" s="14" t="s">
        <v>882</v>
      </c>
      <c r="AC10" s="12"/>
    </row>
  </sheetData>
  <dataValidations count="1">
    <dataValidation type="list" allowBlank="1" showInputMessage="1" showErrorMessage="1" sqref="AC2:AC9" xr:uid="{68CF9818-8DF0-425C-B79B-8B4F81C47966}">
      <formula1>"Exceeds Expectation, Meets Expectation, Needs Improvement"</formula1>
    </dataValidation>
  </dataValidations>
  <hyperlinks>
    <hyperlink ref="R4" r:id="rId1" xr:uid="{3CF577AA-D0EE-481D-BA48-A0DF785161C1}"/>
    <hyperlink ref="R5" r:id="rId2" xr:uid="{9BBD0506-DDD5-48DA-9751-CFF3575A7B9F}"/>
    <hyperlink ref="R2" r:id="rId3" xr:uid="{EE015B10-831E-4731-91B2-75108BF260AA}"/>
    <hyperlink ref="R6" r:id="rId4" xr:uid="{2F8844F2-6EEB-448B-BB52-57EFAC9D95F6}"/>
    <hyperlink ref="R7" r:id="rId5" xr:uid="{34A07033-7B19-41F7-9D0A-29DDFC047C19}"/>
    <hyperlink ref="R3" r:id="rId6" xr:uid="{5B0DB985-8F78-42AE-9EDC-1BC42E1C774E}"/>
    <hyperlink ref="R9" r:id="rId7" xr:uid="{676B2057-3B22-4853-9CCA-D982BE22D99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45EDDC2-539D-441D-AA57-25DC71A1FCAA}">
          <x14:formula1>
            <xm:f>Settings!$C$3:$C$20</xm:f>
          </x14:formula1>
          <xm:sqref>I9 I4:I7 I2</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6671-857E-4C71-97CB-9C632DFE7C8E}">
  <dimension ref="A1:L2"/>
  <sheetViews>
    <sheetView workbookViewId="0"/>
  </sheetViews>
  <sheetFormatPr defaultRowHeight="12.75"/>
  <sheetData>
    <row r="1" spans="1:12" ht="40.5">
      <c r="A1" s="23" t="s">
        <v>74</v>
      </c>
      <c r="B1" s="74" t="s">
        <v>75</v>
      </c>
      <c r="C1" s="74" t="s">
        <v>76</v>
      </c>
      <c r="D1" s="1" t="s">
        <v>2</v>
      </c>
      <c r="E1" s="74" t="s">
        <v>77</v>
      </c>
      <c r="F1" s="74" t="s">
        <v>78</v>
      </c>
      <c r="G1" s="1" t="s">
        <v>79</v>
      </c>
      <c r="H1" s="1" t="s">
        <v>80</v>
      </c>
      <c r="I1" s="1" t="s">
        <v>81</v>
      </c>
      <c r="J1" s="1" t="s">
        <v>4</v>
      </c>
      <c r="K1" s="75" t="s">
        <v>82</v>
      </c>
      <c r="L1" s="3" t="s">
        <v>5</v>
      </c>
    </row>
    <row r="2" spans="1:12">
      <c r="A2" s="78"/>
      <c r="B2" s="94"/>
      <c r="C2" s="20"/>
      <c r="D2" s="49"/>
      <c r="E2" s="24"/>
      <c r="F2" s="11"/>
      <c r="G2" s="24"/>
      <c r="H2" s="24"/>
      <c r="I2" s="24"/>
      <c r="J2" s="53"/>
      <c r="K2" s="82"/>
      <c r="L2" s="14"/>
    </row>
  </sheetData>
  <dataValidations count="4">
    <dataValidation type="list" allowBlank="1" showErrorMessage="1" sqref="I2" xr:uid="{751A831A-D6B3-4CF2-9C04-5B3916F9AFB6}">
      <formula1>"Internal,External"</formula1>
    </dataValidation>
    <dataValidation type="list" allowBlank="1" showErrorMessage="1" sqref="G2" xr:uid="{E1B84453-CFD9-4AB7-A574-513572BBA8E8}">
      <formula1>"Minor,Significant,Major"</formula1>
    </dataValidation>
    <dataValidation type="list" allowBlank="1" showErrorMessage="1" sqref="E2" xr:uid="{DDCDA2AE-493A-416F-BC64-8B64FD2D1F82}">
      <formula1>"Bounceback,Defect,None"</formula1>
    </dataValidation>
    <dataValidation type="list" allowBlank="1" showErrorMessage="1" sqref="H2" xr:uid="{3882420A-F9C5-4DA5-97A2-6BF14D162D3A}">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1A9D6CBA-09DE-40A7-B7E1-FD567C9C68E8}">
          <x14:formula1>
            <xm:f>Details!$A$2:$A$10</xm:f>
          </x14:formula1>
          <xm:sqref>K2</xm:sqref>
        </x14:dataValidation>
        <x14:dataValidation type="list" allowBlank="1" showErrorMessage="1" xr:uid="{8932BEE9-5B22-4C08-BC6B-F7A558FD721C}">
          <x14:formula1>
            <xm:f>Settings!$C$3:$C$20</xm:f>
          </x14:formula1>
          <xm:sqref>J2</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62B6-BFDD-424E-8991-06D8E160C25F}">
  <dimension ref="A1:AC8"/>
  <sheetViews>
    <sheetView topLeftCell="A5" workbookViewId="0">
      <selection activeCell="G12" sqref="G12"/>
    </sheetView>
  </sheetViews>
  <sheetFormatPr defaultColWidth="20.140625" defaultRowHeight="12.75"/>
  <cols>
    <col min="1" max="1" width="9.28515625" customWidth="1"/>
    <col min="2" max="2" width="9.140625"/>
    <col min="3" max="3" width="15.85546875" customWidth="1"/>
    <col min="4" max="4" width="14.140625" customWidth="1"/>
    <col min="5" max="5" width="24.7109375" customWidth="1"/>
    <col min="6" max="6" width="16.140625" customWidth="1"/>
    <col min="7" max="7" width="17.28515625" customWidth="1"/>
    <col min="8" max="8" width="37" customWidth="1"/>
    <col min="9" max="9" width="26.42578125" customWidth="1"/>
    <col min="10" max="10" width="16" customWidth="1"/>
    <col min="11" max="11" width="13.85546875" customWidth="1"/>
    <col min="12" max="12" width="17.85546875" customWidth="1"/>
    <col min="13" max="13" width="11.5703125" customWidth="1"/>
    <col min="14" max="14" width="14.7109375" customWidth="1"/>
    <col min="15" max="17" width="9.140625"/>
    <col min="18" max="18" width="27.140625" customWidth="1"/>
    <col min="25" max="25" width="16.5703125" customWidth="1"/>
    <col min="27" max="27" width="26" customWidth="1"/>
  </cols>
  <sheetData>
    <row r="1" spans="1:29" ht="53.25">
      <c r="A1" s="45" t="s">
        <v>73</v>
      </c>
      <c r="B1" s="45" t="s">
        <v>1</v>
      </c>
      <c r="C1" s="45" t="s">
        <v>85</v>
      </c>
      <c r="D1" s="45" t="s">
        <v>86</v>
      </c>
      <c r="E1" s="45" t="s">
        <v>310</v>
      </c>
      <c r="F1" s="45" t="s">
        <v>2</v>
      </c>
      <c r="G1" s="45" t="s">
        <v>311</v>
      </c>
      <c r="H1" s="98" t="s">
        <v>3</v>
      </c>
      <c r="I1" s="45" t="s">
        <v>4</v>
      </c>
      <c r="J1" s="45" t="s">
        <v>312</v>
      </c>
      <c r="K1" s="45" t="s">
        <v>313</v>
      </c>
      <c r="L1" s="45" t="s">
        <v>314</v>
      </c>
      <c r="M1" s="45" t="s">
        <v>317</v>
      </c>
      <c r="N1" s="45" t="s">
        <v>318</v>
      </c>
      <c r="O1" s="45" t="s">
        <v>319</v>
      </c>
      <c r="P1" s="45" t="s">
        <v>320</v>
      </c>
      <c r="Q1" s="45" t="s">
        <v>321</v>
      </c>
      <c r="R1" s="45" t="s">
        <v>322</v>
      </c>
      <c r="S1" s="45" t="s">
        <v>323</v>
      </c>
      <c r="T1" s="45" t="s">
        <v>324</v>
      </c>
      <c r="U1" s="45" t="s">
        <v>325</v>
      </c>
      <c r="V1" s="45" t="s">
        <v>326</v>
      </c>
      <c r="W1" s="45" t="s">
        <v>327</v>
      </c>
      <c r="X1" s="45" t="s">
        <v>328</v>
      </c>
      <c r="Y1" s="45" t="s">
        <v>329</v>
      </c>
      <c r="Z1" s="45" t="s">
        <v>330</v>
      </c>
      <c r="AA1" s="128" t="s">
        <v>331</v>
      </c>
      <c r="AB1" s="46" t="s">
        <v>5</v>
      </c>
      <c r="AC1" s="26" t="s">
        <v>332</v>
      </c>
    </row>
    <row r="2" spans="1:29" ht="37.5" customHeight="1">
      <c r="A2" s="79">
        <v>1</v>
      </c>
      <c r="B2" s="79" t="s">
        <v>87</v>
      </c>
      <c r="C2" s="102">
        <v>45791</v>
      </c>
      <c r="D2" s="102">
        <v>45804</v>
      </c>
      <c r="E2" s="78" t="s">
        <v>193</v>
      </c>
      <c r="F2" s="78" t="s">
        <v>66</v>
      </c>
      <c r="G2" s="79">
        <v>47226</v>
      </c>
      <c r="H2" s="47" t="s">
        <v>883</v>
      </c>
      <c r="I2" s="133" t="s">
        <v>358</v>
      </c>
      <c r="J2" s="100">
        <v>3</v>
      </c>
      <c r="K2" s="100">
        <v>1</v>
      </c>
      <c r="L2" s="100">
        <v>1</v>
      </c>
      <c r="M2" s="100" t="s">
        <v>335</v>
      </c>
      <c r="N2" s="100" t="s">
        <v>47</v>
      </c>
      <c r="O2" s="100" t="s">
        <v>400</v>
      </c>
      <c r="P2" s="100" t="s">
        <v>40</v>
      </c>
      <c r="Q2" s="100" t="s">
        <v>400</v>
      </c>
      <c r="R2" s="132" t="s">
        <v>884</v>
      </c>
      <c r="S2" s="81">
        <v>45775</v>
      </c>
      <c r="T2" s="81">
        <v>45778</v>
      </c>
      <c r="U2" s="80" t="s">
        <v>462</v>
      </c>
      <c r="V2" s="100" t="s">
        <v>400</v>
      </c>
      <c r="W2" s="100" t="s">
        <v>462</v>
      </c>
      <c r="X2" s="81">
        <v>45778</v>
      </c>
      <c r="Y2" s="49" t="s">
        <v>345</v>
      </c>
      <c r="Z2" s="114" t="s">
        <v>885</v>
      </c>
      <c r="AA2" s="49" t="s">
        <v>345</v>
      </c>
      <c r="AB2" s="14" t="s">
        <v>886</v>
      </c>
      <c r="AC2" s="14" t="s">
        <v>340</v>
      </c>
    </row>
    <row r="3" spans="1:29" ht="51.75" customHeight="1">
      <c r="A3" s="79">
        <v>2</v>
      </c>
      <c r="B3" s="79" t="s">
        <v>87</v>
      </c>
      <c r="C3" s="102">
        <v>45791</v>
      </c>
      <c r="D3" s="102">
        <v>45804</v>
      </c>
      <c r="E3" s="78" t="s">
        <v>193</v>
      </c>
      <c r="F3" s="78" t="s">
        <v>40</v>
      </c>
      <c r="G3" s="79">
        <v>48168</v>
      </c>
      <c r="H3" s="47" t="s">
        <v>887</v>
      </c>
      <c r="I3" s="133" t="s">
        <v>358</v>
      </c>
      <c r="J3" s="100">
        <v>3</v>
      </c>
      <c r="K3" s="100">
        <v>1</v>
      </c>
      <c r="L3" s="100">
        <v>1</v>
      </c>
      <c r="M3" s="100" t="s">
        <v>335</v>
      </c>
      <c r="N3" s="100" t="s">
        <v>349</v>
      </c>
      <c r="O3" s="100" t="s">
        <v>400</v>
      </c>
      <c r="P3" s="100" t="s">
        <v>49</v>
      </c>
      <c r="Q3" s="100" t="s">
        <v>400</v>
      </c>
      <c r="R3" s="132" t="s">
        <v>888</v>
      </c>
      <c r="S3" s="81">
        <v>45782</v>
      </c>
      <c r="T3" s="81">
        <v>45793</v>
      </c>
      <c r="U3" s="80" t="s">
        <v>344</v>
      </c>
      <c r="V3" s="100" t="s">
        <v>400</v>
      </c>
      <c r="W3" s="100" t="s">
        <v>462</v>
      </c>
      <c r="X3" s="81">
        <v>45793</v>
      </c>
      <c r="Y3" s="49" t="s">
        <v>345</v>
      </c>
      <c r="Z3" s="49" t="s">
        <v>345</v>
      </c>
      <c r="AA3" s="49" t="s">
        <v>345</v>
      </c>
      <c r="AB3" s="14" t="s">
        <v>889</v>
      </c>
      <c r="AC3" s="12" t="s">
        <v>340</v>
      </c>
    </row>
    <row r="4" spans="1:29" ht="104.25">
      <c r="A4" s="79">
        <v>3</v>
      </c>
      <c r="B4" s="79" t="s">
        <v>87</v>
      </c>
      <c r="C4" s="102">
        <v>45791</v>
      </c>
      <c r="D4" s="102">
        <v>45804</v>
      </c>
      <c r="E4" s="78" t="s">
        <v>193</v>
      </c>
      <c r="F4" s="114" t="s">
        <v>49</v>
      </c>
      <c r="G4" s="79">
        <v>48149</v>
      </c>
      <c r="H4" s="47" t="s">
        <v>857</v>
      </c>
      <c r="I4" s="47" t="s">
        <v>343</v>
      </c>
      <c r="J4" s="100">
        <v>5</v>
      </c>
      <c r="K4" s="100">
        <v>16</v>
      </c>
      <c r="L4" s="100">
        <v>64</v>
      </c>
      <c r="M4" s="100" t="s">
        <v>335</v>
      </c>
      <c r="N4" s="100" t="s">
        <v>49</v>
      </c>
      <c r="O4" s="100" t="s">
        <v>400</v>
      </c>
      <c r="P4" s="100" t="s">
        <v>344</v>
      </c>
      <c r="Q4" s="100" t="s">
        <v>868</v>
      </c>
      <c r="R4" s="152" t="s">
        <v>858</v>
      </c>
      <c r="S4" s="153">
        <v>45804</v>
      </c>
      <c r="T4" s="100" t="s">
        <v>890</v>
      </c>
      <c r="U4" s="100" t="s">
        <v>344</v>
      </c>
      <c r="V4" s="100" t="s">
        <v>400</v>
      </c>
      <c r="W4" s="100" t="s">
        <v>890</v>
      </c>
      <c r="X4" s="100" t="s">
        <v>890</v>
      </c>
      <c r="Y4" s="47" t="s">
        <v>400</v>
      </c>
      <c r="Z4" s="15" t="s">
        <v>891</v>
      </c>
      <c r="AA4" s="114" t="s">
        <v>892</v>
      </c>
      <c r="AB4" s="151" t="s">
        <v>893</v>
      </c>
      <c r="AC4" s="12" t="s">
        <v>340</v>
      </c>
    </row>
    <row r="5" spans="1:29" ht="81">
      <c r="A5" s="79">
        <v>4</v>
      </c>
      <c r="B5" s="79" t="s">
        <v>87</v>
      </c>
      <c r="C5" s="102">
        <v>45791</v>
      </c>
      <c r="D5" s="102">
        <v>45804</v>
      </c>
      <c r="E5" s="78" t="s">
        <v>193</v>
      </c>
      <c r="F5" s="78" t="s">
        <v>40</v>
      </c>
      <c r="G5" s="78">
        <v>48296</v>
      </c>
      <c r="H5" s="47" t="s">
        <v>873</v>
      </c>
      <c r="I5" s="156" t="s">
        <v>654</v>
      </c>
      <c r="J5" s="100">
        <v>8</v>
      </c>
      <c r="K5" s="100">
        <v>7</v>
      </c>
      <c r="L5" s="100">
        <v>27</v>
      </c>
      <c r="M5" s="100" t="s">
        <v>335</v>
      </c>
      <c r="N5" s="100" t="s">
        <v>40</v>
      </c>
      <c r="O5" s="100" t="s">
        <v>400</v>
      </c>
      <c r="P5" s="100" t="s">
        <v>47</v>
      </c>
      <c r="Q5" s="100" t="s">
        <v>400</v>
      </c>
      <c r="R5" s="132" t="s">
        <v>874</v>
      </c>
      <c r="S5" s="81">
        <v>45798</v>
      </c>
      <c r="T5" s="153">
        <v>45804</v>
      </c>
      <c r="U5" s="100" t="s">
        <v>344</v>
      </c>
      <c r="V5" s="100" t="s">
        <v>400</v>
      </c>
      <c r="W5" s="100" t="s">
        <v>462</v>
      </c>
      <c r="X5" s="153">
        <v>45804</v>
      </c>
      <c r="Y5" s="49" t="s">
        <v>345</v>
      </c>
      <c r="Z5" s="49" t="s">
        <v>345</v>
      </c>
      <c r="AA5" s="49" t="s">
        <v>345</v>
      </c>
      <c r="AB5" s="150" t="s">
        <v>894</v>
      </c>
      <c r="AC5" s="12" t="s">
        <v>340</v>
      </c>
    </row>
    <row r="6" spans="1:29" ht="58.5">
      <c r="A6" s="79">
        <v>5</v>
      </c>
      <c r="B6" s="79" t="s">
        <v>87</v>
      </c>
      <c r="C6" s="102">
        <v>45791</v>
      </c>
      <c r="D6" s="102">
        <v>45804</v>
      </c>
      <c r="E6" s="78" t="s">
        <v>895</v>
      </c>
      <c r="F6" s="78" t="s">
        <v>47</v>
      </c>
      <c r="G6" s="78">
        <v>48164</v>
      </c>
      <c r="H6" s="47" t="s">
        <v>877</v>
      </c>
      <c r="I6" s="47" t="s">
        <v>334</v>
      </c>
      <c r="J6" s="100">
        <v>13</v>
      </c>
      <c r="K6" s="100">
        <v>13</v>
      </c>
      <c r="L6" s="103">
        <v>53</v>
      </c>
      <c r="M6" s="100" t="s">
        <v>335</v>
      </c>
      <c r="N6" s="100" t="s">
        <v>47</v>
      </c>
      <c r="O6" s="100" t="s">
        <v>400</v>
      </c>
      <c r="P6" s="100" t="s">
        <v>40</v>
      </c>
      <c r="Q6" s="100" t="s">
        <v>400</v>
      </c>
      <c r="R6" s="132" t="s">
        <v>878</v>
      </c>
      <c r="S6" s="81">
        <v>45803</v>
      </c>
      <c r="T6" s="12"/>
      <c r="U6" s="12"/>
      <c r="V6" s="12"/>
      <c r="W6" s="12"/>
      <c r="X6" s="12"/>
      <c r="Y6" s="12"/>
      <c r="Z6" s="12"/>
      <c r="AA6" s="49" t="s">
        <v>345</v>
      </c>
      <c r="AB6" s="150" t="s">
        <v>896</v>
      </c>
      <c r="AC6" s="12" t="s">
        <v>340</v>
      </c>
    </row>
    <row r="7" spans="1:29" ht="72.75" customHeight="1">
      <c r="A7" s="104">
        <v>6</v>
      </c>
      <c r="B7" s="104" t="s">
        <v>87</v>
      </c>
      <c r="C7" s="105">
        <v>45791</v>
      </c>
      <c r="D7" s="105">
        <v>45804</v>
      </c>
      <c r="E7" s="106" t="s">
        <v>895</v>
      </c>
      <c r="F7" s="106" t="s">
        <v>66</v>
      </c>
      <c r="G7" s="106">
        <v>47755</v>
      </c>
      <c r="H7" s="55" t="s">
        <v>833</v>
      </c>
      <c r="I7" s="47" t="s">
        <v>343</v>
      </c>
      <c r="J7" s="103">
        <v>13</v>
      </c>
      <c r="K7" s="103">
        <v>10</v>
      </c>
      <c r="L7" s="103">
        <v>40</v>
      </c>
      <c r="M7" s="100" t="s">
        <v>335</v>
      </c>
      <c r="N7" s="100" t="s">
        <v>40</v>
      </c>
      <c r="O7" s="100" t="s">
        <v>400</v>
      </c>
      <c r="P7" s="100" t="s">
        <v>47</v>
      </c>
      <c r="Q7" s="100" t="s">
        <v>400</v>
      </c>
      <c r="R7" s="22" t="s">
        <v>874</v>
      </c>
      <c r="S7" s="81">
        <v>45799</v>
      </c>
      <c r="T7" s="19"/>
      <c r="U7" s="19"/>
      <c r="V7" s="19"/>
      <c r="W7" s="19"/>
      <c r="X7" s="19"/>
      <c r="Y7" s="19"/>
      <c r="Z7" s="49" t="s">
        <v>345</v>
      </c>
      <c r="AA7" s="150" t="s">
        <v>897</v>
      </c>
      <c r="AB7" s="150" t="s">
        <v>898</v>
      </c>
      <c r="AC7" s="19" t="s">
        <v>753</v>
      </c>
    </row>
    <row r="8" spans="1:29" ht="81">
      <c r="A8" s="79">
        <v>7</v>
      </c>
      <c r="B8" s="79" t="s">
        <v>87</v>
      </c>
      <c r="C8" s="102">
        <v>45791</v>
      </c>
      <c r="D8" s="102">
        <v>45804</v>
      </c>
      <c r="E8" s="78" t="s">
        <v>895</v>
      </c>
      <c r="F8" s="114" t="s">
        <v>37</v>
      </c>
      <c r="G8" s="147">
        <v>47615</v>
      </c>
      <c r="H8" s="47" t="s">
        <v>853</v>
      </c>
      <c r="I8" s="148" t="s">
        <v>334</v>
      </c>
      <c r="J8" s="134">
        <v>13</v>
      </c>
      <c r="K8" s="100">
        <v>13</v>
      </c>
      <c r="L8" s="155">
        <v>52</v>
      </c>
      <c r="M8" s="100" t="s">
        <v>335</v>
      </c>
      <c r="N8" s="49" t="s">
        <v>349</v>
      </c>
      <c r="O8" s="100" t="s">
        <v>400</v>
      </c>
      <c r="P8" s="49" t="s">
        <v>392</v>
      </c>
      <c r="Q8" s="100" t="s">
        <v>400</v>
      </c>
      <c r="R8" s="132" t="s">
        <v>899</v>
      </c>
      <c r="S8" s="154">
        <v>45804</v>
      </c>
      <c r="T8" s="12"/>
      <c r="U8" s="12" t="s">
        <v>344</v>
      </c>
      <c r="V8" s="12"/>
      <c r="W8" s="12"/>
      <c r="X8" s="12"/>
      <c r="Y8" s="12"/>
      <c r="Z8" s="12"/>
      <c r="AA8" s="12"/>
      <c r="AB8" s="14" t="s">
        <v>900</v>
      </c>
      <c r="AC8" s="12"/>
    </row>
  </sheetData>
  <dataValidations count="1">
    <dataValidation type="list" allowBlank="1" showInputMessage="1" showErrorMessage="1" sqref="AC2:AC7" xr:uid="{83284B83-64F7-46CE-BB90-6746549A3CE6}">
      <formula1>"Exceeds Expectation, Meets Expectation, Needs Improvement"</formula1>
    </dataValidation>
  </dataValidations>
  <hyperlinks>
    <hyperlink ref="R2" r:id="rId1" xr:uid="{4E02841A-C43E-421F-B19A-1212244BFAB4}"/>
    <hyperlink ref="R3" r:id="rId2" xr:uid="{A5D8B560-8EBC-42A0-99D0-E57F71C0CF29}"/>
    <hyperlink ref="R5" r:id="rId3" xr:uid="{8589C95C-63AA-4E44-9A80-0FABE4D2FB93}"/>
    <hyperlink ref="R7" r:id="rId4" xr:uid="{BD947252-D4FF-4AC6-A015-172E2F91123B}"/>
    <hyperlink ref="R4" r:id="rId5" xr:uid="{B670DC8C-1E4D-4279-BDF5-97E4109A18D3}"/>
    <hyperlink ref="R6" r:id="rId6" xr:uid="{3E6A659E-4581-438F-A4A1-8B0307AD69FE}"/>
    <hyperlink ref="R8" r:id="rId7" xr:uid="{DE4B3A09-C160-45D3-9F22-4E1BE3D75987}"/>
  </hyperlinks>
  <pageMargins left="0.7" right="0.7" top="0.75" bottom="0.75" header="0.3" footer="0.3"/>
  <legacyDrawing r:id="rId8"/>
  <extLst>
    <ext xmlns:x14="http://schemas.microsoft.com/office/spreadsheetml/2009/9/main" uri="{CCE6A557-97BC-4b89-ADB6-D9C93CAAB3DF}">
      <x14:dataValidations xmlns:xm="http://schemas.microsoft.com/office/excel/2006/main" count="1">
        <x14:dataValidation type="list" allowBlank="1" showErrorMessage="1" xr:uid="{0FC6488F-61A8-4399-BC4B-E80A280DCFC8}">
          <x14:formula1>
            <xm:f>Settings!$C$3:$C$20</xm:f>
          </x14:formula1>
          <xm:sqref>I5</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5D3A6-5887-4923-BD4D-B9F042E3DE39}">
  <dimension ref="A1:L2"/>
  <sheetViews>
    <sheetView workbookViewId="0"/>
  </sheetViews>
  <sheetFormatPr defaultRowHeight="12.75"/>
  <sheetData>
    <row r="1" spans="1:12" ht="40.5">
      <c r="A1" s="23" t="s">
        <v>74</v>
      </c>
      <c r="B1" s="74" t="s">
        <v>75</v>
      </c>
      <c r="C1" s="74" t="s">
        <v>76</v>
      </c>
      <c r="D1" s="1" t="s">
        <v>2</v>
      </c>
      <c r="E1" s="74" t="s">
        <v>77</v>
      </c>
      <c r="F1" s="74" t="s">
        <v>78</v>
      </c>
      <c r="G1" s="1" t="s">
        <v>79</v>
      </c>
      <c r="H1" s="1" t="s">
        <v>80</v>
      </c>
      <c r="I1" s="1" t="s">
        <v>81</v>
      </c>
      <c r="J1" s="1" t="s">
        <v>4</v>
      </c>
      <c r="K1" s="75" t="s">
        <v>82</v>
      </c>
      <c r="L1" s="3" t="s">
        <v>5</v>
      </c>
    </row>
    <row r="2" spans="1:12">
      <c r="A2" s="78"/>
      <c r="B2" s="94"/>
      <c r="C2" s="20"/>
      <c r="D2" s="49"/>
      <c r="E2" s="24"/>
      <c r="F2" s="11"/>
      <c r="G2" s="24"/>
      <c r="H2" s="24"/>
      <c r="I2" s="24"/>
      <c r="J2" s="53"/>
      <c r="K2" s="82"/>
      <c r="L2" s="14"/>
    </row>
  </sheetData>
  <dataValidations count="4">
    <dataValidation type="list" allowBlank="1" showErrorMessage="1" sqref="H2" xr:uid="{63DC8935-47A9-4C0A-AA85-A610D1EC3AC3}">
      <formula1>"Manual, Automation"</formula1>
    </dataValidation>
    <dataValidation type="list" allowBlank="1" showErrorMessage="1" sqref="E2" xr:uid="{18E9F9E0-E81B-4E08-B880-89964BAFBCFD}">
      <formula1>"Bounceback,Defect,None"</formula1>
    </dataValidation>
    <dataValidation type="list" allowBlank="1" showErrorMessage="1" sqref="G2" xr:uid="{697BEABC-2BD1-4250-B80D-578FD87CF4D3}">
      <formula1>"Minor,Significant,Major"</formula1>
    </dataValidation>
    <dataValidation type="list" allowBlank="1" showErrorMessage="1" sqref="I2" xr:uid="{47E3365B-1E9F-43B6-A171-9F3D4B2F9D18}">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BAFF5E1B-579D-466D-9BBD-C96E4C76BF91}">
          <x14:formula1>
            <xm:f>Settings!$C$3:$C$20</xm:f>
          </x14:formula1>
          <xm:sqref>J2</xm:sqref>
        </x14:dataValidation>
        <x14:dataValidation type="list" allowBlank="1" showErrorMessage="1" xr:uid="{8996806C-651E-4D49-89C5-A1038A4A63E0}">
          <x14:formula1>
            <xm:f>Details!$A$2:$A$10</xm:f>
          </x14:formula1>
          <xm:sqref>K2</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E1686-4579-4702-8CC2-DEC8A0757991}">
  <dimension ref="A1:AB13"/>
  <sheetViews>
    <sheetView topLeftCell="A4" workbookViewId="0">
      <selection activeCell="H7" sqref="H7"/>
    </sheetView>
  </sheetViews>
  <sheetFormatPr defaultColWidth="20.140625" defaultRowHeight="12.75"/>
  <cols>
    <col min="1" max="1" width="9.28515625" customWidth="1"/>
    <col min="3" max="3" width="15.85546875" customWidth="1"/>
    <col min="4" max="4" width="14.140625" customWidth="1"/>
    <col min="6" max="6" width="16.140625" customWidth="1"/>
    <col min="7" max="7" width="17.28515625" customWidth="1"/>
    <col min="8" max="8" width="37" customWidth="1"/>
    <col min="9" max="9" width="26.42578125" customWidth="1"/>
    <col min="10" max="10" width="16" customWidth="1"/>
    <col min="11" max="11" width="13.85546875" customWidth="1"/>
    <col min="12" max="12" width="17.85546875" customWidth="1"/>
    <col min="13" max="13" width="11.5703125" customWidth="1"/>
    <col min="14" max="14" width="14.7109375" customWidth="1"/>
    <col min="18" max="18" width="27.140625" customWidth="1"/>
  </cols>
  <sheetData>
    <row r="1" spans="1:28" ht="27">
      <c r="A1" s="45" t="s">
        <v>73</v>
      </c>
      <c r="B1" s="45" t="s">
        <v>1</v>
      </c>
      <c r="C1" s="45" t="s">
        <v>85</v>
      </c>
      <c r="D1" s="45" t="s">
        <v>86</v>
      </c>
      <c r="E1" s="45" t="s">
        <v>310</v>
      </c>
      <c r="F1" s="45" t="s">
        <v>2</v>
      </c>
      <c r="G1" s="45" t="s">
        <v>311</v>
      </c>
      <c r="H1" s="98" t="s">
        <v>3</v>
      </c>
      <c r="I1" s="45" t="s">
        <v>4</v>
      </c>
      <c r="J1" s="45" t="s">
        <v>312</v>
      </c>
      <c r="K1" s="45" t="s">
        <v>313</v>
      </c>
      <c r="L1" s="45" t="s">
        <v>314</v>
      </c>
      <c r="M1" s="45" t="s">
        <v>317</v>
      </c>
      <c r="N1" s="45" t="s">
        <v>318</v>
      </c>
      <c r="O1" s="45" t="s">
        <v>319</v>
      </c>
      <c r="P1" s="45" t="s">
        <v>320</v>
      </c>
      <c r="Q1" s="45" t="s">
        <v>321</v>
      </c>
      <c r="R1" s="45" t="s">
        <v>322</v>
      </c>
      <c r="S1" s="45" t="s">
        <v>323</v>
      </c>
      <c r="T1" s="45" t="s">
        <v>324</v>
      </c>
      <c r="U1" s="45" t="s">
        <v>325</v>
      </c>
      <c r="V1" s="45" t="s">
        <v>326</v>
      </c>
      <c r="W1" s="45" t="s">
        <v>327</v>
      </c>
      <c r="X1" s="45" t="s">
        <v>328</v>
      </c>
      <c r="Y1" s="45" t="s">
        <v>329</v>
      </c>
      <c r="Z1" s="45" t="s">
        <v>330</v>
      </c>
      <c r="AA1" s="128" t="s">
        <v>331</v>
      </c>
      <c r="AB1" s="46" t="s">
        <v>5</v>
      </c>
    </row>
    <row r="2" spans="1:28" ht="35.25">
      <c r="A2" s="104">
        <v>1</v>
      </c>
      <c r="B2" s="104" t="s">
        <v>87</v>
      </c>
      <c r="C2" s="105">
        <v>45777</v>
      </c>
      <c r="D2" s="105">
        <v>45790</v>
      </c>
      <c r="E2" s="106" t="s">
        <v>188</v>
      </c>
      <c r="F2" s="114" t="s">
        <v>37</v>
      </c>
      <c r="G2" s="104">
        <v>47441</v>
      </c>
      <c r="H2" s="55" t="s">
        <v>901</v>
      </c>
      <c r="I2" s="133" t="s">
        <v>358</v>
      </c>
      <c r="J2" s="49">
        <v>2</v>
      </c>
      <c r="K2" s="49">
        <v>2</v>
      </c>
      <c r="L2" s="63">
        <v>3</v>
      </c>
      <c r="M2" s="100" t="s">
        <v>335</v>
      </c>
      <c r="N2" s="49" t="s">
        <v>349</v>
      </c>
      <c r="O2" s="49" t="s">
        <v>400</v>
      </c>
      <c r="P2" s="49" t="s">
        <v>40</v>
      </c>
      <c r="Q2" s="49" t="s">
        <v>400</v>
      </c>
      <c r="R2" s="48" t="s">
        <v>902</v>
      </c>
      <c r="S2" s="118">
        <v>45758</v>
      </c>
      <c r="T2" s="107">
        <v>45772</v>
      </c>
      <c r="U2" s="49" t="s">
        <v>344</v>
      </c>
      <c r="V2" s="69" t="s">
        <v>345</v>
      </c>
      <c r="W2" s="134" t="s">
        <v>462</v>
      </c>
      <c r="X2" s="81">
        <v>45775</v>
      </c>
      <c r="Y2" s="135" t="s">
        <v>400</v>
      </c>
      <c r="Z2" s="69" t="s">
        <v>345</v>
      </c>
      <c r="AA2" s="120" t="s">
        <v>400</v>
      </c>
      <c r="AB2" s="12"/>
    </row>
    <row r="3" spans="1:28" ht="35.25">
      <c r="A3" s="104">
        <v>2</v>
      </c>
      <c r="B3" s="104" t="s">
        <v>87</v>
      </c>
      <c r="C3" s="105">
        <v>45777</v>
      </c>
      <c r="D3" s="105">
        <v>45790</v>
      </c>
      <c r="E3" s="106" t="s">
        <v>188</v>
      </c>
      <c r="F3" s="114" t="s">
        <v>37</v>
      </c>
      <c r="G3" s="104">
        <v>47902</v>
      </c>
      <c r="H3" s="55" t="s">
        <v>903</v>
      </c>
      <c r="I3" s="133" t="s">
        <v>358</v>
      </c>
      <c r="J3" s="103">
        <v>2</v>
      </c>
      <c r="K3" s="103">
        <v>2</v>
      </c>
      <c r="L3" s="103">
        <v>3</v>
      </c>
      <c r="M3" s="100" t="s">
        <v>335</v>
      </c>
      <c r="N3" s="49" t="s">
        <v>349</v>
      </c>
      <c r="O3" s="103" t="s">
        <v>400</v>
      </c>
      <c r="P3" s="100" t="s">
        <v>49</v>
      </c>
      <c r="Q3" s="100" t="s">
        <v>400</v>
      </c>
      <c r="R3" s="99" t="s">
        <v>904</v>
      </c>
      <c r="S3" s="107">
        <v>45770</v>
      </c>
      <c r="T3" s="107">
        <v>45770</v>
      </c>
      <c r="U3" s="80" t="s">
        <v>344</v>
      </c>
      <c r="V3" s="100" t="s">
        <v>400</v>
      </c>
      <c r="W3" s="134" t="s">
        <v>462</v>
      </c>
      <c r="X3" s="81">
        <v>45770</v>
      </c>
      <c r="Y3" s="136" t="s">
        <v>345</v>
      </c>
      <c r="Z3" s="69" t="s">
        <v>345</v>
      </c>
      <c r="AA3" s="129" t="s">
        <v>345</v>
      </c>
      <c r="AB3" s="12"/>
    </row>
    <row r="4" spans="1:28" ht="35.25">
      <c r="A4" s="104">
        <v>3</v>
      </c>
      <c r="B4" s="104" t="s">
        <v>87</v>
      </c>
      <c r="C4" s="105">
        <v>45777</v>
      </c>
      <c r="D4" s="105">
        <v>45790</v>
      </c>
      <c r="E4" s="106" t="s">
        <v>188</v>
      </c>
      <c r="F4" s="106" t="s">
        <v>37</v>
      </c>
      <c r="G4" s="104">
        <v>47451</v>
      </c>
      <c r="H4" s="55" t="s">
        <v>905</v>
      </c>
      <c r="I4" s="133" t="s">
        <v>358</v>
      </c>
      <c r="J4" s="103">
        <v>2</v>
      </c>
      <c r="K4" s="103">
        <v>2</v>
      </c>
      <c r="L4" s="103">
        <v>13</v>
      </c>
      <c r="M4" s="100" t="s">
        <v>335</v>
      </c>
      <c r="N4" s="49" t="s">
        <v>349</v>
      </c>
      <c r="O4" s="100" t="s">
        <v>400</v>
      </c>
      <c r="P4" s="100" t="s">
        <v>49</v>
      </c>
      <c r="Q4" s="100" t="s">
        <v>400</v>
      </c>
      <c r="R4" s="99" t="s">
        <v>906</v>
      </c>
      <c r="S4" s="81">
        <v>45747</v>
      </c>
      <c r="T4" s="107">
        <v>45762</v>
      </c>
      <c r="U4" s="80" t="s">
        <v>344</v>
      </c>
      <c r="V4" s="100" t="s">
        <v>400</v>
      </c>
      <c r="W4" s="103" t="s">
        <v>462</v>
      </c>
      <c r="X4" s="119">
        <v>45762</v>
      </c>
      <c r="Y4" s="69" t="s">
        <v>345</v>
      </c>
      <c r="Z4" s="69" t="s">
        <v>345</v>
      </c>
      <c r="AA4" s="130" t="s">
        <v>345</v>
      </c>
      <c r="AB4" s="12"/>
    </row>
    <row r="5" spans="1:28" ht="43.5" customHeight="1">
      <c r="A5" s="104">
        <v>4</v>
      </c>
      <c r="B5" s="104" t="s">
        <v>87</v>
      </c>
      <c r="C5" s="105">
        <v>45777</v>
      </c>
      <c r="D5" s="105">
        <v>45790</v>
      </c>
      <c r="E5" s="106" t="s">
        <v>188</v>
      </c>
      <c r="F5" s="106" t="s">
        <v>66</v>
      </c>
      <c r="G5" s="104">
        <v>47226</v>
      </c>
      <c r="H5" s="55" t="s">
        <v>883</v>
      </c>
      <c r="I5" s="54" t="s">
        <v>654</v>
      </c>
      <c r="J5" s="103">
        <v>3</v>
      </c>
      <c r="K5" s="103">
        <v>1</v>
      </c>
      <c r="L5" s="103">
        <v>6</v>
      </c>
      <c r="M5" s="103" t="s">
        <v>335</v>
      </c>
      <c r="N5" s="103" t="s">
        <v>47</v>
      </c>
      <c r="O5" s="103" t="s">
        <v>400</v>
      </c>
      <c r="P5" s="103" t="s">
        <v>40</v>
      </c>
      <c r="Q5" s="103" t="s">
        <v>400</v>
      </c>
      <c r="R5" s="22" t="s">
        <v>884</v>
      </c>
      <c r="S5" s="81">
        <v>45775</v>
      </c>
      <c r="T5" s="107">
        <v>45778</v>
      </c>
      <c r="U5" s="80" t="s">
        <v>462</v>
      </c>
      <c r="V5" s="103" t="s">
        <v>400</v>
      </c>
      <c r="W5" s="103" t="s">
        <v>462</v>
      </c>
      <c r="X5" s="121">
        <v>45778</v>
      </c>
      <c r="Y5" s="69" t="s">
        <v>345</v>
      </c>
      <c r="Z5" s="69" t="s">
        <v>345</v>
      </c>
      <c r="AA5" s="130" t="s">
        <v>345</v>
      </c>
      <c r="AB5" s="14" t="s">
        <v>907</v>
      </c>
    </row>
    <row r="6" spans="1:28" ht="23.25">
      <c r="A6" s="104">
        <v>5</v>
      </c>
      <c r="B6" s="104" t="s">
        <v>87</v>
      </c>
      <c r="C6" s="105">
        <v>45777</v>
      </c>
      <c r="D6" s="105">
        <v>45790</v>
      </c>
      <c r="E6" s="106" t="s">
        <v>908</v>
      </c>
      <c r="F6" s="106" t="s">
        <v>66</v>
      </c>
      <c r="G6" s="104">
        <v>47755</v>
      </c>
      <c r="H6" s="55" t="s">
        <v>833</v>
      </c>
      <c r="I6" s="55" t="s">
        <v>334</v>
      </c>
      <c r="J6" s="103">
        <v>8</v>
      </c>
      <c r="K6" s="103">
        <v>4</v>
      </c>
      <c r="L6" s="103">
        <v>24</v>
      </c>
      <c r="M6" s="103"/>
      <c r="N6" s="103"/>
      <c r="O6" s="103"/>
      <c r="P6" s="103"/>
      <c r="Q6" s="103"/>
      <c r="R6" s="22"/>
      <c r="S6" s="122"/>
      <c r="T6" s="107"/>
      <c r="U6" s="80"/>
      <c r="V6" s="103"/>
      <c r="W6" s="103"/>
      <c r="X6" s="107"/>
      <c r="Y6" s="115"/>
      <c r="Z6" s="69"/>
      <c r="AA6" s="130"/>
      <c r="AB6" s="14" t="s">
        <v>909</v>
      </c>
    </row>
    <row r="7" spans="1:28" ht="35.25">
      <c r="A7" s="104">
        <v>6</v>
      </c>
      <c r="B7" s="104" t="s">
        <v>87</v>
      </c>
      <c r="C7" s="105">
        <v>45777</v>
      </c>
      <c r="D7" s="105">
        <v>45790</v>
      </c>
      <c r="E7" s="106" t="s">
        <v>908</v>
      </c>
      <c r="F7" s="106" t="s">
        <v>40</v>
      </c>
      <c r="G7" s="104">
        <v>48168</v>
      </c>
      <c r="H7" s="55" t="s">
        <v>887</v>
      </c>
      <c r="I7" s="55" t="s">
        <v>343</v>
      </c>
      <c r="J7" s="103">
        <v>5</v>
      </c>
      <c r="K7" s="103">
        <v>7</v>
      </c>
      <c r="L7" s="103">
        <v>30</v>
      </c>
      <c r="M7" s="137" t="s">
        <v>335</v>
      </c>
      <c r="N7" s="103" t="s">
        <v>40</v>
      </c>
      <c r="O7" s="103" t="s">
        <v>400</v>
      </c>
      <c r="P7" s="103" t="s">
        <v>49</v>
      </c>
      <c r="Q7" s="103" t="s">
        <v>400</v>
      </c>
      <c r="R7" s="138" t="s">
        <v>888</v>
      </c>
      <c r="S7" s="81">
        <v>45782</v>
      </c>
      <c r="T7" s="139"/>
      <c r="U7" s="80"/>
      <c r="V7" s="103"/>
      <c r="W7" s="103"/>
      <c r="X7" s="107"/>
      <c r="Y7" s="115"/>
      <c r="Z7" s="130"/>
      <c r="AA7" s="130"/>
      <c r="AB7" s="14" t="s">
        <v>910</v>
      </c>
    </row>
    <row r="8" spans="1:28" ht="23.25">
      <c r="A8" s="104">
        <v>7</v>
      </c>
      <c r="B8" s="79" t="s">
        <v>87</v>
      </c>
      <c r="C8" s="131">
        <v>45777</v>
      </c>
      <c r="D8" s="102">
        <v>45790</v>
      </c>
      <c r="E8" s="78" t="s">
        <v>908</v>
      </c>
      <c r="F8" s="114" t="s">
        <v>49</v>
      </c>
      <c r="G8" s="79">
        <v>48174</v>
      </c>
      <c r="H8" s="47" t="s">
        <v>911</v>
      </c>
      <c r="I8" s="133" t="s">
        <v>358</v>
      </c>
      <c r="J8" s="103">
        <v>5</v>
      </c>
      <c r="K8" s="103">
        <v>5</v>
      </c>
      <c r="L8" s="103">
        <v>42</v>
      </c>
      <c r="M8" s="137" t="s">
        <v>335</v>
      </c>
      <c r="N8" s="103" t="s">
        <v>47</v>
      </c>
      <c r="O8" s="103" t="s">
        <v>400</v>
      </c>
      <c r="P8" s="103" t="s">
        <v>47</v>
      </c>
      <c r="Q8" s="103" t="s">
        <v>552</v>
      </c>
      <c r="R8" s="103" t="s">
        <v>552</v>
      </c>
      <c r="S8" s="103" t="s">
        <v>552</v>
      </c>
      <c r="T8" s="103" t="s">
        <v>552</v>
      </c>
      <c r="U8" s="103" t="s">
        <v>552</v>
      </c>
      <c r="V8" s="103" t="s">
        <v>552</v>
      </c>
      <c r="W8" s="103" t="s">
        <v>552</v>
      </c>
      <c r="X8" s="103" t="s">
        <v>552</v>
      </c>
      <c r="Y8" s="115" t="s">
        <v>552</v>
      </c>
      <c r="Z8" s="130" t="s">
        <v>345</v>
      </c>
      <c r="AA8" s="130" t="s">
        <v>400</v>
      </c>
      <c r="AB8" s="19" t="s">
        <v>912</v>
      </c>
    </row>
    <row r="9" spans="1:28" ht="60.75" customHeight="1">
      <c r="A9" s="104">
        <v>8</v>
      </c>
      <c r="B9" s="79" t="s">
        <v>87</v>
      </c>
      <c r="C9" s="131">
        <v>45777</v>
      </c>
      <c r="D9" s="102">
        <v>45790</v>
      </c>
      <c r="E9" s="78" t="s">
        <v>908</v>
      </c>
      <c r="F9" s="114" t="s">
        <v>47</v>
      </c>
      <c r="G9" s="79">
        <v>48175</v>
      </c>
      <c r="H9" s="47" t="s">
        <v>913</v>
      </c>
      <c r="I9" s="133" t="s">
        <v>358</v>
      </c>
      <c r="J9" s="103">
        <v>5</v>
      </c>
      <c r="K9" s="103">
        <v>5</v>
      </c>
      <c r="L9" s="103">
        <v>24</v>
      </c>
      <c r="M9" s="137" t="s">
        <v>335</v>
      </c>
      <c r="N9" s="103" t="s">
        <v>47</v>
      </c>
      <c r="O9" s="103" t="s">
        <v>400</v>
      </c>
      <c r="P9" s="103" t="s">
        <v>47</v>
      </c>
      <c r="Q9" s="103" t="s">
        <v>552</v>
      </c>
      <c r="R9" s="103" t="s">
        <v>552</v>
      </c>
      <c r="S9" s="103" t="s">
        <v>552</v>
      </c>
      <c r="T9" s="103" t="s">
        <v>552</v>
      </c>
      <c r="U9" s="103" t="s">
        <v>552</v>
      </c>
      <c r="V9" s="103" t="s">
        <v>552</v>
      </c>
      <c r="W9" s="103" t="s">
        <v>552</v>
      </c>
      <c r="X9" s="103" t="s">
        <v>552</v>
      </c>
      <c r="Y9" s="115" t="s">
        <v>552</v>
      </c>
      <c r="Z9" s="130" t="s">
        <v>345</v>
      </c>
      <c r="AA9" s="130" t="s">
        <v>400</v>
      </c>
      <c r="AB9" s="140" t="s">
        <v>914</v>
      </c>
    </row>
    <row r="10" spans="1:28" ht="23.25">
      <c r="A10" s="104">
        <v>9</v>
      </c>
      <c r="B10" s="79" t="s">
        <v>87</v>
      </c>
      <c r="C10" s="131">
        <v>45777</v>
      </c>
      <c r="D10" s="102">
        <v>45790</v>
      </c>
      <c r="E10" s="78" t="s">
        <v>908</v>
      </c>
      <c r="F10" s="114" t="s">
        <v>49</v>
      </c>
      <c r="G10" s="79">
        <v>48149</v>
      </c>
      <c r="H10" s="47" t="s">
        <v>857</v>
      </c>
      <c r="I10" s="141" t="s">
        <v>334</v>
      </c>
      <c r="J10" s="103">
        <v>5</v>
      </c>
      <c r="K10" s="142">
        <v>1</v>
      </c>
      <c r="L10" s="100">
        <v>6</v>
      </c>
      <c r="M10" s="137"/>
      <c r="N10" s="103"/>
      <c r="O10" s="103"/>
      <c r="P10" s="103"/>
      <c r="Q10" s="103"/>
      <c r="R10" s="103"/>
      <c r="S10" s="103"/>
      <c r="T10" s="103"/>
      <c r="U10" s="103"/>
      <c r="V10" s="103"/>
      <c r="W10" s="103"/>
      <c r="X10" s="103"/>
      <c r="Y10" s="115"/>
      <c r="Z10" s="130"/>
      <c r="AA10" s="130"/>
      <c r="AB10" s="140" t="s">
        <v>915</v>
      </c>
    </row>
    <row r="11" spans="1:28" ht="42" customHeight="1">
      <c r="A11" s="79">
        <v>10</v>
      </c>
      <c r="B11" s="79" t="s">
        <v>87</v>
      </c>
      <c r="C11" s="131">
        <v>45777</v>
      </c>
      <c r="D11" s="102">
        <v>45790</v>
      </c>
      <c r="E11" s="78" t="s">
        <v>908</v>
      </c>
      <c r="F11" s="114" t="s">
        <v>37</v>
      </c>
      <c r="G11" s="79">
        <v>47615</v>
      </c>
      <c r="H11" s="47" t="s">
        <v>853</v>
      </c>
      <c r="I11" s="141" t="s">
        <v>334</v>
      </c>
      <c r="J11" s="114">
        <v>13</v>
      </c>
      <c r="K11" s="114">
        <v>13</v>
      </c>
      <c r="L11" s="143">
        <v>42</v>
      </c>
      <c r="M11" s="49" t="s">
        <v>335</v>
      </c>
      <c r="N11" s="49" t="s">
        <v>349</v>
      </c>
      <c r="O11" s="49" t="s">
        <v>400</v>
      </c>
      <c r="P11" s="49" t="s">
        <v>47</v>
      </c>
      <c r="Q11" s="49" t="s">
        <v>400</v>
      </c>
      <c r="R11" s="144" t="s">
        <v>916</v>
      </c>
      <c r="S11" s="49" t="s">
        <v>552</v>
      </c>
      <c r="T11" s="49" t="s">
        <v>552</v>
      </c>
      <c r="U11" s="49" t="s">
        <v>552</v>
      </c>
      <c r="V11" s="49" t="s">
        <v>552</v>
      </c>
      <c r="W11" s="49" t="s">
        <v>552</v>
      </c>
      <c r="X11" s="49" t="s">
        <v>552</v>
      </c>
      <c r="Y11" s="49" t="s">
        <v>552</v>
      </c>
      <c r="Z11" s="49" t="s">
        <v>400</v>
      </c>
      <c r="AA11" s="49" t="s">
        <v>400</v>
      </c>
      <c r="AB11" s="14" t="s">
        <v>917</v>
      </c>
    </row>
    <row r="13" spans="1:28">
      <c r="H13" t="s">
        <v>918</v>
      </c>
    </row>
  </sheetData>
  <hyperlinks>
    <hyperlink ref="R5" r:id="rId1" xr:uid="{5AF199AE-EC3B-4A97-B920-BD3F94E69847}"/>
    <hyperlink ref="R4" r:id="rId2" xr:uid="{B60A521F-DC44-416A-8724-0BAA5232CAC0}"/>
    <hyperlink ref="R3" r:id="rId3" xr:uid="{2DDD98C4-F77D-4BFA-9BAA-CBB67B71A67F}"/>
    <hyperlink ref="R2" r:id="rId4" xr:uid="{82DA79ED-F375-47A7-8857-7EA366F3EF9E}"/>
    <hyperlink ref="R11" r:id="rId5" xr:uid="{751E158C-3607-4924-A6A9-323FC815D758}"/>
    <hyperlink ref="R7" r:id="rId6" xr:uid="{5286512E-8419-4BC8-BAAE-8CD34BC2E66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C1BDA36-C304-442A-B172-C88973106C67}">
          <x14:formula1>
            <xm:f>Settings!$C$3:$C$20</xm:f>
          </x14:formula1>
          <xm:sqref>I2:I7</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C8A6-81F4-4E51-910D-CCA282B03BCE}">
  <dimension ref="A1:L2"/>
  <sheetViews>
    <sheetView workbookViewId="0">
      <selection activeCell="J7" sqref="J7"/>
    </sheetView>
  </sheetViews>
  <sheetFormatPr defaultRowHeight="12.75"/>
  <sheetData>
    <row r="1" spans="1:12" ht="40.5">
      <c r="A1" s="23" t="s">
        <v>74</v>
      </c>
      <c r="B1" s="74" t="s">
        <v>75</v>
      </c>
      <c r="C1" s="74" t="s">
        <v>76</v>
      </c>
      <c r="D1" s="1" t="s">
        <v>2</v>
      </c>
      <c r="E1" s="74" t="s">
        <v>77</v>
      </c>
      <c r="F1" s="74" t="s">
        <v>78</v>
      </c>
      <c r="G1" s="1" t="s">
        <v>79</v>
      </c>
      <c r="H1" s="1" t="s">
        <v>80</v>
      </c>
      <c r="I1" s="1" t="s">
        <v>81</v>
      </c>
      <c r="J1" s="1" t="s">
        <v>4</v>
      </c>
      <c r="K1" s="75" t="s">
        <v>82</v>
      </c>
      <c r="L1" s="3" t="s">
        <v>5</v>
      </c>
    </row>
    <row r="2" spans="1:12">
      <c r="A2" s="78"/>
      <c r="B2" s="94"/>
      <c r="C2" s="20"/>
      <c r="D2" s="49"/>
      <c r="E2" s="24"/>
      <c r="F2" s="11"/>
      <c r="G2" s="24"/>
      <c r="H2" s="24"/>
      <c r="I2" s="24"/>
      <c r="J2" s="53"/>
      <c r="K2" s="82"/>
      <c r="L2" s="14"/>
    </row>
  </sheetData>
  <dataValidations count="4">
    <dataValidation type="list" allowBlank="1" showErrorMessage="1" sqref="I2" xr:uid="{94CA6790-67D7-4A42-8FC6-81BBB90B6E0C}">
      <formula1>"Internal,External"</formula1>
    </dataValidation>
    <dataValidation type="list" allowBlank="1" showErrorMessage="1" sqref="G2" xr:uid="{46568613-B416-42D7-B549-738FB1A90CCE}">
      <formula1>"Minor,Significant,Major"</formula1>
    </dataValidation>
    <dataValidation type="list" allowBlank="1" showErrorMessage="1" sqref="E2" xr:uid="{58D92B35-619B-4BEB-831C-2A55C7E5CF59}">
      <formula1>"Bounceback,Defect,None"</formula1>
    </dataValidation>
    <dataValidation type="list" allowBlank="1" showErrorMessage="1" sqref="H2" xr:uid="{67F7358F-4CA5-4C57-8B05-390396C0B3EB}">
      <formula1>"Manual, Automation"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8560F453-AF58-49C9-B7B5-1D0E2051744B}">
          <x14:formula1>
            <xm:f>Details!$A$2:$A$10</xm:f>
          </x14:formula1>
          <xm:sqref>K2</xm:sqref>
        </x14:dataValidation>
        <x14:dataValidation type="list" allowBlank="1" showErrorMessage="1" xr:uid="{41273CA0-B8B8-41AE-9B4E-C28743D1013A}">
          <x14:formula1>
            <xm:f>Settings!$C$3:$C$20</xm:f>
          </x14:formula1>
          <xm:sqref>J2</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K10"/>
  <sheetViews>
    <sheetView showGridLines="0" workbookViewId="0"/>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425" t="s">
        <v>919</v>
      </c>
      <c r="C2" s="426"/>
      <c r="D2" s="426"/>
      <c r="E2" s="426"/>
      <c r="F2" s="426"/>
      <c r="G2" s="426"/>
      <c r="I2" s="7" t="s">
        <v>920</v>
      </c>
      <c r="J2" s="7" t="s">
        <v>921</v>
      </c>
      <c r="K2" s="7" t="s">
        <v>4</v>
      </c>
    </row>
    <row r="3" spans="2:11">
      <c r="B3" s="2">
        <v>1</v>
      </c>
      <c r="C3" s="424" t="s">
        <v>922</v>
      </c>
      <c r="D3" s="427"/>
      <c r="E3" s="427"/>
      <c r="F3" s="427"/>
      <c r="G3" s="428"/>
      <c r="I3" s="2">
        <v>1</v>
      </c>
      <c r="J3" s="2" t="s">
        <v>923</v>
      </c>
      <c r="K3" s="2" t="b">
        <v>0</v>
      </c>
    </row>
    <row r="4" spans="2:11">
      <c r="B4" s="2">
        <v>2</v>
      </c>
      <c r="C4" s="424" t="s">
        <v>924</v>
      </c>
      <c r="D4" s="427"/>
      <c r="E4" s="427"/>
      <c r="F4" s="427"/>
      <c r="G4" s="428"/>
      <c r="I4" s="2">
        <v>2</v>
      </c>
      <c r="J4" s="2" t="s">
        <v>925</v>
      </c>
      <c r="K4" s="2" t="b">
        <v>0</v>
      </c>
    </row>
    <row r="5" spans="2:11">
      <c r="B5" s="2">
        <v>3</v>
      </c>
      <c r="C5" s="424" t="s">
        <v>926</v>
      </c>
      <c r="D5" s="427"/>
      <c r="E5" s="427"/>
      <c r="F5" s="427"/>
      <c r="G5" s="428"/>
      <c r="I5" s="2">
        <v>3</v>
      </c>
      <c r="J5" s="2" t="s">
        <v>927</v>
      </c>
      <c r="K5" s="2" t="b">
        <v>0</v>
      </c>
    </row>
    <row r="6" spans="2:11">
      <c r="B6" s="2">
        <v>4</v>
      </c>
      <c r="C6" s="424" t="s">
        <v>928</v>
      </c>
      <c r="D6" s="427"/>
      <c r="E6" s="427"/>
      <c r="F6" s="427"/>
      <c r="G6" s="428"/>
      <c r="I6" s="2">
        <v>4</v>
      </c>
      <c r="J6" s="2" t="s">
        <v>929</v>
      </c>
      <c r="K6" s="2" t="b">
        <v>0</v>
      </c>
    </row>
    <row r="7" spans="2:11">
      <c r="D7" s="8"/>
      <c r="I7" s="2">
        <v>5</v>
      </c>
      <c r="J7" s="2" t="s">
        <v>930</v>
      </c>
      <c r="K7" s="2" t="b">
        <v>0</v>
      </c>
    </row>
    <row r="8" spans="2:11">
      <c r="D8" s="8"/>
      <c r="I8" s="2">
        <v>6</v>
      </c>
      <c r="J8" s="2" t="s">
        <v>931</v>
      </c>
      <c r="K8" s="2" t="b">
        <v>0</v>
      </c>
    </row>
    <row r="9" spans="2:11">
      <c r="D9" s="8"/>
      <c r="I9" s="2">
        <v>7</v>
      </c>
      <c r="J9" s="2" t="s">
        <v>932</v>
      </c>
      <c r="K9" s="2" t="b">
        <v>0</v>
      </c>
    </row>
    <row r="10" spans="2:11">
      <c r="D10" s="8"/>
      <c r="I10" s="2">
        <v>8</v>
      </c>
      <c r="J10" s="2" t="s">
        <v>933</v>
      </c>
      <c r="K10" s="2" t="b">
        <v>0</v>
      </c>
    </row>
  </sheetData>
  <mergeCells count="5">
    <mergeCell ref="B2:G2"/>
    <mergeCell ref="C3:G3"/>
    <mergeCell ref="C4:G4"/>
    <mergeCell ref="C5:G5"/>
    <mergeCell ref="C6:G6"/>
  </mergeCells>
  <pageMargins left="0" right="0" top="0" bottom="0" header="0" footer="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
  <sheetViews>
    <sheetView workbookViewId="0"/>
  </sheetViews>
  <sheetFormatPr defaultColWidth="12.5703125" defaultRowHeight="15.75" customHeight="1"/>
  <cols>
    <col min="1" max="1" width="16.5703125" customWidth="1"/>
  </cols>
  <sheetData>
    <row r="1" spans="1:1">
      <c r="A1" s="9" t="s">
        <v>934</v>
      </c>
    </row>
    <row r="2" spans="1:1">
      <c r="A2" s="10" t="s">
        <v>935</v>
      </c>
    </row>
    <row r="3" spans="1:1">
      <c r="A3" s="10" t="s">
        <v>356</v>
      </c>
    </row>
    <row r="4" spans="1:1">
      <c r="A4" s="10" t="s">
        <v>474</v>
      </c>
    </row>
    <row r="5" spans="1:1">
      <c r="A5" s="10" t="s">
        <v>936</v>
      </c>
    </row>
    <row r="6" spans="1:1">
      <c r="A6" s="10" t="s">
        <v>644</v>
      </c>
    </row>
    <row r="7" spans="1:1">
      <c r="A7" s="10" t="s">
        <v>937</v>
      </c>
    </row>
    <row r="8" spans="1:1">
      <c r="A8" s="10" t="s">
        <v>431</v>
      </c>
    </row>
    <row r="9" spans="1:1">
      <c r="A9" s="10" t="s">
        <v>938</v>
      </c>
    </row>
    <row r="10" spans="1:1">
      <c r="A10" s="10" t="s">
        <v>939</v>
      </c>
    </row>
  </sheetData>
  <pageMargins left="0" right="0" top="0" bottom="0" header="0" footer="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525C1-C544-44EC-91D9-A933A63C454C}">
  <dimension ref="C3:C20"/>
  <sheetViews>
    <sheetView workbookViewId="0"/>
  </sheetViews>
  <sheetFormatPr defaultRowHeight="12.75"/>
  <cols>
    <col min="3" max="3" width="13.42578125" customWidth="1"/>
  </cols>
  <sheetData>
    <row r="3" spans="3:3">
      <c r="C3" t="s">
        <v>358</v>
      </c>
    </row>
    <row r="4" spans="3:3">
      <c r="C4" t="s">
        <v>808</v>
      </c>
    </row>
    <row r="5" spans="3:3">
      <c r="C5" t="s">
        <v>654</v>
      </c>
    </row>
    <row r="6" spans="3:3">
      <c r="C6" t="s">
        <v>343</v>
      </c>
    </row>
    <row r="7" spans="3:3">
      <c r="C7" t="s">
        <v>940</v>
      </c>
    </row>
    <row r="8" spans="3:3">
      <c r="C8" t="s">
        <v>334</v>
      </c>
    </row>
    <row r="9" spans="3:3">
      <c r="C9" t="s">
        <v>941</v>
      </c>
    </row>
    <row r="10" spans="3:3">
      <c r="C10" t="s">
        <v>942</v>
      </c>
    </row>
    <row r="11" spans="3:3">
      <c r="C11" t="s">
        <v>943</v>
      </c>
    </row>
    <row r="12" spans="3:3">
      <c r="C12" t="s">
        <v>355</v>
      </c>
    </row>
    <row r="13" spans="3:3">
      <c r="C13" t="s">
        <v>717</v>
      </c>
    </row>
    <row r="14" spans="3:3">
      <c r="C14" t="s">
        <v>940</v>
      </c>
    </row>
    <row r="15" spans="3:3">
      <c r="C15" t="s">
        <v>783</v>
      </c>
    </row>
    <row r="16" spans="3:3">
      <c r="C16" t="s">
        <v>944</v>
      </c>
    </row>
    <row r="17" spans="3:3">
      <c r="C17" t="s">
        <v>396</v>
      </c>
    </row>
    <row r="18" spans="3:3">
      <c r="C18" t="s">
        <v>945</v>
      </c>
    </row>
    <row r="19" spans="3:3">
      <c r="C19" t="s">
        <v>946</v>
      </c>
    </row>
    <row r="20" spans="3:3">
      <c r="C20" t="s">
        <v>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Priyadharsini Kamalakannan</cp:lastModifiedBy>
  <cp:revision/>
  <dcterms:created xsi:type="dcterms:W3CDTF">2024-02-13T11:44:18Z</dcterms:created>
  <dcterms:modified xsi:type="dcterms:W3CDTF">2026-05-17T17:02:54Z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2026-04-06T15:02:38Z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d02c4b91-43ad-4dc0-be6f-25979fa4faf3</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