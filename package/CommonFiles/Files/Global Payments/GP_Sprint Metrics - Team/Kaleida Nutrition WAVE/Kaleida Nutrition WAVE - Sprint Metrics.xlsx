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0.xml" ContentType="application/vnd.openxmlformats-officedocument.spreadsheetml.table+xml"/>
  <Override PartName="/xl/tables/table1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tables/table1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tables/table1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tables/table14.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documenttasks/documenttask5.xml" ContentType="application/vnd.ms-excel.documenttasks+xml"/>
  <Override PartName="/xl/tables/table15.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documenttasks/documenttask6.xml" ContentType="application/vnd.ms-excel.documenttasks+xml"/>
  <Override PartName="/xl/tables/table16.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documenttasks/documenttask7.xml" ContentType="application/vnd.ms-excel.documenttasks+xml"/>
  <Override PartName="/xl/tables/table17.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documenttasks/documenttask8.xml" ContentType="application/vnd.ms-excel.documenttasks+xml"/>
  <Override PartName="/xl/tables/table18.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documenttasks/documenttask9.xml" ContentType="application/vnd.ms-excel.documenttasks+xml"/>
  <Override PartName="/xl/tables/table19.xml" ContentType="application/vnd.openxmlformats-officedocument.spreadsheetml.table+xml"/>
  <Override PartName="/xl/comments10.xml" ContentType="application/vnd.openxmlformats-officedocument.spreadsheetml.comments+xml"/>
  <Override PartName="/xl/threadedComments/threadedComment10.xml" ContentType="application/vnd.ms-excel.threadedcomments+xml"/>
  <Override PartName="/xl/documenttasks/documenttask10.xml" ContentType="application/vnd.ms-excel.documenttasks+xml"/>
  <Override PartName="/xl/tables/table20.xml" ContentType="application/vnd.openxmlformats-officedocument.spreadsheetml.table+xml"/>
  <Override PartName="/xl/comments11.xml" ContentType="application/vnd.openxmlformats-officedocument.spreadsheetml.comments+xml"/>
  <Override PartName="/xl/threadedComments/threadedComment11.xml" ContentType="application/vnd.ms-excel.threadedcomments+xml"/>
  <Override PartName="/xl/documenttasks/documenttask11.xml" ContentType="application/vnd.ms-excel.documenttasks+xml"/>
  <Override PartName="/xl/tables/table21.xml" ContentType="application/vnd.openxmlformats-officedocument.spreadsheetml.table+xml"/>
  <Override PartName="/xl/comments12.xml" ContentType="application/vnd.openxmlformats-officedocument.spreadsheetml.comments+xml"/>
  <Override PartName="/xl/threadedComments/threadedComment12.xml" ContentType="application/vnd.ms-excel.threadedcomments+xml"/>
  <Override PartName="/xl/documenttasks/documenttask12.xml" ContentType="application/vnd.ms-excel.documenttasks+xml"/>
  <Override PartName="/xl/tables/table22.xml" ContentType="application/vnd.openxmlformats-officedocument.spreadsheetml.table+xml"/>
  <Override PartName="/xl/comments13.xml" ContentType="application/vnd.openxmlformats-officedocument.spreadsheetml.comments+xml"/>
  <Override PartName="/xl/threadedComments/threadedComment13.xml" ContentType="application/vnd.ms-excel.threadedcomments+xml"/>
  <Override PartName="/xl/documenttasks/documenttask13.xml" ContentType="application/vnd.ms-excel.documenttasks+xml"/>
  <Override PartName="/xl/tables/table23.xml" ContentType="application/vnd.openxmlformats-officedocument.spreadsheetml.table+xml"/>
  <Override PartName="/xl/comments14.xml" ContentType="application/vnd.openxmlformats-officedocument.spreadsheetml.comments+xml"/>
  <Override PartName="/xl/threadedComments/threadedComment14.xml" ContentType="application/vnd.ms-excel.threadedcomments+xml"/>
  <Override PartName="/xl/documenttasks/documenttask14.xml" ContentType="application/vnd.ms-excel.documenttasks+xml"/>
  <Override PartName="/xl/tables/table24.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documenttasks/documenttask15.xml" ContentType="application/vnd.ms-excel.documenttask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17721" documentId="11_6F53F23D9513E69773D7F3B66BD2F22090AA375B" xr6:coauthVersionLast="47" xr6:coauthVersionMax="47" xr10:uidLastSave="{BF36B899-56F4-4C0C-BC9C-2A3B5134DE8A}"/>
  <bookViews>
    <workbookView xWindow="0" yWindow="0" windowWidth="0" windowHeight="0" firstSheet="6" activeTab="6" xr2:uid="{00000000-000D-0000-FFFF-FFFF00000000}"/>
  </bookViews>
  <sheets>
    <sheet name="Dashboard" sheetId="1" r:id="rId1"/>
    <sheet name="Defect-template" sheetId="64" r:id="rId2"/>
    <sheet name="Unplanned Leaves" sheetId="133" r:id="rId3"/>
    <sheet name="Kaleida Nutrition S24-Status" sheetId="146" r:id="rId4"/>
    <sheet name="Kaleida Nutrition S23-Status" sheetId="144" r:id="rId5"/>
    <sheet name="Kaleida Nutrition S23- Defect" sheetId="145" r:id="rId6"/>
    <sheet name="Kaleida Nutrition S22" sheetId="142" r:id="rId7"/>
    <sheet name="Kaleida Nutrition S22- Defect" sheetId="143" r:id="rId8"/>
    <sheet name="Kaleida Nutrition S21-Status" sheetId="140" r:id="rId9"/>
    <sheet name="Kaleida Nutrition S21- Defect" sheetId="141" r:id="rId10"/>
    <sheet name="Kaleida Nutrition S20-Status" sheetId="138" r:id="rId11"/>
    <sheet name="Kaleida Nutrition S20- Defect" sheetId="139" r:id="rId12"/>
    <sheet name="Kaleida Nutrition S19-Status" sheetId="137" r:id="rId13"/>
    <sheet name="Kaleida Nutrition S18-Status" sheetId="135" r:id="rId14"/>
    <sheet name="Kaleida Nutrition S18- Defect" sheetId="136" r:id="rId15"/>
    <sheet name="Kaleida Nutrition S17-Status" sheetId="131" r:id="rId16"/>
    <sheet name="Kaleida Nutrition S17- Defect" sheetId="134" r:id="rId17"/>
    <sheet name="Kaleida Nutrition S14-Status" sheetId="127" r:id="rId18"/>
    <sheet name="Kaleida Nutrition S16-Status" sheetId="130" r:id="rId19"/>
    <sheet name="Kaleida Nutrition S15-Status" sheetId="129" r:id="rId20"/>
    <sheet name="Kaleida Nutrition S14-Defect" sheetId="128" r:id="rId21"/>
    <sheet name="Kaleida Nutrition S13-Status" sheetId="125" r:id="rId22"/>
    <sheet name="Kaleida Nutrition S13-Defect" sheetId="126" r:id="rId23"/>
    <sheet name="Kaleida Nutrition S12-Status" sheetId="123" r:id="rId24"/>
    <sheet name="Kaleida Nutrition S11-Status" sheetId="121" r:id="rId25"/>
    <sheet name="Kaleida Nutrition S10-Status" sheetId="118" r:id="rId26"/>
    <sheet name="Kaleida Nutrition S9-Status" sheetId="116" r:id="rId27"/>
    <sheet name="Kaleida Nutrition S9-Defect" sheetId="119" r:id="rId28"/>
    <sheet name="Kaleida Nutrition S8-Status" sheetId="113" r:id="rId29"/>
    <sheet name="Kaleida Nutrition S8-Defect" sheetId="114" r:id="rId30"/>
    <sheet name="Kaleida Nutrition S7-Status" sheetId="110" r:id="rId31"/>
    <sheet name="Kaleida Nutrition S7-Defect" sheetId="111" r:id="rId32"/>
    <sheet name="Kaleida Nutrition S6-Status" sheetId="107" r:id="rId33"/>
    <sheet name="Kaleida Nutrition S6-Defect" sheetId="108" r:id="rId34"/>
    <sheet name="Kaleida Nutrition S5-Status" sheetId="104" r:id="rId35"/>
    <sheet name="Kaleida Nutrition S5-Defect" sheetId="105" r:id="rId36"/>
    <sheet name="Kaleida Nutrition S4-Status" sheetId="101" r:id="rId37"/>
    <sheet name="Kaleida Nutrition S4-Defect " sheetId="102" r:id="rId38"/>
    <sheet name="Kaleida Nutrition S3-Status" sheetId="98" r:id="rId39"/>
    <sheet name="Kaleida Nutrition S3-Defect " sheetId="99" r:id="rId40"/>
    <sheet name="Kaleida Nutrition S2-Status" sheetId="95" r:id="rId41"/>
    <sheet name="Kaleida Nutrition S2-Defect" sheetId="96" r:id="rId42"/>
    <sheet name="Kaleida Nutrition S1-Status" sheetId="92" r:id="rId43"/>
    <sheet name="Kaleida Nutrition S1-Defect" sheetId="93" r:id="rId44"/>
    <sheet name="Checklist" sheetId="8" r:id="rId45"/>
    <sheet name="Details" sheetId="9" r:id="rId46"/>
    <sheet name="Settings" sheetId="59" r:id="rId47"/>
    <sheet name="ExportData" sheetId="132" r:id="rId48"/>
  </sheets>
  <definedNames>
    <definedName name="_xlnm._FilterDatabase" localSheetId="25" hidden="1">'Kaleida Nutrition S4-Status'!#REF!</definedName>
    <definedName name="_xlnm._FilterDatabase" localSheetId="24" hidden="1">'Kaleida Nutrition S4-Status'!#REF!</definedName>
    <definedName name="_xlnm._FilterDatabase" localSheetId="23" hidden="1">'Kaleida Nutrition S4-Status'!#REF!</definedName>
    <definedName name="_xlnm._FilterDatabase" localSheetId="22" hidden="1">'Kaleida Nutrition S13-Defect'!$A$1:$N$1</definedName>
    <definedName name="_xlnm._FilterDatabase" localSheetId="21" hidden="1">'Kaleida Nutrition S4-Status'!#REF!</definedName>
    <definedName name="_xlnm._FilterDatabase" localSheetId="20" hidden="1">'Kaleida Nutrition S14-Defect'!$A$1:$N$1</definedName>
    <definedName name="_xlnm._FilterDatabase" localSheetId="17" hidden="1">'Kaleida Nutrition S4-Status'!#REF!</definedName>
    <definedName name="_xlnm._FilterDatabase" localSheetId="19" hidden="1">'Kaleida Nutrition S4-Status'!#REF!</definedName>
    <definedName name="_xlnm._FilterDatabase" localSheetId="18" hidden="1">'Kaleida Nutrition S4-Status'!#REF!</definedName>
    <definedName name="_xlnm._FilterDatabase" localSheetId="15" hidden="1">'Kaleida Nutrition S4-Status'!#REF!</definedName>
    <definedName name="_xlnm._FilterDatabase" localSheetId="13" hidden="1">'Kaleida Nutrition S4-Status'!#REF!</definedName>
    <definedName name="_xlnm._FilterDatabase" localSheetId="12" hidden="1">'Kaleida Nutrition S4-Status'!#REF!</definedName>
    <definedName name="_xlnm._FilterDatabase" localSheetId="43" hidden="1">'Kaleida Nutrition S1-Defect'!$A$1:$N$1</definedName>
    <definedName name="_xlnm._FilterDatabase" localSheetId="42" hidden="1">#REF!</definedName>
    <definedName name="_xlnm._FilterDatabase" localSheetId="10" hidden="1">'Kaleida Nutrition S4-Status'!#REF!</definedName>
    <definedName name="_xlnm._FilterDatabase" localSheetId="8" hidden="1">'Kaleida Nutrition S4-Status'!#REF!</definedName>
    <definedName name="_xlnm._FilterDatabase" localSheetId="6" hidden="1">'Kaleida Nutrition S4-Status'!#REF!</definedName>
    <definedName name="_xlnm._FilterDatabase" localSheetId="3" hidden="1">'Kaleida Nutrition S4-Status'!#REF!</definedName>
    <definedName name="_xlnm._FilterDatabase" localSheetId="4" hidden="1">'Kaleida Nutrition S4-Status'!#REF!</definedName>
    <definedName name="_xlnm._FilterDatabase" localSheetId="41" hidden="1">'Kaleida Nutrition S2-Defect'!$A$1:$N$1</definedName>
    <definedName name="_xlnm._FilterDatabase" localSheetId="40" hidden="1">'Kaleida Nutrition S2-Status'!$L$12:$L$12</definedName>
    <definedName name="_xlnm._FilterDatabase" localSheetId="39" hidden="1">'Kaleida Nutrition S3-Defect '!$A$1:$N$1</definedName>
    <definedName name="_xlnm._FilterDatabase" localSheetId="38" hidden="1">#REF!</definedName>
    <definedName name="_xlnm._FilterDatabase" localSheetId="37" hidden="1">'Kaleida Nutrition S4-Defect '!$A$1:$N$1</definedName>
    <definedName name="_xlnm._FilterDatabase" localSheetId="36" hidden="1">'Kaleida Nutrition S4-Status'!#REF!</definedName>
    <definedName name="_xlnm._FilterDatabase" localSheetId="35" hidden="1">'Kaleida Nutrition S5-Defect'!$A$1:$N$1</definedName>
    <definedName name="_xlnm._FilterDatabase" localSheetId="34" hidden="1">'Kaleida Nutrition S4-Status'!#REF!</definedName>
    <definedName name="_xlnm._FilterDatabase" localSheetId="33" hidden="1">'Kaleida Nutrition S6-Defect'!$A$1:$N$1</definedName>
    <definedName name="_xlnm._FilterDatabase" localSheetId="32" hidden="1">'Kaleida Nutrition S4-Status'!#REF!</definedName>
    <definedName name="_xlnm._FilterDatabase" localSheetId="31" hidden="1">'Kaleida Nutrition S7-Defect'!$A$1:$N$1</definedName>
    <definedName name="_xlnm._FilterDatabase" localSheetId="30" hidden="1">'Kaleida Nutrition S4-Status'!#REF!</definedName>
    <definedName name="_xlnm._FilterDatabase" localSheetId="29" hidden="1">'Kaleida Nutrition S8-Defect'!$A$1:$N$1</definedName>
    <definedName name="_xlnm._FilterDatabase" localSheetId="28" hidden="1">'Kaleida Nutrition S4-Status'!#REF!</definedName>
    <definedName name="_xlnm._FilterDatabase" localSheetId="27" hidden="1">'Kaleida Nutrition S9-Defect'!$A$1:$N$1</definedName>
    <definedName name="_xlnm._FilterDatabase" localSheetId="26" hidden="1">'Kaleida Nutrition S4-Status'!#REF!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33" l="1"/>
  <c r="F21" i="133"/>
  <c r="E21" i="133"/>
  <c r="D21" i="133"/>
  <c r="C21" i="133"/>
  <c r="B21" i="133"/>
  <c r="B1" i="133" s="1"/>
  <c r="B1" i="1" a="1"/>
  <c r="B1" i="1" s="1"/>
  <c r="D1" i="1"/>
  <c r="A26" i="1" s="1"/>
  <c r="A19" i="1"/>
  <c r="F1" i="1" l="1"/>
  <c r="H1" i="1"/>
  <c r="A24" i="1"/>
  <c r="A25" i="1"/>
  <c r="A22" i="1"/>
  <c r="A23" i="1"/>
  <c r="A20" i="1"/>
  <c r="A21" i="1"/>
  <c r="A3" i="1"/>
  <c r="A5" i="1"/>
  <c r="A4" i="1"/>
  <c r="A8" i="1"/>
  <c r="A7" i="1"/>
  <c r="A10" i="1"/>
  <c r="A9" i="1"/>
  <c r="A12" i="1"/>
  <c r="A11" i="1"/>
  <c r="A14" i="1"/>
  <c r="A13" i="1"/>
  <c r="A16" i="1"/>
  <c r="A15" i="1"/>
  <c r="A18" i="1"/>
  <c r="A17" i="1"/>
  <c r="A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tc={884BCF9F-7414-41F7-8674-856E8CF794C6}</author>
  </authors>
  <commentList>
    <comment ref="B2" authorId="0" shapeId="0" xr:uid="{884BCF9F-7414-41F7-8674-856E8CF794C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tc={AA70A4D1-A486-4408-A594-2E2D2A08F61B}</author>
  </authors>
  <commentList>
    <comment ref="B2" authorId="0" shapeId="0" xr:uid="{AA70A4D1-A486-4408-A594-2E2D2A08F61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tc={73856CB4-5F0A-433C-B7FA-77DB56DB105A}</author>
  </authors>
  <commentList>
    <comment ref="B2" authorId="0" shapeId="0" xr:uid="{73856CB4-5F0A-433C-B7FA-77DB56DB10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tc={54ECAF83-390C-4E7D-99A6-4676933FBC86}</author>
  </authors>
  <commentList>
    <comment ref="B2" authorId="0" shapeId="0" xr:uid="{54ECAF83-390C-4E7D-99A6-4676933FBC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tc={BE39C616-FA23-487A-BEB8-E6FC4BE59562}</author>
  </authors>
  <commentList>
    <comment ref="B3" authorId="0" shapeId="0" xr:uid="{BE39C616-FA23-487A-BEB8-E6FC4BE5956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tc={99FD0CE8-DA3E-496E-B87B-7C150B65BD3F}</author>
    <author>tc={D95824A6-D0B2-43EC-9FF6-88CE351E8E01}</author>
  </authors>
  <commentList>
    <comment ref="B2" authorId="0" shapeId="0" xr:uid="{99FD0CE8-DA3E-496E-B87B-7C150B65BD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D95824A6-D0B2-43EC-9FF6-88CE351E8E0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tc={E2F78698-FAF1-4835-93CC-397696B59F3D}</author>
  </authors>
  <commentList>
    <comment ref="B2" authorId="0" shapeId="0" xr:uid="{E2F78698-FAF1-4835-93CC-397696B59F3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tc={AB2C48FC-2F2B-4FC4-9812-2303334311E1}</author>
  </authors>
  <commentList>
    <comment ref="B2" authorId="0" shapeId="0" xr:uid="{AB2C48FC-2F2B-4FC4-9812-2303334311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tc={1E83DF7D-0437-4F18-AEC7-73D4CD78B1D5}</author>
    <author>tc={55029071-5BA7-42A3-AED4-900F78885A68}</author>
  </authors>
  <commentList>
    <comment ref="B2" authorId="0" shapeId="0" xr:uid="{1E83DF7D-0437-4F18-AEC7-73D4CD78B1D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55029071-5BA7-42A3-AED4-900F78885A6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tc={8F674587-7ED9-4DBD-A4E3-DECA51304B7B}</author>
    <author>tc={87FB406A-62C4-4D02-8F7B-8FDF59ED075D}</author>
  </authors>
  <commentList>
    <comment ref="B2" authorId="0" shapeId="0" xr:uid="{8F674587-7ED9-4DBD-A4E3-DECA51304B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87FB406A-62C4-4D02-8F7B-8FDF59ED07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tc={C41CD6F7-B525-480F-AD1E-716086513DBF}</author>
    <author>tc={92304FAD-E5C2-4380-9230-564B58873AF8}</author>
  </authors>
  <commentList>
    <comment ref="B2" authorId="0" shapeId="0" xr:uid="{C41CD6F7-B525-480F-AD1E-716086513D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92304FAD-E5C2-4380-9230-564B58873AF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tc={CD0FE4FF-7CF0-4AF8-B5DB-45E6CA0132C7}</author>
    <author>tc={7847663F-2477-4D44-B256-09406F0F5731}</author>
  </authors>
  <commentList>
    <comment ref="B2" authorId="0" shapeId="0" xr:uid="{CD0FE4FF-7CF0-4AF8-B5DB-45E6CA0132C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7847663F-2477-4D44-B256-09406F0F573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tc={BCD9FD19-86D1-4CF9-94B9-236A6DCB04B4}</author>
    <author>tc={EE42E344-C00A-487C-AE3A-7A417ED82B77}</author>
  </authors>
  <commentList>
    <comment ref="B2" authorId="0" shapeId="0" xr:uid="{BCD9FD19-86D1-4CF9-94B9-236A6DCB04B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EE42E344-C00A-487C-AE3A-7A417ED82B7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tc={18D2DB99-4DCE-4FC3-AF28-89EBB89F8D2B}</author>
    <author>tc={F0C8CBEE-45F4-4CC0-B35B-CDD306E70EAC}</author>
  </authors>
  <commentList>
    <comment ref="B2" authorId="0" shapeId="0" xr:uid="{18D2DB99-4DCE-4FC3-AF28-89EBB89F8D2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F0C8CBEE-45F4-4CC0-B35B-CDD306E70EA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tc={9208A6E6-D66D-4137-AA6C-CCF2BE6C7394}</author>
    <author>tc={908DF292-F39A-428E-840F-C62C385B7722}</author>
    <author>tc={9DE54EB7-B32D-4F83-8BA5-CE0FA797EB9B}</author>
  </authors>
  <commentList>
    <comment ref="B2" authorId="0" shapeId="0" xr:uid="{9208A6E6-D66D-4137-AA6C-CCF2BE6C739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3" authorId="1" shapeId="0" xr:uid="{908DF292-F39A-428E-840F-C62C385B772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 ref="B4" authorId="2" shapeId="0" xr:uid="{9DE54EB7-B32D-4F83-8BA5-CE0FA797EB9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@Kiruthiga Ganapathi - Please confirm the Application Name
Reply:
    Please name it as "MealOrders Wave"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<sst xmlns="http://schemas.openxmlformats.org/spreadsheetml/2006/main" count="2873" uniqueCount="498">
  <si>
    <t>Current Sprint</t>
  </si>
  <si>
    <t>Current Sprint Sheet</t>
  </si>
  <si>
    <t>Sprint Start Date</t>
  </si>
  <si>
    <t>Sprint End Date</t>
  </si>
  <si>
    <t>Application Name</t>
  </si>
  <si>
    <t>Meal Orders Wave</t>
  </si>
  <si>
    <t>Users</t>
  </si>
  <si>
    <t>karthikeyan.elumalai@relevantz.com;vidhya.subramaniam@relevantz.com;ganesh.veerannan@relevantz.com;shikha.p@relevantz.com;nathiya.palanisamy@relevantz.com</t>
  </si>
  <si>
    <t>Teams Name(GP -Meal Orders)</t>
  </si>
  <si>
    <t>19:33c225e109bb48d58dd1e9a89b0261a7@thread.v2</t>
  </si>
  <si>
    <t>Sprint Type</t>
  </si>
  <si>
    <t>Sprint #</t>
  </si>
  <si>
    <t>Assigned</t>
  </si>
  <si>
    <t>Completed</t>
  </si>
  <si>
    <t>Story points introduced/removed</t>
  </si>
  <si>
    <t>Accomplishments</t>
  </si>
  <si>
    <t>Remarks</t>
  </si>
  <si>
    <t>Retro Points
(Internal &amp; External)</t>
  </si>
  <si>
    <t>Unplanned Leaves</t>
  </si>
  <si>
    <t>Data sanity
Audit Status</t>
  </si>
  <si>
    <t>AuditDate</t>
  </si>
  <si>
    <t>Backlog Health</t>
  </si>
  <si>
    <t>Kaleida Nutrition S1</t>
  </si>
  <si>
    <t>Internal:
External:</t>
  </si>
  <si>
    <t>Kaleida Nutrition S2</t>
  </si>
  <si>
    <t xml:space="preserve">There was a challange on client availabilty to show POV. Also the technical implementation took some additional time to understand the vega component and implement it. Development has been completed and code review is in progress. </t>
  </si>
  <si>
    <t>Kaleida Nutrition S3</t>
  </si>
  <si>
    <t xml:space="preserve">
Internal CRC - 0
External CRC - 0
Bouncebacks- 4
QA Defects - 0
Escaped Defects - 0
</t>
  </si>
  <si>
    <t>Offhore DM suggested all the team members to enable their cameras during team meeting</t>
  </si>
  <si>
    <t>Kaleida Nutrition S4</t>
  </si>
  <si>
    <t>Kaleida updates</t>
  </si>
  <si>
    <t xml:space="preserve">
Internal CRC - 4
External CRC - 1
Bouncebacks- 2
QA Defects - 0
Escaped Defects - 0
</t>
  </si>
  <si>
    <t>Client was happy about the work progress.Offhore DM suggested all the team members to enable their cameras during team meeting</t>
  </si>
  <si>
    <t>Kaleida Nutrition S5</t>
  </si>
  <si>
    <t>Kaleida updates - Moving District selector to Header, Report inbox menu &amp; dropdown issue fixes</t>
  </si>
  <si>
    <t xml:space="preserve">
Internal CRC - 0
External CRC - 0
Bouncebacks- 0
QA Defects - 2
Escaped Defects - 0
</t>
  </si>
  <si>
    <t>Kaleida Nutrition S6</t>
  </si>
  <si>
    <t>BOH - Breadcrumb issue fixes &amp; updating the background color</t>
  </si>
  <si>
    <t xml:space="preserve">
Internal CRC - 0
External CRC - 0
Bouncebacks- 2
QA Defects - 0
Escaped Defects - 0
</t>
  </si>
  <si>
    <t xml:space="preserve">Client commended the teamwork. </t>
  </si>
  <si>
    <t>Kaleida Nutrition S7</t>
  </si>
  <si>
    <t>MSA Kaleida Breadcrumbs updates &amp; BOH Breadcrumb issue fixes</t>
  </si>
  <si>
    <t xml:space="preserve">
Internal CRC - 0
External CRC - 0
Bouncebacks- 0
QA Defects - 0
Escaped Defects - 0
</t>
  </si>
  <si>
    <t xml:space="preserve">Client is happy &amp; satisfied with the overall teamwork. QA efforts were specifically applauded by Ken. </t>
  </si>
  <si>
    <t>Kaleida Nutrition S8</t>
  </si>
  <si>
    <t>MSA Header update, BOH - Login screen update [Kaleida]</t>
  </si>
  <si>
    <t xml:space="preserve">
Internal CRC - 0
External CRC - 0
Bouncebacks- 1
QA Defects - 0
Escaped Defects - 0
</t>
  </si>
  <si>
    <t>Good work progress.</t>
  </si>
  <si>
    <t>Kaleida Nutrition S9</t>
  </si>
  <si>
    <t>MSA sitemap implementation</t>
  </si>
  <si>
    <t>Kaleida Nutrition S10</t>
  </si>
  <si>
    <t>Kalieda work updates on MSA left nav &amp; FOH login screen footer updates</t>
  </si>
  <si>
    <t>Kaleida Nutrition S11</t>
  </si>
  <si>
    <t>Mosaic FOH Kaleida - Good work progress</t>
  </si>
  <si>
    <t>Kaleida Nutrition S12</t>
  </si>
  <si>
    <t>Mosaic FOH Kaleida - Interior Pages updates -multiple screens completed</t>
  </si>
  <si>
    <t>Kaleida Nutrition S13</t>
  </si>
  <si>
    <t>Mosaic FOH Kaleida - Interior Pages updates -multiple screens completed with Vega updates</t>
  </si>
  <si>
    <t>Kaleida Nutrition S14</t>
  </si>
  <si>
    <t xml:space="preserve">Scheduler task implementation
Setup - Annual Setup screens implementation
</t>
  </si>
  <si>
    <t>Despite the absence of some team members as of holiday season, the work was shared collaboratively and handled efficiently</t>
  </si>
  <si>
    <t>Kaleida Nutrition S15</t>
  </si>
  <si>
    <t>MSB Accounting Header updates</t>
  </si>
  <si>
    <t>Kaleida Nutrition S16</t>
  </si>
  <si>
    <t>FOH - Interior Pages - Close Day Module completion</t>
  </si>
  <si>
    <t>Excellent teamwork &amp; kaleida work progress</t>
  </si>
  <si>
    <t>Kaleida Nutrition S17</t>
  </si>
  <si>
    <t>1. BOH - Interior Pages - Storage locations screen completion
2. FOH - Root Menus updation to Kaleida
3. App switcher installation on MSA</t>
  </si>
  <si>
    <t>Good team coordination &amp; work progress</t>
  </si>
  <si>
    <t>Kaleida Nutrition S18</t>
  </si>
  <si>
    <t>1. BOH - Interior Pages update - MUNIS Export screen
2. BOH - Interior Pages update - HACCP instructions</t>
  </si>
  <si>
    <t>Kaleida Nutrition S19</t>
  </si>
  <si>
    <t>Nil</t>
  </si>
  <si>
    <t>1. BOH Defect Fixes
2. Root menu updates in BOH</t>
  </si>
  <si>
    <t>Great work addressing the issues raised by the BOH team.</t>
  </si>
  <si>
    <t>Kaleida Nutrition Sprint 20</t>
  </si>
  <si>
    <t>Kaleida work progress - Multiple screens completion</t>
  </si>
  <si>
    <t xml:space="preserve">
Internal CRC - 4
External CRC - 0
Bouncebacks- 3
QA Defects - 0
Escaped Defects - 0
</t>
  </si>
  <si>
    <t xml:space="preserve">Great work overall. </t>
  </si>
  <si>
    <t>Kaleida Nutrition S21</t>
  </si>
  <si>
    <t>Multiple stretch items completed</t>
  </si>
  <si>
    <t xml:space="preserve">
Internal CRC - 0
External CRC - 0
Bouncebacks- 2
QA Defects - 1
Escaped Defects - 0
</t>
  </si>
  <si>
    <t>Client appreciated the team efforts.</t>
  </si>
  <si>
    <t>Kaleida Nutrition S22</t>
  </si>
  <si>
    <t>Kaleida Nutrition S23</t>
  </si>
  <si>
    <t>Although Vega-related impediments posed some challenges, the team maintained good momentum</t>
  </si>
  <si>
    <t>Kaleida Nutrition S24</t>
  </si>
  <si>
    <t>S.No</t>
  </si>
  <si>
    <t>Story/Defect ID</t>
  </si>
  <si>
    <t>Parent Story</t>
  </si>
  <si>
    <t>Developer</t>
  </si>
  <si>
    <t>Issue Type</t>
  </si>
  <si>
    <t xml:space="preserve">Issue Description </t>
  </si>
  <si>
    <t>Priority</t>
  </si>
  <si>
    <t>Defect Source</t>
  </si>
  <si>
    <t>Type</t>
  </si>
  <si>
    <t>Status</t>
  </si>
  <si>
    <t>Root Cause Category</t>
  </si>
  <si>
    <t>Comments</t>
  </si>
  <si>
    <t>None</t>
  </si>
  <si>
    <t>Total Leaves</t>
  </si>
  <si>
    <t>Resource Name</t>
  </si>
  <si>
    <t>Sprint</t>
  </si>
  <si>
    <t>Shikha Pradan</t>
  </si>
  <si>
    <t>Ganesh Gupta Veerannan</t>
  </si>
  <si>
    <t>Karthikeyan Elumalai</t>
  </si>
  <si>
    <t>Vidhya subramanian</t>
  </si>
  <si>
    <t>Divayalakshmi Munusamy</t>
  </si>
  <si>
    <t>Nathiya Palanisamy</t>
  </si>
  <si>
    <t>Total</t>
  </si>
  <si>
    <t xml:space="preserve">Sprint </t>
  </si>
  <si>
    <t>Story ID/Defect ID</t>
  </si>
  <si>
    <t>Description</t>
  </si>
  <si>
    <t>Estimated(sp)</t>
  </si>
  <si>
    <t>Actual(sp)</t>
  </si>
  <si>
    <t>Actual Hours Worklog</t>
  </si>
  <si>
    <t>Dev Start Date</t>
  </si>
  <si>
    <t>Dev End Date</t>
  </si>
  <si>
    <t>Unit testing</t>
  </si>
  <si>
    <t>Peer Tested By</t>
  </si>
  <si>
    <t>Peer Tested Defects, if any</t>
  </si>
  <si>
    <t>Peer Reviewed By</t>
  </si>
  <si>
    <t>Peer Code Review Comments, if any</t>
  </si>
  <si>
    <t>PR Number/Link</t>
  </si>
  <si>
    <t>PR Created Date</t>
  </si>
  <si>
    <t>PR Approved Date</t>
  </si>
  <si>
    <t>Reviewer 1</t>
  </si>
  <si>
    <t>Code Review Comments, if any</t>
  </si>
  <si>
    <t>Reviewer 2</t>
  </si>
  <si>
    <t>Approved Date</t>
  </si>
  <si>
    <t>Code Review Comments, if any2</t>
  </si>
  <si>
    <t>Internal PO -POV Comments</t>
  </si>
  <si>
    <t>Client PO -POV Comments</t>
  </si>
  <si>
    <t>Does this story meets expectations</t>
  </si>
  <si>
    <t xml:space="preserve">2.5 Kaleida Nutrition S24  Stretch
</t>
  </si>
  <si>
    <t>Ganesh</t>
  </si>
  <si>
    <t>[WAVE] - Mosaic BOH - Interior Pages Update - Sites add/edit mode</t>
  </si>
  <si>
    <t>Story Being Developed</t>
  </si>
  <si>
    <t xml:space="preserve">2.5 Kaleida Nutrition S24
</t>
  </si>
  <si>
    <t>Karthikeyan</t>
  </si>
  <si>
    <t>[WAVE] Mosaic BOH Kaleida - Interior Pages Update - Products - Par levels</t>
  </si>
  <si>
    <t>Shikha</t>
  </si>
  <si>
    <t>[WAVE] Mosaic BOH - Interior Pages Update - Reports - Inventory - End of the month Inventory report</t>
  </si>
  <si>
    <t>[WAVE] Mosaic BOH - Interior pages update - Setup - SSO Mapping</t>
  </si>
  <si>
    <t xml:space="preserve">2.5 Kaleida Nutrition S23
</t>
  </si>
  <si>
    <t>While adding new row validation need to achieve. Vega table has limitation for validation We have posted message to vega team and their created vega ticket https://gethired.atlassian.net/browse/VD-9015. Waiting for thier solution. currently hold on this story</t>
  </si>
  <si>
    <t xml:space="preserve">2.5 Kaleida Nutrition S23 
</t>
  </si>
  <si>
    <t xml:space="preserve">[WAVE] Mosaic FOH - interior Pages update - End of Day - Reconcile Day Search  </t>
  </si>
  <si>
    <t>Story Completed</t>
  </si>
  <si>
    <t>kiruthiga</t>
  </si>
  <si>
    <t>https://dev.azure.com/heartlandschools/Mosaic/_git/FOH/pullrequest/48961</t>
  </si>
  <si>
    <t>Ruban</t>
  </si>
  <si>
    <t>Ying</t>
  </si>
  <si>
    <t>Meets Expectation</t>
  </si>
  <si>
    <t>2.5 KaleidaNutrition S23 Stretch</t>
  </si>
  <si>
    <t>[WAVE] Mosaic BOH - Interior Pages update - Warehouse Delivery routes - Add/edit</t>
  </si>
  <si>
    <t>https://dev.azure.com/heartlandschools/Mosaic/_git/BOH/pullrequest/49023</t>
  </si>
  <si>
    <t>drag and drop functionality missing from vega table</t>
  </si>
  <si>
    <t>As per Vega team drag and Drop functionality for vega-table is in development Phase so we have to hold the story until it get released - Actual stus of this story is Story need more info but that option is not available</t>
  </si>
  <si>
    <t>[WAVE] Mosaic BOH - Interior Pages Update - Reports - Inventory - Inventory Variance Report - Order &amp; Receiving Search</t>
  </si>
  <si>
    <t xml:space="preserve">2.5 KaleidaNutrition S22 
</t>
  </si>
  <si>
    <t>[WAVE] Mosaic BOH - Interior pages update - Setup - Production Record Formats Search</t>
  </si>
  <si>
    <t>Vidhya</t>
  </si>
  <si>
    <t>https://dev.azure.com/heartlandschools/Mosaic/_git/BOH/pullrequest/48661</t>
  </si>
  <si>
    <t>Richard</t>
  </si>
  <si>
    <t>[WAVE] Mosaic BOH - Interior Pages Update - Point of Sale Data Mapping - Menu Products - Recipes search</t>
  </si>
  <si>
    <t>Kiruthiga</t>
  </si>
  <si>
    <t>Code optimization suggested</t>
  </si>
  <si>
    <t>https://dev.azure.com/heartlandschools/Mosaic/_git/BOH/pullrequest/48703</t>
  </si>
  <si>
    <t>Provided delete option for search screen, client suggest delete option not required</t>
  </si>
  <si>
    <t>[WAVE] Mosaic BOH - Interior pages update - Setup - Security Groups search</t>
  </si>
  <si>
    <t>https://dev.azure.com/heartlandschools/Mosaic/_git/BOH/pullrequest/48652</t>
  </si>
  <si>
    <t>[WAVE] Mosaic BOH - Image must have alternative text</t>
  </si>
  <si>
    <t>Defect Fixed</t>
  </si>
  <si>
    <t>https://dev.azure.com/heartlandschools/Mosaic/_git/BOH/pullrequest/48634</t>
  </si>
  <si>
    <t>2.5 KaleidaNutrition S22 Stretch</t>
  </si>
  <si>
    <t>[WAVE] Mosaic FOH - Footers must be placed under a landmark region</t>
  </si>
  <si>
    <t>https://dev.azure.com/heartlandschools/Mosaic/_git/FOH/pullrequest/48727</t>
  </si>
  <si>
    <t>[WAVE] Mosaic - BOH - Content must not require two-dimensional scrolling or lose information at 400% zoom</t>
  </si>
  <si>
    <t>https://dev.azure.com/heartlandschools/Mosaic/_git/BOH/pullrequest/48767</t>
  </si>
  <si>
    <t>Charles</t>
  </si>
  <si>
    <t xml:space="preserve">2.5 KaleidaNutrition S21 Stretch
</t>
  </si>
  <si>
    <t>[WAVE] - Mosaic BOH Kaleida - Interior Pages Update - Setup - SmartSense</t>
  </si>
  <si>
    <t>Existing common warning popup need to use</t>
  </si>
  <si>
    <t>https://dev.azure.com/heartlandschools/Mosaic/_git/BOH/pullrequest/48435</t>
  </si>
  <si>
    <t>suggest to save message font need reduce</t>
  </si>
  <si>
    <t>2.5 KaleidaNutrition S21 Stretch</t>
  </si>
  <si>
    <t>[WAVE] Mosaic BOH Kaleida - Interior Pages Update - Setup - Users search</t>
  </si>
  <si>
    <t>resuable code implementation - code optimization</t>
  </si>
  <si>
    <t>https://dev.azure.com/heartlandschools/Mosaic/_git/BOH/pullrequest/48443</t>
  </si>
  <si>
    <t xml:space="preserve">2.5 KaleidaNutrition S21
</t>
  </si>
  <si>
    <t>[WAVE] Mosaic BOH Kaleida - Interior Pages Update - MealViewer Blocks</t>
  </si>
  <si>
    <t>https://dev.azure.com/heartlandschools/Mosaic/_git/BOH/pullrequest/48299</t>
  </si>
  <si>
    <t>suggest to chage page title</t>
  </si>
  <si>
    <t>[WAVE] Mosaic BOH Kaleida - Interior Pages Update - Setup - Warehouse Delivery Routes Search</t>
  </si>
  <si>
    <t>Sudheer</t>
  </si>
  <si>
    <t>action column should be right aligned</t>
  </si>
  <si>
    <t>Remove inline styles</t>
  </si>
  <si>
    <t>https://dev.azure.com/heartlandschools/Mosaic/_git/BOH/pullrequest/48426</t>
  </si>
  <si>
    <t>Defect</t>
  </si>
  <si>
    <t>BOH - American exception tracking Report - Date should be one day prior</t>
  </si>
  <si>
    <t>Minor</t>
  </si>
  <si>
    <t>Manual</t>
  </si>
  <si>
    <t>External</t>
  </si>
  <si>
    <t>Closed</t>
  </si>
  <si>
    <t>Due to Vega helper class date format need to change MM/DD/yyyy</t>
  </si>
  <si>
    <t>Bounceback</t>
  </si>
  <si>
    <t>requried bit space between the Route Name and Active column move to end</t>
  </si>
  <si>
    <t>css Issue</t>
  </si>
  <si>
    <t>You can reduce the grid size as well as validation message should be aligned</t>
  </si>
  <si>
    <t xml:space="preserve">2.5 KaleidaNutrition S20
</t>
  </si>
  <si>
    <t>[WAVE] Mosaic BOH Kaleida - Interior Pages Update - Reports - Buy American Exception Tracking Report</t>
  </si>
  <si>
    <t>Ready function reduce the code optimization.</t>
  </si>
  <si>
    <t>https://dev.azure.com/heartlandschools/Mosaic/_git/BOH/pullrequest/48147</t>
  </si>
  <si>
    <t>Site Group DropDown Label name space used in between Site Group</t>
  </si>
  <si>
    <t>Meets Expectations</t>
  </si>
  <si>
    <t>[WAVE] - Mosaic FOH Kaleida - Left Navigation - Update Root Menus - Reports</t>
  </si>
  <si>
    <t xml:space="preserve">Removal closing </t>
  </si>
  <si>
    <t>https://dev.azure.com/heartlandschools/Mosaic/_git/FOH/pullrequest/48109</t>
  </si>
  <si>
    <t>When navigation menu items exceed one line , capturing to next line and showing UI has deviation with figma, checked with team couple of times and changes applied accordingly</t>
  </si>
  <si>
    <t>[WAVE] - Mosaic BOH Kaleida - Left Navigation - Update Root Menus - Reports, Setup</t>
  </si>
  <si>
    <t>Replace arrow functions with regular functions</t>
  </si>
  <si>
    <t>https://dev.azure.com/heartlandschools/Mosaic/_git/BOH/pullrequest/48131</t>
  </si>
  <si>
    <t>need changes for button height for inner menus, as there is multiline text for report name (figma was not available, so need to refer to Karthikey'n changes)</t>
  </si>
  <si>
    <t xml:space="preserve">2.5 KaleidaNutrition S20 Stretch
</t>
  </si>
  <si>
    <t>[WAVE] - Mosaic BOH - Interior Pages - Setup - Point of sale data mapping - Serving Periods</t>
  </si>
  <si>
    <t>Replace arrow functions with functions</t>
  </si>
  <si>
    <t>https://dev.azure.com/heartlandschools/Mosaic/_git/BOH/pullrequest/48174</t>
  </si>
  <si>
    <t>Save popup is not occuring for first time</t>
  </si>
  <si>
    <t>Internal</t>
  </si>
  <si>
    <t>Due to vega component late loading</t>
  </si>
  <si>
    <t xml:space="preserve">Genesh </t>
  </si>
  <si>
    <t>When we clear date field the validation not occuring</t>
  </si>
  <si>
    <t>Override validation reason not yet cleared. Two validations occured in date</t>
  </si>
  <si>
    <t>My Report heading is missing when favourite is empty.</t>
  </si>
  <si>
    <t>If havent add any fav is should display the heading alone but here i dont see the heading.</t>
  </si>
  <si>
    <t xml:space="preserve">2.5 KaleidaNutrition S19 Stretch
</t>
  </si>
  <si>
    <t>Mosaic - BOH - Menu Edit page is not opening while right click &amp; open on new tab, also edit Text is showing duplicates.</t>
  </si>
  <si>
    <t>https://dev.azure.com/heartlandschools/Mosaic/_git/BOH/pullrequest/47713</t>
  </si>
  <si>
    <t>Mosaic BOH - Menus - Reimbursable Meal Group screen - Clicking the Menu Search button doesn't bring to search</t>
  </si>
  <si>
    <t>Mosaic BOH - Whole program - None of the menus allow you to do a Right Click and use features</t>
  </si>
  <si>
    <t>https://dev.azure.com/heartlandschools/Mosaic/_git/BOH/pullrequest/47819</t>
  </si>
  <si>
    <t>Mosaic BOH - Root Menu updates - Applications settings - Administer Page</t>
  </si>
  <si>
    <t>https://dev.azure.com/heartlandschools/Mosaic/_git/BOH/pullrequest/47878</t>
  </si>
  <si>
    <t xml:space="preserve">2.5 KaleidaNutrition S18
</t>
  </si>
  <si>
    <t>[WAVE] - Mosaic BOH Kaleida - Interior Pages update - Setup - Financial Exports - MUNIS Export</t>
  </si>
  <si>
    <t>https://dev.azure.com/heartlandschools/Mosaic/_git/BOH/pullrequest/47556</t>
  </si>
  <si>
    <t>2.5 KaleidaNutrition S18
Stretch</t>
  </si>
  <si>
    <t>Mosaic BOH Wave - Logout issue</t>
  </si>
  <si>
    <t>https://dev.azure.com/heartlandschools/Mosaic/_git/BOH/pullrequest/47538</t>
  </si>
  <si>
    <t>story is underestimated as Reports Root menu and inner roots menus both needs to be updated by vega controls in this story and its not only vega update but the design changes are there  as well in the story.</t>
  </si>
  <si>
    <t>Ruban/Shikha</t>
  </si>
  <si>
    <t>[WAVE] - Mosaic BOH Kaleida - Interior Pages Update - Setup - HACCP - Instructions</t>
  </si>
  <si>
    <t>https://dev.azure.com/heartlandschools/Mosaic/_git/BOH/pullrequest/47557</t>
  </si>
  <si>
    <t>2.5 KaleidaNutrition S18</t>
  </si>
  <si>
    <t>Row height in grid data table is too small and needs to be increased and Grid Storage Location field is not responding to click</t>
  </si>
  <si>
    <t>Medium</t>
  </si>
  <si>
    <t>Defect Being Developed</t>
  </si>
  <si>
    <t>New Issue</t>
  </si>
  <si>
    <t>Grid data does not load by default and Incorrect styling of the Cancel button in the popup.</t>
  </si>
  <si>
    <t xml:space="preserve">Kaleida Nutrition S17 </t>
  </si>
  <si>
    <t>[WAVE] - BOH Kaleida- Interior Pages Update - Setup - Storage Locations</t>
  </si>
  <si>
    <r>
      <rPr>
        <b/>
        <sz val="10"/>
        <color rgb="FF000000"/>
        <rFont val="Arial"/>
        <scheme val="minor"/>
      </rPr>
      <t xml:space="preserve">Requested Update:
</t>
    </r>
    <r>
      <rPr>
        <sz val="10"/>
        <color rgb="FF000000"/>
        <rFont val="Arial"/>
        <scheme val="minor"/>
      </rPr>
      <t>The filters should appear in a meaningful sequence, without unrelated fields placed in between. Ideally, the layout should also support dynamic resizing, but maintain the correct grouping and order.</t>
    </r>
  </si>
  <si>
    <t>https://dev.azure.com/heartlandschools/Mosaic/_git/BOH/pullrequest/47297</t>
  </si>
  <si>
    <t xml:space="preserve">[WAVE] - Mosaic FOH Kaleida - Left Navigation - Update Root Menus - End of Day, Catering &amp; Prof standards </t>
  </si>
  <si>
    <r>
      <rPr>
        <b/>
        <sz val="10"/>
        <color rgb="FF000000"/>
        <rFont val="Arial"/>
        <scheme val="minor"/>
      </rPr>
      <t>Requested Update:</t>
    </r>
    <r>
      <rPr>
        <sz val="10"/>
        <color rgb="FF000000"/>
        <rFont val="Arial"/>
        <scheme val="minor"/>
      </rPr>
      <t>Vertical Stacking (Preferred if horizontal alignment is not possible):
Place all items in one vertical list so that no column is left empty.</t>
    </r>
  </si>
  <si>
    <t>https://dev.azure.com/heartlandschools/Mosaic/_git/FOH/pullrequest/47271</t>
  </si>
  <si>
    <t>Shown internal POV and shared recording with client, after that they have changed UI  from 3 column layout to multi column layout based on no of items present. They have shared new figma design on 13/feb end of day that need to implemented</t>
  </si>
  <si>
    <t>[WAVE] - App switcher - Install on MSA</t>
  </si>
  <si>
    <t>analyse and implement  a different approach for adding featureflag in web.config</t>
  </si>
  <si>
    <t>https://dev.azure.com/heartlandschools/MCS/_git/MySchoolApps/pullrequest/47196</t>
  </si>
  <si>
    <t>Patrick</t>
  </si>
  <si>
    <t>Kaleida Nutrition S17 Stretch</t>
  </si>
  <si>
    <t>Defect Being Fixed</t>
  </si>
  <si>
    <t>2.5 KaleidaNutrition S17</t>
  </si>
  <si>
    <t>FOH Kaleida - Interior Pages - Setup - Annual Setup - Nondiscrimination Statement</t>
  </si>
  <si>
    <t>https://dev.azure.com/heartlandschools/Mosaic/_git/FOH/pullrequest/46266</t>
  </si>
  <si>
    <t>Steve</t>
  </si>
  <si>
    <t>[WAVE] - Mosaic FOH Kaleida - Interior Pages - Setup - Tools - Scheduler Task</t>
  </si>
  <si>
    <t>https://dev.azure.com/heartlandschools/Mosaic/_git/FOH/pullrequest/46414</t>
  </si>
  <si>
    <t>Kaleida Nutrition S14-Stretch</t>
  </si>
  <si>
    <t>[WAVE] MSB Accounting - Update Header - Webview</t>
  </si>
  <si>
    <t xml:space="preserve">There was an issue after restoring 
the database for the MSB Accounting application, 
which led to laptop malfunctioning. 
Despite multiple attempts with the IT team, the issue could not be resolved.
As a result, the laptop was replaced.
 However, the overall process took a 
 significant amount of time and 
 impacted work during that period.
</t>
  </si>
  <si>
    <t>Kaleida Nutrition S14 Stretch</t>
  </si>
  <si>
    <t>[WAVE] - Mosaic FOH - Interior Pages - End of Day - Close Day Information (Edit)</t>
  </si>
  <si>
    <t>Vega table not offering cell wise edit option,contacted with vega support team based on their suggestion vega table cell edit option not feasible and going to implement vega styling to kendo grid</t>
  </si>
  <si>
    <t xml:space="preserve">Kaleida Nutrition S16 </t>
  </si>
  <si>
    <t>[WAVE] - MSB Accounting Kaleida - Add sitemap &amp; breadcrumb functionality</t>
  </si>
  <si>
    <t>Defect Rejected</t>
  </si>
  <si>
    <r>
      <rPr>
        <sz val="10"/>
        <color rgb="FF000000"/>
        <rFont val="Arial"/>
        <scheme val="minor"/>
      </rPr>
      <t xml:space="preserve">We have and update for MSB accounting and we would stop any work on the same. </t>
    </r>
    <r>
      <rPr>
        <sz val="10"/>
        <color rgb="FF1264A3"/>
        <rFont val="Arial"/>
        <scheme val="minor"/>
      </rPr>
      <t>@Shikha Pradhan</t>
    </r>
    <r>
      <rPr>
        <sz val="10"/>
        <color rgb="FF000000"/>
        <rFont val="Arial"/>
        <scheme val="minor"/>
      </rPr>
      <t xml:space="preserve"> and </t>
    </r>
    <r>
      <rPr>
        <sz val="10"/>
        <color rgb="FF1264A3"/>
        <rFont val="Arial"/>
        <scheme val="minor"/>
      </rPr>
      <t>@Ganesh Guptha Veerannan</t>
    </r>
    <r>
      <rPr>
        <sz val="10"/>
        <color rgb="FF000000"/>
        <rFont val="Arial"/>
        <scheme val="minor"/>
      </rPr>
      <t xml:space="preserve"> would be replaced with MSA App switcher and BOH internal page next story.</t>
    </r>
  </si>
  <si>
    <t>Kaleida Nutrition S16 Stretch</t>
  </si>
  <si>
    <t>1. Font discrepancy between “Close Day Search” and “Close Day Maintenance” pages
2. Checkbox alignment / styling issue for the “Reconciled” column</t>
  </si>
  <si>
    <t>https://dev.azure.com/heartlandschools/Mosaic/_git/FOH/pullrequest/46975</t>
  </si>
  <si>
    <t>Abdulqadir Varawala</t>
  </si>
  <si>
    <t>[WAVE] MSB Accounting - Update Left Navigation - Webview</t>
  </si>
  <si>
    <t>development for  MSB accounting has been stopped due to some dependency and priority changes</t>
  </si>
  <si>
    <t>optimize code block for profilename</t>
  </si>
  <si>
    <t>https://dev.azure.com/heartlandschools/Accounting/_git/MSBAccounting-NewSchoolBooks/pullrequest/46765</t>
  </si>
  <si>
    <t>Completed Dev changes for this story , but still need to confirm with client about the profile name display. Waiting for the confirmation  and possibly client will respond on Tuesday evening(20th Jan)</t>
  </si>
  <si>
    <t>Kaleida Nutrition S15 Stretch</t>
  </si>
  <si>
    <t>Found By</t>
  </si>
  <si>
    <t>RCA Comment *</t>
  </si>
  <si>
    <t xml:space="preserve">Ganesh </t>
  </si>
  <si>
    <t>Bounce Back</t>
  </si>
  <si>
    <t>Background of Update Results button not transparent</t>
  </si>
  <si>
    <t>Ken</t>
  </si>
  <si>
    <t>completed</t>
  </si>
  <si>
    <t>In the local environment, the background color is allowed, but in the test environment only the shadow root background color works.</t>
  </si>
  <si>
    <t>Applying column sort expands results grid to full length</t>
  </si>
  <si>
    <t>When sorting, all rows are displayed. Ken asked whether a scrollbar is needed during sorting.</t>
  </si>
  <si>
    <t>[WAVE] Mosaic FOH Kaleida - Catering Orders - Retain the Search results in the grid</t>
  </si>
  <si>
    <t>https://dev.azure.com/heartlandschools/Mosaic/_git/FOH/pullrequest/45893?_a=files</t>
  </si>
  <si>
    <t>Exceeds Expectation</t>
  </si>
  <si>
    <t>[WAVE] Mosaic FOH Kaleida - Interior Pages update - Professional standards screens - Record Training - Employee Selection</t>
  </si>
  <si>
    <t>https://dev.azure.com/heartlandschools/Mosaic/_git/FOH/pullrequest/45958</t>
  </si>
  <si>
    <t>[WAVE] - FOH Kaleida - Interior Pages - End of Day - Close Day Search</t>
  </si>
  <si>
    <t>https://dev.azure.com/heartlandschools/Mosaic/_git/FOH/pullrequest/46151</t>
  </si>
  <si>
    <t>1. Vega Calendar controls has limitation on showing date range, after discussion with vega support team, retained kendo calender. 
2. Vega rowclick and vega icon click have some limitations and got support from vega support team and implemented</t>
  </si>
  <si>
    <t>Kaleida Nutrition S13 Stretch</t>
  </si>
  <si>
    <t>[WAVE] - Mosaic FOH Kalieda - Interior Pages update - Setup - Tools - Communication</t>
  </si>
  <si>
    <t>NA</t>
  </si>
  <si>
    <t xml:space="preserve">Story Rejected, Page not used in the Application </t>
  </si>
  <si>
    <t>Mosaic FOH Kaleida - Reports - Implement Multi-Select Site Selection Component for Reports</t>
  </si>
  <si>
    <t>Defect Needs More Info</t>
  </si>
  <si>
    <t>story needs figma designs ,those are not ready yet</t>
  </si>
  <si>
    <t>Grid data not retained in the Catering orders result table</t>
  </si>
  <si>
    <t>In the Catering Order screen, when we search using filtered data and then perform a reload or navigate back, the data is not retained in the result table.</t>
  </si>
  <si>
    <t>1. BG color of disabled Reset Filters button does not match section BG color and Delete icon used is not the correct trash can icon from Figma designs</t>
  </si>
  <si>
    <t>No figma available for this story, based on other page impelemntation UI implemented.</t>
  </si>
  <si>
    <t>[WAVE] Mosaic FOH Kaleida - Interior Pages update - Professional standards screens - Record Training</t>
  </si>
  <si>
    <t>optimize code for adding vega column</t>
  </si>
  <si>
    <t>https://dev.azure.com/heartlandschools/Mosaic/_git/FOH/pullrequest/45603</t>
  </si>
  <si>
    <t>Kaleida Nutrition S12 Stretch</t>
  </si>
  <si>
    <t>[WAVE] Mosaic FOH Kaleida - Interior Pages update - Catering - Add Order &amp; edit Order</t>
  </si>
  <si>
    <t>https://dev.azure.com/heartlandschools/Mosaic/_git/FOH/pullrequest/45405</t>
  </si>
  <si>
    <t>[WAVE] - FOH Kaleida - Discovery on Report controls</t>
  </si>
  <si>
    <t>Based on discovery, vega components can be used for all input controls to avoid partial vega components &amp; partial custom styles implementation. for all submit button we can apply custom styling</t>
  </si>
  <si>
    <t>[WAVE] -Mosaic FOH Kaleida - Interior Pages update - Manage Catering Orders from Results Table</t>
  </si>
  <si>
    <t>https://dev.azure.com/heartlandschools/Mosaic/_git/FOH/pullrequest/45368</t>
  </si>
  <si>
    <t>Kaleida Nutrition S11 Stretch</t>
  </si>
  <si>
    <t>[WAVE] Mosaic BOH Kaleida - Login - Pending Updates</t>
  </si>
  <si>
    <t>https://dev.azure.com/heartlandschools/Mosaic/_git/BOH/pullrequest/45114</t>
  </si>
  <si>
    <t>[WAVE] - MSA - Update Left Nav</t>
  </si>
  <si>
    <t>https://dev.azure.com/heartlandschools/MCS/_git/MySchoolApps/pullrequest/45113</t>
  </si>
  <si>
    <t>Rachel</t>
  </si>
  <si>
    <t>Additional Under the district menu removed settings and Added Application settings. Footer alignment and content alignment with breadcrumbs.</t>
  </si>
  <si>
    <t>[WAVE] - Mosaic FOH Kaleida - Update Login screen footer changes</t>
  </si>
  <si>
    <t>https://dev.azure.com/heartlandschools/Mosaic/_git/FOH/pullrequest/44990</t>
  </si>
  <si>
    <t>Kaleida Nutrition S10 Stretch</t>
  </si>
  <si>
    <t>[WAVE] -Mosaic FOH Kaleida - Interior Pages update - Professional standards screens - Record Training</t>
  </si>
  <si>
    <t>[WAVE] - MSA Kaleida - Add sitemap</t>
  </si>
  <si>
    <t>https://dev.azure.com/heartlandschools/MCS/_git/MySchoolApps/pullrequest/44869?_a=files</t>
  </si>
  <si>
    <t>- Expand collapose hamburger icon should be center-aligned with the logo
- When the menu is expanded, the content panel should extend from the right side.</t>
  </si>
  <si>
    <t>https://dev.azure.com/heartlandschools/Mosaic/_git/FOH/pullrequest/44862</t>
  </si>
  <si>
    <t>There was a deployment issue that caused delay on testing , was not able to complete the reported bounce back because of the offshore holiday</t>
  </si>
  <si>
    <t>Kaleida Nutrition S9 Stretch</t>
  </si>
  <si>
    <t>28/9/2025</t>
  </si>
  <si>
    <t>https://dev.azure.com/heartlandschools/Mosaic/_git/BOH/pullrequest/44730</t>
  </si>
  <si>
    <t>story moved to strech by client as designs are not ready ,partially completed</t>
  </si>
  <si>
    <t xml:space="preserve">MSA Header - single district dropdown background color change </t>
  </si>
  <si>
    <t>https://dev.azure.com/heartlandschools/MCS/_git/MySchoolApps/pullrequest/44640</t>
  </si>
  <si>
    <t xml:space="preserve">49856	</t>
  </si>
  <si>
    <t>Breadcrumb not showing school name on invalid data during edit</t>
  </si>
  <si>
    <t>When editing a school and invalid data is submitted, the breadcrumb loses the school name. The breadcrumb should consistently show Schools &gt; Edit &gt; [School Name] regardless of form validation status. But the school name is not retained and displayed correctly.</t>
  </si>
  <si>
    <t>Misalignment of left-aligned elements and header buttons</t>
  </si>
  <si>
    <t>All left-aligned elements on the page should start from a consistent horizontal origin. However, some elements (e.g., form fields, labels, icons) are slightly offset. Additionally, header buttons are not fully center-aligned with respect to the same origin line.</t>
  </si>
  <si>
    <t>MSA - Update Header - Webview</t>
  </si>
  <si>
    <t>https://dev.azure.com/heartlandschools/MCS/_git/MySchoolApps/pullrequest/44585?_a=files</t>
  </si>
  <si>
    <t>Profile dropdwon width need to increase , district dropdown items width limit for longer text, spacing between icon and logo</t>
  </si>
  <si>
    <t>Facing challenges with vega drop down selected item icon  &amp; reset selection, we have contacted vega support team, from their response as of now, selected icon not available for vega-app-header-button, they created ticket for that</t>
  </si>
  <si>
    <t>Mosaic BOH Kaleida - Update Login screen</t>
  </si>
  <si>
    <t>https://dev.azure.com/heartlandschools/Mosaic/_git/BOH/pullrequest/44646</t>
  </si>
  <si>
    <t>Add image to the background, change  Button color and alignment for buttons need to be changed (new design)</t>
  </si>
  <si>
    <t>BG image issue, Image size is smaller than the screen size</t>
  </si>
  <si>
    <t>Kaleida Nutrition S8 Stretch</t>
  </si>
  <si>
    <t>Facing challenges with newly created pages in the sitemap, particularly with retrieving page count data as displayed in list mode.</t>
  </si>
  <si>
    <t>Mosaic BOH Kaleida Logo is Missing in the login screen</t>
  </si>
  <si>
    <t>1. Mosaic BOH Kaleida Logo is missing in the Login screen
2.  Mosaic BOH Kaleida Logo is missing in the Header</t>
  </si>
  <si>
    <t>Kaleida Nutrition S7 Stretch</t>
  </si>
  <si>
    <t>Facing challenges with vega drop down selected item icon , we have contacted vega support team, from their response as of now, selected icon not available for vega-app-header-button, they created ticket for that</t>
  </si>
  <si>
    <t>Mosaic BOH Kaleida - Breadcrumb issue fixes</t>
  </si>
  <si>
    <t>Vidhaya</t>
  </si>
  <si>
    <t>https://dev.azure.com/heartlandschools/Mosaic/_git/BOH/pullrequest/44178</t>
  </si>
  <si>
    <t>[WAVE] MSA Kaleida - Breadcrumbs</t>
  </si>
  <si>
    <t>nil</t>
  </si>
  <si>
    <t>Development changes for Story 49493 have been completed. However, the client has formally approved the newly created Story '49856 — Add Sitemap with Breadcrumbs' — as part of the MVC-structured implementation.</t>
  </si>
  <si>
    <t>a</t>
  </si>
  <si>
    <t>Mosaic BOH - Filter Window - Update Background Color</t>
  </si>
  <si>
    <t xml:space="preserve">Completed </t>
  </si>
  <si>
    <t>https://dev.azure.com/heartlandschools/Mosaic/_git/BOH/pullrequest/44003</t>
  </si>
  <si>
    <t>AI assistant page UI implementation also implemented  in this story
Filter window UI changes done almost 135 pages,it requires to check in all places and its subpages. While changing background color from dark to light mode existing white color text also need to change</t>
  </si>
  <si>
    <t>BOH - Breadcrumb issue fixes &amp; ellipsis fix for district dropdown</t>
  </si>
  <si>
    <t>https://heartlandschools.slack.com/archives/C0849J9JTGQ/p1755609648292209</t>
  </si>
  <si>
    <t>For Breadcrumb issue related to blank window on new Tab, contacted Vega Help team, raised a Ticket .it will be taken care by Vega Help Team</t>
  </si>
  <si>
    <t>Kaleida Nutrition S6 Stretch</t>
  </si>
  <si>
    <t>MSA Kaleida - Breadcrumbs</t>
  </si>
  <si>
    <t>The new breadcrumb implementation uses Vega components and the Vega installation has taken time in the MSA project.</t>
  </si>
  <si>
    <t>Calendar image not appearing in the button and White text appearing in the Inventory &gt; Inventory inquiry &gt;Inquiry product</t>
  </si>
  <si>
    <t>1. Calender icon not visible near date field in the Production Records
Module : Reports &gt; Menu Planning &gt; Production Records
2. White Color text is appearing in the Inquiry Product Transaction
Module: Inventory &gt; Inventory Inquiry &gt; Inquiry Product Transaction</t>
  </si>
  <si>
    <t>[WAVE] Mosaic BOH Kaleida - Breadcrumbs Update</t>
  </si>
  <si>
    <t>https://dev.azure.com/heartlandschools/Mosaic/_git/BOH/pullrequest/43750</t>
  </si>
  <si>
    <t>Kaleida Nutrition S5 Stretch</t>
  </si>
  <si>
    <t>Team</t>
  </si>
  <si>
    <t>[WAVE] MSA - Kaleida - Discovery &amp; Setup</t>
  </si>
  <si>
    <t>MSA Project setup done by Ganesh,Shika,Karthikeyan,Vidhya and Ruban. We face different issues in setup and contacted IT Ops for support</t>
  </si>
  <si>
    <t>[WAVE] Mosaic BOH - Side navigation loading/Flickering issues</t>
  </si>
  <si>
    <t>https://dev.azure.com/heartlandschools/Mosaic/_git/BOH/pullrequest/43722</t>
  </si>
  <si>
    <t>[WAVE] Mosaic BOH Kaleida - Move District Selector to Header (web view)</t>
  </si>
  <si>
    <t>Karthikeyan/Ganesh</t>
  </si>
  <si>
    <t>Move inline styles to stylesheet Remove empty/new line, code cleanup for commented lines</t>
  </si>
  <si>
    <t>https://dev.azure.com/heartlandschools/Mosaic/_git/BOH/pullrequest/43568</t>
  </si>
  <si>
    <t>23/07/2025</t>
  </si>
  <si>
    <t>24/07/2025</t>
  </si>
  <si>
    <t>color change for dropdown arrow and Bg color change for  District label</t>
  </si>
  <si>
    <t>[WAVE] Mosaic BOH Kaleida - Reports Inbox Menu </t>
  </si>
  <si>
    <t>30/06/2025</t>
  </si>
  <si>
    <t>21/07/2025</t>
  </si>
  <si>
    <t>Karthikeyan/Shikha</t>
  </si>
  <si>
    <t>commented code remove and Meaningful name of id.Reduce the size of font without scrollbar.</t>
  </si>
  <si>
    <t>https://dev.azure.com/heartlandschools/Mosaic/_git/BOH/pullrequest/43535</t>
  </si>
  <si>
    <t>22/07/2025</t>
  </si>
  <si>
    <t>Report need shows descending order and Top10/11 submenu label no need suggest.</t>
  </si>
  <si>
    <t>We replaced the report menu from the Kendo component to the Vega dropdown menu. The initial approach caused a delay and a left alignment issue, and overriding with our custom class didn’t resolve it. So, we restarted from scratch using Vega's behavior approach, which successfully fixed the issue for design.</t>
  </si>
  <si>
    <t>[WAVE] - Mosaic BOH - District Dropdown issues</t>
  </si>
  <si>
    <t xml:space="preserve">
 vega compoents have some limitation while searching data after bindingdata from database using datasource approach. Connected with vega component help support team, they had issue with datasource approach and they created ticket for that. They suggest to implement template based approach and we have implemented, then search works as expected</t>
  </si>
  <si>
    <t>Kaleida Nutrition S4-Status</t>
  </si>
  <si>
    <t>Unable to delete report, report button not works</t>
  </si>
  <si>
    <t xml:space="preserve">AI Assistance page dropdown </t>
  </si>
  <si>
    <t>Karthik E / Ganesh</t>
  </si>
  <si>
    <t>[WAVE] Mosaic BOH Kaleida - Update Left Navigation(TimeBoxed)</t>
  </si>
  <si>
    <t>Shikha Pradhan</t>
  </si>
  <si>
    <t>Fontawesome licence inclusion as previous, npmrc artifact newly added code removal. Comments need to add for newly added code</t>
  </si>
  <si>
    <t>https://dev.azure.com/heartlandschools/Mosaic/_git/BOH/pullrequest/43098</t>
  </si>
  <si>
    <t>Vega component issue - reached support team for vega in Google chat - they agreed its a potential issue on their side - referring Left - nav vega component - Waiting for the response</t>
  </si>
  <si>
    <t xml:space="preserve">[WAVE] Mosaic BOH Kaleida - Update Header(time boxed) </t>
  </si>
  <si>
    <t>comment removal,unwanted space,remove newly added header.cshtml ,duplicate image removal.Comments need to add for newly added code.</t>
  </si>
  <si>
    <t>suggestion to use jquery</t>
  </si>
  <si>
    <t>[WAVE] Mosaic BOH Kaleida - Breadcrumbs</t>
  </si>
  <si>
    <t>https://dev.azure.com/heartlandschools/Mosaic/_git/BOH/pullrequest/43198</t>
  </si>
  <si>
    <t>Kaleida Nutrition S3 Stretch</t>
  </si>
  <si>
    <t>Ganesh Guptha</t>
  </si>
  <si>
    <t>In Progress</t>
  </si>
  <si>
    <t>Incorrect Initials Displayed in Profile Avatar</t>
  </si>
  <si>
    <t>Off shore</t>
  </si>
  <si>
    <t>Fixed</t>
  </si>
  <si>
    <t>For the User name "Shikha Test" , The initials shown are "SH" instead of the expected "ST" (first letter of first name + first letter of last name).</t>
  </si>
  <si>
    <t>Left navigation is expanded automatically</t>
  </si>
  <si>
    <t>When a user is on a child page and the left navigation is collapsed, then navigating back to the parent page using the breadcrumb link causes the left navigation to expand automatically</t>
  </si>
  <si>
    <t>Footer Requires Scrolling; Not Visible in Figma</t>
  </si>
  <si>
    <t>When navigating the application, the footer is not visible without scrolling. This issue is not present in the Figma design, where the footer is always visible.</t>
  </si>
  <si>
    <t>The District dropdown is changing its position</t>
  </si>
  <si>
    <t>Being fixed</t>
  </si>
  <si>
    <t>While scrolling up or down, the District dropdown is changing its position. It shouldn't change during scrolling</t>
  </si>
  <si>
    <t xml:space="preserve">Kaleida Nutrition S2 </t>
  </si>
  <si>
    <t>Story Peer Review</t>
  </si>
  <si>
    <t xml:space="preserve"> AI assistant icon change suggested. New icon given for AI Assistant and updated </t>
  </si>
  <si>
    <t>Dev  Changes &amp; POV has been completed. Code review is in progress,PR will be created , once review is completed.</t>
  </si>
  <si>
    <t xml:space="preserve">Kaleida Nutrition S1 </t>
  </si>
  <si>
    <t>Karthik E / Ganesh / Shikha / Karthikraja</t>
  </si>
  <si>
    <t>[WAVE] Mosaic FOH/BOH - Kaleida - Discovery &amp; Setup</t>
  </si>
  <si>
    <t>This story is intended for doing dev setup for BOH project. Hence PR link and other iputs are not applicable</t>
  </si>
  <si>
    <t>Kaleida Nutrition S1  stretch</t>
  </si>
  <si>
    <t>Karthikeyan / Ganesh</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</si>
  <si>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</si>
  <si>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</si>
  <si>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</si>
  <si>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</si>
  <si>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</si>
  <si>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</si>
  <si>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</si>
  <si>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</si>
  <si>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</si>
  <si>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</si>
  <si>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</si>
  <si>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</si>
  <si>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</si>
  <si>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</si>
  <si>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</si>
  <si>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</si>
  <si>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Enhancements</t>
  </si>
  <si>
    <t>Existing_Issues</t>
  </si>
  <si>
    <t>Requirements</t>
  </si>
  <si>
    <t>QA</t>
  </si>
  <si>
    <t>Design</t>
  </si>
  <si>
    <t>Documentation</t>
  </si>
  <si>
    <t>Development</t>
  </si>
  <si>
    <t>Project_Management</t>
  </si>
  <si>
    <t>Environment_Related</t>
  </si>
  <si>
    <t>Story Being Tested</t>
  </si>
  <si>
    <t>Story Ready For Testing</t>
  </si>
  <si>
    <t>Product Owner - Verify</t>
  </si>
  <si>
    <t>Story Approved</t>
  </si>
  <si>
    <t>Defect Found</t>
  </si>
  <si>
    <t>Defect Verified</t>
  </si>
  <si>
    <t>Defect Peer Review</t>
  </si>
  <si>
    <t>Defect Ready For Testing</t>
  </si>
  <si>
    <t>Defect Being Tested</t>
  </si>
  <si>
    <t>Defect 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</si>
</sst>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5">
    <font>
      <sz val="10"/>
      <color rgb="FF000000"/>
      <name val="Arial"/>
      <scheme val="minor"/>
    </font>
    <font>
      <b/>
      <sz val="10"/>
      <color rgb="FFFFFFFF"/>
      <name val="Calibri"/>
    </font>
    <font>
      <sz val="10"/>
      <color theme="1"/>
      <name val="Arial"/>
      <scheme val="minor"/>
    </font>
    <font>
      <sz val="10"/>
      <color theme="1"/>
      <name val="Arial"/>
    </font>
    <font>
      <b/>
      <sz val="10"/>
      <color theme="1"/>
      <name val="Arial"/>
      <scheme val="minor"/>
    </font>
    <font>
      <sz val="10"/>
      <name val="Arial"/>
    </font>
    <font>
      <b/>
      <sz val="9"/>
      <color rgb="FFFFFFFF"/>
      <name val="&quot;Proxima Nova&quot;"/>
    </font>
    <font>
      <sz val="10"/>
      <color theme="1"/>
      <name val="&quot;Proxima Nova&quot;"/>
    </font>
    <font>
      <u/>
      <sz val="10"/>
      <color theme="10"/>
      <name val="Arial"/>
      <scheme val="minor"/>
    </font>
    <font>
      <b/>
      <sz val="10"/>
      <color rgb="FFFFFFFF"/>
      <name val="Arial"/>
      <scheme val="minor"/>
    </font>
    <font>
      <b/>
      <sz val="10"/>
      <color theme="1"/>
      <name val="Calibri"/>
    </font>
    <font>
      <b/>
      <sz val="11"/>
      <color rgb="FFFFFFFF"/>
      <name val="Calibri"/>
    </font>
    <font>
      <sz val="10"/>
      <color rgb="FF000000"/>
      <name val="Arial"/>
      <charset val="1"/>
    </font>
    <font>
      <sz val="10"/>
      <color theme="0"/>
      <name val="Arial"/>
      <scheme val="minor"/>
    </font>
    <font>
      <sz val="11"/>
      <color rgb="FF1D1C1D"/>
      <name val="Slack-Lato"/>
      <charset val="1"/>
    </font>
    <font>
      <sz val="10"/>
      <color rgb="FF1C2933"/>
      <name val="Arial"/>
      <scheme val="minor"/>
    </font>
    <font>
      <b/>
      <sz val="18"/>
      <color rgb="FF1C2933"/>
      <name val="Helvetica Neue"/>
      <charset val="1"/>
    </font>
    <font>
      <sz val="11"/>
      <color rgb="FF242424"/>
      <name val="Aptos Narrow"/>
      <charset val="1"/>
    </font>
    <font>
      <b/>
      <sz val="10"/>
      <color rgb="FF000000"/>
      <name val="Arial"/>
      <scheme val="minor"/>
    </font>
    <font>
      <sz val="10"/>
      <color rgb="FF00B050"/>
      <name val="Arial"/>
      <scheme val="minor"/>
    </font>
    <font>
      <sz val="10"/>
      <color theme="10"/>
      <name val="Arial"/>
      <scheme val="minor"/>
    </font>
    <font>
      <b/>
      <sz val="10"/>
      <color rgb="FF1C2933"/>
      <name val="Helvetica Neue"/>
      <charset val="1"/>
    </font>
    <font>
      <sz val="11"/>
      <color rgb="FF000000"/>
      <name val="Segoe UI VSS (Regular)"/>
      <charset val="1"/>
    </font>
    <font>
      <sz val="10"/>
      <color rgb="FF1264A3"/>
      <name val="Arial"/>
      <scheme val="minor"/>
    </font>
    <font>
      <sz val="10"/>
      <color rgb="FFFF0000"/>
      <name val="Arial"/>
      <scheme val="minor"/>
    </font>
  </fonts>
  <fills count="16">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97247E"/>
        <bgColor rgb="FF97247E"/>
      </patternFill>
    </fill>
    <fill>
      <patternFill patternType="solid">
        <fgColor rgb="FFFFFFFF"/>
        <bgColor rgb="FFFFFFFF"/>
      </patternFill>
    </fill>
    <fill>
      <patternFill patternType="solid">
        <fgColor rgb="FFD9D9D9"/>
        <bgColor rgb="FFD9D9D9"/>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bgColor indexed="64"/>
      </patternFill>
    </fill>
    <fill>
      <patternFill patternType="solid">
        <fgColor rgb="FFFF0000"/>
        <bgColor indexed="64"/>
      </patternFill>
    </fill>
    <fill>
      <patternFill patternType="solid">
        <fgColor theme="6" tint="-0.249977111117893"/>
        <bgColor indexed="64"/>
      </patternFill>
    </fill>
    <fill>
      <patternFill patternType="solid">
        <fgColor rgb="FF00B050"/>
        <bgColor indexed="64"/>
      </patternFill>
    </fill>
    <fill>
      <patternFill patternType="solid">
        <fgColor theme="7" tint="-0.249977111117893"/>
        <bgColor indexed="64"/>
      </patternFill>
    </fill>
    <fill>
      <patternFill patternType="solid">
        <fgColor theme="8" tint="0.59999389629810485"/>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top style="thin">
        <color rgb="FF000000"/>
      </top>
      <bottom style="thin">
        <color theme="4" tint="0.39997558519241921"/>
      </bottom>
      <diagonal/>
    </border>
    <border>
      <left/>
      <right style="thin">
        <color rgb="FF000000"/>
      </right>
      <top style="thin">
        <color rgb="FF000000"/>
      </top>
      <bottom/>
      <diagonal/>
    </border>
    <border>
      <left/>
      <right/>
      <top style="thin">
        <color theme="4" tint="0.39997558519241921"/>
      </top>
      <bottom style="thin">
        <color rgb="FF000000"/>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8" fillId="0" borderId="0" applyNumberFormat="0" applyFill="0" applyBorder="0" applyAlignment="0" applyProtection="0"/>
  </cellStyleXfs>
  <cellXfs count="177">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2" borderId="1" xfId="0" applyFont="1" applyFill="1" applyBorder="1" applyAlignment="1">
      <alignment horizontal="center" wrapText="1"/>
    </xf>
    <xf numFmtId="0" fontId="2" fillId="0" borderId="1" xfId="0" applyFont="1" applyBorder="1" applyAlignment="1">
      <alignment vertical="center" wrapText="1"/>
    </xf>
    <xf numFmtId="0" fontId="3" fillId="0" borderId="0" xfId="0" applyFont="1"/>
    <xf numFmtId="0" fontId="4" fillId="6" borderId="1" xfId="0" applyFont="1" applyFill="1" applyBorder="1"/>
    <xf numFmtId="0" fontId="2" fillId="0" borderId="0" xfId="0" applyFont="1"/>
    <xf numFmtId="0" fontId="6" fillId="4" borderId="1" xfId="0" applyFont="1" applyFill="1" applyBorder="1" applyAlignment="1">
      <alignment horizontal="center"/>
    </xf>
    <xf numFmtId="0" fontId="7" fillId="5" borderId="3" xfId="0" applyFont="1"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0" fillId="0" borderId="1" xfId="0" applyBorder="1"/>
    <xf numFmtId="0" fontId="8" fillId="0" borderId="1" xfId="1" applyBorder="1"/>
    <xf numFmtId="0" fontId="0" fillId="0" borderId="1" xfId="0" applyBorder="1" applyAlignment="1">
      <alignment vertical="center"/>
    </xf>
    <xf numFmtId="0" fontId="2" fillId="0" borderId="1" xfId="0" applyFont="1" applyBorder="1" applyAlignment="1">
      <alignment vertical="center"/>
    </xf>
    <xf numFmtId="0" fontId="0" fillId="0" borderId="0" xfId="0" applyAlignment="1">
      <alignment vertical="center"/>
    </xf>
    <xf numFmtId="0" fontId="0" fillId="0" borderId="3" xfId="0" applyBorder="1" applyAlignment="1">
      <alignment vertical="center"/>
    </xf>
    <xf numFmtId="0" fontId="9" fillId="2" borderId="1" xfId="0" applyFont="1" applyFill="1" applyBorder="1" applyAlignment="1">
      <alignment horizontal="center" vertical="center" wrapText="1"/>
    </xf>
    <xf numFmtId="0" fontId="0" fillId="0" borderId="1" xfId="0" applyBorder="1" applyAlignment="1">
      <alignment horizontal="center" vertical="center"/>
    </xf>
    <xf numFmtId="0" fontId="1" fillId="2" borderId="6" xfId="0" applyFont="1" applyFill="1" applyBorder="1" applyAlignment="1">
      <alignment horizontal="center" vertical="center" wrapText="1"/>
    </xf>
    <xf numFmtId="0" fontId="8" fillId="0" borderId="0" xfId="1"/>
    <xf numFmtId="0" fontId="0" fillId="0" borderId="1" xfId="0"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horizontal="center" vertical="center" wrapText="1"/>
    </xf>
    <xf numFmtId="0" fontId="9" fillId="2" borderId="2" xfId="0" applyFont="1" applyFill="1" applyBorder="1" applyAlignment="1">
      <alignment horizontal="center" vertical="center" wrapText="1"/>
    </xf>
    <xf numFmtId="0" fontId="0" fillId="0" borderId="0" xfId="0" applyAlignment="1">
      <alignment vertical="center" wrapText="1"/>
    </xf>
    <xf numFmtId="0" fontId="0" fillId="8" borderId="1" xfId="0" applyFill="1" applyBorder="1" applyAlignment="1">
      <alignment horizontal="center" vertical="center" wrapText="1"/>
    </xf>
    <xf numFmtId="0" fontId="10" fillId="8" borderId="1" xfId="0" applyFont="1" applyFill="1" applyBorder="1" applyAlignment="1">
      <alignment horizontal="center" wrapText="1"/>
    </xf>
    <xf numFmtId="164" fontId="2" fillId="0" borderId="1" xfId="0" applyNumberFormat="1" applyFont="1" applyBorder="1" applyAlignment="1">
      <alignment vertical="center"/>
    </xf>
    <xf numFmtId="0" fontId="0" fillId="0" borderId="7" xfId="0" applyBorder="1" applyAlignment="1">
      <alignment vertical="center" wrapText="1"/>
    </xf>
    <xf numFmtId="0" fontId="1" fillId="4" borderId="6"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6" xfId="0" applyFill="1" applyBorder="1" applyAlignment="1">
      <alignment horizontal="center" vertical="center" wrapText="1"/>
    </xf>
    <xf numFmtId="0" fontId="0" fillId="7" borderId="6" xfId="0" applyFill="1" applyBorder="1" applyAlignment="1">
      <alignment vertical="center" wrapText="1"/>
    </xf>
    <xf numFmtId="14" fontId="0" fillId="7" borderId="6" xfId="0" applyNumberFormat="1" applyFill="1" applyBorder="1" applyAlignment="1">
      <alignment vertical="center" wrapText="1"/>
    </xf>
    <xf numFmtId="0" fontId="3" fillId="0" borderId="0" xfId="0" applyFont="1" applyAlignment="1">
      <alignment vertical="center"/>
    </xf>
    <xf numFmtId="0" fontId="3" fillId="0" borderId="1" xfId="0" applyFont="1" applyBorder="1" applyAlignment="1">
      <alignment horizontal="center" vertical="center"/>
    </xf>
    <xf numFmtId="0" fontId="8" fillId="7" borderId="6" xfId="1" applyFill="1" applyBorder="1" applyAlignment="1">
      <alignment vertical="center" wrapText="1"/>
    </xf>
    <xf numFmtId="0" fontId="9" fillId="2" borderId="10"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7" xfId="0" applyFont="1" applyFill="1" applyBorder="1" applyAlignment="1">
      <alignment vertical="center" wrapText="1"/>
    </xf>
    <xf numFmtId="0" fontId="9" fillId="3" borderId="9" xfId="0" applyFont="1" applyFill="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4" fontId="0" fillId="7" borderId="1" xfId="0" applyNumberFormat="1" applyFill="1" applyBorder="1" applyAlignment="1">
      <alignment horizontal="center" vertical="center" wrapText="1"/>
    </xf>
    <xf numFmtId="0" fontId="3" fillId="0" borderId="1" xfId="0" applyFont="1" applyBorder="1"/>
    <xf numFmtId="0" fontId="0" fillId="0" borderId="1" xfId="0" applyBorder="1" applyAlignment="1">
      <alignment horizontal="left" wrapText="1"/>
    </xf>
    <xf numFmtId="0" fontId="1" fillId="2" borderId="4" xfId="0" applyFont="1" applyFill="1" applyBorder="1" applyAlignment="1">
      <alignment horizontal="center" vertical="center" wrapText="1"/>
    </xf>
    <xf numFmtId="0" fontId="8" fillId="0" borderId="1" xfId="1" applyBorder="1" applyAlignment="1">
      <alignment horizontal="center" vertical="center"/>
    </xf>
    <xf numFmtId="0" fontId="8" fillId="8" borderId="1" xfId="1" applyFill="1" applyBorder="1" applyAlignment="1">
      <alignment horizontal="center" vertical="center"/>
    </xf>
    <xf numFmtId="0" fontId="3" fillId="8" borderId="1" xfId="0" applyFont="1" applyFill="1" applyBorder="1" applyAlignment="1">
      <alignment horizontal="center" vertical="center"/>
    </xf>
    <xf numFmtId="0" fontId="2" fillId="7" borderId="6" xfId="0" applyFont="1" applyFill="1" applyBorder="1" applyAlignment="1">
      <alignment horizontal="center" vertical="center" wrapText="1"/>
    </xf>
    <xf numFmtId="0" fontId="11" fillId="11" borderId="6"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7" borderId="6" xfId="0" applyFill="1" applyBorder="1" applyAlignment="1">
      <alignment horizontal="left" vertical="center" wrapText="1"/>
    </xf>
    <xf numFmtId="0" fontId="0" fillId="0" borderId="3" xfId="0" applyBorder="1" applyAlignment="1">
      <alignment horizontal="center" vertical="center"/>
    </xf>
    <xf numFmtId="14" fontId="2" fillId="7" borderId="1" xfId="0" applyNumberFormat="1" applyFont="1" applyFill="1" applyBorder="1" applyAlignment="1">
      <alignment horizontal="center" vertical="center" wrapText="1"/>
    </xf>
    <xf numFmtId="0" fontId="0" fillId="0" borderId="6" xfId="0" applyBorder="1" applyAlignment="1">
      <alignment horizontal="center" vertical="center" wrapText="1"/>
    </xf>
    <xf numFmtId="0" fontId="0" fillId="7" borderId="1" xfId="0" applyFill="1" applyBorder="1" applyAlignment="1">
      <alignment vertical="center" wrapText="1"/>
    </xf>
    <xf numFmtId="0" fontId="8" fillId="7" borderId="1" xfId="1" applyFill="1" applyBorder="1" applyAlignment="1">
      <alignment vertical="center" wrapText="1"/>
    </xf>
    <xf numFmtId="14" fontId="0" fillId="7" borderId="1" xfId="0" applyNumberFormat="1" applyFill="1" applyBorder="1" applyAlignment="1">
      <alignment vertical="center" wrapText="1"/>
    </xf>
    <xf numFmtId="0" fontId="0" fillId="7" borderId="3" xfId="0" applyFill="1" applyBorder="1" applyAlignment="1">
      <alignment vertical="center" wrapText="1"/>
    </xf>
    <xf numFmtId="0" fontId="2" fillId="12" borderId="6" xfId="0" applyFont="1" applyFill="1" applyBorder="1" applyAlignment="1">
      <alignment horizontal="center" vertical="center" wrapText="1"/>
    </xf>
    <xf numFmtId="0" fontId="0" fillId="0" borderId="1" xfId="0" applyBorder="1" applyAlignment="1">
      <alignment horizontal="left" vertical="center" wrapText="1"/>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vertical="center" wrapText="1"/>
    </xf>
    <xf numFmtId="0" fontId="2" fillId="7" borderId="12" xfId="0" applyFont="1" applyFill="1" applyBorder="1" applyAlignment="1">
      <alignment horizontal="center" vertical="center" wrapText="1"/>
    </xf>
    <xf numFmtId="0" fontId="0" fillId="7" borderId="4" xfId="0" applyFill="1" applyBorder="1" applyAlignment="1">
      <alignment horizontal="center" vertical="center" wrapText="1"/>
    </xf>
    <xf numFmtId="0" fontId="1" fillId="2" borderId="7" xfId="0" applyFont="1" applyFill="1" applyBorder="1" applyAlignment="1">
      <alignment horizontal="center" vertical="center" wrapText="1"/>
    </xf>
    <xf numFmtId="14" fontId="0" fillId="7" borderId="6" xfId="0" applyNumberFormat="1" applyFill="1" applyBorder="1" applyAlignment="1">
      <alignment horizontal="center" vertical="center" wrapText="1"/>
    </xf>
    <xf numFmtId="0" fontId="12" fillId="0" borderId="0" xfId="0" applyFont="1" applyAlignment="1">
      <alignment vertical="center"/>
    </xf>
    <xf numFmtId="0" fontId="13" fillId="7" borderId="1" xfId="0" applyFont="1" applyFill="1" applyBorder="1" applyAlignment="1">
      <alignment horizontal="center" vertical="center" wrapText="1"/>
    </xf>
    <xf numFmtId="0" fontId="0" fillId="7" borderId="1" xfId="0" applyFill="1" applyBorder="1" applyAlignment="1">
      <alignment horizontal="left" vertical="center" wrapText="1"/>
    </xf>
    <xf numFmtId="14" fontId="2" fillId="0" borderId="1" xfId="0" applyNumberFormat="1" applyFont="1" applyBorder="1" applyAlignment="1">
      <alignment horizontal="center" vertical="center"/>
    </xf>
    <xf numFmtId="0" fontId="12" fillId="7" borderId="0" xfId="0" applyFont="1" applyFill="1" applyAlignment="1">
      <alignment vertical="center"/>
    </xf>
    <xf numFmtId="0" fontId="8" fillId="7" borderId="0" xfId="1" applyFill="1"/>
    <xf numFmtId="0" fontId="14" fillId="7" borderId="1" xfId="0" applyFont="1" applyFill="1" applyBorder="1"/>
    <xf numFmtId="0" fontId="14" fillId="0" borderId="1" xfId="0" applyFont="1" applyBorder="1" applyAlignment="1">
      <alignment horizontal="center"/>
    </xf>
    <xf numFmtId="0" fontId="14" fillId="0" borderId="1" xfId="0" applyFont="1" applyBorder="1"/>
    <xf numFmtId="0" fontId="0" fillId="7" borderId="8" xfId="0"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0" fillId="0" borderId="3" xfId="0" applyBorder="1" applyAlignment="1">
      <alignment horizontal="center" vertical="center" wrapText="1"/>
    </xf>
    <xf numFmtId="0" fontId="0" fillId="7" borderId="3" xfId="0" applyFill="1" applyBorder="1" applyAlignment="1">
      <alignment horizontal="center" vertical="center" wrapText="1"/>
    </xf>
    <xf numFmtId="0" fontId="14" fillId="7" borderId="1" xfId="0" applyFont="1" applyFill="1" applyBorder="1" applyAlignment="1">
      <alignment horizontal="center"/>
    </xf>
    <xf numFmtId="0" fontId="12" fillId="0" borderId="0" xfId="0" applyFont="1" applyAlignment="1">
      <alignment wrapText="1"/>
    </xf>
    <xf numFmtId="0" fontId="0" fillId="0" borderId="1" xfId="0" applyBorder="1" applyAlignment="1">
      <alignment horizontal="left" vertical="top" wrapText="1"/>
    </xf>
    <xf numFmtId="0" fontId="15" fillId="0" borderId="0" xfId="0" applyFont="1" applyAlignment="1">
      <alignment vertical="center" wrapText="1"/>
    </xf>
    <xf numFmtId="0" fontId="2" fillId="12" borderId="14" xfId="0" applyFont="1" applyFill="1" applyBorder="1" applyAlignment="1">
      <alignment horizontal="center" vertical="center" wrapText="1"/>
    </xf>
    <xf numFmtId="0" fontId="0" fillId="7" borderId="4" xfId="0" applyFill="1" applyBorder="1" applyAlignment="1">
      <alignment horizontal="left" vertical="center" wrapText="1"/>
    </xf>
    <xf numFmtId="0" fontId="0" fillId="8" borderId="6" xfId="0" applyFill="1" applyBorder="1" applyAlignment="1">
      <alignment horizontal="center" vertical="center" wrapText="1"/>
    </xf>
    <xf numFmtId="0" fontId="14" fillId="7" borderId="1" xfId="0" applyFont="1" applyFill="1" applyBorder="1" applyAlignment="1">
      <alignment horizontal="center" vertical="center"/>
    </xf>
    <xf numFmtId="14" fontId="2" fillId="7" borderId="12" xfId="0" applyNumberFormat="1" applyFont="1" applyFill="1" applyBorder="1" applyAlignment="1">
      <alignment horizontal="center" vertical="center" wrapText="1"/>
    </xf>
    <xf numFmtId="0" fontId="14" fillId="7" borderId="1" xfId="0" applyFont="1" applyFill="1" applyBorder="1" applyAlignment="1">
      <alignment horizontal="left" vertical="center"/>
    </xf>
    <xf numFmtId="0" fontId="2" fillId="13" borderId="12" xfId="0" applyFont="1" applyFill="1" applyBorder="1" applyAlignment="1">
      <alignment horizontal="center" vertical="center" wrapText="1"/>
    </xf>
    <xf numFmtId="0" fontId="14" fillId="7" borderId="1" xfId="0" applyFont="1" applyFill="1" applyBorder="1" applyAlignment="1">
      <alignment vertical="center"/>
    </xf>
    <xf numFmtId="0" fontId="16" fillId="0" borderId="15" xfId="0" applyFont="1" applyBorder="1"/>
    <xf numFmtId="14" fontId="17" fillId="0" borderId="0" xfId="0" applyNumberFormat="1" applyFont="1"/>
    <xf numFmtId="0" fontId="18" fillId="0" borderId="0" xfId="0" applyFont="1" applyAlignment="1">
      <alignment horizontal="center" vertical="center"/>
    </xf>
    <xf numFmtId="0" fontId="18" fillId="0" borderId="10" xfId="0" applyFont="1" applyBorder="1" applyAlignment="1">
      <alignment horizontal="center" vertical="center"/>
    </xf>
    <xf numFmtId="0" fontId="2" fillId="7" borderId="4" xfId="0" applyFont="1" applyFill="1" applyBorder="1" applyAlignment="1">
      <alignment horizontal="center" vertical="center" wrapText="1"/>
    </xf>
    <xf numFmtId="0" fontId="0" fillId="0" borderId="16" xfId="0" applyBorder="1" applyAlignment="1">
      <alignment horizontal="center" vertical="center" wrapText="1"/>
    </xf>
    <xf numFmtId="14" fontId="2" fillId="7" borderId="6" xfId="0" applyNumberFormat="1" applyFont="1" applyFill="1" applyBorder="1" applyAlignment="1">
      <alignment horizontal="center" vertical="center" wrapText="1"/>
    </xf>
    <xf numFmtId="0" fontId="14" fillId="7" borderId="6"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0" fillId="0" borderId="0" xfId="0" applyAlignment="1">
      <alignment horizontal="center"/>
    </xf>
    <xf numFmtId="0" fontId="2" fillId="12" borderId="12" xfId="0" applyFont="1" applyFill="1" applyBorder="1" applyAlignment="1">
      <alignment horizontal="center" vertical="center" wrapText="1"/>
    </xf>
    <xf numFmtId="0" fontId="0" fillId="7" borderId="0" xfId="0" applyFill="1" applyAlignment="1">
      <alignment horizontal="center" vertical="center" wrapText="1"/>
    </xf>
    <xf numFmtId="0" fontId="13" fillId="7" borderId="6"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14" fontId="8" fillId="7" borderId="12" xfId="1" applyNumberFormat="1" applyFill="1" applyBorder="1" applyAlignment="1">
      <alignment horizontal="center" vertical="center" wrapText="1"/>
    </xf>
    <xf numFmtId="0" fontId="19" fillId="7" borderId="1" xfId="0" applyFont="1" applyFill="1" applyBorder="1" applyAlignment="1">
      <alignment horizontal="center" vertical="center" wrapText="1"/>
    </xf>
    <xf numFmtId="14" fontId="0" fillId="7" borderId="6" xfId="0" applyNumberFormat="1" applyFill="1" applyBorder="1" applyAlignment="1">
      <alignment horizontal="right" vertical="center" wrapText="1"/>
    </xf>
    <xf numFmtId="0" fontId="0" fillId="7" borderId="1" xfId="0" applyFill="1" applyBorder="1" applyAlignment="1">
      <alignment horizontal="right" vertical="center" wrapText="1"/>
    </xf>
    <xf numFmtId="14" fontId="0" fillId="7" borderId="1" xfId="0" applyNumberFormat="1" applyFill="1" applyBorder="1" applyAlignment="1">
      <alignment horizontal="right" vertical="center" wrapText="1"/>
    </xf>
    <xf numFmtId="0" fontId="20" fillId="7" borderId="1" xfId="1" applyFont="1" applyFill="1" applyBorder="1" applyAlignment="1">
      <alignment horizontal="center" vertical="center" wrapText="1"/>
    </xf>
    <xf numFmtId="0" fontId="12" fillId="7" borderId="1" xfId="0" applyFont="1" applyFill="1" applyBorder="1" applyAlignment="1">
      <alignment vertical="center" wrapText="1"/>
    </xf>
    <xf numFmtId="0" fontId="21" fillId="0" borderId="0" xfId="0" applyFont="1" applyAlignment="1">
      <alignment vertical="center" wrapText="1"/>
    </xf>
    <xf numFmtId="14" fontId="8" fillId="7" borderId="12" xfId="1" applyNumberFormat="1" applyFill="1" applyBorder="1" applyAlignment="1">
      <alignment horizontal="left" vertical="center" wrapText="1"/>
    </xf>
    <xf numFmtId="0" fontId="14" fillId="7" borderId="1" xfId="0" applyFont="1" applyFill="1" applyBorder="1" applyAlignment="1">
      <alignment horizontal="left" vertical="center" wrapText="1"/>
    </xf>
    <xf numFmtId="14" fontId="2" fillId="12" borderId="12" xfId="0" applyNumberFormat="1" applyFont="1" applyFill="1" applyBorder="1" applyAlignment="1">
      <alignment horizontal="center" vertical="center" wrapText="1"/>
    </xf>
    <xf numFmtId="0" fontId="12" fillId="7" borderId="16" xfId="0" applyFont="1" applyFill="1" applyBorder="1" applyAlignment="1">
      <alignment vertical="center"/>
    </xf>
    <xf numFmtId="0" fontId="0" fillId="7" borderId="1" xfId="0" applyFill="1" applyBorder="1" applyAlignment="1">
      <alignment horizontal="left" vertical="top" wrapText="1" indent="1"/>
    </xf>
    <xf numFmtId="0" fontId="0" fillId="0" borderId="17" xfId="0" applyBorder="1" applyAlignment="1">
      <alignment vertical="top" wrapText="1"/>
    </xf>
    <xf numFmtId="0" fontId="0" fillId="0" borderId="6" xfId="0" applyBorder="1" applyAlignment="1">
      <alignment horizontal="left" vertical="center" wrapText="1"/>
    </xf>
    <xf numFmtId="0" fontId="22" fillId="0" borderId="0" xfId="0" applyFont="1"/>
    <xf numFmtId="0" fontId="14" fillId="0" borderId="0" xfId="0" applyFont="1" applyAlignment="1">
      <alignment horizontal="center" vertical="center"/>
    </xf>
    <xf numFmtId="0" fontId="0" fillId="12" borderId="6" xfId="0" applyFill="1" applyBorder="1" applyAlignment="1">
      <alignment horizontal="center" vertical="center" wrapText="1"/>
    </xf>
    <xf numFmtId="14" fontId="2" fillId="14" borderId="12" xfId="0" applyNumberFormat="1" applyFont="1" applyFill="1" applyBorder="1" applyAlignment="1">
      <alignment horizontal="center" vertical="center" wrapText="1"/>
    </xf>
    <xf numFmtId="0" fontId="0" fillId="0" borderId="0" xfId="0" applyAlignment="1">
      <alignment horizontal="right"/>
    </xf>
    <xf numFmtId="0" fontId="18" fillId="15" borderId="1" xfId="0" applyFont="1" applyFill="1" applyBorder="1"/>
    <xf numFmtId="0" fontId="0" fillId="0" borderId="6" xfId="0" applyBorder="1"/>
    <xf numFmtId="0" fontId="0" fillId="0" borderId="1" xfId="0" applyBorder="1" applyAlignment="1">
      <alignment horizontal="right"/>
    </xf>
    <xf numFmtId="0" fontId="0" fillId="0" borderId="4" xfId="0" applyBorder="1"/>
    <xf numFmtId="0" fontId="0" fillId="0" borderId="8" xfId="0" applyBorder="1"/>
    <xf numFmtId="0" fontId="18" fillId="15" borderId="8" xfId="0" applyFont="1" applyFill="1" applyBorder="1"/>
    <xf numFmtId="0" fontId="18" fillId="7" borderId="1" xfId="0" applyFont="1" applyFill="1" applyBorder="1" applyAlignment="1">
      <alignment vertical="center" wrapText="1"/>
    </xf>
    <xf numFmtId="0" fontId="0" fillId="13" borderId="1" xfId="0" applyFill="1" applyBorder="1" applyAlignment="1">
      <alignment horizontal="center" vertical="center" wrapText="1"/>
    </xf>
    <xf numFmtId="0" fontId="2" fillId="7" borderId="12" xfId="0" applyFont="1" applyFill="1" applyBorder="1" applyAlignment="1">
      <alignment horizontal="center" vertical="top" wrapText="1"/>
    </xf>
    <xf numFmtId="0" fontId="0" fillId="7" borderId="1" xfId="0" applyFill="1" applyBorder="1" applyAlignment="1">
      <alignment vertical="top" wrapText="1"/>
    </xf>
    <xf numFmtId="0" fontId="0" fillId="7" borderId="6" xfId="0" applyFill="1" applyBorder="1" applyAlignment="1">
      <alignment vertical="top" wrapText="1"/>
    </xf>
    <xf numFmtId="0" fontId="0" fillId="7" borderId="1" xfId="0" applyFill="1" applyBorder="1" applyAlignment="1">
      <alignment horizontal="left" vertical="center" wrapText="1" indent="2"/>
    </xf>
    <xf numFmtId="14" fontId="8" fillId="7" borderId="6" xfId="1" applyNumberFormat="1" applyFill="1" applyBorder="1" applyAlignment="1">
      <alignment horizontal="center" vertical="center" wrapText="1"/>
    </xf>
    <xf numFmtId="0" fontId="0" fillId="0" borderId="16" xfId="0" applyBorder="1" applyAlignment="1">
      <alignment vertical="center"/>
    </xf>
    <xf numFmtId="14" fontId="13" fillId="12" borderId="12" xfId="0" applyNumberFormat="1" applyFont="1" applyFill="1" applyBorder="1" applyAlignment="1">
      <alignment horizontal="center" vertical="center" wrapText="1"/>
    </xf>
    <xf numFmtId="0" fontId="8" fillId="7" borderId="1" xfId="1" applyFill="1" applyBorder="1" applyAlignment="1">
      <alignment horizontal="center" vertical="center" wrapText="1"/>
    </xf>
    <xf numFmtId="0" fontId="0" fillId="9" borderId="0" xfId="0" applyFill="1" applyAlignment="1">
      <alignment horizontal="center"/>
    </xf>
    <xf numFmtId="14" fontId="0" fillId="0" borderId="0" xfId="0" applyNumberFormat="1" applyAlignment="1">
      <alignment horizontal="center"/>
    </xf>
    <xf numFmtId="0" fontId="0" fillId="10" borderId="0" xfId="0" applyFill="1" applyAlignment="1">
      <alignment horizontal="center"/>
    </xf>
    <xf numFmtId="0" fontId="0" fillId="0" borderId="0" xfId="0" applyAlignment="1">
      <alignment horizontal="center" wrapText="1"/>
    </xf>
    <xf numFmtId="14" fontId="2" fillId="7" borderId="12" xfId="0" applyNumberFormat="1" applyFont="1" applyFill="1" applyBorder="1" applyAlignment="1">
      <alignment horizontal="left" vertical="center" wrapText="1"/>
    </xf>
    <xf numFmtId="0" fontId="12" fillId="0" borderId="0" xfId="0" applyFont="1" applyAlignment="1">
      <alignment horizontal="left" wrapText="1"/>
    </xf>
    <xf numFmtId="0" fontId="14" fillId="12" borderId="1" xfId="0" applyFont="1" applyFill="1" applyBorder="1" applyAlignment="1">
      <alignment horizontal="center" vertical="center" wrapText="1"/>
    </xf>
    <xf numFmtId="0" fontId="12" fillId="0" borderId="0" xfId="0" applyFont="1" applyAlignment="1">
      <alignment horizontal="center" vertical="center"/>
    </xf>
    <xf numFmtId="0" fontId="0" fillId="0" borderId="16" xfId="0" applyBorder="1" applyAlignment="1">
      <alignment horizontal="center" vertical="center"/>
    </xf>
    <xf numFmtId="0" fontId="0" fillId="0" borderId="16" xfId="0" applyBorder="1" applyAlignment="1">
      <alignment vertical="center" wrapText="1"/>
    </xf>
    <xf numFmtId="0" fontId="2" fillId="7" borderId="1" xfId="0" applyFont="1" applyFill="1" applyBorder="1" applyAlignment="1">
      <alignment vertical="center" wrapText="1"/>
    </xf>
    <xf numFmtId="0" fontId="0" fillId="12" borderId="1" xfId="0" applyFill="1" applyBorder="1" applyAlignment="1">
      <alignment horizontal="center" vertical="center" wrapText="1"/>
    </xf>
    <xf numFmtId="0" fontId="8" fillId="0" borderId="0" xfId="1" applyAlignment="1">
      <alignment vertical="center"/>
    </xf>
    <xf numFmtId="14" fontId="0" fillId="0" borderId="0" xfId="0" applyNumberFormat="1"/>
    <xf numFmtId="14" fontId="0" fillId="0" borderId="0" xfId="0" applyNumberFormat="1" applyAlignment="1">
      <alignment horizontal="left"/>
    </xf>
    <xf numFmtId="0" fontId="24" fillId="7" borderId="1" xfId="0" applyFont="1" applyFill="1" applyBorder="1" applyAlignment="1">
      <alignment vertical="center" wrapText="1"/>
    </xf>
    <xf numFmtId="0" fontId="18" fillId="0" borderId="16" xfId="0" applyFont="1" applyBorder="1" applyAlignment="1">
      <alignment horizontal="left"/>
    </xf>
    <xf numFmtId="0" fontId="2" fillId="0" borderId="4" xfId="0" applyFont="1" applyBorder="1" applyAlignment="1">
      <alignment wrapText="1"/>
    </xf>
    <xf numFmtId="0" fontId="4" fillId="6" borderId="0" xfId="0" applyFont="1" applyFill="1" applyAlignment="1"/>
    <xf numFmtId="0" fontId="0" fillId="0" borderId="0" xfId="0" applyAlignment="1"/>
    <xf numFmtId="0" fontId="5" fillId="0" borderId="5" xfId="0" applyFont="1" applyBorder="1" applyAlignment="1"/>
    <xf numFmtId="0" fontId="5" fillId="0" borderId="2" xfId="0" applyFont="1" applyBorder="1" applyAlignment="1"/>
  </cellXfs>
  <cellStyles count="2">
    <cellStyle name="Hyperlink" xfId="1" builtinId="8"/>
    <cellStyle name="Normal" xfId="0" builtinId="0"/>
  </cellStyles>
  <dxfs count="810">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solid">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
      <fill>
        <patternFill patternType="solid">
          <fgColor indexed="64"/>
          <bgColor theme="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0"/>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color theme="1"/>
      </font>
      <numFmt numFmtId="19" formatCode="m/d/yyyy"/>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center" textRotation="0" wrapText="1" indent="0" justifyLastLine="0" shrinkToFit="0" readingOrder="0"/>
      <border diagonalUp="0" diagonalDown="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ocumenttasks/documenttask1.xml><?xml version="1.0" encoding="utf-8"?>
<Tasks xmlns="http://schemas.microsoft.com/office/tasks/2019/documenttasks">
  <Task id="{D000A61A-9A04-41BD-B1DB-5F5B57C55CC0}">
    <Anchor>
      <Comment id="{884BCF9F-7414-41F7-8674-856E8CF794C6}"/>
    </Anchor>
    <History>
      <Event time="2025-05-30T15:04:16.04" id="{909D46CD-771C-4E21-B563-9B020C665FB5}">
        <Attribution userId="S::raghunathan.ekambaram@relevantz.com::c3674b82-4414-4118-82e2-5ef3e5dcd733" userName="Raghunathan Ekambaram" userProvider="AD"/>
        <Anchor>
          <Comment id="{884BCF9F-7414-41F7-8674-856E8CF794C6}"/>
        </Anchor>
        <Create/>
      </Event>
      <Event time="2025-05-30T15:04:16.04" id="{7919632C-8CFA-431B-AB88-2DC18241D6B2}">
        <Attribution userId="S::raghunathan.ekambaram@relevantz.com::c3674b82-4414-4118-82e2-5ef3e5dcd733" userName="Raghunathan Ekambaram" userProvider="AD"/>
        <Anchor>
          <Comment id="{884BCF9F-7414-41F7-8674-856E8CF794C6}"/>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884BCF9F-7414-41F7-8674-856E8CF794C6}"/>
        </Anchor>
        <SetTitle title="@Kiruthiga Ganapathi - Please confirm the Application Name"/>
      </Event>
    </History>
  </Task>
</Tasks>
</file>

<file path=xl/documenttasks/documenttask2.xml><?xml version="1.0" encoding="utf-8"?>
<Tasks xmlns="http://schemas.microsoft.com/office/tasks/2019/documenttasks">
  <Task id="{5F0F6DB8-F172-4022-9867-6A24C8F85C91}">
    <Anchor>
      <Comment id="{AA70A4D1-A486-4408-A594-2E2D2A08F61B}"/>
    </Anchor>
    <History>
      <Event time="2025-05-30T15:04:16.04" id="{909D46CD-771C-4E21-B563-9B020C665FB5}">
        <Attribution userId="S::raghunathan.ekambaram@relevantz.com::c3674b82-4414-4118-82e2-5ef3e5dcd733" userName="Raghunathan Ekambaram" userProvider="AD"/>
        <Anchor>
          <Comment id="{AA70A4D1-A486-4408-A594-2E2D2A08F61B}"/>
        </Anchor>
        <Create/>
      </Event>
      <Event time="2025-05-30T15:04:16.04" id="{7919632C-8CFA-431B-AB88-2DC18241D6B2}">
        <Attribution userId="S::raghunathan.ekambaram@relevantz.com::c3674b82-4414-4118-82e2-5ef3e5dcd733" userName="Raghunathan Ekambaram" userProvider="AD"/>
        <Anchor>
          <Comment id="{AA70A4D1-A486-4408-A594-2E2D2A08F61B}"/>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AA70A4D1-A486-4408-A594-2E2D2A08F61B}"/>
        </Anchor>
        <SetTitle title="@Kiruthiga Ganapathi - Please confirm the Application Name"/>
      </Event>
    </History>
  </Task>
</Tasks>
</file>

<file path=xl/documenttasks/documenttask3.xml><?xml version="1.0" encoding="utf-8"?>
<Tasks xmlns="http://schemas.microsoft.com/office/tasks/2019/documenttasks">
  <Task id="{1537F41C-D0BB-42CF-A67B-C09536328E45}">
    <Anchor>
      <Comment id="{73856CB4-5F0A-433C-B7FA-77DB56DB105A}"/>
    </Anchor>
    <History>
      <Event time="2025-05-30T15:04:16.04" id="{909D46CD-771C-4E21-B563-9B020C665FB5}">
        <Attribution userId="S::raghunathan.ekambaram@relevantz.com::c3674b82-4414-4118-82e2-5ef3e5dcd733" userName="Raghunathan Ekambaram" userProvider="AD"/>
        <Anchor>
          <Comment id="{73856CB4-5F0A-433C-B7FA-77DB56DB105A}"/>
        </Anchor>
        <Create/>
      </Event>
      <Event time="2025-05-30T15:04:16.04" id="{7919632C-8CFA-431B-AB88-2DC18241D6B2}">
        <Attribution userId="S::raghunathan.ekambaram@relevantz.com::c3674b82-4414-4118-82e2-5ef3e5dcd733" userName="Raghunathan Ekambaram" userProvider="AD"/>
        <Anchor>
          <Comment id="{73856CB4-5F0A-433C-B7FA-77DB56DB105A}"/>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73856CB4-5F0A-433C-B7FA-77DB56DB105A}"/>
        </Anchor>
        <SetTitle title="@Kiruthiga Ganapathi - Please confirm the Application Name"/>
      </Event>
    </History>
  </Task>
</Tasks>
</file>

<file path=xl/documenttasks/documenttask4.xml><?xml version="1.0" encoding="utf-8"?>
<Tasks xmlns="http://schemas.microsoft.com/office/tasks/2019/documenttasks">
  <Task id="{31B4EB49-E65D-4151-A6F3-DF8C8481F16A}">
    <Anchor>
      <Comment id="{54ECAF83-390C-4E7D-99A6-4676933FBC86}"/>
    </Anchor>
    <History>
      <Event time="2025-05-30T15:04:16.04" id="{909D46CD-771C-4E21-B563-9B020C665FB5}">
        <Attribution userId="S::raghunathan.ekambaram@relevantz.com::c3674b82-4414-4118-82e2-5ef3e5dcd733" userName="Raghunathan Ekambaram" userProvider="AD"/>
        <Anchor>
          <Comment id="{54ECAF83-390C-4E7D-99A6-4676933FBC86}"/>
        </Anchor>
        <Create/>
      </Event>
      <Event time="2025-05-30T15:04:16.04" id="{7919632C-8CFA-431B-AB88-2DC18241D6B2}">
        <Attribution userId="S::raghunathan.ekambaram@relevantz.com::c3674b82-4414-4118-82e2-5ef3e5dcd733" userName="Raghunathan Ekambaram" userProvider="AD"/>
        <Anchor>
          <Comment id="{54ECAF83-390C-4E7D-99A6-4676933FBC86}"/>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54ECAF83-390C-4E7D-99A6-4676933FBC86}"/>
        </Anchor>
        <SetTitle title="@Kiruthiga Ganapathi - Please confirm the Application Name"/>
      </Event>
    </History>
  </Task>
</Tasks>
</file>

<file path=xl/documenttasks/documenttask5.xml><?xml version="1.0" encoding="utf-8"?>
<Tasks xmlns="http://schemas.microsoft.com/office/tasks/2019/documenttasks">
  <Task id="{DBED5796-15E6-4A02-A5F5-4FDE338279A1}">
    <Anchor>
      <Comment id="{BE39C616-FA23-487A-BEB8-E6FC4BE59562}"/>
    </Anchor>
    <History>
      <Event time="2025-05-30T15:04:16.04" id="{909D46CD-771C-4E21-B563-9B020C665FB5}">
        <Attribution userId="S::raghunathan.ekambaram@relevantz.com::c3674b82-4414-4118-82e2-5ef3e5dcd733" userName="Raghunathan Ekambaram" userProvider="AD"/>
        <Anchor>
          <Comment id="{BE39C616-FA23-487A-BEB8-E6FC4BE59562}"/>
        </Anchor>
        <Create/>
      </Event>
      <Event time="2025-05-30T15:04:16.04" id="{7919632C-8CFA-431B-AB88-2DC18241D6B2}">
        <Attribution userId="S::raghunathan.ekambaram@relevantz.com::c3674b82-4414-4118-82e2-5ef3e5dcd733" userName="Raghunathan Ekambaram" userProvider="AD"/>
        <Anchor>
          <Comment id="{BE39C616-FA23-487A-BEB8-E6FC4BE59562}"/>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BE39C616-FA23-487A-BEB8-E6FC4BE59562}"/>
        </Anchor>
        <SetTitle title="@Kiruthiga Ganapathi - Please confirm the Application Name"/>
      </Event>
    </History>
  </Task>
</Tasks>
</file>

<file path=xl/documenttasks/documenttask6.xml><?xml version="1.0" encoding="utf-8"?>
<Tasks xmlns="http://schemas.microsoft.com/office/tasks/2019/documenttasks">
  <Task id="{25983D2B-7040-4A8B-96AB-A560980120F7}">
    <Anchor>
      <Comment id="{99FD0CE8-DA3E-496E-B87B-7C150B65BD3F}"/>
    </Anchor>
    <History>
      <Event time="2025-05-30T15:04:16.04" id="{909D46CD-771C-4E21-B563-9B020C665FB5}">
        <Attribution userId="S::raghunathan.ekambaram@relevantz.com::c3674b82-4414-4118-82e2-5ef3e5dcd733" userName="Raghunathan Ekambaram" userProvider="AD"/>
        <Anchor>
          <Comment id="{99FD0CE8-DA3E-496E-B87B-7C150B65BD3F}"/>
        </Anchor>
        <Create/>
      </Event>
      <Event time="2025-05-30T15:04:16.04" id="{7919632C-8CFA-431B-AB88-2DC18241D6B2}">
        <Attribution userId="S::raghunathan.ekambaram@relevantz.com::c3674b82-4414-4118-82e2-5ef3e5dcd733" userName="Raghunathan Ekambaram" userProvider="AD"/>
        <Anchor>
          <Comment id="{99FD0CE8-DA3E-496E-B87B-7C150B65BD3F}"/>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99FD0CE8-DA3E-496E-B87B-7C150B65BD3F}"/>
        </Anchor>
        <SetTitle title="@Kiruthiga Ganapathi - Please confirm the Application Name"/>
      </Event>
    </History>
  </Task>
  <Task id="{1A48B9F0-D6FF-4207-9523-52A7D8B4403D}">
    <Anchor>
      <Comment id="{D95824A6-D0B2-43EC-9FF6-88CE351E8E01}"/>
    </Anchor>
    <History>
      <Event time="2025-05-30T15:04:16.04" id="{909D46CD-771C-4E21-B563-9B020C665FB5}">
        <Attribution userId="S::raghunathan.ekambaram@relevantz.com::c3674b82-4414-4118-82e2-5ef3e5dcd733" userName="Raghunathan Ekambaram" userProvider="AD"/>
        <Anchor>
          <Comment id="{D95824A6-D0B2-43EC-9FF6-88CE351E8E01}"/>
        </Anchor>
        <Create/>
      </Event>
      <Event time="2025-05-30T15:04:16.04" id="{7919632C-8CFA-431B-AB88-2DC18241D6B2}">
        <Attribution userId="S::raghunathan.ekambaram@relevantz.com::c3674b82-4414-4118-82e2-5ef3e5dcd733" userName="Raghunathan Ekambaram" userProvider="AD"/>
        <Anchor>
          <Comment id="{D95824A6-D0B2-43EC-9FF6-88CE351E8E01}"/>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D95824A6-D0B2-43EC-9FF6-88CE351E8E01}"/>
        </Anchor>
        <SetTitle title="@Kiruthiga Ganapathi - Please confirm the Application Name"/>
      </Event>
    </History>
  </Task>
</Tasks>
</file>

<file path=xl/documenttasks/documenttask7.xml><?xml version="1.0" encoding="utf-8"?>
<Tasks xmlns="http://schemas.microsoft.com/office/tasks/2019/documenttasks">
  <Task id="{0EB0185F-38A3-40E0-A2EF-E828B2E0A270}">
    <Anchor>
      <Comment id="{E2F78698-FAF1-4835-93CC-397696B59F3D}"/>
    </Anchor>
    <History>
      <Event time="2025-05-30T15:04:16.04" id="{909D46CD-771C-4E21-B563-9B020C665FB5}">
        <Attribution userId="S::raghunathan.ekambaram@relevantz.com::c3674b82-4414-4118-82e2-5ef3e5dcd733" userName="Raghunathan Ekambaram" userProvider="AD"/>
        <Anchor>
          <Comment id="{E2F78698-FAF1-4835-93CC-397696B59F3D}"/>
        </Anchor>
        <Create/>
      </Event>
      <Event time="2025-05-30T15:04:16.04" id="{7919632C-8CFA-431B-AB88-2DC18241D6B2}">
        <Attribution userId="S::raghunathan.ekambaram@relevantz.com::c3674b82-4414-4118-82e2-5ef3e5dcd733" userName="Raghunathan Ekambaram" userProvider="AD"/>
        <Anchor>
          <Comment id="{E2F78698-FAF1-4835-93CC-397696B59F3D}"/>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E2F78698-FAF1-4835-93CC-397696B59F3D}"/>
        </Anchor>
        <SetTitle title="@Kiruthiga Ganapathi - Please confirm the Application Name"/>
      </Event>
    </History>
  </Task>
</Tasks>
</file>

<file path=xl/documenttasks/documenttask8.xml><?xml version="1.0" encoding="utf-8"?>
<Tasks xmlns="http://schemas.microsoft.com/office/tasks/2019/documenttasks">
  <Task id="{704BE793-A6EA-44C2-BEBE-CE0FC3E7BC46}">
    <Anchor>
      <Comment id="{AB2C48FC-2F2B-4FC4-9812-2303334311E1}"/>
    </Anchor>
    <History>
      <Event time="2025-05-30T15:04:16.04" id="{909D46CD-771C-4E21-B563-9B020C665FB5}">
        <Attribution userId="S::raghunathan.ekambaram@relevantz.com::c3674b82-4414-4118-82e2-5ef3e5dcd733" userName="Raghunathan Ekambaram" userProvider="AD"/>
        <Anchor>
          <Comment id="{AB2C48FC-2F2B-4FC4-9812-2303334311E1}"/>
        </Anchor>
        <Create/>
      </Event>
      <Event time="2025-05-30T15:04:16.04" id="{7919632C-8CFA-431B-AB88-2DC18241D6B2}">
        <Attribution userId="S::raghunathan.ekambaram@relevantz.com::c3674b82-4414-4118-82e2-5ef3e5dcd733" userName="Raghunathan Ekambaram" userProvider="AD"/>
        <Anchor>
          <Comment id="{AB2C48FC-2F2B-4FC4-9812-2303334311E1}"/>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AB2C48FC-2F2B-4FC4-9812-2303334311E1}"/>
        </Anchor>
        <SetTitle title="@Kiruthiga Ganapathi - Please confirm the Application Name"/>
      </Event>
    </History>
  </Task>
</Tasks>
</file>

<file path=xl/documenttasks/documenttask9.xml><?xml version="1.0" encoding="utf-8"?>
<Tasks xmlns="http://schemas.microsoft.com/office/tasks/2019/documenttasks">
  <Task id="{5A03BD02-2F6C-4810-8AEC-98D891CA158D}">
    <Anchor>
      <Comment id="{1E83DF7D-0437-4F18-AEC7-73D4CD78B1D5}"/>
    </Anchor>
    <History>
      <Event time="2025-05-30T15:04:16.04" id="{909D46CD-771C-4E21-B563-9B020C665FB5}">
        <Attribution userId="S::raghunathan.ekambaram@relevantz.com::c3674b82-4414-4118-82e2-5ef3e5dcd733" userName="Raghunathan Ekambaram" userProvider="AD"/>
        <Anchor>
          <Comment id="{1E83DF7D-0437-4F18-AEC7-73D4CD78B1D5}"/>
        </Anchor>
        <Create/>
      </Event>
      <Event time="2025-05-30T15:04:16.04" id="{7919632C-8CFA-431B-AB88-2DC18241D6B2}">
        <Attribution userId="S::raghunathan.ekambaram@relevantz.com::c3674b82-4414-4118-82e2-5ef3e5dcd733" userName="Raghunathan Ekambaram" userProvider="AD"/>
        <Anchor>
          <Comment id="{1E83DF7D-0437-4F18-AEC7-73D4CD78B1D5}"/>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1E83DF7D-0437-4F18-AEC7-73D4CD78B1D5}"/>
        </Anchor>
        <SetTitle title="@Kiruthiga Ganapathi - Please confirm the Application Name"/>
      </Event>
    </History>
  </Task>
  <Task id="{E80D4752-1E5F-4221-87BA-25D6D51808A6}">
    <Anchor>
      <Comment id="{55029071-5BA7-42A3-AED4-900F78885A68}"/>
    </Anchor>
    <History>
      <Event time="2025-05-30T15:04:16.04" id="{909D46CD-771C-4E21-B563-9B020C665FB5}">
        <Attribution userId="S::raghunathan.ekambaram@relevantz.com::c3674b82-4414-4118-82e2-5ef3e5dcd733" userName="Raghunathan Ekambaram" userProvider="AD"/>
        <Anchor>
          <Comment id="{55029071-5BA7-42A3-AED4-900F78885A68}"/>
        </Anchor>
        <Create/>
      </Event>
      <Event time="2025-05-30T15:04:16.04" id="{7919632C-8CFA-431B-AB88-2DC18241D6B2}">
        <Attribution userId="S::raghunathan.ekambaram@relevantz.com::c3674b82-4414-4118-82e2-5ef3e5dcd733" userName="Raghunathan Ekambaram" userProvider="AD"/>
        <Anchor>
          <Comment id="{55029071-5BA7-42A3-AED4-900F78885A68}"/>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55029071-5BA7-42A3-AED4-900F78885A68}"/>
        </Anchor>
        <SetTitle title="@Kiruthiga Ganapathi - Please confirm the Application Name"/>
      </Event>
    </History>
  </Task>
</Tasks>
</file>

<file path=xl/documenttasks/documenttask10.xml><?xml version="1.0" encoding="utf-8"?>
<Tasks xmlns="http://schemas.microsoft.com/office/tasks/2019/documenttasks">
  <Task id="{749C5732-E15D-4062-BAC9-AAB7FA8D31E2}">
    <Anchor>
      <Comment id="{8F674587-7ED9-4DBD-A4E3-DECA51304B7B}"/>
    </Anchor>
    <History>
      <Event time="2025-05-30T15:04:16.04" id="{909D46CD-771C-4E21-B563-9B020C665FB5}">
        <Attribution userId="S::raghunathan.ekambaram@relevantz.com::c3674b82-4414-4118-82e2-5ef3e5dcd733" userName="Raghunathan Ekambaram" userProvider="AD"/>
        <Anchor>
          <Comment id="{8F674587-7ED9-4DBD-A4E3-DECA51304B7B}"/>
        </Anchor>
        <Create/>
      </Event>
      <Event time="2025-05-30T15:04:16.04" id="{7919632C-8CFA-431B-AB88-2DC18241D6B2}">
        <Attribution userId="S::raghunathan.ekambaram@relevantz.com::c3674b82-4414-4118-82e2-5ef3e5dcd733" userName="Raghunathan Ekambaram" userProvider="AD"/>
        <Anchor>
          <Comment id="{8F674587-7ED9-4DBD-A4E3-DECA51304B7B}"/>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8F674587-7ED9-4DBD-A4E3-DECA51304B7B}"/>
        </Anchor>
        <SetTitle title="@Kiruthiga Ganapathi - Please confirm the Application Name"/>
      </Event>
    </History>
  </Task>
  <Task id="{94556D91-1407-46BF-873A-3D088E0D4D71}">
    <Anchor>
      <Comment id="{87FB406A-62C4-4D02-8F7B-8FDF59ED075D}"/>
    </Anchor>
    <History>
      <Event time="2025-05-30T15:04:16.04" id="{909D46CD-771C-4E21-B563-9B020C665FB5}">
        <Attribution userId="S::raghunathan.ekambaram@relevantz.com::c3674b82-4414-4118-82e2-5ef3e5dcd733" userName="Raghunathan Ekambaram" userProvider="AD"/>
        <Anchor>
          <Comment id="{87FB406A-62C4-4D02-8F7B-8FDF59ED075D}"/>
        </Anchor>
        <Create/>
      </Event>
      <Event time="2025-05-30T15:04:16.04" id="{7919632C-8CFA-431B-AB88-2DC18241D6B2}">
        <Attribution userId="S::raghunathan.ekambaram@relevantz.com::c3674b82-4414-4118-82e2-5ef3e5dcd733" userName="Raghunathan Ekambaram" userProvider="AD"/>
        <Anchor>
          <Comment id="{87FB406A-62C4-4D02-8F7B-8FDF59ED075D}"/>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87FB406A-62C4-4D02-8F7B-8FDF59ED075D}"/>
        </Anchor>
        <SetTitle title="@Kiruthiga Ganapathi - Please confirm the Application Name"/>
      </Event>
    </History>
  </Task>
</Tasks>
</file>

<file path=xl/documenttasks/documenttask11.xml><?xml version="1.0" encoding="utf-8"?>
<Tasks xmlns="http://schemas.microsoft.com/office/tasks/2019/documenttasks">
  <Task id="{D2CE088D-C1F2-460E-AA55-9E1938A732ED}">
    <Anchor>
      <Comment id="{C41CD6F7-B525-480F-AD1E-716086513DBF}"/>
    </Anchor>
    <History>
      <Event time="2025-05-30T15:04:16.04" id="{909D46CD-771C-4E21-B563-9B020C665FB5}">
        <Attribution userId="S::raghunathan.ekambaram@relevantz.com::c3674b82-4414-4118-82e2-5ef3e5dcd733" userName="Raghunathan Ekambaram" userProvider="AD"/>
        <Anchor>
          <Comment id="{C41CD6F7-B525-480F-AD1E-716086513DBF}"/>
        </Anchor>
        <Create/>
      </Event>
      <Event time="2025-05-30T15:04:16.04" id="{7919632C-8CFA-431B-AB88-2DC18241D6B2}">
        <Attribution userId="S::raghunathan.ekambaram@relevantz.com::c3674b82-4414-4118-82e2-5ef3e5dcd733" userName="Raghunathan Ekambaram" userProvider="AD"/>
        <Anchor>
          <Comment id="{C41CD6F7-B525-480F-AD1E-716086513DBF}"/>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C41CD6F7-B525-480F-AD1E-716086513DBF}"/>
        </Anchor>
        <SetTitle title="@Kiruthiga Ganapathi - Please confirm the Application Name"/>
      </Event>
    </History>
  </Task>
  <Task id="{783406DA-B0D5-4FE0-8899-37962E105FE3}">
    <Anchor>
      <Comment id="{92304FAD-E5C2-4380-9230-564B58873AF8}"/>
    </Anchor>
    <History>
      <Event time="2025-05-30T15:04:16.04" id="{909D46CD-771C-4E21-B563-9B020C665FB5}">
        <Attribution userId="S::raghunathan.ekambaram@relevantz.com::c3674b82-4414-4118-82e2-5ef3e5dcd733" userName="Raghunathan Ekambaram" userProvider="AD"/>
        <Anchor>
          <Comment id="{92304FAD-E5C2-4380-9230-564B58873AF8}"/>
        </Anchor>
        <Create/>
      </Event>
      <Event time="2025-05-30T15:04:16.04" id="{7919632C-8CFA-431B-AB88-2DC18241D6B2}">
        <Attribution userId="S::raghunathan.ekambaram@relevantz.com::c3674b82-4414-4118-82e2-5ef3e5dcd733" userName="Raghunathan Ekambaram" userProvider="AD"/>
        <Anchor>
          <Comment id="{92304FAD-E5C2-4380-9230-564B58873AF8}"/>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92304FAD-E5C2-4380-9230-564B58873AF8}"/>
        </Anchor>
        <SetTitle title="@Kiruthiga Ganapathi - Please confirm the Application Name"/>
      </Event>
    </History>
  </Task>
</Tasks>
</file>

<file path=xl/documenttasks/documenttask12.xml><?xml version="1.0" encoding="utf-8"?>
<Tasks xmlns="http://schemas.microsoft.com/office/tasks/2019/documenttasks">
  <Task id="{D414A0C6-6D88-4783-88FE-119FC4DDF8F0}">
    <Anchor>
      <Comment id="{CD0FE4FF-7CF0-4AF8-B5DB-45E6CA0132C7}"/>
    </Anchor>
    <History>
      <Event time="2025-05-30T15:04:16.04" id="{909D46CD-771C-4E21-B563-9B020C665FB5}">
        <Attribution userId="S::raghunathan.ekambaram@relevantz.com::c3674b82-4414-4118-82e2-5ef3e5dcd733" userName="Raghunathan Ekambaram" userProvider="AD"/>
        <Anchor>
          <Comment id="{CD0FE4FF-7CF0-4AF8-B5DB-45E6CA0132C7}"/>
        </Anchor>
        <Create/>
      </Event>
      <Event time="2025-05-30T15:04:16.04" id="{7919632C-8CFA-431B-AB88-2DC18241D6B2}">
        <Attribution userId="S::raghunathan.ekambaram@relevantz.com::c3674b82-4414-4118-82e2-5ef3e5dcd733" userName="Raghunathan Ekambaram" userProvider="AD"/>
        <Anchor>
          <Comment id="{CD0FE4FF-7CF0-4AF8-B5DB-45E6CA0132C7}"/>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CD0FE4FF-7CF0-4AF8-B5DB-45E6CA0132C7}"/>
        </Anchor>
        <SetTitle title="@Kiruthiga Ganapathi - Please confirm the Application Name"/>
      </Event>
    </History>
  </Task>
  <Task id="{45B8ECF3-2700-4B03-835E-3958FB804AA6}">
    <Anchor>
      <Comment id="{7847663F-2477-4D44-B256-09406F0F5731}"/>
    </Anchor>
    <History>
      <Event time="2025-05-30T15:04:16.04" id="{909D46CD-771C-4E21-B563-9B020C665FB5}">
        <Attribution userId="S::raghunathan.ekambaram@relevantz.com::c3674b82-4414-4118-82e2-5ef3e5dcd733" userName="Raghunathan Ekambaram" userProvider="AD"/>
        <Anchor>
          <Comment id="{7847663F-2477-4D44-B256-09406F0F5731}"/>
        </Anchor>
        <Create/>
      </Event>
      <Event time="2025-05-30T15:04:16.04" id="{7919632C-8CFA-431B-AB88-2DC18241D6B2}">
        <Attribution userId="S::raghunathan.ekambaram@relevantz.com::c3674b82-4414-4118-82e2-5ef3e5dcd733" userName="Raghunathan Ekambaram" userProvider="AD"/>
        <Anchor>
          <Comment id="{7847663F-2477-4D44-B256-09406F0F5731}"/>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7847663F-2477-4D44-B256-09406F0F5731}"/>
        </Anchor>
        <SetTitle title="@Kiruthiga Ganapathi - Please confirm the Application Name"/>
      </Event>
    </History>
  </Task>
</Tasks>
</file>

<file path=xl/documenttasks/documenttask13.xml><?xml version="1.0" encoding="utf-8"?>
<Tasks xmlns="http://schemas.microsoft.com/office/tasks/2019/documenttasks">
  <Task id="{684A07EE-8CB3-4480-9937-536F3497835A}">
    <Anchor>
      <Comment id="{EE42E344-C00A-487C-AE3A-7A417ED82B77}"/>
    </Anchor>
    <History>
      <Event time="2025-05-30T15:04:16.04" id="{909D46CD-771C-4E21-B563-9B020C665FB5}">
        <Attribution userId="S::raghunathan.ekambaram@relevantz.com::c3674b82-4414-4118-82e2-5ef3e5dcd733" userName="Raghunathan Ekambaram" userProvider="AD"/>
        <Anchor>
          <Comment id="{EE42E344-C00A-487C-AE3A-7A417ED82B77}"/>
        </Anchor>
        <Create/>
      </Event>
      <Event time="2025-05-30T15:04:16.04" id="{7919632C-8CFA-431B-AB88-2DC18241D6B2}">
        <Attribution userId="S::raghunathan.ekambaram@relevantz.com::c3674b82-4414-4118-82e2-5ef3e5dcd733" userName="Raghunathan Ekambaram" userProvider="AD"/>
        <Anchor>
          <Comment id="{EE42E344-C00A-487C-AE3A-7A417ED82B77}"/>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EE42E344-C00A-487C-AE3A-7A417ED82B77}"/>
        </Anchor>
        <SetTitle title="@Kiruthiga Ganapathi - Please confirm the Application Name"/>
      </Event>
    </History>
  </Task>
  <Task id="{C1355AF8-E011-4538-ACFC-94F68FE7AAC9}">
    <Anchor>
      <Comment id="{BCD9FD19-86D1-4CF9-94B9-236A6DCB04B4}"/>
    </Anchor>
    <History>
      <Event time="2025-05-30T15:04:16.04" id="{909D46CD-771C-4E21-B563-9B020C665FB5}">
        <Attribution userId="S::raghunathan.ekambaram@relevantz.com::c3674b82-4414-4118-82e2-5ef3e5dcd733" userName="Raghunathan Ekambaram" userProvider="AD"/>
        <Anchor>
          <Comment id="{BCD9FD19-86D1-4CF9-94B9-236A6DCB04B4}"/>
        </Anchor>
        <Create/>
      </Event>
      <Event time="2025-05-30T15:04:16.04" id="{7919632C-8CFA-431B-AB88-2DC18241D6B2}">
        <Attribution userId="S::raghunathan.ekambaram@relevantz.com::c3674b82-4414-4118-82e2-5ef3e5dcd733" userName="Raghunathan Ekambaram" userProvider="AD"/>
        <Anchor>
          <Comment id="{BCD9FD19-86D1-4CF9-94B9-236A6DCB04B4}"/>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BCD9FD19-86D1-4CF9-94B9-236A6DCB04B4}"/>
        </Anchor>
        <SetTitle title="@Kiruthiga Ganapathi - Please confirm the Application Name"/>
      </Event>
    </History>
  </Task>
</Tasks>
</file>

<file path=xl/documenttasks/documenttask14.xml><?xml version="1.0" encoding="utf-8"?>
<Tasks xmlns="http://schemas.microsoft.com/office/tasks/2019/documenttasks">
  <Task id="{36729816-4738-461C-A946-CDCFC72E6CAD}">
    <Anchor>
      <Comment id="{F0C8CBEE-45F4-4CC0-B35B-CDD306E70EAC}"/>
    </Anchor>
    <History>
      <Event time="2025-05-30T15:04:16.04" id="{909D46CD-771C-4E21-B563-9B020C665FB5}">
        <Attribution userId="S::raghunathan.ekambaram@relevantz.com::c3674b82-4414-4118-82e2-5ef3e5dcd733" userName="Raghunathan Ekambaram" userProvider="AD"/>
        <Anchor>
          <Comment id="{F0C8CBEE-45F4-4CC0-B35B-CDD306E70EAC}"/>
        </Anchor>
        <Create/>
      </Event>
      <Event time="2025-05-30T15:04:16.04" id="{7919632C-8CFA-431B-AB88-2DC18241D6B2}">
        <Attribution userId="S::raghunathan.ekambaram@relevantz.com::c3674b82-4414-4118-82e2-5ef3e5dcd733" userName="Raghunathan Ekambaram" userProvider="AD"/>
        <Anchor>
          <Comment id="{F0C8CBEE-45F4-4CC0-B35B-CDD306E70EAC}"/>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F0C8CBEE-45F4-4CC0-B35B-CDD306E70EAC}"/>
        </Anchor>
        <SetTitle title="@Kiruthiga Ganapathi - Please confirm the Application Name"/>
      </Event>
    </History>
  </Task>
  <Task id="{D9A37526-BCDC-466D-AF9E-2E44CA13A59B}">
    <Anchor>
      <Comment id="{18D2DB99-4DCE-4FC3-AF28-89EBB89F8D2B}"/>
    </Anchor>
    <History>
      <Event time="2025-05-30T15:04:16.04" id="{909D46CD-771C-4E21-B563-9B020C665FB5}">
        <Attribution userId="S::raghunathan.ekambaram@relevantz.com::c3674b82-4414-4118-82e2-5ef3e5dcd733" userName="Raghunathan Ekambaram" userProvider="AD"/>
        <Anchor>
          <Comment id="{18D2DB99-4DCE-4FC3-AF28-89EBB89F8D2B}"/>
        </Anchor>
        <Create/>
      </Event>
      <Event time="2025-05-30T15:04:16.04" id="{7919632C-8CFA-431B-AB88-2DC18241D6B2}">
        <Attribution userId="S::raghunathan.ekambaram@relevantz.com::c3674b82-4414-4118-82e2-5ef3e5dcd733" userName="Raghunathan Ekambaram" userProvider="AD"/>
        <Anchor>
          <Comment id="{18D2DB99-4DCE-4FC3-AF28-89EBB89F8D2B}"/>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18D2DB99-4DCE-4FC3-AF28-89EBB89F8D2B}"/>
        </Anchor>
        <SetTitle title="@Kiruthiga Ganapathi - Please confirm the Application Name"/>
      </Event>
    </History>
  </Task>
</Tasks>
</file>

<file path=xl/documenttasks/documenttask15.xml><?xml version="1.0" encoding="utf-8"?>
<Tasks xmlns="http://schemas.microsoft.com/office/tasks/2019/documenttasks">
  <Task id="{3A24B631-5738-49AF-9C41-74E2D63D571F}">
    <Anchor>
      <Comment id="{908DF292-F39A-428E-840F-C62C385B7722}"/>
    </Anchor>
    <History>
      <Event time="2025-05-30T15:04:16.04" id="{909D46CD-771C-4E21-B563-9B020C665FB5}">
        <Attribution userId="S::raghunathan.ekambaram@relevantz.com::c3674b82-4414-4118-82e2-5ef3e5dcd733" userName="Raghunathan Ekambaram" userProvider="AD"/>
        <Anchor>
          <Comment id="{908DF292-F39A-428E-840F-C62C385B7722}"/>
        </Anchor>
        <Create/>
      </Event>
      <Event time="2025-05-30T15:04:16.04" id="{7919632C-8CFA-431B-AB88-2DC18241D6B2}">
        <Attribution userId="S::raghunathan.ekambaram@relevantz.com::c3674b82-4414-4118-82e2-5ef3e5dcd733" userName="Raghunathan Ekambaram" userProvider="AD"/>
        <Anchor>
          <Comment id="{908DF292-F39A-428E-840F-C62C385B7722}"/>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908DF292-F39A-428E-840F-C62C385B7722}"/>
        </Anchor>
        <SetTitle title="@Kiruthiga Ganapathi - Please confirm the Application Name"/>
      </Event>
    </History>
  </Task>
  <Task id="{8827205A-D851-4CF2-A606-0FA6116DD59F}">
    <Anchor>
      <Comment id="{9208A6E6-D66D-4137-AA6C-CCF2BE6C7394}"/>
    </Anchor>
    <History>
      <Event time="2025-05-30T15:04:16.04" id="{909D46CD-771C-4E21-B563-9B020C665FB5}">
        <Attribution userId="S::raghunathan.ekambaram@relevantz.com::c3674b82-4414-4118-82e2-5ef3e5dcd733" userName="Raghunathan Ekambaram" userProvider="AD"/>
        <Anchor>
          <Comment id="{9208A6E6-D66D-4137-AA6C-CCF2BE6C7394}"/>
        </Anchor>
        <Create/>
      </Event>
      <Event time="2025-05-30T15:04:16.04" id="{7919632C-8CFA-431B-AB88-2DC18241D6B2}">
        <Attribution userId="S::raghunathan.ekambaram@relevantz.com::c3674b82-4414-4118-82e2-5ef3e5dcd733" userName="Raghunathan Ekambaram" userProvider="AD"/>
        <Anchor>
          <Comment id="{9208A6E6-D66D-4137-AA6C-CCF2BE6C7394}"/>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9208A6E6-D66D-4137-AA6C-CCF2BE6C7394}"/>
        </Anchor>
        <SetTitle title="@Kiruthiga Ganapathi - Please confirm the Application Name"/>
      </Event>
    </History>
  </Task>
  <Task id="{EC8F99E3-EBA6-4C4C-8EAF-FBE2EBD1C08B}">
    <Anchor>
      <Comment id="{9DE54EB7-B32D-4F83-8BA5-CE0FA797EB9B}"/>
    </Anchor>
    <History>
      <Event time="2025-05-30T15:04:16.04" id="{909D46CD-771C-4E21-B563-9B020C665FB5}">
        <Attribution userId="S::raghunathan.ekambaram@relevantz.com::c3674b82-4414-4118-82e2-5ef3e5dcd733" userName="Raghunathan Ekambaram" userProvider="AD"/>
        <Anchor>
          <Comment id="{9DE54EB7-B32D-4F83-8BA5-CE0FA797EB9B}"/>
        </Anchor>
        <Create/>
      </Event>
      <Event time="2025-05-30T15:04:16.04" id="{7919632C-8CFA-431B-AB88-2DC18241D6B2}">
        <Attribution userId="S::raghunathan.ekambaram@relevantz.com::c3674b82-4414-4118-82e2-5ef3e5dcd733" userName="Raghunathan Ekambaram" userProvider="AD"/>
        <Anchor>
          <Comment id="{9DE54EB7-B32D-4F83-8BA5-CE0FA797EB9B}"/>
        </Anchor>
        <Assign userId="S::kiruthiga.ganapathi@relevantz.com::72754f8e-7207-4ab4-9332-71990d72b48f" userName="Kiruthiga Ganapathi" userProvider="AD"/>
      </Event>
      <Event time="2025-05-30T15:04:16.04" id="{DB7E6BF9-062F-4A18-9227-90A9886E4351}">
        <Attribution userId="S::raghunathan.ekambaram@relevantz.com::c3674b82-4414-4118-82e2-5ef3e5dcd733" userName="Raghunathan Ekambaram" userProvider="AD"/>
        <Anchor>
          <Comment id="{9DE54EB7-B32D-4F83-8BA5-CE0FA797EB9B}"/>
        </Anchor>
        <SetTitle title="@Kiruthiga Ganapathi - Please confirm the Application Name"/>
      </Event>
    </History>
  </Task>
</Tasks>
</file>

<file path=xl/persons/person.xml><?xml version="1.0" encoding="utf-8"?>
<personList xmlns="http://schemas.microsoft.com/office/spreadsheetml/2018/threadedcomments" xmlns:x="http://schemas.openxmlformats.org/spreadsheetml/2006/main">
  <person displayName="Kiruthiga Ganapathi" id="{6D1D84C9-0D93-4373-98B0-A3F2F26348EA}" userId="kiruthiga.ganapathi@relevantz.com" providerId="PeoplePicker"/>
  <person displayName="Kiruthiga Ganapathi" id="{CD4F2EEB-03CA-47D8-A705-8F4052B91BE4}" userId="S::kiruthiga.ganapathi@relevantz.com::72754f8e-7207-4ab4-9332-71990d72b48f" providerId="AD"/>
  <person displayName="Raghunathan Ekambaram" id="{476701AB-6069-4128-899B-99C8F2AB2CB6}" userId="S::raghunathan.ekambaram@relevantz.com::c3674b82-4414-4118-82e2-5ef3e5dcd73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6C4A0AE-3DF7-40A8-83BC-A36712B485F5}" name="Table145678911123141334265789101112141516171819202122232425" displayName="Table145678911123141334265789101112141516171819202122232425" ref="A1:AE8" totalsRowShown="0" headerRowDxfId="809" dataDxfId="808" tableBorderDxfId="807">
  <autoFilter ref="A1:AE8" xr:uid="{B5D083CE-8877-4237-BEDA-8FC85C398B86}"/>
  <tableColumns count="31">
    <tableColumn id="1" xr3:uid="{4C3DD13E-30E5-426A-9A96-F9913BC0D379}" name="S.No" dataDxfId="806"/>
    <tableColumn id="27" xr3:uid="{938D0B32-27F9-4393-8724-159123492A80}" name="Application Name" dataDxfId="805"/>
    <tableColumn id="26" xr3:uid="{D9365FBF-479A-4439-8D9E-60FEDD3973D8}" name="Sprint Start Date" dataDxfId="804"/>
    <tableColumn id="25" xr3:uid="{4CCFCDF4-AA8A-4E38-9CA5-44641625BFF5}" name="Sprint End Date" dataDxfId="803"/>
    <tableColumn id="2" xr3:uid="{72CB00FD-791D-4C98-B5D6-A7ABEF4338BF}" name="Sprint " dataDxfId="802"/>
    <tableColumn id="3" xr3:uid="{36CAE2C7-56A5-4257-99A2-3F21DC484FA6}" name="Developer" dataDxfId="801"/>
    <tableColumn id="4" xr3:uid="{FC63420F-9378-40CD-BD2B-E9264A2205B5}" name="Story ID/Defect ID" dataDxfId="800"/>
    <tableColumn id="5" xr3:uid="{6889AD72-7726-4C96-B134-EDA95B19E220}" name="Description" dataDxfId="799"/>
    <tableColumn id="6" xr3:uid="{7AC50574-998D-4B23-BDA0-EBFC3EDCF89F}" name="Status" dataDxfId="798"/>
    <tableColumn id="7" xr3:uid="{D82A53C1-1C52-44DE-BF54-1B1917959282}" name="Estimated(sp)" dataDxfId="797"/>
    <tableColumn id="8" xr3:uid="{304DE926-34F2-46C5-9AE0-0ECBA01A1C65}" name="Actual(sp)" dataDxfId="796"/>
    <tableColumn id="28" xr3:uid="{EF5ED5CB-6E6D-4D25-B5E7-EC5B5CA88404}" name="Actual Hours Worklog" dataDxfId="795"/>
    <tableColumn id="30" xr3:uid="{376A73B1-4E1E-49AB-852F-A300C9731611}" name="Dev Start Date" dataDxfId="794"/>
    <tableColumn id="31" xr3:uid="{714EDFFF-62E2-413B-8B03-9523B37779F4}" name="Dev End Date" dataDxfId="793"/>
    <tableColumn id="9" xr3:uid="{88432698-EDA1-4B35-9748-F7154B502E34}" name="Unit testing" dataDxfId="792"/>
    <tableColumn id="10" xr3:uid="{BCD9AF72-34B2-4388-B1F9-F7515B340922}" name="Peer Tested By" dataDxfId="791"/>
    <tableColumn id="11" xr3:uid="{44C06566-8AF6-4EB0-A4AE-76A6594864B5}" name="Peer Tested Defects, if any" dataDxfId="790"/>
    <tableColumn id="12" xr3:uid="{F92EDD60-561D-47B2-BA10-399BC543F5C3}" name="Peer Reviewed By" dataDxfId="789"/>
    <tableColumn id="13" xr3:uid="{F6165024-B548-4CEC-8C04-55B7896451FF}" name="Peer Code Review Comments, if any" dataDxfId="788"/>
    <tableColumn id="14" xr3:uid="{9E81541F-BD99-44B2-B8A3-07E7FD51774D}" name="PR Number/Link" dataDxfId="787" dataCellStyle="Hyperlink"/>
    <tableColumn id="15" xr3:uid="{59CBCAC0-CD95-49E1-A30E-61848749EEC7}" name="PR Created Date" dataDxfId="786"/>
    <tableColumn id="16" xr3:uid="{ACC1AC0B-4514-4E3E-BF05-CE91FCE1490E}" name="PR Approved Date" dataDxfId="785"/>
    <tableColumn id="17" xr3:uid="{1FA67F40-47AA-417D-B94B-692F6AEA742F}" name="Reviewer 1" dataDxfId="784"/>
    <tableColumn id="18" xr3:uid="{20858142-52CF-497B-B6FA-8658CF26E83B}" name="Code Review Comments, if any" dataDxfId="783"/>
    <tableColumn id="19" xr3:uid="{6A6A96F7-1E8A-4214-9F84-025CEF4F7302}" name="Reviewer 2" dataDxfId="782"/>
    <tableColumn id="20" xr3:uid="{03C9503C-DE1F-47BB-97DB-4F580C8278E2}" name="Approved Date" dataDxfId="781"/>
    <tableColumn id="21" xr3:uid="{28EFC233-ABFC-425B-AA57-7EAC52A0DD44}" name="Code Review Comments, if any2" dataDxfId="780"/>
    <tableColumn id="22" xr3:uid="{10C31F55-0D23-40E0-BD90-46AE7590CE55}" name="Internal PO -POV Comments" dataDxfId="779"/>
    <tableColumn id="23" xr3:uid="{63E5F039-33CC-41B6-9576-D49C84F7094B}" name="Client PO -POV Comments" dataDxfId="778"/>
    <tableColumn id="24" xr3:uid="{782C8ECB-AED8-45A7-89AB-A266ECD34D34}" name="Comments" dataDxfId="777"/>
    <tableColumn id="29" xr3:uid="{8BBDD8B0-25C3-4B1F-B187-0560B4E8620A}" name="Does this story meets expectations" dataDxfId="7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D576AED-D42D-4567-9D7C-1A45E94040B2}" name="Table1456789111231413342657891011121415161718192021222324" displayName="Table1456789111231413342657891011121415161718192021222324" ref="A1:AE8" totalsRowShown="0" headerRowDxfId="775" dataDxfId="774" tableBorderDxfId="773">
  <autoFilter ref="A1:AE8" xr:uid="{B5D083CE-8877-4237-BEDA-8FC85C398B86}"/>
  <tableColumns count="31">
    <tableColumn id="1" xr3:uid="{2192C12D-6A14-4C58-8137-EC55A8094B10}" name="S.No" dataDxfId="772"/>
    <tableColumn id="27" xr3:uid="{28408D97-FAE2-4CED-AB4D-0E075DB2A71C}" name="Application Name" dataDxfId="771"/>
    <tableColumn id="26" xr3:uid="{B35148E3-8A3D-4E1D-B5A3-02611C8A134A}" name="Sprint Start Date" dataDxfId="770"/>
    <tableColumn id="25" xr3:uid="{4A91C1EB-F413-45C8-B580-6B6DC0151698}" name="Sprint End Date" dataDxfId="769"/>
    <tableColumn id="2" xr3:uid="{7D299504-B401-4F44-90DA-62724B39EBE0}" name="Sprint " dataDxfId="768"/>
    <tableColumn id="3" xr3:uid="{55AC9699-7C7C-41F7-A60E-667B12E55265}" name="Developer" dataDxfId="767"/>
    <tableColumn id="4" xr3:uid="{34459298-FA01-424C-9CA0-4BE4B4F19A0C}" name="Story ID/Defect ID" dataDxfId="766"/>
    <tableColumn id="5" xr3:uid="{A51FE524-E6C6-4047-83AB-072C4D6BC50E}" name="Description" dataDxfId="765"/>
    <tableColumn id="6" xr3:uid="{B4CC3B65-A21F-4E6D-B3CD-73B15959E784}" name="Status" dataDxfId="764"/>
    <tableColumn id="7" xr3:uid="{B6E88F0F-5D64-45CB-917A-39981C593962}" name="Estimated(sp)" dataDxfId="763"/>
    <tableColumn id="8" xr3:uid="{9C4D4E98-B58A-4811-8107-40757117268E}" name="Actual(sp)" dataDxfId="762"/>
    <tableColumn id="28" xr3:uid="{7540EA1A-460C-4575-BE02-38F0B72994E8}" name="Actual Hours Worklog" dataDxfId="761"/>
    <tableColumn id="30" xr3:uid="{5C28A7DC-F9AE-46F0-A930-A3306E0FEA33}" name="Dev Start Date" dataDxfId="760"/>
    <tableColumn id="31" xr3:uid="{DF000E6C-ACAB-4351-A107-F95A1481D742}" name="Dev End Date" dataDxfId="759"/>
    <tableColumn id="9" xr3:uid="{F811A9BD-CDE3-4E59-8A9C-F1BE21FAE625}" name="Unit testing" dataDxfId="758"/>
    <tableColumn id="10" xr3:uid="{66C3F1EE-7C9E-4464-979D-D84E7BC76C53}" name="Peer Tested By" dataDxfId="757"/>
    <tableColumn id="11" xr3:uid="{FD9F9975-CF33-4570-93DE-04377D8F7FE5}" name="Peer Tested Defects, if any" dataDxfId="756"/>
    <tableColumn id="12" xr3:uid="{D1A90141-DE8D-4577-824F-CFAEADD5E04D}" name="Peer Reviewed By" dataDxfId="755"/>
    <tableColumn id="13" xr3:uid="{944FE22B-0201-4133-AA40-90542AE42012}" name="Peer Code Review Comments, if any" dataDxfId="754"/>
    <tableColumn id="14" xr3:uid="{ADB2A93A-A42B-4581-942F-C3711D1F2725}" name="PR Number/Link" dataDxfId="753" dataCellStyle="Hyperlink"/>
    <tableColumn id="15" xr3:uid="{09D55980-B16E-4CA2-B184-64DBFE668A3B}" name="PR Created Date" dataDxfId="752"/>
    <tableColumn id="16" xr3:uid="{DF59833D-9B41-40D2-A2EC-57321369A914}" name="PR Approved Date" dataDxfId="751"/>
    <tableColumn id="17" xr3:uid="{788DFE3D-C77D-43A9-8C3F-BC23482DFC4F}" name="Reviewer 1" dataDxfId="750"/>
    <tableColumn id="18" xr3:uid="{361C600B-39FD-4303-AA41-C0B165A5EDF3}" name="Code Review Comments, if any" dataDxfId="749"/>
    <tableColumn id="19" xr3:uid="{0E939487-8893-44C5-ADA3-54358B68250E}" name="Reviewer 2" dataDxfId="748"/>
    <tableColumn id="20" xr3:uid="{972C0927-0057-44B1-AA2D-C4136FE74CDA}" name="Approved Date" dataDxfId="747"/>
    <tableColumn id="21" xr3:uid="{9D885541-21E5-410C-B918-4DD745E6B65E}" name="Code Review Comments, if any2" dataDxfId="746"/>
    <tableColumn id="22" xr3:uid="{402EA3FD-4432-4BC2-9FFA-C17A88EB5E34}" name="Internal PO -POV Comments" dataDxfId="745"/>
    <tableColumn id="23" xr3:uid="{C76E699A-E1CC-4AF2-AAD7-5288BACDC3DE}" name="Client PO -POV Comments" dataDxfId="744"/>
    <tableColumn id="24" xr3:uid="{14167124-48B0-42D1-A021-E3D8E0911107}" name="Comments" dataDxfId="743"/>
    <tableColumn id="29" xr3:uid="{641F194A-AED5-4BBB-8267-ABCD5C16D39E}" name="Does this story meets expectations" dataDxfId="74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A14D89-ED35-470A-BE7B-1D3ABA6ED564}" name="Table14567891112314133426578910111214151617181920212223" displayName="Table14567891112314133426578910111214151617181920212223" ref="A1:AE8" totalsRowShown="0" headerRowDxfId="741" dataDxfId="740" tableBorderDxfId="739">
  <autoFilter ref="A1:AE8" xr:uid="{B5D083CE-8877-4237-BEDA-8FC85C398B86}"/>
  <tableColumns count="31">
    <tableColumn id="1" xr3:uid="{D1260C80-C56D-4B45-A2FC-6A5FF85E4DE8}" name="S.No" dataDxfId="738"/>
    <tableColumn id="27" xr3:uid="{D9D88398-DB3A-426A-8AAE-BBE00895015A}" name="Application Name" dataDxfId="737"/>
    <tableColumn id="26" xr3:uid="{86919334-721C-4740-AAB0-3BEA2DBBC7A0}" name="Sprint Start Date" dataDxfId="736"/>
    <tableColumn id="25" xr3:uid="{537BE4F2-5F77-4C54-8100-FFA0BE217DA2}" name="Sprint End Date" dataDxfId="735"/>
    <tableColumn id="2" xr3:uid="{98C9BE61-F215-4114-B436-8006671065F5}" name="Sprint " dataDxfId="734"/>
    <tableColumn id="3" xr3:uid="{8E60E48D-00AD-4001-8FEB-134632C224CF}" name="Developer" dataDxfId="733"/>
    <tableColumn id="4" xr3:uid="{A5F91AD9-4929-45DA-8CF3-A2916794B159}" name="Story ID/Defect ID" dataDxfId="732"/>
    <tableColumn id="5" xr3:uid="{7C3865DE-D9E7-4FC1-A850-343C6124888F}" name="Description" dataDxfId="731"/>
    <tableColumn id="6" xr3:uid="{B225A8CD-2D7E-4D0D-8A2F-60472EDE8E9E}" name="Status" dataDxfId="730"/>
    <tableColumn id="7" xr3:uid="{E22342A1-6ECB-4214-A9BF-5B2C5BE98C67}" name="Estimated(sp)" dataDxfId="729"/>
    <tableColumn id="8" xr3:uid="{437FAF62-2B94-443E-B671-74448AA7C597}" name="Actual(sp)" dataDxfId="728"/>
    <tableColumn id="28" xr3:uid="{AFA90485-849B-46B7-965A-AA13D09CB861}" name="Actual Hours Worklog" dataDxfId="727"/>
    <tableColumn id="30" xr3:uid="{70EDFAB9-F84F-4546-AB71-412215DF3093}" name="Dev Start Date" dataDxfId="726"/>
    <tableColumn id="31" xr3:uid="{0A53F73F-4F5B-4B88-83DA-2A50E89ADE9A}" name="Dev End Date" dataDxfId="725"/>
    <tableColumn id="9" xr3:uid="{57A909CF-BEEF-4887-8559-38DCDBD0426E}" name="Unit testing" dataDxfId="724"/>
    <tableColumn id="10" xr3:uid="{E6A0E900-395A-4249-B543-0C96935329D2}" name="Peer Tested By" dataDxfId="723"/>
    <tableColumn id="11" xr3:uid="{554902EB-C0C1-4533-A08A-48B7A6F0499E}" name="Peer Tested Defects, if any" dataDxfId="722"/>
    <tableColumn id="12" xr3:uid="{2248A0E1-6078-41F6-8DFC-4F3E9A0A6624}" name="Peer Reviewed By" dataDxfId="721"/>
    <tableColumn id="13" xr3:uid="{A0841550-3140-4AA0-9A1B-946DB1181F20}" name="Peer Code Review Comments, if any" dataDxfId="720"/>
    <tableColumn id="14" xr3:uid="{D775528E-DD1D-49B5-8EF6-3E0F66313CF5}" name="PR Number/Link" dataDxfId="719" dataCellStyle="Hyperlink"/>
    <tableColumn id="15" xr3:uid="{74DB61D9-B59A-4408-AD1E-C0A64A55DD04}" name="PR Created Date" dataDxfId="718"/>
    <tableColumn id="16" xr3:uid="{745009F6-AE7B-4356-8717-7FDFC705B551}" name="PR Approved Date" dataDxfId="717"/>
    <tableColumn id="17" xr3:uid="{BA5A6517-BC84-4994-9C77-EB1CF51A1621}" name="Reviewer 1" dataDxfId="716"/>
    <tableColumn id="18" xr3:uid="{50F2A272-9FF5-4387-B522-23D7B5375216}" name="Code Review Comments, if any" dataDxfId="715"/>
    <tableColumn id="19" xr3:uid="{F7AC4D26-A59E-4020-A3DC-5751E04A0E07}" name="Reviewer 2" dataDxfId="714"/>
    <tableColumn id="20" xr3:uid="{081F46B8-4A01-4925-A005-BA6721936643}" name="Approved Date" dataDxfId="713"/>
    <tableColumn id="21" xr3:uid="{5E9B84E0-DD79-4EB5-8B4D-38E1A310DDA3}" name="Code Review Comments, if any2" dataDxfId="712"/>
    <tableColumn id="22" xr3:uid="{DA29E9C9-69BF-4B06-A9D2-B8C715BB419E}" name="Internal PO -POV Comments" dataDxfId="711"/>
    <tableColumn id="23" xr3:uid="{CE7153B3-2789-4610-B024-B25F1108E986}" name="Client PO -POV Comments" dataDxfId="710"/>
    <tableColumn id="24" xr3:uid="{EC1B5A10-60EC-42C0-A079-AF0CDEB3F42D}" name="Comments" dataDxfId="709"/>
    <tableColumn id="29" xr3:uid="{50199DF1-89A9-4835-BBDA-30914D1031E9}" name="Does this story meets expectations" dataDxfId="70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84E34C8-5711-4AAD-A6A1-015DDF3CB3E7}" name="Table145678911123141334265789101112141516171819202122" displayName="Table145678911123141334265789101112141516171819202122" ref="A1:AE8" totalsRowShown="0" headerRowDxfId="707" dataDxfId="706" tableBorderDxfId="705">
  <autoFilter ref="A1:AE8" xr:uid="{B5D083CE-8877-4237-BEDA-8FC85C398B86}"/>
  <tableColumns count="31">
    <tableColumn id="1" xr3:uid="{5F6B6D7C-A1DA-4763-AED9-3AEA3430593E}" name="S.No" dataDxfId="704"/>
    <tableColumn id="27" xr3:uid="{A1BAA6CA-698F-4B06-BA3C-91861D83E97E}" name="Application Name" dataDxfId="703"/>
    <tableColumn id="26" xr3:uid="{1E54B418-4877-47F4-8B3F-83C0CA77A601}" name="Sprint Start Date" dataDxfId="702"/>
    <tableColumn id="25" xr3:uid="{7DA61852-32EE-4C89-9E1B-68F2E5DF5205}" name="Sprint End Date" dataDxfId="701"/>
    <tableColumn id="2" xr3:uid="{D3F42C28-F95F-4185-A6F1-73467EA70485}" name="Sprint " dataDxfId="700"/>
    <tableColumn id="3" xr3:uid="{ACB06482-6402-46FE-9DF0-11F2BE0A9CE5}" name="Developer" dataDxfId="699"/>
    <tableColumn id="4" xr3:uid="{34AA6B26-6561-4106-8248-01B2FD34DCCE}" name="Story ID/Defect ID" dataDxfId="698"/>
    <tableColumn id="5" xr3:uid="{95DB277C-6278-4141-B401-B8B96B4C5CF0}" name="Description" dataDxfId="697"/>
    <tableColumn id="6" xr3:uid="{FB7C2A5C-C109-4DF4-B60E-D103DABE58A6}" name="Status" dataDxfId="696"/>
    <tableColumn id="7" xr3:uid="{3B10A3C7-67EA-4C17-92D1-522135AF1269}" name="Estimated(sp)" dataDxfId="695"/>
    <tableColumn id="8" xr3:uid="{EB05545D-149A-47A6-AFA4-7F6FF53938B0}" name="Actual(sp)" dataDxfId="694"/>
    <tableColumn id="28" xr3:uid="{8FA170E0-8759-4CA4-AAD4-9359414688FF}" name="Actual Hours Worklog" dataDxfId="693"/>
    <tableColumn id="30" xr3:uid="{815EAE58-A64A-4F4D-B24C-FF4C6EBC9B58}" name="Dev Start Date" dataDxfId="692"/>
    <tableColumn id="31" xr3:uid="{744B7B99-7E12-4656-826A-7B6A704B3786}" name="Dev End Date" dataDxfId="691"/>
    <tableColumn id="9" xr3:uid="{E1EA158A-BFFC-4FDE-BDA7-4F5AF9F6AC12}" name="Unit testing" dataDxfId="690"/>
    <tableColumn id="10" xr3:uid="{5A47DBD7-E08D-474C-AF3E-E7535186623A}" name="Peer Tested By" dataDxfId="689"/>
    <tableColumn id="11" xr3:uid="{8C1C1B5D-BB49-4F77-97D9-66B269B3394B}" name="Peer Tested Defects, if any" dataDxfId="688"/>
    <tableColumn id="12" xr3:uid="{3C3AC3CC-E818-47F8-A50C-6998172C42CD}" name="Peer Reviewed By" dataDxfId="687"/>
    <tableColumn id="13" xr3:uid="{14EC6B08-33EC-4C78-9285-CB939D9EA002}" name="Peer Code Review Comments, if any" dataDxfId="686"/>
    <tableColumn id="14" xr3:uid="{71AC6F6B-531A-4F88-B10F-E21B3CA05469}" name="PR Number/Link" dataDxfId="685" dataCellStyle="Hyperlink"/>
    <tableColumn id="15" xr3:uid="{F32AB753-D9A6-45A3-BB82-2914969EC8BD}" name="PR Created Date" dataDxfId="684"/>
    <tableColumn id="16" xr3:uid="{2551FE6E-2974-4E5A-86B3-3552040F037F}" name="PR Approved Date" dataDxfId="683"/>
    <tableColumn id="17" xr3:uid="{41CD2020-8573-481A-8BD3-EA26B3C8DD02}" name="Reviewer 1" dataDxfId="682"/>
    <tableColumn id="18" xr3:uid="{4014D975-8077-467E-A654-402F82A29BEA}" name="Code Review Comments, if any" dataDxfId="681"/>
    <tableColumn id="19" xr3:uid="{B7C57B85-1C08-4F21-953A-2855E0BA5BCF}" name="Reviewer 2" dataDxfId="680"/>
    <tableColumn id="20" xr3:uid="{8C65F41C-5D45-427D-B7B4-2662C5DA5E00}" name="Approved Date" dataDxfId="679"/>
    <tableColumn id="21" xr3:uid="{98ED2B81-9FB8-405F-961B-E6CC230E2682}" name="Code Review Comments, if any2" dataDxfId="678"/>
    <tableColumn id="22" xr3:uid="{80DDAE1A-1A6A-4F51-9765-EE11330774AA}" name="Internal PO -POV Comments" dataDxfId="677"/>
    <tableColumn id="23" xr3:uid="{33F4773C-D722-45F3-B274-082EF7D4E62E}" name="Client PO -POV Comments" dataDxfId="676"/>
    <tableColumn id="24" xr3:uid="{1B31DAB0-2837-4912-9302-0889BCAD3FEC}" name="Comments" dataDxfId="675"/>
    <tableColumn id="29" xr3:uid="{6F072F4C-0343-4539-B818-BAB8E7A4E090}" name="Does this story meets expectations" dataDxfId="67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38BDC7-D175-47CF-B670-FC5DC6D46326}" name="Table1456789111231413342657891011121415161718192021" displayName="Table1456789111231413342657891011121415161718192021" ref="A1:AE8" totalsRowShown="0" headerRowDxfId="673" dataDxfId="672" tableBorderDxfId="671">
  <autoFilter ref="A1:AE8" xr:uid="{B5D083CE-8877-4237-BEDA-8FC85C398B86}"/>
  <tableColumns count="31">
    <tableColumn id="1" xr3:uid="{B335D487-D0B0-47A9-8E69-557693473D26}" name="S.No" dataDxfId="670"/>
    <tableColumn id="27" xr3:uid="{FFB316E0-DB73-42BD-86A1-17A4734F104B}" name="Application Name" dataDxfId="669"/>
    <tableColumn id="26" xr3:uid="{20B359BD-9212-4167-BE78-5035E6D326A8}" name="Sprint Start Date" dataDxfId="668"/>
    <tableColumn id="25" xr3:uid="{317DDDA1-AFD8-4DE1-B1BA-DCD29ABE008E}" name="Sprint End Date" dataDxfId="667"/>
    <tableColumn id="2" xr3:uid="{7102BACD-FD67-4BD1-B3AA-4F1FDAFEED66}" name="Sprint " dataDxfId="666"/>
    <tableColumn id="3" xr3:uid="{65D1D6A7-DE3A-489C-BC01-474B7D93A347}" name="Developer" dataDxfId="665"/>
    <tableColumn id="4" xr3:uid="{69F21C0B-5FAE-4AC8-BB4E-54440368B6FD}" name="Story ID/Defect ID" dataDxfId="664"/>
    <tableColumn id="5" xr3:uid="{750F54D3-51E8-4C69-A1CE-198C3561C510}" name="Description" dataDxfId="663"/>
    <tableColumn id="6" xr3:uid="{F898CF2D-BC0E-4D9C-A7D1-F5FCFCF801FA}" name="Status" dataDxfId="662"/>
    <tableColumn id="7" xr3:uid="{E63E57C1-9AF5-4CF6-9AE7-668898998EF1}" name="Estimated(sp)" dataDxfId="661"/>
    <tableColumn id="8" xr3:uid="{24848D53-3886-418C-80AA-7F4E981D9B92}" name="Actual(sp)" dataDxfId="660"/>
    <tableColumn id="28" xr3:uid="{AFCCE21A-3BB9-4223-842F-B984B389DC5E}" name="Actual Hours Worklog" dataDxfId="659"/>
    <tableColumn id="30" xr3:uid="{BEEC069D-9FB0-4DDB-82E5-E499B7899ECE}" name="Dev Start Date" dataDxfId="658"/>
    <tableColumn id="31" xr3:uid="{633B5CAA-1C90-4A97-800D-87A25AAD0CB0}" name="Dev End Date" dataDxfId="657"/>
    <tableColumn id="9" xr3:uid="{625A5F47-B800-4A3E-AEEE-CD2300B5FD43}" name="Unit testing" dataDxfId="656"/>
    <tableColumn id="10" xr3:uid="{5C7DB457-11A3-4BAA-A5E2-C028DF47DA94}" name="Peer Tested By" dataDxfId="655"/>
    <tableColumn id="11" xr3:uid="{99D8AD98-1224-46EA-B506-A811F49334BB}" name="Peer Tested Defects, if any" dataDxfId="654"/>
    <tableColumn id="12" xr3:uid="{9EE4F248-26D4-446C-9D0F-B86085A67017}" name="Peer Reviewed By" dataDxfId="653"/>
    <tableColumn id="13" xr3:uid="{87F38EE8-79FA-4F1F-9C78-88EE9565CD61}" name="Peer Code Review Comments, if any" dataDxfId="652"/>
    <tableColumn id="14" xr3:uid="{415FEA81-A38D-45F0-B84C-E6D75FD54BF3}" name="PR Number/Link" dataDxfId="651" dataCellStyle="Hyperlink"/>
    <tableColumn id="15" xr3:uid="{83005496-A0C0-4A0F-85C7-4B75D4865EB4}" name="PR Created Date" dataDxfId="650"/>
    <tableColumn id="16" xr3:uid="{F2B0138D-0A0A-4768-88A4-49852C0DD4F6}" name="PR Approved Date" dataDxfId="649"/>
    <tableColumn id="17" xr3:uid="{D380D4A4-33EB-4A44-B5F8-E271F87BF847}" name="Reviewer 1" dataDxfId="648"/>
    <tableColumn id="18" xr3:uid="{BEC27243-9B4E-4D54-9441-EAE2FB83E919}" name="Code Review Comments, if any" dataDxfId="647"/>
    <tableColumn id="19" xr3:uid="{84B0FBF3-443C-43E1-BBA4-E19BEB486EFF}" name="Reviewer 2" dataDxfId="646"/>
    <tableColumn id="20" xr3:uid="{19D60C15-C191-489E-BBE1-05BF44DC61FB}" name="Approved Date" dataDxfId="645"/>
    <tableColumn id="21" xr3:uid="{0C773E12-DE1D-4A4C-8D6B-6940C52B246E}" name="Code Review Comments, if any2" dataDxfId="644"/>
    <tableColumn id="22" xr3:uid="{94775971-5B9D-456C-A56E-72539A9893B9}" name="Internal PO -POV Comments" dataDxfId="643"/>
    <tableColumn id="23" xr3:uid="{BD674AC2-15CF-4E53-9922-B566CF654DC5}" name="Client PO -POV Comments" dataDxfId="642"/>
    <tableColumn id="24" xr3:uid="{2A8D4279-9EDA-4336-BEB6-E39166457882}" name="Comments" dataDxfId="641"/>
    <tableColumn id="29" xr3:uid="{610551B2-0302-418D-857D-685274E388B4}" name="Does this story meets expectations" dataDxfId="64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1B9FD07-0D6B-4FB3-8EFA-D72425273711}" name="Table14567891112314133426578910111214151617181920" displayName="Table14567891112314133426578910111214151617181920" ref="A1:AE8" totalsRowShown="0" headerRowDxfId="639" dataDxfId="638" tableBorderDxfId="637">
  <autoFilter ref="A1:AE8" xr:uid="{B5D083CE-8877-4237-BEDA-8FC85C398B86}"/>
  <tableColumns count="31">
    <tableColumn id="1" xr3:uid="{53075E05-EBEE-4AF1-B8BE-28DA103F99C4}" name="S.No" dataDxfId="636"/>
    <tableColumn id="27" xr3:uid="{D9D313EA-22A9-44C2-BB50-8FD5E161AEEB}" name="Application Name" dataDxfId="635"/>
    <tableColumn id="26" xr3:uid="{94EC5175-68E0-4BB2-AB9C-B7269E7DB77D}" name="Sprint Start Date" dataDxfId="634"/>
    <tableColumn id="25" xr3:uid="{10CF1D1C-5E1F-4E2A-814B-5171448CD573}" name="Sprint End Date" dataDxfId="633"/>
    <tableColumn id="2" xr3:uid="{4BEEA534-7AED-4159-BEE3-BF6C2B7E34FE}" name="Sprint " dataDxfId="632"/>
    <tableColumn id="3" xr3:uid="{2D35BC39-FB45-4483-98B3-4B83AB503074}" name="Developer" dataDxfId="631"/>
    <tableColumn id="4" xr3:uid="{4449A9D8-2F32-4645-AF52-9BCEF6E81A2E}" name="Story ID/Defect ID" dataDxfId="630"/>
    <tableColumn id="5" xr3:uid="{FF8B464D-1611-4B7B-A7BA-64B02AF423EE}" name="Description" dataDxfId="629"/>
    <tableColumn id="6" xr3:uid="{096DDF8B-929C-4D3B-9027-30AAB60DB510}" name="Status" dataDxfId="628"/>
    <tableColumn id="7" xr3:uid="{70A700A8-CD3E-48CE-892D-DB19769EF79F}" name="Estimated(sp)" dataDxfId="627"/>
    <tableColumn id="8" xr3:uid="{E9FAE32E-CB41-4F54-AEC1-23C00A5EC30F}" name="Actual(sp)" dataDxfId="626"/>
    <tableColumn id="28" xr3:uid="{6DBEC5FA-5334-499B-BD23-316500A9C335}" name="Actual Hours Worklog" dataDxfId="625"/>
    <tableColumn id="30" xr3:uid="{7001FB76-94A8-449C-A3CD-7463A229BAAA}" name="Dev Start Date" dataDxfId="624"/>
    <tableColumn id="31" xr3:uid="{19A7B037-01CC-4B11-B824-54F270EA8972}" name="Dev End Date" dataDxfId="623"/>
    <tableColumn id="9" xr3:uid="{D2C25B79-A1DA-490D-A250-9D31E63E3A76}" name="Unit testing" dataDxfId="622"/>
    <tableColumn id="10" xr3:uid="{0B2274FD-3838-4119-A29E-C4FF03609EF8}" name="Peer Tested By" dataDxfId="621"/>
    <tableColumn id="11" xr3:uid="{D9F14C49-7A59-4338-8C37-B0F40C97A09D}" name="Peer Tested Defects, if any" dataDxfId="620"/>
    <tableColumn id="12" xr3:uid="{BA02448D-B349-49FD-AEF0-ADBACBF28842}" name="Peer Reviewed By" dataDxfId="619"/>
    <tableColumn id="13" xr3:uid="{5F66EFFE-2CE9-4995-83B0-D3F7D15AD9DE}" name="Peer Code Review Comments, if any" dataDxfId="618"/>
    <tableColumn id="14" xr3:uid="{6CB2E238-7C87-4433-8766-F10FE1736308}" name="PR Number/Link" dataDxfId="617" dataCellStyle="Hyperlink"/>
    <tableColumn id="15" xr3:uid="{D230BD2A-886A-47AE-8394-B5836B393ED0}" name="PR Created Date" dataDxfId="616"/>
    <tableColumn id="16" xr3:uid="{F14A5B8C-1CC0-4344-9CD8-86DFC4E41DA7}" name="PR Approved Date" dataDxfId="615"/>
    <tableColumn id="17" xr3:uid="{F17ABD94-0ACB-40A2-A731-F0286AE2C262}" name="Reviewer 1" dataDxfId="614"/>
    <tableColumn id="18" xr3:uid="{EB19AE0A-4DBC-4594-8072-C934FA15E5F3}" name="Code Review Comments, if any" dataDxfId="613"/>
    <tableColumn id="19" xr3:uid="{09843B0F-DBE3-414F-9B40-EC4B682B522A}" name="Reviewer 2" dataDxfId="612"/>
    <tableColumn id="20" xr3:uid="{8A27F6E5-DB8F-4488-9B41-98B7CA812010}" name="Approved Date" dataDxfId="611"/>
    <tableColumn id="21" xr3:uid="{A29DDC16-9788-4CA9-97EB-DC05C799D3C4}" name="Code Review Comments, if any2" dataDxfId="610"/>
    <tableColumn id="22" xr3:uid="{8A524765-1891-402A-B004-713E2CBE4852}" name="Internal PO -POV Comments" dataDxfId="609"/>
    <tableColumn id="23" xr3:uid="{C2C8C2A2-021B-49FB-BC33-FA282ACF668F}" name="Client PO -POV Comments" dataDxfId="608"/>
    <tableColumn id="24" xr3:uid="{82941E27-EFDC-497F-8773-7FD9B95D3662}" name="Comments" dataDxfId="607"/>
    <tableColumn id="29" xr3:uid="{17DBCA16-092F-471D-B723-68F4FCCA1108}" name="Does this story meets expectations" dataDxfId="60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33A2092-2F24-43C7-9D63-6D5BBCFE57AA}" name="Table145678911123141334265789101112141516171819" displayName="Table145678911123141334265789101112141516171819" ref="A1:AE7" totalsRowShown="0" headerRowDxfId="605" dataDxfId="604" tableBorderDxfId="603">
  <autoFilter ref="A1:AE7" xr:uid="{B5D083CE-8877-4237-BEDA-8FC85C398B86}"/>
  <tableColumns count="31">
    <tableColumn id="1" xr3:uid="{EDBB2E30-C758-4589-B0B0-A9B71D26162E}" name="S.No" dataDxfId="602"/>
    <tableColumn id="27" xr3:uid="{8355DE73-F5E5-49A4-B308-09624F709B64}" name="Application Name" dataDxfId="601"/>
    <tableColumn id="26" xr3:uid="{40939F24-346E-4BBF-9F7B-4C440D21E9AC}" name="Sprint Start Date" dataDxfId="600"/>
    <tableColumn id="25" xr3:uid="{336817A8-80C4-4AC4-B0FB-45B8D52BDC6D}" name="Sprint End Date" dataDxfId="599"/>
    <tableColumn id="2" xr3:uid="{478D0D38-1A28-4637-946C-3DF6D530073D}" name="Sprint " dataDxfId="598"/>
    <tableColumn id="3" xr3:uid="{964CBEDF-76CE-4477-80EA-379ADEDBF903}" name="Developer" dataDxfId="597"/>
    <tableColumn id="4" xr3:uid="{DE52F9C9-0157-4BE9-9D4C-C80A3B7ADA97}" name="Story ID/Defect ID" dataDxfId="596"/>
    <tableColumn id="5" xr3:uid="{553B3463-8C76-4FCE-99FE-A5AC3C6E4C83}" name="Description" dataDxfId="595"/>
    <tableColumn id="6" xr3:uid="{605CC2F4-E279-4C4F-A4F0-DA0C9D977982}" name="Status" dataDxfId="594"/>
    <tableColumn id="7" xr3:uid="{C8FA15E8-C293-4710-933A-873E7228C406}" name="Estimated(sp)" dataDxfId="593"/>
    <tableColumn id="8" xr3:uid="{46945143-4A15-4FCD-94F0-4B1B0178208D}" name="Actual(sp)" dataDxfId="592"/>
    <tableColumn id="28" xr3:uid="{0889D1BA-0FF6-4B8A-8277-DC056686BF8F}" name="Actual Hours Worklog" dataDxfId="591"/>
    <tableColumn id="30" xr3:uid="{48120D2E-4D1A-4F49-9B4C-17FB398E8652}" name="Dev Start Date" dataDxfId="590"/>
    <tableColumn id="31" xr3:uid="{3E716893-30B8-4D41-8BCD-E56E26404279}" name="Dev End Date" dataDxfId="589"/>
    <tableColumn id="9" xr3:uid="{620DA878-E964-4DC5-83A2-5C29538A1B66}" name="Unit testing" dataDxfId="588"/>
    <tableColumn id="10" xr3:uid="{D8F3E3B6-0D29-45E5-8955-C4912B4C74AF}" name="Peer Tested By" dataDxfId="587"/>
    <tableColumn id="11" xr3:uid="{6100BB9E-EF31-4A35-AEAF-F11C81CBE47F}" name="Peer Tested Defects, if any" dataDxfId="586"/>
    <tableColumn id="12" xr3:uid="{E1CFCBA9-2834-4092-B6BA-CDE2AC3339CE}" name="Peer Reviewed By" dataDxfId="585"/>
    <tableColumn id="13" xr3:uid="{F14A063C-61BB-4085-B7B9-C64631D4CB85}" name="Peer Code Review Comments, if any" dataDxfId="584"/>
    <tableColumn id="14" xr3:uid="{D6003AC0-2205-41F2-A683-02B9013D7EA1}" name="PR Number/Link" dataDxfId="583" dataCellStyle="Hyperlink"/>
    <tableColumn id="15" xr3:uid="{41409614-038E-4B66-B4F3-BC7147D4BF8E}" name="PR Created Date" dataDxfId="582"/>
    <tableColumn id="16" xr3:uid="{117FF5D4-E418-4004-A148-2A8A42D86CA1}" name="PR Approved Date" dataDxfId="581"/>
    <tableColumn id="17" xr3:uid="{C8D01B91-41BE-4180-9D51-C4C761FC248C}" name="Reviewer 1" dataDxfId="580"/>
    <tableColumn id="18" xr3:uid="{BAFBF983-B1CA-466C-96A4-CEC2DB737427}" name="Code Review Comments, if any" dataDxfId="579"/>
    <tableColumn id="19" xr3:uid="{AAD4B9AC-DC8C-4E39-A35B-1B9E4B168BF7}" name="Reviewer 2" dataDxfId="578"/>
    <tableColumn id="20" xr3:uid="{0E785E3E-AAC0-40DB-A3CF-443CDCF1366E}" name="Approved Date" dataDxfId="577"/>
    <tableColumn id="21" xr3:uid="{116987F1-FF2C-494B-BBDF-E9346D593FBC}" name="Code Review Comments, if any2" dataDxfId="576"/>
    <tableColumn id="22" xr3:uid="{BBCDB27E-ABBA-46AB-BDF3-72E4B360816D}" name="Internal PO -POV Comments" dataDxfId="575"/>
    <tableColumn id="23" xr3:uid="{C8DB0EB7-3231-47BB-A618-3F8E174457E6}" name="Client PO -POV Comments" dataDxfId="574"/>
    <tableColumn id="24" xr3:uid="{A446E5C9-5F99-4743-949C-0D54A62F934F}" name="Comments" dataDxfId="573"/>
    <tableColumn id="29" xr3:uid="{A93ECEA8-E3F5-438E-8182-C78BECA1C603}" name="Does this story meets expectations" dataDxfId="57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603A62C-ADC4-4B82-89AB-D31B4817F3DF}" name="Table1456789111231413342657891011121415161718" displayName="Table1456789111231413342657891011121415161718" ref="A1:AE7" totalsRowShown="0" headerRowDxfId="571" dataDxfId="570" tableBorderDxfId="569">
  <autoFilter ref="A1:AE7" xr:uid="{B5D083CE-8877-4237-BEDA-8FC85C398B86}"/>
  <tableColumns count="31">
    <tableColumn id="1" xr3:uid="{B629A39C-6742-449D-9B1D-847FCDE5DEC2}" name="S.No" dataDxfId="568"/>
    <tableColumn id="27" xr3:uid="{D3E026FD-EEEB-4922-B0DF-08E5BC42194F}" name="Application Name" dataDxfId="567"/>
    <tableColumn id="26" xr3:uid="{44E87932-900A-40F0-8C73-0D4F266C4F51}" name="Sprint Start Date" dataDxfId="566"/>
    <tableColumn id="25" xr3:uid="{A813E5E5-5295-46A3-A024-1E129ACFE18F}" name="Sprint End Date" dataDxfId="565"/>
    <tableColumn id="2" xr3:uid="{9F4CE555-F7CA-48A7-9DE5-FB299F9ED301}" name="Sprint " dataDxfId="564"/>
    <tableColumn id="3" xr3:uid="{1B7BEC5F-9415-4B24-BB0C-E09952039368}" name="Developer" dataDxfId="563"/>
    <tableColumn id="4" xr3:uid="{450FA009-0599-4F84-BB1C-33201095AE22}" name="Story ID/Defect ID" dataDxfId="562"/>
    <tableColumn id="5" xr3:uid="{6FFD8A3E-9E4B-464C-9748-24B6A3B95758}" name="Description" dataDxfId="561"/>
    <tableColumn id="6" xr3:uid="{CE05A1C8-A6F6-4F5B-9CAD-312ED27D3F84}" name="Status" dataDxfId="560"/>
    <tableColumn id="7" xr3:uid="{930D98A5-9658-44FC-B036-578B8B01BA07}" name="Estimated(sp)" dataDxfId="559"/>
    <tableColumn id="8" xr3:uid="{3262D48A-E55A-4471-907F-DE5ADFBF642E}" name="Actual(sp)" dataDxfId="558"/>
    <tableColumn id="28" xr3:uid="{EA97C212-9A28-47C8-9C3B-8B79234A34AF}" name="Actual Hours Worklog" dataDxfId="557"/>
    <tableColumn id="30" xr3:uid="{3F11A67C-15F0-45CA-AE1A-D2C144854099}" name="Dev Start Date" dataDxfId="556"/>
    <tableColumn id="31" xr3:uid="{6E8E9FEA-9C8E-4634-A36C-CACBC9AE9447}" name="Dev End Date" dataDxfId="555"/>
    <tableColumn id="9" xr3:uid="{69FAEFF8-E89B-41C6-963D-2BE2BBDE451A}" name="Unit testing" dataDxfId="554"/>
    <tableColumn id="10" xr3:uid="{9F109855-6E72-46BA-9704-6328FD20614B}" name="Peer Tested By" dataDxfId="553"/>
    <tableColumn id="11" xr3:uid="{A35BE304-9266-4F6B-BA82-18276454DFA4}" name="Peer Tested Defects, if any" dataDxfId="552"/>
    <tableColumn id="12" xr3:uid="{186A943E-D8B5-4380-AA9A-19D27D69B558}" name="Peer Reviewed By" dataDxfId="551"/>
    <tableColumn id="13" xr3:uid="{2864E9BD-8E8C-4F83-BEBE-EB5085B58F00}" name="Peer Code Review Comments, if any" dataDxfId="550"/>
    <tableColumn id="14" xr3:uid="{9CE410F1-DD59-4CE5-96E2-81C4D69D13B3}" name="PR Number/Link" dataDxfId="549" dataCellStyle="Hyperlink"/>
    <tableColumn id="15" xr3:uid="{384D4B7E-F57B-45C3-88FC-0D833DBBDC8F}" name="PR Created Date" dataDxfId="548"/>
    <tableColumn id="16" xr3:uid="{2D0E6743-F376-4FBA-8C93-5C287AE638D9}" name="PR Approved Date" dataDxfId="547"/>
    <tableColumn id="17" xr3:uid="{8DD14438-40B4-47B8-8EB6-4541D14F93D9}" name="Reviewer 1" dataDxfId="546"/>
    <tableColumn id="18" xr3:uid="{8A1BE0CF-5F4E-4993-9AFE-A263106CFE55}" name="Code Review Comments, if any" dataDxfId="545"/>
    <tableColumn id="19" xr3:uid="{4BA67F4F-B8BE-4337-8F99-71EC02FA904C}" name="Reviewer 2" dataDxfId="544"/>
    <tableColumn id="20" xr3:uid="{389E390C-3C01-440E-A1A1-128CC70C6594}" name="Approved Date" dataDxfId="543"/>
    <tableColumn id="21" xr3:uid="{8C17B9C8-1359-4405-ABA6-839702D0D52C}" name="Code Review Comments, if any2" dataDxfId="542"/>
    <tableColumn id="22" xr3:uid="{4AE65D57-C01B-4B63-AC94-9A19D257CB5C}" name="Internal PO -POV Comments" dataDxfId="541"/>
    <tableColumn id="23" xr3:uid="{B4B34DA4-3078-438D-8302-9B1714448107}" name="Client PO -POV Comments" dataDxfId="540"/>
    <tableColumn id="24" xr3:uid="{B3C51CEB-1EB3-47A3-A6D3-DF3795DF8594}" name="Comments" dataDxfId="539"/>
    <tableColumn id="29" xr3:uid="{051C5F26-1CB1-4856-B572-3FF9F065B8D6}" name="Does this story meets expectations" dataDxfId="53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D8E938F-4C09-4673-A59C-6AA22D6DEDE0}" name="Table1456789111231413342657891011121415" displayName="Table1456789111231413342657891011121415" ref="A1:AE7" totalsRowShown="0" headerRowDxfId="537" dataDxfId="536" tableBorderDxfId="535">
  <autoFilter ref="A1:AE7" xr:uid="{B5D083CE-8877-4237-BEDA-8FC85C398B86}"/>
  <tableColumns count="31">
    <tableColumn id="1" xr3:uid="{1511F690-C6C0-42B4-9370-C4CBB07B7A41}" name="S.No" dataDxfId="534"/>
    <tableColumn id="27" xr3:uid="{7E6AA190-C978-45B3-8603-4CFF9375448D}" name="Application Name" dataDxfId="533"/>
    <tableColumn id="26" xr3:uid="{152F0219-1F17-497A-987D-E0F732A405B4}" name="Sprint Start Date" dataDxfId="532"/>
    <tableColumn id="25" xr3:uid="{D88877E8-8404-4384-B3B5-40C143E761AB}" name="Sprint End Date" dataDxfId="531"/>
    <tableColumn id="2" xr3:uid="{75E092C5-3FA2-4B6F-9E21-48671D00630D}" name="Sprint " dataDxfId="530"/>
    <tableColumn id="3" xr3:uid="{761C9953-5038-4B93-AB48-A0EA5A8CCA9C}" name="Developer" dataDxfId="529"/>
    <tableColumn id="4" xr3:uid="{16B7B799-2520-4161-AEBF-37D763D66DA8}" name="Story ID/Defect ID" dataDxfId="528"/>
    <tableColumn id="5" xr3:uid="{7C66BEEF-F88D-4282-960E-4EB3F5D61C1A}" name="Description" dataDxfId="527"/>
    <tableColumn id="6" xr3:uid="{7D60D9F2-5726-4399-BC11-AB64D1272107}" name="Status" dataDxfId="526"/>
    <tableColumn id="7" xr3:uid="{EFA07FE6-3605-4E8F-AEAB-BD23A69295ED}" name="Estimated(sp)" dataDxfId="525"/>
    <tableColumn id="8" xr3:uid="{5D17968B-CC80-4CE7-B1D6-D7237D682FDF}" name="Actual(sp)" dataDxfId="524"/>
    <tableColumn id="28" xr3:uid="{8A19B0F3-37D2-4A58-88B8-5D5B6CA60436}" name="Actual Hours Worklog" dataDxfId="523"/>
    <tableColumn id="30" xr3:uid="{080C4FEB-85E8-426E-A064-B2C25CFEDB9B}" name="Dev Start Date" dataDxfId="522"/>
    <tableColumn id="31" xr3:uid="{B57C5C93-0BCB-448C-A9A3-A44E39FFB61F}" name="Dev End Date" dataDxfId="521"/>
    <tableColumn id="9" xr3:uid="{B5CB42E7-63B1-42AB-81E5-2D6B1B54FDA2}" name="Unit testing" dataDxfId="520"/>
    <tableColumn id="10" xr3:uid="{AFF2A4FE-F6CB-4A11-B3B7-8B16DE9C7997}" name="Peer Tested By" dataDxfId="519"/>
    <tableColumn id="11" xr3:uid="{272279EC-92CD-4CE8-8879-347C77ED78BF}" name="Peer Tested Defects, if any" dataDxfId="518"/>
    <tableColumn id="12" xr3:uid="{71F8DCF1-8C9E-45C9-A800-216F47C3C70F}" name="Peer Reviewed By" dataDxfId="517"/>
    <tableColumn id="13" xr3:uid="{B4E6603D-EE1F-486F-8927-089141149697}" name="Peer Code Review Comments, if any" dataDxfId="516"/>
    <tableColumn id="14" xr3:uid="{6BC73A12-F2C4-4F72-B089-17B3A3D18380}" name="PR Number/Link" dataDxfId="515" dataCellStyle="Hyperlink"/>
    <tableColumn id="15" xr3:uid="{025B3EE3-75C1-4294-A471-5EB0A6DF195A}" name="PR Created Date" dataDxfId="514"/>
    <tableColumn id="16" xr3:uid="{C8F5CB09-3CE9-46E7-8373-9222B50BDC86}" name="PR Approved Date" dataDxfId="513"/>
    <tableColumn id="17" xr3:uid="{190E42E7-FF22-45DC-84CB-6360FC084397}" name="Reviewer 1" dataDxfId="512"/>
    <tableColumn id="18" xr3:uid="{AA371CFC-3599-4402-BD46-B3D2C7E6C0D4}" name="Code Review Comments, if any" dataDxfId="511"/>
    <tableColumn id="19" xr3:uid="{8F768864-A00C-4CA8-B52E-788BAC70C556}" name="Reviewer 2" dataDxfId="510"/>
    <tableColumn id="20" xr3:uid="{84A624E5-8859-40A1-A829-64118F0B2F7D}" name="Approved Date" dataDxfId="509"/>
    <tableColumn id="21" xr3:uid="{B396CE2A-3144-4C51-9554-74655E9229DC}" name="Code Review Comments, if any2" dataDxfId="508"/>
    <tableColumn id="22" xr3:uid="{03ED40F1-3966-4815-B022-569BF3502BFC}" name="Internal PO -POV Comments" dataDxfId="507"/>
    <tableColumn id="23" xr3:uid="{DD67012E-1CB9-4C69-A00F-7AF15EC43E78}" name="Client PO -POV Comments" dataDxfId="506"/>
    <tableColumn id="24" xr3:uid="{95339CE1-B572-474A-AEA0-DB063F3FE590}" name="Comments" dataDxfId="505"/>
    <tableColumn id="29" xr3:uid="{10025882-2C2A-4551-900F-9AC2BB3D10F3}" name="Does this story meets expectations" dataDxfId="50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0566099-85CD-4B35-987B-BEA10798D80B}" name="Table14567891112314133426578910111214151617" displayName="Table14567891112314133426578910111214151617" ref="A1:AE8" totalsRowShown="0" headerRowDxfId="503" dataDxfId="502" tableBorderDxfId="501">
  <autoFilter ref="A1:AE8" xr:uid="{B5D083CE-8877-4237-BEDA-8FC85C398B86}"/>
  <tableColumns count="31">
    <tableColumn id="1" xr3:uid="{B06B038D-EBDC-4CA9-AD37-E2A7FB3DC7C6}" name="S.No" dataDxfId="500"/>
    <tableColumn id="27" xr3:uid="{4EE0A861-1BE7-4AC5-AF8F-BAA92959E0A4}" name="Application Name" dataDxfId="499"/>
    <tableColumn id="26" xr3:uid="{F3BD801E-5C59-4F7E-9F44-CF655748931A}" name="Sprint Start Date" dataDxfId="498"/>
    <tableColumn id="25" xr3:uid="{C5B80F5F-8279-4C85-8C62-CD0195CC83B3}" name="Sprint End Date" dataDxfId="497"/>
    <tableColumn id="2" xr3:uid="{5352DA6E-B905-40EF-8161-6E5F29667CA7}" name="Sprint " dataDxfId="496"/>
    <tableColumn id="3" xr3:uid="{B4E3DFC7-1A81-4BD8-9465-B736CAE483D8}" name="Developer" dataDxfId="495"/>
    <tableColumn id="4" xr3:uid="{E13BB145-5F46-4532-88DF-7F59F70652C6}" name="Story ID/Defect ID" dataDxfId="494"/>
    <tableColumn id="5" xr3:uid="{D7285C68-BD25-48B1-9C6B-BA86575EBCD5}" name="Description" dataDxfId="493"/>
    <tableColumn id="6" xr3:uid="{37F55B74-EDAA-48A9-809D-9EC6082475E7}" name="Status" dataDxfId="492"/>
    <tableColumn id="7" xr3:uid="{55592B52-2AFF-434F-8AB6-88FE831E6CE3}" name="Estimated(sp)" dataDxfId="491"/>
    <tableColumn id="8" xr3:uid="{4132445B-EDDB-4A7C-B8DC-AA4F9AC48922}" name="Actual(sp)" dataDxfId="490"/>
    <tableColumn id="28" xr3:uid="{F723D62D-A580-4B0E-930C-224842C15850}" name="Actual Hours Worklog" dataDxfId="489"/>
    <tableColumn id="30" xr3:uid="{ED566956-3119-471B-9AAA-FDF6A723B538}" name="Dev Start Date" dataDxfId="488"/>
    <tableColumn id="31" xr3:uid="{50759D9E-1255-4E18-8D23-E6AB012CAECD}" name="Dev End Date" dataDxfId="487"/>
    <tableColumn id="9" xr3:uid="{9965CB1E-7E99-4046-A00B-FCFA11BF36C5}" name="Unit testing" dataDxfId="486"/>
    <tableColumn id="10" xr3:uid="{97B26971-AB74-4E24-BE3F-D49E7CBEB893}" name="Peer Tested By" dataDxfId="485"/>
    <tableColumn id="11" xr3:uid="{135A9CF8-1539-4B75-BCE6-AE9F583390CA}" name="Peer Tested Defects, if any" dataDxfId="484"/>
    <tableColumn id="12" xr3:uid="{641D5136-D268-4965-9F23-55CBF1D6A4D4}" name="Peer Reviewed By" dataDxfId="483"/>
    <tableColumn id="13" xr3:uid="{779AAAA3-B783-479A-8EDC-CA3B67204FBB}" name="Peer Code Review Comments, if any" dataDxfId="482"/>
    <tableColumn id="14" xr3:uid="{2F4EA7E2-2B07-4763-A1F9-3E1DC8606C44}" name="PR Number/Link" dataDxfId="481" dataCellStyle="Hyperlink"/>
    <tableColumn id="15" xr3:uid="{D53A8C80-6446-44F5-A70A-8167209D785D}" name="PR Created Date" dataDxfId="480"/>
    <tableColumn id="16" xr3:uid="{2C9401C5-A9C3-43A7-8F04-BA65BF724A5A}" name="PR Approved Date" dataDxfId="479"/>
    <tableColumn id="17" xr3:uid="{E19D85B1-ECB5-48FB-9C60-9CDC09092C38}" name="Reviewer 1" dataDxfId="478"/>
    <tableColumn id="18" xr3:uid="{F2EC92CF-47CF-49AB-9DFF-F46C306DC7E0}" name="Code Review Comments, if any" dataDxfId="477"/>
    <tableColumn id="19" xr3:uid="{5097BED1-37BC-418C-9D35-BF5CE05A5386}" name="Reviewer 2" dataDxfId="476"/>
    <tableColumn id="20" xr3:uid="{DFD0451A-DA99-41BB-89FF-CBB1558A952F}" name="Approved Date" dataDxfId="475"/>
    <tableColumn id="21" xr3:uid="{9C07560B-8D59-411A-979C-18807EC44077}" name="Code Review Comments, if any2" dataDxfId="474"/>
    <tableColumn id="22" xr3:uid="{CEC8E13E-133D-435F-B174-6BCA428E5921}" name="Internal PO -POV Comments" dataDxfId="473"/>
    <tableColumn id="23" xr3:uid="{99C9C3C5-31D0-4988-95CA-F8ED2CA4DB0F}" name="Client PO -POV Comments" dataDxfId="472"/>
    <tableColumn id="24" xr3:uid="{E4CF82B0-8D51-4556-9322-544DC0B844B8}" name="Comments" dataDxfId="471"/>
    <tableColumn id="29" xr3:uid="{5457E7EE-C80B-4C89-B947-FEFCEBDC24F5}" name="Does this story meets expectations" dataDxfId="47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844EF5-0233-4D9A-A806-A75CCD2B4D75}" name="Table145678911123141334265789101112141516" displayName="Table145678911123141334265789101112141516" ref="A1:AE8" totalsRowShown="0" headerRowDxfId="469" dataDxfId="468" tableBorderDxfId="467">
  <autoFilter ref="A1:AE8" xr:uid="{B5D083CE-8877-4237-BEDA-8FC85C398B86}"/>
  <tableColumns count="31">
    <tableColumn id="1" xr3:uid="{4009077B-E4F6-46DC-A71A-8AB3A293FD5C}" name="S.No" dataDxfId="466"/>
    <tableColumn id="27" xr3:uid="{ECE715C8-77C8-4001-ABE8-298CBF563ECD}" name="Application Name" dataDxfId="465"/>
    <tableColumn id="26" xr3:uid="{1DDB11DB-16C3-4464-9B05-EB71DA680EA1}" name="Sprint Start Date" dataDxfId="464"/>
    <tableColumn id="25" xr3:uid="{4BB925A1-71A4-4A68-A9F5-D8AA8C9C5A4F}" name="Sprint End Date" dataDxfId="463"/>
    <tableColumn id="2" xr3:uid="{E3FD673C-A26A-43C9-98EE-1FFED9D415B0}" name="Sprint " dataDxfId="462"/>
    <tableColumn id="3" xr3:uid="{41E701C6-BE84-4DDF-8D11-87F2BB0199AB}" name="Developer" dataDxfId="461"/>
    <tableColumn id="4" xr3:uid="{AC3A0651-B50C-4459-A77E-3EC127D698E6}" name="Story ID/Defect ID" dataDxfId="460"/>
    <tableColumn id="5" xr3:uid="{E4EB223D-0841-4F00-ADCB-F8ACA60E7032}" name="Description" dataDxfId="459"/>
    <tableColumn id="6" xr3:uid="{D1BE364D-6C29-49FF-AE9B-66F45248469F}" name="Status" dataDxfId="458"/>
    <tableColumn id="7" xr3:uid="{83C23C72-CE53-462E-A9A3-272FFDD60F1B}" name="Estimated(sp)" dataDxfId="457"/>
    <tableColumn id="8" xr3:uid="{8A516F04-934A-45DE-8015-F4975BE022FE}" name="Actual(sp)" dataDxfId="456"/>
    <tableColumn id="28" xr3:uid="{2C0AC585-1151-49BE-B9E9-196DF68B1E2B}" name="Actual Hours Worklog" dataDxfId="455"/>
    <tableColumn id="30" xr3:uid="{CD20AA04-CB28-4967-AD61-E414CD5CBA96}" name="Dev Start Date" dataDxfId="454"/>
    <tableColumn id="31" xr3:uid="{CE522D08-94ED-4783-8DA1-08B93D6085CE}" name="Dev End Date" dataDxfId="453"/>
    <tableColumn id="9" xr3:uid="{2C605F6D-CDA1-4B83-BE04-C3CDBD0BB698}" name="Unit testing" dataDxfId="452"/>
    <tableColumn id="10" xr3:uid="{81733EA1-258D-4D28-8764-7FDB6FE6E262}" name="Peer Tested By" dataDxfId="451"/>
    <tableColumn id="11" xr3:uid="{E2B67061-6689-47A3-B35D-6C13CEA85F52}" name="Peer Tested Defects, if any" dataDxfId="450"/>
    <tableColumn id="12" xr3:uid="{1CAE6DCB-8546-4BB8-B4C7-DE669DF1807C}" name="Peer Reviewed By" dataDxfId="449"/>
    <tableColumn id="13" xr3:uid="{F4D02525-309D-4095-AF21-297E4035C6DB}" name="Peer Code Review Comments, if any" dataDxfId="448"/>
    <tableColumn id="14" xr3:uid="{64C29654-C2BA-4704-BBAE-B562E024995B}" name="PR Number/Link" dataDxfId="447" dataCellStyle="Hyperlink"/>
    <tableColumn id="15" xr3:uid="{942042E6-760F-4F10-BF97-3F054D85C67E}" name="PR Created Date" dataDxfId="446"/>
    <tableColumn id="16" xr3:uid="{B9981615-AAEC-4EFA-906B-839CBD5634D6}" name="PR Approved Date" dataDxfId="445"/>
    <tableColumn id="17" xr3:uid="{17066430-44BE-4697-B6B9-EFCD99784239}" name="Reviewer 1" dataDxfId="444"/>
    <tableColumn id="18" xr3:uid="{134C390A-76CB-422B-BEC6-63F2430DA536}" name="Code Review Comments, if any" dataDxfId="443"/>
    <tableColumn id="19" xr3:uid="{CB704508-1487-4257-8399-2D0E1476333C}" name="Reviewer 2" dataDxfId="442"/>
    <tableColumn id="20" xr3:uid="{CB881D06-449D-46E5-AC4F-0C0E7E2843D5}" name="Approved Date" dataDxfId="441"/>
    <tableColumn id="21" xr3:uid="{C44668DF-187C-45E8-878E-85EDAB554698}" name="Code Review Comments, if any2" dataDxfId="440"/>
    <tableColumn id="22" xr3:uid="{515793E0-5C98-4850-81B8-4DF58DCF7F89}" name="Internal PO -POV Comments" dataDxfId="439"/>
    <tableColumn id="23" xr3:uid="{49E20263-8D3D-489F-B5CC-1D971935DAF0}" name="Client PO -POV Comments" dataDxfId="438"/>
    <tableColumn id="24" xr3:uid="{588893FC-234B-45C7-895A-9023F5736096}" name="Comments" dataDxfId="437"/>
    <tableColumn id="29" xr3:uid="{5D6D363F-6752-475F-B1B0-83580493E561}" name="Does this story meets expectations" dataDxfId="43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24B04B8-D87F-4476-9D2C-A4514A86956B}" name="Table14567891112314133426578910111214" displayName="Table14567891112314133426578910111214" ref="A1:AE8" totalsRowShown="0" headerRowDxfId="435" dataDxfId="434" tableBorderDxfId="433">
  <autoFilter ref="A1:AE8" xr:uid="{B5D083CE-8877-4237-BEDA-8FC85C398B86}"/>
  <tableColumns count="31">
    <tableColumn id="1" xr3:uid="{7B8B05AE-1BD2-4E40-844C-CACB78B2B30F}" name="S.No" dataDxfId="432"/>
    <tableColumn id="27" xr3:uid="{978D93CF-B54C-42C7-A8A6-2329920659FD}" name="Application Name" dataDxfId="431"/>
    <tableColumn id="26" xr3:uid="{8A8EF40B-0283-4E7B-84C1-EEFE6B83164A}" name="Sprint Start Date" dataDxfId="430"/>
    <tableColumn id="25" xr3:uid="{CB38F429-CADE-4B66-B768-20F286D57F8B}" name="Sprint End Date" dataDxfId="429"/>
    <tableColumn id="2" xr3:uid="{F69EAA46-B3FF-49A6-933A-764684938962}" name="Sprint " dataDxfId="428"/>
    <tableColumn id="3" xr3:uid="{99D1A14B-1DD3-4402-9F05-7821269078C4}" name="Developer" dataDxfId="427"/>
    <tableColumn id="4" xr3:uid="{4D346746-353C-46ED-AD9E-C2A6D88EDF45}" name="Story ID/Defect ID" dataDxfId="426"/>
    <tableColumn id="5" xr3:uid="{917E7D23-C1B8-417D-9DB2-DE1BA6259420}" name="Description" dataDxfId="425"/>
    <tableColumn id="6" xr3:uid="{9EFCFC94-F834-4539-91E3-1EFB7C3A832B}" name="Status" dataDxfId="424"/>
    <tableColumn id="7" xr3:uid="{E1394DB1-F344-4315-8E0E-AA8A417CB097}" name="Estimated(sp)" dataDxfId="423"/>
    <tableColumn id="8" xr3:uid="{8C6E32C5-21F0-48B8-A9EA-5CDE28E016C0}" name="Actual(sp)" dataDxfId="422"/>
    <tableColumn id="28" xr3:uid="{8C1C0455-0110-48B9-A0F4-ABBBD3EC9C64}" name="Actual Hours Worklog" dataDxfId="421"/>
    <tableColumn id="30" xr3:uid="{2AF4EF6F-9C98-4269-8414-44D3B936890B}" name="Dev Start Date" dataDxfId="420"/>
    <tableColumn id="31" xr3:uid="{4F3A8489-BF76-4336-ADEC-01EE5DAE801A}" name="Dev End Date" dataDxfId="419"/>
    <tableColumn id="9" xr3:uid="{C8552CE8-96CE-4E83-8918-820F6D216A7C}" name="Unit testing" dataDxfId="418"/>
    <tableColumn id="10" xr3:uid="{E58BA4E4-0120-4139-B07E-81762DD40914}" name="Peer Tested By" dataDxfId="417"/>
    <tableColumn id="11" xr3:uid="{BC220099-CB19-4EF3-BCC2-1FE56698D5CF}" name="Peer Tested Defects, if any" dataDxfId="416"/>
    <tableColumn id="12" xr3:uid="{E15BBBB9-C189-4DC3-97D5-2390C9A1A6C9}" name="Peer Reviewed By" dataDxfId="415"/>
    <tableColumn id="13" xr3:uid="{CD63EA4E-516B-4A6B-9D5E-CBE83FCB0837}" name="Peer Code Review Comments, if any" dataDxfId="414"/>
    <tableColumn id="14" xr3:uid="{4AEFEA5B-DDBB-44D4-9320-47E375778516}" name="PR Number/Link" dataDxfId="413" dataCellStyle="Hyperlink"/>
    <tableColumn id="15" xr3:uid="{E2A720EF-0666-4B4F-9A07-B2B828C60F60}" name="PR Created Date" dataDxfId="412"/>
    <tableColumn id="16" xr3:uid="{94B12A90-F91E-4F4C-AB4C-407A47FDFBF0}" name="PR Approved Date" dataDxfId="411"/>
    <tableColumn id="17" xr3:uid="{C10C1730-5264-4189-A4BA-774E68239DF7}" name="Reviewer 1" dataDxfId="410"/>
    <tableColumn id="18" xr3:uid="{49E7DE2D-89A3-4997-9174-7573FC98E867}" name="Code Review Comments, if any" dataDxfId="409"/>
    <tableColumn id="19" xr3:uid="{CE501B33-E363-4E6D-8AD3-005518CCDCB3}" name="Reviewer 2" dataDxfId="408"/>
    <tableColumn id="20" xr3:uid="{101801E8-DF4D-4DC3-9304-1F027FA41714}" name="Approved Date" dataDxfId="407"/>
    <tableColumn id="21" xr3:uid="{5CDBB67E-AFFE-496F-A713-B7784E568606}" name="Code Review Comments, if any2" dataDxfId="406"/>
    <tableColumn id="22" xr3:uid="{44329157-F350-4357-812E-4636A7480CE8}" name="Internal PO -POV Comments" dataDxfId="405"/>
    <tableColumn id="23" xr3:uid="{E91A93D3-349A-40B8-A930-A7B3563D85F4}" name="Client PO -POV Comments" dataDxfId="404"/>
    <tableColumn id="24" xr3:uid="{2EC2A8E2-200E-440F-A28A-BE32213944A5}" name="Comments" dataDxfId="403"/>
    <tableColumn id="29" xr3:uid="{5AB51162-DA68-46B1-A1C7-4B216C7827AA}" name="Does this story meets expectations" dataDxfId="40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8982E1-18FB-4364-86A5-BEAB55329D01}" name="Table145678911123141334265789101112" displayName="Table145678911123141334265789101112" ref="A1:AE7" totalsRowShown="0" headerRowDxfId="401" dataDxfId="400" tableBorderDxfId="399">
  <autoFilter ref="A1:AE7" xr:uid="{B5D083CE-8877-4237-BEDA-8FC85C398B86}"/>
  <tableColumns count="31">
    <tableColumn id="1" xr3:uid="{D6469646-9727-4A35-8144-7A2466412EFC}" name="S.No" dataDxfId="398"/>
    <tableColumn id="27" xr3:uid="{877182AC-16C7-424D-AE9D-5E986DEB688C}" name="Application Name" dataDxfId="397"/>
    <tableColumn id="26" xr3:uid="{5EABE402-68FA-4822-B144-6C4A8FBB3B33}" name="Sprint Start Date" dataDxfId="396"/>
    <tableColumn id="25" xr3:uid="{66285FA2-844E-465C-B5EF-9E2F023AA2F2}" name="Sprint End Date" dataDxfId="395"/>
    <tableColumn id="2" xr3:uid="{7A8B8C5A-F5FE-4253-B420-7B0653AF416F}" name="Sprint " dataDxfId="394"/>
    <tableColumn id="3" xr3:uid="{FDCEA9B6-1FC6-4483-9FF2-E4E3DD4BFE0C}" name="Developer" dataDxfId="393"/>
    <tableColumn id="4" xr3:uid="{B61788F5-0A7B-47FD-B411-33DD1335D306}" name="Story ID/Defect ID" dataDxfId="392"/>
    <tableColumn id="5" xr3:uid="{FB5862C7-348F-4A9F-919A-5249E4DFFB3E}" name="Description" dataDxfId="391"/>
    <tableColumn id="6" xr3:uid="{473EA07F-4002-4C22-97E0-1271815663A1}" name="Status" dataDxfId="390"/>
    <tableColumn id="7" xr3:uid="{A5539AE2-CC57-4539-A2B0-DC07FA14C135}" name="Estimated(sp)" dataDxfId="389"/>
    <tableColumn id="8" xr3:uid="{173BE8FA-F1EB-40EB-851B-24CC45B05836}" name="Actual(sp)" dataDxfId="388"/>
    <tableColumn id="28" xr3:uid="{5BF5CA01-EEF7-49F0-8983-17E6E1442EE6}" name="Actual Hours Worklog" dataDxfId="387"/>
    <tableColumn id="30" xr3:uid="{227CA416-9290-467D-BA83-7BF6DF22A128}" name="Dev Start Date" dataDxfId="386"/>
    <tableColumn id="31" xr3:uid="{CA709318-A60B-457B-8AB8-846F6C630135}" name="Dev End Date" dataDxfId="385"/>
    <tableColumn id="9" xr3:uid="{61C90262-D559-45C7-AAEF-30B18B011CA9}" name="Unit testing" dataDxfId="384"/>
    <tableColumn id="10" xr3:uid="{0C3942FB-EF4C-43A2-91AC-DC07AB7D4DA6}" name="Peer Tested By" dataDxfId="383"/>
    <tableColumn id="11" xr3:uid="{EEB45DA8-2F95-4AB5-8093-FADDF474D838}" name="Peer Tested Defects, if any" dataDxfId="382"/>
    <tableColumn id="12" xr3:uid="{39CC7933-E8B6-4C70-A696-8270BAFEA0F7}" name="Peer Reviewed By" dataDxfId="381"/>
    <tableColumn id="13" xr3:uid="{91B2826F-A6C1-4594-95E7-B1A1F944C2CD}" name="Peer Code Review Comments, if any" dataDxfId="380"/>
    <tableColumn id="14" xr3:uid="{D18FD2BB-7485-40F6-88D1-21F64A06F88E}" name="PR Number/Link" dataDxfId="379" dataCellStyle="Hyperlink"/>
    <tableColumn id="15" xr3:uid="{937D4D72-084C-4038-A02F-F36A98D4471D}" name="PR Created Date" dataDxfId="378"/>
    <tableColumn id="16" xr3:uid="{B6884F1F-36DA-414B-89AF-0C266987DB20}" name="PR Approved Date" dataDxfId="377"/>
    <tableColumn id="17" xr3:uid="{02F4B8C1-E041-4DC3-A92B-E455D9F3BCDF}" name="Reviewer 1" dataDxfId="376"/>
    <tableColumn id="18" xr3:uid="{15699C58-833F-4679-9113-A209485D3ACA}" name="Code Review Comments, if any" dataDxfId="375"/>
    <tableColumn id="19" xr3:uid="{4F6A96F8-644C-4AF1-A44B-E6B7865CC39C}" name="Reviewer 2" dataDxfId="374"/>
    <tableColumn id="20" xr3:uid="{B4F6A753-9A11-4B16-A4D3-035597DAB916}" name="Approved Date" dataDxfId="373"/>
    <tableColumn id="21" xr3:uid="{56AD084F-826F-476D-A19C-3B5D4CF4FFB9}" name="Code Review Comments, if any2" dataDxfId="372"/>
    <tableColumn id="22" xr3:uid="{C2E8F0BE-94A9-49A6-A053-CCFADDBAAFF7}" name="Internal PO -POV Comments" dataDxfId="371"/>
    <tableColumn id="23" xr3:uid="{B2848EF6-460F-4F52-A8DA-43FCAACE6E9E}" name="Client PO -POV Comments" dataDxfId="370"/>
    <tableColumn id="24" xr3:uid="{A0078F3E-49CF-47F1-8DDE-9642529967CA}" name="Comments" dataDxfId="369"/>
    <tableColumn id="29" xr3:uid="{883949D7-CC3E-458E-AA9B-7EE254F1075D}" name="Does this story meets expectations" dataDxfId="36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245C08B-3339-4B2F-8998-1D79A06AFA48}" name="Table1456789111231413342657891011" displayName="Table1456789111231413342657891011" ref="A1:AE5" totalsRowShown="0" headerRowDxfId="367" dataDxfId="366" tableBorderDxfId="365">
  <autoFilter ref="A1:AE5" xr:uid="{B5D083CE-8877-4237-BEDA-8FC85C398B86}"/>
  <tableColumns count="31">
    <tableColumn id="1" xr3:uid="{5BC7C84C-50FD-44AA-BCD5-FC3C0EC2A3B6}" name="S.No" dataDxfId="364"/>
    <tableColumn id="27" xr3:uid="{D36210D3-8585-4D3A-97A7-0B65D00159D2}" name="Application Name" dataDxfId="363"/>
    <tableColumn id="26" xr3:uid="{59BEDBF9-8A1D-4704-8475-545E6ED1675F}" name="Sprint Start Date" dataDxfId="362"/>
    <tableColumn id="25" xr3:uid="{44A7C521-EC37-4F96-A842-744013C2130F}" name="Sprint End Date" dataDxfId="361"/>
    <tableColumn id="2" xr3:uid="{AF3B04C9-8004-4745-946B-3F45952C27F8}" name="Sprint " dataDxfId="360"/>
    <tableColumn id="3" xr3:uid="{5E6C554B-60F5-4703-B389-F20A70527BFF}" name="Developer" dataDxfId="359"/>
    <tableColumn id="4" xr3:uid="{E8111053-A6C2-4CF6-BDE6-CB99E9F84778}" name="Story ID/Defect ID" dataDxfId="358"/>
    <tableColumn id="5" xr3:uid="{65E9AB57-F4AC-4A9E-846E-CDAD3D71A56D}" name="Description" dataDxfId="357"/>
    <tableColumn id="6" xr3:uid="{1D5257E9-AE11-4432-A66E-CC1E1859262C}" name="Status" dataDxfId="356"/>
    <tableColumn id="7" xr3:uid="{447FBC3A-EE6B-4CD3-B47B-56EB05854B6F}" name="Estimated(sp)" dataDxfId="355"/>
    <tableColumn id="8" xr3:uid="{328F2B26-274F-48DB-8C3F-444D76DAC119}" name="Actual(sp)" dataDxfId="354"/>
    <tableColumn id="28" xr3:uid="{E953A4C8-CFAE-4053-A92E-D216E55B5AD2}" name="Actual Hours Worklog" dataDxfId="353"/>
    <tableColumn id="30" xr3:uid="{1ECACA90-DD1C-45D6-9DDD-8054D4E454D0}" name="Dev Start Date" dataDxfId="352"/>
    <tableColumn id="31" xr3:uid="{4185EA32-1535-4E7A-9A01-FBDD3CC44306}" name="Dev End Date" dataDxfId="351"/>
    <tableColumn id="9" xr3:uid="{326EE936-058B-4A8B-B69E-F0FAD457B11E}" name="Unit testing" dataDxfId="350"/>
    <tableColumn id="10" xr3:uid="{921BEC5A-1F2E-4F03-9AB6-249855A2E0DC}" name="Peer Tested By" dataDxfId="349"/>
    <tableColumn id="11" xr3:uid="{3DDD428C-70B5-481D-91F2-355A94139781}" name="Peer Tested Defects, if any" dataDxfId="348"/>
    <tableColumn id="12" xr3:uid="{7243F144-F0B4-45B9-A4A3-D0B11D6BE428}" name="Peer Reviewed By" dataDxfId="347"/>
    <tableColumn id="13" xr3:uid="{D9259DC5-71E6-4F6D-A857-1A5BE011AF80}" name="Peer Code Review Comments, if any" dataDxfId="346"/>
    <tableColumn id="14" xr3:uid="{82C7AC55-9485-4576-B0BE-4529D759CEC8}" name="PR Number/Link" dataDxfId="345" dataCellStyle="Hyperlink"/>
    <tableColumn id="15" xr3:uid="{65454DFC-1573-4501-A21C-72FF87D03961}" name="PR Created Date" dataDxfId="344"/>
    <tableColumn id="16" xr3:uid="{7B1563B9-3B8B-4B1C-B6DD-6C248044CD02}" name="PR Approved Date" dataDxfId="343"/>
    <tableColumn id="17" xr3:uid="{65ECB10F-E851-4674-A697-581BADA785A2}" name="Reviewer 1" dataDxfId="342"/>
    <tableColumn id="18" xr3:uid="{FC6DC1E7-23E7-4D81-888A-B55FF04764E2}" name="Code Review Comments, if any" dataDxfId="341"/>
    <tableColumn id="19" xr3:uid="{C8D802F1-0BEA-4EE9-A75D-5AED027F9032}" name="Reviewer 2" dataDxfId="340"/>
    <tableColumn id="20" xr3:uid="{6A7A804B-7313-4AEF-A445-E1A98CC19CAD}" name="Approved Date" dataDxfId="339"/>
    <tableColumn id="21" xr3:uid="{B2B3DDEA-ECCA-484F-8330-D4DBE1DDEF39}" name="Code Review Comments, if any2" dataDxfId="338"/>
    <tableColumn id="22" xr3:uid="{E152AC0D-2D49-439B-BEE6-104BA4183DC6}" name="Internal PO -POV Comments" dataDxfId="337"/>
    <tableColumn id="23" xr3:uid="{E8EB840A-7304-4C2B-B768-D6D9A8BB0F75}" name="Client PO -POV Comments" dataDxfId="336"/>
    <tableColumn id="24" xr3:uid="{308119B8-B6A6-421A-8D5D-6B2CF84E72DE}" name="Comments" dataDxfId="335"/>
    <tableColumn id="29" xr3:uid="{8C2B9AE7-03E9-479F-B9E5-DB9392FE9717}" name="Does this story meets expectations" dataDxfId="3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385CC5F-2F35-4143-818D-8BEC8C06C266}" name="Table14567891112314133426578910" displayName="Table14567891112314133426578910" ref="A1:AE6" totalsRowShown="0" headerRowDxfId="333" dataDxfId="332" tableBorderDxfId="331">
  <autoFilter ref="A1:AE6" xr:uid="{B5D083CE-8877-4237-BEDA-8FC85C398B86}"/>
  <tableColumns count="31">
    <tableColumn id="1" xr3:uid="{FACE37DC-CC93-4E0E-BF9F-45E99D950431}" name="S.No" dataDxfId="330"/>
    <tableColumn id="27" xr3:uid="{487E3857-7A91-463B-8C87-765387DA500A}" name="Application Name" dataDxfId="329"/>
    <tableColumn id="26" xr3:uid="{11F9F4DF-DCC6-410F-A528-E2FEB74C1899}" name="Sprint Start Date" dataDxfId="328"/>
    <tableColumn id="25" xr3:uid="{70A5FAD0-DA02-4FA3-ADA5-F8AB877668FC}" name="Sprint End Date" dataDxfId="327"/>
    <tableColumn id="2" xr3:uid="{15DF2D92-7855-48DA-A0C5-BF9045B4202F}" name="Sprint " dataDxfId="326"/>
    <tableColumn id="3" xr3:uid="{2C93824A-8C8C-499D-8729-9E783C25C1F4}" name="Developer" dataDxfId="325"/>
    <tableColumn id="4" xr3:uid="{13F3C711-058E-4AC4-B13E-DCE0E8A1398A}" name="Story ID/Defect ID" dataDxfId="324"/>
    <tableColumn id="5" xr3:uid="{F655DE4C-ED5B-4889-847F-1EBFA2081F86}" name="Description" dataDxfId="323"/>
    <tableColumn id="6" xr3:uid="{7B27A71E-C1F5-4010-B837-DB2AED164493}" name="Status" dataDxfId="322"/>
    <tableColumn id="7" xr3:uid="{40555BF6-5138-4E4C-AF29-2C5822D0143B}" name="Estimated(sp)" dataDxfId="321"/>
    <tableColumn id="8" xr3:uid="{0200143A-080F-4653-A939-27B45CC52E36}" name="Actual(sp)" dataDxfId="320"/>
    <tableColumn id="28" xr3:uid="{B2B14F1D-9E75-41E6-8A1C-E0F15FB5CEC2}" name="Actual Hours Worklog" dataDxfId="319"/>
    <tableColumn id="30" xr3:uid="{77D74AF7-08CA-46EA-8906-506A1DBDCC1F}" name="Dev Start Date" dataDxfId="318"/>
    <tableColumn id="31" xr3:uid="{5C923435-0832-4817-BB4C-4789EF081DE0}" name="Dev End Date" dataDxfId="317"/>
    <tableColumn id="9" xr3:uid="{A1752A59-430D-47E6-9152-EE7D8BAF3DF5}" name="Unit testing" dataDxfId="316"/>
    <tableColumn id="10" xr3:uid="{D211FAB6-C92C-40D4-8732-A916405F89BB}" name="Peer Tested By" dataDxfId="315"/>
    <tableColumn id="11" xr3:uid="{4058925A-A3AC-4DBD-BD93-97FFEAFF72DC}" name="Peer Tested Defects, if any" dataDxfId="314"/>
    <tableColumn id="12" xr3:uid="{ECE3409F-806B-4B4A-B1B0-12D090A59CC5}" name="Peer Reviewed By" dataDxfId="313"/>
    <tableColumn id="13" xr3:uid="{07DF0474-FE27-417E-B6DF-9BD95288B085}" name="Peer Code Review Comments, if any" dataDxfId="312"/>
    <tableColumn id="14" xr3:uid="{67F2E897-63E6-4629-9B29-8DF7EFE871A3}" name="PR Number/Link" dataDxfId="311" dataCellStyle="Hyperlink"/>
    <tableColumn id="15" xr3:uid="{57C903DA-A213-4579-A19A-973D8380B62E}" name="PR Created Date" dataDxfId="310"/>
    <tableColumn id="16" xr3:uid="{A7E3F551-59F6-4605-99C8-C2A3EC4ABF81}" name="PR Approved Date" dataDxfId="309"/>
    <tableColumn id="17" xr3:uid="{21C0571B-CA12-42B4-BF43-A979AEBE6C05}" name="Reviewer 1" dataDxfId="308"/>
    <tableColumn id="18" xr3:uid="{B3794A98-8237-454E-991C-245EE1405BF3}" name="Code Review Comments, if any" dataDxfId="307"/>
    <tableColumn id="19" xr3:uid="{FED70BD0-D8F7-4585-9804-59F28A6BC757}" name="Reviewer 2" dataDxfId="306"/>
    <tableColumn id="20" xr3:uid="{1DF43641-C1E4-4052-8625-8985F61E9091}" name="Approved Date" dataDxfId="305"/>
    <tableColumn id="21" xr3:uid="{9DAA7231-1835-4E02-9F81-C8779CBB0E1C}" name="Code Review Comments, if any2" dataDxfId="304"/>
    <tableColumn id="22" xr3:uid="{3D58ED93-5636-46D8-B5B7-4B9767CABC9B}" name="Internal PO -POV Comments" dataDxfId="303"/>
    <tableColumn id="23" xr3:uid="{2506A7BC-8A34-4DBB-AFC1-360C4AA0A248}" name="Client PO -POV Comments" dataDxfId="302"/>
    <tableColumn id="24" xr3:uid="{88375871-B4A4-4689-8949-80741C3B9FC8}" name="Comments" dataDxfId="301"/>
    <tableColumn id="29" xr3:uid="{61806245-3FEC-41EB-8B53-76CABBD0CF3D}" name="Does this story meets expectations" dataDxfId="30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89235C1-67B5-42E6-B321-785161E56699}" name="Table145678911123141334265789" displayName="Table145678911123141334265789" ref="A1:AE5" totalsRowShown="0" headerRowDxfId="299" dataDxfId="298" tableBorderDxfId="297">
  <autoFilter ref="A1:AE5" xr:uid="{B5D083CE-8877-4237-BEDA-8FC85C398B86}"/>
  <tableColumns count="31">
    <tableColumn id="1" xr3:uid="{F5345FC4-C027-4DE5-B0FF-EA97AA03A77D}" name="S.No" dataDxfId="296"/>
    <tableColumn id="27" xr3:uid="{E5379B1E-90BD-4643-93B8-1DF54793D785}" name="Application Name" dataDxfId="295"/>
    <tableColumn id="26" xr3:uid="{8D738AD7-D98E-46B5-857F-0663E131B167}" name="Sprint Start Date" dataDxfId="294"/>
    <tableColumn id="25" xr3:uid="{1718D0D5-572F-4979-A452-2E41E02B1CE8}" name="Sprint End Date" dataDxfId="293"/>
    <tableColumn id="2" xr3:uid="{C8556CC7-E33C-4326-95FA-CC9CF71F3E11}" name="Sprint " dataDxfId="292"/>
    <tableColumn id="3" xr3:uid="{77338DA6-A0B2-4DFA-8EE3-286BF4E47F59}" name="Developer" dataDxfId="291"/>
    <tableColumn id="4" xr3:uid="{CD6EAE5D-5D22-4FB6-9908-5DD4287C1E88}" name="Story ID/Defect ID" dataDxfId="290"/>
    <tableColumn id="5" xr3:uid="{62D3CFD6-D178-4126-99C7-0EA6474751E6}" name="Description" dataDxfId="289"/>
    <tableColumn id="6" xr3:uid="{588E01D2-16B0-40AE-9875-DD582482A8FA}" name="Status" dataDxfId="288"/>
    <tableColumn id="7" xr3:uid="{6ABF77F8-7D0C-4FE0-A263-F677D55D4118}" name="Estimated(sp)" dataDxfId="287"/>
    <tableColumn id="8" xr3:uid="{618C2E4F-A137-4681-8EB5-D2D51292E031}" name="Actual(sp)" dataDxfId="286"/>
    <tableColumn id="28" xr3:uid="{18E18A15-BFE9-4A5A-A3B8-0E830296718F}" name="Actual Hours Worklog" dataDxfId="285"/>
    <tableColumn id="30" xr3:uid="{72A5991A-8894-4929-847E-625A4F2A4D47}" name="Dev Start Date" dataDxfId="284"/>
    <tableColumn id="31" xr3:uid="{953AAD6B-2FE9-4E90-8B24-9EB3CF2A45E7}" name="Dev End Date" dataDxfId="283"/>
    <tableColumn id="9" xr3:uid="{FE1DD7BF-E147-4B20-A907-EBD136C097F8}" name="Unit testing" dataDxfId="282"/>
    <tableColumn id="10" xr3:uid="{BADE33FC-6384-46AB-9FFD-7DE6BBEFF16B}" name="Peer Tested By" dataDxfId="281"/>
    <tableColumn id="11" xr3:uid="{53943C0D-CCB1-4BEE-984A-07E79BA67BC0}" name="Peer Tested Defects, if any" dataDxfId="280"/>
    <tableColumn id="12" xr3:uid="{1F27A6A5-DCA5-48AC-AB2C-E24B59188911}" name="Peer Reviewed By" dataDxfId="279"/>
    <tableColumn id="13" xr3:uid="{17B5EBBB-C774-4B50-BC68-B56141C2E143}" name="Peer Code Review Comments, if any" dataDxfId="278"/>
    <tableColumn id="14" xr3:uid="{A0B3CE25-2B27-428C-97CF-09CAD8041DAC}" name="PR Number/Link" dataDxfId="277" dataCellStyle="Hyperlink"/>
    <tableColumn id="15" xr3:uid="{242B0256-4618-4EA0-B566-FDBC0D8D4B73}" name="PR Created Date" dataDxfId="276"/>
    <tableColumn id="16" xr3:uid="{5AC3D437-BE19-4F4A-8E26-8FA7ABF7E40C}" name="PR Approved Date" dataDxfId="275"/>
    <tableColumn id="17" xr3:uid="{FD149BD5-D68A-4875-9FDC-F8D29229F996}" name="Reviewer 1" dataDxfId="274"/>
    <tableColumn id="18" xr3:uid="{CA81EC33-08F1-43E2-8737-C1C2218869C2}" name="Code Review Comments, if any" dataDxfId="273"/>
    <tableColumn id="19" xr3:uid="{37137303-F8B6-41C5-B490-AF8758091799}" name="Reviewer 2" dataDxfId="272"/>
    <tableColumn id="20" xr3:uid="{56DBC44A-7934-40EC-A7C9-11798BA964B8}" name="Approved Date" dataDxfId="271"/>
    <tableColumn id="21" xr3:uid="{11C31B3E-E888-401D-A953-504CED60AB87}" name="Code Review Comments, if any2" dataDxfId="270"/>
    <tableColumn id="22" xr3:uid="{A4830BA4-259B-4312-AB70-E608B5D2A29C}" name="Internal PO -POV Comments" dataDxfId="269"/>
    <tableColumn id="23" xr3:uid="{2DF02D68-92A4-41A3-9110-8EE1895E4F15}" name="Client PO -POV Comments" dataDxfId="268"/>
    <tableColumn id="24" xr3:uid="{5F14DCEC-CA08-4D42-B22A-E92C181F75A8}" name="Comments" dataDxfId="267"/>
    <tableColumn id="29" xr3:uid="{FA8C56FD-8612-48DA-86C6-B664D5F5DA4B}" name="Does this story meets expectations" dataDxfId="26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F6F13D-1CE8-4035-A240-7ECD983D92C9}" name="Table14567891112314133426578" displayName="Table14567891112314133426578" ref="A1:AE4" totalsRowShown="0" headerRowDxfId="265" dataDxfId="264" tableBorderDxfId="263">
  <autoFilter ref="A1:AE4" xr:uid="{B5D083CE-8877-4237-BEDA-8FC85C398B86}"/>
  <tableColumns count="31">
    <tableColumn id="1" xr3:uid="{D286C219-523C-4004-A019-4A3D12570501}" name="S.No" dataDxfId="262"/>
    <tableColumn id="27" xr3:uid="{2E4BF39A-D316-4BAA-8F0F-191D21B432B2}" name="Application Name" dataDxfId="261"/>
    <tableColumn id="26" xr3:uid="{1DD2648D-AB28-45F4-86E0-EEC20DF87491}" name="Sprint Start Date" dataDxfId="260"/>
    <tableColumn id="25" xr3:uid="{13BC9894-8031-4C7E-976C-409294488802}" name="Sprint End Date" dataDxfId="259"/>
    <tableColumn id="2" xr3:uid="{388856FE-2CDA-43E4-A551-AE0C24BC9FC0}" name="Sprint " dataDxfId="258"/>
    <tableColumn id="3" xr3:uid="{C5F29C15-04C2-443E-BB11-40A5B8F796BF}" name="Developer" dataDxfId="257"/>
    <tableColumn id="4" xr3:uid="{5AD71982-E98F-43C3-ADDC-6EE61D6EE976}" name="Story ID/Defect ID" dataDxfId="256"/>
    <tableColumn id="5" xr3:uid="{E776EDC1-7668-45EB-907A-75C6156E4883}" name="Description" dataDxfId="255"/>
    <tableColumn id="6" xr3:uid="{92762A4B-4EFA-45DC-B5B6-F3715830A533}" name="Status" dataDxfId="254"/>
    <tableColumn id="7" xr3:uid="{88980AB8-A1E2-4CB2-B4EA-7E1589AE00A8}" name="Estimated(sp)" dataDxfId="253"/>
    <tableColumn id="8" xr3:uid="{E62F21D1-D0B3-42CC-8B10-B07542DAED85}" name="Actual(sp)" dataDxfId="252"/>
    <tableColumn id="28" xr3:uid="{C24577BB-C447-403A-B69E-07D95A013390}" name="Actual Hours Worklog" dataDxfId="251"/>
    <tableColumn id="30" xr3:uid="{05248F48-D422-4C8F-A53C-4934775C4EA9}" name="Dev Start Date" dataDxfId="250"/>
    <tableColumn id="31" xr3:uid="{8B032DFC-3F10-4E5D-9BA9-663B0DD185FC}" name="Dev End Date" dataDxfId="249"/>
    <tableColumn id="9" xr3:uid="{E1049D71-8DB9-48F5-A45A-9DE038DC8E10}" name="Unit testing" dataDxfId="248"/>
    <tableColumn id="10" xr3:uid="{7DD51E6D-E8F0-41B2-87B6-73EEE0FB5952}" name="Peer Tested By" dataDxfId="247"/>
    <tableColumn id="11" xr3:uid="{B29AA4B5-542D-42E3-91E9-6EB04B32E6C9}" name="Peer Tested Defects, if any" dataDxfId="246"/>
    <tableColumn id="12" xr3:uid="{AFEB126E-D1E2-4828-9814-A3F54C993AAB}" name="Peer Reviewed By" dataDxfId="245"/>
    <tableColumn id="13" xr3:uid="{BBFEBA72-A3E3-47A0-9D25-EE384BE836B3}" name="Peer Code Review Comments, if any" dataDxfId="244"/>
    <tableColumn id="14" xr3:uid="{26873DB9-F065-4E77-9B3E-3D7850D03878}" name="PR Number/Link" dataDxfId="243" dataCellStyle="Hyperlink"/>
    <tableColumn id="15" xr3:uid="{C63C6291-5FAA-440D-ACB7-3CF3F1DF6551}" name="PR Created Date" dataDxfId="242"/>
    <tableColumn id="16" xr3:uid="{4FADC53D-8762-4B5D-9546-C31C103764BC}" name="PR Approved Date" dataDxfId="241"/>
    <tableColumn id="17" xr3:uid="{3F3EC0A9-118F-46DE-BC73-8215E8DFA5EF}" name="Reviewer 1" dataDxfId="240"/>
    <tableColumn id="18" xr3:uid="{468239A2-C117-42F7-A462-8C1CD28CFF5C}" name="Code Review Comments, if any" dataDxfId="239"/>
    <tableColumn id="19" xr3:uid="{913FFFF8-3027-4E09-AB50-3D1B8AE28743}" name="Reviewer 2" dataDxfId="238"/>
    <tableColumn id="20" xr3:uid="{D995B856-7979-4CCC-A7BA-2ED11ACA2698}" name="Approved Date" dataDxfId="237"/>
    <tableColumn id="21" xr3:uid="{04DC1A41-A40C-4728-9DAF-FD6F8F3FD796}" name="Code Review Comments, if any2" dataDxfId="236"/>
    <tableColumn id="22" xr3:uid="{D935CBF0-5EFE-4177-8544-9FD44E4EE312}" name="Internal PO -POV Comments" dataDxfId="235"/>
    <tableColumn id="23" xr3:uid="{FB2FF612-DD7C-4DE9-9009-253D46F7DD42}" name="Client PO -POV Comments" dataDxfId="234"/>
    <tableColumn id="24" xr3:uid="{B3044E90-4887-4407-B2D0-F14C8EA3516F}" name="Comments" dataDxfId="233"/>
    <tableColumn id="29" xr3:uid="{B0D97B2C-DE1B-47B4-BCBA-536A81648B15}" name="Does this story meets expectations" dataDxfId="232"/>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8408BB-E505-4EBF-A3F1-D0BE30238CDA}" name="Table1456789111231413342657" displayName="Table1456789111231413342657" ref="A1:AE6" totalsRowShown="0" headerRowDxfId="231" dataDxfId="230" tableBorderDxfId="229">
  <autoFilter ref="A1:AE6" xr:uid="{B5D083CE-8877-4237-BEDA-8FC85C398B86}"/>
  <tableColumns count="31">
    <tableColumn id="1" xr3:uid="{914669ED-2D0E-4EE2-AD20-7FD205E47E0E}" name="S.No" dataDxfId="228"/>
    <tableColumn id="27" xr3:uid="{E5B1AD3C-93C0-4770-A0B9-031FCFAF1A32}" name="Application Name" dataDxfId="227"/>
    <tableColumn id="26" xr3:uid="{F175BDA3-CAF3-4540-BEB2-90AC26914A5E}" name="Sprint Start Date" dataDxfId="226"/>
    <tableColumn id="25" xr3:uid="{A2BEF7DF-D3C4-4A6A-9CA1-73972BFB54A8}" name="Sprint End Date" dataDxfId="225"/>
    <tableColumn id="2" xr3:uid="{0C17696C-78F9-4610-81A3-34FB075119E1}" name="Sprint " dataDxfId="224"/>
    <tableColumn id="3" xr3:uid="{776D6EC6-3D9B-48E5-B8B8-8C1A5EFC7FB5}" name="Developer" dataDxfId="223"/>
    <tableColumn id="4" xr3:uid="{5A00494B-0441-418C-AE72-D81037AB9A4B}" name="Story ID/Defect ID" dataDxfId="222"/>
    <tableColumn id="5" xr3:uid="{19A33CA4-4BBA-4D2E-B30F-743D5C033432}" name="Description" dataDxfId="221"/>
    <tableColumn id="6" xr3:uid="{A390F1FA-1600-4544-88B4-9F31D6ECC027}" name="Status" dataDxfId="220"/>
    <tableColumn id="7" xr3:uid="{077ECF07-A0F7-439E-88B5-DA5A0F25EE20}" name="Estimated(sp)" dataDxfId="219"/>
    <tableColumn id="8" xr3:uid="{CE9E7128-E3EE-4F71-AA7E-FF2F842EAB4B}" name="Actual(sp)" dataDxfId="218"/>
    <tableColumn id="28" xr3:uid="{8F83757D-DD73-413A-8928-B13B4E4D882E}" name="Actual Hours Worklog" dataDxfId="217"/>
    <tableColumn id="30" xr3:uid="{5250DF0A-3F7A-4873-A28A-42AA4D4833E6}" name="Dev Start Date" dataDxfId="216"/>
    <tableColumn id="31" xr3:uid="{869B6A84-8181-492D-89D7-7110DFD4665C}" name="Dev End Date" dataDxfId="215"/>
    <tableColumn id="9" xr3:uid="{35C82E3A-7F31-4DB8-B07F-1C781D25D863}" name="Unit testing" dataDxfId="214"/>
    <tableColumn id="10" xr3:uid="{40E76587-F713-4D9D-B612-D063A2621392}" name="Peer Tested By" dataDxfId="213"/>
    <tableColumn id="11" xr3:uid="{0C8C838C-DA8E-4278-A980-B8929CAC989B}" name="Peer Tested Defects, if any" dataDxfId="212"/>
    <tableColumn id="12" xr3:uid="{BE8D7D2B-E4DA-4311-99A0-5395164C9A6D}" name="Peer Reviewed By" dataDxfId="211"/>
    <tableColumn id="13" xr3:uid="{C9DB2EBC-02A8-4020-8DED-71C3F1D6E39F}" name="Peer Code Review Comments, if any" dataDxfId="210"/>
    <tableColumn id="14" xr3:uid="{3963B562-135C-472D-B3CB-E314BA05F131}" name="PR Number/Link" dataDxfId="209" dataCellStyle="Hyperlink"/>
    <tableColumn id="15" xr3:uid="{42456B83-C9B6-4DD3-84FA-6F9402829429}" name="PR Created Date" dataDxfId="208"/>
    <tableColumn id="16" xr3:uid="{64E30C1F-58C7-42E5-9292-B36E9DF586DA}" name="PR Approved Date" dataDxfId="207"/>
    <tableColumn id="17" xr3:uid="{448CA3A4-16AE-4C71-BEE3-625C5F06F87E}" name="Reviewer 1" dataDxfId="206"/>
    <tableColumn id="18" xr3:uid="{14153186-64BD-4711-BCB0-B7E7B3C25F3D}" name="Code Review Comments, if any" dataDxfId="205"/>
    <tableColumn id="19" xr3:uid="{D5718584-5368-4FA1-B723-BC534B535C3D}" name="Reviewer 2" dataDxfId="204"/>
    <tableColumn id="20" xr3:uid="{53125C49-82C0-46EB-97E1-BCE97AF0CFBA}" name="Approved Date" dataDxfId="203"/>
    <tableColumn id="21" xr3:uid="{CE40A207-F211-4997-BF94-88A5AA1E57C6}" name="Code Review Comments, if any2" dataDxfId="202"/>
    <tableColumn id="22" xr3:uid="{30807E77-00A9-4E8A-82BF-53D669BBA60F}" name="Internal PO -POV Comments" dataDxfId="201"/>
    <tableColumn id="23" xr3:uid="{BDB26174-B22B-42D9-B269-5FE94D942692}" name="Client PO -POV Comments" dataDxfId="200"/>
    <tableColumn id="24" xr3:uid="{05B23A18-91D4-4680-B5AB-4AED6CE90CEB}" name="Comments" dataDxfId="199"/>
    <tableColumn id="29" xr3:uid="{53370819-88CF-4BAE-9D3D-FD6A2C4211B4}" name="Does this story meets expectations" dataDxfId="19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C96BC2-8BB6-4A37-AD64-D45CE01CB384}" name="Table145678911123141334265" displayName="Table145678911123141334265" ref="A1:AE5" totalsRowShown="0" headerRowDxfId="197" dataDxfId="196" tableBorderDxfId="195">
  <autoFilter ref="A1:AE5" xr:uid="{B5D083CE-8877-4237-BEDA-8FC85C398B86}"/>
  <tableColumns count="31">
    <tableColumn id="1" xr3:uid="{ACEF3CDD-65BD-467B-9119-9A7A2D7542D7}" name="S.No" dataDxfId="194"/>
    <tableColumn id="27" xr3:uid="{A27500A3-05F5-49B4-A9B2-B2103F125FD5}" name="Application Name" dataDxfId="193"/>
    <tableColumn id="26" xr3:uid="{56E9E470-553D-49E4-8446-3EFCE5A42BF5}" name="Sprint Start Date" dataDxfId="192"/>
    <tableColumn id="25" xr3:uid="{959EB9E1-B475-4203-836E-D0E5E281C3B7}" name="Sprint End Date" dataDxfId="191"/>
    <tableColumn id="2" xr3:uid="{8D4DAEAF-FB9B-4AE0-8838-FFA565175C56}" name="Sprint " dataDxfId="190"/>
    <tableColumn id="3" xr3:uid="{16AE202E-8AA9-4778-92B4-469702A23460}" name="Developer" dataDxfId="189"/>
    <tableColumn id="4" xr3:uid="{0BA32650-DAA6-4DF4-BD97-424DF1DFCFB0}" name="Story ID/Defect ID" dataDxfId="188"/>
    <tableColumn id="5" xr3:uid="{830F053D-4A88-413E-96B3-30D03F2F9BDF}" name="Description" dataDxfId="187"/>
    <tableColumn id="6" xr3:uid="{42E9D530-6274-4BCB-845F-DA89F1F25ABF}" name="Status" dataDxfId="186"/>
    <tableColumn id="7" xr3:uid="{219F8D69-D9D0-4891-A79B-D062BE3F9414}" name="Estimated(sp)" dataDxfId="185"/>
    <tableColumn id="8" xr3:uid="{C929422C-0CE9-444A-8DEB-4CBD397E20CA}" name="Actual(sp)" dataDxfId="184"/>
    <tableColumn id="28" xr3:uid="{C169A59A-9FAD-42B3-8579-3E61D02B601C}" name="Actual Hours Worklog" dataDxfId="183"/>
    <tableColumn id="30" xr3:uid="{317E559D-810E-4D41-AA89-5A6DF448AD02}" name="Dev Start Date" dataDxfId="182"/>
    <tableColumn id="31" xr3:uid="{F7903908-DDCE-4611-9B60-E49BFF280A5F}" name="Dev End Date" dataDxfId="181"/>
    <tableColumn id="9" xr3:uid="{31CD8FD9-0B03-4C73-9D06-611406036295}" name="Unit testing" dataDxfId="180"/>
    <tableColumn id="10" xr3:uid="{8FFCD8A1-831F-44BD-B98C-C49FF970F26B}" name="Peer Tested By" dataDxfId="179"/>
    <tableColumn id="11" xr3:uid="{5C972329-8870-4BBB-8E09-D57AE060C472}" name="Peer Tested Defects, if any" dataDxfId="178"/>
    <tableColumn id="12" xr3:uid="{DE189ED6-8536-4350-85AC-57E157FAE0D8}" name="Peer Reviewed By" dataDxfId="177"/>
    <tableColumn id="13" xr3:uid="{16D1F11E-9FAE-41BC-B092-C0738DA2ACB2}" name="Peer Code Review Comments, if any" dataDxfId="176"/>
    <tableColumn id="14" xr3:uid="{66F6E3DB-4D0B-47F5-8A22-934BDB92AAC5}" name="PR Number/Link" dataDxfId="175" dataCellStyle="Hyperlink"/>
    <tableColumn id="15" xr3:uid="{ECDE2545-8649-47FA-A294-392EC5C3ED27}" name="PR Created Date" dataDxfId="174"/>
    <tableColumn id="16" xr3:uid="{B6AA2859-4E67-4561-89E8-DB71D43C4759}" name="PR Approved Date" dataDxfId="173"/>
    <tableColumn id="17" xr3:uid="{353A3283-76F8-4595-8CC5-5B4A4C5D8D60}" name="Reviewer 1" dataDxfId="172"/>
    <tableColumn id="18" xr3:uid="{448D44BA-8F73-4D3D-9EB5-13810D63B239}" name="Code Review Comments, if any" dataDxfId="171"/>
    <tableColumn id="19" xr3:uid="{158209B0-D3BE-4CB9-974C-7A2676F205C8}" name="Reviewer 2" dataDxfId="170"/>
    <tableColumn id="20" xr3:uid="{64F77286-9CED-4CA3-9A96-CD1ACD59952A}" name="Approved Date" dataDxfId="169"/>
    <tableColumn id="21" xr3:uid="{864EB7AD-CCF5-4224-B9B2-C2C47EE2D8BD}" name="Code Review Comments, if any2" dataDxfId="168"/>
    <tableColumn id="22" xr3:uid="{44255F44-8211-4609-A113-A407DBE87A31}" name="Internal PO -POV Comments" dataDxfId="167"/>
    <tableColumn id="23" xr3:uid="{E73FFBD3-ACF8-46E0-AEC3-F84E749ED66B}" name="Client PO -POV Comments" dataDxfId="166"/>
    <tableColumn id="24" xr3:uid="{42CF56A8-9518-442B-9CB0-08DEC1872B92}" name="Comments" dataDxfId="165"/>
    <tableColumn id="29" xr3:uid="{B8A0DDB2-2E32-4287-8C50-57BD4E7B5B17}" name="Does this story meets expectations" dataDxfId="16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F6E64A-6871-46D8-A855-ECC5D71201F5}" name="Table14567891112314133426" displayName="Table14567891112314133426" ref="A1:AE5" totalsRowShown="0" headerRowDxfId="163" dataDxfId="162" tableBorderDxfId="161">
  <autoFilter ref="A1:AE5" xr:uid="{B5D083CE-8877-4237-BEDA-8FC85C398B86}"/>
  <tableColumns count="31">
    <tableColumn id="1" xr3:uid="{D14C1E8C-F5E5-49F0-A003-E1C6D7AF4478}" name="S.No" dataDxfId="160"/>
    <tableColumn id="27" xr3:uid="{E728B8B2-7C86-4F57-87E5-2A3E2AC1F759}" name="Application Name" dataDxfId="159"/>
    <tableColumn id="26" xr3:uid="{11736434-661E-4B40-B3B5-96B3364465E0}" name="Sprint Start Date" dataDxfId="158"/>
    <tableColumn id="25" xr3:uid="{B2B2E4D3-C4AC-4782-A075-734FEE451143}" name="Sprint End Date" dataDxfId="157"/>
    <tableColumn id="2" xr3:uid="{F6C86E21-90BF-4D47-A977-32145C8FD77E}" name="Sprint " dataDxfId="156"/>
    <tableColumn id="3" xr3:uid="{84FFD6C2-904F-4A8B-92C4-20D8289E6BC8}" name="Developer" dataDxfId="155"/>
    <tableColumn id="4" xr3:uid="{4F2DEBC2-03AC-4E99-92F6-15218E5B0449}" name="Story ID/Defect ID" dataDxfId="154"/>
    <tableColumn id="5" xr3:uid="{D942FBD3-505A-4835-9043-91D6D7665735}" name="Description" dataDxfId="153"/>
    <tableColumn id="6" xr3:uid="{DD18414E-70B7-4625-9422-7CCFF8ED6514}" name="Status" dataDxfId="152"/>
    <tableColumn id="7" xr3:uid="{F0539C0A-4F59-4729-A588-8ACC730E996C}" name="Estimated(sp)" dataDxfId="151"/>
    <tableColumn id="8" xr3:uid="{1C83DA97-162E-40D5-A864-4CA7BFA81CDE}" name="Actual(sp)" dataDxfId="150"/>
    <tableColumn id="28" xr3:uid="{74163B24-85C2-403C-BAE4-D2BA7CF32268}" name="Actual Hours Worklog" dataDxfId="149"/>
    <tableColumn id="30" xr3:uid="{B6323C77-A076-44ED-9D5A-31C9C4322268}" name="Dev Start Date" dataDxfId="148"/>
    <tableColumn id="31" xr3:uid="{CD37C1FB-430E-46D6-B493-A9E9092A8AA3}" name="Dev End Date" dataDxfId="147"/>
    <tableColumn id="9" xr3:uid="{F03DD347-4F87-40CA-B2EB-82D369A553A5}" name="Unit testing" dataDxfId="146"/>
    <tableColumn id="10" xr3:uid="{2DC18F98-2EED-4F68-B8AD-1D1627568645}" name="Peer Tested By" dataDxfId="145"/>
    <tableColumn id="11" xr3:uid="{E51A43FE-E0B9-4D08-94C2-A18FE5483DBC}" name="Peer Tested Defects, if any" dataDxfId="144"/>
    <tableColumn id="12" xr3:uid="{B783C8F4-8973-48A7-940F-05C47F49D848}" name="Peer Reviewed By" dataDxfId="143"/>
    <tableColumn id="13" xr3:uid="{BB19A515-05A7-47F8-BE08-0B70CDBCB89C}" name="Peer Code Review Comments, if any" dataDxfId="142"/>
    <tableColumn id="14" xr3:uid="{35163D12-0D93-4B8C-968D-E70748DF169B}" name="PR Number/Link" dataDxfId="141" dataCellStyle="Hyperlink"/>
    <tableColumn id="15" xr3:uid="{86C2F3C6-DC14-44E8-BAFC-CB14399ECA33}" name="PR Created Date" dataDxfId="140"/>
    <tableColumn id="16" xr3:uid="{A9277DB7-61E9-4235-B847-12A79D43D48E}" name="PR Approved Date" dataDxfId="139"/>
    <tableColumn id="17" xr3:uid="{6D45FE23-8D77-4542-B0AB-B39CB04500DF}" name="Reviewer 1" dataDxfId="138"/>
    <tableColumn id="18" xr3:uid="{E06A1A74-29A9-4D8E-812D-369A5D4E7ABA}" name="Code Review Comments, if any" dataDxfId="137"/>
    <tableColumn id="19" xr3:uid="{157AB09A-8AC3-4C6A-B107-EDA645E6EF84}" name="Reviewer 2" dataDxfId="136"/>
    <tableColumn id="20" xr3:uid="{D26FAD82-0592-4383-89FC-05E8BA95844B}" name="Approved Date" dataDxfId="135"/>
    <tableColumn id="21" xr3:uid="{D00C2BF4-8B1C-48CC-B9BE-CDDA25547BE1}" name="Code Review Comments, if any2" dataDxfId="134"/>
    <tableColumn id="22" xr3:uid="{042DF9D0-4500-4F23-B1B2-4895CB2C4A3E}" name="Internal PO -POV Comments" dataDxfId="133"/>
    <tableColumn id="23" xr3:uid="{428E40B0-B9E2-4EF2-A3C0-A55DB5B5DD27}" name="Client PO -POV Comments" dataDxfId="132"/>
    <tableColumn id="24" xr3:uid="{CA5539AB-F61C-458E-877D-8BC7A23C6E68}" name="Comments" dataDxfId="131"/>
    <tableColumn id="29" xr3:uid="{C868196C-27AD-45CD-B005-E357182ABD68}" name="Does this story meets expectations" dataDxfId="130"/>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45E57D-EFF5-4822-A8F4-13A5A46FF958}" name="Table1456789111231413342" displayName="Table1456789111231413342" ref="A1:AE5" totalsRowShown="0" headerRowDxfId="129" dataDxfId="128" tableBorderDxfId="127">
  <autoFilter ref="A1:AE5" xr:uid="{B5D083CE-8877-4237-BEDA-8FC85C398B86}"/>
  <tableColumns count="31">
    <tableColumn id="1" xr3:uid="{E057244C-5807-4426-BAFC-2CBF880B1AFA}" name="S.No" dataDxfId="126"/>
    <tableColumn id="27" xr3:uid="{EE8036D5-C1B3-4068-8779-BC3FD8550932}" name="Application Name" dataDxfId="125"/>
    <tableColumn id="26" xr3:uid="{7EE9D2FA-AAFE-4896-8D79-5B226C6348DB}" name="Sprint Start Date" dataDxfId="124"/>
    <tableColumn id="25" xr3:uid="{0F504530-3FBC-48CE-AFF3-9ED97FBFD750}" name="Sprint End Date" dataDxfId="123"/>
    <tableColumn id="2" xr3:uid="{DE5CB6BE-2676-45CD-85ED-E58BA8C43C01}" name="Sprint " dataDxfId="122"/>
    <tableColumn id="3" xr3:uid="{987025EF-4451-4482-A9A7-D0781E20F526}" name="Developer" dataDxfId="121"/>
    <tableColumn id="4" xr3:uid="{0B2AE47B-5567-4C91-A098-52C9007E6C2B}" name="Story ID/Defect ID" dataDxfId="120"/>
    <tableColumn id="5" xr3:uid="{90BC1391-543B-4801-B8BD-0D464F6C1D1D}" name="Description" dataDxfId="119"/>
    <tableColumn id="6" xr3:uid="{D5CAC4EF-3999-4F74-95B8-29CFD3FE3E5F}" name="Status" dataDxfId="118"/>
    <tableColumn id="7" xr3:uid="{15B194D9-E3BB-4D58-BAF0-D2EC59BA7338}" name="Estimated(sp)" dataDxfId="117"/>
    <tableColumn id="8" xr3:uid="{239584E3-C8A8-4D3D-A2F2-07454C639B42}" name="Actual(sp)" dataDxfId="116"/>
    <tableColumn id="28" xr3:uid="{0747A31D-E775-40F1-B570-11BA7FC848F0}" name="Actual Hours Worklog" dataDxfId="115"/>
    <tableColumn id="30" xr3:uid="{31171A7A-B896-4601-BAD4-3D8816F7E022}" name="Dev Start Date" dataDxfId="114"/>
    <tableColumn id="31" xr3:uid="{3F4AB4C2-FC5B-41AE-8926-D49B5E71803E}" name="Dev End Date" dataDxfId="113"/>
    <tableColumn id="9" xr3:uid="{2511F368-C200-450F-B805-EA3698DBABA4}" name="Unit testing" dataDxfId="112"/>
    <tableColumn id="10" xr3:uid="{DD458BE6-63E1-4A29-97D8-184C06A2850E}" name="Peer Tested By" dataDxfId="111"/>
    <tableColumn id="11" xr3:uid="{30E4CEF4-EE70-40F8-894B-02B32F5E453B}" name="Peer Tested Defects, if any" dataDxfId="110"/>
    <tableColumn id="12" xr3:uid="{D4BC4314-798A-48FB-A310-D3D9D384B640}" name="Peer Reviewed By" dataDxfId="109"/>
    <tableColumn id="13" xr3:uid="{75FD0B89-0963-4291-8D02-E7CE6CA8E01A}" name="Peer Code Review Comments, if any" dataDxfId="108"/>
    <tableColumn id="14" xr3:uid="{66CB01CF-E26C-498E-82D0-AED31C9B3DD7}" name="PR Number/Link" dataDxfId="107" dataCellStyle="Hyperlink"/>
    <tableColumn id="15" xr3:uid="{30B69B28-616E-4883-B994-ED848CF5885F}" name="PR Created Date" dataDxfId="106"/>
    <tableColumn id="16" xr3:uid="{C71D42E5-86B7-48F1-8A57-D28408A788C7}" name="PR Approved Date" dataDxfId="105"/>
    <tableColumn id="17" xr3:uid="{3F87FBE9-A1D4-41D6-A53D-0855B75AC86B}" name="Reviewer 1" dataDxfId="104"/>
    <tableColumn id="18" xr3:uid="{8144410A-C704-4AA1-9A1E-AD80C135A0F5}" name="Code Review Comments, if any" dataDxfId="103"/>
    <tableColumn id="19" xr3:uid="{F2E21352-4503-4B2F-A3FF-EE4550C75981}" name="Reviewer 2" dataDxfId="102"/>
    <tableColumn id="20" xr3:uid="{59CA9A93-A894-4276-B896-001E95E09393}" name="Approved Date" dataDxfId="101"/>
    <tableColumn id="21" xr3:uid="{508E61F6-48F1-442B-A192-5353CC10FD2A}" name="Code Review Comments, if any2" dataDxfId="100"/>
    <tableColumn id="22" xr3:uid="{4F381652-8803-4DF2-9DB0-906DFC530D0E}" name="Internal PO -POV Comments" dataDxfId="99"/>
    <tableColumn id="23" xr3:uid="{0ECD5DB5-7D1C-4209-86EF-DB565AF5346C}" name="Client PO -POV Comments" dataDxfId="98"/>
    <tableColumn id="24" xr3:uid="{05DD3E1D-037D-4C52-9EE6-9077C69BCC3A}" name="Comments" dataDxfId="97"/>
    <tableColumn id="29" xr3:uid="{CBF242DD-249B-485E-9178-256E061B87B4}" name="Does this story meets expectations" dataDxfId="9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EB8BD0-931F-4CEF-A8C0-FC06C855D7F0}" name="Table145678911123141334" displayName="Table145678911123141334" ref="A1:AC5" totalsRowShown="0" headerRowDxfId="95" dataDxfId="94" tableBorderDxfId="93">
  <autoFilter ref="A1:AC5" xr:uid="{B5D083CE-8877-4237-BEDA-8FC85C398B86}"/>
  <tableColumns count="29">
    <tableColumn id="1" xr3:uid="{D20FF456-4215-49FC-8214-25E3D2FBA54D}" name="S.No" dataDxfId="92"/>
    <tableColumn id="27" xr3:uid="{F3AEF6C2-F535-48E9-8A34-FDDDBBEF33DF}" name="Application Name" dataDxfId="91"/>
    <tableColumn id="26" xr3:uid="{395FC50F-2F71-4930-A7EC-87B70A49EE5F}" name="Sprint Start Date" dataDxfId="90"/>
    <tableColumn id="25" xr3:uid="{B8FF1886-C392-4A12-B1FC-693C245D8266}" name="Sprint End Date" dataDxfId="89"/>
    <tableColumn id="2" xr3:uid="{73D36422-5275-46C4-8B29-854CC8AE0FDA}" name="Sprint " dataDxfId="88"/>
    <tableColumn id="3" xr3:uid="{287CFDB4-3C7E-4B90-8906-653FFECE75BA}" name="Developer" dataDxfId="87"/>
    <tableColumn id="4" xr3:uid="{41AB5657-494A-49E0-93E5-61E99FF7513A}" name="Story ID/Defect ID" dataDxfId="86"/>
    <tableColumn id="5" xr3:uid="{B2B775D5-B000-4E6E-AC73-3DC11C7CDD2F}" name="Description" dataDxfId="85"/>
    <tableColumn id="6" xr3:uid="{2F1C5A57-D61A-4BA4-9C1F-59835ABBAE2B}" name="Status" dataDxfId="84"/>
    <tableColumn id="7" xr3:uid="{C95098FC-CCF5-43B3-988A-50DDD9EDB4C5}" name="Estimated(sp)" dataDxfId="83"/>
    <tableColumn id="8" xr3:uid="{AE65E671-5C61-4613-A3C9-B6555118B175}" name="Actual(sp)" dataDxfId="82"/>
    <tableColumn id="28" xr3:uid="{F3E5FD66-2A7E-4346-AE18-10556CFC778C}" name="Actual Hours Worklog" dataDxfId="81"/>
    <tableColumn id="9" xr3:uid="{66E12229-1318-4194-AB39-E4F55B1A4D4E}" name="Unit testing" dataDxfId="80"/>
    <tableColumn id="10" xr3:uid="{8BDA2ACB-60C4-4425-951D-F9DBA58B07A8}" name="Peer Tested By" dataDxfId="79"/>
    <tableColumn id="11" xr3:uid="{B70591E8-99BA-41C8-96E8-D6FBDFFF7C84}" name="Peer Tested Defects, if any" dataDxfId="78"/>
    <tableColumn id="12" xr3:uid="{378F851A-2E20-4F84-AC7C-D0AD6B1E1359}" name="Peer Reviewed By" dataDxfId="77"/>
    <tableColumn id="13" xr3:uid="{C13D4BC0-240B-4576-8193-A6BD4B75C038}" name="Peer Code Review Comments, if any" dataDxfId="76"/>
    <tableColumn id="14" xr3:uid="{583FE91E-F8DB-4C45-BF8D-2D4D3B638259}" name="PR Number/Link" dataDxfId="75" dataCellStyle="Hyperlink"/>
    <tableColumn id="15" xr3:uid="{1E8C50B7-9CB8-4B5B-A343-98469D1CEE62}" name="PR Created Date" dataDxfId="74"/>
    <tableColumn id="16" xr3:uid="{119F6405-A2E5-4587-875A-A11B8EA7353B}" name="PR Approved Date" dataDxfId="73"/>
    <tableColumn id="17" xr3:uid="{2442F9D1-4E66-4CDF-9087-1FF102FE4D80}" name="Reviewer 1" dataDxfId="72"/>
    <tableColumn id="18" xr3:uid="{A6BC6E8D-39FC-43E8-97BE-73EC2CB394F7}" name="Code Review Comments, if any" dataDxfId="71"/>
    <tableColumn id="19" xr3:uid="{CB827483-19D8-4B6B-8EF1-61E07313BEBE}" name="Reviewer 2" dataDxfId="70"/>
    <tableColumn id="20" xr3:uid="{6EF7023E-15FA-4810-8C82-23DA2DDB739F}" name="Approved Date" dataDxfId="69"/>
    <tableColumn id="21" xr3:uid="{77A7DB73-63E8-4F62-BCDF-04F25B17A694}" name="Code Review Comments, if any2" dataDxfId="68"/>
    <tableColumn id="22" xr3:uid="{24DBD185-C2F2-49B8-A8E4-19FD9E466E23}" name="Internal PO -POV Comments" dataDxfId="67"/>
    <tableColumn id="23" xr3:uid="{E2FF260B-E9FD-4F4E-9A49-1B37285407DD}" name="Client PO -POV Comments" dataDxfId="66"/>
    <tableColumn id="24" xr3:uid="{9C727A2A-2417-442E-9FD7-49A66930E9FD}" name="Comments" dataDxfId="65"/>
    <tableColumn id="29" xr3:uid="{58FF9E0C-294B-4F24-AA06-BCF1726DB489}" name="Does this story meets expectations" dataDxfId="64"/>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946780-A37B-487A-916B-CEA09DEBCDD6}" name="Table14567891112314133" displayName="Table14567891112314133" ref="A1:AC3" totalsRowShown="0" headerRowDxfId="63" dataDxfId="62" tableBorderDxfId="61">
  <autoFilter ref="A1:AC3" xr:uid="{B5D083CE-8877-4237-BEDA-8FC85C398B86}"/>
  <tableColumns count="29">
    <tableColumn id="1" xr3:uid="{B84E6C36-38AD-4C7C-B0A7-78AA23F3D20D}" name="S.No" dataDxfId="60"/>
    <tableColumn id="27" xr3:uid="{BE082F09-49AA-4C60-8A1D-78FBA8C591C3}" name="Application Name" dataDxfId="59"/>
    <tableColumn id="26" xr3:uid="{A6F1E215-986F-47EA-AD53-4DBBF163C8D1}" name="Sprint Start Date" dataDxfId="58"/>
    <tableColumn id="25" xr3:uid="{524D9A19-D80B-424E-938A-0641EE32D2FF}" name="Sprint End Date" dataDxfId="57"/>
    <tableColumn id="2" xr3:uid="{4C2AA2BF-372E-4E3D-9F48-72530C2862F3}" name="Sprint " dataDxfId="56"/>
    <tableColumn id="3" xr3:uid="{D5CDB90E-D14F-41CC-BF35-B4117197DDF3}" name="Developer" dataDxfId="55"/>
    <tableColumn id="4" xr3:uid="{91C1F686-A7C5-4600-9065-0EB9665F000D}" name="Story ID/Defect ID" dataDxfId="54"/>
    <tableColumn id="5" xr3:uid="{116BB4AB-5A86-4996-9DA1-BA8DDE5DAC1F}" name="Description" dataDxfId="53"/>
    <tableColumn id="6" xr3:uid="{C16790EC-0B6A-482B-8382-724998825FDB}" name="Status" dataDxfId="52"/>
    <tableColumn id="7" xr3:uid="{02B8110B-56B9-4E50-98FE-9AEE8E5945D8}" name="Estimated(sp)" dataDxfId="51"/>
    <tableColumn id="8" xr3:uid="{8086450D-40C3-46B5-B3B7-1524F4009318}" name="Actual(sp)" dataDxfId="50"/>
    <tableColumn id="28" xr3:uid="{D041E655-785D-4B6F-BF2B-8B9C3E868C0B}" name="Actual Hours Worklog" dataDxfId="49"/>
    <tableColumn id="9" xr3:uid="{D0D24456-03B2-4256-858B-077C1EF40AA9}" name="Unit testing" dataDxfId="48"/>
    <tableColumn id="10" xr3:uid="{B01480C3-3E50-4B75-853D-288C4392A632}" name="Peer Tested By" dataDxfId="47"/>
    <tableColumn id="11" xr3:uid="{DEFB24FC-4443-4AE3-8A39-9EECC4D75C9E}" name="Peer Tested Defects, if any" dataDxfId="46"/>
    <tableColumn id="12" xr3:uid="{CE49262D-B4D4-44A0-8774-33F9C39550E9}" name="Peer Reviewed By" dataDxfId="45"/>
    <tableColumn id="13" xr3:uid="{9260A8ED-32B4-4AAB-A6EC-1DB476D08FF1}" name="Peer Code Review Comments, if any" dataDxfId="44"/>
    <tableColumn id="14" xr3:uid="{208E478E-8742-4B21-A21F-A977E64F0E96}" name="PR Number/Link" dataDxfId="43" dataCellStyle="Hyperlink"/>
    <tableColumn id="15" xr3:uid="{E9BA46FB-905B-47D3-9A6B-F250E18666E1}" name="PR Created Date" dataDxfId="42"/>
    <tableColumn id="16" xr3:uid="{D88CDA6B-38B5-4D90-B3A2-53001AC94E05}" name="PR Approved Date" dataDxfId="41"/>
    <tableColumn id="17" xr3:uid="{2947C168-6B4C-4603-9E3E-284D7654DE7D}" name="Reviewer 1" dataDxfId="40"/>
    <tableColumn id="18" xr3:uid="{3BBF5C68-606B-4062-AC78-E4A7B0B8C8A7}" name="Code Review Comments, if any" dataDxfId="39"/>
    <tableColumn id="19" xr3:uid="{54154754-210E-4A86-B68E-0EAB79C59732}" name="Reviewer 2" dataDxfId="38"/>
    <tableColumn id="20" xr3:uid="{56BE21E5-F8BC-4949-BC9D-C7F749CFCD3F}" name="Approved Date" dataDxfId="37"/>
    <tableColumn id="21" xr3:uid="{AA7ECE16-7974-44AE-8374-93846313BAA0}" name="Code Review Comments, if any2" dataDxfId="36"/>
    <tableColumn id="22" xr3:uid="{7F5F4A45-2FDA-415C-99F0-4DC44F748296}" name="Internal PO -POV Comments" dataDxfId="35"/>
    <tableColumn id="23" xr3:uid="{BF3754DC-F704-4573-B88E-2639111BDCBC}" name="Client PO -POV Comments" dataDxfId="34"/>
    <tableColumn id="24" xr3:uid="{5AC53C6B-BD7F-43F4-A2D0-6D7AFD3FAAAE}" name="Comments" dataDxfId="33"/>
    <tableColumn id="29" xr3:uid="{86544781-E832-4556-849F-992C3DB7EA50}" name="Does this story meets expectations" dataDxfId="3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1C01723-F718-4262-A751-A04EF9C914F5}" name="Table1456789111231413" displayName="Table1456789111231413" ref="A1:AC4" totalsRowShown="0" headerRowDxfId="31" dataDxfId="30" tableBorderDxfId="29">
  <autoFilter ref="A1:AC4" xr:uid="{B5D083CE-8877-4237-BEDA-8FC85C398B86}"/>
  <tableColumns count="29">
    <tableColumn id="1" xr3:uid="{CF4D785D-944C-43D9-B4FA-BD5E789688D8}" name="S.No" dataDxfId="28"/>
    <tableColumn id="27" xr3:uid="{780B2ABE-928F-4532-B06F-EEC39E3F8C7D}" name="Application Name" dataDxfId="27"/>
    <tableColumn id="26" xr3:uid="{867E90B8-F69A-4997-BEB1-96A9DCC53296}" name="Sprint Start Date" dataDxfId="26"/>
    <tableColumn id="25" xr3:uid="{F7F3DCB2-8CC4-4AB9-A4AA-6F5DBE19CCCE}" name="Sprint End Date" dataDxfId="25"/>
    <tableColumn id="2" xr3:uid="{24F536AD-604D-4661-A5C9-90385CA3F282}" name="Sprint " dataDxfId="24"/>
    <tableColumn id="3" xr3:uid="{A39E6CA0-6615-489C-AA86-723BA98FEF01}" name="Developer" dataDxfId="23"/>
    <tableColumn id="4" xr3:uid="{C50E354A-07F8-4080-87F0-6D8CA9775F39}" name="Story ID/Defect ID" dataDxfId="22"/>
    <tableColumn id="5" xr3:uid="{2FF1089C-A435-4A28-BFAC-F2E81D4F16BA}" name="Description" dataDxfId="21"/>
    <tableColumn id="6" xr3:uid="{0BD91A39-8292-45E6-8D2A-6B821F022336}" name="Status" dataDxfId="20"/>
    <tableColumn id="7" xr3:uid="{23391D6F-0301-40C5-AFB8-81DFB7CEE53D}" name="Estimated(sp)" dataDxfId="19"/>
    <tableColumn id="8" xr3:uid="{CAEE2130-9D04-4496-8E45-E915EF964E2F}" name="Actual(sp)" dataDxfId="18"/>
    <tableColumn id="28" xr3:uid="{737C484E-E877-47B7-A014-2001E202DB3C}" name="Actual Hours Worklog" dataDxfId="17"/>
    <tableColumn id="9" xr3:uid="{439F50EF-46E8-4C87-84E4-2A17B8EA4E24}" name="Unit testing" dataDxfId="16"/>
    <tableColumn id="10" xr3:uid="{FDF43F70-9E1B-48C1-A4E7-B4A74401F248}" name="Peer Tested By" dataDxfId="15"/>
    <tableColumn id="11" xr3:uid="{3D023123-246F-4B77-B9DC-333F79C6CA32}" name="Peer Tested Defects, if any" dataDxfId="14"/>
    <tableColumn id="12" xr3:uid="{CAFEBF69-5044-43E2-8322-C2AFB388D799}" name="Peer Reviewed By" dataDxfId="13"/>
    <tableColumn id="13" xr3:uid="{FAF673E6-6245-445E-AEDA-BB3346D0CF87}" name="Peer Code Review Comments, if any" dataDxfId="12"/>
    <tableColumn id="14" xr3:uid="{62D9603D-7858-429C-A9C3-1530D413DEF1}" name="PR Number/Link" dataDxfId="11" dataCellStyle="Hyperlink"/>
    <tableColumn id="15" xr3:uid="{AAAD376D-8CC7-4729-BD36-70F96EDCB7BB}" name="PR Created Date" dataDxfId="10"/>
    <tableColumn id="16" xr3:uid="{7BC9DE5E-3D97-4D49-8BED-8115E33D6E49}" name="PR Approved Date" dataDxfId="9"/>
    <tableColumn id="17" xr3:uid="{98A2E278-5AC0-4280-B559-FC7EEFB0C1E5}" name="Reviewer 1" dataDxfId="8"/>
    <tableColumn id="18" xr3:uid="{7F34315D-81B5-46D4-8C96-E15877766D9E}" name="Code Review Comments, if any" dataDxfId="7"/>
    <tableColumn id="19" xr3:uid="{A158E154-A05B-4D61-B9D9-DCA61B020D42}" name="Reviewer 2" dataDxfId="6"/>
    <tableColumn id="20" xr3:uid="{A7B0102E-6B42-4CF0-B55C-1B2A6B2034E2}" name="Approved Date" dataDxfId="5"/>
    <tableColumn id="21" xr3:uid="{FE7E6DE3-44EE-40B0-B7BF-C5404AA7D801}" name="Code Review Comments, if any2" dataDxfId="4"/>
    <tableColumn id="22" xr3:uid="{3099E556-5D31-4EB9-B868-EDABB5D64703}" name="Internal PO -POV Comments" dataDxfId="3"/>
    <tableColumn id="23" xr3:uid="{AAA8A5A1-C541-481C-B7B0-1FA93342BA6F}" name="Client PO -POV Comments" dataDxfId="2"/>
    <tableColumn id="24" xr3:uid="{9446EC4B-0132-4237-8864-E1F0D3A07FFB}" name="Comments" dataDxfId="1"/>
    <tableColumn id="29" xr3:uid="{4DBD3635-D968-4A56-8549-44893B340C0F}" name="Does this story meets expectation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5-05-30T15:04:16.13" personId="{476701AB-6069-4128-899B-99C8F2AB2CB6}" id="{884BCF9F-7414-41F7-8674-856E8CF794C6}">
    <text>@Kiruthiga Ganapathi - Please confirm the Application Name</text>
    <mentions>
      <mention mentionpersonId="{6D1D84C9-0D93-4373-98B0-A3F2F26348EA}" mentionId="{72D626AF-CCAA-4EA6-A9ED-4A11DB1CC128}" startIndex="0" length="20"/>
    </mentions>
  </threadedComment>
  <threadedComment ref="B2" dT="2025-05-30T15:19:50.73" personId="{CD4F2EEB-03CA-47D8-A705-8F4052B91BE4}" id="{4E8E136D-6EFA-4008-9280-D2147E5D8E6F}" parentId="{884BCF9F-7414-41F7-8674-856E8CF794C6}">
    <text>Please name it as "MealOrders Wave"</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5-05-30T15:04:16.13" personId="{476701AB-6069-4128-899B-99C8F2AB2CB6}" id="{AA70A4D1-A486-4408-A594-2E2D2A08F61B}">
    <text>@Kiruthiga Ganapathi - Please confirm the Application Name</text>
    <mentions>
      <mention mentionpersonId="{6D1D84C9-0D93-4373-98B0-A3F2F26348EA}" mentionId="{0F1ED992-6D23-4F16-A7EF-AF3BFC81C3A3}" startIndex="0" length="20"/>
    </mentions>
  </threadedComment>
  <threadedComment ref="B2" dT="2025-05-30T15:19:50.73" personId="{CD4F2EEB-03CA-47D8-A705-8F4052B91BE4}" id="{8D3C6D26-6094-4C6E-9DA5-103CBC247A79}" parentId="{AA70A4D1-A486-4408-A594-2E2D2A08F61B}">
    <text>Please name it as "MealOrders Wave"</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5-05-30T15:04:16.13" personId="{476701AB-6069-4128-899B-99C8F2AB2CB6}" id="{73856CB4-5F0A-433C-B7FA-77DB56DB105A}">
    <text>@Kiruthiga Ganapathi - Please confirm the Application Name</text>
    <mentions>
      <mention mentionpersonId="{6D1D84C9-0D93-4373-98B0-A3F2F26348EA}" mentionId="{0E516C0B-DCF2-4042-8968-4B6A448862FA}" startIndex="0" length="20"/>
    </mentions>
  </threadedComment>
  <threadedComment ref="B2" dT="2025-05-30T15:19:50.73" personId="{CD4F2EEB-03CA-47D8-A705-8F4052B91BE4}" id="{0AB64972-730F-4D40-8BD5-B3463ECCC6BF}" parentId="{73856CB4-5F0A-433C-B7FA-77DB56DB105A}">
    <text>Please name it as "MealOrders Wave"</text>
  </threadedComment>
</ThreadedComments>
</file>

<file path=xl/threadedComments/threadedComment4.xml><?xml version="1.0" encoding="utf-8"?>
<ThreadedComments xmlns="http://schemas.microsoft.com/office/spreadsheetml/2018/threadedcomments" xmlns:x="http://schemas.openxmlformats.org/spreadsheetml/2006/main">
  <threadedComment ref="B2" dT="2025-05-30T15:04:16.13" personId="{476701AB-6069-4128-899B-99C8F2AB2CB6}" id="{54ECAF83-390C-4E7D-99A6-4676933FBC86}">
    <text>@Kiruthiga Ganapathi - Please confirm the Application Name</text>
    <mentions>
      <mention mentionpersonId="{6D1D84C9-0D93-4373-98B0-A3F2F26348EA}" mentionId="{AFF571BE-1618-4136-BFDD-078B7390843B}" startIndex="0" length="20"/>
    </mentions>
  </threadedComment>
  <threadedComment ref="B2" dT="2025-05-30T15:19:50.73" personId="{CD4F2EEB-03CA-47D8-A705-8F4052B91BE4}" id="{C1CB371D-9112-4539-A399-D2F9641822C4}" parentId="{54ECAF83-390C-4E7D-99A6-4676933FBC86}">
    <text>Please name it as "MealOrders Wave"</text>
  </threadedComment>
</ThreadedComments>
</file>

<file path=xl/threadedComments/threadedComment5.xml><?xml version="1.0" encoding="utf-8"?>
<ThreadedComments xmlns="http://schemas.microsoft.com/office/spreadsheetml/2018/threadedcomments" xmlns:x="http://schemas.openxmlformats.org/spreadsheetml/2006/main">
  <threadedComment ref="B3" dT="2025-05-30T15:04:16.13" personId="{476701AB-6069-4128-899B-99C8F2AB2CB6}" id="{BE39C616-FA23-487A-BEB8-E6FC4BE59562}">
    <text>@Kiruthiga Ganapathi - Please confirm the Application Name</text>
    <mentions>
      <mention mentionpersonId="{6D1D84C9-0D93-4373-98B0-A3F2F26348EA}" mentionId="{2EBC9B54-8CDE-44C2-A26E-7ED4CD3CE3B7}" startIndex="0" length="20"/>
    </mentions>
  </threadedComment>
  <threadedComment ref="B3" dT="2025-05-30T15:19:50.73" personId="{CD4F2EEB-03CA-47D8-A705-8F4052B91BE4}" id="{0ED0B9CA-A5E9-4E5D-BDD7-9DA34B3E6B74}" parentId="{BE39C616-FA23-487A-BEB8-E6FC4BE59562}">
    <text>Please name it as "MealOrders Wave"</text>
  </threadedComment>
</ThreadedComments>
</file>

<file path=xl/threadedComments/threadedComment6.xml><?xml version="1.0" encoding="utf-8"?>
<ThreadedComments xmlns="http://schemas.microsoft.com/office/spreadsheetml/2018/threadedcomments" xmlns:x="http://schemas.openxmlformats.org/spreadsheetml/2006/main">
  <threadedComment ref="B2" dT="2025-05-30T15:04:16.13" personId="{476701AB-6069-4128-899B-99C8F2AB2CB6}" id="{99FD0CE8-DA3E-496E-B87B-7C150B65BD3F}">
    <text>@Kiruthiga Ganapathi - Please confirm the Application Name</text>
    <mentions>
      <mention mentionpersonId="{6D1D84C9-0D93-4373-98B0-A3F2F26348EA}" mentionId="{58653653-5538-4F64-BE00-6BB9FEACC5AD}" startIndex="0" length="20"/>
    </mentions>
  </threadedComment>
  <threadedComment ref="B2" dT="2025-05-30T15:19:50.73" personId="{CD4F2EEB-03CA-47D8-A705-8F4052B91BE4}" id="{AE1737E8-C1B3-4519-A5A2-093E5CF1EA85}" parentId="{99FD0CE8-DA3E-496E-B87B-7C150B65BD3F}">
    <text>Please name it as "MealOrders Wave"</text>
  </threadedComment>
  <threadedComment ref="B3" dT="2025-05-30T15:04:16.13" personId="{476701AB-6069-4128-899B-99C8F2AB2CB6}" id="{D95824A6-D0B2-43EC-9FF6-88CE351E8E01}">
    <text>@Kiruthiga Ganapathi - Please confirm the Application Name</text>
    <mentions>
      <mention mentionpersonId="{6D1D84C9-0D93-4373-98B0-A3F2F26348EA}" mentionId="{7E216500-53B7-44FB-B390-51EF35FEE4C1}" startIndex="0" length="20"/>
    </mentions>
  </threadedComment>
  <threadedComment ref="B3" dT="2025-05-30T15:19:50.73" personId="{CD4F2EEB-03CA-47D8-A705-8F4052B91BE4}" id="{21F84EEB-A053-4691-BDCA-136D7B582050}" parentId="{D95824A6-D0B2-43EC-9FF6-88CE351E8E01}">
    <text>Please name it as "MealOrders Wave"</text>
  </threadedComment>
</ThreadedComments>
</file>

<file path=xl/threadedComments/threadedComment7.xml><?xml version="1.0" encoding="utf-8"?>
<ThreadedComments xmlns="http://schemas.microsoft.com/office/spreadsheetml/2018/threadedcomments" xmlns:x="http://schemas.openxmlformats.org/spreadsheetml/2006/main">
  <threadedComment ref="B2" dT="2025-05-30T15:04:16.13" personId="{476701AB-6069-4128-899B-99C8F2AB2CB6}" id="{E2F78698-FAF1-4835-93CC-397696B59F3D}">
    <text>@Kiruthiga Ganapathi - Please confirm the Application Name</text>
    <mentions>
      <mention mentionpersonId="{6D1D84C9-0D93-4373-98B0-A3F2F26348EA}" mentionId="{55C1CC72-46A1-42E9-BD22-A29143AA8206}" startIndex="0" length="20"/>
    </mentions>
  </threadedComment>
  <threadedComment ref="B2" dT="2025-05-30T15:19:50.73" personId="{CD4F2EEB-03CA-47D8-A705-8F4052B91BE4}" id="{F2BD9FD3-BE89-4115-AFFF-CD3A38289DDF}" parentId="{E2F78698-FAF1-4835-93CC-397696B59F3D}">
    <text>Please name it as "MealOrders Wave"</text>
  </threadedComment>
</ThreadedComments>
</file>

<file path=xl/threadedComments/threadedComment8.xml><?xml version="1.0" encoding="utf-8"?>
<ThreadedComments xmlns="http://schemas.microsoft.com/office/spreadsheetml/2018/threadedcomments" xmlns:x="http://schemas.openxmlformats.org/spreadsheetml/2006/main">
  <threadedComment ref="B2" dT="2025-05-30T15:04:16.13" personId="{476701AB-6069-4128-899B-99C8F2AB2CB6}" id="{AB2C48FC-2F2B-4FC4-9812-2303334311E1}">
    <text>@Kiruthiga Ganapathi - Please confirm the Application Name</text>
    <mentions>
      <mention mentionpersonId="{6D1D84C9-0D93-4373-98B0-A3F2F26348EA}" mentionId="{DC63E7DA-85D4-4E93-A820-01869E3697AD}" startIndex="0" length="20"/>
    </mentions>
  </threadedComment>
  <threadedComment ref="B2" dT="2025-05-30T15:19:50.73" personId="{CD4F2EEB-03CA-47D8-A705-8F4052B91BE4}" id="{302B098F-0B00-458A-9D4D-D230F75C0001}" parentId="{AB2C48FC-2F2B-4FC4-9812-2303334311E1}">
    <text>Please name it as "MealOrders Wave"</text>
  </threadedComment>
</ThreadedComments>
</file>

<file path=xl/threadedComments/threadedComment9.xml><?xml version="1.0" encoding="utf-8"?>
<ThreadedComments xmlns="http://schemas.microsoft.com/office/spreadsheetml/2018/threadedcomments" xmlns:x="http://schemas.openxmlformats.org/spreadsheetml/2006/main">
  <threadedComment ref="B2" dT="2025-05-30T15:04:16.13" personId="{476701AB-6069-4128-899B-99C8F2AB2CB6}" id="{1E83DF7D-0437-4F18-AEC7-73D4CD78B1D5}">
    <text>@Kiruthiga Ganapathi - Please confirm the Application Name</text>
    <mentions>
      <mention mentionpersonId="{6D1D84C9-0D93-4373-98B0-A3F2F26348EA}" mentionId="{8631B49D-4AB7-42DA-95DA-17B2403C446E}" startIndex="0" length="20"/>
    </mentions>
  </threadedComment>
  <threadedComment ref="B2" dT="2025-05-30T15:19:50.73" personId="{CD4F2EEB-03CA-47D8-A705-8F4052B91BE4}" id="{3DE2CCB1-88B0-4E1B-A7FA-47B5A46A9B57}" parentId="{1E83DF7D-0437-4F18-AEC7-73D4CD78B1D5}">
    <text>Please name it as "MealOrders Wave"</text>
  </threadedComment>
  <threadedComment ref="B3" dT="2025-05-30T15:04:16.13" personId="{476701AB-6069-4128-899B-99C8F2AB2CB6}" id="{55029071-5BA7-42A3-AED4-900F78885A68}">
    <text>@Kiruthiga Ganapathi - Please confirm the Application Name</text>
    <mentions>
      <mention mentionpersonId="{6D1D84C9-0D93-4373-98B0-A3F2F26348EA}" mentionId="{6D63E26A-7050-4157-812A-01EF0C44206B}" startIndex="0" length="20"/>
    </mentions>
  </threadedComment>
  <threadedComment ref="B3" dT="2025-05-30T15:19:50.73" personId="{CD4F2EEB-03CA-47D8-A705-8F4052B91BE4}" id="{5A30AF97-F2B8-4944-B6EE-5AD6DA949A28}" parentId="{55029071-5BA7-42A3-AED4-900F78885A68}">
    <text>Please name it as "MealOrders Wave"</text>
  </threadedComment>
</ThreadedComments>
</file>

<file path=xl/threadedComments/threadedComment10.xml><?xml version="1.0" encoding="utf-8"?>
<ThreadedComments xmlns="http://schemas.microsoft.com/office/spreadsheetml/2018/threadedcomments" xmlns:x="http://schemas.openxmlformats.org/spreadsheetml/2006/main">
  <threadedComment ref="B2" dT="2025-05-30T15:04:16.13" personId="{476701AB-6069-4128-899B-99C8F2AB2CB6}" id="{8F674587-7ED9-4DBD-A4E3-DECA51304B7B}">
    <text>@Kiruthiga Ganapathi - Please confirm the Application Name</text>
    <mentions>
      <mention mentionpersonId="{6D1D84C9-0D93-4373-98B0-A3F2F26348EA}" mentionId="{F4FCB35A-C61D-4168-BF9F-52F93E42F6E8}" startIndex="0" length="20"/>
    </mentions>
  </threadedComment>
  <threadedComment ref="B2" dT="2025-05-30T15:19:50.73" personId="{CD4F2EEB-03CA-47D8-A705-8F4052B91BE4}" id="{E684689E-55CB-47A4-B660-0B28834101DF}" parentId="{8F674587-7ED9-4DBD-A4E3-DECA51304B7B}">
    <text>Please name it as "MealOrders Wave"</text>
  </threadedComment>
  <threadedComment ref="B3" dT="2025-05-30T15:04:16.13" personId="{476701AB-6069-4128-899B-99C8F2AB2CB6}" id="{87FB406A-62C4-4D02-8F7B-8FDF59ED075D}">
    <text>@Kiruthiga Ganapathi - Please confirm the Application Name</text>
    <mentions>
      <mention mentionpersonId="{6D1D84C9-0D93-4373-98B0-A3F2F26348EA}" mentionId="{004930DB-2100-4479-93C8-14F1E0522631}" startIndex="0" length="20"/>
    </mentions>
  </threadedComment>
  <threadedComment ref="B3" dT="2025-05-30T15:19:50.73" personId="{CD4F2EEB-03CA-47D8-A705-8F4052B91BE4}" id="{9490A2F7-8D75-4A63-856D-75C260971B73}" parentId="{87FB406A-62C4-4D02-8F7B-8FDF59ED075D}">
    <text>Please name it as "MealOrders Wave"</text>
  </threadedComment>
</ThreadedComments>
</file>

<file path=xl/threadedComments/threadedComment11.xml><?xml version="1.0" encoding="utf-8"?>
<ThreadedComments xmlns="http://schemas.microsoft.com/office/spreadsheetml/2018/threadedcomments" xmlns:x="http://schemas.openxmlformats.org/spreadsheetml/2006/main">
  <threadedComment ref="B2" dT="2025-05-30T15:04:16.13" personId="{476701AB-6069-4128-899B-99C8F2AB2CB6}" id="{C41CD6F7-B525-480F-AD1E-716086513DBF}">
    <text>@Kiruthiga Ganapathi - Please confirm the Application Name</text>
    <mentions>
      <mention mentionpersonId="{6D1D84C9-0D93-4373-98B0-A3F2F26348EA}" mentionId="{B56415E4-8F39-42FF-AB36-A1EE07D40820}" startIndex="0" length="20"/>
    </mentions>
  </threadedComment>
  <threadedComment ref="B2" dT="2025-05-30T15:19:50.73" personId="{CD4F2EEB-03CA-47D8-A705-8F4052B91BE4}" id="{7D821C43-4B30-429F-9E4B-672AB473D1C2}" parentId="{C41CD6F7-B525-480F-AD1E-716086513DBF}">
    <text>Please name it as "MealOrders Wave"</text>
  </threadedComment>
  <threadedComment ref="B3" dT="2025-05-30T15:04:16.13" personId="{476701AB-6069-4128-899B-99C8F2AB2CB6}" id="{92304FAD-E5C2-4380-9230-564B58873AF8}">
    <text>@Kiruthiga Ganapathi - Please confirm the Application Name</text>
    <mentions>
      <mention mentionpersonId="{6D1D84C9-0D93-4373-98B0-A3F2F26348EA}" mentionId="{F71957E1-B843-473E-8FF5-B2B3627BD24D}" startIndex="0" length="20"/>
    </mentions>
  </threadedComment>
  <threadedComment ref="B3" dT="2025-05-30T15:19:50.73" personId="{CD4F2EEB-03CA-47D8-A705-8F4052B91BE4}" id="{E3CE6526-AFB8-4570-878B-ACD6E808C1B3}" parentId="{92304FAD-E5C2-4380-9230-564B58873AF8}">
    <text>Please name it as "MealOrders Wave"</text>
  </threadedComment>
</ThreadedComments>
</file>

<file path=xl/threadedComments/threadedComment12.xml><?xml version="1.0" encoding="utf-8"?>
<ThreadedComments xmlns="http://schemas.microsoft.com/office/spreadsheetml/2018/threadedcomments" xmlns:x="http://schemas.openxmlformats.org/spreadsheetml/2006/main">
  <threadedComment ref="B2" dT="2025-05-30T15:04:16.13" personId="{476701AB-6069-4128-899B-99C8F2AB2CB6}" id="{CD0FE4FF-7CF0-4AF8-B5DB-45E6CA0132C7}">
    <text>@Kiruthiga Ganapathi - Please confirm the Application Name</text>
    <mentions>
      <mention mentionpersonId="{6D1D84C9-0D93-4373-98B0-A3F2F26348EA}" mentionId="{438F3415-CE12-4D24-81B5-281080D245AC}" startIndex="0" length="20"/>
    </mentions>
  </threadedComment>
  <threadedComment ref="B2" dT="2025-05-30T15:19:50.73" personId="{CD4F2EEB-03CA-47D8-A705-8F4052B91BE4}" id="{04C8F4A2-0AE8-4411-A601-FEBA62EF63A0}" parentId="{CD0FE4FF-7CF0-4AF8-B5DB-45E6CA0132C7}">
    <text>Please name it as "MealOrders Wave"</text>
  </threadedComment>
  <threadedComment ref="B3" dT="2025-05-30T15:04:16.13" personId="{476701AB-6069-4128-899B-99C8F2AB2CB6}" id="{7847663F-2477-4D44-B256-09406F0F5731}">
    <text>@Kiruthiga Ganapathi - Please confirm the Application Name</text>
    <mentions>
      <mention mentionpersonId="{6D1D84C9-0D93-4373-98B0-A3F2F26348EA}" mentionId="{E5B66894-B80C-43A0-965E-9003EB546FF9}" startIndex="0" length="20"/>
    </mentions>
  </threadedComment>
  <threadedComment ref="B3" dT="2025-05-30T15:19:50.73" personId="{CD4F2EEB-03CA-47D8-A705-8F4052B91BE4}" id="{4A542919-D12E-45B5-9635-85A83C57D81F}" parentId="{7847663F-2477-4D44-B256-09406F0F5731}">
    <text>Please name it as "MealOrders Wave"</text>
  </threadedComment>
</ThreadedComments>
</file>

<file path=xl/threadedComments/threadedComment13.xml><?xml version="1.0" encoding="utf-8"?>
<ThreadedComments xmlns="http://schemas.microsoft.com/office/spreadsheetml/2018/threadedcomments" xmlns:x="http://schemas.openxmlformats.org/spreadsheetml/2006/main">
  <threadedComment ref="B2" dT="2025-05-30T15:04:16.13" personId="{476701AB-6069-4128-899B-99C8F2AB2CB6}" id="{BCD9FD19-86D1-4CF9-94B9-236A6DCB04B4}">
    <text>@Kiruthiga Ganapathi - Please confirm the Application Name</text>
    <mentions>
      <mention mentionpersonId="{6D1D84C9-0D93-4373-98B0-A3F2F26348EA}" mentionId="{B8B7B9D2-8625-498E-91D5-BA2F10010BC4}" startIndex="0" length="20"/>
    </mentions>
  </threadedComment>
  <threadedComment ref="B2" dT="2025-05-30T15:19:50.73" personId="{CD4F2EEB-03CA-47D8-A705-8F4052B91BE4}" id="{F1825A5A-4662-4902-956C-FEAF5876DE05}" parentId="{BCD9FD19-86D1-4CF9-94B9-236A6DCB04B4}">
    <text>Please name it as "MealOrders Wave"</text>
  </threadedComment>
  <threadedComment ref="B3" dT="2025-05-30T15:04:16.13" personId="{476701AB-6069-4128-899B-99C8F2AB2CB6}" id="{EE42E344-C00A-487C-AE3A-7A417ED82B77}">
    <text>@Kiruthiga Ganapathi - Please confirm the Application Name</text>
    <mentions>
      <mention mentionpersonId="{6D1D84C9-0D93-4373-98B0-A3F2F26348EA}" mentionId="{C77348FF-4702-4C52-A8E8-A49295298695}" startIndex="0" length="20"/>
    </mentions>
  </threadedComment>
  <threadedComment ref="B3" dT="2025-05-30T15:19:50.73" personId="{CD4F2EEB-03CA-47D8-A705-8F4052B91BE4}" id="{CAD263C2-2059-4ADC-A96A-413834B75DEE}" parentId="{EE42E344-C00A-487C-AE3A-7A417ED82B77}">
    <text>Please name it as "MealOrders Wave"</text>
  </threadedComment>
</ThreadedComments>
</file>

<file path=xl/threadedComments/threadedComment14.xml><?xml version="1.0" encoding="utf-8"?>
<ThreadedComments xmlns="http://schemas.microsoft.com/office/spreadsheetml/2018/threadedcomments" xmlns:x="http://schemas.openxmlformats.org/spreadsheetml/2006/main">
  <threadedComment ref="B2" dT="2025-05-30T15:04:16.13" personId="{476701AB-6069-4128-899B-99C8F2AB2CB6}" id="{18D2DB99-4DCE-4FC3-AF28-89EBB89F8D2B}">
    <text>@Kiruthiga Ganapathi - Please confirm the Application Name</text>
    <mentions>
      <mention mentionpersonId="{6D1D84C9-0D93-4373-98B0-A3F2F26348EA}" mentionId="{3327B82D-810C-4B5C-A43C-7680529C8CB3}" startIndex="0" length="20"/>
    </mentions>
  </threadedComment>
  <threadedComment ref="B2" dT="2025-05-30T15:19:50.73" personId="{CD4F2EEB-03CA-47D8-A705-8F4052B91BE4}" id="{7F648552-4414-4036-B573-D0F7C1D12884}" parentId="{18D2DB99-4DCE-4FC3-AF28-89EBB89F8D2B}">
    <text>Please name it as "MealOrders Wave"</text>
  </threadedComment>
  <threadedComment ref="B3" dT="2025-05-30T15:04:16.13" personId="{476701AB-6069-4128-899B-99C8F2AB2CB6}" id="{F0C8CBEE-45F4-4CC0-B35B-CDD306E70EAC}">
    <text>@Kiruthiga Ganapathi - Please confirm the Application Name</text>
    <mentions>
      <mention mentionpersonId="{6D1D84C9-0D93-4373-98B0-A3F2F26348EA}" mentionId="{97D42439-29AF-48F9-9B36-80393DD760A9}" startIndex="0" length="20"/>
    </mentions>
  </threadedComment>
  <threadedComment ref="B3" dT="2025-05-30T15:19:50.73" personId="{CD4F2EEB-03CA-47D8-A705-8F4052B91BE4}" id="{0BE56800-F1DE-4D2E-8CD6-A9D8A2C6E7A0}" parentId="{F0C8CBEE-45F4-4CC0-B35B-CDD306E70EAC}">
    <text>Please name it as "MealOrders Wave"</text>
  </threadedComment>
</ThreadedComments>
</file>

<file path=xl/threadedComments/threadedComment15.xml><?xml version="1.0" encoding="utf-8"?>
<ThreadedComments xmlns="http://schemas.microsoft.com/office/spreadsheetml/2018/threadedcomments" xmlns:x="http://schemas.openxmlformats.org/spreadsheetml/2006/main">
  <threadedComment ref="B2" dT="2025-05-30T15:04:16.13" personId="{476701AB-6069-4128-899B-99C8F2AB2CB6}" id="{9208A6E6-D66D-4137-AA6C-CCF2BE6C7394}">
    <text>@Kiruthiga Ganapathi - Please confirm the Application Name</text>
    <mentions>
      <mention mentionpersonId="{6D1D84C9-0D93-4373-98B0-A3F2F26348EA}" mentionId="{CB0CEE16-D049-4BD3-929D-1C4C7422B645}" startIndex="0" length="20"/>
    </mentions>
  </threadedComment>
  <threadedComment ref="B2" dT="2025-05-30T15:19:50.73" personId="{CD4F2EEB-03CA-47D8-A705-8F4052B91BE4}" id="{96F8170F-E282-4573-9501-45051EC47AE8}" parentId="{9208A6E6-D66D-4137-AA6C-CCF2BE6C7394}">
    <text>Please name it as "MealOrders Wave"</text>
  </threadedComment>
  <threadedComment ref="B3" dT="2025-05-30T15:04:16.13" personId="{476701AB-6069-4128-899B-99C8F2AB2CB6}" id="{908DF292-F39A-428E-840F-C62C385B7722}">
    <text>@Kiruthiga Ganapathi - Please confirm the Application Name</text>
    <mentions>
      <mention mentionpersonId="{6D1D84C9-0D93-4373-98B0-A3F2F26348EA}" mentionId="{7A421DEE-5068-45DA-95FB-DB294C92CFB0}" startIndex="0" length="20"/>
    </mentions>
  </threadedComment>
  <threadedComment ref="B3" dT="2025-05-30T15:19:50.73" personId="{CD4F2EEB-03CA-47D8-A705-8F4052B91BE4}" id="{6EAFE03E-AAE4-4F89-95AC-D725AA8A7241}" parentId="{908DF292-F39A-428E-840F-C62C385B7722}">
    <text>Please name it as "MealOrders Wave"</text>
  </threadedComment>
  <threadedComment ref="B4" dT="2025-05-30T15:04:16.13" personId="{476701AB-6069-4128-899B-99C8F2AB2CB6}" id="{9DE54EB7-B32D-4F83-8BA5-CE0FA797EB9B}">
    <text>@Kiruthiga Ganapathi - Please confirm the Application Name</text>
    <mentions>
      <mention mentionpersonId="{6D1D84C9-0D93-4373-98B0-A3F2F26348EA}" mentionId="{06A7958C-BB7E-4CC6-88A1-538D1C13578C}" startIndex="0" length="20"/>
    </mentions>
  </threadedComment>
  <threadedComment ref="B4" dT="2025-05-30T15:19:50.73" personId="{CD4F2EEB-03CA-47D8-A705-8F4052B91BE4}" id="{25E18D8B-9558-493C-B843-DA94D0557514}" parentId="{9DE54EB7-B32D-4F83-8BA5-CE0FA797EB9B}">
    <text>Please name it as "MealOrders Wave"</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19:33c225e109bb48d58dd1e9a89b0261a7@thread.v2"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dev.azure.com/heartlandschools/Mosaic/_git/BOH/pullrequest/49023" TargetMode="External"/><Relationship Id="rId1" Type="http://schemas.openxmlformats.org/officeDocument/2006/relationships/hyperlink" Target="https://dev.azure.com/heartlandschools/Mosaic/_git/FOH/pullrequest/4896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v.azure.com/heartlandschools/Mosaic/_git/BOH/pullrequest/48661" TargetMode="External"/><Relationship Id="rId7" Type="http://schemas.openxmlformats.org/officeDocument/2006/relationships/table" Target="../tables/table3.xml"/><Relationship Id="rId2" Type="http://schemas.openxmlformats.org/officeDocument/2006/relationships/hyperlink" Target="https://dev.azure.com/heartlandschools/Mosaic/_git/BOH/pullrequest/48652" TargetMode="External"/><Relationship Id="rId1" Type="http://schemas.openxmlformats.org/officeDocument/2006/relationships/hyperlink" Target="https://dev.azure.com/heartlandschools/Mosaic/_git/BOH/pullrequest/48634" TargetMode="External"/><Relationship Id="rId6" Type="http://schemas.openxmlformats.org/officeDocument/2006/relationships/hyperlink" Target="https://dev.azure.com/heartlandschools/Mosaic/_git/BOH/pullrequest/48767" TargetMode="External"/><Relationship Id="rId5" Type="http://schemas.openxmlformats.org/officeDocument/2006/relationships/hyperlink" Target="https://dev.azure.com/heartlandschools/Mosaic/_git/FOH/pullrequest/48727" TargetMode="External"/><Relationship Id="rId4" Type="http://schemas.openxmlformats.org/officeDocument/2006/relationships/hyperlink" Target="https://dev.azure.com/heartlandschools/Mosaic/_git/BOH/pullrequest/4870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ev.azure.com/heartlandschools/Mosaic/_git/BOH/pullrequest/48435" TargetMode="External"/><Relationship Id="rId2" Type="http://schemas.openxmlformats.org/officeDocument/2006/relationships/hyperlink" Target="https://dev.azure.com/heartlandschools/Mosaic/_git/BOH/pullrequest/48426" TargetMode="External"/><Relationship Id="rId1" Type="http://schemas.openxmlformats.org/officeDocument/2006/relationships/hyperlink" Target="https://dev.azure.com/heartlandschools/Mosaic/_git/BOH/pullrequest/48299" TargetMode="External"/><Relationship Id="rId5" Type="http://schemas.openxmlformats.org/officeDocument/2006/relationships/table" Target="../tables/table4.xml"/><Relationship Id="rId4" Type="http://schemas.openxmlformats.org/officeDocument/2006/relationships/hyperlink" Target="https://dev.azure.com/heartlandschools/Mosaic/_git/BOH/pullrequest/48443"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ev.azure.com/heartlandschools/Mosaic/_git/FOH/pullrequest/48109" TargetMode="External"/><Relationship Id="rId2" Type="http://schemas.openxmlformats.org/officeDocument/2006/relationships/hyperlink" Target="https://dev.azure.com/heartlandschools/Mosaic/_git/BOH/pullrequest/48147" TargetMode="External"/><Relationship Id="rId1" Type="http://schemas.openxmlformats.org/officeDocument/2006/relationships/hyperlink" Target="https://dev.azure.com/heartlandschools/Mosaic/_git/BOH/pullrequest/48131" TargetMode="External"/><Relationship Id="rId5" Type="http://schemas.openxmlformats.org/officeDocument/2006/relationships/table" Target="../tables/table5.xml"/><Relationship Id="rId4" Type="http://schemas.openxmlformats.org/officeDocument/2006/relationships/hyperlink" Target="https://dev.azure.com/heartlandschools/Mosaic/_git/BOH/pullrequest/4817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ev.azure.com/heartlandschools/Mosaic/_git/BOH/pullrequest/47819" TargetMode="External"/><Relationship Id="rId2" Type="http://schemas.openxmlformats.org/officeDocument/2006/relationships/hyperlink" Target="https://dev.azure.com/heartlandschools/Mosaic/_git/BOH/pullrequest/47713" TargetMode="External"/><Relationship Id="rId1" Type="http://schemas.openxmlformats.org/officeDocument/2006/relationships/hyperlink" Target="https://dev.azure.com/heartlandschools/Mosaic/_git/BOH/pullrequest/47713" TargetMode="External"/><Relationship Id="rId5" Type="http://schemas.openxmlformats.org/officeDocument/2006/relationships/table" Target="../tables/table6.xml"/><Relationship Id="rId4" Type="http://schemas.openxmlformats.org/officeDocument/2006/relationships/hyperlink" Target="https://dev.azure.com/heartlandschools/Mosaic/_git/BOH/pullrequest/47878"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ev.azure.com/heartlandschools/Mosaic/_git/BOH/pullrequest/47557" TargetMode="External"/><Relationship Id="rId2" Type="http://schemas.openxmlformats.org/officeDocument/2006/relationships/hyperlink" Target="https://dev.azure.com/heartlandschools/Mosaic/_git/BOH/pullrequest/47556" TargetMode="External"/><Relationship Id="rId1" Type="http://schemas.openxmlformats.org/officeDocument/2006/relationships/hyperlink" Target="https://dev.azure.com/heartlandschools/Mosaic/_git/BOH/pullrequest/47538" TargetMode="External"/><Relationship Id="rId4"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3" Type="http://schemas.openxmlformats.org/officeDocument/2006/relationships/hyperlink" Target="https://dev.azure.com/heartlandschools/Mosaic/_git/BOH/pullrequest/47297" TargetMode="External"/><Relationship Id="rId2" Type="http://schemas.openxmlformats.org/officeDocument/2006/relationships/hyperlink" Target="https://dev.azure.com/heartlandschools/Mosaic/_git/FOH/pullrequest/47271" TargetMode="External"/><Relationship Id="rId1" Type="http://schemas.openxmlformats.org/officeDocument/2006/relationships/hyperlink" Target="https://dev.azure.com/heartlandschools/MCS/_git/MySchoolApps/pullrequest/47196" TargetMode="External"/><Relationship Id="rId4"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documenttask" Target="../documenttasks/documenttask1.xml"/><Relationship Id="rId2" Type="http://schemas.openxmlformats.org/officeDocument/2006/relationships/hyperlink" Target="https://dev.azure.com/heartlandschools/Mosaic/_git/FOH/pullrequest/46414" TargetMode="External"/><Relationship Id="rId1" Type="http://schemas.openxmlformats.org/officeDocument/2006/relationships/hyperlink" Target="https://dev.azure.com/heartlandschools/Mosaic/_git/FOH/pullrequest/46266"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https://dev.azure.com/heartlandschools/Mosaic/_git/FOH/pullrequest/46975"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2.vml"/><Relationship Id="rId1" Type="http://schemas.openxmlformats.org/officeDocument/2006/relationships/hyperlink" Target="https://dev.azure.com/heartlandschools/Accounting/_git/MSBAccounting-NewSchoolBooks/pullrequest/46765" TargetMode="External"/><Relationship Id="rId6" Type="http://schemas.microsoft.com/office/2019/04/relationships/documenttask" Target="../documenttasks/documenttask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2.xml.rels><?xml version="1.0" encoding="UTF-8" standalone="yes"?>
<Relationships xmlns="http://schemas.openxmlformats.org/package/2006/relationships"><Relationship Id="rId8" Type="http://schemas.microsoft.com/office/2019/04/relationships/documenttask" Target="../documenttasks/documenttask3.xml"/><Relationship Id="rId3" Type="http://schemas.openxmlformats.org/officeDocument/2006/relationships/hyperlink" Target="https://dev.azure.com/heartlandschools/Mosaic/_git/FOH/pullrequest/46151" TargetMode="External"/><Relationship Id="rId7" Type="http://schemas.microsoft.com/office/2017/10/relationships/threadedComment" Target="../threadedComments/threadedComment3.xml"/><Relationship Id="rId2" Type="http://schemas.openxmlformats.org/officeDocument/2006/relationships/hyperlink" Target="https://dev.azure.com/heartlandschools/Mosaic/_git/FOH/pullrequest/45958" TargetMode="External"/><Relationship Id="rId1" Type="http://schemas.openxmlformats.org/officeDocument/2006/relationships/hyperlink" Target="https://dev.azure.com/heartlandschools/Mosaic/_git/FOH/pullrequest/45893?_a=files" TargetMode="External"/><Relationship Id="rId6" Type="http://schemas.openxmlformats.org/officeDocument/2006/relationships/comments" Target="../comments3.xml"/><Relationship Id="rId5" Type="http://schemas.openxmlformats.org/officeDocument/2006/relationships/table" Target="../tables/table12.xml"/><Relationship Id="rId4"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4.vml"/><Relationship Id="rId7" Type="http://schemas.microsoft.com/office/2019/04/relationships/documenttask" Target="../documenttasks/documenttask4.xml"/><Relationship Id="rId2" Type="http://schemas.openxmlformats.org/officeDocument/2006/relationships/hyperlink" Target="https://dev.azure.com/heartlandschools/Mosaic/_git/FOH/pullrequest/45405" TargetMode="External"/><Relationship Id="rId1" Type="http://schemas.openxmlformats.org/officeDocument/2006/relationships/hyperlink" Target="https://dev.azure.com/heartlandschools/Mosaic/_git/FOH/pullrequest/45603" TargetMode="External"/><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table" Target="../tables/table13.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5.vml"/><Relationship Id="rId1" Type="http://schemas.openxmlformats.org/officeDocument/2006/relationships/hyperlink" Target="https://dev.azure.com/heartlandschools/Mosaic/_git/FOH/pullrequest/45368" TargetMode="External"/><Relationship Id="rId6" Type="http://schemas.microsoft.com/office/2019/04/relationships/documenttask" Target="../documenttasks/documenttask5.xml"/><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26.xml.rels><?xml version="1.0" encoding="UTF-8" standalone="yes"?>
<Relationships xmlns="http://schemas.openxmlformats.org/package/2006/relationships"><Relationship Id="rId8" Type="http://schemas.microsoft.com/office/2019/04/relationships/documenttask" Target="../documenttasks/documenttask6.xml"/><Relationship Id="rId3" Type="http://schemas.openxmlformats.org/officeDocument/2006/relationships/hyperlink" Target="https://dev.azure.com/heartlandschools/Mosaic/_git/FOH/pullrequest/44990" TargetMode="External"/><Relationship Id="rId7" Type="http://schemas.microsoft.com/office/2017/10/relationships/threadedComment" Target="../threadedComments/threadedComment6.xml"/><Relationship Id="rId2" Type="http://schemas.openxmlformats.org/officeDocument/2006/relationships/hyperlink" Target="https://dev.azure.com/heartlandschools/MCS/_git/MySchoolApps/pullrequest/45113" TargetMode="External"/><Relationship Id="rId1" Type="http://schemas.openxmlformats.org/officeDocument/2006/relationships/hyperlink" Target="https://dev.azure.com/heartlandschools/Mosaic/_git/BOH/pullrequest/45114" TargetMode="External"/><Relationship Id="rId6" Type="http://schemas.openxmlformats.org/officeDocument/2006/relationships/comments" Target="../comments6.xml"/><Relationship Id="rId5" Type="http://schemas.openxmlformats.org/officeDocument/2006/relationships/table" Target="../tables/table15.xml"/><Relationship Id="rId4" Type="http://schemas.openxmlformats.org/officeDocument/2006/relationships/vmlDrawing" Target="../drawings/vmlDrawing6.vml"/></Relationships>
</file>

<file path=xl/worksheets/_rels/sheet27.xml.rels><?xml version="1.0" encoding="UTF-8" standalone="yes"?>
<Relationships xmlns="http://schemas.openxmlformats.org/package/2006/relationships"><Relationship Id="rId8" Type="http://schemas.microsoft.com/office/2017/10/relationships/threadedComment" Target="../threadedComments/threadedComment7.xml"/><Relationship Id="rId3" Type="http://schemas.openxmlformats.org/officeDocument/2006/relationships/hyperlink" Target="https://dev.azure.com/heartlandschools/MCS/_git/MySchoolApps/pullrequest/44640" TargetMode="External"/><Relationship Id="rId7" Type="http://schemas.openxmlformats.org/officeDocument/2006/relationships/comments" Target="../comments7.xml"/><Relationship Id="rId2" Type="http://schemas.openxmlformats.org/officeDocument/2006/relationships/hyperlink" Target="https://dev.azure.com/heartlandschools/Mosaic/_git/FOH/pullrequest/44862" TargetMode="External"/><Relationship Id="rId1" Type="http://schemas.openxmlformats.org/officeDocument/2006/relationships/hyperlink" Target="https://dev.azure.com/heartlandschools/MCS/_git/MySchoolApps/pullrequest/44869?_a=files" TargetMode="External"/><Relationship Id="rId6" Type="http://schemas.openxmlformats.org/officeDocument/2006/relationships/table" Target="../tables/table16.xml"/><Relationship Id="rId5" Type="http://schemas.openxmlformats.org/officeDocument/2006/relationships/vmlDrawing" Target="../drawings/vmlDrawing7.vml"/><Relationship Id="rId4" Type="http://schemas.openxmlformats.org/officeDocument/2006/relationships/hyperlink" Target="https://dev.azure.com/heartlandschools/Mosaic/_git/BOH/pullrequest/44730" TargetMode="External"/><Relationship Id="rId9" Type="http://schemas.microsoft.com/office/2019/04/relationships/documenttask" Target="../documenttasks/documenttask7.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8.vml"/><Relationship Id="rId7" Type="http://schemas.microsoft.com/office/2019/04/relationships/documenttask" Target="../documenttasks/documenttask8.xml"/><Relationship Id="rId2" Type="http://schemas.openxmlformats.org/officeDocument/2006/relationships/hyperlink" Target="https://dev.azure.com/heartlandschools/Mosaic/_git/BOH/pullrequest/44646" TargetMode="External"/><Relationship Id="rId1" Type="http://schemas.openxmlformats.org/officeDocument/2006/relationships/hyperlink" Target="https://dev.azure.com/heartlandschools/MCS/_git/MySchoolApps/pullrequest/44585?_a=files" TargetMode="External"/><Relationship Id="rId6" Type="http://schemas.microsoft.com/office/2017/10/relationships/threadedComment" Target="../threadedComments/threadedComment8.xml"/><Relationship Id="rId5" Type="http://schemas.openxmlformats.org/officeDocument/2006/relationships/comments" Target="../comments8.xml"/><Relationship Id="rId4" Type="http://schemas.openxmlformats.org/officeDocument/2006/relationships/table" Target="../tables/table17.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vmlDrawing" Target="../drawings/vmlDrawing9.vml"/><Relationship Id="rId1" Type="http://schemas.openxmlformats.org/officeDocument/2006/relationships/hyperlink" Target="https://dev.azure.com/heartlandschools/Mosaic/_git/BOH/pullrequest/44178" TargetMode="External"/><Relationship Id="rId6" Type="http://schemas.microsoft.com/office/2019/04/relationships/documenttask" Target="../documenttasks/documenttask9.xml"/><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0.vml"/><Relationship Id="rId7" Type="http://schemas.microsoft.com/office/2019/04/relationships/documenttask" Target="../documenttasks/documenttask10.xml"/><Relationship Id="rId2" Type="http://schemas.openxmlformats.org/officeDocument/2006/relationships/hyperlink" Target="https://heartlandschools.slack.com/archives/C0849J9JTGQ/p1755609648292209" TargetMode="External"/><Relationship Id="rId1" Type="http://schemas.openxmlformats.org/officeDocument/2006/relationships/hyperlink" Target="https://dev.azure.com/heartlandschools/Mosaic/_git/BOH/pullrequest/44003" TargetMode="External"/><Relationship Id="rId6" Type="http://schemas.microsoft.com/office/2017/10/relationships/threadedComment" Target="../threadedComments/threadedComment10.xml"/><Relationship Id="rId5" Type="http://schemas.openxmlformats.org/officeDocument/2006/relationships/comments" Target="../comments10.xml"/><Relationship Id="rId4" Type="http://schemas.openxmlformats.org/officeDocument/2006/relationships/table" Target="../tables/table19.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1.vml"/><Relationship Id="rId7" Type="http://schemas.microsoft.com/office/2019/04/relationships/documenttask" Target="../documenttasks/documenttask11.xml"/><Relationship Id="rId2" Type="http://schemas.openxmlformats.org/officeDocument/2006/relationships/hyperlink" Target="https://dev.azure.com/heartlandschools/Mosaic/_git/BOH/pullrequest/43722" TargetMode="External"/><Relationship Id="rId1" Type="http://schemas.openxmlformats.org/officeDocument/2006/relationships/hyperlink" Target="https://dev.azure.com/heartlandschools/Mosaic/_git/BOH/pullrequest/43750" TargetMode="External"/><Relationship Id="rId6" Type="http://schemas.microsoft.com/office/2017/10/relationships/threadedComment" Target="../threadedComments/threadedComment11.xml"/><Relationship Id="rId5" Type="http://schemas.openxmlformats.org/officeDocument/2006/relationships/comments" Target="../comments11.xml"/><Relationship Id="rId4" Type="http://schemas.openxmlformats.org/officeDocument/2006/relationships/table" Target="../tables/table20.xml"/></Relationships>
</file>

<file path=xl/worksheets/_rels/sheet37.xml.rels><?xml version="1.0" encoding="UTF-8" standalone="yes"?>
<Relationships xmlns="http://schemas.openxmlformats.org/package/2006/relationships"><Relationship Id="rId8" Type="http://schemas.microsoft.com/office/2019/04/relationships/documenttask" Target="../documenttasks/documenttask12.xml"/><Relationship Id="rId3" Type="http://schemas.openxmlformats.org/officeDocument/2006/relationships/hyperlink" Target="https://dev.azure.com/heartlandschools/Mosaic/_git/BOH/pullrequest/43568" TargetMode="External"/><Relationship Id="rId7" Type="http://schemas.microsoft.com/office/2017/10/relationships/threadedComment" Target="../threadedComments/threadedComment12.xml"/><Relationship Id="rId2" Type="http://schemas.openxmlformats.org/officeDocument/2006/relationships/hyperlink" Target="https://dev.azure.com/heartlandschools/Mosaic/_git/BOH/pullrequest/43568" TargetMode="External"/><Relationship Id="rId1" Type="http://schemas.openxmlformats.org/officeDocument/2006/relationships/hyperlink" Target="https://dev.azure.com/heartlandschools/Mosaic/_git/BOH/pullrequest/43535" TargetMode="External"/><Relationship Id="rId6" Type="http://schemas.openxmlformats.org/officeDocument/2006/relationships/comments" Target="../comments12.xml"/><Relationship Id="rId5" Type="http://schemas.openxmlformats.org/officeDocument/2006/relationships/table" Target="../tables/table21.xml"/><Relationship Id="rId4" Type="http://schemas.openxmlformats.org/officeDocument/2006/relationships/vmlDrawing" Target="../drawings/vmlDrawing12.vml"/></Relationships>
</file>

<file path=xl/worksheets/_rels/sheet39.xml.rels><?xml version="1.0" encoding="UTF-8" standalone="yes"?>
<Relationships xmlns="http://schemas.openxmlformats.org/package/2006/relationships"><Relationship Id="rId8" Type="http://schemas.microsoft.com/office/2019/04/relationships/documenttask" Target="../documenttasks/documenttask13.xml"/><Relationship Id="rId3" Type="http://schemas.openxmlformats.org/officeDocument/2006/relationships/hyperlink" Target="https://dev.azure.com/heartlandschools/Mosaic/_git/BOH/pullrequest/43198" TargetMode="External"/><Relationship Id="rId7" Type="http://schemas.microsoft.com/office/2017/10/relationships/threadedComment" Target="../threadedComments/threadedComment13.xml"/><Relationship Id="rId2" Type="http://schemas.openxmlformats.org/officeDocument/2006/relationships/hyperlink" Target="https://dev.azure.com/heartlandschools/Mosaic/_git/BOH/pullrequest/43098" TargetMode="External"/><Relationship Id="rId1" Type="http://schemas.openxmlformats.org/officeDocument/2006/relationships/hyperlink" Target="https://dev.azure.com/heartlandschools/Mosaic/_git/BOH/pullrequest/43098" TargetMode="External"/><Relationship Id="rId6" Type="http://schemas.openxmlformats.org/officeDocument/2006/relationships/comments" Target="../comments13.xml"/><Relationship Id="rId5" Type="http://schemas.openxmlformats.org/officeDocument/2006/relationships/table" Target="../tables/table22.xml"/><Relationship Id="rId4" Type="http://schemas.openxmlformats.org/officeDocument/2006/relationships/vmlDrawing" Target="../drawings/vmlDrawing13.vml"/></Relationships>
</file>

<file path=xl/worksheets/_rels/sheet4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3.xml"/><Relationship Id="rId1" Type="http://schemas.openxmlformats.org/officeDocument/2006/relationships/vmlDrawing" Target="../drawings/vmlDrawing14.vml"/><Relationship Id="rId5" Type="http://schemas.microsoft.com/office/2019/04/relationships/documenttask" Target="../documenttasks/documenttask14.xml"/><Relationship Id="rId4" Type="http://schemas.microsoft.com/office/2017/10/relationships/threadedComment" Target="../threadedComments/threadedComment14.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4.xml"/><Relationship Id="rId1" Type="http://schemas.openxmlformats.org/officeDocument/2006/relationships/vmlDrawing" Target="../drawings/vmlDrawing15.vml"/><Relationship Id="rId5" Type="http://schemas.microsoft.com/office/2019/04/relationships/documenttask" Target="../documenttasks/documenttask15.xml"/><Relationship Id="rId4" Type="http://schemas.microsoft.com/office/2017/10/relationships/threadedComment" Target="../threadedComments/threadedComment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15"/>
  <sheetViews>
    <sheetView showGridLines="0" workbookViewId="0">
      <pane ySplit="2" topLeftCell="D24" activePane="bottomLeft" state="frozen"/>
      <selection pane="bottomLeft" activeCell="F25" sqref="F25"/>
    </sheetView>
  </sheetViews>
  <sheetFormatPr defaultColWidth="12.5703125" defaultRowHeight="15.75" customHeight="1"/>
  <cols>
    <col min="1" max="1" width="13.28515625" style="18" customWidth="1"/>
    <col min="2" max="2" width="25.42578125" style="20" customWidth="1"/>
    <col min="3" max="3" width="16.7109375" style="20" customWidth="1"/>
    <col min="4" max="4" width="25.7109375" style="20" customWidth="1"/>
    <col min="5" max="5" width="14.42578125" style="20" customWidth="1"/>
    <col min="6" max="6" width="11.7109375" style="20" customWidth="1"/>
    <col min="7" max="7" width="21" style="20" customWidth="1"/>
    <col min="8" max="8" width="42.28515625" style="31" customWidth="1"/>
    <col min="9" max="9" width="61.140625" style="20" customWidth="1"/>
    <col min="10" max="10" width="36.5703125" style="20" bestFit="1" customWidth="1"/>
    <col min="11" max="11" width="36.5703125" style="20" customWidth="1"/>
    <col min="12" max="16384" width="12.5703125" style="20"/>
  </cols>
  <sheetData>
    <row r="1" spans="1:32" s="113" customFormat="1" ht="12.75">
      <c r="A1" s="155" t="s">
        <v>0</v>
      </c>
      <c r="B1" s="113" t="str" cm="1">
        <f t="array" aca="1" ref="B1" ca="1">INDEX($B$2:$B$53,MATCH(1,(($D$2:$D$53 &gt;=TODAY())*($C$2:$C$53&lt;=TODAY())),0))</f>
        <v>Kaleida Nutrition S24</v>
      </c>
      <c r="C1" s="155" t="s">
        <v>1</v>
      </c>
      <c r="D1" s="156" t="str">
        <f ca="1">CONCATENATE(B1,"-Status")</f>
        <v>Kaleida Nutrition S24-Status</v>
      </c>
      <c r="E1" s="157" t="s">
        <v>2</v>
      </c>
      <c r="F1" s="168">
        <f ca="1">VLOOKUP($B$1,$B$1:$C$101,2)</f>
        <v>46157</v>
      </c>
      <c r="G1" s="157" t="s">
        <v>3</v>
      </c>
      <c r="H1" s="169">
        <f ca="1">VLOOKUP($B$1,$B$1:$D$101,3)</f>
        <v>46170</v>
      </c>
      <c r="I1" s="158" t="s">
        <v>4</v>
      </c>
      <c r="J1" s="159" t="s">
        <v>5</v>
      </c>
      <c r="K1" s="113" t="s">
        <v>6</v>
      </c>
      <c r="L1" s="113" t="s">
        <v>7</v>
      </c>
      <c r="M1" s="113" t="s">
        <v>8</v>
      </c>
      <c r="N1" s="17" t="s">
        <v>9</v>
      </c>
    </row>
    <row r="2" spans="1:32" ht="27">
      <c r="A2" s="22" t="s">
        <v>10</v>
      </c>
      <c r="B2" s="30" t="s">
        <v>11</v>
      </c>
      <c r="C2" s="22" t="s">
        <v>2</v>
      </c>
      <c r="D2" s="22" t="s">
        <v>3</v>
      </c>
      <c r="E2" s="22" t="s">
        <v>12</v>
      </c>
      <c r="F2" s="22" t="s">
        <v>13</v>
      </c>
      <c r="G2" s="22" t="s">
        <v>14</v>
      </c>
      <c r="H2" s="22" t="s">
        <v>15</v>
      </c>
      <c r="I2" s="22" t="s">
        <v>16</v>
      </c>
      <c r="J2" s="7" t="s">
        <v>17</v>
      </c>
      <c r="K2" s="7" t="s">
        <v>18</v>
      </c>
      <c r="L2" s="33" t="s">
        <v>19</v>
      </c>
      <c r="M2" s="33" t="s">
        <v>20</v>
      </c>
      <c r="N2" s="7" t="s">
        <v>21</v>
      </c>
      <c r="O2" s="19"/>
      <c r="P2" s="19"/>
      <c r="Q2" s="19"/>
      <c r="R2" s="19"/>
      <c r="S2" s="19"/>
      <c r="T2" s="19"/>
      <c r="U2" s="19"/>
      <c r="V2" s="19"/>
      <c r="W2" s="19"/>
      <c r="X2" s="19"/>
      <c r="Y2" s="19"/>
      <c r="Z2" s="19"/>
      <c r="AA2" s="19"/>
      <c r="AB2" s="19"/>
      <c r="AC2" s="19"/>
      <c r="AD2" s="19"/>
      <c r="AE2" s="19"/>
      <c r="AF2" s="19"/>
    </row>
    <row r="3" spans="1:32" ht="38.25" customHeight="1">
      <c r="A3" s="19" t="str">
        <f ca="1">IF(AND($D$1&gt;=C3,$D$1&lt;=D3),"CurrentSprint","NA")</f>
        <v>NA</v>
      </c>
      <c r="B3" s="48" t="s">
        <v>22</v>
      </c>
      <c r="C3" s="62">
        <v>45807</v>
      </c>
      <c r="D3" s="62">
        <v>45820</v>
      </c>
      <c r="E3" s="3">
        <v>13</v>
      </c>
      <c r="F3" s="3">
        <v>13</v>
      </c>
      <c r="G3" s="3">
        <v>0</v>
      </c>
      <c r="H3" s="3"/>
      <c r="I3" s="4"/>
      <c r="J3" s="8" t="s">
        <v>23</v>
      </c>
      <c r="K3" s="8"/>
      <c r="L3" s="19"/>
      <c r="M3" s="34"/>
      <c r="N3" s="19"/>
      <c r="O3" s="19"/>
      <c r="P3" s="19"/>
      <c r="Q3" s="19"/>
      <c r="R3" s="19"/>
      <c r="S3" s="19"/>
      <c r="T3" s="19"/>
      <c r="U3" s="19"/>
      <c r="V3" s="19"/>
      <c r="W3" s="19"/>
      <c r="X3" s="19"/>
      <c r="Y3" s="19"/>
      <c r="Z3" s="19"/>
      <c r="AA3" s="19"/>
      <c r="AB3" s="19"/>
      <c r="AC3" s="19"/>
      <c r="AD3" s="19"/>
      <c r="AE3" s="19"/>
      <c r="AF3" s="19"/>
    </row>
    <row r="4" spans="1:32" ht="44.25" customHeight="1">
      <c r="A4" s="19" t="str">
        <f ca="1">IF(AND($D$1&gt;=C4,$D$1&lt;=D4),"CurrentSprint","NA")</f>
        <v>NA</v>
      </c>
      <c r="B4" s="48" t="s">
        <v>24</v>
      </c>
      <c r="C4" s="62">
        <v>45821</v>
      </c>
      <c r="D4" s="62">
        <v>45834</v>
      </c>
      <c r="E4" s="5">
        <v>21</v>
      </c>
      <c r="F4" s="5">
        <v>0</v>
      </c>
      <c r="G4" s="5">
        <v>0</v>
      </c>
      <c r="H4" s="3"/>
      <c r="I4" s="4" t="s">
        <v>25</v>
      </c>
      <c r="J4" s="19"/>
      <c r="K4" s="19"/>
      <c r="L4" s="19"/>
      <c r="M4" s="19"/>
      <c r="N4" s="19"/>
      <c r="O4" s="19"/>
      <c r="P4" s="19"/>
      <c r="Q4" s="19"/>
      <c r="R4" s="19"/>
      <c r="S4" s="19"/>
      <c r="T4" s="19"/>
      <c r="U4" s="19"/>
      <c r="V4" s="19"/>
      <c r="W4" s="19"/>
      <c r="X4" s="19"/>
      <c r="Y4" s="19"/>
      <c r="Z4" s="19"/>
      <c r="AA4" s="19"/>
      <c r="AB4" s="19"/>
      <c r="AC4" s="19"/>
      <c r="AD4" s="19"/>
      <c r="AE4" s="19"/>
      <c r="AF4" s="19"/>
    </row>
    <row r="5" spans="1:32" ht="88.5" customHeight="1">
      <c r="A5" s="19" t="str">
        <f ca="1">IF(AND($D$1&gt;=C5,$D$1&lt;=D5),"CurrentSprint","NA")</f>
        <v>NA</v>
      </c>
      <c r="B5" s="48" t="s">
        <v>26</v>
      </c>
      <c r="C5" s="62">
        <v>45835</v>
      </c>
      <c r="D5" s="62">
        <v>45848</v>
      </c>
      <c r="E5" s="5">
        <v>26</v>
      </c>
      <c r="F5" s="5">
        <v>13</v>
      </c>
      <c r="G5" s="5">
        <v>0</v>
      </c>
      <c r="H5" s="3"/>
      <c r="I5" s="4" t="s">
        <v>27</v>
      </c>
      <c r="J5" s="160" t="s">
        <v>28</v>
      </c>
      <c r="K5" s="92"/>
      <c r="L5" s="19"/>
      <c r="M5" s="19"/>
      <c r="N5" s="19"/>
      <c r="O5" s="19"/>
      <c r="P5" s="19"/>
      <c r="Q5" s="19"/>
      <c r="R5" s="19"/>
      <c r="S5" s="19"/>
      <c r="T5" s="19"/>
      <c r="U5" s="19"/>
      <c r="V5" s="19"/>
      <c r="W5" s="19"/>
      <c r="X5" s="19"/>
      <c r="Y5" s="19"/>
      <c r="Z5" s="19"/>
      <c r="AA5" s="19"/>
      <c r="AB5" s="19"/>
      <c r="AC5" s="19"/>
      <c r="AD5" s="19"/>
      <c r="AE5" s="19"/>
      <c r="AF5" s="19"/>
    </row>
    <row r="6" spans="1:32" ht="72.75" customHeight="1">
      <c r="A6" s="19" t="str">
        <f ca="1">IF(AND($D$1&gt;=C6,$D$1&lt;=D6),"CurrentSprint","NA")</f>
        <v>NA</v>
      </c>
      <c r="B6" s="48" t="s">
        <v>29</v>
      </c>
      <c r="C6" s="62">
        <v>45849</v>
      </c>
      <c r="D6" s="62">
        <v>45862</v>
      </c>
      <c r="E6" s="5">
        <v>21</v>
      </c>
      <c r="F6" s="5">
        <v>21</v>
      </c>
      <c r="G6" s="5">
        <v>0</v>
      </c>
      <c r="H6" s="3" t="s">
        <v>30</v>
      </c>
      <c r="I6" s="4" t="s">
        <v>31</v>
      </c>
      <c r="J6" s="8" t="s">
        <v>32</v>
      </c>
      <c r="K6" s="8"/>
      <c r="L6" s="19"/>
      <c r="M6" s="19"/>
      <c r="N6" s="19"/>
      <c r="O6" s="19"/>
      <c r="P6" s="19"/>
      <c r="Q6" s="19"/>
      <c r="R6" s="19"/>
      <c r="S6" s="19"/>
      <c r="T6" s="19"/>
      <c r="U6" s="19"/>
      <c r="V6" s="19"/>
      <c r="W6" s="19"/>
      <c r="X6" s="19"/>
      <c r="Y6" s="19"/>
      <c r="Z6" s="19"/>
      <c r="AA6" s="19"/>
      <c r="AB6" s="19"/>
      <c r="AC6" s="19"/>
      <c r="AD6" s="19"/>
      <c r="AE6" s="19"/>
      <c r="AF6" s="19"/>
    </row>
    <row r="7" spans="1:32" ht="84">
      <c r="A7" s="19" t="str">
        <f ca="1">IF(AND($D$1&gt;=C7,$D$1&lt;=D7),"CurrentSprint","NA")</f>
        <v>NA</v>
      </c>
      <c r="B7" s="48" t="s">
        <v>33</v>
      </c>
      <c r="C7" s="80">
        <v>45863</v>
      </c>
      <c r="D7" s="62">
        <v>45876</v>
      </c>
      <c r="E7" s="5">
        <v>18</v>
      </c>
      <c r="F7" s="5">
        <v>26</v>
      </c>
      <c r="G7" s="5">
        <v>0</v>
      </c>
      <c r="H7" s="3" t="s">
        <v>34</v>
      </c>
      <c r="I7" s="4" t="s">
        <v>35</v>
      </c>
      <c r="J7" s="19"/>
      <c r="K7" s="19"/>
      <c r="L7" s="19"/>
      <c r="M7" s="19"/>
      <c r="N7" s="19"/>
      <c r="O7" s="19"/>
      <c r="P7" s="19"/>
      <c r="Q7" s="19"/>
      <c r="R7" s="19"/>
      <c r="S7" s="19"/>
      <c r="T7" s="19"/>
      <c r="U7" s="19"/>
      <c r="V7" s="19"/>
      <c r="W7" s="19"/>
      <c r="X7" s="19"/>
      <c r="Y7" s="19"/>
      <c r="Z7" s="19"/>
      <c r="AA7" s="19"/>
      <c r="AB7" s="19"/>
      <c r="AC7" s="19"/>
      <c r="AD7" s="19"/>
      <c r="AE7" s="19"/>
      <c r="AF7" s="19"/>
    </row>
    <row r="8" spans="1:32" ht="63.75" customHeight="1">
      <c r="A8" s="19" t="str">
        <f ca="1">IF(AND($D$1&gt;=C8,$D$1&lt;=D8),"CurrentSprint","NA")</f>
        <v>NA</v>
      </c>
      <c r="B8" s="48" t="s">
        <v>36</v>
      </c>
      <c r="C8" s="62">
        <v>45877</v>
      </c>
      <c r="D8" s="62">
        <v>45890</v>
      </c>
      <c r="E8" s="5">
        <v>10</v>
      </c>
      <c r="F8" s="5">
        <v>10</v>
      </c>
      <c r="G8" s="5"/>
      <c r="H8" s="3" t="s">
        <v>37</v>
      </c>
      <c r="I8" s="4" t="s">
        <v>38</v>
      </c>
      <c r="J8" s="19" t="s">
        <v>39</v>
      </c>
      <c r="K8" s="19"/>
      <c r="L8" s="19"/>
      <c r="M8" s="19"/>
      <c r="N8" s="19"/>
      <c r="O8" s="19"/>
      <c r="P8" s="19"/>
      <c r="Q8" s="19"/>
      <c r="R8" s="19"/>
      <c r="S8" s="19"/>
      <c r="T8" s="19"/>
      <c r="U8" s="19"/>
      <c r="V8" s="19"/>
      <c r="W8" s="19"/>
      <c r="X8" s="19"/>
      <c r="Y8" s="19"/>
      <c r="Z8" s="19"/>
      <c r="AA8" s="19"/>
      <c r="AB8" s="19"/>
      <c r="AC8" s="19"/>
      <c r="AD8" s="19"/>
      <c r="AE8" s="19"/>
      <c r="AF8" s="19"/>
    </row>
    <row r="9" spans="1:32" ht="84">
      <c r="A9" s="19" t="str">
        <f ca="1">IF(AND($D$1&gt;=C9,$D$1&lt;=D9),"CurrentSprint","NA")</f>
        <v>NA</v>
      </c>
      <c r="B9" s="48" t="s">
        <v>40</v>
      </c>
      <c r="C9" s="62">
        <v>45891</v>
      </c>
      <c r="D9" s="62">
        <v>45904</v>
      </c>
      <c r="E9" s="5">
        <v>11</v>
      </c>
      <c r="F9" s="5">
        <v>11</v>
      </c>
      <c r="G9" s="5"/>
      <c r="H9" s="3" t="s">
        <v>41</v>
      </c>
      <c r="I9" s="4" t="s">
        <v>42</v>
      </c>
      <c r="J9" s="8" t="s">
        <v>43</v>
      </c>
      <c r="K9" s="8"/>
      <c r="L9" s="19"/>
      <c r="M9" s="19"/>
      <c r="N9" s="19"/>
      <c r="O9" s="19"/>
      <c r="P9" s="19"/>
      <c r="Q9" s="19"/>
      <c r="R9" s="19"/>
      <c r="S9" s="19"/>
      <c r="T9" s="19"/>
      <c r="U9" s="19"/>
      <c r="V9" s="19"/>
      <c r="W9" s="19"/>
      <c r="X9" s="19"/>
      <c r="Y9" s="19"/>
      <c r="Z9" s="19"/>
      <c r="AA9" s="19"/>
      <c r="AB9" s="19"/>
      <c r="AC9" s="19"/>
      <c r="AD9" s="19"/>
      <c r="AE9" s="19"/>
      <c r="AF9" s="19"/>
    </row>
    <row r="10" spans="1:32" ht="69" customHeight="1">
      <c r="A10" s="19" t="str">
        <f ca="1">IF(AND($D$1&gt;=C10,$D$1&lt;=D10),"CurrentSprint","NA")</f>
        <v>NA</v>
      </c>
      <c r="B10" s="48" t="s">
        <v>44</v>
      </c>
      <c r="C10" s="62">
        <v>45905</v>
      </c>
      <c r="D10" s="62">
        <v>45918</v>
      </c>
      <c r="E10" s="5">
        <v>13</v>
      </c>
      <c r="F10" s="5">
        <v>13</v>
      </c>
      <c r="G10" s="5"/>
      <c r="H10" s="3" t="s">
        <v>45</v>
      </c>
      <c r="I10" s="4" t="s">
        <v>46</v>
      </c>
      <c r="J10" s="19" t="s">
        <v>47</v>
      </c>
      <c r="K10" s="19"/>
      <c r="L10" s="19"/>
      <c r="M10" s="19"/>
      <c r="N10" s="19"/>
      <c r="O10" s="19"/>
      <c r="P10" s="19"/>
      <c r="Q10" s="19"/>
      <c r="R10" s="19"/>
      <c r="S10" s="19"/>
      <c r="T10" s="19"/>
      <c r="U10" s="19"/>
      <c r="V10" s="19"/>
      <c r="W10" s="19"/>
      <c r="X10" s="19"/>
      <c r="Y10" s="19"/>
      <c r="Z10" s="19"/>
      <c r="AA10" s="19"/>
      <c r="AB10" s="19"/>
      <c r="AC10" s="19"/>
      <c r="AD10" s="19"/>
      <c r="AE10" s="19"/>
      <c r="AF10" s="19"/>
    </row>
    <row r="11" spans="1:32" ht="84">
      <c r="A11" s="19" t="str">
        <f ca="1">IF(AND($D$1&gt;=C11,$D$1&lt;=D11),"CurrentSprint","NA")</f>
        <v>NA</v>
      </c>
      <c r="B11" s="48" t="s">
        <v>48</v>
      </c>
      <c r="C11" s="80">
        <v>45919</v>
      </c>
      <c r="D11" s="62">
        <v>45932</v>
      </c>
      <c r="E11" s="5">
        <v>11</v>
      </c>
      <c r="F11" s="5">
        <v>10</v>
      </c>
      <c r="G11" s="5"/>
      <c r="H11" s="3" t="s">
        <v>49</v>
      </c>
      <c r="I11" s="4" t="s">
        <v>38</v>
      </c>
      <c r="J11" s="19" t="s">
        <v>47</v>
      </c>
      <c r="K11" s="19"/>
      <c r="L11" s="19"/>
      <c r="M11" s="19"/>
      <c r="N11" s="19"/>
      <c r="O11" s="19"/>
      <c r="P11" s="19"/>
      <c r="Q11" s="19"/>
      <c r="R11" s="19"/>
      <c r="S11" s="19"/>
      <c r="T11" s="19"/>
      <c r="U11" s="19"/>
      <c r="V11" s="19"/>
      <c r="W11" s="19"/>
      <c r="X11" s="19"/>
      <c r="Y11" s="19"/>
      <c r="Z11" s="19"/>
      <c r="AA11" s="19"/>
      <c r="AB11" s="19"/>
      <c r="AC11" s="19"/>
      <c r="AD11" s="19"/>
      <c r="AE11" s="19"/>
      <c r="AF11" s="19"/>
    </row>
    <row r="12" spans="1:32" ht="73.5" customHeight="1">
      <c r="A12" s="19" t="str">
        <f ca="1">IF(AND($D$1&gt;=C12,$D$1&lt;=D12),"CurrentSprint","NA")</f>
        <v>NA</v>
      </c>
      <c r="B12" s="48" t="s">
        <v>50</v>
      </c>
      <c r="C12" s="80">
        <v>45933</v>
      </c>
      <c r="D12" s="62">
        <v>45946</v>
      </c>
      <c r="E12" s="5">
        <v>13</v>
      </c>
      <c r="F12" s="5">
        <v>13</v>
      </c>
      <c r="G12" s="5"/>
      <c r="H12" s="3" t="s">
        <v>51</v>
      </c>
      <c r="I12" s="4" t="s">
        <v>42</v>
      </c>
      <c r="J12" s="19" t="s">
        <v>47</v>
      </c>
      <c r="K12" s="19"/>
      <c r="L12" s="19"/>
      <c r="M12" s="19"/>
      <c r="N12" s="19"/>
      <c r="O12" s="19"/>
      <c r="P12" s="19"/>
      <c r="Q12" s="19"/>
      <c r="R12" s="19"/>
      <c r="S12" s="19"/>
      <c r="T12" s="19"/>
      <c r="U12" s="19"/>
      <c r="V12" s="19"/>
      <c r="W12" s="19"/>
      <c r="X12" s="19"/>
      <c r="Y12" s="19"/>
      <c r="Z12" s="19"/>
      <c r="AA12" s="19"/>
      <c r="AB12" s="19"/>
      <c r="AC12" s="19"/>
      <c r="AD12" s="19"/>
      <c r="AE12" s="19"/>
      <c r="AF12" s="19"/>
    </row>
    <row r="13" spans="1:32" ht="72" customHeight="1">
      <c r="A13" s="19" t="str">
        <f ca="1">IF(AND($D$1&gt;=C13,$D$1&lt;=D13),"CurrentSprint","NA")</f>
        <v>NA</v>
      </c>
      <c r="B13" s="48" t="s">
        <v>52</v>
      </c>
      <c r="C13" s="62">
        <v>45947</v>
      </c>
      <c r="D13" s="62">
        <v>45960</v>
      </c>
      <c r="E13" s="5">
        <v>8</v>
      </c>
      <c r="F13" s="5">
        <v>8</v>
      </c>
      <c r="G13" s="5"/>
      <c r="H13" s="26" t="s">
        <v>53</v>
      </c>
      <c r="I13" s="4" t="s">
        <v>42</v>
      </c>
      <c r="J13" s="19" t="s">
        <v>39</v>
      </c>
      <c r="K13" s="19"/>
      <c r="L13" s="19"/>
      <c r="M13" s="19"/>
      <c r="N13" s="19"/>
      <c r="O13" s="19"/>
      <c r="P13" s="19"/>
      <c r="Q13" s="19"/>
      <c r="R13" s="19"/>
      <c r="S13" s="19"/>
      <c r="T13" s="19"/>
      <c r="U13" s="19"/>
      <c r="V13" s="19"/>
      <c r="W13" s="19"/>
      <c r="X13" s="19"/>
      <c r="Y13" s="19"/>
      <c r="Z13" s="19"/>
      <c r="AA13" s="19"/>
      <c r="AB13" s="19"/>
      <c r="AC13" s="19"/>
      <c r="AD13" s="19"/>
      <c r="AE13" s="19"/>
      <c r="AF13" s="19"/>
    </row>
    <row r="14" spans="1:32" ht="78" customHeight="1">
      <c r="A14" s="19" t="str">
        <f ca="1">IF(AND($D$1&gt;=C14,$D$1&lt;=D14),"CurrentSprint","NA")</f>
        <v>NA</v>
      </c>
      <c r="B14" s="48" t="s">
        <v>54</v>
      </c>
      <c r="C14" s="62">
        <v>45961</v>
      </c>
      <c r="D14" s="62">
        <v>45974</v>
      </c>
      <c r="E14" s="5">
        <v>12</v>
      </c>
      <c r="F14" s="5">
        <v>15</v>
      </c>
      <c r="G14" s="5"/>
      <c r="H14" s="26" t="s">
        <v>55</v>
      </c>
      <c r="I14" s="4" t="s">
        <v>42</v>
      </c>
      <c r="J14" s="19" t="s">
        <v>39</v>
      </c>
      <c r="K14" s="19"/>
      <c r="L14" s="19"/>
      <c r="M14" s="19"/>
      <c r="N14" s="19"/>
      <c r="O14" s="19"/>
      <c r="P14" s="19"/>
      <c r="Q14" s="19"/>
      <c r="R14" s="19"/>
      <c r="S14" s="19"/>
      <c r="T14" s="19"/>
      <c r="U14" s="19"/>
      <c r="V14" s="19"/>
      <c r="W14" s="19"/>
      <c r="X14" s="19"/>
      <c r="Y14" s="19"/>
      <c r="Z14" s="19"/>
      <c r="AA14" s="19"/>
      <c r="AB14" s="19"/>
      <c r="AC14" s="19"/>
      <c r="AD14" s="19"/>
      <c r="AE14" s="19"/>
      <c r="AF14" s="19"/>
    </row>
    <row r="15" spans="1:32" ht="70.5" customHeight="1">
      <c r="A15" s="19" t="str">
        <f ca="1">IF(AND($D$1&gt;=C15,$D$1&lt;=D15),"CurrentSprint","NA")</f>
        <v>NA</v>
      </c>
      <c r="B15" s="48" t="s">
        <v>56</v>
      </c>
      <c r="C15" s="62">
        <v>45975</v>
      </c>
      <c r="D15" s="62">
        <v>46002</v>
      </c>
      <c r="E15" s="5">
        <v>26</v>
      </c>
      <c r="F15" s="5">
        <v>26</v>
      </c>
      <c r="G15" s="5"/>
      <c r="H15" s="26" t="s">
        <v>57</v>
      </c>
      <c r="I15" s="4" t="s">
        <v>38</v>
      </c>
      <c r="J15" s="19" t="s">
        <v>39</v>
      </c>
      <c r="K15" s="19"/>
      <c r="L15" s="19"/>
      <c r="M15" s="19"/>
      <c r="N15" s="19"/>
      <c r="O15" s="19"/>
      <c r="P15" s="19"/>
      <c r="Q15" s="19"/>
      <c r="R15" s="19"/>
      <c r="S15" s="19"/>
      <c r="T15" s="19"/>
      <c r="U15" s="19"/>
      <c r="V15" s="19"/>
      <c r="W15" s="19"/>
      <c r="X15" s="19"/>
      <c r="Y15" s="19"/>
      <c r="Z15" s="19"/>
      <c r="AA15" s="19"/>
      <c r="AB15" s="19"/>
      <c r="AC15" s="19"/>
      <c r="AD15" s="19"/>
      <c r="AE15" s="19"/>
      <c r="AF15" s="19"/>
    </row>
    <row r="16" spans="1:32" ht="79.5" customHeight="1">
      <c r="A16" s="19" t="str">
        <f ca="1">IF(AND($D$1&gt;=C16,$D$1&lt;=D16),"CurrentSprint","NA")</f>
        <v>NA</v>
      </c>
      <c r="B16" s="48" t="s">
        <v>58</v>
      </c>
      <c r="C16" s="62">
        <v>46003</v>
      </c>
      <c r="D16" s="62">
        <v>46030</v>
      </c>
      <c r="E16" s="5">
        <v>16</v>
      </c>
      <c r="F16" s="5">
        <v>16</v>
      </c>
      <c r="G16" s="5"/>
      <c r="H16" s="3" t="s">
        <v>59</v>
      </c>
      <c r="I16" s="4" t="s">
        <v>35</v>
      </c>
      <c r="J16" s="14" t="s">
        <v>60</v>
      </c>
      <c r="K16" s="14"/>
      <c r="L16" s="19"/>
      <c r="M16" s="19"/>
      <c r="N16" s="19"/>
      <c r="O16" s="19"/>
      <c r="P16" s="19"/>
      <c r="Q16" s="19"/>
      <c r="R16" s="19"/>
      <c r="S16" s="19"/>
      <c r="T16" s="19"/>
      <c r="U16" s="19"/>
      <c r="V16" s="19"/>
      <c r="W16" s="19"/>
      <c r="X16" s="19"/>
      <c r="Y16" s="19"/>
      <c r="Z16" s="19"/>
      <c r="AA16" s="19"/>
      <c r="AB16" s="19"/>
      <c r="AC16" s="19"/>
      <c r="AD16" s="19"/>
      <c r="AE16" s="19"/>
      <c r="AF16" s="19"/>
    </row>
    <row r="17" spans="1:32" ht="80.25" customHeight="1">
      <c r="A17" s="19" t="str">
        <f ca="1">IF(AND($D$1&gt;=C17,$D$1&lt;=D17),"CurrentSprint","NA")</f>
        <v>NA</v>
      </c>
      <c r="B17" s="48" t="s">
        <v>61</v>
      </c>
      <c r="C17" s="62">
        <v>46031</v>
      </c>
      <c r="D17" s="62">
        <v>46044</v>
      </c>
      <c r="E17" s="5">
        <v>8</v>
      </c>
      <c r="F17" s="5">
        <v>8</v>
      </c>
      <c r="G17" s="5"/>
      <c r="H17" s="3" t="s">
        <v>62</v>
      </c>
      <c r="I17" s="4" t="s">
        <v>42</v>
      </c>
      <c r="J17" s="19" t="s">
        <v>47</v>
      </c>
      <c r="K17" s="19"/>
      <c r="L17" s="19"/>
      <c r="M17" s="19"/>
      <c r="N17" s="19"/>
      <c r="O17" s="19"/>
      <c r="P17" s="19"/>
      <c r="Q17" s="19"/>
      <c r="R17" s="19"/>
      <c r="S17" s="19"/>
      <c r="T17" s="19"/>
      <c r="U17" s="19"/>
      <c r="V17" s="19"/>
      <c r="W17" s="19"/>
      <c r="X17" s="19"/>
      <c r="Y17" s="19"/>
      <c r="Z17" s="19"/>
      <c r="AA17" s="19"/>
      <c r="AB17" s="19"/>
      <c r="AC17" s="19"/>
      <c r="AD17" s="19"/>
      <c r="AE17" s="19"/>
      <c r="AF17" s="19"/>
    </row>
    <row r="18" spans="1:32" ht="77.25" customHeight="1">
      <c r="A18" s="19" t="str">
        <f ca="1">IF(AND($D$1&gt;=C18,$D$1&lt;=D18),"CurrentSprint","NA")</f>
        <v>NA</v>
      </c>
      <c r="B18" s="48" t="s">
        <v>63</v>
      </c>
      <c r="C18" s="62">
        <v>46045</v>
      </c>
      <c r="D18" s="62">
        <v>46058</v>
      </c>
      <c r="E18" s="5">
        <v>8</v>
      </c>
      <c r="F18" s="5">
        <v>8</v>
      </c>
      <c r="G18" s="5"/>
      <c r="H18" s="3" t="s">
        <v>64</v>
      </c>
      <c r="I18" s="4" t="s">
        <v>42</v>
      </c>
      <c r="J18" s="8" t="s">
        <v>65</v>
      </c>
      <c r="K18" s="8"/>
      <c r="L18" s="19"/>
      <c r="M18" s="19"/>
      <c r="N18" s="19"/>
      <c r="O18" s="19"/>
      <c r="P18" s="19"/>
      <c r="Q18" s="19"/>
      <c r="R18" s="19"/>
      <c r="S18" s="19"/>
      <c r="T18" s="19"/>
      <c r="U18" s="19"/>
      <c r="V18" s="19"/>
      <c r="W18" s="19"/>
      <c r="X18" s="19"/>
      <c r="Y18" s="19"/>
      <c r="Z18" s="19"/>
      <c r="AA18" s="19"/>
      <c r="AB18" s="19"/>
      <c r="AC18" s="19"/>
      <c r="AD18" s="19"/>
      <c r="AE18" s="19"/>
      <c r="AF18" s="19"/>
    </row>
    <row r="19" spans="1:32" ht="72" customHeight="1">
      <c r="A19" s="19" t="str">
        <f ca="1">IF(AND($D$1&gt;=C19,$D$1&lt;=D19),"CurrentSprint","NA")</f>
        <v>NA</v>
      </c>
      <c r="B19" s="48" t="s">
        <v>66</v>
      </c>
      <c r="C19" s="62">
        <v>46059</v>
      </c>
      <c r="D19" s="62">
        <v>46072</v>
      </c>
      <c r="E19" s="5">
        <v>16</v>
      </c>
      <c r="F19" s="5">
        <v>16</v>
      </c>
      <c r="G19" s="5"/>
      <c r="H19" s="3" t="s">
        <v>67</v>
      </c>
      <c r="I19" s="4" t="s">
        <v>46</v>
      </c>
      <c r="J19" s="19" t="s">
        <v>68</v>
      </c>
      <c r="K19" s="19"/>
      <c r="L19" s="19"/>
      <c r="M19" s="19"/>
      <c r="N19" s="19"/>
      <c r="O19" s="19"/>
      <c r="P19" s="19"/>
      <c r="Q19" s="19"/>
      <c r="R19" s="19"/>
      <c r="S19" s="19"/>
      <c r="T19" s="19"/>
      <c r="U19" s="19"/>
      <c r="V19" s="19"/>
      <c r="W19" s="19"/>
      <c r="X19" s="19"/>
      <c r="Y19" s="19"/>
      <c r="Z19" s="19"/>
      <c r="AA19" s="19"/>
      <c r="AB19" s="19"/>
      <c r="AC19" s="19"/>
      <c r="AD19" s="19"/>
      <c r="AE19" s="19"/>
      <c r="AF19" s="19"/>
    </row>
    <row r="20" spans="1:32" ht="70.5" customHeight="1">
      <c r="A20" s="19" t="str">
        <f ca="1">IF(AND($D$1&gt;=C20,$D$1&lt;=D20),"CurrentSprint","NA")</f>
        <v>NA</v>
      </c>
      <c r="B20" s="48" t="s">
        <v>69</v>
      </c>
      <c r="C20" s="62">
        <v>46073</v>
      </c>
      <c r="D20" s="62">
        <v>46086</v>
      </c>
      <c r="E20" s="5">
        <v>15</v>
      </c>
      <c r="F20" s="5">
        <v>15</v>
      </c>
      <c r="G20" s="5"/>
      <c r="H20" s="3" t="s">
        <v>70</v>
      </c>
      <c r="I20" s="4" t="s">
        <v>38</v>
      </c>
      <c r="J20" s="19" t="s">
        <v>47</v>
      </c>
      <c r="L20" s="19"/>
      <c r="M20" s="19"/>
      <c r="N20" s="19"/>
      <c r="O20" s="19"/>
      <c r="P20" s="19"/>
      <c r="Q20" s="19"/>
      <c r="R20" s="19"/>
      <c r="S20" s="19"/>
      <c r="T20" s="19"/>
      <c r="U20" s="19"/>
      <c r="V20" s="19"/>
      <c r="W20" s="19"/>
      <c r="X20" s="19"/>
      <c r="Y20" s="19"/>
      <c r="Z20" s="19"/>
      <c r="AA20" s="19"/>
      <c r="AB20" s="19"/>
      <c r="AC20" s="19"/>
      <c r="AD20" s="19"/>
      <c r="AE20" s="19"/>
      <c r="AF20" s="19"/>
    </row>
    <row r="21" spans="1:32" ht="66" customHeight="1">
      <c r="A21" s="19" t="str">
        <f ca="1">IF(AND($D$1&gt;=C21,$D$1&lt;=D21),"CurrentSprint","NA")</f>
        <v>NA</v>
      </c>
      <c r="B21" s="48" t="s">
        <v>71</v>
      </c>
      <c r="C21" s="62">
        <v>46087</v>
      </c>
      <c r="D21" s="62">
        <v>46100</v>
      </c>
      <c r="E21" s="5" t="s">
        <v>72</v>
      </c>
      <c r="F21" s="5">
        <v>8</v>
      </c>
      <c r="G21" s="5"/>
      <c r="H21" s="3" t="s">
        <v>73</v>
      </c>
      <c r="I21" s="4" t="s">
        <v>42</v>
      </c>
      <c r="J21" s="8" t="s">
        <v>74</v>
      </c>
      <c r="K21" s="5">
        <v>4</v>
      </c>
      <c r="L21" s="19"/>
      <c r="M21" s="19"/>
      <c r="N21" s="19"/>
      <c r="O21" s="19"/>
      <c r="P21" s="19"/>
      <c r="Q21" s="19"/>
      <c r="R21" s="19"/>
      <c r="S21" s="19"/>
      <c r="T21" s="19"/>
      <c r="U21" s="19"/>
      <c r="V21" s="19"/>
      <c r="W21" s="19"/>
      <c r="X21" s="19"/>
      <c r="Y21" s="19"/>
      <c r="Z21" s="19"/>
      <c r="AA21" s="19"/>
      <c r="AB21" s="19"/>
      <c r="AC21" s="19"/>
      <c r="AD21" s="19"/>
      <c r="AE21" s="19"/>
      <c r="AF21" s="19"/>
    </row>
    <row r="22" spans="1:32" ht="67.5" customHeight="1">
      <c r="A22" s="19" t="str">
        <f ca="1">IF(AND($D$1&gt;=C22,$D$1&lt;=D22),"CurrentSprint","NA")</f>
        <v>NA</v>
      </c>
      <c r="B22" s="49" t="s">
        <v>75</v>
      </c>
      <c r="C22" s="62">
        <v>46101</v>
      </c>
      <c r="D22" s="62">
        <v>46114</v>
      </c>
      <c r="E22" s="5">
        <v>14</v>
      </c>
      <c r="F22" s="5">
        <v>14</v>
      </c>
      <c r="G22" s="5"/>
      <c r="H22" s="3" t="s">
        <v>76</v>
      </c>
      <c r="I22" s="4" t="s">
        <v>77</v>
      </c>
      <c r="J22" s="19" t="s">
        <v>78</v>
      </c>
      <c r="K22" s="19">
        <v>0</v>
      </c>
      <c r="L22" s="19"/>
      <c r="M22" s="19"/>
      <c r="N22" s="19"/>
      <c r="O22" s="19"/>
      <c r="P22" s="19"/>
      <c r="Q22" s="19"/>
      <c r="R22" s="19"/>
      <c r="S22" s="19"/>
      <c r="T22" s="19"/>
      <c r="U22" s="19"/>
      <c r="V22" s="19"/>
      <c r="W22" s="19"/>
      <c r="X22" s="19"/>
      <c r="Y22" s="19"/>
      <c r="Z22" s="19"/>
      <c r="AA22" s="19"/>
      <c r="AB22" s="19"/>
      <c r="AC22" s="19"/>
      <c r="AD22" s="19"/>
      <c r="AE22" s="19"/>
      <c r="AF22" s="19"/>
    </row>
    <row r="23" spans="1:32" ht="72" customHeight="1">
      <c r="A23" s="19" t="str">
        <f ca="1">IF(AND($D$1&gt;=C23,$D$1&lt;=D23),"CurrentSprint","NA")</f>
        <v>NA</v>
      </c>
      <c r="B23" s="49" t="s">
        <v>79</v>
      </c>
      <c r="C23" s="62">
        <v>46115</v>
      </c>
      <c r="D23" s="62">
        <v>46128</v>
      </c>
      <c r="E23" s="5">
        <v>3</v>
      </c>
      <c r="F23" s="5">
        <v>24</v>
      </c>
      <c r="G23" s="5"/>
      <c r="H23" s="3" t="s">
        <v>80</v>
      </c>
      <c r="I23" s="4" t="s">
        <v>81</v>
      </c>
      <c r="J23" s="19" t="s">
        <v>82</v>
      </c>
      <c r="K23" s="19"/>
      <c r="L23" s="19"/>
      <c r="M23" s="19"/>
      <c r="N23" s="19"/>
      <c r="O23" s="19"/>
      <c r="P23" s="19"/>
      <c r="Q23" s="19"/>
      <c r="R23" s="19"/>
      <c r="S23" s="19"/>
      <c r="T23" s="19"/>
      <c r="U23" s="19"/>
      <c r="V23" s="19"/>
      <c r="W23" s="19"/>
      <c r="X23" s="19"/>
      <c r="Y23" s="19"/>
      <c r="Z23" s="19"/>
      <c r="AA23" s="19"/>
      <c r="AB23" s="19"/>
      <c r="AC23" s="19"/>
      <c r="AD23" s="19"/>
      <c r="AE23" s="19"/>
      <c r="AF23" s="19"/>
    </row>
    <row r="24" spans="1:32" ht="84">
      <c r="A24" s="19" t="str">
        <f ca="1">IF(AND($D$1&gt;=C24,$D$1&lt;=D24),"CurrentSprint","NA")</f>
        <v>NA</v>
      </c>
      <c r="B24" s="48" t="s">
        <v>83</v>
      </c>
      <c r="C24" s="62">
        <v>46129</v>
      </c>
      <c r="D24" s="62">
        <v>46142</v>
      </c>
      <c r="E24" s="5">
        <v>20</v>
      </c>
      <c r="F24" s="5">
        <v>20</v>
      </c>
      <c r="G24" s="5"/>
      <c r="H24" s="3" t="s">
        <v>76</v>
      </c>
      <c r="I24" s="4" t="s">
        <v>42</v>
      </c>
      <c r="J24" s="19" t="s">
        <v>82</v>
      </c>
      <c r="K24" s="19"/>
      <c r="L24" s="19"/>
      <c r="M24" s="19"/>
      <c r="N24" s="19"/>
      <c r="O24" s="19"/>
      <c r="P24" s="19"/>
      <c r="Q24" s="19"/>
      <c r="R24" s="19"/>
      <c r="S24" s="19"/>
      <c r="T24" s="19"/>
      <c r="U24" s="19"/>
      <c r="V24" s="19"/>
      <c r="W24" s="19"/>
      <c r="X24" s="19"/>
      <c r="Y24" s="19"/>
      <c r="Z24" s="19"/>
      <c r="AA24" s="19"/>
      <c r="AB24" s="19"/>
      <c r="AC24" s="19"/>
      <c r="AD24" s="19"/>
      <c r="AE24" s="19"/>
      <c r="AF24" s="19"/>
    </row>
    <row r="25" spans="1:32" ht="72" customHeight="1">
      <c r="A25" s="19" t="str">
        <f ca="1">IF(AND($D$1&gt;=C25,$D$1&lt;=D25),"CurrentSprint","NA")</f>
        <v>NA</v>
      </c>
      <c r="B25" s="49" t="s">
        <v>84</v>
      </c>
      <c r="C25" s="62">
        <v>46143</v>
      </c>
      <c r="D25" s="62">
        <v>46156</v>
      </c>
      <c r="E25" s="5">
        <v>13</v>
      </c>
      <c r="F25" s="5">
        <v>18</v>
      </c>
      <c r="G25" s="5"/>
      <c r="H25" s="3" t="s">
        <v>30</v>
      </c>
      <c r="I25" s="4" t="s">
        <v>42</v>
      </c>
      <c r="J25" s="8" t="s">
        <v>85</v>
      </c>
      <c r="K25" s="19"/>
      <c r="L25" s="19"/>
      <c r="M25" s="19"/>
      <c r="N25" s="19"/>
      <c r="O25" s="19"/>
      <c r="P25" s="19"/>
      <c r="Q25" s="19"/>
      <c r="R25" s="19"/>
      <c r="S25" s="19"/>
      <c r="T25" s="19"/>
      <c r="U25" s="19"/>
      <c r="V25" s="19"/>
      <c r="W25" s="19"/>
      <c r="X25" s="19"/>
      <c r="Y25" s="19"/>
      <c r="Z25" s="19"/>
      <c r="AA25" s="19"/>
      <c r="AB25" s="19"/>
      <c r="AC25" s="19"/>
      <c r="AD25" s="19"/>
      <c r="AE25" s="19"/>
      <c r="AF25" s="19"/>
    </row>
    <row r="26" spans="1:32" ht="24" customHeight="1">
      <c r="A26" s="19" t="str">
        <f ca="1">IF(AND($D$1&gt;=C26,$D$1&lt;=D26),"CurrentSprint","NA")</f>
        <v>NA</v>
      </c>
      <c r="B26" s="48" t="s">
        <v>86</v>
      </c>
      <c r="C26" s="62">
        <v>46157</v>
      </c>
      <c r="D26" s="62">
        <v>46170</v>
      </c>
      <c r="E26" s="5">
        <v>16</v>
      </c>
      <c r="F26" s="5"/>
      <c r="G26" s="5"/>
      <c r="H26" s="3"/>
      <c r="I26" s="6"/>
      <c r="J26" s="19"/>
      <c r="K26" s="19"/>
      <c r="L26" s="19"/>
      <c r="M26" s="19"/>
      <c r="N26" s="19"/>
      <c r="O26" s="19"/>
      <c r="P26" s="19"/>
      <c r="Q26" s="19"/>
      <c r="R26" s="19"/>
      <c r="S26" s="19"/>
      <c r="T26" s="19"/>
      <c r="U26" s="19"/>
      <c r="V26" s="19"/>
      <c r="W26" s="19"/>
      <c r="X26" s="19"/>
      <c r="Y26" s="19"/>
      <c r="Z26" s="19"/>
      <c r="AA26" s="19"/>
      <c r="AB26" s="19"/>
      <c r="AC26" s="19"/>
      <c r="AD26" s="19"/>
      <c r="AE26" s="19"/>
      <c r="AF26" s="19"/>
    </row>
    <row r="27" spans="1:32" ht="12.75">
      <c r="B27" s="49"/>
      <c r="C27" s="5"/>
      <c r="D27" s="5"/>
      <c r="E27" s="5"/>
      <c r="F27" s="5"/>
      <c r="G27" s="5"/>
      <c r="H27" s="3"/>
      <c r="I27" s="6"/>
      <c r="J27" s="19"/>
      <c r="K27" s="19"/>
      <c r="L27" s="19"/>
      <c r="M27" s="19"/>
      <c r="N27" s="19"/>
      <c r="O27" s="19"/>
      <c r="P27" s="19"/>
      <c r="Q27" s="19"/>
      <c r="R27" s="19"/>
      <c r="S27" s="19"/>
      <c r="T27" s="19"/>
      <c r="U27" s="19"/>
      <c r="V27" s="19"/>
      <c r="W27" s="19"/>
      <c r="X27" s="19"/>
      <c r="Y27" s="19"/>
      <c r="Z27" s="19"/>
      <c r="AA27" s="19"/>
      <c r="AB27" s="19"/>
      <c r="AC27" s="19"/>
      <c r="AD27" s="19"/>
      <c r="AE27" s="19"/>
      <c r="AF27" s="19"/>
    </row>
    <row r="28" spans="1:32" ht="12.75">
      <c r="B28" s="49"/>
      <c r="C28" s="5"/>
      <c r="D28" s="5"/>
      <c r="E28" s="5"/>
      <c r="F28" s="5"/>
      <c r="G28" s="5"/>
      <c r="H28" s="3"/>
      <c r="I28" s="6"/>
      <c r="J28" s="19"/>
      <c r="K28" s="19"/>
      <c r="L28" s="19"/>
      <c r="M28" s="19"/>
      <c r="N28" s="19"/>
      <c r="O28" s="19"/>
      <c r="P28" s="19"/>
      <c r="Q28" s="19"/>
      <c r="R28" s="19"/>
      <c r="S28" s="19"/>
      <c r="T28" s="19"/>
      <c r="U28" s="19"/>
      <c r="V28" s="19"/>
      <c r="W28" s="19"/>
      <c r="X28" s="19"/>
      <c r="Y28" s="19"/>
      <c r="Z28" s="19"/>
      <c r="AA28" s="19"/>
      <c r="AB28" s="19"/>
      <c r="AC28" s="19"/>
      <c r="AD28" s="19"/>
      <c r="AE28" s="19"/>
      <c r="AF28" s="19"/>
    </row>
    <row r="29" spans="1:32" ht="12.75">
      <c r="B29" s="49"/>
      <c r="C29" s="5"/>
      <c r="D29" s="5"/>
      <c r="E29" s="5"/>
      <c r="F29" s="5"/>
      <c r="G29" s="5"/>
      <c r="H29" s="3"/>
      <c r="I29" s="6"/>
      <c r="J29" s="19"/>
      <c r="K29" s="19"/>
      <c r="L29" s="19"/>
      <c r="M29" s="19"/>
      <c r="N29" s="19"/>
      <c r="O29" s="19"/>
      <c r="P29" s="19"/>
      <c r="Q29" s="19"/>
      <c r="R29" s="19"/>
      <c r="S29" s="19"/>
      <c r="T29" s="19"/>
      <c r="U29" s="19"/>
      <c r="V29" s="19"/>
      <c r="W29" s="19"/>
      <c r="X29" s="19"/>
      <c r="Y29" s="19"/>
      <c r="Z29" s="19"/>
      <c r="AA29" s="19"/>
      <c r="AB29" s="19"/>
      <c r="AC29" s="19"/>
      <c r="AD29" s="19"/>
      <c r="AE29" s="19"/>
      <c r="AF29" s="19"/>
    </row>
    <row r="30" spans="1:32" ht="12.75">
      <c r="B30" s="49"/>
      <c r="C30" s="5"/>
      <c r="D30" s="5"/>
      <c r="E30" s="5"/>
      <c r="F30" s="5"/>
      <c r="G30" s="5"/>
      <c r="H30" s="3"/>
      <c r="I30" s="6"/>
      <c r="J30" s="19"/>
      <c r="K30" s="19"/>
      <c r="L30" s="19"/>
      <c r="M30" s="19"/>
      <c r="N30" s="19"/>
      <c r="O30" s="19"/>
      <c r="P30" s="19"/>
      <c r="Q30" s="19"/>
      <c r="R30" s="19"/>
      <c r="S30" s="19"/>
      <c r="T30" s="19"/>
      <c r="U30" s="19"/>
      <c r="V30" s="19"/>
      <c r="W30" s="19"/>
      <c r="X30" s="19"/>
      <c r="Y30" s="19"/>
      <c r="Z30" s="19"/>
      <c r="AA30" s="19"/>
      <c r="AB30" s="19"/>
      <c r="AC30" s="19"/>
      <c r="AD30" s="19"/>
      <c r="AE30" s="19"/>
      <c r="AF30" s="19"/>
    </row>
    <row r="31" spans="1:32" ht="12.75">
      <c r="B31" s="49"/>
      <c r="C31" s="5"/>
      <c r="D31" s="5"/>
      <c r="E31" s="5"/>
      <c r="F31" s="5"/>
      <c r="G31" s="5"/>
      <c r="H31" s="3"/>
      <c r="I31" s="6"/>
      <c r="J31" s="19"/>
      <c r="K31" s="19"/>
      <c r="L31" s="19"/>
      <c r="M31" s="19"/>
      <c r="N31" s="19"/>
      <c r="O31" s="19"/>
      <c r="P31" s="19"/>
      <c r="Q31" s="19"/>
      <c r="R31" s="19"/>
      <c r="S31" s="19"/>
      <c r="T31" s="19"/>
      <c r="U31" s="19"/>
      <c r="V31" s="19"/>
      <c r="W31" s="19"/>
      <c r="X31" s="19"/>
      <c r="Y31" s="19"/>
      <c r="Z31" s="19"/>
      <c r="AA31" s="19"/>
      <c r="AB31" s="19"/>
      <c r="AC31" s="19"/>
      <c r="AD31" s="19"/>
      <c r="AE31" s="19"/>
      <c r="AF31" s="19"/>
    </row>
    <row r="32" spans="1:32" ht="12.75">
      <c r="B32" s="49"/>
      <c r="C32" s="5"/>
      <c r="D32" s="5"/>
      <c r="E32" s="5"/>
      <c r="F32" s="5"/>
      <c r="G32" s="5"/>
      <c r="H32" s="3"/>
      <c r="I32" s="6"/>
      <c r="J32" s="19"/>
      <c r="K32" s="19"/>
      <c r="L32" s="19"/>
      <c r="M32" s="19"/>
      <c r="N32" s="19"/>
      <c r="O32" s="19"/>
      <c r="P32" s="19"/>
      <c r="Q32" s="19"/>
      <c r="R32" s="19"/>
      <c r="S32" s="19"/>
      <c r="T32" s="19"/>
      <c r="U32" s="19"/>
      <c r="V32" s="19"/>
      <c r="W32" s="19"/>
      <c r="X32" s="19"/>
      <c r="Y32" s="19"/>
      <c r="Z32" s="19"/>
      <c r="AA32" s="19"/>
      <c r="AB32" s="19"/>
      <c r="AC32" s="19"/>
      <c r="AD32" s="19"/>
      <c r="AE32" s="19"/>
      <c r="AF32" s="19"/>
    </row>
    <row r="33" spans="2:32" ht="12.75">
      <c r="B33" s="49"/>
      <c r="C33" s="5"/>
      <c r="D33" s="5"/>
      <c r="E33" s="5"/>
      <c r="F33" s="5"/>
      <c r="G33" s="5"/>
      <c r="H33" s="3"/>
      <c r="I33" s="6"/>
      <c r="J33" s="19"/>
      <c r="K33" s="19"/>
      <c r="L33" s="19"/>
      <c r="M33" s="19"/>
      <c r="N33" s="19"/>
      <c r="O33" s="19"/>
      <c r="P33" s="19"/>
      <c r="Q33" s="19"/>
      <c r="R33" s="19"/>
      <c r="S33" s="19"/>
      <c r="T33" s="19"/>
      <c r="U33" s="19"/>
      <c r="V33" s="19"/>
      <c r="W33" s="19"/>
      <c r="X33" s="19"/>
      <c r="Y33" s="19"/>
      <c r="Z33" s="19"/>
      <c r="AA33" s="19"/>
      <c r="AB33" s="19"/>
      <c r="AC33" s="19"/>
      <c r="AD33" s="19"/>
      <c r="AE33" s="19"/>
      <c r="AF33" s="19"/>
    </row>
    <row r="34" spans="2:32" ht="12.75">
      <c r="B34" s="49"/>
      <c r="C34" s="5"/>
      <c r="D34" s="5"/>
      <c r="E34" s="5"/>
      <c r="F34" s="5"/>
      <c r="G34" s="5"/>
      <c r="H34" s="3"/>
      <c r="I34" s="6"/>
      <c r="J34" s="19"/>
      <c r="K34" s="19"/>
      <c r="L34" s="19"/>
      <c r="M34" s="19"/>
      <c r="N34" s="19"/>
      <c r="O34" s="19"/>
      <c r="P34" s="19"/>
      <c r="Q34" s="19"/>
      <c r="R34" s="19"/>
      <c r="S34" s="19"/>
      <c r="T34" s="19"/>
      <c r="U34" s="19"/>
      <c r="V34" s="19"/>
      <c r="W34" s="19"/>
      <c r="X34" s="19"/>
      <c r="Y34" s="19"/>
      <c r="Z34" s="19"/>
      <c r="AA34" s="19"/>
      <c r="AB34" s="19"/>
      <c r="AC34" s="19"/>
      <c r="AD34" s="19"/>
      <c r="AE34" s="19"/>
      <c r="AF34" s="19"/>
    </row>
    <row r="35" spans="2:32" ht="12.75">
      <c r="B35" s="49"/>
      <c r="C35" s="5"/>
      <c r="D35" s="5"/>
      <c r="E35" s="5"/>
      <c r="F35" s="5"/>
      <c r="G35" s="5"/>
      <c r="H35" s="3"/>
      <c r="I35" s="6"/>
      <c r="J35" s="19"/>
      <c r="K35" s="19"/>
      <c r="L35" s="19"/>
      <c r="M35" s="19"/>
      <c r="N35" s="19"/>
      <c r="O35" s="19"/>
      <c r="P35" s="19"/>
      <c r="Q35" s="19"/>
      <c r="R35" s="19"/>
      <c r="S35" s="19"/>
      <c r="T35" s="19"/>
      <c r="U35" s="19"/>
      <c r="V35" s="19"/>
      <c r="W35" s="19"/>
      <c r="X35" s="19"/>
      <c r="Y35" s="19"/>
      <c r="Z35" s="19"/>
      <c r="AA35" s="19"/>
      <c r="AB35" s="19"/>
      <c r="AC35" s="19"/>
      <c r="AD35" s="19"/>
      <c r="AE35" s="19"/>
      <c r="AF35" s="19"/>
    </row>
    <row r="36" spans="2:32" ht="12.75">
      <c r="B36" s="49"/>
      <c r="C36" s="5"/>
      <c r="D36" s="5"/>
      <c r="E36" s="5"/>
      <c r="F36" s="5"/>
      <c r="G36" s="5"/>
      <c r="H36" s="3"/>
      <c r="I36" s="6"/>
      <c r="J36" s="19"/>
      <c r="K36" s="19"/>
      <c r="L36" s="19"/>
      <c r="M36" s="19"/>
      <c r="N36" s="19"/>
      <c r="O36" s="19"/>
      <c r="P36" s="19"/>
      <c r="Q36" s="19"/>
      <c r="R36" s="19"/>
      <c r="S36" s="19"/>
      <c r="T36" s="19"/>
      <c r="U36" s="19"/>
      <c r="V36" s="19"/>
      <c r="W36" s="19"/>
      <c r="X36" s="19"/>
      <c r="Y36" s="19"/>
      <c r="Z36" s="19"/>
      <c r="AA36" s="19"/>
      <c r="AB36" s="19"/>
      <c r="AC36" s="19"/>
      <c r="AD36" s="19"/>
      <c r="AE36" s="19"/>
      <c r="AF36" s="19"/>
    </row>
    <row r="37" spans="2:32" ht="12.75">
      <c r="B37" s="49"/>
      <c r="C37" s="5"/>
      <c r="D37" s="5"/>
      <c r="E37" s="5"/>
      <c r="F37" s="5"/>
      <c r="G37" s="5"/>
      <c r="H37" s="3"/>
      <c r="I37" s="6"/>
      <c r="J37" s="19"/>
      <c r="K37" s="19"/>
      <c r="L37" s="19"/>
      <c r="M37" s="19"/>
      <c r="N37" s="19"/>
      <c r="O37" s="19"/>
      <c r="P37" s="19"/>
      <c r="Q37" s="19"/>
      <c r="R37" s="19"/>
      <c r="S37" s="19"/>
      <c r="T37" s="19"/>
      <c r="U37" s="19"/>
      <c r="V37" s="19"/>
      <c r="W37" s="19"/>
      <c r="X37" s="19"/>
      <c r="Y37" s="19"/>
      <c r="Z37" s="19"/>
      <c r="AA37" s="19"/>
      <c r="AB37" s="19"/>
      <c r="AC37" s="19"/>
      <c r="AD37" s="19"/>
      <c r="AE37" s="19"/>
      <c r="AF37" s="19"/>
    </row>
    <row r="38" spans="2:32" ht="12.75">
      <c r="B38" s="49"/>
      <c r="C38" s="5"/>
      <c r="D38" s="5"/>
      <c r="E38" s="5"/>
      <c r="F38" s="5"/>
      <c r="G38" s="5"/>
      <c r="H38" s="3"/>
      <c r="I38" s="6"/>
      <c r="J38" s="19"/>
      <c r="K38" s="19"/>
      <c r="L38" s="19"/>
      <c r="M38" s="19"/>
      <c r="N38" s="19"/>
      <c r="O38" s="19"/>
      <c r="P38" s="19"/>
      <c r="Q38" s="19"/>
      <c r="R38" s="19"/>
      <c r="S38" s="19"/>
      <c r="T38" s="19"/>
      <c r="U38" s="19"/>
      <c r="V38" s="19"/>
      <c r="W38" s="19"/>
      <c r="X38" s="19"/>
      <c r="Y38" s="19"/>
      <c r="Z38" s="19"/>
      <c r="AA38" s="19"/>
      <c r="AB38" s="19"/>
      <c r="AC38" s="19"/>
      <c r="AD38" s="19"/>
      <c r="AE38" s="19"/>
      <c r="AF38" s="19"/>
    </row>
    <row r="39" spans="2:32" ht="12.75">
      <c r="B39" s="49"/>
      <c r="C39" s="5"/>
      <c r="D39" s="5"/>
      <c r="E39" s="5"/>
      <c r="F39" s="5"/>
      <c r="G39" s="5"/>
      <c r="H39" s="3"/>
      <c r="I39" s="6"/>
      <c r="J39" s="19"/>
      <c r="K39" s="19"/>
      <c r="L39" s="19"/>
      <c r="M39" s="19"/>
      <c r="N39" s="19"/>
      <c r="O39" s="19"/>
      <c r="P39" s="19"/>
      <c r="Q39" s="19"/>
      <c r="R39" s="19"/>
      <c r="S39" s="19"/>
      <c r="T39" s="19"/>
      <c r="U39" s="19"/>
      <c r="V39" s="19"/>
      <c r="W39" s="19"/>
      <c r="X39" s="19"/>
      <c r="Y39" s="19"/>
      <c r="Z39" s="19"/>
      <c r="AA39" s="19"/>
      <c r="AB39" s="19"/>
      <c r="AC39" s="19"/>
      <c r="AD39" s="19"/>
      <c r="AE39" s="19"/>
      <c r="AF39" s="19"/>
    </row>
    <row r="40" spans="2:32" ht="12.75">
      <c r="B40" s="49"/>
      <c r="C40" s="5"/>
      <c r="D40" s="5"/>
      <c r="E40" s="5"/>
      <c r="F40" s="5"/>
      <c r="G40" s="5"/>
      <c r="H40" s="3"/>
      <c r="I40" s="6"/>
      <c r="J40" s="19"/>
      <c r="K40" s="19"/>
      <c r="L40" s="19"/>
      <c r="M40" s="19"/>
      <c r="N40" s="19"/>
      <c r="O40" s="19"/>
      <c r="P40" s="19"/>
      <c r="Q40" s="19"/>
      <c r="R40" s="19"/>
      <c r="S40" s="19"/>
      <c r="T40" s="19"/>
      <c r="U40" s="19"/>
      <c r="V40" s="19"/>
      <c r="W40" s="19"/>
      <c r="X40" s="19"/>
      <c r="Y40" s="19"/>
      <c r="Z40" s="19"/>
      <c r="AA40" s="19"/>
      <c r="AB40" s="19"/>
      <c r="AC40" s="19"/>
      <c r="AD40" s="19"/>
      <c r="AE40" s="19"/>
      <c r="AF40" s="19"/>
    </row>
    <row r="41" spans="2:32" ht="12.75">
      <c r="B41" s="49"/>
      <c r="C41" s="5"/>
      <c r="D41" s="5"/>
      <c r="E41" s="5"/>
      <c r="F41" s="5"/>
      <c r="G41" s="5"/>
      <c r="H41" s="3"/>
      <c r="I41" s="6"/>
      <c r="J41" s="19"/>
      <c r="K41" s="19"/>
      <c r="L41" s="19"/>
      <c r="M41" s="19"/>
      <c r="N41" s="19"/>
      <c r="O41" s="19"/>
      <c r="P41" s="19"/>
      <c r="Q41" s="19"/>
      <c r="R41" s="19"/>
      <c r="S41" s="19"/>
      <c r="T41" s="19"/>
      <c r="U41" s="19"/>
      <c r="V41" s="19"/>
      <c r="W41" s="19"/>
      <c r="X41" s="19"/>
      <c r="Y41" s="19"/>
      <c r="Z41" s="19"/>
      <c r="AA41" s="19"/>
      <c r="AB41" s="19"/>
      <c r="AC41" s="19"/>
      <c r="AD41" s="19"/>
      <c r="AE41" s="19"/>
      <c r="AF41" s="19"/>
    </row>
    <row r="42" spans="2:32" ht="12.75">
      <c r="B42" s="49"/>
      <c r="C42" s="5"/>
      <c r="D42" s="5"/>
      <c r="E42" s="5"/>
      <c r="F42" s="5"/>
      <c r="G42" s="5"/>
      <c r="H42" s="3"/>
      <c r="I42" s="6"/>
      <c r="J42" s="19"/>
      <c r="K42" s="19"/>
      <c r="L42" s="19"/>
      <c r="M42" s="19"/>
      <c r="N42" s="19"/>
      <c r="O42" s="19"/>
      <c r="P42" s="19"/>
      <c r="Q42" s="19"/>
      <c r="R42" s="19"/>
      <c r="S42" s="19"/>
      <c r="T42" s="19"/>
      <c r="U42" s="19"/>
      <c r="V42" s="19"/>
      <c r="W42" s="19"/>
      <c r="X42" s="19"/>
      <c r="Y42" s="19"/>
      <c r="Z42" s="19"/>
      <c r="AA42" s="19"/>
      <c r="AB42" s="19"/>
      <c r="AC42" s="19"/>
      <c r="AD42" s="19"/>
      <c r="AE42" s="19"/>
      <c r="AF42" s="19"/>
    </row>
    <row r="43" spans="2:32" ht="12.75">
      <c r="B43" s="49"/>
      <c r="C43" s="5"/>
      <c r="D43" s="5"/>
      <c r="E43" s="5"/>
      <c r="F43" s="5"/>
      <c r="G43" s="5"/>
      <c r="H43" s="3"/>
      <c r="I43" s="6"/>
      <c r="J43" s="19"/>
      <c r="K43" s="19"/>
      <c r="L43" s="19"/>
      <c r="M43" s="19"/>
      <c r="N43" s="19"/>
      <c r="O43" s="19"/>
      <c r="P43" s="19"/>
      <c r="Q43" s="19"/>
      <c r="R43" s="19"/>
      <c r="S43" s="19"/>
      <c r="T43" s="19"/>
      <c r="U43" s="19"/>
      <c r="V43" s="19"/>
      <c r="W43" s="19"/>
      <c r="X43" s="19"/>
      <c r="Y43" s="19"/>
      <c r="Z43" s="19"/>
      <c r="AA43" s="19"/>
      <c r="AB43" s="19"/>
      <c r="AC43" s="19"/>
      <c r="AD43" s="19"/>
      <c r="AE43" s="19"/>
      <c r="AF43" s="19"/>
    </row>
    <row r="44" spans="2:32" ht="12.75">
      <c r="B44" s="49"/>
      <c r="C44" s="5"/>
      <c r="D44" s="5"/>
      <c r="E44" s="5"/>
      <c r="F44" s="5"/>
      <c r="G44" s="5"/>
      <c r="H44" s="3"/>
      <c r="I44" s="6"/>
      <c r="J44" s="19"/>
      <c r="K44" s="19"/>
      <c r="L44" s="19"/>
      <c r="M44" s="19"/>
      <c r="N44" s="19"/>
      <c r="O44" s="19"/>
      <c r="P44" s="19"/>
      <c r="Q44" s="19"/>
      <c r="R44" s="19"/>
      <c r="S44" s="19"/>
      <c r="T44" s="19"/>
      <c r="U44" s="19"/>
      <c r="V44" s="19"/>
      <c r="W44" s="19"/>
      <c r="X44" s="19"/>
      <c r="Y44" s="19"/>
      <c r="Z44" s="19"/>
      <c r="AA44" s="19"/>
      <c r="AB44" s="19"/>
      <c r="AC44" s="19"/>
      <c r="AD44" s="19"/>
      <c r="AE44" s="19"/>
      <c r="AF44" s="19"/>
    </row>
    <row r="45" spans="2:32" ht="12.75">
      <c r="B45" s="49"/>
      <c r="C45" s="5"/>
      <c r="D45" s="5"/>
      <c r="E45" s="5"/>
      <c r="F45" s="5"/>
      <c r="G45" s="5"/>
      <c r="H45" s="3"/>
      <c r="I45" s="6"/>
      <c r="J45" s="19"/>
      <c r="K45" s="19"/>
      <c r="L45" s="19"/>
      <c r="M45" s="19"/>
      <c r="N45" s="19"/>
      <c r="O45" s="19"/>
      <c r="P45" s="19"/>
      <c r="Q45" s="19"/>
      <c r="R45" s="19"/>
      <c r="S45" s="19"/>
      <c r="T45" s="19"/>
      <c r="U45" s="19"/>
      <c r="V45" s="19"/>
      <c r="W45" s="19"/>
      <c r="X45" s="19"/>
      <c r="Y45" s="19"/>
      <c r="Z45" s="19"/>
      <c r="AA45" s="19"/>
      <c r="AB45" s="19"/>
      <c r="AC45" s="19"/>
      <c r="AD45" s="19"/>
      <c r="AE45" s="19"/>
      <c r="AF45" s="19"/>
    </row>
    <row r="46" spans="2:32" ht="12.75">
      <c r="B46" s="49"/>
      <c r="C46" s="5"/>
      <c r="D46" s="5"/>
      <c r="E46" s="5"/>
      <c r="F46" s="5"/>
      <c r="G46" s="5"/>
      <c r="H46" s="3"/>
      <c r="I46" s="6"/>
      <c r="J46" s="19"/>
      <c r="K46" s="19"/>
      <c r="L46" s="19"/>
      <c r="M46" s="19"/>
      <c r="N46" s="19"/>
      <c r="O46" s="19"/>
      <c r="P46" s="19"/>
      <c r="Q46" s="19"/>
      <c r="R46" s="19"/>
      <c r="S46" s="19"/>
      <c r="T46" s="19"/>
      <c r="U46" s="19"/>
      <c r="V46" s="19"/>
      <c r="W46" s="19"/>
      <c r="X46" s="19"/>
      <c r="Y46" s="19"/>
      <c r="Z46" s="19"/>
      <c r="AA46" s="19"/>
      <c r="AB46" s="19"/>
      <c r="AC46" s="19"/>
      <c r="AD46" s="19"/>
      <c r="AE46" s="19"/>
      <c r="AF46" s="19"/>
    </row>
    <row r="47" spans="2:32" ht="12.75">
      <c r="B47" s="49"/>
      <c r="C47" s="5"/>
      <c r="D47" s="5"/>
      <c r="E47" s="5"/>
      <c r="F47" s="5"/>
      <c r="G47" s="5"/>
      <c r="H47" s="3"/>
      <c r="I47" s="6"/>
      <c r="J47" s="19"/>
      <c r="K47" s="19"/>
      <c r="L47" s="19"/>
      <c r="M47" s="19"/>
      <c r="N47" s="19"/>
      <c r="O47" s="19"/>
      <c r="P47" s="19"/>
      <c r="Q47" s="19"/>
      <c r="R47" s="19"/>
      <c r="S47" s="19"/>
      <c r="T47" s="19"/>
      <c r="U47" s="19"/>
      <c r="V47" s="19"/>
      <c r="W47" s="19"/>
      <c r="X47" s="19"/>
      <c r="Y47" s="19"/>
      <c r="Z47" s="19"/>
      <c r="AA47" s="19"/>
      <c r="AB47" s="19"/>
      <c r="AC47" s="19"/>
      <c r="AD47" s="19"/>
      <c r="AE47" s="19"/>
      <c r="AF47" s="19"/>
    </row>
    <row r="48" spans="2:32" ht="12.75">
      <c r="B48" s="49"/>
      <c r="C48" s="5"/>
      <c r="D48" s="5"/>
      <c r="E48" s="5"/>
      <c r="F48" s="5"/>
      <c r="G48" s="5"/>
      <c r="H48" s="3"/>
      <c r="I48" s="6"/>
      <c r="J48" s="19"/>
      <c r="K48" s="19"/>
      <c r="L48" s="19"/>
      <c r="M48" s="19"/>
      <c r="N48" s="19"/>
      <c r="O48" s="19"/>
      <c r="P48" s="19"/>
      <c r="Q48" s="19"/>
      <c r="R48" s="19"/>
      <c r="S48" s="19"/>
      <c r="T48" s="19"/>
      <c r="U48" s="19"/>
      <c r="V48" s="19"/>
      <c r="W48" s="19"/>
      <c r="X48" s="19"/>
      <c r="Y48" s="19"/>
      <c r="Z48" s="19"/>
      <c r="AA48" s="19"/>
      <c r="AB48" s="19"/>
      <c r="AC48" s="19"/>
      <c r="AD48" s="19"/>
      <c r="AE48" s="19"/>
      <c r="AF48" s="19"/>
    </row>
    <row r="49" spans="2:32" ht="12.75">
      <c r="B49" s="49"/>
      <c r="C49" s="5"/>
      <c r="D49" s="5"/>
      <c r="E49" s="5"/>
      <c r="F49" s="5"/>
      <c r="G49" s="5"/>
      <c r="H49" s="3"/>
      <c r="I49" s="6"/>
      <c r="J49" s="19"/>
      <c r="K49" s="19"/>
      <c r="L49" s="19"/>
      <c r="M49" s="19"/>
      <c r="N49" s="19"/>
      <c r="O49" s="19"/>
      <c r="P49" s="19"/>
      <c r="Q49" s="19"/>
      <c r="R49" s="19"/>
      <c r="S49" s="19"/>
      <c r="T49" s="19"/>
      <c r="U49" s="19"/>
      <c r="V49" s="19"/>
      <c r="W49" s="19"/>
      <c r="X49" s="19"/>
      <c r="Y49" s="19"/>
      <c r="Z49" s="19"/>
      <c r="AA49" s="19"/>
      <c r="AB49" s="19"/>
      <c r="AC49" s="19"/>
      <c r="AD49" s="19"/>
      <c r="AE49" s="19"/>
      <c r="AF49" s="19"/>
    </row>
    <row r="50" spans="2:32" ht="12.75">
      <c r="B50" s="49"/>
      <c r="C50" s="5"/>
      <c r="D50" s="5"/>
      <c r="E50" s="5"/>
      <c r="F50" s="5"/>
      <c r="G50" s="5"/>
      <c r="H50" s="3"/>
      <c r="I50" s="6"/>
      <c r="J50" s="19"/>
      <c r="K50" s="19"/>
      <c r="L50" s="19"/>
      <c r="M50" s="19"/>
      <c r="N50" s="19"/>
      <c r="O50" s="19"/>
      <c r="P50" s="19"/>
      <c r="Q50" s="19"/>
      <c r="R50" s="19"/>
      <c r="S50" s="19"/>
      <c r="T50" s="19"/>
      <c r="U50" s="19"/>
      <c r="V50" s="19"/>
      <c r="W50" s="19"/>
      <c r="X50" s="19"/>
      <c r="Y50" s="19"/>
      <c r="Z50" s="19"/>
      <c r="AA50" s="19"/>
      <c r="AB50" s="19"/>
      <c r="AC50" s="19"/>
      <c r="AD50" s="19"/>
      <c r="AE50" s="19"/>
      <c r="AF50" s="19"/>
    </row>
    <row r="51" spans="2:32" ht="12.75">
      <c r="B51" s="49"/>
      <c r="C51" s="5"/>
      <c r="D51" s="5"/>
      <c r="E51" s="5"/>
      <c r="F51" s="5"/>
      <c r="G51" s="5"/>
      <c r="H51" s="3"/>
      <c r="I51" s="6"/>
      <c r="J51" s="19"/>
      <c r="K51" s="19"/>
      <c r="L51" s="19"/>
      <c r="M51" s="19"/>
      <c r="N51" s="19"/>
      <c r="O51" s="19"/>
      <c r="P51" s="19"/>
      <c r="Q51" s="19"/>
      <c r="R51" s="19"/>
      <c r="S51" s="19"/>
      <c r="T51" s="19"/>
      <c r="U51" s="19"/>
      <c r="V51" s="19"/>
      <c r="W51" s="19"/>
      <c r="X51" s="19"/>
      <c r="Y51" s="19"/>
      <c r="Z51" s="19"/>
      <c r="AA51" s="19"/>
      <c r="AB51" s="19"/>
      <c r="AC51" s="19"/>
      <c r="AD51" s="19"/>
      <c r="AE51" s="19"/>
      <c r="AF51" s="19"/>
    </row>
    <row r="52" spans="2:32" ht="12.75">
      <c r="B52" s="49"/>
      <c r="C52" s="5"/>
      <c r="D52" s="5"/>
      <c r="E52" s="5"/>
      <c r="F52" s="5"/>
      <c r="G52" s="5"/>
      <c r="H52" s="3"/>
      <c r="I52" s="6"/>
      <c r="J52" s="19"/>
      <c r="K52" s="19"/>
      <c r="L52" s="19"/>
      <c r="M52" s="19"/>
      <c r="N52" s="19"/>
      <c r="O52" s="19"/>
      <c r="P52" s="19"/>
      <c r="Q52" s="19"/>
      <c r="R52" s="19"/>
      <c r="S52" s="19"/>
      <c r="T52" s="19"/>
      <c r="U52" s="19"/>
      <c r="V52" s="19"/>
      <c r="W52" s="19"/>
      <c r="X52" s="19"/>
      <c r="Y52" s="19"/>
      <c r="Z52" s="19"/>
      <c r="AA52" s="19"/>
      <c r="AB52" s="19"/>
      <c r="AC52" s="19"/>
      <c r="AD52" s="19"/>
      <c r="AE52" s="19"/>
      <c r="AF52" s="19"/>
    </row>
    <row r="53" spans="2:32" ht="12.75">
      <c r="B53" s="49"/>
      <c r="C53" s="5"/>
      <c r="D53" s="5"/>
      <c r="E53" s="5"/>
      <c r="F53" s="5"/>
      <c r="G53" s="5"/>
      <c r="H53" s="3"/>
      <c r="I53" s="6"/>
      <c r="J53" s="19"/>
      <c r="K53" s="19"/>
      <c r="L53" s="19"/>
      <c r="M53" s="19"/>
      <c r="N53" s="19"/>
      <c r="O53" s="19"/>
      <c r="P53" s="19"/>
      <c r="Q53" s="19"/>
      <c r="R53" s="19"/>
      <c r="S53" s="19"/>
      <c r="T53" s="19"/>
      <c r="U53" s="19"/>
      <c r="V53" s="19"/>
      <c r="W53" s="19"/>
      <c r="X53" s="19"/>
      <c r="Y53" s="19"/>
      <c r="Z53" s="19"/>
      <c r="AA53" s="19"/>
      <c r="AB53" s="19"/>
      <c r="AC53" s="19"/>
      <c r="AD53" s="19"/>
      <c r="AE53" s="19"/>
      <c r="AF53" s="19"/>
    </row>
    <row r="54" spans="2:32" ht="12.75">
      <c r="B54" s="49"/>
      <c r="C54" s="5"/>
      <c r="D54" s="5"/>
      <c r="E54" s="5"/>
      <c r="F54" s="5"/>
      <c r="G54" s="5"/>
      <c r="H54" s="3"/>
      <c r="I54" s="6"/>
      <c r="J54" s="19"/>
      <c r="K54" s="19"/>
      <c r="L54" s="19"/>
      <c r="M54" s="19"/>
      <c r="N54" s="19"/>
      <c r="O54" s="19"/>
      <c r="P54" s="19"/>
      <c r="Q54" s="19"/>
      <c r="R54" s="19"/>
      <c r="S54" s="19"/>
      <c r="T54" s="19"/>
      <c r="U54" s="19"/>
      <c r="V54" s="19"/>
      <c r="W54" s="19"/>
      <c r="X54" s="19"/>
      <c r="Y54" s="19"/>
      <c r="Z54" s="19"/>
      <c r="AA54" s="19"/>
      <c r="AB54" s="19"/>
      <c r="AC54" s="19"/>
      <c r="AD54" s="19"/>
      <c r="AE54" s="19"/>
      <c r="AF54" s="19"/>
    </row>
    <row r="55" spans="2:32" ht="12.75">
      <c r="B55" s="49"/>
      <c r="C55" s="5"/>
      <c r="D55" s="5"/>
      <c r="E55" s="5"/>
      <c r="F55" s="5"/>
      <c r="G55" s="5"/>
      <c r="H55" s="3"/>
      <c r="I55" s="6"/>
      <c r="J55" s="19"/>
      <c r="K55" s="19"/>
      <c r="L55" s="19"/>
      <c r="M55" s="19"/>
      <c r="N55" s="19"/>
      <c r="O55" s="19"/>
      <c r="P55" s="19"/>
      <c r="Q55" s="19"/>
      <c r="R55" s="19"/>
      <c r="S55" s="19"/>
      <c r="T55" s="19"/>
      <c r="U55" s="19"/>
      <c r="V55" s="19"/>
      <c r="W55" s="19"/>
      <c r="X55" s="19"/>
      <c r="Y55" s="19"/>
      <c r="Z55" s="19"/>
      <c r="AA55" s="19"/>
      <c r="AB55" s="19"/>
      <c r="AC55" s="19"/>
      <c r="AD55" s="19"/>
      <c r="AE55" s="19"/>
      <c r="AF55" s="19"/>
    </row>
    <row r="56" spans="2:32" ht="12.75">
      <c r="B56" s="49"/>
      <c r="C56" s="5"/>
      <c r="D56" s="5"/>
      <c r="E56" s="5"/>
      <c r="F56" s="5"/>
      <c r="G56" s="5"/>
      <c r="H56" s="3"/>
      <c r="I56" s="6"/>
      <c r="J56" s="19"/>
      <c r="K56" s="19"/>
      <c r="L56" s="19"/>
      <c r="M56" s="19"/>
      <c r="N56" s="19"/>
      <c r="O56" s="19"/>
      <c r="P56" s="19"/>
      <c r="Q56" s="19"/>
      <c r="R56" s="19"/>
      <c r="S56" s="19"/>
      <c r="T56" s="19"/>
      <c r="U56" s="19"/>
      <c r="V56" s="19"/>
      <c r="W56" s="19"/>
      <c r="X56" s="19"/>
      <c r="Y56" s="19"/>
      <c r="Z56" s="19"/>
      <c r="AA56" s="19"/>
      <c r="AB56" s="19"/>
      <c r="AC56" s="19"/>
      <c r="AD56" s="19"/>
      <c r="AE56" s="19"/>
      <c r="AF56" s="19"/>
    </row>
    <row r="57" spans="2:32" ht="12.75">
      <c r="B57" s="49"/>
      <c r="C57" s="5"/>
      <c r="D57" s="5"/>
      <c r="E57" s="5"/>
      <c r="F57" s="5"/>
      <c r="G57" s="5"/>
      <c r="H57" s="3"/>
      <c r="I57" s="6"/>
      <c r="J57" s="19"/>
      <c r="K57" s="19"/>
      <c r="L57" s="19"/>
      <c r="M57" s="19"/>
      <c r="N57" s="19"/>
      <c r="O57" s="19"/>
      <c r="P57" s="19"/>
      <c r="Q57" s="19"/>
      <c r="R57" s="19"/>
      <c r="S57" s="19"/>
      <c r="T57" s="19"/>
      <c r="U57" s="19"/>
      <c r="V57" s="19"/>
      <c r="W57" s="19"/>
      <c r="X57" s="19"/>
      <c r="Y57" s="19"/>
      <c r="Z57" s="19"/>
      <c r="AA57" s="19"/>
      <c r="AB57" s="19"/>
      <c r="AC57" s="19"/>
      <c r="AD57" s="19"/>
      <c r="AE57" s="19"/>
      <c r="AF57" s="19"/>
    </row>
    <row r="58" spans="2:32" ht="12.75">
      <c r="B58" s="49"/>
      <c r="C58" s="5"/>
      <c r="D58" s="5"/>
      <c r="E58" s="5"/>
      <c r="F58" s="5"/>
      <c r="G58" s="5"/>
      <c r="H58" s="3"/>
      <c r="I58" s="6"/>
      <c r="J58" s="19"/>
      <c r="K58" s="19"/>
      <c r="L58" s="19"/>
      <c r="M58" s="19"/>
      <c r="N58" s="19"/>
      <c r="O58" s="19"/>
      <c r="P58" s="19"/>
      <c r="Q58" s="19"/>
      <c r="R58" s="19"/>
      <c r="S58" s="19"/>
      <c r="T58" s="19"/>
      <c r="U58" s="19"/>
      <c r="V58" s="19"/>
      <c r="W58" s="19"/>
      <c r="X58" s="19"/>
      <c r="Y58" s="19"/>
      <c r="Z58" s="19"/>
      <c r="AA58" s="19"/>
      <c r="AB58" s="19"/>
      <c r="AC58" s="19"/>
      <c r="AD58" s="19"/>
      <c r="AE58" s="19"/>
      <c r="AF58" s="19"/>
    </row>
    <row r="59" spans="2:32" ht="12.75">
      <c r="B59" s="49"/>
      <c r="C59" s="5"/>
      <c r="D59" s="5"/>
      <c r="E59" s="5"/>
      <c r="F59" s="5"/>
      <c r="G59" s="5"/>
      <c r="H59" s="3"/>
      <c r="I59" s="6"/>
      <c r="J59" s="19"/>
      <c r="K59" s="19"/>
      <c r="L59" s="19"/>
      <c r="M59" s="19"/>
      <c r="N59" s="19"/>
      <c r="O59" s="19"/>
      <c r="P59" s="19"/>
      <c r="Q59" s="19"/>
      <c r="R59" s="19"/>
      <c r="S59" s="19"/>
      <c r="T59" s="19"/>
      <c r="U59" s="19"/>
      <c r="V59" s="19"/>
      <c r="W59" s="19"/>
      <c r="X59" s="19"/>
      <c r="Y59" s="19"/>
      <c r="Z59" s="19"/>
      <c r="AA59" s="19"/>
      <c r="AB59" s="19"/>
      <c r="AC59" s="19"/>
      <c r="AD59" s="19"/>
      <c r="AE59" s="19"/>
      <c r="AF59" s="19"/>
    </row>
    <row r="60" spans="2:32" ht="12.75">
      <c r="B60" s="49"/>
      <c r="C60" s="5"/>
      <c r="D60" s="5"/>
      <c r="E60" s="5"/>
      <c r="F60" s="5"/>
      <c r="G60" s="5"/>
      <c r="H60" s="3"/>
      <c r="I60" s="6"/>
      <c r="J60" s="19"/>
      <c r="K60" s="19"/>
      <c r="L60" s="19"/>
      <c r="M60" s="19"/>
      <c r="N60" s="19"/>
      <c r="O60" s="19"/>
      <c r="P60" s="19"/>
      <c r="Q60" s="19"/>
      <c r="R60" s="19"/>
      <c r="S60" s="19"/>
      <c r="T60" s="19"/>
      <c r="U60" s="19"/>
      <c r="V60" s="19"/>
      <c r="W60" s="19"/>
      <c r="X60" s="19"/>
      <c r="Y60" s="19"/>
      <c r="Z60" s="19"/>
      <c r="AA60" s="19"/>
      <c r="AB60" s="19"/>
      <c r="AC60" s="19"/>
      <c r="AD60" s="19"/>
      <c r="AE60" s="19"/>
      <c r="AF60" s="19"/>
    </row>
    <row r="61" spans="2:32" ht="12.75">
      <c r="B61" s="49"/>
      <c r="C61" s="5"/>
      <c r="D61" s="5"/>
      <c r="E61" s="5"/>
      <c r="F61" s="5"/>
      <c r="G61" s="5"/>
      <c r="H61" s="3"/>
      <c r="I61" s="6"/>
      <c r="J61" s="19"/>
      <c r="K61" s="19"/>
      <c r="L61" s="19"/>
      <c r="M61" s="19"/>
      <c r="N61" s="19"/>
      <c r="O61" s="19"/>
      <c r="P61" s="19"/>
      <c r="Q61" s="19"/>
      <c r="R61" s="19"/>
      <c r="S61" s="19"/>
      <c r="T61" s="19"/>
      <c r="U61" s="19"/>
      <c r="V61" s="19"/>
      <c r="W61" s="19"/>
      <c r="X61" s="19"/>
      <c r="Y61" s="19"/>
      <c r="Z61" s="19"/>
      <c r="AA61" s="19"/>
      <c r="AB61" s="19"/>
      <c r="AC61" s="19"/>
      <c r="AD61" s="19"/>
      <c r="AE61" s="19"/>
      <c r="AF61" s="19"/>
    </row>
    <row r="62" spans="2:32" ht="12.75">
      <c r="B62" s="49"/>
      <c r="C62" s="5"/>
      <c r="D62" s="5"/>
      <c r="E62" s="5"/>
      <c r="F62" s="5"/>
      <c r="G62" s="5"/>
      <c r="H62" s="3"/>
      <c r="I62" s="6"/>
      <c r="J62" s="19"/>
      <c r="K62" s="19"/>
      <c r="L62" s="19"/>
      <c r="M62" s="19"/>
      <c r="N62" s="19"/>
      <c r="O62" s="19"/>
      <c r="P62" s="19"/>
      <c r="Q62" s="19"/>
      <c r="R62" s="19"/>
      <c r="S62" s="19"/>
      <c r="T62" s="19"/>
      <c r="U62" s="19"/>
      <c r="V62" s="19"/>
      <c r="W62" s="19"/>
      <c r="X62" s="19"/>
      <c r="Y62" s="19"/>
      <c r="Z62" s="19"/>
      <c r="AA62" s="19"/>
      <c r="AB62" s="19"/>
      <c r="AC62" s="19"/>
      <c r="AD62" s="19"/>
      <c r="AE62" s="19"/>
      <c r="AF62" s="19"/>
    </row>
    <row r="63" spans="2:32" ht="12.75">
      <c r="B63" s="49"/>
      <c r="C63" s="5"/>
      <c r="D63" s="5"/>
      <c r="E63" s="5"/>
      <c r="F63" s="5"/>
      <c r="G63" s="5"/>
      <c r="H63" s="3"/>
      <c r="I63" s="6"/>
      <c r="J63" s="19"/>
      <c r="K63" s="19"/>
      <c r="L63" s="19"/>
      <c r="M63" s="19"/>
      <c r="N63" s="19"/>
      <c r="O63" s="19"/>
      <c r="P63" s="19"/>
      <c r="Q63" s="19"/>
      <c r="R63" s="19"/>
      <c r="S63" s="19"/>
      <c r="T63" s="19"/>
      <c r="U63" s="19"/>
      <c r="V63" s="19"/>
      <c r="W63" s="19"/>
      <c r="X63" s="19"/>
      <c r="Y63" s="19"/>
      <c r="Z63" s="19"/>
      <c r="AA63" s="19"/>
      <c r="AB63" s="19"/>
      <c r="AC63" s="19"/>
      <c r="AD63" s="19"/>
      <c r="AE63" s="19"/>
      <c r="AF63" s="19"/>
    </row>
    <row r="64" spans="2:32" ht="12.75">
      <c r="B64" s="49"/>
      <c r="C64" s="5"/>
      <c r="D64" s="5"/>
      <c r="E64" s="5"/>
      <c r="F64" s="5"/>
      <c r="G64" s="5"/>
      <c r="H64" s="3"/>
      <c r="I64" s="6"/>
      <c r="J64" s="19"/>
      <c r="K64" s="19"/>
      <c r="L64" s="19"/>
      <c r="M64" s="19"/>
      <c r="N64" s="19"/>
      <c r="O64" s="19"/>
      <c r="P64" s="19"/>
      <c r="Q64" s="19"/>
      <c r="R64" s="19"/>
      <c r="S64" s="19"/>
      <c r="T64" s="19"/>
      <c r="U64" s="19"/>
      <c r="V64" s="19"/>
      <c r="W64" s="19"/>
      <c r="X64" s="19"/>
      <c r="Y64" s="19"/>
      <c r="Z64" s="19"/>
      <c r="AA64" s="19"/>
      <c r="AB64" s="19"/>
      <c r="AC64" s="19"/>
      <c r="AD64" s="19"/>
      <c r="AE64" s="19"/>
      <c r="AF64" s="19"/>
    </row>
    <row r="65" spans="2:32" ht="12.75">
      <c r="B65" s="49"/>
      <c r="C65" s="5"/>
      <c r="D65" s="5"/>
      <c r="E65" s="5"/>
      <c r="F65" s="5"/>
      <c r="G65" s="5"/>
      <c r="H65" s="3"/>
      <c r="I65" s="6"/>
      <c r="J65" s="19"/>
      <c r="K65" s="19"/>
      <c r="L65" s="19"/>
      <c r="M65" s="19"/>
      <c r="N65" s="19"/>
      <c r="O65" s="19"/>
      <c r="P65" s="19"/>
      <c r="Q65" s="19"/>
      <c r="R65" s="19"/>
      <c r="S65" s="19"/>
      <c r="T65" s="19"/>
      <c r="U65" s="19"/>
      <c r="V65" s="19"/>
      <c r="W65" s="19"/>
      <c r="X65" s="19"/>
      <c r="Y65" s="19"/>
      <c r="Z65" s="19"/>
      <c r="AA65" s="19"/>
      <c r="AB65" s="19"/>
      <c r="AC65" s="19"/>
      <c r="AD65" s="19"/>
      <c r="AE65" s="19"/>
      <c r="AF65" s="19"/>
    </row>
    <row r="66" spans="2:32" ht="12.75">
      <c r="B66" s="49"/>
      <c r="C66" s="5"/>
      <c r="D66" s="5"/>
      <c r="E66" s="5"/>
      <c r="F66" s="5"/>
      <c r="G66" s="5"/>
      <c r="H66" s="3"/>
      <c r="I66" s="6"/>
      <c r="J66" s="19"/>
      <c r="K66" s="19"/>
      <c r="L66" s="19"/>
      <c r="M66" s="19"/>
      <c r="N66" s="19"/>
      <c r="O66" s="19"/>
      <c r="P66" s="19"/>
      <c r="Q66" s="19"/>
      <c r="R66" s="19"/>
      <c r="S66" s="19"/>
      <c r="T66" s="19"/>
      <c r="U66" s="19"/>
      <c r="V66" s="19"/>
      <c r="W66" s="19"/>
      <c r="X66" s="19"/>
      <c r="Y66" s="19"/>
      <c r="Z66" s="19"/>
      <c r="AA66" s="19"/>
      <c r="AB66" s="19"/>
      <c r="AC66" s="19"/>
      <c r="AD66" s="19"/>
      <c r="AE66" s="19"/>
      <c r="AF66" s="19"/>
    </row>
    <row r="67" spans="2:32" ht="12.75">
      <c r="B67" s="49"/>
      <c r="C67" s="5"/>
      <c r="D67" s="5"/>
      <c r="E67" s="5"/>
      <c r="F67" s="5"/>
      <c r="G67" s="5"/>
      <c r="H67" s="3"/>
      <c r="I67" s="6"/>
      <c r="J67" s="19"/>
      <c r="K67" s="19"/>
      <c r="L67" s="19"/>
      <c r="M67" s="19"/>
      <c r="N67" s="19"/>
      <c r="O67" s="19"/>
      <c r="P67" s="19"/>
      <c r="Q67" s="19"/>
      <c r="R67" s="19"/>
      <c r="S67" s="19"/>
      <c r="T67" s="19"/>
      <c r="U67" s="19"/>
      <c r="V67" s="19"/>
      <c r="W67" s="19"/>
      <c r="X67" s="19"/>
      <c r="Y67" s="19"/>
      <c r="Z67" s="19"/>
      <c r="AA67" s="19"/>
      <c r="AB67" s="19"/>
      <c r="AC67" s="19"/>
      <c r="AD67" s="19"/>
      <c r="AE67" s="19"/>
      <c r="AF67" s="19"/>
    </row>
    <row r="68" spans="2:32" ht="12.75">
      <c r="B68" s="49"/>
      <c r="C68" s="5"/>
      <c r="D68" s="5"/>
      <c r="E68" s="5"/>
      <c r="F68" s="5"/>
      <c r="G68" s="5"/>
      <c r="H68" s="3"/>
      <c r="I68" s="6"/>
      <c r="J68" s="19"/>
      <c r="K68" s="19"/>
      <c r="L68" s="19"/>
      <c r="M68" s="19"/>
      <c r="N68" s="19"/>
      <c r="O68" s="19"/>
      <c r="P68" s="19"/>
      <c r="Q68" s="19"/>
      <c r="R68" s="19"/>
      <c r="S68" s="19"/>
      <c r="T68" s="19"/>
      <c r="U68" s="19"/>
      <c r="V68" s="19"/>
      <c r="W68" s="19"/>
      <c r="X68" s="19"/>
      <c r="Y68" s="19"/>
      <c r="Z68" s="19"/>
      <c r="AA68" s="19"/>
      <c r="AB68" s="19"/>
      <c r="AC68" s="19"/>
      <c r="AD68" s="19"/>
      <c r="AE68" s="19"/>
      <c r="AF68" s="19"/>
    </row>
    <row r="69" spans="2:32" ht="12.75">
      <c r="B69" s="49"/>
      <c r="C69" s="5"/>
      <c r="D69" s="5"/>
      <c r="E69" s="5"/>
      <c r="F69" s="5"/>
      <c r="G69" s="5"/>
      <c r="H69" s="3"/>
      <c r="I69" s="6"/>
      <c r="J69" s="19"/>
      <c r="K69" s="19"/>
      <c r="L69" s="19"/>
      <c r="M69" s="19"/>
      <c r="N69" s="19"/>
      <c r="O69" s="19"/>
      <c r="P69" s="19"/>
      <c r="Q69" s="19"/>
      <c r="R69" s="19"/>
      <c r="S69" s="19"/>
      <c r="T69" s="19"/>
      <c r="U69" s="19"/>
      <c r="V69" s="19"/>
      <c r="W69" s="19"/>
      <c r="X69" s="19"/>
      <c r="Y69" s="19"/>
      <c r="Z69" s="19"/>
      <c r="AA69" s="19"/>
      <c r="AB69" s="19"/>
      <c r="AC69" s="19"/>
      <c r="AD69" s="19"/>
      <c r="AE69" s="19"/>
      <c r="AF69" s="19"/>
    </row>
    <row r="70" spans="2:32" ht="12.75">
      <c r="B70" s="49"/>
      <c r="C70" s="5"/>
      <c r="D70" s="5"/>
      <c r="E70" s="5"/>
      <c r="F70" s="5"/>
      <c r="G70" s="5"/>
      <c r="H70" s="3"/>
      <c r="I70" s="6"/>
      <c r="J70" s="19"/>
      <c r="K70" s="19"/>
      <c r="L70" s="19"/>
      <c r="M70" s="19"/>
      <c r="N70" s="19"/>
      <c r="O70" s="19"/>
      <c r="P70" s="19"/>
      <c r="Q70" s="19"/>
      <c r="R70" s="19"/>
      <c r="S70" s="19"/>
      <c r="T70" s="19"/>
      <c r="U70" s="19"/>
      <c r="V70" s="19"/>
      <c r="W70" s="19"/>
      <c r="X70" s="19"/>
      <c r="Y70" s="19"/>
      <c r="Z70" s="19"/>
      <c r="AA70" s="19"/>
      <c r="AB70" s="19"/>
      <c r="AC70" s="19"/>
      <c r="AD70" s="19"/>
      <c r="AE70" s="19"/>
      <c r="AF70" s="19"/>
    </row>
    <row r="71" spans="2:32" ht="12.75">
      <c r="B71" s="49"/>
      <c r="C71" s="5"/>
      <c r="D71" s="5"/>
      <c r="E71" s="5"/>
      <c r="F71" s="5"/>
      <c r="G71" s="5"/>
      <c r="H71" s="3"/>
      <c r="I71" s="6"/>
      <c r="J71" s="19"/>
      <c r="K71" s="19"/>
      <c r="L71" s="19"/>
      <c r="M71" s="19"/>
      <c r="N71" s="19"/>
      <c r="O71" s="19"/>
      <c r="P71" s="19"/>
      <c r="Q71" s="19"/>
      <c r="R71" s="19"/>
      <c r="S71" s="19"/>
      <c r="T71" s="19"/>
      <c r="U71" s="19"/>
      <c r="V71" s="19"/>
      <c r="W71" s="19"/>
      <c r="X71" s="19"/>
      <c r="Y71" s="19"/>
      <c r="Z71" s="19"/>
      <c r="AA71" s="19"/>
      <c r="AB71" s="19"/>
      <c r="AC71" s="19"/>
      <c r="AD71" s="19"/>
      <c r="AE71" s="19"/>
      <c r="AF71" s="19"/>
    </row>
    <row r="72" spans="2:32" ht="12.75">
      <c r="B72" s="49"/>
      <c r="C72" s="5"/>
      <c r="D72" s="5"/>
      <c r="E72" s="5"/>
      <c r="F72" s="5"/>
      <c r="G72" s="5"/>
      <c r="H72" s="3"/>
      <c r="I72" s="6"/>
      <c r="J72" s="19"/>
      <c r="K72" s="19"/>
      <c r="L72" s="19"/>
      <c r="M72" s="19"/>
      <c r="N72" s="19"/>
      <c r="O72" s="19"/>
      <c r="P72" s="19"/>
      <c r="Q72" s="19"/>
      <c r="R72" s="19"/>
      <c r="S72" s="19"/>
      <c r="T72" s="19"/>
      <c r="U72" s="19"/>
      <c r="V72" s="19"/>
      <c r="W72" s="19"/>
      <c r="X72" s="19"/>
      <c r="Y72" s="19"/>
      <c r="Z72" s="19"/>
      <c r="AA72" s="19"/>
      <c r="AB72" s="19"/>
      <c r="AC72" s="19"/>
      <c r="AD72" s="19"/>
      <c r="AE72" s="19"/>
      <c r="AF72" s="19"/>
    </row>
    <row r="73" spans="2:32" ht="12.75">
      <c r="B73" s="49"/>
      <c r="C73" s="5"/>
      <c r="D73" s="5"/>
      <c r="E73" s="5"/>
      <c r="F73" s="5"/>
      <c r="G73" s="5"/>
      <c r="H73" s="3"/>
      <c r="I73" s="6"/>
      <c r="J73" s="19"/>
      <c r="K73" s="19"/>
      <c r="L73" s="19"/>
      <c r="M73" s="19"/>
      <c r="N73" s="19"/>
      <c r="O73" s="19"/>
      <c r="P73" s="19"/>
      <c r="Q73" s="19"/>
      <c r="R73" s="19"/>
      <c r="S73" s="19"/>
      <c r="T73" s="19"/>
      <c r="U73" s="19"/>
      <c r="V73" s="19"/>
      <c r="W73" s="19"/>
      <c r="X73" s="19"/>
      <c r="Y73" s="19"/>
      <c r="Z73" s="19"/>
      <c r="AA73" s="19"/>
      <c r="AB73" s="19"/>
      <c r="AC73" s="19"/>
      <c r="AD73" s="19"/>
      <c r="AE73" s="19"/>
      <c r="AF73" s="19"/>
    </row>
    <row r="74" spans="2:32" ht="12.75">
      <c r="B74" s="49"/>
      <c r="C74" s="5"/>
      <c r="D74" s="5"/>
      <c r="E74" s="5"/>
      <c r="F74" s="5"/>
      <c r="G74" s="5"/>
      <c r="H74" s="3"/>
      <c r="I74" s="6"/>
      <c r="J74" s="19"/>
      <c r="K74" s="19"/>
      <c r="L74" s="19"/>
      <c r="M74" s="19"/>
      <c r="N74" s="19"/>
      <c r="O74" s="19"/>
      <c r="P74" s="19"/>
      <c r="Q74" s="19"/>
      <c r="R74" s="19"/>
      <c r="S74" s="19"/>
      <c r="T74" s="19"/>
      <c r="U74" s="19"/>
      <c r="V74" s="19"/>
      <c r="W74" s="19"/>
      <c r="X74" s="19"/>
      <c r="Y74" s="19"/>
      <c r="Z74" s="19"/>
      <c r="AA74" s="19"/>
      <c r="AB74" s="19"/>
      <c r="AC74" s="19"/>
      <c r="AD74" s="19"/>
      <c r="AE74" s="19"/>
      <c r="AF74" s="19"/>
    </row>
    <row r="75" spans="2:32" ht="12.75">
      <c r="B75" s="49"/>
      <c r="C75" s="5"/>
      <c r="D75" s="5"/>
      <c r="E75" s="5"/>
      <c r="F75" s="5"/>
      <c r="G75" s="5"/>
      <c r="H75" s="3"/>
      <c r="I75" s="6"/>
      <c r="J75" s="19"/>
      <c r="K75" s="19"/>
      <c r="L75" s="19"/>
      <c r="M75" s="19"/>
      <c r="N75" s="19"/>
      <c r="O75" s="19"/>
      <c r="P75" s="19"/>
      <c r="Q75" s="19"/>
      <c r="R75" s="19"/>
      <c r="S75" s="19"/>
      <c r="T75" s="19"/>
      <c r="U75" s="19"/>
      <c r="V75" s="19"/>
      <c r="W75" s="19"/>
      <c r="X75" s="19"/>
      <c r="Y75" s="19"/>
      <c r="Z75" s="19"/>
      <c r="AA75" s="19"/>
      <c r="AB75" s="19"/>
      <c r="AC75" s="19"/>
      <c r="AD75" s="19"/>
      <c r="AE75" s="19"/>
      <c r="AF75" s="19"/>
    </row>
    <row r="76" spans="2:32" ht="12.75">
      <c r="B76" s="49"/>
      <c r="C76" s="5"/>
      <c r="D76" s="5"/>
      <c r="E76" s="5"/>
      <c r="F76" s="5"/>
      <c r="G76" s="5"/>
      <c r="H76" s="3"/>
      <c r="I76" s="6"/>
      <c r="J76" s="19"/>
      <c r="K76" s="19"/>
      <c r="L76" s="19"/>
      <c r="M76" s="19"/>
      <c r="N76" s="19"/>
      <c r="O76" s="19"/>
      <c r="P76" s="19"/>
      <c r="Q76" s="19"/>
      <c r="R76" s="19"/>
      <c r="S76" s="19"/>
      <c r="T76" s="19"/>
      <c r="U76" s="19"/>
      <c r="V76" s="19"/>
      <c r="W76" s="19"/>
      <c r="X76" s="19"/>
      <c r="Y76" s="19"/>
      <c r="Z76" s="19"/>
      <c r="AA76" s="19"/>
      <c r="AB76" s="19"/>
      <c r="AC76" s="19"/>
      <c r="AD76" s="19"/>
      <c r="AE76" s="19"/>
      <c r="AF76" s="19"/>
    </row>
    <row r="77" spans="2:32" ht="12.75">
      <c r="B77" s="49"/>
      <c r="C77" s="5"/>
      <c r="D77" s="5"/>
      <c r="E77" s="5"/>
      <c r="F77" s="5"/>
      <c r="G77" s="5"/>
      <c r="H77" s="3"/>
      <c r="I77" s="6"/>
      <c r="J77" s="19"/>
      <c r="K77" s="19"/>
      <c r="L77" s="19"/>
      <c r="M77" s="19"/>
      <c r="N77" s="19"/>
      <c r="O77" s="19"/>
      <c r="P77" s="19"/>
      <c r="Q77" s="19"/>
      <c r="R77" s="19"/>
      <c r="S77" s="19"/>
      <c r="T77" s="19"/>
      <c r="U77" s="19"/>
      <c r="V77" s="19"/>
      <c r="W77" s="19"/>
      <c r="X77" s="19"/>
      <c r="Y77" s="19"/>
      <c r="Z77" s="19"/>
      <c r="AA77" s="19"/>
      <c r="AB77" s="19"/>
      <c r="AC77" s="19"/>
      <c r="AD77" s="19"/>
      <c r="AE77" s="19"/>
      <c r="AF77" s="19"/>
    </row>
    <row r="78" spans="2:32" ht="12.75">
      <c r="B78" s="49"/>
      <c r="C78" s="5"/>
      <c r="D78" s="5"/>
      <c r="E78" s="5"/>
      <c r="F78" s="5"/>
      <c r="G78" s="5"/>
      <c r="H78" s="3"/>
      <c r="I78" s="6"/>
      <c r="J78" s="19"/>
      <c r="K78" s="19"/>
      <c r="L78" s="19"/>
      <c r="M78" s="19"/>
      <c r="N78" s="19"/>
      <c r="O78" s="19"/>
      <c r="P78" s="19"/>
      <c r="Q78" s="19"/>
      <c r="R78" s="19"/>
      <c r="S78" s="19"/>
      <c r="T78" s="19"/>
      <c r="U78" s="19"/>
      <c r="V78" s="19"/>
      <c r="W78" s="19"/>
      <c r="X78" s="19"/>
      <c r="Y78" s="19"/>
      <c r="Z78" s="19"/>
      <c r="AA78" s="19"/>
      <c r="AB78" s="19"/>
      <c r="AC78" s="19"/>
      <c r="AD78" s="19"/>
      <c r="AE78" s="19"/>
      <c r="AF78" s="19"/>
    </row>
    <row r="79" spans="2:32" ht="12.75">
      <c r="B79" s="49"/>
      <c r="C79" s="5"/>
      <c r="D79" s="5"/>
      <c r="E79" s="5"/>
      <c r="F79" s="5"/>
      <c r="G79" s="5"/>
      <c r="H79" s="3"/>
      <c r="I79" s="6"/>
      <c r="J79" s="19"/>
      <c r="K79" s="19"/>
      <c r="L79" s="19"/>
      <c r="M79" s="19"/>
      <c r="N79" s="19"/>
      <c r="O79" s="19"/>
      <c r="P79" s="19"/>
      <c r="Q79" s="19"/>
      <c r="R79" s="19"/>
      <c r="S79" s="19"/>
      <c r="T79" s="19"/>
      <c r="U79" s="19"/>
      <c r="V79" s="19"/>
      <c r="W79" s="19"/>
      <c r="X79" s="19"/>
      <c r="Y79" s="19"/>
      <c r="Z79" s="19"/>
      <c r="AA79" s="19"/>
      <c r="AB79" s="19"/>
      <c r="AC79" s="19"/>
      <c r="AD79" s="19"/>
      <c r="AE79" s="19"/>
      <c r="AF79" s="19"/>
    </row>
    <row r="80" spans="2:32" ht="12.75">
      <c r="B80" s="49"/>
      <c r="C80" s="5"/>
      <c r="D80" s="5"/>
      <c r="E80" s="5"/>
      <c r="F80" s="5"/>
      <c r="G80" s="5"/>
      <c r="H80" s="3"/>
      <c r="I80" s="6"/>
      <c r="J80" s="19"/>
      <c r="K80" s="19"/>
      <c r="L80" s="19"/>
      <c r="M80" s="19"/>
      <c r="N80" s="19"/>
      <c r="O80" s="19"/>
      <c r="P80" s="19"/>
      <c r="Q80" s="19"/>
      <c r="R80" s="19"/>
      <c r="S80" s="19"/>
      <c r="T80" s="19"/>
      <c r="U80" s="19"/>
      <c r="V80" s="19"/>
      <c r="W80" s="19"/>
      <c r="X80" s="19"/>
      <c r="Y80" s="19"/>
      <c r="Z80" s="19"/>
      <c r="AA80" s="19"/>
      <c r="AB80" s="19"/>
      <c r="AC80" s="19"/>
      <c r="AD80" s="19"/>
      <c r="AE80" s="19"/>
      <c r="AF80" s="19"/>
    </row>
    <row r="81" spans="2:32" ht="12.75">
      <c r="B81" s="49"/>
      <c r="C81" s="5"/>
      <c r="D81" s="5"/>
      <c r="E81" s="5"/>
      <c r="F81" s="5"/>
      <c r="G81" s="5"/>
      <c r="H81" s="3"/>
      <c r="I81" s="6"/>
      <c r="J81" s="19"/>
      <c r="K81" s="19"/>
      <c r="L81" s="19"/>
      <c r="M81" s="19"/>
      <c r="N81" s="19"/>
      <c r="O81" s="19"/>
      <c r="P81" s="19"/>
      <c r="Q81" s="19"/>
      <c r="R81" s="19"/>
      <c r="S81" s="19"/>
      <c r="T81" s="19"/>
      <c r="U81" s="19"/>
      <c r="V81" s="19"/>
      <c r="W81" s="19"/>
      <c r="X81" s="19"/>
      <c r="Y81" s="19"/>
      <c r="Z81" s="19"/>
      <c r="AA81" s="19"/>
      <c r="AB81" s="19"/>
      <c r="AC81" s="19"/>
      <c r="AD81" s="19"/>
      <c r="AE81" s="19"/>
      <c r="AF81" s="19"/>
    </row>
    <row r="82" spans="2:32" ht="12.75">
      <c r="B82" s="49"/>
      <c r="C82" s="5"/>
      <c r="D82" s="5"/>
      <c r="E82" s="5"/>
      <c r="F82" s="5"/>
      <c r="G82" s="5"/>
      <c r="H82" s="3"/>
      <c r="I82" s="6"/>
      <c r="J82" s="19"/>
      <c r="K82" s="19"/>
      <c r="L82" s="19"/>
      <c r="M82" s="19"/>
      <c r="N82" s="19"/>
      <c r="O82" s="19"/>
      <c r="P82" s="19"/>
      <c r="Q82" s="19"/>
      <c r="R82" s="19"/>
      <c r="S82" s="19"/>
      <c r="T82" s="19"/>
      <c r="U82" s="19"/>
      <c r="V82" s="19"/>
      <c r="W82" s="19"/>
      <c r="X82" s="19"/>
      <c r="Y82" s="19"/>
      <c r="Z82" s="19"/>
      <c r="AA82" s="19"/>
      <c r="AB82" s="19"/>
      <c r="AC82" s="19"/>
      <c r="AD82" s="19"/>
      <c r="AE82" s="19"/>
      <c r="AF82" s="19"/>
    </row>
    <row r="83" spans="2:32" ht="12.75">
      <c r="B83" s="49"/>
      <c r="C83" s="5"/>
      <c r="D83" s="5"/>
      <c r="E83" s="5"/>
      <c r="F83" s="5"/>
      <c r="G83" s="5"/>
      <c r="H83" s="3"/>
      <c r="I83" s="6"/>
      <c r="J83" s="19"/>
      <c r="K83" s="19"/>
      <c r="L83" s="19"/>
      <c r="M83" s="19"/>
      <c r="N83" s="19"/>
      <c r="O83" s="19"/>
      <c r="P83" s="19"/>
      <c r="Q83" s="19"/>
      <c r="R83" s="19"/>
      <c r="S83" s="19"/>
      <c r="T83" s="19"/>
      <c r="U83" s="19"/>
      <c r="V83" s="19"/>
      <c r="W83" s="19"/>
      <c r="X83" s="19"/>
      <c r="Y83" s="19"/>
      <c r="Z83" s="19"/>
      <c r="AA83" s="19"/>
      <c r="AB83" s="19"/>
      <c r="AC83" s="19"/>
      <c r="AD83" s="19"/>
      <c r="AE83" s="19"/>
      <c r="AF83" s="19"/>
    </row>
    <row r="84" spans="2:32" ht="12.75">
      <c r="B84" s="49"/>
      <c r="C84" s="5"/>
      <c r="D84" s="5"/>
      <c r="E84" s="5"/>
      <c r="F84" s="5"/>
      <c r="G84" s="5"/>
      <c r="H84" s="3"/>
      <c r="I84" s="6"/>
      <c r="J84" s="19"/>
      <c r="K84" s="19"/>
      <c r="L84" s="19"/>
      <c r="M84" s="19"/>
      <c r="N84" s="19"/>
      <c r="O84" s="19"/>
      <c r="P84" s="19"/>
      <c r="Q84" s="19"/>
      <c r="R84" s="19"/>
      <c r="S84" s="19"/>
      <c r="T84" s="19"/>
      <c r="U84" s="19"/>
      <c r="V84" s="19"/>
      <c r="W84" s="19"/>
      <c r="X84" s="19"/>
      <c r="Y84" s="19"/>
      <c r="Z84" s="19"/>
      <c r="AA84" s="19"/>
      <c r="AB84" s="19"/>
      <c r="AC84" s="19"/>
      <c r="AD84" s="19"/>
      <c r="AE84" s="19"/>
      <c r="AF84" s="19"/>
    </row>
    <row r="85" spans="2:32" ht="12.75">
      <c r="B85" s="49"/>
      <c r="C85" s="5"/>
      <c r="D85" s="5"/>
      <c r="E85" s="5"/>
      <c r="F85" s="5"/>
      <c r="G85" s="5"/>
      <c r="H85" s="3"/>
      <c r="I85" s="6"/>
      <c r="J85" s="19"/>
      <c r="K85" s="19"/>
      <c r="L85" s="19"/>
      <c r="M85" s="19"/>
      <c r="N85" s="19"/>
      <c r="O85" s="19"/>
      <c r="P85" s="19"/>
      <c r="Q85" s="19"/>
      <c r="R85" s="19"/>
      <c r="S85" s="19"/>
      <c r="T85" s="19"/>
      <c r="U85" s="19"/>
      <c r="V85" s="19"/>
      <c r="W85" s="19"/>
      <c r="X85" s="19"/>
      <c r="Y85" s="19"/>
      <c r="Z85" s="19"/>
      <c r="AA85" s="19"/>
      <c r="AB85" s="19"/>
      <c r="AC85" s="19"/>
      <c r="AD85" s="19"/>
      <c r="AE85" s="19"/>
      <c r="AF85" s="19"/>
    </row>
    <row r="86" spans="2:32" ht="12.75">
      <c r="B86" s="49"/>
      <c r="C86" s="5"/>
      <c r="D86" s="5"/>
      <c r="E86" s="5"/>
      <c r="F86" s="5"/>
      <c r="G86" s="5"/>
      <c r="H86" s="3"/>
      <c r="I86" s="6"/>
      <c r="J86" s="19"/>
      <c r="K86" s="19"/>
      <c r="L86" s="19"/>
      <c r="M86" s="19"/>
      <c r="N86" s="19"/>
      <c r="O86" s="19"/>
      <c r="P86" s="19"/>
      <c r="Q86" s="19"/>
      <c r="R86" s="19"/>
      <c r="S86" s="19"/>
      <c r="T86" s="19"/>
      <c r="U86" s="19"/>
      <c r="V86" s="19"/>
      <c r="W86" s="19"/>
      <c r="X86" s="19"/>
      <c r="Y86" s="19"/>
      <c r="Z86" s="19"/>
      <c r="AA86" s="19"/>
      <c r="AB86" s="19"/>
      <c r="AC86" s="19"/>
      <c r="AD86" s="19"/>
      <c r="AE86" s="19"/>
      <c r="AF86" s="19"/>
    </row>
    <row r="87" spans="2:32" ht="12.75">
      <c r="B87" s="49"/>
      <c r="C87" s="5"/>
      <c r="D87" s="5"/>
      <c r="E87" s="5"/>
      <c r="F87" s="5"/>
      <c r="G87" s="5"/>
      <c r="H87" s="3"/>
      <c r="I87" s="6"/>
      <c r="J87" s="19"/>
      <c r="K87" s="19"/>
      <c r="L87" s="19"/>
      <c r="M87" s="19"/>
      <c r="N87" s="19"/>
      <c r="O87" s="19"/>
      <c r="P87" s="19"/>
      <c r="Q87" s="19"/>
      <c r="R87" s="19"/>
      <c r="S87" s="19"/>
      <c r="T87" s="19"/>
      <c r="U87" s="19"/>
      <c r="V87" s="19"/>
      <c r="W87" s="19"/>
      <c r="X87" s="19"/>
      <c r="Y87" s="19"/>
      <c r="Z87" s="19"/>
      <c r="AA87" s="19"/>
      <c r="AB87" s="19"/>
      <c r="AC87" s="19"/>
      <c r="AD87" s="19"/>
      <c r="AE87" s="19"/>
      <c r="AF87" s="19"/>
    </row>
    <row r="88" spans="2:32" ht="12.75">
      <c r="B88" s="49"/>
      <c r="C88" s="5"/>
      <c r="D88" s="5"/>
      <c r="E88" s="5"/>
      <c r="F88" s="5"/>
      <c r="G88" s="5"/>
      <c r="H88" s="3"/>
      <c r="I88" s="6"/>
      <c r="J88" s="19"/>
      <c r="K88" s="19"/>
      <c r="L88" s="19"/>
      <c r="M88" s="19"/>
      <c r="N88" s="19"/>
      <c r="O88" s="19"/>
      <c r="P88" s="19"/>
      <c r="Q88" s="19"/>
      <c r="R88" s="19"/>
      <c r="S88" s="19"/>
      <c r="T88" s="19"/>
      <c r="U88" s="19"/>
      <c r="V88" s="19"/>
      <c r="W88" s="19"/>
      <c r="X88" s="19"/>
      <c r="Y88" s="19"/>
      <c r="Z88" s="19"/>
      <c r="AA88" s="19"/>
      <c r="AB88" s="19"/>
      <c r="AC88" s="19"/>
      <c r="AD88" s="19"/>
      <c r="AE88" s="19"/>
      <c r="AF88" s="19"/>
    </row>
    <row r="89" spans="2:32" ht="12.75">
      <c r="B89" s="49"/>
      <c r="C89" s="5"/>
      <c r="D89" s="5"/>
      <c r="E89" s="5"/>
      <c r="F89" s="5"/>
      <c r="G89" s="5"/>
      <c r="H89" s="3"/>
      <c r="I89" s="6"/>
      <c r="J89" s="19"/>
      <c r="K89" s="19"/>
      <c r="L89" s="19"/>
      <c r="M89" s="19"/>
      <c r="N89" s="19"/>
      <c r="O89" s="19"/>
      <c r="P89" s="19"/>
      <c r="Q89" s="19"/>
      <c r="R89" s="19"/>
      <c r="S89" s="19"/>
      <c r="T89" s="19"/>
      <c r="U89" s="19"/>
      <c r="V89" s="19"/>
      <c r="W89" s="19"/>
      <c r="X89" s="19"/>
      <c r="Y89" s="19"/>
      <c r="Z89" s="19"/>
      <c r="AA89" s="19"/>
      <c r="AB89" s="19"/>
      <c r="AC89" s="19"/>
      <c r="AD89" s="19"/>
      <c r="AE89" s="19"/>
      <c r="AF89" s="19"/>
    </row>
    <row r="90" spans="2:32" ht="12.75">
      <c r="B90" s="49"/>
      <c r="C90" s="5"/>
      <c r="D90" s="5"/>
      <c r="E90" s="5"/>
      <c r="F90" s="5"/>
      <c r="G90" s="5"/>
      <c r="H90" s="3"/>
      <c r="I90" s="6"/>
      <c r="J90" s="19"/>
      <c r="K90" s="19"/>
      <c r="L90" s="19"/>
      <c r="M90" s="19"/>
      <c r="N90" s="19"/>
      <c r="O90" s="19"/>
      <c r="P90" s="19"/>
      <c r="Q90" s="19"/>
      <c r="R90" s="19"/>
      <c r="S90" s="19"/>
      <c r="T90" s="19"/>
      <c r="U90" s="19"/>
      <c r="V90" s="19"/>
      <c r="W90" s="19"/>
      <c r="X90" s="19"/>
      <c r="Y90" s="19"/>
      <c r="Z90" s="19"/>
      <c r="AA90" s="19"/>
      <c r="AB90" s="19"/>
      <c r="AC90" s="19"/>
      <c r="AD90" s="19"/>
      <c r="AE90" s="19"/>
      <c r="AF90" s="19"/>
    </row>
    <row r="91" spans="2:32" ht="12.75">
      <c r="B91" s="49"/>
      <c r="C91" s="5"/>
      <c r="D91" s="5"/>
      <c r="E91" s="5"/>
      <c r="F91" s="5"/>
      <c r="G91" s="5"/>
      <c r="H91" s="3"/>
      <c r="I91" s="6"/>
      <c r="J91" s="19"/>
      <c r="K91" s="19"/>
      <c r="L91" s="19"/>
      <c r="M91" s="19"/>
      <c r="N91" s="19"/>
      <c r="O91" s="19"/>
      <c r="P91" s="19"/>
      <c r="Q91" s="19"/>
      <c r="R91" s="19"/>
      <c r="S91" s="19"/>
      <c r="T91" s="19"/>
      <c r="U91" s="19"/>
      <c r="V91" s="19"/>
      <c r="W91" s="19"/>
      <c r="X91" s="19"/>
      <c r="Y91" s="19"/>
      <c r="Z91" s="19"/>
      <c r="AA91" s="19"/>
      <c r="AB91" s="19"/>
      <c r="AC91" s="19"/>
      <c r="AD91" s="19"/>
      <c r="AE91" s="19"/>
      <c r="AF91" s="19"/>
    </row>
    <row r="92" spans="2:32" ht="12.75">
      <c r="B92" s="49"/>
      <c r="C92" s="5"/>
      <c r="D92" s="5"/>
      <c r="E92" s="5"/>
      <c r="F92" s="5"/>
      <c r="G92" s="5"/>
      <c r="H92" s="3"/>
      <c r="I92" s="6"/>
      <c r="J92" s="19"/>
      <c r="K92" s="19"/>
      <c r="L92" s="19"/>
      <c r="M92" s="19"/>
      <c r="N92" s="19"/>
      <c r="O92" s="19"/>
      <c r="P92" s="19"/>
      <c r="Q92" s="19"/>
      <c r="R92" s="19"/>
      <c r="S92" s="19"/>
      <c r="T92" s="19"/>
      <c r="U92" s="19"/>
      <c r="V92" s="19"/>
      <c r="W92" s="19"/>
      <c r="X92" s="19"/>
      <c r="Y92" s="19"/>
      <c r="Z92" s="19"/>
      <c r="AA92" s="19"/>
      <c r="AB92" s="19"/>
      <c r="AC92" s="19"/>
      <c r="AD92" s="19"/>
      <c r="AE92" s="19"/>
      <c r="AF92" s="19"/>
    </row>
    <row r="93" spans="2:32" ht="12.75">
      <c r="B93" s="49"/>
      <c r="C93" s="5"/>
      <c r="D93" s="5"/>
      <c r="E93" s="5"/>
      <c r="F93" s="5"/>
      <c r="G93" s="5"/>
      <c r="H93" s="3"/>
      <c r="I93" s="6"/>
      <c r="J93" s="19"/>
      <c r="K93" s="19"/>
      <c r="L93" s="19"/>
      <c r="M93" s="19"/>
      <c r="N93" s="19"/>
      <c r="O93" s="19"/>
      <c r="P93" s="19"/>
      <c r="Q93" s="19"/>
      <c r="R93" s="19"/>
      <c r="S93" s="19"/>
      <c r="T93" s="19"/>
      <c r="U93" s="19"/>
      <c r="V93" s="19"/>
      <c r="W93" s="19"/>
      <c r="X93" s="19"/>
      <c r="Y93" s="19"/>
      <c r="Z93" s="19"/>
      <c r="AA93" s="19"/>
      <c r="AB93" s="19"/>
      <c r="AC93" s="19"/>
      <c r="AD93" s="19"/>
      <c r="AE93" s="19"/>
      <c r="AF93" s="19"/>
    </row>
    <row r="94" spans="2:32" ht="12.75">
      <c r="B94" s="49"/>
      <c r="C94" s="5"/>
      <c r="D94" s="5"/>
      <c r="E94" s="5"/>
      <c r="F94" s="5"/>
      <c r="G94" s="5"/>
      <c r="H94" s="3"/>
      <c r="I94" s="6"/>
      <c r="J94" s="19"/>
      <c r="K94" s="19"/>
      <c r="L94" s="19"/>
      <c r="M94" s="19"/>
      <c r="N94" s="19"/>
      <c r="O94" s="19"/>
      <c r="P94" s="19"/>
      <c r="Q94" s="19"/>
      <c r="R94" s="19"/>
      <c r="S94" s="19"/>
      <c r="T94" s="19"/>
      <c r="U94" s="19"/>
      <c r="V94" s="19"/>
      <c r="W94" s="19"/>
      <c r="X94" s="19"/>
      <c r="Y94" s="19"/>
      <c r="Z94" s="19"/>
      <c r="AA94" s="19"/>
      <c r="AB94" s="19"/>
      <c r="AC94" s="19"/>
      <c r="AD94" s="19"/>
      <c r="AE94" s="19"/>
      <c r="AF94" s="19"/>
    </row>
    <row r="95" spans="2:32" ht="12.75">
      <c r="B95" s="49"/>
      <c r="C95" s="5"/>
      <c r="D95" s="5"/>
      <c r="E95" s="5"/>
      <c r="F95" s="5"/>
      <c r="G95" s="5"/>
      <c r="H95" s="3"/>
      <c r="I95" s="6"/>
      <c r="J95" s="19"/>
      <c r="K95" s="19"/>
      <c r="L95" s="19"/>
      <c r="M95" s="19"/>
      <c r="N95" s="19"/>
      <c r="O95" s="19"/>
      <c r="P95" s="19"/>
      <c r="Q95" s="19"/>
      <c r="R95" s="19"/>
      <c r="S95" s="19"/>
      <c r="T95" s="19"/>
      <c r="U95" s="19"/>
      <c r="V95" s="19"/>
      <c r="W95" s="19"/>
      <c r="X95" s="19"/>
      <c r="Y95" s="19"/>
      <c r="Z95" s="19"/>
      <c r="AA95" s="19"/>
      <c r="AB95" s="19"/>
      <c r="AC95" s="19"/>
      <c r="AD95" s="19"/>
      <c r="AE95" s="19"/>
      <c r="AF95" s="19"/>
    </row>
    <row r="96" spans="2:32" ht="12.75">
      <c r="B96" s="49"/>
      <c r="C96" s="5"/>
      <c r="D96" s="5"/>
      <c r="E96" s="5"/>
      <c r="F96" s="5"/>
      <c r="G96" s="5"/>
      <c r="H96" s="3"/>
      <c r="I96" s="6"/>
      <c r="J96" s="19"/>
      <c r="K96" s="19"/>
      <c r="L96" s="19"/>
      <c r="M96" s="19"/>
      <c r="N96" s="19"/>
      <c r="O96" s="19"/>
      <c r="P96" s="19"/>
      <c r="Q96" s="19"/>
      <c r="R96" s="19"/>
      <c r="S96" s="19"/>
      <c r="T96" s="19"/>
      <c r="U96" s="19"/>
      <c r="V96" s="19"/>
      <c r="W96" s="19"/>
      <c r="X96" s="19"/>
      <c r="Y96" s="19"/>
      <c r="Z96" s="19"/>
      <c r="AA96" s="19"/>
      <c r="AB96" s="19"/>
      <c r="AC96" s="19"/>
      <c r="AD96" s="19"/>
      <c r="AE96" s="19"/>
      <c r="AF96" s="19"/>
    </row>
    <row r="97" spans="2:32" ht="12.75">
      <c r="B97" s="49"/>
      <c r="C97" s="5"/>
      <c r="D97" s="5"/>
      <c r="E97" s="5"/>
      <c r="F97" s="5"/>
      <c r="G97" s="5"/>
      <c r="H97" s="3"/>
      <c r="I97" s="6"/>
      <c r="J97" s="19"/>
      <c r="K97" s="19"/>
      <c r="L97" s="19"/>
      <c r="M97" s="19"/>
      <c r="N97" s="19"/>
      <c r="O97" s="19"/>
      <c r="P97" s="19"/>
      <c r="Q97" s="19"/>
      <c r="R97" s="19"/>
      <c r="S97" s="19"/>
      <c r="T97" s="19"/>
      <c r="U97" s="19"/>
      <c r="V97" s="19"/>
      <c r="W97" s="19"/>
      <c r="X97" s="19"/>
      <c r="Y97" s="19"/>
      <c r="Z97" s="19"/>
      <c r="AA97" s="19"/>
      <c r="AB97" s="19"/>
      <c r="AC97" s="19"/>
      <c r="AD97" s="19"/>
      <c r="AE97" s="19"/>
      <c r="AF97" s="19"/>
    </row>
    <row r="98" spans="2:32" ht="12.75">
      <c r="B98" s="49"/>
      <c r="C98" s="5"/>
      <c r="D98" s="5"/>
      <c r="E98" s="5"/>
      <c r="F98" s="5"/>
      <c r="G98" s="5"/>
      <c r="H98" s="3"/>
      <c r="I98" s="6"/>
      <c r="J98" s="19"/>
      <c r="K98" s="19"/>
      <c r="L98" s="19"/>
      <c r="M98" s="19"/>
      <c r="N98" s="19"/>
      <c r="O98" s="19"/>
      <c r="P98" s="19"/>
      <c r="Q98" s="19"/>
      <c r="R98" s="19"/>
      <c r="S98" s="19"/>
      <c r="T98" s="19"/>
      <c r="U98" s="19"/>
      <c r="V98" s="19"/>
      <c r="W98" s="19"/>
      <c r="X98" s="19"/>
      <c r="Y98" s="19"/>
      <c r="Z98" s="19"/>
      <c r="AA98" s="19"/>
      <c r="AB98" s="19"/>
      <c r="AC98" s="19"/>
      <c r="AD98" s="19"/>
      <c r="AE98" s="19"/>
      <c r="AF98" s="19"/>
    </row>
    <row r="99" spans="2:32" ht="12.75">
      <c r="B99" s="49"/>
      <c r="C99" s="5"/>
      <c r="D99" s="5"/>
      <c r="E99" s="5"/>
      <c r="F99" s="5"/>
      <c r="G99" s="5"/>
      <c r="H99" s="3"/>
      <c r="I99" s="6"/>
      <c r="J99" s="19"/>
      <c r="K99" s="19"/>
      <c r="L99" s="19"/>
      <c r="M99" s="19"/>
      <c r="N99" s="19"/>
      <c r="O99" s="19"/>
      <c r="P99" s="19"/>
      <c r="Q99" s="19"/>
      <c r="R99" s="19"/>
      <c r="S99" s="19"/>
      <c r="T99" s="19"/>
      <c r="U99" s="19"/>
      <c r="V99" s="19"/>
      <c r="W99" s="19"/>
      <c r="X99" s="19"/>
      <c r="Y99" s="19"/>
      <c r="Z99" s="19"/>
      <c r="AA99" s="19"/>
      <c r="AB99" s="19"/>
      <c r="AC99" s="19"/>
      <c r="AD99" s="19"/>
      <c r="AE99" s="19"/>
      <c r="AF99" s="19"/>
    </row>
    <row r="100" spans="2:32" ht="12.75">
      <c r="B100" s="49"/>
      <c r="C100" s="5"/>
      <c r="D100" s="5"/>
      <c r="E100" s="5"/>
      <c r="F100" s="5"/>
      <c r="G100" s="5"/>
      <c r="H100" s="3"/>
      <c r="I100" s="6"/>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row>
    <row r="101" spans="2:32" ht="12.75">
      <c r="B101" s="49"/>
      <c r="C101" s="5"/>
      <c r="D101" s="5"/>
      <c r="E101" s="5"/>
      <c r="F101" s="5"/>
      <c r="G101" s="5"/>
      <c r="H101" s="3"/>
      <c r="I101" s="6"/>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row>
    <row r="102" spans="2:32" ht="12.75">
      <c r="B102" s="49"/>
      <c r="C102" s="5"/>
      <c r="D102" s="5"/>
      <c r="E102" s="5"/>
      <c r="F102" s="5"/>
      <c r="G102" s="5"/>
      <c r="H102" s="3"/>
      <c r="I102" s="6"/>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row>
    <row r="103" spans="2:32" ht="12.75">
      <c r="B103" s="49"/>
      <c r="C103" s="5"/>
      <c r="D103" s="5"/>
      <c r="E103" s="5"/>
      <c r="F103" s="5"/>
      <c r="G103" s="5"/>
      <c r="H103" s="3"/>
      <c r="I103" s="6"/>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spans="2:32" ht="12.75">
      <c r="B104" s="49"/>
      <c r="C104" s="5"/>
      <c r="D104" s="5"/>
      <c r="E104" s="5"/>
      <c r="F104" s="5"/>
      <c r="G104" s="5"/>
      <c r="H104" s="3"/>
      <c r="I104" s="6"/>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row>
    <row r="105" spans="2:32" ht="12.75">
      <c r="B105" s="49"/>
      <c r="C105" s="5"/>
      <c r="D105" s="5"/>
      <c r="E105" s="5"/>
      <c r="F105" s="5"/>
      <c r="G105" s="5"/>
      <c r="H105" s="3"/>
      <c r="I105" s="6"/>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row>
    <row r="106" spans="2:32" ht="12.75">
      <c r="B106" s="49"/>
      <c r="C106" s="5"/>
      <c r="D106" s="5"/>
      <c r="E106" s="5"/>
      <c r="F106" s="5"/>
      <c r="G106" s="5"/>
      <c r="H106" s="3"/>
      <c r="I106" s="6"/>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row>
    <row r="107" spans="2:32" ht="12.75">
      <c r="B107" s="49"/>
      <c r="C107" s="5"/>
      <c r="D107" s="5"/>
      <c r="E107" s="5"/>
      <c r="F107" s="5"/>
      <c r="G107" s="5"/>
      <c r="H107" s="3"/>
      <c r="I107" s="6"/>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row>
    <row r="108" spans="2:32" ht="12.75">
      <c r="B108" s="49"/>
      <c r="C108" s="5"/>
      <c r="D108" s="5"/>
      <c r="E108" s="5"/>
      <c r="F108" s="5"/>
      <c r="G108" s="5"/>
      <c r="H108" s="3"/>
      <c r="I108" s="6"/>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row>
    <row r="109" spans="2:32" ht="12.75">
      <c r="B109" s="49"/>
      <c r="C109" s="5"/>
      <c r="D109" s="5"/>
      <c r="E109" s="5"/>
      <c r="F109" s="5"/>
      <c r="G109" s="5"/>
      <c r="H109" s="3"/>
      <c r="I109" s="6"/>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row>
    <row r="110" spans="2:32" ht="12.75">
      <c r="B110" s="49"/>
      <c r="C110" s="5"/>
      <c r="D110" s="5"/>
      <c r="E110" s="5"/>
      <c r="F110" s="5"/>
      <c r="G110" s="5"/>
      <c r="H110" s="3"/>
      <c r="I110" s="6"/>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row>
    <row r="111" spans="2:32" ht="12.75">
      <c r="B111" s="49"/>
      <c r="C111" s="5"/>
      <c r="D111" s="5"/>
      <c r="E111" s="5"/>
      <c r="F111" s="5"/>
      <c r="G111" s="5"/>
      <c r="H111" s="3"/>
      <c r="I111" s="6"/>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row>
    <row r="112" spans="2:32" ht="12.75">
      <c r="B112" s="49"/>
      <c r="C112" s="5"/>
      <c r="D112" s="5"/>
      <c r="E112" s="5"/>
      <c r="F112" s="5"/>
      <c r="G112" s="5"/>
      <c r="H112" s="3"/>
      <c r="I112" s="6"/>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row>
    <row r="113" spans="2:32" ht="12.75">
      <c r="B113" s="49"/>
      <c r="C113" s="5"/>
      <c r="D113" s="5"/>
      <c r="E113" s="5"/>
      <c r="F113" s="5"/>
      <c r="G113" s="5"/>
      <c r="H113" s="3"/>
      <c r="I113" s="6"/>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row>
    <row r="114" spans="2:32" ht="12.75">
      <c r="B114" s="49"/>
      <c r="C114" s="5"/>
      <c r="D114" s="5"/>
      <c r="E114" s="5"/>
      <c r="F114" s="5"/>
      <c r="G114" s="5"/>
      <c r="H114" s="3"/>
      <c r="I114" s="6"/>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row>
    <row r="115" spans="2:32" ht="12.75">
      <c r="B115" s="49"/>
      <c r="C115" s="5"/>
      <c r="D115" s="5"/>
      <c r="E115" s="5"/>
      <c r="F115" s="5"/>
      <c r="G115" s="5"/>
      <c r="H115" s="3"/>
      <c r="I115" s="6"/>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row>
    <row r="116" spans="2:32" ht="12.75">
      <c r="B116" s="49"/>
      <c r="C116" s="5"/>
      <c r="D116" s="5"/>
      <c r="E116" s="5"/>
      <c r="F116" s="5"/>
      <c r="G116" s="5"/>
      <c r="H116" s="3"/>
      <c r="I116" s="6"/>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row>
    <row r="117" spans="2:32" ht="12.75">
      <c r="B117" s="49"/>
      <c r="C117" s="5"/>
      <c r="D117" s="5"/>
      <c r="E117" s="5"/>
      <c r="F117" s="5"/>
      <c r="G117" s="5"/>
      <c r="H117" s="3"/>
      <c r="I117" s="6"/>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row>
    <row r="118" spans="2:32" ht="12.75">
      <c r="B118" s="49"/>
      <c r="C118" s="5"/>
      <c r="D118" s="5"/>
      <c r="E118" s="5"/>
      <c r="F118" s="5"/>
      <c r="G118" s="5"/>
      <c r="H118" s="3"/>
      <c r="I118" s="6"/>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row>
    <row r="119" spans="2:32" ht="12.75">
      <c r="B119" s="49"/>
      <c r="C119" s="5"/>
      <c r="D119" s="5"/>
      <c r="E119" s="5"/>
      <c r="F119" s="5"/>
      <c r="G119" s="5"/>
      <c r="H119" s="3"/>
      <c r="I119" s="6"/>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row>
    <row r="120" spans="2:32" ht="12.75">
      <c r="B120" s="49"/>
      <c r="C120" s="5"/>
      <c r="D120" s="5"/>
      <c r="E120" s="5"/>
      <c r="F120" s="5"/>
      <c r="G120" s="5"/>
      <c r="H120" s="3"/>
      <c r="I120" s="6"/>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row>
    <row r="121" spans="2:32" ht="12.75">
      <c r="B121" s="49"/>
      <c r="C121" s="5"/>
      <c r="D121" s="5"/>
      <c r="E121" s="5"/>
      <c r="F121" s="5"/>
      <c r="G121" s="5"/>
      <c r="H121" s="3"/>
      <c r="I121" s="6"/>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row>
    <row r="122" spans="2:32" ht="12.75">
      <c r="B122" s="49"/>
      <c r="C122" s="5"/>
      <c r="D122" s="5"/>
      <c r="E122" s="5"/>
      <c r="F122" s="5"/>
      <c r="G122" s="5"/>
      <c r="H122" s="3"/>
      <c r="I122" s="6"/>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row>
    <row r="123" spans="2:32" ht="12.75">
      <c r="B123" s="49"/>
      <c r="C123" s="5"/>
      <c r="D123" s="5"/>
      <c r="E123" s="5"/>
      <c r="F123" s="5"/>
      <c r="G123" s="5"/>
      <c r="H123" s="3"/>
      <c r="I123" s="6"/>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row>
    <row r="124" spans="2:32" ht="12.75">
      <c r="B124" s="49"/>
      <c r="C124" s="5"/>
      <c r="D124" s="5"/>
      <c r="E124" s="5"/>
      <c r="F124" s="5"/>
      <c r="G124" s="5"/>
      <c r="H124" s="3"/>
      <c r="I124" s="6"/>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row>
    <row r="125" spans="2:32" ht="12.75">
      <c r="B125" s="49"/>
      <c r="C125" s="5"/>
      <c r="D125" s="5"/>
      <c r="E125" s="5"/>
      <c r="F125" s="5"/>
      <c r="G125" s="5"/>
      <c r="H125" s="3"/>
      <c r="I125" s="6"/>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row>
    <row r="126" spans="2:32" ht="12.75">
      <c r="B126" s="49"/>
      <c r="C126" s="5"/>
      <c r="D126" s="5"/>
      <c r="E126" s="5"/>
      <c r="F126" s="5"/>
      <c r="G126" s="5"/>
      <c r="H126" s="3"/>
      <c r="I126" s="6"/>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row>
    <row r="127" spans="2:32" ht="12.75">
      <c r="B127" s="49"/>
      <c r="C127" s="5"/>
      <c r="D127" s="5"/>
      <c r="E127" s="5"/>
      <c r="F127" s="5"/>
      <c r="G127" s="5"/>
      <c r="H127" s="3"/>
      <c r="I127" s="6"/>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row>
    <row r="128" spans="2:32" ht="12.75">
      <c r="B128" s="49"/>
      <c r="C128" s="5"/>
      <c r="D128" s="5"/>
      <c r="E128" s="5"/>
      <c r="F128" s="5"/>
      <c r="G128" s="5"/>
      <c r="H128" s="3"/>
      <c r="I128" s="6"/>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row>
    <row r="129" spans="2:32" ht="12.75">
      <c r="B129" s="49"/>
      <c r="C129" s="5"/>
      <c r="D129" s="5"/>
      <c r="E129" s="5"/>
      <c r="F129" s="5"/>
      <c r="G129" s="5"/>
      <c r="H129" s="3"/>
      <c r="I129" s="6"/>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row>
    <row r="130" spans="2:32" ht="12.75">
      <c r="B130" s="49"/>
      <c r="C130" s="5"/>
      <c r="D130" s="5"/>
      <c r="E130" s="5"/>
      <c r="F130" s="5"/>
      <c r="G130" s="5"/>
      <c r="H130" s="3"/>
      <c r="I130" s="6"/>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row>
    <row r="131" spans="2:32" ht="12.75">
      <c r="B131" s="49"/>
      <c r="C131" s="5"/>
      <c r="D131" s="5"/>
      <c r="E131" s="5"/>
      <c r="F131" s="5"/>
      <c r="G131" s="5"/>
      <c r="H131" s="3"/>
      <c r="I131" s="6"/>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row>
    <row r="132" spans="2:32" ht="12.75">
      <c r="B132" s="49"/>
      <c r="C132" s="5"/>
      <c r="D132" s="5"/>
      <c r="E132" s="5"/>
      <c r="F132" s="5"/>
      <c r="G132" s="5"/>
      <c r="H132" s="3"/>
      <c r="I132" s="6"/>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row>
    <row r="133" spans="2:32" ht="12.75">
      <c r="B133" s="49"/>
      <c r="C133" s="5"/>
      <c r="D133" s="5"/>
      <c r="E133" s="5"/>
      <c r="F133" s="5"/>
      <c r="G133" s="5"/>
      <c r="H133" s="3"/>
      <c r="I133" s="6"/>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row>
    <row r="134" spans="2:32" ht="12.75">
      <c r="B134" s="49"/>
      <c r="C134" s="5"/>
      <c r="D134" s="5"/>
      <c r="E134" s="5"/>
      <c r="F134" s="5"/>
      <c r="G134" s="5"/>
      <c r="H134" s="3"/>
      <c r="I134" s="6"/>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row>
    <row r="135" spans="2:32" ht="12.75">
      <c r="B135" s="49"/>
      <c r="C135" s="5"/>
      <c r="D135" s="5"/>
      <c r="E135" s="5"/>
      <c r="F135" s="5"/>
      <c r="G135" s="5"/>
      <c r="H135" s="3"/>
      <c r="I135" s="6"/>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row>
    <row r="136" spans="2:32" ht="12.75">
      <c r="B136" s="49"/>
      <c r="C136" s="5"/>
      <c r="D136" s="5"/>
      <c r="E136" s="5"/>
      <c r="F136" s="5"/>
      <c r="G136" s="5"/>
      <c r="H136" s="3"/>
      <c r="I136" s="6"/>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row>
    <row r="137" spans="2:32" ht="12.75">
      <c r="B137" s="49"/>
      <c r="C137" s="5"/>
      <c r="D137" s="5"/>
      <c r="E137" s="5"/>
      <c r="F137" s="5"/>
      <c r="G137" s="5"/>
      <c r="H137" s="3"/>
      <c r="I137" s="6"/>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row>
    <row r="138" spans="2:32" ht="12.75">
      <c r="B138" s="49"/>
      <c r="C138" s="5"/>
      <c r="D138" s="5"/>
      <c r="E138" s="5"/>
      <c r="F138" s="5"/>
      <c r="G138" s="5"/>
      <c r="H138" s="3"/>
      <c r="I138" s="6"/>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row>
    <row r="139" spans="2:32" ht="12.75">
      <c r="B139" s="49"/>
      <c r="C139" s="5"/>
      <c r="D139" s="5"/>
      <c r="E139" s="5"/>
      <c r="F139" s="5"/>
      <c r="G139" s="5"/>
      <c r="H139" s="3"/>
      <c r="I139" s="6"/>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row>
    <row r="140" spans="2:32" ht="12.75">
      <c r="B140" s="49"/>
      <c r="C140" s="5"/>
      <c r="D140" s="5"/>
      <c r="E140" s="5"/>
      <c r="F140" s="5"/>
      <c r="G140" s="5"/>
      <c r="H140" s="3"/>
      <c r="I140" s="6"/>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row>
    <row r="141" spans="2:32" ht="12.75">
      <c r="B141" s="49"/>
      <c r="C141" s="5"/>
      <c r="D141" s="5"/>
      <c r="E141" s="5"/>
      <c r="F141" s="5"/>
      <c r="G141" s="5"/>
      <c r="H141" s="3"/>
      <c r="I141" s="6"/>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row>
    <row r="142" spans="2:32" ht="12.75">
      <c r="B142" s="49"/>
      <c r="C142" s="5"/>
      <c r="D142" s="5"/>
      <c r="E142" s="5"/>
      <c r="F142" s="5"/>
      <c r="G142" s="5"/>
      <c r="H142" s="3"/>
      <c r="I142" s="6"/>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row>
    <row r="143" spans="2:32" ht="12.75">
      <c r="B143" s="49"/>
      <c r="C143" s="5"/>
      <c r="D143" s="5"/>
      <c r="E143" s="5"/>
      <c r="F143" s="5"/>
      <c r="G143" s="5"/>
      <c r="H143" s="3"/>
      <c r="I143" s="6"/>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row>
    <row r="144" spans="2:32" ht="12.75">
      <c r="B144" s="49"/>
      <c r="C144" s="5"/>
      <c r="D144" s="5"/>
      <c r="E144" s="5"/>
      <c r="F144" s="5"/>
      <c r="G144" s="5"/>
      <c r="H144" s="3"/>
      <c r="I144" s="6"/>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row>
    <row r="145" spans="2:32" ht="12.75">
      <c r="B145" s="49"/>
      <c r="C145" s="5"/>
      <c r="D145" s="5"/>
      <c r="E145" s="5"/>
      <c r="F145" s="5"/>
      <c r="G145" s="5"/>
      <c r="H145" s="3"/>
      <c r="I145" s="6"/>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row>
    <row r="146" spans="2:32" ht="12.75">
      <c r="B146" s="49"/>
      <c r="C146" s="5"/>
      <c r="D146" s="5"/>
      <c r="E146" s="5"/>
      <c r="F146" s="5"/>
      <c r="G146" s="5"/>
      <c r="H146" s="3"/>
      <c r="I146" s="6"/>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row>
    <row r="147" spans="2:32" ht="12.75">
      <c r="B147" s="49"/>
      <c r="C147" s="5"/>
      <c r="D147" s="5"/>
      <c r="E147" s="5"/>
      <c r="F147" s="5"/>
      <c r="G147" s="5"/>
      <c r="H147" s="3"/>
      <c r="I147" s="6"/>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row>
    <row r="148" spans="2:32" ht="12.75">
      <c r="B148" s="49"/>
      <c r="C148" s="5"/>
      <c r="D148" s="5"/>
      <c r="E148" s="5"/>
      <c r="F148" s="5"/>
      <c r="G148" s="5"/>
      <c r="H148" s="3"/>
      <c r="I148" s="6"/>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row>
    <row r="149" spans="2:32" ht="12.75">
      <c r="B149" s="49"/>
      <c r="C149" s="5"/>
      <c r="D149" s="5"/>
      <c r="E149" s="5"/>
      <c r="F149" s="5"/>
      <c r="G149" s="5"/>
      <c r="H149" s="3"/>
      <c r="I149" s="6"/>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row>
    <row r="150" spans="2:32" ht="12.75">
      <c r="B150" s="49"/>
      <c r="C150" s="5"/>
      <c r="D150" s="5"/>
      <c r="E150" s="5"/>
      <c r="F150" s="5"/>
      <c r="G150" s="5"/>
      <c r="H150" s="3"/>
      <c r="I150" s="6"/>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row>
    <row r="151" spans="2:32" ht="12.75">
      <c r="B151" s="49"/>
      <c r="C151" s="5"/>
      <c r="D151" s="5"/>
      <c r="E151" s="5"/>
      <c r="F151" s="5"/>
      <c r="G151" s="5"/>
      <c r="H151" s="3"/>
      <c r="I151" s="6"/>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row>
    <row r="152" spans="2:32" ht="12.75">
      <c r="B152" s="49"/>
      <c r="C152" s="5"/>
      <c r="D152" s="5"/>
      <c r="E152" s="5"/>
      <c r="F152" s="5"/>
      <c r="G152" s="5"/>
      <c r="H152" s="3"/>
      <c r="I152" s="6"/>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row>
    <row r="153" spans="2:32" ht="12.75">
      <c r="B153" s="49"/>
      <c r="C153" s="5"/>
      <c r="D153" s="5"/>
      <c r="E153" s="5"/>
      <c r="F153" s="5"/>
      <c r="G153" s="5"/>
      <c r="H153" s="3"/>
      <c r="I153" s="6"/>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row>
    <row r="154" spans="2:32" ht="12.75">
      <c r="B154" s="49"/>
      <c r="C154" s="5"/>
      <c r="D154" s="5"/>
      <c r="E154" s="5"/>
      <c r="F154" s="5"/>
      <c r="G154" s="5"/>
      <c r="H154" s="3"/>
      <c r="I154" s="6"/>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row>
    <row r="155" spans="2:32" ht="12.75">
      <c r="B155" s="49"/>
      <c r="C155" s="5"/>
      <c r="D155" s="5"/>
      <c r="E155" s="5"/>
      <c r="F155" s="5"/>
      <c r="G155" s="5"/>
      <c r="H155" s="3"/>
      <c r="I155" s="6"/>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row>
    <row r="156" spans="2:32" ht="12.75">
      <c r="B156" s="49"/>
      <c r="C156" s="5"/>
      <c r="D156" s="5"/>
      <c r="E156" s="5"/>
      <c r="F156" s="5"/>
      <c r="G156" s="5"/>
      <c r="H156" s="3"/>
      <c r="I156" s="6"/>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row>
    <row r="157" spans="2:32" ht="12.75">
      <c r="B157" s="49"/>
      <c r="C157" s="5"/>
      <c r="D157" s="5"/>
      <c r="E157" s="5"/>
      <c r="F157" s="5"/>
      <c r="G157" s="5"/>
      <c r="H157" s="3"/>
      <c r="I157" s="6"/>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row>
    <row r="158" spans="2:32" ht="12.75">
      <c r="B158" s="49"/>
      <c r="C158" s="5"/>
      <c r="D158" s="5"/>
      <c r="E158" s="5"/>
      <c r="F158" s="5"/>
      <c r="G158" s="5"/>
      <c r="H158" s="3"/>
      <c r="I158" s="6"/>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row>
    <row r="159" spans="2:32" ht="12.75">
      <c r="B159" s="49"/>
      <c r="C159" s="5"/>
      <c r="D159" s="5"/>
      <c r="E159" s="5"/>
      <c r="F159" s="5"/>
      <c r="G159" s="5"/>
      <c r="H159" s="3"/>
      <c r="I159" s="6"/>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row>
    <row r="160" spans="2:32" ht="12.75">
      <c r="B160" s="49"/>
      <c r="C160" s="5"/>
      <c r="D160" s="5"/>
      <c r="E160" s="5"/>
      <c r="F160" s="5"/>
      <c r="G160" s="5"/>
      <c r="H160" s="3"/>
      <c r="I160" s="6"/>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row>
    <row r="161" spans="2:32" ht="12.75">
      <c r="B161" s="49"/>
      <c r="C161" s="5"/>
      <c r="D161" s="5"/>
      <c r="E161" s="5"/>
      <c r="F161" s="5"/>
      <c r="G161" s="5"/>
      <c r="H161" s="3"/>
      <c r="I161" s="6"/>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row>
    <row r="162" spans="2:32" ht="12.75">
      <c r="B162" s="49"/>
      <c r="C162" s="5"/>
      <c r="D162" s="5"/>
      <c r="E162" s="5"/>
      <c r="F162" s="5"/>
      <c r="G162" s="5"/>
      <c r="H162" s="3"/>
      <c r="I162" s="6"/>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row>
    <row r="163" spans="2:32" ht="12.75">
      <c r="B163" s="49"/>
      <c r="C163" s="5"/>
      <c r="D163" s="5"/>
      <c r="E163" s="5"/>
      <c r="F163" s="5"/>
      <c r="G163" s="5"/>
      <c r="H163" s="3"/>
      <c r="I163" s="6"/>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row>
    <row r="164" spans="2:32" ht="12.75">
      <c r="B164" s="49"/>
      <c r="C164" s="5"/>
      <c r="D164" s="5"/>
      <c r="E164" s="5"/>
      <c r="F164" s="5"/>
      <c r="G164" s="5"/>
      <c r="H164" s="3"/>
      <c r="I164" s="6"/>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row>
    <row r="165" spans="2:32" ht="12.75">
      <c r="B165" s="49"/>
      <c r="C165" s="5"/>
      <c r="D165" s="5"/>
      <c r="E165" s="5"/>
      <c r="F165" s="5"/>
      <c r="G165" s="5"/>
      <c r="H165" s="3"/>
      <c r="I165" s="6"/>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row>
    <row r="166" spans="2:32" ht="12.75">
      <c r="B166" s="49"/>
      <c r="C166" s="5"/>
      <c r="D166" s="5"/>
      <c r="E166" s="5"/>
      <c r="F166" s="5"/>
      <c r="G166" s="5"/>
      <c r="H166" s="3"/>
      <c r="I166" s="6"/>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row>
    <row r="167" spans="2:32" ht="12.75">
      <c r="B167" s="49"/>
      <c r="C167" s="5"/>
      <c r="D167" s="5"/>
      <c r="E167" s="5"/>
      <c r="F167" s="5"/>
      <c r="G167" s="5"/>
      <c r="H167" s="3"/>
      <c r="I167" s="6"/>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row>
    <row r="168" spans="2:32" ht="12.75">
      <c r="B168" s="49"/>
      <c r="C168" s="5"/>
      <c r="D168" s="5"/>
      <c r="E168" s="5"/>
      <c r="F168" s="5"/>
      <c r="G168" s="5"/>
      <c r="H168" s="3"/>
      <c r="I168" s="6"/>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row>
    <row r="169" spans="2:32" ht="12.75">
      <c r="B169" s="49"/>
      <c r="C169" s="5"/>
      <c r="D169" s="5"/>
      <c r="E169" s="5"/>
      <c r="F169" s="5"/>
      <c r="G169" s="5"/>
      <c r="H169" s="3"/>
      <c r="I169" s="6"/>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row>
    <row r="170" spans="2:32" ht="12.75">
      <c r="B170" s="49"/>
      <c r="C170" s="5"/>
      <c r="D170" s="5"/>
      <c r="E170" s="5"/>
      <c r="F170" s="5"/>
      <c r="G170" s="5"/>
      <c r="H170" s="3"/>
      <c r="I170" s="6"/>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row>
    <row r="171" spans="2:32" ht="12.75">
      <c r="B171" s="49"/>
      <c r="C171" s="5"/>
      <c r="D171" s="5"/>
      <c r="E171" s="5"/>
      <c r="F171" s="5"/>
      <c r="G171" s="5"/>
      <c r="H171" s="3"/>
      <c r="I171" s="6"/>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row>
    <row r="172" spans="2:32" ht="12.75">
      <c r="B172" s="49"/>
      <c r="C172" s="5"/>
      <c r="D172" s="5"/>
      <c r="E172" s="5"/>
      <c r="F172" s="5"/>
      <c r="G172" s="5"/>
      <c r="H172" s="3"/>
      <c r="I172" s="6"/>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row>
    <row r="173" spans="2:32" ht="12.75">
      <c r="B173" s="49"/>
      <c r="C173" s="5"/>
      <c r="D173" s="5"/>
      <c r="E173" s="5"/>
      <c r="F173" s="5"/>
      <c r="G173" s="5"/>
      <c r="H173" s="3"/>
      <c r="I173" s="6"/>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row>
    <row r="174" spans="2:32" ht="12.75">
      <c r="B174" s="49"/>
      <c r="C174" s="5"/>
      <c r="D174" s="5"/>
      <c r="E174" s="5"/>
      <c r="F174" s="5"/>
      <c r="G174" s="5"/>
      <c r="H174" s="3"/>
      <c r="I174" s="6"/>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row>
    <row r="175" spans="2:32" ht="12.75">
      <c r="B175" s="49"/>
      <c r="C175" s="5"/>
      <c r="D175" s="5"/>
      <c r="E175" s="5"/>
      <c r="F175" s="5"/>
      <c r="G175" s="5"/>
      <c r="H175" s="3"/>
      <c r="I175" s="6"/>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row>
    <row r="176" spans="2:32" ht="12.75">
      <c r="B176" s="49"/>
      <c r="C176" s="5"/>
      <c r="D176" s="5"/>
      <c r="E176" s="5"/>
      <c r="F176" s="5"/>
      <c r="G176" s="5"/>
      <c r="H176" s="3"/>
      <c r="I176" s="6"/>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row>
    <row r="177" spans="2:32" ht="12.75">
      <c r="B177" s="49"/>
      <c r="C177" s="5"/>
      <c r="D177" s="5"/>
      <c r="E177" s="5"/>
      <c r="F177" s="5"/>
      <c r="G177" s="5"/>
      <c r="H177" s="3"/>
      <c r="I177" s="6"/>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row>
    <row r="178" spans="2:32" ht="12.75">
      <c r="B178" s="49"/>
      <c r="C178" s="5"/>
      <c r="D178" s="5"/>
      <c r="E178" s="5"/>
      <c r="F178" s="5"/>
      <c r="G178" s="5"/>
      <c r="H178" s="3"/>
      <c r="I178" s="6"/>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row>
    <row r="179" spans="2:32" ht="12.75">
      <c r="B179" s="49"/>
      <c r="C179" s="5"/>
      <c r="D179" s="5"/>
      <c r="E179" s="5"/>
      <c r="F179" s="5"/>
      <c r="G179" s="5"/>
      <c r="H179" s="3"/>
      <c r="I179" s="6"/>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row>
    <row r="180" spans="2:32" ht="12.75">
      <c r="B180" s="49"/>
      <c r="C180" s="5"/>
      <c r="D180" s="5"/>
      <c r="E180" s="5"/>
      <c r="F180" s="5"/>
      <c r="G180" s="5"/>
      <c r="H180" s="3"/>
      <c r="I180" s="6"/>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row>
    <row r="181" spans="2:32" ht="12.75">
      <c r="B181" s="49"/>
      <c r="C181" s="5"/>
      <c r="D181" s="5"/>
      <c r="E181" s="5"/>
      <c r="F181" s="5"/>
      <c r="G181" s="5"/>
      <c r="H181" s="3"/>
      <c r="I181" s="6"/>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row>
    <row r="182" spans="2:32" ht="12.75">
      <c r="B182" s="49"/>
      <c r="C182" s="5"/>
      <c r="D182" s="5"/>
      <c r="E182" s="5"/>
      <c r="F182" s="5"/>
      <c r="G182" s="5"/>
      <c r="H182" s="3"/>
      <c r="I182" s="6"/>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row>
    <row r="183" spans="2:32" ht="12.75">
      <c r="B183" s="49"/>
      <c r="C183" s="5"/>
      <c r="D183" s="5"/>
      <c r="E183" s="5"/>
      <c r="F183" s="5"/>
      <c r="G183" s="5"/>
      <c r="H183" s="3"/>
      <c r="I183" s="6"/>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row>
    <row r="184" spans="2:32" ht="12.75">
      <c r="B184" s="49"/>
      <c r="C184" s="5"/>
      <c r="D184" s="5"/>
      <c r="E184" s="5"/>
      <c r="F184" s="5"/>
      <c r="G184" s="5"/>
      <c r="H184" s="3"/>
      <c r="I184" s="6"/>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row>
    <row r="185" spans="2:32" ht="12.75">
      <c r="B185" s="49"/>
      <c r="C185" s="5"/>
      <c r="D185" s="5"/>
      <c r="E185" s="5"/>
      <c r="F185" s="5"/>
      <c r="G185" s="5"/>
      <c r="H185" s="3"/>
      <c r="I185" s="6"/>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row>
    <row r="186" spans="2:32" ht="12.75">
      <c r="B186" s="49"/>
      <c r="C186" s="5"/>
      <c r="D186" s="5"/>
      <c r="E186" s="5"/>
      <c r="F186" s="5"/>
      <c r="G186" s="5"/>
      <c r="H186" s="3"/>
      <c r="I186" s="6"/>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row>
    <row r="187" spans="2:32" ht="12.75">
      <c r="B187" s="49"/>
      <c r="C187" s="5"/>
      <c r="D187" s="5"/>
      <c r="E187" s="5"/>
      <c r="F187" s="5"/>
      <c r="G187" s="5"/>
      <c r="H187" s="3"/>
      <c r="I187" s="6"/>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row>
    <row r="188" spans="2:32" ht="12.75">
      <c r="B188" s="49"/>
      <c r="C188" s="5"/>
      <c r="D188" s="5"/>
      <c r="E188" s="5"/>
      <c r="F188" s="5"/>
      <c r="G188" s="5"/>
      <c r="H188" s="3"/>
      <c r="I188" s="6"/>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row>
    <row r="189" spans="2:32" ht="12.75">
      <c r="B189" s="49"/>
      <c r="C189" s="5"/>
      <c r="D189" s="5"/>
      <c r="E189" s="5"/>
      <c r="F189" s="5"/>
      <c r="G189" s="5"/>
      <c r="H189" s="3"/>
      <c r="I189" s="6"/>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row>
    <row r="190" spans="2:32" ht="12.75">
      <c r="B190" s="49"/>
      <c r="C190" s="5"/>
      <c r="D190" s="5"/>
      <c r="E190" s="5"/>
      <c r="F190" s="5"/>
      <c r="G190" s="5"/>
      <c r="H190" s="3"/>
      <c r="I190" s="6"/>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row>
    <row r="191" spans="2:32" ht="12.75">
      <c r="B191" s="49"/>
      <c r="C191" s="5"/>
      <c r="D191" s="5"/>
      <c r="E191" s="5"/>
      <c r="F191" s="5"/>
      <c r="G191" s="5"/>
      <c r="H191" s="3"/>
      <c r="I191" s="6"/>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row>
    <row r="192" spans="2:32" ht="12.75">
      <c r="B192" s="49"/>
      <c r="C192" s="5"/>
      <c r="D192" s="5"/>
      <c r="E192" s="5"/>
      <c r="F192" s="5"/>
      <c r="G192" s="5"/>
      <c r="H192" s="3"/>
      <c r="I192" s="6"/>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row>
    <row r="193" spans="2:32" ht="12.75">
      <c r="B193" s="49"/>
      <c r="C193" s="5"/>
      <c r="D193" s="5"/>
      <c r="E193" s="5"/>
      <c r="F193" s="5"/>
      <c r="G193" s="5"/>
      <c r="H193" s="3"/>
      <c r="I193" s="6"/>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row>
    <row r="194" spans="2:32" ht="12.75">
      <c r="B194" s="49"/>
      <c r="C194" s="5"/>
      <c r="D194" s="5"/>
      <c r="E194" s="5"/>
      <c r="F194" s="5"/>
      <c r="G194" s="5"/>
      <c r="H194" s="3"/>
      <c r="I194" s="6"/>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row>
    <row r="195" spans="2:32" ht="12.75">
      <c r="B195" s="49"/>
      <c r="C195" s="5"/>
      <c r="D195" s="5"/>
      <c r="E195" s="5"/>
      <c r="F195" s="5"/>
      <c r="G195" s="5"/>
      <c r="H195" s="3"/>
      <c r="I195" s="6"/>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row>
    <row r="196" spans="2:32" ht="12.75">
      <c r="B196" s="49"/>
      <c r="C196" s="5"/>
      <c r="D196" s="5"/>
      <c r="E196" s="5"/>
      <c r="F196" s="5"/>
      <c r="G196" s="5"/>
      <c r="H196" s="3"/>
      <c r="I196" s="6"/>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row>
    <row r="197" spans="2:32" ht="12.75">
      <c r="B197" s="49"/>
      <c r="C197" s="5"/>
      <c r="D197" s="5"/>
      <c r="E197" s="5"/>
      <c r="F197" s="5"/>
      <c r="G197" s="5"/>
      <c r="H197" s="3"/>
      <c r="I197" s="6"/>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row>
    <row r="198" spans="2:32" ht="12.75">
      <c r="B198" s="49"/>
      <c r="C198" s="5"/>
      <c r="D198" s="5"/>
      <c r="E198" s="5"/>
      <c r="F198" s="5"/>
      <c r="G198" s="5"/>
      <c r="H198" s="3"/>
      <c r="I198" s="6"/>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row>
    <row r="199" spans="2:32" ht="12.75">
      <c r="B199" s="49"/>
      <c r="C199" s="5"/>
      <c r="D199" s="5"/>
      <c r="E199" s="5"/>
      <c r="F199" s="5"/>
      <c r="G199" s="5"/>
      <c r="H199" s="3"/>
      <c r="I199" s="6"/>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row>
    <row r="200" spans="2:32" ht="12.75">
      <c r="B200" s="49"/>
      <c r="C200" s="5"/>
      <c r="D200" s="5"/>
      <c r="E200" s="5"/>
      <c r="F200" s="5"/>
      <c r="G200" s="5"/>
      <c r="H200" s="3"/>
      <c r="I200" s="6"/>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row>
    <row r="201" spans="2:32" ht="12.75">
      <c r="B201" s="49"/>
      <c r="C201" s="5"/>
      <c r="D201" s="5"/>
      <c r="E201" s="5"/>
      <c r="F201" s="5"/>
      <c r="G201" s="5"/>
      <c r="H201" s="3"/>
      <c r="I201" s="6"/>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row>
    <row r="202" spans="2:32" ht="12.75">
      <c r="B202" s="49"/>
      <c r="C202" s="5"/>
      <c r="D202" s="5"/>
      <c r="E202" s="5"/>
      <c r="F202" s="5"/>
      <c r="G202" s="5"/>
      <c r="H202" s="3"/>
      <c r="I202" s="6"/>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row>
    <row r="203" spans="2:32" ht="12.75">
      <c r="B203" s="49"/>
      <c r="C203" s="5"/>
      <c r="D203" s="5"/>
      <c r="E203" s="5"/>
      <c r="F203" s="5"/>
      <c r="G203" s="5"/>
      <c r="H203" s="3"/>
      <c r="I203" s="6"/>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row>
    <row r="204" spans="2:32" ht="12.75">
      <c r="B204" s="49"/>
      <c r="C204" s="5"/>
      <c r="D204" s="5"/>
      <c r="E204" s="5"/>
      <c r="F204" s="5"/>
      <c r="G204" s="5"/>
      <c r="H204" s="3"/>
      <c r="I204" s="6"/>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row>
    <row r="205" spans="2:32" ht="12.75">
      <c r="B205" s="49"/>
      <c r="C205" s="5"/>
      <c r="D205" s="5"/>
      <c r="E205" s="5"/>
      <c r="F205" s="5"/>
      <c r="G205" s="5"/>
      <c r="H205" s="3"/>
      <c r="I205" s="6"/>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row>
    <row r="206" spans="2:32" ht="12.75">
      <c r="B206" s="49"/>
      <c r="C206" s="5"/>
      <c r="D206" s="5"/>
      <c r="E206" s="5"/>
      <c r="F206" s="5"/>
      <c r="G206" s="5"/>
      <c r="H206" s="3"/>
      <c r="I206" s="6"/>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row>
    <row r="207" spans="2:32" ht="12.75">
      <c r="B207" s="49"/>
      <c r="C207" s="5"/>
      <c r="D207" s="5"/>
      <c r="E207" s="5"/>
      <c r="F207" s="5"/>
      <c r="G207" s="5"/>
      <c r="H207" s="3"/>
      <c r="I207" s="6"/>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row>
    <row r="208" spans="2:32" ht="12.75">
      <c r="B208" s="49"/>
      <c r="C208" s="5"/>
      <c r="D208" s="5"/>
      <c r="E208" s="5"/>
      <c r="F208" s="5"/>
      <c r="G208" s="5"/>
      <c r="H208" s="3"/>
      <c r="I208" s="6"/>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row>
    <row r="209" spans="2:32" ht="12.75">
      <c r="B209" s="49"/>
      <c r="C209" s="5"/>
      <c r="D209" s="5"/>
      <c r="E209" s="5"/>
      <c r="F209" s="5"/>
      <c r="G209" s="5"/>
      <c r="H209" s="3"/>
      <c r="I209" s="6"/>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row>
    <row r="210" spans="2:32" ht="12.75">
      <c r="B210" s="49"/>
      <c r="C210" s="5"/>
      <c r="D210" s="5"/>
      <c r="E210" s="5"/>
      <c r="F210" s="5"/>
      <c r="G210" s="5"/>
      <c r="H210" s="3"/>
      <c r="I210" s="6"/>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row>
    <row r="211" spans="2:32" ht="12.75">
      <c r="B211" s="49"/>
      <c r="C211" s="5"/>
      <c r="D211" s="5"/>
      <c r="E211" s="5"/>
      <c r="F211" s="5"/>
      <c r="G211" s="5"/>
      <c r="H211" s="3"/>
      <c r="I211" s="6"/>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row>
    <row r="212" spans="2:32" ht="12.75">
      <c r="B212" s="49"/>
      <c r="C212" s="5"/>
      <c r="D212" s="5"/>
      <c r="E212" s="5"/>
      <c r="F212" s="5"/>
      <c r="G212" s="5"/>
      <c r="H212" s="3"/>
      <c r="I212" s="6"/>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row>
    <row r="213" spans="2:32" ht="12.75">
      <c r="B213" s="49"/>
      <c r="C213" s="5"/>
      <c r="D213" s="5"/>
      <c r="E213" s="5"/>
      <c r="F213" s="5"/>
      <c r="G213" s="5"/>
      <c r="H213" s="3"/>
      <c r="I213" s="6"/>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row>
    <row r="214" spans="2:32" ht="12.75">
      <c r="B214" s="49"/>
      <c r="C214" s="5"/>
      <c r="D214" s="5"/>
      <c r="E214" s="5"/>
      <c r="F214" s="5"/>
      <c r="G214" s="5"/>
      <c r="H214" s="3"/>
      <c r="I214" s="6"/>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row>
    <row r="215" spans="2:32" ht="12.75">
      <c r="B215" s="49"/>
      <c r="C215" s="5"/>
      <c r="D215" s="5"/>
      <c r="E215" s="5"/>
      <c r="F215" s="5"/>
      <c r="G215" s="5"/>
      <c r="H215" s="3"/>
      <c r="I215" s="6"/>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row>
    <row r="216" spans="2:32" ht="12.75">
      <c r="B216" s="49"/>
      <c r="C216" s="5"/>
      <c r="D216" s="5"/>
      <c r="E216" s="5"/>
      <c r="F216" s="5"/>
      <c r="G216" s="5"/>
      <c r="H216" s="3"/>
      <c r="I216" s="6"/>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row>
    <row r="217" spans="2:32" ht="12.75">
      <c r="B217" s="49"/>
      <c r="C217" s="5"/>
      <c r="D217" s="5"/>
      <c r="E217" s="5"/>
      <c r="F217" s="5"/>
      <c r="G217" s="5"/>
      <c r="H217" s="3"/>
      <c r="I217" s="6"/>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row>
    <row r="218" spans="2:32" ht="12.75">
      <c r="B218" s="49"/>
      <c r="C218" s="5"/>
      <c r="D218" s="5"/>
      <c r="E218" s="5"/>
      <c r="F218" s="5"/>
      <c r="G218" s="5"/>
      <c r="H218" s="3"/>
      <c r="I218" s="6"/>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row>
    <row r="219" spans="2:32" ht="12.75">
      <c r="B219" s="49"/>
      <c r="C219" s="5"/>
      <c r="D219" s="5"/>
      <c r="E219" s="5"/>
      <c r="F219" s="5"/>
      <c r="G219" s="5"/>
      <c r="H219" s="3"/>
      <c r="I219" s="6"/>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row>
    <row r="220" spans="2:32" ht="12.75">
      <c r="B220" s="49"/>
      <c r="C220" s="5"/>
      <c r="D220" s="5"/>
      <c r="E220" s="5"/>
      <c r="F220" s="5"/>
      <c r="G220" s="5"/>
      <c r="H220" s="3"/>
      <c r="I220" s="6"/>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row>
    <row r="221" spans="2:32" ht="12.75">
      <c r="B221" s="49"/>
      <c r="C221" s="5"/>
      <c r="D221" s="5"/>
      <c r="E221" s="5"/>
      <c r="F221" s="5"/>
      <c r="G221" s="5"/>
      <c r="H221" s="3"/>
      <c r="I221" s="6"/>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row>
    <row r="222" spans="2:32" ht="12.75">
      <c r="B222" s="49"/>
      <c r="C222" s="5"/>
      <c r="D222" s="5"/>
      <c r="E222" s="5"/>
      <c r="F222" s="5"/>
      <c r="G222" s="5"/>
      <c r="H222" s="3"/>
      <c r="I222" s="6"/>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row>
    <row r="223" spans="2:32" ht="12.75">
      <c r="B223" s="49"/>
      <c r="C223" s="5"/>
      <c r="D223" s="5"/>
      <c r="E223" s="5"/>
      <c r="F223" s="5"/>
      <c r="G223" s="5"/>
      <c r="H223" s="3"/>
      <c r="I223" s="6"/>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row>
    <row r="224" spans="2:32" ht="12.75">
      <c r="B224" s="49"/>
      <c r="C224" s="5"/>
      <c r="D224" s="5"/>
      <c r="E224" s="5"/>
      <c r="F224" s="5"/>
      <c r="G224" s="5"/>
      <c r="H224" s="3"/>
      <c r="I224" s="6"/>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row>
    <row r="225" spans="2:32" ht="12.75">
      <c r="B225" s="49"/>
      <c r="C225" s="5"/>
      <c r="D225" s="5"/>
      <c r="E225" s="5"/>
      <c r="F225" s="5"/>
      <c r="G225" s="5"/>
      <c r="H225" s="3"/>
      <c r="I225" s="6"/>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row>
    <row r="226" spans="2:32" ht="12.75">
      <c r="B226" s="49"/>
      <c r="C226" s="5"/>
      <c r="D226" s="5"/>
      <c r="E226" s="5"/>
      <c r="F226" s="5"/>
      <c r="G226" s="5"/>
      <c r="H226" s="3"/>
      <c r="I226" s="6"/>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row>
    <row r="227" spans="2:32" ht="12.75">
      <c r="B227" s="49"/>
      <c r="C227" s="5"/>
      <c r="D227" s="5"/>
      <c r="E227" s="5"/>
      <c r="F227" s="5"/>
      <c r="G227" s="5"/>
      <c r="H227" s="3"/>
      <c r="I227" s="6"/>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row>
    <row r="228" spans="2:32" ht="12.75">
      <c r="B228" s="49"/>
      <c r="C228" s="5"/>
      <c r="D228" s="5"/>
      <c r="E228" s="5"/>
      <c r="F228" s="5"/>
      <c r="G228" s="5"/>
      <c r="H228" s="3"/>
      <c r="I228" s="6"/>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row>
    <row r="229" spans="2:32" ht="12.75">
      <c r="B229" s="49"/>
      <c r="C229" s="5"/>
      <c r="D229" s="5"/>
      <c r="E229" s="5"/>
      <c r="F229" s="5"/>
      <c r="G229" s="5"/>
      <c r="H229" s="3"/>
      <c r="I229" s="6"/>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row>
    <row r="230" spans="2:32" ht="12.75">
      <c r="B230" s="49"/>
      <c r="C230" s="5"/>
      <c r="D230" s="5"/>
      <c r="E230" s="5"/>
      <c r="F230" s="5"/>
      <c r="G230" s="5"/>
      <c r="H230" s="3"/>
      <c r="I230" s="6"/>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row>
    <row r="231" spans="2:32" ht="12.75">
      <c r="B231" s="49"/>
      <c r="C231" s="5"/>
      <c r="D231" s="5"/>
      <c r="E231" s="5"/>
      <c r="F231" s="5"/>
      <c r="G231" s="5"/>
      <c r="H231" s="3"/>
      <c r="I231" s="6"/>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row>
    <row r="232" spans="2:32" ht="12.75">
      <c r="B232" s="49"/>
      <c r="C232" s="5"/>
      <c r="D232" s="5"/>
      <c r="E232" s="5"/>
      <c r="F232" s="5"/>
      <c r="G232" s="5"/>
      <c r="H232" s="3"/>
      <c r="I232" s="6"/>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row>
    <row r="233" spans="2:32" ht="12.75">
      <c r="B233" s="49"/>
      <c r="C233" s="5"/>
      <c r="D233" s="5"/>
      <c r="E233" s="5"/>
      <c r="F233" s="5"/>
      <c r="G233" s="5"/>
      <c r="H233" s="3"/>
      <c r="I233" s="6"/>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row>
    <row r="234" spans="2:32" ht="12.75">
      <c r="B234" s="49"/>
      <c r="C234" s="5"/>
      <c r="D234" s="5"/>
      <c r="E234" s="5"/>
      <c r="F234" s="5"/>
      <c r="G234" s="5"/>
      <c r="H234" s="3"/>
      <c r="I234" s="6"/>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row>
    <row r="235" spans="2:32" ht="12.75">
      <c r="B235" s="49"/>
      <c r="C235" s="5"/>
      <c r="D235" s="5"/>
      <c r="E235" s="5"/>
      <c r="F235" s="5"/>
      <c r="G235" s="5"/>
      <c r="H235" s="3"/>
      <c r="I235" s="6"/>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row>
    <row r="236" spans="2:32" ht="12.75">
      <c r="B236" s="49"/>
      <c r="C236" s="5"/>
      <c r="D236" s="5"/>
      <c r="E236" s="5"/>
      <c r="F236" s="5"/>
      <c r="G236" s="5"/>
      <c r="H236" s="3"/>
      <c r="I236" s="6"/>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row>
    <row r="237" spans="2:32" ht="12.75">
      <c r="B237" s="49"/>
      <c r="C237" s="5"/>
      <c r="D237" s="5"/>
      <c r="E237" s="5"/>
      <c r="F237" s="5"/>
      <c r="G237" s="5"/>
      <c r="H237" s="3"/>
      <c r="I237" s="6"/>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row>
    <row r="238" spans="2:32" ht="12.75">
      <c r="B238" s="49"/>
      <c r="C238" s="5"/>
      <c r="D238" s="5"/>
      <c r="E238" s="5"/>
      <c r="F238" s="5"/>
      <c r="G238" s="5"/>
      <c r="H238" s="3"/>
      <c r="I238" s="6"/>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row>
    <row r="239" spans="2:32" ht="12.75">
      <c r="B239" s="49"/>
      <c r="C239" s="5"/>
      <c r="D239" s="5"/>
      <c r="E239" s="5"/>
      <c r="F239" s="5"/>
      <c r="G239" s="5"/>
      <c r="H239" s="3"/>
      <c r="I239" s="6"/>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row>
    <row r="240" spans="2:32" ht="12.75">
      <c r="B240" s="49"/>
      <c r="C240" s="5"/>
      <c r="D240" s="5"/>
      <c r="E240" s="5"/>
      <c r="F240" s="5"/>
      <c r="G240" s="5"/>
      <c r="H240" s="3"/>
      <c r="I240" s="6"/>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row>
    <row r="241" spans="2:32" ht="12.75">
      <c r="B241" s="49"/>
      <c r="C241" s="5"/>
      <c r="D241" s="5"/>
      <c r="E241" s="5"/>
      <c r="F241" s="5"/>
      <c r="G241" s="5"/>
      <c r="H241" s="3"/>
      <c r="I241" s="6"/>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row>
    <row r="242" spans="2:32" ht="12.75">
      <c r="B242" s="49"/>
      <c r="C242" s="5"/>
      <c r="D242" s="5"/>
      <c r="E242" s="5"/>
      <c r="F242" s="5"/>
      <c r="G242" s="5"/>
      <c r="H242" s="3"/>
      <c r="I242" s="6"/>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row>
    <row r="243" spans="2:32" ht="12.75">
      <c r="B243" s="49"/>
      <c r="C243" s="5"/>
      <c r="D243" s="5"/>
      <c r="E243" s="5"/>
      <c r="F243" s="5"/>
      <c r="G243" s="5"/>
      <c r="H243" s="3"/>
      <c r="I243" s="6"/>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row>
    <row r="244" spans="2:32" ht="12.75">
      <c r="B244" s="49"/>
      <c r="C244" s="5"/>
      <c r="D244" s="5"/>
      <c r="E244" s="5"/>
      <c r="F244" s="5"/>
      <c r="G244" s="5"/>
      <c r="H244" s="3"/>
      <c r="I244" s="6"/>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row>
    <row r="245" spans="2:32" ht="12.75">
      <c r="B245" s="49"/>
      <c r="C245" s="5"/>
      <c r="D245" s="5"/>
      <c r="E245" s="5"/>
      <c r="F245" s="5"/>
      <c r="G245" s="5"/>
      <c r="H245" s="3"/>
      <c r="I245" s="6"/>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row>
    <row r="246" spans="2:32" ht="12.75">
      <c r="B246" s="49"/>
      <c r="C246" s="5"/>
      <c r="D246" s="5"/>
      <c r="E246" s="5"/>
      <c r="F246" s="5"/>
      <c r="G246" s="5"/>
      <c r="H246" s="3"/>
      <c r="I246" s="6"/>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row>
    <row r="247" spans="2:32" ht="12.75">
      <c r="B247" s="49"/>
      <c r="C247" s="5"/>
      <c r="D247" s="5"/>
      <c r="E247" s="5"/>
      <c r="F247" s="5"/>
      <c r="G247" s="5"/>
      <c r="H247" s="3"/>
      <c r="I247" s="6"/>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row>
    <row r="248" spans="2:32" ht="12.75">
      <c r="B248" s="49"/>
      <c r="C248" s="5"/>
      <c r="D248" s="5"/>
      <c r="E248" s="5"/>
      <c r="F248" s="5"/>
      <c r="G248" s="5"/>
      <c r="H248" s="3"/>
      <c r="I248" s="6"/>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row>
    <row r="249" spans="2:32" ht="12.75">
      <c r="B249" s="49"/>
      <c r="C249" s="5"/>
      <c r="D249" s="5"/>
      <c r="E249" s="5"/>
      <c r="F249" s="5"/>
      <c r="G249" s="5"/>
      <c r="H249" s="3"/>
      <c r="I249" s="6"/>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row>
    <row r="250" spans="2:32" ht="12.75">
      <c r="B250" s="49"/>
      <c r="C250" s="5"/>
      <c r="D250" s="5"/>
      <c r="E250" s="5"/>
      <c r="F250" s="5"/>
      <c r="G250" s="5"/>
      <c r="H250" s="3"/>
      <c r="I250" s="6"/>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row>
    <row r="251" spans="2:32" ht="12.75">
      <c r="B251" s="49"/>
      <c r="C251" s="5"/>
      <c r="D251" s="5"/>
      <c r="E251" s="5"/>
      <c r="F251" s="5"/>
      <c r="G251" s="5"/>
      <c r="H251" s="3"/>
      <c r="I251" s="6"/>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row>
    <row r="252" spans="2:32" ht="12.75">
      <c r="B252" s="49"/>
      <c r="C252" s="5"/>
      <c r="D252" s="5"/>
      <c r="E252" s="5"/>
      <c r="F252" s="5"/>
      <c r="G252" s="5"/>
      <c r="H252" s="3"/>
      <c r="I252" s="6"/>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row>
    <row r="253" spans="2:32" ht="12.75">
      <c r="B253" s="49"/>
      <c r="C253" s="5"/>
      <c r="D253" s="5"/>
      <c r="E253" s="5"/>
      <c r="F253" s="5"/>
      <c r="G253" s="5"/>
      <c r="H253" s="3"/>
      <c r="I253" s="6"/>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row>
    <row r="254" spans="2:32" ht="12.75">
      <c r="B254" s="49"/>
      <c r="C254" s="5"/>
      <c r="D254" s="5"/>
      <c r="E254" s="5"/>
      <c r="F254" s="5"/>
      <c r="G254" s="5"/>
      <c r="H254" s="3"/>
      <c r="I254" s="6"/>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row>
    <row r="255" spans="2:32" ht="12.75">
      <c r="B255" s="49"/>
      <c r="C255" s="5"/>
      <c r="D255" s="5"/>
      <c r="E255" s="5"/>
      <c r="F255" s="5"/>
      <c r="G255" s="5"/>
      <c r="H255" s="3"/>
      <c r="I255" s="6"/>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row>
    <row r="256" spans="2:32" ht="12.75">
      <c r="B256" s="49"/>
      <c r="C256" s="5"/>
      <c r="D256" s="5"/>
      <c r="E256" s="5"/>
      <c r="F256" s="5"/>
      <c r="G256" s="5"/>
      <c r="H256" s="3"/>
      <c r="I256" s="6"/>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row>
    <row r="257" spans="2:32" ht="12.75">
      <c r="B257" s="49"/>
      <c r="C257" s="5"/>
      <c r="D257" s="5"/>
      <c r="E257" s="5"/>
      <c r="F257" s="5"/>
      <c r="G257" s="5"/>
      <c r="H257" s="3"/>
      <c r="I257" s="6"/>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row>
    <row r="258" spans="2:32" ht="12.75">
      <c r="B258" s="49"/>
      <c r="C258" s="5"/>
      <c r="D258" s="5"/>
      <c r="E258" s="5"/>
      <c r="F258" s="5"/>
      <c r="G258" s="5"/>
      <c r="H258" s="3"/>
      <c r="I258" s="6"/>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row>
    <row r="259" spans="2:32" ht="12.75">
      <c r="B259" s="49"/>
      <c r="C259" s="5"/>
      <c r="D259" s="5"/>
      <c r="E259" s="5"/>
      <c r="F259" s="5"/>
      <c r="G259" s="5"/>
      <c r="H259" s="3"/>
      <c r="I259" s="6"/>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row>
    <row r="260" spans="2:32" ht="12.75">
      <c r="B260" s="49"/>
      <c r="C260" s="5"/>
      <c r="D260" s="5"/>
      <c r="E260" s="5"/>
      <c r="F260" s="5"/>
      <c r="G260" s="5"/>
      <c r="H260" s="3"/>
      <c r="I260" s="6"/>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row>
    <row r="261" spans="2:32" ht="12.75">
      <c r="B261" s="49"/>
      <c r="C261" s="5"/>
      <c r="D261" s="5"/>
      <c r="E261" s="5"/>
      <c r="F261" s="5"/>
      <c r="G261" s="5"/>
      <c r="H261" s="3"/>
      <c r="I261" s="6"/>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row>
    <row r="262" spans="2:32" ht="12.75">
      <c r="B262" s="49"/>
      <c r="C262" s="5"/>
      <c r="D262" s="5"/>
      <c r="E262" s="5"/>
      <c r="F262" s="5"/>
      <c r="G262" s="5"/>
      <c r="H262" s="3"/>
      <c r="I262" s="6"/>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row>
    <row r="263" spans="2:32" ht="12.75">
      <c r="B263" s="49"/>
      <c r="C263" s="5"/>
      <c r="D263" s="5"/>
      <c r="E263" s="5"/>
      <c r="F263" s="5"/>
      <c r="G263" s="5"/>
      <c r="H263" s="3"/>
      <c r="I263" s="6"/>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row>
    <row r="264" spans="2:32" ht="12.75">
      <c r="B264" s="49"/>
      <c r="C264" s="5"/>
      <c r="D264" s="5"/>
      <c r="E264" s="5"/>
      <c r="F264" s="5"/>
      <c r="G264" s="5"/>
      <c r="H264" s="3"/>
      <c r="I264" s="6"/>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row>
    <row r="265" spans="2:32" ht="12.75">
      <c r="B265" s="49"/>
      <c r="C265" s="5"/>
      <c r="D265" s="5"/>
      <c r="E265" s="5"/>
      <c r="F265" s="5"/>
      <c r="G265" s="5"/>
      <c r="H265" s="3"/>
      <c r="I265" s="6"/>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row>
    <row r="266" spans="2:32" ht="12.75">
      <c r="B266" s="49"/>
      <c r="C266" s="5"/>
      <c r="D266" s="5"/>
      <c r="E266" s="5"/>
      <c r="F266" s="5"/>
      <c r="G266" s="5"/>
      <c r="H266" s="3"/>
      <c r="I266" s="6"/>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row>
    <row r="267" spans="2:32" ht="12.75">
      <c r="B267" s="49"/>
      <c r="C267" s="5"/>
      <c r="D267" s="5"/>
      <c r="E267" s="5"/>
      <c r="F267" s="5"/>
      <c r="G267" s="5"/>
      <c r="H267" s="3"/>
      <c r="I267" s="6"/>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row>
    <row r="268" spans="2:32" ht="12.75">
      <c r="B268" s="49"/>
      <c r="C268" s="5"/>
      <c r="D268" s="5"/>
      <c r="E268" s="5"/>
      <c r="F268" s="5"/>
      <c r="G268" s="5"/>
      <c r="H268" s="3"/>
      <c r="I268" s="6"/>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row>
    <row r="269" spans="2:32" ht="12.75">
      <c r="B269" s="49"/>
      <c r="C269" s="5"/>
      <c r="D269" s="5"/>
      <c r="E269" s="5"/>
      <c r="F269" s="5"/>
      <c r="G269" s="5"/>
      <c r="H269" s="3"/>
      <c r="I269" s="6"/>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row>
    <row r="270" spans="2:32" ht="12.75">
      <c r="B270" s="49"/>
      <c r="C270" s="5"/>
      <c r="D270" s="5"/>
      <c r="E270" s="5"/>
      <c r="F270" s="5"/>
      <c r="G270" s="5"/>
      <c r="H270" s="3"/>
      <c r="I270" s="6"/>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row>
    <row r="271" spans="2:32" ht="12.75">
      <c r="B271" s="49"/>
      <c r="C271" s="5"/>
      <c r="D271" s="5"/>
      <c r="E271" s="5"/>
      <c r="F271" s="5"/>
      <c r="G271" s="5"/>
      <c r="H271" s="3"/>
      <c r="I271" s="6"/>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row>
    <row r="272" spans="2:32" ht="12.75">
      <c r="B272" s="49"/>
      <c r="C272" s="5"/>
      <c r="D272" s="5"/>
      <c r="E272" s="5"/>
      <c r="F272" s="5"/>
      <c r="G272" s="5"/>
      <c r="H272" s="3"/>
      <c r="I272" s="6"/>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row>
    <row r="273" spans="2:32" ht="12.75">
      <c r="B273" s="49"/>
      <c r="C273" s="5"/>
      <c r="D273" s="5"/>
      <c r="E273" s="5"/>
      <c r="F273" s="5"/>
      <c r="G273" s="5"/>
      <c r="H273" s="3"/>
      <c r="I273" s="6"/>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row>
    <row r="274" spans="2:32" ht="12.75">
      <c r="B274" s="49"/>
      <c r="C274" s="5"/>
      <c r="D274" s="5"/>
      <c r="E274" s="5"/>
      <c r="F274" s="5"/>
      <c r="G274" s="5"/>
      <c r="H274" s="3"/>
      <c r="I274" s="6"/>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row>
    <row r="275" spans="2:32" ht="12.75">
      <c r="B275" s="49"/>
      <c r="C275" s="5"/>
      <c r="D275" s="5"/>
      <c r="E275" s="5"/>
      <c r="F275" s="5"/>
      <c r="G275" s="5"/>
      <c r="H275" s="3"/>
      <c r="I275" s="6"/>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row>
    <row r="276" spans="2:32" ht="12.75">
      <c r="B276" s="49"/>
      <c r="C276" s="5"/>
      <c r="D276" s="5"/>
      <c r="E276" s="5"/>
      <c r="F276" s="5"/>
      <c r="G276" s="5"/>
      <c r="H276" s="3"/>
      <c r="I276" s="6"/>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row>
    <row r="277" spans="2:32" ht="12.75">
      <c r="B277" s="49"/>
      <c r="C277" s="5"/>
      <c r="D277" s="5"/>
      <c r="E277" s="5"/>
      <c r="F277" s="5"/>
      <c r="G277" s="5"/>
      <c r="H277" s="3"/>
      <c r="I277" s="6"/>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row>
    <row r="278" spans="2:32" ht="12.75">
      <c r="B278" s="49"/>
      <c r="C278" s="5"/>
      <c r="D278" s="5"/>
      <c r="E278" s="5"/>
      <c r="F278" s="5"/>
      <c r="G278" s="5"/>
      <c r="H278" s="3"/>
      <c r="I278" s="6"/>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row>
    <row r="279" spans="2:32" ht="12.75">
      <c r="B279" s="49"/>
      <c r="C279" s="5"/>
      <c r="D279" s="5"/>
      <c r="E279" s="5"/>
      <c r="F279" s="5"/>
      <c r="G279" s="5"/>
      <c r="H279" s="3"/>
      <c r="I279" s="6"/>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row>
    <row r="280" spans="2:32" ht="12.75">
      <c r="B280" s="49"/>
      <c r="C280" s="5"/>
      <c r="D280" s="5"/>
      <c r="E280" s="5"/>
      <c r="F280" s="5"/>
      <c r="G280" s="5"/>
      <c r="H280" s="3"/>
      <c r="I280" s="6"/>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row>
    <row r="281" spans="2:32" ht="12.75">
      <c r="B281" s="49"/>
      <c r="C281" s="5"/>
      <c r="D281" s="5"/>
      <c r="E281" s="5"/>
      <c r="F281" s="5"/>
      <c r="G281" s="5"/>
      <c r="H281" s="3"/>
      <c r="I281" s="6"/>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row>
    <row r="282" spans="2:32" ht="12.75">
      <c r="B282" s="49"/>
      <c r="C282" s="5"/>
      <c r="D282" s="5"/>
      <c r="E282" s="5"/>
      <c r="F282" s="5"/>
      <c r="G282" s="5"/>
      <c r="H282" s="3"/>
      <c r="I282" s="6"/>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row>
    <row r="283" spans="2:32" ht="12.75">
      <c r="B283" s="49"/>
      <c r="C283" s="5"/>
      <c r="D283" s="5"/>
      <c r="E283" s="5"/>
      <c r="F283" s="5"/>
      <c r="G283" s="5"/>
      <c r="H283" s="3"/>
      <c r="I283" s="6"/>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row>
    <row r="284" spans="2:32" ht="12.75">
      <c r="B284" s="49"/>
      <c r="C284" s="5"/>
      <c r="D284" s="5"/>
      <c r="E284" s="5"/>
      <c r="F284" s="5"/>
      <c r="G284" s="5"/>
      <c r="H284" s="3"/>
      <c r="I284" s="6"/>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row>
    <row r="285" spans="2:32" ht="12.75">
      <c r="B285" s="49"/>
      <c r="C285" s="5"/>
      <c r="D285" s="5"/>
      <c r="E285" s="5"/>
      <c r="F285" s="5"/>
      <c r="G285" s="5"/>
      <c r="H285" s="3"/>
      <c r="I285" s="6"/>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row>
    <row r="286" spans="2:32" ht="12.75">
      <c r="B286" s="49"/>
      <c r="C286" s="5"/>
      <c r="D286" s="5"/>
      <c r="E286" s="5"/>
      <c r="F286" s="5"/>
      <c r="G286" s="5"/>
      <c r="H286" s="3"/>
      <c r="I286" s="6"/>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row>
    <row r="287" spans="2:32" ht="12.75">
      <c r="B287" s="49"/>
      <c r="C287" s="5"/>
      <c r="D287" s="5"/>
      <c r="E287" s="5"/>
      <c r="F287" s="5"/>
      <c r="G287" s="5"/>
      <c r="H287" s="3"/>
      <c r="I287" s="6"/>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row>
    <row r="288" spans="2:32" ht="12.75">
      <c r="B288" s="49"/>
      <c r="C288" s="5"/>
      <c r="D288" s="5"/>
      <c r="E288" s="5"/>
      <c r="F288" s="5"/>
      <c r="G288" s="5"/>
      <c r="H288" s="3"/>
      <c r="I288" s="6"/>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row>
    <row r="289" spans="2:32" ht="12.75">
      <c r="B289" s="49"/>
      <c r="C289" s="5"/>
      <c r="D289" s="5"/>
      <c r="E289" s="5"/>
      <c r="F289" s="5"/>
      <c r="G289" s="5"/>
      <c r="H289" s="3"/>
      <c r="I289" s="6"/>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row>
    <row r="290" spans="2:32" ht="12.75">
      <c r="B290" s="49"/>
      <c r="C290" s="5"/>
      <c r="D290" s="5"/>
      <c r="E290" s="5"/>
      <c r="F290" s="5"/>
      <c r="G290" s="5"/>
      <c r="H290" s="3"/>
      <c r="I290" s="6"/>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row>
    <row r="291" spans="2:32" ht="12.75">
      <c r="B291" s="49"/>
      <c r="C291" s="5"/>
      <c r="D291" s="5"/>
      <c r="E291" s="5"/>
      <c r="F291" s="5"/>
      <c r="G291" s="5"/>
      <c r="H291" s="3"/>
      <c r="I291" s="6"/>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row>
    <row r="292" spans="2:32" ht="12.75">
      <c r="B292" s="49"/>
      <c r="C292" s="5"/>
      <c r="D292" s="5"/>
      <c r="E292" s="5"/>
      <c r="F292" s="5"/>
      <c r="G292" s="5"/>
      <c r="H292" s="3"/>
      <c r="I292" s="6"/>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row>
    <row r="293" spans="2:32" ht="12.75">
      <c r="B293" s="49"/>
      <c r="C293" s="5"/>
      <c r="D293" s="5"/>
      <c r="E293" s="5"/>
      <c r="F293" s="5"/>
      <c r="G293" s="5"/>
      <c r="H293" s="3"/>
      <c r="I293" s="6"/>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row>
    <row r="294" spans="2:32" ht="12.75">
      <c r="B294" s="49"/>
      <c r="C294" s="5"/>
      <c r="D294" s="5"/>
      <c r="E294" s="5"/>
      <c r="F294" s="5"/>
      <c r="G294" s="5"/>
      <c r="H294" s="3"/>
      <c r="I294" s="6"/>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row>
    <row r="295" spans="2:32" ht="12.75">
      <c r="B295" s="49"/>
      <c r="C295" s="5"/>
      <c r="D295" s="5"/>
      <c r="E295" s="5"/>
      <c r="F295" s="5"/>
      <c r="G295" s="5"/>
      <c r="H295" s="3"/>
      <c r="I295" s="6"/>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row>
    <row r="296" spans="2:32" ht="12.75">
      <c r="B296" s="49"/>
      <c r="C296" s="5"/>
      <c r="D296" s="5"/>
      <c r="E296" s="5"/>
      <c r="F296" s="5"/>
      <c r="G296" s="5"/>
      <c r="H296" s="3"/>
      <c r="I296" s="6"/>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row>
    <row r="297" spans="2:32" ht="12.75">
      <c r="B297" s="49"/>
      <c r="C297" s="5"/>
      <c r="D297" s="5"/>
      <c r="E297" s="5"/>
      <c r="F297" s="5"/>
      <c r="G297" s="5"/>
      <c r="H297" s="3"/>
      <c r="I297" s="6"/>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row>
    <row r="298" spans="2:32" ht="12.75">
      <c r="B298" s="49"/>
      <c r="C298" s="5"/>
      <c r="D298" s="5"/>
      <c r="E298" s="5"/>
      <c r="F298" s="5"/>
      <c r="G298" s="5"/>
      <c r="H298" s="3"/>
      <c r="I298" s="6"/>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row>
    <row r="299" spans="2:32" ht="12.75">
      <c r="B299" s="49"/>
      <c r="C299" s="5"/>
      <c r="D299" s="5"/>
      <c r="E299" s="5"/>
      <c r="F299" s="5"/>
      <c r="G299" s="5"/>
      <c r="H299" s="3"/>
      <c r="I299" s="6"/>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row>
    <row r="300" spans="2:32" ht="12.75">
      <c r="B300" s="49"/>
      <c r="C300" s="5"/>
      <c r="D300" s="5"/>
      <c r="E300" s="5"/>
      <c r="F300" s="5"/>
      <c r="G300" s="5"/>
      <c r="H300" s="3"/>
      <c r="I300" s="6"/>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row>
    <row r="301" spans="2:32" ht="12.75">
      <c r="B301" s="49"/>
      <c r="C301" s="5"/>
      <c r="D301" s="5"/>
      <c r="E301" s="5"/>
      <c r="F301" s="5"/>
      <c r="G301" s="5"/>
      <c r="H301" s="3"/>
      <c r="I301" s="6"/>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row>
    <row r="302" spans="2:32" ht="12.75">
      <c r="B302" s="49"/>
      <c r="C302" s="5"/>
      <c r="D302" s="5"/>
      <c r="E302" s="5"/>
      <c r="F302" s="5"/>
      <c r="G302" s="5"/>
      <c r="H302" s="3"/>
      <c r="I302" s="6"/>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row>
    <row r="303" spans="2:32" ht="12.75">
      <c r="B303" s="49"/>
      <c r="C303" s="5"/>
      <c r="D303" s="5"/>
      <c r="E303" s="5"/>
      <c r="F303" s="5"/>
      <c r="G303" s="5"/>
      <c r="H303" s="3"/>
      <c r="I303" s="6"/>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row>
    <row r="304" spans="2:32" ht="12.75">
      <c r="B304" s="49"/>
      <c r="C304" s="5"/>
      <c r="D304" s="5"/>
      <c r="E304" s="5"/>
      <c r="F304" s="5"/>
      <c r="G304" s="5"/>
      <c r="H304" s="3"/>
      <c r="I304" s="6"/>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row>
    <row r="305" spans="2:32" ht="12.75">
      <c r="B305" s="49"/>
      <c r="C305" s="5"/>
      <c r="D305" s="5"/>
      <c r="E305" s="5"/>
      <c r="F305" s="5"/>
      <c r="G305" s="5"/>
      <c r="H305" s="3"/>
      <c r="I305" s="6"/>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row>
    <row r="306" spans="2:32" ht="12.75">
      <c r="B306" s="49"/>
      <c r="C306" s="5"/>
      <c r="D306" s="5"/>
      <c r="E306" s="5"/>
      <c r="F306" s="5"/>
      <c r="G306" s="5"/>
      <c r="H306" s="3"/>
      <c r="I306" s="6"/>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row>
    <row r="307" spans="2:32" ht="12.75">
      <c r="B307" s="49"/>
      <c r="C307" s="5"/>
      <c r="D307" s="5"/>
      <c r="E307" s="5"/>
      <c r="F307" s="5"/>
      <c r="G307" s="5"/>
      <c r="H307" s="3"/>
      <c r="I307" s="6"/>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2.75">
      <c r="B308" s="49"/>
      <c r="C308" s="5"/>
      <c r="D308" s="5"/>
      <c r="E308" s="5"/>
      <c r="F308" s="5"/>
      <c r="G308" s="5"/>
      <c r="H308" s="3"/>
      <c r="I308" s="6"/>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row>
    <row r="309" spans="2:32" ht="12.75">
      <c r="B309" s="49"/>
      <c r="C309" s="5"/>
      <c r="D309" s="5"/>
      <c r="E309" s="5"/>
      <c r="F309" s="5"/>
      <c r="G309" s="5"/>
      <c r="H309" s="3"/>
      <c r="I309" s="6"/>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spans="2:32" ht="12.75">
      <c r="B310" s="49"/>
      <c r="C310" s="5"/>
      <c r="D310" s="5"/>
      <c r="E310" s="5"/>
      <c r="F310" s="5"/>
      <c r="G310" s="5"/>
      <c r="H310" s="3"/>
      <c r="I310" s="6"/>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spans="2:32" ht="12.75">
      <c r="B311" s="49"/>
      <c r="C311" s="5"/>
      <c r="D311" s="5"/>
      <c r="E311" s="5"/>
      <c r="F311" s="5"/>
      <c r="G311" s="5"/>
      <c r="H311" s="3"/>
      <c r="I311" s="6"/>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row>
    <row r="312" spans="2:32" ht="12.75">
      <c r="B312" s="49"/>
      <c r="C312" s="5"/>
      <c r="D312" s="5"/>
      <c r="E312" s="5"/>
      <c r="F312" s="5"/>
      <c r="G312" s="5"/>
      <c r="H312" s="3"/>
      <c r="I312" s="6"/>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row>
    <row r="313" spans="2:32" ht="12.75">
      <c r="B313" s="49"/>
      <c r="C313" s="5"/>
      <c r="D313" s="5"/>
      <c r="E313" s="5"/>
      <c r="F313" s="5"/>
      <c r="G313" s="5"/>
      <c r="H313" s="3"/>
      <c r="I313" s="6"/>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row>
    <row r="314" spans="2:32" ht="12.75">
      <c r="B314" s="49"/>
      <c r="C314" s="5"/>
      <c r="D314" s="5"/>
      <c r="E314" s="5"/>
      <c r="F314" s="5"/>
      <c r="G314" s="5"/>
      <c r="H314" s="3"/>
      <c r="I314" s="6"/>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row>
    <row r="315" spans="2:32" ht="12.75">
      <c r="B315" s="49"/>
      <c r="C315" s="5"/>
      <c r="D315" s="5"/>
      <c r="E315" s="5"/>
      <c r="F315" s="5"/>
      <c r="G315" s="5"/>
      <c r="H315" s="3"/>
      <c r="I315" s="6"/>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row>
    <row r="316" spans="2:32" ht="12.75">
      <c r="B316" s="49"/>
      <c r="C316" s="5"/>
      <c r="D316" s="5"/>
      <c r="E316" s="5"/>
      <c r="F316" s="5"/>
      <c r="G316" s="5"/>
      <c r="H316" s="3"/>
      <c r="I316" s="6"/>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row>
    <row r="317" spans="2:32" ht="12.75">
      <c r="B317" s="49"/>
      <c r="C317" s="5"/>
      <c r="D317" s="5"/>
      <c r="E317" s="5"/>
      <c r="F317" s="5"/>
      <c r="G317" s="5"/>
      <c r="H317" s="3"/>
      <c r="I317" s="6"/>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row>
    <row r="318" spans="2:32" ht="12.75">
      <c r="B318" s="49"/>
      <c r="C318" s="5"/>
      <c r="D318" s="5"/>
      <c r="E318" s="5"/>
      <c r="F318" s="5"/>
      <c r="G318" s="5"/>
      <c r="H318" s="3"/>
      <c r="I318" s="6"/>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row>
    <row r="319" spans="2:32" ht="12.75">
      <c r="B319" s="49"/>
      <c r="C319" s="5"/>
      <c r="D319" s="5"/>
      <c r="E319" s="5"/>
      <c r="F319" s="5"/>
      <c r="G319" s="5"/>
      <c r="H319" s="3"/>
      <c r="I319" s="6"/>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row>
    <row r="320" spans="2:32" ht="12.75">
      <c r="B320" s="49"/>
      <c r="C320" s="5"/>
      <c r="D320" s="5"/>
      <c r="E320" s="5"/>
      <c r="F320" s="5"/>
      <c r="G320" s="5"/>
      <c r="H320" s="3"/>
      <c r="I320" s="6"/>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row>
    <row r="321" spans="2:32" ht="12.75">
      <c r="B321" s="49"/>
      <c r="C321" s="5"/>
      <c r="D321" s="5"/>
      <c r="E321" s="5"/>
      <c r="F321" s="5"/>
      <c r="G321" s="5"/>
      <c r="H321" s="3"/>
      <c r="I321" s="6"/>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row>
    <row r="322" spans="2:32" ht="12.75">
      <c r="B322" s="49"/>
      <c r="C322" s="5"/>
      <c r="D322" s="5"/>
      <c r="E322" s="5"/>
      <c r="F322" s="5"/>
      <c r="G322" s="5"/>
      <c r="H322" s="3"/>
      <c r="I322" s="6"/>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row>
    <row r="323" spans="2:32" ht="12.75">
      <c r="B323" s="49"/>
      <c r="C323" s="5"/>
      <c r="D323" s="5"/>
      <c r="E323" s="5"/>
      <c r="F323" s="5"/>
      <c r="G323" s="5"/>
      <c r="H323" s="3"/>
      <c r="I323" s="6"/>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row>
    <row r="324" spans="2:32" ht="12.75">
      <c r="B324" s="49"/>
      <c r="C324" s="5"/>
      <c r="D324" s="5"/>
      <c r="E324" s="5"/>
      <c r="F324" s="5"/>
      <c r="G324" s="5"/>
      <c r="H324" s="3"/>
      <c r="I324" s="6"/>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row>
    <row r="325" spans="2:32" ht="12.75">
      <c r="B325" s="49"/>
      <c r="C325" s="5"/>
      <c r="D325" s="5"/>
      <c r="E325" s="5"/>
      <c r="F325" s="5"/>
      <c r="G325" s="5"/>
      <c r="H325" s="3"/>
      <c r="I325" s="6"/>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row>
    <row r="326" spans="2:32" ht="12.75">
      <c r="B326" s="49"/>
      <c r="C326" s="5"/>
      <c r="D326" s="5"/>
      <c r="E326" s="5"/>
      <c r="F326" s="5"/>
      <c r="G326" s="5"/>
      <c r="H326" s="3"/>
      <c r="I326" s="6"/>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row>
    <row r="327" spans="2:32" ht="12.75">
      <c r="B327" s="49"/>
      <c r="C327" s="5"/>
      <c r="D327" s="5"/>
      <c r="E327" s="5"/>
      <c r="F327" s="5"/>
      <c r="G327" s="5"/>
      <c r="H327" s="3"/>
      <c r="I327" s="6"/>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row>
    <row r="328" spans="2:32" ht="12.75">
      <c r="B328" s="49"/>
      <c r="C328" s="5"/>
      <c r="D328" s="5"/>
      <c r="E328" s="5"/>
      <c r="F328" s="5"/>
      <c r="G328" s="5"/>
      <c r="H328" s="3"/>
      <c r="I328" s="6"/>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row>
    <row r="329" spans="2:32" ht="12.75">
      <c r="B329" s="49"/>
      <c r="C329" s="5"/>
      <c r="D329" s="5"/>
      <c r="E329" s="5"/>
      <c r="F329" s="5"/>
      <c r="G329" s="5"/>
      <c r="H329" s="3"/>
      <c r="I329" s="6"/>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row>
    <row r="330" spans="2:32" ht="12.75">
      <c r="B330" s="49"/>
      <c r="C330" s="5"/>
      <c r="D330" s="5"/>
      <c r="E330" s="5"/>
      <c r="F330" s="5"/>
      <c r="G330" s="5"/>
      <c r="H330" s="3"/>
      <c r="I330" s="6"/>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row>
    <row r="331" spans="2:32" ht="12.75">
      <c r="B331" s="49"/>
      <c r="C331" s="5"/>
      <c r="D331" s="5"/>
      <c r="E331" s="5"/>
      <c r="F331" s="5"/>
      <c r="G331" s="5"/>
      <c r="H331" s="3"/>
      <c r="I331" s="6"/>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row>
    <row r="332" spans="2:32" ht="12.75">
      <c r="B332" s="49"/>
      <c r="C332" s="5"/>
      <c r="D332" s="5"/>
      <c r="E332" s="5"/>
      <c r="F332" s="5"/>
      <c r="G332" s="5"/>
      <c r="H332" s="3"/>
      <c r="I332" s="6"/>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row>
    <row r="333" spans="2:32" ht="12.75">
      <c r="B333" s="49"/>
      <c r="C333" s="5"/>
      <c r="D333" s="5"/>
      <c r="E333" s="5"/>
      <c r="F333" s="5"/>
      <c r="G333" s="5"/>
      <c r="H333" s="3"/>
      <c r="I333" s="6"/>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row>
    <row r="334" spans="2:32" ht="12.75">
      <c r="B334" s="49"/>
      <c r="C334" s="5"/>
      <c r="D334" s="5"/>
      <c r="E334" s="5"/>
      <c r="F334" s="5"/>
      <c r="G334" s="5"/>
      <c r="H334" s="3"/>
      <c r="I334" s="6"/>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row>
    <row r="335" spans="2:32" ht="12.75">
      <c r="B335" s="49"/>
      <c r="C335" s="5"/>
      <c r="D335" s="5"/>
      <c r="E335" s="5"/>
      <c r="F335" s="5"/>
      <c r="G335" s="5"/>
      <c r="H335" s="3"/>
      <c r="I335" s="6"/>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row>
    <row r="336" spans="2:32" ht="12.75">
      <c r="B336" s="49"/>
      <c r="C336" s="5"/>
      <c r="D336" s="5"/>
      <c r="E336" s="5"/>
      <c r="F336" s="5"/>
      <c r="G336" s="5"/>
      <c r="H336" s="3"/>
      <c r="I336" s="6"/>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row>
    <row r="337" spans="2:32" ht="12.75">
      <c r="B337" s="49"/>
      <c r="C337" s="5"/>
      <c r="D337" s="5"/>
      <c r="E337" s="5"/>
      <c r="F337" s="5"/>
      <c r="G337" s="5"/>
      <c r="H337" s="3"/>
      <c r="I337" s="6"/>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row>
    <row r="338" spans="2:32" ht="12.75">
      <c r="B338" s="49"/>
      <c r="C338" s="5"/>
      <c r="D338" s="5"/>
      <c r="E338" s="5"/>
      <c r="F338" s="5"/>
      <c r="G338" s="5"/>
      <c r="H338" s="3"/>
      <c r="I338" s="6"/>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row>
    <row r="339" spans="2:32" ht="12.75">
      <c r="B339" s="49"/>
      <c r="C339" s="5"/>
      <c r="D339" s="5"/>
      <c r="E339" s="5"/>
      <c r="F339" s="5"/>
      <c r="G339" s="5"/>
      <c r="H339" s="3"/>
      <c r="I339" s="6"/>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row>
    <row r="340" spans="2:32" ht="12.75">
      <c r="B340" s="49"/>
      <c r="C340" s="5"/>
      <c r="D340" s="5"/>
      <c r="E340" s="5"/>
      <c r="F340" s="5"/>
      <c r="G340" s="5"/>
      <c r="H340" s="3"/>
      <c r="I340" s="6"/>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row>
    <row r="341" spans="2:32" ht="12.75">
      <c r="B341" s="49"/>
      <c r="C341" s="5"/>
      <c r="D341" s="5"/>
      <c r="E341" s="5"/>
      <c r="F341" s="5"/>
      <c r="G341" s="5"/>
      <c r="H341" s="3"/>
      <c r="I341" s="6"/>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row>
    <row r="342" spans="2:32" ht="12.75">
      <c r="B342" s="49"/>
      <c r="C342" s="5"/>
      <c r="D342" s="5"/>
      <c r="E342" s="5"/>
      <c r="F342" s="5"/>
      <c r="G342" s="5"/>
      <c r="H342" s="3"/>
      <c r="I342" s="6"/>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row>
    <row r="343" spans="2:32" ht="12.75">
      <c r="B343" s="49"/>
      <c r="C343" s="5"/>
      <c r="D343" s="5"/>
      <c r="E343" s="5"/>
      <c r="F343" s="5"/>
      <c r="G343" s="5"/>
      <c r="H343" s="3"/>
      <c r="I343" s="6"/>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row>
    <row r="344" spans="2:32" ht="12.75">
      <c r="B344" s="49"/>
      <c r="C344" s="5"/>
      <c r="D344" s="5"/>
      <c r="E344" s="5"/>
      <c r="F344" s="5"/>
      <c r="G344" s="5"/>
      <c r="H344" s="3"/>
      <c r="I344" s="6"/>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row>
    <row r="345" spans="2:32" ht="12.75">
      <c r="B345" s="49"/>
      <c r="C345" s="5"/>
      <c r="D345" s="5"/>
      <c r="E345" s="5"/>
      <c r="F345" s="5"/>
      <c r="G345" s="5"/>
      <c r="H345" s="3"/>
      <c r="I345" s="6"/>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row>
    <row r="346" spans="2:32" ht="12.75">
      <c r="B346" s="49"/>
      <c r="C346" s="5"/>
      <c r="D346" s="5"/>
      <c r="E346" s="5"/>
      <c r="F346" s="5"/>
      <c r="G346" s="5"/>
      <c r="H346" s="3"/>
      <c r="I346" s="6"/>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row>
    <row r="347" spans="2:32" ht="12.75">
      <c r="B347" s="49"/>
      <c r="C347" s="5"/>
      <c r="D347" s="5"/>
      <c r="E347" s="5"/>
      <c r="F347" s="5"/>
      <c r="G347" s="5"/>
      <c r="H347" s="3"/>
      <c r="I347" s="6"/>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row>
    <row r="348" spans="2:32" ht="12.75">
      <c r="B348" s="49"/>
      <c r="C348" s="5"/>
      <c r="D348" s="5"/>
      <c r="E348" s="5"/>
      <c r="F348" s="5"/>
      <c r="G348" s="5"/>
      <c r="H348" s="3"/>
      <c r="I348" s="6"/>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row>
    <row r="349" spans="2:32" ht="12.75">
      <c r="B349" s="49"/>
      <c r="C349" s="5"/>
      <c r="D349" s="5"/>
      <c r="E349" s="5"/>
      <c r="F349" s="5"/>
      <c r="G349" s="5"/>
      <c r="H349" s="3"/>
      <c r="I349" s="6"/>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row>
    <row r="350" spans="2:32" ht="12.75">
      <c r="B350" s="49"/>
      <c r="C350" s="5"/>
      <c r="D350" s="5"/>
      <c r="E350" s="5"/>
      <c r="F350" s="5"/>
      <c r="G350" s="5"/>
      <c r="H350" s="3"/>
      <c r="I350" s="6"/>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row>
    <row r="351" spans="2:32" ht="12.75">
      <c r="B351" s="49"/>
      <c r="C351" s="5"/>
      <c r="D351" s="5"/>
      <c r="E351" s="5"/>
      <c r="F351" s="5"/>
      <c r="G351" s="5"/>
      <c r="H351" s="3"/>
      <c r="I351" s="6"/>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row>
    <row r="352" spans="2:32" ht="12.75">
      <c r="B352" s="49"/>
      <c r="C352" s="5"/>
      <c r="D352" s="5"/>
      <c r="E352" s="5"/>
      <c r="F352" s="5"/>
      <c r="G352" s="5"/>
      <c r="H352" s="3"/>
      <c r="I352" s="6"/>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row>
    <row r="353" spans="2:32" ht="12.75">
      <c r="B353" s="49"/>
      <c r="C353" s="5"/>
      <c r="D353" s="5"/>
      <c r="E353" s="5"/>
      <c r="F353" s="5"/>
      <c r="G353" s="5"/>
      <c r="H353" s="3"/>
      <c r="I353" s="6"/>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row>
    <row r="354" spans="2:32" ht="12.75">
      <c r="B354" s="49"/>
      <c r="C354" s="5"/>
      <c r="D354" s="5"/>
      <c r="E354" s="5"/>
      <c r="F354" s="5"/>
      <c r="G354" s="5"/>
      <c r="H354" s="3"/>
      <c r="I354" s="6"/>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row>
    <row r="355" spans="2:32" ht="12.75">
      <c r="B355" s="49"/>
      <c r="C355" s="5"/>
      <c r="D355" s="5"/>
      <c r="E355" s="5"/>
      <c r="F355" s="5"/>
      <c r="G355" s="5"/>
      <c r="H355" s="3"/>
      <c r="I355" s="6"/>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row>
    <row r="356" spans="2:32" ht="12.75">
      <c r="B356" s="49"/>
      <c r="C356" s="5"/>
      <c r="D356" s="5"/>
      <c r="E356" s="5"/>
      <c r="F356" s="5"/>
      <c r="G356" s="5"/>
      <c r="H356" s="3"/>
      <c r="I356" s="6"/>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row>
    <row r="357" spans="2:32" ht="12.75">
      <c r="B357" s="49"/>
      <c r="C357" s="5"/>
      <c r="D357" s="5"/>
      <c r="E357" s="5"/>
      <c r="F357" s="5"/>
      <c r="G357" s="5"/>
      <c r="H357" s="3"/>
      <c r="I357" s="6"/>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row>
    <row r="358" spans="2:32" ht="12.75">
      <c r="B358" s="49"/>
      <c r="C358" s="5"/>
      <c r="D358" s="5"/>
      <c r="E358" s="5"/>
      <c r="F358" s="5"/>
      <c r="G358" s="5"/>
      <c r="H358" s="3"/>
      <c r="I358" s="6"/>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row>
    <row r="359" spans="2:32" ht="12.75">
      <c r="B359" s="49"/>
      <c r="C359" s="5"/>
      <c r="D359" s="5"/>
      <c r="E359" s="5"/>
      <c r="F359" s="5"/>
      <c r="G359" s="5"/>
      <c r="H359" s="3"/>
      <c r="I359" s="6"/>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row>
    <row r="360" spans="2:32" ht="12.75">
      <c r="B360" s="49"/>
      <c r="C360" s="5"/>
      <c r="D360" s="5"/>
      <c r="E360" s="5"/>
      <c r="F360" s="5"/>
      <c r="G360" s="5"/>
      <c r="H360" s="3"/>
      <c r="I360" s="6"/>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row>
    <row r="361" spans="2:32" ht="12.75">
      <c r="B361" s="49"/>
      <c r="C361" s="5"/>
      <c r="D361" s="5"/>
      <c r="E361" s="5"/>
      <c r="F361" s="5"/>
      <c r="G361" s="5"/>
      <c r="H361" s="3"/>
      <c r="I361" s="6"/>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row>
    <row r="362" spans="2:32" ht="12.75">
      <c r="B362" s="49"/>
      <c r="C362" s="5"/>
      <c r="D362" s="5"/>
      <c r="E362" s="5"/>
      <c r="F362" s="5"/>
      <c r="G362" s="5"/>
      <c r="H362" s="3"/>
      <c r="I362" s="6"/>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row>
    <row r="363" spans="2:32" ht="12.75">
      <c r="B363" s="49"/>
      <c r="C363" s="5"/>
      <c r="D363" s="5"/>
      <c r="E363" s="5"/>
      <c r="F363" s="5"/>
      <c r="G363" s="5"/>
      <c r="H363" s="3"/>
      <c r="I363" s="6"/>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row>
    <row r="364" spans="2:32" ht="12.75">
      <c r="B364" s="49"/>
      <c r="C364" s="5"/>
      <c r="D364" s="5"/>
      <c r="E364" s="5"/>
      <c r="F364" s="5"/>
      <c r="G364" s="5"/>
      <c r="H364" s="3"/>
      <c r="I364" s="6"/>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row>
    <row r="365" spans="2:32" ht="12.75">
      <c r="B365" s="49"/>
      <c r="C365" s="5"/>
      <c r="D365" s="5"/>
      <c r="E365" s="5"/>
      <c r="F365" s="5"/>
      <c r="G365" s="5"/>
      <c r="H365" s="3"/>
      <c r="I365" s="6"/>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row>
    <row r="366" spans="2:32" ht="12.75">
      <c r="B366" s="49"/>
      <c r="C366" s="5"/>
      <c r="D366" s="5"/>
      <c r="E366" s="5"/>
      <c r="F366" s="5"/>
      <c r="G366" s="5"/>
      <c r="H366" s="3"/>
      <c r="I366" s="6"/>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row>
    <row r="367" spans="2:32" ht="12.75">
      <c r="B367" s="49"/>
      <c r="C367" s="5"/>
      <c r="D367" s="5"/>
      <c r="E367" s="5"/>
      <c r="F367" s="5"/>
      <c r="G367" s="5"/>
      <c r="H367" s="3"/>
      <c r="I367" s="6"/>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row>
    <row r="368" spans="2:32" ht="12.75">
      <c r="B368" s="49"/>
      <c r="C368" s="5"/>
      <c r="D368" s="5"/>
      <c r="E368" s="5"/>
      <c r="F368" s="5"/>
      <c r="G368" s="5"/>
      <c r="H368" s="3"/>
      <c r="I368" s="6"/>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row>
    <row r="369" spans="2:32" ht="12.75">
      <c r="B369" s="49"/>
      <c r="C369" s="5"/>
      <c r="D369" s="5"/>
      <c r="E369" s="5"/>
      <c r="F369" s="5"/>
      <c r="G369" s="5"/>
      <c r="H369" s="3"/>
      <c r="I369" s="6"/>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row>
    <row r="370" spans="2:32" ht="12.75">
      <c r="B370" s="49"/>
      <c r="C370" s="5"/>
      <c r="D370" s="5"/>
      <c r="E370" s="5"/>
      <c r="F370" s="5"/>
      <c r="G370" s="5"/>
      <c r="H370" s="3"/>
      <c r="I370" s="6"/>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row>
    <row r="371" spans="2:32" ht="12.75">
      <c r="B371" s="49"/>
      <c r="C371" s="5"/>
      <c r="D371" s="5"/>
      <c r="E371" s="5"/>
      <c r="F371" s="5"/>
      <c r="G371" s="5"/>
      <c r="H371" s="3"/>
      <c r="I371" s="6"/>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row>
    <row r="372" spans="2:32" ht="12.75">
      <c r="B372" s="49"/>
      <c r="C372" s="5"/>
      <c r="D372" s="5"/>
      <c r="E372" s="5"/>
      <c r="F372" s="5"/>
      <c r="G372" s="5"/>
      <c r="H372" s="3"/>
      <c r="I372" s="6"/>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row>
    <row r="373" spans="2:32" ht="12.75">
      <c r="B373" s="49"/>
      <c r="C373" s="5"/>
      <c r="D373" s="5"/>
      <c r="E373" s="5"/>
      <c r="F373" s="5"/>
      <c r="G373" s="5"/>
      <c r="H373" s="3"/>
      <c r="I373" s="6"/>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row>
    <row r="374" spans="2:32" ht="12.75">
      <c r="B374" s="49"/>
      <c r="C374" s="5"/>
      <c r="D374" s="5"/>
      <c r="E374" s="5"/>
      <c r="F374" s="5"/>
      <c r="G374" s="5"/>
      <c r="H374" s="3"/>
      <c r="I374" s="6"/>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spans="2:32" ht="12.75">
      <c r="B375" s="49"/>
      <c r="C375" s="5"/>
      <c r="D375" s="5"/>
      <c r="E375" s="5"/>
      <c r="F375" s="5"/>
      <c r="G375" s="5"/>
      <c r="H375" s="3"/>
      <c r="I375" s="6"/>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spans="2:32" ht="12.75">
      <c r="B376" s="49"/>
      <c r="C376" s="5"/>
      <c r="D376" s="5"/>
      <c r="E376" s="5"/>
      <c r="F376" s="5"/>
      <c r="G376" s="5"/>
      <c r="H376" s="3"/>
      <c r="I376" s="6"/>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row>
    <row r="377" spans="2:32" ht="12.75">
      <c r="B377" s="49"/>
      <c r="C377" s="5"/>
      <c r="D377" s="5"/>
      <c r="E377" s="5"/>
      <c r="F377" s="5"/>
      <c r="G377" s="5"/>
      <c r="H377" s="3"/>
      <c r="I377" s="6"/>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row>
    <row r="378" spans="2:32" ht="12.75">
      <c r="B378" s="49"/>
      <c r="C378" s="5"/>
      <c r="D378" s="5"/>
      <c r="E378" s="5"/>
      <c r="F378" s="5"/>
      <c r="G378" s="5"/>
      <c r="H378" s="3"/>
      <c r="I378" s="6"/>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row>
    <row r="379" spans="2:32" ht="12.75">
      <c r="B379" s="49"/>
      <c r="C379" s="5"/>
      <c r="D379" s="5"/>
      <c r="E379" s="5"/>
      <c r="F379" s="5"/>
      <c r="G379" s="5"/>
      <c r="H379" s="3"/>
      <c r="I379" s="6"/>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row>
    <row r="380" spans="2:32" ht="12.75">
      <c r="B380" s="49"/>
      <c r="C380" s="5"/>
      <c r="D380" s="5"/>
      <c r="E380" s="5"/>
      <c r="F380" s="5"/>
      <c r="G380" s="5"/>
      <c r="H380" s="3"/>
      <c r="I380" s="6"/>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row>
    <row r="381" spans="2:32" ht="12.75">
      <c r="B381" s="49"/>
      <c r="C381" s="5"/>
      <c r="D381" s="5"/>
      <c r="E381" s="5"/>
      <c r="F381" s="5"/>
      <c r="G381" s="5"/>
      <c r="H381" s="3"/>
      <c r="I381" s="6"/>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row>
    <row r="382" spans="2:32" ht="12.75">
      <c r="B382" s="49"/>
      <c r="C382" s="5"/>
      <c r="D382" s="5"/>
      <c r="E382" s="5"/>
      <c r="F382" s="5"/>
      <c r="G382" s="5"/>
      <c r="H382" s="3"/>
      <c r="I382" s="6"/>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spans="2:32" ht="12.75">
      <c r="B383" s="49"/>
      <c r="C383" s="5"/>
      <c r="D383" s="5"/>
      <c r="E383" s="5"/>
      <c r="F383" s="5"/>
      <c r="G383" s="5"/>
      <c r="H383" s="3"/>
      <c r="I383" s="6"/>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spans="2:32" ht="12.75">
      <c r="B384" s="49"/>
      <c r="C384" s="5"/>
      <c r="D384" s="5"/>
      <c r="E384" s="5"/>
      <c r="F384" s="5"/>
      <c r="G384" s="5"/>
      <c r="H384" s="3"/>
      <c r="I384" s="6"/>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row>
    <row r="385" spans="2:32" ht="12.75">
      <c r="B385" s="49"/>
      <c r="C385" s="5"/>
      <c r="D385" s="5"/>
      <c r="E385" s="5"/>
      <c r="F385" s="5"/>
      <c r="G385" s="5"/>
      <c r="H385" s="3"/>
      <c r="I385" s="6"/>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row>
    <row r="386" spans="2:32" ht="12.75">
      <c r="B386" s="49"/>
      <c r="C386" s="5"/>
      <c r="D386" s="5"/>
      <c r="E386" s="5"/>
      <c r="F386" s="5"/>
      <c r="G386" s="5"/>
      <c r="H386" s="3"/>
      <c r="I386" s="6"/>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row>
    <row r="387" spans="2:32" ht="12.75">
      <c r="B387" s="49"/>
      <c r="C387" s="5"/>
      <c r="D387" s="5"/>
      <c r="E387" s="5"/>
      <c r="F387" s="5"/>
      <c r="G387" s="5"/>
      <c r="H387" s="3"/>
      <c r="I387" s="6"/>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row>
    <row r="388" spans="2:32" ht="12.75">
      <c r="B388" s="49"/>
      <c r="C388" s="5"/>
      <c r="D388" s="5"/>
      <c r="E388" s="5"/>
      <c r="F388" s="5"/>
      <c r="G388" s="5"/>
      <c r="H388" s="3"/>
      <c r="I388" s="6"/>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row>
    <row r="389" spans="2:32" ht="12.75">
      <c r="B389" s="49"/>
      <c r="C389" s="5"/>
      <c r="D389" s="5"/>
      <c r="E389" s="5"/>
      <c r="F389" s="5"/>
      <c r="G389" s="5"/>
      <c r="H389" s="3"/>
      <c r="I389" s="6"/>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row>
    <row r="390" spans="2:32" ht="12.75">
      <c r="B390" s="49"/>
      <c r="C390" s="5"/>
      <c r="D390" s="5"/>
      <c r="E390" s="5"/>
      <c r="F390" s="5"/>
      <c r="G390" s="5"/>
      <c r="H390" s="3"/>
      <c r="I390" s="6"/>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row>
    <row r="391" spans="2:32" ht="12.75">
      <c r="B391" s="49"/>
      <c r="C391" s="5"/>
      <c r="D391" s="5"/>
      <c r="E391" s="5"/>
      <c r="F391" s="5"/>
      <c r="G391" s="5"/>
      <c r="H391" s="3"/>
      <c r="I391" s="6"/>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row>
    <row r="392" spans="2:32" ht="12.75">
      <c r="B392" s="49"/>
      <c r="C392" s="5"/>
      <c r="D392" s="5"/>
      <c r="E392" s="5"/>
      <c r="F392" s="5"/>
      <c r="G392" s="5"/>
      <c r="H392" s="3"/>
      <c r="I392" s="6"/>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row>
    <row r="393" spans="2:32" ht="12.75">
      <c r="B393" s="49"/>
      <c r="C393" s="5"/>
      <c r="D393" s="5"/>
      <c r="E393" s="5"/>
      <c r="F393" s="5"/>
      <c r="G393" s="5"/>
      <c r="H393" s="3"/>
      <c r="I393" s="6"/>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row>
    <row r="394" spans="2:32" ht="12.75">
      <c r="B394" s="49"/>
      <c r="C394" s="5"/>
      <c r="D394" s="5"/>
      <c r="E394" s="5"/>
      <c r="F394" s="5"/>
      <c r="G394" s="5"/>
      <c r="H394" s="3"/>
      <c r="I394" s="6"/>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row>
    <row r="395" spans="2:32" ht="12.75">
      <c r="B395" s="49"/>
      <c r="C395" s="5"/>
      <c r="D395" s="5"/>
      <c r="E395" s="5"/>
      <c r="F395" s="5"/>
      <c r="G395" s="5"/>
      <c r="H395" s="3"/>
      <c r="I395" s="6"/>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row>
    <row r="396" spans="2:32" ht="12.75">
      <c r="B396" s="49"/>
      <c r="C396" s="5"/>
      <c r="D396" s="5"/>
      <c r="E396" s="5"/>
      <c r="F396" s="5"/>
      <c r="G396" s="5"/>
      <c r="H396" s="3"/>
      <c r="I396" s="6"/>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row>
    <row r="397" spans="2:32" ht="12.75">
      <c r="B397" s="49"/>
      <c r="C397" s="5"/>
      <c r="D397" s="5"/>
      <c r="E397" s="5"/>
      <c r="F397" s="5"/>
      <c r="G397" s="5"/>
      <c r="H397" s="3"/>
      <c r="I397" s="6"/>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row>
    <row r="398" spans="2:32" ht="12.75">
      <c r="B398" s="49"/>
      <c r="C398" s="5"/>
      <c r="D398" s="5"/>
      <c r="E398" s="5"/>
      <c r="F398" s="5"/>
      <c r="G398" s="5"/>
      <c r="H398" s="3"/>
      <c r="I398" s="6"/>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row>
    <row r="399" spans="2:32" ht="12.75">
      <c r="B399" s="49"/>
      <c r="C399" s="5"/>
      <c r="D399" s="5"/>
      <c r="E399" s="5"/>
      <c r="F399" s="5"/>
      <c r="G399" s="5"/>
      <c r="H399" s="3"/>
      <c r="I399" s="6"/>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row>
    <row r="400" spans="2:32" ht="12.75">
      <c r="B400" s="49"/>
      <c r="C400" s="5"/>
      <c r="D400" s="5"/>
      <c r="E400" s="5"/>
      <c r="F400" s="5"/>
      <c r="G400" s="5"/>
      <c r="H400" s="3"/>
      <c r="I400" s="6"/>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row>
    <row r="401" spans="2:32" ht="12.75">
      <c r="B401" s="49"/>
      <c r="C401" s="5"/>
      <c r="D401" s="5"/>
      <c r="E401" s="5"/>
      <c r="F401" s="5"/>
      <c r="G401" s="5"/>
      <c r="H401" s="3"/>
      <c r="I401" s="6"/>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row>
    <row r="402" spans="2:32" ht="12.75">
      <c r="B402" s="49"/>
      <c r="C402" s="5"/>
      <c r="D402" s="5"/>
      <c r="E402" s="5"/>
      <c r="F402" s="5"/>
      <c r="G402" s="5"/>
      <c r="H402" s="3"/>
      <c r="I402" s="6"/>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row>
    <row r="403" spans="2:32" ht="12.75">
      <c r="B403" s="49"/>
      <c r="C403" s="5"/>
      <c r="D403" s="5"/>
      <c r="E403" s="5"/>
      <c r="F403" s="5"/>
      <c r="G403" s="5"/>
      <c r="H403" s="3"/>
      <c r="I403" s="6"/>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row>
    <row r="404" spans="2:32" ht="12.75">
      <c r="B404" s="49"/>
      <c r="C404" s="5"/>
      <c r="D404" s="5"/>
      <c r="E404" s="5"/>
      <c r="F404" s="5"/>
      <c r="G404" s="5"/>
      <c r="H404" s="3"/>
      <c r="I404" s="6"/>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row>
    <row r="405" spans="2:32" ht="12.75">
      <c r="B405" s="49"/>
      <c r="C405" s="5"/>
      <c r="D405" s="5"/>
      <c r="E405" s="5"/>
      <c r="F405" s="5"/>
      <c r="G405" s="5"/>
      <c r="H405" s="3"/>
      <c r="I405" s="6"/>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row>
    <row r="406" spans="2:32" ht="12.75">
      <c r="B406" s="49"/>
      <c r="C406" s="5"/>
      <c r="D406" s="5"/>
      <c r="E406" s="5"/>
      <c r="F406" s="5"/>
      <c r="G406" s="5"/>
      <c r="H406" s="3"/>
      <c r="I406" s="6"/>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row>
    <row r="407" spans="2:32" ht="12.75">
      <c r="B407" s="49"/>
      <c r="C407" s="5"/>
      <c r="D407" s="5"/>
      <c r="E407" s="5"/>
      <c r="F407" s="5"/>
      <c r="G407" s="5"/>
      <c r="H407" s="3"/>
      <c r="I407" s="6"/>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row>
    <row r="408" spans="2:32" ht="12.75">
      <c r="B408" s="49"/>
      <c r="C408" s="5"/>
      <c r="D408" s="5"/>
      <c r="E408" s="5"/>
      <c r="F408" s="5"/>
      <c r="G408" s="5"/>
      <c r="H408" s="3"/>
      <c r="I408" s="6"/>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row>
    <row r="409" spans="2:32" ht="12.75">
      <c r="B409" s="49"/>
      <c r="C409" s="5"/>
      <c r="D409" s="5"/>
      <c r="E409" s="5"/>
      <c r="F409" s="5"/>
      <c r="G409" s="5"/>
      <c r="H409" s="3"/>
      <c r="I409" s="6"/>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row>
    <row r="410" spans="2:32" ht="12.75">
      <c r="B410" s="49"/>
      <c r="C410" s="5"/>
      <c r="D410" s="5"/>
      <c r="E410" s="5"/>
      <c r="F410" s="5"/>
      <c r="G410" s="5"/>
      <c r="H410" s="3"/>
      <c r="I410" s="6"/>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row>
    <row r="411" spans="2:32" ht="12.75">
      <c r="B411" s="49"/>
      <c r="C411" s="5"/>
      <c r="D411" s="5"/>
      <c r="E411" s="5"/>
      <c r="F411" s="5"/>
      <c r="G411" s="5"/>
      <c r="H411" s="3"/>
      <c r="I411" s="6"/>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row>
    <row r="412" spans="2:32" ht="12.75">
      <c r="B412" s="49"/>
      <c r="C412" s="5"/>
      <c r="D412" s="5"/>
      <c r="E412" s="5"/>
      <c r="F412" s="5"/>
      <c r="G412" s="5"/>
      <c r="H412" s="3"/>
      <c r="I412" s="6"/>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spans="2:32" ht="12.75">
      <c r="B413" s="49"/>
      <c r="C413" s="5"/>
      <c r="D413" s="5"/>
      <c r="E413" s="5"/>
      <c r="F413" s="5"/>
      <c r="G413" s="5"/>
      <c r="H413" s="3"/>
      <c r="I413" s="6"/>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row>
    <row r="414" spans="2:32" ht="12.75">
      <c r="B414" s="49"/>
      <c r="C414" s="5"/>
      <c r="D414" s="5"/>
      <c r="E414" s="5"/>
      <c r="F414" s="5"/>
      <c r="G414" s="5"/>
      <c r="H414" s="3"/>
      <c r="I414" s="6"/>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row>
    <row r="415" spans="2:32" ht="12.75">
      <c r="B415" s="49"/>
      <c r="C415" s="5"/>
      <c r="D415" s="5"/>
      <c r="E415" s="5"/>
      <c r="F415" s="5"/>
      <c r="G415" s="5"/>
      <c r="H415" s="3"/>
      <c r="I415" s="6"/>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row>
    <row r="416" spans="2:32" ht="12.75">
      <c r="B416" s="49"/>
      <c r="C416" s="5"/>
      <c r="D416" s="5"/>
      <c r="E416" s="5"/>
      <c r="F416" s="5"/>
      <c r="G416" s="5"/>
      <c r="H416" s="3"/>
      <c r="I416" s="6"/>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row>
    <row r="417" spans="2:32" ht="12.75">
      <c r="B417" s="49"/>
      <c r="C417" s="5"/>
      <c r="D417" s="5"/>
      <c r="E417" s="5"/>
      <c r="F417" s="5"/>
      <c r="G417" s="5"/>
      <c r="H417" s="3"/>
      <c r="I417" s="6"/>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row>
    <row r="418" spans="2:32" ht="12.75">
      <c r="B418" s="49"/>
      <c r="C418" s="5"/>
      <c r="D418" s="5"/>
      <c r="E418" s="5"/>
      <c r="F418" s="5"/>
      <c r="G418" s="5"/>
      <c r="H418" s="3"/>
      <c r="I418" s="6"/>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row>
    <row r="419" spans="2:32" ht="12.75">
      <c r="B419" s="49"/>
      <c r="C419" s="5"/>
      <c r="D419" s="5"/>
      <c r="E419" s="5"/>
      <c r="F419" s="5"/>
      <c r="G419" s="5"/>
      <c r="H419" s="3"/>
      <c r="I419" s="6"/>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row>
    <row r="420" spans="2:32" ht="12.75">
      <c r="B420" s="49"/>
      <c r="C420" s="5"/>
      <c r="D420" s="5"/>
      <c r="E420" s="5"/>
      <c r="F420" s="5"/>
      <c r="G420" s="5"/>
      <c r="H420" s="3"/>
      <c r="I420" s="6"/>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row>
    <row r="421" spans="2:32" ht="12.75">
      <c r="B421" s="49"/>
      <c r="C421" s="5"/>
      <c r="D421" s="5"/>
      <c r="E421" s="5"/>
      <c r="F421" s="5"/>
      <c r="G421" s="5"/>
      <c r="H421" s="3"/>
      <c r="I421" s="6"/>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row>
    <row r="422" spans="2:32" ht="12.75">
      <c r="B422" s="49"/>
      <c r="C422" s="5"/>
      <c r="D422" s="5"/>
      <c r="E422" s="5"/>
      <c r="F422" s="5"/>
      <c r="G422" s="5"/>
      <c r="H422" s="3"/>
      <c r="I422" s="6"/>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row>
    <row r="423" spans="2:32" ht="12.75">
      <c r="B423" s="49"/>
      <c r="C423" s="5"/>
      <c r="D423" s="5"/>
      <c r="E423" s="5"/>
      <c r="F423" s="5"/>
      <c r="G423" s="5"/>
      <c r="H423" s="3"/>
      <c r="I423" s="6"/>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row>
    <row r="424" spans="2:32" ht="12.75">
      <c r="B424" s="49"/>
      <c r="C424" s="5"/>
      <c r="D424" s="5"/>
      <c r="E424" s="5"/>
      <c r="F424" s="5"/>
      <c r="G424" s="5"/>
      <c r="H424" s="3"/>
      <c r="I424" s="6"/>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row>
    <row r="425" spans="2:32" ht="12.75">
      <c r="B425" s="49"/>
      <c r="C425" s="5"/>
      <c r="D425" s="5"/>
      <c r="E425" s="5"/>
      <c r="F425" s="5"/>
      <c r="G425" s="5"/>
      <c r="H425" s="3"/>
      <c r="I425" s="6"/>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spans="2:32" ht="12.75">
      <c r="B426" s="49"/>
      <c r="C426" s="5"/>
      <c r="D426" s="5"/>
      <c r="E426" s="5"/>
      <c r="F426" s="5"/>
      <c r="G426" s="5"/>
      <c r="H426" s="3"/>
      <c r="I426" s="6"/>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row>
    <row r="427" spans="2:32" ht="12.75">
      <c r="B427" s="49"/>
      <c r="C427" s="5"/>
      <c r="D427" s="5"/>
      <c r="E427" s="5"/>
      <c r="F427" s="5"/>
      <c r="G427" s="5"/>
      <c r="H427" s="3"/>
      <c r="I427" s="6"/>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row>
    <row r="428" spans="2:32" ht="12.75">
      <c r="B428" s="49"/>
      <c r="C428" s="5"/>
      <c r="D428" s="5"/>
      <c r="E428" s="5"/>
      <c r="F428" s="5"/>
      <c r="G428" s="5"/>
      <c r="H428" s="3"/>
      <c r="I428" s="6"/>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row>
    <row r="429" spans="2:32" ht="12.75">
      <c r="B429" s="49"/>
      <c r="C429" s="5"/>
      <c r="D429" s="5"/>
      <c r="E429" s="5"/>
      <c r="F429" s="5"/>
      <c r="G429" s="5"/>
      <c r="H429" s="3"/>
      <c r="I429" s="6"/>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row>
    <row r="430" spans="2:32" ht="12.75">
      <c r="B430" s="49"/>
      <c r="C430" s="5"/>
      <c r="D430" s="5"/>
      <c r="E430" s="5"/>
      <c r="F430" s="5"/>
      <c r="G430" s="5"/>
      <c r="H430" s="3"/>
      <c r="I430" s="6"/>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row>
    <row r="431" spans="2:32" ht="12.75">
      <c r="B431" s="49"/>
      <c r="C431" s="5"/>
      <c r="D431" s="5"/>
      <c r="E431" s="5"/>
      <c r="F431" s="5"/>
      <c r="G431" s="5"/>
      <c r="H431" s="3"/>
      <c r="I431" s="6"/>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row>
    <row r="432" spans="2:32" ht="12.75">
      <c r="B432" s="49"/>
      <c r="C432" s="5"/>
      <c r="D432" s="5"/>
      <c r="E432" s="5"/>
      <c r="F432" s="5"/>
      <c r="G432" s="5"/>
      <c r="H432" s="3"/>
      <c r="I432" s="6"/>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row>
    <row r="433" spans="2:32" ht="12.75">
      <c r="B433" s="49"/>
      <c r="C433" s="5"/>
      <c r="D433" s="5"/>
      <c r="E433" s="5"/>
      <c r="F433" s="5"/>
      <c r="G433" s="5"/>
      <c r="H433" s="3"/>
      <c r="I433" s="6"/>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spans="2:32" ht="12.75">
      <c r="B434" s="49"/>
      <c r="C434" s="5"/>
      <c r="D434" s="5"/>
      <c r="E434" s="5"/>
      <c r="F434" s="5"/>
      <c r="G434" s="5"/>
      <c r="H434" s="3"/>
      <c r="I434" s="6"/>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row>
    <row r="435" spans="2:32" ht="12.75">
      <c r="B435" s="49"/>
      <c r="C435" s="5"/>
      <c r="D435" s="5"/>
      <c r="E435" s="5"/>
      <c r="F435" s="5"/>
      <c r="G435" s="5"/>
      <c r="H435" s="3"/>
      <c r="I435" s="6"/>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row>
    <row r="436" spans="2:32" ht="12.75">
      <c r="B436" s="49"/>
      <c r="C436" s="5"/>
      <c r="D436" s="5"/>
      <c r="E436" s="5"/>
      <c r="F436" s="5"/>
      <c r="G436" s="5"/>
      <c r="H436" s="3"/>
      <c r="I436" s="6"/>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row>
    <row r="437" spans="2:32" ht="12.75">
      <c r="B437" s="49"/>
      <c r="C437" s="5"/>
      <c r="D437" s="5"/>
      <c r="E437" s="5"/>
      <c r="F437" s="5"/>
      <c r="G437" s="5"/>
      <c r="H437" s="3"/>
      <c r="I437" s="6"/>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row>
    <row r="438" spans="2:32" ht="12.75">
      <c r="B438" s="49"/>
      <c r="C438" s="5"/>
      <c r="D438" s="5"/>
      <c r="E438" s="5"/>
      <c r="F438" s="5"/>
      <c r="G438" s="5"/>
      <c r="H438" s="3"/>
      <c r="I438" s="6"/>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row>
    <row r="439" spans="2:32" ht="12.75">
      <c r="B439" s="49"/>
      <c r="C439" s="5"/>
      <c r="D439" s="5"/>
      <c r="E439" s="5"/>
      <c r="F439" s="5"/>
      <c r="G439" s="5"/>
      <c r="H439" s="3"/>
      <c r="I439" s="6"/>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row>
    <row r="440" spans="2:32" ht="12.75">
      <c r="B440" s="49"/>
      <c r="C440" s="5"/>
      <c r="D440" s="5"/>
      <c r="E440" s="5"/>
      <c r="F440" s="5"/>
      <c r="G440" s="5"/>
      <c r="H440" s="3"/>
      <c r="I440" s="6"/>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row>
    <row r="441" spans="2:32" ht="12.75">
      <c r="B441" s="49"/>
      <c r="C441" s="5"/>
      <c r="D441" s="5"/>
      <c r="E441" s="5"/>
      <c r="F441" s="5"/>
      <c r="G441" s="5"/>
      <c r="H441" s="3"/>
      <c r="I441" s="6"/>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row>
    <row r="442" spans="2:32" ht="12.75">
      <c r="B442" s="49"/>
      <c r="C442" s="5"/>
      <c r="D442" s="5"/>
      <c r="E442" s="5"/>
      <c r="F442" s="5"/>
      <c r="G442" s="5"/>
      <c r="H442" s="3"/>
      <c r="I442" s="6"/>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row>
    <row r="443" spans="2:32" ht="12.75">
      <c r="B443" s="49"/>
      <c r="C443" s="5"/>
      <c r="D443" s="5"/>
      <c r="E443" s="5"/>
      <c r="F443" s="5"/>
      <c r="G443" s="5"/>
      <c r="H443" s="3"/>
      <c r="I443" s="6"/>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row>
    <row r="444" spans="2:32" ht="12.75">
      <c r="B444" s="49"/>
      <c r="C444" s="5"/>
      <c r="D444" s="5"/>
      <c r="E444" s="5"/>
      <c r="F444" s="5"/>
      <c r="G444" s="5"/>
      <c r="H444" s="3"/>
      <c r="I444" s="6"/>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row>
    <row r="445" spans="2:32" ht="12.75">
      <c r="B445" s="49"/>
      <c r="C445" s="5"/>
      <c r="D445" s="5"/>
      <c r="E445" s="5"/>
      <c r="F445" s="5"/>
      <c r="G445" s="5"/>
      <c r="H445" s="3"/>
      <c r="I445" s="6"/>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row>
    <row r="446" spans="2:32" ht="12.75">
      <c r="B446" s="49"/>
      <c r="C446" s="5"/>
      <c r="D446" s="5"/>
      <c r="E446" s="5"/>
      <c r="F446" s="5"/>
      <c r="G446" s="5"/>
      <c r="H446" s="3"/>
      <c r="I446" s="6"/>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row>
    <row r="447" spans="2:32" ht="12.75">
      <c r="B447" s="49"/>
      <c r="C447" s="5"/>
      <c r="D447" s="5"/>
      <c r="E447" s="5"/>
      <c r="F447" s="5"/>
      <c r="G447" s="5"/>
      <c r="H447" s="3"/>
      <c r="I447" s="6"/>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spans="2:32" ht="12.75">
      <c r="B448" s="49"/>
      <c r="C448" s="5"/>
      <c r="D448" s="5"/>
      <c r="E448" s="5"/>
      <c r="F448" s="5"/>
      <c r="G448" s="5"/>
      <c r="H448" s="3"/>
      <c r="I448" s="6"/>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row>
    <row r="449" spans="2:32" ht="12.75">
      <c r="B449" s="49"/>
      <c r="C449" s="5"/>
      <c r="D449" s="5"/>
      <c r="E449" s="5"/>
      <c r="F449" s="5"/>
      <c r="G449" s="5"/>
      <c r="H449" s="3"/>
      <c r="I449" s="6"/>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row>
    <row r="450" spans="2:32" ht="12.75">
      <c r="B450" s="49"/>
      <c r="C450" s="5"/>
      <c r="D450" s="5"/>
      <c r="E450" s="5"/>
      <c r="F450" s="5"/>
      <c r="G450" s="5"/>
      <c r="H450" s="3"/>
      <c r="I450" s="6"/>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row>
    <row r="451" spans="2:32" ht="12.75">
      <c r="B451" s="49"/>
      <c r="C451" s="5"/>
      <c r="D451" s="5"/>
      <c r="E451" s="5"/>
      <c r="F451" s="5"/>
      <c r="G451" s="5"/>
      <c r="H451" s="3"/>
      <c r="I451" s="6"/>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row>
    <row r="452" spans="2:32" ht="12.75">
      <c r="B452" s="49"/>
      <c r="C452" s="5"/>
      <c r="D452" s="5"/>
      <c r="E452" s="5"/>
      <c r="F452" s="5"/>
      <c r="G452" s="5"/>
      <c r="H452" s="3"/>
      <c r="I452" s="6"/>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row>
    <row r="453" spans="2:32" ht="12.75">
      <c r="B453" s="49"/>
      <c r="C453" s="5"/>
      <c r="D453" s="5"/>
      <c r="E453" s="5"/>
      <c r="F453" s="5"/>
      <c r="G453" s="5"/>
      <c r="H453" s="3"/>
      <c r="I453" s="6"/>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row>
    <row r="454" spans="2:32" ht="12.75">
      <c r="B454" s="49"/>
      <c r="C454" s="5"/>
      <c r="D454" s="5"/>
      <c r="E454" s="5"/>
      <c r="F454" s="5"/>
      <c r="G454" s="5"/>
      <c r="H454" s="3"/>
      <c r="I454" s="6"/>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row>
    <row r="455" spans="2:32" ht="12.75">
      <c r="B455" s="49"/>
      <c r="C455" s="5"/>
      <c r="D455" s="5"/>
      <c r="E455" s="5"/>
      <c r="F455" s="5"/>
      <c r="G455" s="5"/>
      <c r="H455" s="3"/>
      <c r="I455" s="6"/>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row>
    <row r="456" spans="2:32" ht="12.75">
      <c r="B456" s="49"/>
      <c r="C456" s="5"/>
      <c r="D456" s="5"/>
      <c r="E456" s="5"/>
      <c r="F456" s="5"/>
      <c r="G456" s="5"/>
      <c r="H456" s="3"/>
      <c r="I456" s="6"/>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row>
    <row r="457" spans="2:32" ht="12.75">
      <c r="B457" s="49"/>
      <c r="C457" s="5"/>
      <c r="D457" s="5"/>
      <c r="E457" s="5"/>
      <c r="F457" s="5"/>
      <c r="G457" s="5"/>
      <c r="H457" s="3"/>
      <c r="I457" s="6"/>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row>
    <row r="458" spans="2:32" ht="12.75">
      <c r="B458" s="49"/>
      <c r="C458" s="5"/>
      <c r="D458" s="5"/>
      <c r="E458" s="5"/>
      <c r="F458" s="5"/>
      <c r="G458" s="5"/>
      <c r="H458" s="3"/>
      <c r="I458" s="6"/>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row>
    <row r="459" spans="2:32" ht="12.75">
      <c r="B459" s="49"/>
      <c r="C459" s="5"/>
      <c r="D459" s="5"/>
      <c r="E459" s="5"/>
      <c r="F459" s="5"/>
      <c r="G459" s="5"/>
      <c r="H459" s="3"/>
      <c r="I459" s="6"/>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row>
    <row r="460" spans="2:32" ht="12.75">
      <c r="B460" s="49"/>
      <c r="C460" s="5"/>
      <c r="D460" s="5"/>
      <c r="E460" s="5"/>
      <c r="F460" s="5"/>
      <c r="G460" s="5"/>
      <c r="H460" s="3"/>
      <c r="I460" s="6"/>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row>
    <row r="461" spans="2:32" ht="12.75">
      <c r="B461" s="49"/>
      <c r="C461" s="5"/>
      <c r="D461" s="5"/>
      <c r="E461" s="5"/>
      <c r="F461" s="5"/>
      <c r="G461" s="5"/>
      <c r="H461" s="3"/>
      <c r="I461" s="6"/>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row>
    <row r="462" spans="2:32" ht="12.75">
      <c r="B462" s="49"/>
      <c r="C462" s="5"/>
      <c r="D462" s="5"/>
      <c r="E462" s="5"/>
      <c r="F462" s="5"/>
      <c r="G462" s="5"/>
      <c r="H462" s="3"/>
      <c r="I462" s="6"/>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row>
    <row r="463" spans="2:32" ht="12.75">
      <c r="B463" s="49"/>
      <c r="C463" s="5"/>
      <c r="D463" s="5"/>
      <c r="E463" s="5"/>
      <c r="F463" s="5"/>
      <c r="G463" s="5"/>
      <c r="H463" s="3"/>
      <c r="I463" s="6"/>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row>
    <row r="464" spans="2:32" ht="12.75">
      <c r="B464" s="49"/>
      <c r="C464" s="5"/>
      <c r="D464" s="5"/>
      <c r="E464" s="5"/>
      <c r="F464" s="5"/>
      <c r="G464" s="5"/>
      <c r="H464" s="3"/>
      <c r="I464" s="6"/>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row>
    <row r="465" spans="2:32" ht="12.75">
      <c r="B465" s="49"/>
      <c r="C465" s="5"/>
      <c r="D465" s="5"/>
      <c r="E465" s="5"/>
      <c r="F465" s="5"/>
      <c r="G465" s="5"/>
      <c r="H465" s="3"/>
      <c r="I465" s="6"/>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row>
    <row r="466" spans="2:32" ht="12.75">
      <c r="B466" s="49"/>
      <c r="C466" s="5"/>
      <c r="D466" s="5"/>
      <c r="E466" s="5"/>
      <c r="F466" s="5"/>
      <c r="G466" s="5"/>
      <c r="H466" s="3"/>
      <c r="I466" s="6"/>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row>
    <row r="467" spans="2:32" ht="12.75">
      <c r="B467" s="49"/>
      <c r="C467" s="5"/>
      <c r="D467" s="5"/>
      <c r="E467" s="5"/>
      <c r="F467" s="5"/>
      <c r="G467" s="5"/>
      <c r="H467" s="3"/>
      <c r="I467" s="6"/>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row>
    <row r="468" spans="2:32" ht="12.75">
      <c r="B468" s="49"/>
      <c r="C468" s="5"/>
      <c r="D468" s="5"/>
      <c r="E468" s="5"/>
      <c r="F468" s="5"/>
      <c r="G468" s="5"/>
      <c r="H468" s="3"/>
      <c r="I468" s="6"/>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row>
    <row r="469" spans="2:32" ht="12.75">
      <c r="B469" s="49"/>
      <c r="C469" s="5"/>
      <c r="D469" s="5"/>
      <c r="E469" s="5"/>
      <c r="F469" s="5"/>
      <c r="G469" s="5"/>
      <c r="H469" s="3"/>
      <c r="I469" s="6"/>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spans="2:32" ht="12.75">
      <c r="B470" s="49"/>
      <c r="C470" s="5"/>
      <c r="D470" s="5"/>
      <c r="E470" s="5"/>
      <c r="F470" s="5"/>
      <c r="G470" s="5"/>
      <c r="H470" s="3"/>
      <c r="I470" s="6"/>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row>
    <row r="471" spans="2:32" ht="12.75">
      <c r="B471" s="49"/>
      <c r="C471" s="5"/>
      <c r="D471" s="5"/>
      <c r="E471" s="5"/>
      <c r="F471" s="5"/>
      <c r="G471" s="5"/>
      <c r="H471" s="3"/>
      <c r="I471" s="6"/>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row>
    <row r="472" spans="2:32" ht="12.75">
      <c r="B472" s="49"/>
      <c r="C472" s="5"/>
      <c r="D472" s="5"/>
      <c r="E472" s="5"/>
      <c r="F472" s="5"/>
      <c r="G472" s="5"/>
      <c r="H472" s="3"/>
      <c r="I472" s="6"/>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row>
    <row r="473" spans="2:32" ht="12.75">
      <c r="B473" s="49"/>
      <c r="C473" s="5"/>
      <c r="D473" s="5"/>
      <c r="E473" s="5"/>
      <c r="F473" s="5"/>
      <c r="G473" s="5"/>
      <c r="H473" s="3"/>
      <c r="I473" s="6"/>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row>
    <row r="474" spans="2:32" ht="12.75">
      <c r="B474" s="49"/>
      <c r="C474" s="5"/>
      <c r="D474" s="5"/>
      <c r="E474" s="5"/>
      <c r="F474" s="5"/>
      <c r="G474" s="5"/>
      <c r="H474" s="3"/>
      <c r="I474" s="6"/>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row>
    <row r="475" spans="2:32" ht="12.75">
      <c r="B475" s="49"/>
      <c r="C475" s="5"/>
      <c r="D475" s="5"/>
      <c r="E475" s="5"/>
      <c r="F475" s="5"/>
      <c r="G475" s="5"/>
      <c r="H475" s="3"/>
      <c r="I475" s="6"/>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spans="2:32" ht="12.75">
      <c r="B476" s="49"/>
      <c r="C476" s="5"/>
      <c r="D476" s="5"/>
      <c r="E476" s="5"/>
      <c r="F476" s="5"/>
      <c r="G476" s="5"/>
      <c r="H476" s="3"/>
      <c r="I476" s="6"/>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row>
    <row r="477" spans="2:32" ht="12.75">
      <c r="B477" s="49"/>
      <c r="C477" s="5"/>
      <c r="D477" s="5"/>
      <c r="E477" s="5"/>
      <c r="F477" s="5"/>
      <c r="G477" s="5"/>
      <c r="H477" s="3"/>
      <c r="I477" s="6"/>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row>
    <row r="478" spans="2:32" ht="12.75">
      <c r="B478" s="49"/>
      <c r="C478" s="5"/>
      <c r="D478" s="5"/>
      <c r="E478" s="5"/>
      <c r="F478" s="5"/>
      <c r="G478" s="5"/>
      <c r="H478" s="3"/>
      <c r="I478" s="6"/>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row>
    <row r="479" spans="2:32" ht="12.75">
      <c r="B479" s="49"/>
      <c r="C479" s="5"/>
      <c r="D479" s="5"/>
      <c r="E479" s="5"/>
      <c r="F479" s="5"/>
      <c r="G479" s="5"/>
      <c r="H479" s="3"/>
      <c r="I479" s="6"/>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row>
    <row r="480" spans="2:32" ht="12.75">
      <c r="B480" s="49"/>
      <c r="C480" s="5"/>
      <c r="D480" s="5"/>
      <c r="E480" s="5"/>
      <c r="F480" s="5"/>
      <c r="G480" s="5"/>
      <c r="H480" s="3"/>
      <c r="I480" s="6"/>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spans="2:32" ht="12.75">
      <c r="B481" s="49"/>
      <c r="C481" s="5"/>
      <c r="D481" s="5"/>
      <c r="E481" s="5"/>
      <c r="F481" s="5"/>
      <c r="G481" s="5"/>
      <c r="H481" s="3"/>
      <c r="I481" s="6"/>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row>
    <row r="482" spans="2:32" ht="12.75">
      <c r="B482" s="49"/>
      <c r="C482" s="5"/>
      <c r="D482" s="5"/>
      <c r="E482" s="5"/>
      <c r="F482" s="5"/>
      <c r="G482" s="5"/>
      <c r="H482" s="3"/>
      <c r="I482" s="6"/>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row>
    <row r="483" spans="2:32" ht="12.75">
      <c r="B483" s="49"/>
      <c r="C483" s="5"/>
      <c r="D483" s="5"/>
      <c r="E483" s="5"/>
      <c r="F483" s="5"/>
      <c r="G483" s="5"/>
      <c r="H483" s="3"/>
      <c r="I483" s="6"/>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row>
    <row r="484" spans="2:32" ht="12.75">
      <c r="B484" s="49"/>
      <c r="C484" s="5"/>
      <c r="D484" s="5"/>
      <c r="E484" s="5"/>
      <c r="F484" s="5"/>
      <c r="G484" s="5"/>
      <c r="H484" s="3"/>
      <c r="I484" s="6"/>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row>
    <row r="485" spans="2:32" ht="12.75">
      <c r="B485" s="49"/>
      <c r="C485" s="5"/>
      <c r="D485" s="5"/>
      <c r="E485" s="5"/>
      <c r="F485" s="5"/>
      <c r="G485" s="5"/>
      <c r="H485" s="3"/>
      <c r="I485" s="6"/>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row>
    <row r="486" spans="2:32" ht="12.75">
      <c r="B486" s="49"/>
      <c r="C486" s="5"/>
      <c r="D486" s="5"/>
      <c r="E486" s="5"/>
      <c r="F486" s="5"/>
      <c r="G486" s="5"/>
      <c r="H486" s="3"/>
      <c r="I486" s="6"/>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row>
    <row r="487" spans="2:32" ht="12.75">
      <c r="B487" s="49"/>
      <c r="C487" s="5"/>
      <c r="D487" s="5"/>
      <c r="E487" s="5"/>
      <c r="F487" s="5"/>
      <c r="G487" s="5"/>
      <c r="H487" s="3"/>
      <c r="I487" s="6"/>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row>
    <row r="488" spans="2:32" ht="12.75">
      <c r="B488" s="49"/>
      <c r="C488" s="5"/>
      <c r="D488" s="5"/>
      <c r="E488" s="5"/>
      <c r="F488" s="5"/>
      <c r="G488" s="5"/>
      <c r="H488" s="3"/>
      <c r="I488" s="6"/>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row>
    <row r="489" spans="2:32" ht="12.75">
      <c r="B489" s="49"/>
      <c r="C489" s="5"/>
      <c r="D489" s="5"/>
      <c r="E489" s="5"/>
      <c r="F489" s="5"/>
      <c r="G489" s="5"/>
      <c r="H489" s="3"/>
      <c r="I489" s="6"/>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spans="2:32" ht="12.75">
      <c r="B490" s="49"/>
      <c r="C490" s="5"/>
      <c r="D490" s="5"/>
      <c r="E490" s="5"/>
      <c r="F490" s="5"/>
      <c r="G490" s="5"/>
      <c r="H490" s="3"/>
      <c r="I490" s="6"/>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spans="2:32" ht="12.75">
      <c r="B491" s="49"/>
      <c r="C491" s="5"/>
      <c r="D491" s="5"/>
      <c r="E491" s="5"/>
      <c r="F491" s="5"/>
      <c r="G491" s="5"/>
      <c r="H491" s="3"/>
      <c r="I491" s="6"/>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row>
    <row r="492" spans="2:32" ht="12.75">
      <c r="B492" s="49"/>
      <c r="C492" s="5"/>
      <c r="D492" s="5"/>
      <c r="E492" s="5"/>
      <c r="F492" s="5"/>
      <c r="G492" s="5"/>
      <c r="H492" s="3"/>
      <c r="I492" s="6"/>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row>
    <row r="493" spans="2:32" ht="12.75">
      <c r="B493" s="49"/>
      <c r="C493" s="5"/>
      <c r="D493" s="5"/>
      <c r="E493" s="5"/>
      <c r="F493" s="5"/>
      <c r="G493" s="5"/>
      <c r="H493" s="3"/>
      <c r="I493" s="6"/>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row>
    <row r="494" spans="2:32" ht="12.75">
      <c r="B494" s="49"/>
      <c r="C494" s="5"/>
      <c r="D494" s="5"/>
      <c r="E494" s="5"/>
      <c r="F494" s="5"/>
      <c r="G494" s="5"/>
      <c r="H494" s="3"/>
      <c r="I494" s="6"/>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row>
    <row r="495" spans="2:32" ht="12.75">
      <c r="B495" s="49"/>
      <c r="C495" s="5"/>
      <c r="D495" s="5"/>
      <c r="E495" s="5"/>
      <c r="F495" s="5"/>
      <c r="G495" s="5"/>
      <c r="H495" s="3"/>
      <c r="I495" s="6"/>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row>
    <row r="496" spans="2:32" ht="12.75">
      <c r="B496" s="49"/>
      <c r="C496" s="5"/>
      <c r="D496" s="5"/>
      <c r="E496" s="5"/>
      <c r="F496" s="5"/>
      <c r="G496" s="5"/>
      <c r="H496" s="3"/>
      <c r="I496" s="6"/>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spans="2:32" ht="12.75">
      <c r="B497" s="49"/>
      <c r="C497" s="5"/>
      <c r="D497" s="5"/>
      <c r="E497" s="5"/>
      <c r="F497" s="5"/>
      <c r="G497" s="5"/>
      <c r="H497" s="3"/>
      <c r="I497" s="6"/>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spans="2:32" ht="12.75">
      <c r="B498" s="49"/>
      <c r="C498" s="5"/>
      <c r="D498" s="5"/>
      <c r="E498" s="5"/>
      <c r="F498" s="5"/>
      <c r="G498" s="5"/>
      <c r="H498" s="3"/>
      <c r="I498" s="6"/>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row>
    <row r="499" spans="2:32" ht="12.75">
      <c r="B499" s="49"/>
      <c r="C499" s="5"/>
      <c r="D499" s="5"/>
      <c r="E499" s="5"/>
      <c r="F499" s="5"/>
      <c r="G499" s="5"/>
      <c r="H499" s="3"/>
      <c r="I499" s="6"/>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0" spans="2:32" ht="12.75">
      <c r="B500" s="49"/>
      <c r="C500" s="5"/>
      <c r="D500" s="5"/>
      <c r="E500" s="5"/>
      <c r="F500" s="5"/>
      <c r="G500" s="5"/>
      <c r="H500" s="3"/>
      <c r="I500" s="6"/>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row>
    <row r="501" spans="2:32" ht="12.75">
      <c r="B501" s="49"/>
      <c r="C501" s="5"/>
      <c r="D501" s="5"/>
      <c r="E501" s="5"/>
      <c r="F501" s="5"/>
      <c r="G501" s="5"/>
      <c r="H501" s="3"/>
      <c r="I501" s="6"/>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row>
    <row r="502" spans="2:32" ht="12.75">
      <c r="B502" s="49"/>
      <c r="C502" s="5"/>
      <c r="D502" s="5"/>
      <c r="E502" s="5"/>
      <c r="F502" s="5"/>
      <c r="G502" s="5"/>
      <c r="H502" s="3"/>
      <c r="I502" s="6"/>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row>
    <row r="503" spans="2:32" ht="12.75">
      <c r="B503" s="49"/>
      <c r="C503" s="5"/>
      <c r="D503" s="5"/>
      <c r="E503" s="5"/>
      <c r="F503" s="5"/>
      <c r="G503" s="5"/>
      <c r="H503" s="3"/>
      <c r="I503" s="6"/>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row>
    <row r="504" spans="2:32" ht="12.75">
      <c r="B504" s="49"/>
      <c r="C504" s="5"/>
      <c r="D504" s="5"/>
      <c r="E504" s="5"/>
      <c r="F504" s="5"/>
      <c r="G504" s="5"/>
      <c r="H504" s="3"/>
      <c r="I504" s="6"/>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row>
    <row r="505" spans="2:32" ht="12.75">
      <c r="B505" s="49"/>
      <c r="C505" s="5"/>
      <c r="D505" s="5"/>
      <c r="E505" s="5"/>
      <c r="F505" s="5"/>
      <c r="G505" s="5"/>
      <c r="H505" s="3"/>
      <c r="I505" s="6"/>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row>
    <row r="506" spans="2:32" ht="12.75">
      <c r="B506" s="49"/>
      <c r="C506" s="5"/>
      <c r="D506" s="5"/>
      <c r="E506" s="5"/>
      <c r="F506" s="5"/>
      <c r="G506" s="5"/>
      <c r="H506" s="3"/>
      <c r="I506" s="6"/>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row>
    <row r="507" spans="2:32" ht="12.75">
      <c r="B507" s="49"/>
      <c r="C507" s="5"/>
      <c r="D507" s="5"/>
      <c r="E507" s="5"/>
      <c r="F507" s="5"/>
      <c r="G507" s="5"/>
      <c r="H507" s="3"/>
      <c r="I507" s="6"/>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row>
    <row r="508" spans="2:32" ht="12.75">
      <c r="B508" s="49"/>
      <c r="C508" s="5"/>
      <c r="D508" s="5"/>
      <c r="E508" s="5"/>
      <c r="F508" s="5"/>
      <c r="G508" s="5"/>
      <c r="H508" s="3"/>
      <c r="I508" s="6"/>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row>
    <row r="509" spans="2:32" ht="12.75">
      <c r="B509" s="49"/>
      <c r="C509" s="5"/>
      <c r="D509" s="5"/>
      <c r="E509" s="5"/>
      <c r="F509" s="5"/>
      <c r="G509" s="5"/>
      <c r="H509" s="3"/>
      <c r="I509" s="6"/>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2.75">
      <c r="B510" s="49"/>
      <c r="C510" s="5"/>
      <c r="D510" s="5"/>
      <c r="E510" s="5"/>
      <c r="F510" s="5"/>
      <c r="G510" s="5"/>
      <c r="H510" s="3"/>
      <c r="I510" s="6"/>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2.75">
      <c r="B511" s="49"/>
      <c r="C511" s="5"/>
      <c r="D511" s="5"/>
      <c r="E511" s="5"/>
      <c r="F511" s="5"/>
      <c r="G511" s="5"/>
      <c r="H511" s="3"/>
      <c r="I511" s="6"/>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row>
    <row r="512" spans="2:32" ht="12.75">
      <c r="B512" s="49"/>
      <c r="C512" s="5"/>
      <c r="D512" s="5"/>
      <c r="E512" s="5"/>
      <c r="F512" s="5"/>
      <c r="G512" s="5"/>
      <c r="H512" s="3"/>
      <c r="I512" s="6"/>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row>
    <row r="513" spans="2:32" ht="12.75">
      <c r="B513" s="49"/>
      <c r="C513" s="5"/>
      <c r="D513" s="5"/>
      <c r="E513" s="5"/>
      <c r="F513" s="5"/>
      <c r="G513" s="5"/>
      <c r="H513" s="3"/>
      <c r="I513" s="6"/>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row>
    <row r="514" spans="2:32" ht="12.75">
      <c r="B514" s="49"/>
      <c r="C514" s="5"/>
      <c r="D514" s="5"/>
      <c r="E514" s="5"/>
      <c r="F514" s="5"/>
      <c r="G514" s="5"/>
      <c r="H514" s="3"/>
      <c r="I514" s="6"/>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row>
    <row r="515" spans="2:32" ht="12.75">
      <c r="B515" s="49"/>
      <c r="C515" s="5"/>
      <c r="D515" s="5"/>
      <c r="E515" s="5"/>
      <c r="F515" s="5"/>
      <c r="G515" s="5"/>
      <c r="H515" s="3"/>
      <c r="I515" s="6"/>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row>
    <row r="516" spans="2:32" ht="12.75">
      <c r="B516" s="49"/>
      <c r="C516" s="5"/>
      <c r="D516" s="5"/>
      <c r="E516" s="5"/>
      <c r="F516" s="5"/>
      <c r="G516" s="5"/>
      <c r="H516" s="3"/>
      <c r="I516" s="6"/>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row>
    <row r="517" spans="2:32" ht="12.75">
      <c r="B517" s="49"/>
      <c r="C517" s="5"/>
      <c r="D517" s="5"/>
      <c r="E517" s="5"/>
      <c r="F517" s="5"/>
      <c r="G517" s="5"/>
      <c r="H517" s="3"/>
      <c r="I517" s="6"/>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row>
    <row r="518" spans="2:32" ht="12.75">
      <c r="B518" s="49"/>
      <c r="C518" s="5"/>
      <c r="D518" s="5"/>
      <c r="E518" s="5"/>
      <c r="F518" s="5"/>
      <c r="G518" s="5"/>
      <c r="H518" s="3"/>
      <c r="I518" s="6"/>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row>
    <row r="519" spans="2:32" ht="12.75">
      <c r="B519" s="49"/>
      <c r="C519" s="5"/>
      <c r="D519" s="5"/>
      <c r="E519" s="5"/>
      <c r="F519" s="5"/>
      <c r="G519" s="5"/>
      <c r="H519" s="3"/>
      <c r="I519" s="6"/>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row>
    <row r="520" spans="2:32" ht="12.75">
      <c r="B520" s="49"/>
      <c r="C520" s="5"/>
      <c r="D520" s="5"/>
      <c r="E520" s="5"/>
      <c r="F520" s="5"/>
      <c r="G520" s="5"/>
      <c r="H520" s="3"/>
      <c r="I520" s="6"/>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row>
    <row r="521" spans="2:32" ht="12.75">
      <c r="B521" s="49"/>
      <c r="C521" s="5"/>
      <c r="D521" s="5"/>
      <c r="E521" s="5"/>
      <c r="F521" s="5"/>
      <c r="G521" s="5"/>
      <c r="H521" s="3"/>
      <c r="I521" s="6"/>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spans="2:32" ht="12.75">
      <c r="B522" s="49"/>
      <c r="C522" s="5"/>
      <c r="D522" s="5"/>
      <c r="E522" s="5"/>
      <c r="F522" s="5"/>
      <c r="G522" s="5"/>
      <c r="H522" s="3"/>
      <c r="I522" s="6"/>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row>
    <row r="523" spans="2:32" ht="12.75">
      <c r="B523" s="49"/>
      <c r="C523" s="5"/>
      <c r="D523" s="5"/>
      <c r="E523" s="5"/>
      <c r="F523" s="5"/>
      <c r="G523" s="5"/>
      <c r="H523" s="3"/>
      <c r="I523" s="6"/>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row>
    <row r="524" spans="2:32" ht="12.75">
      <c r="B524" s="49"/>
      <c r="C524" s="5"/>
      <c r="D524" s="5"/>
      <c r="E524" s="5"/>
      <c r="F524" s="5"/>
      <c r="G524" s="5"/>
      <c r="H524" s="3"/>
      <c r="I524" s="6"/>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row>
    <row r="525" spans="2:32" ht="12.75">
      <c r="B525" s="49"/>
      <c r="C525" s="5"/>
      <c r="D525" s="5"/>
      <c r="E525" s="5"/>
      <c r="F525" s="5"/>
      <c r="G525" s="5"/>
      <c r="H525" s="3"/>
      <c r="I525" s="6"/>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row>
    <row r="526" spans="2:32" ht="12.75">
      <c r="B526" s="49"/>
      <c r="C526" s="5"/>
      <c r="D526" s="5"/>
      <c r="E526" s="5"/>
      <c r="F526" s="5"/>
      <c r="G526" s="5"/>
      <c r="H526" s="3"/>
      <c r="I526" s="6"/>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row>
    <row r="527" spans="2:32" ht="12.75">
      <c r="B527" s="49"/>
      <c r="C527" s="5"/>
      <c r="D527" s="5"/>
      <c r="E527" s="5"/>
      <c r="F527" s="5"/>
      <c r="G527" s="5"/>
      <c r="H527" s="3"/>
      <c r="I527" s="6"/>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spans="2:32" ht="12.75">
      <c r="B528" s="49"/>
      <c r="C528" s="5"/>
      <c r="D528" s="5"/>
      <c r="E528" s="5"/>
      <c r="F528" s="5"/>
      <c r="G528" s="5"/>
      <c r="H528" s="3"/>
      <c r="I528" s="6"/>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row>
    <row r="529" spans="2:32" ht="12.75">
      <c r="B529" s="49"/>
      <c r="C529" s="5"/>
      <c r="D529" s="5"/>
      <c r="E529" s="5"/>
      <c r="F529" s="5"/>
      <c r="G529" s="5"/>
      <c r="H529" s="3"/>
      <c r="I529" s="6"/>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row>
    <row r="530" spans="2:32" ht="12.75">
      <c r="B530" s="49"/>
      <c r="C530" s="5"/>
      <c r="D530" s="5"/>
      <c r="E530" s="5"/>
      <c r="F530" s="5"/>
      <c r="G530" s="5"/>
      <c r="H530" s="3"/>
      <c r="I530" s="6"/>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row>
    <row r="531" spans="2:32" ht="12.75">
      <c r="B531" s="49"/>
      <c r="C531" s="5"/>
      <c r="D531" s="5"/>
      <c r="E531" s="5"/>
      <c r="F531" s="5"/>
      <c r="G531" s="5"/>
      <c r="H531" s="3"/>
      <c r="I531" s="6"/>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row>
    <row r="532" spans="2:32" ht="12.75">
      <c r="B532" s="49"/>
      <c r="C532" s="5"/>
      <c r="D532" s="5"/>
      <c r="E532" s="5"/>
      <c r="F532" s="5"/>
      <c r="G532" s="5"/>
      <c r="H532" s="3"/>
      <c r="I532" s="6"/>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row>
    <row r="533" spans="2:32" ht="12.75">
      <c r="B533" s="49"/>
      <c r="C533" s="5"/>
      <c r="D533" s="5"/>
      <c r="E533" s="5"/>
      <c r="F533" s="5"/>
      <c r="G533" s="5"/>
      <c r="H533" s="3"/>
      <c r="I533" s="6"/>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row>
    <row r="534" spans="2:32" ht="12.75">
      <c r="B534" s="49"/>
      <c r="C534" s="5"/>
      <c r="D534" s="5"/>
      <c r="E534" s="5"/>
      <c r="F534" s="5"/>
      <c r="G534" s="5"/>
      <c r="H534" s="3"/>
      <c r="I534" s="6"/>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row>
    <row r="535" spans="2:32" ht="12.75">
      <c r="B535" s="49"/>
      <c r="C535" s="5"/>
      <c r="D535" s="5"/>
      <c r="E535" s="5"/>
      <c r="F535" s="5"/>
      <c r="G535" s="5"/>
      <c r="H535" s="3"/>
      <c r="I535" s="6"/>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row>
    <row r="536" spans="2:32" ht="12.75">
      <c r="B536" s="49"/>
      <c r="C536" s="5"/>
      <c r="D536" s="5"/>
      <c r="E536" s="5"/>
      <c r="F536" s="5"/>
      <c r="G536" s="5"/>
      <c r="H536" s="3"/>
      <c r="I536" s="6"/>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row>
    <row r="537" spans="2:32" ht="12.75">
      <c r="B537" s="49"/>
      <c r="C537" s="5"/>
      <c r="D537" s="5"/>
      <c r="E537" s="5"/>
      <c r="F537" s="5"/>
      <c r="G537" s="5"/>
      <c r="H537" s="3"/>
      <c r="I537" s="6"/>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row>
    <row r="538" spans="2:32" ht="12.75">
      <c r="B538" s="49"/>
      <c r="C538" s="5"/>
      <c r="D538" s="5"/>
      <c r="E538" s="5"/>
      <c r="F538" s="5"/>
      <c r="G538" s="5"/>
      <c r="H538" s="3"/>
      <c r="I538" s="6"/>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row>
    <row r="539" spans="2:32" ht="12.75">
      <c r="B539" s="49"/>
      <c r="C539" s="5"/>
      <c r="D539" s="5"/>
      <c r="E539" s="5"/>
      <c r="F539" s="5"/>
      <c r="G539" s="5"/>
      <c r="H539" s="3"/>
      <c r="I539" s="6"/>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row>
    <row r="540" spans="2:32" ht="12.75">
      <c r="B540" s="49"/>
      <c r="C540" s="5"/>
      <c r="D540" s="5"/>
      <c r="E540" s="5"/>
      <c r="F540" s="5"/>
      <c r="G540" s="5"/>
      <c r="H540" s="3"/>
      <c r="I540" s="6"/>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row>
    <row r="541" spans="2:32" ht="12.75">
      <c r="B541" s="49"/>
      <c r="C541" s="5"/>
      <c r="D541" s="5"/>
      <c r="E541" s="5"/>
      <c r="F541" s="5"/>
      <c r="G541" s="5"/>
      <c r="H541" s="3"/>
      <c r="I541" s="6"/>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row>
    <row r="542" spans="2:32" ht="12.75">
      <c r="B542" s="49"/>
      <c r="C542" s="5"/>
      <c r="D542" s="5"/>
      <c r="E542" s="5"/>
      <c r="F542" s="5"/>
      <c r="G542" s="5"/>
      <c r="H542" s="3"/>
      <c r="I542" s="6"/>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row>
    <row r="543" spans="2:32" ht="12.75">
      <c r="B543" s="49"/>
      <c r="C543" s="5"/>
      <c r="D543" s="5"/>
      <c r="E543" s="5"/>
      <c r="F543" s="5"/>
      <c r="G543" s="5"/>
      <c r="H543" s="3"/>
      <c r="I543" s="6"/>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row>
    <row r="544" spans="2:32" ht="12.75">
      <c r="B544" s="49"/>
      <c r="C544" s="5"/>
      <c r="D544" s="5"/>
      <c r="E544" s="5"/>
      <c r="F544" s="5"/>
      <c r="G544" s="5"/>
      <c r="H544" s="3"/>
      <c r="I544" s="6"/>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row>
    <row r="545" spans="2:32" ht="12.75">
      <c r="B545" s="49"/>
      <c r="C545" s="5"/>
      <c r="D545" s="5"/>
      <c r="E545" s="5"/>
      <c r="F545" s="5"/>
      <c r="G545" s="5"/>
      <c r="H545" s="3"/>
      <c r="I545" s="6"/>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spans="2:32" ht="12.75">
      <c r="B546" s="49"/>
      <c r="C546" s="5"/>
      <c r="D546" s="5"/>
      <c r="E546" s="5"/>
      <c r="F546" s="5"/>
      <c r="G546" s="5"/>
      <c r="H546" s="3"/>
      <c r="I546" s="6"/>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row>
    <row r="547" spans="2:32" ht="12.75">
      <c r="B547" s="49"/>
      <c r="C547" s="5"/>
      <c r="D547" s="5"/>
      <c r="E547" s="5"/>
      <c r="F547" s="5"/>
      <c r="G547" s="5"/>
      <c r="H547" s="3"/>
      <c r="I547" s="6"/>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row>
    <row r="548" spans="2:32" ht="12.75">
      <c r="B548" s="49"/>
      <c r="C548" s="5"/>
      <c r="D548" s="5"/>
      <c r="E548" s="5"/>
      <c r="F548" s="5"/>
      <c r="G548" s="5"/>
      <c r="H548" s="3"/>
      <c r="I548" s="6"/>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row>
    <row r="549" spans="2:32" ht="12.75">
      <c r="B549" s="49"/>
      <c r="C549" s="5"/>
      <c r="D549" s="5"/>
      <c r="E549" s="5"/>
      <c r="F549" s="5"/>
      <c r="G549" s="5"/>
      <c r="H549" s="3"/>
      <c r="I549" s="6"/>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row>
    <row r="550" spans="2:32" ht="12.75">
      <c r="B550" s="49"/>
      <c r="C550" s="5"/>
      <c r="D550" s="5"/>
      <c r="E550" s="5"/>
      <c r="F550" s="5"/>
      <c r="G550" s="5"/>
      <c r="H550" s="3"/>
      <c r="I550" s="6"/>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row>
    <row r="551" spans="2:32" ht="12.75">
      <c r="B551" s="49"/>
      <c r="C551" s="5"/>
      <c r="D551" s="5"/>
      <c r="E551" s="5"/>
      <c r="F551" s="5"/>
      <c r="G551" s="5"/>
      <c r="H551" s="3"/>
      <c r="I551" s="6"/>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row>
    <row r="552" spans="2:32" ht="12.75">
      <c r="B552" s="49"/>
      <c r="C552" s="5"/>
      <c r="D552" s="5"/>
      <c r="E552" s="5"/>
      <c r="F552" s="5"/>
      <c r="G552" s="5"/>
      <c r="H552" s="3"/>
      <c r="I552" s="6"/>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row>
    <row r="553" spans="2:32" ht="12.75">
      <c r="B553" s="49"/>
      <c r="C553" s="5"/>
      <c r="D553" s="5"/>
      <c r="E553" s="5"/>
      <c r="F553" s="5"/>
      <c r="G553" s="5"/>
      <c r="H553" s="3"/>
      <c r="I553" s="6"/>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row>
    <row r="554" spans="2:32" ht="12.75">
      <c r="B554" s="49"/>
      <c r="C554" s="5"/>
      <c r="D554" s="5"/>
      <c r="E554" s="5"/>
      <c r="F554" s="5"/>
      <c r="G554" s="5"/>
      <c r="H554" s="3"/>
      <c r="I554" s="6"/>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row>
    <row r="555" spans="2:32" ht="12.75">
      <c r="B555" s="49"/>
      <c r="C555" s="5"/>
      <c r="D555" s="5"/>
      <c r="E555" s="5"/>
      <c r="F555" s="5"/>
      <c r="G555" s="5"/>
      <c r="H555" s="3"/>
      <c r="I555" s="6"/>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row>
    <row r="556" spans="2:32" ht="12.75">
      <c r="B556" s="49"/>
      <c r="C556" s="5"/>
      <c r="D556" s="5"/>
      <c r="E556" s="5"/>
      <c r="F556" s="5"/>
      <c r="G556" s="5"/>
      <c r="H556" s="3"/>
      <c r="I556" s="6"/>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row>
    <row r="557" spans="2:32" ht="12.75">
      <c r="B557" s="49"/>
      <c r="C557" s="5"/>
      <c r="D557" s="5"/>
      <c r="E557" s="5"/>
      <c r="F557" s="5"/>
      <c r="G557" s="5"/>
      <c r="H557" s="3"/>
      <c r="I557" s="6"/>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row>
    <row r="558" spans="2:32" ht="12.75">
      <c r="B558" s="49"/>
      <c r="C558" s="5"/>
      <c r="D558" s="5"/>
      <c r="E558" s="5"/>
      <c r="F558" s="5"/>
      <c r="G558" s="5"/>
      <c r="H558" s="3"/>
      <c r="I558" s="6"/>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row>
    <row r="559" spans="2:32" ht="12.75">
      <c r="B559" s="49"/>
      <c r="C559" s="5"/>
      <c r="D559" s="5"/>
      <c r="E559" s="5"/>
      <c r="F559" s="5"/>
      <c r="G559" s="5"/>
      <c r="H559" s="3"/>
      <c r="I559" s="6"/>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row>
    <row r="560" spans="2:32" ht="12.75">
      <c r="B560" s="49"/>
      <c r="C560" s="5"/>
      <c r="D560" s="5"/>
      <c r="E560" s="5"/>
      <c r="F560" s="5"/>
      <c r="G560" s="5"/>
      <c r="H560" s="3"/>
      <c r="I560" s="6"/>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row>
    <row r="561" spans="2:32" ht="12.75">
      <c r="B561" s="49"/>
      <c r="C561" s="5"/>
      <c r="D561" s="5"/>
      <c r="E561" s="5"/>
      <c r="F561" s="5"/>
      <c r="G561" s="5"/>
      <c r="H561" s="3"/>
      <c r="I561" s="6"/>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row>
    <row r="562" spans="2:32" ht="12.75">
      <c r="B562" s="49"/>
      <c r="C562" s="5"/>
      <c r="D562" s="5"/>
      <c r="E562" s="5"/>
      <c r="F562" s="5"/>
      <c r="G562" s="5"/>
      <c r="H562" s="3"/>
      <c r="I562" s="6"/>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row>
    <row r="563" spans="2:32" ht="12.75">
      <c r="B563" s="49"/>
      <c r="C563" s="5"/>
      <c r="D563" s="5"/>
      <c r="E563" s="5"/>
      <c r="F563" s="5"/>
      <c r="G563" s="5"/>
      <c r="H563" s="3"/>
      <c r="I563" s="6"/>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row>
    <row r="564" spans="2:32" ht="12.75">
      <c r="B564" s="49"/>
      <c r="C564" s="5"/>
      <c r="D564" s="5"/>
      <c r="E564" s="5"/>
      <c r="F564" s="5"/>
      <c r="G564" s="5"/>
      <c r="H564" s="3"/>
      <c r="I564" s="6"/>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row>
    <row r="565" spans="2:32" ht="12.75">
      <c r="B565" s="49"/>
      <c r="C565" s="5"/>
      <c r="D565" s="5"/>
      <c r="E565" s="5"/>
      <c r="F565" s="5"/>
      <c r="G565" s="5"/>
      <c r="H565" s="3"/>
      <c r="I565" s="6"/>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row>
    <row r="566" spans="2:32" ht="12.75">
      <c r="B566" s="49"/>
      <c r="C566" s="5"/>
      <c r="D566" s="5"/>
      <c r="E566" s="5"/>
      <c r="F566" s="5"/>
      <c r="G566" s="5"/>
      <c r="H566" s="3"/>
      <c r="I566" s="6"/>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row>
    <row r="567" spans="2:32" ht="12.75">
      <c r="B567" s="49"/>
      <c r="C567" s="5"/>
      <c r="D567" s="5"/>
      <c r="E567" s="5"/>
      <c r="F567" s="5"/>
      <c r="G567" s="5"/>
      <c r="H567" s="3"/>
      <c r="I567" s="6"/>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row>
    <row r="568" spans="2:32" ht="12.75">
      <c r="B568" s="49"/>
      <c r="C568" s="5"/>
      <c r="D568" s="5"/>
      <c r="E568" s="5"/>
      <c r="F568" s="5"/>
      <c r="G568" s="5"/>
      <c r="H568" s="3"/>
      <c r="I568" s="6"/>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row>
    <row r="569" spans="2:32" ht="12.75">
      <c r="B569" s="49"/>
      <c r="C569" s="5"/>
      <c r="D569" s="5"/>
      <c r="E569" s="5"/>
      <c r="F569" s="5"/>
      <c r="G569" s="5"/>
      <c r="H569" s="3"/>
      <c r="I569" s="6"/>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row>
    <row r="570" spans="2:32" ht="12.75">
      <c r="B570" s="49"/>
      <c r="C570" s="5"/>
      <c r="D570" s="5"/>
      <c r="E570" s="5"/>
      <c r="F570" s="5"/>
      <c r="G570" s="5"/>
      <c r="H570" s="3"/>
      <c r="I570" s="6"/>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row>
    <row r="571" spans="2:32" ht="12.75">
      <c r="B571" s="49"/>
      <c r="C571" s="5"/>
      <c r="D571" s="5"/>
      <c r="E571" s="5"/>
      <c r="F571" s="5"/>
      <c r="G571" s="5"/>
      <c r="H571" s="3"/>
      <c r="I571" s="6"/>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row>
    <row r="572" spans="2:32" ht="12.75">
      <c r="B572" s="49"/>
      <c r="C572" s="5"/>
      <c r="D572" s="5"/>
      <c r="E572" s="5"/>
      <c r="F572" s="5"/>
      <c r="G572" s="5"/>
      <c r="H572" s="3"/>
      <c r="I572" s="6"/>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row>
    <row r="573" spans="2:32" ht="12.75">
      <c r="B573" s="49"/>
      <c r="C573" s="5"/>
      <c r="D573" s="5"/>
      <c r="E573" s="5"/>
      <c r="F573" s="5"/>
      <c r="G573" s="5"/>
      <c r="H573" s="3"/>
      <c r="I573" s="6"/>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row>
    <row r="574" spans="2:32" ht="12.75">
      <c r="B574" s="49"/>
      <c r="C574" s="5"/>
      <c r="D574" s="5"/>
      <c r="E574" s="5"/>
      <c r="F574" s="5"/>
      <c r="G574" s="5"/>
      <c r="H574" s="3"/>
      <c r="I574" s="6"/>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row>
    <row r="575" spans="2:32" ht="12.75">
      <c r="B575" s="49"/>
      <c r="C575" s="5"/>
      <c r="D575" s="5"/>
      <c r="E575" s="5"/>
      <c r="F575" s="5"/>
      <c r="G575" s="5"/>
      <c r="H575" s="3"/>
      <c r="I575" s="6"/>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row>
    <row r="576" spans="2:32" ht="12.75">
      <c r="B576" s="49"/>
      <c r="C576" s="5"/>
      <c r="D576" s="5"/>
      <c r="E576" s="5"/>
      <c r="F576" s="5"/>
      <c r="G576" s="5"/>
      <c r="H576" s="3"/>
      <c r="I576" s="6"/>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row>
    <row r="577" spans="2:32" ht="12.75">
      <c r="B577" s="49"/>
      <c r="C577" s="5"/>
      <c r="D577" s="5"/>
      <c r="E577" s="5"/>
      <c r="F577" s="5"/>
      <c r="G577" s="5"/>
      <c r="H577" s="3"/>
      <c r="I577" s="6"/>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row>
    <row r="578" spans="2:32" ht="12.75">
      <c r="B578" s="49"/>
      <c r="C578" s="5"/>
      <c r="D578" s="5"/>
      <c r="E578" s="5"/>
      <c r="F578" s="5"/>
      <c r="G578" s="5"/>
      <c r="H578" s="3"/>
      <c r="I578" s="6"/>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row>
    <row r="579" spans="2:32" ht="12.75">
      <c r="B579" s="49"/>
      <c r="C579" s="5"/>
      <c r="D579" s="5"/>
      <c r="E579" s="5"/>
      <c r="F579" s="5"/>
      <c r="G579" s="5"/>
      <c r="H579" s="3"/>
      <c r="I579" s="6"/>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row>
    <row r="580" spans="2:32" ht="12.75">
      <c r="B580" s="49"/>
      <c r="C580" s="5"/>
      <c r="D580" s="5"/>
      <c r="E580" s="5"/>
      <c r="F580" s="5"/>
      <c r="G580" s="5"/>
      <c r="H580" s="3"/>
      <c r="I580" s="6"/>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row>
    <row r="581" spans="2:32" ht="12.75">
      <c r="B581" s="49"/>
      <c r="C581" s="5"/>
      <c r="D581" s="5"/>
      <c r="E581" s="5"/>
      <c r="F581" s="5"/>
      <c r="G581" s="5"/>
      <c r="H581" s="3"/>
      <c r="I581" s="6"/>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row>
    <row r="582" spans="2:32" ht="12.75">
      <c r="B582" s="49"/>
      <c r="C582" s="5"/>
      <c r="D582" s="5"/>
      <c r="E582" s="5"/>
      <c r="F582" s="5"/>
      <c r="G582" s="5"/>
      <c r="H582" s="3"/>
      <c r="I582" s="6"/>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row>
    <row r="583" spans="2:32" ht="12.75">
      <c r="B583" s="49"/>
      <c r="C583" s="5"/>
      <c r="D583" s="5"/>
      <c r="E583" s="5"/>
      <c r="F583" s="5"/>
      <c r="G583" s="5"/>
      <c r="H583" s="3"/>
      <c r="I583" s="6"/>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row>
    <row r="584" spans="2:32" ht="12.75">
      <c r="B584" s="49"/>
      <c r="C584" s="5"/>
      <c r="D584" s="5"/>
      <c r="E584" s="5"/>
      <c r="F584" s="5"/>
      <c r="G584" s="5"/>
      <c r="H584" s="3"/>
      <c r="I584" s="6"/>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row>
    <row r="585" spans="2:32" ht="12.75">
      <c r="B585" s="49"/>
      <c r="C585" s="5"/>
      <c r="D585" s="5"/>
      <c r="E585" s="5"/>
      <c r="F585" s="5"/>
      <c r="G585" s="5"/>
      <c r="H585" s="3"/>
      <c r="I585" s="6"/>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row>
    <row r="586" spans="2:32" ht="12.75">
      <c r="B586" s="49"/>
      <c r="C586" s="5"/>
      <c r="D586" s="5"/>
      <c r="E586" s="5"/>
      <c r="F586" s="5"/>
      <c r="G586" s="5"/>
      <c r="H586" s="3"/>
      <c r="I586" s="6"/>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row>
    <row r="587" spans="2:32" ht="12.75">
      <c r="B587" s="49"/>
      <c r="C587" s="5"/>
      <c r="D587" s="5"/>
      <c r="E587" s="5"/>
      <c r="F587" s="5"/>
      <c r="G587" s="5"/>
      <c r="H587" s="3"/>
      <c r="I587" s="6"/>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row>
    <row r="588" spans="2:32" ht="12.75">
      <c r="B588" s="49"/>
      <c r="C588" s="5"/>
      <c r="D588" s="5"/>
      <c r="E588" s="5"/>
      <c r="F588" s="5"/>
      <c r="G588" s="5"/>
      <c r="H588" s="3"/>
      <c r="I588" s="6"/>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row>
    <row r="589" spans="2:32" ht="12.75">
      <c r="B589" s="49"/>
      <c r="C589" s="5"/>
      <c r="D589" s="5"/>
      <c r="E589" s="5"/>
      <c r="F589" s="5"/>
      <c r="G589" s="5"/>
      <c r="H589" s="3"/>
      <c r="I589" s="6"/>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row>
    <row r="590" spans="2:32" ht="12.75">
      <c r="B590" s="49"/>
      <c r="C590" s="5"/>
      <c r="D590" s="5"/>
      <c r="E590" s="5"/>
      <c r="F590" s="5"/>
      <c r="G590" s="5"/>
      <c r="H590" s="3"/>
      <c r="I590" s="6"/>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row>
    <row r="591" spans="2:32" ht="12.75">
      <c r="B591" s="49"/>
      <c r="C591" s="5"/>
      <c r="D591" s="5"/>
      <c r="E591" s="5"/>
      <c r="F591" s="5"/>
      <c r="G591" s="5"/>
      <c r="H591" s="3"/>
      <c r="I591" s="6"/>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row>
    <row r="592" spans="2:32" ht="12.75">
      <c r="B592" s="49"/>
      <c r="C592" s="5"/>
      <c r="D592" s="5"/>
      <c r="E592" s="5"/>
      <c r="F592" s="5"/>
      <c r="G592" s="5"/>
      <c r="H592" s="3"/>
      <c r="I592" s="6"/>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row>
    <row r="593" spans="2:32" ht="12.75">
      <c r="B593" s="49"/>
      <c r="C593" s="5"/>
      <c r="D593" s="5"/>
      <c r="E593" s="5"/>
      <c r="F593" s="5"/>
      <c r="G593" s="5"/>
      <c r="H593" s="3"/>
      <c r="I593" s="6"/>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row>
    <row r="594" spans="2:32" ht="12.75">
      <c r="B594" s="49"/>
      <c r="C594" s="5"/>
      <c r="D594" s="5"/>
      <c r="E594" s="5"/>
      <c r="F594" s="5"/>
      <c r="G594" s="5"/>
      <c r="H594" s="3"/>
      <c r="I594" s="6"/>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row>
    <row r="595" spans="2:32" ht="12.75">
      <c r="B595" s="49"/>
      <c r="C595" s="5"/>
      <c r="D595" s="5"/>
      <c r="E595" s="5"/>
      <c r="F595" s="5"/>
      <c r="G595" s="5"/>
      <c r="H595" s="3"/>
      <c r="I595" s="6"/>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row>
    <row r="596" spans="2:32" ht="12.75">
      <c r="B596" s="49"/>
      <c r="C596" s="5"/>
      <c r="D596" s="5"/>
      <c r="E596" s="5"/>
      <c r="F596" s="5"/>
      <c r="G596" s="5"/>
      <c r="H596" s="3"/>
      <c r="I596" s="6"/>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row>
    <row r="597" spans="2:32" ht="12.75">
      <c r="B597" s="49"/>
      <c r="C597" s="5"/>
      <c r="D597" s="5"/>
      <c r="E597" s="5"/>
      <c r="F597" s="5"/>
      <c r="G597" s="5"/>
      <c r="H597" s="3"/>
      <c r="I597" s="6"/>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row>
    <row r="598" spans="2:32" ht="12.75">
      <c r="B598" s="49"/>
      <c r="C598" s="5"/>
      <c r="D598" s="5"/>
      <c r="E598" s="5"/>
      <c r="F598" s="5"/>
      <c r="G598" s="5"/>
      <c r="H598" s="3"/>
      <c r="I598" s="6"/>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row>
    <row r="599" spans="2:32" ht="12.75">
      <c r="B599" s="49"/>
      <c r="C599" s="5"/>
      <c r="D599" s="5"/>
      <c r="E599" s="5"/>
      <c r="F599" s="5"/>
      <c r="G599" s="5"/>
      <c r="H599" s="3"/>
      <c r="I599" s="6"/>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row>
    <row r="600" spans="2:32" ht="12.75">
      <c r="B600" s="49"/>
      <c r="C600" s="5"/>
      <c r="D600" s="5"/>
      <c r="E600" s="5"/>
      <c r="F600" s="5"/>
      <c r="G600" s="5"/>
      <c r="H600" s="3"/>
      <c r="I600" s="6"/>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spans="2:32" ht="12.75">
      <c r="B601" s="49"/>
      <c r="C601" s="5"/>
      <c r="D601" s="5"/>
      <c r="E601" s="5"/>
      <c r="F601" s="5"/>
      <c r="G601" s="5"/>
      <c r="H601" s="3"/>
      <c r="I601" s="6"/>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row>
    <row r="602" spans="2:32" ht="12.75">
      <c r="B602" s="49"/>
      <c r="C602" s="5"/>
      <c r="D602" s="5"/>
      <c r="E602" s="5"/>
      <c r="F602" s="5"/>
      <c r="G602" s="5"/>
      <c r="H602" s="3"/>
      <c r="I602" s="6"/>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row>
    <row r="603" spans="2:32" ht="12.75">
      <c r="B603" s="49"/>
      <c r="C603" s="5"/>
      <c r="D603" s="5"/>
      <c r="E603" s="5"/>
      <c r="F603" s="5"/>
      <c r="G603" s="5"/>
      <c r="H603" s="3"/>
      <c r="I603" s="6"/>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row>
    <row r="604" spans="2:32" ht="12.75">
      <c r="B604" s="49"/>
      <c r="C604" s="5"/>
      <c r="D604" s="5"/>
      <c r="E604" s="5"/>
      <c r="F604" s="5"/>
      <c r="G604" s="5"/>
      <c r="H604" s="3"/>
      <c r="I604" s="6"/>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row>
    <row r="605" spans="2:32" ht="12.75">
      <c r="B605" s="49"/>
      <c r="C605" s="5"/>
      <c r="D605" s="5"/>
      <c r="E605" s="5"/>
      <c r="F605" s="5"/>
      <c r="G605" s="5"/>
      <c r="H605" s="3"/>
      <c r="I605" s="6"/>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row>
    <row r="606" spans="2:32" ht="12.75">
      <c r="B606" s="49"/>
      <c r="C606" s="5"/>
      <c r="D606" s="5"/>
      <c r="E606" s="5"/>
      <c r="F606" s="5"/>
      <c r="G606" s="5"/>
      <c r="H606" s="3"/>
      <c r="I606" s="6"/>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row>
    <row r="607" spans="2:32" ht="12.75">
      <c r="B607" s="49"/>
      <c r="C607" s="5"/>
      <c r="D607" s="5"/>
      <c r="E607" s="5"/>
      <c r="F607" s="5"/>
      <c r="G607" s="5"/>
      <c r="H607" s="3"/>
      <c r="I607" s="6"/>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row>
    <row r="608" spans="2:32" ht="12.75">
      <c r="B608" s="49"/>
      <c r="C608" s="5"/>
      <c r="D608" s="5"/>
      <c r="E608" s="5"/>
      <c r="F608" s="5"/>
      <c r="G608" s="5"/>
      <c r="H608" s="3"/>
      <c r="I608" s="6"/>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row>
    <row r="609" spans="2:32" ht="12.75">
      <c r="B609" s="49"/>
      <c r="C609" s="5"/>
      <c r="D609" s="5"/>
      <c r="E609" s="5"/>
      <c r="F609" s="5"/>
      <c r="G609" s="5"/>
      <c r="H609" s="3"/>
      <c r="I609" s="6"/>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row>
    <row r="610" spans="2:32" ht="12.75">
      <c r="B610" s="49"/>
      <c r="C610" s="5"/>
      <c r="D610" s="5"/>
      <c r="E610" s="5"/>
      <c r="F610" s="5"/>
      <c r="G610" s="5"/>
      <c r="H610" s="3"/>
      <c r="I610" s="6"/>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row>
    <row r="611" spans="2:32" ht="12.75">
      <c r="B611" s="49"/>
      <c r="C611" s="5"/>
      <c r="D611" s="5"/>
      <c r="E611" s="5"/>
      <c r="F611" s="5"/>
      <c r="G611" s="5"/>
      <c r="H611" s="3"/>
      <c r="I611" s="6"/>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row>
    <row r="612" spans="2:32" ht="12.75">
      <c r="B612" s="49"/>
      <c r="C612" s="5"/>
      <c r="D612" s="5"/>
      <c r="E612" s="5"/>
      <c r="F612" s="5"/>
      <c r="G612" s="5"/>
      <c r="H612" s="3"/>
      <c r="I612" s="6"/>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row>
    <row r="613" spans="2:32" ht="12.75">
      <c r="B613" s="49"/>
      <c r="C613" s="5"/>
      <c r="D613" s="5"/>
      <c r="E613" s="5"/>
      <c r="F613" s="5"/>
      <c r="G613" s="5"/>
      <c r="H613" s="3"/>
      <c r="I613" s="6"/>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row>
    <row r="614" spans="2:32" ht="12.75">
      <c r="B614" s="49"/>
      <c r="C614" s="5"/>
      <c r="D614" s="5"/>
      <c r="E614" s="5"/>
      <c r="F614" s="5"/>
      <c r="G614" s="5"/>
      <c r="H614" s="3"/>
      <c r="I614" s="6"/>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row>
    <row r="615" spans="2:32" ht="12.75">
      <c r="B615" s="49"/>
      <c r="C615" s="5"/>
      <c r="D615" s="5"/>
      <c r="E615" s="5"/>
      <c r="F615" s="5"/>
      <c r="G615" s="5"/>
      <c r="H615" s="3"/>
      <c r="I615" s="6"/>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row>
    <row r="616" spans="2:32" ht="12.75">
      <c r="B616" s="49"/>
      <c r="C616" s="5"/>
      <c r="D616" s="5"/>
      <c r="E616" s="5"/>
      <c r="F616" s="5"/>
      <c r="G616" s="5"/>
      <c r="H616" s="3"/>
      <c r="I616" s="6"/>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row>
    <row r="617" spans="2:32" ht="12.75">
      <c r="B617" s="49"/>
      <c r="C617" s="5"/>
      <c r="D617" s="5"/>
      <c r="E617" s="5"/>
      <c r="F617" s="5"/>
      <c r="G617" s="5"/>
      <c r="H617" s="3"/>
      <c r="I617" s="6"/>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row>
    <row r="618" spans="2:32" ht="12.75">
      <c r="B618" s="49"/>
      <c r="C618" s="5"/>
      <c r="D618" s="5"/>
      <c r="E618" s="5"/>
      <c r="F618" s="5"/>
      <c r="G618" s="5"/>
      <c r="H618" s="3"/>
      <c r="I618" s="6"/>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row>
    <row r="619" spans="2:32" ht="12.75">
      <c r="B619" s="49"/>
      <c r="C619" s="5"/>
      <c r="D619" s="5"/>
      <c r="E619" s="5"/>
      <c r="F619" s="5"/>
      <c r="G619" s="5"/>
      <c r="H619" s="3"/>
      <c r="I619" s="6"/>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row>
    <row r="620" spans="2:32" ht="12.75">
      <c r="B620" s="49"/>
      <c r="C620" s="5"/>
      <c r="D620" s="5"/>
      <c r="E620" s="5"/>
      <c r="F620" s="5"/>
      <c r="G620" s="5"/>
      <c r="H620" s="3"/>
      <c r="I620" s="6"/>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row>
    <row r="621" spans="2:32" ht="12.75">
      <c r="B621" s="49"/>
      <c r="C621" s="5"/>
      <c r="D621" s="5"/>
      <c r="E621" s="5"/>
      <c r="F621" s="5"/>
      <c r="G621" s="5"/>
      <c r="H621" s="3"/>
      <c r="I621" s="6"/>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row>
    <row r="622" spans="2:32" ht="12.75">
      <c r="B622" s="49"/>
      <c r="C622" s="5"/>
      <c r="D622" s="5"/>
      <c r="E622" s="5"/>
      <c r="F622" s="5"/>
      <c r="G622" s="5"/>
      <c r="H622" s="3"/>
      <c r="I622" s="6"/>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row>
    <row r="623" spans="2:32" ht="12.75">
      <c r="B623" s="49"/>
      <c r="C623" s="5"/>
      <c r="D623" s="5"/>
      <c r="E623" s="5"/>
      <c r="F623" s="5"/>
      <c r="G623" s="5"/>
      <c r="H623" s="3"/>
      <c r="I623" s="6"/>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row>
    <row r="624" spans="2:32" ht="12.75">
      <c r="B624" s="49"/>
      <c r="C624" s="5"/>
      <c r="D624" s="5"/>
      <c r="E624" s="5"/>
      <c r="F624" s="5"/>
      <c r="G624" s="5"/>
      <c r="H624" s="3"/>
      <c r="I624" s="6"/>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row>
    <row r="625" spans="2:32" ht="12.75">
      <c r="B625" s="49"/>
      <c r="C625" s="5"/>
      <c r="D625" s="5"/>
      <c r="E625" s="5"/>
      <c r="F625" s="5"/>
      <c r="G625" s="5"/>
      <c r="H625" s="3"/>
      <c r="I625" s="6"/>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row>
    <row r="626" spans="2:32" ht="12.75">
      <c r="B626" s="49"/>
      <c r="C626" s="5"/>
      <c r="D626" s="5"/>
      <c r="E626" s="5"/>
      <c r="F626" s="5"/>
      <c r="G626" s="5"/>
      <c r="H626" s="3"/>
      <c r="I626" s="6"/>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row>
    <row r="627" spans="2:32" ht="12.75">
      <c r="B627" s="49"/>
      <c r="C627" s="5"/>
      <c r="D627" s="5"/>
      <c r="E627" s="5"/>
      <c r="F627" s="5"/>
      <c r="G627" s="5"/>
      <c r="H627" s="3"/>
      <c r="I627" s="6"/>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row>
    <row r="628" spans="2:32" ht="12.75">
      <c r="B628" s="49"/>
      <c r="C628" s="5"/>
      <c r="D628" s="5"/>
      <c r="E628" s="5"/>
      <c r="F628" s="5"/>
      <c r="G628" s="5"/>
      <c r="H628" s="3"/>
      <c r="I628" s="6"/>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row>
    <row r="629" spans="2:32" ht="12.75">
      <c r="B629" s="49"/>
      <c r="C629" s="5"/>
      <c r="D629" s="5"/>
      <c r="E629" s="5"/>
      <c r="F629" s="5"/>
      <c r="G629" s="5"/>
      <c r="H629" s="3"/>
      <c r="I629" s="6"/>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row>
    <row r="630" spans="2:32" ht="12.75">
      <c r="B630" s="49"/>
      <c r="C630" s="5"/>
      <c r="D630" s="5"/>
      <c r="E630" s="5"/>
      <c r="F630" s="5"/>
      <c r="G630" s="5"/>
      <c r="H630" s="3"/>
      <c r="I630" s="6"/>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row>
    <row r="631" spans="2:32" ht="12.75">
      <c r="B631" s="49"/>
      <c r="C631" s="5"/>
      <c r="D631" s="5"/>
      <c r="E631" s="5"/>
      <c r="F631" s="5"/>
      <c r="G631" s="5"/>
      <c r="H631" s="3"/>
      <c r="I631" s="6"/>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row>
    <row r="632" spans="2:32" ht="12.75">
      <c r="B632" s="49"/>
      <c r="C632" s="5"/>
      <c r="D632" s="5"/>
      <c r="E632" s="5"/>
      <c r="F632" s="5"/>
      <c r="G632" s="5"/>
      <c r="H632" s="3"/>
      <c r="I632" s="6"/>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row>
    <row r="633" spans="2:32" ht="12.75">
      <c r="B633" s="49"/>
      <c r="C633" s="5"/>
      <c r="D633" s="5"/>
      <c r="E633" s="5"/>
      <c r="F633" s="5"/>
      <c r="G633" s="5"/>
      <c r="H633" s="3"/>
      <c r="I633" s="6"/>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row>
    <row r="634" spans="2:32" ht="12.75">
      <c r="B634" s="49"/>
      <c r="C634" s="5"/>
      <c r="D634" s="5"/>
      <c r="E634" s="5"/>
      <c r="F634" s="5"/>
      <c r="G634" s="5"/>
      <c r="H634" s="3"/>
      <c r="I634" s="6"/>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row>
    <row r="635" spans="2:32" ht="12.75">
      <c r="B635" s="49"/>
      <c r="C635" s="5"/>
      <c r="D635" s="5"/>
      <c r="E635" s="5"/>
      <c r="F635" s="5"/>
      <c r="G635" s="5"/>
      <c r="H635" s="3"/>
      <c r="I635" s="6"/>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row>
    <row r="636" spans="2:32" ht="12.75">
      <c r="B636" s="49"/>
      <c r="C636" s="5"/>
      <c r="D636" s="5"/>
      <c r="E636" s="5"/>
      <c r="F636" s="5"/>
      <c r="G636" s="5"/>
      <c r="H636" s="3"/>
      <c r="I636" s="6"/>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row>
    <row r="637" spans="2:32" ht="12.75">
      <c r="B637" s="49"/>
      <c r="C637" s="5"/>
      <c r="D637" s="5"/>
      <c r="E637" s="5"/>
      <c r="F637" s="5"/>
      <c r="G637" s="5"/>
      <c r="H637" s="3"/>
      <c r="I637" s="6"/>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row>
    <row r="638" spans="2:32" ht="12.75">
      <c r="B638" s="49"/>
      <c r="C638" s="5"/>
      <c r="D638" s="5"/>
      <c r="E638" s="5"/>
      <c r="F638" s="5"/>
      <c r="G638" s="5"/>
      <c r="H638" s="3"/>
      <c r="I638" s="6"/>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row>
    <row r="639" spans="2:32" ht="12.75">
      <c r="B639" s="49"/>
      <c r="C639" s="5"/>
      <c r="D639" s="5"/>
      <c r="E639" s="5"/>
      <c r="F639" s="5"/>
      <c r="G639" s="5"/>
      <c r="H639" s="3"/>
      <c r="I639" s="6"/>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row>
    <row r="640" spans="2:32" ht="12.75">
      <c r="B640" s="49"/>
      <c r="C640" s="5"/>
      <c r="D640" s="5"/>
      <c r="E640" s="5"/>
      <c r="F640" s="5"/>
      <c r="G640" s="5"/>
      <c r="H640" s="3"/>
      <c r="I640" s="6"/>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row>
    <row r="641" spans="2:32" ht="12.75">
      <c r="B641" s="49"/>
      <c r="C641" s="5"/>
      <c r="D641" s="5"/>
      <c r="E641" s="5"/>
      <c r="F641" s="5"/>
      <c r="G641" s="5"/>
      <c r="H641" s="3"/>
      <c r="I641" s="6"/>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row>
    <row r="642" spans="2:32" ht="12.75">
      <c r="B642" s="49"/>
      <c r="C642" s="5"/>
      <c r="D642" s="5"/>
      <c r="E642" s="5"/>
      <c r="F642" s="5"/>
      <c r="G642" s="5"/>
      <c r="H642" s="3"/>
      <c r="I642" s="6"/>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row>
    <row r="643" spans="2:32" ht="12.75">
      <c r="B643" s="49"/>
      <c r="C643" s="5"/>
      <c r="D643" s="5"/>
      <c r="E643" s="5"/>
      <c r="F643" s="5"/>
      <c r="G643" s="5"/>
      <c r="H643" s="3"/>
      <c r="I643" s="6"/>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row>
    <row r="644" spans="2:32" ht="12.75">
      <c r="B644" s="49"/>
      <c r="C644" s="5"/>
      <c r="D644" s="5"/>
      <c r="E644" s="5"/>
      <c r="F644" s="5"/>
      <c r="G644" s="5"/>
      <c r="H644" s="3"/>
      <c r="I644" s="6"/>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row>
    <row r="645" spans="2:32" ht="12.75">
      <c r="B645" s="49"/>
      <c r="C645" s="5"/>
      <c r="D645" s="5"/>
      <c r="E645" s="5"/>
      <c r="F645" s="5"/>
      <c r="G645" s="5"/>
      <c r="H645" s="3"/>
      <c r="I645" s="6"/>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row>
    <row r="646" spans="2:32" ht="12.75">
      <c r="B646" s="49"/>
      <c r="C646" s="5"/>
      <c r="D646" s="5"/>
      <c r="E646" s="5"/>
      <c r="F646" s="5"/>
      <c r="G646" s="5"/>
      <c r="H646" s="3"/>
      <c r="I646" s="6"/>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row>
    <row r="647" spans="2:32" ht="12.75">
      <c r="B647" s="49"/>
      <c r="C647" s="5"/>
      <c r="D647" s="5"/>
      <c r="E647" s="5"/>
      <c r="F647" s="5"/>
      <c r="G647" s="5"/>
      <c r="H647" s="3"/>
      <c r="I647" s="6"/>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row>
    <row r="648" spans="2:32" ht="12.75">
      <c r="B648" s="49"/>
      <c r="C648" s="5"/>
      <c r="D648" s="5"/>
      <c r="E648" s="5"/>
      <c r="F648" s="5"/>
      <c r="G648" s="5"/>
      <c r="H648" s="3"/>
      <c r="I648" s="6"/>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row>
    <row r="649" spans="2:32" ht="12.75">
      <c r="B649" s="49"/>
      <c r="C649" s="5"/>
      <c r="D649" s="5"/>
      <c r="E649" s="5"/>
      <c r="F649" s="5"/>
      <c r="G649" s="5"/>
      <c r="H649" s="3"/>
      <c r="I649" s="6"/>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row>
    <row r="650" spans="2:32" ht="12.75">
      <c r="B650" s="49"/>
      <c r="C650" s="5"/>
      <c r="D650" s="5"/>
      <c r="E650" s="5"/>
      <c r="F650" s="5"/>
      <c r="G650" s="5"/>
      <c r="H650" s="3"/>
      <c r="I650" s="6"/>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row>
    <row r="651" spans="2:32" ht="12.75">
      <c r="B651" s="49"/>
      <c r="C651" s="5"/>
      <c r="D651" s="5"/>
      <c r="E651" s="5"/>
      <c r="F651" s="5"/>
      <c r="G651" s="5"/>
      <c r="H651" s="3"/>
      <c r="I651" s="6"/>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row>
    <row r="652" spans="2:32" ht="12.75">
      <c r="B652" s="49"/>
      <c r="C652" s="5"/>
      <c r="D652" s="5"/>
      <c r="E652" s="5"/>
      <c r="F652" s="5"/>
      <c r="G652" s="5"/>
      <c r="H652" s="3"/>
      <c r="I652" s="6"/>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row>
    <row r="653" spans="2:32" ht="12.75">
      <c r="B653" s="49"/>
      <c r="C653" s="5"/>
      <c r="D653" s="5"/>
      <c r="E653" s="5"/>
      <c r="F653" s="5"/>
      <c r="G653" s="5"/>
      <c r="H653" s="3"/>
      <c r="I653" s="6"/>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row>
    <row r="654" spans="2:32" ht="12.75">
      <c r="B654" s="49"/>
      <c r="C654" s="5"/>
      <c r="D654" s="5"/>
      <c r="E654" s="5"/>
      <c r="F654" s="5"/>
      <c r="G654" s="5"/>
      <c r="H654" s="3"/>
      <c r="I654" s="6"/>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row>
    <row r="655" spans="2:32" ht="12.75">
      <c r="B655" s="49"/>
      <c r="C655" s="5"/>
      <c r="D655" s="5"/>
      <c r="E655" s="5"/>
      <c r="F655" s="5"/>
      <c r="G655" s="5"/>
      <c r="H655" s="3"/>
      <c r="I655" s="6"/>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row>
    <row r="656" spans="2:32" ht="12.75">
      <c r="B656" s="49"/>
      <c r="C656" s="5"/>
      <c r="D656" s="5"/>
      <c r="E656" s="5"/>
      <c r="F656" s="5"/>
      <c r="G656" s="5"/>
      <c r="H656" s="3"/>
      <c r="I656" s="6"/>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row>
    <row r="657" spans="2:32" ht="12.75">
      <c r="B657" s="49"/>
      <c r="C657" s="5"/>
      <c r="D657" s="5"/>
      <c r="E657" s="5"/>
      <c r="F657" s="5"/>
      <c r="G657" s="5"/>
      <c r="H657" s="3"/>
      <c r="I657" s="6"/>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row>
    <row r="658" spans="2:32" ht="12.75">
      <c r="B658" s="49"/>
      <c r="C658" s="5"/>
      <c r="D658" s="5"/>
      <c r="E658" s="5"/>
      <c r="F658" s="5"/>
      <c r="G658" s="5"/>
      <c r="H658" s="3"/>
      <c r="I658" s="6"/>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row>
    <row r="659" spans="2:32" ht="12.75">
      <c r="B659" s="49"/>
      <c r="C659" s="5"/>
      <c r="D659" s="5"/>
      <c r="E659" s="5"/>
      <c r="F659" s="5"/>
      <c r="G659" s="5"/>
      <c r="H659" s="3"/>
      <c r="I659" s="6"/>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row>
    <row r="660" spans="2:32" ht="12.75">
      <c r="B660" s="49"/>
      <c r="C660" s="5"/>
      <c r="D660" s="5"/>
      <c r="E660" s="5"/>
      <c r="F660" s="5"/>
      <c r="G660" s="5"/>
      <c r="H660" s="3"/>
      <c r="I660" s="6"/>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row>
    <row r="661" spans="2:32" ht="12.75">
      <c r="B661" s="49"/>
      <c r="C661" s="5"/>
      <c r="D661" s="5"/>
      <c r="E661" s="5"/>
      <c r="F661" s="5"/>
      <c r="G661" s="5"/>
      <c r="H661" s="3"/>
      <c r="I661" s="6"/>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row>
    <row r="662" spans="2:32" ht="12.75">
      <c r="B662" s="49"/>
      <c r="C662" s="5"/>
      <c r="D662" s="5"/>
      <c r="E662" s="5"/>
      <c r="F662" s="5"/>
      <c r="G662" s="5"/>
      <c r="H662" s="3"/>
      <c r="I662" s="6"/>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row>
    <row r="663" spans="2:32" ht="12.75">
      <c r="B663" s="49"/>
      <c r="C663" s="5"/>
      <c r="D663" s="5"/>
      <c r="E663" s="5"/>
      <c r="F663" s="5"/>
      <c r="G663" s="5"/>
      <c r="H663" s="3"/>
      <c r="I663" s="6"/>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row>
    <row r="664" spans="2:32" ht="12.75">
      <c r="B664" s="49"/>
      <c r="C664" s="5"/>
      <c r="D664" s="5"/>
      <c r="E664" s="5"/>
      <c r="F664" s="5"/>
      <c r="G664" s="5"/>
      <c r="H664" s="3"/>
      <c r="I664" s="6"/>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row>
    <row r="665" spans="2:32" ht="12.75">
      <c r="B665" s="49"/>
      <c r="C665" s="5"/>
      <c r="D665" s="5"/>
      <c r="E665" s="5"/>
      <c r="F665" s="5"/>
      <c r="G665" s="5"/>
      <c r="H665" s="3"/>
      <c r="I665" s="6"/>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row>
    <row r="666" spans="2:32" ht="12.75">
      <c r="B666" s="49"/>
      <c r="C666" s="5"/>
      <c r="D666" s="5"/>
      <c r="E666" s="5"/>
      <c r="F666" s="5"/>
      <c r="G666" s="5"/>
      <c r="H666" s="3"/>
      <c r="I666" s="6"/>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row>
    <row r="667" spans="2:32" ht="12.75">
      <c r="B667" s="49"/>
      <c r="C667" s="5"/>
      <c r="D667" s="5"/>
      <c r="E667" s="5"/>
      <c r="F667" s="5"/>
      <c r="G667" s="5"/>
      <c r="H667" s="3"/>
      <c r="I667" s="6"/>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row>
    <row r="668" spans="2:32" ht="12.75">
      <c r="B668" s="49"/>
      <c r="C668" s="5"/>
      <c r="D668" s="5"/>
      <c r="E668" s="5"/>
      <c r="F668" s="5"/>
      <c r="G668" s="5"/>
      <c r="H668" s="3"/>
      <c r="I668" s="6"/>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row>
    <row r="669" spans="2:32" ht="12.75">
      <c r="B669" s="49"/>
      <c r="C669" s="5"/>
      <c r="D669" s="5"/>
      <c r="E669" s="5"/>
      <c r="F669" s="5"/>
      <c r="G669" s="5"/>
      <c r="H669" s="3"/>
      <c r="I669" s="6"/>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row>
    <row r="670" spans="2:32" ht="12.75">
      <c r="B670" s="49"/>
      <c r="C670" s="5"/>
      <c r="D670" s="5"/>
      <c r="E670" s="5"/>
      <c r="F670" s="5"/>
      <c r="G670" s="5"/>
      <c r="H670" s="3"/>
      <c r="I670" s="6"/>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row>
    <row r="671" spans="2:32" ht="12.75">
      <c r="B671" s="49"/>
      <c r="C671" s="5"/>
      <c r="D671" s="5"/>
      <c r="E671" s="5"/>
      <c r="F671" s="5"/>
      <c r="G671" s="5"/>
      <c r="H671" s="3"/>
      <c r="I671" s="6"/>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row>
    <row r="672" spans="2:32" ht="12.75">
      <c r="B672" s="49"/>
      <c r="C672" s="5"/>
      <c r="D672" s="5"/>
      <c r="E672" s="5"/>
      <c r="F672" s="5"/>
      <c r="G672" s="5"/>
      <c r="H672" s="3"/>
      <c r="I672" s="6"/>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row>
    <row r="673" spans="2:32" ht="12.75">
      <c r="B673" s="49"/>
      <c r="C673" s="5"/>
      <c r="D673" s="5"/>
      <c r="E673" s="5"/>
      <c r="F673" s="5"/>
      <c r="G673" s="5"/>
      <c r="H673" s="3"/>
      <c r="I673" s="6"/>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row>
    <row r="674" spans="2:32" ht="12.75">
      <c r="B674" s="49"/>
      <c r="C674" s="5"/>
      <c r="D674" s="5"/>
      <c r="E674" s="5"/>
      <c r="F674" s="5"/>
      <c r="G674" s="5"/>
      <c r="H674" s="3"/>
      <c r="I674" s="6"/>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row>
    <row r="675" spans="2:32" ht="12.75">
      <c r="B675" s="49"/>
      <c r="C675" s="5"/>
      <c r="D675" s="5"/>
      <c r="E675" s="5"/>
      <c r="F675" s="5"/>
      <c r="G675" s="5"/>
      <c r="H675" s="3"/>
      <c r="I675" s="6"/>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row>
    <row r="676" spans="2:32" ht="12.75">
      <c r="B676" s="49"/>
      <c r="C676" s="5"/>
      <c r="D676" s="5"/>
      <c r="E676" s="5"/>
      <c r="F676" s="5"/>
      <c r="G676" s="5"/>
      <c r="H676" s="3"/>
      <c r="I676" s="6"/>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row>
    <row r="677" spans="2:32" ht="12.75">
      <c r="B677" s="49"/>
      <c r="C677" s="5"/>
      <c r="D677" s="5"/>
      <c r="E677" s="5"/>
      <c r="F677" s="5"/>
      <c r="G677" s="5"/>
      <c r="H677" s="3"/>
      <c r="I677" s="6"/>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row>
    <row r="678" spans="2:32" ht="12.75">
      <c r="B678" s="49"/>
      <c r="C678" s="5"/>
      <c r="D678" s="5"/>
      <c r="E678" s="5"/>
      <c r="F678" s="5"/>
      <c r="G678" s="5"/>
      <c r="H678" s="3"/>
      <c r="I678" s="6"/>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row>
    <row r="679" spans="2:32" ht="12.75">
      <c r="B679" s="49"/>
      <c r="C679" s="5"/>
      <c r="D679" s="5"/>
      <c r="E679" s="5"/>
      <c r="F679" s="5"/>
      <c r="G679" s="5"/>
      <c r="H679" s="3"/>
      <c r="I679" s="6"/>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row>
    <row r="680" spans="2:32" ht="12.75">
      <c r="B680" s="49"/>
      <c r="C680" s="5"/>
      <c r="D680" s="5"/>
      <c r="E680" s="5"/>
      <c r="F680" s="5"/>
      <c r="G680" s="5"/>
      <c r="H680" s="3"/>
      <c r="I680" s="6"/>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row>
    <row r="681" spans="2:32" ht="12.75">
      <c r="B681" s="49"/>
      <c r="C681" s="5"/>
      <c r="D681" s="5"/>
      <c r="E681" s="5"/>
      <c r="F681" s="5"/>
      <c r="G681" s="5"/>
      <c r="H681" s="3"/>
      <c r="I681" s="6"/>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row>
    <row r="682" spans="2:32" ht="12.75">
      <c r="B682" s="49"/>
      <c r="C682" s="5"/>
      <c r="D682" s="5"/>
      <c r="E682" s="5"/>
      <c r="F682" s="5"/>
      <c r="G682" s="5"/>
      <c r="H682" s="3"/>
      <c r="I682" s="6"/>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row>
    <row r="683" spans="2:32" ht="12.75">
      <c r="B683" s="49"/>
      <c r="C683" s="5"/>
      <c r="D683" s="5"/>
      <c r="E683" s="5"/>
      <c r="F683" s="5"/>
      <c r="G683" s="5"/>
      <c r="H683" s="3"/>
      <c r="I683" s="6"/>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row>
    <row r="684" spans="2:32" ht="12.75">
      <c r="B684" s="49"/>
      <c r="C684" s="5"/>
      <c r="D684" s="5"/>
      <c r="E684" s="5"/>
      <c r="F684" s="5"/>
      <c r="G684" s="5"/>
      <c r="H684" s="3"/>
      <c r="I684" s="6"/>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row>
    <row r="685" spans="2:32" ht="12.75">
      <c r="B685" s="49"/>
      <c r="C685" s="5"/>
      <c r="D685" s="5"/>
      <c r="E685" s="5"/>
      <c r="F685" s="5"/>
      <c r="G685" s="5"/>
      <c r="H685" s="3"/>
      <c r="I685" s="6"/>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row>
    <row r="686" spans="2:32" ht="12.75">
      <c r="B686" s="49"/>
      <c r="C686" s="5"/>
      <c r="D686" s="5"/>
      <c r="E686" s="5"/>
      <c r="F686" s="5"/>
      <c r="G686" s="5"/>
      <c r="H686" s="3"/>
      <c r="I686" s="6"/>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row>
    <row r="687" spans="2:32" ht="12.75">
      <c r="B687" s="49"/>
      <c r="C687" s="5"/>
      <c r="D687" s="5"/>
      <c r="E687" s="5"/>
      <c r="F687" s="5"/>
      <c r="G687" s="5"/>
      <c r="H687" s="3"/>
      <c r="I687" s="6"/>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row>
    <row r="688" spans="2:32" ht="12.75">
      <c r="B688" s="49"/>
      <c r="C688" s="5"/>
      <c r="D688" s="5"/>
      <c r="E688" s="5"/>
      <c r="F688" s="5"/>
      <c r="G688" s="5"/>
      <c r="H688" s="3"/>
      <c r="I688" s="6"/>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row>
    <row r="689" spans="2:32" ht="12.75">
      <c r="B689" s="49"/>
      <c r="C689" s="5"/>
      <c r="D689" s="5"/>
      <c r="E689" s="5"/>
      <c r="F689" s="5"/>
      <c r="G689" s="5"/>
      <c r="H689" s="3"/>
      <c r="I689" s="6"/>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row>
    <row r="690" spans="2:32" ht="12.75">
      <c r="B690" s="49"/>
      <c r="C690" s="5"/>
      <c r="D690" s="5"/>
      <c r="E690" s="5"/>
      <c r="F690" s="5"/>
      <c r="G690" s="5"/>
      <c r="H690" s="3"/>
      <c r="I690" s="6"/>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row>
    <row r="691" spans="2:32" ht="12.75">
      <c r="B691" s="49"/>
      <c r="C691" s="5"/>
      <c r="D691" s="5"/>
      <c r="E691" s="5"/>
      <c r="F691" s="5"/>
      <c r="G691" s="5"/>
      <c r="H691" s="3"/>
      <c r="I691" s="6"/>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row>
    <row r="692" spans="2:32" ht="12.75">
      <c r="B692" s="49"/>
      <c r="C692" s="5"/>
      <c r="D692" s="5"/>
      <c r="E692" s="5"/>
      <c r="F692" s="5"/>
      <c r="G692" s="5"/>
      <c r="H692" s="3"/>
      <c r="I692" s="6"/>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row>
    <row r="693" spans="2:32" ht="12.75">
      <c r="B693" s="49"/>
      <c r="C693" s="5"/>
      <c r="D693" s="5"/>
      <c r="E693" s="5"/>
      <c r="F693" s="5"/>
      <c r="G693" s="5"/>
      <c r="H693" s="3"/>
      <c r="I693" s="6"/>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row>
    <row r="694" spans="2:32" ht="12.75">
      <c r="B694" s="49"/>
      <c r="C694" s="5"/>
      <c r="D694" s="5"/>
      <c r="E694" s="5"/>
      <c r="F694" s="5"/>
      <c r="G694" s="5"/>
      <c r="H694" s="3"/>
      <c r="I694" s="6"/>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row>
    <row r="695" spans="2:32" ht="12.75">
      <c r="B695" s="49"/>
      <c r="C695" s="5"/>
      <c r="D695" s="5"/>
      <c r="E695" s="5"/>
      <c r="F695" s="5"/>
      <c r="G695" s="5"/>
      <c r="H695" s="3"/>
      <c r="I695" s="6"/>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row>
    <row r="696" spans="2:32" ht="12.75">
      <c r="B696" s="49"/>
      <c r="C696" s="5"/>
      <c r="D696" s="5"/>
      <c r="E696" s="5"/>
      <c r="F696" s="5"/>
      <c r="G696" s="5"/>
      <c r="H696" s="3"/>
      <c r="I696" s="6"/>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row>
    <row r="697" spans="2:32" ht="12.75">
      <c r="B697" s="49"/>
      <c r="C697" s="5"/>
      <c r="D697" s="5"/>
      <c r="E697" s="5"/>
      <c r="F697" s="5"/>
      <c r="G697" s="5"/>
      <c r="H697" s="3"/>
      <c r="I697" s="6"/>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row>
    <row r="698" spans="2:32" ht="12.75">
      <c r="B698" s="49"/>
      <c r="C698" s="5"/>
      <c r="D698" s="5"/>
      <c r="E698" s="5"/>
      <c r="F698" s="5"/>
      <c r="G698" s="5"/>
      <c r="H698" s="3"/>
      <c r="I698" s="6"/>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row>
    <row r="699" spans="2:32" ht="12.75">
      <c r="B699" s="49"/>
      <c r="C699" s="5"/>
      <c r="D699" s="5"/>
      <c r="E699" s="5"/>
      <c r="F699" s="5"/>
      <c r="G699" s="5"/>
      <c r="H699" s="3"/>
      <c r="I699" s="6"/>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row>
    <row r="700" spans="2:32" ht="12.75">
      <c r="B700" s="49"/>
      <c r="C700" s="5"/>
      <c r="D700" s="5"/>
      <c r="E700" s="5"/>
      <c r="F700" s="5"/>
      <c r="G700" s="5"/>
      <c r="H700" s="3"/>
      <c r="I700" s="6"/>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row>
    <row r="701" spans="2:32" ht="12.75">
      <c r="B701" s="49"/>
      <c r="C701" s="5"/>
      <c r="D701" s="5"/>
      <c r="E701" s="5"/>
      <c r="F701" s="5"/>
      <c r="G701" s="5"/>
      <c r="H701" s="3"/>
      <c r="I701" s="6"/>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row>
    <row r="702" spans="2:32" ht="12.75">
      <c r="B702" s="49"/>
      <c r="C702" s="5"/>
      <c r="D702" s="5"/>
      <c r="E702" s="5"/>
      <c r="F702" s="5"/>
      <c r="G702" s="5"/>
      <c r="H702" s="3"/>
      <c r="I702" s="6"/>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row>
    <row r="703" spans="2:32" ht="12.75">
      <c r="B703" s="49"/>
      <c r="C703" s="5"/>
      <c r="D703" s="5"/>
      <c r="E703" s="5"/>
      <c r="F703" s="5"/>
      <c r="G703" s="5"/>
      <c r="H703" s="3"/>
      <c r="I703" s="6"/>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row>
    <row r="704" spans="2:32" ht="12.75">
      <c r="B704" s="49"/>
      <c r="C704" s="5"/>
      <c r="D704" s="5"/>
      <c r="E704" s="5"/>
      <c r="F704" s="5"/>
      <c r="G704" s="5"/>
      <c r="H704" s="3"/>
      <c r="I704" s="6"/>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row>
    <row r="705" spans="2:32" ht="12.75">
      <c r="B705" s="49"/>
      <c r="C705" s="5"/>
      <c r="D705" s="5"/>
      <c r="E705" s="5"/>
      <c r="F705" s="5"/>
      <c r="G705" s="5"/>
      <c r="H705" s="3"/>
      <c r="I705" s="6"/>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row>
    <row r="706" spans="2:32" ht="12.75">
      <c r="B706" s="49"/>
      <c r="C706" s="5"/>
      <c r="D706" s="5"/>
      <c r="E706" s="5"/>
      <c r="F706" s="5"/>
      <c r="G706" s="5"/>
      <c r="H706" s="3"/>
      <c r="I706" s="6"/>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row>
    <row r="707" spans="2:32" ht="12.75">
      <c r="B707" s="49"/>
      <c r="C707" s="5"/>
      <c r="D707" s="5"/>
      <c r="E707" s="5"/>
      <c r="F707" s="5"/>
      <c r="G707" s="5"/>
      <c r="H707" s="3"/>
      <c r="I707" s="6"/>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row>
    <row r="708" spans="2:32" ht="12.75">
      <c r="B708" s="49"/>
      <c r="C708" s="5"/>
      <c r="D708" s="5"/>
      <c r="E708" s="5"/>
      <c r="F708" s="5"/>
      <c r="G708" s="5"/>
      <c r="H708" s="3"/>
      <c r="I708" s="6"/>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row>
    <row r="709" spans="2:32" ht="12.75">
      <c r="B709" s="49"/>
      <c r="C709" s="5"/>
      <c r="D709" s="5"/>
      <c r="E709" s="5"/>
      <c r="F709" s="5"/>
      <c r="G709" s="5"/>
      <c r="H709" s="3"/>
      <c r="I709" s="6"/>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row>
    <row r="710" spans="2:32" ht="12.75">
      <c r="B710" s="49"/>
      <c r="C710" s="5"/>
      <c r="D710" s="5"/>
      <c r="E710" s="5"/>
      <c r="F710" s="5"/>
      <c r="G710" s="5"/>
      <c r="H710" s="3"/>
      <c r="I710" s="6"/>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row>
    <row r="711" spans="2:32" ht="12.75">
      <c r="B711" s="49"/>
      <c r="C711" s="5"/>
      <c r="D711" s="5"/>
      <c r="E711" s="5"/>
      <c r="F711" s="5"/>
      <c r="G711" s="5"/>
      <c r="H711" s="3"/>
      <c r="I711" s="6"/>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2.75">
      <c r="B712" s="49"/>
      <c r="C712" s="5"/>
      <c r="D712" s="5"/>
      <c r="E712" s="5"/>
      <c r="F712" s="5"/>
      <c r="G712" s="5"/>
      <c r="H712" s="3"/>
      <c r="I712" s="6"/>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row>
    <row r="713" spans="2:32" ht="12.75">
      <c r="B713" s="49"/>
      <c r="C713" s="5"/>
      <c r="D713" s="5"/>
      <c r="E713" s="5"/>
      <c r="F713" s="5"/>
      <c r="G713" s="5"/>
      <c r="H713" s="3"/>
      <c r="I713" s="6"/>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row>
    <row r="714" spans="2:32" ht="12.75">
      <c r="B714" s="49"/>
      <c r="C714" s="5"/>
      <c r="D714" s="5"/>
      <c r="E714" s="5"/>
      <c r="F714" s="5"/>
      <c r="G714" s="5"/>
      <c r="H714" s="3"/>
      <c r="I714" s="6"/>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row>
    <row r="715" spans="2:32" ht="12.75">
      <c r="B715" s="49"/>
      <c r="C715" s="5"/>
      <c r="D715" s="5"/>
      <c r="E715" s="5"/>
      <c r="F715" s="5"/>
      <c r="G715" s="5"/>
      <c r="H715" s="3"/>
      <c r="I715" s="6"/>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row>
    <row r="716" spans="2:32" ht="12.75">
      <c r="B716" s="49"/>
      <c r="C716" s="5"/>
      <c r="D716" s="5"/>
      <c r="E716" s="5"/>
      <c r="F716" s="5"/>
      <c r="G716" s="5"/>
      <c r="H716" s="3"/>
      <c r="I716" s="6"/>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row>
    <row r="717" spans="2:32" ht="12.75">
      <c r="B717" s="49"/>
      <c r="C717" s="5"/>
      <c r="D717" s="5"/>
      <c r="E717" s="5"/>
      <c r="F717" s="5"/>
      <c r="G717" s="5"/>
      <c r="H717" s="3"/>
      <c r="I717" s="6"/>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row>
    <row r="718" spans="2:32" ht="12.75">
      <c r="B718" s="49"/>
      <c r="C718" s="5"/>
      <c r="D718" s="5"/>
      <c r="E718" s="5"/>
      <c r="F718" s="5"/>
      <c r="G718" s="5"/>
      <c r="H718" s="3"/>
      <c r="I718" s="6"/>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row>
    <row r="719" spans="2:32" ht="12.75">
      <c r="B719" s="49"/>
      <c r="C719" s="5"/>
      <c r="D719" s="5"/>
      <c r="E719" s="5"/>
      <c r="F719" s="5"/>
      <c r="G719" s="5"/>
      <c r="H719" s="3"/>
      <c r="I719" s="6"/>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row>
    <row r="720" spans="2:32" ht="12.75">
      <c r="B720" s="49"/>
      <c r="C720" s="5"/>
      <c r="D720" s="5"/>
      <c r="E720" s="5"/>
      <c r="F720" s="5"/>
      <c r="G720" s="5"/>
      <c r="H720" s="3"/>
      <c r="I720" s="6"/>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row>
    <row r="721" spans="2:32" ht="12.75">
      <c r="B721" s="49"/>
      <c r="C721" s="5"/>
      <c r="D721" s="5"/>
      <c r="E721" s="5"/>
      <c r="F721" s="5"/>
      <c r="G721" s="5"/>
      <c r="H721" s="3"/>
      <c r="I721" s="6"/>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row>
    <row r="722" spans="2:32" ht="12.75">
      <c r="B722" s="49"/>
      <c r="C722" s="5"/>
      <c r="D722" s="5"/>
      <c r="E722" s="5"/>
      <c r="F722" s="5"/>
      <c r="G722" s="5"/>
      <c r="H722" s="3"/>
      <c r="I722" s="6"/>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row>
    <row r="723" spans="2:32" ht="12.75">
      <c r="B723" s="49"/>
      <c r="C723" s="5"/>
      <c r="D723" s="5"/>
      <c r="E723" s="5"/>
      <c r="F723" s="5"/>
      <c r="G723" s="5"/>
      <c r="H723" s="3"/>
      <c r="I723" s="6"/>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row>
    <row r="724" spans="2:32" ht="12.75">
      <c r="B724" s="49"/>
      <c r="C724" s="5"/>
      <c r="D724" s="5"/>
      <c r="E724" s="5"/>
      <c r="F724" s="5"/>
      <c r="G724" s="5"/>
      <c r="H724" s="3"/>
      <c r="I724" s="6"/>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row>
    <row r="725" spans="2:32" ht="12.75">
      <c r="B725" s="49"/>
      <c r="C725" s="5"/>
      <c r="D725" s="5"/>
      <c r="E725" s="5"/>
      <c r="F725" s="5"/>
      <c r="G725" s="5"/>
      <c r="H725" s="3"/>
      <c r="I725" s="6"/>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row>
    <row r="726" spans="2:32" ht="12.75">
      <c r="B726" s="49"/>
      <c r="C726" s="5"/>
      <c r="D726" s="5"/>
      <c r="E726" s="5"/>
      <c r="F726" s="5"/>
      <c r="G726" s="5"/>
      <c r="H726" s="3"/>
      <c r="I726" s="6"/>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row>
    <row r="727" spans="2:32" ht="12.75">
      <c r="B727" s="49"/>
      <c r="C727" s="5"/>
      <c r="D727" s="5"/>
      <c r="E727" s="5"/>
      <c r="F727" s="5"/>
      <c r="G727" s="5"/>
      <c r="H727" s="3"/>
      <c r="I727" s="6"/>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row>
    <row r="728" spans="2:32" ht="12.75">
      <c r="B728" s="49"/>
      <c r="C728" s="5"/>
      <c r="D728" s="5"/>
      <c r="E728" s="5"/>
      <c r="F728" s="5"/>
      <c r="G728" s="5"/>
      <c r="H728" s="3"/>
      <c r="I728" s="6"/>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row>
    <row r="729" spans="2:32" ht="12.75">
      <c r="B729" s="49"/>
      <c r="C729" s="5"/>
      <c r="D729" s="5"/>
      <c r="E729" s="5"/>
      <c r="F729" s="5"/>
      <c r="G729" s="5"/>
      <c r="H729" s="3"/>
      <c r="I729" s="6"/>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row>
    <row r="730" spans="2:32" ht="12.75">
      <c r="B730" s="49"/>
      <c r="C730" s="5"/>
      <c r="D730" s="5"/>
      <c r="E730" s="5"/>
      <c r="F730" s="5"/>
      <c r="G730" s="5"/>
      <c r="H730" s="3"/>
      <c r="I730" s="6"/>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row>
    <row r="731" spans="2:32" ht="12.75">
      <c r="B731" s="49"/>
      <c r="C731" s="5"/>
      <c r="D731" s="5"/>
      <c r="E731" s="5"/>
      <c r="F731" s="5"/>
      <c r="G731" s="5"/>
      <c r="H731" s="3"/>
      <c r="I731" s="6"/>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row>
    <row r="732" spans="2:32" ht="12.75">
      <c r="B732" s="49"/>
      <c r="C732" s="5"/>
      <c r="D732" s="5"/>
      <c r="E732" s="5"/>
      <c r="F732" s="5"/>
      <c r="G732" s="5"/>
      <c r="H732" s="3"/>
      <c r="I732" s="6"/>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row>
    <row r="733" spans="2:32" ht="12.75">
      <c r="B733" s="49"/>
      <c r="C733" s="5"/>
      <c r="D733" s="5"/>
      <c r="E733" s="5"/>
      <c r="F733" s="5"/>
      <c r="G733" s="5"/>
      <c r="H733" s="3"/>
      <c r="I733" s="6"/>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row>
    <row r="734" spans="2:32" ht="12.75">
      <c r="B734" s="49"/>
      <c r="C734" s="5"/>
      <c r="D734" s="5"/>
      <c r="E734" s="5"/>
      <c r="F734" s="5"/>
      <c r="G734" s="5"/>
      <c r="H734" s="3"/>
      <c r="I734" s="6"/>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row>
    <row r="735" spans="2:32" ht="12.75">
      <c r="B735" s="49"/>
      <c r="C735" s="5"/>
      <c r="D735" s="5"/>
      <c r="E735" s="5"/>
      <c r="F735" s="5"/>
      <c r="G735" s="5"/>
      <c r="H735" s="3"/>
      <c r="I735" s="6"/>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row>
    <row r="736" spans="2:32" ht="12.75">
      <c r="B736" s="49"/>
      <c r="C736" s="5"/>
      <c r="D736" s="5"/>
      <c r="E736" s="5"/>
      <c r="F736" s="5"/>
      <c r="G736" s="5"/>
      <c r="H736" s="3"/>
      <c r="I736" s="6"/>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row>
    <row r="737" spans="2:32" ht="12.75">
      <c r="B737" s="49"/>
      <c r="C737" s="5"/>
      <c r="D737" s="5"/>
      <c r="E737" s="5"/>
      <c r="F737" s="5"/>
      <c r="G737" s="5"/>
      <c r="H737" s="3"/>
      <c r="I737" s="6"/>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row>
    <row r="738" spans="2:32" ht="12.75">
      <c r="B738" s="49"/>
      <c r="C738" s="5"/>
      <c r="D738" s="5"/>
      <c r="E738" s="5"/>
      <c r="F738" s="5"/>
      <c r="G738" s="5"/>
      <c r="H738" s="3"/>
      <c r="I738" s="6"/>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row>
    <row r="739" spans="2:32" ht="12.75">
      <c r="B739" s="49"/>
      <c r="C739" s="5"/>
      <c r="D739" s="5"/>
      <c r="E739" s="5"/>
      <c r="F739" s="5"/>
      <c r="G739" s="5"/>
      <c r="H739" s="3"/>
      <c r="I739" s="6"/>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row>
    <row r="740" spans="2:32" ht="12.75">
      <c r="B740" s="49"/>
      <c r="C740" s="5"/>
      <c r="D740" s="5"/>
      <c r="E740" s="5"/>
      <c r="F740" s="5"/>
      <c r="G740" s="5"/>
      <c r="H740" s="3"/>
      <c r="I740" s="6"/>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row>
    <row r="741" spans="2:32" ht="12.75">
      <c r="B741" s="49"/>
      <c r="C741" s="5"/>
      <c r="D741" s="5"/>
      <c r="E741" s="5"/>
      <c r="F741" s="5"/>
      <c r="G741" s="5"/>
      <c r="H741" s="3"/>
      <c r="I741" s="6"/>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row>
    <row r="742" spans="2:32" ht="12.75">
      <c r="B742" s="49"/>
      <c r="C742" s="5"/>
      <c r="D742" s="5"/>
      <c r="E742" s="5"/>
      <c r="F742" s="5"/>
      <c r="G742" s="5"/>
      <c r="H742" s="3"/>
      <c r="I742" s="6"/>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row>
    <row r="743" spans="2:32" ht="12.75">
      <c r="B743" s="49"/>
      <c r="C743" s="5"/>
      <c r="D743" s="5"/>
      <c r="E743" s="5"/>
      <c r="F743" s="5"/>
      <c r="G743" s="5"/>
      <c r="H743" s="3"/>
      <c r="I743" s="6"/>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row>
    <row r="744" spans="2:32" ht="12.75">
      <c r="B744" s="49"/>
      <c r="C744" s="5"/>
      <c r="D744" s="5"/>
      <c r="E744" s="5"/>
      <c r="F744" s="5"/>
      <c r="G744" s="5"/>
      <c r="H744" s="3"/>
      <c r="I744" s="6"/>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row>
    <row r="745" spans="2:32" ht="12.75">
      <c r="B745" s="49"/>
      <c r="C745" s="5"/>
      <c r="D745" s="5"/>
      <c r="E745" s="5"/>
      <c r="F745" s="5"/>
      <c r="G745" s="5"/>
      <c r="H745" s="3"/>
      <c r="I745" s="6"/>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row>
    <row r="746" spans="2:32" ht="12.75">
      <c r="B746" s="49"/>
      <c r="C746" s="5"/>
      <c r="D746" s="5"/>
      <c r="E746" s="5"/>
      <c r="F746" s="5"/>
      <c r="G746" s="5"/>
      <c r="H746" s="3"/>
      <c r="I746" s="6"/>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row>
    <row r="747" spans="2:32" ht="12.75">
      <c r="B747" s="49"/>
      <c r="C747" s="5"/>
      <c r="D747" s="5"/>
      <c r="E747" s="5"/>
      <c r="F747" s="5"/>
      <c r="G747" s="5"/>
      <c r="H747" s="3"/>
      <c r="I747" s="6"/>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row>
    <row r="748" spans="2:32" ht="12.75">
      <c r="B748" s="49"/>
      <c r="C748" s="5"/>
      <c r="D748" s="5"/>
      <c r="E748" s="5"/>
      <c r="F748" s="5"/>
      <c r="G748" s="5"/>
      <c r="H748" s="3"/>
      <c r="I748" s="6"/>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row>
    <row r="749" spans="2:32" ht="12.75">
      <c r="B749" s="49"/>
      <c r="C749" s="5"/>
      <c r="D749" s="5"/>
      <c r="E749" s="5"/>
      <c r="F749" s="5"/>
      <c r="G749" s="5"/>
      <c r="H749" s="3"/>
      <c r="I749" s="6"/>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row>
    <row r="750" spans="2:32" ht="12.75">
      <c r="B750" s="49"/>
      <c r="C750" s="5"/>
      <c r="D750" s="5"/>
      <c r="E750" s="5"/>
      <c r="F750" s="5"/>
      <c r="G750" s="5"/>
      <c r="H750" s="3"/>
      <c r="I750" s="6"/>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row>
    <row r="751" spans="2:32" ht="12.75">
      <c r="B751" s="49"/>
      <c r="C751" s="5"/>
      <c r="D751" s="5"/>
      <c r="E751" s="5"/>
      <c r="F751" s="5"/>
      <c r="G751" s="5"/>
      <c r="H751" s="3"/>
      <c r="I751" s="6"/>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row>
    <row r="752" spans="2:32" ht="12.75">
      <c r="B752" s="49"/>
      <c r="C752" s="5"/>
      <c r="D752" s="5"/>
      <c r="E752" s="5"/>
      <c r="F752" s="5"/>
      <c r="G752" s="5"/>
      <c r="H752" s="3"/>
      <c r="I752" s="6"/>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row>
    <row r="753" spans="2:32" ht="12.75">
      <c r="B753" s="49"/>
      <c r="C753" s="5"/>
      <c r="D753" s="5"/>
      <c r="E753" s="5"/>
      <c r="F753" s="5"/>
      <c r="G753" s="5"/>
      <c r="H753" s="3"/>
      <c r="I753" s="6"/>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row>
    <row r="754" spans="2:32" ht="12.75">
      <c r="B754" s="49"/>
      <c r="C754" s="5"/>
      <c r="D754" s="5"/>
      <c r="E754" s="5"/>
      <c r="F754" s="5"/>
      <c r="G754" s="5"/>
      <c r="H754" s="3"/>
      <c r="I754" s="6"/>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row>
    <row r="755" spans="2:32" ht="12.75">
      <c r="B755" s="49"/>
      <c r="C755" s="5"/>
      <c r="D755" s="5"/>
      <c r="E755" s="5"/>
      <c r="F755" s="5"/>
      <c r="G755" s="5"/>
      <c r="H755" s="3"/>
      <c r="I755" s="6"/>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row>
    <row r="756" spans="2:32" ht="12.75">
      <c r="B756" s="49"/>
      <c r="C756" s="5"/>
      <c r="D756" s="5"/>
      <c r="E756" s="5"/>
      <c r="F756" s="5"/>
      <c r="G756" s="5"/>
      <c r="H756" s="3"/>
      <c r="I756" s="6"/>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row>
    <row r="757" spans="2:32" ht="12.75">
      <c r="B757" s="49"/>
      <c r="C757" s="5"/>
      <c r="D757" s="5"/>
      <c r="E757" s="5"/>
      <c r="F757" s="5"/>
      <c r="G757" s="5"/>
      <c r="H757" s="3"/>
      <c r="I757" s="6"/>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row>
    <row r="758" spans="2:32" ht="12.75">
      <c r="B758" s="49"/>
      <c r="C758" s="5"/>
      <c r="D758" s="5"/>
      <c r="E758" s="5"/>
      <c r="F758" s="5"/>
      <c r="G758" s="5"/>
      <c r="H758" s="3"/>
      <c r="I758" s="6"/>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row>
    <row r="759" spans="2:32" ht="12.75">
      <c r="B759" s="49"/>
      <c r="C759" s="5"/>
      <c r="D759" s="5"/>
      <c r="E759" s="5"/>
      <c r="F759" s="5"/>
      <c r="G759" s="5"/>
      <c r="H759" s="3"/>
      <c r="I759" s="6"/>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row>
    <row r="760" spans="2:32" ht="12.75">
      <c r="B760" s="49"/>
      <c r="C760" s="5"/>
      <c r="D760" s="5"/>
      <c r="E760" s="5"/>
      <c r="F760" s="5"/>
      <c r="G760" s="5"/>
      <c r="H760" s="3"/>
      <c r="I760" s="6"/>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row>
    <row r="761" spans="2:32" ht="12.75">
      <c r="B761" s="49"/>
      <c r="C761" s="5"/>
      <c r="D761" s="5"/>
      <c r="E761" s="5"/>
      <c r="F761" s="5"/>
      <c r="G761" s="5"/>
      <c r="H761" s="3"/>
      <c r="I761" s="6"/>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row>
    <row r="762" spans="2:32" ht="12.75">
      <c r="B762" s="49"/>
      <c r="C762" s="5"/>
      <c r="D762" s="5"/>
      <c r="E762" s="5"/>
      <c r="F762" s="5"/>
      <c r="G762" s="5"/>
      <c r="H762" s="3"/>
      <c r="I762" s="6"/>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row>
    <row r="763" spans="2:32" ht="12.75">
      <c r="B763" s="49"/>
      <c r="C763" s="5"/>
      <c r="D763" s="5"/>
      <c r="E763" s="5"/>
      <c r="F763" s="5"/>
      <c r="G763" s="5"/>
      <c r="H763" s="3"/>
      <c r="I763" s="6"/>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row>
    <row r="764" spans="2:32" ht="12.75">
      <c r="B764" s="49"/>
      <c r="C764" s="5"/>
      <c r="D764" s="5"/>
      <c r="E764" s="5"/>
      <c r="F764" s="5"/>
      <c r="G764" s="5"/>
      <c r="H764" s="3"/>
      <c r="I764" s="6"/>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row>
    <row r="765" spans="2:32" ht="12.75">
      <c r="B765" s="49"/>
      <c r="C765" s="5"/>
      <c r="D765" s="5"/>
      <c r="E765" s="5"/>
      <c r="F765" s="5"/>
      <c r="G765" s="5"/>
      <c r="H765" s="3"/>
      <c r="I765" s="6"/>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row>
    <row r="766" spans="2:32" ht="12.75">
      <c r="B766" s="49"/>
      <c r="C766" s="5"/>
      <c r="D766" s="5"/>
      <c r="E766" s="5"/>
      <c r="F766" s="5"/>
      <c r="G766" s="5"/>
      <c r="H766" s="3"/>
      <c r="I766" s="6"/>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row>
    <row r="767" spans="2:32" ht="12.75">
      <c r="B767" s="49"/>
      <c r="C767" s="5"/>
      <c r="D767" s="5"/>
      <c r="E767" s="5"/>
      <c r="F767" s="5"/>
      <c r="G767" s="5"/>
      <c r="H767" s="3"/>
      <c r="I767" s="6"/>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row>
    <row r="768" spans="2:32" ht="12.75">
      <c r="B768" s="49"/>
      <c r="C768" s="5"/>
      <c r="D768" s="5"/>
      <c r="E768" s="5"/>
      <c r="F768" s="5"/>
      <c r="G768" s="5"/>
      <c r="H768" s="3"/>
      <c r="I768" s="6"/>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row>
    <row r="769" spans="2:32" ht="12.75">
      <c r="B769" s="49"/>
      <c r="C769" s="5"/>
      <c r="D769" s="5"/>
      <c r="E769" s="5"/>
      <c r="F769" s="5"/>
      <c r="G769" s="5"/>
      <c r="H769" s="3"/>
      <c r="I769" s="6"/>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row>
    <row r="770" spans="2:32" ht="12.75">
      <c r="B770" s="49"/>
      <c r="C770" s="5"/>
      <c r="D770" s="5"/>
      <c r="E770" s="5"/>
      <c r="F770" s="5"/>
      <c r="G770" s="5"/>
      <c r="H770" s="3"/>
      <c r="I770" s="6"/>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row>
    <row r="771" spans="2:32" ht="12.75">
      <c r="B771" s="49"/>
      <c r="C771" s="5"/>
      <c r="D771" s="5"/>
      <c r="E771" s="5"/>
      <c r="F771" s="5"/>
      <c r="G771" s="5"/>
      <c r="H771" s="3"/>
      <c r="I771" s="6"/>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row>
    <row r="772" spans="2:32" ht="12.75">
      <c r="B772" s="49"/>
      <c r="C772" s="5"/>
      <c r="D772" s="5"/>
      <c r="E772" s="5"/>
      <c r="F772" s="5"/>
      <c r="G772" s="5"/>
      <c r="H772" s="3"/>
      <c r="I772" s="6"/>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row>
    <row r="773" spans="2:32" ht="12.75">
      <c r="B773" s="49"/>
      <c r="C773" s="5"/>
      <c r="D773" s="5"/>
      <c r="E773" s="5"/>
      <c r="F773" s="5"/>
      <c r="G773" s="5"/>
      <c r="H773" s="3"/>
      <c r="I773" s="6"/>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row>
    <row r="774" spans="2:32" ht="12.75">
      <c r="B774" s="49"/>
      <c r="C774" s="5"/>
      <c r="D774" s="5"/>
      <c r="E774" s="5"/>
      <c r="F774" s="5"/>
      <c r="G774" s="5"/>
      <c r="H774" s="3"/>
      <c r="I774" s="6"/>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row>
    <row r="775" spans="2:32" ht="12.75">
      <c r="B775" s="49"/>
      <c r="C775" s="5"/>
      <c r="D775" s="5"/>
      <c r="E775" s="5"/>
      <c r="F775" s="5"/>
      <c r="G775" s="5"/>
      <c r="H775" s="3"/>
      <c r="I775" s="6"/>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row>
    <row r="776" spans="2:32" ht="12.75">
      <c r="B776" s="49"/>
      <c r="C776" s="5"/>
      <c r="D776" s="5"/>
      <c r="E776" s="5"/>
      <c r="F776" s="5"/>
      <c r="G776" s="5"/>
      <c r="H776" s="3"/>
      <c r="I776" s="6"/>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row>
    <row r="777" spans="2:32" ht="12.75">
      <c r="B777" s="49"/>
      <c r="C777" s="5"/>
      <c r="D777" s="5"/>
      <c r="E777" s="5"/>
      <c r="F777" s="5"/>
      <c r="G777" s="5"/>
      <c r="H777" s="3"/>
      <c r="I777" s="6"/>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row>
    <row r="778" spans="2:32" ht="12.75">
      <c r="B778" s="49"/>
      <c r="C778" s="5"/>
      <c r="D778" s="5"/>
      <c r="E778" s="5"/>
      <c r="F778" s="5"/>
      <c r="G778" s="5"/>
      <c r="H778" s="3"/>
      <c r="I778" s="6"/>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row>
    <row r="779" spans="2:32" ht="12.75">
      <c r="B779" s="49"/>
      <c r="C779" s="5"/>
      <c r="D779" s="5"/>
      <c r="E779" s="5"/>
      <c r="F779" s="5"/>
      <c r="G779" s="5"/>
      <c r="H779" s="3"/>
      <c r="I779" s="6"/>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row>
    <row r="780" spans="2:32" ht="12.75">
      <c r="B780" s="49"/>
      <c r="C780" s="5"/>
      <c r="D780" s="5"/>
      <c r="E780" s="5"/>
      <c r="F780" s="5"/>
      <c r="G780" s="5"/>
      <c r="H780" s="3"/>
      <c r="I780" s="6"/>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row>
    <row r="781" spans="2:32" ht="12.75">
      <c r="B781" s="49"/>
      <c r="C781" s="5"/>
      <c r="D781" s="5"/>
      <c r="E781" s="5"/>
      <c r="F781" s="5"/>
      <c r="G781" s="5"/>
      <c r="H781" s="3"/>
      <c r="I781" s="6"/>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row>
    <row r="782" spans="2:32" ht="12.75">
      <c r="B782" s="49"/>
      <c r="C782" s="5"/>
      <c r="D782" s="5"/>
      <c r="E782" s="5"/>
      <c r="F782" s="5"/>
      <c r="G782" s="5"/>
      <c r="H782" s="3"/>
      <c r="I782" s="6"/>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row>
    <row r="783" spans="2:32" ht="12.75">
      <c r="B783" s="49"/>
      <c r="C783" s="5"/>
      <c r="D783" s="5"/>
      <c r="E783" s="5"/>
      <c r="F783" s="5"/>
      <c r="G783" s="5"/>
      <c r="H783" s="3"/>
      <c r="I783" s="6"/>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row>
    <row r="784" spans="2:32" ht="12.75">
      <c r="B784" s="49"/>
      <c r="C784" s="5"/>
      <c r="D784" s="5"/>
      <c r="E784" s="5"/>
      <c r="F784" s="5"/>
      <c r="G784" s="5"/>
      <c r="H784" s="3"/>
      <c r="I784" s="6"/>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row>
    <row r="785" spans="2:32" ht="12.75">
      <c r="B785" s="49"/>
      <c r="C785" s="5"/>
      <c r="D785" s="5"/>
      <c r="E785" s="5"/>
      <c r="F785" s="5"/>
      <c r="G785" s="5"/>
      <c r="H785" s="3"/>
      <c r="I785" s="6"/>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row>
    <row r="786" spans="2:32" ht="12.75">
      <c r="B786" s="49"/>
      <c r="C786" s="5"/>
      <c r="D786" s="5"/>
      <c r="E786" s="5"/>
      <c r="F786" s="5"/>
      <c r="G786" s="5"/>
      <c r="H786" s="3"/>
      <c r="I786" s="6"/>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row>
    <row r="787" spans="2:32" ht="12.75">
      <c r="B787" s="49"/>
      <c r="C787" s="5"/>
      <c r="D787" s="5"/>
      <c r="E787" s="5"/>
      <c r="F787" s="5"/>
      <c r="G787" s="5"/>
      <c r="H787" s="3"/>
      <c r="I787" s="6"/>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row>
    <row r="788" spans="2:32" ht="12.75">
      <c r="B788" s="49"/>
      <c r="C788" s="5"/>
      <c r="D788" s="5"/>
      <c r="E788" s="5"/>
      <c r="F788" s="5"/>
      <c r="G788" s="5"/>
      <c r="H788" s="3"/>
      <c r="I788" s="6"/>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row>
    <row r="789" spans="2:32" ht="12.75">
      <c r="B789" s="49"/>
      <c r="C789" s="5"/>
      <c r="D789" s="5"/>
      <c r="E789" s="5"/>
      <c r="F789" s="5"/>
      <c r="G789" s="5"/>
      <c r="H789" s="3"/>
      <c r="I789" s="6"/>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row>
    <row r="790" spans="2:32" ht="12.75">
      <c r="B790" s="49"/>
      <c r="C790" s="5"/>
      <c r="D790" s="5"/>
      <c r="E790" s="5"/>
      <c r="F790" s="5"/>
      <c r="G790" s="5"/>
      <c r="H790" s="3"/>
      <c r="I790" s="6"/>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row>
    <row r="791" spans="2:32" ht="12.75">
      <c r="B791" s="49"/>
      <c r="C791" s="5"/>
      <c r="D791" s="5"/>
      <c r="E791" s="5"/>
      <c r="F791" s="5"/>
      <c r="G791" s="5"/>
      <c r="H791" s="3"/>
      <c r="I791" s="6"/>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row>
    <row r="792" spans="2:32" ht="12.75">
      <c r="B792" s="49"/>
      <c r="C792" s="5"/>
      <c r="D792" s="5"/>
      <c r="E792" s="5"/>
      <c r="F792" s="5"/>
      <c r="G792" s="5"/>
      <c r="H792" s="3"/>
      <c r="I792" s="6"/>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row>
    <row r="793" spans="2:32" ht="12.75">
      <c r="B793" s="49"/>
      <c r="C793" s="5"/>
      <c r="D793" s="5"/>
      <c r="E793" s="5"/>
      <c r="F793" s="5"/>
      <c r="G793" s="5"/>
      <c r="H793" s="3"/>
      <c r="I793" s="6"/>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row>
    <row r="794" spans="2:32" ht="12.75">
      <c r="B794" s="49"/>
      <c r="C794" s="5"/>
      <c r="D794" s="5"/>
      <c r="E794" s="5"/>
      <c r="F794" s="5"/>
      <c r="G794" s="5"/>
      <c r="H794" s="3"/>
      <c r="I794" s="6"/>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row>
    <row r="795" spans="2:32" ht="12.75">
      <c r="B795" s="49"/>
      <c r="C795" s="5"/>
      <c r="D795" s="5"/>
      <c r="E795" s="5"/>
      <c r="F795" s="5"/>
      <c r="G795" s="5"/>
      <c r="H795" s="3"/>
      <c r="I795" s="6"/>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row>
    <row r="796" spans="2:32" ht="12.75">
      <c r="B796" s="49"/>
      <c r="C796" s="5"/>
      <c r="D796" s="5"/>
      <c r="E796" s="5"/>
      <c r="F796" s="5"/>
      <c r="G796" s="5"/>
      <c r="H796" s="3"/>
      <c r="I796" s="6"/>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row>
    <row r="797" spans="2:32" ht="12.75">
      <c r="B797" s="49"/>
      <c r="C797" s="5"/>
      <c r="D797" s="5"/>
      <c r="E797" s="5"/>
      <c r="F797" s="5"/>
      <c r="G797" s="5"/>
      <c r="H797" s="3"/>
      <c r="I797" s="6"/>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row>
    <row r="798" spans="2:32" ht="12.75">
      <c r="B798" s="49"/>
      <c r="C798" s="5"/>
      <c r="D798" s="5"/>
      <c r="E798" s="5"/>
      <c r="F798" s="5"/>
      <c r="G798" s="5"/>
      <c r="H798" s="3"/>
      <c r="I798" s="6"/>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row>
    <row r="799" spans="2:32" ht="12.75">
      <c r="B799" s="49"/>
      <c r="C799" s="5"/>
      <c r="D799" s="5"/>
      <c r="E799" s="5"/>
      <c r="F799" s="5"/>
      <c r="G799" s="5"/>
      <c r="H799" s="3"/>
      <c r="I799" s="6"/>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row>
    <row r="800" spans="2:32" ht="12.75">
      <c r="B800" s="49"/>
      <c r="C800" s="5"/>
      <c r="D800" s="5"/>
      <c r="E800" s="5"/>
      <c r="F800" s="5"/>
      <c r="G800" s="5"/>
      <c r="H800" s="3"/>
      <c r="I800" s="6"/>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row>
    <row r="801" spans="2:32" ht="12.75">
      <c r="B801" s="49"/>
      <c r="C801" s="5"/>
      <c r="D801" s="5"/>
      <c r="E801" s="5"/>
      <c r="F801" s="5"/>
      <c r="G801" s="5"/>
      <c r="H801" s="3"/>
      <c r="I801" s="6"/>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row>
    <row r="802" spans="2:32" ht="12.75">
      <c r="B802" s="49"/>
      <c r="C802" s="5"/>
      <c r="D802" s="5"/>
      <c r="E802" s="5"/>
      <c r="F802" s="5"/>
      <c r="G802" s="5"/>
      <c r="H802" s="3"/>
      <c r="I802" s="6"/>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row>
    <row r="803" spans="2:32" ht="12.75">
      <c r="B803" s="49"/>
      <c r="C803" s="5"/>
      <c r="D803" s="5"/>
      <c r="E803" s="5"/>
      <c r="F803" s="5"/>
      <c r="G803" s="5"/>
      <c r="H803" s="3"/>
      <c r="I803" s="6"/>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row>
    <row r="804" spans="2:32" ht="12.75">
      <c r="B804" s="49"/>
      <c r="C804" s="5"/>
      <c r="D804" s="5"/>
      <c r="E804" s="5"/>
      <c r="F804" s="5"/>
      <c r="G804" s="5"/>
      <c r="H804" s="3"/>
      <c r="I804" s="6"/>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row>
    <row r="805" spans="2:32" ht="12.75">
      <c r="B805" s="49"/>
      <c r="C805" s="5"/>
      <c r="D805" s="5"/>
      <c r="E805" s="5"/>
      <c r="F805" s="5"/>
      <c r="G805" s="5"/>
      <c r="H805" s="3"/>
      <c r="I805" s="6"/>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row>
    <row r="806" spans="2:32" ht="12.75">
      <c r="B806" s="49"/>
      <c r="C806" s="5"/>
      <c r="D806" s="5"/>
      <c r="E806" s="5"/>
      <c r="F806" s="5"/>
      <c r="G806" s="5"/>
      <c r="H806" s="3"/>
      <c r="I806" s="6"/>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row>
    <row r="807" spans="2:32" ht="12.75">
      <c r="B807" s="49"/>
      <c r="C807" s="5"/>
      <c r="D807" s="5"/>
      <c r="E807" s="5"/>
      <c r="F807" s="5"/>
      <c r="G807" s="5"/>
      <c r="H807" s="3"/>
      <c r="I807" s="6"/>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row>
    <row r="808" spans="2:32" ht="12.75">
      <c r="B808" s="49"/>
      <c r="C808" s="5"/>
      <c r="D808" s="5"/>
      <c r="E808" s="5"/>
      <c r="F808" s="5"/>
      <c r="G808" s="5"/>
      <c r="H808" s="3"/>
      <c r="I808" s="6"/>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row>
    <row r="809" spans="2:32" ht="12.75">
      <c r="B809" s="49"/>
      <c r="C809" s="5"/>
      <c r="D809" s="5"/>
      <c r="E809" s="5"/>
      <c r="F809" s="5"/>
      <c r="G809" s="5"/>
      <c r="H809" s="3"/>
      <c r="I809" s="6"/>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row>
    <row r="810" spans="2:32" ht="12.75">
      <c r="B810" s="49"/>
      <c r="C810" s="5"/>
      <c r="D810" s="5"/>
      <c r="E810" s="5"/>
      <c r="F810" s="5"/>
      <c r="G810" s="5"/>
      <c r="H810" s="3"/>
      <c r="I810" s="6"/>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row>
    <row r="811" spans="2:32" ht="12.75">
      <c r="B811" s="49"/>
      <c r="C811" s="5"/>
      <c r="D811" s="5"/>
      <c r="E811" s="5"/>
      <c r="F811" s="5"/>
      <c r="G811" s="5"/>
      <c r="H811" s="3"/>
      <c r="I811" s="6"/>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row>
    <row r="812" spans="2:32" ht="12.75">
      <c r="B812" s="49"/>
      <c r="C812" s="5"/>
      <c r="D812" s="5"/>
      <c r="E812" s="5"/>
      <c r="F812" s="5"/>
      <c r="G812" s="5"/>
      <c r="H812" s="3"/>
      <c r="I812" s="6"/>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row>
    <row r="813" spans="2:32" ht="12.75">
      <c r="B813" s="49"/>
      <c r="C813" s="5"/>
      <c r="D813" s="5"/>
      <c r="E813" s="5"/>
      <c r="F813" s="5"/>
      <c r="G813" s="5"/>
      <c r="H813" s="3"/>
      <c r="I813" s="6"/>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row>
    <row r="814" spans="2:32" ht="12.75">
      <c r="B814" s="49"/>
      <c r="C814" s="5"/>
      <c r="D814" s="5"/>
      <c r="E814" s="5"/>
      <c r="F814" s="5"/>
      <c r="G814" s="5"/>
      <c r="H814" s="3"/>
      <c r="I814" s="6"/>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row>
    <row r="815" spans="2:32" ht="12.75">
      <c r="B815" s="49"/>
      <c r="C815" s="5"/>
      <c r="D815" s="5"/>
      <c r="E815" s="5"/>
      <c r="F815" s="5"/>
      <c r="G815" s="5"/>
      <c r="H815" s="3"/>
      <c r="I815" s="6"/>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row>
    <row r="816" spans="2:32" ht="12.75">
      <c r="B816" s="49"/>
      <c r="C816" s="5"/>
      <c r="D816" s="5"/>
      <c r="E816" s="5"/>
      <c r="F816" s="5"/>
      <c r="G816" s="5"/>
      <c r="H816" s="3"/>
      <c r="I816" s="6"/>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row>
    <row r="817" spans="2:32" ht="12.75">
      <c r="B817" s="49"/>
      <c r="C817" s="5"/>
      <c r="D817" s="5"/>
      <c r="E817" s="5"/>
      <c r="F817" s="5"/>
      <c r="G817" s="5"/>
      <c r="H817" s="3"/>
      <c r="I817" s="6"/>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row>
    <row r="818" spans="2:32" ht="12.75">
      <c r="B818" s="49"/>
      <c r="C818" s="5"/>
      <c r="D818" s="5"/>
      <c r="E818" s="5"/>
      <c r="F818" s="5"/>
      <c r="G818" s="5"/>
      <c r="H818" s="3"/>
      <c r="I818" s="6"/>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row>
    <row r="819" spans="2:32" ht="12.75">
      <c r="B819" s="49"/>
      <c r="C819" s="5"/>
      <c r="D819" s="5"/>
      <c r="E819" s="5"/>
      <c r="F819" s="5"/>
      <c r="G819" s="5"/>
      <c r="H819" s="3"/>
      <c r="I819" s="6"/>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row>
    <row r="820" spans="2:32" ht="12.75">
      <c r="B820" s="49"/>
      <c r="C820" s="5"/>
      <c r="D820" s="5"/>
      <c r="E820" s="5"/>
      <c r="F820" s="5"/>
      <c r="G820" s="5"/>
      <c r="H820" s="3"/>
      <c r="I820" s="6"/>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row>
    <row r="821" spans="2:32" ht="12.75">
      <c r="B821" s="49"/>
      <c r="C821" s="5"/>
      <c r="D821" s="5"/>
      <c r="E821" s="5"/>
      <c r="F821" s="5"/>
      <c r="G821" s="5"/>
      <c r="H821" s="3"/>
      <c r="I821" s="6"/>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row>
    <row r="822" spans="2:32" ht="12.75">
      <c r="B822" s="49"/>
      <c r="C822" s="5"/>
      <c r="D822" s="5"/>
      <c r="E822" s="5"/>
      <c r="F822" s="5"/>
      <c r="G822" s="5"/>
      <c r="H822" s="3"/>
      <c r="I822" s="6"/>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row>
    <row r="823" spans="2:32" ht="12.75">
      <c r="B823" s="49"/>
      <c r="C823" s="5"/>
      <c r="D823" s="5"/>
      <c r="E823" s="5"/>
      <c r="F823" s="5"/>
      <c r="G823" s="5"/>
      <c r="H823" s="3"/>
      <c r="I823" s="6"/>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row>
    <row r="824" spans="2:32" ht="12.75">
      <c r="B824" s="49"/>
      <c r="C824" s="5"/>
      <c r="D824" s="5"/>
      <c r="E824" s="5"/>
      <c r="F824" s="5"/>
      <c r="G824" s="5"/>
      <c r="H824" s="3"/>
      <c r="I824" s="6"/>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row>
    <row r="825" spans="2:32" ht="12.75">
      <c r="B825" s="49"/>
      <c r="C825" s="5"/>
      <c r="D825" s="5"/>
      <c r="E825" s="5"/>
      <c r="F825" s="5"/>
      <c r="G825" s="5"/>
      <c r="H825" s="3"/>
      <c r="I825" s="6"/>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row>
    <row r="826" spans="2:32" ht="12.75">
      <c r="B826" s="49"/>
      <c r="C826" s="5"/>
      <c r="D826" s="5"/>
      <c r="E826" s="5"/>
      <c r="F826" s="5"/>
      <c r="G826" s="5"/>
      <c r="H826" s="3"/>
      <c r="I826" s="6"/>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row>
    <row r="827" spans="2:32" ht="12.75">
      <c r="B827" s="49"/>
      <c r="C827" s="5"/>
      <c r="D827" s="5"/>
      <c r="E827" s="5"/>
      <c r="F827" s="5"/>
      <c r="G827" s="5"/>
      <c r="H827" s="3"/>
      <c r="I827" s="6"/>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row>
    <row r="828" spans="2:32" ht="12.75">
      <c r="B828" s="49"/>
      <c r="C828" s="5"/>
      <c r="D828" s="5"/>
      <c r="E828" s="5"/>
      <c r="F828" s="5"/>
      <c r="G828" s="5"/>
      <c r="H828" s="3"/>
      <c r="I828" s="6"/>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row>
    <row r="829" spans="2:32" ht="12.75">
      <c r="B829" s="49"/>
      <c r="C829" s="5"/>
      <c r="D829" s="5"/>
      <c r="E829" s="5"/>
      <c r="F829" s="5"/>
      <c r="G829" s="5"/>
      <c r="H829" s="3"/>
      <c r="I829" s="6"/>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row>
    <row r="830" spans="2:32" ht="12.75">
      <c r="B830" s="49"/>
      <c r="C830" s="5"/>
      <c r="D830" s="5"/>
      <c r="E830" s="5"/>
      <c r="F830" s="5"/>
      <c r="G830" s="5"/>
      <c r="H830" s="3"/>
      <c r="I830" s="6"/>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row>
    <row r="831" spans="2:32" ht="12.75">
      <c r="B831" s="49"/>
      <c r="C831" s="5"/>
      <c r="D831" s="5"/>
      <c r="E831" s="5"/>
      <c r="F831" s="5"/>
      <c r="G831" s="5"/>
      <c r="H831" s="3"/>
      <c r="I831" s="6"/>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row>
    <row r="832" spans="2:32" ht="12.75">
      <c r="B832" s="49"/>
      <c r="C832" s="5"/>
      <c r="D832" s="5"/>
      <c r="E832" s="5"/>
      <c r="F832" s="5"/>
      <c r="G832" s="5"/>
      <c r="H832" s="3"/>
      <c r="I832" s="6"/>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row>
    <row r="833" spans="2:32" ht="12.75">
      <c r="B833" s="49"/>
      <c r="C833" s="5"/>
      <c r="D833" s="5"/>
      <c r="E833" s="5"/>
      <c r="F833" s="5"/>
      <c r="G833" s="5"/>
      <c r="H833" s="3"/>
      <c r="I833" s="6"/>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row>
    <row r="834" spans="2:32" ht="12.75">
      <c r="B834" s="49"/>
      <c r="C834" s="5"/>
      <c r="D834" s="5"/>
      <c r="E834" s="5"/>
      <c r="F834" s="5"/>
      <c r="G834" s="5"/>
      <c r="H834" s="3"/>
      <c r="I834" s="6"/>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row>
    <row r="835" spans="2:32" ht="12.75">
      <c r="B835" s="49"/>
      <c r="C835" s="5"/>
      <c r="D835" s="5"/>
      <c r="E835" s="5"/>
      <c r="F835" s="5"/>
      <c r="G835" s="5"/>
      <c r="H835" s="3"/>
      <c r="I835" s="6"/>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row>
    <row r="836" spans="2:32" ht="12.75">
      <c r="B836" s="49"/>
      <c r="C836" s="5"/>
      <c r="D836" s="5"/>
      <c r="E836" s="5"/>
      <c r="F836" s="5"/>
      <c r="G836" s="5"/>
      <c r="H836" s="3"/>
      <c r="I836" s="6"/>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row>
    <row r="837" spans="2:32" ht="12.75">
      <c r="B837" s="49"/>
      <c r="C837" s="5"/>
      <c r="D837" s="5"/>
      <c r="E837" s="5"/>
      <c r="F837" s="5"/>
      <c r="G837" s="5"/>
      <c r="H837" s="3"/>
      <c r="I837" s="6"/>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row>
    <row r="838" spans="2:32" ht="12.75">
      <c r="B838" s="49"/>
      <c r="C838" s="5"/>
      <c r="D838" s="5"/>
      <c r="E838" s="5"/>
      <c r="F838" s="5"/>
      <c r="G838" s="5"/>
      <c r="H838" s="3"/>
      <c r="I838" s="6"/>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row>
    <row r="839" spans="2:32" ht="12.75">
      <c r="B839" s="49"/>
      <c r="C839" s="5"/>
      <c r="D839" s="5"/>
      <c r="E839" s="5"/>
      <c r="F839" s="5"/>
      <c r="G839" s="5"/>
      <c r="H839" s="3"/>
      <c r="I839" s="6"/>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row>
    <row r="840" spans="2:32" ht="12.75">
      <c r="B840" s="49"/>
      <c r="C840" s="5"/>
      <c r="D840" s="5"/>
      <c r="E840" s="5"/>
      <c r="F840" s="5"/>
      <c r="G840" s="5"/>
      <c r="H840" s="3"/>
      <c r="I840" s="6"/>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row>
    <row r="841" spans="2:32" ht="12.75">
      <c r="B841" s="49"/>
      <c r="C841" s="5"/>
      <c r="D841" s="5"/>
      <c r="E841" s="5"/>
      <c r="F841" s="5"/>
      <c r="G841" s="5"/>
      <c r="H841" s="3"/>
      <c r="I841" s="6"/>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row>
    <row r="842" spans="2:32" ht="12.75">
      <c r="B842" s="49"/>
      <c r="C842" s="5"/>
      <c r="D842" s="5"/>
      <c r="E842" s="5"/>
      <c r="F842" s="5"/>
      <c r="G842" s="5"/>
      <c r="H842" s="3"/>
      <c r="I842" s="6"/>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row>
    <row r="843" spans="2:32" ht="12.75">
      <c r="B843" s="49"/>
      <c r="C843" s="5"/>
      <c r="D843" s="5"/>
      <c r="E843" s="5"/>
      <c r="F843" s="5"/>
      <c r="G843" s="5"/>
      <c r="H843" s="3"/>
      <c r="I843" s="6"/>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row>
    <row r="844" spans="2:32" ht="12.75">
      <c r="B844" s="49"/>
      <c r="C844" s="5"/>
      <c r="D844" s="5"/>
      <c r="E844" s="5"/>
      <c r="F844" s="5"/>
      <c r="G844" s="5"/>
      <c r="H844" s="3"/>
      <c r="I844" s="6"/>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row>
    <row r="845" spans="2:32" ht="12.75">
      <c r="B845" s="49"/>
      <c r="C845" s="5"/>
      <c r="D845" s="5"/>
      <c r="E845" s="5"/>
      <c r="F845" s="5"/>
      <c r="G845" s="5"/>
      <c r="H845" s="3"/>
      <c r="I845" s="6"/>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row>
    <row r="846" spans="2:32" ht="12.75">
      <c r="B846" s="49"/>
      <c r="C846" s="5"/>
      <c r="D846" s="5"/>
      <c r="E846" s="5"/>
      <c r="F846" s="5"/>
      <c r="G846" s="5"/>
      <c r="H846" s="3"/>
      <c r="I846" s="6"/>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row>
    <row r="847" spans="2:32" ht="12.75">
      <c r="B847" s="49"/>
      <c r="C847" s="5"/>
      <c r="D847" s="5"/>
      <c r="E847" s="5"/>
      <c r="F847" s="5"/>
      <c r="G847" s="5"/>
      <c r="H847" s="3"/>
      <c r="I847" s="6"/>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row>
    <row r="848" spans="2:32" ht="12.75">
      <c r="B848" s="49"/>
      <c r="C848" s="5"/>
      <c r="D848" s="5"/>
      <c r="E848" s="5"/>
      <c r="F848" s="5"/>
      <c r="G848" s="5"/>
      <c r="H848" s="3"/>
      <c r="I848" s="6"/>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row>
    <row r="849" spans="2:32" ht="12.75">
      <c r="B849" s="49"/>
      <c r="C849" s="5"/>
      <c r="D849" s="5"/>
      <c r="E849" s="5"/>
      <c r="F849" s="5"/>
      <c r="G849" s="5"/>
      <c r="H849" s="3"/>
      <c r="I849" s="6"/>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row>
    <row r="850" spans="2:32" ht="12.75">
      <c r="B850" s="49"/>
      <c r="C850" s="5"/>
      <c r="D850" s="5"/>
      <c r="E850" s="5"/>
      <c r="F850" s="5"/>
      <c r="G850" s="5"/>
      <c r="H850" s="3"/>
      <c r="I850" s="6"/>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row>
    <row r="851" spans="2:32" ht="12.75">
      <c r="B851" s="49"/>
      <c r="C851" s="5"/>
      <c r="D851" s="5"/>
      <c r="E851" s="5"/>
      <c r="F851" s="5"/>
      <c r="G851" s="5"/>
      <c r="H851" s="3"/>
      <c r="I851" s="6"/>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row>
    <row r="852" spans="2:32" ht="12.75">
      <c r="B852" s="49"/>
      <c r="C852" s="5"/>
      <c r="D852" s="5"/>
      <c r="E852" s="5"/>
      <c r="F852" s="5"/>
      <c r="G852" s="5"/>
      <c r="H852" s="3"/>
      <c r="I852" s="6"/>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row>
    <row r="853" spans="2:32" ht="12.75">
      <c r="B853" s="49"/>
      <c r="C853" s="5"/>
      <c r="D853" s="5"/>
      <c r="E853" s="5"/>
      <c r="F853" s="5"/>
      <c r="G853" s="5"/>
      <c r="H853" s="3"/>
      <c r="I853" s="6"/>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row>
    <row r="854" spans="2:32" ht="12.75">
      <c r="B854" s="49"/>
      <c r="C854" s="5"/>
      <c r="D854" s="5"/>
      <c r="E854" s="5"/>
      <c r="F854" s="5"/>
      <c r="G854" s="5"/>
      <c r="H854" s="3"/>
      <c r="I854" s="6"/>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row>
    <row r="855" spans="2:32" ht="12.75">
      <c r="B855" s="49"/>
      <c r="C855" s="5"/>
      <c r="D855" s="5"/>
      <c r="E855" s="5"/>
      <c r="F855" s="5"/>
      <c r="G855" s="5"/>
      <c r="H855" s="3"/>
      <c r="I855" s="6"/>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row>
    <row r="856" spans="2:32" ht="12.75">
      <c r="B856" s="49"/>
      <c r="C856" s="5"/>
      <c r="D856" s="5"/>
      <c r="E856" s="5"/>
      <c r="F856" s="5"/>
      <c r="G856" s="5"/>
      <c r="H856" s="3"/>
      <c r="I856" s="6"/>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row>
    <row r="857" spans="2:32" ht="12.75">
      <c r="B857" s="49"/>
      <c r="C857" s="5"/>
      <c r="D857" s="5"/>
      <c r="E857" s="5"/>
      <c r="F857" s="5"/>
      <c r="G857" s="5"/>
      <c r="H857" s="3"/>
      <c r="I857" s="6"/>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row>
    <row r="858" spans="2:32" ht="12.75">
      <c r="B858" s="49"/>
      <c r="C858" s="5"/>
      <c r="D858" s="5"/>
      <c r="E858" s="5"/>
      <c r="F858" s="5"/>
      <c r="G858" s="5"/>
      <c r="H858" s="3"/>
      <c r="I858" s="6"/>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row>
    <row r="859" spans="2:32" ht="12.75">
      <c r="B859" s="49"/>
      <c r="C859" s="5"/>
      <c r="D859" s="5"/>
      <c r="E859" s="5"/>
      <c r="F859" s="5"/>
      <c r="G859" s="5"/>
      <c r="H859" s="3"/>
      <c r="I859" s="6"/>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row>
    <row r="860" spans="2:32" ht="12.75">
      <c r="B860" s="49"/>
      <c r="C860" s="5"/>
      <c r="D860" s="5"/>
      <c r="E860" s="5"/>
      <c r="F860" s="5"/>
      <c r="G860" s="5"/>
      <c r="H860" s="3"/>
      <c r="I860" s="6"/>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row>
    <row r="861" spans="2:32" ht="12.75">
      <c r="B861" s="49"/>
      <c r="C861" s="5"/>
      <c r="D861" s="5"/>
      <c r="E861" s="5"/>
      <c r="F861" s="5"/>
      <c r="G861" s="5"/>
      <c r="H861" s="3"/>
      <c r="I861" s="6"/>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row>
    <row r="862" spans="2:32" ht="12.75">
      <c r="B862" s="49"/>
      <c r="C862" s="5"/>
      <c r="D862" s="5"/>
      <c r="E862" s="5"/>
      <c r="F862" s="5"/>
      <c r="G862" s="5"/>
      <c r="H862" s="3"/>
      <c r="I862" s="6"/>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row>
    <row r="863" spans="2:32" ht="12.75">
      <c r="B863" s="49"/>
      <c r="C863" s="5"/>
      <c r="D863" s="5"/>
      <c r="E863" s="5"/>
      <c r="F863" s="5"/>
      <c r="G863" s="5"/>
      <c r="H863" s="3"/>
      <c r="I863" s="6"/>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row>
    <row r="864" spans="2:32" ht="12.75">
      <c r="B864" s="49"/>
      <c r="C864" s="5"/>
      <c r="D864" s="5"/>
      <c r="E864" s="5"/>
      <c r="F864" s="5"/>
      <c r="G864" s="5"/>
      <c r="H864" s="3"/>
      <c r="I864" s="6"/>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row>
    <row r="865" spans="2:32" ht="12.75">
      <c r="B865" s="49"/>
      <c r="C865" s="5"/>
      <c r="D865" s="5"/>
      <c r="E865" s="5"/>
      <c r="F865" s="5"/>
      <c r="G865" s="5"/>
      <c r="H865" s="3"/>
      <c r="I865" s="6"/>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row>
    <row r="866" spans="2:32" ht="12.75">
      <c r="B866" s="49"/>
      <c r="C866" s="5"/>
      <c r="D866" s="5"/>
      <c r="E866" s="5"/>
      <c r="F866" s="5"/>
      <c r="G866" s="5"/>
      <c r="H866" s="3"/>
      <c r="I866" s="6"/>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row>
    <row r="867" spans="2:32" ht="12.75">
      <c r="B867" s="49"/>
      <c r="C867" s="5"/>
      <c r="D867" s="5"/>
      <c r="E867" s="5"/>
      <c r="F867" s="5"/>
      <c r="G867" s="5"/>
      <c r="H867" s="3"/>
      <c r="I867" s="6"/>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row>
    <row r="868" spans="2:32" ht="12.75">
      <c r="B868" s="49"/>
      <c r="C868" s="5"/>
      <c r="D868" s="5"/>
      <c r="E868" s="5"/>
      <c r="F868" s="5"/>
      <c r="G868" s="5"/>
      <c r="H868" s="3"/>
      <c r="I868" s="6"/>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row>
    <row r="869" spans="2:32" ht="12.75">
      <c r="B869" s="49"/>
      <c r="C869" s="5"/>
      <c r="D869" s="5"/>
      <c r="E869" s="5"/>
      <c r="F869" s="5"/>
      <c r="G869" s="5"/>
      <c r="H869" s="3"/>
      <c r="I869" s="6"/>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row>
    <row r="870" spans="2:32" ht="12.75">
      <c r="B870" s="49"/>
      <c r="C870" s="5"/>
      <c r="D870" s="5"/>
      <c r="E870" s="5"/>
      <c r="F870" s="5"/>
      <c r="G870" s="5"/>
      <c r="H870" s="3"/>
      <c r="I870" s="6"/>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row>
    <row r="871" spans="2:32" ht="12.75">
      <c r="B871" s="49"/>
      <c r="C871" s="5"/>
      <c r="D871" s="5"/>
      <c r="E871" s="5"/>
      <c r="F871" s="5"/>
      <c r="G871" s="5"/>
      <c r="H871" s="3"/>
      <c r="I871" s="6"/>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row>
    <row r="872" spans="2:32" ht="12.75">
      <c r="B872" s="49"/>
      <c r="C872" s="5"/>
      <c r="D872" s="5"/>
      <c r="E872" s="5"/>
      <c r="F872" s="5"/>
      <c r="G872" s="5"/>
      <c r="H872" s="3"/>
      <c r="I872" s="6"/>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row>
    <row r="873" spans="2:32" ht="12.75">
      <c r="B873" s="49"/>
      <c r="C873" s="5"/>
      <c r="D873" s="5"/>
      <c r="E873" s="5"/>
      <c r="F873" s="5"/>
      <c r="G873" s="5"/>
      <c r="H873" s="3"/>
      <c r="I873" s="6"/>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row>
    <row r="874" spans="2:32" ht="12.75">
      <c r="B874" s="49"/>
      <c r="C874" s="5"/>
      <c r="D874" s="5"/>
      <c r="E874" s="5"/>
      <c r="F874" s="5"/>
      <c r="G874" s="5"/>
      <c r="H874" s="3"/>
      <c r="I874" s="6"/>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row>
    <row r="875" spans="2:32" ht="12.75">
      <c r="B875" s="49"/>
      <c r="C875" s="5"/>
      <c r="D875" s="5"/>
      <c r="E875" s="5"/>
      <c r="F875" s="5"/>
      <c r="G875" s="5"/>
      <c r="H875" s="3"/>
      <c r="I875" s="6"/>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row>
    <row r="876" spans="2:32" ht="12.75">
      <c r="B876" s="49"/>
      <c r="C876" s="5"/>
      <c r="D876" s="5"/>
      <c r="E876" s="5"/>
      <c r="F876" s="5"/>
      <c r="G876" s="5"/>
      <c r="H876" s="3"/>
      <c r="I876" s="6"/>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row>
    <row r="877" spans="2:32" ht="12.75">
      <c r="B877" s="49"/>
      <c r="C877" s="5"/>
      <c r="D877" s="5"/>
      <c r="E877" s="5"/>
      <c r="F877" s="5"/>
      <c r="G877" s="5"/>
      <c r="H877" s="3"/>
      <c r="I877" s="6"/>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row>
    <row r="878" spans="2:32" ht="12.75">
      <c r="B878" s="49"/>
      <c r="C878" s="5"/>
      <c r="D878" s="5"/>
      <c r="E878" s="5"/>
      <c r="F878" s="5"/>
      <c r="G878" s="5"/>
      <c r="H878" s="3"/>
      <c r="I878" s="6"/>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row>
    <row r="879" spans="2:32" ht="12.75">
      <c r="B879" s="49"/>
      <c r="C879" s="5"/>
      <c r="D879" s="5"/>
      <c r="E879" s="5"/>
      <c r="F879" s="5"/>
      <c r="G879" s="5"/>
      <c r="H879" s="3"/>
      <c r="I879" s="6"/>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row>
    <row r="880" spans="2:32" ht="12.75">
      <c r="B880" s="49"/>
      <c r="C880" s="5"/>
      <c r="D880" s="5"/>
      <c r="E880" s="5"/>
      <c r="F880" s="5"/>
      <c r="G880" s="5"/>
      <c r="H880" s="3"/>
      <c r="I880" s="6"/>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row>
    <row r="881" spans="2:32" ht="12.75">
      <c r="B881" s="49"/>
      <c r="C881" s="5"/>
      <c r="D881" s="5"/>
      <c r="E881" s="5"/>
      <c r="F881" s="5"/>
      <c r="G881" s="5"/>
      <c r="H881" s="3"/>
      <c r="I881" s="6"/>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row>
    <row r="882" spans="2:32" ht="12.75">
      <c r="B882" s="49"/>
      <c r="C882" s="5"/>
      <c r="D882" s="5"/>
      <c r="E882" s="5"/>
      <c r="F882" s="5"/>
      <c r="G882" s="5"/>
      <c r="H882" s="3"/>
      <c r="I882" s="6"/>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row>
    <row r="883" spans="2:32" ht="12.75">
      <c r="B883" s="49"/>
      <c r="C883" s="5"/>
      <c r="D883" s="5"/>
      <c r="E883" s="5"/>
      <c r="F883" s="5"/>
      <c r="G883" s="5"/>
      <c r="H883" s="3"/>
      <c r="I883" s="6"/>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row>
    <row r="884" spans="2:32" ht="12.75">
      <c r="B884" s="49"/>
      <c r="C884" s="5"/>
      <c r="D884" s="5"/>
      <c r="E884" s="5"/>
      <c r="F884" s="5"/>
      <c r="G884" s="5"/>
      <c r="H884" s="3"/>
      <c r="I884" s="6"/>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row>
    <row r="885" spans="2:32" ht="12.75">
      <c r="B885" s="49"/>
      <c r="C885" s="5"/>
      <c r="D885" s="5"/>
      <c r="E885" s="5"/>
      <c r="F885" s="5"/>
      <c r="G885" s="5"/>
      <c r="H885" s="3"/>
      <c r="I885" s="6"/>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row>
    <row r="886" spans="2:32" ht="12.75">
      <c r="B886" s="49"/>
      <c r="C886" s="5"/>
      <c r="D886" s="5"/>
      <c r="E886" s="5"/>
      <c r="F886" s="5"/>
      <c r="G886" s="5"/>
      <c r="H886" s="3"/>
      <c r="I886" s="6"/>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2.75">
      <c r="B887" s="49"/>
      <c r="C887" s="5"/>
      <c r="D887" s="5"/>
      <c r="E887" s="5"/>
      <c r="F887" s="5"/>
      <c r="G887" s="5"/>
      <c r="H887" s="3"/>
      <c r="I887" s="6"/>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row>
    <row r="888" spans="2:32" ht="12.75">
      <c r="B888" s="49"/>
      <c r="C888" s="5"/>
      <c r="D888" s="5"/>
      <c r="E888" s="5"/>
      <c r="F888" s="5"/>
      <c r="G888" s="5"/>
      <c r="H888" s="3"/>
      <c r="I888" s="6"/>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row>
    <row r="889" spans="2:32" ht="12.75">
      <c r="B889" s="49"/>
      <c r="C889" s="5"/>
      <c r="D889" s="5"/>
      <c r="E889" s="5"/>
      <c r="F889" s="5"/>
      <c r="G889" s="5"/>
      <c r="H889" s="3"/>
      <c r="I889" s="6"/>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row>
    <row r="890" spans="2:32" ht="12.75">
      <c r="B890" s="49"/>
      <c r="C890" s="5"/>
      <c r="D890" s="5"/>
      <c r="E890" s="5"/>
      <c r="F890" s="5"/>
      <c r="G890" s="5"/>
      <c r="H890" s="3"/>
      <c r="I890" s="6"/>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row>
    <row r="891" spans="2:32" ht="12.75">
      <c r="B891" s="49"/>
      <c r="C891" s="5"/>
      <c r="D891" s="5"/>
      <c r="E891" s="5"/>
      <c r="F891" s="5"/>
      <c r="G891" s="5"/>
      <c r="H891" s="3"/>
      <c r="I891" s="6"/>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row>
    <row r="892" spans="2:32" ht="12.75">
      <c r="B892" s="49"/>
      <c r="C892" s="5"/>
      <c r="D892" s="5"/>
      <c r="E892" s="5"/>
      <c r="F892" s="5"/>
      <c r="G892" s="5"/>
      <c r="H892" s="3"/>
      <c r="I892" s="6"/>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row>
    <row r="893" spans="2:32" ht="12.75">
      <c r="B893" s="49"/>
      <c r="C893" s="5"/>
      <c r="D893" s="5"/>
      <c r="E893" s="5"/>
      <c r="F893" s="5"/>
      <c r="G893" s="5"/>
      <c r="H893" s="3"/>
      <c r="I893" s="6"/>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row>
    <row r="894" spans="2:32" ht="12.75">
      <c r="B894" s="49"/>
      <c r="C894" s="5"/>
      <c r="D894" s="5"/>
      <c r="E894" s="5"/>
      <c r="F894" s="5"/>
      <c r="G894" s="5"/>
      <c r="H894" s="3"/>
      <c r="I894" s="6"/>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row>
    <row r="895" spans="2:32" ht="12.75">
      <c r="B895" s="49"/>
      <c r="C895" s="5"/>
      <c r="D895" s="5"/>
      <c r="E895" s="5"/>
      <c r="F895" s="5"/>
      <c r="G895" s="5"/>
      <c r="H895" s="3"/>
      <c r="I895" s="6"/>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row>
    <row r="896" spans="2:32" ht="12.75">
      <c r="B896" s="49"/>
      <c r="C896" s="5"/>
      <c r="D896" s="5"/>
      <c r="E896" s="5"/>
      <c r="F896" s="5"/>
      <c r="G896" s="5"/>
      <c r="H896" s="3"/>
      <c r="I896" s="6"/>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row>
    <row r="897" spans="2:32" ht="12.75">
      <c r="B897" s="49"/>
      <c r="C897" s="5"/>
      <c r="D897" s="5"/>
      <c r="E897" s="5"/>
      <c r="F897" s="5"/>
      <c r="G897" s="5"/>
      <c r="H897" s="3"/>
      <c r="I897" s="6"/>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row>
    <row r="898" spans="2:32" ht="12.75">
      <c r="B898" s="49"/>
      <c r="C898" s="5"/>
      <c r="D898" s="5"/>
      <c r="E898" s="5"/>
      <c r="F898" s="5"/>
      <c r="G898" s="5"/>
      <c r="H898" s="3"/>
      <c r="I898" s="6"/>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row>
    <row r="899" spans="2:32" ht="12.75">
      <c r="B899" s="49"/>
      <c r="C899" s="5"/>
      <c r="D899" s="5"/>
      <c r="E899" s="5"/>
      <c r="F899" s="5"/>
      <c r="G899" s="5"/>
      <c r="H899" s="3"/>
      <c r="I899" s="6"/>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row>
    <row r="900" spans="2:32" ht="12.75">
      <c r="B900" s="49"/>
      <c r="C900" s="5"/>
      <c r="D900" s="5"/>
      <c r="E900" s="5"/>
      <c r="F900" s="5"/>
      <c r="G900" s="5"/>
      <c r="H900" s="3"/>
      <c r="I900" s="6"/>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row>
    <row r="901" spans="2:32" ht="12.75">
      <c r="B901" s="49"/>
      <c r="C901" s="5"/>
      <c r="D901" s="5"/>
      <c r="E901" s="5"/>
      <c r="F901" s="5"/>
      <c r="G901" s="5"/>
      <c r="H901" s="3"/>
      <c r="I901" s="6"/>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row>
    <row r="902" spans="2:32" ht="12.75">
      <c r="B902" s="49"/>
      <c r="C902" s="5"/>
      <c r="D902" s="5"/>
      <c r="E902" s="5"/>
      <c r="F902" s="5"/>
      <c r="G902" s="5"/>
      <c r="H902" s="3"/>
      <c r="I902" s="6"/>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row>
    <row r="903" spans="2:32" ht="12.75">
      <c r="B903" s="49"/>
      <c r="C903" s="5"/>
      <c r="D903" s="5"/>
      <c r="E903" s="5"/>
      <c r="F903" s="5"/>
      <c r="G903" s="5"/>
      <c r="H903" s="3"/>
      <c r="I903" s="6"/>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row>
    <row r="904" spans="2:32" ht="12.75">
      <c r="B904" s="49"/>
      <c r="C904" s="5"/>
      <c r="D904" s="5"/>
      <c r="E904" s="5"/>
      <c r="F904" s="5"/>
      <c r="G904" s="5"/>
      <c r="H904" s="3"/>
      <c r="I904" s="6"/>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row>
    <row r="905" spans="2:32" ht="12.75">
      <c r="B905" s="49"/>
      <c r="C905" s="5"/>
      <c r="D905" s="5"/>
      <c r="E905" s="5"/>
      <c r="F905" s="5"/>
      <c r="G905" s="5"/>
      <c r="H905" s="3"/>
      <c r="I905" s="6"/>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row>
    <row r="906" spans="2:32" ht="12.75">
      <c r="B906" s="49"/>
      <c r="C906" s="5"/>
      <c r="D906" s="5"/>
      <c r="E906" s="5"/>
      <c r="F906" s="5"/>
      <c r="G906" s="5"/>
      <c r="H906" s="3"/>
      <c r="I906" s="6"/>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row>
    <row r="907" spans="2:32" ht="12.75">
      <c r="B907" s="49"/>
      <c r="C907" s="5"/>
      <c r="D907" s="5"/>
      <c r="E907" s="5"/>
      <c r="F907" s="5"/>
      <c r="G907" s="5"/>
      <c r="H907" s="3"/>
      <c r="I907" s="6"/>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row>
    <row r="908" spans="2:32" ht="12.75">
      <c r="B908" s="49"/>
      <c r="C908" s="5"/>
      <c r="D908" s="5"/>
      <c r="E908" s="5"/>
      <c r="F908" s="5"/>
      <c r="G908" s="5"/>
      <c r="H908" s="3"/>
      <c r="I908" s="6"/>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row>
    <row r="909" spans="2:32" ht="12.75">
      <c r="B909" s="49"/>
      <c r="C909" s="5"/>
      <c r="D909" s="5"/>
      <c r="E909" s="5"/>
      <c r="F909" s="5"/>
      <c r="G909" s="5"/>
      <c r="H909" s="3"/>
      <c r="I909" s="6"/>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row>
    <row r="910" spans="2:32" ht="12.75">
      <c r="B910" s="49"/>
      <c r="C910" s="5"/>
      <c r="D910" s="5"/>
      <c r="E910" s="5"/>
      <c r="F910" s="5"/>
      <c r="G910" s="5"/>
      <c r="H910" s="3"/>
      <c r="I910" s="6"/>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row>
    <row r="911" spans="2:32" ht="12.75">
      <c r="B911" s="49"/>
      <c r="C911" s="5"/>
      <c r="D911" s="5"/>
      <c r="E911" s="5"/>
      <c r="F911" s="5"/>
      <c r="G911" s="5"/>
      <c r="H911" s="3"/>
      <c r="I911" s="6"/>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row>
    <row r="912" spans="2:32" ht="12.75">
      <c r="B912" s="49"/>
      <c r="C912" s="5"/>
      <c r="D912" s="5"/>
      <c r="E912" s="5"/>
      <c r="F912" s="5"/>
      <c r="G912" s="5"/>
      <c r="H912" s="3"/>
      <c r="I912" s="6"/>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row>
    <row r="913" spans="2:32" ht="12.75">
      <c r="B913" s="49"/>
      <c r="C913" s="5"/>
      <c r="D913" s="5"/>
      <c r="E913" s="5"/>
      <c r="F913" s="5"/>
      <c r="G913" s="5"/>
      <c r="H913" s="3"/>
      <c r="I913" s="6"/>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row>
    <row r="914" spans="2:32" ht="12.75">
      <c r="B914" s="49"/>
      <c r="C914" s="5"/>
      <c r="D914" s="5"/>
      <c r="E914" s="5"/>
      <c r="F914" s="5"/>
      <c r="G914" s="5"/>
      <c r="H914" s="3"/>
      <c r="I914" s="6"/>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row>
    <row r="915" spans="2:32" ht="12.75">
      <c r="B915" s="49"/>
      <c r="C915" s="5"/>
      <c r="D915" s="5"/>
      <c r="E915" s="5"/>
      <c r="F915" s="5"/>
      <c r="G915" s="5"/>
      <c r="H915" s="3"/>
      <c r="I915" s="6"/>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row>
  </sheetData>
  <dataValidations count="1">
    <dataValidation type="list" allowBlank="1" showInputMessage="1" showErrorMessage="1" sqref="L3" xr:uid="{8118C4DB-24AA-438C-BC35-E6E6D838C64F}">
      <formula1>"Inprogress, Completed"</formula1>
    </dataValidation>
  </dataValidations>
  <hyperlinks>
    <hyperlink ref="N1" r:id="rId1" xr:uid="{92B9102B-4D1F-450F-ADBC-650920C1CB26}"/>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3D77A-9825-47E5-9B44-31F979AD9128}">
  <sheetPr>
    <tabColor rgb="FFFFFF00"/>
    <outlinePr summaryBelow="0" summaryRight="0"/>
  </sheetPr>
  <dimension ref="A1:AB992"/>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53" t="s">
        <v>87</v>
      </c>
      <c r="B1" s="1" t="s">
        <v>11</v>
      </c>
      <c r="C1" s="1" t="s">
        <v>88</v>
      </c>
      <c r="D1" s="1" t="s">
        <v>89</v>
      </c>
      <c r="E1" s="1" t="s">
        <v>90</v>
      </c>
      <c r="F1" s="1" t="s">
        <v>91</v>
      </c>
      <c r="G1" s="1" t="s">
        <v>92</v>
      </c>
      <c r="H1" s="1" t="s">
        <v>93</v>
      </c>
      <c r="I1" s="1" t="s">
        <v>94</v>
      </c>
      <c r="J1" s="1" t="s">
        <v>95</v>
      </c>
      <c r="K1" s="1" t="s">
        <v>96</v>
      </c>
      <c r="L1" s="27" t="s">
        <v>97</v>
      </c>
      <c r="M1" s="28" t="s">
        <v>98</v>
      </c>
      <c r="N1" s="9"/>
      <c r="O1" s="9"/>
      <c r="P1" s="9"/>
      <c r="Q1" s="9"/>
      <c r="R1" s="9"/>
      <c r="S1" s="9"/>
      <c r="T1" s="9"/>
      <c r="U1" s="9"/>
      <c r="V1" s="9"/>
      <c r="W1" s="9"/>
      <c r="X1" s="9"/>
      <c r="Y1" s="9"/>
      <c r="Z1" s="9"/>
      <c r="AA1" s="9"/>
      <c r="AB1" s="9"/>
    </row>
    <row r="2" spans="1:28" ht="70.5" customHeight="1">
      <c r="A2" s="15"/>
      <c r="B2" s="42"/>
      <c r="C2" s="54"/>
      <c r="D2" s="55"/>
      <c r="E2" s="23"/>
      <c r="F2" s="56" t="s">
        <v>99</v>
      </c>
      <c r="G2" s="26"/>
      <c r="H2" s="42"/>
      <c r="I2" s="56"/>
      <c r="J2" s="42"/>
      <c r="K2" s="56"/>
      <c r="L2" s="42"/>
      <c r="M2" s="23"/>
    </row>
    <row r="3" spans="1:28" ht="33.75" customHeight="1">
      <c r="B3" s="51"/>
      <c r="C3" s="17"/>
      <c r="D3" s="17"/>
      <c r="E3" s="51"/>
      <c r="F3" s="51"/>
      <c r="G3" s="52"/>
      <c r="H3" s="51"/>
      <c r="I3" s="51"/>
      <c r="J3" s="51"/>
      <c r="K3" s="51"/>
      <c r="L3" s="51"/>
      <c r="M3" s="16"/>
    </row>
    <row r="4" spans="1:28" ht="15.75" customHeight="1"/>
    <row r="5" spans="1:28" ht="15.75" customHeight="1"/>
    <row r="6" spans="1:28" ht="15.75" customHeight="1"/>
    <row r="7" spans="1:28" ht="15.75" customHeight="1">
      <c r="F7" s="14"/>
    </row>
    <row r="8" spans="1:28" ht="15.75" customHeight="1"/>
    <row r="9" spans="1:28" ht="15.75" customHeight="1"/>
    <row r="10" spans="1:28" ht="15.75" customHeight="1">
      <c r="K10" s="14"/>
    </row>
    <row r="11" spans="1:28" ht="15.75" customHeight="1"/>
    <row r="12" spans="1:28" ht="15.75" customHeight="1"/>
    <row r="13" spans="1:28" ht="15.75" customHeight="1"/>
    <row r="14" spans="1:28" ht="15.75" customHeight="1">
      <c r="N14" s="1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E14DEB21-61E4-46C4-A0D0-4AE79932637C}">
      <formula1>"Internal,External"</formula1>
    </dataValidation>
    <dataValidation type="list" allowBlank="1" showErrorMessage="1" sqref="K3" xr:uid="{CF721EF5-F465-4444-83C7-E0D03E531155}">
      <formula1>"Open,Inprogress,Closed"</formula1>
    </dataValidation>
    <dataValidation type="list" allowBlank="1" showErrorMessage="1" sqref="H2:H3" xr:uid="{FA007DAB-B7E1-440E-80C2-7E0A852517EB}">
      <formula1>"Minor,Significant,Major"</formula1>
    </dataValidation>
    <dataValidation type="list" allowBlank="1" showErrorMessage="1" sqref="F3" xr:uid="{21761648-1FCC-429F-9F1E-83342B8B0154}">
      <formula1>"Bounceback,Defect,None"</formula1>
    </dataValidation>
    <dataValidation type="list" allowBlank="1" showErrorMessage="1" sqref="F2" xr:uid="{FC039387-5589-4AF3-B9CC-82410913AC83}">
      <formula1>"Bounceback/Sub-Defect,Defect,None"</formula1>
    </dataValidation>
    <dataValidation type="list" allowBlank="1" showErrorMessage="1" sqref="I2:I3" xr:uid="{F1724335-6283-4B87-AF5A-7F177FA11CD3}">
      <formula1>"Manual, Automation"</formula1>
    </dataValidation>
    <dataValidation type="list" allowBlank="1" showErrorMessage="1" sqref="K2" xr:uid="{B0C58A5F-5237-452A-87A6-5F3B18F33315}">
      <formula1>"Open,Inprogress,Closed/Rejected"</formula1>
    </dataValidation>
    <dataValidation type="list" allowBlank="1" showErrorMessage="1" sqref="L2:L3" xr:uid="{DFC0A2C7-E130-4176-B293-FAF3B1107657}">
      <formula1>$A$2:$A$10</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8749-E712-4708-8FE7-3E74F4C2E0A1}">
  <dimension ref="A1:H21"/>
  <sheetViews>
    <sheetView workbookViewId="0">
      <selection activeCell="C23" sqref="C23"/>
    </sheetView>
  </sheetViews>
  <sheetFormatPr defaultRowHeight="12.75"/>
  <cols>
    <col min="1" max="1" width="47" bestFit="1" customWidth="1"/>
    <col min="2" max="2" width="14.140625" bestFit="1" customWidth="1"/>
    <col min="3" max="3" width="24.28515625" bestFit="1" customWidth="1"/>
    <col min="4" max="4" width="20.140625" bestFit="1" customWidth="1"/>
    <col min="5" max="5" width="19.5703125" bestFit="1" customWidth="1"/>
    <col min="6" max="6" width="24.7109375" bestFit="1" customWidth="1"/>
    <col min="7" max="7" width="18.85546875" bestFit="1" customWidth="1"/>
  </cols>
  <sheetData>
    <row r="1" spans="1:8">
      <c r="A1" s="138" t="s">
        <v>100</v>
      </c>
      <c r="B1">
        <f>SUM(B21:F21)</f>
        <v>0</v>
      </c>
    </row>
    <row r="2" spans="1:8">
      <c r="B2" s="171" t="s">
        <v>101</v>
      </c>
      <c r="C2" s="171"/>
      <c r="D2" s="171"/>
      <c r="E2" s="171"/>
      <c r="F2" s="171"/>
    </row>
    <row r="3" spans="1:8">
      <c r="A3" s="139" t="s">
        <v>102</v>
      </c>
      <c r="B3" s="139" t="s">
        <v>103</v>
      </c>
      <c r="C3" s="139" t="s">
        <v>104</v>
      </c>
      <c r="D3" s="139" t="s">
        <v>105</v>
      </c>
      <c r="E3" s="139" t="s">
        <v>106</v>
      </c>
      <c r="F3" s="139" t="s">
        <v>107</v>
      </c>
      <c r="G3" s="144" t="s">
        <v>108</v>
      </c>
      <c r="H3" s="139" t="s">
        <v>16</v>
      </c>
    </row>
    <row r="4" spans="1:8">
      <c r="A4" s="16"/>
      <c r="B4" s="16"/>
      <c r="C4" s="16"/>
      <c r="D4" s="16"/>
      <c r="E4" s="16"/>
      <c r="F4" s="142"/>
      <c r="G4" s="142"/>
      <c r="H4" s="16"/>
    </row>
    <row r="5" spans="1:8">
      <c r="A5" s="16"/>
      <c r="B5" s="16"/>
      <c r="C5" s="16"/>
      <c r="D5" s="16"/>
      <c r="E5" s="16"/>
      <c r="F5" s="142"/>
      <c r="G5" s="142"/>
      <c r="H5" s="16"/>
    </row>
    <row r="6" spans="1:8">
      <c r="A6" s="16"/>
      <c r="B6" s="16"/>
      <c r="C6" s="16"/>
      <c r="D6" s="16"/>
      <c r="E6" s="16"/>
      <c r="F6" s="142"/>
      <c r="G6" s="142"/>
      <c r="H6" s="16"/>
    </row>
    <row r="7" spans="1:8">
      <c r="A7" s="16"/>
      <c r="B7" s="16"/>
      <c r="C7" s="16"/>
      <c r="D7" s="16"/>
      <c r="E7" s="16"/>
      <c r="F7" s="142"/>
      <c r="G7" s="142"/>
      <c r="H7" s="16"/>
    </row>
    <row r="8" spans="1:8">
      <c r="A8" s="16"/>
      <c r="B8" s="16"/>
      <c r="C8" s="16"/>
      <c r="D8" s="16"/>
      <c r="E8" s="16"/>
      <c r="F8" s="142"/>
      <c r="G8" s="142"/>
      <c r="H8" s="16"/>
    </row>
    <row r="9" spans="1:8">
      <c r="A9" s="16"/>
      <c r="B9" s="16"/>
      <c r="C9" s="16"/>
      <c r="D9" s="16"/>
      <c r="E9" s="16"/>
      <c r="F9" s="142"/>
      <c r="G9" s="142"/>
      <c r="H9" s="16"/>
    </row>
    <row r="10" spans="1:8">
      <c r="A10" s="16"/>
      <c r="B10" s="16"/>
      <c r="C10" s="16"/>
      <c r="D10" s="16"/>
      <c r="E10" s="16"/>
      <c r="F10" s="142"/>
      <c r="G10" s="142"/>
      <c r="H10" s="16"/>
    </row>
    <row r="11" spans="1:8">
      <c r="A11" s="16"/>
      <c r="B11" s="16"/>
      <c r="C11" s="16"/>
      <c r="D11" s="16"/>
      <c r="E11" s="16"/>
      <c r="F11" s="142"/>
      <c r="G11" s="142"/>
      <c r="H11" s="16"/>
    </row>
    <row r="12" spans="1:8">
      <c r="A12" s="16"/>
      <c r="B12" s="16"/>
      <c r="C12" s="16"/>
      <c r="D12" s="16"/>
      <c r="E12" s="16"/>
      <c r="F12" s="142"/>
      <c r="G12" s="142"/>
      <c r="H12" s="16"/>
    </row>
    <row r="13" spans="1:8">
      <c r="A13" s="16"/>
      <c r="B13" s="16"/>
      <c r="C13" s="16"/>
      <c r="D13" s="16"/>
      <c r="E13" s="16"/>
      <c r="F13" s="142"/>
      <c r="G13" s="142"/>
      <c r="H13" s="16"/>
    </row>
    <row r="14" spans="1:8">
      <c r="A14" s="16"/>
      <c r="B14" s="16"/>
      <c r="C14" s="16"/>
      <c r="D14" s="16"/>
      <c r="E14" s="16"/>
      <c r="F14" s="142"/>
      <c r="G14" s="142"/>
      <c r="H14" s="16"/>
    </row>
    <row r="15" spans="1:8">
      <c r="A15" s="16"/>
      <c r="B15" s="16"/>
      <c r="C15" s="16"/>
      <c r="D15" s="16"/>
      <c r="E15" s="16"/>
      <c r="F15" s="142"/>
      <c r="G15" s="142"/>
      <c r="H15" s="16"/>
    </row>
    <row r="16" spans="1:8">
      <c r="A16" s="16"/>
      <c r="B16" s="16"/>
      <c r="C16" s="16"/>
      <c r="D16" s="16"/>
      <c r="E16" s="16"/>
      <c r="F16" s="142"/>
      <c r="G16" s="142"/>
      <c r="H16" s="16"/>
    </row>
    <row r="17" spans="1:8">
      <c r="A17" s="16"/>
      <c r="B17" s="16"/>
      <c r="C17" s="16"/>
      <c r="D17" s="16"/>
      <c r="E17" s="16"/>
      <c r="F17" s="142"/>
      <c r="G17" s="142"/>
      <c r="H17" s="16"/>
    </row>
    <row r="18" spans="1:8">
      <c r="A18" s="16"/>
      <c r="B18" s="16"/>
      <c r="C18" s="16"/>
      <c r="D18" s="16"/>
      <c r="E18" s="16"/>
      <c r="F18" s="142"/>
      <c r="G18" s="142"/>
      <c r="H18" s="16"/>
    </row>
    <row r="19" spans="1:8">
      <c r="A19" s="16"/>
      <c r="B19" s="16"/>
      <c r="C19" s="16"/>
      <c r="D19" s="16"/>
      <c r="E19" s="16"/>
      <c r="F19" s="142"/>
      <c r="G19" s="142"/>
      <c r="H19" s="16"/>
    </row>
    <row r="20" spans="1:8">
      <c r="A20" s="140"/>
      <c r="B20" s="140"/>
      <c r="C20" s="140"/>
      <c r="D20" s="140"/>
      <c r="E20" s="140"/>
      <c r="F20" s="143"/>
      <c r="G20" s="142"/>
      <c r="H20" s="16"/>
    </row>
    <row r="21" spans="1:8">
      <c r="A21" s="141" t="s">
        <v>109</v>
      </c>
      <c r="B21" s="16">
        <f t="shared" ref="B21:E21" si="0">SUM(B4:B20)</f>
        <v>0</v>
      </c>
      <c r="C21" s="16">
        <f t="shared" si="0"/>
        <v>0</v>
      </c>
      <c r="D21" s="16">
        <f t="shared" si="0"/>
        <v>0</v>
      </c>
      <c r="E21" s="16">
        <f t="shared" si="0"/>
        <v>0</v>
      </c>
      <c r="F21" s="142">
        <f>SUM(F4:F20)</f>
        <v>0</v>
      </c>
      <c r="G21" s="142">
        <f>SUM(G4:G20)</f>
        <v>0</v>
      </c>
      <c r="H21" s="16"/>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BB0C-7608-464A-B4C5-6276571212AB}">
  <dimension ref="A1:AW104"/>
  <sheetViews>
    <sheetView workbookViewId="0">
      <selection activeCell="F5" sqref="F5"/>
    </sheetView>
  </sheetViews>
  <sheetFormatPr defaultRowHeight="12.75"/>
  <cols>
    <col min="1" max="1" width="7.7109375" style="29" bestFit="1" customWidth="1"/>
    <col min="2" max="2" width="21.140625" style="29" customWidth="1"/>
    <col min="3" max="4" width="16.140625" style="29" customWidth="1"/>
    <col min="5" max="5" width="26.5703125"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29" customWidth="1"/>
    <col min="17" max="17" width="26.7109375" style="31" customWidth="1"/>
    <col min="18" max="18" width="12.42578125" style="31" customWidth="1"/>
    <col min="19" max="19" width="48.42578125" style="31" customWidth="1"/>
    <col min="20" max="20" width="64.140625" style="31" customWidth="1"/>
    <col min="21" max="22" width="13.42578125" style="31" bestFit="1" customWidth="1"/>
    <col min="23" max="23" width="20.85546875" style="31" customWidth="1"/>
    <col min="24" max="24" width="11.42578125" style="35" bestFit="1" customWidth="1"/>
    <col min="25" max="25" width="16.140625" style="3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49" ht="48">
      <c r="A1" s="44" t="s">
        <v>87</v>
      </c>
      <c r="B1" s="24" t="s">
        <v>4</v>
      </c>
      <c r="C1" s="24" t="s">
        <v>2</v>
      </c>
      <c r="D1" s="24" t="s">
        <v>3</v>
      </c>
      <c r="E1" s="45" t="s">
        <v>110</v>
      </c>
      <c r="F1" s="45" t="s">
        <v>90</v>
      </c>
      <c r="G1" s="45" t="s">
        <v>111</v>
      </c>
      <c r="H1" s="46" t="s">
        <v>112</v>
      </c>
      <c r="I1" s="46" t="s">
        <v>96</v>
      </c>
      <c r="J1" s="24" t="s">
        <v>113</v>
      </c>
      <c r="K1" s="24" t="s">
        <v>114</v>
      </c>
      <c r="L1" s="24" t="s">
        <v>115</v>
      </c>
      <c r="M1" s="75" t="s">
        <v>116</v>
      </c>
      <c r="N1" s="75" t="s">
        <v>117</v>
      </c>
      <c r="O1" s="46" t="s">
        <v>118</v>
      </c>
      <c r="P1" s="45"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49" ht="49.5" customHeight="1">
      <c r="A2" s="38">
        <v>1</v>
      </c>
      <c r="B2" s="99" t="s">
        <v>5</v>
      </c>
      <c r="C2" s="99">
        <v>46157</v>
      </c>
      <c r="D2" s="99">
        <v>46170</v>
      </c>
      <c r="E2" s="73" t="s">
        <v>134</v>
      </c>
      <c r="F2" s="38" t="s">
        <v>135</v>
      </c>
      <c r="G2" s="73">
        <v>52888</v>
      </c>
      <c r="H2" s="37" t="s">
        <v>136</v>
      </c>
      <c r="I2" s="37" t="s">
        <v>137</v>
      </c>
      <c r="J2" s="38">
        <v>8</v>
      </c>
      <c r="K2" s="38"/>
      <c r="L2" s="37"/>
      <c r="M2" s="99">
        <v>46157</v>
      </c>
      <c r="N2" s="76"/>
      <c r="O2" s="99"/>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row>
    <row r="3" spans="1:49" ht="30.75" customHeight="1">
      <c r="A3" s="37">
        <v>2</v>
      </c>
      <c r="B3" s="99" t="s">
        <v>5</v>
      </c>
      <c r="C3" s="99">
        <v>46157</v>
      </c>
      <c r="D3" s="99">
        <v>46170</v>
      </c>
      <c r="E3" s="73" t="s">
        <v>138</v>
      </c>
      <c r="F3" s="111" t="s">
        <v>139</v>
      </c>
      <c r="G3" s="73">
        <v>53022</v>
      </c>
      <c r="H3" s="37" t="s">
        <v>140</v>
      </c>
      <c r="I3" s="37" t="s">
        <v>137</v>
      </c>
      <c r="J3" s="37">
        <v>8</v>
      </c>
      <c r="K3" s="37"/>
      <c r="L3" s="37"/>
      <c r="M3" s="99">
        <v>46157</v>
      </c>
      <c r="N3" s="76"/>
      <c r="O3" s="99"/>
      <c r="P3" s="64"/>
      <c r="Q3" s="64"/>
      <c r="R3" s="64"/>
      <c r="S3" s="64"/>
      <c r="T3" s="65"/>
      <c r="U3" s="66"/>
      <c r="V3" s="66"/>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row>
    <row r="4" spans="1:49" ht="39.75" customHeight="1">
      <c r="A4" s="37">
        <v>3</v>
      </c>
      <c r="B4" s="99" t="s">
        <v>5</v>
      </c>
      <c r="C4" s="99">
        <v>46157</v>
      </c>
      <c r="D4" s="99">
        <v>46170</v>
      </c>
      <c r="E4" s="73" t="s">
        <v>138</v>
      </c>
      <c r="F4" s="37" t="s">
        <v>141</v>
      </c>
      <c r="G4" s="73">
        <v>53263</v>
      </c>
      <c r="H4" s="37" t="s">
        <v>142</v>
      </c>
      <c r="I4" s="111" t="s">
        <v>137</v>
      </c>
      <c r="J4" s="37">
        <v>8</v>
      </c>
      <c r="K4" s="37"/>
      <c r="L4" s="37"/>
      <c r="M4" s="76">
        <v>46157</v>
      </c>
      <c r="N4" s="76"/>
      <c r="O4" s="99"/>
      <c r="P4" s="64"/>
      <c r="Q4" s="64"/>
      <c r="R4" s="64"/>
      <c r="S4" s="64"/>
      <c r="T4" s="65"/>
      <c r="U4" s="66"/>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row>
    <row r="5" spans="1:49" ht="36.75" customHeight="1">
      <c r="A5" s="38">
        <v>1</v>
      </c>
      <c r="B5" s="99" t="s">
        <v>5</v>
      </c>
      <c r="C5" s="99">
        <v>46157</v>
      </c>
      <c r="D5" s="99">
        <v>46170</v>
      </c>
      <c r="E5" s="73" t="s">
        <v>134</v>
      </c>
      <c r="F5" s="38" t="s">
        <v>135</v>
      </c>
      <c r="G5" s="73">
        <v>52841</v>
      </c>
      <c r="H5" s="37" t="s">
        <v>143</v>
      </c>
      <c r="I5" s="111" t="s">
        <v>137</v>
      </c>
      <c r="J5" s="37">
        <v>5</v>
      </c>
      <c r="K5" s="37"/>
      <c r="L5" s="37"/>
      <c r="M5" s="76">
        <v>46157</v>
      </c>
      <c r="N5" s="76"/>
      <c r="O5" s="99"/>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row>
    <row r="6" spans="1:49" ht="25.5" customHeight="1">
      <c r="A6" s="37"/>
      <c r="B6" s="99"/>
      <c r="C6" s="99"/>
      <c r="D6" s="99"/>
      <c r="E6" s="73"/>
      <c r="F6" s="37"/>
      <c r="G6" s="73"/>
      <c r="H6"/>
      <c r="I6" s="111"/>
      <c r="J6" s="37"/>
      <c r="K6" s="37"/>
      <c r="L6" s="37"/>
      <c r="M6" s="76"/>
      <c r="N6" s="76"/>
      <c r="O6" s="99"/>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row>
    <row r="7" spans="1:49" ht="45.75" customHeight="1">
      <c r="A7" s="38"/>
      <c r="B7" s="99"/>
      <c r="C7" s="99"/>
      <c r="D7" s="99"/>
      <c r="E7" s="73"/>
      <c r="F7" s="111"/>
      <c r="G7" s="63"/>
      <c r="H7" s="111"/>
      <c r="I7" s="111"/>
      <c r="J7" s="38"/>
      <c r="K7" s="38"/>
      <c r="L7" s="38"/>
      <c r="M7" s="76"/>
      <c r="N7" s="76"/>
      <c r="O7" s="99"/>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row>
    <row r="8" spans="1:49" ht="59.25" customHeight="1">
      <c r="A8" s="38"/>
      <c r="B8" s="99"/>
      <c r="C8" s="99"/>
      <c r="D8" s="99"/>
      <c r="E8" s="73"/>
      <c r="F8" s="38"/>
      <c r="G8" s="63"/>
      <c r="H8" s="38"/>
      <c r="I8" s="111"/>
      <c r="J8" s="38"/>
      <c r="K8" s="38"/>
      <c r="L8" s="38"/>
      <c r="M8" s="76"/>
      <c r="N8" s="76"/>
      <c r="O8" s="99"/>
      <c r="P8" s="99"/>
      <c r="Q8" s="39"/>
      <c r="R8" s="64"/>
      <c r="S8" s="39"/>
      <c r="T8" s="43"/>
      <c r="U8" s="40"/>
      <c r="V8" s="40"/>
      <c r="W8" s="64"/>
      <c r="X8" s="39"/>
      <c r="Y8" s="39"/>
      <c r="Z8" s="40"/>
      <c r="AA8" s="39"/>
      <c r="AB8" s="39"/>
      <c r="AC8" s="39"/>
      <c r="AD8" s="39"/>
      <c r="AE8" s="60"/>
    </row>
    <row r="9" spans="1:49">
      <c r="X9" s="31"/>
    </row>
    <row r="10" spans="1:49">
      <c r="X10" s="31"/>
    </row>
    <row r="11" spans="1:49">
      <c r="X11" s="31"/>
    </row>
    <row r="12" spans="1:49">
      <c r="X12" s="31"/>
    </row>
    <row r="13" spans="1:49">
      <c r="X13" s="31"/>
    </row>
    <row r="14" spans="1:49">
      <c r="X14" s="31"/>
    </row>
    <row r="15" spans="1:49">
      <c r="X15" s="31"/>
    </row>
    <row r="16" spans="1:49">
      <c r="S16" s="39"/>
      <c r="X16" s="31"/>
    </row>
    <row r="17" spans="24:24">
      <c r="X17" s="31"/>
    </row>
    <row r="18" spans="24:24">
      <c r="X18" s="31"/>
    </row>
    <row r="19" spans="24:24">
      <c r="X19" s="31"/>
    </row>
    <row r="20" spans="24:24">
      <c r="X20" s="31"/>
    </row>
    <row r="21" spans="24:24">
      <c r="X21" s="31"/>
    </row>
    <row r="22" spans="24:24">
      <c r="X22" s="31"/>
    </row>
    <row r="23" spans="24:24">
      <c r="X23" s="31"/>
    </row>
    <row r="24" spans="24:24">
      <c r="X24" s="31"/>
    </row>
    <row r="25" spans="24:24">
      <c r="X25" s="31"/>
    </row>
    <row r="26" spans="24:24">
      <c r="X26" s="31"/>
    </row>
    <row r="27" spans="24:24">
      <c r="X27" s="31"/>
    </row>
    <row r="28" spans="24:24">
      <c r="X28" s="31"/>
    </row>
    <row r="29" spans="24:24">
      <c r="X29" s="31"/>
    </row>
    <row r="30" spans="24:24">
      <c r="X30" s="31"/>
    </row>
    <row r="31" spans="24:24">
      <c r="X31" s="31"/>
    </row>
    <row r="32" spans="24:24">
      <c r="X32" s="31"/>
    </row>
    <row r="33" spans="24:24">
      <c r="X33" s="31"/>
    </row>
    <row r="34" spans="24:24">
      <c r="X34" s="31"/>
    </row>
    <row r="35" spans="24:24">
      <c r="X35" s="31"/>
    </row>
    <row r="36" spans="24:24">
      <c r="X36" s="31"/>
    </row>
    <row r="37" spans="24:24">
      <c r="X37" s="31"/>
    </row>
    <row r="38" spans="24:24">
      <c r="X38" s="31"/>
    </row>
    <row r="39" spans="24:24">
      <c r="X39" s="31"/>
    </row>
    <row r="40" spans="24:24">
      <c r="X40" s="31"/>
    </row>
    <row r="41" spans="24:24">
      <c r="X41" s="31"/>
    </row>
    <row r="42" spans="24:24">
      <c r="X42" s="31"/>
    </row>
    <row r="43" spans="24:24">
      <c r="X43" s="31"/>
    </row>
    <row r="44" spans="24:24">
      <c r="X44" s="31"/>
    </row>
    <row r="45" spans="24:24">
      <c r="X45" s="31"/>
    </row>
    <row r="46" spans="24:24">
      <c r="X46" s="31"/>
    </row>
    <row r="47" spans="24:24">
      <c r="X47" s="31"/>
    </row>
    <row r="48" spans="24:24">
      <c r="X48" s="31"/>
    </row>
    <row r="49" spans="24:24">
      <c r="X49" s="31"/>
    </row>
    <row r="50" spans="24:24">
      <c r="X50" s="31"/>
    </row>
    <row r="51" spans="24:24">
      <c r="X51" s="31"/>
    </row>
    <row r="52" spans="24:24">
      <c r="X52" s="31"/>
    </row>
    <row r="53" spans="24:24">
      <c r="X53" s="31"/>
    </row>
    <row r="54" spans="24:24">
      <c r="X54" s="31"/>
    </row>
    <row r="55" spans="24:24">
      <c r="X55" s="31"/>
    </row>
    <row r="56" spans="24:24">
      <c r="X56" s="31"/>
    </row>
    <row r="57" spans="24:24">
      <c r="X57" s="31"/>
    </row>
    <row r="58" spans="24:24">
      <c r="X58" s="31"/>
    </row>
    <row r="59" spans="24:24">
      <c r="X59" s="31"/>
    </row>
    <row r="60" spans="24:24">
      <c r="X60" s="31"/>
    </row>
    <row r="61" spans="24:24">
      <c r="X61" s="31"/>
    </row>
    <row r="62" spans="24:24">
      <c r="X62" s="31"/>
    </row>
    <row r="63" spans="24:24">
      <c r="X63" s="31"/>
    </row>
    <row r="64" spans="24:24">
      <c r="X64" s="31"/>
    </row>
    <row r="65" spans="24:24">
      <c r="X65" s="31"/>
    </row>
    <row r="66" spans="24:24">
      <c r="X66" s="31"/>
    </row>
    <row r="67" spans="24:24">
      <c r="X67" s="31"/>
    </row>
    <row r="68" spans="24:24">
      <c r="X68" s="31"/>
    </row>
    <row r="69" spans="24:24">
      <c r="X69" s="31"/>
    </row>
    <row r="70" spans="24:24">
      <c r="X70" s="31"/>
    </row>
    <row r="71" spans="24:24">
      <c r="X71" s="31"/>
    </row>
    <row r="72" spans="24:24">
      <c r="X72" s="31"/>
    </row>
    <row r="73" spans="24:24">
      <c r="X73" s="31"/>
    </row>
    <row r="74" spans="24:24">
      <c r="X74" s="31"/>
    </row>
    <row r="75" spans="24:24">
      <c r="X75" s="31"/>
    </row>
    <row r="76" spans="24:24">
      <c r="X76" s="31"/>
    </row>
    <row r="77" spans="24:24">
      <c r="X77" s="31"/>
    </row>
    <row r="78" spans="24:24">
      <c r="X78" s="31"/>
    </row>
    <row r="79" spans="24:24">
      <c r="X79" s="31"/>
    </row>
    <row r="80" spans="24:24">
      <c r="X80" s="31"/>
    </row>
    <row r="81" spans="24:24">
      <c r="X81" s="31"/>
    </row>
    <row r="82" spans="24:24">
      <c r="X82" s="31"/>
    </row>
    <row r="83" spans="24:24">
      <c r="X83" s="31"/>
    </row>
    <row r="84" spans="24:24">
      <c r="X84" s="31"/>
    </row>
    <row r="85" spans="24:24">
      <c r="X85" s="31"/>
    </row>
    <row r="86" spans="24:24">
      <c r="X86" s="31"/>
    </row>
    <row r="87" spans="24:24">
      <c r="X87" s="31"/>
    </row>
    <row r="88" spans="24:24">
      <c r="X88" s="31"/>
    </row>
    <row r="89" spans="24:24">
      <c r="X89" s="31"/>
    </row>
    <row r="90" spans="24:24">
      <c r="X90" s="31"/>
    </row>
    <row r="91" spans="24:24">
      <c r="X91" s="31"/>
    </row>
    <row r="92" spans="24:24">
      <c r="X92" s="31"/>
    </row>
    <row r="93" spans="24:24">
      <c r="X93" s="31"/>
    </row>
    <row r="94" spans="24:24">
      <c r="X94" s="31"/>
    </row>
    <row r="95" spans="24:24">
      <c r="X95" s="31"/>
    </row>
    <row r="96" spans="24:24">
      <c r="X96" s="31"/>
    </row>
    <row r="97" spans="24:24">
      <c r="X97" s="31"/>
    </row>
    <row r="98" spans="24:24">
      <c r="X98" s="31"/>
    </row>
    <row r="99" spans="24:24">
      <c r="X99" s="31"/>
    </row>
    <row r="100" spans="24:24">
      <c r="X100" s="31"/>
    </row>
    <row r="101" spans="24:24">
      <c r="X101" s="31"/>
    </row>
    <row r="102" spans="24:24">
      <c r="X102" s="31"/>
    </row>
    <row r="103" spans="24:24">
      <c r="X103" s="31"/>
    </row>
    <row r="104" spans="24:24">
      <c r="X104" s="31"/>
    </row>
  </sheetData>
  <dataValidations count="1">
    <dataValidation type="list" allowBlank="1" showInputMessage="1" showErrorMessage="1" sqref="AE2:AE8" xr:uid="{B3B6CF19-4897-4DA1-BF44-6DCBF8DBAF8E}">
      <formula1>"Exceeds Expectation, Meets Expectation, Needs improvements"</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7FB0F63-B163-46DE-ABBE-F158DF8273AF}">
          <x14:formula1>
            <xm:f>Settings!$C$3:$C$20</xm:f>
          </x14:formula1>
          <xm:sqref>I2:I8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3A8C-E567-4AC4-B786-8427761D9583}">
  <dimension ref="A1:AW104"/>
  <sheetViews>
    <sheetView topLeftCell="AB1" workbookViewId="0">
      <selection activeCell="AE6" sqref="AE6"/>
    </sheetView>
  </sheetViews>
  <sheetFormatPr defaultRowHeight="12.75"/>
  <cols>
    <col min="1" max="1" width="7.7109375" style="29" bestFit="1" customWidth="1"/>
    <col min="2" max="2" width="21.140625" style="29" customWidth="1"/>
    <col min="3" max="4" width="16.140625" style="29" customWidth="1"/>
    <col min="5" max="5" width="26.5703125"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29" customWidth="1"/>
    <col min="17" max="17" width="26.7109375" style="31" customWidth="1"/>
    <col min="18" max="18" width="12.42578125" style="31" customWidth="1"/>
    <col min="19" max="19" width="48.42578125" style="31" customWidth="1"/>
    <col min="20" max="20" width="64.140625" style="31" customWidth="1"/>
    <col min="21" max="22" width="13.42578125" style="31" bestFit="1" customWidth="1"/>
    <col min="23" max="23" width="20.85546875" style="31" customWidth="1"/>
    <col min="24" max="24" width="11.42578125" style="35" bestFit="1" customWidth="1"/>
    <col min="25" max="25" width="16.140625" style="3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49" ht="48">
      <c r="A1" s="44" t="s">
        <v>87</v>
      </c>
      <c r="B1" s="24" t="s">
        <v>4</v>
      </c>
      <c r="C1" s="24" t="s">
        <v>2</v>
      </c>
      <c r="D1" s="24" t="s">
        <v>3</v>
      </c>
      <c r="E1" s="45" t="s">
        <v>110</v>
      </c>
      <c r="F1" s="45" t="s">
        <v>90</v>
      </c>
      <c r="G1" s="45" t="s">
        <v>111</v>
      </c>
      <c r="H1" s="46" t="s">
        <v>112</v>
      </c>
      <c r="I1" s="46" t="s">
        <v>96</v>
      </c>
      <c r="J1" s="24" t="s">
        <v>113</v>
      </c>
      <c r="K1" s="24" t="s">
        <v>114</v>
      </c>
      <c r="L1" s="24" t="s">
        <v>115</v>
      </c>
      <c r="M1" s="75" t="s">
        <v>116</v>
      </c>
      <c r="N1" s="75" t="s">
        <v>117</v>
      </c>
      <c r="O1" s="46" t="s">
        <v>118</v>
      </c>
      <c r="P1" s="45"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49" ht="49.5" customHeight="1">
      <c r="A2" s="38">
        <v>1</v>
      </c>
      <c r="B2" s="99" t="s">
        <v>5</v>
      </c>
      <c r="C2" s="99">
        <v>46143</v>
      </c>
      <c r="D2" s="99">
        <v>46156</v>
      </c>
      <c r="E2" s="73" t="s">
        <v>144</v>
      </c>
      <c r="F2" s="38" t="s">
        <v>135</v>
      </c>
      <c r="G2" s="37">
        <v>52841</v>
      </c>
      <c r="H2" s="37" t="s">
        <v>143</v>
      </c>
      <c r="I2" s="37" t="s">
        <v>137</v>
      </c>
      <c r="J2" s="38">
        <v>8</v>
      </c>
      <c r="K2" s="38"/>
      <c r="L2" s="37"/>
      <c r="M2" s="76">
        <v>46146</v>
      </c>
      <c r="N2" s="76">
        <v>46156</v>
      </c>
      <c r="O2" s="99"/>
      <c r="P2" s="64"/>
      <c r="Q2" s="64"/>
      <c r="R2" s="64"/>
      <c r="S2" s="64"/>
      <c r="T2" s="64"/>
      <c r="U2" s="64"/>
      <c r="V2" s="64"/>
      <c r="W2" s="64"/>
      <c r="X2" s="64"/>
      <c r="Y2" s="64"/>
      <c r="Z2" s="64"/>
      <c r="AA2" s="64"/>
      <c r="AB2" s="64"/>
      <c r="AC2" s="64"/>
      <c r="AD2" s="64" t="s">
        <v>145</v>
      </c>
      <c r="AE2" s="64"/>
      <c r="AF2" s="64"/>
      <c r="AG2" s="64"/>
      <c r="AH2" s="64"/>
      <c r="AI2" s="64"/>
      <c r="AJ2" s="64"/>
      <c r="AK2" s="64"/>
      <c r="AL2" s="64"/>
      <c r="AM2" s="64"/>
      <c r="AN2" s="64"/>
      <c r="AO2" s="64"/>
      <c r="AP2" s="64"/>
      <c r="AQ2" s="64"/>
      <c r="AR2" s="64"/>
      <c r="AS2" s="64"/>
      <c r="AT2" s="64"/>
      <c r="AU2" s="64"/>
      <c r="AV2" s="64"/>
      <c r="AW2" s="64"/>
    </row>
    <row r="3" spans="1:49" ht="30.75" customHeight="1">
      <c r="A3" s="37">
        <v>2</v>
      </c>
      <c r="B3" s="99" t="s">
        <v>5</v>
      </c>
      <c r="C3" s="99">
        <v>46143</v>
      </c>
      <c r="D3" s="99">
        <v>46156</v>
      </c>
      <c r="E3" s="73" t="s">
        <v>146</v>
      </c>
      <c r="F3" s="111" t="s">
        <v>139</v>
      </c>
      <c r="G3" s="37">
        <v>52894</v>
      </c>
      <c r="H3" s="37" t="s">
        <v>147</v>
      </c>
      <c r="I3" s="166" t="s">
        <v>148</v>
      </c>
      <c r="J3" s="37">
        <v>5</v>
      </c>
      <c r="K3" s="37">
        <v>7</v>
      </c>
      <c r="L3" s="37">
        <v>28</v>
      </c>
      <c r="M3" s="76">
        <v>46146</v>
      </c>
      <c r="N3" s="76">
        <v>46152</v>
      </c>
      <c r="O3" s="99" t="s">
        <v>13</v>
      </c>
      <c r="P3" s="64"/>
      <c r="Q3" s="64"/>
      <c r="R3" s="64" t="s">
        <v>149</v>
      </c>
      <c r="S3" s="64"/>
      <c r="T3" s="65" t="s">
        <v>150</v>
      </c>
      <c r="U3" s="66">
        <v>46153</v>
      </c>
      <c r="V3" s="66">
        <v>46153</v>
      </c>
      <c r="W3" s="64" t="s">
        <v>151</v>
      </c>
      <c r="X3" s="64"/>
      <c r="Y3" s="64" t="s">
        <v>152</v>
      </c>
      <c r="Z3" s="66">
        <v>46153</v>
      </c>
      <c r="AA3" s="64"/>
      <c r="AB3" s="64"/>
      <c r="AC3" s="64"/>
      <c r="AD3" s="64"/>
      <c r="AE3" s="64" t="s">
        <v>153</v>
      </c>
      <c r="AF3" s="64"/>
      <c r="AG3" s="64"/>
      <c r="AH3" s="64"/>
      <c r="AI3" s="64"/>
      <c r="AJ3" s="64"/>
      <c r="AK3" s="64"/>
      <c r="AL3" s="64"/>
      <c r="AM3" s="64"/>
      <c r="AN3" s="64"/>
      <c r="AO3" s="64"/>
      <c r="AP3" s="64"/>
      <c r="AQ3" s="64"/>
      <c r="AR3" s="64"/>
      <c r="AS3" s="64"/>
      <c r="AT3" s="64"/>
      <c r="AU3" s="64"/>
      <c r="AV3" s="64"/>
      <c r="AW3" s="64"/>
    </row>
    <row r="4" spans="1:49" ht="74.25" customHeight="1">
      <c r="A4" s="37">
        <v>3</v>
      </c>
      <c r="B4" s="99" t="s">
        <v>5</v>
      </c>
      <c r="C4" s="99">
        <v>46143</v>
      </c>
      <c r="D4" s="99">
        <v>46156</v>
      </c>
      <c r="E4" s="73" t="s">
        <v>154</v>
      </c>
      <c r="F4" s="37" t="s">
        <v>141</v>
      </c>
      <c r="G4" s="73">
        <v>52728</v>
      </c>
      <c r="H4" s="37" t="s">
        <v>155</v>
      </c>
      <c r="I4" s="117" t="s">
        <v>148</v>
      </c>
      <c r="J4" s="37">
        <v>13</v>
      </c>
      <c r="K4" s="37">
        <v>10</v>
      </c>
      <c r="L4" s="37">
        <v>42</v>
      </c>
      <c r="M4" s="76">
        <v>46148</v>
      </c>
      <c r="N4" s="76">
        <v>46156</v>
      </c>
      <c r="O4" s="99" t="s">
        <v>13</v>
      </c>
      <c r="P4" s="64"/>
      <c r="Q4" s="64"/>
      <c r="R4" s="64" t="s">
        <v>149</v>
      </c>
      <c r="S4" s="64"/>
      <c r="T4" s="65" t="s">
        <v>156</v>
      </c>
      <c r="U4" s="66">
        <v>46155</v>
      </c>
      <c r="V4" s="64"/>
      <c r="W4" s="64"/>
      <c r="X4" s="64"/>
      <c r="Y4" s="64"/>
      <c r="Z4" s="64"/>
      <c r="AA4" s="64"/>
      <c r="AB4" s="64"/>
      <c r="AC4" s="64" t="s">
        <v>157</v>
      </c>
      <c r="AD4" s="170" t="s">
        <v>158</v>
      </c>
      <c r="AE4" s="64" t="s">
        <v>153</v>
      </c>
      <c r="AF4" s="64"/>
      <c r="AG4" s="64"/>
      <c r="AH4" s="64"/>
      <c r="AI4" s="64"/>
      <c r="AJ4" s="64"/>
      <c r="AK4" s="64"/>
      <c r="AL4" s="64"/>
      <c r="AM4" s="64"/>
      <c r="AN4" s="64"/>
      <c r="AO4" s="64"/>
      <c r="AP4" s="64"/>
      <c r="AQ4" s="64"/>
      <c r="AR4" s="64"/>
      <c r="AS4" s="64"/>
      <c r="AT4" s="64"/>
      <c r="AU4" s="64"/>
      <c r="AV4" s="64"/>
      <c r="AW4" s="64"/>
    </row>
    <row r="5" spans="1:49" ht="36.75" customHeight="1">
      <c r="A5" s="37">
        <v>4</v>
      </c>
      <c r="B5" s="99" t="s">
        <v>5</v>
      </c>
      <c r="C5" s="99">
        <v>46143</v>
      </c>
      <c r="D5" s="99">
        <v>46156</v>
      </c>
      <c r="E5" s="73" t="s">
        <v>154</v>
      </c>
      <c r="F5" s="111" t="s">
        <v>139</v>
      </c>
      <c r="G5" s="73">
        <v>53022</v>
      </c>
      <c r="H5" s="37" t="s">
        <v>140</v>
      </c>
      <c r="I5" s="111" t="s">
        <v>137</v>
      </c>
      <c r="J5" s="37">
        <v>8</v>
      </c>
      <c r="K5" s="37"/>
      <c r="L5" s="37"/>
      <c r="M5" s="99">
        <v>46155</v>
      </c>
      <c r="N5" s="76"/>
      <c r="O5" s="99"/>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row>
    <row r="6" spans="1:49" ht="29.25" customHeight="1">
      <c r="A6" s="37">
        <v>5</v>
      </c>
      <c r="B6" s="99" t="s">
        <v>5</v>
      </c>
      <c r="C6" s="99">
        <v>46143</v>
      </c>
      <c r="D6" s="99">
        <v>46156</v>
      </c>
      <c r="E6" s="73" t="s">
        <v>154</v>
      </c>
      <c r="F6" s="37" t="s">
        <v>141</v>
      </c>
      <c r="G6" s="73">
        <v>53022</v>
      </c>
      <c r="H6" s="37" t="s">
        <v>159</v>
      </c>
      <c r="I6" s="111" t="s">
        <v>137</v>
      </c>
      <c r="J6" s="37">
        <v>13</v>
      </c>
      <c r="K6" s="37"/>
      <c r="L6" s="37"/>
      <c r="M6" s="76">
        <v>46156</v>
      </c>
      <c r="N6" s="76"/>
      <c r="O6" s="99"/>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row>
    <row r="7" spans="1:49" ht="45.75" customHeight="1">
      <c r="A7" s="38"/>
      <c r="B7" s="99"/>
      <c r="C7" s="99"/>
      <c r="D7" s="99"/>
      <c r="E7" s="73"/>
      <c r="F7" s="111"/>
      <c r="G7" s="63"/>
      <c r="H7" s="111"/>
      <c r="I7" s="111"/>
      <c r="J7" s="38"/>
      <c r="K7" s="38"/>
      <c r="L7" s="38"/>
      <c r="M7" s="76"/>
      <c r="N7" s="76"/>
      <c r="O7" s="99"/>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row>
    <row r="8" spans="1:49" ht="59.25" customHeight="1">
      <c r="A8" s="38"/>
      <c r="B8" s="99"/>
      <c r="C8" s="99"/>
      <c r="D8" s="99"/>
      <c r="E8" s="73"/>
      <c r="F8" s="38"/>
      <c r="G8" s="63"/>
      <c r="H8" s="38"/>
      <c r="I8" s="111"/>
      <c r="J8" s="38"/>
      <c r="K8" s="38"/>
      <c r="L8" s="38"/>
      <c r="M8" s="76"/>
      <c r="N8" s="76"/>
      <c r="O8" s="99"/>
      <c r="P8" s="99"/>
      <c r="Q8" s="39"/>
      <c r="R8" s="64"/>
      <c r="S8" s="39"/>
      <c r="T8" s="43"/>
      <c r="U8" s="40"/>
      <c r="V8" s="40"/>
      <c r="W8" s="64"/>
      <c r="X8" s="39"/>
      <c r="Y8" s="39"/>
      <c r="Z8" s="40"/>
      <c r="AA8" s="39"/>
      <c r="AB8" s="39"/>
      <c r="AC8" s="39"/>
      <c r="AD8" s="39"/>
      <c r="AE8" s="60"/>
    </row>
    <row r="9" spans="1:49">
      <c r="X9" s="31"/>
    </row>
    <row r="10" spans="1:49">
      <c r="X10" s="31"/>
    </row>
    <row r="11" spans="1:49">
      <c r="X11" s="31"/>
    </row>
    <row r="12" spans="1:49">
      <c r="X12" s="31"/>
    </row>
    <row r="13" spans="1:49">
      <c r="X13" s="31"/>
    </row>
    <row r="14" spans="1:49">
      <c r="X14" s="31"/>
    </row>
    <row r="15" spans="1:49">
      <c r="X15" s="31"/>
    </row>
    <row r="16" spans="1:49">
      <c r="S16" s="39"/>
      <c r="X16" s="31"/>
    </row>
    <row r="17" spans="24:24">
      <c r="X17" s="31"/>
    </row>
    <row r="18" spans="24:24">
      <c r="X18" s="31"/>
    </row>
    <row r="19" spans="24:24">
      <c r="X19" s="31"/>
    </row>
    <row r="20" spans="24:24">
      <c r="X20" s="31"/>
    </row>
    <row r="21" spans="24:24">
      <c r="X21" s="31"/>
    </row>
    <row r="22" spans="24:24">
      <c r="X22" s="31"/>
    </row>
    <row r="23" spans="24:24">
      <c r="X23" s="31"/>
    </row>
    <row r="24" spans="24:24">
      <c r="X24" s="31"/>
    </row>
    <row r="25" spans="24:24">
      <c r="X25" s="31"/>
    </row>
    <row r="26" spans="24:24">
      <c r="X26" s="31"/>
    </row>
    <row r="27" spans="24:24">
      <c r="X27" s="31"/>
    </row>
    <row r="28" spans="24:24">
      <c r="X28" s="31"/>
    </row>
    <row r="29" spans="24:24">
      <c r="X29" s="31"/>
    </row>
    <row r="30" spans="24:24">
      <c r="X30" s="31"/>
    </row>
    <row r="31" spans="24:24">
      <c r="X31" s="31"/>
    </row>
    <row r="32" spans="24:24">
      <c r="X32" s="31"/>
    </row>
    <row r="33" spans="24:24">
      <c r="X33" s="31"/>
    </row>
    <row r="34" spans="24:24">
      <c r="X34" s="31"/>
    </row>
    <row r="35" spans="24:24">
      <c r="X35" s="31"/>
    </row>
    <row r="36" spans="24:24">
      <c r="X36" s="31"/>
    </row>
    <row r="37" spans="24:24">
      <c r="X37" s="31"/>
    </row>
    <row r="38" spans="24:24">
      <c r="X38" s="31"/>
    </row>
    <row r="39" spans="24:24">
      <c r="X39" s="31"/>
    </row>
    <row r="40" spans="24:24">
      <c r="X40" s="31"/>
    </row>
    <row r="41" spans="24:24">
      <c r="X41" s="31"/>
    </row>
    <row r="42" spans="24:24">
      <c r="X42" s="31"/>
    </row>
    <row r="43" spans="24:24">
      <c r="X43" s="31"/>
    </row>
    <row r="44" spans="24:24">
      <c r="X44" s="31"/>
    </row>
    <row r="45" spans="24:24">
      <c r="X45" s="31"/>
    </row>
    <row r="46" spans="24:24">
      <c r="X46" s="31"/>
    </row>
    <row r="47" spans="24:24">
      <c r="X47" s="31"/>
    </row>
    <row r="48" spans="24:24">
      <c r="X48" s="31"/>
    </row>
    <row r="49" spans="24:24">
      <c r="X49" s="31"/>
    </row>
    <row r="50" spans="24:24">
      <c r="X50" s="31"/>
    </row>
    <row r="51" spans="24:24">
      <c r="X51" s="31"/>
    </row>
    <row r="52" spans="24:24">
      <c r="X52" s="31"/>
    </row>
    <row r="53" spans="24:24">
      <c r="X53" s="31"/>
    </row>
    <row r="54" spans="24:24">
      <c r="X54" s="31"/>
    </row>
    <row r="55" spans="24:24">
      <c r="X55" s="31"/>
    </row>
    <row r="56" spans="24:24">
      <c r="X56" s="31"/>
    </row>
    <row r="57" spans="24:24">
      <c r="X57" s="31"/>
    </row>
    <row r="58" spans="24:24">
      <c r="X58" s="31"/>
    </row>
    <row r="59" spans="24:24">
      <c r="X59" s="31"/>
    </row>
    <row r="60" spans="24:24">
      <c r="X60" s="31"/>
    </row>
    <row r="61" spans="24:24">
      <c r="X61" s="31"/>
    </row>
    <row r="62" spans="24:24">
      <c r="X62" s="31"/>
    </row>
    <row r="63" spans="24:24">
      <c r="X63" s="31"/>
    </row>
    <row r="64" spans="24:24">
      <c r="X64" s="31"/>
    </row>
    <row r="65" spans="24:24">
      <c r="X65" s="31"/>
    </row>
    <row r="66" spans="24:24">
      <c r="X66" s="31"/>
    </row>
    <row r="67" spans="24:24">
      <c r="X67" s="31"/>
    </row>
    <row r="68" spans="24:24">
      <c r="X68" s="31"/>
    </row>
    <row r="69" spans="24:24">
      <c r="X69" s="31"/>
    </row>
    <row r="70" spans="24:24">
      <c r="X70" s="31"/>
    </row>
    <row r="71" spans="24:24">
      <c r="X71" s="31"/>
    </row>
    <row r="72" spans="24:24">
      <c r="X72" s="31"/>
    </row>
    <row r="73" spans="24:24">
      <c r="X73" s="31"/>
    </row>
    <row r="74" spans="24:24">
      <c r="X74" s="31"/>
    </row>
    <row r="75" spans="24:24">
      <c r="X75" s="31"/>
    </row>
    <row r="76" spans="24:24">
      <c r="X76" s="31"/>
    </row>
    <row r="77" spans="24:24">
      <c r="X77" s="31"/>
    </row>
    <row r="78" spans="24:24">
      <c r="X78" s="31"/>
    </row>
    <row r="79" spans="24:24">
      <c r="X79" s="31"/>
    </row>
    <row r="80" spans="24:24">
      <c r="X80" s="31"/>
    </row>
    <row r="81" spans="24:24">
      <c r="X81" s="31"/>
    </row>
    <row r="82" spans="24:24">
      <c r="X82" s="31"/>
    </row>
    <row r="83" spans="24:24">
      <c r="X83" s="31"/>
    </row>
    <row r="84" spans="24:24">
      <c r="X84" s="31"/>
    </row>
    <row r="85" spans="24:24">
      <c r="X85" s="31"/>
    </row>
    <row r="86" spans="24:24">
      <c r="X86" s="31"/>
    </row>
    <row r="87" spans="24:24">
      <c r="X87" s="31"/>
    </row>
    <row r="88" spans="24:24">
      <c r="X88" s="31"/>
    </row>
    <row r="89" spans="24:24">
      <c r="X89" s="31"/>
    </row>
    <row r="90" spans="24:24">
      <c r="X90" s="31"/>
    </row>
    <row r="91" spans="24:24">
      <c r="X91" s="31"/>
    </row>
    <row r="92" spans="24:24">
      <c r="X92" s="31"/>
    </row>
    <row r="93" spans="24:24">
      <c r="X93" s="31"/>
    </row>
    <row r="94" spans="24:24">
      <c r="X94" s="31"/>
    </row>
    <row r="95" spans="24:24">
      <c r="X95" s="31"/>
    </row>
    <row r="96" spans="24:24">
      <c r="X96" s="31"/>
    </row>
    <row r="97" spans="24:24">
      <c r="X97" s="31"/>
    </row>
    <row r="98" spans="24:24">
      <c r="X98" s="31"/>
    </row>
    <row r="99" spans="24:24">
      <c r="X99" s="31"/>
    </row>
    <row r="100" spans="24:24">
      <c r="X100" s="31"/>
    </row>
    <row r="101" spans="24:24">
      <c r="X101" s="31"/>
    </row>
    <row r="102" spans="24:24">
      <c r="X102" s="31"/>
    </row>
    <row r="103" spans="24:24">
      <c r="X103" s="31"/>
    </row>
    <row r="104" spans="24:24">
      <c r="X104" s="31"/>
    </row>
  </sheetData>
  <dataValidations count="1">
    <dataValidation type="list" allowBlank="1" showInputMessage="1" showErrorMessage="1" sqref="AE2:AE8" xr:uid="{2FF0E517-AE9F-4937-9BEF-3BE054C8845A}">
      <formula1>"Exceeds Expectation, Meets Expectation, Needs improvements"</formula1>
    </dataValidation>
  </dataValidations>
  <hyperlinks>
    <hyperlink ref="T3" r:id="rId1" xr:uid="{7EB5DCD8-1E6C-4EDA-B016-19BECB9A5EE8}"/>
    <hyperlink ref="T4" r:id="rId2" xr:uid="{DEF81D40-7FDA-4A0D-ACEA-EAF70BDC0180}"/>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42296C55-7A7F-48BD-AC09-186BDB8EA40B}">
          <x14:formula1>
            <xm:f>Settings!$C$3:$C$20</xm:f>
          </x14:formula1>
          <xm:sqref>I2:I8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1952B-200E-4813-AF48-4FAEBE7F4314}">
  <dimension ref="A1:AB13"/>
  <sheetViews>
    <sheetView workbookViewId="0">
      <selection activeCell="E13" sqref="E13"/>
    </sheetView>
  </sheetViews>
  <sheetFormatPr defaultRowHeight="12.75"/>
  <cols>
    <col min="2" max="2" width="8.42578125" customWidth="1"/>
    <col min="3" max="3" width="23.7109375" customWidth="1"/>
    <col min="4" max="4" width="13.7109375" customWidth="1"/>
    <col min="5" max="5" width="13.85546875" customWidth="1"/>
    <col min="6" max="6" width="14.28515625" customWidth="1"/>
    <col min="7" max="7" width="88" customWidth="1"/>
    <col min="8" max="8" width="28.42578125" customWidth="1"/>
    <col min="9" max="9" width="13.85546875" customWidth="1"/>
    <col min="10" max="10" width="14.140625" customWidth="1"/>
    <col min="11" max="11" width="13.28515625" customWidth="1"/>
    <col min="12" max="12" width="37.140625" customWidth="1"/>
    <col min="13" max="13" width="76" customWidth="1"/>
  </cols>
  <sheetData>
    <row r="1" spans="1:28" ht="13.5">
      <c r="A1" s="53" t="s">
        <v>87</v>
      </c>
      <c r="B1" s="1" t="s">
        <v>11</v>
      </c>
      <c r="C1" s="1" t="s">
        <v>88</v>
      </c>
      <c r="D1" s="1" t="s">
        <v>89</v>
      </c>
      <c r="E1" s="1" t="s">
        <v>90</v>
      </c>
      <c r="F1" s="1" t="s">
        <v>91</v>
      </c>
      <c r="G1" s="1" t="s">
        <v>92</v>
      </c>
      <c r="H1" s="1" t="s">
        <v>93</v>
      </c>
      <c r="I1" s="1" t="s">
        <v>94</v>
      </c>
      <c r="J1" s="1" t="s">
        <v>95</v>
      </c>
      <c r="K1" s="1" t="s">
        <v>96</v>
      </c>
      <c r="L1" s="27" t="s">
        <v>97</v>
      </c>
      <c r="M1" s="28" t="s">
        <v>98</v>
      </c>
      <c r="N1" s="20"/>
      <c r="O1" s="9"/>
      <c r="P1" s="9"/>
      <c r="Q1" s="9"/>
      <c r="R1" s="9"/>
      <c r="S1" s="9"/>
      <c r="T1" s="9"/>
      <c r="U1" s="9"/>
      <c r="V1" s="9"/>
      <c r="W1" s="9"/>
      <c r="X1" s="9"/>
      <c r="Y1" s="9"/>
      <c r="Z1" s="9"/>
      <c r="AA1" s="9"/>
      <c r="AB1" s="9"/>
    </row>
    <row r="2" spans="1:28" s="15" customFormat="1" ht="36.75" customHeight="1">
      <c r="A2" s="15">
        <v>1</v>
      </c>
      <c r="B2" s="73"/>
      <c r="C2" s="73"/>
      <c r="D2" s="55"/>
      <c r="E2" s="111"/>
      <c r="F2" s="42"/>
      <c r="G2" s="42"/>
      <c r="H2" s="23"/>
      <c r="I2" s="23"/>
      <c r="J2" s="23"/>
      <c r="K2" s="23"/>
      <c r="L2" s="26"/>
      <c r="N2" s="152"/>
    </row>
    <row r="3" spans="1:28" ht="46.5" customHeight="1">
      <c r="A3" s="15">
        <v>2</v>
      </c>
      <c r="B3" s="73"/>
      <c r="C3" s="111"/>
      <c r="D3" s="55"/>
      <c r="E3" s="111"/>
      <c r="F3" s="42"/>
      <c r="G3" s="111"/>
      <c r="H3" s="23"/>
      <c r="I3" s="23"/>
      <c r="J3" s="23"/>
      <c r="K3" s="23"/>
      <c r="L3" s="164"/>
      <c r="M3" s="18"/>
    </row>
    <row r="4" spans="1:28" ht="48.75" customHeight="1">
      <c r="A4" s="15">
        <v>3</v>
      </c>
      <c r="B4" s="73"/>
      <c r="C4" s="111"/>
      <c r="D4" s="165"/>
      <c r="E4" s="111"/>
      <c r="F4" s="42"/>
      <c r="G4" s="163"/>
      <c r="H4" s="23"/>
      <c r="I4" s="23"/>
      <c r="J4" s="23"/>
      <c r="K4" s="23"/>
      <c r="L4" s="164"/>
      <c r="M4" s="20"/>
      <c r="N4" s="20"/>
    </row>
    <row r="6" spans="1:28">
      <c r="G6" s="14"/>
    </row>
    <row r="13" spans="1:28">
      <c r="N13" s="14"/>
    </row>
  </sheetData>
  <dataValidations count="5">
    <dataValidation type="list" allowBlank="1" showErrorMessage="1" sqref="J2:J4" xr:uid="{FA3382AD-1688-447E-9112-247997D098D0}">
      <formula1>"Internal,External"</formula1>
    </dataValidation>
    <dataValidation type="list" allowBlank="1" showErrorMessage="1" sqref="H2:H4" xr:uid="{5E306A9F-8518-4627-8B76-FBE8A9E23F69}">
      <formula1>"Minor,Significant,Major"</formula1>
    </dataValidation>
    <dataValidation type="list" allowBlank="1" showErrorMessage="1" sqref="F2:F4" xr:uid="{D1CE02BA-B4F2-4A40-B568-B36906976927}">
      <formula1>"Bounceback,Defect,None"</formula1>
    </dataValidation>
    <dataValidation type="list" allowBlank="1" showErrorMessage="1" sqref="I2:I4" xr:uid="{043868DA-327A-4E11-87E7-666829BF618E}">
      <formula1>"Manual, Automation"</formula1>
    </dataValidation>
    <dataValidation type="list" allowBlank="1" showErrorMessage="1" sqref="K2:K4" xr:uid="{B6C646ED-C2BC-4D7C-B625-CEB9B3E402E5}">
      <formula1>"Open,Inprogress,Closed"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9CCE-F7A5-474A-9383-EE1DA28F9BEB}">
  <dimension ref="A1:AE104"/>
  <sheetViews>
    <sheetView tabSelected="1" workbookViewId="0">
      <selection activeCell="H15" sqref="H15"/>
    </sheetView>
  </sheetViews>
  <sheetFormatPr defaultRowHeight="12.75"/>
  <cols>
    <col min="1" max="1" width="7.7109375" style="29" bestFit="1" customWidth="1"/>
    <col min="2" max="2" width="21.140625" style="29" customWidth="1"/>
    <col min="3" max="4" width="16.140625" style="29" customWidth="1"/>
    <col min="5" max="5" width="29"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29" customWidth="1"/>
    <col min="17" max="17" width="26.7109375" style="31" customWidth="1"/>
    <col min="18" max="18" width="12.42578125" style="31" customWidth="1"/>
    <col min="19" max="19" width="48.4257812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8">
      <c r="A1" s="44" t="s">
        <v>87</v>
      </c>
      <c r="B1" s="24" t="s">
        <v>4</v>
      </c>
      <c r="C1" s="24" t="s">
        <v>2</v>
      </c>
      <c r="D1" s="24" t="s">
        <v>3</v>
      </c>
      <c r="E1" s="45" t="s">
        <v>110</v>
      </c>
      <c r="F1" s="45" t="s">
        <v>90</v>
      </c>
      <c r="G1" s="45" t="s">
        <v>111</v>
      </c>
      <c r="H1" s="46" t="s">
        <v>112</v>
      </c>
      <c r="I1" s="46" t="s">
        <v>96</v>
      </c>
      <c r="J1" s="24" t="s">
        <v>113</v>
      </c>
      <c r="K1" s="24" t="s">
        <v>114</v>
      </c>
      <c r="L1" s="24" t="s">
        <v>115</v>
      </c>
      <c r="M1" s="75" t="s">
        <v>116</v>
      </c>
      <c r="N1" s="75" t="s">
        <v>117</v>
      </c>
      <c r="O1" s="46" t="s">
        <v>118</v>
      </c>
      <c r="P1" s="45"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9.5" customHeight="1">
      <c r="A2" s="38">
        <v>1</v>
      </c>
      <c r="B2" s="99" t="s">
        <v>5</v>
      </c>
      <c r="C2" s="99">
        <v>46129</v>
      </c>
      <c r="D2" s="99">
        <v>46142</v>
      </c>
      <c r="E2" s="73" t="s">
        <v>160</v>
      </c>
      <c r="F2" s="38" t="s">
        <v>135</v>
      </c>
      <c r="G2" s="37">
        <v>52839</v>
      </c>
      <c r="H2" s="37" t="s">
        <v>161</v>
      </c>
      <c r="I2" s="166" t="s">
        <v>148</v>
      </c>
      <c r="J2" s="38">
        <v>5</v>
      </c>
      <c r="K2" s="38">
        <v>7</v>
      </c>
      <c r="L2" s="37">
        <v>30</v>
      </c>
      <c r="M2" s="76">
        <v>46129</v>
      </c>
      <c r="N2" s="76">
        <v>46139</v>
      </c>
      <c r="O2" s="99" t="s">
        <v>13</v>
      </c>
      <c r="P2" s="99" t="s">
        <v>162</v>
      </c>
      <c r="Q2" s="39"/>
      <c r="R2" s="64" t="s">
        <v>151</v>
      </c>
      <c r="S2" s="39"/>
      <c r="T2" s="167" t="s">
        <v>163</v>
      </c>
      <c r="U2" s="50">
        <v>46139</v>
      </c>
      <c r="V2" s="50">
        <v>46140</v>
      </c>
      <c r="W2" s="64" t="s">
        <v>151</v>
      </c>
      <c r="X2" s="39"/>
      <c r="Y2" s="64" t="s">
        <v>164</v>
      </c>
      <c r="Z2" s="40">
        <v>46140</v>
      </c>
      <c r="AA2" s="39"/>
      <c r="AB2" s="39"/>
      <c r="AC2" s="39"/>
      <c r="AD2" s="14"/>
      <c r="AE2" s="73"/>
    </row>
    <row r="3" spans="1:31" ht="30.75" customHeight="1">
      <c r="A3" s="37">
        <v>2</v>
      </c>
      <c r="B3" s="99" t="s">
        <v>5</v>
      </c>
      <c r="C3" s="99">
        <v>46129</v>
      </c>
      <c r="D3" s="99">
        <v>46142</v>
      </c>
      <c r="E3" s="73" t="s">
        <v>160</v>
      </c>
      <c r="F3" s="111" t="s">
        <v>139</v>
      </c>
      <c r="G3" s="37">
        <v>52419</v>
      </c>
      <c r="H3" s="37" t="s">
        <v>165</v>
      </c>
      <c r="I3" s="166" t="s">
        <v>148</v>
      </c>
      <c r="J3" s="37">
        <v>8</v>
      </c>
      <c r="K3" s="37">
        <v>10</v>
      </c>
      <c r="L3" s="37">
        <v>40</v>
      </c>
      <c r="M3" s="76">
        <v>46129</v>
      </c>
      <c r="N3" s="76">
        <v>46139</v>
      </c>
      <c r="O3" s="99" t="s">
        <v>13</v>
      </c>
      <c r="P3" s="99" t="s">
        <v>162</v>
      </c>
      <c r="Q3" s="64"/>
      <c r="R3" s="64" t="s">
        <v>166</v>
      </c>
      <c r="S3" s="64" t="s">
        <v>167</v>
      </c>
      <c r="T3" s="167" t="s">
        <v>168</v>
      </c>
      <c r="U3" s="76">
        <v>46140</v>
      </c>
      <c r="V3" s="76">
        <v>46141</v>
      </c>
      <c r="W3" s="64" t="s">
        <v>151</v>
      </c>
      <c r="X3" s="64"/>
      <c r="Y3" s="64" t="s">
        <v>164</v>
      </c>
      <c r="Z3" s="40">
        <v>46141</v>
      </c>
      <c r="AA3" s="64"/>
      <c r="AB3" s="64"/>
      <c r="AC3" s="64" t="s">
        <v>169</v>
      </c>
      <c r="AD3" s="64"/>
      <c r="AE3" s="79"/>
    </row>
    <row r="4" spans="1:31" ht="39.75" customHeight="1">
      <c r="A4" s="37">
        <v>3</v>
      </c>
      <c r="B4" s="99" t="s">
        <v>5</v>
      </c>
      <c r="C4" s="99">
        <v>46129</v>
      </c>
      <c r="D4" s="99">
        <v>46142</v>
      </c>
      <c r="E4" s="73" t="s">
        <v>160</v>
      </c>
      <c r="F4" s="37" t="s">
        <v>141</v>
      </c>
      <c r="G4" s="37">
        <v>52842</v>
      </c>
      <c r="H4" s="118" t="s">
        <v>170</v>
      </c>
      <c r="I4" s="117" t="s">
        <v>148</v>
      </c>
      <c r="J4" s="37">
        <v>5</v>
      </c>
      <c r="K4" s="37">
        <v>7</v>
      </c>
      <c r="L4" s="37">
        <v>30</v>
      </c>
      <c r="M4" s="76">
        <v>46129</v>
      </c>
      <c r="N4" s="76">
        <v>46139</v>
      </c>
      <c r="O4" s="99" t="s">
        <v>13</v>
      </c>
      <c r="P4" s="99" t="s">
        <v>162</v>
      </c>
      <c r="Q4" s="64"/>
      <c r="R4" s="64" t="s">
        <v>166</v>
      </c>
      <c r="S4" s="64"/>
      <c r="T4" s="65" t="s">
        <v>171</v>
      </c>
      <c r="U4" s="50">
        <v>46140</v>
      </c>
      <c r="V4" s="50">
        <v>46140</v>
      </c>
      <c r="W4" s="64" t="s">
        <v>151</v>
      </c>
      <c r="X4" s="64"/>
      <c r="Y4" s="64" t="s">
        <v>164</v>
      </c>
      <c r="Z4" s="40">
        <v>46140</v>
      </c>
      <c r="AA4" s="64"/>
      <c r="AB4" s="64"/>
      <c r="AC4" s="64"/>
      <c r="AD4" s="64"/>
      <c r="AE4" s="79"/>
    </row>
    <row r="5" spans="1:31" ht="36.75" customHeight="1">
      <c r="A5" s="37">
        <v>4</v>
      </c>
      <c r="B5" s="99" t="s">
        <v>5</v>
      </c>
      <c r="C5" s="99">
        <v>46129</v>
      </c>
      <c r="D5" s="99">
        <v>46142</v>
      </c>
      <c r="E5" s="73" t="s">
        <v>160</v>
      </c>
      <c r="F5" s="37" t="s">
        <v>141</v>
      </c>
      <c r="G5" s="73">
        <v>27207</v>
      </c>
      <c r="H5" s="37" t="s">
        <v>172</v>
      </c>
      <c r="I5" s="117" t="s">
        <v>173</v>
      </c>
      <c r="J5" s="37">
        <v>2</v>
      </c>
      <c r="K5" s="37">
        <v>1</v>
      </c>
      <c r="L5" s="37">
        <v>6</v>
      </c>
      <c r="M5" s="99">
        <v>46136</v>
      </c>
      <c r="N5" s="76">
        <v>46136</v>
      </c>
      <c r="O5" s="99" t="s">
        <v>13</v>
      </c>
      <c r="P5" s="99" t="s">
        <v>162</v>
      </c>
      <c r="Q5" s="64"/>
      <c r="R5" s="64" t="s">
        <v>166</v>
      </c>
      <c r="S5" s="99"/>
      <c r="T5" s="154" t="s">
        <v>174</v>
      </c>
      <c r="U5" s="50">
        <v>46136</v>
      </c>
      <c r="V5" s="50">
        <v>46141</v>
      </c>
      <c r="W5" s="64" t="s">
        <v>151</v>
      </c>
      <c r="X5" s="99"/>
      <c r="Y5" s="64" t="s">
        <v>164</v>
      </c>
      <c r="Z5" s="123">
        <v>46141</v>
      </c>
      <c r="AA5" s="99"/>
      <c r="AB5" s="99"/>
      <c r="AC5" s="99"/>
      <c r="AD5" s="99"/>
      <c r="AE5" s="99"/>
    </row>
    <row r="6" spans="1:31" ht="25.5" customHeight="1">
      <c r="A6" s="37">
        <v>5</v>
      </c>
      <c r="B6" s="99" t="s">
        <v>5</v>
      </c>
      <c r="C6" s="99">
        <v>46129</v>
      </c>
      <c r="D6" s="99">
        <v>46142</v>
      </c>
      <c r="E6" s="73" t="s">
        <v>175</v>
      </c>
      <c r="F6" s="37" t="s">
        <v>141</v>
      </c>
      <c r="G6" s="73">
        <v>52728</v>
      </c>
      <c r="H6" s="37" t="s">
        <v>155</v>
      </c>
      <c r="I6" s="111" t="s">
        <v>137</v>
      </c>
      <c r="J6" s="37">
        <v>13</v>
      </c>
      <c r="K6" s="37"/>
      <c r="L6" s="37"/>
      <c r="M6" s="76">
        <v>46139</v>
      </c>
      <c r="N6" s="76"/>
      <c r="O6" s="99"/>
      <c r="P6" s="99"/>
      <c r="Q6" s="64"/>
      <c r="R6" s="64"/>
      <c r="S6" s="64"/>
      <c r="T6" s="65"/>
      <c r="U6" s="50"/>
      <c r="V6" s="50"/>
      <c r="W6" s="64"/>
      <c r="X6" s="64"/>
      <c r="Y6" s="64"/>
      <c r="Z6" s="40"/>
      <c r="AA6" s="64"/>
      <c r="AB6" s="64"/>
      <c r="AC6" s="64"/>
      <c r="AD6" s="64"/>
      <c r="AE6" s="79"/>
    </row>
    <row r="7" spans="1:31" ht="45.75" customHeight="1">
      <c r="A7" s="38">
        <v>6</v>
      </c>
      <c r="B7" s="99" t="s">
        <v>5</v>
      </c>
      <c r="C7" s="99">
        <v>46129</v>
      </c>
      <c r="D7" s="99">
        <v>46142</v>
      </c>
      <c r="E7" s="73" t="s">
        <v>160</v>
      </c>
      <c r="F7" s="111" t="s">
        <v>139</v>
      </c>
      <c r="G7" s="63">
        <v>27108</v>
      </c>
      <c r="H7" s="111" t="s">
        <v>176</v>
      </c>
      <c r="I7" s="117" t="s">
        <v>173</v>
      </c>
      <c r="J7" s="38">
        <v>2</v>
      </c>
      <c r="K7" s="38">
        <v>1</v>
      </c>
      <c r="L7" s="38">
        <v>4</v>
      </c>
      <c r="M7" s="76">
        <v>46141</v>
      </c>
      <c r="N7" s="76">
        <v>46141</v>
      </c>
      <c r="O7" s="99" t="s">
        <v>13</v>
      </c>
      <c r="P7" s="99" t="s">
        <v>162</v>
      </c>
      <c r="Q7" s="39"/>
      <c r="R7" s="64" t="s">
        <v>166</v>
      </c>
      <c r="T7" s="43" t="s">
        <v>177</v>
      </c>
      <c r="U7" s="76">
        <v>46141</v>
      </c>
      <c r="V7" s="76">
        <v>46141</v>
      </c>
      <c r="W7" s="64" t="s">
        <v>151</v>
      </c>
      <c r="X7" s="39"/>
      <c r="Y7" s="64" t="s">
        <v>152</v>
      </c>
      <c r="Z7" s="40">
        <v>46141</v>
      </c>
      <c r="AA7" s="39"/>
      <c r="AB7" s="39"/>
      <c r="AC7" s="39"/>
      <c r="AD7" s="39"/>
      <c r="AE7" s="60"/>
    </row>
    <row r="8" spans="1:31" ht="41.25" customHeight="1">
      <c r="A8" s="38">
        <v>7</v>
      </c>
      <c r="B8" s="99" t="s">
        <v>5</v>
      </c>
      <c r="C8" s="99">
        <v>46129</v>
      </c>
      <c r="D8" s="99">
        <v>46142</v>
      </c>
      <c r="E8" s="73" t="s">
        <v>160</v>
      </c>
      <c r="F8" s="38" t="s">
        <v>135</v>
      </c>
      <c r="G8" s="63">
        <v>26991</v>
      </c>
      <c r="H8" s="38" t="s">
        <v>178</v>
      </c>
      <c r="I8" s="117" t="s">
        <v>173</v>
      </c>
      <c r="J8" s="38">
        <v>3</v>
      </c>
      <c r="K8" s="38">
        <v>4</v>
      </c>
      <c r="L8" s="38">
        <v>18</v>
      </c>
      <c r="M8" s="76">
        <v>46140</v>
      </c>
      <c r="N8" s="76">
        <v>46142</v>
      </c>
      <c r="O8" s="99" t="s">
        <v>13</v>
      </c>
      <c r="P8" s="99" t="s">
        <v>162</v>
      </c>
      <c r="Q8" s="39"/>
      <c r="R8" s="64" t="s">
        <v>166</v>
      </c>
      <c r="S8" s="39"/>
      <c r="T8" s="43" t="s">
        <v>179</v>
      </c>
      <c r="U8" s="76">
        <v>46142</v>
      </c>
      <c r="V8" s="76">
        <v>46142</v>
      </c>
      <c r="W8" s="64" t="s">
        <v>151</v>
      </c>
      <c r="X8" s="39"/>
      <c r="Y8" s="39" t="s">
        <v>180</v>
      </c>
      <c r="Z8" s="40">
        <v>46142</v>
      </c>
      <c r="AA8" s="39"/>
      <c r="AB8" s="39"/>
      <c r="AC8" s="39"/>
      <c r="AD8" s="39"/>
      <c r="AE8" s="60"/>
    </row>
    <row r="9" spans="1:31">
      <c r="X9" s="31"/>
    </row>
    <row r="10" spans="1:31">
      <c r="X10" s="31"/>
    </row>
    <row r="11" spans="1:31">
      <c r="X11" s="31"/>
    </row>
    <row r="12" spans="1:31">
      <c r="X12" s="31"/>
    </row>
    <row r="13" spans="1:31">
      <c r="X13" s="31"/>
    </row>
    <row r="14" spans="1:31">
      <c r="X14" s="31"/>
    </row>
    <row r="15" spans="1:31">
      <c r="X15" s="31"/>
    </row>
    <row r="16" spans="1:31">
      <c r="S16" s="39"/>
      <c r="X16" s="31"/>
    </row>
    <row r="17" spans="24:24">
      <c r="X17" s="31"/>
    </row>
    <row r="18" spans="24:24">
      <c r="X18" s="31"/>
    </row>
    <row r="19" spans="24:24">
      <c r="X19" s="31"/>
    </row>
    <row r="20" spans="24:24">
      <c r="X20" s="31"/>
    </row>
    <row r="21" spans="24:24">
      <c r="X21" s="31"/>
    </row>
    <row r="22" spans="24:24">
      <c r="X22" s="31"/>
    </row>
    <row r="23" spans="24:24">
      <c r="X23" s="31"/>
    </row>
    <row r="24" spans="24:24">
      <c r="X24" s="31"/>
    </row>
    <row r="25" spans="24:24">
      <c r="X25" s="31"/>
    </row>
    <row r="26" spans="24:24">
      <c r="X26" s="31"/>
    </row>
    <row r="27" spans="24:24">
      <c r="X27" s="31"/>
    </row>
    <row r="28" spans="24:24">
      <c r="X28" s="31"/>
    </row>
    <row r="29" spans="24:24">
      <c r="X29" s="31"/>
    </row>
    <row r="30" spans="24:24">
      <c r="X30" s="31"/>
    </row>
    <row r="31" spans="24:24">
      <c r="X31" s="31"/>
    </row>
    <row r="32" spans="24:24">
      <c r="X32" s="31"/>
    </row>
    <row r="33" spans="24:24">
      <c r="X33" s="31"/>
    </row>
    <row r="34" spans="24:24">
      <c r="X34" s="31"/>
    </row>
    <row r="35" spans="24:24">
      <c r="X35" s="31"/>
    </row>
    <row r="36" spans="24:24">
      <c r="X36" s="31"/>
    </row>
    <row r="37" spans="24:24">
      <c r="X37" s="31"/>
    </row>
    <row r="38" spans="24:24">
      <c r="X38" s="31"/>
    </row>
    <row r="39" spans="24:24">
      <c r="X39" s="31"/>
    </row>
    <row r="40" spans="24:24">
      <c r="X40" s="31"/>
    </row>
    <row r="41" spans="24:24">
      <c r="X41" s="31"/>
    </row>
    <row r="42" spans="24:24">
      <c r="X42" s="31"/>
    </row>
    <row r="43" spans="24:24">
      <c r="X43" s="31"/>
    </row>
    <row r="44" spans="24:24">
      <c r="X44" s="31"/>
    </row>
    <row r="45" spans="24:24">
      <c r="X45" s="31"/>
    </row>
    <row r="46" spans="24:24">
      <c r="X46" s="31"/>
    </row>
    <row r="47" spans="24:24">
      <c r="X47" s="31"/>
    </row>
    <row r="48" spans="24:24">
      <c r="X48" s="31"/>
    </row>
    <row r="49" spans="24:24">
      <c r="X49" s="31"/>
    </row>
    <row r="50" spans="24:24">
      <c r="X50" s="31"/>
    </row>
    <row r="51" spans="24:24">
      <c r="X51" s="31"/>
    </row>
    <row r="52" spans="24:24">
      <c r="X52" s="31"/>
    </row>
    <row r="53" spans="24:24">
      <c r="X53" s="31"/>
    </row>
    <row r="54" spans="24:24">
      <c r="X54" s="31"/>
    </row>
    <row r="55" spans="24:24">
      <c r="X55" s="31"/>
    </row>
    <row r="56" spans="24:24">
      <c r="X56" s="31"/>
    </row>
    <row r="57" spans="24:24">
      <c r="X57" s="31"/>
    </row>
    <row r="58" spans="24:24">
      <c r="X58" s="31"/>
    </row>
    <row r="59" spans="24:24">
      <c r="X59" s="31"/>
    </row>
    <row r="60" spans="24:24">
      <c r="X60" s="31"/>
    </row>
    <row r="61" spans="24:24">
      <c r="X61" s="31"/>
    </row>
    <row r="62" spans="24:24">
      <c r="X62" s="31"/>
    </row>
    <row r="63" spans="24:24">
      <c r="X63" s="31"/>
    </row>
    <row r="64" spans="24:24">
      <c r="X64" s="31"/>
    </row>
    <row r="65" spans="24:24">
      <c r="X65" s="31"/>
    </row>
    <row r="66" spans="24:24">
      <c r="X66" s="31"/>
    </row>
    <row r="67" spans="24:24">
      <c r="X67" s="31"/>
    </row>
    <row r="68" spans="24:24">
      <c r="X68" s="31"/>
    </row>
    <row r="69" spans="24:24">
      <c r="X69" s="31"/>
    </row>
    <row r="70" spans="24:24">
      <c r="X70" s="31"/>
    </row>
    <row r="71" spans="24:24">
      <c r="X71" s="31"/>
    </row>
    <row r="72" spans="24:24">
      <c r="X72" s="31"/>
    </row>
    <row r="73" spans="24:24">
      <c r="X73" s="31"/>
    </row>
    <row r="74" spans="24:24">
      <c r="X74" s="31"/>
    </row>
    <row r="75" spans="24:24">
      <c r="X75" s="31"/>
    </row>
    <row r="76" spans="24:24">
      <c r="X76" s="31"/>
    </row>
    <row r="77" spans="24:24">
      <c r="X77" s="31"/>
    </row>
    <row r="78" spans="24:24">
      <c r="X78" s="31"/>
    </row>
    <row r="79" spans="24:24">
      <c r="X79" s="31"/>
    </row>
    <row r="80" spans="24:24">
      <c r="X80" s="31"/>
    </row>
    <row r="81" spans="24:24">
      <c r="X81" s="31"/>
    </row>
    <row r="82" spans="24:24">
      <c r="X82" s="31"/>
    </row>
    <row r="83" spans="24:24">
      <c r="X83" s="31"/>
    </row>
    <row r="84" spans="24:24">
      <c r="X84" s="31"/>
    </row>
    <row r="85" spans="24:24">
      <c r="X85" s="31"/>
    </row>
    <row r="86" spans="24:24">
      <c r="X86" s="31"/>
    </row>
    <row r="87" spans="24:24">
      <c r="X87" s="31"/>
    </row>
    <row r="88" spans="24:24">
      <c r="X88" s="31"/>
    </row>
    <row r="89" spans="24:24">
      <c r="X89" s="31"/>
    </row>
    <row r="90" spans="24:24">
      <c r="X90" s="31"/>
    </row>
    <row r="91" spans="24:24">
      <c r="X91" s="31"/>
    </row>
    <row r="92" spans="24:24">
      <c r="X92" s="31"/>
    </row>
    <row r="93" spans="24:24">
      <c r="X93" s="31"/>
    </row>
    <row r="94" spans="24:24">
      <c r="X94" s="31"/>
    </row>
    <row r="95" spans="24:24">
      <c r="X95" s="31"/>
    </row>
    <row r="96" spans="24:24">
      <c r="X96" s="31"/>
    </row>
    <row r="97" spans="24:24">
      <c r="X97" s="31"/>
    </row>
    <row r="98" spans="24:24">
      <c r="X98" s="31"/>
    </row>
    <row r="99" spans="24:24">
      <c r="X99" s="31"/>
    </row>
    <row r="100" spans="24:24">
      <c r="X100" s="31"/>
    </row>
    <row r="101" spans="24:24">
      <c r="X101" s="31"/>
    </row>
    <row r="102" spans="24:24">
      <c r="X102" s="31"/>
    </row>
    <row r="103" spans="24:24">
      <c r="X103" s="31"/>
    </row>
    <row r="104" spans="24:24">
      <c r="X104" s="31"/>
    </row>
  </sheetData>
  <dataValidations count="1">
    <dataValidation type="list" allowBlank="1" showInputMessage="1" showErrorMessage="1" sqref="AE2:AE8" xr:uid="{40BBC4F4-3BF5-429A-8F49-796FC8CAC0FD}">
      <formula1>"Exceeds Expectation, Meets Expectation, Needs improvements"</formula1>
    </dataValidation>
  </dataValidations>
  <hyperlinks>
    <hyperlink ref="T5" r:id="rId1" xr:uid="{611306A3-597B-4BF4-8F11-87E563E7F50D}"/>
    <hyperlink ref="T4" r:id="rId2" xr:uid="{708FDEDF-63A7-4D2C-915B-AEBE392B8823}"/>
    <hyperlink ref="T2" r:id="rId3" xr:uid="{532AE72B-F3C7-472E-A394-6B4A6619C850}"/>
    <hyperlink ref="T3" r:id="rId4" xr:uid="{A70CE48C-3EB6-403A-8732-537CFC523EAB}"/>
    <hyperlink ref="T7" r:id="rId5" xr:uid="{749550C5-6E04-41B7-ACA3-8B57DCBDDC6C}"/>
    <hyperlink ref="T8" r:id="rId6" xr:uid="{F5C27FE8-B686-4803-A587-056554833B6D}"/>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FEEC2A63-5A6F-4E0E-9535-9C1FAD727D82}">
          <x14:formula1>
            <xm:f>Settings!$C$3:$C$20</xm:f>
          </x14:formula1>
          <xm:sqref>I2:I8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70CB-BDB3-43D8-89C6-7143AB52359C}">
  <dimension ref="A1:AB13"/>
  <sheetViews>
    <sheetView workbookViewId="0">
      <selection activeCell="L2" sqref="L2"/>
    </sheetView>
  </sheetViews>
  <sheetFormatPr defaultRowHeight="12.75"/>
  <cols>
    <col min="2" max="2" width="8.42578125" customWidth="1"/>
    <col min="3" max="3" width="23.7109375" customWidth="1"/>
    <col min="4" max="4" width="13.7109375" customWidth="1"/>
    <col min="5" max="5" width="13.85546875" customWidth="1"/>
    <col min="6" max="6" width="14.28515625" customWidth="1"/>
    <col min="7" max="7" width="88" customWidth="1"/>
    <col min="8" max="8" width="28.42578125" customWidth="1"/>
    <col min="9" max="9" width="13.85546875" customWidth="1"/>
    <col min="10" max="10" width="14.140625" customWidth="1"/>
    <col min="11" max="11" width="13.28515625" customWidth="1"/>
    <col min="12" max="12" width="37.140625" customWidth="1"/>
    <col min="13" max="13" width="76" customWidth="1"/>
  </cols>
  <sheetData>
    <row r="1" spans="1:28" ht="13.5">
      <c r="A1" s="53" t="s">
        <v>87</v>
      </c>
      <c r="B1" s="1" t="s">
        <v>11</v>
      </c>
      <c r="C1" s="1" t="s">
        <v>88</v>
      </c>
      <c r="D1" s="1" t="s">
        <v>89</v>
      </c>
      <c r="E1" s="1" t="s">
        <v>90</v>
      </c>
      <c r="F1" s="1" t="s">
        <v>91</v>
      </c>
      <c r="G1" s="1" t="s">
        <v>92</v>
      </c>
      <c r="H1" s="1" t="s">
        <v>93</v>
      </c>
      <c r="I1" s="1" t="s">
        <v>94</v>
      </c>
      <c r="J1" s="1" t="s">
        <v>95</v>
      </c>
      <c r="K1" s="1" t="s">
        <v>96</v>
      </c>
      <c r="L1" s="27" t="s">
        <v>97</v>
      </c>
      <c r="M1" s="28" t="s">
        <v>98</v>
      </c>
      <c r="N1" s="20"/>
      <c r="O1" s="9"/>
      <c r="P1" s="9"/>
      <c r="Q1" s="9"/>
      <c r="R1" s="9"/>
      <c r="S1" s="9"/>
      <c r="T1" s="9"/>
      <c r="U1" s="9"/>
      <c r="V1" s="9"/>
      <c r="W1" s="9"/>
      <c r="X1" s="9"/>
      <c r="Y1" s="9"/>
      <c r="Z1" s="9"/>
      <c r="AA1" s="9"/>
      <c r="AB1" s="9"/>
    </row>
    <row r="2" spans="1:28" s="15" customFormat="1" ht="36.75" customHeight="1">
      <c r="A2" s="15">
        <v>1</v>
      </c>
      <c r="B2" s="73"/>
      <c r="C2" s="73"/>
      <c r="D2" s="55"/>
      <c r="E2" s="111"/>
      <c r="F2" s="42"/>
      <c r="G2" s="42"/>
      <c r="H2" s="23"/>
      <c r="I2" s="23"/>
      <c r="J2" s="23"/>
      <c r="K2" s="23"/>
      <c r="L2" s="26"/>
      <c r="N2" s="152"/>
    </row>
    <row r="3" spans="1:28" ht="46.5" customHeight="1">
      <c r="A3" s="15">
        <v>2</v>
      </c>
      <c r="B3" s="73"/>
      <c r="C3" s="111"/>
      <c r="D3" s="55"/>
      <c r="E3" s="111"/>
      <c r="F3" s="42"/>
      <c r="G3" s="111"/>
      <c r="H3" s="23"/>
      <c r="I3" s="23"/>
      <c r="J3" s="23"/>
      <c r="K3" s="23"/>
      <c r="L3" s="164"/>
      <c r="M3" s="18"/>
    </row>
    <row r="4" spans="1:28" ht="48.75" customHeight="1">
      <c r="A4" s="15">
        <v>3</v>
      </c>
      <c r="B4" s="73"/>
      <c r="C4" s="111"/>
      <c r="D4" s="165"/>
      <c r="E4" s="111"/>
      <c r="F4" s="42"/>
      <c r="G4" s="163"/>
      <c r="H4" s="23"/>
      <c r="I4" s="23"/>
      <c r="J4" s="23"/>
      <c r="K4" s="23"/>
      <c r="L4" s="164"/>
      <c r="M4" s="20"/>
      <c r="N4" s="20"/>
    </row>
    <row r="6" spans="1:28">
      <c r="G6" s="14"/>
    </row>
    <row r="13" spans="1:28">
      <c r="N13" s="14"/>
    </row>
  </sheetData>
  <dataValidations count="5">
    <dataValidation type="list" allowBlank="1" showErrorMessage="1" sqref="K2:K4" xr:uid="{B42766BC-F059-40E0-8298-08BC4B68DE97}">
      <formula1>"Open,Inprogress,Closed"</formula1>
    </dataValidation>
    <dataValidation type="list" allowBlank="1" showErrorMessage="1" sqref="I2:I4" xr:uid="{DA511198-A01C-429D-A396-6DFCED6F8CF6}">
      <formula1>"Manual, Automation"</formula1>
    </dataValidation>
    <dataValidation type="list" allowBlank="1" showErrorMessage="1" sqref="F2:F4" xr:uid="{6E465CA1-022B-4D8E-86C9-1E2ADCB377CA}">
      <formula1>"Bounceback,Defect,None"</formula1>
    </dataValidation>
    <dataValidation type="list" allowBlank="1" showErrorMessage="1" sqref="H2:H4" xr:uid="{727E3DD9-0F48-4047-B281-97B803862C4A}">
      <formula1>"Minor,Significant,Major"</formula1>
    </dataValidation>
    <dataValidation type="list" allowBlank="1" showErrorMessage="1" sqref="J2:J4" xr:uid="{6E70D2D8-80F9-4CC1-8A08-52C396D717A0}">
      <formula1>"Internal,External"</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043D-4787-4E20-9F80-67EB91DB2D1F}">
  <dimension ref="A1:AE105"/>
  <sheetViews>
    <sheetView workbookViewId="0">
      <selection activeCell="L6" sqref="L6"/>
    </sheetView>
  </sheetViews>
  <sheetFormatPr defaultRowHeight="12.75"/>
  <cols>
    <col min="1" max="1" width="7.7109375" style="29" bestFit="1" customWidth="1"/>
    <col min="2" max="2" width="21.140625" style="29" customWidth="1"/>
    <col min="3" max="4" width="16.140625" style="29" customWidth="1"/>
    <col min="5" max="5" width="26.5703125"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29" customWidth="1"/>
    <col min="17" max="17" width="26.7109375" style="31" customWidth="1"/>
    <col min="18" max="18" width="12.42578125" style="31" customWidth="1"/>
    <col min="19" max="19" width="48.4257812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8">
      <c r="A1" s="44" t="s">
        <v>87</v>
      </c>
      <c r="B1" s="24" t="s">
        <v>4</v>
      </c>
      <c r="C1" s="24" t="s">
        <v>2</v>
      </c>
      <c r="D1" s="24" t="s">
        <v>3</v>
      </c>
      <c r="E1" s="45" t="s">
        <v>110</v>
      </c>
      <c r="F1" s="45" t="s">
        <v>90</v>
      </c>
      <c r="G1" s="45" t="s">
        <v>111</v>
      </c>
      <c r="H1" s="46" t="s">
        <v>112</v>
      </c>
      <c r="I1" s="46" t="s">
        <v>96</v>
      </c>
      <c r="J1" s="24" t="s">
        <v>113</v>
      </c>
      <c r="K1" s="24" t="s">
        <v>114</v>
      </c>
      <c r="L1" s="24" t="s">
        <v>115</v>
      </c>
      <c r="M1" s="75" t="s">
        <v>116</v>
      </c>
      <c r="N1" s="75" t="s">
        <v>117</v>
      </c>
      <c r="O1" s="46" t="s">
        <v>118</v>
      </c>
      <c r="P1" s="45"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9.5" customHeight="1">
      <c r="A2" s="38">
        <v>1</v>
      </c>
      <c r="B2" s="99" t="s">
        <v>5</v>
      </c>
      <c r="C2" s="99">
        <v>46115</v>
      </c>
      <c r="D2" s="99">
        <v>46128</v>
      </c>
      <c r="E2" s="73" t="s">
        <v>181</v>
      </c>
      <c r="F2" s="38" t="s">
        <v>135</v>
      </c>
      <c r="G2" s="73">
        <v>52581</v>
      </c>
      <c r="H2" s="37" t="s">
        <v>182</v>
      </c>
      <c r="I2" s="120" t="s">
        <v>148</v>
      </c>
      <c r="J2" s="38">
        <v>8</v>
      </c>
      <c r="K2" s="38">
        <v>10</v>
      </c>
      <c r="L2" s="37">
        <v>42</v>
      </c>
      <c r="M2" s="76">
        <v>46115</v>
      </c>
      <c r="N2" s="76">
        <v>46126</v>
      </c>
      <c r="O2" s="99" t="s">
        <v>13</v>
      </c>
      <c r="P2" s="99" t="s">
        <v>162</v>
      </c>
      <c r="Q2" s="39"/>
      <c r="R2" s="64" t="s">
        <v>166</v>
      </c>
      <c r="S2" s="39" t="s">
        <v>183</v>
      </c>
      <c r="T2" s="25" t="s">
        <v>184</v>
      </c>
      <c r="U2" s="40">
        <v>46127</v>
      </c>
      <c r="V2" s="40">
        <v>46127</v>
      </c>
      <c r="W2" s="64" t="s">
        <v>151</v>
      </c>
      <c r="X2" s="39"/>
      <c r="Y2" s="64" t="s">
        <v>164</v>
      </c>
      <c r="Z2" s="66">
        <v>46127</v>
      </c>
      <c r="AA2" s="39"/>
      <c r="AB2" s="39"/>
      <c r="AC2" s="39" t="s">
        <v>185</v>
      </c>
      <c r="AD2" s="14"/>
      <c r="AE2" s="79" t="s">
        <v>153</v>
      </c>
    </row>
    <row r="3" spans="1:31" ht="30.75" customHeight="1">
      <c r="A3" s="37">
        <v>2</v>
      </c>
      <c r="B3" s="99" t="s">
        <v>5</v>
      </c>
      <c r="C3" s="99">
        <v>46115</v>
      </c>
      <c r="D3" s="99">
        <v>46128</v>
      </c>
      <c r="E3" s="73" t="s">
        <v>186</v>
      </c>
      <c r="F3" s="111" t="s">
        <v>139</v>
      </c>
      <c r="G3" s="37">
        <v>52620</v>
      </c>
      <c r="H3" s="37" t="s">
        <v>187</v>
      </c>
      <c r="I3" s="120" t="s">
        <v>148</v>
      </c>
      <c r="J3" s="37">
        <v>8</v>
      </c>
      <c r="K3" s="37">
        <v>10</v>
      </c>
      <c r="L3" s="37">
        <v>42</v>
      </c>
      <c r="M3" s="76">
        <v>46115</v>
      </c>
      <c r="N3" s="76">
        <v>46127</v>
      </c>
      <c r="O3" s="99" t="s">
        <v>13</v>
      </c>
      <c r="P3" s="99" t="s">
        <v>162</v>
      </c>
      <c r="Q3" s="64"/>
      <c r="R3" s="64" t="s">
        <v>166</v>
      </c>
      <c r="S3" s="64" t="s">
        <v>188</v>
      </c>
      <c r="T3" s="25" t="s">
        <v>189</v>
      </c>
      <c r="U3" s="40">
        <v>46127</v>
      </c>
      <c r="V3" s="40">
        <v>46127</v>
      </c>
      <c r="W3" s="64" t="s">
        <v>151</v>
      </c>
      <c r="X3" s="64"/>
      <c r="Y3" s="64" t="s">
        <v>164</v>
      </c>
      <c r="Z3" s="66">
        <v>46127</v>
      </c>
      <c r="AA3" s="64"/>
      <c r="AB3" s="64"/>
      <c r="AC3" s="64"/>
      <c r="AD3" s="64"/>
      <c r="AE3" s="79" t="s">
        <v>153</v>
      </c>
    </row>
    <row r="4" spans="1:31" ht="39.75" customHeight="1">
      <c r="A4" s="37">
        <v>3</v>
      </c>
      <c r="B4" s="99" t="s">
        <v>5</v>
      </c>
      <c r="C4" s="99">
        <v>46115</v>
      </c>
      <c r="D4" s="99">
        <v>46128</v>
      </c>
      <c r="E4" s="73" t="s">
        <v>190</v>
      </c>
      <c r="F4" s="37" t="s">
        <v>141</v>
      </c>
      <c r="G4" s="37">
        <v>52205</v>
      </c>
      <c r="H4" s="118" t="s">
        <v>191</v>
      </c>
      <c r="I4" s="120" t="s">
        <v>148</v>
      </c>
      <c r="J4" s="37">
        <v>3</v>
      </c>
      <c r="K4" s="37">
        <v>4</v>
      </c>
      <c r="L4" s="37">
        <v>18</v>
      </c>
      <c r="M4" s="76">
        <v>46115</v>
      </c>
      <c r="N4" s="76">
        <v>46120</v>
      </c>
      <c r="O4" s="99" t="s">
        <v>13</v>
      </c>
      <c r="P4" s="99" t="s">
        <v>162</v>
      </c>
      <c r="Q4" s="64"/>
      <c r="R4" s="64" t="s">
        <v>151</v>
      </c>
      <c r="S4" s="64"/>
      <c r="T4" s="65" t="s">
        <v>192</v>
      </c>
      <c r="U4" s="66">
        <v>46120</v>
      </c>
      <c r="V4" s="66">
        <v>46121</v>
      </c>
      <c r="W4" s="64" t="s">
        <v>151</v>
      </c>
      <c r="X4" s="64"/>
      <c r="Y4" s="64" t="s">
        <v>164</v>
      </c>
      <c r="Z4" s="40">
        <v>46121</v>
      </c>
      <c r="AA4" s="64"/>
      <c r="AB4" s="64"/>
      <c r="AC4" s="64" t="s">
        <v>193</v>
      </c>
      <c r="AD4" s="64"/>
      <c r="AE4" s="79" t="s">
        <v>153</v>
      </c>
    </row>
    <row r="5" spans="1:31" ht="36.75" customHeight="1">
      <c r="A5" s="37">
        <v>4</v>
      </c>
      <c r="B5" s="99" t="s">
        <v>5</v>
      </c>
      <c r="C5" s="99">
        <v>46115</v>
      </c>
      <c r="D5" s="99">
        <v>46128</v>
      </c>
      <c r="E5" s="73" t="s">
        <v>181</v>
      </c>
      <c r="F5" s="37" t="s">
        <v>141</v>
      </c>
      <c r="G5" s="37">
        <v>52622</v>
      </c>
      <c r="H5" s="118" t="s">
        <v>194</v>
      </c>
      <c r="I5" s="120" t="s">
        <v>148</v>
      </c>
      <c r="J5" s="37">
        <v>5</v>
      </c>
      <c r="K5" s="37">
        <v>10</v>
      </c>
      <c r="L5" s="37">
        <v>42</v>
      </c>
      <c r="M5" s="76">
        <v>46121</v>
      </c>
      <c r="N5" s="76">
        <v>46127</v>
      </c>
      <c r="O5" s="99" t="s">
        <v>13</v>
      </c>
      <c r="P5" s="99" t="s">
        <v>195</v>
      </c>
      <c r="Q5" s="64" t="s">
        <v>196</v>
      </c>
      <c r="R5" s="64" t="s">
        <v>166</v>
      </c>
      <c r="S5" s="64" t="s">
        <v>197</v>
      </c>
      <c r="T5" s="154" t="s">
        <v>198</v>
      </c>
      <c r="U5" s="123">
        <v>46127</v>
      </c>
      <c r="V5" s="123">
        <v>46127</v>
      </c>
      <c r="W5" s="64" t="s">
        <v>151</v>
      </c>
      <c r="X5" s="64"/>
      <c r="Y5" s="64" t="s">
        <v>164</v>
      </c>
      <c r="Z5" s="40">
        <v>46127</v>
      </c>
      <c r="AA5" s="64"/>
      <c r="AB5" s="64"/>
      <c r="AC5" s="64"/>
      <c r="AD5" s="64"/>
      <c r="AE5" s="79" t="s">
        <v>153</v>
      </c>
    </row>
    <row r="6" spans="1:31" ht="25.5" customHeight="1">
      <c r="A6" s="37"/>
      <c r="B6" s="99"/>
      <c r="C6" s="99"/>
      <c r="D6" s="99"/>
      <c r="E6" s="73"/>
      <c r="F6" s="111"/>
      <c r="G6" s="73"/>
      <c r="H6" s="37"/>
      <c r="I6" s="111"/>
      <c r="J6" s="37"/>
      <c r="K6" s="37"/>
      <c r="L6" s="37"/>
      <c r="M6" s="99"/>
      <c r="N6" s="76"/>
      <c r="O6" s="99"/>
      <c r="P6" s="90"/>
      <c r="Q6" s="64"/>
      <c r="R6" s="64"/>
      <c r="S6" s="99"/>
      <c r="T6" s="154"/>
      <c r="U6" s="123"/>
      <c r="V6" s="123"/>
      <c r="W6" s="64"/>
      <c r="X6" s="99"/>
      <c r="Y6" s="64"/>
      <c r="Z6" s="123"/>
      <c r="AA6" s="99"/>
      <c r="AB6" s="99"/>
      <c r="AC6" s="99"/>
      <c r="AD6" s="99"/>
      <c r="AE6" s="99"/>
    </row>
    <row r="7" spans="1:31" ht="45.75" customHeight="1">
      <c r="A7" s="37"/>
      <c r="B7" s="99"/>
      <c r="C7" s="99"/>
      <c r="D7" s="99"/>
      <c r="E7" s="73"/>
      <c r="F7" s="37"/>
      <c r="G7" s="73"/>
      <c r="H7" s="37"/>
      <c r="I7" s="111"/>
      <c r="J7" s="37"/>
      <c r="K7" s="37"/>
      <c r="L7" s="37"/>
      <c r="M7" s="76"/>
      <c r="N7" s="76"/>
      <c r="O7" s="99"/>
      <c r="P7" s="99"/>
      <c r="Q7" s="64"/>
      <c r="R7" s="64"/>
      <c r="S7" s="64"/>
      <c r="T7" s="65"/>
      <c r="U7" s="66"/>
      <c r="V7" s="66"/>
      <c r="W7" s="64"/>
      <c r="X7" s="64"/>
      <c r="Y7" s="64"/>
      <c r="Z7" s="40"/>
      <c r="AA7" s="64"/>
      <c r="AB7" s="64"/>
      <c r="AC7" s="64"/>
      <c r="AD7" s="64"/>
      <c r="AE7" s="79"/>
    </row>
    <row r="8" spans="1:31" ht="59.25" customHeight="1">
      <c r="A8" s="38"/>
      <c r="B8" s="99"/>
      <c r="C8" s="99"/>
      <c r="D8" s="99"/>
      <c r="E8" s="73"/>
      <c r="F8" s="37"/>
      <c r="G8" s="73"/>
      <c r="H8" s="38"/>
      <c r="I8" s="111"/>
      <c r="J8" s="38"/>
      <c r="K8" s="38"/>
      <c r="L8" s="38"/>
      <c r="M8" s="76"/>
      <c r="N8" s="76"/>
      <c r="O8" s="99"/>
      <c r="P8" s="99"/>
      <c r="Q8" s="39"/>
      <c r="R8" s="39"/>
      <c r="T8" s="43"/>
      <c r="U8" s="40"/>
      <c r="V8" s="40"/>
      <c r="W8" s="64"/>
      <c r="X8" s="39"/>
      <c r="Y8" s="64"/>
      <c r="Z8" s="40"/>
      <c r="AA8" s="39"/>
      <c r="AB8" s="39"/>
      <c r="AC8" s="39"/>
      <c r="AD8" s="39"/>
      <c r="AE8" s="60"/>
    </row>
    <row r="9" spans="1:31">
      <c r="X9" s="31"/>
    </row>
    <row r="10" spans="1:31">
      <c r="X10" s="31"/>
    </row>
    <row r="11" spans="1:31">
      <c r="X11" s="31"/>
    </row>
    <row r="12" spans="1:31">
      <c r="X12" s="31"/>
    </row>
    <row r="13" spans="1:31">
      <c r="X13" s="31"/>
    </row>
    <row r="14" spans="1:31">
      <c r="X14" s="31"/>
    </row>
    <row r="15" spans="1:31">
      <c r="X15" s="31"/>
    </row>
    <row r="16" spans="1:31">
      <c r="X16" s="31"/>
    </row>
    <row r="17" spans="19:24">
      <c r="S17" s="39"/>
      <c r="X17" s="31"/>
    </row>
    <row r="18" spans="19:24">
      <c r="X18" s="31"/>
    </row>
    <row r="19" spans="19:24">
      <c r="X19" s="31"/>
    </row>
    <row r="20" spans="19:24">
      <c r="X20" s="31"/>
    </row>
    <row r="21" spans="19:24">
      <c r="X21" s="31"/>
    </row>
    <row r="22" spans="19:24">
      <c r="X22" s="31"/>
    </row>
    <row r="23" spans="19:24">
      <c r="X23" s="31"/>
    </row>
    <row r="24" spans="19:24">
      <c r="X24" s="31"/>
    </row>
    <row r="25" spans="19:24">
      <c r="X25" s="31"/>
    </row>
    <row r="26" spans="19:24">
      <c r="X26" s="31"/>
    </row>
    <row r="27" spans="19:24">
      <c r="X27" s="31"/>
    </row>
    <row r="28" spans="19:24">
      <c r="X28" s="31"/>
    </row>
    <row r="29" spans="19:24">
      <c r="X29" s="31"/>
    </row>
    <row r="30" spans="19:24">
      <c r="X30" s="31"/>
    </row>
    <row r="31" spans="19:24">
      <c r="X31" s="31"/>
    </row>
    <row r="32" spans="19:24">
      <c r="X32" s="31"/>
    </row>
    <row r="33" spans="24:24">
      <c r="X33" s="31"/>
    </row>
    <row r="34" spans="24:24">
      <c r="X34" s="31"/>
    </row>
    <row r="35" spans="24:24">
      <c r="X35" s="31"/>
    </row>
    <row r="36" spans="24:24">
      <c r="X36" s="31"/>
    </row>
    <row r="37" spans="24:24">
      <c r="X37" s="31"/>
    </row>
    <row r="38" spans="24:24">
      <c r="X38" s="31"/>
    </row>
    <row r="39" spans="24:24">
      <c r="X39" s="31"/>
    </row>
    <row r="40" spans="24:24">
      <c r="X40" s="31"/>
    </row>
    <row r="41" spans="24:24">
      <c r="X41" s="31"/>
    </row>
    <row r="42" spans="24:24">
      <c r="X42" s="31"/>
    </row>
    <row r="43" spans="24:24">
      <c r="X43" s="31"/>
    </row>
    <row r="44" spans="24:24">
      <c r="X44" s="31"/>
    </row>
    <row r="45" spans="24:24">
      <c r="X45" s="31"/>
    </row>
    <row r="46" spans="24:24">
      <c r="X46" s="31"/>
    </row>
    <row r="47" spans="24:24">
      <c r="X47" s="31"/>
    </row>
    <row r="48" spans="24:24">
      <c r="X48" s="31"/>
    </row>
    <row r="49" spans="24:24">
      <c r="X49" s="31"/>
    </row>
    <row r="50" spans="24:24">
      <c r="X50" s="31"/>
    </row>
    <row r="51" spans="24:24">
      <c r="X51" s="31"/>
    </row>
    <row r="52" spans="24:24">
      <c r="X52" s="31"/>
    </row>
    <row r="53" spans="24:24">
      <c r="X53" s="31"/>
    </row>
    <row r="54" spans="24:24">
      <c r="X54" s="31"/>
    </row>
    <row r="55" spans="24:24">
      <c r="X55" s="31"/>
    </row>
    <row r="56" spans="24:24">
      <c r="X56" s="31"/>
    </row>
    <row r="57" spans="24:24">
      <c r="X57" s="31"/>
    </row>
    <row r="58" spans="24:24">
      <c r="X58" s="31"/>
    </row>
    <row r="59" spans="24:24">
      <c r="X59" s="31"/>
    </row>
    <row r="60" spans="24:24">
      <c r="X60" s="31"/>
    </row>
    <row r="61" spans="24:24">
      <c r="X61" s="31"/>
    </row>
    <row r="62" spans="24:24">
      <c r="X62" s="31"/>
    </row>
    <row r="63" spans="24:24">
      <c r="X63" s="31"/>
    </row>
    <row r="64" spans="24:24">
      <c r="X64" s="31"/>
    </row>
    <row r="65" spans="24:24">
      <c r="X65" s="31"/>
    </row>
    <row r="66" spans="24:24">
      <c r="X66" s="31"/>
    </row>
    <row r="67" spans="24:24">
      <c r="X67" s="31"/>
    </row>
    <row r="68" spans="24:24">
      <c r="X68" s="31"/>
    </row>
    <row r="69" spans="24:24">
      <c r="X69" s="31"/>
    </row>
    <row r="70" spans="24:24">
      <c r="X70" s="31"/>
    </row>
    <row r="71" spans="24:24">
      <c r="X71" s="31"/>
    </row>
    <row r="72" spans="24:24">
      <c r="X72" s="31"/>
    </row>
    <row r="73" spans="24:24">
      <c r="X73" s="31"/>
    </row>
    <row r="74" spans="24:24">
      <c r="X74" s="31"/>
    </row>
    <row r="75" spans="24:24">
      <c r="X75" s="31"/>
    </row>
    <row r="76" spans="24:24">
      <c r="X76" s="31"/>
    </row>
    <row r="77" spans="24:24">
      <c r="X77" s="31"/>
    </row>
    <row r="78" spans="24:24">
      <c r="X78" s="31"/>
    </row>
    <row r="79" spans="24:24">
      <c r="X79" s="31"/>
    </row>
    <row r="80" spans="24:24">
      <c r="X80" s="31"/>
    </row>
    <row r="81" spans="24:24">
      <c r="X81" s="31"/>
    </row>
    <row r="82" spans="24:24">
      <c r="X82" s="31"/>
    </row>
    <row r="83" spans="24:24">
      <c r="X83" s="31"/>
    </row>
    <row r="84" spans="24:24">
      <c r="X84" s="31"/>
    </row>
    <row r="85" spans="24:24">
      <c r="X85" s="31"/>
    </row>
    <row r="86" spans="24:24">
      <c r="X86" s="31"/>
    </row>
    <row r="87" spans="24:24">
      <c r="X87" s="31"/>
    </row>
    <row r="88" spans="24:24">
      <c r="X88" s="31"/>
    </row>
    <row r="89" spans="24:24">
      <c r="X89" s="31"/>
    </row>
    <row r="90" spans="24:24">
      <c r="X90" s="31"/>
    </row>
    <row r="91" spans="24:24">
      <c r="X91" s="31"/>
    </row>
    <row r="92" spans="24:24">
      <c r="X92" s="31"/>
    </row>
    <row r="93" spans="24:24">
      <c r="X93" s="31"/>
    </row>
    <row r="94" spans="24:24">
      <c r="X94" s="31"/>
    </row>
    <row r="95" spans="24:24">
      <c r="X95" s="31"/>
    </row>
    <row r="96" spans="24:24">
      <c r="X96" s="31"/>
    </row>
    <row r="97" spans="24:24">
      <c r="X97" s="31"/>
    </row>
    <row r="98" spans="24:24">
      <c r="X98" s="31"/>
    </row>
    <row r="99" spans="24:24">
      <c r="X99" s="31"/>
    </row>
    <row r="100" spans="24:24">
      <c r="X100" s="31"/>
    </row>
    <row r="101" spans="24:24">
      <c r="X101" s="31"/>
    </row>
    <row r="102" spans="24:24">
      <c r="X102" s="31"/>
    </row>
    <row r="103" spans="24:24">
      <c r="X103" s="31"/>
    </row>
    <row r="104" spans="24:24">
      <c r="X104" s="31"/>
    </row>
    <row r="105" spans="24:24">
      <c r="X105" s="31"/>
    </row>
  </sheetData>
  <dataValidations count="1">
    <dataValidation type="list" allowBlank="1" showInputMessage="1" showErrorMessage="1" sqref="AE2:AE8" xr:uid="{0A44FCF3-BDEC-4A60-86C1-3C339EDEBF63}">
      <formula1>"Exceeds Expectation, Meets Expectation, Needs improvements"</formula1>
    </dataValidation>
  </dataValidations>
  <hyperlinks>
    <hyperlink ref="T4" r:id="rId1" xr:uid="{7CD1CBBA-B9D3-4418-B6E6-D9C159D75362}"/>
    <hyperlink ref="T5" r:id="rId2" xr:uid="{659D2AE4-93D3-4608-9D1C-3042EDD51FD4}"/>
    <hyperlink ref="T2" r:id="rId3" xr:uid="{03E98FD2-A1AB-48ED-AD79-C123BC2C6B6B}"/>
    <hyperlink ref="T3" r:id="rId4" xr:uid="{EE346D73-9A73-4534-9EE1-F6426BA140D8}"/>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AB18BC36-AEAA-4571-B706-47215B7BDCC6}">
          <x14:formula1>
            <xm:f>Settings!$C$3:$C$20</xm:f>
          </x14:formula1>
          <xm:sqref>I2:I8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F12C-C1F7-477E-9913-991DAADE1D23}">
  <dimension ref="A1:AB13"/>
  <sheetViews>
    <sheetView workbookViewId="0">
      <selection activeCell="H11" sqref="H11"/>
    </sheetView>
  </sheetViews>
  <sheetFormatPr defaultRowHeight="12.75"/>
  <cols>
    <col min="2" max="2" width="8.42578125" customWidth="1"/>
    <col min="3" max="3" width="23.7109375" customWidth="1"/>
    <col min="4" max="4" width="13.7109375" customWidth="1"/>
    <col min="5" max="5" width="13.85546875" customWidth="1"/>
    <col min="6" max="6" width="14.28515625" customWidth="1"/>
    <col min="7" max="7" width="88" customWidth="1"/>
    <col min="8" max="8" width="28.42578125" customWidth="1"/>
    <col min="9" max="9" width="13.85546875" customWidth="1"/>
    <col min="10" max="10" width="14.140625" customWidth="1"/>
    <col min="11" max="11" width="13.28515625" customWidth="1"/>
    <col min="12" max="12" width="37.140625" customWidth="1"/>
    <col min="13" max="13" width="76" customWidth="1"/>
  </cols>
  <sheetData>
    <row r="1" spans="1:28" ht="13.5">
      <c r="A1" s="53" t="s">
        <v>87</v>
      </c>
      <c r="B1" s="1" t="s">
        <v>11</v>
      </c>
      <c r="C1" s="1" t="s">
        <v>88</v>
      </c>
      <c r="D1" s="1" t="s">
        <v>89</v>
      </c>
      <c r="E1" s="1" t="s">
        <v>90</v>
      </c>
      <c r="F1" s="1" t="s">
        <v>91</v>
      </c>
      <c r="G1" s="1" t="s">
        <v>92</v>
      </c>
      <c r="H1" s="1" t="s">
        <v>93</v>
      </c>
      <c r="I1" s="1" t="s">
        <v>94</v>
      </c>
      <c r="J1" s="1" t="s">
        <v>95</v>
      </c>
      <c r="K1" s="1" t="s">
        <v>96</v>
      </c>
      <c r="L1" s="27" t="s">
        <v>97</v>
      </c>
      <c r="M1" s="28" t="s">
        <v>98</v>
      </c>
      <c r="N1" s="20"/>
      <c r="O1" s="9"/>
      <c r="P1" s="9"/>
      <c r="Q1" s="9"/>
      <c r="R1" s="9"/>
      <c r="S1" s="9"/>
      <c r="T1" s="9"/>
      <c r="U1" s="9"/>
      <c r="V1" s="9"/>
      <c r="W1" s="9"/>
      <c r="X1" s="9"/>
      <c r="Y1" s="9"/>
      <c r="Z1" s="9"/>
      <c r="AA1" s="9"/>
      <c r="AB1" s="9"/>
    </row>
    <row r="2" spans="1:28" s="15" customFormat="1" ht="36.75" customHeight="1">
      <c r="A2" s="15">
        <v>1</v>
      </c>
      <c r="B2" s="73" t="s">
        <v>190</v>
      </c>
      <c r="C2" s="111">
        <v>27166</v>
      </c>
      <c r="D2" s="55"/>
      <c r="E2" s="111" t="s">
        <v>135</v>
      </c>
      <c r="F2" s="42" t="s">
        <v>199</v>
      </c>
      <c r="G2" s="163" t="s">
        <v>200</v>
      </c>
      <c r="H2" s="23" t="s">
        <v>201</v>
      </c>
      <c r="I2" s="23" t="s">
        <v>202</v>
      </c>
      <c r="J2" s="23" t="s">
        <v>203</v>
      </c>
      <c r="K2" s="23" t="s">
        <v>204</v>
      </c>
      <c r="L2" s="26" t="s">
        <v>205</v>
      </c>
      <c r="N2" s="152"/>
    </row>
    <row r="3" spans="1:28" ht="46.5" customHeight="1">
      <c r="A3" s="15">
        <v>2</v>
      </c>
      <c r="B3" s="73" t="s">
        <v>190</v>
      </c>
      <c r="C3" s="111">
        <v>52622</v>
      </c>
      <c r="D3" s="55"/>
      <c r="E3" s="111" t="s">
        <v>141</v>
      </c>
      <c r="F3" s="42" t="s">
        <v>206</v>
      </c>
      <c r="G3" s="163" t="s">
        <v>207</v>
      </c>
      <c r="H3" s="23" t="s">
        <v>201</v>
      </c>
      <c r="I3" s="23" t="s">
        <v>202</v>
      </c>
      <c r="J3" s="23" t="s">
        <v>203</v>
      </c>
      <c r="K3" s="23" t="s">
        <v>204</v>
      </c>
      <c r="L3" s="164" t="s">
        <v>208</v>
      </c>
      <c r="M3" s="18"/>
    </row>
    <row r="4" spans="1:28" ht="48.75" customHeight="1">
      <c r="A4" s="15">
        <v>3</v>
      </c>
      <c r="B4" s="73" t="s">
        <v>190</v>
      </c>
      <c r="C4" s="111">
        <v>52205</v>
      </c>
      <c r="D4" s="165"/>
      <c r="E4" s="111" t="s">
        <v>141</v>
      </c>
      <c r="F4" s="42" t="s">
        <v>206</v>
      </c>
      <c r="G4" s="163" t="s">
        <v>209</v>
      </c>
      <c r="H4" s="23" t="s">
        <v>201</v>
      </c>
      <c r="I4" s="23" t="s">
        <v>202</v>
      </c>
      <c r="J4" s="23" t="s">
        <v>203</v>
      </c>
      <c r="K4" s="23" t="s">
        <v>204</v>
      </c>
      <c r="L4" s="164" t="s">
        <v>208</v>
      </c>
      <c r="M4" s="20"/>
      <c r="N4" s="20"/>
    </row>
    <row r="6" spans="1:28">
      <c r="G6" s="14"/>
    </row>
    <row r="13" spans="1:28">
      <c r="N13" s="14"/>
    </row>
  </sheetData>
  <dataValidations count="5">
    <dataValidation type="list" allowBlank="1" showErrorMessage="1" sqref="J2:J4" xr:uid="{8296C7CB-7E87-4E25-AF26-359D5FC3D678}">
      <formula1>"Internal,External"</formula1>
    </dataValidation>
    <dataValidation type="list" allowBlank="1" showErrorMessage="1" sqref="H2:H4" xr:uid="{343BE8E1-BCC1-4C81-8660-BE5A909A587D}">
      <formula1>"Minor,Significant,Major"</formula1>
    </dataValidation>
    <dataValidation type="list" allowBlank="1" showErrorMessage="1" sqref="F2:F4" xr:uid="{45A8DF84-1DB5-4094-8D0D-029505CB2599}">
      <formula1>"Bounceback,Defect,None"</formula1>
    </dataValidation>
    <dataValidation type="list" allowBlank="1" showErrorMessage="1" sqref="I2:I4" xr:uid="{4779A822-512F-4992-AA44-22D903BECC24}">
      <formula1>"Manual, Automation"</formula1>
    </dataValidation>
    <dataValidation type="list" allowBlank="1" showErrorMessage="1" sqref="K2:K4" xr:uid="{B24309B0-1089-4B15-816F-0DD4B5F066E2}">
      <formula1>"Open,Inprogress,Closed"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14FA-6D59-4BF1-9BA3-F7B67B82FB6E}">
  <dimension ref="A1:AE105"/>
  <sheetViews>
    <sheetView topLeftCell="K1" workbookViewId="0">
      <selection activeCell="S7" sqref="S7"/>
    </sheetView>
  </sheetViews>
  <sheetFormatPr defaultRowHeight="12.75"/>
  <cols>
    <col min="1" max="1" width="7.7109375" style="29" bestFit="1" customWidth="1"/>
    <col min="2" max="2" width="21.140625" style="29" customWidth="1"/>
    <col min="3" max="4" width="16.140625" style="29" customWidth="1"/>
    <col min="5" max="5" width="26.5703125"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29" customWidth="1"/>
    <col min="17" max="17" width="26.7109375" style="31" customWidth="1"/>
    <col min="18" max="18" width="12.42578125" style="31" customWidth="1"/>
    <col min="19" max="19" width="68"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29" customWidth="1"/>
    <col min="32" max="16384" width="9.140625" style="31"/>
  </cols>
  <sheetData>
    <row r="1" spans="1:31" ht="48">
      <c r="A1" s="44" t="s">
        <v>87</v>
      </c>
      <c r="B1" s="24" t="s">
        <v>4</v>
      </c>
      <c r="C1" s="24" t="s">
        <v>2</v>
      </c>
      <c r="D1" s="24" t="s">
        <v>3</v>
      </c>
      <c r="E1" s="45" t="s">
        <v>110</v>
      </c>
      <c r="F1" s="45" t="s">
        <v>90</v>
      </c>
      <c r="G1" s="45" t="s">
        <v>111</v>
      </c>
      <c r="H1" s="46" t="s">
        <v>112</v>
      </c>
      <c r="I1" s="46" t="s">
        <v>96</v>
      </c>
      <c r="J1" s="24" t="s">
        <v>113</v>
      </c>
      <c r="K1" s="24" t="s">
        <v>114</v>
      </c>
      <c r="L1" s="24" t="s">
        <v>115</v>
      </c>
      <c r="M1" s="75" t="s">
        <v>116</v>
      </c>
      <c r="N1" s="75" t="s">
        <v>117</v>
      </c>
      <c r="O1" s="46" t="s">
        <v>118</v>
      </c>
      <c r="P1" s="45"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5" t="s">
        <v>133</v>
      </c>
    </row>
    <row r="2" spans="1:31" ht="43.5" customHeight="1">
      <c r="A2" s="38">
        <v>1</v>
      </c>
      <c r="B2" s="99" t="s">
        <v>5</v>
      </c>
      <c r="C2" s="99">
        <v>46101</v>
      </c>
      <c r="D2" s="99">
        <v>46114</v>
      </c>
      <c r="E2" s="73" t="s">
        <v>210</v>
      </c>
      <c r="F2" s="38" t="s">
        <v>135</v>
      </c>
      <c r="G2" s="37">
        <v>52040</v>
      </c>
      <c r="H2" s="118" t="s">
        <v>211</v>
      </c>
      <c r="I2" s="161" t="s">
        <v>148</v>
      </c>
      <c r="J2" s="38">
        <v>5</v>
      </c>
      <c r="K2" s="38">
        <v>4</v>
      </c>
      <c r="L2" s="37">
        <v>18</v>
      </c>
      <c r="M2" s="76">
        <v>46101</v>
      </c>
      <c r="N2" s="76">
        <v>46105</v>
      </c>
      <c r="O2" s="99" t="s">
        <v>13</v>
      </c>
      <c r="P2" s="90" t="s">
        <v>195</v>
      </c>
      <c r="Q2" s="39"/>
      <c r="R2" s="64" t="s">
        <v>166</v>
      </c>
      <c r="S2" s="39" t="s">
        <v>212</v>
      </c>
      <c r="T2" s="25" t="s">
        <v>213</v>
      </c>
      <c r="U2" s="40">
        <v>46112</v>
      </c>
      <c r="V2" s="40">
        <v>46113</v>
      </c>
      <c r="W2" s="64" t="s">
        <v>151</v>
      </c>
      <c r="X2" s="39"/>
      <c r="Y2" s="64" t="s">
        <v>180</v>
      </c>
      <c r="Z2" s="40">
        <v>46113</v>
      </c>
      <c r="AA2" s="39"/>
      <c r="AB2" s="39"/>
      <c r="AC2" s="39" t="s">
        <v>214</v>
      </c>
      <c r="AD2" s="14"/>
      <c r="AE2" s="73" t="s">
        <v>215</v>
      </c>
    </row>
    <row r="3" spans="1:31" ht="30.75" customHeight="1">
      <c r="A3" s="37">
        <v>2</v>
      </c>
      <c r="B3" s="99" t="s">
        <v>5</v>
      </c>
      <c r="C3" s="99">
        <v>46101</v>
      </c>
      <c r="D3" s="99">
        <v>46114</v>
      </c>
      <c r="E3" s="73" t="s">
        <v>210</v>
      </c>
      <c r="F3" s="111" t="s">
        <v>139</v>
      </c>
      <c r="G3" s="37">
        <v>51376</v>
      </c>
      <c r="H3" s="118" t="s">
        <v>216</v>
      </c>
      <c r="I3" s="161" t="s">
        <v>148</v>
      </c>
      <c r="J3" s="37">
        <v>3</v>
      </c>
      <c r="K3" s="37">
        <v>5</v>
      </c>
      <c r="L3" s="37">
        <v>20</v>
      </c>
      <c r="M3" s="76">
        <v>46087</v>
      </c>
      <c r="N3" s="76">
        <v>46105</v>
      </c>
      <c r="O3" s="99" t="s">
        <v>13</v>
      </c>
      <c r="P3" s="37" t="s">
        <v>162</v>
      </c>
      <c r="Q3" s="64"/>
      <c r="R3" s="64" t="s">
        <v>166</v>
      </c>
      <c r="S3" s="64" t="s">
        <v>217</v>
      </c>
      <c r="T3" s="127" t="s">
        <v>218</v>
      </c>
      <c r="U3" s="40">
        <v>46111</v>
      </c>
      <c r="V3" s="40">
        <v>46111</v>
      </c>
      <c r="W3" s="64" t="s">
        <v>151</v>
      </c>
      <c r="X3" s="64"/>
      <c r="Y3" s="64"/>
      <c r="Z3" s="66"/>
      <c r="AA3" s="64"/>
      <c r="AB3" s="64"/>
      <c r="AC3" s="64"/>
      <c r="AD3" s="64" t="s">
        <v>219</v>
      </c>
      <c r="AE3" s="37" t="s">
        <v>153</v>
      </c>
    </row>
    <row r="4" spans="1:31" ht="41.25" customHeight="1">
      <c r="A4" s="37">
        <v>3</v>
      </c>
      <c r="B4" s="99" t="s">
        <v>5</v>
      </c>
      <c r="C4" s="99">
        <v>46101</v>
      </c>
      <c r="D4" s="99">
        <v>46114</v>
      </c>
      <c r="E4" s="73" t="s">
        <v>210</v>
      </c>
      <c r="F4" s="37" t="s">
        <v>141</v>
      </c>
      <c r="G4" s="37">
        <v>52008</v>
      </c>
      <c r="H4" s="118" t="s">
        <v>220</v>
      </c>
      <c r="I4" s="117" t="s">
        <v>148</v>
      </c>
      <c r="J4" s="37">
        <v>3</v>
      </c>
      <c r="K4" s="37">
        <v>9</v>
      </c>
      <c r="L4" s="37">
        <v>36</v>
      </c>
      <c r="M4" s="76">
        <v>46087</v>
      </c>
      <c r="N4" s="76">
        <v>46112</v>
      </c>
      <c r="O4" s="99" t="s">
        <v>13</v>
      </c>
      <c r="P4" s="99" t="s">
        <v>162</v>
      </c>
      <c r="Q4" s="64"/>
      <c r="R4" s="64" t="s">
        <v>166</v>
      </c>
      <c r="S4" s="64" t="s">
        <v>221</v>
      </c>
      <c r="T4" s="65" t="s">
        <v>222</v>
      </c>
      <c r="U4" s="66">
        <v>46112</v>
      </c>
      <c r="V4" s="66">
        <v>46112</v>
      </c>
      <c r="W4" s="64" t="s">
        <v>151</v>
      </c>
      <c r="X4" s="64"/>
      <c r="Y4" s="64" t="s">
        <v>180</v>
      </c>
      <c r="Z4" s="40">
        <v>46112</v>
      </c>
      <c r="AA4" s="64"/>
      <c r="AB4" s="64"/>
      <c r="AC4" s="64" t="s">
        <v>223</v>
      </c>
      <c r="AD4" s="64"/>
      <c r="AE4" s="37" t="s">
        <v>153</v>
      </c>
    </row>
    <row r="5" spans="1:31" ht="36.75" customHeight="1">
      <c r="A5" s="37">
        <v>4</v>
      </c>
      <c r="B5" s="99" t="s">
        <v>5</v>
      </c>
      <c r="C5" s="99">
        <v>46101</v>
      </c>
      <c r="D5" s="99">
        <v>46114</v>
      </c>
      <c r="E5" s="73" t="s">
        <v>224</v>
      </c>
      <c r="F5" s="37" t="s">
        <v>141</v>
      </c>
      <c r="G5" s="37">
        <v>52205</v>
      </c>
      <c r="H5" s="118" t="s">
        <v>191</v>
      </c>
      <c r="I5" s="111" t="s">
        <v>137</v>
      </c>
      <c r="J5" s="37">
        <v>8</v>
      </c>
      <c r="K5" s="37"/>
      <c r="L5" s="37"/>
      <c r="M5" s="76">
        <v>46111</v>
      </c>
      <c r="N5" s="76"/>
      <c r="O5" s="99"/>
      <c r="P5" s="99"/>
      <c r="Q5" s="64"/>
      <c r="R5" s="64"/>
      <c r="S5" s="64"/>
      <c r="T5" s="154"/>
      <c r="U5" s="123"/>
      <c r="V5" s="123"/>
      <c r="W5" s="64"/>
      <c r="X5" s="64"/>
      <c r="Y5" s="64"/>
      <c r="Z5" s="40"/>
      <c r="AA5" s="64"/>
      <c r="AB5" s="64"/>
      <c r="AC5" s="64"/>
      <c r="AD5" s="64"/>
      <c r="AE5" s="37"/>
    </row>
    <row r="6" spans="1:31" ht="25.5" customHeight="1">
      <c r="A6" s="37">
        <v>5</v>
      </c>
      <c r="B6" s="99" t="s">
        <v>5</v>
      </c>
      <c r="C6" s="99">
        <v>46101</v>
      </c>
      <c r="D6" s="99">
        <v>46114</v>
      </c>
      <c r="E6" s="73" t="s">
        <v>210</v>
      </c>
      <c r="F6" s="111" t="s">
        <v>139</v>
      </c>
      <c r="G6" s="73">
        <v>52403</v>
      </c>
      <c r="H6" s="37" t="s">
        <v>225</v>
      </c>
      <c r="I6" s="117" t="s">
        <v>148</v>
      </c>
      <c r="J6" s="37">
        <v>5</v>
      </c>
      <c r="K6" s="37">
        <v>7</v>
      </c>
      <c r="L6" s="37">
        <v>29</v>
      </c>
      <c r="M6" s="99">
        <v>46106</v>
      </c>
      <c r="N6" s="76">
        <v>46113</v>
      </c>
      <c r="O6" s="99" t="s">
        <v>13</v>
      </c>
      <c r="P6" s="90" t="s">
        <v>195</v>
      </c>
      <c r="Q6" s="64"/>
      <c r="R6" s="64" t="s">
        <v>166</v>
      </c>
      <c r="S6" s="159" t="s">
        <v>226</v>
      </c>
      <c r="T6" s="154" t="s">
        <v>227</v>
      </c>
      <c r="U6" s="123">
        <v>46113</v>
      </c>
      <c r="V6" s="123">
        <v>46113</v>
      </c>
      <c r="W6" s="64" t="s">
        <v>151</v>
      </c>
      <c r="X6" s="99"/>
      <c r="Y6" s="64" t="s">
        <v>180</v>
      </c>
      <c r="Z6" s="123">
        <v>46113</v>
      </c>
      <c r="AA6" s="99"/>
      <c r="AB6" s="99"/>
      <c r="AC6" s="99"/>
      <c r="AD6" s="99"/>
      <c r="AE6" s="99" t="s">
        <v>153</v>
      </c>
    </row>
    <row r="7" spans="1:31" ht="45.75" customHeight="1">
      <c r="A7" s="37">
        <v>6</v>
      </c>
      <c r="B7" s="99" t="s">
        <v>5</v>
      </c>
      <c r="C7" s="99">
        <v>46101</v>
      </c>
      <c r="D7" s="99">
        <v>46114</v>
      </c>
      <c r="E7" s="73" t="s">
        <v>224</v>
      </c>
      <c r="F7" s="37" t="s">
        <v>135</v>
      </c>
      <c r="G7" s="73">
        <v>52581</v>
      </c>
      <c r="H7" s="37" t="s">
        <v>182</v>
      </c>
      <c r="I7" s="111" t="s">
        <v>137</v>
      </c>
      <c r="J7" s="37">
        <v>8</v>
      </c>
      <c r="K7" s="37"/>
      <c r="L7" s="37"/>
      <c r="M7" s="76">
        <v>46113</v>
      </c>
      <c r="N7" s="76"/>
      <c r="O7" s="99"/>
      <c r="P7" s="99"/>
      <c r="Q7" s="64"/>
      <c r="R7" s="64"/>
      <c r="S7" s="64"/>
      <c r="T7" s="65"/>
      <c r="U7" s="66"/>
      <c r="V7" s="66"/>
      <c r="W7" s="64"/>
      <c r="X7" s="64"/>
      <c r="Y7" s="64"/>
      <c r="Z7" s="40"/>
      <c r="AA7" s="64"/>
      <c r="AB7" s="64"/>
      <c r="AC7" s="64"/>
      <c r="AD7" s="64"/>
      <c r="AE7" s="37"/>
    </row>
    <row r="8" spans="1:31" ht="59.25" customHeight="1">
      <c r="A8" s="38"/>
      <c r="B8" s="99"/>
      <c r="C8" s="99"/>
      <c r="D8" s="99"/>
      <c r="E8" s="73"/>
      <c r="F8" s="37"/>
      <c r="G8" s="73"/>
      <c r="H8" s="38"/>
      <c r="I8" s="111"/>
      <c r="J8" s="38"/>
      <c r="K8" s="38"/>
      <c r="L8" s="38"/>
      <c r="M8" s="76"/>
      <c r="N8" s="76"/>
      <c r="O8" s="99"/>
      <c r="P8" s="99"/>
      <c r="Q8" s="39"/>
      <c r="R8" s="39"/>
      <c r="S8" s="39"/>
      <c r="T8" s="43"/>
      <c r="U8" s="40"/>
      <c r="V8" s="40"/>
      <c r="W8" s="64"/>
      <c r="X8" s="39"/>
      <c r="Y8" s="64"/>
      <c r="Z8" s="40"/>
      <c r="AA8" s="39"/>
      <c r="AB8" s="39"/>
      <c r="AC8" s="39"/>
      <c r="AD8" s="39"/>
      <c r="AE8" s="38"/>
    </row>
    <row r="9" spans="1:31">
      <c r="X9" s="31"/>
    </row>
    <row r="10" spans="1:31">
      <c r="X10" s="31"/>
    </row>
    <row r="11" spans="1:31">
      <c r="X11" s="31"/>
    </row>
    <row r="12" spans="1:31">
      <c r="X12" s="31"/>
    </row>
    <row r="13" spans="1:31">
      <c r="X13" s="31"/>
    </row>
    <row r="14" spans="1:31">
      <c r="X14" s="31"/>
    </row>
    <row r="15" spans="1:31">
      <c r="X15" s="31"/>
    </row>
    <row r="16" spans="1:31">
      <c r="X16" s="31"/>
    </row>
    <row r="17" spans="24:24">
      <c r="X17" s="31"/>
    </row>
    <row r="18" spans="24:24">
      <c r="X18" s="31"/>
    </row>
    <row r="19" spans="24:24">
      <c r="X19" s="31"/>
    </row>
    <row r="20" spans="24:24">
      <c r="X20" s="31"/>
    </row>
    <row r="21" spans="24:24">
      <c r="X21" s="31"/>
    </row>
    <row r="22" spans="24:24">
      <c r="X22" s="31"/>
    </row>
    <row r="23" spans="24:24">
      <c r="X23" s="31"/>
    </row>
    <row r="24" spans="24:24">
      <c r="X24" s="31"/>
    </row>
    <row r="25" spans="24:24">
      <c r="X25" s="31"/>
    </row>
    <row r="26" spans="24:24">
      <c r="X26" s="31"/>
    </row>
    <row r="27" spans="24:24">
      <c r="X27" s="31"/>
    </row>
    <row r="28" spans="24:24">
      <c r="X28" s="31"/>
    </row>
    <row r="29" spans="24:24">
      <c r="X29" s="31"/>
    </row>
    <row r="30" spans="24:24">
      <c r="X30" s="31"/>
    </row>
    <row r="31" spans="24:24">
      <c r="X31" s="31"/>
    </row>
    <row r="32" spans="24:24">
      <c r="X32" s="31"/>
    </row>
    <row r="33" spans="24:24">
      <c r="X33" s="31"/>
    </row>
    <row r="34" spans="24:24">
      <c r="X34" s="31"/>
    </row>
    <row r="35" spans="24:24">
      <c r="X35" s="31"/>
    </row>
    <row r="36" spans="24:24">
      <c r="X36" s="31"/>
    </row>
    <row r="37" spans="24:24">
      <c r="X37" s="31"/>
    </row>
    <row r="38" spans="24:24">
      <c r="X38" s="31"/>
    </row>
    <row r="39" spans="24:24">
      <c r="X39" s="31"/>
    </row>
    <row r="40" spans="24:24">
      <c r="X40" s="31"/>
    </row>
    <row r="41" spans="24:24">
      <c r="X41" s="31"/>
    </row>
    <row r="42" spans="24:24">
      <c r="X42" s="31"/>
    </row>
    <row r="43" spans="24:24">
      <c r="X43" s="31"/>
    </row>
    <row r="44" spans="24:24">
      <c r="X44" s="31"/>
    </row>
    <row r="45" spans="24:24">
      <c r="X45" s="31"/>
    </row>
    <row r="46" spans="24:24">
      <c r="X46" s="31"/>
    </row>
    <row r="47" spans="24:24">
      <c r="X47" s="31"/>
    </row>
    <row r="48" spans="24:24">
      <c r="X48" s="31"/>
    </row>
    <row r="49" spans="24:24">
      <c r="X49" s="31"/>
    </row>
    <row r="50" spans="24:24">
      <c r="X50" s="31"/>
    </row>
    <row r="51" spans="24:24">
      <c r="X51" s="31"/>
    </row>
    <row r="52" spans="24:24">
      <c r="X52" s="31"/>
    </row>
    <row r="53" spans="24:24">
      <c r="X53" s="31"/>
    </row>
    <row r="54" spans="24:24">
      <c r="X54" s="31"/>
    </row>
    <row r="55" spans="24:24">
      <c r="X55" s="31"/>
    </row>
    <row r="56" spans="24:24">
      <c r="X56" s="31"/>
    </row>
    <row r="57" spans="24:24">
      <c r="X57" s="31"/>
    </row>
    <row r="58" spans="24:24">
      <c r="X58" s="31"/>
    </row>
    <row r="59" spans="24:24">
      <c r="X59" s="31"/>
    </row>
    <row r="60" spans="24:24">
      <c r="X60" s="31"/>
    </row>
    <row r="61" spans="24:24">
      <c r="X61" s="31"/>
    </row>
    <row r="62" spans="24:24">
      <c r="X62" s="31"/>
    </row>
    <row r="63" spans="24:24">
      <c r="X63" s="31"/>
    </row>
    <row r="64" spans="24:24">
      <c r="X64" s="31"/>
    </row>
    <row r="65" spans="24:24">
      <c r="X65" s="31"/>
    </row>
    <row r="66" spans="24:24">
      <c r="X66" s="31"/>
    </row>
    <row r="67" spans="24:24">
      <c r="X67" s="31"/>
    </row>
    <row r="68" spans="24:24">
      <c r="X68" s="31"/>
    </row>
    <row r="69" spans="24:24">
      <c r="X69" s="31"/>
    </row>
    <row r="70" spans="24:24">
      <c r="X70" s="31"/>
    </row>
    <row r="71" spans="24:24">
      <c r="X71" s="31"/>
    </row>
    <row r="72" spans="24:24">
      <c r="X72" s="31"/>
    </row>
    <row r="73" spans="24:24">
      <c r="X73" s="31"/>
    </row>
    <row r="74" spans="24:24">
      <c r="X74" s="31"/>
    </row>
    <row r="75" spans="24:24">
      <c r="X75" s="31"/>
    </row>
    <row r="76" spans="24:24">
      <c r="X76" s="31"/>
    </row>
    <row r="77" spans="24:24">
      <c r="X77" s="31"/>
    </row>
    <row r="78" spans="24:24">
      <c r="X78" s="31"/>
    </row>
    <row r="79" spans="24:24">
      <c r="X79" s="31"/>
    </row>
    <row r="80" spans="24:24">
      <c r="X80" s="31"/>
    </row>
    <row r="81" spans="24:24">
      <c r="X81" s="31"/>
    </row>
    <row r="82" spans="24:24">
      <c r="X82" s="31"/>
    </row>
    <row r="83" spans="24:24">
      <c r="X83" s="31"/>
    </row>
    <row r="84" spans="24:24">
      <c r="X84" s="31"/>
    </row>
    <row r="85" spans="24:24">
      <c r="X85" s="31"/>
    </row>
    <row r="86" spans="24:24">
      <c r="X86" s="31"/>
    </row>
    <row r="87" spans="24:24">
      <c r="X87" s="31"/>
    </row>
    <row r="88" spans="24:24">
      <c r="X88" s="31"/>
    </row>
    <row r="89" spans="24:24">
      <c r="X89" s="31"/>
    </row>
    <row r="90" spans="24:24">
      <c r="X90" s="31"/>
    </row>
    <row r="91" spans="24:24">
      <c r="X91" s="31"/>
    </row>
    <row r="92" spans="24:24">
      <c r="X92" s="31"/>
    </row>
    <row r="93" spans="24:24">
      <c r="X93" s="31"/>
    </row>
    <row r="94" spans="24:24">
      <c r="X94" s="31"/>
    </row>
    <row r="95" spans="24:24">
      <c r="X95" s="31"/>
    </row>
    <row r="96" spans="24:24">
      <c r="X96" s="31"/>
    </row>
    <row r="97" spans="24:24">
      <c r="X97" s="31"/>
    </row>
    <row r="98" spans="24:24">
      <c r="X98" s="31"/>
    </row>
    <row r="99" spans="24:24">
      <c r="X99" s="31"/>
    </row>
    <row r="100" spans="24:24">
      <c r="X100" s="31"/>
    </row>
    <row r="101" spans="24:24">
      <c r="X101" s="31"/>
    </row>
    <row r="102" spans="24:24">
      <c r="X102" s="31"/>
    </row>
    <row r="103" spans="24:24">
      <c r="X103" s="31"/>
    </row>
    <row r="104" spans="24:24">
      <c r="X104" s="31"/>
    </row>
    <row r="105" spans="24:24">
      <c r="X105" s="31"/>
    </row>
  </sheetData>
  <dataValidations count="1">
    <dataValidation type="list" allowBlank="1" showInputMessage="1" showErrorMessage="1" sqref="AE2:AE8" xr:uid="{1410652F-3E79-411A-B0ED-45EE414BABD5}">
      <formula1>"Exceeds Expectation, Meets Expectation, Needs improvements"</formula1>
    </dataValidation>
  </dataValidations>
  <hyperlinks>
    <hyperlink ref="T4" r:id="rId1" xr:uid="{DC04D38D-3BC5-4B89-BE37-493DFDEB0FB5}"/>
    <hyperlink ref="T2" r:id="rId2" xr:uid="{C035D285-1A79-46BB-9C4C-C1DFE53F5B87}"/>
    <hyperlink ref="T3" r:id="rId3" xr:uid="{7870858C-9546-41BE-9EBC-70D5C33D9A88}"/>
    <hyperlink ref="T6" r:id="rId4" xr:uid="{3FC1ABD4-A1E0-4274-9C82-A0755E059C8C}"/>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237404D2-9605-4D0C-8F12-66FEDC91CC68}">
          <x14:formula1>
            <xm:f>Settings!$C$3:$C$20</xm:f>
          </x14:formula1>
          <xm:sqref>I2:I8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3C08-75B0-47E2-ADDA-41F53B4AF25B}">
  <dimension ref="A1:AB13"/>
  <sheetViews>
    <sheetView workbookViewId="0"/>
  </sheetViews>
  <sheetFormatPr defaultRowHeight="12.75"/>
  <cols>
    <col min="1" max="1" width="8.42578125" customWidth="1"/>
    <col min="2" max="2" width="23.7109375" customWidth="1"/>
    <col min="3" max="3" width="13.7109375" customWidth="1"/>
    <col min="4" max="4" width="13.85546875" customWidth="1"/>
    <col min="5" max="5" width="14.28515625" customWidth="1"/>
    <col min="6" max="6" width="12.85546875" customWidth="1"/>
    <col min="7" max="7" width="88.85546875" customWidth="1"/>
    <col min="8" max="8" width="13.85546875" customWidth="1"/>
    <col min="9" max="9" width="14.140625" customWidth="1"/>
    <col min="10" max="10" width="13.28515625" customWidth="1"/>
    <col min="11" max="11" width="15.140625" customWidth="1"/>
    <col min="12" max="12" width="37.140625" customWidth="1"/>
    <col min="13" max="13" width="31.5703125" bestFit="1" customWidth="1"/>
  </cols>
  <sheetData>
    <row r="1" spans="1:28" ht="13.5">
      <c r="A1" s="53" t="s">
        <v>87</v>
      </c>
      <c r="B1" s="1" t="s">
        <v>11</v>
      </c>
      <c r="C1" s="1" t="s">
        <v>88</v>
      </c>
      <c r="D1" s="1" t="s">
        <v>89</v>
      </c>
      <c r="E1" s="1" t="s">
        <v>90</v>
      </c>
      <c r="F1" s="1" t="s">
        <v>91</v>
      </c>
      <c r="G1" s="1" t="s">
        <v>92</v>
      </c>
      <c r="H1" s="1" t="s">
        <v>93</v>
      </c>
      <c r="I1" s="1" t="s">
        <v>94</v>
      </c>
      <c r="J1" s="1" t="s">
        <v>95</v>
      </c>
      <c r="K1" s="1" t="s">
        <v>96</v>
      </c>
      <c r="L1" s="27" t="s">
        <v>97</v>
      </c>
      <c r="M1" s="28" t="s">
        <v>98</v>
      </c>
      <c r="N1" s="9"/>
      <c r="O1" s="9"/>
      <c r="P1" s="9"/>
      <c r="Q1" s="9"/>
      <c r="R1" s="9"/>
      <c r="S1" s="9"/>
      <c r="T1" s="9"/>
      <c r="U1" s="9"/>
      <c r="V1" s="9"/>
      <c r="W1" s="9"/>
      <c r="X1" s="9"/>
      <c r="Y1" s="9"/>
      <c r="Z1" s="9"/>
      <c r="AA1" s="9"/>
      <c r="AB1" s="9"/>
    </row>
    <row r="2" spans="1:28" s="15" customFormat="1" ht="42.75" customHeight="1">
      <c r="A2" s="15">
        <v>1</v>
      </c>
      <c r="B2" s="73" t="s">
        <v>210</v>
      </c>
      <c r="C2" s="73">
        <v>52403</v>
      </c>
      <c r="D2" s="55"/>
      <c r="E2" s="111" t="s">
        <v>139</v>
      </c>
      <c r="F2" s="42" t="s">
        <v>206</v>
      </c>
      <c r="G2" s="162" t="s">
        <v>228</v>
      </c>
      <c r="H2" s="23" t="s">
        <v>201</v>
      </c>
      <c r="I2" s="23" t="s">
        <v>202</v>
      </c>
      <c r="J2" s="23" t="s">
        <v>229</v>
      </c>
      <c r="K2" s="23" t="s">
        <v>204</v>
      </c>
      <c r="L2" s="23" t="s">
        <v>230</v>
      </c>
    </row>
    <row r="3" spans="1:28" ht="46.5" customHeight="1">
      <c r="A3" s="15">
        <v>2</v>
      </c>
      <c r="B3" s="73" t="s">
        <v>210</v>
      </c>
      <c r="C3" s="111">
        <v>52040</v>
      </c>
      <c r="D3" s="55"/>
      <c r="E3" s="42" t="s">
        <v>231</v>
      </c>
      <c r="F3" s="42" t="s">
        <v>206</v>
      </c>
      <c r="G3" s="163" t="s">
        <v>232</v>
      </c>
      <c r="H3" s="23" t="s">
        <v>201</v>
      </c>
      <c r="I3" s="23" t="s">
        <v>202</v>
      </c>
      <c r="J3" s="23" t="s">
        <v>229</v>
      </c>
      <c r="K3" s="23" t="s">
        <v>204</v>
      </c>
      <c r="L3" s="164" t="s">
        <v>233</v>
      </c>
      <c r="M3" s="18"/>
    </row>
    <row r="4" spans="1:28" s="163" customFormat="1" ht="52.5" customHeight="1">
      <c r="A4" s="163">
        <v>3</v>
      </c>
      <c r="B4" s="111" t="s">
        <v>210</v>
      </c>
      <c r="C4" s="163">
        <v>52008</v>
      </c>
      <c r="D4" s="55"/>
      <c r="E4" s="163" t="s">
        <v>141</v>
      </c>
      <c r="F4" s="163" t="s">
        <v>206</v>
      </c>
      <c r="G4" s="163" t="s">
        <v>234</v>
      </c>
      <c r="H4" s="23" t="s">
        <v>201</v>
      </c>
      <c r="I4" s="23" t="s">
        <v>202</v>
      </c>
      <c r="J4" s="23" t="s">
        <v>203</v>
      </c>
      <c r="K4" s="23" t="s">
        <v>204</v>
      </c>
      <c r="L4" s="108" t="s">
        <v>235</v>
      </c>
    </row>
    <row r="6" spans="1:28">
      <c r="F6" s="14"/>
    </row>
    <row r="9" spans="1:28">
      <c r="K9" s="14"/>
    </row>
    <row r="13" spans="1:28">
      <c r="N13" s="14"/>
    </row>
  </sheetData>
  <dataValidations count="5">
    <dataValidation type="list" allowBlank="1" showErrorMessage="1" sqref="K2:K4" xr:uid="{11575F36-50B1-400B-B01F-467C8E371346}">
      <formula1>"Open,Inprogress,Closed"</formula1>
    </dataValidation>
    <dataValidation type="list" allowBlank="1" showErrorMessage="1" sqref="I2:I4" xr:uid="{197B2E99-E448-4CD1-9316-C9533C55A956}">
      <formula1>"Manual, Automation"</formula1>
    </dataValidation>
    <dataValidation type="list" allowBlank="1" showErrorMessage="1" sqref="F2:F3" xr:uid="{0DE7B43B-5055-4FBC-92C5-5ABFC0A3CD01}">
      <formula1>"Bounceback,Defect,None"</formula1>
    </dataValidation>
    <dataValidation type="list" allowBlank="1" showErrorMessage="1" sqref="H2:H4" xr:uid="{9545BE47-D106-468B-B3B1-8D5680F225D9}">
      <formula1>"Minor,Significant,Major"</formula1>
    </dataValidation>
    <dataValidation type="list" allowBlank="1" showErrorMessage="1" sqref="J2:J4" xr:uid="{63C8029E-1C46-4055-B761-19B19E509A12}">
      <formula1>"Internal,External"</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25C5-C2D1-4730-B33E-9E5C6080EB7F}">
  <dimension ref="A1:AE105"/>
  <sheetViews>
    <sheetView topLeftCell="Z1" workbookViewId="0">
      <selection activeCell="D7" sqref="D7"/>
    </sheetView>
  </sheetViews>
  <sheetFormatPr defaultRowHeight="12.75"/>
  <cols>
    <col min="1" max="1" width="7.7109375" style="29" bestFit="1" customWidth="1"/>
    <col min="2" max="2" width="21.140625" style="29" customWidth="1"/>
    <col min="3" max="4" width="16.140625" style="29" customWidth="1"/>
    <col min="5" max="5" width="26.5703125"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68"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8">
      <c r="A1" s="44" t="s">
        <v>87</v>
      </c>
      <c r="B1" s="24" t="s">
        <v>4</v>
      </c>
      <c r="C1" s="24" t="s">
        <v>2</v>
      </c>
      <c r="D1" s="24" t="s">
        <v>3</v>
      </c>
      <c r="E1" s="45" t="s">
        <v>110</v>
      </c>
      <c r="F1" s="45" t="s">
        <v>90</v>
      </c>
      <c r="G1" s="45" t="s">
        <v>111</v>
      </c>
      <c r="H1" s="46" t="s">
        <v>112</v>
      </c>
      <c r="I1" s="46"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72" customHeight="1">
      <c r="A2" s="38">
        <v>1</v>
      </c>
      <c r="B2" s="99" t="s">
        <v>5</v>
      </c>
      <c r="C2" s="99">
        <v>46087</v>
      </c>
      <c r="D2" s="99">
        <v>46100</v>
      </c>
      <c r="E2" s="73" t="s">
        <v>236</v>
      </c>
      <c r="F2" s="38" t="s">
        <v>135</v>
      </c>
      <c r="G2" s="37">
        <v>52040</v>
      </c>
      <c r="H2" s="118" t="s">
        <v>211</v>
      </c>
      <c r="I2" s="118" t="s">
        <v>137</v>
      </c>
      <c r="J2" s="38">
        <v>8</v>
      </c>
      <c r="K2" s="38"/>
      <c r="L2" s="37"/>
      <c r="M2" s="76">
        <v>46087</v>
      </c>
      <c r="N2" s="76"/>
      <c r="O2" s="130"/>
      <c r="P2" s="67"/>
      <c r="Q2" s="39"/>
      <c r="R2" s="64"/>
      <c r="S2" s="39"/>
      <c r="T2" s="25"/>
      <c r="U2" s="40"/>
      <c r="V2" s="40"/>
      <c r="W2" s="64"/>
      <c r="X2" s="39"/>
      <c r="Y2" s="64"/>
      <c r="Z2" s="40"/>
      <c r="AA2" s="39"/>
      <c r="AB2" s="39"/>
      <c r="AC2" s="39"/>
      <c r="AD2" s="14"/>
      <c r="AE2" s="79"/>
    </row>
    <row r="3" spans="1:31" ht="47.25" customHeight="1">
      <c r="A3" s="37">
        <v>2</v>
      </c>
      <c r="B3" s="99" t="s">
        <v>5</v>
      </c>
      <c r="C3" s="99">
        <v>46087</v>
      </c>
      <c r="D3" s="99">
        <v>46100</v>
      </c>
      <c r="E3" s="73" t="s">
        <v>236</v>
      </c>
      <c r="F3" s="111" t="s">
        <v>139</v>
      </c>
      <c r="G3" s="37">
        <v>51376</v>
      </c>
      <c r="H3" s="118" t="s">
        <v>216</v>
      </c>
      <c r="I3" s="118" t="s">
        <v>137</v>
      </c>
      <c r="J3" s="37">
        <v>8</v>
      </c>
      <c r="K3" s="37"/>
      <c r="L3" s="37"/>
      <c r="M3" s="76">
        <v>46087</v>
      </c>
      <c r="N3" s="76"/>
      <c r="O3" s="130"/>
      <c r="P3" s="64"/>
      <c r="Q3" s="64"/>
      <c r="R3" s="64"/>
      <c r="S3" s="64"/>
      <c r="T3" s="127"/>
      <c r="U3" s="66"/>
      <c r="V3" s="66"/>
      <c r="W3" s="64"/>
      <c r="X3" s="64"/>
      <c r="Y3" s="64"/>
      <c r="Z3" s="66"/>
      <c r="AA3" s="64"/>
      <c r="AB3" s="64"/>
      <c r="AC3" s="64"/>
      <c r="AD3" s="145"/>
      <c r="AE3" s="79"/>
    </row>
    <row r="4" spans="1:31" ht="43.5" customHeight="1">
      <c r="A4" s="37">
        <v>3</v>
      </c>
      <c r="B4" s="99" t="s">
        <v>5</v>
      </c>
      <c r="C4" s="99">
        <v>46087</v>
      </c>
      <c r="D4" s="99">
        <v>46100</v>
      </c>
      <c r="E4" s="73" t="s">
        <v>236</v>
      </c>
      <c r="F4" s="37" t="s">
        <v>141</v>
      </c>
      <c r="G4" s="37">
        <v>52008</v>
      </c>
      <c r="H4" s="118" t="s">
        <v>220</v>
      </c>
      <c r="I4" s="111" t="s">
        <v>137</v>
      </c>
      <c r="J4" s="37">
        <v>8</v>
      </c>
      <c r="K4" s="37"/>
      <c r="L4" s="37"/>
      <c r="M4" s="76">
        <v>46087</v>
      </c>
      <c r="N4" s="76"/>
      <c r="O4" s="130"/>
      <c r="P4" s="64"/>
      <c r="Q4" s="39"/>
      <c r="R4" s="64"/>
      <c r="S4" s="64"/>
      <c r="T4" s="65"/>
      <c r="U4" s="66"/>
      <c r="V4" s="66"/>
      <c r="W4" s="64"/>
      <c r="X4" s="64"/>
      <c r="Y4" s="64"/>
      <c r="Z4" s="40"/>
      <c r="AA4" s="64"/>
      <c r="AB4" s="64"/>
      <c r="AC4" s="64"/>
      <c r="AD4" s="14"/>
      <c r="AE4" s="79"/>
    </row>
    <row r="5" spans="1:31" ht="45" customHeight="1">
      <c r="A5" s="37">
        <v>4</v>
      </c>
      <c r="B5" s="99" t="s">
        <v>5</v>
      </c>
      <c r="C5" s="99">
        <v>46087</v>
      </c>
      <c r="D5" s="99">
        <v>46100</v>
      </c>
      <c r="E5" s="73" t="s">
        <v>236</v>
      </c>
      <c r="F5" s="37" t="s">
        <v>141</v>
      </c>
      <c r="G5" s="37">
        <v>26925</v>
      </c>
      <c r="H5" s="118" t="s">
        <v>237</v>
      </c>
      <c r="I5" s="111" t="s">
        <v>173</v>
      </c>
      <c r="J5" s="37">
        <v>2</v>
      </c>
      <c r="K5" s="37">
        <v>4</v>
      </c>
      <c r="L5" s="37">
        <v>18</v>
      </c>
      <c r="M5" s="76">
        <v>46090</v>
      </c>
      <c r="N5" s="76">
        <v>46092</v>
      </c>
      <c r="O5" s="99" t="s">
        <v>13</v>
      </c>
      <c r="P5" s="99" t="s">
        <v>162</v>
      </c>
      <c r="Q5" s="64"/>
      <c r="R5" s="64" t="s">
        <v>166</v>
      </c>
      <c r="S5" s="64"/>
      <c r="T5" s="154" t="s">
        <v>238</v>
      </c>
      <c r="U5" s="123">
        <v>46092</v>
      </c>
      <c r="V5" s="123">
        <v>46092</v>
      </c>
      <c r="W5" s="64" t="s">
        <v>151</v>
      </c>
      <c r="X5" s="64"/>
      <c r="Y5" s="64" t="s">
        <v>164</v>
      </c>
      <c r="Z5" s="40">
        <v>46092</v>
      </c>
      <c r="AA5" s="64"/>
      <c r="AB5" s="64"/>
      <c r="AC5" s="64"/>
      <c r="AD5" s="64"/>
      <c r="AE5" s="79"/>
    </row>
    <row r="6" spans="1:31" ht="40.5" customHeight="1">
      <c r="A6" s="37">
        <v>5</v>
      </c>
      <c r="B6" s="99" t="s">
        <v>5</v>
      </c>
      <c r="C6" s="99">
        <v>46087</v>
      </c>
      <c r="D6" s="99">
        <v>46100</v>
      </c>
      <c r="E6" s="73" t="s">
        <v>236</v>
      </c>
      <c r="F6" s="37" t="s">
        <v>141</v>
      </c>
      <c r="G6" s="73">
        <v>26975</v>
      </c>
      <c r="H6" s="99" t="s">
        <v>239</v>
      </c>
      <c r="I6" s="111" t="s">
        <v>173</v>
      </c>
      <c r="J6" s="37">
        <v>2</v>
      </c>
      <c r="K6" s="37">
        <v>2</v>
      </c>
      <c r="L6" s="37">
        <v>8</v>
      </c>
      <c r="M6" s="99">
        <v>46091</v>
      </c>
      <c r="N6" s="76">
        <v>46092</v>
      </c>
      <c r="O6" s="99" t="s">
        <v>13</v>
      </c>
      <c r="P6" s="99" t="s">
        <v>162</v>
      </c>
      <c r="Q6" s="64"/>
      <c r="R6" s="64" t="s">
        <v>166</v>
      </c>
      <c r="S6" s="99"/>
      <c r="T6" s="154" t="s">
        <v>238</v>
      </c>
      <c r="U6" s="123">
        <v>46092</v>
      </c>
      <c r="V6" s="123">
        <v>46092</v>
      </c>
      <c r="W6" s="64" t="s">
        <v>151</v>
      </c>
      <c r="X6" s="99"/>
      <c r="Y6" s="64" t="s">
        <v>164</v>
      </c>
      <c r="Z6" s="40">
        <v>46092</v>
      </c>
      <c r="AA6" s="99"/>
      <c r="AB6" s="99"/>
      <c r="AC6" s="99"/>
      <c r="AD6" s="99"/>
      <c r="AE6" s="99"/>
    </row>
    <row r="7" spans="1:31" ht="45" customHeight="1">
      <c r="A7" s="37">
        <v>6</v>
      </c>
      <c r="B7" s="99" t="s">
        <v>5</v>
      </c>
      <c r="C7" s="99">
        <v>46087</v>
      </c>
      <c r="D7" s="99">
        <v>46100</v>
      </c>
      <c r="E7" s="73" t="s">
        <v>236</v>
      </c>
      <c r="F7" s="37" t="s">
        <v>141</v>
      </c>
      <c r="G7" s="73">
        <v>26976</v>
      </c>
      <c r="H7" s="118" t="s">
        <v>240</v>
      </c>
      <c r="I7" s="111" t="s">
        <v>173</v>
      </c>
      <c r="J7" s="37">
        <v>2</v>
      </c>
      <c r="K7" s="37">
        <v>2</v>
      </c>
      <c r="L7" s="37">
        <v>10</v>
      </c>
      <c r="M7" s="76">
        <v>46093</v>
      </c>
      <c r="N7" s="76">
        <v>46097</v>
      </c>
      <c r="O7" s="99" t="s">
        <v>13</v>
      </c>
      <c r="P7" s="99" t="s">
        <v>162</v>
      </c>
      <c r="Q7" s="64"/>
      <c r="R7" s="64" t="s">
        <v>166</v>
      </c>
      <c r="S7" s="64"/>
      <c r="T7" s="65" t="s">
        <v>241</v>
      </c>
      <c r="U7" s="66">
        <v>46097</v>
      </c>
      <c r="V7" s="66">
        <v>46097</v>
      </c>
      <c r="W7" s="64" t="s">
        <v>151</v>
      </c>
      <c r="X7" s="64"/>
      <c r="Y7" s="64" t="s">
        <v>164</v>
      </c>
      <c r="Z7" s="40">
        <v>46097</v>
      </c>
      <c r="AA7" s="64"/>
      <c r="AB7" s="64"/>
      <c r="AC7" s="64"/>
      <c r="AD7" s="64"/>
      <c r="AE7" s="79"/>
    </row>
    <row r="8" spans="1:31" ht="59.25" customHeight="1">
      <c r="A8" s="38">
        <v>7</v>
      </c>
      <c r="B8" s="99" t="s">
        <v>5</v>
      </c>
      <c r="C8" s="99">
        <v>46087</v>
      </c>
      <c r="D8" s="99">
        <v>46100</v>
      </c>
      <c r="E8" s="73" t="s">
        <v>236</v>
      </c>
      <c r="F8" s="37" t="s">
        <v>141</v>
      </c>
      <c r="G8" s="73">
        <v>52404</v>
      </c>
      <c r="H8" s="38" t="s">
        <v>242</v>
      </c>
      <c r="I8" s="111" t="s">
        <v>148</v>
      </c>
      <c r="J8" s="38">
        <v>2</v>
      </c>
      <c r="K8" s="38">
        <v>1</v>
      </c>
      <c r="L8" s="38">
        <v>6</v>
      </c>
      <c r="M8" s="76">
        <v>46099</v>
      </c>
      <c r="N8" s="76">
        <v>46099</v>
      </c>
      <c r="O8" s="99" t="s">
        <v>13</v>
      </c>
      <c r="P8" s="99" t="s">
        <v>162</v>
      </c>
      <c r="Q8" s="39"/>
      <c r="R8" s="39" t="s">
        <v>151</v>
      </c>
      <c r="S8" s="39"/>
      <c r="T8" s="43" t="s">
        <v>243</v>
      </c>
      <c r="U8" s="40">
        <v>46099</v>
      </c>
      <c r="V8" s="40">
        <v>46099</v>
      </c>
      <c r="W8" s="64" t="s">
        <v>151</v>
      </c>
      <c r="X8" s="39"/>
      <c r="Y8" s="64" t="s">
        <v>164</v>
      </c>
      <c r="Z8" s="40">
        <v>46099</v>
      </c>
      <c r="AA8" s="39"/>
      <c r="AB8" s="39"/>
      <c r="AC8" s="39"/>
      <c r="AD8" s="39"/>
      <c r="AE8" s="60"/>
    </row>
    <row r="9" spans="1:31">
      <c r="X9" s="31"/>
    </row>
    <row r="10" spans="1:31">
      <c r="X10" s="31"/>
    </row>
    <row r="11" spans="1:31">
      <c r="X11" s="31"/>
    </row>
    <row r="12" spans="1:31">
      <c r="X12" s="31"/>
    </row>
    <row r="13" spans="1:31">
      <c r="X13" s="31"/>
    </row>
    <row r="14" spans="1:31">
      <c r="X14" s="31"/>
    </row>
    <row r="15" spans="1:31">
      <c r="X15" s="31"/>
    </row>
    <row r="16" spans="1:31">
      <c r="X16" s="31"/>
    </row>
    <row r="17" spans="24:24">
      <c r="X17" s="31"/>
    </row>
    <row r="18" spans="24:24">
      <c r="X18" s="31"/>
    </row>
    <row r="19" spans="24:24">
      <c r="X19" s="31"/>
    </row>
    <row r="20" spans="24:24">
      <c r="X20" s="31"/>
    </row>
    <row r="21" spans="24:24">
      <c r="X21" s="31"/>
    </row>
    <row r="22" spans="24:24">
      <c r="X22" s="31"/>
    </row>
    <row r="23" spans="24:24">
      <c r="X23" s="31"/>
    </row>
    <row r="24" spans="24:24">
      <c r="X24" s="31"/>
    </row>
    <row r="25" spans="24:24">
      <c r="X25" s="31"/>
    </row>
    <row r="26" spans="24:24">
      <c r="X26" s="31"/>
    </row>
    <row r="27" spans="24:24">
      <c r="X27" s="31"/>
    </row>
    <row r="28" spans="24:24">
      <c r="X28" s="31"/>
    </row>
    <row r="29" spans="24:24">
      <c r="X29" s="31"/>
    </row>
    <row r="30" spans="24:24">
      <c r="X30" s="31"/>
    </row>
    <row r="31" spans="24:24">
      <c r="X31" s="31"/>
    </row>
    <row r="32" spans="24:24">
      <c r="X32" s="31"/>
    </row>
    <row r="33" spans="24:24">
      <c r="X33" s="31"/>
    </row>
    <row r="34" spans="24:24">
      <c r="X34" s="31"/>
    </row>
    <row r="35" spans="24:24">
      <c r="X35" s="31"/>
    </row>
    <row r="36" spans="24:24">
      <c r="X36" s="31"/>
    </row>
    <row r="37" spans="24:24">
      <c r="X37" s="31"/>
    </row>
    <row r="38" spans="24:24">
      <c r="X38" s="31"/>
    </row>
    <row r="39" spans="24:24">
      <c r="X39" s="31"/>
    </row>
    <row r="40" spans="24:24">
      <c r="X40" s="31"/>
    </row>
    <row r="41" spans="24:24">
      <c r="X41" s="31"/>
    </row>
    <row r="42" spans="24:24">
      <c r="X42" s="31"/>
    </row>
    <row r="43" spans="24:24">
      <c r="X43" s="31"/>
    </row>
    <row r="44" spans="24:24">
      <c r="X44" s="31"/>
    </row>
    <row r="45" spans="24:24">
      <c r="X45" s="31"/>
    </row>
    <row r="46" spans="24:24">
      <c r="X46" s="31"/>
    </row>
    <row r="47" spans="24:24">
      <c r="X47" s="31"/>
    </row>
    <row r="48" spans="24:24">
      <c r="X48" s="31"/>
    </row>
    <row r="49" spans="24:24">
      <c r="X49" s="31"/>
    </row>
    <row r="50" spans="24:24">
      <c r="X50" s="31"/>
    </row>
    <row r="51" spans="24:24">
      <c r="X51" s="31"/>
    </row>
    <row r="52" spans="24:24">
      <c r="X52" s="31"/>
    </row>
    <row r="53" spans="24:24">
      <c r="X53" s="31"/>
    </row>
    <row r="54" spans="24:24">
      <c r="X54" s="31"/>
    </row>
    <row r="55" spans="24:24">
      <c r="X55" s="31"/>
    </row>
    <row r="56" spans="24:24">
      <c r="X56" s="31"/>
    </row>
    <row r="57" spans="24:24">
      <c r="X57" s="31"/>
    </row>
    <row r="58" spans="24:24">
      <c r="X58" s="31"/>
    </row>
    <row r="59" spans="24:24">
      <c r="X59" s="31"/>
    </row>
    <row r="60" spans="24:24">
      <c r="X60" s="31"/>
    </row>
    <row r="61" spans="24:24">
      <c r="X61" s="31"/>
    </row>
    <row r="62" spans="24:24">
      <c r="X62" s="31"/>
    </row>
    <row r="63" spans="24:24">
      <c r="X63" s="31"/>
    </row>
    <row r="64" spans="24:24">
      <c r="X64" s="31"/>
    </row>
    <row r="65" spans="24:24">
      <c r="X65" s="31"/>
    </row>
    <row r="66" spans="24:24">
      <c r="X66" s="31"/>
    </row>
    <row r="67" spans="24:24">
      <c r="X67" s="31"/>
    </row>
    <row r="68" spans="24:24">
      <c r="X68" s="31"/>
    </row>
    <row r="69" spans="24:24">
      <c r="X69" s="31"/>
    </row>
    <row r="70" spans="24:24">
      <c r="X70" s="31"/>
    </row>
    <row r="71" spans="24:24">
      <c r="X71" s="31"/>
    </row>
    <row r="72" spans="24:24">
      <c r="X72" s="31"/>
    </row>
    <row r="73" spans="24:24">
      <c r="X73" s="31"/>
    </row>
    <row r="74" spans="24:24">
      <c r="X74" s="31"/>
    </row>
    <row r="75" spans="24:24">
      <c r="X75" s="31"/>
    </row>
    <row r="76" spans="24:24">
      <c r="X76" s="31"/>
    </row>
    <row r="77" spans="24:24">
      <c r="X77" s="31"/>
    </row>
    <row r="78" spans="24:24">
      <c r="X78" s="31"/>
    </row>
    <row r="79" spans="24:24">
      <c r="X79" s="31"/>
    </row>
    <row r="80" spans="24:24">
      <c r="X80" s="31"/>
    </row>
    <row r="81" spans="24:24">
      <c r="X81" s="31"/>
    </row>
    <row r="82" spans="24:24">
      <c r="X82" s="31"/>
    </row>
    <row r="83" spans="24:24">
      <c r="X83" s="31"/>
    </row>
    <row r="84" spans="24:24">
      <c r="X84" s="31"/>
    </row>
    <row r="85" spans="24:24">
      <c r="X85" s="31"/>
    </row>
    <row r="86" spans="24:24">
      <c r="X86" s="31"/>
    </row>
    <row r="87" spans="24:24">
      <c r="X87" s="31"/>
    </row>
    <row r="88" spans="24:24">
      <c r="X88" s="31"/>
    </row>
    <row r="89" spans="24:24">
      <c r="X89" s="31"/>
    </row>
    <row r="90" spans="24:24">
      <c r="X90" s="31"/>
    </row>
    <row r="91" spans="24:24">
      <c r="X91" s="31"/>
    </row>
    <row r="92" spans="24:24">
      <c r="X92" s="31"/>
    </row>
    <row r="93" spans="24:24">
      <c r="X93" s="31"/>
    </row>
    <row r="94" spans="24:24">
      <c r="X94" s="31"/>
    </row>
    <row r="95" spans="24:24">
      <c r="X95" s="31"/>
    </row>
    <row r="96" spans="24:24">
      <c r="X96" s="31"/>
    </row>
    <row r="97" spans="24:24">
      <c r="X97" s="31"/>
    </row>
    <row r="98" spans="24:24">
      <c r="X98" s="31"/>
    </row>
    <row r="99" spans="24:24">
      <c r="X99" s="31"/>
    </row>
    <row r="100" spans="24:24">
      <c r="X100" s="31"/>
    </row>
    <row r="101" spans="24:24">
      <c r="X101" s="31"/>
    </row>
    <row r="102" spans="24:24">
      <c r="X102" s="31"/>
    </row>
    <row r="103" spans="24:24">
      <c r="X103" s="31"/>
    </row>
    <row r="104" spans="24:24">
      <c r="X104" s="31"/>
    </row>
    <row r="105" spans="24:24">
      <c r="X105" s="31"/>
    </row>
  </sheetData>
  <dataValidations count="1">
    <dataValidation type="list" allowBlank="1" showInputMessage="1" showErrorMessage="1" sqref="AE2:AE8" xr:uid="{99BAF522-270C-4EF1-A187-33DF450D0445}">
      <formula1>"Exceeds Expectation, Meets Expectation, Needs improvements"</formula1>
    </dataValidation>
  </dataValidations>
  <hyperlinks>
    <hyperlink ref="T5" r:id="rId1" xr:uid="{D597A597-FF21-4E11-837B-314E9D5EDC62}"/>
    <hyperlink ref="T6" r:id="rId2" xr:uid="{BEF8B8C6-915F-4CE9-BC90-FA991473A654}"/>
    <hyperlink ref="T7" r:id="rId3" xr:uid="{99F375B8-DB29-4024-A5EE-5383E2420E6D}"/>
    <hyperlink ref="T8" r:id="rId4" xr:uid="{6CE506FE-F1E2-40D8-A346-465E05DE2D8B}"/>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A9F72381-97B2-444C-BB2A-1CDA9733D8B6}">
          <x14:formula1>
            <xm:f>Settings!$C$3:$C$20</xm:f>
          </x14:formula1>
          <xm:sqref>I2:I8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AED8-3975-4A7D-8BC1-BE491B489176}">
  <dimension ref="A1:AE105"/>
  <sheetViews>
    <sheetView workbookViewId="0">
      <selection activeCell="G12" sqref="G12"/>
    </sheetView>
  </sheetViews>
  <sheetFormatPr defaultRowHeight="12.75"/>
  <cols>
    <col min="1" max="1" width="7.7109375" style="29" bestFit="1" customWidth="1"/>
    <col min="2" max="2" width="21.140625" style="29" customWidth="1"/>
    <col min="3" max="4" width="16.140625" style="29" customWidth="1"/>
    <col min="5" max="5" width="26.5703125"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68"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8">
      <c r="A1" s="44" t="s">
        <v>87</v>
      </c>
      <c r="B1" s="24" t="s">
        <v>4</v>
      </c>
      <c r="C1" s="24" t="s">
        <v>2</v>
      </c>
      <c r="D1" s="24" t="s">
        <v>3</v>
      </c>
      <c r="E1" s="45" t="s">
        <v>110</v>
      </c>
      <c r="F1" s="45" t="s">
        <v>90</v>
      </c>
      <c r="G1" s="45" t="s">
        <v>111</v>
      </c>
      <c r="H1" s="46" t="s">
        <v>112</v>
      </c>
      <c r="I1" s="46"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33.75" customHeight="1">
      <c r="A2" s="38">
        <v>1</v>
      </c>
      <c r="B2" s="99" t="s">
        <v>5</v>
      </c>
      <c r="C2" s="99">
        <v>46073</v>
      </c>
      <c r="D2" s="99">
        <v>46086</v>
      </c>
      <c r="E2" s="73" t="s">
        <v>244</v>
      </c>
      <c r="F2" s="38" t="s">
        <v>135</v>
      </c>
      <c r="G2" s="37">
        <v>52017</v>
      </c>
      <c r="H2" s="118" t="s">
        <v>245</v>
      </c>
      <c r="I2" s="153" t="s">
        <v>148</v>
      </c>
      <c r="J2" s="38">
        <v>5</v>
      </c>
      <c r="K2" s="38">
        <v>4</v>
      </c>
      <c r="L2" s="37">
        <v>18</v>
      </c>
      <c r="M2" s="76">
        <v>46073</v>
      </c>
      <c r="N2" s="76">
        <v>46077</v>
      </c>
      <c r="O2" s="130" t="s">
        <v>13</v>
      </c>
      <c r="P2" s="67" t="s">
        <v>195</v>
      </c>
      <c r="Q2" s="39"/>
      <c r="R2" s="64" t="s">
        <v>166</v>
      </c>
      <c r="S2" s="39"/>
      <c r="T2" s="25" t="s">
        <v>246</v>
      </c>
      <c r="U2" s="40">
        <v>46083</v>
      </c>
      <c r="V2" s="40">
        <v>46083</v>
      </c>
      <c r="W2" s="64" t="s">
        <v>151</v>
      </c>
      <c r="X2" s="39"/>
      <c r="Y2" s="64" t="s">
        <v>164</v>
      </c>
      <c r="Z2" s="40"/>
      <c r="AA2" s="39"/>
      <c r="AB2" s="39"/>
      <c r="AC2" s="39"/>
      <c r="AD2" s="14"/>
      <c r="AE2" s="79"/>
    </row>
    <row r="3" spans="1:31" ht="35.25" customHeight="1">
      <c r="A3" s="37">
        <v>2</v>
      </c>
      <c r="B3" s="99" t="s">
        <v>5</v>
      </c>
      <c r="C3" s="99">
        <v>46073</v>
      </c>
      <c r="D3" s="99">
        <v>46086</v>
      </c>
      <c r="E3" s="73" t="s">
        <v>247</v>
      </c>
      <c r="F3" s="111" t="s">
        <v>139</v>
      </c>
      <c r="G3" s="37">
        <v>51376</v>
      </c>
      <c r="H3" s="118" t="s">
        <v>216</v>
      </c>
      <c r="I3" s="118" t="s">
        <v>137</v>
      </c>
      <c r="J3" s="37">
        <v>13</v>
      </c>
      <c r="K3" s="37"/>
      <c r="L3" s="37"/>
      <c r="M3" s="76">
        <v>46073</v>
      </c>
      <c r="N3" s="76"/>
      <c r="O3" s="130"/>
      <c r="P3" s="64"/>
      <c r="Q3" s="64"/>
      <c r="R3" s="64"/>
      <c r="S3" s="64"/>
      <c r="T3" s="127"/>
      <c r="U3" s="66"/>
      <c r="V3" s="66"/>
      <c r="W3" s="64"/>
      <c r="X3" s="64"/>
      <c r="Y3" s="64"/>
      <c r="Z3" s="66"/>
      <c r="AA3" s="64"/>
      <c r="AB3" s="64"/>
      <c r="AC3" s="64"/>
      <c r="AD3" s="145"/>
      <c r="AE3" s="79"/>
    </row>
    <row r="4" spans="1:31" ht="24.75" customHeight="1">
      <c r="A4" s="37">
        <v>3</v>
      </c>
      <c r="B4" s="99" t="s">
        <v>5</v>
      </c>
      <c r="C4" s="99">
        <v>46073</v>
      </c>
      <c r="D4" s="99">
        <v>46086</v>
      </c>
      <c r="E4" s="147" t="s">
        <v>244</v>
      </c>
      <c r="F4" s="37" t="s">
        <v>141</v>
      </c>
      <c r="G4" s="37">
        <v>26763</v>
      </c>
      <c r="H4" s="118" t="s">
        <v>248</v>
      </c>
      <c r="I4" s="153" t="s">
        <v>173</v>
      </c>
      <c r="J4" s="37">
        <v>2</v>
      </c>
      <c r="K4" s="37">
        <v>3</v>
      </c>
      <c r="L4" s="37">
        <v>12</v>
      </c>
      <c r="M4" s="76">
        <v>46076</v>
      </c>
      <c r="N4" s="76">
        <v>46105</v>
      </c>
      <c r="O4" s="130" t="s">
        <v>13</v>
      </c>
      <c r="P4" s="64" t="s">
        <v>162</v>
      </c>
      <c r="Q4" s="39"/>
      <c r="R4" s="64" t="s">
        <v>166</v>
      </c>
      <c r="S4" s="64"/>
      <c r="T4" s="65" t="s">
        <v>249</v>
      </c>
      <c r="U4" s="66">
        <v>46080</v>
      </c>
      <c r="V4" s="66">
        <v>46083</v>
      </c>
      <c r="W4" s="64" t="s">
        <v>151</v>
      </c>
      <c r="X4" s="64"/>
      <c r="Y4" s="64" t="s">
        <v>164</v>
      </c>
      <c r="Z4" s="40">
        <v>46083</v>
      </c>
      <c r="AA4" s="64"/>
      <c r="AB4" s="64"/>
      <c r="AC4" s="64"/>
      <c r="AD4" s="14"/>
      <c r="AE4" s="79"/>
    </row>
    <row r="5" spans="1:31" ht="34.5" customHeight="1">
      <c r="A5" s="37">
        <v>4</v>
      </c>
      <c r="B5" s="99" t="s">
        <v>5</v>
      </c>
      <c r="C5" s="99">
        <v>46073</v>
      </c>
      <c r="D5" s="99">
        <v>46086</v>
      </c>
      <c r="E5" s="73" t="s">
        <v>244</v>
      </c>
      <c r="F5" s="37" t="s">
        <v>141</v>
      </c>
      <c r="G5" s="37">
        <v>52008</v>
      </c>
      <c r="H5" s="118" t="s">
        <v>220</v>
      </c>
      <c r="I5" s="111" t="s">
        <v>137</v>
      </c>
      <c r="J5" s="37">
        <v>8</v>
      </c>
      <c r="K5" s="37"/>
      <c r="L5" s="37"/>
      <c r="M5" s="76">
        <v>46106</v>
      </c>
      <c r="N5" s="76"/>
      <c r="O5" s="81"/>
      <c r="P5" s="64"/>
      <c r="Q5" s="64"/>
      <c r="R5" s="64"/>
      <c r="S5" s="64"/>
      <c r="T5" s="124"/>
      <c r="U5" s="123"/>
      <c r="V5" s="122"/>
      <c r="W5" s="64"/>
      <c r="X5" s="64"/>
      <c r="Y5" s="64"/>
      <c r="Z5" s="121"/>
      <c r="AA5" s="64"/>
      <c r="AB5" s="64"/>
      <c r="AC5" s="64"/>
      <c r="AD5" s="64" t="s">
        <v>250</v>
      </c>
      <c r="AE5" s="79"/>
    </row>
    <row r="6" spans="1:31" ht="30" customHeight="1">
      <c r="A6" s="37">
        <v>5</v>
      </c>
      <c r="B6" s="99" t="s">
        <v>5</v>
      </c>
      <c r="C6" s="99">
        <v>46073</v>
      </c>
      <c r="D6" s="99">
        <v>46086</v>
      </c>
      <c r="E6" s="73" t="s">
        <v>247</v>
      </c>
      <c r="F6" s="99" t="s">
        <v>251</v>
      </c>
      <c r="G6" s="73">
        <v>52020</v>
      </c>
      <c r="H6" s="99" t="s">
        <v>252</v>
      </c>
      <c r="I6" s="153" t="s">
        <v>148</v>
      </c>
      <c r="J6" s="37">
        <v>8</v>
      </c>
      <c r="K6" s="150">
        <v>8</v>
      </c>
      <c r="L6" s="37">
        <v>40</v>
      </c>
      <c r="M6" s="99">
        <v>46076</v>
      </c>
      <c r="N6" s="99">
        <v>46083</v>
      </c>
      <c r="O6" s="99" t="s">
        <v>13</v>
      </c>
      <c r="P6" s="99" t="s">
        <v>162</v>
      </c>
      <c r="Q6" s="64"/>
      <c r="R6" s="64" t="s">
        <v>166</v>
      </c>
      <c r="S6" s="99"/>
      <c r="T6" s="151" t="s">
        <v>253</v>
      </c>
      <c r="U6" s="99">
        <v>46083</v>
      </c>
      <c r="V6" s="99">
        <v>46083</v>
      </c>
      <c r="W6" s="99" t="s">
        <v>164</v>
      </c>
      <c r="X6" s="99"/>
      <c r="Y6" s="99" t="s">
        <v>164</v>
      </c>
      <c r="Z6" s="99">
        <v>46083</v>
      </c>
      <c r="AA6" s="99"/>
      <c r="AB6" s="99"/>
      <c r="AC6" s="99"/>
      <c r="AD6" s="99"/>
      <c r="AE6" s="99"/>
    </row>
    <row r="7" spans="1:31" ht="33.75" customHeight="1">
      <c r="A7" s="37"/>
      <c r="B7" s="99"/>
      <c r="C7" s="99"/>
      <c r="D7" s="99"/>
      <c r="E7" s="38"/>
      <c r="F7" s="37"/>
      <c r="G7" s="37"/>
      <c r="H7" s="118"/>
      <c r="I7" s="111"/>
      <c r="J7" s="37"/>
      <c r="K7" s="37"/>
      <c r="L7" s="37"/>
      <c r="M7" s="76"/>
      <c r="N7" s="76"/>
      <c r="O7" s="125"/>
      <c r="P7" s="64"/>
      <c r="Q7" s="64"/>
      <c r="R7" s="64"/>
      <c r="S7" s="64"/>
      <c r="T7" s="65"/>
      <c r="U7" s="66"/>
      <c r="V7" s="64"/>
      <c r="W7" s="64"/>
      <c r="X7" s="64"/>
      <c r="Y7" s="64"/>
      <c r="Z7" s="40"/>
      <c r="AA7" s="64"/>
      <c r="AB7" s="64"/>
      <c r="AC7" s="64"/>
      <c r="AD7" s="64"/>
      <c r="AE7" s="79"/>
    </row>
    <row r="8" spans="1:31">
      <c r="I8" s="73"/>
      <c r="X8" s="31"/>
    </row>
    <row r="9" spans="1:31">
      <c r="X9" s="31"/>
    </row>
    <row r="10" spans="1:31">
      <c r="X10" s="31"/>
    </row>
    <row r="11" spans="1:31">
      <c r="X11" s="31"/>
    </row>
    <row r="12" spans="1:31">
      <c r="X12" s="31"/>
    </row>
    <row r="13" spans="1:31">
      <c r="X13" s="31"/>
    </row>
    <row r="14" spans="1:31">
      <c r="X14" s="31"/>
    </row>
    <row r="15" spans="1:31">
      <c r="X15" s="31"/>
    </row>
    <row r="16" spans="1:31">
      <c r="X16" s="31"/>
    </row>
    <row r="17" spans="24:24">
      <c r="X17" s="31"/>
    </row>
    <row r="18" spans="24:24">
      <c r="X18" s="31"/>
    </row>
    <row r="19" spans="24:24">
      <c r="X19" s="31"/>
    </row>
    <row r="20" spans="24:24">
      <c r="X20" s="31"/>
    </row>
    <row r="21" spans="24:24">
      <c r="X21" s="31"/>
    </row>
    <row r="22" spans="24:24">
      <c r="X22" s="31"/>
    </row>
    <row r="23" spans="24:24">
      <c r="X23" s="31"/>
    </row>
    <row r="24" spans="24:24">
      <c r="X24" s="31"/>
    </row>
    <row r="25" spans="24:24">
      <c r="X25" s="31"/>
    </row>
    <row r="26" spans="24:24">
      <c r="X26" s="31"/>
    </row>
    <row r="27" spans="24:24">
      <c r="X27" s="31"/>
    </row>
    <row r="28" spans="24:24">
      <c r="X28" s="31"/>
    </row>
    <row r="29" spans="24:24">
      <c r="X29" s="31"/>
    </row>
    <row r="30" spans="24:24">
      <c r="X30" s="31"/>
    </row>
    <row r="31" spans="24:24">
      <c r="X31" s="31"/>
    </row>
    <row r="32" spans="24:24">
      <c r="X32" s="31"/>
    </row>
    <row r="33" spans="24:24">
      <c r="X33" s="31"/>
    </row>
    <row r="34" spans="24:24">
      <c r="X34" s="31"/>
    </row>
    <row r="35" spans="24:24">
      <c r="X35" s="31"/>
    </row>
    <row r="36" spans="24:24">
      <c r="X36" s="31"/>
    </row>
    <row r="37" spans="24:24">
      <c r="X37" s="31"/>
    </row>
    <row r="38" spans="24:24">
      <c r="X38" s="31"/>
    </row>
    <row r="39" spans="24:24">
      <c r="X39" s="31"/>
    </row>
    <row r="40" spans="24:24">
      <c r="X40" s="31"/>
    </row>
    <row r="41" spans="24:24">
      <c r="X41" s="31"/>
    </row>
    <row r="42" spans="24:24">
      <c r="X42" s="31"/>
    </row>
    <row r="43" spans="24:24">
      <c r="X43" s="31"/>
    </row>
    <row r="44" spans="24:24">
      <c r="X44" s="31"/>
    </row>
    <row r="45" spans="24:24">
      <c r="X45" s="31"/>
    </row>
    <row r="46" spans="24:24">
      <c r="X46" s="31"/>
    </row>
    <row r="47" spans="24:24">
      <c r="X47" s="31"/>
    </row>
    <row r="48" spans="24:24">
      <c r="X48" s="31"/>
    </row>
    <row r="49" spans="24:24">
      <c r="X49" s="31"/>
    </row>
    <row r="50" spans="24:24">
      <c r="X50" s="31"/>
    </row>
    <row r="51" spans="24:24">
      <c r="X51" s="31"/>
    </row>
    <row r="52" spans="24:24">
      <c r="X52" s="31"/>
    </row>
    <row r="53" spans="24:24">
      <c r="X53" s="31"/>
    </row>
    <row r="54" spans="24:24">
      <c r="X54" s="31"/>
    </row>
    <row r="55" spans="24:24">
      <c r="X55" s="31"/>
    </row>
    <row r="56" spans="24:24">
      <c r="X56" s="31"/>
    </row>
    <row r="57" spans="24:24">
      <c r="X57" s="31"/>
    </row>
    <row r="58" spans="24:24">
      <c r="X58" s="31"/>
    </row>
    <row r="59" spans="24:24">
      <c r="X59" s="31"/>
    </row>
    <row r="60" spans="24:24">
      <c r="X60" s="31"/>
    </row>
    <row r="61" spans="24:24">
      <c r="X61" s="31"/>
    </row>
    <row r="62" spans="24:24">
      <c r="X62" s="31"/>
    </row>
    <row r="63" spans="24:24">
      <c r="X63" s="31"/>
    </row>
    <row r="64" spans="24:24">
      <c r="X64" s="31"/>
    </row>
    <row r="65" spans="24:24">
      <c r="X65" s="31"/>
    </row>
    <row r="66" spans="24:24">
      <c r="X66" s="31"/>
    </row>
    <row r="67" spans="24:24">
      <c r="X67" s="31"/>
    </row>
    <row r="68" spans="24:24">
      <c r="X68" s="31"/>
    </row>
    <row r="69" spans="24:24">
      <c r="X69" s="31"/>
    </row>
    <row r="70" spans="24:24">
      <c r="X70" s="31"/>
    </row>
    <row r="71" spans="24:24">
      <c r="X71" s="31"/>
    </row>
    <row r="72" spans="24:24">
      <c r="X72" s="31"/>
    </row>
    <row r="73" spans="24:24">
      <c r="X73" s="31"/>
    </row>
    <row r="74" spans="24:24">
      <c r="X74" s="31"/>
    </row>
    <row r="75" spans="24:24">
      <c r="X75" s="31"/>
    </row>
    <row r="76" spans="24:24">
      <c r="X76" s="31"/>
    </row>
    <row r="77" spans="24:24">
      <c r="X77" s="31"/>
    </row>
    <row r="78" spans="24:24">
      <c r="X78" s="31"/>
    </row>
    <row r="79" spans="24:24">
      <c r="X79" s="31"/>
    </row>
    <row r="80" spans="24:24">
      <c r="X80" s="31"/>
    </row>
    <row r="81" spans="24:24">
      <c r="X81" s="31"/>
    </row>
    <row r="82" spans="24:24">
      <c r="X82" s="31"/>
    </row>
    <row r="83" spans="24:24">
      <c r="X83" s="31"/>
    </row>
    <row r="84" spans="24:24">
      <c r="X84" s="31"/>
    </row>
    <row r="85" spans="24:24">
      <c r="X85" s="31"/>
    </row>
    <row r="86" spans="24:24">
      <c r="X86" s="31"/>
    </row>
    <row r="87" spans="24:24">
      <c r="X87" s="31"/>
    </row>
    <row r="88" spans="24:24">
      <c r="X88" s="31"/>
    </row>
    <row r="89" spans="24:24">
      <c r="X89" s="31"/>
    </row>
    <row r="90" spans="24:24">
      <c r="X90" s="31"/>
    </row>
    <row r="91" spans="24:24">
      <c r="X91" s="31"/>
    </row>
    <row r="92" spans="24:24">
      <c r="X92" s="31"/>
    </row>
    <row r="93" spans="24:24">
      <c r="X93" s="31"/>
    </row>
    <row r="94" spans="24:24">
      <c r="X94" s="31"/>
    </row>
    <row r="95" spans="24:24">
      <c r="X95" s="31"/>
    </row>
    <row r="96" spans="24:24">
      <c r="X96" s="31"/>
    </row>
    <row r="97" spans="24:24">
      <c r="X97" s="31"/>
    </row>
    <row r="98" spans="24:24">
      <c r="X98" s="31"/>
    </row>
    <row r="99" spans="24:24">
      <c r="X99" s="31"/>
    </row>
    <row r="100" spans="24:24">
      <c r="X100" s="31"/>
    </row>
    <row r="101" spans="24:24">
      <c r="X101" s="31"/>
    </row>
    <row r="102" spans="24:24">
      <c r="X102" s="31"/>
    </row>
    <row r="103" spans="24:24">
      <c r="X103" s="31"/>
    </row>
    <row r="104" spans="24:24">
      <c r="X104" s="31"/>
    </row>
    <row r="105" spans="24:24">
      <c r="X105" s="31"/>
    </row>
  </sheetData>
  <dataValidations count="1">
    <dataValidation type="list" allowBlank="1" showInputMessage="1" showErrorMessage="1" sqref="AE2:AE7" xr:uid="{2EA6E53D-1931-4D20-A758-4DF029FFA826}">
      <formula1>"Exceeds Expectation, Meets Expectation, Needs improvements"</formula1>
    </dataValidation>
  </dataValidations>
  <hyperlinks>
    <hyperlink ref="T4" r:id="rId1" xr:uid="{AC331029-704A-4169-B8F4-97D2AA2D952A}"/>
    <hyperlink ref="T2" r:id="rId2" xr:uid="{5F569536-E4F7-49A8-B3F2-2F26BF01438B}"/>
    <hyperlink ref="T6" r:id="rId3" xr:uid="{2BE2C0B4-C198-4D67-B084-7205182AE826}"/>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23D126DB-DB43-4A3A-93E5-7653D1215F46}">
          <x14:formula1>
            <xm:f>Settings!$C$3:$C$20</xm:f>
          </x14:formula1>
          <xm:sqref>I2:I8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DA551-5312-4B1D-99CE-2D6E3BDCD977}">
  <dimension ref="A1:AB13"/>
  <sheetViews>
    <sheetView workbookViewId="0">
      <selection activeCell="F2" sqref="F2:F3"/>
    </sheetView>
  </sheetViews>
  <sheetFormatPr defaultRowHeight="12.75"/>
  <cols>
    <col min="1" max="1" width="8.42578125" customWidth="1"/>
    <col min="2" max="2" width="23.7109375" customWidth="1"/>
    <col min="3" max="3" width="13.7109375" customWidth="1"/>
    <col min="4" max="4" width="13.85546875" customWidth="1"/>
    <col min="5" max="5" width="14.28515625" customWidth="1"/>
    <col min="6" max="6" width="12.85546875" customWidth="1"/>
    <col min="7" max="7" width="88.85546875" customWidth="1"/>
    <col min="8" max="8" width="13.85546875" customWidth="1"/>
    <col min="9" max="9" width="14.140625" customWidth="1"/>
    <col min="10" max="10" width="13.28515625" customWidth="1"/>
    <col min="11" max="11" width="15.140625" customWidth="1"/>
    <col min="12" max="12" width="37.140625" customWidth="1"/>
    <col min="13" max="13" width="15.5703125" customWidth="1"/>
  </cols>
  <sheetData>
    <row r="1" spans="1:28" ht="13.5">
      <c r="A1" s="53" t="s">
        <v>87</v>
      </c>
      <c r="B1" s="1" t="s">
        <v>11</v>
      </c>
      <c r="C1" s="1" t="s">
        <v>88</v>
      </c>
      <c r="D1" s="1" t="s">
        <v>89</v>
      </c>
      <c r="E1" s="1" t="s">
        <v>90</v>
      </c>
      <c r="F1" s="1" t="s">
        <v>91</v>
      </c>
      <c r="G1" s="1" t="s">
        <v>92</v>
      </c>
      <c r="H1" s="1" t="s">
        <v>93</v>
      </c>
      <c r="I1" s="1" t="s">
        <v>94</v>
      </c>
      <c r="J1" s="1" t="s">
        <v>95</v>
      </c>
      <c r="K1" s="1" t="s">
        <v>96</v>
      </c>
      <c r="L1" s="27" t="s">
        <v>97</v>
      </c>
      <c r="M1" s="28" t="s">
        <v>98</v>
      </c>
      <c r="N1" s="9"/>
      <c r="O1" s="9"/>
      <c r="P1" s="9"/>
      <c r="Q1" s="9"/>
      <c r="R1" s="9"/>
      <c r="S1" s="9"/>
      <c r="T1" s="9"/>
      <c r="U1" s="9"/>
      <c r="V1" s="9"/>
      <c r="W1" s="9"/>
      <c r="X1" s="9"/>
      <c r="Y1" s="9"/>
      <c r="Z1" s="9"/>
      <c r="AA1" s="9"/>
      <c r="AB1" s="9"/>
    </row>
    <row r="2" spans="1:28" s="15" customFormat="1" ht="42.75" customHeight="1">
      <c r="A2" s="15">
        <v>1</v>
      </c>
      <c r="B2" s="62" t="s">
        <v>254</v>
      </c>
      <c r="C2" s="54">
        <v>51426</v>
      </c>
      <c r="D2" s="55"/>
      <c r="E2" s="42" t="s">
        <v>135</v>
      </c>
      <c r="F2" s="42" t="s">
        <v>206</v>
      </c>
      <c r="G2" s="26" t="s">
        <v>255</v>
      </c>
      <c r="H2" s="18" t="s">
        <v>256</v>
      </c>
      <c r="I2" s="18" t="s">
        <v>202</v>
      </c>
      <c r="J2" s="18" t="s">
        <v>203</v>
      </c>
      <c r="K2" s="18" t="s">
        <v>162</v>
      </c>
      <c r="L2" s="18" t="s">
        <v>257</v>
      </c>
      <c r="M2" s="18" t="s">
        <v>258</v>
      </c>
    </row>
    <row r="3" spans="1:28" ht="46.5" customHeight="1">
      <c r="A3" s="15">
        <v>1</v>
      </c>
      <c r="B3" s="62" t="s">
        <v>254</v>
      </c>
      <c r="C3" s="54">
        <v>52020</v>
      </c>
      <c r="D3" s="55"/>
      <c r="E3" s="42" t="s">
        <v>151</v>
      </c>
      <c r="F3" s="42" t="s">
        <v>206</v>
      </c>
      <c r="G3" s="152" t="s">
        <v>259</v>
      </c>
      <c r="H3" s="18" t="s">
        <v>256</v>
      </c>
      <c r="I3" s="18" t="s">
        <v>202</v>
      </c>
      <c r="J3" s="18" t="s">
        <v>203</v>
      </c>
      <c r="K3" s="18" t="s">
        <v>162</v>
      </c>
      <c r="L3" s="152" t="s">
        <v>173</v>
      </c>
      <c r="M3" s="18" t="s">
        <v>258</v>
      </c>
    </row>
    <row r="6" spans="1:28">
      <c r="F6" s="14"/>
    </row>
    <row r="9" spans="1:28">
      <c r="K9" s="14"/>
    </row>
    <row r="13" spans="1:28">
      <c r="N13" s="14"/>
    </row>
  </sheetData>
  <dataValidations count="6">
    <dataValidation type="list" allowBlank="1" showErrorMessage="1" sqref="L2" xr:uid="{BB17F6AF-7517-4A1D-9DB0-A78436221D0B}">
      <formula1>$A$2:$A$9</formula1>
    </dataValidation>
    <dataValidation type="list" allowBlank="1" showErrorMessage="1" sqref="J2:J3" xr:uid="{746D47A4-FA1D-468D-84D1-BCAC41041238}">
      <formula1>"Internal,External"</formula1>
    </dataValidation>
    <dataValidation type="list" allowBlank="1" showErrorMessage="1" sqref="H2:H3" xr:uid="{724C90E4-085F-4BAD-847B-606C43B20FEC}">
      <formula1>"Minor,Significant,Major"</formula1>
    </dataValidation>
    <dataValidation type="list" allowBlank="1" showErrorMessage="1" sqref="F2:F3" xr:uid="{E42BB840-75D8-4585-846F-63AE98EADEB4}">
      <formula1>"Bounceback,Defect,None"</formula1>
    </dataValidation>
    <dataValidation type="list" allowBlank="1" showErrorMessage="1" sqref="I2:I3" xr:uid="{54C5DF51-7962-48B5-A0BB-332D19B62BAF}">
      <formula1>"Manual, Automation"</formula1>
    </dataValidation>
    <dataValidation type="list" allowBlank="1" showErrorMessage="1" sqref="K2:K3" xr:uid="{B3CCA77A-A898-4CDF-A107-5C964ED48AFA}">
      <formula1>"Open,Inprogress,Closed"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4577C-609A-4CA8-A81B-FFC017C1A743}">
  <dimension ref="A1:AE8"/>
  <sheetViews>
    <sheetView topLeftCell="O2" workbookViewId="0">
      <selection activeCell="Y2" sqref="Y2"/>
    </sheetView>
  </sheetViews>
  <sheetFormatPr defaultRowHeight="12.75"/>
  <cols>
    <col min="1" max="1" width="7.7109375" style="29" bestFit="1" customWidth="1"/>
    <col min="2" max="2" width="21.140625" style="29" customWidth="1"/>
    <col min="3" max="4" width="16.140625" style="29" customWidth="1"/>
    <col min="5" max="5" width="26.5703125" style="29" customWidth="1"/>
    <col min="6" max="6" width="15.85546875" style="29" customWidth="1"/>
    <col min="7" max="7" width="15.4257812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68"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71.25" customHeight="1">
      <c r="A2" s="38">
        <v>1</v>
      </c>
      <c r="B2" s="99" t="s">
        <v>5</v>
      </c>
      <c r="C2" s="99">
        <v>46059</v>
      </c>
      <c r="D2" s="99">
        <v>46072</v>
      </c>
      <c r="E2" s="38" t="s">
        <v>260</v>
      </c>
      <c r="F2" s="38" t="s">
        <v>135</v>
      </c>
      <c r="G2" s="38">
        <v>51426</v>
      </c>
      <c r="H2" s="38" t="s">
        <v>261</v>
      </c>
      <c r="I2" s="146" t="s">
        <v>148</v>
      </c>
      <c r="J2" s="38">
        <v>5</v>
      </c>
      <c r="K2" s="38">
        <v>7</v>
      </c>
      <c r="L2" s="37">
        <v>30</v>
      </c>
      <c r="M2" s="76">
        <v>46059</v>
      </c>
      <c r="N2" s="76">
        <v>46066</v>
      </c>
      <c r="O2" s="130" t="s">
        <v>13</v>
      </c>
      <c r="P2" s="64" t="s">
        <v>162</v>
      </c>
      <c r="Q2" s="39"/>
      <c r="R2" s="64" t="s">
        <v>166</v>
      </c>
      <c r="S2" s="149" t="s">
        <v>262</v>
      </c>
      <c r="T2" s="25" t="s">
        <v>263</v>
      </c>
      <c r="U2" s="40">
        <v>46070</v>
      </c>
      <c r="V2" s="40">
        <v>46070</v>
      </c>
      <c r="W2" s="64" t="s">
        <v>151</v>
      </c>
      <c r="X2" s="39"/>
      <c r="Y2" s="64" t="s">
        <v>164</v>
      </c>
      <c r="Z2" s="40"/>
      <c r="AA2" s="39"/>
      <c r="AB2" s="39"/>
      <c r="AC2" s="39"/>
      <c r="AD2" s="14"/>
      <c r="AE2" s="79"/>
    </row>
    <row r="3" spans="1:31" ht="51.75" customHeight="1">
      <c r="A3" s="37">
        <v>2</v>
      </c>
      <c r="B3" s="99" t="s">
        <v>5</v>
      </c>
      <c r="C3" s="99">
        <v>46059</v>
      </c>
      <c r="D3" s="99">
        <v>46072</v>
      </c>
      <c r="E3" s="38" t="s">
        <v>260</v>
      </c>
      <c r="F3" s="111" t="s">
        <v>139</v>
      </c>
      <c r="G3" s="37">
        <v>51370</v>
      </c>
      <c r="H3" s="118" t="s">
        <v>264</v>
      </c>
      <c r="I3" s="146" t="s">
        <v>148</v>
      </c>
      <c r="J3" s="37">
        <v>8</v>
      </c>
      <c r="K3" s="37">
        <v>8</v>
      </c>
      <c r="L3" s="37">
        <v>32</v>
      </c>
      <c r="M3" s="76">
        <v>46059</v>
      </c>
      <c r="N3" s="76">
        <v>46069</v>
      </c>
      <c r="O3" s="130" t="s">
        <v>13</v>
      </c>
      <c r="P3" s="64" t="s">
        <v>195</v>
      </c>
      <c r="Q3" s="64"/>
      <c r="R3" s="64" t="s">
        <v>166</v>
      </c>
      <c r="S3" s="148" t="s">
        <v>265</v>
      </c>
      <c r="T3" s="127" t="s">
        <v>266</v>
      </c>
      <c r="U3" s="66">
        <v>46069</v>
      </c>
      <c r="V3" s="66">
        <v>46069</v>
      </c>
      <c r="W3" s="64" t="s">
        <v>151</v>
      </c>
      <c r="X3" s="64"/>
      <c r="Y3" s="64"/>
      <c r="Z3" s="66"/>
      <c r="AA3" s="64"/>
      <c r="AB3" s="64"/>
      <c r="AC3" s="64"/>
      <c r="AD3" s="145" t="s">
        <v>267</v>
      </c>
      <c r="AE3" s="79"/>
    </row>
    <row r="4" spans="1:31" ht="24.75" customHeight="1">
      <c r="A4" s="37">
        <v>3</v>
      </c>
      <c r="B4" s="99" t="s">
        <v>5</v>
      </c>
      <c r="C4" s="99">
        <v>46059</v>
      </c>
      <c r="D4" s="99">
        <v>46072</v>
      </c>
      <c r="E4" s="38" t="s">
        <v>66</v>
      </c>
      <c r="F4" s="37" t="s">
        <v>141</v>
      </c>
      <c r="G4" s="37">
        <v>51247</v>
      </c>
      <c r="H4" s="118" t="s">
        <v>268</v>
      </c>
      <c r="I4" s="146" t="s">
        <v>148</v>
      </c>
      <c r="J4" s="37">
        <v>3</v>
      </c>
      <c r="K4" s="37">
        <v>3</v>
      </c>
      <c r="L4" s="37">
        <v>14</v>
      </c>
      <c r="M4" s="76">
        <v>46059</v>
      </c>
      <c r="N4" s="76">
        <v>46065</v>
      </c>
      <c r="O4" s="130" t="s">
        <v>13</v>
      </c>
      <c r="P4" s="64" t="s">
        <v>162</v>
      </c>
      <c r="Q4" s="39"/>
      <c r="R4" s="64" t="s">
        <v>166</v>
      </c>
      <c r="S4" s="64" t="s">
        <v>269</v>
      </c>
      <c r="T4" s="65" t="s">
        <v>270</v>
      </c>
      <c r="U4" s="66">
        <v>46064</v>
      </c>
      <c r="V4" s="66">
        <v>46069</v>
      </c>
      <c r="W4" s="64" t="s">
        <v>151</v>
      </c>
      <c r="X4" s="64"/>
      <c r="Y4" s="64" t="s">
        <v>271</v>
      </c>
      <c r="Z4" s="40"/>
      <c r="AA4" s="64"/>
      <c r="AB4" s="64"/>
      <c r="AC4" s="64"/>
      <c r="AD4" s="14"/>
      <c r="AE4" s="79"/>
    </row>
    <row r="5" spans="1:31" ht="33" customHeight="1">
      <c r="A5" s="37">
        <v>5</v>
      </c>
      <c r="B5" s="99" t="s">
        <v>5</v>
      </c>
      <c r="C5" s="99">
        <v>46059</v>
      </c>
      <c r="D5" s="99">
        <v>46072</v>
      </c>
      <c r="E5" s="38" t="s">
        <v>272</v>
      </c>
      <c r="F5" s="37" t="s">
        <v>141</v>
      </c>
      <c r="G5" s="37">
        <v>26763</v>
      </c>
      <c r="H5" s="118" t="s">
        <v>248</v>
      </c>
      <c r="I5" s="111" t="s">
        <v>273</v>
      </c>
      <c r="J5" s="37">
        <v>5</v>
      </c>
      <c r="K5" s="37"/>
      <c r="L5" s="37"/>
      <c r="M5" s="76"/>
      <c r="N5" s="76"/>
      <c r="O5" s="81"/>
      <c r="P5" s="64"/>
      <c r="Q5" s="64"/>
      <c r="R5" s="64"/>
      <c r="S5" s="64"/>
      <c r="T5" s="124"/>
      <c r="U5" s="123"/>
      <c r="V5" s="122"/>
      <c r="W5" s="64"/>
      <c r="X5" s="64"/>
      <c r="Y5" s="64"/>
      <c r="Z5" s="121"/>
      <c r="AA5" s="64"/>
      <c r="AB5" s="64"/>
      <c r="AC5" s="64"/>
      <c r="AD5" s="64"/>
      <c r="AE5" s="79"/>
    </row>
    <row r="6" spans="1:31" ht="19.5" customHeight="1">
      <c r="A6" s="37">
        <v>6</v>
      </c>
      <c r="B6" s="99"/>
      <c r="C6" s="99"/>
      <c r="D6" s="99"/>
      <c r="E6" s="38"/>
      <c r="F6" s="111"/>
      <c r="G6" s="37"/>
      <c r="H6" s="118"/>
      <c r="I6" s="111"/>
      <c r="J6" s="37"/>
      <c r="K6" s="131"/>
      <c r="L6" s="37"/>
      <c r="M6" s="76"/>
      <c r="N6" s="76"/>
      <c r="O6" s="125"/>
      <c r="P6" s="64"/>
      <c r="Q6" s="64"/>
      <c r="R6" s="64"/>
      <c r="S6" s="64"/>
      <c r="T6" s="65"/>
      <c r="U6" s="66"/>
      <c r="V6" s="64"/>
      <c r="W6" s="64"/>
      <c r="X6" s="64"/>
      <c r="Y6" s="64"/>
      <c r="Z6" s="40"/>
      <c r="AA6" s="64"/>
      <c r="AB6" s="64"/>
      <c r="AC6" s="64"/>
      <c r="AD6" s="64"/>
      <c r="AE6" s="79"/>
    </row>
    <row r="7" spans="1:31" ht="33.75" customHeight="1">
      <c r="A7" s="37"/>
      <c r="B7" s="99"/>
      <c r="C7" s="99"/>
      <c r="D7" s="99"/>
      <c r="E7" s="38"/>
      <c r="F7" s="37"/>
      <c r="G7" s="37"/>
      <c r="H7" s="118"/>
      <c r="I7" s="111"/>
      <c r="J7" s="37"/>
      <c r="K7" s="37"/>
      <c r="L7" s="37"/>
      <c r="M7" s="76"/>
      <c r="N7" s="76"/>
      <c r="O7" s="125"/>
      <c r="P7" s="64"/>
      <c r="Q7" s="64"/>
      <c r="R7" s="64"/>
      <c r="S7" s="64"/>
      <c r="T7" s="65"/>
      <c r="U7" s="66"/>
      <c r="V7" s="64"/>
      <c r="W7" s="64"/>
      <c r="X7" s="64"/>
      <c r="Y7" s="64"/>
      <c r="Z7" s="40"/>
      <c r="AA7" s="64"/>
      <c r="AB7" s="64"/>
      <c r="AC7" s="64"/>
      <c r="AD7" s="64"/>
      <c r="AE7" s="79"/>
    </row>
    <row r="8" spans="1:31">
      <c r="I8" s="73"/>
    </row>
  </sheetData>
  <dataValidations count="1">
    <dataValidation type="list" allowBlank="1" showInputMessage="1" showErrorMessage="1" sqref="AE2:AE7" xr:uid="{8DDECC6B-BC37-4E34-8050-3212698B379E}">
      <formula1>"Exceeds Expectation, Meets Expectation, Needs improvements"</formula1>
    </dataValidation>
  </dataValidations>
  <hyperlinks>
    <hyperlink ref="T4" r:id="rId1" xr:uid="{F8B754AF-5729-42F2-B56B-F40F5B3E2AA5}"/>
    <hyperlink ref="T3" r:id="rId2" xr:uid="{0E69A50F-EB05-4BA2-A165-DFBCC4EA0C54}"/>
    <hyperlink ref="T2" r:id="rId3" xr:uid="{9AC81D8A-46CE-4EEF-A1D0-141044A1EE91}"/>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06D58505-D70B-4C87-89A9-1939CAAD1B48}">
          <x14:formula1>
            <xm:f>Settings!$C$3:$C$20</xm:f>
          </x14:formula1>
          <xm:sqref>I2:I8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D8EF-6B2A-4B8D-94E9-5DC321638BE8}">
  <dimension ref="A1:AB13"/>
  <sheetViews>
    <sheetView workbookViewId="0">
      <selection activeCell="L2" sqref="L2"/>
    </sheetView>
  </sheetViews>
  <sheetFormatPr defaultRowHeight="12.75"/>
  <cols>
    <col min="1" max="1" width="8.42578125" customWidth="1"/>
    <col min="2" max="2" width="23.7109375" customWidth="1"/>
    <col min="3" max="3" width="13.7109375" customWidth="1"/>
    <col min="4" max="4" width="13.85546875" customWidth="1"/>
    <col min="5" max="5" width="14.28515625" customWidth="1"/>
    <col min="6" max="6" width="12.85546875" customWidth="1"/>
    <col min="7" max="7" width="88.85546875" customWidth="1"/>
    <col min="8" max="8" width="13.85546875" customWidth="1"/>
    <col min="9" max="9" width="14.140625" customWidth="1"/>
    <col min="10" max="10" width="13.28515625" customWidth="1"/>
    <col min="11" max="11" width="15.140625" customWidth="1"/>
    <col min="12" max="12" width="37.140625" customWidth="1"/>
    <col min="13" max="13" width="15.5703125" customWidth="1"/>
  </cols>
  <sheetData>
    <row r="1" spans="1:28" ht="13.5">
      <c r="A1" s="53" t="s">
        <v>87</v>
      </c>
      <c r="B1" s="1" t="s">
        <v>11</v>
      </c>
      <c r="C1" s="1" t="s">
        <v>88</v>
      </c>
      <c r="D1" s="1" t="s">
        <v>89</v>
      </c>
      <c r="E1" s="1" t="s">
        <v>90</v>
      </c>
      <c r="F1" s="1" t="s">
        <v>91</v>
      </c>
      <c r="G1" s="1" t="s">
        <v>92</v>
      </c>
      <c r="H1" s="1" t="s">
        <v>93</v>
      </c>
      <c r="I1" s="1" t="s">
        <v>94</v>
      </c>
      <c r="J1" s="1" t="s">
        <v>95</v>
      </c>
      <c r="K1" s="1" t="s">
        <v>96</v>
      </c>
      <c r="L1" s="27" t="s">
        <v>97</v>
      </c>
      <c r="M1" s="28" t="s">
        <v>98</v>
      </c>
      <c r="N1" s="9"/>
      <c r="O1" s="9"/>
      <c r="P1" s="9"/>
      <c r="Q1" s="9"/>
      <c r="R1" s="9"/>
      <c r="S1" s="9"/>
      <c r="T1" s="9"/>
      <c r="U1" s="9"/>
      <c r="V1" s="9"/>
      <c r="W1" s="9"/>
      <c r="X1" s="9"/>
      <c r="Y1" s="9"/>
      <c r="Z1" s="9"/>
      <c r="AA1" s="9"/>
      <c r="AB1" s="9"/>
    </row>
    <row r="2" spans="1:28" s="15" customFormat="1" ht="42.75" customHeight="1">
      <c r="A2" s="15">
        <v>1</v>
      </c>
      <c r="B2" s="62" t="s">
        <v>274</v>
      </c>
      <c r="C2" s="54">
        <v>51426</v>
      </c>
      <c r="D2" s="55"/>
      <c r="E2" s="42" t="s">
        <v>135</v>
      </c>
      <c r="F2" s="42" t="s">
        <v>206</v>
      </c>
      <c r="G2" s="26" t="s">
        <v>255</v>
      </c>
      <c r="H2" s="18" t="s">
        <v>256</v>
      </c>
      <c r="I2" s="18" t="s">
        <v>202</v>
      </c>
      <c r="J2" s="18" t="s">
        <v>203</v>
      </c>
      <c r="K2" s="18" t="s">
        <v>162</v>
      </c>
      <c r="L2" s="18" t="s">
        <v>257</v>
      </c>
      <c r="M2" s="18" t="s">
        <v>258</v>
      </c>
    </row>
    <row r="6" spans="1:28">
      <c r="F6" s="14"/>
    </row>
    <row r="9" spans="1:28">
      <c r="K9" s="14"/>
    </row>
    <row r="13" spans="1:28">
      <c r="N13" s="14"/>
    </row>
  </sheetData>
  <dataValidations count="6">
    <dataValidation type="list" allowBlank="1" showErrorMessage="1" sqref="K2" xr:uid="{6C30E00B-7454-4432-910F-5CE60B685D67}">
      <formula1>"Open,Inprogress,Closed"</formula1>
    </dataValidation>
    <dataValidation type="list" allowBlank="1" showErrorMessage="1" sqref="I2" xr:uid="{F183A173-CB55-4E36-9744-281451C3F449}">
      <formula1>"Manual, Automation"</formula1>
    </dataValidation>
    <dataValidation type="list" allowBlank="1" showErrorMessage="1" sqref="F2" xr:uid="{5A015C98-605D-4BAC-A56C-71203DC08032}">
      <formula1>"Bounceback,Defect,None"</formula1>
    </dataValidation>
    <dataValidation type="list" allowBlank="1" showErrorMessage="1" sqref="H2" xr:uid="{8807A42A-E48C-44BF-AB8B-654903B4B45B}">
      <formula1>"Minor,Significant,Major"</formula1>
    </dataValidation>
    <dataValidation type="list" allowBlank="1" showErrorMessage="1" sqref="J2" xr:uid="{16ED963E-EE05-4DCA-A5DF-220F5D004582}">
      <formula1>"Internal,External"</formula1>
    </dataValidation>
    <dataValidation type="list" allowBlank="1" showErrorMessage="1" sqref="L2" xr:uid="{76F91986-A10B-45DE-B91C-A897113C1402}">
      <formula1>$A$2:$A$9</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CAD0B-5509-4AA5-8319-9768B0B09578}">
  <dimension ref="A1:AE8"/>
  <sheetViews>
    <sheetView workbookViewId="0">
      <selection activeCell="O2" sqref="O2:R2"/>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4.25" customHeight="1">
      <c r="A2" s="38">
        <v>1</v>
      </c>
      <c r="B2" s="99" t="s">
        <v>5</v>
      </c>
      <c r="C2" s="99">
        <v>46003</v>
      </c>
      <c r="D2" s="99">
        <v>46030</v>
      </c>
      <c r="E2" s="38" t="s">
        <v>58</v>
      </c>
      <c r="F2" s="37" t="s">
        <v>141</v>
      </c>
      <c r="G2" s="37">
        <v>50842</v>
      </c>
      <c r="H2" s="118" t="s">
        <v>275</v>
      </c>
      <c r="I2" s="111" t="s">
        <v>148</v>
      </c>
      <c r="J2" s="38">
        <v>8</v>
      </c>
      <c r="K2" s="38">
        <v>6</v>
      </c>
      <c r="L2" s="38">
        <v>24</v>
      </c>
      <c r="M2" s="76">
        <v>46003</v>
      </c>
      <c r="N2" s="76">
        <v>46008</v>
      </c>
      <c r="O2" s="130" t="s">
        <v>13</v>
      </c>
      <c r="P2" s="64" t="s">
        <v>162</v>
      </c>
      <c r="Q2" s="39"/>
      <c r="R2" s="64" t="s">
        <v>166</v>
      </c>
      <c r="S2" s="39"/>
      <c r="T2" s="25" t="s">
        <v>276</v>
      </c>
      <c r="U2" s="66">
        <v>46008</v>
      </c>
      <c r="V2" s="66">
        <v>46008</v>
      </c>
      <c r="W2" s="39" t="s">
        <v>151</v>
      </c>
      <c r="X2" s="39"/>
      <c r="Y2" s="64" t="s">
        <v>277</v>
      </c>
      <c r="Z2" s="66">
        <v>46001</v>
      </c>
      <c r="AA2" s="39"/>
      <c r="AB2" s="39"/>
      <c r="AC2" s="39"/>
      <c r="AD2" s="96"/>
      <c r="AE2" s="79"/>
    </row>
    <row r="3" spans="1:31" ht="34.5" customHeight="1">
      <c r="A3" s="38">
        <v>2</v>
      </c>
      <c r="B3" s="99" t="s">
        <v>5</v>
      </c>
      <c r="C3" s="99">
        <v>46003</v>
      </c>
      <c r="D3" s="99">
        <v>46030</v>
      </c>
      <c r="E3" s="38" t="s">
        <v>58</v>
      </c>
      <c r="F3" s="38" t="s">
        <v>135</v>
      </c>
      <c r="G3" s="37">
        <v>50982</v>
      </c>
      <c r="H3" s="118" t="s">
        <v>278</v>
      </c>
      <c r="I3" s="111" t="s">
        <v>148</v>
      </c>
      <c r="J3" s="38">
        <v>8</v>
      </c>
      <c r="K3" s="38">
        <v>10</v>
      </c>
      <c r="L3" s="38">
        <v>42</v>
      </c>
      <c r="M3" s="76">
        <v>46003</v>
      </c>
      <c r="N3" s="76">
        <v>46017</v>
      </c>
      <c r="O3" s="130" t="s">
        <v>13</v>
      </c>
      <c r="P3" s="64" t="s">
        <v>162</v>
      </c>
      <c r="Q3" s="39"/>
      <c r="R3" s="64" t="s">
        <v>166</v>
      </c>
      <c r="S3" s="39"/>
      <c r="T3" s="25" t="s">
        <v>279</v>
      </c>
      <c r="U3" s="40">
        <v>46027</v>
      </c>
      <c r="V3" s="40">
        <v>46027</v>
      </c>
      <c r="W3" s="39" t="s">
        <v>151</v>
      </c>
      <c r="X3" s="39"/>
      <c r="Y3" s="64" t="s">
        <v>277</v>
      </c>
      <c r="Z3" s="40">
        <v>46027</v>
      </c>
      <c r="AA3" s="39"/>
      <c r="AB3" s="39"/>
      <c r="AC3" s="39"/>
      <c r="AD3" s="39"/>
      <c r="AE3" s="60"/>
    </row>
    <row r="4" spans="1:31" ht="118.5">
      <c r="A4" s="37">
        <v>3</v>
      </c>
      <c r="B4" s="99" t="s">
        <v>5</v>
      </c>
      <c r="C4" s="99">
        <v>46003</v>
      </c>
      <c r="D4" s="99">
        <v>46030</v>
      </c>
      <c r="E4" s="38" t="s">
        <v>280</v>
      </c>
      <c r="F4" s="37" t="s">
        <v>141</v>
      </c>
      <c r="G4" s="37">
        <v>49080</v>
      </c>
      <c r="H4" s="118" t="s">
        <v>281</v>
      </c>
      <c r="I4" s="111" t="s">
        <v>137</v>
      </c>
      <c r="J4" s="37">
        <v>13</v>
      </c>
      <c r="K4" s="37"/>
      <c r="L4" s="37"/>
      <c r="M4" s="76">
        <v>46009</v>
      </c>
      <c r="N4" s="38"/>
      <c r="O4" s="64"/>
      <c r="P4" s="64"/>
      <c r="Q4" s="64"/>
      <c r="R4" s="64"/>
      <c r="S4" s="64"/>
      <c r="T4" s="65"/>
      <c r="U4" s="66"/>
      <c r="V4" s="64"/>
      <c r="W4" s="64"/>
      <c r="X4" s="64"/>
      <c r="Y4" s="64"/>
      <c r="Z4" s="40"/>
      <c r="AA4" s="64"/>
      <c r="AB4" s="64"/>
      <c r="AC4" s="64"/>
      <c r="AD4" s="64" t="s">
        <v>282</v>
      </c>
      <c r="AE4" s="79"/>
    </row>
    <row r="5" spans="1:31" ht="51" customHeight="1">
      <c r="A5" s="37">
        <v>4</v>
      </c>
      <c r="B5" s="99" t="s">
        <v>5</v>
      </c>
      <c r="C5" s="99">
        <v>46003</v>
      </c>
      <c r="D5" s="99">
        <v>46030</v>
      </c>
      <c r="E5" s="38" t="s">
        <v>283</v>
      </c>
      <c r="F5" s="111" t="s">
        <v>139</v>
      </c>
      <c r="G5" s="37">
        <v>50976</v>
      </c>
      <c r="H5" s="118" t="s">
        <v>284</v>
      </c>
      <c r="I5" s="111" t="s">
        <v>137</v>
      </c>
      <c r="J5" s="37">
        <v>13</v>
      </c>
      <c r="K5" s="37"/>
      <c r="L5" s="37"/>
      <c r="M5" s="76">
        <v>46006</v>
      </c>
      <c r="N5" s="76">
        <v>46010</v>
      </c>
      <c r="O5" s="81"/>
      <c r="P5" s="64"/>
      <c r="Q5" s="64"/>
      <c r="R5" s="64"/>
      <c r="S5" s="64"/>
      <c r="T5" s="124"/>
      <c r="U5" s="123"/>
      <c r="V5" s="122"/>
      <c r="W5" s="64"/>
      <c r="X5" s="64"/>
      <c r="Y5" s="64"/>
      <c r="Z5" s="121"/>
      <c r="AA5" s="64"/>
      <c r="AB5" s="64"/>
      <c r="AC5" s="64"/>
      <c r="AD5" s="64" t="s">
        <v>285</v>
      </c>
      <c r="AE5" s="79"/>
    </row>
    <row r="6" spans="1:31" ht="14.25">
      <c r="A6" s="37"/>
      <c r="B6" s="99"/>
      <c r="C6" s="99"/>
      <c r="D6" s="99"/>
      <c r="E6" s="38"/>
      <c r="F6" s="37"/>
      <c r="G6" s="37"/>
      <c r="H6" s="118"/>
      <c r="I6" s="111"/>
      <c r="J6" s="37"/>
      <c r="K6" s="131"/>
      <c r="L6" s="37"/>
      <c r="M6" s="76"/>
      <c r="N6" s="76"/>
      <c r="O6" s="125"/>
      <c r="P6" s="64"/>
      <c r="Q6" s="64"/>
      <c r="R6" s="64"/>
      <c r="S6" s="64"/>
      <c r="T6" s="65"/>
      <c r="U6" s="66"/>
      <c r="V6" s="64"/>
      <c r="W6" s="64"/>
      <c r="X6" s="64"/>
      <c r="Y6" s="64"/>
      <c r="Z6" s="40"/>
      <c r="AA6" s="64"/>
      <c r="AB6" s="64"/>
      <c r="AC6" s="64"/>
      <c r="AD6" s="64"/>
      <c r="AE6" s="79"/>
    </row>
    <row r="7" spans="1:31" ht="14.25">
      <c r="A7" s="37"/>
      <c r="B7" s="99"/>
      <c r="C7" s="99"/>
      <c r="D7" s="99"/>
      <c r="E7" s="38"/>
      <c r="F7" s="37"/>
      <c r="G7" s="37"/>
      <c r="H7" s="118"/>
      <c r="I7" s="111"/>
      <c r="J7" s="37"/>
      <c r="K7" s="37"/>
      <c r="L7" s="37"/>
      <c r="M7" s="76"/>
      <c r="N7" s="76"/>
      <c r="O7" s="125"/>
      <c r="P7" s="64"/>
      <c r="Q7" s="64"/>
      <c r="R7" s="64"/>
      <c r="S7" s="64"/>
      <c r="T7" s="65"/>
      <c r="U7" s="66"/>
      <c r="V7" s="64"/>
      <c r="W7" s="64"/>
      <c r="X7" s="64"/>
      <c r="Y7" s="64"/>
      <c r="Z7" s="40"/>
      <c r="AA7" s="64"/>
      <c r="AB7" s="64"/>
      <c r="AC7" s="64"/>
      <c r="AD7" s="64"/>
      <c r="AE7" s="79"/>
    </row>
    <row r="8" spans="1:31">
      <c r="I8" s="73"/>
    </row>
  </sheetData>
  <dataValidations count="1">
    <dataValidation type="list" allowBlank="1" showInputMessage="1" showErrorMessage="1" sqref="AE2:AE7" xr:uid="{E689A77F-5368-4127-B3AD-413349B7A3AB}">
      <formula1>"Exceeds Expectation, Meets Expectation, Needs improvements"</formula1>
    </dataValidation>
  </dataValidations>
  <hyperlinks>
    <hyperlink ref="T2" r:id="rId1" xr:uid="{77FC9601-1D67-4073-AEC3-45F8F886E856}"/>
    <hyperlink ref="T3" r:id="rId2" xr:uid="{519166F5-0EC0-47D7-9752-77CAED9F0CA9}"/>
  </hyperlinks>
  <pageMargins left="0.7" right="0.7" top="0.75" bottom="0.75" header="0.3" footer="0.3"/>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72CF6474-3869-42C0-9699-368855949617}">
          <x14:formula1>
            <xm:f>Settings!$C$3:$C$20</xm:f>
          </x14:formula1>
          <xm:sqref>I2:I8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D64A-673A-4822-BC7E-625A4CDF96C6}">
  <dimension ref="A1:AE9"/>
  <sheetViews>
    <sheetView topLeftCell="A3" workbookViewId="0">
      <selection activeCell="B4" sqref="B4"/>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68"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8">
      <c r="A2" s="38">
        <v>1</v>
      </c>
      <c r="B2" s="99" t="s">
        <v>5</v>
      </c>
      <c r="C2" s="99">
        <v>46045</v>
      </c>
      <c r="D2" s="99">
        <v>46058</v>
      </c>
      <c r="E2" s="38" t="s">
        <v>286</v>
      </c>
      <c r="F2" s="38" t="s">
        <v>135</v>
      </c>
      <c r="G2" s="38">
        <v>51168</v>
      </c>
      <c r="H2" s="38" t="s">
        <v>287</v>
      </c>
      <c r="I2" s="111" t="s">
        <v>288</v>
      </c>
      <c r="J2" s="38">
        <v>8</v>
      </c>
      <c r="K2" s="38"/>
      <c r="L2" s="38"/>
      <c r="M2" s="76">
        <v>46045</v>
      </c>
      <c r="N2" s="76">
        <v>46050</v>
      </c>
      <c r="O2" s="130"/>
      <c r="P2" s="64"/>
      <c r="Q2" s="39"/>
      <c r="R2" s="64"/>
      <c r="S2" s="39"/>
      <c r="T2" s="25"/>
      <c r="U2" s="40"/>
      <c r="V2" s="40"/>
      <c r="W2" s="39"/>
      <c r="X2" s="39"/>
      <c r="Y2" s="64"/>
      <c r="Z2" s="40"/>
      <c r="AA2" s="39"/>
      <c r="AB2" s="39"/>
      <c r="AC2" s="39"/>
      <c r="AD2" s="14" t="s">
        <v>289</v>
      </c>
      <c r="AE2" s="79"/>
    </row>
    <row r="3" spans="1:31" ht="34.5" customHeight="1">
      <c r="A3" s="38">
        <v>2</v>
      </c>
      <c r="B3" s="99" t="s">
        <v>5</v>
      </c>
      <c r="C3" s="99">
        <v>46045</v>
      </c>
      <c r="D3" s="99">
        <v>46058</v>
      </c>
      <c r="E3" s="38" t="s">
        <v>290</v>
      </c>
      <c r="F3" s="38" t="s">
        <v>135</v>
      </c>
      <c r="G3" s="38">
        <v>51426</v>
      </c>
      <c r="H3" s="38" t="s">
        <v>261</v>
      </c>
      <c r="I3" s="111" t="s">
        <v>137</v>
      </c>
      <c r="J3" s="38">
        <v>8</v>
      </c>
      <c r="K3" s="38"/>
      <c r="L3" s="38"/>
      <c r="M3" s="76">
        <v>46051</v>
      </c>
      <c r="N3" s="76"/>
      <c r="O3" s="130"/>
      <c r="P3" s="64" t="s">
        <v>162</v>
      </c>
      <c r="Q3" s="39"/>
      <c r="R3" s="64"/>
      <c r="S3" s="39"/>
      <c r="T3" s="25"/>
      <c r="U3" s="40"/>
      <c r="V3" s="40"/>
      <c r="W3" s="39"/>
      <c r="X3" s="39"/>
      <c r="Y3" s="64"/>
      <c r="Z3" s="40"/>
      <c r="AA3" s="39"/>
      <c r="AB3" s="39"/>
      <c r="AC3" s="39"/>
      <c r="AD3" s="39"/>
      <c r="AE3" s="60"/>
    </row>
    <row r="4" spans="1:31" ht="70.5" customHeight="1">
      <c r="A4" s="37">
        <v>3</v>
      </c>
      <c r="B4" s="99" t="s">
        <v>5</v>
      </c>
      <c r="C4" s="99">
        <v>46045</v>
      </c>
      <c r="D4" s="99">
        <v>46058</v>
      </c>
      <c r="E4" s="38" t="s">
        <v>286</v>
      </c>
      <c r="F4" s="111" t="s">
        <v>139</v>
      </c>
      <c r="G4" s="37">
        <v>50976</v>
      </c>
      <c r="H4" s="38" t="s">
        <v>284</v>
      </c>
      <c r="I4" s="137" t="s">
        <v>148</v>
      </c>
      <c r="J4" s="37">
        <v>8</v>
      </c>
      <c r="K4" s="37">
        <v>8</v>
      </c>
      <c r="L4" s="37">
        <v>32</v>
      </c>
      <c r="M4" s="76">
        <v>46045</v>
      </c>
      <c r="N4" s="76">
        <v>46052</v>
      </c>
      <c r="O4" s="81"/>
      <c r="P4" s="64" t="s">
        <v>162</v>
      </c>
      <c r="Q4" s="64"/>
      <c r="R4" s="64"/>
      <c r="S4" s="64" t="s">
        <v>291</v>
      </c>
      <c r="T4" s="127" t="s">
        <v>292</v>
      </c>
      <c r="U4" s="66">
        <v>46052</v>
      </c>
      <c r="V4" s="66">
        <v>46055</v>
      </c>
      <c r="W4" s="64"/>
      <c r="X4" s="64"/>
      <c r="Y4" s="64" t="s">
        <v>293</v>
      </c>
      <c r="Z4" s="66">
        <v>46055</v>
      </c>
      <c r="AA4" s="64"/>
      <c r="AB4" s="64"/>
      <c r="AC4" s="64"/>
      <c r="AD4" s="64"/>
      <c r="AE4" s="79" t="s">
        <v>153</v>
      </c>
    </row>
    <row r="5" spans="1:31" ht="24">
      <c r="A5" s="37">
        <v>4</v>
      </c>
      <c r="B5" s="99" t="s">
        <v>5</v>
      </c>
      <c r="C5" s="99">
        <v>46045</v>
      </c>
      <c r="D5" s="99">
        <v>46058</v>
      </c>
      <c r="E5" s="38" t="s">
        <v>290</v>
      </c>
      <c r="F5" s="37" t="s">
        <v>141</v>
      </c>
      <c r="G5" s="37">
        <v>49083</v>
      </c>
      <c r="H5" s="118" t="s">
        <v>294</v>
      </c>
      <c r="I5" s="111" t="s">
        <v>288</v>
      </c>
      <c r="J5" s="37">
        <v>13</v>
      </c>
      <c r="K5" s="37"/>
      <c r="L5" s="37">
        <v>6</v>
      </c>
      <c r="M5" s="76">
        <v>46045</v>
      </c>
      <c r="N5" s="76">
        <v>46050</v>
      </c>
      <c r="O5" s="64"/>
      <c r="P5" s="64"/>
      <c r="Q5" s="64"/>
      <c r="R5" s="64"/>
      <c r="S5" s="64"/>
      <c r="T5" s="65"/>
      <c r="U5" s="66"/>
      <c r="V5" s="64"/>
      <c r="W5" s="64"/>
      <c r="X5" s="64"/>
      <c r="Y5" s="64"/>
      <c r="Z5" s="40"/>
      <c r="AA5" s="64"/>
      <c r="AB5" s="64"/>
      <c r="AC5" s="64"/>
      <c r="AD5" s="14" t="s">
        <v>295</v>
      </c>
      <c r="AE5" s="79"/>
    </row>
    <row r="6" spans="1:31" ht="51" customHeight="1">
      <c r="A6" s="37">
        <v>5</v>
      </c>
      <c r="B6" s="99" t="s">
        <v>5</v>
      </c>
      <c r="C6" s="99">
        <v>46045</v>
      </c>
      <c r="D6" s="99">
        <v>46058</v>
      </c>
      <c r="E6" s="38" t="s">
        <v>290</v>
      </c>
      <c r="F6" s="37" t="s">
        <v>141</v>
      </c>
      <c r="G6" s="37">
        <v>51247</v>
      </c>
      <c r="H6" s="118" t="s">
        <v>268</v>
      </c>
      <c r="I6" s="111" t="s">
        <v>137</v>
      </c>
      <c r="J6" s="37">
        <v>8</v>
      </c>
      <c r="K6" s="37"/>
      <c r="L6" s="37"/>
      <c r="M6" s="76">
        <v>46050</v>
      </c>
      <c r="N6" s="76"/>
      <c r="O6" s="81"/>
      <c r="P6" s="64" t="s">
        <v>162</v>
      </c>
      <c r="Q6" s="64"/>
      <c r="R6" s="64"/>
      <c r="S6" s="64"/>
      <c r="T6" s="124"/>
      <c r="U6" s="123"/>
      <c r="V6" s="122"/>
      <c r="W6" s="64"/>
      <c r="X6" s="64"/>
      <c r="Y6" s="64"/>
      <c r="Z6" s="121"/>
      <c r="AA6" s="64"/>
      <c r="AB6" s="64"/>
      <c r="AC6" s="64"/>
      <c r="AD6" s="64"/>
      <c r="AE6" s="79"/>
    </row>
    <row r="7" spans="1:31" ht="33.75">
      <c r="A7" s="37">
        <v>6</v>
      </c>
      <c r="B7" s="99" t="s">
        <v>5</v>
      </c>
      <c r="C7" s="99">
        <v>46045</v>
      </c>
      <c r="D7" s="99">
        <v>46058</v>
      </c>
      <c r="E7" s="38" t="s">
        <v>290</v>
      </c>
      <c r="F7" s="111" t="s">
        <v>139</v>
      </c>
      <c r="G7" s="37">
        <v>51370</v>
      </c>
      <c r="H7" s="118" t="s">
        <v>264</v>
      </c>
      <c r="I7" s="111" t="s">
        <v>137</v>
      </c>
      <c r="J7" s="37">
        <v>8</v>
      </c>
      <c r="K7" s="131"/>
      <c r="L7" s="37"/>
      <c r="M7" s="76">
        <v>46057</v>
      </c>
      <c r="N7" s="76"/>
      <c r="O7" s="125"/>
      <c r="P7" s="64"/>
      <c r="Q7" s="64"/>
      <c r="R7" s="64"/>
      <c r="S7" s="64"/>
      <c r="T7" s="65"/>
      <c r="U7" s="66"/>
      <c r="V7" s="64"/>
      <c r="W7" s="64"/>
      <c r="X7" s="64"/>
      <c r="Y7" s="64"/>
      <c r="Z7" s="40"/>
      <c r="AA7" s="64"/>
      <c r="AB7" s="64"/>
      <c r="AC7" s="64"/>
      <c r="AD7" s="64"/>
      <c r="AE7" s="79"/>
    </row>
    <row r="8" spans="1:31" ht="14.25">
      <c r="A8" s="37"/>
      <c r="B8" s="99"/>
      <c r="C8" s="99"/>
      <c r="D8" s="99"/>
      <c r="E8" s="38"/>
      <c r="F8" s="37"/>
      <c r="G8" s="37"/>
      <c r="H8" s="118"/>
      <c r="I8" s="111"/>
      <c r="J8" s="37"/>
      <c r="K8" s="37"/>
      <c r="L8" s="37"/>
      <c r="M8" s="76"/>
      <c r="N8" s="76"/>
      <c r="O8" s="125"/>
      <c r="P8" s="64"/>
      <c r="Q8" s="64"/>
      <c r="R8" s="64"/>
      <c r="S8" s="64"/>
      <c r="T8" s="65"/>
      <c r="U8" s="66"/>
      <c r="V8" s="64"/>
      <c r="W8" s="64"/>
      <c r="X8" s="64"/>
      <c r="Y8" s="64"/>
      <c r="Z8" s="40"/>
      <c r="AA8" s="64"/>
      <c r="AB8" s="64"/>
      <c r="AC8" s="64"/>
      <c r="AD8" s="64"/>
      <c r="AE8" s="79"/>
    </row>
    <row r="9" spans="1:31">
      <c r="I9" s="73"/>
    </row>
  </sheetData>
  <dataValidations count="1">
    <dataValidation type="list" allowBlank="1" showInputMessage="1" showErrorMessage="1" sqref="AE2:AE8" xr:uid="{FA2FE660-9154-47F9-B9C0-00E945EB5850}">
      <formula1>"Exceeds Expectation, Meets Expectation, Needs improvements"</formula1>
    </dataValidation>
  </dataValidations>
  <hyperlinks>
    <hyperlink ref="T4" r:id="rId1" xr:uid="{78FE439A-86B8-4448-B87A-94215A65321A}"/>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BE006E6-D5AA-4FD1-A278-A7695DE7D746}">
          <x14:formula1>
            <xm:f>Settings!$C$3:$C$20</xm:f>
          </x14:formula1>
          <xm:sqref>I2:I9</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34940-EBB9-4C89-BB63-D2BF8AE3E5E4}">
  <dimension ref="A1:AE9"/>
  <sheetViews>
    <sheetView workbookViewId="0">
      <selection activeCell="E5" sqref="E5"/>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8">
      <c r="A2" s="38">
        <v>1</v>
      </c>
      <c r="B2" s="99" t="s">
        <v>5</v>
      </c>
      <c r="C2" s="99">
        <v>46031</v>
      </c>
      <c r="D2" s="99">
        <v>46044</v>
      </c>
      <c r="E2" s="38" t="s">
        <v>61</v>
      </c>
      <c r="F2" s="37" t="s">
        <v>141</v>
      </c>
      <c r="G2" s="37">
        <v>49080</v>
      </c>
      <c r="H2" s="135" t="s">
        <v>281</v>
      </c>
      <c r="I2" s="136" t="s">
        <v>148</v>
      </c>
      <c r="J2" s="38">
        <v>8</v>
      </c>
      <c r="K2" s="38">
        <v>6</v>
      </c>
      <c r="L2" s="38">
        <v>26</v>
      </c>
      <c r="M2" s="76">
        <v>46031</v>
      </c>
      <c r="N2" s="76">
        <v>46035</v>
      </c>
      <c r="O2" s="130" t="s">
        <v>13</v>
      </c>
      <c r="P2" s="64" t="s">
        <v>162</v>
      </c>
      <c r="Q2" s="39"/>
      <c r="R2" s="64" t="s">
        <v>166</v>
      </c>
      <c r="S2" s="39" t="s">
        <v>296</v>
      </c>
      <c r="T2" s="25" t="s">
        <v>297</v>
      </c>
      <c r="U2" s="66">
        <v>46043</v>
      </c>
      <c r="V2" s="66">
        <v>46043</v>
      </c>
      <c r="W2" s="39" t="s">
        <v>166</v>
      </c>
      <c r="X2" s="39"/>
      <c r="Y2" s="134" t="s">
        <v>293</v>
      </c>
      <c r="Z2" s="66">
        <v>46043</v>
      </c>
      <c r="AA2" s="39"/>
      <c r="AB2" s="39"/>
      <c r="AC2" s="39"/>
      <c r="AD2" s="96" t="s">
        <v>298</v>
      </c>
      <c r="AE2" s="79"/>
    </row>
    <row r="3" spans="1:31" ht="34.5" customHeight="1">
      <c r="A3" s="38">
        <v>2</v>
      </c>
      <c r="B3" s="99" t="s">
        <v>5</v>
      </c>
      <c r="C3" s="99">
        <v>46031</v>
      </c>
      <c r="D3" s="99">
        <v>46044</v>
      </c>
      <c r="E3" s="38" t="s">
        <v>299</v>
      </c>
      <c r="F3" s="38" t="s">
        <v>135</v>
      </c>
      <c r="G3" s="38">
        <v>51168</v>
      </c>
      <c r="H3" s="38" t="s">
        <v>287</v>
      </c>
      <c r="I3" s="111" t="s">
        <v>137</v>
      </c>
      <c r="J3" s="38">
        <v>13</v>
      </c>
      <c r="K3" s="38">
        <v>12</v>
      </c>
      <c r="L3" s="38">
        <v>48</v>
      </c>
      <c r="M3" s="76">
        <v>46031</v>
      </c>
      <c r="N3" s="76"/>
      <c r="O3" s="130"/>
      <c r="P3" s="64"/>
      <c r="Q3" s="39"/>
      <c r="R3" s="64"/>
      <c r="S3" s="39"/>
      <c r="T3" s="25"/>
      <c r="U3" s="40"/>
      <c r="V3" s="40"/>
      <c r="W3" s="39"/>
      <c r="X3" s="39"/>
      <c r="Y3" s="64"/>
      <c r="Z3" s="40"/>
      <c r="AA3" s="39"/>
      <c r="AB3" s="39"/>
      <c r="AC3" s="39"/>
      <c r="AD3" s="39"/>
      <c r="AE3" s="60"/>
    </row>
    <row r="4" spans="1:31" ht="70.5" customHeight="1">
      <c r="A4" s="37">
        <v>3</v>
      </c>
      <c r="B4" s="99" t="s">
        <v>5</v>
      </c>
      <c r="C4" s="99">
        <v>46031</v>
      </c>
      <c r="D4" s="99">
        <v>46044</v>
      </c>
      <c r="E4" s="38" t="s">
        <v>299</v>
      </c>
      <c r="F4" s="111" t="s">
        <v>139</v>
      </c>
      <c r="G4" s="37">
        <v>50976</v>
      </c>
      <c r="H4" s="118" t="s">
        <v>284</v>
      </c>
      <c r="I4" s="38" t="s">
        <v>137</v>
      </c>
      <c r="J4" s="37">
        <v>13</v>
      </c>
      <c r="K4" s="37"/>
      <c r="L4" s="37"/>
      <c r="M4" s="76">
        <v>46031</v>
      </c>
      <c r="N4" s="76"/>
      <c r="O4" s="81"/>
      <c r="P4" s="64"/>
      <c r="Q4" s="64"/>
      <c r="R4" s="64"/>
      <c r="S4" s="64"/>
      <c r="T4" s="127"/>
      <c r="U4" s="66"/>
      <c r="V4" s="66"/>
      <c r="W4" s="64"/>
      <c r="X4" s="64"/>
      <c r="Y4" s="64"/>
      <c r="Z4" s="66"/>
      <c r="AA4" s="64"/>
      <c r="AB4" s="64"/>
      <c r="AC4" s="64"/>
      <c r="AD4" s="64"/>
      <c r="AE4" s="79"/>
    </row>
    <row r="5" spans="1:31" ht="24">
      <c r="A5" s="37">
        <v>4</v>
      </c>
      <c r="B5" s="99" t="s">
        <v>5</v>
      </c>
      <c r="C5" s="99">
        <v>46031</v>
      </c>
      <c r="D5" s="99">
        <v>46044</v>
      </c>
      <c r="E5" s="38" t="s">
        <v>299</v>
      </c>
      <c r="F5" s="37" t="s">
        <v>141</v>
      </c>
      <c r="G5" s="37">
        <v>49083</v>
      </c>
      <c r="H5" s="118" t="s">
        <v>294</v>
      </c>
      <c r="I5" s="111" t="s">
        <v>137</v>
      </c>
      <c r="J5" s="37">
        <v>13</v>
      </c>
      <c r="K5" s="37"/>
      <c r="L5" s="37"/>
      <c r="M5" s="76">
        <v>46038</v>
      </c>
      <c r="N5" s="38"/>
      <c r="O5" s="64"/>
      <c r="P5" s="64"/>
      <c r="Q5" s="64"/>
      <c r="R5" s="64"/>
      <c r="S5" s="64"/>
      <c r="T5" s="65"/>
      <c r="U5" s="66"/>
      <c r="V5" s="64"/>
      <c r="W5" s="64"/>
      <c r="X5" s="64"/>
      <c r="Y5" s="64"/>
      <c r="Z5" s="40"/>
      <c r="AA5" s="64"/>
      <c r="AB5" s="64"/>
      <c r="AC5" s="64"/>
      <c r="AD5" s="64"/>
      <c r="AE5" s="79"/>
    </row>
    <row r="6" spans="1:31" ht="51" customHeight="1">
      <c r="A6" s="37"/>
      <c r="B6" s="99"/>
      <c r="C6" s="99"/>
      <c r="D6" s="99"/>
      <c r="E6" s="38"/>
      <c r="F6" s="111"/>
      <c r="G6" s="37"/>
      <c r="H6" s="118"/>
      <c r="I6" s="111"/>
      <c r="J6" s="37"/>
      <c r="K6" s="37"/>
      <c r="L6" s="37"/>
      <c r="M6" s="76"/>
      <c r="N6" s="76"/>
      <c r="O6" s="81"/>
      <c r="P6" s="64"/>
      <c r="Q6" s="64"/>
      <c r="R6" s="64"/>
      <c r="S6" s="64"/>
      <c r="T6" s="124"/>
      <c r="U6" s="123"/>
      <c r="V6" s="122"/>
      <c r="W6" s="64"/>
      <c r="X6" s="64"/>
      <c r="Y6" s="64"/>
      <c r="Z6" s="121"/>
      <c r="AA6" s="64"/>
      <c r="AB6" s="64"/>
      <c r="AC6" s="64"/>
      <c r="AD6" s="64"/>
      <c r="AE6" s="79"/>
    </row>
    <row r="7" spans="1:31" ht="14.25">
      <c r="A7" s="37"/>
      <c r="B7" s="99"/>
      <c r="C7" s="99"/>
      <c r="D7" s="99"/>
      <c r="E7" s="38"/>
      <c r="F7" s="37"/>
      <c r="G7" s="37"/>
      <c r="H7" s="118"/>
      <c r="I7" s="111"/>
      <c r="J7" s="37"/>
      <c r="K7" s="131"/>
      <c r="L7" s="37"/>
      <c r="M7" s="76"/>
      <c r="N7" s="76"/>
      <c r="O7" s="125"/>
      <c r="P7" s="64"/>
      <c r="Q7" s="64"/>
      <c r="R7" s="64"/>
      <c r="S7" s="64"/>
      <c r="T7" s="65"/>
      <c r="U7" s="66"/>
      <c r="V7" s="64"/>
      <c r="W7" s="64"/>
      <c r="X7" s="64"/>
      <c r="Y7" s="64"/>
      <c r="Z7" s="40"/>
      <c r="AA7" s="64"/>
      <c r="AB7" s="64"/>
      <c r="AC7" s="64"/>
      <c r="AD7" s="64"/>
      <c r="AE7" s="79"/>
    </row>
    <row r="8" spans="1:31" ht="14.25">
      <c r="A8" s="37"/>
      <c r="B8" s="99"/>
      <c r="C8" s="99"/>
      <c r="D8" s="99"/>
      <c r="E8" s="38"/>
      <c r="F8" s="37"/>
      <c r="G8" s="37"/>
      <c r="H8" s="118"/>
      <c r="I8" s="111"/>
      <c r="J8" s="37"/>
      <c r="K8" s="37"/>
      <c r="L8" s="37"/>
      <c r="M8" s="76"/>
      <c r="N8" s="76"/>
      <c r="O8" s="125"/>
      <c r="P8" s="64"/>
      <c r="Q8" s="64"/>
      <c r="R8" s="64"/>
      <c r="S8" s="64"/>
      <c r="T8" s="65"/>
      <c r="U8" s="66"/>
      <c r="V8" s="64"/>
      <c r="W8" s="64"/>
      <c r="X8" s="64"/>
      <c r="Y8" s="64"/>
      <c r="Z8" s="40"/>
      <c r="AA8" s="64"/>
      <c r="AB8" s="64"/>
      <c r="AC8" s="64"/>
      <c r="AD8" s="64"/>
      <c r="AE8" s="79"/>
    </row>
    <row r="9" spans="1:31">
      <c r="I9" s="73"/>
    </row>
  </sheetData>
  <dataValidations count="1">
    <dataValidation type="list" allowBlank="1" showInputMessage="1" showErrorMessage="1" sqref="AE2:AE8" xr:uid="{5F2DD0F4-9576-4C79-8413-0AAF002E1B1D}">
      <formula1>"Exceeds Expectation, Meets Expectation, Needs improvements"</formula1>
    </dataValidation>
  </dataValidations>
  <hyperlinks>
    <hyperlink ref="T2" r:id="rId1" xr:uid="{D2534D12-05B9-4DC6-809A-CDB470427BD3}"/>
  </hyperlinks>
  <pageMargins left="0.7" right="0.7" top="0.75" bottom="0.75" header="0.3" footer="0.3"/>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8B4CEFE-7000-4D8B-B2BF-FD754FAF80A2}">
          <x14:formula1>
            <xm:f>Settings!$C$3:$C$20</xm:f>
          </x14:formula1>
          <xm:sqref>I2:I9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4B47-355F-4897-BB52-8869A1FA9ACE}">
  <sheetPr>
    <outlinePr summaryBelow="0" summaryRight="0"/>
  </sheetPr>
  <dimension ref="A1:AC968"/>
  <sheetViews>
    <sheetView topLeftCell="B2" workbookViewId="0">
      <selection activeCell="N2" sqref="N2"/>
    </sheetView>
  </sheetViews>
  <sheetFormatPr defaultColWidth="12.5703125" defaultRowHeight="15" customHeight="1"/>
  <cols>
    <col min="1" max="1" width="12.5703125" style="20" hidden="1" customWidth="1"/>
    <col min="2" max="2" width="24.28515625" style="20" customWidth="1"/>
    <col min="3" max="3" width="17.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s="105" customFormat="1" ht="46.5" customHeight="1">
      <c r="B2" s="61" t="s">
        <v>58</v>
      </c>
      <c r="C2" s="23"/>
      <c r="D2" s="108">
        <v>50982</v>
      </c>
      <c r="E2" s="107" t="s">
        <v>302</v>
      </c>
      <c r="F2" s="61" t="s">
        <v>303</v>
      </c>
      <c r="G2" s="126" t="s">
        <v>304</v>
      </c>
      <c r="H2" s="61" t="s">
        <v>256</v>
      </c>
      <c r="I2" s="71"/>
      <c r="J2" s="71"/>
      <c r="K2" s="61" t="s">
        <v>305</v>
      </c>
      <c r="L2" s="61" t="s">
        <v>306</v>
      </c>
      <c r="M2" s="70"/>
      <c r="N2" s="133" t="s">
        <v>307</v>
      </c>
    </row>
    <row r="3" spans="1:29" ht="26.25" customHeight="1">
      <c r="B3" s="61" t="s">
        <v>58</v>
      </c>
      <c r="C3" s="23"/>
      <c r="D3" s="108">
        <v>50982</v>
      </c>
      <c r="E3" s="107" t="s">
        <v>302</v>
      </c>
      <c r="F3" s="61" t="s">
        <v>303</v>
      </c>
      <c r="G3" s="126" t="s">
        <v>308</v>
      </c>
      <c r="H3" s="61" t="s">
        <v>256</v>
      </c>
      <c r="I3" s="71"/>
      <c r="J3" s="71"/>
      <c r="K3" s="61" t="s">
        <v>195</v>
      </c>
      <c r="L3" s="61" t="s">
        <v>306</v>
      </c>
      <c r="M3" s="70"/>
      <c r="N3" s="132" t="s">
        <v>309</v>
      </c>
    </row>
    <row r="4" spans="1:29" ht="66.75" customHeight="1">
      <c r="B4" s="21"/>
      <c r="C4" s="23"/>
      <c r="D4" s="23"/>
      <c r="E4" s="61"/>
      <c r="F4" s="21"/>
      <c r="G4" s="18"/>
      <c r="H4" s="61"/>
      <c r="I4" s="61"/>
      <c r="J4" s="61"/>
      <c r="K4" s="61"/>
      <c r="L4" s="61"/>
      <c r="M4" s="72"/>
      <c r="N4" s="89"/>
    </row>
    <row r="5" spans="1:29" ht="15.75" customHeight="1">
      <c r="B5" s="18"/>
      <c r="C5" s="23"/>
      <c r="D5" s="23"/>
      <c r="E5" s="23"/>
      <c r="F5" s="18"/>
      <c r="G5" s="18"/>
      <c r="H5" s="23"/>
      <c r="I5" s="23"/>
      <c r="J5" s="23"/>
      <c r="K5" s="23"/>
      <c r="L5" s="23"/>
      <c r="M5" s="71"/>
      <c r="N5" s="23"/>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c r="B15" s="18"/>
      <c r="C15" s="23"/>
      <c r="D15" s="23"/>
      <c r="E15" s="23"/>
      <c r="F15" s="18"/>
      <c r="G15" s="18"/>
      <c r="H15" s="23"/>
      <c r="I15" s="23"/>
      <c r="J15" s="23"/>
      <c r="K15" s="23"/>
      <c r="L15" s="23"/>
      <c r="M15" s="71"/>
      <c r="N15" s="23"/>
    </row>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autoFilter ref="A1:N1" xr:uid="{3A2BB050-11AC-4ED7-A296-96B42C7FCFBA}"/>
  <pageMargins left="0" right="0" top="0" bottom="0" header="0" footer="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2EF6E-33A7-4DD7-8A4B-F765F7B79D8C}">
  <dimension ref="A1:AE9"/>
  <sheetViews>
    <sheetView topLeftCell="I4" workbookViewId="0">
      <selection activeCell="E8" sqref="E8"/>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61.42578125" style="31" customWidth="1"/>
    <col min="9" max="9" width="21.42578125" style="29" customWidth="1"/>
    <col min="10" max="10" width="10.42578125" style="29" customWidth="1"/>
    <col min="11" max="11" width="12.7109375"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4.25" customHeight="1">
      <c r="A2" s="38">
        <v>1</v>
      </c>
      <c r="B2" s="99" t="s">
        <v>5</v>
      </c>
      <c r="C2" s="99">
        <v>45975</v>
      </c>
      <c r="D2" s="99">
        <v>46002</v>
      </c>
      <c r="E2" s="38" t="s">
        <v>56</v>
      </c>
      <c r="F2" s="37" t="s">
        <v>141</v>
      </c>
      <c r="G2" s="98">
        <v>50764</v>
      </c>
      <c r="H2" s="118" t="s">
        <v>310</v>
      </c>
      <c r="I2" s="129" t="s">
        <v>148</v>
      </c>
      <c r="J2" s="38">
        <v>5</v>
      </c>
      <c r="K2" s="38">
        <v>12</v>
      </c>
      <c r="L2" s="38">
        <v>48</v>
      </c>
      <c r="M2" s="76">
        <v>45975</v>
      </c>
      <c r="N2" s="76">
        <v>45985</v>
      </c>
      <c r="O2" s="81" t="s">
        <v>13</v>
      </c>
      <c r="P2" s="64" t="s">
        <v>162</v>
      </c>
      <c r="Q2" s="39"/>
      <c r="R2" s="64" t="s">
        <v>166</v>
      </c>
      <c r="S2" s="39"/>
      <c r="T2" s="25" t="s">
        <v>311</v>
      </c>
      <c r="U2" s="66">
        <v>45985</v>
      </c>
      <c r="V2" s="66">
        <v>46001</v>
      </c>
      <c r="W2" s="39" t="s">
        <v>151</v>
      </c>
      <c r="X2" s="39"/>
      <c r="Y2" s="64" t="s">
        <v>277</v>
      </c>
      <c r="Z2" s="66">
        <v>46001</v>
      </c>
      <c r="AA2" s="39"/>
      <c r="AB2" s="39"/>
      <c r="AC2" s="39"/>
      <c r="AD2" s="96"/>
      <c r="AE2" s="79" t="s">
        <v>312</v>
      </c>
    </row>
    <row r="3" spans="1:31" ht="34.5" customHeight="1">
      <c r="A3" s="38">
        <v>2</v>
      </c>
      <c r="B3" s="99" t="s">
        <v>5</v>
      </c>
      <c r="C3" s="99">
        <v>45975</v>
      </c>
      <c r="D3" s="99">
        <v>46002</v>
      </c>
      <c r="E3" s="38" t="s">
        <v>56</v>
      </c>
      <c r="F3" s="38" t="s">
        <v>135</v>
      </c>
      <c r="G3" s="98">
        <v>50488</v>
      </c>
      <c r="H3" s="100" t="s">
        <v>313</v>
      </c>
      <c r="I3" s="129" t="s">
        <v>148</v>
      </c>
      <c r="J3" s="38">
        <v>8</v>
      </c>
      <c r="K3" s="38">
        <v>11</v>
      </c>
      <c r="L3" s="38">
        <v>42</v>
      </c>
      <c r="M3" s="76">
        <v>45975</v>
      </c>
      <c r="N3" s="76">
        <v>45985</v>
      </c>
      <c r="O3" s="81" t="s">
        <v>13</v>
      </c>
      <c r="P3" s="64" t="s">
        <v>162</v>
      </c>
      <c r="Q3" s="39"/>
      <c r="R3" s="64" t="s">
        <v>166</v>
      </c>
      <c r="S3" s="39"/>
      <c r="T3" s="25" t="s">
        <v>314</v>
      </c>
      <c r="U3" s="40">
        <v>45988</v>
      </c>
      <c r="V3" s="40">
        <v>45992</v>
      </c>
      <c r="W3" s="39" t="s">
        <v>151</v>
      </c>
      <c r="X3" s="39"/>
      <c r="Y3" s="64" t="s">
        <v>277</v>
      </c>
      <c r="Z3" s="40">
        <v>45993</v>
      </c>
      <c r="AA3" s="39"/>
      <c r="AB3" s="39"/>
      <c r="AC3" s="39"/>
      <c r="AD3" s="39"/>
      <c r="AE3" s="60" t="s">
        <v>312</v>
      </c>
    </row>
    <row r="4" spans="1:31" ht="70.5" customHeight="1">
      <c r="A4" s="37">
        <v>3</v>
      </c>
      <c r="B4" s="99" t="s">
        <v>5</v>
      </c>
      <c r="C4" s="99">
        <v>45975</v>
      </c>
      <c r="D4" s="99">
        <v>46002</v>
      </c>
      <c r="E4" s="38" t="s">
        <v>56</v>
      </c>
      <c r="F4" s="111" t="s">
        <v>139</v>
      </c>
      <c r="G4" s="37">
        <v>50840</v>
      </c>
      <c r="H4" s="128" t="s">
        <v>315</v>
      </c>
      <c r="I4" s="129" t="s">
        <v>148</v>
      </c>
      <c r="J4" s="37">
        <v>13</v>
      </c>
      <c r="K4" s="37">
        <v>13</v>
      </c>
      <c r="L4" s="37">
        <v>52</v>
      </c>
      <c r="M4" s="76">
        <v>45975</v>
      </c>
      <c r="N4" s="76">
        <v>46000</v>
      </c>
      <c r="O4" s="81" t="s">
        <v>13</v>
      </c>
      <c r="P4" s="64" t="s">
        <v>195</v>
      </c>
      <c r="Q4" s="64"/>
      <c r="R4" s="64" t="s">
        <v>166</v>
      </c>
      <c r="S4" s="64"/>
      <c r="T4" s="127" t="s">
        <v>316</v>
      </c>
      <c r="U4" s="66">
        <v>46001</v>
      </c>
      <c r="V4" s="66">
        <v>46001</v>
      </c>
      <c r="W4" s="64" t="s">
        <v>151</v>
      </c>
      <c r="X4" s="64"/>
      <c r="Y4" s="64" t="s">
        <v>277</v>
      </c>
      <c r="Z4" s="66">
        <v>46001</v>
      </c>
      <c r="AA4" s="64"/>
      <c r="AB4" s="64"/>
      <c r="AC4" s="64"/>
      <c r="AD4" s="64" t="s">
        <v>317</v>
      </c>
      <c r="AE4" s="79" t="s">
        <v>312</v>
      </c>
    </row>
    <row r="5" spans="1:31" ht="33.75">
      <c r="A5" s="37">
        <v>4</v>
      </c>
      <c r="B5" s="99" t="s">
        <v>5</v>
      </c>
      <c r="C5" s="99">
        <v>45975</v>
      </c>
      <c r="D5" s="99">
        <v>46002</v>
      </c>
      <c r="E5" s="38" t="s">
        <v>318</v>
      </c>
      <c r="F5" s="37" t="s">
        <v>141</v>
      </c>
      <c r="G5" s="37">
        <v>50978</v>
      </c>
      <c r="H5" s="118" t="s">
        <v>319</v>
      </c>
      <c r="I5" s="111" t="s">
        <v>137</v>
      </c>
      <c r="J5" s="37">
        <v>5</v>
      </c>
      <c r="K5" s="37">
        <v>6</v>
      </c>
      <c r="L5" s="37">
        <v>24</v>
      </c>
      <c r="M5" s="76">
        <v>45986</v>
      </c>
      <c r="N5" s="38"/>
      <c r="O5" s="64" t="s">
        <v>320</v>
      </c>
      <c r="P5" s="64"/>
      <c r="Q5" s="64"/>
      <c r="R5" s="64"/>
      <c r="S5" s="64"/>
      <c r="T5" s="65" t="s">
        <v>320</v>
      </c>
      <c r="U5" s="66"/>
      <c r="V5" s="64"/>
      <c r="W5" s="64"/>
      <c r="X5" s="64"/>
      <c r="Y5" s="64"/>
      <c r="Z5" s="40"/>
      <c r="AA5" s="64"/>
      <c r="AB5" s="64"/>
      <c r="AC5" s="64"/>
      <c r="AD5" s="64" t="s">
        <v>321</v>
      </c>
      <c r="AE5" s="79"/>
    </row>
    <row r="6" spans="1:31" ht="33.75">
      <c r="A6" s="37">
        <v>5</v>
      </c>
      <c r="B6" s="99" t="s">
        <v>5</v>
      </c>
      <c r="C6" s="99">
        <v>45975</v>
      </c>
      <c r="D6" s="99">
        <v>46002</v>
      </c>
      <c r="E6" s="38" t="s">
        <v>318</v>
      </c>
      <c r="F6" s="38" t="s">
        <v>135</v>
      </c>
      <c r="G6" s="37">
        <v>50982</v>
      </c>
      <c r="H6" s="118" t="s">
        <v>278</v>
      </c>
      <c r="I6" s="111" t="s">
        <v>137</v>
      </c>
      <c r="J6" s="37">
        <v>8</v>
      </c>
      <c r="K6" s="37"/>
      <c r="L6" s="37"/>
      <c r="M6" s="76">
        <v>45989</v>
      </c>
      <c r="N6" s="76"/>
      <c r="O6" s="81"/>
      <c r="P6" s="64"/>
      <c r="Q6" s="64"/>
      <c r="R6" s="64"/>
      <c r="S6" s="64"/>
      <c r="T6" s="124"/>
      <c r="U6" s="123"/>
      <c r="V6" s="122"/>
      <c r="W6" s="64"/>
      <c r="X6" s="64"/>
      <c r="Y6" s="64"/>
      <c r="Z6" s="121"/>
      <c r="AA6" s="64"/>
      <c r="AB6" s="64"/>
      <c r="AC6" s="64"/>
      <c r="AD6" s="64"/>
      <c r="AE6" s="79"/>
    </row>
    <row r="7" spans="1:31" ht="33.75">
      <c r="A7" s="37">
        <v>6</v>
      </c>
      <c r="B7" s="99" t="s">
        <v>5</v>
      </c>
      <c r="C7" s="99">
        <v>45975</v>
      </c>
      <c r="D7" s="99">
        <v>46002</v>
      </c>
      <c r="E7" s="38" t="s">
        <v>318</v>
      </c>
      <c r="F7" s="37" t="s">
        <v>141</v>
      </c>
      <c r="G7" s="37">
        <v>51092</v>
      </c>
      <c r="H7" s="118" t="s">
        <v>322</v>
      </c>
      <c r="I7" s="111" t="s">
        <v>323</v>
      </c>
      <c r="J7" s="37">
        <v>13</v>
      </c>
      <c r="K7" s="37">
        <v>3</v>
      </c>
      <c r="L7" s="37">
        <v>12</v>
      </c>
      <c r="M7" s="76">
        <v>45994</v>
      </c>
      <c r="N7" s="76">
        <v>45995</v>
      </c>
      <c r="O7" s="125" t="s">
        <v>320</v>
      </c>
      <c r="P7" s="64"/>
      <c r="Q7" s="64"/>
      <c r="R7" s="64"/>
      <c r="S7" s="64"/>
      <c r="T7" s="65"/>
      <c r="U7" s="66"/>
      <c r="V7" s="64"/>
      <c r="W7" s="64"/>
      <c r="X7" s="64"/>
      <c r="Y7" s="64"/>
      <c r="Z7" s="40"/>
      <c r="AA7" s="64"/>
      <c r="AB7" s="64"/>
      <c r="AC7" s="64"/>
      <c r="AD7" s="64" t="s">
        <v>324</v>
      </c>
      <c r="AE7" s="79"/>
    </row>
    <row r="8" spans="1:31" ht="33.75">
      <c r="A8" s="37">
        <v>7</v>
      </c>
      <c r="B8" s="99" t="s">
        <v>5</v>
      </c>
      <c r="C8" s="99">
        <v>45975</v>
      </c>
      <c r="D8" s="99">
        <v>46002</v>
      </c>
      <c r="E8" s="38" t="s">
        <v>318</v>
      </c>
      <c r="F8" s="37" t="s">
        <v>141</v>
      </c>
      <c r="G8" s="37">
        <v>50842</v>
      </c>
      <c r="H8" s="118" t="s">
        <v>275</v>
      </c>
      <c r="I8" s="111" t="s">
        <v>137</v>
      </c>
      <c r="J8" s="37">
        <v>5</v>
      </c>
      <c r="K8" s="37">
        <v>4</v>
      </c>
      <c r="L8" s="37">
        <v>18</v>
      </c>
      <c r="M8" s="76">
        <v>45996</v>
      </c>
      <c r="N8" s="76"/>
      <c r="O8" s="125"/>
      <c r="P8" s="64"/>
      <c r="Q8" s="64"/>
      <c r="R8" s="64"/>
      <c r="S8" s="64"/>
      <c r="T8" s="65"/>
      <c r="U8" s="66"/>
      <c r="V8" s="64"/>
      <c r="W8" s="64"/>
      <c r="X8" s="64"/>
      <c r="Y8" s="64"/>
      <c r="Z8" s="40"/>
      <c r="AA8" s="64"/>
      <c r="AB8" s="64"/>
      <c r="AC8" s="64"/>
      <c r="AD8" s="64"/>
      <c r="AE8" s="79"/>
    </row>
    <row r="9" spans="1:31">
      <c r="I9" s="73"/>
    </row>
  </sheetData>
  <dataValidations count="1">
    <dataValidation type="list" allowBlank="1" showInputMessage="1" showErrorMessage="1" sqref="AE2:AE8" xr:uid="{7D15D44F-2420-4CCA-A9D5-C4F174A8974B}">
      <formula1>"Exceeds Expectation, Meets Expectation, Needs improvements"</formula1>
    </dataValidation>
  </dataValidations>
  <hyperlinks>
    <hyperlink ref="T2" r:id="rId1" xr:uid="{D930856C-7CF5-4F83-8B27-262FE5B1EB7E}"/>
    <hyperlink ref="T3" r:id="rId2" xr:uid="{2A492020-7A7B-439C-9566-2A65098BD2E4}"/>
    <hyperlink ref="T4" r:id="rId3" xr:uid="{49983572-A5A9-45E4-8E42-868D0E785049}"/>
  </hyperlinks>
  <pageMargins left="0.7" right="0.7" top="0.75" bottom="0.75" header="0.3" footer="0.3"/>
  <legacyDrawing r:id="rId4"/>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7A8AA61B-0461-45BB-BBC6-7C668379607D}">
          <x14:formula1>
            <xm:f>Settings!$C$3:$C$20</xm:f>
          </x14:formula1>
          <xm:sqref>I2:I9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E42E-9D57-4681-82ED-10BBBE983525}">
  <sheetPr>
    <outlinePr summaryBelow="0" summaryRight="0"/>
  </sheetPr>
  <dimension ref="A1:AC968"/>
  <sheetViews>
    <sheetView topLeftCell="B1" workbookViewId="0">
      <selection activeCell="B2" sqref="B2"/>
    </sheetView>
  </sheetViews>
  <sheetFormatPr defaultColWidth="12.5703125" defaultRowHeight="15" customHeight="1"/>
  <cols>
    <col min="1" max="1" width="12.5703125" style="20" hidden="1" customWidth="1"/>
    <col min="2" max="2" width="24.28515625" style="20" customWidth="1"/>
    <col min="3" max="3" width="17.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s="105" customFormat="1" ht="72" customHeight="1">
      <c r="B2" s="61" t="s">
        <v>56</v>
      </c>
      <c r="C2" s="106"/>
      <c r="D2" s="108">
        <v>50764</v>
      </c>
      <c r="E2" s="107" t="s">
        <v>141</v>
      </c>
      <c r="F2" s="61" t="s">
        <v>303</v>
      </c>
      <c r="G2" s="126" t="s">
        <v>325</v>
      </c>
      <c r="H2" s="61" t="s">
        <v>256</v>
      </c>
      <c r="I2" s="71"/>
      <c r="J2" s="71"/>
      <c r="K2" s="61" t="s">
        <v>162</v>
      </c>
      <c r="L2" s="61" t="s">
        <v>306</v>
      </c>
      <c r="M2" s="70"/>
      <c r="N2" s="69" t="s">
        <v>326</v>
      </c>
    </row>
    <row r="3" spans="1:29" ht="75" customHeight="1">
      <c r="B3" s="61" t="s">
        <v>56</v>
      </c>
      <c r="C3" s="23"/>
      <c r="D3" s="29">
        <v>50840</v>
      </c>
      <c r="E3" s="111" t="s">
        <v>139</v>
      </c>
      <c r="F3" s="61" t="s">
        <v>303</v>
      </c>
      <c r="G3" s="126" t="s">
        <v>327</v>
      </c>
      <c r="H3" s="61" t="s">
        <v>256</v>
      </c>
      <c r="I3" s="71"/>
      <c r="J3" s="71"/>
      <c r="K3" s="61" t="s">
        <v>195</v>
      </c>
      <c r="L3" s="61" t="s">
        <v>306</v>
      </c>
      <c r="M3" s="71"/>
      <c r="N3" s="69" t="s">
        <v>328</v>
      </c>
    </row>
    <row r="4" spans="1:29" ht="66.75" customHeight="1">
      <c r="B4" s="21"/>
      <c r="C4" s="23"/>
      <c r="D4" s="23"/>
      <c r="E4" s="61"/>
      <c r="F4" s="21"/>
      <c r="G4" s="18"/>
      <c r="H4" s="61"/>
      <c r="I4" s="61"/>
      <c r="J4" s="61"/>
      <c r="K4" s="61"/>
      <c r="L4" s="61"/>
      <c r="M4" s="72"/>
      <c r="N4" s="26"/>
    </row>
    <row r="5" spans="1:29" ht="15.75" customHeight="1">
      <c r="B5" s="18"/>
      <c r="C5" s="23"/>
      <c r="D5" s="23"/>
      <c r="E5" s="23"/>
      <c r="F5" s="18"/>
      <c r="G5" s="18"/>
      <c r="H5" s="23"/>
      <c r="I5" s="23"/>
      <c r="J5" s="23"/>
      <c r="K5" s="23"/>
      <c r="L5" s="23"/>
      <c r="M5" s="71"/>
      <c r="N5" s="23"/>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c r="B15" s="18"/>
      <c r="C15" s="23"/>
      <c r="D15" s="23"/>
      <c r="E15" s="23"/>
      <c r="F15" s="18"/>
      <c r="G15" s="18"/>
      <c r="H15" s="23"/>
      <c r="I15" s="23"/>
      <c r="J15" s="23"/>
      <c r="K15" s="23"/>
      <c r="L15" s="23"/>
      <c r="M15" s="71"/>
      <c r="N15" s="23"/>
    </row>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autoFilter ref="A1:N1" xr:uid="{3A2BB050-11AC-4ED7-A296-96B42C7FCFBA}"/>
  <pageMargins left="0" right="0" top="0" bottom="0" header="0" footer="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20A7-969B-4172-8D03-188FB1D55016}">
  <dimension ref="A1:AE8"/>
  <sheetViews>
    <sheetView workbookViewId="0">
      <selection activeCell="E5" sqref="E5"/>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61.42578125" style="31" customWidth="1"/>
    <col min="9" max="9" width="21.42578125" style="29" customWidth="1"/>
    <col min="10" max="10" width="10.42578125" style="29" customWidth="1"/>
    <col min="11" max="11" width="9"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4.25" customHeight="1">
      <c r="A2" s="38">
        <v>1</v>
      </c>
      <c r="B2" s="99" t="s">
        <v>5</v>
      </c>
      <c r="C2" s="99">
        <v>45961</v>
      </c>
      <c r="D2" s="99">
        <v>45974</v>
      </c>
      <c r="E2" s="38" t="s">
        <v>54</v>
      </c>
      <c r="F2" s="37" t="s">
        <v>141</v>
      </c>
      <c r="G2" s="98">
        <v>50135</v>
      </c>
      <c r="H2" s="118" t="s">
        <v>329</v>
      </c>
      <c r="I2" s="120" t="s">
        <v>148</v>
      </c>
      <c r="J2" s="38">
        <v>8</v>
      </c>
      <c r="K2" s="38">
        <v>7</v>
      </c>
      <c r="L2" s="38">
        <v>30</v>
      </c>
      <c r="M2" s="76">
        <v>45961</v>
      </c>
      <c r="N2" s="76">
        <v>45971</v>
      </c>
      <c r="O2" s="81" t="s">
        <v>13</v>
      </c>
      <c r="P2" s="64" t="s">
        <v>162</v>
      </c>
      <c r="Q2" s="39"/>
      <c r="R2" s="64" t="s">
        <v>166</v>
      </c>
      <c r="S2" s="39" t="s">
        <v>330</v>
      </c>
      <c r="T2" s="43" t="s">
        <v>331</v>
      </c>
      <c r="U2" s="66">
        <v>45971</v>
      </c>
      <c r="V2" s="66">
        <v>45971</v>
      </c>
      <c r="W2" s="39" t="s">
        <v>151</v>
      </c>
      <c r="X2" s="39"/>
      <c r="Y2" s="39" t="s">
        <v>277</v>
      </c>
      <c r="Z2" s="66">
        <v>45971</v>
      </c>
      <c r="AA2" s="39"/>
      <c r="AB2" s="39"/>
      <c r="AC2" s="39"/>
      <c r="AD2" s="96"/>
      <c r="AE2" s="79" t="s">
        <v>153</v>
      </c>
    </row>
    <row r="3" spans="1:31" ht="34.5" customHeight="1">
      <c r="A3" s="38">
        <v>2</v>
      </c>
      <c r="B3" s="99" t="s">
        <v>5</v>
      </c>
      <c r="C3" s="99">
        <v>45961</v>
      </c>
      <c r="D3" s="99">
        <v>45974</v>
      </c>
      <c r="E3" s="38" t="s">
        <v>332</v>
      </c>
      <c r="F3" s="38" t="s">
        <v>135</v>
      </c>
      <c r="G3" s="98">
        <v>50448</v>
      </c>
      <c r="H3" s="118" t="s">
        <v>313</v>
      </c>
      <c r="I3" s="111" t="s">
        <v>137</v>
      </c>
      <c r="J3" s="38">
        <v>13</v>
      </c>
      <c r="K3" s="38">
        <v>14</v>
      </c>
      <c r="L3" s="38">
        <v>54</v>
      </c>
      <c r="M3" s="76">
        <v>45961</v>
      </c>
      <c r="N3" s="38"/>
      <c r="O3" s="39" t="s">
        <v>320</v>
      </c>
      <c r="P3" s="39" t="s">
        <v>320</v>
      </c>
      <c r="Q3" s="39"/>
      <c r="R3" s="39"/>
      <c r="S3" s="39"/>
      <c r="T3" s="43"/>
      <c r="U3" s="40"/>
      <c r="V3" s="39"/>
      <c r="W3" s="39"/>
      <c r="X3" s="39"/>
      <c r="Y3" s="39"/>
      <c r="Z3" s="40"/>
      <c r="AA3" s="39"/>
      <c r="AB3" s="39"/>
      <c r="AC3" s="39"/>
      <c r="AD3" s="39"/>
      <c r="AE3" s="60"/>
    </row>
    <row r="4" spans="1:31" ht="38.25" customHeight="1">
      <c r="A4" s="37">
        <v>3</v>
      </c>
      <c r="B4" s="99" t="s">
        <v>5</v>
      </c>
      <c r="C4" s="99">
        <v>45961</v>
      </c>
      <c r="D4" s="99">
        <v>45974</v>
      </c>
      <c r="E4" s="38" t="s">
        <v>54</v>
      </c>
      <c r="F4" s="111" t="s">
        <v>139</v>
      </c>
      <c r="G4" s="37">
        <v>50146</v>
      </c>
      <c r="H4" s="118" t="s">
        <v>333</v>
      </c>
      <c r="I4" s="120" t="s">
        <v>148</v>
      </c>
      <c r="J4" s="37">
        <v>4</v>
      </c>
      <c r="K4" s="37">
        <v>6</v>
      </c>
      <c r="L4" s="37">
        <v>24</v>
      </c>
      <c r="M4" s="76">
        <v>45961</v>
      </c>
      <c r="N4" s="76">
        <v>45968</v>
      </c>
      <c r="O4" s="81" t="s">
        <v>13</v>
      </c>
      <c r="P4" s="64" t="s">
        <v>162</v>
      </c>
      <c r="Q4" s="64"/>
      <c r="R4" s="64" t="s">
        <v>166</v>
      </c>
      <c r="S4" s="64"/>
      <c r="T4" s="119" t="s">
        <v>334</v>
      </c>
      <c r="U4" s="66">
        <v>45969</v>
      </c>
      <c r="V4" s="66">
        <v>45969</v>
      </c>
      <c r="W4" s="39" t="s">
        <v>151</v>
      </c>
      <c r="X4" s="64"/>
      <c r="Y4" s="64" t="s">
        <v>277</v>
      </c>
      <c r="Z4" s="66">
        <v>45969</v>
      </c>
      <c r="AA4" s="64"/>
      <c r="AB4" s="64"/>
      <c r="AC4" s="64"/>
      <c r="AD4" s="64"/>
      <c r="AE4" s="79" t="s">
        <v>153</v>
      </c>
    </row>
    <row r="5" spans="1:31" ht="33.75">
      <c r="A5" s="37">
        <v>4</v>
      </c>
      <c r="B5" s="99" t="s">
        <v>5</v>
      </c>
      <c r="C5" s="99">
        <v>45961</v>
      </c>
      <c r="D5" s="99">
        <v>45974</v>
      </c>
      <c r="E5" s="38" t="s">
        <v>332</v>
      </c>
      <c r="F5" s="111" t="s">
        <v>141</v>
      </c>
      <c r="G5" s="37">
        <v>50764</v>
      </c>
      <c r="H5" s="118" t="s">
        <v>310</v>
      </c>
      <c r="I5" s="111" t="s">
        <v>137</v>
      </c>
      <c r="J5" s="37">
        <v>8</v>
      </c>
      <c r="K5" s="37"/>
      <c r="L5" s="37"/>
      <c r="M5" s="76">
        <v>45972</v>
      </c>
      <c r="N5" s="38"/>
      <c r="O5" s="39" t="s">
        <v>320</v>
      </c>
      <c r="P5" s="39" t="s">
        <v>320</v>
      </c>
      <c r="Q5" s="64"/>
      <c r="R5" s="64"/>
      <c r="S5" s="64"/>
      <c r="T5" s="65"/>
      <c r="U5" s="66"/>
      <c r="V5" s="64"/>
      <c r="W5" s="64"/>
      <c r="X5" s="64"/>
      <c r="Y5" s="64"/>
      <c r="Z5" s="40"/>
      <c r="AA5" s="64"/>
      <c r="AB5" s="64"/>
      <c r="AC5" s="64"/>
      <c r="AD5" s="64"/>
      <c r="AE5" s="79"/>
    </row>
    <row r="6" spans="1:31" ht="46.5">
      <c r="A6" s="37">
        <v>5</v>
      </c>
      <c r="B6" s="99" t="s">
        <v>5</v>
      </c>
      <c r="C6" s="99">
        <v>45961</v>
      </c>
      <c r="D6" s="99">
        <v>45974</v>
      </c>
      <c r="E6" s="38" t="s">
        <v>332</v>
      </c>
      <c r="F6" s="111" t="s">
        <v>139</v>
      </c>
      <c r="G6" s="37">
        <v>50660</v>
      </c>
      <c r="H6" s="118" t="s">
        <v>335</v>
      </c>
      <c r="I6" s="120" t="s">
        <v>148</v>
      </c>
      <c r="J6" s="37">
        <v>3</v>
      </c>
      <c r="K6" s="37">
        <v>4</v>
      </c>
      <c r="L6" s="37">
        <v>18</v>
      </c>
      <c r="M6" s="76">
        <v>45968</v>
      </c>
      <c r="N6" s="76">
        <v>45973</v>
      </c>
      <c r="O6" s="81" t="s">
        <v>13</v>
      </c>
      <c r="P6" s="64" t="s">
        <v>162</v>
      </c>
      <c r="Q6" s="64"/>
      <c r="R6" s="39" t="s">
        <v>320</v>
      </c>
      <c r="S6" s="64"/>
      <c r="T6" s="124" t="s">
        <v>320</v>
      </c>
      <c r="U6" s="123" t="s">
        <v>320</v>
      </c>
      <c r="V6" s="122" t="s">
        <v>320</v>
      </c>
      <c r="W6" s="64"/>
      <c r="X6" s="64"/>
      <c r="Y6" s="64"/>
      <c r="Z6" s="121" t="s">
        <v>320</v>
      </c>
      <c r="AA6" s="64"/>
      <c r="AB6" s="64"/>
      <c r="AC6" s="64"/>
      <c r="AD6" s="64" t="s">
        <v>336</v>
      </c>
      <c r="AE6" s="79" t="s">
        <v>153</v>
      </c>
    </row>
    <row r="7" spans="1:31" ht="33.75">
      <c r="A7" s="37">
        <v>6</v>
      </c>
      <c r="B7" s="99" t="s">
        <v>5</v>
      </c>
      <c r="C7" s="99">
        <v>45961</v>
      </c>
      <c r="D7" s="99">
        <v>45974</v>
      </c>
      <c r="E7" s="38" t="s">
        <v>332</v>
      </c>
      <c r="F7" s="111" t="s">
        <v>139</v>
      </c>
      <c r="G7" s="37">
        <v>50840</v>
      </c>
      <c r="H7" s="118" t="s">
        <v>315</v>
      </c>
      <c r="I7" s="111" t="s">
        <v>137</v>
      </c>
      <c r="J7" s="37">
        <v>13</v>
      </c>
      <c r="K7" s="37"/>
      <c r="L7" s="37">
        <v>6</v>
      </c>
      <c r="M7" s="76">
        <v>45974</v>
      </c>
      <c r="N7" s="76"/>
      <c r="O7" s="39" t="s">
        <v>320</v>
      </c>
      <c r="P7" s="39" t="s">
        <v>320</v>
      </c>
      <c r="Q7" s="64"/>
      <c r="R7" s="64"/>
      <c r="S7" s="64"/>
      <c r="T7" s="65"/>
      <c r="U7" s="66"/>
      <c r="V7" s="64"/>
      <c r="W7" s="64"/>
      <c r="X7" s="64"/>
      <c r="Y7" s="64"/>
      <c r="Z7" s="40"/>
      <c r="AA7" s="64"/>
      <c r="AB7" s="64"/>
      <c r="AC7" s="64"/>
      <c r="AD7" s="64"/>
      <c r="AE7" s="79"/>
    </row>
    <row r="8" spans="1:31">
      <c r="I8" s="73"/>
    </row>
  </sheetData>
  <dataValidations count="1">
    <dataValidation type="list" allowBlank="1" showInputMessage="1" showErrorMessage="1" sqref="AE2:AE7" xr:uid="{6352A260-B05F-4CE9-85ED-44C27A3A173B}">
      <formula1>"Exceeds Expectation, Meets Expectation, Needs improvements"</formula1>
    </dataValidation>
  </dataValidations>
  <hyperlinks>
    <hyperlink ref="T2" r:id="rId1" xr:uid="{B9F3A9C2-EBB2-4932-8CE2-2BF443F195D6}"/>
    <hyperlink ref="T4" r:id="rId2" xr:uid="{A0B4C340-D562-4B92-B502-D13D8A2FD22D}"/>
  </hyperlinks>
  <pageMargins left="0.7" right="0.7" top="0.75" bottom="0.75" header="0.3" footer="0.3"/>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01928A9E-0FC9-4045-ADBB-0CC1F39E0025}">
          <x14:formula1>
            <xm:f>Settings!$C$3:$C$20</xm:f>
          </x14:formula1>
          <xm:sqref>I2:I8</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FD2B0-D077-447B-843F-D2CE698A4127}">
  <dimension ref="A1:AE10"/>
  <sheetViews>
    <sheetView workbookViewId="0">
      <selection activeCell="F1" sqref="F1"/>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63.5703125" style="31" customWidth="1"/>
    <col min="9" max="9" width="21.42578125" style="29" customWidth="1"/>
    <col min="10" max="10" width="10.42578125" style="29" customWidth="1"/>
    <col min="11" max="11" width="9" style="29" customWidth="1"/>
    <col min="12" max="14" width="10.28515625" style="29" customWidth="1"/>
    <col min="15" max="15" width="15.710937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5" customHeight="1">
      <c r="A2" s="37">
        <v>1</v>
      </c>
      <c r="B2" s="99" t="s">
        <v>5</v>
      </c>
      <c r="C2" s="99">
        <v>45947</v>
      </c>
      <c r="D2" s="99">
        <v>45960</v>
      </c>
      <c r="E2" s="38" t="s">
        <v>52</v>
      </c>
      <c r="F2" s="111" t="s">
        <v>139</v>
      </c>
      <c r="G2" s="37">
        <v>50134</v>
      </c>
      <c r="H2" s="100" t="s">
        <v>337</v>
      </c>
      <c r="I2" s="117" t="s">
        <v>148</v>
      </c>
      <c r="J2" s="37">
        <v>8</v>
      </c>
      <c r="K2" s="37">
        <v>9</v>
      </c>
      <c r="L2" s="37">
        <v>36</v>
      </c>
      <c r="M2" s="76">
        <v>45947</v>
      </c>
      <c r="N2" s="76">
        <v>45959</v>
      </c>
      <c r="O2" s="64" t="s">
        <v>13</v>
      </c>
      <c r="P2" s="64" t="s">
        <v>162</v>
      </c>
      <c r="Q2" s="64"/>
      <c r="R2" s="64" t="s">
        <v>166</v>
      </c>
      <c r="S2" s="64"/>
      <c r="T2" s="65" t="s">
        <v>338</v>
      </c>
      <c r="U2" s="66">
        <v>45959</v>
      </c>
      <c r="V2" s="66">
        <v>45959</v>
      </c>
      <c r="W2" s="64"/>
      <c r="X2" s="64"/>
      <c r="Y2" s="64" t="s">
        <v>151</v>
      </c>
      <c r="Z2" s="40"/>
      <c r="AA2" s="64"/>
      <c r="AB2" s="64"/>
      <c r="AC2" s="64"/>
      <c r="AD2" s="64"/>
      <c r="AE2" s="79"/>
    </row>
    <row r="3" spans="1:31" ht="44.25" customHeight="1">
      <c r="A3" s="38">
        <v>2</v>
      </c>
      <c r="B3" s="99" t="s">
        <v>5</v>
      </c>
      <c r="C3" s="99">
        <v>45947</v>
      </c>
      <c r="D3" s="99">
        <v>45960</v>
      </c>
      <c r="E3" s="38" t="s">
        <v>339</v>
      </c>
      <c r="F3" s="37" t="s">
        <v>141</v>
      </c>
      <c r="G3" s="98">
        <v>50135</v>
      </c>
      <c r="H3" s="100" t="s">
        <v>329</v>
      </c>
      <c r="I3" s="111" t="s">
        <v>137</v>
      </c>
      <c r="J3" s="38">
        <v>13</v>
      </c>
      <c r="K3" s="38">
        <v>12</v>
      </c>
      <c r="L3" s="38">
        <v>48</v>
      </c>
      <c r="M3" s="76">
        <v>45947</v>
      </c>
      <c r="N3" s="76"/>
      <c r="O3" s="81"/>
      <c r="P3" s="64"/>
      <c r="Q3" s="39"/>
      <c r="R3" s="64"/>
      <c r="S3" s="39"/>
      <c r="T3" s="43"/>
      <c r="U3" s="66"/>
      <c r="V3" s="66"/>
      <c r="W3" s="39"/>
      <c r="X3" s="39"/>
      <c r="Y3" s="39"/>
      <c r="Z3" s="64"/>
      <c r="AA3" s="39"/>
      <c r="AB3" s="39"/>
      <c r="AC3" s="39"/>
      <c r="AD3" s="96"/>
      <c r="AE3" s="60" t="s">
        <v>153</v>
      </c>
    </row>
    <row r="4" spans="1:31" ht="34.5" customHeight="1">
      <c r="A4" s="38">
        <v>3</v>
      </c>
      <c r="B4" s="99" t="s">
        <v>5</v>
      </c>
      <c r="C4" s="99">
        <v>45947</v>
      </c>
      <c r="D4" s="99">
        <v>45960</v>
      </c>
      <c r="E4" s="38" t="s">
        <v>339</v>
      </c>
      <c r="F4" s="38" t="s">
        <v>135</v>
      </c>
      <c r="G4" s="98">
        <v>50448</v>
      </c>
      <c r="H4" s="100" t="s">
        <v>313</v>
      </c>
      <c r="I4" s="111" t="s">
        <v>137</v>
      </c>
      <c r="J4" s="38">
        <v>8</v>
      </c>
      <c r="K4" s="38"/>
      <c r="L4" s="38">
        <v>24</v>
      </c>
      <c r="M4" s="76">
        <v>45947</v>
      </c>
      <c r="N4" s="38"/>
      <c r="O4" s="39"/>
      <c r="P4" s="39"/>
      <c r="Q4" s="39"/>
      <c r="R4" s="39"/>
      <c r="S4" s="39"/>
      <c r="T4" s="43"/>
      <c r="U4" s="40"/>
      <c r="V4" s="39"/>
      <c r="W4" s="39"/>
      <c r="X4" s="39"/>
      <c r="Y4" s="39"/>
      <c r="Z4" s="40"/>
      <c r="AA4" s="39"/>
      <c r="AB4" s="39"/>
      <c r="AC4" s="39"/>
      <c r="AD4" s="39"/>
      <c r="AE4" s="60"/>
    </row>
    <row r="5" spans="1:31" ht="38.25" customHeight="1">
      <c r="A5" s="38"/>
      <c r="B5" s="109"/>
      <c r="C5" s="109"/>
      <c r="D5" s="109"/>
      <c r="E5" s="38"/>
      <c r="F5" s="38"/>
      <c r="G5" s="63"/>
      <c r="H5" s="38"/>
      <c r="I5" s="116"/>
      <c r="J5" s="38"/>
      <c r="K5" s="38"/>
      <c r="L5" s="38"/>
      <c r="M5" s="38"/>
      <c r="N5" s="38"/>
      <c r="O5" s="39"/>
      <c r="P5" s="39"/>
      <c r="Q5" s="39"/>
      <c r="R5" s="39"/>
      <c r="S5" s="39"/>
      <c r="T5" s="43"/>
      <c r="U5" s="40"/>
      <c r="V5" s="39"/>
      <c r="W5" s="39"/>
      <c r="X5" s="39"/>
      <c r="Y5" s="39"/>
      <c r="Z5" s="40"/>
      <c r="AA5" s="39"/>
      <c r="AB5" s="39"/>
      <c r="AC5" s="39"/>
      <c r="AD5" s="39"/>
      <c r="AE5" s="60"/>
    </row>
    <row r="7" spans="1:31">
      <c r="I7" s="73"/>
    </row>
    <row r="10" spans="1:31" ht="23.25">
      <c r="D10" s="115"/>
      <c r="G10" s="103"/>
    </row>
  </sheetData>
  <dataValidations count="1">
    <dataValidation type="list" allowBlank="1" showInputMessage="1" showErrorMessage="1" sqref="AE2:AE4" xr:uid="{F07D002D-CEB7-49F5-8503-B66C8CA9F5E8}">
      <formula1>"Exceeds Expectation, Meets Expectation, Needs improvements"</formula1>
    </dataValidation>
  </dataValidations>
  <hyperlinks>
    <hyperlink ref="T2" r:id="rId1" xr:uid="{6D827B4F-E772-4532-A3C2-603271EDF98C}"/>
  </hyperlinks>
  <pageMargins left="0.7" right="0.7" top="0.75" bottom="0.75" header="0.3" footer="0.3"/>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F4F856D-C414-4B91-990C-9BF7E590F435}">
          <x14:formula1>
            <xm:f>Settings!$C$3:$C$20</xm:f>
          </x14:formula1>
          <xm:sqref>I7 I2:I4</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88B62-1585-4D93-8184-70045E2F79C2}">
  <dimension ref="A1:AE14"/>
  <sheetViews>
    <sheetView topLeftCell="A2" workbookViewId="0">
      <selection activeCell="G10" sqref="G10"/>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49.7109375" style="31" customWidth="1"/>
    <col min="9" max="9" width="21.42578125" style="29" customWidth="1"/>
    <col min="10" max="10" width="10.42578125" style="29" customWidth="1"/>
    <col min="11" max="11" width="9" style="29" customWidth="1"/>
    <col min="12" max="14" width="10.28515625" style="29" customWidth="1"/>
    <col min="15" max="15" width="11.4257812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4.25" customHeight="1">
      <c r="A2" s="38">
        <v>1</v>
      </c>
      <c r="B2" s="99" t="s">
        <v>5</v>
      </c>
      <c r="C2" s="99">
        <v>45933</v>
      </c>
      <c r="D2" s="99">
        <v>45946</v>
      </c>
      <c r="E2" s="38" t="s">
        <v>50</v>
      </c>
      <c r="F2" s="87" t="s">
        <v>141</v>
      </c>
      <c r="G2" s="98">
        <v>50152</v>
      </c>
      <c r="H2" s="83" t="s">
        <v>340</v>
      </c>
      <c r="I2" s="114" t="s">
        <v>148</v>
      </c>
      <c r="J2" s="38">
        <v>3</v>
      </c>
      <c r="K2" s="38">
        <v>6</v>
      </c>
      <c r="L2" s="38">
        <v>30</v>
      </c>
      <c r="M2" s="76">
        <v>45933</v>
      </c>
      <c r="N2" s="76">
        <v>45944</v>
      </c>
      <c r="O2" s="81"/>
      <c r="P2" s="64" t="s">
        <v>162</v>
      </c>
      <c r="Q2" s="39"/>
      <c r="R2" s="64" t="s">
        <v>166</v>
      </c>
      <c r="S2" s="39"/>
      <c r="T2" s="25" t="s">
        <v>341</v>
      </c>
      <c r="U2" s="66">
        <v>45944</v>
      </c>
      <c r="V2" s="66">
        <v>45944</v>
      </c>
      <c r="W2" s="39" t="s">
        <v>151</v>
      </c>
      <c r="X2" s="39"/>
      <c r="Y2" s="39" t="s">
        <v>180</v>
      </c>
      <c r="Z2" s="66">
        <v>45944</v>
      </c>
      <c r="AA2" s="39"/>
      <c r="AB2" s="39"/>
      <c r="AC2" s="39"/>
      <c r="AD2" s="96"/>
      <c r="AE2" s="60" t="s">
        <v>153</v>
      </c>
    </row>
    <row r="3" spans="1:31" ht="45.75" customHeight="1">
      <c r="A3" s="37">
        <v>2</v>
      </c>
      <c r="B3" s="99" t="s">
        <v>5</v>
      </c>
      <c r="C3" s="99">
        <v>45933</v>
      </c>
      <c r="D3" s="99">
        <v>45946</v>
      </c>
      <c r="E3" s="38" t="s">
        <v>50</v>
      </c>
      <c r="F3" s="37" t="s">
        <v>135</v>
      </c>
      <c r="G3" s="89">
        <v>50141</v>
      </c>
      <c r="H3" s="83" t="s">
        <v>342</v>
      </c>
      <c r="I3" s="95" t="s">
        <v>148</v>
      </c>
      <c r="J3" s="37">
        <v>5</v>
      </c>
      <c r="K3" s="37">
        <v>10</v>
      </c>
      <c r="L3" s="37">
        <v>42</v>
      </c>
      <c r="M3" s="76">
        <v>45936</v>
      </c>
      <c r="N3" s="76">
        <v>45944</v>
      </c>
      <c r="O3" s="64"/>
      <c r="P3" s="64" t="s">
        <v>162</v>
      </c>
      <c r="Q3" s="64"/>
      <c r="R3" s="64" t="s">
        <v>166</v>
      </c>
      <c r="S3" s="64"/>
      <c r="T3" s="25" t="s">
        <v>343</v>
      </c>
      <c r="U3" s="66">
        <v>45944</v>
      </c>
      <c r="V3" s="66">
        <v>45944</v>
      </c>
      <c r="W3" s="39" t="s">
        <v>151</v>
      </c>
      <c r="X3" s="64"/>
      <c r="Y3" s="39" t="s">
        <v>344</v>
      </c>
      <c r="Z3" s="66">
        <v>45944</v>
      </c>
      <c r="AA3" s="64"/>
      <c r="AB3" s="64"/>
      <c r="AC3" s="64"/>
      <c r="AD3" s="64" t="s">
        <v>345</v>
      </c>
      <c r="AE3" s="79" t="s">
        <v>153</v>
      </c>
    </row>
    <row r="4" spans="1:31" ht="27.75" customHeight="1">
      <c r="A4" s="38">
        <v>3</v>
      </c>
      <c r="B4" s="37" t="s">
        <v>5</v>
      </c>
      <c r="C4" s="99">
        <v>45933</v>
      </c>
      <c r="D4" s="99">
        <v>45946</v>
      </c>
      <c r="E4" s="38" t="s">
        <v>50</v>
      </c>
      <c r="F4" s="112" t="s">
        <v>139</v>
      </c>
      <c r="G4" s="98">
        <v>49688</v>
      </c>
      <c r="H4" s="100" t="s">
        <v>346</v>
      </c>
      <c r="I4" s="95" t="s">
        <v>148</v>
      </c>
      <c r="J4" s="38">
        <v>5</v>
      </c>
      <c r="K4" s="38">
        <v>5</v>
      </c>
      <c r="L4" s="38">
        <v>18</v>
      </c>
      <c r="M4" s="76">
        <v>45933</v>
      </c>
      <c r="N4" s="76">
        <v>45937</v>
      </c>
      <c r="O4" s="39"/>
      <c r="P4" s="64" t="s">
        <v>162</v>
      </c>
      <c r="Q4" s="39"/>
      <c r="R4" s="64" t="s">
        <v>166</v>
      </c>
      <c r="S4" s="39"/>
      <c r="T4" s="43" t="s">
        <v>347</v>
      </c>
      <c r="U4" s="66">
        <v>45938</v>
      </c>
      <c r="V4" s="66">
        <v>45938</v>
      </c>
      <c r="W4" s="39" t="s">
        <v>151</v>
      </c>
      <c r="X4" s="39"/>
      <c r="Y4" s="39" t="s">
        <v>277</v>
      </c>
      <c r="Z4" s="66">
        <v>45938</v>
      </c>
      <c r="AA4" s="39"/>
      <c r="AB4" s="39"/>
      <c r="AC4" s="39"/>
      <c r="AD4" s="39"/>
      <c r="AE4" s="60" t="s">
        <v>153</v>
      </c>
    </row>
    <row r="5" spans="1:31" ht="31.5" customHeight="1">
      <c r="A5" s="38">
        <v>4</v>
      </c>
      <c r="B5" s="37" t="s">
        <v>5</v>
      </c>
      <c r="C5" s="99">
        <v>45933</v>
      </c>
      <c r="D5" s="99">
        <v>45946</v>
      </c>
      <c r="E5" s="86" t="s">
        <v>348</v>
      </c>
      <c r="F5" s="111" t="s">
        <v>139</v>
      </c>
      <c r="G5" s="113">
        <v>50134</v>
      </c>
      <c r="H5" s="100" t="s">
        <v>337</v>
      </c>
      <c r="I5" s="88" t="s">
        <v>137</v>
      </c>
      <c r="J5" s="38">
        <v>8</v>
      </c>
      <c r="K5" s="38"/>
      <c r="L5" s="38"/>
      <c r="M5" s="76">
        <v>45938</v>
      </c>
      <c r="N5" s="76"/>
      <c r="O5" s="39"/>
      <c r="P5" s="39"/>
      <c r="Q5" s="39"/>
      <c r="R5" s="39"/>
      <c r="S5" s="39"/>
      <c r="T5" s="43"/>
      <c r="U5" s="66"/>
      <c r="V5" s="66"/>
      <c r="W5" s="39"/>
      <c r="X5" s="39"/>
      <c r="Y5" s="39"/>
      <c r="Z5" s="66"/>
      <c r="AA5" s="39"/>
      <c r="AB5" s="39"/>
      <c r="AC5" s="39"/>
      <c r="AD5" s="39"/>
      <c r="AE5" s="60"/>
    </row>
    <row r="6" spans="1:31" ht="23.25">
      <c r="A6" s="38">
        <v>5</v>
      </c>
      <c r="B6" s="37" t="s">
        <v>5</v>
      </c>
      <c r="C6" s="99">
        <v>45933</v>
      </c>
      <c r="D6" s="99">
        <v>45946</v>
      </c>
      <c r="E6" s="86" t="s">
        <v>348</v>
      </c>
      <c r="F6" s="38" t="s">
        <v>141</v>
      </c>
      <c r="G6" s="98">
        <v>50135</v>
      </c>
      <c r="H6" s="100" t="s">
        <v>349</v>
      </c>
      <c r="I6" s="88" t="s">
        <v>137</v>
      </c>
      <c r="J6" s="38">
        <v>13</v>
      </c>
      <c r="K6" s="38"/>
      <c r="L6" s="38"/>
      <c r="M6" s="76">
        <v>45945</v>
      </c>
      <c r="N6" s="38"/>
      <c r="O6" s="39"/>
      <c r="P6" s="39"/>
      <c r="Q6" s="39"/>
      <c r="R6" s="39"/>
      <c r="S6" s="39"/>
      <c r="T6" s="43"/>
      <c r="U6" s="40"/>
      <c r="V6" s="39"/>
      <c r="W6" s="39"/>
      <c r="X6" s="39"/>
      <c r="Y6" s="39"/>
      <c r="Z6" s="40"/>
      <c r="AA6" s="39"/>
      <c r="AB6" s="39"/>
      <c r="AC6" s="39"/>
      <c r="AD6" s="39"/>
      <c r="AE6" s="60"/>
    </row>
    <row r="11" spans="1:31">
      <c r="I11" s="73"/>
    </row>
    <row r="14" spans="1:31" ht="23.25">
      <c r="G14" s="103"/>
    </row>
  </sheetData>
  <dataValidations count="1">
    <dataValidation type="list" allowBlank="1" showInputMessage="1" showErrorMessage="1" sqref="AE2:AE6" xr:uid="{9EA215DD-89AE-4F0E-8D80-592E58724123}">
      <formula1>"Exceeds Expectation, Meets Expectation, Needs improvements"</formula1>
    </dataValidation>
  </dataValidations>
  <hyperlinks>
    <hyperlink ref="T2" r:id="rId1" xr:uid="{C74EFE50-4E4F-4EEA-A389-D7B320D5F979}"/>
    <hyperlink ref="T3" r:id="rId2" xr:uid="{90C05151-C8A5-4A57-A887-142666F29AAC}"/>
    <hyperlink ref="T4" r:id="rId3" xr:uid="{BE3776AC-92E1-452A-B7BF-7CD9F1624BFF}"/>
  </hyperlinks>
  <pageMargins left="0.7" right="0.7" top="0.75" bottom="0.75" header="0.3" footer="0.3"/>
  <legacyDrawing r:id="rId4"/>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3449BFA8-046C-4441-A96D-6A667895A3F6}">
          <x14:formula1>
            <xm:f>Settings!$C$3:$C$20</xm:f>
          </x14:formula1>
          <xm:sqref>I11 I2:I6</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DD289-CDFB-42B2-B09C-0995A592CD49}">
  <dimension ref="A1:AE13"/>
  <sheetViews>
    <sheetView workbookViewId="0">
      <selection activeCell="H13" sqref="H13"/>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20.140625" style="29" customWidth="1"/>
    <col min="6" max="6" width="13" style="29" customWidth="1"/>
    <col min="7" max="7" width="11.85546875" style="29" customWidth="1"/>
    <col min="8" max="8" width="52" style="31" customWidth="1"/>
    <col min="9" max="9" width="21.42578125" style="29" customWidth="1"/>
    <col min="10" max="10" width="10.42578125" style="29" customWidth="1"/>
    <col min="11" max="11" width="9" style="29" customWidth="1"/>
    <col min="12" max="14" width="10.28515625" style="29" customWidth="1"/>
    <col min="15" max="15" width="11.4257812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38.25" customHeight="1">
      <c r="A2" s="38">
        <v>1</v>
      </c>
      <c r="B2" s="97" t="s">
        <v>5</v>
      </c>
      <c r="C2" s="99">
        <v>45919</v>
      </c>
      <c r="D2" s="99">
        <v>45932</v>
      </c>
      <c r="E2" s="38" t="s">
        <v>48</v>
      </c>
      <c r="F2" s="87" t="s">
        <v>135</v>
      </c>
      <c r="G2" s="98">
        <v>49856</v>
      </c>
      <c r="H2" s="102" t="s">
        <v>350</v>
      </c>
      <c r="I2" s="101" t="s">
        <v>148</v>
      </c>
      <c r="J2" s="38">
        <v>8</v>
      </c>
      <c r="K2" s="38">
        <v>21</v>
      </c>
      <c r="L2" s="38">
        <v>86</v>
      </c>
      <c r="M2" s="76">
        <v>45919</v>
      </c>
      <c r="N2" s="76">
        <v>45929</v>
      </c>
      <c r="O2" s="81"/>
      <c r="P2" s="64" t="s">
        <v>162</v>
      </c>
      <c r="Q2" s="39"/>
      <c r="R2" s="64"/>
      <c r="S2" s="39"/>
      <c r="T2" s="25" t="s">
        <v>351</v>
      </c>
      <c r="U2" s="66">
        <v>45929</v>
      </c>
      <c r="V2" s="66">
        <v>45929</v>
      </c>
      <c r="W2" s="39" t="s">
        <v>151</v>
      </c>
      <c r="X2" s="39"/>
      <c r="Y2" s="39"/>
      <c r="Z2" s="104">
        <v>45929</v>
      </c>
      <c r="AA2" s="39"/>
      <c r="AB2" s="39"/>
      <c r="AC2" s="39" t="s">
        <v>352</v>
      </c>
      <c r="AD2" s="96"/>
      <c r="AE2" s="60" t="s">
        <v>153</v>
      </c>
    </row>
    <row r="3" spans="1:31" ht="30.75" customHeight="1">
      <c r="A3" s="38">
        <v>2</v>
      </c>
      <c r="B3" s="97" t="s">
        <v>5</v>
      </c>
      <c r="C3" s="99">
        <v>45919</v>
      </c>
      <c r="D3" s="99">
        <v>45932</v>
      </c>
      <c r="E3" s="38" t="s">
        <v>48</v>
      </c>
      <c r="F3" s="37" t="s">
        <v>139</v>
      </c>
      <c r="G3" s="98">
        <v>49688</v>
      </c>
      <c r="H3" s="100" t="s">
        <v>346</v>
      </c>
      <c r="I3" s="88" t="s">
        <v>137</v>
      </c>
      <c r="J3" s="38">
        <v>3</v>
      </c>
      <c r="K3" s="38"/>
      <c r="L3" s="38">
        <v>12</v>
      </c>
      <c r="M3" s="76">
        <v>45926</v>
      </c>
      <c r="N3" s="76">
        <v>45929</v>
      </c>
      <c r="O3" s="39"/>
      <c r="P3" s="39"/>
      <c r="Q3" s="39"/>
      <c r="R3" s="39"/>
      <c r="S3" s="39"/>
      <c r="T3" s="43" t="s">
        <v>353</v>
      </c>
      <c r="U3" s="66">
        <v>45929</v>
      </c>
      <c r="V3" s="66">
        <v>45929</v>
      </c>
      <c r="W3" s="39" t="s">
        <v>151</v>
      </c>
      <c r="X3" s="39"/>
      <c r="Y3" s="39"/>
      <c r="Z3" s="66">
        <v>45929</v>
      </c>
      <c r="AA3" s="39"/>
      <c r="AB3" s="39"/>
      <c r="AC3" s="39"/>
      <c r="AD3" s="39" t="s">
        <v>354</v>
      </c>
      <c r="AE3" s="60"/>
    </row>
    <row r="4" spans="1:31" ht="29.25" customHeight="1">
      <c r="A4" s="38">
        <v>3</v>
      </c>
      <c r="B4" s="97" t="s">
        <v>5</v>
      </c>
      <c r="C4" s="99">
        <v>45919</v>
      </c>
      <c r="D4" s="99">
        <v>45932</v>
      </c>
      <c r="E4" s="38" t="s">
        <v>355</v>
      </c>
      <c r="F4" s="87" t="s">
        <v>141</v>
      </c>
      <c r="G4" s="98">
        <v>50152</v>
      </c>
      <c r="H4" s="102" t="s">
        <v>340</v>
      </c>
      <c r="I4" s="88" t="s">
        <v>137</v>
      </c>
      <c r="J4" s="38">
        <v>8</v>
      </c>
      <c r="K4" s="38">
        <v>9</v>
      </c>
      <c r="L4" s="38">
        <v>36</v>
      </c>
      <c r="M4" s="76">
        <v>45919</v>
      </c>
      <c r="N4" s="38" t="s">
        <v>356</v>
      </c>
      <c r="O4" s="39"/>
      <c r="P4" s="64" t="s">
        <v>162</v>
      </c>
      <c r="Q4" s="39"/>
      <c r="R4" s="39"/>
      <c r="S4" s="39"/>
      <c r="T4" s="43" t="s">
        <v>357</v>
      </c>
      <c r="U4" s="40">
        <v>45923</v>
      </c>
      <c r="V4" s="40">
        <v>45923</v>
      </c>
      <c r="W4" s="39" t="s">
        <v>151</v>
      </c>
      <c r="X4" s="39"/>
      <c r="Y4" s="39"/>
      <c r="Z4" s="40">
        <v>45923</v>
      </c>
      <c r="AA4" s="39"/>
      <c r="AB4" s="39"/>
      <c r="AC4" s="39"/>
      <c r="AD4" s="39" t="s">
        <v>358</v>
      </c>
      <c r="AE4" s="60"/>
    </row>
    <row r="5" spans="1:31" ht="39" customHeight="1">
      <c r="A5" s="38">
        <v>4</v>
      </c>
      <c r="B5" s="97" t="s">
        <v>5</v>
      </c>
      <c r="C5" s="109">
        <v>45919</v>
      </c>
      <c r="D5" s="109">
        <v>45932</v>
      </c>
      <c r="E5" s="38" t="s">
        <v>355</v>
      </c>
      <c r="F5" s="38" t="s">
        <v>139</v>
      </c>
      <c r="G5" s="63">
        <v>50155</v>
      </c>
      <c r="H5" s="110" t="s">
        <v>359</v>
      </c>
      <c r="I5" s="101" t="s">
        <v>148</v>
      </c>
      <c r="J5" s="38">
        <v>2</v>
      </c>
      <c r="K5" s="38">
        <v>4</v>
      </c>
      <c r="L5" s="38">
        <v>17</v>
      </c>
      <c r="M5" s="76">
        <v>45919</v>
      </c>
      <c r="N5" s="76">
        <v>45922</v>
      </c>
      <c r="O5" s="39"/>
      <c r="P5" s="39" t="s">
        <v>162</v>
      </c>
      <c r="Q5" s="39"/>
      <c r="R5" s="39"/>
      <c r="S5" s="39"/>
      <c r="T5" s="43" t="s">
        <v>360</v>
      </c>
      <c r="U5" s="40">
        <v>45922</v>
      </c>
      <c r="V5" s="40">
        <v>45922</v>
      </c>
      <c r="W5" s="39" t="s">
        <v>151</v>
      </c>
      <c r="X5" s="39"/>
      <c r="Y5" s="39"/>
      <c r="Z5" s="40">
        <v>45922</v>
      </c>
      <c r="AA5" s="39"/>
      <c r="AB5" s="39"/>
      <c r="AC5" s="39"/>
      <c r="AD5" s="39"/>
      <c r="AE5" s="60" t="s">
        <v>153</v>
      </c>
    </row>
    <row r="10" spans="1:31">
      <c r="I10" s="73"/>
    </row>
    <row r="13" spans="1:31" ht="23.25">
      <c r="G13" s="103"/>
    </row>
  </sheetData>
  <dataValidations count="1">
    <dataValidation type="list" allowBlank="1" showInputMessage="1" showErrorMessage="1" sqref="AE2:AE5" xr:uid="{E429B8F6-9A00-44B0-971A-56C58C760790}">
      <formula1>"Exceeds Expectation, Meets Expectation, Needs improvements"</formula1>
    </dataValidation>
  </dataValidations>
  <hyperlinks>
    <hyperlink ref="T2" r:id="rId1" xr:uid="{A9319C7C-3E7E-47B6-9A6E-42A1C25ED74D}"/>
    <hyperlink ref="T3" r:id="rId2" xr:uid="{F0276DFC-C52D-453C-9550-E0E8395838DB}"/>
    <hyperlink ref="T5" r:id="rId3" xr:uid="{07F6B46E-F009-432D-89F8-DE10001B914A}"/>
    <hyperlink ref="T4" r:id="rId4" xr:uid="{CF8C74DE-DFCD-4E7D-B385-1C83D97E30AC}"/>
  </hyperlinks>
  <pageMargins left="0.7" right="0.7" top="0.75" bottom="0.75" header="0.3" footer="0.3"/>
  <legacyDrawing r:id="rId5"/>
  <tableParts count="1">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97E22279-A0E7-455F-9B3F-C88E4B43E5B8}">
          <x14:formula1>
            <xm:f>Settings!$C$3:$C$20</xm:f>
          </x14:formula1>
          <xm:sqref>I10 I2:I5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2B2DF-2EE9-42B7-B5EB-1B9E17332FFD}">
  <sheetPr>
    <outlinePr summaryBelow="0" summaryRight="0"/>
  </sheetPr>
  <dimension ref="A1:AC967"/>
  <sheetViews>
    <sheetView topLeftCell="B1" workbookViewId="0">
      <selection activeCell="A2" sqref="A2:XFD2"/>
    </sheetView>
  </sheetViews>
  <sheetFormatPr defaultColWidth="12.5703125" defaultRowHeight="15" customHeight="1"/>
  <cols>
    <col min="1" max="1" width="12.5703125" style="20" hidden="1" customWidth="1"/>
    <col min="2" max="2" width="24.28515625" style="20" customWidth="1"/>
    <col min="3" max="3" width="17.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s="105" customFormat="1" ht="72" customHeight="1">
      <c r="B2" s="61" t="s">
        <v>48</v>
      </c>
      <c r="C2" s="106"/>
      <c r="D2" s="108" t="s">
        <v>361</v>
      </c>
      <c r="E2" s="107" t="s">
        <v>135</v>
      </c>
      <c r="F2" s="61" t="s">
        <v>303</v>
      </c>
      <c r="G2" s="18" t="s">
        <v>362</v>
      </c>
      <c r="H2" s="61" t="s">
        <v>256</v>
      </c>
      <c r="I2" s="71"/>
      <c r="J2" s="71"/>
      <c r="K2" s="61" t="s">
        <v>162</v>
      </c>
      <c r="L2" s="61" t="s">
        <v>13</v>
      </c>
      <c r="M2" s="70"/>
      <c r="N2" s="69" t="s">
        <v>363</v>
      </c>
    </row>
    <row r="3" spans="1:29" ht="75" customHeight="1">
      <c r="B3" s="61" t="s">
        <v>48</v>
      </c>
      <c r="C3" s="23"/>
      <c r="D3" s="29" t="s">
        <v>361</v>
      </c>
      <c r="E3" s="107" t="s">
        <v>135</v>
      </c>
      <c r="F3" s="61" t="s">
        <v>303</v>
      </c>
      <c r="G3" s="18" t="s">
        <v>364</v>
      </c>
      <c r="H3" s="61" t="s">
        <v>256</v>
      </c>
      <c r="I3" s="71"/>
      <c r="J3" s="71"/>
      <c r="K3" s="61" t="s">
        <v>162</v>
      </c>
      <c r="L3" s="61" t="s">
        <v>13</v>
      </c>
      <c r="M3" s="71"/>
      <c r="N3" s="69" t="s">
        <v>365</v>
      </c>
    </row>
    <row r="4" spans="1:29" ht="66.75" customHeight="1">
      <c r="B4" s="21"/>
      <c r="C4" s="23"/>
      <c r="D4" s="23"/>
      <c r="E4" s="61"/>
      <c r="F4" s="21"/>
      <c r="G4" s="18"/>
      <c r="H4" s="61"/>
      <c r="I4" s="61"/>
      <c r="J4" s="61"/>
      <c r="K4" s="61"/>
      <c r="L4" s="61"/>
      <c r="M4" s="72"/>
      <c r="N4" s="26"/>
    </row>
    <row r="5" spans="1:29" ht="15.75" customHeight="1">
      <c r="B5" s="18"/>
      <c r="C5" s="23"/>
      <c r="D5" s="23"/>
      <c r="E5" s="23"/>
      <c r="F5" s="18"/>
      <c r="G5" s="18"/>
      <c r="H5" s="23"/>
      <c r="I5" s="23"/>
      <c r="J5" s="23"/>
      <c r="K5" s="23"/>
      <c r="L5" s="23"/>
      <c r="M5" s="71"/>
      <c r="N5" s="23"/>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N1" xr:uid="{3A2BB050-11AC-4ED7-A296-96B42C7FCFBA}"/>
  <pageMargins left="0" right="0" top="0" bottom="0" header="0" footer="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8EF1F-312B-4933-AEB3-9EF4139EED8E}">
  <dimension ref="A1:AE11"/>
  <sheetViews>
    <sheetView topLeftCell="H1" workbookViewId="0">
      <selection activeCell="I2" sqref="I2"/>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47.42578125" style="31" customWidth="1"/>
    <col min="9" max="9" width="21.42578125" style="29" customWidth="1"/>
    <col min="10" max="10" width="10.42578125" style="29" customWidth="1"/>
    <col min="11" max="11" width="9" style="29" customWidth="1"/>
    <col min="12" max="14" width="10.28515625" style="29" customWidth="1"/>
    <col min="15" max="15" width="11.4257812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44.25" customHeight="1">
      <c r="A2" s="38">
        <v>1</v>
      </c>
      <c r="B2" s="32" t="s">
        <v>5</v>
      </c>
      <c r="C2" s="99">
        <v>45905</v>
      </c>
      <c r="D2" s="99">
        <v>45918</v>
      </c>
      <c r="E2" s="37" t="s">
        <v>44</v>
      </c>
      <c r="F2" s="86" t="s">
        <v>139</v>
      </c>
      <c r="G2" s="37">
        <v>49303</v>
      </c>
      <c r="H2" s="100" t="s">
        <v>366</v>
      </c>
      <c r="I2" s="101" t="s">
        <v>148</v>
      </c>
      <c r="J2" s="38">
        <v>8</v>
      </c>
      <c r="K2" s="38">
        <v>11</v>
      </c>
      <c r="L2" s="38">
        <v>45</v>
      </c>
      <c r="M2" s="76">
        <v>45905</v>
      </c>
      <c r="N2" s="76">
        <v>45918</v>
      </c>
      <c r="O2" s="81"/>
      <c r="P2" s="64" t="s">
        <v>162</v>
      </c>
      <c r="Q2" s="39"/>
      <c r="R2" s="64" t="s">
        <v>166</v>
      </c>
      <c r="S2" s="39"/>
      <c r="T2" s="82" t="s">
        <v>367</v>
      </c>
      <c r="U2" s="66">
        <v>45917</v>
      </c>
      <c r="V2" s="66">
        <v>45917</v>
      </c>
      <c r="W2" s="64" t="s">
        <v>151</v>
      </c>
      <c r="X2" s="39"/>
      <c r="Y2" s="39"/>
      <c r="Z2" s="66">
        <v>45917</v>
      </c>
      <c r="AA2" s="39"/>
      <c r="AB2" s="39"/>
      <c r="AC2" s="39" t="s">
        <v>368</v>
      </c>
      <c r="AD2" s="96" t="s">
        <v>369</v>
      </c>
      <c r="AE2" s="60" t="s">
        <v>153</v>
      </c>
    </row>
    <row r="3" spans="1:31" ht="30.75" customHeight="1">
      <c r="A3" s="37">
        <v>4</v>
      </c>
      <c r="B3" s="32" t="s">
        <v>5</v>
      </c>
      <c r="C3" s="99">
        <v>45905</v>
      </c>
      <c r="D3" s="99">
        <v>45918</v>
      </c>
      <c r="E3" s="37" t="s">
        <v>44</v>
      </c>
      <c r="F3" s="37" t="s">
        <v>141</v>
      </c>
      <c r="G3" s="89">
        <v>49686</v>
      </c>
      <c r="H3" s="85" t="s">
        <v>370</v>
      </c>
      <c r="I3" s="101" t="s">
        <v>148</v>
      </c>
      <c r="J3" s="37">
        <v>5</v>
      </c>
      <c r="K3" s="37">
        <v>8</v>
      </c>
      <c r="L3" s="37">
        <v>32</v>
      </c>
      <c r="M3" s="76">
        <v>45905</v>
      </c>
      <c r="N3" s="76">
        <v>45918</v>
      </c>
      <c r="O3" s="64"/>
      <c r="P3" s="64" t="s">
        <v>162</v>
      </c>
      <c r="Q3" s="64"/>
      <c r="R3" s="64" t="s">
        <v>166</v>
      </c>
      <c r="S3" s="64"/>
      <c r="T3" s="25" t="s">
        <v>371</v>
      </c>
      <c r="U3" s="66">
        <v>45918</v>
      </c>
      <c r="V3" s="66">
        <v>45918</v>
      </c>
      <c r="W3" s="64" t="s">
        <v>151</v>
      </c>
      <c r="X3" s="64"/>
      <c r="Y3" s="39" t="s">
        <v>180</v>
      </c>
      <c r="Z3" s="66">
        <v>45918</v>
      </c>
      <c r="AA3" s="64"/>
      <c r="AB3" s="64"/>
      <c r="AC3" s="64" t="s">
        <v>372</v>
      </c>
      <c r="AD3" s="64" t="s">
        <v>373</v>
      </c>
      <c r="AE3" s="79"/>
    </row>
    <row r="4" spans="1:31" ht="35.25">
      <c r="A4" s="38">
        <v>5</v>
      </c>
      <c r="B4" s="97" t="s">
        <v>5</v>
      </c>
      <c r="C4" s="99">
        <v>45905</v>
      </c>
      <c r="D4" s="99">
        <v>45918</v>
      </c>
      <c r="E4" s="38" t="s">
        <v>374</v>
      </c>
      <c r="F4" s="87" t="s">
        <v>135</v>
      </c>
      <c r="G4" s="98">
        <v>49856</v>
      </c>
      <c r="H4" s="83" t="s">
        <v>350</v>
      </c>
      <c r="I4" s="88" t="s">
        <v>137</v>
      </c>
      <c r="J4" s="38">
        <v>13</v>
      </c>
      <c r="K4" s="38">
        <v>15</v>
      </c>
      <c r="L4" s="38">
        <v>62</v>
      </c>
      <c r="M4" s="76">
        <v>45905</v>
      </c>
      <c r="N4" s="76">
        <v>45918</v>
      </c>
      <c r="O4" s="39"/>
      <c r="P4" s="39"/>
      <c r="Q4" s="39"/>
      <c r="R4" s="39"/>
      <c r="S4" s="39"/>
      <c r="T4" s="43"/>
      <c r="U4" s="40"/>
      <c r="V4" s="39"/>
      <c r="W4" s="39"/>
      <c r="X4" s="39"/>
      <c r="Y4" s="39"/>
      <c r="Z4" s="40"/>
      <c r="AA4" s="39"/>
      <c r="AB4" s="39"/>
      <c r="AC4" s="39"/>
      <c r="AD4" s="64" t="s">
        <v>375</v>
      </c>
      <c r="AE4" s="60"/>
    </row>
    <row r="11" spans="1:31">
      <c r="I11" s="73"/>
    </row>
  </sheetData>
  <dataValidations count="1">
    <dataValidation type="list" allowBlank="1" showInputMessage="1" showErrorMessage="1" sqref="AE2:AE4" xr:uid="{A35FBE03-231C-447D-9E28-779489E3117D}">
      <formula1>"Exceeds Expectation, Meets Expectation, Needs improvements"</formula1>
    </dataValidation>
  </dataValidations>
  <hyperlinks>
    <hyperlink ref="T2" r:id="rId1" xr:uid="{33FB6C7B-3D08-4946-A4E6-89B208A5E04A}"/>
    <hyperlink ref="T3" r:id="rId2" xr:uid="{BDF3C3D4-DF8E-4D1E-A406-BEE4E195F0A3}"/>
  </hyperlinks>
  <pageMargins left="0.7" right="0.7" top="0.75" bottom="0.75" header="0.3" footer="0.3"/>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04CD7DC4-7580-4C67-853C-F30DEB691BA3}">
          <x14:formula1>
            <xm:f>Settings!$C$3:$C$20</xm:f>
          </x14:formula1>
          <xm:sqref>I11 I2:I4</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5385-3EC6-49FE-A240-FAD649AFD875}">
  <sheetPr>
    <outlinePr summaryBelow="0" summaryRight="0"/>
  </sheetPr>
  <dimension ref="A1:AC967"/>
  <sheetViews>
    <sheetView topLeftCell="D1" workbookViewId="0">
      <selection activeCell="E4" sqref="E4"/>
    </sheetView>
  </sheetViews>
  <sheetFormatPr defaultColWidth="12.5703125" defaultRowHeight="15" customHeight="1"/>
  <cols>
    <col min="1" max="1" width="12.5703125" style="20" hidden="1" customWidth="1"/>
    <col min="2" max="2" width="24.28515625" style="20" customWidth="1"/>
    <col min="3" max="3" width="17.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72" customHeight="1">
      <c r="B2" s="21" t="s">
        <v>44</v>
      </c>
      <c r="C2" s="15">
        <v>117384</v>
      </c>
      <c r="D2" s="15">
        <v>49686</v>
      </c>
      <c r="E2" s="87" t="s">
        <v>141</v>
      </c>
      <c r="F2" s="21" t="s">
        <v>303</v>
      </c>
      <c r="G2" s="94" t="s">
        <v>376</v>
      </c>
      <c r="H2" s="61" t="s">
        <v>256</v>
      </c>
      <c r="K2" s="61" t="s">
        <v>162</v>
      </c>
      <c r="L2" s="61" t="s">
        <v>13</v>
      </c>
      <c r="M2" s="70"/>
      <c r="N2" s="93" t="s">
        <v>377</v>
      </c>
    </row>
    <row r="3" spans="1:29" ht="39" customHeight="1">
      <c r="B3" s="21"/>
      <c r="C3" s="23"/>
      <c r="D3" s="23"/>
      <c r="E3" s="61"/>
      <c r="F3" s="21"/>
      <c r="G3" s="18"/>
      <c r="H3" s="61"/>
      <c r="I3" s="61"/>
      <c r="J3" s="61"/>
      <c r="K3" s="61"/>
      <c r="L3" s="61"/>
      <c r="M3" s="71"/>
      <c r="N3" s="26"/>
    </row>
    <row r="4" spans="1:29" ht="66.75" customHeight="1">
      <c r="B4" s="21"/>
      <c r="C4" s="23"/>
      <c r="D4" s="23"/>
      <c r="E4" s="61"/>
      <c r="F4" s="21"/>
      <c r="G4" s="18"/>
      <c r="H4" s="61"/>
      <c r="I4" s="61"/>
      <c r="J4" s="61"/>
      <c r="K4" s="61"/>
      <c r="L4" s="61"/>
      <c r="M4" s="72"/>
      <c r="N4" s="26"/>
    </row>
    <row r="5" spans="1:29" ht="15.75" customHeight="1">
      <c r="B5" s="18"/>
      <c r="C5" s="23"/>
      <c r="D5" s="23"/>
      <c r="E5" s="23"/>
      <c r="F5" s="18"/>
      <c r="G5" s="18"/>
      <c r="H5" s="23"/>
      <c r="I5" s="23"/>
      <c r="J5" s="23"/>
      <c r="K5" s="23"/>
      <c r="L5" s="23"/>
      <c r="M5" s="71"/>
      <c r="N5" s="23"/>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N1" xr:uid="{3A2BB050-11AC-4ED7-A296-96B42C7FCFBA}"/>
  <pageMargins left="0" right="0" top="0" bottom="0" header="0" footer="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290D-79D6-48AA-A787-495B687B5ABB}">
  <dimension ref="A1:AE13"/>
  <sheetViews>
    <sheetView topLeftCell="T4" workbookViewId="0">
      <selection activeCell="H15" sqref="H15"/>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47.42578125" style="31" customWidth="1"/>
    <col min="9" max="9" width="18.85546875" style="29" customWidth="1"/>
    <col min="10" max="10" width="10.42578125" style="29" customWidth="1"/>
    <col min="11" max="11" width="9" style="29" customWidth="1"/>
    <col min="12" max="14" width="10.28515625" style="29" customWidth="1"/>
    <col min="15" max="15" width="11.4257812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59.25" customHeight="1">
      <c r="A2" s="38">
        <v>1</v>
      </c>
      <c r="B2" s="32" t="s">
        <v>5</v>
      </c>
      <c r="C2" s="50">
        <v>45891</v>
      </c>
      <c r="D2" s="50">
        <v>45904</v>
      </c>
      <c r="E2" s="37" t="s">
        <v>378</v>
      </c>
      <c r="F2" s="86" t="s">
        <v>139</v>
      </c>
      <c r="G2" s="37">
        <v>49303</v>
      </c>
      <c r="H2" s="83" t="s">
        <v>366</v>
      </c>
      <c r="I2" s="88" t="s">
        <v>137</v>
      </c>
      <c r="J2" s="38">
        <v>13</v>
      </c>
      <c r="K2" s="38"/>
      <c r="L2" s="38">
        <v>67</v>
      </c>
      <c r="M2" s="76">
        <v>45891</v>
      </c>
      <c r="N2" s="76"/>
      <c r="O2" s="81"/>
      <c r="P2" s="38"/>
      <c r="Q2" s="39"/>
      <c r="R2" s="81"/>
      <c r="S2" s="39"/>
      <c r="T2" s="82"/>
      <c r="U2" s="40"/>
      <c r="V2" s="40"/>
      <c r="W2" s="39"/>
      <c r="X2" s="39"/>
      <c r="Y2" s="39"/>
      <c r="Z2" s="40"/>
      <c r="AA2" s="39"/>
      <c r="AB2" s="39"/>
      <c r="AC2" s="39"/>
      <c r="AD2" s="96" t="s">
        <v>379</v>
      </c>
      <c r="AE2" s="60"/>
    </row>
    <row r="3" spans="1:31" ht="25.5" customHeight="1">
      <c r="A3" s="38">
        <v>2</v>
      </c>
      <c r="B3" s="32" t="s">
        <v>5</v>
      </c>
      <c r="C3" s="50">
        <v>45891</v>
      </c>
      <c r="D3" s="50">
        <v>45904</v>
      </c>
      <c r="E3" s="37" t="s">
        <v>40</v>
      </c>
      <c r="F3" s="86" t="s">
        <v>141</v>
      </c>
      <c r="G3" s="84">
        <v>49738</v>
      </c>
      <c r="H3" s="85" t="s">
        <v>380</v>
      </c>
      <c r="I3" s="95" t="s">
        <v>148</v>
      </c>
      <c r="J3" s="38">
        <v>3</v>
      </c>
      <c r="K3" s="38">
        <v>4</v>
      </c>
      <c r="L3" s="38">
        <v>17</v>
      </c>
      <c r="M3" s="76">
        <v>45891</v>
      </c>
      <c r="N3" s="76">
        <v>45895</v>
      </c>
      <c r="O3" s="77" t="s">
        <v>13</v>
      </c>
      <c r="P3" s="38" t="s">
        <v>381</v>
      </c>
      <c r="Q3" s="39"/>
      <c r="R3" s="81" t="s">
        <v>166</v>
      </c>
      <c r="S3" s="39"/>
      <c r="T3" s="25" t="s">
        <v>382</v>
      </c>
      <c r="U3" s="40">
        <v>45895</v>
      </c>
      <c r="V3" s="40">
        <v>45895</v>
      </c>
      <c r="W3" s="39" t="s">
        <v>151</v>
      </c>
      <c r="X3" s="39"/>
      <c r="Y3" s="39" t="s">
        <v>180</v>
      </c>
      <c r="Z3" s="40">
        <v>45895</v>
      </c>
      <c r="AA3" s="39"/>
      <c r="AB3" s="39"/>
      <c r="AC3" s="39"/>
      <c r="AD3" s="64"/>
      <c r="AE3" s="60" t="s">
        <v>153</v>
      </c>
    </row>
    <row r="4" spans="1:31" ht="69.75" customHeight="1">
      <c r="A4" s="38">
        <v>3</v>
      </c>
      <c r="B4" s="32" t="s">
        <v>5</v>
      </c>
      <c r="C4" s="50">
        <v>45891</v>
      </c>
      <c r="D4" s="50">
        <v>45904</v>
      </c>
      <c r="E4" s="37" t="s">
        <v>40</v>
      </c>
      <c r="F4" s="87" t="s">
        <v>135</v>
      </c>
      <c r="G4" s="98">
        <v>49493</v>
      </c>
      <c r="H4" s="83" t="s">
        <v>383</v>
      </c>
      <c r="I4" s="95" t="s">
        <v>148</v>
      </c>
      <c r="J4" s="38">
        <v>8</v>
      </c>
      <c r="K4" s="38">
        <v>8</v>
      </c>
      <c r="L4" s="38">
        <v>32</v>
      </c>
      <c r="M4" s="76">
        <v>45891</v>
      </c>
      <c r="N4" s="76">
        <v>45898</v>
      </c>
      <c r="O4" s="39" t="s">
        <v>204</v>
      </c>
      <c r="P4" s="37"/>
      <c r="Q4" s="39"/>
      <c r="R4" s="81"/>
      <c r="S4" s="39"/>
      <c r="T4" s="82" t="s">
        <v>72</v>
      </c>
      <c r="U4" s="76" t="s">
        <v>384</v>
      </c>
      <c r="V4" s="76" t="s">
        <v>384</v>
      </c>
      <c r="W4" s="39" t="s">
        <v>151</v>
      </c>
      <c r="X4" s="39"/>
      <c r="Y4" s="39"/>
      <c r="Z4" s="40" t="s">
        <v>384</v>
      </c>
      <c r="AA4" s="39"/>
      <c r="AB4" s="39"/>
      <c r="AC4" s="39"/>
      <c r="AD4" s="39" t="s">
        <v>385</v>
      </c>
      <c r="AE4" s="60"/>
    </row>
    <row r="5" spans="1:31" ht="29.25" customHeight="1">
      <c r="A5" s="37">
        <v>4</v>
      </c>
      <c r="B5" s="32" t="s">
        <v>5</v>
      </c>
      <c r="C5" s="50">
        <v>45891</v>
      </c>
      <c r="D5" s="50">
        <v>45904</v>
      </c>
      <c r="E5" s="37" t="s">
        <v>378</v>
      </c>
      <c r="F5" s="37" t="s">
        <v>141</v>
      </c>
      <c r="G5" s="89">
        <v>49686</v>
      </c>
      <c r="H5" s="85" t="s">
        <v>370</v>
      </c>
      <c r="I5" s="88" t="s">
        <v>137</v>
      </c>
      <c r="J5" s="37">
        <v>13</v>
      </c>
      <c r="K5" s="37"/>
      <c r="L5" s="37">
        <v>43</v>
      </c>
      <c r="M5" s="76">
        <v>45897</v>
      </c>
      <c r="N5" s="38"/>
      <c r="O5" s="64"/>
      <c r="P5" s="64"/>
      <c r="Q5" s="64"/>
      <c r="R5" s="64"/>
      <c r="S5" s="64"/>
      <c r="T5" s="65"/>
      <c r="U5" s="66"/>
      <c r="V5" s="64"/>
      <c r="W5" s="64"/>
      <c r="X5" s="64"/>
      <c r="Y5" s="64"/>
      <c r="Z5" s="40"/>
      <c r="AA5" s="64"/>
      <c r="AB5" s="64"/>
      <c r="AC5" s="64"/>
      <c r="AD5" s="64"/>
      <c r="AE5" s="79"/>
    </row>
    <row r="6" spans="1:31" ht="41.25" customHeight="1">
      <c r="A6" s="38">
        <v>5</v>
      </c>
      <c r="B6" s="97" t="s">
        <v>5</v>
      </c>
      <c r="C6" s="76">
        <v>45891</v>
      </c>
      <c r="D6" s="76">
        <v>45904</v>
      </c>
      <c r="E6" s="38" t="s">
        <v>378</v>
      </c>
      <c r="F6" s="87" t="s">
        <v>135</v>
      </c>
      <c r="G6" s="98">
        <v>49856</v>
      </c>
      <c r="H6" s="83" t="s">
        <v>350</v>
      </c>
      <c r="I6" s="88" t="s">
        <v>137</v>
      </c>
      <c r="J6" s="38">
        <v>13</v>
      </c>
      <c r="K6" s="38"/>
      <c r="L6" s="38">
        <v>25</v>
      </c>
      <c r="M6" s="76">
        <v>45901</v>
      </c>
      <c r="N6" s="38"/>
      <c r="O6" s="39"/>
      <c r="P6" s="39"/>
      <c r="Q6" s="39"/>
      <c r="R6" s="39"/>
      <c r="S6" s="39"/>
      <c r="T6" s="43"/>
      <c r="U6" s="40"/>
      <c r="V6" s="39"/>
      <c r="W6" s="39"/>
      <c r="X6" s="39"/>
      <c r="Y6" s="39"/>
      <c r="Z6" s="40"/>
      <c r="AA6" s="39"/>
      <c r="AB6" s="39"/>
      <c r="AC6" s="39"/>
      <c r="AD6" s="39"/>
      <c r="AE6" s="60"/>
    </row>
    <row r="8" spans="1:31">
      <c r="AD8" s="31" t="s">
        <v>386</v>
      </c>
    </row>
    <row r="13" spans="1:31">
      <c r="I13" s="73"/>
    </row>
  </sheetData>
  <dataValidations count="1">
    <dataValidation type="list" allowBlank="1" showInputMessage="1" showErrorMessage="1" sqref="AE2:AE6" xr:uid="{4C97FF98-66FA-4BBA-B516-861BC639B3D3}">
      <formula1>"Exceeds Expectation, Meets Expectation, Needs improvements"</formula1>
    </dataValidation>
  </dataValidations>
  <hyperlinks>
    <hyperlink ref="T3" r:id="rId1" xr:uid="{179BDB68-3FAE-4980-8E17-C87C7DB4EF5F}"/>
  </hyperlinks>
  <pageMargins left="0.7" right="0.7" top="0.75" bottom="0.75" header="0.3" footer="0.3"/>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700E9F3-DDA0-4B89-AF8D-D215519EB17C}">
          <x14:formula1>
            <xm:f>Settings!$C$3:$C$20</xm:f>
          </x14:formula1>
          <xm:sqref>I13 I2:I6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6EDCB-4E34-47FA-8468-8DEE5A8BBD45}">
  <sheetPr>
    <outlinePr summaryBelow="0" summaryRight="0"/>
  </sheetPr>
  <dimension ref="A1:AC967"/>
  <sheetViews>
    <sheetView topLeftCell="B1" workbookViewId="0">
      <selection activeCell="E3" sqref="E3"/>
    </sheetView>
  </sheetViews>
  <sheetFormatPr defaultColWidth="12.5703125" defaultRowHeight="15" customHeight="1"/>
  <cols>
    <col min="1" max="1" width="12.5703125" style="20" hidden="1" customWidth="1"/>
    <col min="2" max="2" width="24.28515625" style="20" customWidth="1"/>
    <col min="3" max="3" width="17.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72" customHeight="1">
      <c r="B2" s="21"/>
      <c r="E2" s="87"/>
      <c r="F2" s="21"/>
      <c r="G2" s="94"/>
      <c r="H2" s="61"/>
      <c r="I2" s="61"/>
      <c r="J2" s="61"/>
      <c r="K2" s="61"/>
      <c r="L2" s="61"/>
      <c r="M2" s="70"/>
      <c r="N2" s="93"/>
    </row>
    <row r="3" spans="1:29" ht="39" customHeight="1">
      <c r="B3" s="21"/>
      <c r="C3" s="23"/>
      <c r="D3" s="23"/>
      <c r="E3" s="61"/>
      <c r="F3" s="21"/>
      <c r="G3" s="18"/>
      <c r="H3" s="61"/>
      <c r="I3" s="61"/>
      <c r="J3" s="61"/>
      <c r="K3" s="61"/>
      <c r="L3" s="61"/>
      <c r="M3" s="71"/>
      <c r="N3" s="26"/>
    </row>
    <row r="4" spans="1:29" ht="66.75" customHeight="1">
      <c r="B4" s="21"/>
      <c r="C4" s="23"/>
      <c r="D4" s="23"/>
      <c r="E4" s="61"/>
      <c r="F4" s="21"/>
      <c r="G4" s="18"/>
      <c r="H4" s="61"/>
      <c r="I4" s="61"/>
      <c r="J4" s="61"/>
      <c r="K4" s="61"/>
      <c r="L4" s="61"/>
      <c r="M4" s="72"/>
      <c r="N4" s="26"/>
    </row>
    <row r="5" spans="1:29" ht="15.75" customHeight="1">
      <c r="B5" s="18"/>
      <c r="C5" s="23"/>
      <c r="D5" s="23"/>
      <c r="E5" s="23"/>
      <c r="F5" s="18"/>
      <c r="G5" s="18"/>
      <c r="H5" s="23"/>
      <c r="I5" s="23"/>
      <c r="J5" s="23"/>
      <c r="K5" s="23"/>
      <c r="L5" s="23"/>
      <c r="M5" s="71"/>
      <c r="N5" s="23"/>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N1" xr:uid="{3A2BB050-11AC-4ED7-A296-96B42C7FCFBA}"/>
  <pageMargins left="0" right="0" top="0" bottom="0" header="0" footer="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1BA9-EB53-461D-847E-674AF2469287}">
  <dimension ref="A1:AE13"/>
  <sheetViews>
    <sheetView topLeftCell="V1" workbookViewId="0">
      <selection activeCell="Y3" sqref="Y3"/>
    </sheetView>
  </sheetViews>
  <sheetFormatPr defaultRowHeight="12.75"/>
  <cols>
    <col min="1" max="1" width="7.7109375" style="29" bestFit="1" customWidth="1"/>
    <col min="2" max="2" width="17.42578125" style="29" customWidth="1"/>
    <col min="3" max="3" width="13.140625" style="29" customWidth="1"/>
    <col min="4" max="4" width="11.28515625" style="29" customWidth="1"/>
    <col min="5" max="5" width="19.85546875" style="29" customWidth="1"/>
    <col min="6" max="6" width="15.85546875" style="29" customWidth="1"/>
    <col min="7" max="7" width="9.7109375" style="29" customWidth="1"/>
    <col min="8" max="8" width="47.42578125" style="31" customWidth="1"/>
    <col min="9" max="9" width="18.85546875" style="29" customWidth="1"/>
    <col min="10" max="10" width="10.42578125" style="29" customWidth="1"/>
    <col min="11" max="11" width="9" style="29" customWidth="1"/>
    <col min="12" max="14" width="10.28515625" style="29" customWidth="1"/>
    <col min="15" max="15" width="11.4257812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29.5703125" style="35"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31.5" customHeight="1">
      <c r="A2" s="38">
        <v>1</v>
      </c>
      <c r="B2" s="32" t="s">
        <v>5</v>
      </c>
      <c r="C2" s="50">
        <v>45877</v>
      </c>
      <c r="D2" s="50">
        <v>45890</v>
      </c>
      <c r="E2" s="37" t="s">
        <v>36</v>
      </c>
      <c r="F2" s="86" t="s">
        <v>139</v>
      </c>
      <c r="G2" s="37">
        <v>49550</v>
      </c>
      <c r="H2" s="83" t="s">
        <v>387</v>
      </c>
      <c r="I2" s="95" t="s">
        <v>148</v>
      </c>
      <c r="J2" s="38">
        <v>5</v>
      </c>
      <c r="K2" s="38">
        <v>12</v>
      </c>
      <c r="L2" s="38">
        <v>50</v>
      </c>
      <c r="M2" s="76">
        <v>45877</v>
      </c>
      <c r="N2" s="76">
        <v>45889</v>
      </c>
      <c r="O2" s="81" t="s">
        <v>388</v>
      </c>
      <c r="P2" s="38" t="s">
        <v>162</v>
      </c>
      <c r="Q2" s="39"/>
      <c r="R2" s="81" t="s">
        <v>149</v>
      </c>
      <c r="S2" s="39"/>
      <c r="T2" s="82" t="s">
        <v>389</v>
      </c>
      <c r="U2" s="40">
        <v>45889</v>
      </c>
      <c r="V2" s="40">
        <v>45889</v>
      </c>
      <c r="W2" s="39" t="s">
        <v>151</v>
      </c>
      <c r="X2" s="39"/>
      <c r="Y2" s="39" t="s">
        <v>180</v>
      </c>
      <c r="Z2" s="40">
        <v>45889</v>
      </c>
      <c r="AA2" s="39"/>
      <c r="AB2" s="39"/>
      <c r="AC2" s="39"/>
      <c r="AD2" s="96" t="s">
        <v>390</v>
      </c>
      <c r="AE2" s="60" t="s">
        <v>153</v>
      </c>
    </row>
    <row r="3" spans="1:31" ht="25.5" customHeight="1">
      <c r="A3" s="38">
        <v>2</v>
      </c>
      <c r="B3" s="32" t="s">
        <v>5</v>
      </c>
      <c r="C3" s="50">
        <v>45877</v>
      </c>
      <c r="D3" s="50">
        <v>45890</v>
      </c>
      <c r="E3" s="37" t="s">
        <v>36</v>
      </c>
      <c r="F3" s="86" t="s">
        <v>141</v>
      </c>
      <c r="G3" s="84">
        <v>49552</v>
      </c>
      <c r="H3" s="85" t="s">
        <v>391</v>
      </c>
      <c r="I3" s="95" t="s">
        <v>148</v>
      </c>
      <c r="J3" s="38">
        <v>5</v>
      </c>
      <c r="K3" s="38">
        <v>9</v>
      </c>
      <c r="L3" s="38">
        <v>36</v>
      </c>
      <c r="M3" s="76">
        <v>45877</v>
      </c>
      <c r="N3" s="76">
        <v>45888</v>
      </c>
      <c r="O3" s="77" t="s">
        <v>388</v>
      </c>
      <c r="P3" s="38" t="s">
        <v>162</v>
      </c>
      <c r="Q3" s="39"/>
      <c r="R3" s="81" t="s">
        <v>149</v>
      </c>
      <c r="S3" s="39"/>
      <c r="T3" s="25" t="s">
        <v>392</v>
      </c>
      <c r="U3" s="40">
        <v>45888</v>
      </c>
      <c r="V3" s="40">
        <v>45888</v>
      </c>
      <c r="W3" s="39" t="s">
        <v>151</v>
      </c>
      <c r="X3" s="39"/>
      <c r="Y3" s="39" t="s">
        <v>180</v>
      </c>
      <c r="Z3" s="40">
        <v>45889</v>
      </c>
      <c r="AA3" s="39"/>
      <c r="AB3" s="39"/>
      <c r="AC3" s="39"/>
      <c r="AD3" s="64" t="s">
        <v>393</v>
      </c>
      <c r="AE3" s="60" t="s">
        <v>153</v>
      </c>
    </row>
    <row r="4" spans="1:31" ht="24.75" customHeight="1">
      <c r="A4" s="38">
        <v>3</v>
      </c>
      <c r="B4" s="32" t="s">
        <v>5</v>
      </c>
      <c r="C4" s="50">
        <v>45877</v>
      </c>
      <c r="D4" s="50">
        <v>45890</v>
      </c>
      <c r="E4" s="37" t="s">
        <v>394</v>
      </c>
      <c r="F4" s="87" t="s">
        <v>135</v>
      </c>
      <c r="G4" s="91">
        <v>49493</v>
      </c>
      <c r="H4" s="83" t="s">
        <v>395</v>
      </c>
      <c r="I4" s="88" t="s">
        <v>137</v>
      </c>
      <c r="J4" s="38">
        <v>13</v>
      </c>
      <c r="K4" s="38"/>
      <c r="L4" s="38"/>
      <c r="M4" s="76">
        <v>45877</v>
      </c>
      <c r="N4" s="76"/>
      <c r="O4" s="39"/>
      <c r="P4" s="37"/>
      <c r="Q4" s="39"/>
      <c r="R4" s="81"/>
      <c r="S4" s="39"/>
      <c r="T4" s="82"/>
      <c r="U4" s="76"/>
      <c r="V4" s="76"/>
      <c r="W4" s="39"/>
      <c r="X4" s="39"/>
      <c r="Y4" s="39"/>
      <c r="Z4" s="40"/>
      <c r="AA4" s="39"/>
      <c r="AB4" s="39"/>
      <c r="AC4" s="39"/>
      <c r="AD4" s="39" t="s">
        <v>396</v>
      </c>
      <c r="AE4" s="60"/>
    </row>
    <row r="5" spans="1:31">
      <c r="A5" s="37"/>
      <c r="B5" s="32"/>
      <c r="C5" s="50"/>
      <c r="D5" s="50"/>
      <c r="E5" s="37"/>
      <c r="F5" s="37"/>
      <c r="G5" s="89"/>
      <c r="H5" s="90"/>
      <c r="I5" s="78"/>
      <c r="J5" s="37"/>
      <c r="K5" s="37"/>
      <c r="L5" s="37"/>
      <c r="M5" s="38"/>
      <c r="N5" s="38"/>
      <c r="O5" s="64"/>
      <c r="P5" s="64"/>
      <c r="Q5" s="64"/>
      <c r="R5" s="64"/>
      <c r="S5" s="64"/>
      <c r="T5" s="65"/>
      <c r="U5" s="66"/>
      <c r="V5" s="64"/>
      <c r="W5" s="64"/>
      <c r="X5" s="64"/>
      <c r="Y5" s="64"/>
      <c r="Z5" s="40"/>
      <c r="AA5" s="64"/>
      <c r="AB5" s="64"/>
      <c r="AC5" s="64"/>
      <c r="AD5" s="64"/>
      <c r="AE5" s="79"/>
    </row>
    <row r="13" spans="1:31">
      <c r="I13" s="73"/>
    </row>
  </sheetData>
  <dataValidations count="1">
    <dataValidation type="list" allowBlank="1" showInputMessage="1" showErrorMessage="1" sqref="AE2:AE5" xr:uid="{6181C68E-398B-4392-85BA-759E49A268B8}">
      <formula1>"Exceeds Expectation, Meets Expectation, Needs improvements"</formula1>
    </dataValidation>
  </dataValidations>
  <hyperlinks>
    <hyperlink ref="T2" r:id="rId1" xr:uid="{E26B00A9-726C-4C07-ADAB-7E77802E843B}"/>
    <hyperlink ref="T3" r:id="rId2" xr:uid="{78D0AD07-D35D-470A-A2CA-9F758E87C515}"/>
  </hyperlinks>
  <pageMargins left="0.7" right="0.7" top="0.75" bottom="0.75" header="0.3" footer="0.3"/>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68963F62-04CF-4565-97D4-3B1F16D0FBF5}">
          <x14:formula1>
            <xm:f>Settings!$C$3:$C$20</xm:f>
          </x14:formula1>
          <xm:sqref>I13 I2:I4</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01C5-A809-4ED7-9D83-F8C493E32218}">
  <sheetPr>
    <outlinePr summaryBelow="0" summaryRight="0"/>
  </sheetPr>
  <dimension ref="A1:AC967"/>
  <sheetViews>
    <sheetView topLeftCell="B1" workbookViewId="0">
      <selection activeCell="I2" sqref="I2"/>
    </sheetView>
  </sheetViews>
  <sheetFormatPr defaultColWidth="12.5703125" defaultRowHeight="15" customHeight="1"/>
  <cols>
    <col min="1" max="1" width="12.5703125" style="20" hidden="1" customWidth="1"/>
    <col min="2" max="2" width="24.28515625" style="20" customWidth="1"/>
    <col min="3" max="3" width="17.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72" customHeight="1">
      <c r="B2" s="21" t="s">
        <v>36</v>
      </c>
      <c r="D2" s="15">
        <v>49550</v>
      </c>
      <c r="E2" s="87" t="s">
        <v>139</v>
      </c>
      <c r="F2" s="21" t="s">
        <v>303</v>
      </c>
      <c r="G2" s="94" t="s">
        <v>397</v>
      </c>
      <c r="H2" s="61" t="s">
        <v>256</v>
      </c>
      <c r="I2" s="61"/>
      <c r="J2" s="61"/>
      <c r="K2" s="61" t="s">
        <v>162</v>
      </c>
      <c r="L2" s="61" t="s">
        <v>13</v>
      </c>
      <c r="M2" s="70"/>
      <c r="N2" s="93" t="s">
        <v>398</v>
      </c>
    </row>
    <row r="3" spans="1:29" ht="39" customHeight="1">
      <c r="B3" s="21"/>
      <c r="C3" s="23"/>
      <c r="D3" s="23"/>
      <c r="E3" s="61"/>
      <c r="F3" s="21"/>
      <c r="G3" s="18"/>
      <c r="H3" s="61"/>
      <c r="I3" s="61"/>
      <c r="J3" s="61"/>
      <c r="K3" s="61"/>
      <c r="L3" s="61"/>
      <c r="M3" s="71"/>
      <c r="N3" s="26"/>
    </row>
    <row r="4" spans="1:29" ht="66.75" customHeight="1">
      <c r="B4" s="21"/>
      <c r="C4" s="23"/>
      <c r="D4" s="23"/>
      <c r="E4" s="61"/>
      <c r="F4" s="21"/>
      <c r="G4" s="18"/>
      <c r="H4" s="61"/>
      <c r="I4" s="61"/>
      <c r="J4" s="61"/>
      <c r="K4" s="61"/>
      <c r="L4" s="61"/>
      <c r="M4" s="72"/>
      <c r="N4" s="26"/>
    </row>
    <row r="5" spans="1:29" ht="15.75" customHeight="1">
      <c r="B5" s="18"/>
      <c r="C5" s="23"/>
      <c r="D5" s="23"/>
      <c r="E5" s="23"/>
      <c r="F5" s="18"/>
      <c r="G5" s="18"/>
      <c r="H5" s="23"/>
      <c r="I5" s="23"/>
      <c r="J5" s="23"/>
      <c r="K5" s="23"/>
      <c r="L5" s="23"/>
      <c r="M5" s="71"/>
      <c r="N5" s="23"/>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N1" xr:uid="{3A2BB050-11AC-4ED7-A296-96B42C7FCFBA}"/>
  <pageMargins left="0" right="0" top="0" bottom="0" header="0" footer="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22409-3D7C-4838-99AE-530BD64096B4}">
  <dimension ref="A1:AE13"/>
  <sheetViews>
    <sheetView topLeftCell="K1" workbookViewId="0">
      <selection activeCell="G9" sqref="G9"/>
    </sheetView>
  </sheetViews>
  <sheetFormatPr defaultRowHeight="12.75"/>
  <cols>
    <col min="1" max="1" width="7.7109375" style="29" bestFit="1" customWidth="1"/>
    <col min="2" max="2" width="13" style="29" customWidth="1"/>
    <col min="3" max="3" width="14.42578125" style="29" customWidth="1"/>
    <col min="4" max="4" width="12" style="29" customWidth="1"/>
    <col min="5" max="5" width="22.140625" style="29" bestFit="1" customWidth="1"/>
    <col min="6" max="6" width="15.85546875" style="29" customWidth="1"/>
    <col min="7" max="7" width="12.140625" style="29" customWidth="1"/>
    <col min="8" max="8" width="42.28515625" style="31" customWidth="1"/>
    <col min="9" max="9" width="18.85546875" style="29" customWidth="1"/>
    <col min="10" max="10" width="10.42578125" style="29" customWidth="1"/>
    <col min="11" max="11" width="9" style="29" customWidth="1"/>
    <col min="12" max="14" width="10.28515625" style="29" customWidth="1"/>
    <col min="15" max="15" width="11.4257812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20.85546875" style="3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52.5" customHeight="1">
      <c r="A2" s="38">
        <v>1</v>
      </c>
      <c r="B2" s="32" t="s">
        <v>5</v>
      </c>
      <c r="C2" s="50">
        <v>45863</v>
      </c>
      <c r="D2" s="50">
        <v>45876</v>
      </c>
      <c r="E2" s="37" t="s">
        <v>33</v>
      </c>
      <c r="F2" s="38" t="s">
        <v>141</v>
      </c>
      <c r="G2" s="38">
        <v>49184</v>
      </c>
      <c r="H2" s="38" t="s">
        <v>399</v>
      </c>
      <c r="I2" s="57" t="s">
        <v>148</v>
      </c>
      <c r="J2" s="38">
        <v>5</v>
      </c>
      <c r="K2" s="38">
        <v>7</v>
      </c>
      <c r="L2" s="38">
        <v>31</v>
      </c>
      <c r="M2" s="76">
        <v>45863</v>
      </c>
      <c r="N2" s="76">
        <v>45873</v>
      </c>
      <c r="O2" s="77" t="s">
        <v>13</v>
      </c>
      <c r="P2" s="38" t="s">
        <v>135</v>
      </c>
      <c r="Q2" s="39"/>
      <c r="R2" s="81" t="s">
        <v>166</v>
      </c>
      <c r="S2" s="39"/>
      <c r="T2" s="82" t="s">
        <v>400</v>
      </c>
      <c r="U2" s="40">
        <v>45873</v>
      </c>
      <c r="V2" s="40">
        <v>45873</v>
      </c>
      <c r="W2" s="39" t="s">
        <v>151</v>
      </c>
      <c r="X2" s="39"/>
      <c r="Y2" s="39" t="s">
        <v>180</v>
      </c>
      <c r="Z2" s="40"/>
      <c r="AA2" s="39"/>
      <c r="AB2" s="39"/>
      <c r="AC2" s="39"/>
      <c r="AD2" s="74"/>
      <c r="AE2" s="60" t="s">
        <v>153</v>
      </c>
    </row>
    <row r="3" spans="1:31" ht="57.75" customHeight="1">
      <c r="A3" s="38">
        <v>2</v>
      </c>
      <c r="B3" s="32" t="s">
        <v>5</v>
      </c>
      <c r="C3" s="50">
        <v>45863</v>
      </c>
      <c r="D3" s="50">
        <v>45876</v>
      </c>
      <c r="E3" s="37" t="s">
        <v>401</v>
      </c>
      <c r="F3" s="38" t="s">
        <v>402</v>
      </c>
      <c r="G3" s="26">
        <v>49355</v>
      </c>
      <c r="H3" s="38" t="s">
        <v>403</v>
      </c>
      <c r="I3" s="57" t="s">
        <v>148</v>
      </c>
      <c r="J3" s="38">
        <v>13</v>
      </c>
      <c r="K3" s="38">
        <v>25</v>
      </c>
      <c r="L3" s="38">
        <v>101</v>
      </c>
      <c r="M3" s="76">
        <v>45863</v>
      </c>
      <c r="N3" s="76">
        <v>45875</v>
      </c>
      <c r="O3" s="77" t="s">
        <v>13</v>
      </c>
      <c r="P3" s="38"/>
      <c r="Q3" s="39"/>
      <c r="R3" s="39"/>
      <c r="S3" s="39"/>
      <c r="T3" s="25"/>
      <c r="U3" s="40"/>
      <c r="V3" s="40"/>
      <c r="W3" s="39"/>
      <c r="X3" s="39"/>
      <c r="Y3" s="39"/>
      <c r="Z3" s="40"/>
      <c r="AA3" s="39"/>
      <c r="AB3" s="39"/>
      <c r="AC3" s="39"/>
      <c r="AD3" s="64" t="s">
        <v>404</v>
      </c>
      <c r="AE3" s="60" t="s">
        <v>153</v>
      </c>
    </row>
    <row r="4" spans="1:31" ht="62.25" customHeight="1">
      <c r="A4" s="38">
        <v>3</v>
      </c>
      <c r="B4" s="32" t="s">
        <v>5</v>
      </c>
      <c r="C4" s="50">
        <v>45863</v>
      </c>
      <c r="D4" s="50">
        <v>45876</v>
      </c>
      <c r="E4" s="37" t="s">
        <v>401</v>
      </c>
      <c r="F4" s="73" t="s">
        <v>139</v>
      </c>
      <c r="G4" s="38">
        <v>49144</v>
      </c>
      <c r="H4" s="57" t="s">
        <v>405</v>
      </c>
      <c r="I4" s="57" t="s">
        <v>148</v>
      </c>
      <c r="J4" s="38">
        <v>8</v>
      </c>
      <c r="K4" s="38">
        <v>9</v>
      </c>
      <c r="L4" s="38">
        <v>37</v>
      </c>
      <c r="M4" s="76">
        <v>45863</v>
      </c>
      <c r="N4" s="76">
        <v>45875</v>
      </c>
      <c r="O4" s="39" t="s">
        <v>13</v>
      </c>
      <c r="P4" s="37" t="s">
        <v>141</v>
      </c>
      <c r="Q4" s="39"/>
      <c r="R4" s="81" t="s">
        <v>166</v>
      </c>
      <c r="S4" s="39"/>
      <c r="T4" s="82" t="s">
        <v>406</v>
      </c>
      <c r="U4" s="76">
        <v>45875</v>
      </c>
      <c r="V4" s="76">
        <v>45875</v>
      </c>
      <c r="W4" s="39" t="s">
        <v>151</v>
      </c>
      <c r="X4" s="39"/>
      <c r="Y4" s="39" t="s">
        <v>180</v>
      </c>
      <c r="Z4" s="40"/>
      <c r="AA4" s="39"/>
      <c r="AB4" s="39"/>
      <c r="AC4" s="39"/>
      <c r="AD4" s="39"/>
      <c r="AE4" s="60" t="s">
        <v>153</v>
      </c>
    </row>
    <row r="5" spans="1:31">
      <c r="A5" s="37"/>
      <c r="B5" s="32"/>
      <c r="C5" s="50"/>
      <c r="D5" s="50"/>
      <c r="E5" s="37"/>
      <c r="F5" s="37"/>
      <c r="G5" s="26"/>
      <c r="H5" s="37"/>
      <c r="I5" s="78"/>
      <c r="J5" s="37"/>
      <c r="K5" s="37"/>
      <c r="L5" s="37"/>
      <c r="M5" s="38"/>
      <c r="N5" s="38"/>
      <c r="O5" s="64"/>
      <c r="P5" s="64"/>
      <c r="Q5" s="64"/>
      <c r="R5" s="64"/>
      <c r="S5" s="64"/>
      <c r="T5" s="65"/>
      <c r="U5" s="66"/>
      <c r="V5" s="64"/>
      <c r="W5" s="64"/>
      <c r="X5" s="64"/>
      <c r="Y5" s="64"/>
      <c r="Z5" s="40"/>
      <c r="AA5" s="64"/>
      <c r="AB5" s="64"/>
      <c r="AC5" s="64"/>
      <c r="AD5" s="64"/>
      <c r="AE5" s="79"/>
    </row>
    <row r="13" spans="1:31">
      <c r="I13" s="73"/>
    </row>
  </sheetData>
  <dataValidations count="1">
    <dataValidation type="list" allowBlank="1" showInputMessage="1" showErrorMessage="1" sqref="AE2:AE5" xr:uid="{77D707A4-2EF4-423D-AC33-0DCD55ACA43E}">
      <formula1>"Exceeds Expectation, Meets Expectation, Needs improvements"</formula1>
    </dataValidation>
  </dataValidations>
  <hyperlinks>
    <hyperlink ref="T2" r:id="rId1" xr:uid="{39EF907D-8CBF-457F-88FF-044F704A58F0}"/>
    <hyperlink ref="T4" r:id="rId2" xr:uid="{EAB818B5-9FC8-4637-9FAD-01A87E9A0246}"/>
  </hyperlinks>
  <pageMargins left="0.7" right="0.7" top="0.75" bottom="0.75" header="0.3" footer="0.3"/>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37E582CA-65E3-49E5-B5DE-79D59D7C52ED}">
          <x14:formula1>
            <xm:f>Settings!$C$3:$C$20</xm:f>
          </x14:formula1>
          <xm:sqref>I2:I4 H4 I13</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B8B64-2571-4A93-B031-027CB139F30E}">
  <sheetPr>
    <outlinePr summaryBelow="0" summaryRight="0"/>
  </sheetPr>
  <dimension ref="A1:AC968"/>
  <sheetViews>
    <sheetView topLeftCell="B1" workbookViewId="0"/>
  </sheetViews>
  <sheetFormatPr defaultColWidth="12.5703125" defaultRowHeight="15" customHeight="1"/>
  <cols>
    <col min="1" max="1" width="12.5703125" style="20" hidden="1" customWidth="1"/>
    <col min="2" max="2" width="24.28515625" style="20" customWidth="1"/>
    <col min="3" max="3" width="17.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ht="27">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57.75" customHeight="1">
      <c r="D2" s="61"/>
      <c r="E2" s="61"/>
      <c r="F2" s="21"/>
      <c r="H2" s="61"/>
      <c r="I2" s="61"/>
      <c r="J2" s="61"/>
      <c r="K2" s="61"/>
      <c r="L2" s="61"/>
      <c r="M2" s="70"/>
      <c r="N2" s="69"/>
    </row>
    <row r="3" spans="1:29" ht="56.25" customHeight="1">
      <c r="B3" s="21"/>
      <c r="C3" s="23"/>
      <c r="D3" s="23"/>
      <c r="E3" s="61"/>
      <c r="F3" s="21"/>
      <c r="G3" s="18"/>
      <c r="H3" s="61"/>
      <c r="I3" s="61"/>
      <c r="J3" s="61"/>
      <c r="K3" s="61"/>
      <c r="L3" s="61"/>
      <c r="M3" s="71"/>
      <c r="N3" s="69"/>
    </row>
    <row r="4" spans="1:29" ht="39" customHeight="1">
      <c r="B4" s="21"/>
      <c r="C4" s="23"/>
      <c r="D4" s="23"/>
      <c r="E4" s="61"/>
      <c r="F4" s="21"/>
      <c r="G4" s="18"/>
      <c r="H4" s="61"/>
      <c r="I4" s="61"/>
      <c r="J4" s="61"/>
      <c r="K4" s="61"/>
      <c r="L4" s="61"/>
      <c r="M4" s="71"/>
      <c r="N4" s="26"/>
    </row>
    <row r="5" spans="1:29" ht="66.75" customHeight="1">
      <c r="B5" s="21"/>
      <c r="C5" s="23"/>
      <c r="D5" s="23"/>
      <c r="E5" s="61"/>
      <c r="F5" s="21"/>
      <c r="G5" s="18"/>
      <c r="H5" s="61"/>
      <c r="I5" s="61"/>
      <c r="J5" s="61"/>
      <c r="K5" s="61"/>
      <c r="L5" s="61"/>
      <c r="M5" s="72"/>
      <c r="N5" s="26"/>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c r="B15" s="18"/>
      <c r="C15" s="23"/>
      <c r="D15" s="23"/>
      <c r="E15" s="23"/>
      <c r="F15" s="18"/>
      <c r="G15" s="18"/>
      <c r="H15" s="23"/>
      <c r="I15" s="23"/>
      <c r="J15" s="23"/>
      <c r="K15" s="23"/>
      <c r="L15" s="23"/>
      <c r="M15" s="71"/>
      <c r="N15" s="23"/>
    </row>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autoFilter ref="A1:N1" xr:uid="{3A2BB050-11AC-4ED7-A296-96B42C7FCFBA}"/>
  <pageMargins left="0" right="0" top="0" bottom="0" header="0" footer="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FD9B-6B63-420A-BCB9-3D869BF54A81}">
  <dimension ref="A1:AE5"/>
  <sheetViews>
    <sheetView topLeftCell="Y2" workbookViewId="0">
      <selection activeCell="Y2" sqref="Y2"/>
    </sheetView>
  </sheetViews>
  <sheetFormatPr defaultRowHeight="12.75"/>
  <cols>
    <col min="1" max="1" width="7.7109375" style="29" bestFit="1" customWidth="1"/>
    <col min="2" max="2" width="13" style="29" customWidth="1"/>
    <col min="3" max="3" width="14.42578125" style="29" customWidth="1"/>
    <col min="4" max="4" width="12" style="29" customWidth="1"/>
    <col min="5" max="5" width="22.140625" style="29" bestFit="1" customWidth="1"/>
    <col min="6" max="6" width="15.85546875" style="29" customWidth="1"/>
    <col min="7" max="7" width="12.140625" style="29" customWidth="1"/>
    <col min="8" max="8" width="42.28515625" style="31" customWidth="1"/>
    <col min="9" max="9" width="18.85546875" style="29" customWidth="1"/>
    <col min="10" max="10" width="10.42578125" style="29" customWidth="1"/>
    <col min="11" max="11" width="9" style="29" customWidth="1"/>
    <col min="12" max="14" width="10.28515625" style="29" customWidth="1"/>
    <col min="15" max="15" width="11.42578125" style="31" customWidth="1"/>
    <col min="16" max="16" width="12.5703125" style="31" customWidth="1"/>
    <col min="17" max="17" width="26.7109375" style="31" customWidth="1"/>
    <col min="18" max="18" width="12.42578125" style="31" customWidth="1"/>
    <col min="19" max="19" width="30.85546875" style="31" customWidth="1"/>
    <col min="20" max="20" width="64.140625" style="31" customWidth="1"/>
    <col min="21" max="22" width="13.42578125" style="31" bestFit="1" customWidth="1"/>
    <col min="23" max="23" width="11.42578125" style="31" bestFit="1" customWidth="1"/>
    <col min="24" max="24" width="11.42578125" style="35" bestFit="1" customWidth="1"/>
    <col min="25" max="25" width="11.42578125" style="31" bestFit="1" customWidth="1"/>
    <col min="26" max="26" width="19.7109375" style="31" customWidth="1"/>
    <col min="27" max="27" width="11.42578125" style="31" bestFit="1" customWidth="1"/>
    <col min="28" max="28" width="20.5703125" style="31" customWidth="1"/>
    <col min="29" max="29" width="59.5703125" style="31" customWidth="1"/>
    <col min="30" max="30" width="50.5703125" style="31" customWidth="1"/>
    <col min="31" max="31" width="33.5703125" style="31" customWidth="1"/>
    <col min="32" max="16384" width="9.140625" style="31"/>
  </cols>
  <sheetData>
    <row r="1" spans="1:31" ht="46.5">
      <c r="A1" s="44" t="s">
        <v>87</v>
      </c>
      <c r="B1" s="24" t="s">
        <v>4</v>
      </c>
      <c r="C1" s="24" t="s">
        <v>2</v>
      </c>
      <c r="D1" s="24" t="s">
        <v>3</v>
      </c>
      <c r="E1" s="45" t="s">
        <v>110</v>
      </c>
      <c r="F1" s="45" t="s">
        <v>90</v>
      </c>
      <c r="G1" s="45" t="s">
        <v>111</v>
      </c>
      <c r="H1" s="46" t="s">
        <v>112</v>
      </c>
      <c r="I1" s="45" t="s">
        <v>96</v>
      </c>
      <c r="J1" s="24" t="s">
        <v>113</v>
      </c>
      <c r="K1" s="24" t="s">
        <v>114</v>
      </c>
      <c r="L1" s="24" t="s">
        <v>115</v>
      </c>
      <c r="M1" s="75" t="s">
        <v>116</v>
      </c>
      <c r="N1" s="75" t="s">
        <v>117</v>
      </c>
      <c r="O1" s="46" t="s">
        <v>118</v>
      </c>
      <c r="P1" s="46" t="s">
        <v>119</v>
      </c>
      <c r="Q1" s="46" t="s">
        <v>120</v>
      </c>
      <c r="R1" s="46" t="s">
        <v>121</v>
      </c>
      <c r="S1" s="46" t="s">
        <v>122</v>
      </c>
      <c r="T1" s="46" t="s">
        <v>123</v>
      </c>
      <c r="U1" s="46" t="s">
        <v>124</v>
      </c>
      <c r="V1" s="46" t="s">
        <v>125</v>
      </c>
      <c r="W1" s="46" t="s">
        <v>126</v>
      </c>
      <c r="X1" s="46" t="s">
        <v>127</v>
      </c>
      <c r="Y1" s="46" t="s">
        <v>128</v>
      </c>
      <c r="Z1" s="46" t="s">
        <v>129</v>
      </c>
      <c r="AA1" s="46" t="s">
        <v>130</v>
      </c>
      <c r="AB1" s="46" t="s">
        <v>131</v>
      </c>
      <c r="AC1" s="46" t="s">
        <v>132</v>
      </c>
      <c r="AD1" s="47" t="s">
        <v>98</v>
      </c>
      <c r="AE1" s="46" t="s">
        <v>133</v>
      </c>
    </row>
    <row r="2" spans="1:31" ht="52.5" customHeight="1">
      <c r="A2" s="38">
        <v>1</v>
      </c>
      <c r="B2" s="32" t="s">
        <v>5</v>
      </c>
      <c r="C2" s="50">
        <v>45849</v>
      </c>
      <c r="D2" s="50">
        <v>45862</v>
      </c>
      <c r="E2" s="37" t="s">
        <v>29</v>
      </c>
      <c r="F2" s="38" t="s">
        <v>141</v>
      </c>
      <c r="G2" s="38">
        <v>49147</v>
      </c>
      <c r="H2" s="38" t="s">
        <v>407</v>
      </c>
      <c r="I2" s="57" t="s">
        <v>148</v>
      </c>
      <c r="J2" s="38">
        <v>8</v>
      </c>
      <c r="K2" s="38">
        <v>8</v>
      </c>
      <c r="L2" s="38">
        <v>46</v>
      </c>
      <c r="M2" s="76">
        <v>45852</v>
      </c>
      <c r="N2" s="76">
        <v>45861</v>
      </c>
      <c r="O2" s="77" t="s">
        <v>13</v>
      </c>
      <c r="P2" s="38" t="s">
        <v>408</v>
      </c>
      <c r="Q2" s="39"/>
      <c r="R2" s="77" t="s">
        <v>166</v>
      </c>
      <c r="S2" s="39" t="s">
        <v>409</v>
      </c>
      <c r="T2" s="25" t="s">
        <v>410</v>
      </c>
      <c r="U2" s="40" t="s">
        <v>411</v>
      </c>
      <c r="V2" s="40" t="s">
        <v>412</v>
      </c>
      <c r="W2" s="39" t="s">
        <v>151</v>
      </c>
      <c r="X2" s="39"/>
      <c r="Y2" s="39" t="s">
        <v>180</v>
      </c>
      <c r="Z2" s="40" t="s">
        <v>412</v>
      </c>
      <c r="AA2" s="39"/>
      <c r="AB2" s="39"/>
      <c r="AC2" s="39" t="s">
        <v>413</v>
      </c>
      <c r="AD2" s="74"/>
      <c r="AE2" s="60" t="s">
        <v>153</v>
      </c>
    </row>
    <row r="3" spans="1:31" ht="72" customHeight="1">
      <c r="A3" s="38">
        <v>2</v>
      </c>
      <c r="B3" s="32" t="s">
        <v>5</v>
      </c>
      <c r="C3" s="50">
        <v>45849</v>
      </c>
      <c r="D3" s="50">
        <v>45862</v>
      </c>
      <c r="E3" s="37" t="s">
        <v>29</v>
      </c>
      <c r="F3" s="38" t="s">
        <v>135</v>
      </c>
      <c r="G3" s="26">
        <v>48962</v>
      </c>
      <c r="H3" s="38" t="s">
        <v>414</v>
      </c>
      <c r="I3" s="57" t="s">
        <v>148</v>
      </c>
      <c r="J3" s="38">
        <v>5</v>
      </c>
      <c r="K3" s="38">
        <v>5</v>
      </c>
      <c r="L3" s="38">
        <v>39</v>
      </c>
      <c r="M3" s="38" t="s">
        <v>415</v>
      </c>
      <c r="N3" s="38" t="s">
        <v>416</v>
      </c>
      <c r="O3" s="77" t="s">
        <v>13</v>
      </c>
      <c r="P3" s="38" t="s">
        <v>417</v>
      </c>
      <c r="Q3" s="39"/>
      <c r="R3" s="39" t="s">
        <v>166</v>
      </c>
      <c r="S3" s="39" t="s">
        <v>418</v>
      </c>
      <c r="T3" s="25" t="s">
        <v>419</v>
      </c>
      <c r="U3" s="40" t="s">
        <v>420</v>
      </c>
      <c r="V3" s="40" t="s">
        <v>411</v>
      </c>
      <c r="W3" s="39" t="s">
        <v>151</v>
      </c>
      <c r="X3" s="39"/>
      <c r="Y3" s="39" t="s">
        <v>180</v>
      </c>
      <c r="Z3" s="40" t="s">
        <v>411</v>
      </c>
      <c r="AA3" s="39"/>
      <c r="AB3" s="39"/>
      <c r="AC3" s="39" t="s">
        <v>421</v>
      </c>
      <c r="AD3" s="64" t="s">
        <v>422</v>
      </c>
      <c r="AE3" s="60" t="s">
        <v>153</v>
      </c>
    </row>
    <row r="4" spans="1:31" ht="62.25" customHeight="1">
      <c r="A4" s="38">
        <v>3</v>
      </c>
      <c r="B4" s="32" t="s">
        <v>5</v>
      </c>
      <c r="C4" s="50">
        <v>45849</v>
      </c>
      <c r="D4" s="50">
        <v>45862</v>
      </c>
      <c r="E4" s="37" t="s">
        <v>29</v>
      </c>
      <c r="F4" s="73" t="s">
        <v>139</v>
      </c>
      <c r="G4" s="38">
        <v>49145</v>
      </c>
      <c r="H4" s="57" t="s">
        <v>423</v>
      </c>
      <c r="I4" s="57" t="s">
        <v>148</v>
      </c>
      <c r="J4" s="38">
        <v>8</v>
      </c>
      <c r="K4" s="38">
        <v>8</v>
      </c>
      <c r="L4" s="38">
        <v>43.5</v>
      </c>
      <c r="M4" s="76">
        <v>45852</v>
      </c>
      <c r="N4" s="76">
        <v>45861</v>
      </c>
      <c r="O4" s="39" t="s">
        <v>13</v>
      </c>
      <c r="P4" s="38" t="s">
        <v>141</v>
      </c>
      <c r="Q4" s="39"/>
      <c r="R4" s="77" t="s">
        <v>166</v>
      </c>
      <c r="S4" s="39"/>
      <c r="T4" s="25" t="s">
        <v>410</v>
      </c>
      <c r="U4" s="40" t="s">
        <v>411</v>
      </c>
      <c r="V4" s="40" t="s">
        <v>412</v>
      </c>
      <c r="W4" s="39" t="s">
        <v>151</v>
      </c>
      <c r="X4" s="39"/>
      <c r="Y4" s="39" t="s">
        <v>180</v>
      </c>
      <c r="Z4" s="40" t="s">
        <v>412</v>
      </c>
      <c r="AA4" s="39"/>
      <c r="AB4" s="39"/>
      <c r="AC4" s="39"/>
      <c r="AD4" s="39" t="s">
        <v>424</v>
      </c>
      <c r="AE4" s="60" t="s">
        <v>153</v>
      </c>
    </row>
    <row r="5" spans="1:31">
      <c r="A5" s="37"/>
      <c r="B5" s="32"/>
      <c r="C5" s="50"/>
      <c r="D5" s="50"/>
      <c r="E5" s="37"/>
      <c r="F5" s="37"/>
      <c r="G5" s="26"/>
      <c r="H5" s="37"/>
      <c r="I5" s="78"/>
      <c r="J5" s="37"/>
      <c r="K5" s="37"/>
      <c r="L5" s="37"/>
      <c r="M5" s="38"/>
      <c r="N5" s="38"/>
      <c r="O5" s="64"/>
      <c r="P5" s="64"/>
      <c r="Q5" s="64"/>
      <c r="R5" s="64"/>
      <c r="S5" s="64"/>
      <c r="T5" s="65"/>
      <c r="U5" s="66"/>
      <c r="V5" s="64"/>
      <c r="W5" s="64"/>
      <c r="X5" s="64"/>
      <c r="Y5" s="64"/>
      <c r="Z5" s="40"/>
      <c r="AA5" s="64"/>
      <c r="AB5" s="64"/>
      <c r="AC5" s="64"/>
      <c r="AD5" s="64"/>
      <c r="AE5" s="79"/>
    </row>
  </sheetData>
  <dataValidations count="1">
    <dataValidation type="list" allowBlank="1" showInputMessage="1" showErrorMessage="1" sqref="AE2:AE5" xr:uid="{DA386C3D-63C0-4320-A11C-F00011F6034B}">
      <formula1>"Exceeds Expectation, Meets Expectation, Needs improvements"</formula1>
    </dataValidation>
  </dataValidations>
  <hyperlinks>
    <hyperlink ref="T3" r:id="rId1" xr:uid="{6891AAD3-14B6-4BFF-9AA2-F27333632689}"/>
    <hyperlink ref="T2" r:id="rId2" xr:uid="{97A6CCA0-D779-4A86-B71D-20E3899341C3}"/>
    <hyperlink ref="T4" r:id="rId3" xr:uid="{55570792-7722-4C1C-8FC4-0896394D3CE8}"/>
  </hyperlinks>
  <pageMargins left="0.7" right="0.7" top="0.75" bottom="0.75" header="0.3" footer="0.3"/>
  <legacyDrawing r:id="rId4"/>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EAF72FE8-AD59-49E0-ABD1-25B906BDA242}">
          <x14:formula1>
            <xm:f>Settings!$C$3:$C$20</xm:f>
          </x14:formula1>
          <xm:sqref>H4:I4 I2:I3</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CADF2-C326-4EAC-9830-29DF5BA85C06}">
  <sheetPr>
    <outlinePr summaryBelow="0" summaryRight="0"/>
  </sheetPr>
  <dimension ref="A1:AC968"/>
  <sheetViews>
    <sheetView topLeftCell="B1" workbookViewId="0">
      <selection activeCell="M3" sqref="M3"/>
    </sheetView>
  </sheetViews>
  <sheetFormatPr defaultColWidth="12.5703125" defaultRowHeight="15" customHeight="1"/>
  <cols>
    <col min="1" max="1" width="12.5703125" style="20" hidden="1" customWidth="1"/>
    <col min="2" max="2" width="18.28515625" style="20" customWidth="1"/>
    <col min="3" max="3" width="11.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6.42578125" style="15" customWidth="1"/>
    <col min="14" max="14" width="56" style="15" customWidth="1"/>
    <col min="15" max="16384" width="12.5703125" style="20"/>
  </cols>
  <sheetData>
    <row r="1" spans="1:29" ht="27">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38.25" customHeight="1">
      <c r="B2" s="21" t="s">
        <v>425</v>
      </c>
      <c r="C2" s="3">
        <v>49355</v>
      </c>
      <c r="D2" s="61"/>
      <c r="E2" s="61" t="s">
        <v>135</v>
      </c>
      <c r="F2" s="21"/>
      <c r="G2" s="21" t="s">
        <v>426</v>
      </c>
      <c r="H2" s="61"/>
      <c r="I2" s="61"/>
      <c r="J2" s="61"/>
      <c r="K2" s="61"/>
      <c r="L2" s="61" t="s">
        <v>13</v>
      </c>
      <c r="M2" s="70"/>
      <c r="N2" s="69"/>
    </row>
    <row r="3" spans="1:29" ht="56.25" customHeight="1">
      <c r="B3" s="21" t="s">
        <v>425</v>
      </c>
      <c r="C3" s="73">
        <v>49145</v>
      </c>
      <c r="D3" s="23"/>
      <c r="E3" s="61" t="s">
        <v>139</v>
      </c>
      <c r="F3" s="21"/>
      <c r="G3" s="18" t="s">
        <v>427</v>
      </c>
      <c r="H3" s="61"/>
      <c r="I3" s="61"/>
      <c r="J3" s="61"/>
      <c r="K3" s="61"/>
      <c r="L3" s="61" t="s">
        <v>13</v>
      </c>
      <c r="M3" s="71"/>
      <c r="N3" s="69"/>
    </row>
    <row r="4" spans="1:29" ht="39" customHeight="1">
      <c r="B4" s="21"/>
      <c r="C4" s="23"/>
      <c r="D4" s="23"/>
      <c r="E4" s="61"/>
      <c r="F4" s="21"/>
      <c r="G4" s="18"/>
      <c r="H4" s="61"/>
      <c r="I4" s="61"/>
      <c r="J4" s="61"/>
      <c r="K4" s="61"/>
      <c r="L4" s="61"/>
      <c r="M4" s="71"/>
      <c r="N4" s="26"/>
    </row>
    <row r="5" spans="1:29" ht="66.75" customHeight="1">
      <c r="B5" s="21"/>
      <c r="C5" s="23"/>
      <c r="D5" s="23"/>
      <c r="E5" s="61"/>
      <c r="F5" s="21"/>
      <c r="G5" s="18"/>
      <c r="H5" s="61"/>
      <c r="I5" s="61"/>
      <c r="J5" s="61"/>
      <c r="K5" s="61"/>
      <c r="L5" s="61"/>
      <c r="M5" s="72"/>
      <c r="N5" s="26"/>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c r="B15" s="18"/>
      <c r="C15" s="23"/>
      <c r="D15" s="23"/>
      <c r="E15" s="23"/>
      <c r="F15" s="18"/>
      <c r="G15" s="18"/>
      <c r="H15" s="23"/>
      <c r="I15" s="23"/>
      <c r="J15" s="23"/>
      <c r="K15" s="23"/>
      <c r="L15" s="23"/>
      <c r="M15" s="71"/>
      <c r="N15" s="23"/>
    </row>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autoFilter ref="A1:N1" xr:uid="{3A2BB050-11AC-4ED7-A296-96B42C7FCFBA}"/>
  <pageMargins left="0" right="0" top="0" bottom="0" header="0" footer="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E399-09A9-4461-A00A-87E1D8BB9F2B}">
  <dimension ref="A1:AC5"/>
  <sheetViews>
    <sheetView topLeftCell="AA1" workbookViewId="0">
      <selection activeCell="AC2" sqref="AC2"/>
    </sheetView>
  </sheetViews>
  <sheetFormatPr defaultRowHeight="12.75"/>
  <cols>
    <col min="1" max="1" width="7.7109375" style="29" bestFit="1" customWidth="1"/>
    <col min="2" max="2" width="13" style="29" customWidth="1"/>
    <col min="3" max="3" width="14.42578125" style="29" customWidth="1"/>
    <col min="4" max="4" width="12" style="29" customWidth="1"/>
    <col min="5" max="5" width="22.140625" style="29" bestFit="1" customWidth="1"/>
    <col min="6" max="6" width="15.85546875" style="29" customWidth="1"/>
    <col min="7" max="7" width="12.140625" style="29" customWidth="1"/>
    <col min="8" max="8" width="42.28515625" style="31" customWidth="1"/>
    <col min="9" max="9" width="18.85546875" style="29" customWidth="1"/>
    <col min="10" max="10" width="10.42578125" style="29" customWidth="1"/>
    <col min="11" max="11" width="9" style="29" customWidth="1"/>
    <col min="12" max="12" width="10.28515625" style="29" customWidth="1"/>
    <col min="13" max="13" width="11.42578125" style="31" customWidth="1"/>
    <col min="14" max="14" width="12.5703125" style="31" customWidth="1"/>
    <col min="15" max="15" width="26.7109375" style="31" customWidth="1"/>
    <col min="16" max="16" width="12.42578125" style="31" customWidth="1"/>
    <col min="17" max="17" width="30.85546875" style="31" customWidth="1"/>
    <col min="18" max="18" width="45.5703125" style="31" customWidth="1"/>
    <col min="19" max="20" width="13.42578125" style="31" bestFit="1" customWidth="1"/>
    <col min="21" max="21" width="11.42578125" style="31" bestFit="1" customWidth="1"/>
    <col min="22" max="22" width="11.42578125" style="35" bestFit="1" customWidth="1"/>
    <col min="23" max="23" width="11.42578125" style="31" bestFit="1" customWidth="1"/>
    <col min="24" max="24" width="19.7109375" style="31" customWidth="1"/>
    <col min="25" max="25" width="11.42578125" style="31" bestFit="1" customWidth="1"/>
    <col min="26" max="26" width="20.5703125" style="31" customWidth="1"/>
    <col min="27" max="27" width="59.5703125" style="31" customWidth="1"/>
    <col min="28" max="28" width="50.5703125" style="31" customWidth="1"/>
    <col min="29" max="29" width="33.5703125" style="31" customWidth="1"/>
    <col min="30" max="16384" width="9.140625" style="31"/>
  </cols>
  <sheetData>
    <row r="1" spans="1:29" ht="46.5">
      <c r="A1" s="44" t="s">
        <v>87</v>
      </c>
      <c r="B1" s="24" t="s">
        <v>4</v>
      </c>
      <c r="C1" s="24" t="s">
        <v>2</v>
      </c>
      <c r="D1" s="24" t="s">
        <v>3</v>
      </c>
      <c r="E1" s="45" t="s">
        <v>110</v>
      </c>
      <c r="F1" s="45" t="s">
        <v>90</v>
      </c>
      <c r="G1" s="45" t="s">
        <v>111</v>
      </c>
      <c r="H1" s="46" t="s">
        <v>112</v>
      </c>
      <c r="I1" s="45" t="s">
        <v>96</v>
      </c>
      <c r="J1" s="24" t="s">
        <v>113</v>
      </c>
      <c r="K1" s="24" t="s">
        <v>114</v>
      </c>
      <c r="L1" s="24" t="s">
        <v>115</v>
      </c>
      <c r="M1" s="46" t="s">
        <v>118</v>
      </c>
      <c r="N1" s="46" t="s">
        <v>119</v>
      </c>
      <c r="O1" s="46" t="s">
        <v>120</v>
      </c>
      <c r="P1" s="46" t="s">
        <v>121</v>
      </c>
      <c r="Q1" s="46" t="s">
        <v>122</v>
      </c>
      <c r="R1" s="46" t="s">
        <v>123</v>
      </c>
      <c r="S1" s="46" t="s">
        <v>124</v>
      </c>
      <c r="T1" s="46" t="s">
        <v>125</v>
      </c>
      <c r="U1" s="46" t="s">
        <v>126</v>
      </c>
      <c r="V1" s="46" t="s">
        <v>127</v>
      </c>
      <c r="W1" s="46" t="s">
        <v>128</v>
      </c>
      <c r="X1" s="46" t="s">
        <v>129</v>
      </c>
      <c r="Y1" s="46" t="s">
        <v>130</v>
      </c>
      <c r="Z1" s="46" t="s">
        <v>131</v>
      </c>
      <c r="AA1" s="46" t="s">
        <v>132</v>
      </c>
      <c r="AB1" s="47" t="s">
        <v>98</v>
      </c>
      <c r="AC1" s="46" t="s">
        <v>133</v>
      </c>
    </row>
    <row r="2" spans="1:29" ht="52.5" customHeight="1">
      <c r="A2" s="38">
        <v>1</v>
      </c>
      <c r="B2" s="32" t="s">
        <v>5</v>
      </c>
      <c r="C2" s="50">
        <v>45835</v>
      </c>
      <c r="D2" s="50">
        <v>45848</v>
      </c>
      <c r="E2" s="37" t="s">
        <v>26</v>
      </c>
      <c r="F2" s="38" t="s">
        <v>428</v>
      </c>
      <c r="G2" s="63">
        <v>48500</v>
      </c>
      <c r="H2" s="38" t="s">
        <v>429</v>
      </c>
      <c r="I2" s="57" t="s">
        <v>137</v>
      </c>
      <c r="J2" s="38">
        <v>13</v>
      </c>
      <c r="K2" s="38">
        <v>13</v>
      </c>
      <c r="L2" s="38">
        <v>97</v>
      </c>
      <c r="M2" s="39" t="s">
        <v>13</v>
      </c>
      <c r="N2" s="38" t="s">
        <v>430</v>
      </c>
      <c r="O2" s="39"/>
      <c r="P2" s="39" t="s">
        <v>166</v>
      </c>
      <c r="Q2" s="39" t="s">
        <v>431</v>
      </c>
      <c r="R2" s="43" t="s">
        <v>432</v>
      </c>
      <c r="S2" s="40">
        <v>45839</v>
      </c>
      <c r="T2" s="40">
        <v>45845</v>
      </c>
      <c r="U2" s="39" t="s">
        <v>151</v>
      </c>
      <c r="V2" s="39"/>
      <c r="W2" s="39" t="s">
        <v>180</v>
      </c>
      <c r="X2" s="40">
        <v>45845</v>
      </c>
      <c r="Y2" s="39"/>
      <c r="Z2" s="39"/>
      <c r="AA2" s="39"/>
      <c r="AB2" s="72" t="s">
        <v>433</v>
      </c>
      <c r="AC2" s="60" t="s">
        <v>153</v>
      </c>
    </row>
    <row r="3" spans="1:29" ht="57.75" customHeight="1">
      <c r="A3" s="38">
        <v>2</v>
      </c>
      <c r="B3" s="32" t="s">
        <v>5</v>
      </c>
      <c r="C3" s="50">
        <v>45835</v>
      </c>
      <c r="D3" s="50">
        <v>45848</v>
      </c>
      <c r="E3" s="37" t="s">
        <v>26</v>
      </c>
      <c r="F3" s="38" t="s">
        <v>430</v>
      </c>
      <c r="G3" s="63">
        <v>48497</v>
      </c>
      <c r="H3" s="38" t="s">
        <v>434</v>
      </c>
      <c r="I3" s="68" t="s">
        <v>148</v>
      </c>
      <c r="J3" s="38">
        <v>8</v>
      </c>
      <c r="K3" s="38">
        <v>8</v>
      </c>
      <c r="L3" s="38">
        <v>44</v>
      </c>
      <c r="M3" s="39" t="s">
        <v>13</v>
      </c>
      <c r="N3" s="38" t="s">
        <v>428</v>
      </c>
      <c r="O3" s="39"/>
      <c r="P3" s="39" t="s">
        <v>166</v>
      </c>
      <c r="Q3" s="39" t="s">
        <v>435</v>
      </c>
      <c r="R3" s="43" t="s">
        <v>432</v>
      </c>
      <c r="S3" s="40">
        <v>45839</v>
      </c>
      <c r="T3" s="40">
        <v>45845</v>
      </c>
      <c r="U3" s="39" t="s">
        <v>151</v>
      </c>
      <c r="V3" s="39"/>
      <c r="W3" s="39" t="s">
        <v>180</v>
      </c>
      <c r="X3" s="40">
        <v>45845</v>
      </c>
      <c r="Y3" s="39" t="s">
        <v>436</v>
      </c>
      <c r="Z3" s="39"/>
      <c r="AA3" s="39"/>
      <c r="AB3" s="64"/>
      <c r="AC3" s="60" t="s">
        <v>153</v>
      </c>
    </row>
    <row r="4" spans="1:29" ht="30" customHeight="1">
      <c r="A4" s="38">
        <v>3</v>
      </c>
      <c r="B4" s="32" t="s">
        <v>5</v>
      </c>
      <c r="C4" s="50">
        <v>45835</v>
      </c>
      <c r="D4" s="50">
        <v>45848</v>
      </c>
      <c r="E4" s="37" t="s">
        <v>26</v>
      </c>
      <c r="F4" s="38" t="s">
        <v>430</v>
      </c>
      <c r="G4" s="63">
        <v>48961</v>
      </c>
      <c r="H4" s="38" t="s">
        <v>437</v>
      </c>
      <c r="I4" s="68" t="s">
        <v>148</v>
      </c>
      <c r="J4" s="38">
        <v>5</v>
      </c>
      <c r="K4" s="38">
        <v>5</v>
      </c>
      <c r="L4" s="38">
        <v>26</v>
      </c>
      <c r="M4" s="39" t="s">
        <v>13</v>
      </c>
      <c r="N4" s="38" t="s">
        <v>135</v>
      </c>
      <c r="O4" s="39"/>
      <c r="P4" s="39" t="s">
        <v>166</v>
      </c>
      <c r="Q4" s="39"/>
      <c r="R4" s="43" t="s">
        <v>438</v>
      </c>
      <c r="S4" s="40">
        <v>45845</v>
      </c>
      <c r="T4" s="40">
        <v>45845</v>
      </c>
      <c r="U4" s="39" t="s">
        <v>151</v>
      </c>
      <c r="V4" s="39"/>
      <c r="W4" s="39" t="s">
        <v>180</v>
      </c>
      <c r="X4" s="40">
        <v>45845</v>
      </c>
      <c r="Y4" s="39"/>
      <c r="Z4" s="39"/>
      <c r="AA4" s="39"/>
      <c r="AB4" s="39"/>
      <c r="AC4" s="60" t="s">
        <v>153</v>
      </c>
    </row>
    <row r="5" spans="1:29" ht="56.25" customHeight="1">
      <c r="A5" s="37">
        <v>4</v>
      </c>
      <c r="B5" s="32" t="s">
        <v>5</v>
      </c>
      <c r="C5" s="50">
        <v>45835</v>
      </c>
      <c r="D5" s="50">
        <v>45848</v>
      </c>
      <c r="E5" s="37" t="s">
        <v>439</v>
      </c>
      <c r="F5" s="37" t="s">
        <v>440</v>
      </c>
      <c r="G5" s="26">
        <v>48962</v>
      </c>
      <c r="H5" s="38" t="s">
        <v>414</v>
      </c>
      <c r="I5" s="57" t="s">
        <v>137</v>
      </c>
      <c r="J5" s="38">
        <v>5</v>
      </c>
      <c r="K5" s="37">
        <v>5</v>
      </c>
      <c r="L5" s="37">
        <v>35</v>
      </c>
      <c r="M5" s="39" t="s">
        <v>441</v>
      </c>
      <c r="N5" s="64"/>
      <c r="O5" s="64"/>
      <c r="P5" s="64"/>
      <c r="Q5" s="64"/>
      <c r="R5" s="65"/>
      <c r="S5" s="66"/>
      <c r="T5" s="64"/>
      <c r="U5" s="64"/>
      <c r="V5" s="64"/>
      <c r="W5" s="64"/>
      <c r="X5" s="66"/>
      <c r="Y5" s="64"/>
      <c r="Z5" s="64"/>
      <c r="AA5" s="64"/>
      <c r="AB5" s="39"/>
      <c r="AC5" s="60"/>
    </row>
  </sheetData>
  <dataValidations count="1">
    <dataValidation type="list" allowBlank="1" showInputMessage="1" showErrorMessage="1" sqref="AC2:AC5" xr:uid="{A86135BA-334B-49A1-A959-62CB7E8A23B4}">
      <formula1>"Exceeds Expectation, Meets Expectation, Needs improvements"</formula1>
    </dataValidation>
  </dataValidations>
  <hyperlinks>
    <hyperlink ref="R3" r:id="rId1" xr:uid="{7A3C9C77-65E6-4E52-B7D8-ABD8AC39018D}"/>
    <hyperlink ref="R2" r:id="rId2" xr:uid="{F747A226-24BB-4256-B268-AA26B0AA2825}"/>
    <hyperlink ref="R4" r:id="rId3" xr:uid="{65496DB8-5EA0-4A55-8473-83DA62648C52}"/>
  </hyperlinks>
  <pageMargins left="0.7" right="0.7" top="0.75" bottom="0.75" header="0.3" footer="0.3"/>
  <legacyDrawing r:id="rId4"/>
  <tableParts count="1">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1BE2F56E-BD4A-4281-A70F-9C473DAC5E51}">
          <x14:formula1>
            <xm:f>Settings!$C$3:$C$20</xm:f>
          </x14:formula1>
          <xm:sqref>I2:I4</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AC56-B3E0-434F-8E17-E384D5C7002A}">
  <sheetPr>
    <outlinePr summaryBelow="0" summaryRight="0"/>
  </sheetPr>
  <dimension ref="A1:AC968"/>
  <sheetViews>
    <sheetView topLeftCell="B1" workbookViewId="0">
      <selection activeCell="B5" sqref="B5"/>
    </sheetView>
  </sheetViews>
  <sheetFormatPr defaultColWidth="12.5703125" defaultRowHeight="15" customHeight="1"/>
  <cols>
    <col min="1" max="1" width="12.5703125" style="20" hidden="1" customWidth="1"/>
    <col min="2" max="2" width="18.28515625" style="20" customWidth="1"/>
    <col min="3" max="3" width="11.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32.42578125" style="15" customWidth="1"/>
    <col min="14" max="14" width="56" style="15" customWidth="1"/>
    <col min="15" max="16384" width="12.5703125" style="20"/>
  </cols>
  <sheetData>
    <row r="1" spans="1:29" ht="27">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38.25" customHeight="1">
      <c r="B2" s="21" t="s">
        <v>26</v>
      </c>
      <c r="C2" s="61">
        <v>48497</v>
      </c>
      <c r="D2" s="61"/>
      <c r="E2" s="61" t="s">
        <v>141</v>
      </c>
      <c r="F2" s="21" t="s">
        <v>199</v>
      </c>
      <c r="G2" s="21" t="s">
        <v>442</v>
      </c>
      <c r="H2" s="61" t="s">
        <v>256</v>
      </c>
      <c r="I2" s="61" t="s">
        <v>202</v>
      </c>
      <c r="J2" s="61" t="s">
        <v>229</v>
      </c>
      <c r="K2" s="61" t="s">
        <v>443</v>
      </c>
      <c r="L2" s="61" t="s">
        <v>444</v>
      </c>
      <c r="M2" s="70"/>
      <c r="N2" s="69" t="s">
        <v>445</v>
      </c>
    </row>
    <row r="3" spans="1:29" ht="56.25" customHeight="1">
      <c r="B3" s="21" t="s">
        <v>26</v>
      </c>
      <c r="C3" s="23">
        <v>48961</v>
      </c>
      <c r="D3" s="23"/>
      <c r="E3" s="61" t="s">
        <v>141</v>
      </c>
      <c r="F3" s="21" t="s">
        <v>199</v>
      </c>
      <c r="G3" s="18" t="s">
        <v>446</v>
      </c>
      <c r="H3" s="61" t="s">
        <v>256</v>
      </c>
      <c r="I3" s="61" t="s">
        <v>202</v>
      </c>
      <c r="J3" s="61" t="s">
        <v>229</v>
      </c>
      <c r="K3" s="61" t="s">
        <v>443</v>
      </c>
      <c r="L3" s="61" t="s">
        <v>444</v>
      </c>
      <c r="M3" s="71"/>
      <c r="N3" s="69" t="s">
        <v>447</v>
      </c>
    </row>
    <row r="4" spans="1:29" ht="39" customHeight="1">
      <c r="B4" s="21" t="s">
        <v>26</v>
      </c>
      <c r="C4" s="23">
        <v>48502</v>
      </c>
      <c r="D4" s="23"/>
      <c r="E4" s="61" t="s">
        <v>141</v>
      </c>
      <c r="F4" s="21" t="s">
        <v>199</v>
      </c>
      <c r="G4" s="18" t="s">
        <v>448</v>
      </c>
      <c r="H4" s="61" t="s">
        <v>256</v>
      </c>
      <c r="I4" s="61" t="s">
        <v>202</v>
      </c>
      <c r="J4" s="61" t="s">
        <v>229</v>
      </c>
      <c r="K4" s="61" t="s">
        <v>443</v>
      </c>
      <c r="L4" s="61" t="s">
        <v>444</v>
      </c>
      <c r="M4" s="71"/>
      <c r="N4" s="26" t="s">
        <v>449</v>
      </c>
    </row>
    <row r="5" spans="1:29" ht="66.75" customHeight="1">
      <c r="B5" s="21" t="s">
        <v>26</v>
      </c>
      <c r="C5" s="23">
        <v>48500</v>
      </c>
      <c r="D5" s="23"/>
      <c r="E5" s="61" t="s">
        <v>135</v>
      </c>
      <c r="F5" s="21" t="s">
        <v>199</v>
      </c>
      <c r="G5" s="18" t="s">
        <v>450</v>
      </c>
      <c r="H5" s="61" t="s">
        <v>256</v>
      </c>
      <c r="I5" s="61" t="s">
        <v>202</v>
      </c>
      <c r="J5" s="61" t="s">
        <v>229</v>
      </c>
      <c r="K5" s="61" t="s">
        <v>443</v>
      </c>
      <c r="L5" s="61" t="s">
        <v>451</v>
      </c>
      <c r="M5" s="72" t="s">
        <v>433</v>
      </c>
      <c r="N5" s="26" t="s">
        <v>452</v>
      </c>
    </row>
    <row r="6" spans="1:29" ht="15.75" customHeight="1">
      <c r="B6" s="18"/>
      <c r="C6" s="23"/>
      <c r="D6" s="23"/>
      <c r="E6" s="23"/>
      <c r="F6" s="18"/>
      <c r="G6" s="18"/>
      <c r="H6" s="23"/>
      <c r="I6" s="23"/>
      <c r="J6" s="23"/>
      <c r="K6" s="23"/>
      <c r="L6" s="23"/>
      <c r="M6" s="71"/>
      <c r="N6" s="23"/>
    </row>
    <row r="7" spans="1:29" ht="15.75" customHeight="1">
      <c r="B7" s="18"/>
      <c r="C7" s="23"/>
      <c r="D7" s="23"/>
      <c r="E7" s="23"/>
      <c r="F7" s="18"/>
      <c r="G7" s="18"/>
      <c r="H7" s="23"/>
      <c r="I7" s="23"/>
      <c r="J7" s="23"/>
      <c r="K7" s="23"/>
      <c r="L7" s="23"/>
      <c r="M7" s="71"/>
      <c r="N7" s="23"/>
    </row>
    <row r="8" spans="1:29" ht="15.75" customHeight="1">
      <c r="B8" s="18"/>
      <c r="C8" s="23"/>
      <c r="D8" s="23"/>
      <c r="E8" s="23"/>
      <c r="F8" s="18"/>
      <c r="G8" s="18"/>
      <c r="H8" s="23"/>
      <c r="I8" s="23"/>
      <c r="J8" s="23"/>
      <c r="K8" s="23"/>
      <c r="L8" s="23"/>
      <c r="M8" s="71"/>
      <c r="N8" s="23"/>
    </row>
    <row r="9" spans="1:29" ht="15.75" customHeight="1">
      <c r="B9" s="18"/>
      <c r="C9" s="23"/>
      <c r="D9" s="23"/>
      <c r="E9" s="23"/>
      <c r="F9" s="18"/>
      <c r="G9" s="18"/>
      <c r="H9" s="23"/>
      <c r="I9" s="23"/>
      <c r="J9" s="23"/>
      <c r="K9" s="23"/>
      <c r="L9" s="23"/>
      <c r="M9" s="71"/>
      <c r="N9" s="23"/>
    </row>
    <row r="10" spans="1:29" ht="15.75" customHeight="1">
      <c r="B10" s="18"/>
      <c r="C10" s="23"/>
      <c r="D10" s="23"/>
      <c r="E10" s="23"/>
      <c r="F10" s="18"/>
      <c r="G10" s="18"/>
      <c r="H10" s="23"/>
      <c r="I10" s="23"/>
      <c r="J10" s="23"/>
      <c r="K10" s="23"/>
      <c r="L10" s="23"/>
      <c r="M10" s="71"/>
      <c r="N10" s="23"/>
    </row>
    <row r="11" spans="1:29" ht="15.75" customHeight="1">
      <c r="B11" s="18"/>
      <c r="C11" s="23"/>
      <c r="D11" s="23"/>
      <c r="E11" s="23"/>
      <c r="F11" s="18"/>
      <c r="G11" s="18"/>
      <c r="H11" s="23"/>
      <c r="I11" s="23"/>
      <c r="J11" s="23"/>
      <c r="K11" s="23"/>
      <c r="L11" s="23"/>
      <c r="M11" s="71"/>
      <c r="N11" s="23"/>
    </row>
    <row r="12" spans="1:29" ht="15.75" customHeight="1">
      <c r="B12" s="18"/>
      <c r="C12" s="23"/>
      <c r="D12" s="23"/>
      <c r="E12" s="23"/>
      <c r="F12" s="18"/>
      <c r="G12" s="18"/>
      <c r="H12" s="23"/>
      <c r="I12" s="23"/>
      <c r="J12" s="23"/>
      <c r="K12" s="23"/>
      <c r="L12" s="23"/>
      <c r="M12" s="71"/>
      <c r="N12" s="23"/>
    </row>
    <row r="13" spans="1:29" ht="15.75" customHeight="1">
      <c r="B13" s="18"/>
      <c r="C13" s="23"/>
      <c r="D13" s="23"/>
      <c r="E13" s="23"/>
      <c r="F13" s="18"/>
      <c r="G13" s="18"/>
      <c r="H13" s="23"/>
      <c r="I13" s="23"/>
      <c r="J13" s="23"/>
      <c r="K13" s="23"/>
      <c r="L13" s="23"/>
      <c r="M13" s="71"/>
      <c r="N13" s="23"/>
    </row>
    <row r="14" spans="1:29" ht="15.75" customHeight="1">
      <c r="B14" s="18"/>
      <c r="C14" s="23"/>
      <c r="D14" s="23"/>
      <c r="E14" s="23"/>
      <c r="F14" s="18"/>
      <c r="G14" s="18"/>
      <c r="H14" s="23"/>
      <c r="I14" s="23"/>
      <c r="J14" s="23"/>
      <c r="K14" s="23"/>
      <c r="L14" s="23"/>
      <c r="M14" s="71"/>
      <c r="N14" s="23"/>
    </row>
    <row r="15" spans="1:29" ht="15.75" customHeight="1">
      <c r="B15" s="18"/>
      <c r="C15" s="23"/>
      <c r="D15" s="23"/>
      <c r="E15" s="23"/>
      <c r="F15" s="18"/>
      <c r="G15" s="18"/>
      <c r="H15" s="23"/>
      <c r="I15" s="23"/>
      <c r="J15" s="23"/>
      <c r="K15" s="23"/>
      <c r="L15" s="23"/>
      <c r="M15" s="71"/>
      <c r="N15" s="23"/>
    </row>
    <row r="16" spans="1:2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autoFilter ref="A1:N1" xr:uid="{3A2BB050-11AC-4ED7-A296-96B42C7FCFBA}"/>
  <pageMargins left="0" right="0" top="0" bottom="0" header="0" footer="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A531-34D0-4EBA-9BA8-1460B46BFF1D}">
  <dimension ref="A1:AC3"/>
  <sheetViews>
    <sheetView topLeftCell="F1" workbookViewId="0">
      <selection activeCell="L12" sqref="L12"/>
    </sheetView>
  </sheetViews>
  <sheetFormatPr defaultRowHeight="12.75"/>
  <cols>
    <col min="1" max="1" width="7.7109375" style="29" bestFit="1" customWidth="1"/>
    <col min="2" max="2" width="13" style="29" customWidth="1"/>
    <col min="3" max="3" width="14.42578125" style="29" customWidth="1"/>
    <col min="4" max="4" width="12" style="29" customWidth="1"/>
    <col min="5" max="5" width="22.140625" style="29" bestFit="1" customWidth="1"/>
    <col min="6" max="6" width="15.85546875" style="29" customWidth="1"/>
    <col min="7" max="7" width="12.140625" style="29" customWidth="1"/>
    <col min="8" max="8" width="42.28515625" style="31" customWidth="1"/>
    <col min="9" max="9" width="18.85546875" style="29" customWidth="1"/>
    <col min="10" max="10" width="10.42578125" style="29" customWidth="1"/>
    <col min="11" max="11" width="9" style="29" customWidth="1"/>
    <col min="12" max="12" width="10.28515625" style="29" customWidth="1"/>
    <col min="13" max="13" width="11.42578125" style="31" customWidth="1"/>
    <col min="14" max="14" width="12.5703125" style="31" customWidth="1"/>
    <col min="15" max="15" width="26.7109375" style="31" customWidth="1"/>
    <col min="16" max="16" width="12.42578125" style="31" customWidth="1"/>
    <col min="17" max="17" width="26.28515625" style="31" customWidth="1"/>
    <col min="18" max="18" width="45.5703125" style="31" customWidth="1"/>
    <col min="19" max="20" width="13.42578125" style="31" bestFit="1" customWidth="1"/>
    <col min="21" max="21" width="11.42578125" style="31" bestFit="1" customWidth="1"/>
    <col min="22" max="22" width="11.42578125" style="35" bestFit="1" customWidth="1"/>
    <col min="23" max="23" width="11.42578125" style="31" bestFit="1" customWidth="1"/>
    <col min="24" max="24" width="13.42578125" style="31" bestFit="1" customWidth="1"/>
    <col min="25" max="25" width="11.42578125" style="31" bestFit="1" customWidth="1"/>
    <col min="26" max="26" width="20.5703125" style="31" customWidth="1"/>
    <col min="27" max="27" width="59.5703125" style="31" customWidth="1"/>
    <col min="28" max="28" width="50.5703125" style="31" customWidth="1"/>
    <col min="29" max="29" width="33.5703125" style="31" customWidth="1"/>
    <col min="30" max="16384" width="9.140625" style="31"/>
  </cols>
  <sheetData>
    <row r="1" spans="1:29" ht="46.5">
      <c r="A1" s="44" t="s">
        <v>87</v>
      </c>
      <c r="B1" s="24" t="s">
        <v>4</v>
      </c>
      <c r="C1" s="24" t="s">
        <v>2</v>
      </c>
      <c r="D1" s="24" t="s">
        <v>3</v>
      </c>
      <c r="E1" s="45" t="s">
        <v>110</v>
      </c>
      <c r="F1" s="45" t="s">
        <v>90</v>
      </c>
      <c r="G1" s="45" t="s">
        <v>111</v>
      </c>
      <c r="H1" s="46" t="s">
        <v>112</v>
      </c>
      <c r="I1" s="45" t="s">
        <v>96</v>
      </c>
      <c r="J1" s="24" t="s">
        <v>113</v>
      </c>
      <c r="K1" s="24" t="s">
        <v>114</v>
      </c>
      <c r="L1" s="24" t="s">
        <v>115</v>
      </c>
      <c r="M1" s="46" t="s">
        <v>118</v>
      </c>
      <c r="N1" s="46" t="s">
        <v>119</v>
      </c>
      <c r="O1" s="46" t="s">
        <v>120</v>
      </c>
      <c r="P1" s="46" t="s">
        <v>121</v>
      </c>
      <c r="Q1" s="46" t="s">
        <v>122</v>
      </c>
      <c r="R1" s="46" t="s">
        <v>123</v>
      </c>
      <c r="S1" s="46" t="s">
        <v>124</v>
      </c>
      <c r="T1" s="46" t="s">
        <v>125</v>
      </c>
      <c r="U1" s="46" t="s">
        <v>126</v>
      </c>
      <c r="V1" s="46" t="s">
        <v>127</v>
      </c>
      <c r="W1" s="46" t="s">
        <v>128</v>
      </c>
      <c r="X1" s="46" t="s">
        <v>129</v>
      </c>
      <c r="Y1" s="46" t="s">
        <v>130</v>
      </c>
      <c r="Z1" s="46" t="s">
        <v>131</v>
      </c>
      <c r="AA1" s="46" t="s">
        <v>132</v>
      </c>
      <c r="AB1" s="47" t="s">
        <v>98</v>
      </c>
      <c r="AC1" s="46" t="s">
        <v>133</v>
      </c>
    </row>
    <row r="2" spans="1:29" ht="32.25" customHeight="1">
      <c r="A2" s="38">
        <v>1</v>
      </c>
      <c r="B2" s="32" t="s">
        <v>5</v>
      </c>
      <c r="C2" s="50">
        <v>45821</v>
      </c>
      <c r="D2" s="50">
        <v>45834</v>
      </c>
      <c r="E2" s="37" t="s">
        <v>453</v>
      </c>
      <c r="F2" s="38" t="s">
        <v>428</v>
      </c>
      <c r="G2" s="63">
        <v>48500</v>
      </c>
      <c r="H2" s="38" t="s">
        <v>429</v>
      </c>
      <c r="I2" s="57" t="s">
        <v>454</v>
      </c>
      <c r="J2" s="38">
        <v>13</v>
      </c>
      <c r="K2" s="38">
        <v>24</v>
      </c>
      <c r="L2" s="38">
        <v>97</v>
      </c>
      <c r="M2" s="39" t="s">
        <v>441</v>
      </c>
      <c r="N2" s="38" t="s">
        <v>430</v>
      </c>
      <c r="O2" s="39"/>
      <c r="P2" s="39" t="s">
        <v>166</v>
      </c>
      <c r="Q2" s="39"/>
      <c r="R2" s="43"/>
      <c r="S2" s="40"/>
      <c r="T2" s="39"/>
      <c r="U2" s="39"/>
      <c r="V2" s="39"/>
      <c r="W2" s="39"/>
      <c r="X2" s="40"/>
      <c r="Y2" s="39"/>
      <c r="Z2" s="67"/>
      <c r="AA2" s="39" t="s">
        <v>455</v>
      </c>
      <c r="AB2" s="39" t="s">
        <v>456</v>
      </c>
      <c r="AC2" s="60" t="s">
        <v>153</v>
      </c>
    </row>
    <row r="3" spans="1:29" ht="37.5" customHeight="1">
      <c r="A3" s="38">
        <v>2</v>
      </c>
      <c r="B3" s="32" t="s">
        <v>5</v>
      </c>
      <c r="C3" s="50">
        <v>45821</v>
      </c>
      <c r="D3" s="50">
        <v>45834</v>
      </c>
      <c r="E3" s="37" t="s">
        <v>453</v>
      </c>
      <c r="F3" s="38" t="s">
        <v>430</v>
      </c>
      <c r="G3" s="63">
        <v>48497</v>
      </c>
      <c r="H3" s="38" t="s">
        <v>434</v>
      </c>
      <c r="I3" s="57" t="s">
        <v>454</v>
      </c>
      <c r="J3" s="38">
        <v>8</v>
      </c>
      <c r="K3" s="38">
        <v>11</v>
      </c>
      <c r="L3" s="38">
        <v>44</v>
      </c>
      <c r="M3" s="39" t="s">
        <v>441</v>
      </c>
      <c r="N3" s="38" t="s">
        <v>428</v>
      </c>
      <c r="O3" s="39"/>
      <c r="P3" s="39" t="s">
        <v>166</v>
      </c>
      <c r="Q3" s="39"/>
      <c r="R3" s="43"/>
      <c r="S3" s="40"/>
      <c r="T3" s="39"/>
      <c r="U3" s="39"/>
      <c r="V3" s="39"/>
      <c r="W3" s="39"/>
      <c r="X3" s="40"/>
      <c r="Y3" s="39"/>
      <c r="Z3" s="39"/>
      <c r="AA3" s="39"/>
      <c r="AB3" s="39" t="s">
        <v>456</v>
      </c>
      <c r="AC3" s="60" t="s">
        <v>153</v>
      </c>
    </row>
  </sheetData>
  <autoFilter ref="L12" xr:uid="{ED0AA531-34D0-4EBA-9BA8-1460B46BFF1D}"/>
  <dataValidations count="1">
    <dataValidation type="list" allowBlank="1" showInputMessage="1" showErrorMessage="1" sqref="AC2:AC3" xr:uid="{9063ADD8-02B7-4EBA-BEE6-15E4C7F9B081}">
      <formula1>"Exceeds Expectation, Meets Expectation, Needs improvements"</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F40296B6-730A-41FC-8603-C892BCDC3BA3}">
          <x14:formula1>
            <xm:f>Settings!$C$3:$C$20</xm:f>
          </x14:formula1>
          <xm:sqref>I2:I3</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2219-477B-4F88-80DE-7361FBF81DF5}">
  <sheetPr>
    <outlinePr summaryBelow="0" summaryRight="0"/>
  </sheetPr>
  <dimension ref="A1:AC969"/>
  <sheetViews>
    <sheetView topLeftCell="B1" workbookViewId="0">
      <selection activeCell="B2" sqref="B2"/>
    </sheetView>
  </sheetViews>
  <sheetFormatPr defaultColWidth="12.5703125" defaultRowHeight="15" customHeight="1"/>
  <cols>
    <col min="1" max="1" width="12.5703125" style="20" hidden="1" customWidth="1"/>
    <col min="2" max="2" width="18.28515625" style="20" customWidth="1"/>
    <col min="3" max="3" width="11.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0.28515625" style="15" customWidth="1"/>
    <col min="14" max="14" width="56" style="15" customWidth="1"/>
    <col min="15" max="16384" width="12.5703125" style="20"/>
  </cols>
  <sheetData>
    <row r="1" spans="1:29" ht="27">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15.75" customHeight="1">
      <c r="B2" s="21"/>
      <c r="C2" s="61"/>
      <c r="D2" s="61"/>
      <c r="E2" s="61"/>
      <c r="F2" s="21"/>
      <c r="G2" s="21"/>
      <c r="H2" s="61"/>
      <c r="I2" s="61"/>
      <c r="J2" s="61"/>
      <c r="K2" s="61"/>
      <c r="L2" s="61"/>
      <c r="M2" s="61"/>
    </row>
    <row r="3" spans="1:29" ht="15.75" customHeight="1">
      <c r="B3" s="18"/>
      <c r="C3" s="23"/>
      <c r="D3" s="23"/>
      <c r="E3" s="23"/>
      <c r="F3" s="18"/>
      <c r="G3" s="18"/>
      <c r="H3" s="23"/>
      <c r="I3" s="23"/>
      <c r="J3" s="23"/>
      <c r="K3" s="23"/>
      <c r="L3" s="23"/>
      <c r="M3" s="23"/>
    </row>
    <row r="4" spans="1:29" ht="15.75" customHeight="1">
      <c r="B4" s="18"/>
      <c r="C4" s="23"/>
      <c r="D4" s="23"/>
      <c r="E4" s="23"/>
      <c r="F4" s="18"/>
      <c r="G4" s="18"/>
      <c r="H4" s="23"/>
      <c r="I4" s="23"/>
      <c r="J4" s="23"/>
      <c r="K4" s="23"/>
      <c r="L4" s="23"/>
      <c r="M4" s="23"/>
    </row>
    <row r="5" spans="1:29" ht="15.75" customHeight="1">
      <c r="B5" s="18"/>
      <c r="C5" s="23"/>
      <c r="D5" s="23"/>
      <c r="E5" s="23"/>
      <c r="F5" s="18"/>
      <c r="G5" s="18"/>
      <c r="H5" s="23"/>
      <c r="I5" s="23"/>
      <c r="J5" s="23"/>
      <c r="K5" s="23"/>
      <c r="L5" s="23"/>
      <c r="M5" s="23"/>
    </row>
    <row r="6" spans="1:29" ht="15.75" customHeight="1">
      <c r="B6" s="18"/>
      <c r="C6" s="23"/>
      <c r="D6" s="23"/>
      <c r="E6" s="23"/>
      <c r="F6" s="18"/>
      <c r="G6" s="18"/>
      <c r="H6" s="23"/>
      <c r="I6" s="23"/>
      <c r="J6" s="23"/>
      <c r="K6" s="23"/>
      <c r="L6" s="23"/>
      <c r="M6" s="23"/>
    </row>
    <row r="7" spans="1:29" ht="15.75" customHeight="1">
      <c r="B7" s="18"/>
      <c r="C7" s="23"/>
      <c r="D7" s="23"/>
      <c r="E7" s="23"/>
      <c r="F7" s="18"/>
      <c r="G7" s="18"/>
      <c r="H7" s="23"/>
      <c r="I7" s="23"/>
      <c r="J7" s="23"/>
      <c r="K7" s="23"/>
      <c r="L7" s="23"/>
      <c r="M7" s="23"/>
    </row>
    <row r="8" spans="1:29" ht="15.75" customHeight="1">
      <c r="B8" s="18"/>
      <c r="C8" s="23"/>
      <c r="D8" s="23"/>
      <c r="E8" s="23"/>
      <c r="F8" s="18"/>
      <c r="G8" s="18"/>
      <c r="H8" s="23"/>
      <c r="I8" s="23"/>
      <c r="J8" s="23"/>
      <c r="K8" s="23"/>
      <c r="L8" s="23"/>
      <c r="M8" s="23"/>
    </row>
    <row r="9" spans="1:29" ht="15.75" customHeight="1">
      <c r="B9" s="18"/>
      <c r="C9" s="23"/>
      <c r="D9" s="23"/>
      <c r="E9" s="23"/>
      <c r="F9" s="18"/>
      <c r="G9" s="18"/>
      <c r="H9" s="23"/>
      <c r="I9" s="23"/>
      <c r="J9" s="23"/>
      <c r="K9" s="23"/>
      <c r="L9" s="23"/>
      <c r="M9" s="23"/>
    </row>
    <row r="10" spans="1:29" ht="15.75" customHeight="1">
      <c r="B10" s="18"/>
      <c r="C10" s="23"/>
      <c r="D10" s="23"/>
      <c r="E10" s="23"/>
      <c r="F10" s="18"/>
      <c r="G10" s="18"/>
      <c r="H10" s="23"/>
      <c r="I10" s="23"/>
      <c r="J10" s="23"/>
      <c r="K10" s="23"/>
      <c r="L10" s="23"/>
      <c r="M10" s="23"/>
    </row>
    <row r="11" spans="1:29" ht="15.75" customHeight="1">
      <c r="B11" s="18"/>
      <c r="C11" s="23"/>
      <c r="D11" s="23"/>
      <c r="E11" s="23"/>
      <c r="F11" s="18"/>
      <c r="G11" s="18"/>
      <c r="H11" s="23"/>
      <c r="I11" s="23"/>
      <c r="J11" s="23"/>
      <c r="K11" s="23"/>
      <c r="L11" s="23"/>
      <c r="M11" s="23"/>
    </row>
    <row r="12" spans="1:29" ht="15.75" customHeight="1">
      <c r="B12" s="18"/>
      <c r="C12" s="23"/>
      <c r="D12" s="23"/>
      <c r="E12" s="23"/>
      <c r="F12" s="18"/>
      <c r="G12" s="18"/>
      <c r="H12" s="23"/>
      <c r="I12" s="23"/>
      <c r="J12" s="23"/>
      <c r="K12" s="23"/>
      <c r="L12" s="23"/>
      <c r="M12" s="23"/>
    </row>
    <row r="13" spans="1:29" ht="15.75" customHeight="1">
      <c r="B13" s="18"/>
      <c r="C13" s="23"/>
      <c r="D13" s="23"/>
      <c r="E13" s="23"/>
      <c r="F13" s="18"/>
      <c r="G13" s="18"/>
      <c r="H13" s="23"/>
      <c r="I13" s="23"/>
      <c r="J13" s="23"/>
      <c r="K13" s="23"/>
      <c r="L13" s="23"/>
      <c r="M13" s="23"/>
    </row>
    <row r="14" spans="1:29" ht="15.75" customHeight="1">
      <c r="B14" s="18"/>
      <c r="C14" s="23"/>
      <c r="D14" s="23"/>
      <c r="E14" s="23"/>
      <c r="F14" s="18"/>
      <c r="G14" s="18"/>
      <c r="H14" s="23"/>
      <c r="I14" s="23"/>
      <c r="J14" s="23"/>
      <c r="K14" s="23"/>
      <c r="L14" s="23"/>
      <c r="M14" s="23"/>
    </row>
    <row r="15" spans="1:29" ht="15.75" customHeight="1">
      <c r="B15" s="18"/>
      <c r="C15" s="23"/>
      <c r="D15" s="23"/>
      <c r="E15" s="23"/>
      <c r="F15" s="18"/>
      <c r="G15" s="18"/>
      <c r="H15" s="23"/>
      <c r="I15" s="23"/>
      <c r="J15" s="23"/>
      <c r="K15" s="23"/>
      <c r="L15" s="23"/>
      <c r="M15" s="23"/>
    </row>
    <row r="16" spans="1:29" ht="15.75" customHeight="1">
      <c r="B16" s="18"/>
      <c r="C16" s="23"/>
      <c r="D16" s="23"/>
      <c r="E16" s="23"/>
      <c r="F16" s="18"/>
      <c r="G16" s="18"/>
      <c r="H16" s="23"/>
      <c r="I16" s="23"/>
      <c r="J16" s="23"/>
      <c r="K16" s="23"/>
      <c r="L16" s="23"/>
      <c r="M16" s="23"/>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autoFilter ref="A1:N1" xr:uid="{3A2BB050-11AC-4ED7-A296-96B42C7FCFBA}"/>
  <pageMargins left="0" right="0" top="0" bottom="0" header="0" footer="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58CE2-D64A-4C5B-B083-21463C7DE9DF}">
  <dimension ref="A1:AC4"/>
  <sheetViews>
    <sheetView workbookViewId="0">
      <pane xSplit="9" topLeftCell="J1" activePane="topRight" state="frozen"/>
      <selection pane="topRight" activeCell="B2" sqref="B2"/>
    </sheetView>
  </sheetViews>
  <sheetFormatPr defaultRowHeight="12.75"/>
  <cols>
    <col min="1" max="1" width="7.7109375" style="29" bestFit="1" customWidth="1"/>
    <col min="2" max="2" width="13" style="29" customWidth="1"/>
    <col min="3" max="3" width="14.42578125" style="29" customWidth="1"/>
    <col min="4" max="4" width="12" style="29" customWidth="1"/>
    <col min="5" max="5" width="22.140625" style="29" bestFit="1" customWidth="1"/>
    <col min="6" max="6" width="15.85546875" style="29" customWidth="1"/>
    <col min="7" max="7" width="12.140625" style="29" customWidth="1"/>
    <col min="8" max="8" width="41.140625" style="31" customWidth="1"/>
    <col min="9" max="9" width="18.85546875" style="29" customWidth="1"/>
    <col min="10" max="10" width="10.42578125" style="29" customWidth="1"/>
    <col min="11" max="11" width="9" style="29" customWidth="1"/>
    <col min="12" max="12" width="10.28515625" style="29" customWidth="1"/>
    <col min="13" max="13" width="11.42578125" style="31" customWidth="1"/>
    <col min="14" max="14" width="12.5703125" style="31" customWidth="1"/>
    <col min="15" max="15" width="26.7109375" style="31" customWidth="1"/>
    <col min="16" max="16" width="12.42578125" style="31" customWidth="1"/>
    <col min="17" max="17" width="26.28515625" style="31" customWidth="1"/>
    <col min="18" max="18" width="45.5703125" style="31" customWidth="1"/>
    <col min="19" max="20" width="13.42578125" style="31" bestFit="1" customWidth="1"/>
    <col min="21" max="21" width="11.42578125" style="31" bestFit="1" customWidth="1"/>
    <col min="22" max="22" width="11.42578125" style="35" bestFit="1" customWidth="1"/>
    <col min="23" max="23" width="11.42578125" style="31" bestFit="1" customWidth="1"/>
    <col min="24" max="24" width="13.42578125" style="31" bestFit="1" customWidth="1"/>
    <col min="25" max="25" width="11.42578125" style="31" bestFit="1" customWidth="1"/>
    <col min="26" max="26" width="20.5703125" style="31" customWidth="1"/>
    <col min="27" max="27" width="59.5703125" style="31" customWidth="1"/>
    <col min="28" max="28" width="50.5703125" style="31" customWidth="1"/>
    <col min="29" max="29" width="33.5703125" style="31" customWidth="1"/>
    <col min="30" max="16384" width="9.140625" style="31"/>
  </cols>
  <sheetData>
    <row r="1" spans="1:29" ht="46.5">
      <c r="A1" s="44" t="s">
        <v>87</v>
      </c>
      <c r="B1" s="24" t="s">
        <v>4</v>
      </c>
      <c r="C1" s="24" t="s">
        <v>2</v>
      </c>
      <c r="D1" s="24" t="s">
        <v>3</v>
      </c>
      <c r="E1" s="45" t="s">
        <v>110</v>
      </c>
      <c r="F1" s="45" t="s">
        <v>90</v>
      </c>
      <c r="G1" s="45" t="s">
        <v>111</v>
      </c>
      <c r="H1" s="46" t="s">
        <v>112</v>
      </c>
      <c r="I1" s="45" t="s">
        <v>96</v>
      </c>
      <c r="J1" s="24" t="s">
        <v>113</v>
      </c>
      <c r="K1" s="24" t="s">
        <v>114</v>
      </c>
      <c r="L1" s="24" t="s">
        <v>115</v>
      </c>
      <c r="M1" s="46" t="s">
        <v>118</v>
      </c>
      <c r="N1" s="46" t="s">
        <v>119</v>
      </c>
      <c r="O1" s="46" t="s">
        <v>120</v>
      </c>
      <c r="P1" s="46" t="s">
        <v>121</v>
      </c>
      <c r="Q1" s="46" t="s">
        <v>122</v>
      </c>
      <c r="R1" s="46" t="s">
        <v>123</v>
      </c>
      <c r="S1" s="46" t="s">
        <v>124</v>
      </c>
      <c r="T1" s="46" t="s">
        <v>125</v>
      </c>
      <c r="U1" s="46" t="s">
        <v>126</v>
      </c>
      <c r="V1" s="46" t="s">
        <v>127</v>
      </c>
      <c r="W1" s="46" t="s">
        <v>128</v>
      </c>
      <c r="X1" s="46" t="s">
        <v>129</v>
      </c>
      <c r="Y1" s="46" t="s">
        <v>130</v>
      </c>
      <c r="Z1" s="46" t="s">
        <v>131</v>
      </c>
      <c r="AA1" s="46" t="s">
        <v>132</v>
      </c>
      <c r="AB1" s="47" t="s">
        <v>98</v>
      </c>
      <c r="AC1" s="46" t="s">
        <v>133</v>
      </c>
    </row>
    <row r="2" spans="1:29" ht="43.5" customHeight="1">
      <c r="A2" s="38">
        <v>1</v>
      </c>
      <c r="B2" s="32" t="s">
        <v>5</v>
      </c>
      <c r="C2" s="50">
        <v>45807</v>
      </c>
      <c r="D2" s="50">
        <v>45820</v>
      </c>
      <c r="E2" s="37" t="s">
        <v>457</v>
      </c>
      <c r="F2" s="38" t="s">
        <v>458</v>
      </c>
      <c r="G2" s="38">
        <v>48533</v>
      </c>
      <c r="H2" s="38" t="s">
        <v>459</v>
      </c>
      <c r="I2" s="68" t="s">
        <v>148</v>
      </c>
      <c r="J2" s="38">
        <v>13</v>
      </c>
      <c r="K2" s="38">
        <v>13</v>
      </c>
      <c r="L2" s="38">
        <v>91</v>
      </c>
      <c r="M2" s="39"/>
      <c r="N2" s="39"/>
      <c r="O2" s="39"/>
      <c r="P2" s="39"/>
      <c r="Q2" s="39"/>
      <c r="R2" s="43"/>
      <c r="S2" s="40"/>
      <c r="T2" s="39"/>
      <c r="U2" s="39"/>
      <c r="V2" s="39"/>
      <c r="W2" s="39"/>
      <c r="X2" s="40"/>
      <c r="Y2" s="39"/>
      <c r="Z2" s="39"/>
      <c r="AA2" s="39"/>
      <c r="AB2" s="39" t="s">
        <v>460</v>
      </c>
      <c r="AC2" s="60"/>
    </row>
    <row r="3" spans="1:29" ht="39" customHeight="1">
      <c r="A3" s="38">
        <v>2</v>
      </c>
      <c r="B3" s="32" t="s">
        <v>5</v>
      </c>
      <c r="C3" s="50">
        <v>45807</v>
      </c>
      <c r="D3" s="50">
        <v>45820</v>
      </c>
      <c r="E3" s="37" t="s">
        <v>461</v>
      </c>
      <c r="F3" s="38" t="s">
        <v>462</v>
      </c>
      <c r="G3" s="63">
        <v>48500</v>
      </c>
      <c r="H3" s="38" t="s">
        <v>429</v>
      </c>
      <c r="I3" s="57" t="s">
        <v>137</v>
      </c>
      <c r="J3" s="38">
        <v>13</v>
      </c>
      <c r="K3" s="38"/>
      <c r="L3" s="38"/>
      <c r="M3" s="39"/>
      <c r="N3" s="39"/>
      <c r="O3" s="39"/>
      <c r="P3" s="39"/>
      <c r="Q3" s="39"/>
      <c r="R3" s="43"/>
      <c r="S3" s="40"/>
      <c r="T3" s="39"/>
      <c r="U3" s="39"/>
      <c r="V3" s="39"/>
      <c r="W3" s="39"/>
      <c r="X3" s="40"/>
      <c r="Y3" s="39"/>
      <c r="Z3" s="39"/>
      <c r="AA3" s="39"/>
      <c r="AB3" s="39"/>
      <c r="AC3" s="60"/>
    </row>
    <row r="4" spans="1:29" ht="43.5" customHeight="1">
      <c r="A4" s="38">
        <v>3</v>
      </c>
      <c r="B4" s="32" t="s">
        <v>5</v>
      </c>
      <c r="C4" s="50">
        <v>45807</v>
      </c>
      <c r="D4" s="50">
        <v>45820</v>
      </c>
      <c r="E4" s="38" t="s">
        <v>461</v>
      </c>
      <c r="F4" s="38" t="s">
        <v>430</v>
      </c>
      <c r="G4" s="63">
        <v>48497</v>
      </c>
      <c r="H4" s="38" t="s">
        <v>434</v>
      </c>
      <c r="I4" s="57" t="s">
        <v>137</v>
      </c>
      <c r="J4" s="38">
        <v>8</v>
      </c>
      <c r="K4" s="38"/>
      <c r="L4" s="38"/>
      <c r="M4" s="39"/>
      <c r="N4" s="39"/>
      <c r="O4" s="39"/>
      <c r="P4" s="39"/>
      <c r="Q4" s="39"/>
      <c r="R4" s="43"/>
      <c r="S4" s="40"/>
      <c r="T4" s="39"/>
      <c r="U4" s="39"/>
      <c r="V4" s="39"/>
      <c r="W4" s="39"/>
      <c r="X4" s="40"/>
      <c r="Y4" s="39"/>
      <c r="Z4" s="39"/>
      <c r="AA4" s="39"/>
      <c r="AB4" s="39"/>
      <c r="AC4" s="60"/>
    </row>
  </sheetData>
  <dataValidations count="1">
    <dataValidation type="list" allowBlank="1" showInputMessage="1" showErrorMessage="1" sqref="AC2:AC4" xr:uid="{FF9FB770-6104-44C9-A811-8682B2AAC1A4}">
      <formula1>"Exceeds Expectation, Meets Expectation, Needs improvements"</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70616FEF-4234-4889-A1EE-FEB9D22160B6}">
          <x14:formula1>
            <xm:f>Settings!$C$3:$C$20</xm:f>
          </x14:formula1>
          <xm:sqref>I2:I4</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1B13-04A6-481E-8C73-20FA615255AE}">
  <sheetPr>
    <outlinePr summaryBelow="0" summaryRight="0"/>
  </sheetPr>
  <dimension ref="A1:AC969"/>
  <sheetViews>
    <sheetView topLeftCell="B19" workbookViewId="0">
      <selection activeCell="G11" sqref="G11"/>
    </sheetView>
  </sheetViews>
  <sheetFormatPr defaultColWidth="12.5703125" defaultRowHeight="15" customHeight="1"/>
  <cols>
    <col min="1" max="1" width="12.5703125" style="20" hidden="1" customWidth="1"/>
    <col min="2" max="2" width="18.28515625" style="20" customWidth="1"/>
    <col min="3" max="3" width="11.7109375" style="15" customWidth="1"/>
    <col min="4" max="4" width="14.42578125" style="15" customWidth="1"/>
    <col min="5" max="5" width="21.85546875" style="15" customWidth="1"/>
    <col min="6" max="6" width="13.85546875" style="20" customWidth="1"/>
    <col min="7" max="7" width="46.28515625" style="20" customWidth="1"/>
    <col min="8" max="8" width="10.42578125" style="15" customWidth="1"/>
    <col min="9" max="9" width="18.7109375" style="15" customWidth="1"/>
    <col min="10" max="10" width="9.140625" style="15" bestFit="1" customWidth="1"/>
    <col min="11" max="11" width="14.42578125" style="15" customWidth="1"/>
    <col min="12" max="12" width="19" style="15" customWidth="1"/>
    <col min="13" max="13" width="20.28515625" style="15" customWidth="1"/>
    <col min="14" max="14" width="56" style="15" customWidth="1"/>
    <col min="15" max="16384" width="12.5703125" style="20"/>
  </cols>
  <sheetData>
    <row r="1" spans="1:29" ht="27">
      <c r="A1" s="59" t="s">
        <v>87</v>
      </c>
      <c r="B1" s="24" t="s">
        <v>11</v>
      </c>
      <c r="C1" s="24" t="s">
        <v>88</v>
      </c>
      <c r="D1" s="24" t="s">
        <v>89</v>
      </c>
      <c r="E1" s="24" t="s">
        <v>90</v>
      </c>
      <c r="F1" s="24" t="s">
        <v>91</v>
      </c>
      <c r="G1" s="24" t="s">
        <v>92</v>
      </c>
      <c r="H1" s="24" t="s">
        <v>93</v>
      </c>
      <c r="I1" s="24" t="s">
        <v>94</v>
      </c>
      <c r="J1" s="24" t="s">
        <v>95</v>
      </c>
      <c r="K1" s="24" t="s">
        <v>300</v>
      </c>
      <c r="L1" s="24" t="s">
        <v>96</v>
      </c>
      <c r="M1" s="36" t="s">
        <v>97</v>
      </c>
      <c r="N1" s="58" t="s">
        <v>301</v>
      </c>
      <c r="O1" s="41"/>
      <c r="P1" s="41"/>
      <c r="Q1" s="41"/>
      <c r="R1" s="41"/>
      <c r="S1" s="41"/>
      <c r="T1" s="41"/>
      <c r="U1" s="41"/>
      <c r="V1" s="41"/>
      <c r="W1" s="41"/>
      <c r="X1" s="41"/>
      <c r="Y1" s="41"/>
      <c r="Z1" s="41"/>
      <c r="AA1" s="41"/>
      <c r="AB1" s="41"/>
      <c r="AC1" s="41"/>
    </row>
    <row r="2" spans="1:29" ht="15.75" customHeight="1">
      <c r="B2" s="21"/>
      <c r="C2" s="61"/>
      <c r="D2" s="61"/>
      <c r="E2" s="61"/>
      <c r="F2" s="21"/>
      <c r="G2" s="21"/>
      <c r="H2" s="61"/>
      <c r="I2" s="61"/>
      <c r="J2" s="61"/>
      <c r="K2" s="61"/>
      <c r="L2" s="61"/>
      <c r="M2" s="61"/>
    </row>
    <row r="3" spans="1:29" ht="15.75" customHeight="1">
      <c r="B3" s="18"/>
      <c r="C3" s="23"/>
      <c r="D3" s="23"/>
      <c r="E3" s="23"/>
      <c r="F3" s="18"/>
      <c r="G3" s="18"/>
      <c r="H3" s="23"/>
      <c r="I3" s="23"/>
      <c r="J3" s="23"/>
      <c r="K3" s="23"/>
      <c r="L3" s="23"/>
      <c r="M3" s="23"/>
    </row>
    <row r="4" spans="1:29" ht="15.75" customHeight="1">
      <c r="B4" s="18"/>
      <c r="C4" s="23"/>
      <c r="D4" s="23"/>
      <c r="E4" s="23"/>
      <c r="F4" s="18"/>
      <c r="G4" s="18"/>
      <c r="H4" s="23"/>
      <c r="I4" s="23"/>
      <c r="J4" s="23"/>
      <c r="K4" s="23"/>
      <c r="L4" s="23"/>
      <c r="M4" s="23"/>
    </row>
    <row r="5" spans="1:29" ht="15.75" customHeight="1">
      <c r="B5" s="18"/>
      <c r="C5" s="23"/>
      <c r="D5" s="23"/>
      <c r="E5" s="23"/>
      <c r="F5" s="18"/>
      <c r="G5" s="18"/>
      <c r="H5" s="23"/>
      <c r="I5" s="23"/>
      <c r="J5" s="23"/>
      <c r="K5" s="23"/>
      <c r="L5" s="23"/>
      <c r="M5" s="23"/>
    </row>
    <row r="6" spans="1:29" ht="15.75" customHeight="1">
      <c r="B6" s="18"/>
      <c r="C6" s="23"/>
      <c r="D6" s="23"/>
      <c r="E6" s="23"/>
      <c r="F6" s="18"/>
      <c r="G6" s="18"/>
      <c r="H6" s="23"/>
      <c r="I6" s="23"/>
      <c r="J6" s="23"/>
      <c r="K6" s="23"/>
      <c r="L6" s="23"/>
      <c r="M6" s="23"/>
    </row>
    <row r="7" spans="1:29" ht="15.75" customHeight="1">
      <c r="B7" s="18"/>
      <c r="C7" s="23"/>
      <c r="D7" s="23"/>
      <c r="E7" s="23"/>
      <c r="F7" s="18"/>
      <c r="G7" s="18"/>
      <c r="H7" s="23"/>
      <c r="I7" s="23"/>
      <c r="J7" s="23"/>
      <c r="K7" s="23"/>
      <c r="L7" s="23"/>
      <c r="M7" s="23"/>
    </row>
    <row r="8" spans="1:29" ht="15.75" customHeight="1">
      <c r="B8" s="18"/>
      <c r="C8" s="23"/>
      <c r="D8" s="23"/>
      <c r="E8" s="23"/>
      <c r="F8" s="18"/>
      <c r="G8" s="18"/>
      <c r="H8" s="23"/>
      <c r="I8" s="23"/>
      <c r="J8" s="23"/>
      <c r="K8" s="23"/>
      <c r="L8" s="23"/>
      <c r="M8" s="23"/>
    </row>
    <row r="9" spans="1:29" ht="15.75" customHeight="1">
      <c r="B9" s="18"/>
      <c r="C9" s="23"/>
      <c r="D9" s="23"/>
      <c r="E9" s="23"/>
      <c r="F9" s="18"/>
      <c r="G9" s="18"/>
      <c r="H9" s="23"/>
      <c r="I9" s="23"/>
      <c r="J9" s="23"/>
      <c r="K9" s="23"/>
      <c r="L9" s="23"/>
      <c r="M9" s="23"/>
    </row>
    <row r="10" spans="1:29" ht="15.75" customHeight="1">
      <c r="B10" s="18"/>
      <c r="C10" s="23"/>
      <c r="D10" s="23"/>
      <c r="E10" s="23"/>
      <c r="F10" s="18"/>
      <c r="G10" s="18"/>
      <c r="H10" s="23"/>
      <c r="I10" s="23"/>
      <c r="J10" s="23"/>
      <c r="K10" s="23"/>
      <c r="L10" s="23"/>
      <c r="M10" s="23"/>
    </row>
    <row r="11" spans="1:29" ht="15.75" customHeight="1">
      <c r="B11" s="18"/>
      <c r="C11" s="23"/>
      <c r="D11" s="23"/>
      <c r="E11" s="23"/>
      <c r="F11" s="18"/>
      <c r="G11" s="18"/>
      <c r="H11" s="23"/>
      <c r="I11" s="23"/>
      <c r="J11" s="23"/>
      <c r="K11" s="23"/>
      <c r="L11" s="23"/>
      <c r="M11" s="23"/>
    </row>
    <row r="12" spans="1:29" ht="15.75" customHeight="1">
      <c r="B12" s="18"/>
      <c r="C12" s="23"/>
      <c r="D12" s="23"/>
      <c r="E12" s="23"/>
      <c r="F12" s="18"/>
      <c r="G12" s="18"/>
      <c r="H12" s="23"/>
      <c r="I12" s="23"/>
      <c r="J12" s="23"/>
      <c r="K12" s="23"/>
      <c r="L12" s="23"/>
      <c r="M12" s="23"/>
    </row>
    <row r="13" spans="1:29" ht="15.75" customHeight="1">
      <c r="B13" s="18"/>
      <c r="C13" s="23"/>
      <c r="D13" s="23"/>
      <c r="E13" s="23"/>
      <c r="F13" s="18"/>
      <c r="G13" s="18"/>
      <c r="H13" s="23"/>
      <c r="I13" s="23"/>
      <c r="J13" s="23"/>
      <c r="K13" s="23"/>
      <c r="L13" s="23"/>
      <c r="M13" s="23"/>
    </row>
    <row r="14" spans="1:29" ht="15.75" customHeight="1">
      <c r="B14" s="18"/>
      <c r="C14" s="23"/>
      <c r="D14" s="23"/>
      <c r="E14" s="23"/>
      <c r="F14" s="18"/>
      <c r="G14" s="18"/>
      <c r="H14" s="23"/>
      <c r="I14" s="23"/>
      <c r="J14" s="23"/>
      <c r="K14" s="23"/>
      <c r="L14" s="23"/>
      <c r="M14" s="23"/>
    </row>
    <row r="15" spans="1:29" ht="15.75" customHeight="1">
      <c r="B15" s="18"/>
      <c r="C15" s="23"/>
      <c r="D15" s="23"/>
      <c r="E15" s="23"/>
      <c r="F15" s="18"/>
      <c r="G15" s="18"/>
      <c r="H15" s="23"/>
      <c r="I15" s="23"/>
      <c r="J15" s="23"/>
      <c r="K15" s="23"/>
      <c r="L15" s="23"/>
      <c r="M15" s="23"/>
    </row>
    <row r="16" spans="1:29" ht="15.75" customHeight="1">
      <c r="B16" s="18"/>
      <c r="C16" s="23"/>
      <c r="D16" s="23"/>
      <c r="E16" s="23"/>
      <c r="F16" s="18"/>
      <c r="G16" s="18"/>
      <c r="H16" s="23"/>
      <c r="I16" s="23"/>
      <c r="J16" s="23"/>
      <c r="K16" s="23"/>
      <c r="L16" s="23"/>
      <c r="M16" s="23"/>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sheetData>
  <autoFilter ref="A1:N1" xr:uid="{3A2BB050-11AC-4ED7-A296-96B42C7FCFBA}"/>
  <pageMargins left="0" right="0" top="0" bottom="0" header="0" footer="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173" t="s">
        <v>463</v>
      </c>
      <c r="C2" s="174"/>
      <c r="D2" s="174"/>
      <c r="E2" s="174"/>
      <c r="F2" s="174"/>
      <c r="G2" s="174"/>
      <c r="I2" s="10" t="s">
        <v>464</v>
      </c>
      <c r="J2" s="10" t="s">
        <v>465</v>
      </c>
      <c r="K2" s="10" t="s">
        <v>96</v>
      </c>
    </row>
    <row r="3" spans="2:11">
      <c r="B3" s="2">
        <v>1</v>
      </c>
      <c r="C3" s="172" t="s">
        <v>466</v>
      </c>
      <c r="D3" s="175"/>
      <c r="E3" s="175"/>
      <c r="F3" s="175"/>
      <c r="G3" s="176"/>
      <c r="I3" s="2">
        <v>1</v>
      </c>
      <c r="J3" s="2" t="s">
        <v>467</v>
      </c>
      <c r="K3" s="2" t="b">
        <v>0</v>
      </c>
    </row>
    <row r="4" spans="2:11">
      <c r="B4" s="2">
        <v>2</v>
      </c>
      <c r="C4" s="172" t="s">
        <v>468</v>
      </c>
      <c r="D4" s="175"/>
      <c r="E4" s="175"/>
      <c r="F4" s="175"/>
      <c r="G4" s="176"/>
      <c r="I4" s="2">
        <v>2</v>
      </c>
      <c r="J4" s="2" t="s">
        <v>469</v>
      </c>
      <c r="K4" s="2" t="b">
        <v>0</v>
      </c>
    </row>
    <row r="5" spans="2:11">
      <c r="B5" s="2">
        <v>3</v>
      </c>
      <c r="C5" s="172" t="s">
        <v>470</v>
      </c>
      <c r="D5" s="175"/>
      <c r="E5" s="175"/>
      <c r="F5" s="175"/>
      <c r="G5" s="176"/>
      <c r="I5" s="2">
        <v>3</v>
      </c>
      <c r="J5" s="2" t="s">
        <v>471</v>
      </c>
      <c r="K5" s="2" t="b">
        <v>0</v>
      </c>
    </row>
    <row r="6" spans="2:11">
      <c r="B6" s="2">
        <v>4</v>
      </c>
      <c r="C6" s="172" t="s">
        <v>472</v>
      </c>
      <c r="D6" s="175"/>
      <c r="E6" s="175"/>
      <c r="F6" s="175"/>
      <c r="G6" s="176"/>
      <c r="I6" s="2">
        <v>4</v>
      </c>
      <c r="J6" s="2" t="s">
        <v>473</v>
      </c>
      <c r="K6" s="2" t="b">
        <v>0</v>
      </c>
    </row>
    <row r="7" spans="2:11">
      <c r="D7" s="11"/>
      <c r="I7" s="2">
        <v>5</v>
      </c>
      <c r="J7" s="2" t="s">
        <v>474</v>
      </c>
      <c r="K7" s="2" t="b">
        <v>0</v>
      </c>
    </row>
    <row r="8" spans="2:11">
      <c r="D8" s="11"/>
      <c r="I8" s="2">
        <v>6</v>
      </c>
      <c r="J8" s="2" t="s">
        <v>475</v>
      </c>
      <c r="K8" s="2" t="b">
        <v>0</v>
      </c>
    </row>
    <row r="9" spans="2:11">
      <c r="D9" s="11"/>
      <c r="I9" s="2">
        <v>7</v>
      </c>
      <c r="J9" s="2" t="s">
        <v>476</v>
      </c>
      <c r="K9" s="2" t="b">
        <v>0</v>
      </c>
    </row>
    <row r="10" spans="2:11">
      <c r="D10" s="11"/>
      <c r="I10" s="2">
        <v>8</v>
      </c>
      <c r="J10" s="2" t="s">
        <v>477</v>
      </c>
      <c r="K10" s="2" t="b">
        <v>0</v>
      </c>
    </row>
  </sheetData>
  <mergeCells count="5">
    <mergeCell ref="B2:G2"/>
    <mergeCell ref="C3:G3"/>
    <mergeCell ref="C4:G4"/>
    <mergeCell ref="C5:G5"/>
    <mergeCell ref="C6:G6"/>
  </mergeCells>
  <pageMargins left="0" right="0" top="0" bottom="0" header="0" footer="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10"/>
  <sheetViews>
    <sheetView workbookViewId="0">
      <selection activeCell="K20" sqref="K20"/>
    </sheetView>
  </sheetViews>
  <sheetFormatPr defaultColWidth="12.5703125" defaultRowHeight="15.75" customHeight="1"/>
  <cols>
    <col min="1" max="1" width="16.5703125" customWidth="1"/>
  </cols>
  <sheetData>
    <row r="1" spans="1:1">
      <c r="A1" s="12" t="s">
        <v>478</v>
      </c>
    </row>
    <row r="2" spans="1:1">
      <c r="A2" s="13" t="s">
        <v>479</v>
      </c>
    </row>
    <row r="3" spans="1:1">
      <c r="A3" s="13" t="s">
        <v>480</v>
      </c>
    </row>
    <row r="4" spans="1:1">
      <c r="A4" s="13" t="s">
        <v>481</v>
      </c>
    </row>
    <row r="5" spans="1:1">
      <c r="A5" s="13" t="s">
        <v>482</v>
      </c>
    </row>
    <row r="6" spans="1:1">
      <c r="A6" s="13" t="s">
        <v>483</v>
      </c>
    </row>
    <row r="7" spans="1:1">
      <c r="A7" s="13" t="s">
        <v>484</v>
      </c>
    </row>
    <row r="8" spans="1:1">
      <c r="A8" s="13" t="s">
        <v>485</v>
      </c>
    </row>
    <row r="9" spans="1:1">
      <c r="A9" s="13" t="s">
        <v>486</v>
      </c>
    </row>
    <row r="10" spans="1:1">
      <c r="A10" s="13" t="s">
        <v>487</v>
      </c>
    </row>
  </sheetData>
  <pageMargins left="0" right="0" top="0" bottom="0" header="0" footer="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C7A31-851B-42B7-B771-9CA8D357CA73}">
  <dimension ref="C3:C20"/>
  <sheetViews>
    <sheetView topLeftCell="A2" workbookViewId="0">
      <selection activeCell="G12" sqref="G12"/>
    </sheetView>
  </sheetViews>
  <sheetFormatPr defaultRowHeight="12.75"/>
  <cols>
    <col min="3" max="3" width="13.42578125" customWidth="1"/>
  </cols>
  <sheetData>
    <row r="3" spans="3:3">
      <c r="C3" t="s">
        <v>148</v>
      </c>
    </row>
    <row r="4" spans="3:3">
      <c r="C4" t="s">
        <v>488</v>
      </c>
    </row>
    <row r="5" spans="3:3">
      <c r="C5" t="s">
        <v>489</v>
      </c>
    </row>
    <row r="6" spans="3:3">
      <c r="C6" t="s">
        <v>454</v>
      </c>
    </row>
    <row r="7" spans="3:3">
      <c r="C7" t="s">
        <v>490</v>
      </c>
    </row>
    <row r="8" spans="3:3">
      <c r="C8" t="s">
        <v>137</v>
      </c>
    </row>
    <row r="9" spans="3:3">
      <c r="C9" t="s">
        <v>491</v>
      </c>
    </row>
    <row r="10" spans="3:3">
      <c r="C10" t="s">
        <v>492</v>
      </c>
    </row>
    <row r="11" spans="3:3">
      <c r="C11" t="s">
        <v>493</v>
      </c>
    </row>
    <row r="12" spans="3:3">
      <c r="C12" t="s">
        <v>273</v>
      </c>
    </row>
    <row r="13" spans="3:3">
      <c r="C13" t="s">
        <v>494</v>
      </c>
    </row>
    <row r="14" spans="3:3">
      <c r="C14" t="s">
        <v>490</v>
      </c>
    </row>
    <row r="15" spans="3:3">
      <c r="C15" t="s">
        <v>495</v>
      </c>
    </row>
    <row r="16" spans="3:3">
      <c r="C16" t="s">
        <v>496</v>
      </c>
    </row>
    <row r="17" spans="3:3">
      <c r="C17" t="s">
        <v>173</v>
      </c>
    </row>
    <row r="18" spans="3:3">
      <c r="C18" t="s">
        <v>288</v>
      </c>
    </row>
    <row r="19" spans="3:3">
      <c r="C19" t="s">
        <v>323</v>
      </c>
    </row>
    <row r="20" spans="3:3">
      <c r="C20" t="s">
        <v>497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1400-933A-41CF-9FBB-298737DB0B65}">
  <dimension ref="A1:AB65"/>
  <sheetViews>
    <sheetView workbookViewId="0"/>
  </sheetViews>
  <sheetFormatPr defaultRowHeight="12.75"/>
  <sheetData>
    <row r="1" spans="1:28">
      <c r="A1">
        <v>1</v>
      </c>
      <c r="B1" t="s">
        <v>5</v>
      </c>
      <c r="C1">
        <v>45807</v>
      </c>
      <c r="D1">
        <v>45820</v>
      </c>
      <c r="E1" t="s">
        <v>22</v>
      </c>
      <c r="F1" t="s">
        <v>458</v>
      </c>
      <c r="G1">
        <v>48533</v>
      </c>
      <c r="H1" t="s">
        <v>459</v>
      </c>
      <c r="I1" t="s">
        <v>148</v>
      </c>
      <c r="J1">
        <v>13</v>
      </c>
      <c r="K1">
        <v>13</v>
      </c>
      <c r="L1">
        <v>91</v>
      </c>
      <c r="AB1" t="s">
        <v>460</v>
      </c>
    </row>
    <row r="2" spans="1:28">
      <c r="A2">
        <v>2</v>
      </c>
      <c r="B2" t="s">
        <v>5</v>
      </c>
      <c r="C2">
        <v>45807</v>
      </c>
      <c r="D2">
        <v>45820</v>
      </c>
      <c r="E2" t="s">
        <v>461</v>
      </c>
      <c r="F2" t="s">
        <v>462</v>
      </c>
      <c r="G2">
        <v>48500</v>
      </c>
      <c r="H2" t="s">
        <v>429</v>
      </c>
      <c r="I2" t="s">
        <v>137</v>
      </c>
      <c r="J2">
        <v>13</v>
      </c>
    </row>
    <row r="3" spans="1:28">
      <c r="A3">
        <v>1</v>
      </c>
      <c r="B3" t="s">
        <v>5</v>
      </c>
      <c r="C3">
        <v>45821</v>
      </c>
      <c r="D3">
        <v>45834</v>
      </c>
      <c r="E3" t="s">
        <v>24</v>
      </c>
      <c r="F3" t="s">
        <v>428</v>
      </c>
      <c r="G3">
        <v>48500</v>
      </c>
      <c r="H3" t="s">
        <v>429</v>
      </c>
      <c r="I3" t="s">
        <v>454</v>
      </c>
      <c r="J3">
        <v>13</v>
      </c>
      <c r="K3">
        <v>24</v>
      </c>
      <c r="L3">
        <v>97</v>
      </c>
      <c r="M3" t="s">
        <v>441</v>
      </c>
      <c r="N3" t="s">
        <v>430</v>
      </c>
      <c r="P3" t="s">
        <v>166</v>
      </c>
      <c r="AA3" t="s">
        <v>455</v>
      </c>
      <c r="AB3" t="s">
        <v>456</v>
      </c>
    </row>
    <row r="4" spans="1:28">
      <c r="A4">
        <v>1</v>
      </c>
      <c r="B4" t="s">
        <v>5</v>
      </c>
      <c r="C4">
        <v>45835</v>
      </c>
      <c r="D4">
        <v>45848</v>
      </c>
      <c r="E4" t="s">
        <v>26</v>
      </c>
      <c r="F4" t="s">
        <v>428</v>
      </c>
      <c r="G4">
        <v>48500</v>
      </c>
      <c r="H4" t="s">
        <v>429</v>
      </c>
      <c r="I4" t="s">
        <v>137</v>
      </c>
      <c r="J4">
        <v>13</v>
      </c>
      <c r="K4">
        <v>13</v>
      </c>
      <c r="L4">
        <v>97</v>
      </c>
      <c r="M4" t="s">
        <v>13</v>
      </c>
      <c r="N4" t="s">
        <v>430</v>
      </c>
      <c r="P4" t="s">
        <v>166</v>
      </c>
      <c r="Q4" t="s">
        <v>431</v>
      </c>
      <c r="R4" t="s">
        <v>432</v>
      </c>
      <c r="S4">
        <v>45839</v>
      </c>
      <c r="T4">
        <v>45845</v>
      </c>
      <c r="U4" t="s">
        <v>151</v>
      </c>
      <c r="W4" t="s">
        <v>180</v>
      </c>
      <c r="X4">
        <v>45845</v>
      </c>
      <c r="AB4" t="s">
        <v>433</v>
      </c>
    </row>
    <row r="5" spans="1:28">
      <c r="A5">
        <v>2</v>
      </c>
      <c r="B5" t="s">
        <v>5</v>
      </c>
      <c r="C5">
        <v>45835</v>
      </c>
      <c r="D5">
        <v>45848</v>
      </c>
      <c r="E5" t="s">
        <v>26</v>
      </c>
      <c r="F5" t="s">
        <v>430</v>
      </c>
      <c r="G5">
        <v>48497</v>
      </c>
      <c r="H5" t="s">
        <v>434</v>
      </c>
      <c r="I5" t="s">
        <v>148</v>
      </c>
      <c r="J5">
        <v>8</v>
      </c>
      <c r="K5">
        <v>8</v>
      </c>
      <c r="L5">
        <v>44</v>
      </c>
      <c r="M5" t="s">
        <v>13</v>
      </c>
      <c r="N5" t="s">
        <v>428</v>
      </c>
      <c r="P5" t="s">
        <v>166</v>
      </c>
      <c r="Q5" t="s">
        <v>435</v>
      </c>
      <c r="R5" t="s">
        <v>432</v>
      </c>
      <c r="S5">
        <v>45839</v>
      </c>
      <c r="T5">
        <v>45845</v>
      </c>
      <c r="U5" t="s">
        <v>151</v>
      </c>
      <c r="W5" t="s">
        <v>180</v>
      </c>
      <c r="X5">
        <v>45845</v>
      </c>
      <c r="Y5" t="s">
        <v>436</v>
      </c>
    </row>
    <row r="6" spans="1:28">
      <c r="A6">
        <v>3</v>
      </c>
      <c r="B6" t="s">
        <v>5</v>
      </c>
      <c r="C6">
        <v>45835</v>
      </c>
      <c r="D6">
        <v>45848</v>
      </c>
      <c r="E6" t="s">
        <v>26</v>
      </c>
      <c r="F6" t="s">
        <v>430</v>
      </c>
      <c r="G6">
        <v>48961</v>
      </c>
      <c r="H6" t="s">
        <v>437</v>
      </c>
      <c r="I6" t="s">
        <v>148</v>
      </c>
      <c r="J6">
        <v>5</v>
      </c>
      <c r="K6">
        <v>5</v>
      </c>
      <c r="L6">
        <v>26</v>
      </c>
      <c r="M6" t="s">
        <v>13</v>
      </c>
      <c r="N6" t="s">
        <v>135</v>
      </c>
      <c r="P6" t="s">
        <v>166</v>
      </c>
      <c r="R6" t="s">
        <v>438</v>
      </c>
      <c r="S6">
        <v>45845</v>
      </c>
      <c r="T6">
        <v>45845</v>
      </c>
      <c r="U6" t="s">
        <v>151</v>
      </c>
      <c r="W6" t="s">
        <v>180</v>
      </c>
      <c r="X6">
        <v>45845</v>
      </c>
    </row>
    <row r="7" spans="1:28">
      <c r="A7">
        <v>1</v>
      </c>
      <c r="B7" t="s">
        <v>5</v>
      </c>
      <c r="C7">
        <v>45849</v>
      </c>
      <c r="D7">
        <v>45862</v>
      </c>
      <c r="E7" t="s">
        <v>29</v>
      </c>
      <c r="F7" t="s">
        <v>141</v>
      </c>
      <c r="G7">
        <v>49147</v>
      </c>
      <c r="H7" t="s">
        <v>407</v>
      </c>
      <c r="I7" t="s">
        <v>148</v>
      </c>
      <c r="J7">
        <v>8</v>
      </c>
      <c r="K7">
        <v>8</v>
      </c>
      <c r="L7">
        <v>46</v>
      </c>
      <c r="M7">
        <v>45852</v>
      </c>
      <c r="N7">
        <v>45861</v>
      </c>
      <c r="O7" t="s">
        <v>13</v>
      </c>
      <c r="P7" t="s">
        <v>408</v>
      </c>
      <c r="R7" t="s">
        <v>166</v>
      </c>
      <c r="S7" t="s">
        <v>409</v>
      </c>
      <c r="T7" t="s">
        <v>410</v>
      </c>
      <c r="U7" t="s">
        <v>411</v>
      </c>
      <c r="V7" t="s">
        <v>412</v>
      </c>
      <c r="W7" t="s">
        <v>151</v>
      </c>
      <c r="Y7" t="s">
        <v>180</v>
      </c>
      <c r="Z7" t="s">
        <v>412</v>
      </c>
    </row>
    <row r="8" spans="1:28">
      <c r="A8">
        <v>2</v>
      </c>
      <c r="B8" t="s">
        <v>5</v>
      </c>
      <c r="C8">
        <v>45849</v>
      </c>
      <c r="D8">
        <v>45862</v>
      </c>
      <c r="E8" t="s">
        <v>29</v>
      </c>
      <c r="F8" t="s">
        <v>135</v>
      </c>
      <c r="G8">
        <v>48962</v>
      </c>
      <c r="H8" t="s">
        <v>414</v>
      </c>
      <c r="I8" t="s">
        <v>148</v>
      </c>
      <c r="J8">
        <v>5</v>
      </c>
      <c r="K8">
        <v>5</v>
      </c>
      <c r="L8">
        <v>39</v>
      </c>
      <c r="M8" t="s">
        <v>415</v>
      </c>
      <c r="N8" t="s">
        <v>416</v>
      </c>
      <c r="O8" t="s">
        <v>13</v>
      </c>
      <c r="P8" t="s">
        <v>417</v>
      </c>
      <c r="R8" t="s">
        <v>166</v>
      </c>
      <c r="S8" t="s">
        <v>418</v>
      </c>
      <c r="T8" t="s">
        <v>419</v>
      </c>
      <c r="U8" t="s">
        <v>420</v>
      </c>
      <c r="V8" t="s">
        <v>411</v>
      </c>
      <c r="W8" t="s">
        <v>151</v>
      </c>
      <c r="Y8" t="s">
        <v>180</v>
      </c>
      <c r="Z8" t="s">
        <v>411</v>
      </c>
    </row>
    <row r="9" spans="1:28">
      <c r="A9">
        <v>3</v>
      </c>
      <c r="B9" t="s">
        <v>5</v>
      </c>
      <c r="C9">
        <v>45849</v>
      </c>
      <c r="D9">
        <v>45862</v>
      </c>
      <c r="E9" t="s">
        <v>29</v>
      </c>
      <c r="F9" t="s">
        <v>139</v>
      </c>
      <c r="G9">
        <v>49145</v>
      </c>
      <c r="H9" t="s">
        <v>423</v>
      </c>
      <c r="I9" t="s">
        <v>148</v>
      </c>
      <c r="J9">
        <v>8</v>
      </c>
      <c r="K9">
        <v>8</v>
      </c>
      <c r="L9">
        <v>43.5</v>
      </c>
      <c r="M9">
        <v>45852</v>
      </c>
      <c r="N9">
        <v>45861</v>
      </c>
      <c r="O9" t="s">
        <v>13</v>
      </c>
      <c r="P9" t="s">
        <v>141</v>
      </c>
      <c r="R9" t="s">
        <v>166</v>
      </c>
      <c r="T9" t="s">
        <v>410</v>
      </c>
      <c r="U9" t="s">
        <v>411</v>
      </c>
      <c r="V9" t="s">
        <v>412</v>
      </c>
      <c r="W9" t="s">
        <v>151</v>
      </c>
      <c r="Y9" t="s">
        <v>180</v>
      </c>
      <c r="Z9" t="s">
        <v>412</v>
      </c>
    </row>
    <row r="10" spans="1:28">
      <c r="A10">
        <v>1</v>
      </c>
      <c r="B10" t="s">
        <v>5</v>
      </c>
      <c r="C10">
        <v>45863</v>
      </c>
      <c r="D10">
        <v>45876</v>
      </c>
      <c r="E10" t="s">
        <v>33</v>
      </c>
      <c r="F10" t="s">
        <v>141</v>
      </c>
      <c r="G10">
        <v>49184</v>
      </c>
      <c r="H10" t="s">
        <v>399</v>
      </c>
      <c r="I10" t="s">
        <v>148</v>
      </c>
      <c r="J10">
        <v>5</v>
      </c>
      <c r="K10">
        <v>7</v>
      </c>
      <c r="L10">
        <v>31</v>
      </c>
      <c r="M10">
        <v>45863</v>
      </c>
      <c r="N10">
        <v>45873</v>
      </c>
      <c r="O10" t="s">
        <v>13</v>
      </c>
      <c r="P10" t="s">
        <v>135</v>
      </c>
      <c r="R10" t="s">
        <v>166</v>
      </c>
      <c r="T10" t="s">
        <v>400</v>
      </c>
      <c r="U10">
        <v>45873</v>
      </c>
      <c r="V10">
        <v>45873</v>
      </c>
      <c r="W10" t="s">
        <v>151</v>
      </c>
      <c r="Y10" t="s">
        <v>180</v>
      </c>
    </row>
    <row r="11" spans="1:28">
      <c r="A11">
        <v>2</v>
      </c>
      <c r="B11" t="s">
        <v>5</v>
      </c>
      <c r="C11">
        <v>45863</v>
      </c>
      <c r="D11">
        <v>45876</v>
      </c>
      <c r="E11" t="s">
        <v>401</v>
      </c>
      <c r="F11" t="s">
        <v>402</v>
      </c>
      <c r="G11">
        <v>49355</v>
      </c>
      <c r="H11" t="s">
        <v>403</v>
      </c>
      <c r="I11" t="s">
        <v>148</v>
      </c>
      <c r="J11">
        <v>13</v>
      </c>
      <c r="K11">
        <v>25</v>
      </c>
      <c r="L11">
        <v>101</v>
      </c>
      <c r="M11">
        <v>45863</v>
      </c>
      <c r="N11">
        <v>45875</v>
      </c>
      <c r="O11" t="s">
        <v>13</v>
      </c>
    </row>
    <row r="12" spans="1:28">
      <c r="A12">
        <v>3</v>
      </c>
      <c r="B12" t="s">
        <v>5</v>
      </c>
      <c r="C12">
        <v>45863</v>
      </c>
      <c r="D12">
        <v>45876</v>
      </c>
      <c r="E12" t="s">
        <v>401</v>
      </c>
      <c r="F12" t="s">
        <v>139</v>
      </c>
      <c r="G12">
        <v>49144</v>
      </c>
      <c r="H12" t="s">
        <v>405</v>
      </c>
      <c r="I12" t="s">
        <v>148</v>
      </c>
      <c r="J12">
        <v>8</v>
      </c>
      <c r="K12">
        <v>9</v>
      </c>
      <c r="L12">
        <v>37</v>
      </c>
      <c r="M12">
        <v>45863</v>
      </c>
      <c r="N12">
        <v>45875</v>
      </c>
      <c r="O12" t="s">
        <v>13</v>
      </c>
      <c r="P12" t="s">
        <v>141</v>
      </c>
      <c r="R12" t="s">
        <v>166</v>
      </c>
      <c r="T12" t="s">
        <v>406</v>
      </c>
      <c r="U12">
        <v>45875</v>
      </c>
      <c r="V12">
        <v>45875</v>
      </c>
      <c r="W12" t="s">
        <v>151</v>
      </c>
      <c r="Y12" t="s">
        <v>180</v>
      </c>
    </row>
    <row r="13" spans="1:28">
      <c r="A13">
        <v>1</v>
      </c>
      <c r="B13" t="s">
        <v>5</v>
      </c>
      <c r="C13">
        <v>45877</v>
      </c>
      <c r="D13">
        <v>45890</v>
      </c>
      <c r="E13" t="s">
        <v>36</v>
      </c>
      <c r="F13" t="s">
        <v>139</v>
      </c>
      <c r="G13">
        <v>49550</v>
      </c>
      <c r="H13" t="s">
        <v>387</v>
      </c>
      <c r="I13" t="s">
        <v>148</v>
      </c>
      <c r="J13">
        <v>5</v>
      </c>
      <c r="K13">
        <v>12</v>
      </c>
      <c r="L13">
        <v>50</v>
      </c>
      <c r="M13">
        <v>45877</v>
      </c>
      <c r="N13">
        <v>45889</v>
      </c>
      <c r="O13" t="s">
        <v>388</v>
      </c>
      <c r="P13" t="s">
        <v>162</v>
      </c>
      <c r="R13" t="s">
        <v>149</v>
      </c>
      <c r="T13" t="s">
        <v>389</v>
      </c>
      <c r="U13">
        <v>45889</v>
      </c>
      <c r="V13">
        <v>45889</v>
      </c>
      <c r="W13" t="s">
        <v>151</v>
      </c>
      <c r="Y13" t="s">
        <v>180</v>
      </c>
      <c r="Z13">
        <v>45889</v>
      </c>
    </row>
    <row r="14" spans="1:28">
      <c r="A14">
        <v>2</v>
      </c>
      <c r="B14" t="s">
        <v>5</v>
      </c>
      <c r="C14">
        <v>45877</v>
      </c>
      <c r="D14">
        <v>45890</v>
      </c>
      <c r="E14" t="s">
        <v>36</v>
      </c>
      <c r="F14" t="s">
        <v>141</v>
      </c>
      <c r="G14">
        <v>49552</v>
      </c>
      <c r="H14" t="s">
        <v>391</v>
      </c>
      <c r="I14" t="s">
        <v>148</v>
      </c>
      <c r="J14">
        <v>5</v>
      </c>
      <c r="K14">
        <v>9</v>
      </c>
      <c r="L14">
        <v>36</v>
      </c>
      <c r="M14">
        <v>45877</v>
      </c>
      <c r="N14">
        <v>45888</v>
      </c>
      <c r="O14" t="s">
        <v>388</v>
      </c>
      <c r="P14" t="s">
        <v>162</v>
      </c>
      <c r="R14" t="s">
        <v>149</v>
      </c>
      <c r="T14" t="s">
        <v>392</v>
      </c>
      <c r="U14">
        <v>45888</v>
      </c>
      <c r="V14">
        <v>45888</v>
      </c>
      <c r="W14" t="s">
        <v>151</v>
      </c>
      <c r="Y14" t="s">
        <v>180</v>
      </c>
      <c r="Z14">
        <v>45889</v>
      </c>
    </row>
    <row r="15" spans="1:28">
      <c r="A15">
        <v>3</v>
      </c>
      <c r="B15" t="s">
        <v>5</v>
      </c>
      <c r="C15">
        <v>45877</v>
      </c>
      <c r="D15">
        <v>45890</v>
      </c>
      <c r="E15" t="s">
        <v>394</v>
      </c>
      <c r="F15" t="s">
        <v>135</v>
      </c>
      <c r="G15">
        <v>49493</v>
      </c>
      <c r="H15" t="s">
        <v>395</v>
      </c>
      <c r="I15" t="s">
        <v>137</v>
      </c>
      <c r="J15">
        <v>13</v>
      </c>
      <c r="M15">
        <v>45877</v>
      </c>
    </row>
    <row r="16" spans="1:28">
      <c r="A16">
        <v>1</v>
      </c>
      <c r="B16" t="s">
        <v>5</v>
      </c>
      <c r="C16">
        <v>45891</v>
      </c>
      <c r="D16">
        <v>45904</v>
      </c>
      <c r="E16" t="s">
        <v>378</v>
      </c>
      <c r="F16" t="s">
        <v>139</v>
      </c>
      <c r="G16">
        <v>49303</v>
      </c>
      <c r="H16" t="s">
        <v>366</v>
      </c>
      <c r="I16" t="s">
        <v>137</v>
      </c>
      <c r="J16">
        <v>13</v>
      </c>
      <c r="L16">
        <v>67</v>
      </c>
      <c r="M16">
        <v>45891</v>
      </c>
    </row>
    <row r="17" spans="1:26">
      <c r="A17">
        <v>2</v>
      </c>
      <c r="B17" t="s">
        <v>5</v>
      </c>
      <c r="C17">
        <v>45891</v>
      </c>
      <c r="D17">
        <v>45904</v>
      </c>
      <c r="E17" t="s">
        <v>40</v>
      </c>
      <c r="F17" t="s">
        <v>141</v>
      </c>
      <c r="G17">
        <v>49738</v>
      </c>
      <c r="H17" t="s">
        <v>380</v>
      </c>
      <c r="I17" t="s">
        <v>148</v>
      </c>
      <c r="J17">
        <v>3</v>
      </c>
      <c r="K17">
        <v>4</v>
      </c>
      <c r="L17">
        <v>17</v>
      </c>
      <c r="M17">
        <v>45891</v>
      </c>
      <c r="N17">
        <v>45895</v>
      </c>
      <c r="O17" t="s">
        <v>13</v>
      </c>
      <c r="P17" t="s">
        <v>381</v>
      </c>
      <c r="R17" t="s">
        <v>166</v>
      </c>
      <c r="T17" t="s">
        <v>382</v>
      </c>
      <c r="U17">
        <v>45895</v>
      </c>
      <c r="V17">
        <v>45895</v>
      </c>
      <c r="W17" t="s">
        <v>151</v>
      </c>
      <c r="Y17" t="s">
        <v>180</v>
      </c>
      <c r="Z17">
        <v>45895</v>
      </c>
    </row>
    <row r="18" spans="1:26">
      <c r="A18">
        <v>3</v>
      </c>
      <c r="B18" t="s">
        <v>5</v>
      </c>
      <c r="C18">
        <v>45891</v>
      </c>
      <c r="D18">
        <v>45904</v>
      </c>
      <c r="E18" t="s">
        <v>40</v>
      </c>
      <c r="F18" t="s">
        <v>135</v>
      </c>
      <c r="G18">
        <v>49493</v>
      </c>
      <c r="H18" t="s">
        <v>383</v>
      </c>
      <c r="I18" t="s">
        <v>148</v>
      </c>
      <c r="J18">
        <v>8</v>
      </c>
      <c r="K18">
        <v>8</v>
      </c>
      <c r="L18">
        <v>32</v>
      </c>
      <c r="M18">
        <v>45891</v>
      </c>
      <c r="N18">
        <v>45898</v>
      </c>
      <c r="O18" t="s">
        <v>204</v>
      </c>
      <c r="T18" t="s">
        <v>72</v>
      </c>
      <c r="U18" t="s">
        <v>384</v>
      </c>
      <c r="V18" t="s">
        <v>384</v>
      </c>
      <c r="W18" t="s">
        <v>151</v>
      </c>
      <c r="Z18" t="s">
        <v>384</v>
      </c>
    </row>
    <row r="19" spans="1:26">
      <c r="A19">
        <v>4</v>
      </c>
      <c r="B19" t="s">
        <v>5</v>
      </c>
      <c r="C19">
        <v>45891</v>
      </c>
      <c r="D19">
        <v>45904</v>
      </c>
      <c r="E19" t="s">
        <v>378</v>
      </c>
      <c r="F19" t="s">
        <v>141</v>
      </c>
      <c r="G19">
        <v>49686</v>
      </c>
      <c r="H19" t="s">
        <v>370</v>
      </c>
      <c r="I19" t="s">
        <v>137</v>
      </c>
      <c r="J19">
        <v>13</v>
      </c>
      <c r="L19">
        <v>43</v>
      </c>
      <c r="M19">
        <v>45897</v>
      </c>
    </row>
    <row r="20" spans="1:26">
      <c r="A20">
        <v>5</v>
      </c>
      <c r="B20" t="s">
        <v>5</v>
      </c>
      <c r="C20">
        <v>45891</v>
      </c>
      <c r="D20">
        <v>45904</v>
      </c>
      <c r="E20" t="s">
        <v>378</v>
      </c>
      <c r="F20" t="s">
        <v>135</v>
      </c>
      <c r="G20">
        <v>49856</v>
      </c>
      <c r="H20" t="s">
        <v>350</v>
      </c>
      <c r="I20" t="s">
        <v>137</v>
      </c>
      <c r="J20">
        <v>13</v>
      </c>
      <c r="L20">
        <v>25</v>
      </c>
      <c r="M20">
        <v>45901</v>
      </c>
    </row>
    <row r="21" spans="1:26">
      <c r="A21">
        <v>1</v>
      </c>
      <c r="B21" t="s">
        <v>5</v>
      </c>
      <c r="C21">
        <v>45905</v>
      </c>
      <c r="D21">
        <v>45918</v>
      </c>
      <c r="E21" t="s">
        <v>44</v>
      </c>
      <c r="F21" t="s">
        <v>139</v>
      </c>
      <c r="G21">
        <v>49303</v>
      </c>
      <c r="H21" t="s">
        <v>366</v>
      </c>
      <c r="I21" t="s">
        <v>148</v>
      </c>
      <c r="J21">
        <v>8</v>
      </c>
      <c r="K21">
        <v>11</v>
      </c>
      <c r="L21">
        <v>45</v>
      </c>
      <c r="M21">
        <v>45905</v>
      </c>
      <c r="N21">
        <v>45918</v>
      </c>
      <c r="P21" t="s">
        <v>162</v>
      </c>
      <c r="R21" t="s">
        <v>166</v>
      </c>
      <c r="T21" t="s">
        <v>367</v>
      </c>
      <c r="U21">
        <v>45917</v>
      </c>
      <c r="V21">
        <v>45917</v>
      </c>
      <c r="W21" t="s">
        <v>151</v>
      </c>
      <c r="Z21">
        <v>45917</v>
      </c>
    </row>
    <row r="22" spans="1:26">
      <c r="A22">
        <v>4</v>
      </c>
      <c r="B22" t="s">
        <v>5</v>
      </c>
      <c r="C22">
        <v>45905</v>
      </c>
      <c r="D22">
        <v>45918</v>
      </c>
      <c r="E22" t="s">
        <v>44</v>
      </c>
      <c r="F22" t="s">
        <v>141</v>
      </c>
      <c r="G22">
        <v>49686</v>
      </c>
      <c r="H22" t="s">
        <v>370</v>
      </c>
      <c r="I22" t="s">
        <v>148</v>
      </c>
      <c r="J22">
        <v>5</v>
      </c>
      <c r="K22">
        <v>8</v>
      </c>
      <c r="L22">
        <v>32</v>
      </c>
      <c r="M22">
        <v>45905</v>
      </c>
      <c r="N22">
        <v>45918</v>
      </c>
      <c r="P22" t="s">
        <v>162</v>
      </c>
      <c r="R22" t="s">
        <v>166</v>
      </c>
      <c r="T22" t="s">
        <v>371</v>
      </c>
      <c r="U22">
        <v>45918</v>
      </c>
      <c r="V22">
        <v>45918</v>
      </c>
      <c r="W22" t="s">
        <v>151</v>
      </c>
      <c r="Y22" t="s">
        <v>180</v>
      </c>
      <c r="Z22">
        <v>45918</v>
      </c>
    </row>
    <row r="23" spans="1:26">
      <c r="A23">
        <v>5</v>
      </c>
      <c r="B23" t="s">
        <v>5</v>
      </c>
      <c r="C23">
        <v>45905</v>
      </c>
      <c r="D23">
        <v>45918</v>
      </c>
      <c r="E23" t="s">
        <v>374</v>
      </c>
      <c r="F23" t="s">
        <v>135</v>
      </c>
      <c r="G23">
        <v>49856</v>
      </c>
      <c r="H23" t="s">
        <v>350</v>
      </c>
      <c r="I23" t="s">
        <v>137</v>
      </c>
      <c r="J23">
        <v>13</v>
      </c>
      <c r="K23">
        <v>15</v>
      </c>
      <c r="L23">
        <v>62</v>
      </c>
      <c r="M23">
        <v>45905</v>
      </c>
      <c r="N23">
        <v>45918</v>
      </c>
    </row>
    <row r="24" spans="1:26">
      <c r="A24">
        <v>1</v>
      </c>
      <c r="B24" t="s">
        <v>5</v>
      </c>
      <c r="C24">
        <v>45919</v>
      </c>
      <c r="D24">
        <v>45932</v>
      </c>
      <c r="E24" t="s">
        <v>48</v>
      </c>
      <c r="F24" t="s">
        <v>135</v>
      </c>
      <c r="G24">
        <v>49856</v>
      </c>
      <c r="H24" t="s">
        <v>350</v>
      </c>
      <c r="I24" t="s">
        <v>148</v>
      </c>
      <c r="J24">
        <v>8</v>
      </c>
      <c r="K24">
        <v>21</v>
      </c>
      <c r="L24">
        <v>86</v>
      </c>
      <c r="M24">
        <v>45919</v>
      </c>
      <c r="N24">
        <v>45929</v>
      </c>
      <c r="P24" t="s">
        <v>162</v>
      </c>
      <c r="T24" t="s">
        <v>351</v>
      </c>
      <c r="U24">
        <v>45929</v>
      </c>
      <c r="V24">
        <v>45929</v>
      </c>
      <c r="W24" t="s">
        <v>151</v>
      </c>
      <c r="Z24">
        <v>45929</v>
      </c>
    </row>
    <row r="25" spans="1:26">
      <c r="A25">
        <v>2</v>
      </c>
      <c r="B25" t="s">
        <v>5</v>
      </c>
      <c r="C25">
        <v>45919</v>
      </c>
      <c r="D25">
        <v>45932</v>
      </c>
      <c r="E25" t="s">
        <v>48</v>
      </c>
      <c r="F25" t="s">
        <v>139</v>
      </c>
      <c r="G25">
        <v>49688</v>
      </c>
      <c r="H25" t="s">
        <v>346</v>
      </c>
      <c r="I25" t="s">
        <v>137</v>
      </c>
      <c r="J25">
        <v>3</v>
      </c>
      <c r="L25">
        <v>12</v>
      </c>
      <c r="M25">
        <v>45926</v>
      </c>
      <c r="N25">
        <v>45929</v>
      </c>
      <c r="T25" t="s">
        <v>353</v>
      </c>
      <c r="U25">
        <v>45929</v>
      </c>
      <c r="V25">
        <v>45929</v>
      </c>
      <c r="W25" t="s">
        <v>151</v>
      </c>
      <c r="Z25">
        <v>45929</v>
      </c>
    </row>
    <row r="26" spans="1:26">
      <c r="A26">
        <v>3</v>
      </c>
      <c r="B26" t="s">
        <v>5</v>
      </c>
      <c r="C26">
        <v>45919</v>
      </c>
      <c r="D26">
        <v>45932</v>
      </c>
      <c r="E26" t="s">
        <v>355</v>
      </c>
      <c r="F26" t="s">
        <v>141</v>
      </c>
      <c r="G26">
        <v>50152</v>
      </c>
      <c r="H26" t="s">
        <v>340</v>
      </c>
      <c r="I26" t="s">
        <v>137</v>
      </c>
      <c r="J26">
        <v>8</v>
      </c>
      <c r="K26">
        <v>9</v>
      </c>
      <c r="L26">
        <v>36</v>
      </c>
      <c r="M26">
        <v>45919</v>
      </c>
      <c r="N26" t="s">
        <v>356</v>
      </c>
      <c r="P26" t="s">
        <v>162</v>
      </c>
      <c r="T26" t="s">
        <v>357</v>
      </c>
      <c r="U26">
        <v>45923</v>
      </c>
      <c r="V26">
        <v>45923</v>
      </c>
      <c r="W26" t="s">
        <v>151</v>
      </c>
      <c r="Z26">
        <v>45923</v>
      </c>
    </row>
    <row r="27" spans="1:26">
      <c r="A27">
        <v>4</v>
      </c>
      <c r="B27" t="s">
        <v>5</v>
      </c>
      <c r="C27">
        <v>45919</v>
      </c>
      <c r="D27">
        <v>45932</v>
      </c>
      <c r="E27" t="s">
        <v>355</v>
      </c>
      <c r="F27" t="s">
        <v>139</v>
      </c>
      <c r="G27">
        <v>50155</v>
      </c>
      <c r="H27" t="s">
        <v>359</v>
      </c>
      <c r="I27" t="s">
        <v>148</v>
      </c>
      <c r="J27">
        <v>2</v>
      </c>
      <c r="K27">
        <v>4</v>
      </c>
      <c r="L27">
        <v>17</v>
      </c>
      <c r="M27">
        <v>45919</v>
      </c>
      <c r="N27">
        <v>45922</v>
      </c>
      <c r="P27" t="s">
        <v>162</v>
      </c>
      <c r="T27" t="s">
        <v>360</v>
      </c>
      <c r="U27">
        <v>45922</v>
      </c>
      <c r="V27">
        <v>45922</v>
      </c>
      <c r="W27" t="s">
        <v>151</v>
      </c>
      <c r="Z27">
        <v>45922</v>
      </c>
    </row>
    <row r="28" spans="1:26">
      <c r="A28">
        <v>1</v>
      </c>
      <c r="B28" t="s">
        <v>5</v>
      </c>
      <c r="C28">
        <v>45933</v>
      </c>
      <c r="D28">
        <v>45946</v>
      </c>
      <c r="E28" t="s">
        <v>50</v>
      </c>
      <c r="F28" t="s">
        <v>141</v>
      </c>
      <c r="G28">
        <v>50152</v>
      </c>
      <c r="H28" t="s">
        <v>340</v>
      </c>
      <c r="I28" t="s">
        <v>148</v>
      </c>
      <c r="J28">
        <v>3</v>
      </c>
      <c r="K28">
        <v>6</v>
      </c>
      <c r="L28">
        <v>30</v>
      </c>
      <c r="M28">
        <v>45933</v>
      </c>
      <c r="N28">
        <v>45944</v>
      </c>
      <c r="P28" t="s">
        <v>162</v>
      </c>
      <c r="R28" t="s">
        <v>166</v>
      </c>
      <c r="T28" t="s">
        <v>341</v>
      </c>
      <c r="U28">
        <v>45944</v>
      </c>
      <c r="V28">
        <v>45944</v>
      </c>
      <c r="W28" t="s">
        <v>151</v>
      </c>
      <c r="Y28" t="s">
        <v>180</v>
      </c>
      <c r="Z28">
        <v>45944</v>
      </c>
    </row>
    <row r="29" spans="1:26">
      <c r="A29">
        <v>2</v>
      </c>
      <c r="B29" t="s">
        <v>5</v>
      </c>
      <c r="C29">
        <v>45933</v>
      </c>
      <c r="D29">
        <v>45946</v>
      </c>
      <c r="E29" t="s">
        <v>50</v>
      </c>
      <c r="F29" t="s">
        <v>135</v>
      </c>
      <c r="G29">
        <v>50141</v>
      </c>
      <c r="H29" t="s">
        <v>342</v>
      </c>
      <c r="I29" t="s">
        <v>148</v>
      </c>
      <c r="J29">
        <v>5</v>
      </c>
      <c r="K29">
        <v>10</v>
      </c>
      <c r="L29">
        <v>42</v>
      </c>
      <c r="M29">
        <v>45936</v>
      </c>
      <c r="N29">
        <v>45944</v>
      </c>
      <c r="P29" t="s">
        <v>162</v>
      </c>
      <c r="R29" t="s">
        <v>166</v>
      </c>
      <c r="T29" t="s">
        <v>343</v>
      </c>
      <c r="U29">
        <v>45944</v>
      </c>
      <c r="V29">
        <v>45944</v>
      </c>
      <c r="W29" t="s">
        <v>151</v>
      </c>
      <c r="Y29" t="s">
        <v>344</v>
      </c>
      <c r="Z29">
        <v>45944</v>
      </c>
    </row>
    <row r="30" spans="1:26">
      <c r="A30">
        <v>3</v>
      </c>
      <c r="B30" t="s">
        <v>5</v>
      </c>
      <c r="C30">
        <v>45933</v>
      </c>
      <c r="D30">
        <v>45946</v>
      </c>
      <c r="E30" t="s">
        <v>50</v>
      </c>
      <c r="F30" t="s">
        <v>139</v>
      </c>
      <c r="G30">
        <v>49688</v>
      </c>
      <c r="H30" t="s">
        <v>346</v>
      </c>
      <c r="I30" t="s">
        <v>148</v>
      </c>
      <c r="J30">
        <v>5</v>
      </c>
      <c r="K30">
        <v>5</v>
      </c>
      <c r="L30">
        <v>18</v>
      </c>
      <c r="M30">
        <v>45933</v>
      </c>
      <c r="N30">
        <v>45937</v>
      </c>
      <c r="P30" t="s">
        <v>162</v>
      </c>
      <c r="R30" t="s">
        <v>166</v>
      </c>
      <c r="T30" t="s">
        <v>347</v>
      </c>
      <c r="U30">
        <v>45938</v>
      </c>
      <c r="V30">
        <v>45938</v>
      </c>
      <c r="W30" t="s">
        <v>151</v>
      </c>
      <c r="Y30" t="s">
        <v>277</v>
      </c>
      <c r="Z30">
        <v>45938</v>
      </c>
    </row>
    <row r="31" spans="1:26">
      <c r="A31">
        <v>4</v>
      </c>
      <c r="B31" t="s">
        <v>5</v>
      </c>
      <c r="C31">
        <v>45933</v>
      </c>
      <c r="D31">
        <v>45946</v>
      </c>
      <c r="E31" t="s">
        <v>348</v>
      </c>
      <c r="F31" t="s">
        <v>139</v>
      </c>
      <c r="G31">
        <v>50134</v>
      </c>
      <c r="H31" t="s">
        <v>337</v>
      </c>
      <c r="I31" t="s">
        <v>137</v>
      </c>
      <c r="J31">
        <v>8</v>
      </c>
      <c r="M31">
        <v>45938</v>
      </c>
    </row>
    <row r="32" spans="1:26">
      <c r="A32">
        <v>5</v>
      </c>
      <c r="B32" t="s">
        <v>5</v>
      </c>
      <c r="C32">
        <v>45933</v>
      </c>
      <c r="D32">
        <v>45946</v>
      </c>
      <c r="E32" t="s">
        <v>348</v>
      </c>
      <c r="F32" t="s">
        <v>141</v>
      </c>
      <c r="G32">
        <v>50135</v>
      </c>
      <c r="H32" t="s">
        <v>349</v>
      </c>
      <c r="I32" t="s">
        <v>137</v>
      </c>
      <c r="J32">
        <v>13</v>
      </c>
      <c r="M32">
        <v>45945</v>
      </c>
    </row>
    <row r="33" spans="1:26">
      <c r="A33">
        <v>1</v>
      </c>
      <c r="B33" t="s">
        <v>5</v>
      </c>
      <c r="C33">
        <v>45947</v>
      </c>
      <c r="D33">
        <v>45960</v>
      </c>
      <c r="E33" t="s">
        <v>52</v>
      </c>
      <c r="F33" t="s">
        <v>139</v>
      </c>
      <c r="G33">
        <v>50134</v>
      </c>
      <c r="H33" t="s">
        <v>337</v>
      </c>
      <c r="I33" t="s">
        <v>148</v>
      </c>
      <c r="J33">
        <v>8</v>
      </c>
      <c r="K33">
        <v>9</v>
      </c>
      <c r="L33">
        <v>36</v>
      </c>
      <c r="M33">
        <v>45947</v>
      </c>
      <c r="N33">
        <v>45959</v>
      </c>
      <c r="O33" t="s">
        <v>13</v>
      </c>
      <c r="P33" t="s">
        <v>162</v>
      </c>
      <c r="R33" t="s">
        <v>166</v>
      </c>
      <c r="T33" t="s">
        <v>338</v>
      </c>
      <c r="U33">
        <v>45959</v>
      </c>
      <c r="V33">
        <v>45959</v>
      </c>
      <c r="Y33" t="s">
        <v>151</v>
      </c>
    </row>
    <row r="34" spans="1:26">
      <c r="A34">
        <v>2</v>
      </c>
      <c r="B34" t="s">
        <v>5</v>
      </c>
      <c r="C34">
        <v>45947</v>
      </c>
      <c r="D34">
        <v>45960</v>
      </c>
      <c r="E34" t="s">
        <v>339</v>
      </c>
      <c r="F34" t="s">
        <v>141</v>
      </c>
      <c r="G34">
        <v>50135</v>
      </c>
      <c r="H34" t="s">
        <v>329</v>
      </c>
      <c r="I34" t="s">
        <v>137</v>
      </c>
      <c r="J34">
        <v>13</v>
      </c>
      <c r="K34">
        <v>12</v>
      </c>
      <c r="L34">
        <v>48</v>
      </c>
      <c r="M34">
        <v>45947</v>
      </c>
    </row>
    <row r="35" spans="1:26">
      <c r="A35">
        <v>3</v>
      </c>
      <c r="B35" t="s">
        <v>5</v>
      </c>
      <c r="C35">
        <v>45947</v>
      </c>
      <c r="D35">
        <v>45960</v>
      </c>
      <c r="E35" t="s">
        <v>339</v>
      </c>
      <c r="F35" t="s">
        <v>135</v>
      </c>
      <c r="G35">
        <v>50448</v>
      </c>
      <c r="H35" t="s">
        <v>313</v>
      </c>
      <c r="I35" t="s">
        <v>137</v>
      </c>
      <c r="J35">
        <v>8</v>
      </c>
      <c r="L35">
        <v>24</v>
      </c>
      <c r="M35">
        <v>45947</v>
      </c>
    </row>
    <row r="36" spans="1:26">
      <c r="A36">
        <v>1</v>
      </c>
      <c r="B36" t="s">
        <v>5</v>
      </c>
      <c r="C36">
        <v>45961</v>
      </c>
      <c r="D36">
        <v>45974</v>
      </c>
      <c r="E36" t="s">
        <v>54</v>
      </c>
      <c r="F36" t="s">
        <v>141</v>
      </c>
      <c r="G36">
        <v>50135</v>
      </c>
      <c r="H36" t="s">
        <v>329</v>
      </c>
      <c r="I36" t="s">
        <v>148</v>
      </c>
      <c r="J36">
        <v>8</v>
      </c>
      <c r="K36">
        <v>7</v>
      </c>
      <c r="L36">
        <v>30</v>
      </c>
      <c r="M36">
        <v>45961</v>
      </c>
      <c r="N36">
        <v>45971</v>
      </c>
      <c r="O36" t="s">
        <v>13</v>
      </c>
      <c r="P36" t="s">
        <v>162</v>
      </c>
      <c r="R36" t="s">
        <v>166</v>
      </c>
      <c r="S36" t="s">
        <v>330</v>
      </c>
      <c r="T36" t="s">
        <v>331</v>
      </c>
      <c r="U36">
        <v>45971</v>
      </c>
      <c r="V36">
        <v>45971</v>
      </c>
      <c r="W36" t="s">
        <v>151</v>
      </c>
      <c r="Y36" t="s">
        <v>277</v>
      </c>
      <c r="Z36">
        <v>45971</v>
      </c>
    </row>
    <row r="37" spans="1:26">
      <c r="A37">
        <v>2</v>
      </c>
      <c r="B37" t="s">
        <v>5</v>
      </c>
      <c r="C37">
        <v>45961</v>
      </c>
      <c r="D37">
        <v>45974</v>
      </c>
      <c r="E37" t="s">
        <v>332</v>
      </c>
      <c r="F37" t="s">
        <v>135</v>
      </c>
      <c r="G37">
        <v>50448</v>
      </c>
      <c r="H37" t="s">
        <v>313</v>
      </c>
      <c r="I37" t="s">
        <v>137</v>
      </c>
      <c r="J37">
        <v>13</v>
      </c>
      <c r="K37">
        <v>14</v>
      </c>
      <c r="L37">
        <v>54</v>
      </c>
      <c r="M37">
        <v>45961</v>
      </c>
      <c r="O37" t="s">
        <v>320</v>
      </c>
      <c r="P37" t="s">
        <v>320</v>
      </c>
    </row>
    <row r="38" spans="1:26">
      <c r="A38">
        <v>3</v>
      </c>
      <c r="B38" t="s">
        <v>5</v>
      </c>
      <c r="C38">
        <v>45961</v>
      </c>
      <c r="D38">
        <v>45974</v>
      </c>
      <c r="E38" t="s">
        <v>54</v>
      </c>
      <c r="F38" t="s">
        <v>139</v>
      </c>
      <c r="G38">
        <v>50146</v>
      </c>
      <c r="H38" t="s">
        <v>333</v>
      </c>
      <c r="I38" t="s">
        <v>148</v>
      </c>
      <c r="J38">
        <v>4</v>
      </c>
      <c r="K38">
        <v>6</v>
      </c>
      <c r="L38">
        <v>24</v>
      </c>
      <c r="M38">
        <v>45961</v>
      </c>
      <c r="N38">
        <v>45968</v>
      </c>
      <c r="O38" t="s">
        <v>13</v>
      </c>
      <c r="P38" t="s">
        <v>162</v>
      </c>
      <c r="R38" t="s">
        <v>166</v>
      </c>
      <c r="T38" t="s">
        <v>334</v>
      </c>
      <c r="U38">
        <v>45969</v>
      </c>
      <c r="V38">
        <v>45969</v>
      </c>
      <c r="W38" t="s">
        <v>151</v>
      </c>
      <c r="Y38" t="s">
        <v>277</v>
      </c>
      <c r="Z38">
        <v>45969</v>
      </c>
    </row>
    <row r="39" spans="1:26">
      <c r="A39">
        <v>4</v>
      </c>
      <c r="B39" t="s">
        <v>5</v>
      </c>
      <c r="C39">
        <v>45961</v>
      </c>
      <c r="D39">
        <v>45974</v>
      </c>
      <c r="E39" t="s">
        <v>332</v>
      </c>
      <c r="F39" t="s">
        <v>141</v>
      </c>
      <c r="G39">
        <v>50764</v>
      </c>
      <c r="H39" t="s">
        <v>310</v>
      </c>
      <c r="I39" t="s">
        <v>137</v>
      </c>
      <c r="J39">
        <v>8</v>
      </c>
      <c r="M39">
        <v>45972</v>
      </c>
      <c r="O39" t="s">
        <v>320</v>
      </c>
      <c r="P39" t="s">
        <v>320</v>
      </c>
    </row>
    <row r="40" spans="1:26">
      <c r="A40">
        <v>5</v>
      </c>
      <c r="B40" t="s">
        <v>5</v>
      </c>
      <c r="C40">
        <v>45961</v>
      </c>
      <c r="D40">
        <v>45974</v>
      </c>
      <c r="E40" t="s">
        <v>332</v>
      </c>
      <c r="F40" t="s">
        <v>139</v>
      </c>
      <c r="G40">
        <v>50660</v>
      </c>
      <c r="H40" t="s">
        <v>335</v>
      </c>
      <c r="I40" t="s">
        <v>148</v>
      </c>
      <c r="J40">
        <v>3</v>
      </c>
      <c r="K40">
        <v>4</v>
      </c>
      <c r="L40">
        <v>18</v>
      </c>
      <c r="M40">
        <v>45968</v>
      </c>
      <c r="N40">
        <v>45973</v>
      </c>
      <c r="O40" t="s">
        <v>13</v>
      </c>
      <c r="P40" t="s">
        <v>162</v>
      </c>
      <c r="R40" t="s">
        <v>320</v>
      </c>
      <c r="T40" t="s">
        <v>320</v>
      </c>
      <c r="U40" t="s">
        <v>320</v>
      </c>
      <c r="V40" t="s">
        <v>320</v>
      </c>
      <c r="Z40" t="s">
        <v>320</v>
      </c>
    </row>
    <row r="41" spans="1:26">
      <c r="A41">
        <v>6</v>
      </c>
      <c r="B41" t="s">
        <v>5</v>
      </c>
      <c r="C41">
        <v>45961</v>
      </c>
      <c r="D41">
        <v>45974</v>
      </c>
      <c r="E41" t="s">
        <v>332</v>
      </c>
      <c r="F41" t="s">
        <v>139</v>
      </c>
      <c r="G41">
        <v>50840</v>
      </c>
      <c r="H41" t="s">
        <v>315</v>
      </c>
      <c r="I41" t="s">
        <v>137</v>
      </c>
      <c r="J41">
        <v>13</v>
      </c>
      <c r="L41">
        <v>6</v>
      </c>
      <c r="M41">
        <v>45974</v>
      </c>
      <c r="O41" t="s">
        <v>320</v>
      </c>
      <c r="P41" t="s">
        <v>320</v>
      </c>
    </row>
    <row r="42" spans="1:26">
      <c r="A42">
        <v>1</v>
      </c>
      <c r="B42" t="s">
        <v>5</v>
      </c>
      <c r="C42">
        <v>45975</v>
      </c>
      <c r="D42">
        <v>46002</v>
      </c>
      <c r="E42" t="s">
        <v>56</v>
      </c>
      <c r="F42" t="s">
        <v>141</v>
      </c>
      <c r="G42">
        <v>50764</v>
      </c>
      <c r="H42" t="s">
        <v>310</v>
      </c>
      <c r="I42" t="s">
        <v>148</v>
      </c>
      <c r="J42">
        <v>5</v>
      </c>
      <c r="K42">
        <v>12</v>
      </c>
      <c r="L42">
        <v>48</v>
      </c>
      <c r="M42">
        <v>45975</v>
      </c>
      <c r="N42">
        <v>45985</v>
      </c>
      <c r="O42" t="s">
        <v>13</v>
      </c>
      <c r="P42" t="s">
        <v>162</v>
      </c>
      <c r="R42" t="s">
        <v>166</v>
      </c>
      <c r="T42" t="s">
        <v>311</v>
      </c>
      <c r="U42">
        <v>45985</v>
      </c>
      <c r="V42">
        <v>46001</v>
      </c>
      <c r="W42" t="s">
        <v>151</v>
      </c>
      <c r="Y42" t="s">
        <v>277</v>
      </c>
      <c r="Z42">
        <v>46001</v>
      </c>
    </row>
    <row r="43" spans="1:26">
      <c r="A43">
        <v>2</v>
      </c>
      <c r="B43" t="s">
        <v>5</v>
      </c>
      <c r="C43">
        <v>45975</v>
      </c>
      <c r="D43">
        <v>46002</v>
      </c>
      <c r="E43" t="s">
        <v>56</v>
      </c>
      <c r="F43" t="s">
        <v>135</v>
      </c>
      <c r="G43">
        <v>50488</v>
      </c>
      <c r="H43" t="s">
        <v>313</v>
      </c>
      <c r="I43" t="s">
        <v>148</v>
      </c>
      <c r="J43">
        <v>8</v>
      </c>
      <c r="K43">
        <v>11</v>
      </c>
      <c r="L43">
        <v>42</v>
      </c>
      <c r="M43">
        <v>45975</v>
      </c>
      <c r="N43">
        <v>45985</v>
      </c>
      <c r="O43" t="s">
        <v>13</v>
      </c>
      <c r="P43" t="s">
        <v>162</v>
      </c>
      <c r="R43" t="s">
        <v>166</v>
      </c>
      <c r="T43" t="s">
        <v>314</v>
      </c>
      <c r="U43">
        <v>45988</v>
      </c>
      <c r="V43">
        <v>45992</v>
      </c>
      <c r="W43" t="s">
        <v>151</v>
      </c>
      <c r="Y43" t="s">
        <v>277</v>
      </c>
      <c r="Z43">
        <v>45993</v>
      </c>
    </row>
    <row r="44" spans="1:26">
      <c r="A44">
        <v>3</v>
      </c>
      <c r="B44" t="s">
        <v>5</v>
      </c>
      <c r="C44">
        <v>45975</v>
      </c>
      <c r="D44">
        <v>46002</v>
      </c>
      <c r="E44" t="s">
        <v>56</v>
      </c>
      <c r="F44" t="s">
        <v>139</v>
      </c>
      <c r="G44">
        <v>50840</v>
      </c>
      <c r="H44" t="s">
        <v>315</v>
      </c>
      <c r="I44" t="s">
        <v>148</v>
      </c>
      <c r="J44">
        <v>13</v>
      </c>
      <c r="K44">
        <v>13</v>
      </c>
      <c r="L44">
        <v>52</v>
      </c>
      <c r="M44">
        <v>45975</v>
      </c>
      <c r="N44">
        <v>46000</v>
      </c>
      <c r="O44" t="s">
        <v>13</v>
      </c>
      <c r="P44" t="s">
        <v>195</v>
      </c>
      <c r="R44" t="s">
        <v>166</v>
      </c>
      <c r="T44" t="s">
        <v>316</v>
      </c>
      <c r="U44">
        <v>46001</v>
      </c>
      <c r="V44">
        <v>46001</v>
      </c>
      <c r="W44" t="s">
        <v>151</v>
      </c>
      <c r="Y44" t="s">
        <v>277</v>
      </c>
      <c r="Z44">
        <v>46001</v>
      </c>
    </row>
    <row r="45" spans="1:26">
      <c r="A45">
        <v>4</v>
      </c>
      <c r="B45" t="s">
        <v>5</v>
      </c>
      <c r="C45">
        <v>45975</v>
      </c>
      <c r="D45">
        <v>46002</v>
      </c>
      <c r="E45" t="s">
        <v>318</v>
      </c>
      <c r="F45" t="s">
        <v>141</v>
      </c>
      <c r="G45">
        <v>50978</v>
      </c>
      <c r="H45" t="s">
        <v>319</v>
      </c>
      <c r="I45" t="s">
        <v>137</v>
      </c>
      <c r="J45">
        <v>5</v>
      </c>
      <c r="K45">
        <v>6</v>
      </c>
      <c r="L45">
        <v>24</v>
      </c>
      <c r="M45">
        <v>45986</v>
      </c>
      <c r="O45" t="s">
        <v>320</v>
      </c>
      <c r="T45" t="s">
        <v>320</v>
      </c>
    </row>
    <row r="46" spans="1:26">
      <c r="A46">
        <v>5</v>
      </c>
      <c r="B46" t="s">
        <v>5</v>
      </c>
      <c r="C46">
        <v>45975</v>
      </c>
      <c r="D46">
        <v>46002</v>
      </c>
      <c r="E46" t="s">
        <v>318</v>
      </c>
      <c r="F46" t="s">
        <v>135</v>
      </c>
      <c r="G46">
        <v>50982</v>
      </c>
      <c r="H46" t="s">
        <v>278</v>
      </c>
      <c r="I46" t="s">
        <v>137</v>
      </c>
      <c r="J46">
        <v>8</v>
      </c>
      <c r="M46">
        <v>45989</v>
      </c>
    </row>
    <row r="47" spans="1:26">
      <c r="A47">
        <v>6</v>
      </c>
      <c r="B47" t="s">
        <v>5</v>
      </c>
      <c r="C47">
        <v>45975</v>
      </c>
      <c r="D47">
        <v>46002</v>
      </c>
      <c r="E47" t="s">
        <v>318</v>
      </c>
      <c r="F47" t="s">
        <v>141</v>
      </c>
      <c r="G47">
        <v>51092</v>
      </c>
      <c r="H47" t="s">
        <v>322</v>
      </c>
      <c r="I47" t="s">
        <v>323</v>
      </c>
      <c r="J47">
        <v>13</v>
      </c>
      <c r="K47">
        <v>3</v>
      </c>
      <c r="L47">
        <v>12</v>
      </c>
      <c r="M47">
        <v>45994</v>
      </c>
      <c r="N47">
        <v>45995</v>
      </c>
      <c r="O47" t="s">
        <v>320</v>
      </c>
    </row>
    <row r="48" spans="1:26">
      <c r="A48">
        <v>7</v>
      </c>
      <c r="B48" t="s">
        <v>5</v>
      </c>
      <c r="C48">
        <v>45975</v>
      </c>
      <c r="D48">
        <v>46002</v>
      </c>
      <c r="E48" t="s">
        <v>318</v>
      </c>
      <c r="F48" t="s">
        <v>141</v>
      </c>
      <c r="G48">
        <v>50842</v>
      </c>
      <c r="H48" t="s">
        <v>275</v>
      </c>
      <c r="I48" t="s">
        <v>137</v>
      </c>
      <c r="J48">
        <v>5</v>
      </c>
      <c r="K48">
        <v>4</v>
      </c>
      <c r="L48">
        <v>18</v>
      </c>
      <c r="M48">
        <v>45996</v>
      </c>
    </row>
    <row r="49" spans="1:26">
      <c r="A49">
        <v>1</v>
      </c>
      <c r="B49" t="s">
        <v>5</v>
      </c>
      <c r="C49">
        <v>46003</v>
      </c>
      <c r="D49">
        <v>46030</v>
      </c>
      <c r="E49" t="s">
        <v>58</v>
      </c>
      <c r="F49" t="s">
        <v>141</v>
      </c>
      <c r="G49">
        <v>50842</v>
      </c>
      <c r="H49" t="s">
        <v>275</v>
      </c>
      <c r="I49" t="s">
        <v>148</v>
      </c>
      <c r="J49">
        <v>8</v>
      </c>
      <c r="K49">
        <v>6</v>
      </c>
      <c r="L49">
        <v>24</v>
      </c>
      <c r="M49">
        <v>46003</v>
      </c>
      <c r="N49">
        <v>46008</v>
      </c>
      <c r="O49" t="s">
        <v>13</v>
      </c>
      <c r="P49" t="s">
        <v>162</v>
      </c>
      <c r="R49" t="s">
        <v>166</v>
      </c>
      <c r="T49" t="s">
        <v>276</v>
      </c>
      <c r="U49">
        <v>46008</v>
      </c>
      <c r="V49">
        <v>46008</v>
      </c>
      <c r="W49" t="s">
        <v>151</v>
      </c>
      <c r="Y49" t="s">
        <v>277</v>
      </c>
      <c r="Z49">
        <v>46001</v>
      </c>
    </row>
    <row r="50" spans="1:26">
      <c r="A50">
        <v>2</v>
      </c>
      <c r="B50" t="s">
        <v>5</v>
      </c>
      <c r="C50">
        <v>46003</v>
      </c>
      <c r="D50">
        <v>46030</v>
      </c>
      <c r="E50" t="s">
        <v>58</v>
      </c>
      <c r="F50" t="s">
        <v>135</v>
      </c>
      <c r="G50">
        <v>50982</v>
      </c>
      <c r="H50" t="s">
        <v>278</v>
      </c>
      <c r="I50" t="s">
        <v>148</v>
      </c>
      <c r="J50">
        <v>8</v>
      </c>
      <c r="K50">
        <v>10</v>
      </c>
      <c r="L50">
        <v>42</v>
      </c>
      <c r="M50">
        <v>46003</v>
      </c>
      <c r="N50">
        <v>46017</v>
      </c>
      <c r="O50" t="s">
        <v>13</v>
      </c>
      <c r="P50" t="s">
        <v>162</v>
      </c>
      <c r="R50" t="s">
        <v>166</v>
      </c>
      <c r="T50" t="s">
        <v>279</v>
      </c>
      <c r="U50">
        <v>46027</v>
      </c>
      <c r="V50">
        <v>46027</v>
      </c>
      <c r="W50" t="s">
        <v>151</v>
      </c>
      <c r="Y50" t="s">
        <v>277</v>
      </c>
      <c r="Z50">
        <v>46027</v>
      </c>
    </row>
    <row r="51" spans="1:26">
      <c r="A51">
        <v>3</v>
      </c>
      <c r="B51" t="s">
        <v>5</v>
      </c>
      <c r="C51">
        <v>46003</v>
      </c>
      <c r="D51">
        <v>46030</v>
      </c>
      <c r="E51" t="s">
        <v>280</v>
      </c>
      <c r="F51" t="s">
        <v>141</v>
      </c>
      <c r="G51">
        <v>49080</v>
      </c>
      <c r="H51" t="s">
        <v>281</v>
      </c>
      <c r="I51" t="s">
        <v>137</v>
      </c>
      <c r="J51">
        <v>13</v>
      </c>
      <c r="M51">
        <v>46009</v>
      </c>
    </row>
    <row r="52" spans="1:26">
      <c r="A52">
        <v>4</v>
      </c>
      <c r="B52" t="s">
        <v>5</v>
      </c>
      <c r="C52">
        <v>46003</v>
      </c>
      <c r="D52">
        <v>46030</v>
      </c>
      <c r="E52" t="s">
        <v>283</v>
      </c>
      <c r="F52" t="s">
        <v>139</v>
      </c>
      <c r="G52">
        <v>50976</v>
      </c>
      <c r="H52" t="s">
        <v>284</v>
      </c>
      <c r="I52" t="s">
        <v>137</v>
      </c>
      <c r="J52">
        <v>13</v>
      </c>
      <c r="M52">
        <v>46006</v>
      </c>
      <c r="N52">
        <v>46010</v>
      </c>
    </row>
    <row r="53" spans="1:26">
      <c r="A53">
        <v>1</v>
      </c>
      <c r="B53" t="s">
        <v>5</v>
      </c>
      <c r="C53">
        <v>46031</v>
      </c>
      <c r="D53">
        <v>46044</v>
      </c>
      <c r="E53" t="s">
        <v>61</v>
      </c>
      <c r="F53" t="s">
        <v>141</v>
      </c>
      <c r="G53">
        <v>49080</v>
      </c>
      <c r="H53" t="s">
        <v>281</v>
      </c>
      <c r="I53" t="s">
        <v>148</v>
      </c>
      <c r="J53">
        <v>8</v>
      </c>
      <c r="K53">
        <v>6</v>
      </c>
      <c r="L53">
        <v>26</v>
      </c>
      <c r="M53">
        <v>46031</v>
      </c>
      <c r="N53">
        <v>46035</v>
      </c>
      <c r="O53" t="s">
        <v>13</v>
      </c>
      <c r="P53" t="s">
        <v>162</v>
      </c>
      <c r="R53" t="s">
        <v>166</v>
      </c>
      <c r="S53" t="s">
        <v>296</v>
      </c>
      <c r="T53" t="s">
        <v>297</v>
      </c>
      <c r="U53">
        <v>46043</v>
      </c>
      <c r="V53">
        <v>46043</v>
      </c>
      <c r="W53" t="s">
        <v>166</v>
      </c>
      <c r="Y53" t="s">
        <v>293</v>
      </c>
      <c r="Z53">
        <v>46043</v>
      </c>
    </row>
    <row r="54" spans="1:26">
      <c r="A54">
        <v>2</v>
      </c>
      <c r="B54" t="s">
        <v>5</v>
      </c>
      <c r="C54">
        <v>46031</v>
      </c>
      <c r="D54">
        <v>46044</v>
      </c>
      <c r="E54" t="s">
        <v>299</v>
      </c>
      <c r="F54" t="s">
        <v>135</v>
      </c>
      <c r="G54">
        <v>51168</v>
      </c>
      <c r="H54" t="s">
        <v>287</v>
      </c>
      <c r="I54" t="s">
        <v>137</v>
      </c>
      <c r="J54">
        <v>13</v>
      </c>
      <c r="K54">
        <v>12</v>
      </c>
      <c r="L54">
        <v>48</v>
      </c>
      <c r="M54">
        <v>46031</v>
      </c>
    </row>
    <row r="55" spans="1:26">
      <c r="A55">
        <v>3</v>
      </c>
      <c r="B55" t="s">
        <v>5</v>
      </c>
      <c r="C55">
        <v>46031</v>
      </c>
      <c r="D55">
        <v>46044</v>
      </c>
      <c r="E55" t="s">
        <v>299</v>
      </c>
      <c r="F55" t="s">
        <v>139</v>
      </c>
      <c r="G55">
        <v>50976</v>
      </c>
      <c r="H55" t="s">
        <v>284</v>
      </c>
      <c r="I55" t="s">
        <v>137</v>
      </c>
      <c r="J55">
        <v>13</v>
      </c>
      <c r="M55">
        <v>46031</v>
      </c>
    </row>
    <row r="56" spans="1:26">
      <c r="A56">
        <v>4</v>
      </c>
      <c r="B56" t="s">
        <v>5</v>
      </c>
      <c r="C56">
        <v>46031</v>
      </c>
      <c r="D56">
        <v>46044</v>
      </c>
      <c r="E56" t="s">
        <v>299</v>
      </c>
      <c r="F56" t="s">
        <v>141</v>
      </c>
      <c r="G56">
        <v>49083</v>
      </c>
      <c r="H56" t="s">
        <v>294</v>
      </c>
      <c r="I56" t="s">
        <v>137</v>
      </c>
      <c r="J56">
        <v>13</v>
      </c>
      <c r="M56">
        <v>46038</v>
      </c>
    </row>
    <row r="57" spans="1:26">
      <c r="A57">
        <v>1</v>
      </c>
      <c r="B57" t="s">
        <v>5</v>
      </c>
      <c r="C57">
        <v>46045</v>
      </c>
      <c r="D57">
        <v>46058</v>
      </c>
      <c r="E57" t="s">
        <v>63</v>
      </c>
      <c r="F57" t="s">
        <v>135</v>
      </c>
      <c r="G57">
        <v>51168</v>
      </c>
      <c r="H57" t="s">
        <v>287</v>
      </c>
      <c r="I57" t="s">
        <v>288</v>
      </c>
      <c r="J57">
        <v>8</v>
      </c>
      <c r="M57">
        <v>46045</v>
      </c>
      <c r="N57">
        <v>46050</v>
      </c>
    </row>
    <row r="58" spans="1:26">
      <c r="A58">
        <v>2</v>
      </c>
      <c r="B58" t="s">
        <v>5</v>
      </c>
      <c r="C58">
        <v>46045</v>
      </c>
      <c r="D58">
        <v>46058</v>
      </c>
      <c r="E58" t="s">
        <v>290</v>
      </c>
      <c r="F58" t="s">
        <v>135</v>
      </c>
      <c r="G58">
        <v>51426</v>
      </c>
      <c r="H58" t="s">
        <v>261</v>
      </c>
      <c r="I58" t="s">
        <v>137</v>
      </c>
      <c r="J58">
        <v>8</v>
      </c>
      <c r="M58">
        <v>46051</v>
      </c>
      <c r="P58" t="s">
        <v>162</v>
      </c>
    </row>
    <row r="59" spans="1:26">
      <c r="A59">
        <v>3</v>
      </c>
      <c r="B59" t="s">
        <v>5</v>
      </c>
      <c r="C59">
        <v>46045</v>
      </c>
      <c r="D59">
        <v>46058</v>
      </c>
      <c r="E59" t="s">
        <v>63</v>
      </c>
      <c r="F59" t="s">
        <v>139</v>
      </c>
      <c r="G59">
        <v>50976</v>
      </c>
      <c r="H59" t="s">
        <v>284</v>
      </c>
      <c r="I59" t="s">
        <v>148</v>
      </c>
      <c r="J59">
        <v>8</v>
      </c>
      <c r="K59">
        <v>8</v>
      </c>
      <c r="L59">
        <v>32</v>
      </c>
      <c r="M59">
        <v>46045</v>
      </c>
      <c r="N59">
        <v>46052</v>
      </c>
      <c r="P59" t="s">
        <v>162</v>
      </c>
      <c r="S59" s="14" t="s">
        <v>291</v>
      </c>
      <c r="T59" t="s">
        <v>292</v>
      </c>
      <c r="U59">
        <v>46052</v>
      </c>
      <c r="V59">
        <v>46055</v>
      </c>
      <c r="Y59" t="s">
        <v>293</v>
      </c>
      <c r="Z59">
        <v>46055</v>
      </c>
    </row>
    <row r="60" spans="1:26">
      <c r="A60">
        <v>4</v>
      </c>
      <c r="B60" t="s">
        <v>5</v>
      </c>
      <c r="C60">
        <v>46045</v>
      </c>
      <c r="D60">
        <v>46058</v>
      </c>
      <c r="E60" t="s">
        <v>290</v>
      </c>
      <c r="F60" t="s">
        <v>141</v>
      </c>
      <c r="G60">
        <v>49083</v>
      </c>
      <c r="H60" t="s">
        <v>294</v>
      </c>
      <c r="I60" t="s">
        <v>288</v>
      </c>
      <c r="J60">
        <v>13</v>
      </c>
      <c r="L60">
        <v>6</v>
      </c>
      <c r="M60">
        <v>46045</v>
      </c>
      <c r="N60">
        <v>46050</v>
      </c>
    </row>
    <row r="61" spans="1:26">
      <c r="A61">
        <v>5</v>
      </c>
      <c r="B61" t="s">
        <v>5</v>
      </c>
      <c r="C61">
        <v>46045</v>
      </c>
      <c r="D61">
        <v>46058</v>
      </c>
      <c r="E61" t="s">
        <v>290</v>
      </c>
      <c r="F61" t="s">
        <v>141</v>
      </c>
      <c r="G61">
        <v>51247</v>
      </c>
      <c r="H61" t="s">
        <v>268</v>
      </c>
      <c r="I61" t="s">
        <v>137</v>
      </c>
      <c r="J61">
        <v>8</v>
      </c>
      <c r="M61">
        <v>46050</v>
      </c>
      <c r="P61" t="s">
        <v>162</v>
      </c>
    </row>
    <row r="62" spans="1:26">
      <c r="A62">
        <v>6</v>
      </c>
      <c r="B62" t="s">
        <v>5</v>
      </c>
      <c r="C62">
        <v>46045</v>
      </c>
      <c r="D62">
        <v>46058</v>
      </c>
      <c r="E62" t="s">
        <v>290</v>
      </c>
      <c r="F62" t="s">
        <v>139</v>
      </c>
      <c r="G62">
        <v>51370</v>
      </c>
      <c r="H62" t="s">
        <v>264</v>
      </c>
      <c r="I62" t="s">
        <v>137</v>
      </c>
      <c r="J62">
        <v>8</v>
      </c>
      <c r="M62">
        <v>46057</v>
      </c>
    </row>
    <row r="63" spans="1:26">
      <c r="A63">
        <v>1</v>
      </c>
      <c r="B63" t="s">
        <v>5</v>
      </c>
      <c r="C63">
        <v>46059</v>
      </c>
      <c r="D63">
        <v>46072</v>
      </c>
      <c r="E63" t="s">
        <v>66</v>
      </c>
      <c r="F63" t="s">
        <v>135</v>
      </c>
      <c r="G63">
        <v>51426</v>
      </c>
      <c r="H63" t="s">
        <v>261</v>
      </c>
      <c r="I63" t="s">
        <v>137</v>
      </c>
      <c r="J63">
        <v>5</v>
      </c>
      <c r="M63">
        <v>46059</v>
      </c>
    </row>
    <row r="64" spans="1:26">
      <c r="A64">
        <v>2</v>
      </c>
      <c r="B64" t="s">
        <v>5</v>
      </c>
      <c r="C64">
        <v>46059</v>
      </c>
      <c r="D64">
        <v>46072</v>
      </c>
      <c r="E64" t="s">
        <v>66</v>
      </c>
      <c r="F64" t="s">
        <v>139</v>
      </c>
      <c r="G64">
        <v>51370</v>
      </c>
      <c r="H64" t="s">
        <v>264</v>
      </c>
      <c r="I64" t="s">
        <v>137</v>
      </c>
      <c r="J64">
        <v>8</v>
      </c>
      <c r="M64">
        <v>46059</v>
      </c>
    </row>
    <row r="65" spans="1:13">
      <c r="A65">
        <v>3</v>
      </c>
      <c r="B65" t="s">
        <v>5</v>
      </c>
      <c r="C65">
        <v>46059</v>
      </c>
      <c r="D65">
        <v>46072</v>
      </c>
      <c r="E65" t="s">
        <v>66</v>
      </c>
      <c r="F65" t="s">
        <v>141</v>
      </c>
      <c r="G65">
        <v>51247</v>
      </c>
      <c r="H65" t="s">
        <v>268</v>
      </c>
      <c r="I65" t="s">
        <v>137</v>
      </c>
      <c r="J65">
        <v>3</v>
      </c>
      <c r="M65">
        <v>46059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2024-02-15T13:13:42Z</dcterms:created>
  <dcterms:modified xsi:type="dcterms:W3CDTF">2026-05-17T10:33:12Z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2026-01-19T09:43:02Z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811b7bff-4f9e-4d8d-9542-d262da7bfb7d</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