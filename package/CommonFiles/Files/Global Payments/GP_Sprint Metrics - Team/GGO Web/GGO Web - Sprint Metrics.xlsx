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22542" documentId="11_3E50C548091918D3294A050B0A3A282E0E7A03C9" xr6:coauthVersionLast="47" xr6:coauthVersionMax="47" xr10:uidLastSave="{F46ED3B7-9887-41C5-A97E-F7F6CD2BE0C5}"/>
  <bookViews>
    <workbookView xWindow="0" yWindow="0" windowWidth="0" windowHeight="0" firstSheet="4" activeTab="4" xr2:uid="{00000000-000D-0000-FFFF-FFFF00000000}"/>
  </bookViews>
  <sheets>
    <sheet name="Dashboard" sheetId="1" r:id="rId1"/>
    <sheet name="Unplanned Leaves" sheetId="145" r:id="rId2"/>
    <sheet name="GGO 8.4.0 Sprint 4-Status" sheetId="159" r:id="rId3"/>
    <sheet name="GGO 8.4.0 Sprint 4-Defect" sheetId="160" r:id="rId4"/>
    <sheet name="GGO 8.4.0 Sprint 3-Status" sheetId="157" r:id="rId5"/>
    <sheet name="GGO 8.4.0 Sprint 3-Defect" sheetId="158" r:id="rId6"/>
    <sheet name="GGO 8.4.0 Sprint 2-Status" sheetId="155" r:id="rId7"/>
    <sheet name="GGO 8.4.0 Sprint 2-Defect" sheetId="156" r:id="rId8"/>
    <sheet name="GGO 8.4.0 Sprint 1-Status" sheetId="154" r:id="rId9"/>
    <sheet name="GGO 8.4.0 Sprint 1-Defect" sheetId="153" r:id="rId10"/>
    <sheet name="GGO 8.3.0 Sprint 4-Status" sheetId="152" r:id="rId11"/>
    <sheet name="GGO 8.3.0 Sprint 4-Defect" sheetId="151" r:id="rId12"/>
    <sheet name="GGO 8.3.0 Sprint 3-Status" sheetId="149" r:id="rId13"/>
    <sheet name="GGO 8.3.0 Sprint 3-Defect" sheetId="150" r:id="rId14"/>
    <sheet name="GGO 8.3.0 Sprint 2-Status" sheetId="147" r:id="rId15"/>
    <sheet name="GGO 8.3.0 Sprint 2-Defect" sheetId="148" r:id="rId16"/>
    <sheet name="GGO 8.3.0 Sprint 1-Status" sheetId="143" r:id="rId17"/>
    <sheet name="GGO 8.3.0 Sprint 1-Defect" sheetId="146" r:id="rId18"/>
    <sheet name="GGO 8.2.0 Sprint 4-Status" sheetId="141" r:id="rId19"/>
    <sheet name="GGO 8.2.0 Sprint 4-Defect" sheetId="142" r:id="rId20"/>
    <sheet name="GGO 8.2.0 Sprint3-Defect" sheetId="139" r:id="rId21"/>
    <sheet name="GGO 8.2.0 Sprint 3-Status" sheetId="138" r:id="rId22"/>
    <sheet name="GGO 8.2.0 Sprint 1-Status" sheetId="137" r:id="rId23"/>
    <sheet name="GGO 8.2.0 Sprint 1-Defect" sheetId="140" r:id="rId24"/>
    <sheet name="GGO 8.1.0 Sprint 4-Status" sheetId="135" r:id="rId25"/>
    <sheet name="GGO 8.1.0 Sprint 4-Defect" sheetId="136" r:id="rId26"/>
    <sheet name="GGO 8.1.0 Sprint 3-Status" sheetId="133" r:id="rId27"/>
    <sheet name="GGO 8.1.0 Sprint 3-Defect" sheetId="134" r:id="rId28"/>
    <sheet name="GGO 8.1.0 Sprint 2-Status" sheetId="131" r:id="rId29"/>
    <sheet name="GGO 8.1.0 Sprint 1-Status" sheetId="128" r:id="rId30"/>
    <sheet name="GGO 8.1.0 Sprint 2-Defect" sheetId="132" r:id="rId31"/>
    <sheet name="GGO 8.1.0 Sprint 1-Defect" sheetId="130" r:id="rId32"/>
    <sheet name="GGO 8.0.0 Sprint 4-Status" sheetId="126" r:id="rId33"/>
    <sheet name="GGO 8.0.0 Sprint 3-Status" sheetId="122" r:id="rId34"/>
    <sheet name="GGO 8.0.0 Sprint 3-Defect" sheetId="124" r:id="rId35"/>
    <sheet name="GGO 8.0.0 Sprint 2-Status" sheetId="119" r:id="rId36"/>
    <sheet name="GGO 8.0.0 Sprint 2-Defect" sheetId="121" r:id="rId37"/>
    <sheet name="GGO 8.0.0 Sprint 1-Status" sheetId="115" r:id="rId38"/>
    <sheet name="GGO 8.0.0 Sprint 1-Defect" sheetId="117" r:id="rId39"/>
    <sheet name="GGO 7.25.0 Sprint 4-Status" sheetId="111" r:id="rId40"/>
    <sheet name="GGO 7.25.0 Sprint 4-Defect" sheetId="113" r:id="rId41"/>
    <sheet name="GGO 7.25.0 Sprint 3-Status" sheetId="107" r:id="rId42"/>
    <sheet name="GGO 7.25.0 Sprint 2-Status" sheetId="103" r:id="rId43"/>
    <sheet name="GGO 7.25.0 Sprint 3-Defect" sheetId="109" r:id="rId44"/>
    <sheet name="GGO 7.25.0 Sprint 2-Defect" sheetId="105" r:id="rId45"/>
    <sheet name="GGO 7.25.0 Sprint 1-Status" sheetId="101" r:id="rId46"/>
    <sheet name="GGO 7.24.0 Sprint 4-Status" sheetId="99" r:id="rId47"/>
    <sheet name="GGO 7.24.0 Sprint 3-Status" sheetId="96" r:id="rId48"/>
    <sheet name="GGO 7.24.0 Sprint 3-Defect" sheetId="98" r:id="rId49"/>
    <sheet name="GGO 7.24.0 Sprint 2-Status" sheetId="93" r:id="rId50"/>
    <sheet name="GGO 7.24.0 Sprint 2-Defect" sheetId="94" r:id="rId51"/>
    <sheet name="GGO 7.24.0 Sprint 1-Status" sheetId="90" r:id="rId52"/>
    <sheet name="GGO 7.24.0 Sprint 1-Defect" sheetId="91" r:id="rId53"/>
    <sheet name="GGO 7.23.0 Sprint 4-Status" sheetId="86" r:id="rId54"/>
    <sheet name="GGO 7.23.0 Sprint 4-Defect" sheetId="88" r:id="rId55"/>
    <sheet name="GGO 7.23.0 Sprint 3-Status" sheetId="83" r:id="rId56"/>
    <sheet name="GGO 7.23.0 Sprint 3-Defect" sheetId="84" r:id="rId57"/>
    <sheet name="GGO 7.23.0 Sprint 2-Status" sheetId="80" r:id="rId58"/>
    <sheet name="GGO 7.23.0 Sprint 2-Defect" sheetId="81" r:id="rId59"/>
    <sheet name="GGO 7.23.0 Sprint 1-Status" sheetId="77" r:id="rId60"/>
    <sheet name="GGO 7.23.0 Sprint 1-Defect " sheetId="78" r:id="rId61"/>
    <sheet name="GGO 7.22.0 Sprint 4-Status" sheetId="74" r:id="rId62"/>
    <sheet name="GGO 7.22.0 Sprint 4-Defect" sheetId="75" r:id="rId63"/>
    <sheet name="GGO 7.22.0 Sprint 3-Status" sheetId="71" r:id="rId64"/>
    <sheet name="GGO 7.22.0 Sprint 3-Defect" sheetId="72" r:id="rId65"/>
    <sheet name="GGO 7.22.0 Sprint 2-Status" sheetId="69" r:id="rId66"/>
    <sheet name="GGO 7.22.0 Sprint 2-Defect" sheetId="67" r:id="rId67"/>
    <sheet name="GGO 7.22.0 Sprint 1-Status" sheetId="59" r:id="rId68"/>
    <sheet name="GGO 7.22.0 Sprint 1-Defect" sheetId="60" r:id="rId69"/>
    <sheet name="GGO 7.21.0 Sprint 4-Status" sheetId="56" r:id="rId70"/>
    <sheet name="GGO 7.21.0 Sprint 4-Defect" sheetId="57" r:id="rId71"/>
    <sheet name="GGO 7.21.0 Sprint 3-Status" sheetId="53" r:id="rId72"/>
    <sheet name="GGO 7.21.0 Sprint 3-Defect" sheetId="54" r:id="rId73"/>
    <sheet name="GGO 7.21.0 Sprint 2-Status" sheetId="50" r:id="rId74"/>
    <sheet name="GGO 7.21.0 Sprint 2-Defect" sheetId="51" r:id="rId75"/>
    <sheet name="GGO 7.21.0 Sprint 1-CRC " sheetId="48" r:id="rId76"/>
    <sheet name="GGO 7.21.0 Sprint 1-Defect " sheetId="49" r:id="rId77"/>
    <sheet name="GGO 7.20.0 Sprint 4-CRC " sheetId="46" r:id="rId78"/>
    <sheet name="GGO 7.20.0 Sprint 4-Defect " sheetId="47" r:id="rId79"/>
    <sheet name="GGO 7.20.0 Sprint 3-CRC" sheetId="44" r:id="rId80"/>
    <sheet name="GGO 7.20.0 Sprint 3-Defect" sheetId="45" r:id="rId81"/>
    <sheet name="GGO 7.20.0 Sprint 2-CRC  " sheetId="42" r:id="rId82"/>
    <sheet name="GGO 7.20.0 Sprint 2-Defect" sheetId="43" r:id="rId83"/>
    <sheet name="GGO 7.20.0 Sprint 1-CRC " sheetId="40" r:id="rId84"/>
    <sheet name="GGO 7.20.0 Sprint 1-Defect" sheetId="41" r:id="rId85"/>
    <sheet name="GGO 7.19.0 Sprint 4-CRC " sheetId="38" r:id="rId86"/>
    <sheet name="GGO 7.19.0 Sprint 4-Defect" sheetId="39" r:id="rId87"/>
    <sheet name="GGO 7.19.0 Sprint 3-CRC" sheetId="36" r:id="rId88"/>
    <sheet name="GGO 7.19.0 Sprint 3-Defect" sheetId="37" r:id="rId89"/>
    <sheet name="GGO 7.19.0 Sprint 2-CRC" sheetId="34" r:id="rId90"/>
    <sheet name="GGO 7.19.0 Sprint 2-Defect" sheetId="35" r:id="rId91"/>
    <sheet name="GGO 7.19.0 Sprint 1-CRC" sheetId="32" r:id="rId92"/>
    <sheet name="GGO 7.19.0 Sprint 1-Defect" sheetId="33" r:id="rId93"/>
    <sheet name="GGO 7.18.0 Sprint 4-CRC" sheetId="31" r:id="rId94"/>
    <sheet name="GGO 7.18.0 Sprint 4-Defect" sheetId="30" r:id="rId95"/>
    <sheet name="GGO 7.18.0 Sprint 3-CRC" sheetId="28" r:id="rId96"/>
    <sheet name="GGO 7.18.0 Sprint 3-Defect" sheetId="29" r:id="rId97"/>
    <sheet name="GGO 7.18.0 Sprint 2-CRC" sheetId="27" r:id="rId98"/>
    <sheet name="GGO 7.18.0 Sprint 1-CRC " sheetId="24" r:id="rId99"/>
    <sheet name="GGO 7.18.0 Sprint 2-Defect" sheetId="26" r:id="rId100"/>
    <sheet name="GGO 7.18.0 Sprint 1-Defect" sheetId="25" r:id="rId101"/>
    <sheet name="GGO 7.17.0 Sprint 4-CRC " sheetId="22" r:id="rId102"/>
    <sheet name="GGO 7.17.0 Sprint 3-CRC " sheetId="20" r:id="rId103"/>
    <sheet name="GGO 7.17.0 Sprint 4-Defect" sheetId="23" r:id="rId104"/>
    <sheet name="GGO 7.17.0 Sprint 3-Defect" sheetId="21" r:id="rId105"/>
    <sheet name="GGO 7.17.0 Sprint 2-CRC" sheetId="16" r:id="rId106"/>
    <sheet name="GGO 7.17.0 Sprint 2-Defect" sheetId="17" r:id="rId107"/>
    <sheet name="GGO 7.17.0 Sprint 1-CRC" sheetId="14" r:id="rId108"/>
    <sheet name="GGO 7.17.0 Sprint 1-Defect" sheetId="15" r:id="rId109"/>
    <sheet name="GGO 7.16.0 Sprint 4-CRC" sheetId="13" r:id="rId110"/>
    <sheet name="GGO 7.16.0 Sprint 4-Defect" sheetId="12" r:id="rId111"/>
    <sheet name="GGO 7.16.0 Sprint 3-CRC" sheetId="10" r:id="rId112"/>
    <sheet name="GGO 7.16.0 Sprint 2-CRC" sheetId="8" r:id="rId113"/>
    <sheet name="GGO 7.16.0 Sprint 3-Defect" sheetId="11" r:id="rId114"/>
    <sheet name="GGO 7.16.0 Sprint 2-Defect" sheetId="9" r:id="rId115"/>
    <sheet name="GGO 7.16.0 Sprint 1-CRC" sheetId="4" r:id="rId116"/>
    <sheet name="GGO 7.16.0 Sprint 1-Defect" sheetId="5" r:id="rId117"/>
    <sheet name="GGO 7.15.0 Sprint 4-CRC" sheetId="2" r:id="rId118"/>
    <sheet name="GGO 7.15.0 Sprint 4-Defect" sheetId="3" r:id="rId119"/>
    <sheet name="Checklist" sheetId="6" state="hidden" r:id="rId120"/>
    <sheet name="Details" sheetId="7" r:id="rId121"/>
    <sheet name="Settings" sheetId="64" r:id="rId122"/>
    <sheet name="ExportData" sheetId="144" r:id="rId123"/>
  </sheets>
  <definedNames>
    <definedName name="_xlnm._FilterDatabase" localSheetId="66" hidden="1">'GGO 7.22.0 Sprint 2-Defect'!$A$1:$M$2</definedName>
    <definedName name="_xlnm._FilterDatabase" localSheetId="64" hidden="1">'GGO 7.22.0 Sprint 3-Defect'!$A$1:$M$2</definedName>
    <definedName name="_xlnm._FilterDatabase" localSheetId="62" hidden="1">'GGO 7.22.0 Sprint 4-Defect'!$A$1:$M$1</definedName>
    <definedName name="_xlnm._FilterDatabase" localSheetId="60" hidden="1">'GGO 7.23.0 Sprint 1-Defect '!$A$1:$M$1</definedName>
    <definedName name="_xlnm._FilterDatabase" localSheetId="58" hidden="1">'GGO 7.23.0 Sprint 2-Defect'!$A$1:$M$1</definedName>
    <definedName name="_xlnm._FilterDatabase" localSheetId="56" hidden="1">'GGO 7.23.0 Sprint 3-Defect'!$A$1:$M$1</definedName>
    <definedName name="_xlnm._FilterDatabase" localSheetId="54" hidden="1">'GGO 7.23.0 Sprint 4-Defect'!$A$1:$M$1</definedName>
    <definedName name="_xlnm._FilterDatabase" localSheetId="52" hidden="1">'GGO 7.24.0 Sprint 1-Defect'!$A$1:$M$1</definedName>
    <definedName name="_xlnm._FilterDatabase" localSheetId="50" hidden="1">'GGO 7.24.0 Sprint 2-Defect'!$A$1:$M$1</definedName>
    <definedName name="_xlnm._FilterDatabase" localSheetId="48" hidden="1">'GGO 7.24.0 Sprint 3-Defect'!$A$1:$M$1</definedName>
    <definedName name="_xlnm._FilterDatabase" localSheetId="44" hidden="1">'GGO 7.25.0 Sprint 2-Defect'!$A$1:$M$1</definedName>
    <definedName name="_xlnm._FilterDatabase" localSheetId="43" hidden="1">'GGO 7.25.0 Sprint 3-Defect'!$A$1:$M$1</definedName>
    <definedName name="_xlnm._FilterDatabase" localSheetId="40" hidden="1">'GGO 7.25.0 Sprint 4-Defect'!$A$1:$M$1</definedName>
    <definedName name="_xlnm._FilterDatabase" localSheetId="38" hidden="1">'GGO 8.0.0 Sprint 1-Defect'!$A$1:$M$1</definedName>
    <definedName name="_xlnm._FilterDatabase" localSheetId="36" hidden="1">'GGO 8.0.0 Sprint 2-Defect'!$A$1:$M$1</definedName>
    <definedName name="_xlnm._FilterDatabase" localSheetId="34" hidden="1">'GGO 8.0.0 Sprint 3-Defect'!$A$1:$M$1</definedName>
    <definedName name="_xlnm._FilterDatabase" localSheetId="31" hidden="1">'GGO 8.1.0 Sprint 1-Defect'!$A$1:$M$1</definedName>
    <definedName name="_xlnm._FilterDatabase" localSheetId="30" hidden="1">'GGO 8.1.0 Sprint 2-Defect'!$A$1:$M$1</definedName>
    <definedName name="_xlnm._FilterDatabase" localSheetId="27" hidden="1">'GGO 8.1.0 Sprint 3-Defect'!$A$1:$M$1</definedName>
    <definedName name="_xlnm._FilterDatabase" localSheetId="25" hidden="1">'GGO 8.1.0 Sprint 4-Defect'!$A$1:$M$1</definedName>
    <definedName name="_xlnm._FilterDatabase" localSheetId="23" hidden="1">'GGO 8.2.0 Sprint 1-Defect'!$A$1:$M$1</definedName>
    <definedName name="_xlnm._FilterDatabase" localSheetId="19" hidden="1">'GGO 8.2.0 Sprint 4-Defect'!$A$1:$M$1</definedName>
    <definedName name="_xlnm._FilterDatabase" localSheetId="20" hidden="1">'GGO 8.2.0 Sprint3-Defect'!$A$1:$M$1</definedName>
    <definedName name="_xlnm._FilterDatabase" localSheetId="17" hidden="1">'GGO 8.3.0 Sprint 1-Defect'!$A$1:$M$1</definedName>
    <definedName name="_xlnm._FilterDatabase" localSheetId="15" hidden="1">'GGO 8.3.0 Sprint 2-Defect'!$A$1:$M$1</definedName>
    <definedName name="_xlnm._FilterDatabase" localSheetId="13" hidden="1">'GGO 8.3.0 Sprint 3-Defect'!$A$1:$M$1</definedName>
    <definedName name="_xlnm._FilterDatabase" localSheetId="11" hidden="1">'GGO 8.3.0 Sprint 4-Defect'!$A$1:$M$1</definedName>
    <definedName name="_xlnm._FilterDatabase" localSheetId="9" hidden="1">'GGO 8.4.0 Sprint 1-Defect'!$A$1:$M$1</definedName>
    <definedName name="_xlnm._FilterDatabase" localSheetId="7" hidden="1">'GGO 8.4.0 Sprint 2-Defect'!$A$1:$M$1</definedName>
    <definedName name="_xlnm._FilterDatabase" localSheetId="5" hidden="1">'GGO 8.4.0 Sprint 3-Defect'!$A$1:$M$1</definedName>
    <definedName name="_xlnm._FilterDatabase" localSheetId="3" hidden="1">'GGO 8.4.0 Sprint 4-Defect'!$A$1:$M$1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4" roundtripDataChecksum="ikapr5DdAXrLvGyqOq2C1f7SyLnY7sMOGu+hC3tXBHc="/>
    </ext>
  </extLst>
</workbook>
</file>

<file path=xl/calcChain.xml><?xml version="1.0" encoding="utf-8"?>
<calcChain xmlns="http://schemas.openxmlformats.org/spreadsheetml/2006/main">
  <c r="G5" i="145" l="1"/>
  <c r="G4" i="145"/>
  <c r="G3" i="145"/>
  <c r="G7" i="145"/>
  <c r="G6" i="145"/>
  <c r="R11" i="133"/>
  <c r="B1" i="1" a="1"/>
  <c r="B1" i="1"/>
  <c r="F1" i="1" s="1"/>
  <c r="B11" i="74"/>
  <c r="B10" i="74"/>
  <c r="B3" i="74"/>
  <c r="B9" i="74"/>
  <c r="B2" i="74"/>
  <c r="B9" i="71"/>
  <c r="B8" i="71"/>
  <c r="B7" i="71"/>
  <c r="B6" i="71"/>
  <c r="B5" i="71"/>
  <c r="B4" i="71"/>
  <c r="B3" i="71"/>
  <c r="B2" i="71"/>
  <c r="B9" i="69"/>
  <c r="B8" i="69"/>
  <c r="B7" i="69"/>
  <c r="B6" i="69"/>
  <c r="B2" i="69"/>
  <c r="B3" i="69"/>
  <c r="B4" i="69"/>
  <c r="B5" i="69"/>
  <c r="B15" i="59"/>
  <c r="B14" i="59"/>
  <c r="B13" i="59"/>
  <c r="B12" i="59"/>
  <c r="B11" i="59"/>
  <c r="B10" i="59"/>
  <c r="B9" i="59"/>
  <c r="B8" i="59"/>
  <c r="B7" i="59"/>
  <c r="B6" i="59"/>
  <c r="B5" i="59"/>
  <c r="B4" i="59"/>
  <c r="B3" i="59"/>
  <c r="B9" i="56"/>
  <c r="B8" i="56"/>
  <c r="B2" i="56"/>
  <c r="B3" i="56"/>
  <c r="B4" i="56"/>
  <c r="B5" i="56"/>
  <c r="B6" i="56"/>
  <c r="B7" i="56"/>
  <c r="D1" i="1" l="1"/>
  <c r="A31" i="1" s="1"/>
  <c r="A30" i="1"/>
  <c r="H1" i="1"/>
  <c r="A29" i="1"/>
  <c r="A21" i="1"/>
  <c r="A3" i="1"/>
  <c r="A4" i="1"/>
  <c r="A5" i="1"/>
  <c r="A6" i="1"/>
  <c r="A7" i="1"/>
  <c r="A8" i="1"/>
  <c r="A9" i="1"/>
  <c r="A10" i="1"/>
  <c r="A11" i="1"/>
  <c r="A12" i="1"/>
  <c r="A13" i="1"/>
  <c r="A14" i="1"/>
  <c r="A15" i="1"/>
  <c r="A16" i="1"/>
  <c r="A17" i="1"/>
  <c r="A18" i="1"/>
  <c r="A19" i="1"/>
  <c r="A20" i="1"/>
  <c r="A22" i="1"/>
  <c r="A23" i="1"/>
  <c r="A24" i="1"/>
  <c r="A25" i="1"/>
  <c r="C9" i="69" l="1"/>
  <c r="C5" i="69"/>
  <c r="C3" i="69"/>
  <c r="C2" i="69"/>
  <c r="C9" i="71"/>
  <c r="C6" i="71"/>
  <c r="D7" i="71"/>
  <c r="D9" i="71"/>
  <c r="D8" i="71"/>
  <c r="D6" i="71"/>
  <c r="D2" i="71"/>
  <c r="C8" i="71"/>
  <c r="C7" i="71"/>
  <c r="C5" i="71"/>
  <c r="D5" i="71"/>
  <c r="C4" i="71"/>
  <c r="C3" i="71"/>
  <c r="C2" i="71"/>
  <c r="D4" i="71"/>
  <c r="D3" i="71"/>
  <c r="D9" i="69"/>
  <c r="C8" i="69"/>
  <c r="D8" i="69"/>
  <c r="C6" i="69"/>
  <c r="C7" i="69"/>
  <c r="D6" i="69"/>
  <c r="D7" i="69"/>
  <c r="C4" i="69"/>
  <c r="D2" i="69"/>
  <c r="D3" i="69"/>
  <c r="D4" i="69"/>
  <c r="D5" i="69"/>
  <c r="A27" i="1"/>
  <c r="C3" i="59"/>
  <c r="C15" i="59"/>
  <c r="D15" i="59"/>
  <c r="C14" i="59"/>
  <c r="D14" i="59"/>
  <c r="C13" i="59"/>
  <c r="D13" i="59"/>
  <c r="C11" i="59"/>
  <c r="C12" i="59"/>
  <c r="D11" i="59"/>
  <c r="D12" i="59"/>
  <c r="C9" i="59"/>
  <c r="C10" i="59"/>
  <c r="D9" i="59"/>
  <c r="D10" i="59"/>
  <c r="C7" i="59"/>
  <c r="C8" i="59"/>
  <c r="D7" i="59"/>
  <c r="D8" i="59"/>
  <c r="A26" i="1"/>
  <c r="A28" i="1"/>
  <c r="C5" i="59"/>
  <c r="C6" i="59"/>
  <c r="D5" i="59"/>
  <c r="D6" i="59"/>
  <c r="C4" i="59"/>
  <c r="D4" i="59"/>
  <c r="D3" i="59"/>
  <c r="C9" i="56"/>
  <c r="D9" i="56"/>
  <c r="C8" i="56"/>
  <c r="D8" i="56"/>
  <c r="D2" i="56"/>
  <c r="D3" i="56"/>
  <c r="D4" i="56"/>
  <c r="D5" i="56"/>
  <c r="D6" i="56"/>
  <c r="D7" i="56"/>
  <c r="C2" i="56"/>
  <c r="C3" i="56"/>
  <c r="C4" i="56"/>
  <c r="C5" i="56"/>
  <c r="C6" i="56"/>
  <c r="C7" i="5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C18086A7-3093-4511-86B1-2F5D78BAE231}">
      <text>
        <r>
          <rPr>
            <sz val="10"/>
            <color rgb="FF000000"/>
            <rFont val="Arial"/>
            <scheme val="minor"/>
          </rPr>
          <t xml:space="preserve">Preethi Rajasekaran:
1. Whether it is Production Issue?
2. Issue found during?
3. Whether it was Escalation?
4. Who worked this?
</t>
        </r>
      </text>
    </comment>
    <comment ref="O1" authorId="0" shapeId="0" xr:uid="{E6210C62-93A2-465B-95C6-3D9B41FD7BDD}">
      <text>
        <r>
          <rPr>
            <sz val="10"/>
            <color rgb="FF000000"/>
            <rFont val="Arial"/>
            <scheme val="minor"/>
          </rPr>
          <t xml:space="preserve">Preethi Rajasekaran:
1. Whether it is Production Issue?
2. Issue found during?
3. Whether it was Escalation?
4. Who worked this?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2C8D0586-51B0-40A6-A8A0-2A1D62317005}">
      <text>
        <r>
          <rPr>
            <sz val="10"/>
            <color rgb="FF000000"/>
            <rFont val="Arial"/>
            <scheme val="minor"/>
          </rPr>
          <t xml:space="preserve">Preethi Rajasekaran:
1. Whether it is Production Issue?
2. Issue found during?
3. Whether it was Escalation?
4. Who worked this?
</t>
        </r>
      </text>
    </comment>
    <comment ref="O1" authorId="0" shapeId="0" xr:uid="{1A50B22E-A097-4589-95E3-1D58EF6BF44F}">
      <text>
        <r>
          <rPr>
            <sz val="10"/>
            <color rgb="FF000000"/>
            <rFont val="Arial"/>
            <scheme val="minor"/>
          </rPr>
          <t xml:space="preserve">Preethi Rajasekaran:
1. Whether it is Production Issue?
2. Issue found during?
3. Whether it was Escalation?
4. Who worked this?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2D288C76-FADB-4505-98A5-3A5892ABADA9}">
      <text>
        <r>
          <rPr>
            <sz val="10"/>
            <color rgb="FF000000"/>
            <rFont val="Arial"/>
            <scheme val="minor"/>
          </rPr>
          <t xml:space="preserve">Preethi Rajasekaran:
1. Whether it is Production Issue?
2. Issue found during?
3. Whether it was Escalation?
4. Who worked this?
</t>
        </r>
      </text>
    </comment>
    <comment ref="O1" authorId="0" shapeId="0" xr:uid="{0176BFB4-C89C-4776-AD6F-7E26AE8493E4}">
      <text>
        <r>
          <rPr>
            <sz val="10"/>
            <color rgb="FF000000"/>
            <rFont val="Arial"/>
            <scheme val="minor"/>
          </rPr>
          <t xml:space="preserve">Preethi Rajasekaran:
1. Whether it is Production Issue?
2. Issue found during?
3. Whether it was Escalation?
4. Who worked this?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AAAED2F9-D390-4068-8D64-D40B359A26A7}">
      <text>
        <r>
          <rPr>
            <sz val="10"/>
            <color rgb="FF000000"/>
            <rFont val="Arial"/>
            <scheme val="minor"/>
          </rPr>
          <t xml:space="preserve">Preethi Rajasekaran:
1. Whether it is Production Issue?
2. Issue found during?
3. Whether it was Escalation?
4. Who worked this?
</t>
        </r>
      </text>
    </comment>
    <comment ref="O1" authorId="0" shapeId="0" xr:uid="{4B81ECB5-070B-4B26-AE62-1BB7DFC9DA36}">
      <text>
        <r>
          <rPr>
            <sz val="10"/>
            <color rgb="FF000000"/>
            <rFont val="Arial"/>
            <scheme val="minor"/>
          </rPr>
          <t xml:space="preserve">Preethi Rajasekaran:
1. Whether it is Production Issue?
2. Issue found during?
3. Whether it was Escalation?
4. Who worked this?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57EED646-A68A-4B58-86CF-C276B6242443}">
      <text>
        <r>
          <rPr>
            <sz val="10"/>
            <color rgb="FF000000"/>
            <rFont val="Arial"/>
            <scheme val="minor"/>
          </rPr>
          <t xml:space="preserve">Preethi Rajasekaran:
1. Whether it is Production Issue?
2. Issue found during?
3. Whether it was Escalation?
4. Who worked this?
</t>
        </r>
      </text>
    </comment>
    <comment ref="O1" authorId="0" shapeId="0" xr:uid="{2C169A7B-0058-4B74-BF64-160E69B63DAD}">
      <text>
        <r>
          <rPr>
            <sz val="10"/>
            <color rgb="FF000000"/>
            <rFont val="Arial"/>
            <scheme val="minor"/>
          </rPr>
          <t xml:space="preserve">Preethi Rajasekaran:
1. Whether it is Production Issue?
2. Issue found during?
3. Whether it was Escalation?
4. Who worked this?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273DCCCB-7B7D-43AF-845B-DB368B14C618}">
      <text>
        <r>
          <rPr>
            <sz val="10"/>
            <color rgb="FF000000"/>
            <rFont val="Arial"/>
            <scheme val="minor"/>
          </rPr>
          <t xml:space="preserve">Preethi Rajasekaran:
1. Whether it is Production Issue?
2. Issue found during?
3. Whether it was Escalation?
4. Who worked this?
</t>
        </r>
      </text>
    </comment>
    <comment ref="O1" authorId="0" shapeId="0" xr:uid="{923549C7-837A-4B69-97FC-393FF7F05F13}">
      <text>
        <r>
          <rPr>
            <sz val="10"/>
            <color rgb="FF000000"/>
            <rFont val="Arial"/>
            <scheme val="minor"/>
          </rPr>
          <t xml:space="preserve">Preethi Rajasekaran:
1. Whether it is Production Issue?
2. Issue found during?
3. Whether it was Escalation?
4. Who worked this?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44084894-BEEE-4F95-8882-006B24F2562E}">
      <text>
        <r>
          <rPr>
            <sz val="10"/>
            <color rgb="FF000000"/>
            <rFont val="Arial"/>
            <scheme val="minor"/>
          </rPr>
          <t xml:space="preserve">Preethi Rajasekaran:
1. Whether it is Production Issue?
2. Issue found during?
3. Whether it was Escalation?
4. Who worked this?
</t>
        </r>
      </text>
    </comment>
    <comment ref="O1" authorId="0" shapeId="0" xr:uid="{076E7263-622C-47EF-8953-7D9E94B99A2E}">
      <text>
        <r>
          <rPr>
            <sz val="10"/>
            <color rgb="FF000000"/>
            <rFont val="Arial"/>
            <scheme val="minor"/>
          </rPr>
          <t xml:space="preserve">Preethi Rajasekaran:
1. Whether it is Production Issue?
2. Issue found during?
3. Whether it was Escalation?
4. Who worked this?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234A8D3D-AA2C-4432-814D-BB19B90BBF88}">
      <text>
        <r>
          <rPr>
            <sz val="10"/>
            <color rgb="FF000000"/>
            <rFont val="Arial"/>
            <scheme val="minor"/>
          </rPr>
          <t xml:space="preserve">Preethi Rajasekaran:
1. Whether it is Production Issue?
2. Issue found during?
3. Whether it was Escalation?
4. Who worked this?
</t>
        </r>
      </text>
    </comment>
    <comment ref="O1" authorId="0" shapeId="0" xr:uid="{8382EC03-610D-4DCC-8EAB-DD5B7A796F6B}">
      <text>
        <r>
          <rPr>
            <sz val="10"/>
            <color rgb="FF000000"/>
            <rFont val="Arial"/>
            <scheme val="minor"/>
          </rPr>
          <t xml:space="preserve">Preethi Rajasekaran:
1. Whether it is Production Issue?
2. Issue found during?
3. Whether it was Escalation?
4. Who worked this?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012583B4-F201-4E94-8354-52C2C3FE500B}">
      <text>
        <r>
          <rPr>
            <sz val="10"/>
            <color rgb="FF000000"/>
            <rFont val="Arial"/>
            <scheme val="minor"/>
          </rPr>
          <t xml:space="preserve">Preethi Rajasekaran:
1. Whether it is Production Issue?
2. Issue found during?
3. Whether it was Escalation?
4. Who worked this?
</t>
        </r>
      </text>
    </comment>
    <comment ref="O1" authorId="0" shapeId="0" xr:uid="{13207052-19C4-41DD-B234-8AD2AF042DBC}">
      <text>
        <r>
          <rPr>
            <sz val="10"/>
            <color rgb="FF000000"/>
            <rFont val="Arial"/>
            <scheme val="minor"/>
          </rPr>
          <t xml:space="preserve">Preethi Rajasekaran:
1. Whether it is Production Issue?
2. Issue found during?
3. Whether it was Escalation?
4. Who worked this?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A0B527E3-BEC4-4814-89DB-03DB37AC4180}">
      <text>
        <r>
          <rPr>
            <sz val="10"/>
            <color rgb="FF000000"/>
            <rFont val="Arial"/>
            <scheme val="minor"/>
          </rPr>
          <t xml:space="preserve">Preethi Rajasekaran:
1. Whether it is Production Issue?
2. Issue found during?
3. Whether it was Escalation?
4. Who worked this?
</t>
        </r>
      </text>
    </comment>
    <comment ref="O1" authorId="0" shapeId="0" xr:uid="{85AAF41B-8955-4DA5-AF86-D293D373A49A}">
      <text>
        <r>
          <rPr>
            <sz val="10"/>
            <color rgb="FF000000"/>
            <rFont val="Arial"/>
            <scheme val="minor"/>
          </rPr>
          <t xml:space="preserve">Preethi Rajasekaran:
1. Whether it is Production Issue?
2. Issue found during?
3. Whether it was Escalation?
4. Who worked this?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976060C7-F58B-4A28-BCA2-C3AE0204E0F0}">
      <text>
        <r>
          <rPr>
            <sz val="10"/>
            <color rgb="FF000000"/>
            <rFont val="Arial"/>
            <scheme val="minor"/>
          </rPr>
          <t xml:space="preserve">Preethi Rajasekaran:
1. Whether it is Production Issue?
2. Issue found during?
3. Whether it was Escalation?
4. Who worked this?
</t>
        </r>
      </text>
    </comment>
    <comment ref="O1" authorId="0" shapeId="0" xr:uid="{AD2B12A3-07B8-4D8B-A5D4-2BCCBD28019F}">
      <text>
        <r>
          <rPr>
            <sz val="10"/>
            <color rgb="FF000000"/>
            <rFont val="Arial"/>
            <scheme val="minor"/>
          </rPr>
          <t xml:space="preserve">Preethi Rajasekaran:
1. Whether it is Production Issue?
2. Issue found during?
3. Whether it was Escalation?
4. Who worked this?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E0F81BCE-C706-44F2-9F99-F3949633BECD}">
      <text>
        <r>
          <rPr>
            <sz val="10"/>
            <color rgb="FF000000"/>
            <rFont val="Arial"/>
            <scheme val="minor"/>
          </rPr>
          <t xml:space="preserve">Preethi Rajasekaran:
1. Whether it is Production Issue?
2. Issue found during?
3. Whether it was Escalation?
4. Who worked this?
</t>
        </r>
      </text>
    </comment>
    <comment ref="O1" authorId="0" shapeId="0" xr:uid="{3E5DE89B-3E72-4D1A-8806-ED22B067A751}">
      <text>
        <r>
          <rPr>
            <sz val="10"/>
            <color rgb="FF000000"/>
            <rFont val="Arial"/>
            <scheme val="minor"/>
          </rPr>
          <t xml:space="preserve">Preethi Rajasekaran:
1. Whether it is Production Issue?
2. Issue found during?
3. Whether it was Escalation?
4. Who worked this?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F7AB00BF-D8A2-4DE1-9688-1E9A9FCEB074}">
      <text>
        <r>
          <rPr>
            <sz val="10"/>
            <color rgb="FF000000"/>
            <rFont val="Arial"/>
            <scheme val="minor"/>
          </rPr>
          <t xml:space="preserve">Preethi Rajasekaran:
1. Whether it is Production Issue?
2. Issue found during?
3. Whether it was Escalation?
4. Who worked this?
</t>
        </r>
      </text>
    </comment>
    <comment ref="O1" authorId="0" shapeId="0" xr:uid="{E87BFF7E-C10F-4CD5-967D-525FC408932B}">
      <text>
        <r>
          <rPr>
            <sz val="10"/>
            <color rgb="FF000000"/>
            <rFont val="Arial"/>
            <scheme val="minor"/>
          </rPr>
          <t xml:space="preserve">Preethi Rajasekaran:
1. Whether it is Production Issue?
2. Issue found during?
3. Whether it was Escalation?
4. Who worked this?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01BAA477-DB4F-4D53-92AE-A8BF273CFB59}">
      <text>
        <r>
          <rPr>
            <sz val="10"/>
            <color rgb="FF000000"/>
            <rFont val="Arial"/>
            <scheme val="minor"/>
          </rPr>
          <t xml:space="preserve">Preethi Rajasekaran:
1. Whether it is Production Issue?
2. Issue found during?
3. Whether it was Escalation?
4. Who worked this?
</t>
        </r>
      </text>
    </comment>
    <comment ref="O1" authorId="0" shapeId="0" xr:uid="{E2BF7AF2-1AD0-4223-BD87-CC80525D310C}">
      <text>
        <r>
          <rPr>
            <sz val="10"/>
            <color rgb="FF000000"/>
            <rFont val="Arial"/>
            <scheme val="minor"/>
          </rPr>
          <t xml:space="preserve">Preethi Rajasekaran:
1. Whether it is Production Issue?
2. Issue found during?
3. Whether it was Escalation?
4. Who worked this?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A0954E97-E1D6-427D-B9C2-E7404B427CCD}">
      <text>
        <r>
          <rPr>
            <sz val="10"/>
            <color rgb="FF000000"/>
            <rFont val="Arial"/>
            <scheme val="minor"/>
          </rPr>
          <t xml:space="preserve">Preethi Rajasekaran:
1. Whether it is Production Issue?
2. Issue found during?
3. Whether it was Escalation?
4. Who worked this?
</t>
        </r>
      </text>
    </comment>
    <comment ref="O1" authorId="0" shapeId="0" xr:uid="{1E4B9503-8CAA-45F1-9E41-23712AA44864}">
      <text>
        <r>
          <rPr>
            <sz val="10"/>
            <color rgb="FF000000"/>
            <rFont val="Arial"/>
            <scheme val="minor"/>
          </rPr>
          <t xml:space="preserve">Preethi Rajasekaran:
1. Whether it is Production Issue?
2. Issue found during?
3. Whether it was Escalation?
4. Who worked this?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DA67B9F7-07BB-4DD8-A9A1-C530C682D7AC}">
      <text>
        <r>
          <rPr>
            <sz val="10"/>
            <color rgb="FF000000"/>
            <rFont val="Arial"/>
            <scheme val="minor"/>
          </rPr>
          <t xml:space="preserve">Preethi Rajasekaran:
1. Whether it is Production Issue?
2. Issue found during?
3. Whether it was Escalation?
4. Who worked this?
</t>
        </r>
      </text>
    </comment>
    <comment ref="O1" authorId="0" shapeId="0" xr:uid="{E5F02D7E-5393-4229-AAE2-5A80EA90EF55}">
      <text>
        <r>
          <rPr>
            <sz val="10"/>
            <color rgb="FF000000"/>
            <rFont val="Arial"/>
            <scheme val="minor"/>
          </rPr>
          <t xml:space="preserve">Preethi Rajasekaran:
1. Whether it is Production Issue?
2. Issue found during?
3. Whether it was Escalation?
4. Who worked this?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118BED67-79BD-4136-B882-8C7759462ADD}">
      <text>
        <r>
          <rPr>
            <sz val="10"/>
            <color rgb="FF000000"/>
            <rFont val="Arial"/>
            <scheme val="minor"/>
          </rPr>
          <t xml:space="preserve">Preethi Rajasekaran:
1. Whether it is Production Issue?
2. Issue found during?
3. Whether it was Escalation?
4. Who worked this?
</t>
        </r>
      </text>
    </comment>
    <comment ref="O1" authorId="0" shapeId="0" xr:uid="{0CB2D4E3-43DF-4A9B-BD51-6E80A9401701}">
      <text>
        <r>
          <rPr>
            <sz val="10"/>
            <color rgb="FF000000"/>
            <rFont val="Arial"/>
            <scheme val="minor"/>
          </rPr>
          <t xml:space="preserve">Preethi Rajasekaran:
1. Whether it is Production Issue?
2. Issue found during?
3. Whether it was Escalation?
4. Who worked this?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3048C18F-CB06-417C-9153-9B1921DD88B2}">
      <text>
        <r>
          <rPr>
            <sz val="10"/>
            <color rgb="FF000000"/>
            <rFont val="Arial"/>
            <scheme val="minor"/>
          </rPr>
          <t xml:space="preserve">Preethi Rajasekaran:
1. Whether it is Production Issue?
2. Issue found during?
3. Whether it was Escalation?
4. Who worked this?
</t>
        </r>
      </text>
    </comment>
    <comment ref="O1" authorId="0" shapeId="0" xr:uid="{958A1CEE-9BBD-4721-B56A-E77CCE28587A}">
      <text>
        <r>
          <rPr>
            <sz val="10"/>
            <color rgb="FF000000"/>
            <rFont val="Arial"/>
            <scheme val="minor"/>
          </rPr>
          <t xml:space="preserve">Preethi Rajasekaran:
1. Whether it is Production Issue?
2. Issue found during?
3. Whether it was Escalation?
4. Who worked this?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536BE809-E846-45A4-B534-3321ABCA6E5B}">
      <text>
        <r>
          <rPr>
            <sz val="10"/>
            <color rgb="FF000000"/>
            <rFont val="Arial"/>
            <scheme val="minor"/>
          </rPr>
          <t xml:space="preserve">Preethi Rajasekaran:
1. Whether it is Production Issue?
2. Issue found during?
3. Whether it was Escalation?
4. Who worked this?
</t>
        </r>
      </text>
    </comment>
    <comment ref="O1" authorId="0" shapeId="0" xr:uid="{033EEC38-FCEE-4DCF-82F0-96889C292C31}">
      <text>
        <r>
          <rPr>
            <sz val="10"/>
            <color rgb="FF000000"/>
            <rFont val="Arial"/>
            <scheme val="minor"/>
          </rPr>
          <t xml:space="preserve">Preethi Rajasekaran:
1. Whether it is Production Issue?
2. Issue found during?
3. Whether it was Escalation?
4. Who worked this?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9AFC59FD-08AE-4D73-8C63-442D3FB6B956}">
      <text>
        <r>
          <rPr>
            <sz val="10"/>
            <color rgb="FF000000"/>
            <rFont val="Arial"/>
            <scheme val="minor"/>
          </rPr>
          <t xml:space="preserve">Preethi Rajasekaran:
1. Whether it is Production Issue?
2. Issue found during?
3. Whether it was Escalation?
4. Who worked this?
</t>
        </r>
      </text>
    </comment>
    <comment ref="O1" authorId="0" shapeId="0" xr:uid="{9EE09AED-48D6-409B-83AF-BFA007A6E5CC}">
      <text>
        <r>
          <rPr>
            <sz val="10"/>
            <color rgb="FF000000"/>
            <rFont val="Arial"/>
            <scheme val="minor"/>
          </rPr>
          <t xml:space="preserve">Preethi Rajasekaran:
1. Whether it is Production Issue?
2. Issue found during?
3. Whether it was Escalation?
4. Who worked this?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7F209FE3-55F3-44F2-B128-B54608712FBD}">
      <text>
        <r>
          <rPr>
            <sz val="10"/>
            <color rgb="FF000000"/>
            <rFont val="Arial"/>
            <scheme val="minor"/>
          </rPr>
          <t xml:space="preserve">Preethi Rajasekaran:
1. Whether it is Production Issue?
2. Issue found during?
3. Whether it was Escalation?
4. Who worked this?
</t>
        </r>
      </text>
    </comment>
    <comment ref="O1" authorId="0" shapeId="0" xr:uid="{D64FED2A-2E62-4E33-AD49-9C40603F476B}">
      <text>
        <r>
          <rPr>
            <sz val="10"/>
            <color rgb="FF000000"/>
            <rFont val="Arial"/>
            <scheme val="minor"/>
          </rPr>
          <t xml:space="preserve">Preethi Rajasekaran:
1. Whether it is Production Issue?
2. Issue found during?
3. Whether it was Escalation?
4. Who worked this?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830124D8-E53E-4CE8-8AB9-A2080D736DDA}">
      <text>
        <r>
          <rPr>
            <sz val="10"/>
            <color rgb="FF000000"/>
            <rFont val="Arial"/>
            <scheme val="minor"/>
          </rPr>
          <t xml:space="preserve">Preethi Rajasekaran:
1. Whether it is Production Issue?
2. Issue found during?
3. Whether it was Escalation?
4. Who worked this?
</t>
        </r>
      </text>
    </comment>
    <comment ref="O1" authorId="0" shapeId="0" xr:uid="{2C50F4DE-FF33-4622-8CFC-E3C45BCB595F}">
      <text>
        <r>
          <rPr>
            <sz val="10"/>
            <color rgb="FF000000"/>
            <rFont val="Arial"/>
            <scheme val="minor"/>
          </rPr>
          <t xml:space="preserve">Preethi Rajasekaran:
1. Whether it is Production Issue?
2. Issue found during?
3. Whether it was Escalation?
4. Who worked this?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1AAA8507-210E-45A1-BC94-DDE1B1C01B13}">
      <text>
        <r>
          <rPr>
            <sz val="10"/>
            <color rgb="FF000000"/>
            <rFont val="Arial"/>
            <scheme val="minor"/>
          </rPr>
          <t xml:space="preserve">Preethi Rajasekaran:
1. Whether it is Production Issue?
2. Issue found during?
3. Whether it was Escalation?
4. Who worked this?
</t>
        </r>
      </text>
    </comment>
    <comment ref="O1" authorId="0" shapeId="0" xr:uid="{849FFC3D-D034-4F2A-A4C3-FDAEF0E35D54}">
      <text>
        <r>
          <rPr>
            <sz val="10"/>
            <color rgb="FF000000"/>
            <rFont val="Arial"/>
            <scheme val="minor"/>
          </rPr>
          <t xml:space="preserve">Preethi Rajasekaran:
1. Whether it is Production Issue?
2. Issue found during?
3. Whether it was Escalation?
4. Who worked this?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091791C5-A5A2-440C-B7C5-1C27934F1133}">
      <text>
        <r>
          <rPr>
            <sz val="10"/>
            <color rgb="FF000000"/>
            <rFont val="Arial"/>
            <scheme val="minor"/>
          </rPr>
          <t xml:space="preserve">Preethi Rajasekaran:
1. Whether it is Production Issue?
2. Issue found during?
3. Whether it was Escalation?
4. Who worked this?
</t>
        </r>
      </text>
    </comment>
    <comment ref="O1" authorId="0" shapeId="0" xr:uid="{026CF6E4-4783-4438-8AAB-93AF97AA7630}">
      <text>
        <r>
          <rPr>
            <sz val="10"/>
            <color rgb="FF000000"/>
            <rFont val="Arial"/>
            <scheme val="minor"/>
          </rPr>
          <t xml:space="preserve">Preethi Rajasekaran:
1. Whether it is Production Issue?
2. Issue found during?
3. Whether it was Escalation?
4. Who worked this?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394C652B-FAD5-467D-B94A-41E6A83E0684}">
      <text>
        <r>
          <rPr>
            <sz val="10"/>
            <color rgb="FF000000"/>
            <rFont val="Arial"/>
            <scheme val="minor"/>
          </rPr>
          <t xml:space="preserve">Preethi Rajasekaran:
1. Whether it is Production Issue?
2. Issue found during?
3. Whether it was Escalation?
4. Who worked this?
</t>
        </r>
      </text>
    </comment>
    <comment ref="O1" authorId="0" shapeId="0" xr:uid="{8115D397-1CB0-4074-8A5F-FC0773D7F535}">
      <text>
        <r>
          <rPr>
            <sz val="10"/>
            <color rgb="FF000000"/>
            <rFont val="Arial"/>
            <scheme val="minor"/>
          </rPr>
          <t xml:space="preserve">Preethi Rajasekaran:
1. Whether it is Production Issue?
2. Issue found during?
3. Whether it was Escalation?
4. Who worked this?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A8894B09-2780-475F-A088-CBE874CE25A0}">
      <text>
        <r>
          <rPr>
            <sz val="10"/>
            <color rgb="FF000000"/>
            <rFont val="Arial"/>
            <scheme val="minor"/>
          </rPr>
          <t xml:space="preserve">Preethi Rajasekaran:
1. Whether it is Production Issue?
2. Issue found during?
3. Whether it was Escalation?
4. Who worked this?
</t>
        </r>
      </text>
    </comment>
    <comment ref="O1" authorId="0" shapeId="0" xr:uid="{F67B701E-9F14-45B1-B2D5-A6B21F69AAD4}">
      <text>
        <r>
          <rPr>
            <sz val="10"/>
            <color rgb="FF000000"/>
            <rFont val="Arial"/>
            <scheme val="minor"/>
          </rPr>
          <t xml:space="preserve">Preethi Rajasekaran:
1. Whether it is Production Issue?
2. Issue found during?
3. Whether it was Escalation?
4. Who worked this?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FAFFB70F-0DE7-4E29-BF5E-D0F697D760F1}">
      <text>
        <r>
          <rPr>
            <sz val="10"/>
            <color rgb="FF000000"/>
            <rFont val="Arial"/>
            <scheme val="minor"/>
          </rPr>
          <t xml:space="preserve">Preethi Rajasekaran:
1. Whether it is Production Issue?
2. Issue found during?
3. Whether it was Escalation?
4. Who worked this?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1554216C-B6DE-42A5-8129-537810182025}">
      <text>
        <r>
          <rPr>
            <sz val="10"/>
            <color rgb="FF000000"/>
            <rFont val="Arial"/>
            <scheme val="minor"/>
          </rPr>
          <t xml:space="preserve">Preethi Rajasekaran:
1. Whether it is Production Issue?
2. Issue found during?
3. Whether it was Escalation?
4. Who worked this?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Preethi Rajasekaran</author>
  </authors>
  <commentList>
    <comment ref="N1" authorId="0" shapeId="0" xr:uid="{6D9BC16F-DB99-4F54-864D-40A53008BA70}">
      <text>
        <r>
          <rPr>
            <sz val="10"/>
            <color rgb="FF000000"/>
            <rFont val="Arial"/>
            <scheme val="minor"/>
          </rPr>
          <t xml:space="preserve">Preethi Rajasekaran:
1. Whether it is Production Issue?
2. Issue found during?
3. Whether it was Escalation?
4. Who worked this?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<sst xmlns="http://schemas.openxmlformats.org/spreadsheetml/2006/main" count="13982" uniqueCount="2176">
  <si>
    <t>Current Sprint</t>
  </si>
  <si>
    <t>Current Sprint Sheet</t>
  </si>
  <si>
    <t>Sprint Start Date</t>
  </si>
  <si>
    <t>Sprint End Date</t>
  </si>
  <si>
    <t>Application Name</t>
  </si>
  <si>
    <t>GGO Web</t>
  </si>
  <si>
    <t>Users</t>
  </si>
  <si>
    <t>jennifer.anthony@relevantz.com;saranya.namachivayam@relevantz.com;sathiyabharathi.paramasivam@relevantz.com;priyadharshini.ravichandran@relevantz.com;rajeshkannan.subramanian@relevantz.com;satarupa.mohanty@relevantz.com</t>
  </si>
  <si>
    <t>Teams Name(GP-GGO.Web)</t>
  </si>
  <si>
    <t>19:ac26c2f1541e4a10bdec732dd7eb2936@thread.v2</t>
  </si>
  <si>
    <t>Sprint Type</t>
  </si>
  <si>
    <t>Sprint #</t>
  </si>
  <si>
    <t>Assigned</t>
  </si>
  <si>
    <t>Completed</t>
  </si>
  <si>
    <t>Story points introduced/removed</t>
  </si>
  <si>
    <t>Sprint Summary</t>
  </si>
  <si>
    <t>Accomplishments</t>
  </si>
  <si>
    <t>Remarks</t>
  </si>
  <si>
    <t>Retro Points
(Internal &amp; External)</t>
  </si>
  <si>
    <t>Data sanity
Audit Status</t>
  </si>
  <si>
    <t>AuditDate</t>
  </si>
  <si>
    <t>Planned Leaves</t>
  </si>
  <si>
    <t>Availed Leaves</t>
  </si>
  <si>
    <t>Backlog Health</t>
  </si>
  <si>
    <t>GGO 7.15.0 Sprint 4</t>
  </si>
  <si>
    <t>Completed all the introduced story in the mid of the sprint</t>
  </si>
  <si>
    <t>Internal:
External:</t>
  </si>
  <si>
    <t>GGO 7.16.0 Sprint 1</t>
  </si>
  <si>
    <t>Actual estimated stories (17pts) got completed from our end with Development and Testing, From Onsite QA (Nate) took time for testing 3 point story because of PRD release 
and he took half day leave and he got only 4 hrs of time. So from this I would like to say, we should plan to complete the estimated stories 2 days prior, else Nate won't close 
on the last day of sprint.
Introduced Story - 3 point is Development completed, only Testing pending.</t>
  </si>
  <si>
    <t>GGO 7.16.0 Sprint 2</t>
  </si>
  <si>
    <t xml:space="preserve">Completed all the stories on time, but we noticed one minor issue in GGO-13703 Bid-18 report on xls and xlsx formats. 
the column header occupying some aditional column . It require an report engine code changes.verified some other reports also having the same issue and it's an existing issue.completed introduced story as well </t>
  </si>
  <si>
    <t>GGO 7.16.0 Sprint 3</t>
  </si>
  <si>
    <t xml:space="preserve">GGO-13801-onsite QA(Nathan) raised one bug , we tried to reproduce the issue on rounding but we are not able to do that. We have asked for the steps to reproduce the issue.                                                                                                                                                                                                               GGO-13738 -Development has been completed on this story, it require's IT team support to complete the testing.                                                                                                                                                                                                                                                                                                            Introduced Story - 7 points (Except GGO-13738 testing) all completed </t>
  </si>
  <si>
    <t>GGO 7.16.0 Sprint 4</t>
  </si>
  <si>
    <t>GGO-13796 and GGO-13773 development has been completed.testing requires IT team support to complete,currently salesforce team doing some changes at their side we can't test salesforce api's .Introduced Story - 5 points Develpment has been completed for that.</t>
  </si>
  <si>
    <t>GGO 7.17.0 Sprint 1</t>
  </si>
  <si>
    <t>Since we need support from sales force team for testing GGO -13773 ,PAPI-702 saranya supported Mike wall for testing
We got info from Doug about the 4 PROD issues in planning meeting
1. Convenience Fee Issue - Not able to reproduce by our team and Onsite QA in DEV, TST &amp; CRT, it is occurring only in PRD, finding a way to check the values, settings in PROD to replicate in lower envrionment
2. Package Tax Issue - Round off to whole number instead of 2 decimal, this is our mistake that has got in to PRD 3 months before, when fixing old code to replace SQL CLR to C# method.
3. Item tax added to Package - This was old issue, but many clients started to raise concern about this issue now, because of our new implementation for Convenience Fee.  
4. Payment show error when Actually it is success in PAPI for Few Clients in PRD - Still don't know the reason, analysing the root cause of this issue.</t>
  </si>
  <si>
    <t>GGO 7.17.0 Sprint 2</t>
  </si>
  <si>
    <t xml:space="preserve">This sprint we fixed production issues and macroscope security issues .                                                                                                                                                      PAPI-702 carried because card details need to verified with PAPI database, we don't have required permission for that, only onsite QA need to be verified.                                                                                                                                           </t>
  </si>
  <si>
    <t>GGO 7.17.0 Sprint 3</t>
  </si>
  <si>
    <t>2 stories got carried. 1. Due to salesforce team confirmed they can't do any changes. 2. Onshore Testing is pending</t>
  </si>
  <si>
    <t>GGO 7.17.0 Sprint 4</t>
  </si>
  <si>
    <t xml:space="preserve">CRT Regression Testing is still in Progress. 3 stores are blocked and carried because of IT dependencey (Certificate Issue and Permission issue for Report Instance folder in DEV &amp; TST Environments), all the development and testing works are done from our end. </t>
  </si>
  <si>
    <t>GGO 7.18.0 Sprint 1</t>
  </si>
  <si>
    <t>Testing blocked due to certificate issue</t>
  </si>
  <si>
    <t>GGO 7.18.0 Sprint 2</t>
  </si>
  <si>
    <t>GGO 7.18.0 Sprint 3</t>
  </si>
  <si>
    <t>GGO 7.18.0 Sprint 4</t>
  </si>
  <si>
    <t>GGO 7.19.0 Sprint 1</t>
  </si>
  <si>
    <t>Two stretch stories got carried to next sprint.</t>
  </si>
  <si>
    <t>GGO 7.19.0 Sprint 2</t>
  </si>
  <si>
    <t>GGO 7.19.0 Sprint 3</t>
  </si>
  <si>
    <t>GGO 7.19.0 Sprint 4</t>
  </si>
  <si>
    <t>Automation Regression story got carried over as it was new  for Offshore QA and there was some learning curve involved.</t>
  </si>
  <si>
    <t>GGO 7.20.0 Sprint 1</t>
  </si>
  <si>
    <t>2 point carry forwarded to next sprint, development and testing completed
from our end, but onsite QA didn't complete it.</t>
  </si>
  <si>
    <t>GGO 7.20.0 Sprint 2</t>
  </si>
  <si>
    <t>GGO-14067 got carried, We are migrating Bid-03 report to new RDLC framework, there is lot of existing logic present in RPT file. we need to exactly replicate same logic in SQL stored procedure for new RDLC format.understanding .rpt file logic is complication involved
Peer CRC:0
Onsite CRC: 0
Client CRC: 0
Internal Defects: 0
External Defects: 0</t>
  </si>
  <si>
    <t>GGO 7.20.0 Sprint 3</t>
  </si>
  <si>
    <t>GGO-14067 got carried, Getting Timeout issue for large records,Suporterwise page breakup and some functionlity in spreadsheetlayout is pending                                  Onsite CRC: 0
Onsite CRC: 0
Client CRC: 0
Internal Defects: 1
External Defects: 0</t>
  </si>
  <si>
    <t>GGO 7.20.0 Sprint 4</t>
  </si>
  <si>
    <t>1. Login Page Privacy policy update in MFA login page of GGO application
2. Paymen Receipt in new RDLC replacing form display helps users to download receipt as PDF and send email with attachment.</t>
  </si>
  <si>
    <t>GGO-14067 got carried, Getting Timeout issue for large records                         
Onsite CRC: 0
Client CRC: 0
Internal Defects: 1
External Defects: 0</t>
  </si>
  <si>
    <t>GGO 7.21.0 Sprint 1</t>
  </si>
  <si>
    <t>3/0</t>
  </si>
  <si>
    <t>1.Fixed Timeout issue on Bid-03 RDLC report generation.                                                          2.Completed two tickets introduced in the mid of the sprint</t>
  </si>
  <si>
    <t>Completed all story points on time                      
Onsite CRC: 0
Client CRC: 0
Internal Defects: 2
External Defects: 0</t>
  </si>
  <si>
    <t>GGO 7.21.0 Sprint 2</t>
  </si>
  <si>
    <t>1. Fixed Grid selection issue on Bid-03 RDLC report generation.
2. Fixed Azure Images issue replacing content server url with azure url
3. Investigated GGO to OB Queue flow to replace it with Quartz Job.
4. Allow GGO to validate and support different card card types (JCB, Diners club &amp; Discover Debit)</t>
  </si>
  <si>
    <t>GGO-13319 story got rolled over due to Azure image access issue and a ticket with Microsoft has been opened​ by IT                     
Onsite CRC: 0
Client CRC: 1
Internal Defects: 0
External Defects: 0</t>
  </si>
  <si>
    <t xml:space="preserve">Internal:
External:Rajesh and offshore for continued work on reports
Priya, Nathan and Conor for testing a lot of stories and completing them
</t>
  </si>
  <si>
    <t>GGO 7.21.0 Sprint 3</t>
  </si>
  <si>
    <t>7/0</t>
  </si>
  <si>
    <t xml:space="preserve">1. Application images moved in Azure , previously we stored the images in DB as bytes
2. 7.20.1 Successfully deployed to PRD                                                                                                                                                                                                                                                                                                                              3. EMV Implementation -completed most of the cardreader functionality                                                                                                                                                                                                                                                                                                                          </t>
  </si>
  <si>
    <t>GGO-14325 - BID-06 story is a huge effort and cannot be completed in one sprint, hence it was taken as a strech goal
Peer CRC:0
Onsite CRC: 0
Client CRC: 0
Internal Defects: 0
External Defects: 0</t>
  </si>
  <si>
    <t>GGO 7.21.0 Sprint 4</t>
  </si>
  <si>
    <t>1. Fixed Duplicate Event X Code issue that was a PROD bug for more than 5 years.
2. Good progress on Bid-06 RDLC update and feel confident in completing it next sprint  
3. Popup warning for Convenience fee validation implemented
4. Quartz Job implemented for Bid-06 email flow with our own effort and stored the PDF in Azure.</t>
  </si>
  <si>
    <t>GGO-14427 - BID-06 - Part-3 story is a huge effort, this has got more than 100 scenario's, so it took more time for testing left out with 2 bugs at the end of sprint (development done for the bugs) only testing pending.
Peer CRC:0
Onsite CRC: 0
Client CRC: 0
Internal Defects: 8
External Defects: 0</t>
  </si>
  <si>
    <t>Internal:
External: Offshore team made great progress on Bid-06 report</t>
  </si>
  <si>
    <t>GGO 7.22.0 Sprint 1</t>
  </si>
  <si>
    <t>4/0</t>
  </si>
  <si>
    <t xml:space="preserve">1.GGO-14484  Jan 21 Prod Release                                                                                                                                                                                                                                                                                                                                           2. Successfully completed Bid-06 with new report tool set
3. CRT regression testing completed
</t>
  </si>
  <si>
    <r>
      <t xml:space="preserve">GGO-14427 - BID-06 - Part-3 during the CRT testing noticed package item enabled scenario taking too long to complete the report - immediately addressed this Issue.                                                                                                                                                                                                                                                                GGO-14483 Completed CRT Release &amp; Regression Testing
Peer CRC:0
Onsite CRC: 0
Client CRC: 0
Internal Defects: 6
External Defects: 0
</t>
    </r>
    <r>
      <rPr>
        <b/>
        <sz val="10"/>
        <color rgb="FF000000"/>
        <rFont val="Calibri"/>
      </rPr>
      <t xml:space="preserve">Reason for pending:
</t>
    </r>
    <r>
      <rPr>
        <sz val="10"/>
        <color rgb="FF000000"/>
        <rFont val="Calibri"/>
      </rPr>
      <t xml:space="preserve">
GGO-14422, PAPI-789 - Development and Testing completed from our end, Pending testing from Nate (Onsite QA) because he was focusing more in CRT regression.
GGO-14447 - Automation story completed from our end, pending review from Nate
GGO-14450 - A.C change one day prior to Sprint end date, so it got carry forward to next sprint</t>
    </r>
  </si>
  <si>
    <t>GGO 7.22.0 Sprint 2</t>
  </si>
  <si>
    <t>2/0</t>
  </si>
  <si>
    <t xml:space="preserve">1.Enhance RSVP Functionality with key features to enable better data gathering and management of attendee info.                                                                                                                                                        2.Azure Thumbnail image creation issue fix  - Add this project as part of GGO Solution and build it via Build pipeline and add it to GGO Artifact                                                                                                                                                                 </t>
  </si>
  <si>
    <t>Peer CRC:0
Onsite CRC: 0
Client CRC: 0
Internal Defects: 0
External Defects: 1
Testing is pending by Onsite QA and we completed the stories (GGO-14503, GGO-14450) and deployed to TST 2 days prior Sprint end, that's the reason these stories got rolled over to next sprint.</t>
  </si>
  <si>
    <t>GGO 7.22.0 Sprint 3</t>
  </si>
  <si>
    <t>1.Adjust Admission Functionality and Infrastructure(Graph) update                                             2.Bid-19 and Bid-15 Report Updates</t>
  </si>
  <si>
    <r>
      <t xml:space="preserve">Peer CRC:0
Onsite CRC: 0
Client CRC: 4
Internal Defects: 4
External Defects: 1
</t>
    </r>
    <r>
      <rPr>
        <b/>
        <sz val="10"/>
        <color rgb="FF000000"/>
        <rFont val="Calibri"/>
      </rPr>
      <t xml:space="preserve">
Reason for pending:
</t>
    </r>
    <r>
      <rPr>
        <sz val="10"/>
        <color rgb="FF000000"/>
        <rFont val="Calibri"/>
      </rPr>
      <t xml:space="preserve">GGO-14504 - The story was given Onisite QA for testing 3 days before the end of Sprint but  Onsite QA logged bug on the last day of Thesprint. It was fixed  and deployed before sprint prep, QA didn't get time to complete it.
GGO-14070 - Development  took a lot of time and got completed only on 1 day before Sprint end, the offshore QA logged a minor bug on the last day of sprint, fixed the bug and PR created for review. (Saranya worked on the RDLC report for the first time and there was a learning curve involved which took time)
</t>
    </r>
  </si>
  <si>
    <t>GGO 7.22.0 Sprint 4</t>
  </si>
  <si>
    <t>CRT Release &amp; Regression testing for GGO 7.22.0 and PAPI 7.17.0</t>
  </si>
  <si>
    <r>
      <t xml:space="preserve">Peer CRC:0
Onsite CRC: 0
Client CRC: 0
Internal Defects: 4
External Defects: 0
</t>
    </r>
    <r>
      <rPr>
        <b/>
        <sz val="10"/>
        <color rgb="FF000000"/>
        <rFont val="Calibri"/>
      </rPr>
      <t xml:space="preserve">
Reason for pending:
</t>
    </r>
    <r>
      <rPr>
        <sz val="10"/>
        <color rgb="FF000000"/>
        <rFont val="Calibri"/>
      </rPr>
      <t xml:space="preserve">GGO-14510 - Bootstrap update - Development and Testing from Offshore got completed, the automation flow broken with this bootstrap update, so Nate created a automation change ticket under this story and this got carry forwarded to next sprint.
</t>
    </r>
  </si>
  <si>
    <t>NA</t>
  </si>
  <si>
    <t>GGO 7.23.0 Sprint 1</t>
  </si>
  <si>
    <t xml:space="preserve">Continued EMV Implementation and Infrastructure updates 
Allowed 19 digit card entry in GGAM, GGO and PAPI
Cleared some Macroscope issues in PAPI
Fixed cache issue in GGO
Accomplishments:
Addiitionally completed Developemnt for stretch goal stories </t>
  </si>
  <si>
    <t>Peer CRC:0
Onsite CRC: 0
Client CRC: 0
Internal Defects: 0
External Defects: 0</t>
  </si>
  <si>
    <t>Internal Retro
1. Sathiya/ Rajesh and Saranya for providing help to Priya testing the stories
2. Team for completing all the story points</t>
  </si>
  <si>
    <t>GGO 7.23.0 Sprint 2</t>
  </si>
  <si>
    <t>10/0</t>
  </si>
  <si>
    <r>
      <t xml:space="preserve">Completed Duplicate even code story and Invoice import and Invoice Payment Pages story 
Fixed Quartz Job access issues and Email Queue Issues.
</t>
    </r>
    <r>
      <rPr>
        <b/>
        <sz val="10"/>
        <color rgb="FF000000"/>
        <rFont val="Calibri"/>
      </rPr>
      <t>Accomplishments</t>
    </r>
    <r>
      <rPr>
        <sz val="10"/>
        <color rgb="FF000000"/>
        <rFont val="Calibri"/>
      </rPr>
      <t>:
Completing the development and  testing for lot of stretch goal stories on the current sprint</t>
    </r>
  </si>
  <si>
    <r>
      <t xml:space="preserve">Peer CRC:0
Onsite CRC: 0
Client CRC: 0
Internal Defects: 2
External Defects: 0
</t>
    </r>
    <r>
      <rPr>
        <b/>
        <sz val="10"/>
        <color rgb="FF000000"/>
        <rFont val="Calibri"/>
      </rPr>
      <t xml:space="preserve">Pending Story: 
</t>
    </r>
    <r>
      <rPr>
        <sz val="10"/>
        <color rgb="FF000000"/>
        <rFont val="Calibri"/>
      </rPr>
      <t>2 Stories has been carried forward
1.GGO-14573 -Hard to reproduce in the lower environements. The offshore developers made several attempts to reproduce the issue, but because it’s related to performance, it took a considerable amount of time to replicate. That’s why it got carried over.
2.PAPI-839(Stretch Goal) -Dependency on Onsite QA to complete it(Offshore QA has already completed testing for this story)</t>
    </r>
  </si>
  <si>
    <r>
      <rPr>
        <b/>
        <sz val="10"/>
        <color rgb="FF000000"/>
        <rFont val="Calibri"/>
      </rPr>
      <t xml:space="preserve">Retro: 
</t>
    </r>
    <r>
      <rPr>
        <sz val="10"/>
        <color rgb="FF000000"/>
        <rFont val="Calibri"/>
      </rPr>
      <t xml:space="preserve">1.Rajesh for supporting multiple escalation issues
2.Sathiya/ Rajesh and Saranya  for covering such a wide spread of stories
3.Priya for completing the testing for the planned as well as lot of stretch jiras
</t>
    </r>
  </si>
  <si>
    <t>GGO 7.23.0 Sprint 3</t>
  </si>
  <si>
    <t>6/0</t>
  </si>
  <si>
    <r>
      <t xml:space="preserve">Completed Multiple RSVP Imports 
</t>
    </r>
    <r>
      <rPr>
        <b/>
        <sz val="10"/>
        <color rgb="FF000000"/>
        <rFont val="Calibri"/>
      </rPr>
      <t xml:space="preserve">Accomplishments: </t>
    </r>
    <r>
      <rPr>
        <sz val="10"/>
        <color rgb="FF000000"/>
        <rFont val="Calibri"/>
      </rPr>
      <t xml:space="preserve">Did some Redis changes which was very challenging and OP to GGO import timeouts(which is a esclation ticket)
Completing the development for the stretch goal stories on the current sprint </t>
    </r>
  </si>
  <si>
    <r>
      <t xml:space="preserve">Peer CRC:0
Onsite CRC: 0
Client CRC: 0
Internal Defects: 1
External Defects: 0
</t>
    </r>
    <r>
      <rPr>
        <b/>
        <sz val="10"/>
        <color rgb="FF000000"/>
        <rFont val="Calibri"/>
      </rPr>
      <t xml:space="preserve">Pending Story: 
</t>
    </r>
    <r>
      <rPr>
        <sz val="10"/>
        <color rgb="FF000000"/>
        <rFont val="Calibri"/>
      </rPr>
      <t>2 stories has been carried forward which includes 1 stretch
PAPI-840(8spt)and GGO-14644[Stretch] -Development for this story was completed three days ahead of the sprint deadline. However, a last-minute AC request from the client required code modifications, which were implemented the timeline.The story was left in Peer Review upon completion, per the client's request to hold it and maintain this branch separately from the CERT branch.Offshore QA has completed verification in the lower environment. The story is now pending validation from Onsite QA.</t>
    </r>
  </si>
  <si>
    <t xml:space="preserve">Rajesh and offshore for taking the redis changes which was very challenging </t>
  </si>
  <si>
    <t>GGO 7.23.0 Sprint 4</t>
  </si>
  <si>
    <t>5/0</t>
  </si>
  <si>
    <r>
      <rPr>
        <b/>
        <sz val="10"/>
        <color rgb="FF000000"/>
        <rFont val="Calibri"/>
      </rPr>
      <t xml:space="preserve">Accomplishments:
</t>
    </r>
    <r>
      <rPr>
        <sz val="10"/>
        <color rgb="FF000000"/>
        <rFont val="Calibri"/>
      </rPr>
      <t>Completed CRT testing
Completed all planned stories and more
Okta 1 Proof of concept
Completed more macroscopic stories</t>
    </r>
  </si>
  <si>
    <r>
      <t xml:space="preserve">Peer CRC:0
Onsite CRC: 0
Client CRC: 0
Internal Defects: 1
External Defects: 0
</t>
    </r>
    <r>
      <rPr>
        <b/>
        <sz val="10"/>
        <color rgb="FF000000"/>
        <rFont val="Calibri"/>
      </rPr>
      <t xml:space="preserve">Pending Story: 
</t>
    </r>
    <r>
      <rPr>
        <sz val="10"/>
        <color rgb="FF000000"/>
        <rFont val="Calibri"/>
      </rPr>
      <t>2 stories has been carried forward
GGO-13722 -&gt;we documented the alternative encryption change, client wanted to add new feature flag based on that need to follow the old and new encryption flow
GGO-13723 -&gt;we documented the alternative encryption change, client wanted to add new feature flag based on that need to follow the old and new encryption flow</t>
    </r>
  </si>
  <si>
    <t>To the whole team for helping remove all the blockers for testing
Rajesh and offshore for helping with the fallback cases
Rajesh for assisting with integrating the Okta proof-of-concept</t>
  </si>
  <si>
    <t>GGO 7.24.0 Sprint 1</t>
  </si>
  <si>
    <r>
      <rPr>
        <b/>
        <sz val="10"/>
        <color rgb="FF000000"/>
        <rFont val="Calibri"/>
      </rPr>
      <t xml:space="preserve">Accomplishments:
</t>
    </r>
    <r>
      <rPr>
        <sz val="10"/>
        <color rgb="FF000000"/>
        <rFont val="Calibri"/>
      </rPr>
      <t>Old Amex certification testing
Nav Bar Updation
Fixed Dashboard generation Issue and Enabled Online Bidding for the same
Fixed Export Sales issue
Completed more macroscopic stories</t>
    </r>
  </si>
  <si>
    <r>
      <t xml:space="preserve">Peer CRC:0
Onsite CRC: 0
Client CRC: 0
Internal Defects: 0
External Defects: 0
</t>
    </r>
    <r>
      <rPr>
        <b/>
        <sz val="10"/>
        <color rgb="FF000000"/>
        <rFont val="Calibri"/>
      </rPr>
      <t xml:space="preserve">Pending Story: 
</t>
    </r>
    <r>
      <rPr>
        <sz val="10"/>
        <color rgb="FF000000"/>
        <rFont val="Calibri"/>
      </rPr>
      <t>2 stories has been carried forward
GGO-14628-&gt;Hard to reproduce in the lower environements. The offshore developers and QA's  made several attempts to reproduce the issue, However, on the last day of the sprint,we found one way to reproduce it. But team need to ensure this after providing the solutions and to check whether this the cause of this issue. Team is still working on it.That’s why it got carried over.
GGO-14656-&gt;Reskin-V2 is a complete overhaul of the existing Master Page. The new layout seamlessly integrates Telerik controls, Bootstrap, and Kendo UI CSS, ensuring an optimized, modern, and adaptive user experience across all devices. As part of this redesign, we need to explore which Telerik control is best suited for the requested layout to achieve the desired functionality and responsiveness. Its taking more time to complete this story</t>
    </r>
  </si>
  <si>
    <t>Rajesh and Sathiyabharathi for working on the Nav bar update.
Rajesh for helping with the Escalation issue</t>
  </si>
  <si>
    <t>GGO 7.24.0 Sprint 2</t>
  </si>
  <si>
    <r>
      <rPr>
        <b/>
        <sz val="10"/>
        <color rgb="FF000000"/>
        <rFont val="Calibri"/>
      </rPr>
      <t xml:space="preserve">Accomplishments:
</t>
    </r>
    <r>
      <rPr>
        <sz val="10"/>
        <color rgb="FF000000"/>
        <rFont val="Calibri"/>
      </rPr>
      <t xml:space="preserve">Completed Pendo Implementation
Completed Nav Bar Implementation 
Fixed Amex card disable for select organizations
Fixed Sale Grid Export issue
</t>
    </r>
  </si>
  <si>
    <r>
      <t xml:space="preserve">Peer CRC:0
Onsite CRC: 0
Client CRC: 0
Internal Defects: 0
External Defects: 0
</t>
    </r>
    <r>
      <rPr>
        <b/>
        <sz val="10"/>
        <color rgb="FF000000"/>
        <rFont val="Calibri"/>
      </rPr>
      <t xml:space="preserve">Pending Story: 
</t>
    </r>
    <r>
      <rPr>
        <sz val="10"/>
        <color rgb="FF000000"/>
        <rFont val="Calibri"/>
      </rPr>
      <t>1 story has been carried forward
GGO-14628-&gt;Hard to reproduce in the lower environements. The offshore developers and QA's  made several attempts to reproduce the issue. Team is still working on it.That’s why it was put on hold as it is of low priority</t>
    </r>
  </si>
  <si>
    <t xml:space="preserve">Rajesh  and Sathiyabharathi for the Nav bar update.
Rajesh and offshore team on the quick implementation of pendo.
Mike Horihan gave Kudos for the quick Pendo implementation
</t>
  </si>
  <si>
    <t>GGO 7.24.0 Sprint 3</t>
  </si>
  <si>
    <t>5-removed</t>
  </si>
  <si>
    <t>Accomplishments: Completed Reskin User Profile Development</t>
  </si>
  <si>
    <r>
      <t xml:space="preserve">Peer CRC:0
Onsite CRC: 0
Client CRC: 0
Internal Defects: 3
External Defects: 0
Pending Story: 2 stories has been carried forward
</t>
    </r>
    <r>
      <rPr>
        <b/>
        <sz val="10"/>
        <color rgb="FF000000"/>
        <rFont val="Calibri"/>
      </rPr>
      <t xml:space="preserve">GGO-14682 and GGO-14683 </t>
    </r>
    <r>
      <rPr>
        <sz val="10"/>
        <color rgb="FF000000"/>
        <rFont val="Calibri"/>
      </rPr>
      <t xml:space="preserve">- Reskin-V2 is a complete overhaul of the existing Master Page. The new layout seamlessly integrates Telerik controls, Bootstrap, and Kendo UI CSS, ensuring an optimized, modern, and adaptive user experience across all devices. As part of this redesign, we need to explore which Telerik control is best suited for the requested layout to achieve the desired functionality and responsiveness. Its taking more time to complete this since UI design work is new to the development team and it is bit challenging too.Also for </t>
    </r>
    <r>
      <rPr>
        <b/>
        <sz val="10"/>
        <color rgb="FF000000"/>
        <rFont val="Calibri"/>
      </rPr>
      <t>GGO-14682</t>
    </r>
    <r>
      <rPr>
        <sz val="10"/>
        <color rgb="FF000000"/>
        <rFont val="Calibri"/>
      </rPr>
      <t xml:space="preserve"> -&gt;Development  took a lot of time and got completed only on 1 day before Sprint end, the offshore QA logged a bug on the last day of sprint</t>
    </r>
  </si>
  <si>
    <t>1.Sathiyabharathi and Saranya for implementing most the design changes and making sure the existing workflow is in in place +2
2.Priya for testing all the changes before sending to the PR to onsite and identifying the bugs early.
3.Rajesh for helping multiple offshore teams and get them all set up and going</t>
  </si>
  <si>
    <t>GGO 7.24.0 Sprint 4</t>
  </si>
  <si>
    <t>Accomplishments: completed Reskin User Profile and Profject home. CRT Regression Completed for the release</t>
  </si>
  <si>
    <t>Peer CRC:0
Onsite CRC: 0
Client CRC: 0
Internal Defects: 0
External Defects: 0
Completed all the assigned stories</t>
  </si>
  <si>
    <t>Great job Team on completing all planned stories and more! It was well appreciated by everyone here at onsite.
Sathiyabharathi and Saranya for focussing on project reskin
 Priya for completing CRT Regression and the sprint story testing
Rajesh for managing all the different projects at the same time</t>
  </si>
  <si>
    <t>GGO 7.25.0 Sprint 1</t>
  </si>
  <si>
    <t>Accomplishments:Project home page and great progress in Supporter reskin design</t>
  </si>
  <si>
    <t>Peer CRC:0
Onsite CRC: 0
Client CRC: 0
Internal Defects: 0
External Defects: 0
Pending :GGO-14687 and GGO-14802:
2 stories has been carried forward as we are currently working on the reskinning of the grid component. Once this is completed, the remaining stories for the upcoming sprints are expected to progress quickly. Informed to client as well</t>
  </si>
  <si>
    <t>GGO Dev offshore team for reskin progress
Rajesh for figuring out the SalesForce production issue
Priya for doing a thorough testing before sending to Dev and TST</t>
  </si>
  <si>
    <t>GGO 7.25.0 Sprint 2</t>
  </si>
  <si>
    <t>Accompolishment : Supporter Grid Page and great progress in Common controls and Filters</t>
  </si>
  <si>
    <t xml:space="preserve">Peer CRC:0
Onsite CRC: 0
Client CRC: 0
Internal Defects: 3
External Defects: 0
Pending: 3 stories carried forward
GGO-14688 - Can't able to complete the task as planned due to changes in the new layout design, which introduced additional controls and complexity. Also, another story GGO-14687 required more time than anticipated, which impacted the overall timeline."
GGO-14802 - Development is completed. During testing,tester found 3 defects. 2 defects and this story also got carried forward.
GGO-14724: Client requested to add few more things in the same story at the end of the sprint end. </t>
  </si>
  <si>
    <t>What went well?
Progress on OneTrust
Closed several MacroScope Issues
Kudos
QA for testing so many stories
Offsore developers for the supporter grid Development</t>
  </si>
  <si>
    <t>GGO 7.25.0 Sprint 3</t>
  </si>
  <si>
    <t>Peer CRC:0
Onsite CRC: 0
Client CRC: 0
Internal Defects: 1
External Defects: 0
Pending: 2 stories carried forward
GGO-14712 and GGO-14851- The design challenges in this story prevent us from reusing existing user controls in every controls</t>
  </si>
  <si>
    <t>GGO 7.25.0 Sprint 4</t>
  </si>
  <si>
    <t>Stretch - 6</t>
  </si>
  <si>
    <t>Accomplishments: Completed Advanced filter search(Sales &amp; Payments) for View Supporters page</t>
  </si>
  <si>
    <t>Peer CRC:0
Onsite CRC: 0
Client CRC: 0
Internal Defects: 3
External Defects: 0
Pending: 2 stretch stories carried forward
GGO-14858 - Development part is completed. Testing is in progress.
GGO-14863 - Onetrust cookies are not deleting properly to reopen the onetrsut consent popup again when clicking Privacy option under User Profile</t>
  </si>
  <si>
    <r>
      <rPr>
        <b/>
        <sz val="10"/>
        <color rgb="FF000000"/>
        <rFont val="Calibri"/>
      </rPr>
      <t xml:space="preserve">What went well?
</t>
    </r>
    <r>
      <rPr>
        <sz val="10"/>
        <color rgb="FF000000"/>
        <rFont val="Calibri"/>
      </rPr>
      <t xml:space="preserve">Finished all the BTT tests
</t>
    </r>
    <r>
      <rPr>
        <b/>
        <sz val="10"/>
        <color rgb="FF000000"/>
        <rFont val="Calibri"/>
      </rPr>
      <t xml:space="preserve">Kudos
</t>
    </r>
    <r>
      <rPr>
        <sz val="10"/>
        <color rgb="FF000000"/>
        <rFont val="Calibri"/>
      </rPr>
      <t xml:space="preserve">Offshore team for the reskin stuff  is very complicated
Prabhu for filling in for Rajesh
</t>
    </r>
  </si>
  <si>
    <t>GGO 8.0.0 Sprint 1</t>
  </si>
  <si>
    <t>Stretch - 5
Stretch Completed - 4</t>
  </si>
  <si>
    <t>Accomplishments: Completed the existing design layout issues with reskin enabled. 
Completed Advanced filter search(Bidders and Attendees, Staffs, Contributors and Fundaraisers) for View Supporters Page</t>
  </si>
  <si>
    <r>
      <t xml:space="preserve">Peer CRC:0
Onsite CRC: 0
Client CRC: 0
Internal Defects: 1
External Defects: 0
Pending: 1 assigned story and 1 stretch story carried forward
</t>
    </r>
    <r>
      <rPr>
        <b/>
        <sz val="10"/>
        <color rgb="FF000000"/>
        <rFont val="Calibri"/>
      </rPr>
      <t>GGO-14875</t>
    </r>
    <r>
      <rPr>
        <sz val="10"/>
        <color rgb="FF000000"/>
        <rFont val="Calibri"/>
      </rPr>
      <t xml:space="preserve"> - Onsite Dev-Mike Wall picked this story earlier did some basic changes due to design difficulties hand overed the story to offshore on 1-sep-25 and also So far, we’ve worked on implementing grid controls across all modules. The team is currently focused on the Create Pages as part of the redesign effort, which is taking additional time due to the complexity of the UI work.
</t>
    </r>
    <r>
      <rPr>
        <b/>
        <sz val="10"/>
        <color rgb="FF000000"/>
        <rFont val="Calibri"/>
      </rPr>
      <t xml:space="preserve">GGO - 14854 </t>
    </r>
    <r>
      <rPr>
        <sz val="10"/>
        <color rgb="FF000000"/>
        <rFont val="Calibri"/>
      </rPr>
      <t xml:space="preserve">- Stretch stories - Development and Dev env testing completed from our QA. Pending for Review.
</t>
    </r>
  </si>
  <si>
    <r>
      <rPr>
        <b/>
        <sz val="10"/>
        <color rgb="FF000000"/>
        <rFont val="Calibri"/>
      </rPr>
      <t xml:space="preserve">What went well?
</t>
    </r>
    <r>
      <rPr>
        <sz val="10"/>
        <color rgb="FF000000"/>
        <rFont val="Calibri"/>
      </rPr>
      <t xml:space="preserve">Completed more than planned
Good progress on Filter and Item page
</t>
    </r>
    <r>
      <rPr>
        <b/>
        <sz val="10"/>
        <color rgb="FF000000"/>
        <rFont val="Calibri"/>
      </rPr>
      <t xml:space="preserve">Kudos
</t>
    </r>
    <r>
      <rPr>
        <sz val="10"/>
        <color rgb="FF000000"/>
        <rFont val="Calibri"/>
      </rPr>
      <t>Rajesh to cover the Demo today
Offshore for progress on the create item ticket
Offshore Donor team for completing all planned and more stories
Praveen and Sathiyabharati for fixing the existing design layout issues with reskin enabled</t>
    </r>
  </si>
  <si>
    <t>GGO 8.0.0 Sprint 2</t>
  </si>
  <si>
    <t>Stretch - 2</t>
  </si>
  <si>
    <t>Accomplishment: Completed the Item Page with the new UI design, conditional on reskin being enabled.</t>
  </si>
  <si>
    <t>Peer CRC:0
Onsite CRC: 0
Client CRC: 0
Internal Defects: 1
External Defects: 0
Pending: 1 assigned story carried forward
Due to complications involving multiple user controls on the filter page, some functions within the new user control are not triggering as expected. Additionally, new controls were added which require further integration and testing to ensure smooth functionality.</t>
  </si>
  <si>
    <r>
      <rPr>
        <b/>
        <sz val="10"/>
        <color rgb="FF1D1C1D"/>
        <rFont val="Calibri"/>
      </rPr>
      <t xml:space="preserve">What went well?
</t>
    </r>
    <r>
      <rPr>
        <sz val="10"/>
        <color rgb="FF1D1C1D"/>
        <rFont val="Calibri"/>
      </rPr>
      <t xml:space="preserve">Donor Api work went well
Items page got done
Pendo and one trust deployed to prod
</t>
    </r>
    <r>
      <rPr>
        <b/>
        <sz val="10"/>
        <color rgb="FF1D1C1D"/>
        <rFont val="Calibri"/>
      </rPr>
      <t xml:space="preserve">Kudos
</t>
    </r>
    <r>
      <rPr>
        <sz val="10"/>
        <color rgb="FF1D1C1D"/>
        <rFont val="Calibri"/>
      </rPr>
      <t>Praveen and Sathiyabharthi for finishing the Item story +1
Rajesh and Donor offshore team for the Donor API progress+1</t>
    </r>
  </si>
  <si>
    <t>GGO 8.0.0 Sprint 3</t>
  </si>
  <si>
    <t>Stretch -2</t>
  </si>
  <si>
    <t>Accomplishment: Completed Saved Search and more than planned story points</t>
  </si>
  <si>
    <r>
      <rPr>
        <b/>
        <sz val="10"/>
        <color rgb="FF1D1C1D"/>
        <rFont val="Calibri"/>
      </rPr>
      <t xml:space="preserve">What went well?
</t>
    </r>
    <r>
      <rPr>
        <sz val="10"/>
        <color rgb="FF1D1C1D"/>
        <rFont val="Calibri"/>
      </rPr>
      <t xml:space="preserve">Completed more than planned story points
</t>
    </r>
    <r>
      <rPr>
        <b/>
        <sz val="10"/>
        <color rgb="FF1D1C1D"/>
        <rFont val="Calibri"/>
      </rPr>
      <t xml:space="preserve">Kudos
</t>
    </r>
    <r>
      <rPr>
        <sz val="10"/>
        <color rgb="FF1D1C1D"/>
        <rFont val="Calibri"/>
      </rPr>
      <t>Rajesh e for picking up the slack and working on the credit card stuff
Conor for doing all the testing related to Carlos changing storage account settings in all Environments
Offshore team booth GGO and GDONOr for completing all the planned stories and more
Saranya and Sathiyabharti for completing the save search</t>
    </r>
  </si>
  <si>
    <t>GGO 8.0.0 Sprint 4</t>
  </si>
  <si>
    <t>Stretch - 1</t>
  </si>
  <si>
    <t>Accomplishment: Completed Rich Text editor and Image Control (Multi Image chooser)</t>
  </si>
  <si>
    <r>
      <rPr>
        <b/>
        <sz val="10"/>
        <color rgb="FF1D1C1D"/>
        <rFont val="Calibri"/>
      </rPr>
      <t xml:space="preserve">What went well?
</t>
    </r>
    <r>
      <rPr>
        <sz val="10"/>
        <color rgb="FF1D1C1D"/>
        <rFont val="Calibri"/>
      </rPr>
      <t xml:space="preserve">Met the Sprint goal
</t>
    </r>
    <r>
      <rPr>
        <b/>
        <sz val="10"/>
        <color rgb="FF1D1C1D"/>
        <rFont val="Calibri"/>
      </rPr>
      <t xml:space="preserve">Kudos
</t>
    </r>
    <r>
      <rPr>
        <sz val="10"/>
        <color rgb="FF1D1C1D"/>
        <rFont val="Calibri"/>
      </rPr>
      <t>Rajesh for finding the needle  in the hay stack, finding the root cause for Go time error
GGO team for meeting the goal +1
Jennifer for keeping up with all the UI changes +1</t>
    </r>
  </si>
  <si>
    <t>GGO 8.1.0 Sprint 1</t>
  </si>
  <si>
    <t>Accomplishment: Completed Group by Household functionality and fixed variuos issue in View Supporters Filter</t>
  </si>
  <si>
    <r>
      <t xml:space="preserve">Peer CRC:0
Onsite CRC: 0
Client CRC: 0
Internal Defects: 0
External Defects: 0
Pending: 1 assigned story carried forward
</t>
    </r>
    <r>
      <rPr>
        <b/>
        <sz val="10"/>
        <color rgb="FF000000"/>
        <rFont val="Calibri"/>
      </rPr>
      <t xml:space="preserve">GGO-14901 - </t>
    </r>
    <r>
      <rPr>
        <sz val="10"/>
        <color rgb="FF000000"/>
        <rFont val="Calibri"/>
      </rPr>
      <t>Since the design is more complex for the manage images popup and focused on group items by household functionality in the view supporters filter</t>
    </r>
  </si>
  <si>
    <r>
      <rPr>
        <b/>
        <sz val="10"/>
        <color rgb="FF000000"/>
        <rFont val="Calibri"/>
      </rPr>
      <t xml:space="preserve">What went well?
</t>
    </r>
    <r>
      <rPr>
        <sz val="10"/>
        <color rgb="FF000000"/>
        <rFont val="Calibri"/>
      </rPr>
      <t xml:space="preserve">The team was able to respond to the Azure outage very fast
</t>
    </r>
    <r>
      <rPr>
        <b/>
        <sz val="10"/>
        <color rgb="FF000000"/>
        <rFont val="Calibri"/>
      </rPr>
      <t>Kudos
Mike H:</t>
    </r>
    <r>
      <rPr>
        <sz val="10"/>
        <color rgb="FF000000"/>
        <rFont val="Calibri"/>
      </rPr>
      <t xml:space="preserve"> Rajesh for figuring out the Pendo One trust thing and RDLC receipt problem
</t>
    </r>
    <r>
      <rPr>
        <b/>
        <sz val="10"/>
        <color rgb="FF000000"/>
        <rFont val="Calibri"/>
      </rPr>
      <t xml:space="preserve">Rajesh:
</t>
    </r>
    <r>
      <rPr>
        <sz val="10"/>
        <color rgb="FF000000"/>
        <rFont val="Calibri"/>
      </rPr>
      <t>Offshore for implementing the household in the supporter grid +1
Conor for keeping up with everything on 2 teams +1
Priya for doing multiple round of testing household and CRT +1</t>
    </r>
  </si>
  <si>
    <t>GGO 8.1.0 Sprint 2</t>
  </si>
  <si>
    <t>Stretch -1</t>
  </si>
  <si>
    <t>Accomplishment: Completed Manage pop up design changes and completed all planned and more</t>
  </si>
  <si>
    <r>
      <rPr>
        <b/>
        <sz val="10"/>
        <color rgb="FF000000"/>
        <rFont val="Calibri"/>
      </rPr>
      <t xml:space="preserve">What went well?
</t>
    </r>
    <r>
      <rPr>
        <sz val="10"/>
        <color rgb="FF000000"/>
        <rFont val="Calibri"/>
      </rPr>
      <t xml:space="preserve">Completed all planned and more
Good feedback from CS, customers and Kisa during the Sprint review
</t>
    </r>
    <r>
      <rPr>
        <b/>
        <sz val="10"/>
        <color rgb="FF000000"/>
        <rFont val="Calibri"/>
      </rPr>
      <t xml:space="preserve">Kudos
Conor
</t>
    </r>
    <r>
      <rPr>
        <sz val="10"/>
        <color rgb="FF000000"/>
        <rFont val="Calibri"/>
      </rPr>
      <t xml:space="preserve">Kudos to Rajesh for getting the hotfixes out quickly
</t>
    </r>
    <r>
      <rPr>
        <b/>
        <sz val="10"/>
        <color rgb="FF000000"/>
        <rFont val="Calibri"/>
      </rPr>
      <t xml:space="preserve">Mike H:
</t>
    </r>
    <r>
      <rPr>
        <sz val="10"/>
        <color rgb="FF000000"/>
        <rFont val="Calibri"/>
      </rPr>
      <t xml:space="preserve">The team for going over and beyond and the extra late nights
</t>
    </r>
    <r>
      <rPr>
        <b/>
        <sz val="10"/>
        <color rgb="FF000000"/>
        <rFont val="Calibri"/>
      </rPr>
      <t xml:space="preserve">Rajesh:
</t>
    </r>
    <r>
      <rPr>
        <sz val="10"/>
        <color rgb="FF000000"/>
        <rFont val="Calibri"/>
      </rPr>
      <t>Kudos to Conor and Priya for testing the hotfixes in all the environments
Sathiya and Saranaya for the Manage pop up design changes.</t>
    </r>
  </si>
  <si>
    <t>GGO 8.1.0 Sprint 3</t>
  </si>
  <si>
    <t>Stretch -3
2 stretch stories are completed. Development is completed for 1 story</t>
  </si>
  <si>
    <t xml:space="preserve">Accomplishment: Completed all planned stories and more
</t>
  </si>
  <si>
    <r>
      <rPr>
        <b/>
        <sz val="10"/>
        <color rgb="FF000000"/>
        <rFont val="Calibri"/>
      </rPr>
      <t xml:space="preserve">What went well?
</t>
    </r>
    <r>
      <rPr>
        <sz val="10"/>
        <color rgb="FF000000"/>
        <rFont val="Calibri"/>
      </rPr>
      <t xml:space="preserve">Completed all planned stories and more
</t>
    </r>
    <r>
      <rPr>
        <b/>
        <sz val="10"/>
        <color rgb="FF000000"/>
        <rFont val="Calibri"/>
      </rPr>
      <t xml:space="preserve">Kudos
Conor
Mike H:
</t>
    </r>
    <r>
      <rPr>
        <sz val="10"/>
        <color rgb="FF000000"/>
        <rFont val="Calibri"/>
      </rPr>
      <t xml:space="preserve">The whole team for another impressive Sprint especially Dev
</t>
    </r>
    <r>
      <rPr>
        <b/>
        <sz val="10"/>
        <color rgb="FF000000"/>
        <rFont val="Calibri"/>
      </rPr>
      <t xml:space="preserve">Rajesh:
</t>
    </r>
    <r>
      <rPr>
        <sz val="10"/>
        <color rgb="FF000000"/>
        <rFont val="Calibri"/>
      </rPr>
      <t xml:space="preserve">Offshore for completing the overall Sprint goal
Priya and Conor for testing all kind of scenarios for current sprint stories
</t>
    </r>
    <r>
      <rPr>
        <b/>
        <sz val="10"/>
        <color rgb="FF000000"/>
        <rFont val="Calibri"/>
      </rPr>
      <t xml:space="preserve">Doug
</t>
    </r>
    <r>
      <rPr>
        <sz val="10"/>
        <color rgb="FF000000"/>
        <rFont val="Calibri"/>
      </rPr>
      <t>Thank you for the super quick turn around on the RSVP escalation
Great work team!</t>
    </r>
  </si>
  <si>
    <t>GGO 8.1.0 Sprint 4</t>
  </si>
  <si>
    <t>Stretch -2
GGO-15068 - Development completed. Testing is in progress
GGO-15086 Development is in progress</t>
  </si>
  <si>
    <t xml:space="preserve">Accomplishment: Completed more than planned and Create/Edit Package Page
</t>
  </si>
  <si>
    <r>
      <rPr>
        <b/>
        <sz val="10"/>
        <color rgb="FF000000"/>
        <rFont val="Calibri"/>
      </rPr>
      <t xml:space="preserve">What went well?
</t>
    </r>
    <r>
      <rPr>
        <sz val="10"/>
        <color rgb="FF000000"/>
        <rFont val="Calibri"/>
      </rPr>
      <t xml:space="preserve">Completed more than planned
</t>
    </r>
    <r>
      <rPr>
        <b/>
        <sz val="10"/>
        <color rgb="FF000000"/>
        <rFont val="Calibri"/>
      </rPr>
      <t xml:space="preserve">Kudos
Conor
</t>
    </r>
    <r>
      <rPr>
        <sz val="10"/>
        <color rgb="FF000000"/>
        <rFont val="Calibri"/>
      </rPr>
      <t xml:space="preserve">Priya for helping out with current sprint story testing
</t>
    </r>
    <r>
      <rPr>
        <b/>
        <sz val="10"/>
        <color rgb="FF000000"/>
        <rFont val="Calibri"/>
      </rPr>
      <t xml:space="preserve">Mike H:
</t>
    </r>
    <r>
      <rPr>
        <sz val="10"/>
        <color rgb="FF000000"/>
        <rFont val="Calibri"/>
      </rPr>
      <t xml:space="preserve">Rajesh for keeping up with everything and making sure the team is successful
Conor and Priya for CRT regression and current sprint stories
Keep up the good work!
</t>
    </r>
  </si>
  <si>
    <t>GGO 8.2.0 Sprint 1</t>
  </si>
  <si>
    <t>Stretch -5
4 Stretch stories completed 1 story is pending
GGO-15123 - Development is completed</t>
  </si>
  <si>
    <r>
      <rPr>
        <b/>
        <sz val="10"/>
        <color rgb="FF000000"/>
        <rFont val="Calibri"/>
      </rPr>
      <t>Accomplishment:</t>
    </r>
    <r>
      <rPr>
        <sz val="10"/>
        <color rgb="FF000000"/>
        <rFont val="Calibri"/>
      </rPr>
      <t xml:space="preserve"> 
Completed more than planned story points
Completed Online Bidding Settings View/Edit Design
Updated Supporter API for NextGen
Completed no negative search for Sales and Payments</t>
    </r>
  </si>
  <si>
    <r>
      <rPr>
        <b/>
        <sz val="10"/>
        <color rgb="FF000000"/>
        <rFont val="Calibri"/>
      </rPr>
      <t xml:space="preserve">What went well?
</t>
    </r>
    <r>
      <rPr>
        <sz val="10"/>
        <color rgb="FF000000"/>
        <rFont val="Calibri"/>
      </rPr>
      <t xml:space="preserve">Completed all planned and more stories even through the holidays
</t>
    </r>
    <r>
      <rPr>
        <b/>
        <sz val="10"/>
        <color rgb="FF000000"/>
        <rFont val="Calibri"/>
      </rPr>
      <t xml:space="preserve">Kudos
Conor
Mike H:
</t>
    </r>
    <r>
      <rPr>
        <sz val="10"/>
        <color rgb="FF000000"/>
        <rFont val="Calibri"/>
      </rPr>
      <t xml:space="preserve">Offshore is on autopilot
</t>
    </r>
    <r>
      <rPr>
        <b/>
        <sz val="10"/>
        <color rgb="FF000000"/>
        <rFont val="Calibri"/>
      </rPr>
      <t xml:space="preserve">Rajesh:
</t>
    </r>
    <r>
      <rPr>
        <sz val="10"/>
        <color rgb="FF000000"/>
        <rFont val="Calibri"/>
      </rPr>
      <t xml:space="preserve">Sathiyabharathi for the Online bidding settings
Priya for general testing of all stories through the holidays(+1 Conor)
Charles and Vishnu for completing the GGAM online activity story
</t>
    </r>
  </si>
  <si>
    <t>GGO 8.2.0 Sprint 3</t>
  </si>
  <si>
    <r>
      <rPr>
        <b/>
        <sz val="10"/>
        <color rgb="FF000000"/>
        <rFont val="Calibri"/>
      </rPr>
      <t xml:space="preserve">Accomplishment:
</t>
    </r>
    <r>
      <rPr>
        <sz val="10"/>
        <color rgb="FF000000"/>
        <rFont val="Calibri"/>
      </rPr>
      <t xml:space="preserve">Completed Duplicate EventXCode
Completed Jscramber Implementation
</t>
    </r>
  </si>
  <si>
    <t>Peer CRC:0
Onsite CRC: 0
Client CRC: 0
Internal Defects: 0
External Defects: 0
Pending: 2 assigned stories carried forward
GGO-14628 Hard to reproduce the the Print invoice/receipt page issue in lower environment
GGO-15135 Development and testing is completed by our end. Settings to be updated by Jscramber IT team</t>
  </si>
  <si>
    <r>
      <rPr>
        <b/>
        <sz val="10"/>
        <color rgb="FF000000"/>
        <rFont val="Calibri"/>
      </rPr>
      <t xml:space="preserve">What went well?
</t>
    </r>
    <r>
      <rPr>
        <sz val="10"/>
        <color rgb="FF000000"/>
        <rFont val="Calibri"/>
      </rPr>
      <t xml:space="preserve">Sizable commit Completed
</t>
    </r>
    <r>
      <rPr>
        <b/>
        <sz val="10"/>
        <color rgb="FF000000"/>
        <rFont val="Calibri"/>
      </rPr>
      <t xml:space="preserve">Kudos
Mike H:
</t>
    </r>
    <r>
      <rPr>
        <sz val="10"/>
        <color rgb="FF000000"/>
        <rFont val="Calibri"/>
      </rPr>
      <t xml:space="preserve">Team  for getting sizable commit done
Rajesh and Conor  for managing 2 teams
</t>
    </r>
    <r>
      <rPr>
        <b/>
        <sz val="10"/>
        <color rgb="FF000000"/>
        <rFont val="Calibri"/>
      </rPr>
      <t xml:space="preserve">Rajesh:
</t>
    </r>
    <r>
      <rPr>
        <sz val="10"/>
        <color rgb="FF000000"/>
        <rFont val="Calibri"/>
      </rPr>
      <t>Kudos to GGO and GDON team for completing all the committed work</t>
    </r>
  </si>
  <si>
    <t>GGO 8.2.0 Sprint 4</t>
  </si>
  <si>
    <t>5</t>
  </si>
  <si>
    <r>
      <rPr>
        <b/>
        <sz val="10"/>
        <color rgb="FF000000"/>
        <rFont val="Calibri"/>
      </rPr>
      <t xml:space="preserve">Accomplishment:
</t>
    </r>
    <r>
      <rPr>
        <sz val="10"/>
        <color rgb="FF000000"/>
        <rFont val="Calibri"/>
      </rPr>
      <t xml:space="preserve">Refined Supporter Query
</t>
    </r>
  </si>
  <si>
    <t>Peer CRC:0
Onsite CRC: 0
Client CRC: 0
Internal Defects: 0
External Defects: 0
Pending: 2 assigned stories carried forward
GGO-14628 - For this issue, a temporary fix has been provided by the offshore development team. However, the client has requested a permanent fix with a different approach, so the story has been carried forward
GGO-15140 - CRT regression testing has been completed by the offshore QA team. The onsite QA requested that this story be put on hold, as WAF testing is still pending on his side. Therefore, the story has been carried forward</t>
  </si>
  <si>
    <r>
      <rPr>
        <b/>
        <sz val="10"/>
        <color rgb="FF000000"/>
        <rFont val="Calibri"/>
      </rPr>
      <t xml:space="preserve">What went well?
</t>
    </r>
    <r>
      <rPr>
        <sz val="10"/>
        <color rgb="FF000000"/>
        <rFont val="Calibri"/>
      </rPr>
      <t xml:space="preserve">Sizable commit completed
</t>
    </r>
    <r>
      <rPr>
        <b/>
        <sz val="10"/>
        <color rgb="FF000000"/>
        <rFont val="Calibri"/>
      </rPr>
      <t>Kudos
Mike H</t>
    </r>
    <r>
      <rPr>
        <sz val="10"/>
        <color rgb="FF000000"/>
        <rFont val="Calibri"/>
      </rPr>
      <t xml:space="preserve">:
Rajesh for the refining the supporter query
</t>
    </r>
    <r>
      <rPr>
        <b/>
        <sz val="10"/>
        <color rgb="FF000000"/>
        <rFont val="Calibri"/>
      </rPr>
      <t xml:space="preserve">Rajesh:
</t>
    </r>
    <r>
      <rPr>
        <sz val="10"/>
        <color rgb="FF000000"/>
        <rFont val="Calibri"/>
      </rPr>
      <t>Offshore GGO and GDOn team for completing all the stories</t>
    </r>
  </si>
  <si>
    <t>GGO 8.3.0 Sprint 1</t>
  </si>
  <si>
    <t>7</t>
  </si>
  <si>
    <r>
      <rPr>
        <b/>
        <sz val="10"/>
        <color rgb="FF000000"/>
        <rFont val="Calibri"/>
      </rPr>
      <t xml:space="preserve">Accomplishment: 
</t>
    </r>
    <r>
      <rPr>
        <sz val="10"/>
        <color rgb="FF000000"/>
        <rFont val="Calibri"/>
      </rPr>
      <t>1. Achieved a 20% usability improvement with the Reskin project, 
enhancing user experience and efficiency.
2. Successfully met the planned commit targets and seamlessly integrated additional 
patch work mid-sprint.
3. Thoroughly tested all report scenarios, ensuring quality and reliability.
4.  Completed most of the report changes, driving progress forward.</t>
    </r>
  </si>
  <si>
    <t xml:space="preserve">Peer CRC:0
Onsite CRC: 0
Client CRC: 0
Internal Defects: 0
External Defects: 0
Pending: 1 story carried forward
GGO-14628 - Development has been completed. Since we planned to provide a permanent fix, instead of calculating the mostRecentDate at the time of generating invoices or receipts, we decided to pre-calculate and update the relevant tables when associating sales with the corresponding payments. Initially, this logic was implemented in code, but later we moved it to triggers. As this is a major change, the testing effort required is significant, so the work has been carried forward.
</t>
  </si>
  <si>
    <r>
      <rPr>
        <b/>
        <sz val="10"/>
        <color rgb="FF000000"/>
        <rFont val="Calibri"/>
      </rPr>
      <t xml:space="preserve">What went well?
</t>
    </r>
    <r>
      <rPr>
        <sz val="10"/>
        <color rgb="FF000000"/>
        <rFont val="Calibri"/>
      </rPr>
      <t xml:space="preserve">Met the planned commit commit along with the patch work which was added mid sprint
</t>
    </r>
    <r>
      <rPr>
        <b/>
        <sz val="10"/>
        <color rgb="FF000000"/>
        <rFont val="Calibri"/>
      </rPr>
      <t xml:space="preserve">Kudos
Mike H:
</t>
    </r>
    <r>
      <rPr>
        <sz val="10"/>
        <color rgb="FF000000"/>
        <rFont val="Calibri"/>
      </rPr>
      <t xml:space="preserve">The whole team for meeting the allocated story points
</t>
    </r>
    <r>
      <rPr>
        <b/>
        <sz val="10"/>
        <color rgb="FF000000"/>
        <rFont val="Calibri"/>
      </rPr>
      <t xml:space="preserve">Rajesh:
</t>
    </r>
    <r>
      <rPr>
        <sz val="10"/>
        <color rgb="FF000000"/>
        <rFont val="Calibri"/>
      </rPr>
      <t xml:space="preserve">Sathiyabharathi for fixing all the report bugs(+1 Jennifer)
Conor and Priya for testing all the scenarios for the Report
Saranya for the working on the Print email timeout issue
GDON team for completing the planned stories
</t>
    </r>
    <r>
      <rPr>
        <b/>
        <sz val="10"/>
        <color rgb="FF000000"/>
        <rFont val="Calibri"/>
      </rPr>
      <t xml:space="preserve">Doug
</t>
    </r>
    <r>
      <rPr>
        <sz val="10"/>
        <color rgb="FF000000"/>
        <rFont val="Calibri"/>
      </rPr>
      <t>Finished most of the Report changes
20% improvement in usability with the Reskin project</t>
    </r>
  </si>
  <si>
    <t>GGO 8.3.0 Sprint 2</t>
  </si>
  <si>
    <r>
      <rPr>
        <b/>
        <sz val="10"/>
        <color rgb="FF000000"/>
        <rFont val="Calibri"/>
      </rPr>
      <t xml:space="preserve">Accomplishment: 
</t>
    </r>
    <r>
      <rPr>
        <sz val="10"/>
        <color rgb="FF000000"/>
        <rFont val="Calibri"/>
      </rPr>
      <t xml:space="preserve">1. Successfully met the planned commit targets
2. Successfully completed Print/Email invoice or receipts issue
</t>
    </r>
  </si>
  <si>
    <r>
      <rPr>
        <b/>
        <sz val="10"/>
        <color rgb="FF000000"/>
        <rFont val="Calibri"/>
      </rPr>
      <t xml:space="preserve">What went well?
</t>
    </r>
    <r>
      <rPr>
        <sz val="10"/>
        <color rgb="FF000000"/>
        <rFont val="Calibri"/>
      </rPr>
      <t xml:space="preserve">Met the planned commit 
</t>
    </r>
    <r>
      <rPr>
        <b/>
        <sz val="10"/>
        <color rgb="FF000000"/>
        <rFont val="Calibri"/>
      </rPr>
      <t xml:space="preserve">Kudos
Mike H:
</t>
    </r>
    <r>
      <rPr>
        <sz val="10"/>
        <color rgb="FF000000"/>
        <rFont val="Calibri"/>
      </rPr>
      <t xml:space="preserve">Rajesh for handling multiple teams here, handling the super difficult stories
</t>
    </r>
    <r>
      <rPr>
        <b/>
        <sz val="10"/>
        <color rgb="FF000000"/>
        <rFont val="Calibri"/>
      </rPr>
      <t xml:space="preserve">Rajesh:
</t>
    </r>
    <r>
      <rPr>
        <sz val="10"/>
        <color rgb="FF000000"/>
        <rFont val="Calibri"/>
      </rPr>
      <t xml:space="preserve">Offshore team for achieving the sprint goal
</t>
    </r>
  </si>
  <si>
    <t>GGO 8.3.0 Sprint 3</t>
  </si>
  <si>
    <t>4</t>
  </si>
  <si>
    <r>
      <rPr>
        <b/>
        <sz val="10"/>
        <color rgb="FF000000"/>
        <rFont val="Calibri"/>
      </rPr>
      <t xml:space="preserve">Accomplishment: 
</t>
    </r>
    <r>
      <rPr>
        <sz val="10"/>
        <color rgb="FF000000"/>
        <rFont val="Calibri"/>
      </rPr>
      <t>1. Successfully met the planned commit targets
2. Successfully completed RSVP Dashboard</t>
    </r>
  </si>
  <si>
    <r>
      <rPr>
        <b/>
        <sz val="10"/>
        <color rgb="FF000000"/>
        <rFont val="Calibri"/>
      </rPr>
      <t xml:space="preserve">What went well?
</t>
    </r>
    <r>
      <rPr>
        <sz val="10"/>
        <color rgb="FF000000"/>
        <rFont val="Calibri"/>
      </rPr>
      <t xml:space="preserve">Completed all planned stories and more 
</t>
    </r>
    <r>
      <rPr>
        <b/>
        <sz val="10"/>
        <color rgb="FF000000"/>
        <rFont val="Calibri"/>
      </rPr>
      <t xml:space="preserve">Kudos
Mike H:
</t>
    </r>
    <r>
      <rPr>
        <sz val="10"/>
        <color rgb="FF000000"/>
        <rFont val="Calibri"/>
      </rPr>
      <t xml:space="preserve">Rajesh for getting the receipt print and duplicate bidder key tickets completed
Conor for doing double duty and keep the operation afloat (+1 Rajesh)
Rajesh for triple duty 
</t>
    </r>
    <r>
      <rPr>
        <b/>
        <sz val="10"/>
        <color rgb="FF000000"/>
        <rFont val="Calibri"/>
      </rPr>
      <t xml:space="preserve">Rajesh:
</t>
    </r>
    <r>
      <rPr>
        <sz val="10"/>
        <color rgb="FF000000"/>
        <rFont val="Calibri"/>
      </rPr>
      <t xml:space="preserve">Whole GGo offshore team for achieving the goal(+1Mike H)
Sathiyabharathi Paramasivam [C] for working on the RSVP functionality
Jennifer Anthony Bosco [C] for always supporting the team and clarifying any question that the team has
</t>
    </r>
  </si>
  <si>
    <t>GGO 8.3.0 Sprint 4</t>
  </si>
  <si>
    <r>
      <rPr>
        <b/>
        <sz val="10"/>
        <color rgb="FF000000"/>
        <rFont val="Calibri"/>
      </rPr>
      <t xml:space="preserve">Accomplishment: 
</t>
    </r>
    <r>
      <rPr>
        <sz val="10"/>
        <color rgb="FF000000"/>
        <rFont val="Calibri"/>
      </rPr>
      <t>1. Most of the planned sprint stories were successfully delivered.
2. Rajesh ensured smooth handling of LLBGen setup challenges, addressing edge cases and performance issues
3.  Team members supported each other, with kudos highlighting individual and collective efforts.</t>
    </r>
  </si>
  <si>
    <t>Peer CRC:0
Onsite CRC: 0
Client CRC: 0
Internal Defects: 0
External Defects: 0
Pending: 1 stretch story carried forward
GGO-12244 - Development was delayed because we received the setup file only on the last day of the sprint.</t>
  </si>
  <si>
    <r>
      <rPr>
        <b/>
        <sz val="10"/>
        <color rgb="FF000000"/>
        <rFont val="Calibri"/>
      </rPr>
      <t xml:space="preserve">What went well?
</t>
    </r>
    <r>
      <rPr>
        <sz val="10"/>
        <color rgb="FF000000"/>
        <rFont val="Calibri"/>
      </rPr>
      <t xml:space="preserve">Completed most of the stories
</t>
    </r>
    <r>
      <rPr>
        <b/>
        <sz val="10"/>
        <color rgb="FF000000"/>
        <rFont val="Calibri"/>
      </rPr>
      <t xml:space="preserve">Kudos
Mike H:
</t>
    </r>
    <r>
      <rPr>
        <sz val="10"/>
        <color rgb="FF000000"/>
        <rFont val="Calibri"/>
      </rPr>
      <t xml:space="preserve">Rajesh for keep it all coordinated specially the LLBGen files tones of edge cases fixed, performance 
</t>
    </r>
    <r>
      <rPr>
        <b/>
        <sz val="10"/>
        <color rgb="FF000000"/>
        <rFont val="Calibri"/>
      </rPr>
      <t xml:space="preserve">Rajesh:
</t>
    </r>
    <r>
      <rPr>
        <sz val="10"/>
        <color rgb="FF000000"/>
        <rFont val="Calibri"/>
      </rPr>
      <t>Offshore team for completing the stories in the sprint</t>
    </r>
  </si>
  <si>
    <t>GGO 8.4.0 Sprint 1</t>
  </si>
  <si>
    <t>10</t>
  </si>
  <si>
    <t xml:space="preserve">Successfully implemented Reskin design for Sales Page. Successfully implemented the Text Template and SMS request once the checkout is done
, and implemented a new Donor API - CheckBidderHouseHold for both Individual and Household supported and Implemented the GetCreditCards API which was always returning as 2 - while updating the AddressTypeId </t>
  </si>
  <si>
    <r>
      <rPr>
        <b/>
        <sz val="10"/>
        <color rgb="FF000000"/>
        <rFont val="Calibri"/>
      </rPr>
      <t xml:space="preserve">Accomplishment: 
</t>
    </r>
    <r>
      <rPr>
        <sz val="10"/>
        <color rgb="FF000000"/>
        <rFont val="Calibri"/>
      </rPr>
      <t>1. The team achieved timely completion of the majority of planned sprint stories, ensuring 
consistent progress toward project goals.
2. Fixed some synk vulnerability issues
3. API Support for mobile team</t>
    </r>
  </si>
  <si>
    <r>
      <rPr>
        <b/>
        <sz val="10"/>
        <color rgb="FF000000"/>
        <rFont val="Calibri"/>
      </rPr>
      <t xml:space="preserve">What went well?
</t>
    </r>
    <r>
      <rPr>
        <sz val="10"/>
        <color rgb="FF000000"/>
        <rFont val="Calibri"/>
      </rPr>
      <t xml:space="preserve">Completed all the stories and some stretch 
</t>
    </r>
    <r>
      <rPr>
        <b/>
        <sz val="10"/>
        <color rgb="FF000000"/>
        <rFont val="Calibri"/>
      </rPr>
      <t xml:space="preserve">Kudos
Mike H:
</t>
    </r>
    <r>
      <rPr>
        <sz val="10"/>
        <color rgb="FF000000"/>
        <rFont val="Calibri"/>
      </rPr>
      <t xml:space="preserve">Rajesh and Conor  for pulling double duty on teams
</t>
    </r>
    <r>
      <rPr>
        <b/>
        <sz val="10"/>
        <color rgb="FF000000"/>
        <rFont val="Calibri"/>
      </rPr>
      <t xml:space="preserve">Rajesh:
</t>
    </r>
    <r>
      <rPr>
        <sz val="10"/>
        <color rgb="FF000000"/>
        <rFont val="Calibri"/>
      </rPr>
      <t>Whole GGO and GDON offshore team for completing all the tickets
Conor, Priya and Charles for completing the testing for all the stories</t>
    </r>
  </si>
  <si>
    <t>GGO 8.4.0 Sprint 2</t>
  </si>
  <si>
    <t>3</t>
  </si>
  <si>
    <t xml:space="preserve">This sprint's focus is to further develop the GGO Reskin for the Sales and Payments pages, which includes the Create/Edit Sales &amp; Payments, Common Controls, and Advanced search functionalities. It also covers the page functionalities for Non-Admin users. Moreover, there are plans to work on the APIs for Donor Check-out and Check-in. Furthermore, the Username will be updated for receipt generation when requests are received from NextGen for the Mobile team.
</t>
  </si>
  <si>
    <r>
      <rPr>
        <b/>
        <sz val="10"/>
        <color rgb="FF000000"/>
        <rFont val="Calibri"/>
      </rPr>
      <t xml:space="preserve">Accomplishment: 
</t>
    </r>
    <r>
      <rPr>
        <sz val="10"/>
        <color rgb="FF000000"/>
        <rFont val="Calibri"/>
      </rPr>
      <t>1. Finished all the designated stories
2. Effectively executed the Reskin design for the Sales and Payments Page
3. Provided API support for the Mobile and Donor Team</t>
    </r>
  </si>
  <si>
    <t>Peer CRC:0
Onsite CRC: 1
1. Is there a common JavaScript file with
 this function in it to include instead of the inline javascript?
Client CRC: 0
Internal Defects: 0
External Defects: 0
Completed all the assigned stories.</t>
  </si>
  <si>
    <r>
      <rPr>
        <b/>
        <sz val="10"/>
        <color rgb="FF000000"/>
        <rFont val="Calibri"/>
      </rPr>
      <t xml:space="preserve">What went well?
</t>
    </r>
    <r>
      <rPr>
        <sz val="10"/>
        <color rgb="FF000000"/>
        <rFont val="Calibri"/>
      </rPr>
      <t xml:space="preserve">Rajesh and Conor did double duty as always and still managed to complete more than forecast
Completed all the stories and some stretch 
</t>
    </r>
    <r>
      <rPr>
        <b/>
        <sz val="10"/>
        <color rgb="FF000000"/>
        <rFont val="Calibri"/>
      </rPr>
      <t xml:space="preserve">Kudos
Rajesh:
</t>
    </r>
    <r>
      <rPr>
        <sz val="10"/>
        <color rgb="FF000000"/>
        <rFont val="Calibri"/>
      </rPr>
      <t>Offshore GGO and GDon for completing all the stories
Sathiyabharathi for completing the sales stories, as it was complex
 Priya for testing all the sales stories</t>
    </r>
  </si>
  <si>
    <t>GGO 8.4.0 Sprint 3</t>
  </si>
  <si>
    <t>In this Sprint, we are continuing our efforts on the GGO Reskin for the Sales and Payments pages, which includes addressing some outstanding items concerning Manage Charge Batches. Additionally, we are implementing fixes for Priority defects, improving Infrastructure, and offering support for APIs associated with Donor Check-out.</t>
  </si>
  <si>
    <r>
      <rPr>
        <b/>
        <sz val="10"/>
        <color rgb="FF000000"/>
        <rFont val="Calibri"/>
      </rPr>
      <t xml:space="preserve">Accomplishment: 
</t>
    </r>
    <r>
      <rPr>
        <sz val="10"/>
        <color rgb="FF000000"/>
        <rFont val="Calibri"/>
      </rPr>
      <t>1. Successfully achieved the Sprint objective
2. Completed the development of the Create Refund page - Edit Payments
3. Executed the implementation of the Manage Charge Batch pages within Sales &amp; Payments
4. Certain Donor Check-in and API functionalities have been developed
5. A number of priority bugs have been fixed
6. Lastly, worked on some of the Synk findings</t>
    </r>
  </si>
  <si>
    <t>Peer CRC:0
Onsite CRC: 0
Client CRC: 0
Internal Defects: 0
External Defects: 0
Completed all the assigned stories.</t>
  </si>
  <si>
    <r>
      <rPr>
        <b/>
        <i/>
        <sz val="10"/>
        <color rgb="FF000000"/>
        <rFont val="Calibri"/>
      </rPr>
      <t xml:space="preserve">Well Done team in maintaining consistent Delivery!
</t>
    </r>
    <r>
      <rPr>
        <b/>
        <sz val="10"/>
        <color rgb="FF000000"/>
        <rFont val="Calibri"/>
      </rPr>
      <t xml:space="preserve">What went well?
</t>
    </r>
    <r>
      <rPr>
        <sz val="10"/>
        <color rgb="FF000000"/>
        <rFont val="Calibri"/>
      </rPr>
      <t xml:space="preserve">Completed all planned stories and more
</t>
    </r>
    <r>
      <rPr>
        <b/>
        <sz val="10"/>
        <color rgb="FF000000"/>
        <rFont val="Calibri"/>
      </rPr>
      <t xml:space="preserve">Kudos
Mike H:
</t>
    </r>
    <r>
      <rPr>
        <sz val="10"/>
        <color rgb="FF000000"/>
        <rFont val="Calibri"/>
      </rPr>
      <t xml:space="preserve">Rajesh for supporting 3 teams and Conor for supporting 2 teams 
</t>
    </r>
    <r>
      <rPr>
        <b/>
        <sz val="10"/>
        <color rgb="FF000000"/>
        <rFont val="Calibri"/>
      </rPr>
      <t xml:space="preserve">Rajesh:
</t>
    </r>
    <r>
      <rPr>
        <sz val="10"/>
        <color rgb="FF000000"/>
        <rFont val="Calibri"/>
      </rPr>
      <t>GGO and GDON offshore team for achieving the sprint goal (+1 Mike)</t>
    </r>
  </si>
  <si>
    <t>GGO 8.4.0 Sprint 4</t>
  </si>
  <si>
    <t>Resource Name</t>
  </si>
  <si>
    <t>Sprint Name</t>
  </si>
  <si>
    <t>Priyadharshini Ravichandran</t>
  </si>
  <si>
    <t>Saranya Namachivayam</t>
  </si>
  <si>
    <t>Jennifer</t>
  </si>
  <si>
    <t>Sathiyabharathi</t>
  </si>
  <si>
    <t>Rajesh</t>
  </si>
  <si>
    <t>Total Planned Leaves</t>
  </si>
  <si>
    <t>GGO 8.3.0 Sprint 1 (05-Feb-26 to 19-Feb-26)</t>
  </si>
  <si>
    <t>GGO 8.3.0 Sprint 2 (19-Feb-26 to 05-Mar-26)</t>
  </si>
  <si>
    <t>GGO 8.3.0 Sprint 3 (05-Mar-26 to 19-Mar-26)</t>
  </si>
  <si>
    <t>GGO 8.3.0 Sprint 4 (19-Mar-26 to 02-Apr-26)</t>
  </si>
  <si>
    <t>GGO 8.4.0 Sprint 1 (02-Apr-26 to 16-Apr-26)</t>
  </si>
  <si>
    <t>GGO 8.4.0 Sprint 2 (16-Apr-26 to 30-Apr-26)</t>
  </si>
  <si>
    <t>GGO 8.4.0 Sprint 3 (30-Apr-26 to 14-May-26)</t>
  </si>
  <si>
    <t>]</t>
  </si>
  <si>
    <t>S.No</t>
  </si>
  <si>
    <t xml:space="preserve">Sprint </t>
  </si>
  <si>
    <t>Developer</t>
  </si>
  <si>
    <t>Story ID/Defect ID</t>
  </si>
  <si>
    <t>Description</t>
  </si>
  <si>
    <t>Status</t>
  </si>
  <si>
    <t>Estimated(sp)</t>
  </si>
  <si>
    <t>Actual(sp)</t>
  </si>
  <si>
    <t>Actual Hours Worklog</t>
  </si>
  <si>
    <t>Dev Start Date</t>
  </si>
  <si>
    <t>Dev End Date</t>
  </si>
  <si>
    <t>Unit testing</t>
  </si>
  <si>
    <t>Peer Tested By</t>
  </si>
  <si>
    <t>Peer Tested Defects, if any</t>
  </si>
  <si>
    <t>Peer Reviewed By</t>
  </si>
  <si>
    <t>Peer Code Review Comments, if any</t>
  </si>
  <si>
    <t>PR Number/Link</t>
  </si>
  <si>
    <t>PR Created Date</t>
  </si>
  <si>
    <t>PR Approved Date</t>
  </si>
  <si>
    <t>Reviewer 1</t>
  </si>
  <si>
    <t>Code Review Comments, if any</t>
  </si>
  <si>
    <t>Reviewer 2</t>
  </si>
  <si>
    <t>Approved Date</t>
  </si>
  <si>
    <t>Code Review Comments, if any2</t>
  </si>
  <si>
    <t>Internal PO -POV Comments</t>
  </si>
  <si>
    <t>Client PO -POV Comments</t>
  </si>
  <si>
    <t>Comments</t>
  </si>
  <si>
    <t>Saranya</t>
  </si>
  <si>
    <t>GGO-15245</t>
  </si>
  <si>
    <t>Snyk Finding - Microsoft.AspNetCore.Server.Kestrel@2.2.0 update to 2.3.6</t>
  </si>
  <si>
    <t>Being Developed</t>
  </si>
  <si>
    <t>GGO-15170</t>
  </si>
  <si>
    <t>Employee Controls for Reports</t>
  </si>
  <si>
    <t>Refinement</t>
  </si>
  <si>
    <t>GGO-14513</t>
  </si>
  <si>
    <t xml:space="preserve">Log Quartz Job errors in Elmah log </t>
  </si>
  <si>
    <t>PAPI-291</t>
  </si>
  <si>
    <t>PAPI is using an old version of LLBGEN i.e. 2.5. We need to upgrade to the latest LLBGen i.e. 5.8</t>
  </si>
  <si>
    <t>GGO-15251</t>
  </si>
  <si>
    <t>Project Builder - Feature Flag to turn off/on the changes</t>
  </si>
  <si>
    <t>Sathiya</t>
  </si>
  <si>
    <t>GGO-15219</t>
  </si>
  <si>
    <t>Project Builder - Create Project - Getting Started section</t>
  </si>
  <si>
    <t>Priya-QA</t>
  </si>
  <si>
    <t>GGO-15242</t>
  </si>
  <si>
    <t>19 May GGO 8.4.0 CRT Release &amp; Regression testing</t>
  </si>
  <si>
    <t>PAPI-898</t>
  </si>
  <si>
    <t>19 May PAPI 8.2.0 CRT Release &amp; Regression testing</t>
  </si>
  <si>
    <t>Story/Defect ID</t>
  </si>
  <si>
    <t>Parent Story</t>
  </si>
  <si>
    <t>Issue Type</t>
  </si>
  <si>
    <t xml:space="preserve">Issue Description </t>
  </si>
  <si>
    <t>Priority</t>
  </si>
  <si>
    <t>Defect Source</t>
  </si>
  <si>
    <t>Type</t>
  </si>
  <si>
    <t>Root Cause Category</t>
  </si>
  <si>
    <t>Found By</t>
  </si>
  <si>
    <t>Comment</t>
  </si>
  <si>
    <t>RCA Comment</t>
  </si>
  <si>
    <t>NO Defects</t>
  </si>
  <si>
    <t>GGO-15229</t>
  </si>
  <si>
    <t>Edit Payments - Create Refund page</t>
  </si>
  <si>
    <t>Done</t>
  </si>
  <si>
    <t>Priya</t>
  </si>
  <si>
    <t>https://greatergiving.visualstudio.com/Greater%20Giving/_git/GGO/pullrequest/9520</t>
  </si>
  <si>
    <t>Mike Horihan</t>
  </si>
  <si>
    <t>Created a enhanced refund page on 04/29/2026
Unit testing done and Created a PR on 04/30/2026. Testing Completed in the TST env</t>
  </si>
  <si>
    <t>GGO-15230</t>
  </si>
  <si>
    <t>Validate Sales Force Invoice Posted Items API flow with real data</t>
  </si>
  <si>
    <t>https://greatergiving.visualstudio.com/Greater%20Giving/_git/GGO/pullrequest/9562</t>
  </si>
  <si>
    <t xml:space="preserve"> Testing Completed in the TST env</t>
  </si>
  <si>
    <t>GGO-15216</t>
  </si>
  <si>
    <t>Online Bidding setup opens Old UI instead of New Online Bidding UI</t>
  </si>
  <si>
    <t>https://greatergiving.visualstudio.com/Greater%20Giving/_git/GGO/pullrequest/9532</t>
  </si>
  <si>
    <t>GGO-15218</t>
  </si>
  <si>
    <t>New GGO Clients are not setup with bluetooth</t>
  </si>
  <si>
    <t>https://greatergiving.visualstudio.com/Greater%20Giving/_git/GGO/pullrequest/9533</t>
  </si>
  <si>
    <t>GGO-14911</t>
  </si>
  <si>
    <t>Sales &amp; Payments - Manage Charge Batches</t>
  </si>
  <si>
    <t>https://dev.azure.com/greatergiving/Greater%20Giving/_git/GGO/pullrequest/9535</t>
  </si>
  <si>
    <t>Copied all the necessary files from oldl ayout 05/04/2026 
Created an enhanced charge batch page 05/05/2026
Unit testing done and Created a PR on 05/06/2026.  
Testing Completed in the TST env</t>
  </si>
  <si>
    <t>GGO-14912</t>
  </si>
  <si>
    <t>Sales &amp; Payments - View Charge Batch Page</t>
  </si>
  <si>
    <t>https://greatergiving.visualstudio.com/Greater%20Giving/_git/GGO/pullrequest/9550</t>
  </si>
  <si>
    <t>Copied all the necessary files from old ayout 05/04/2026 
Created an enhanced charge batch page 05/05/2026
Created an enhanced declined page on 05/06/2026
Incorporated UI changes suggested by Jennifer on 05/07/2026
Unit testing done and Created a PR on 05/08/2026.  
Testing Completed in the TST env</t>
  </si>
  <si>
    <t>GGO-15150</t>
  </si>
  <si>
    <t>BID-10 report not showing image</t>
  </si>
  <si>
    <t>https://greatergiving.visualstudio.com/Greater%20Giving/_git/GGO/pullrequest/9537</t>
  </si>
  <si>
    <t>Testing Completed in the TST env</t>
  </si>
  <si>
    <t>GGO-15157</t>
  </si>
  <si>
    <t>Lack of ConvenienceFeeRate in sectionGridSettings causes error</t>
  </si>
  <si>
    <t>https://greatergiving.visualstudio.com/Greater%20Giving/_git/GGO/pullrequest/9556</t>
  </si>
  <si>
    <t>Fixed ConvenienceFeeRate issue in SectionGrid Settings, Unit testing done and 
Created a PR on 05/11/2026.  
Testing Completed in the TST env</t>
  </si>
  <si>
    <t>GGO 8.4.0 Sprint 3  [STRETCH]</t>
  </si>
  <si>
    <t>GGO-15247</t>
  </si>
  <si>
    <t>Snyk Finding - System.Security.Cryptography.Xml@8.0.2 update to 8.0.3</t>
  </si>
  <si>
    <t>https://dev.azure.com/greatergiving/Greater%20Giving/_git/GGO/pullrequest/9560</t>
  </si>
  <si>
    <t>Also seeing the reference in GreaterGiving.Online.Website.Reskin</t>
  </si>
  <si>
    <t>Updated package version did dev testing PR created 05/12/2026  
Addressed code review comments .
Updated package across all the solution did dev testing PR updated 05/13/2026.  
Testing Completed in the TST env</t>
  </si>
  <si>
    <t>GGO-14792</t>
  </si>
  <si>
    <t>View Payments Page</t>
  </si>
  <si>
    <t>https://greatergiving.visualstudio
.com/Greater%20Giving/_git/GGO/
pullrequest/9464</t>
  </si>
  <si>
    <t>No concerns have been noted up to this point; it will be rolled over.</t>
  </si>
  <si>
    <t>Payments Grid new reskin design implementation started on 04/10/2026
Developement and testing completed. Created a PR on 04/13/2026</t>
  </si>
  <si>
    <t>GGO-14818</t>
  </si>
  <si>
    <t>View Payments Common controls</t>
  </si>
  <si>
    <t>No concerns have been noted up to this point;</t>
  </si>
  <si>
    <t>Implemented Payments Grid common controls and testing completed. Created a PR on 04/13/2026</t>
  </si>
  <si>
    <t>GGO-14820</t>
  </si>
  <si>
    <t>View Payments Advanced search</t>
  </si>
  <si>
    <t>https://greatergiving.visualstudio.com/Greater%20Giving/_git/GGO/pullrequest/9485</t>
  </si>
  <si>
    <t>Is there a common JavaScript file with
 this function in it to include instead of the inline javascript?</t>
  </si>
  <si>
    <t>Implemented Payment Advanced search filters and Unit Testing done on 04/17/2026
Moved Payment Reference # serach into Advanced Search Filter and tested on 04/21/2026
Incorporated code review comments given by MikeH and tested on 04/22/2026</t>
  </si>
  <si>
    <t>GGO-14791</t>
  </si>
  <si>
    <t>Create/Edit Sales page</t>
  </si>
  <si>
    <t>https://greatergiving.visualstudio.com/Greater%20Giving/_git/GGO/pullrequest/9501</t>
  </si>
  <si>
    <t>Started implementing Create/Edit Sales Page on 04/17/2026     
Started to implement details tab on 04/20/2026. 
Started to implement purchaser tab on 04/21/2026. 
Started to implement admission tab on 04/22/2026       
Admisson tab grid design update  on 04/23/2026      
Details tab rsvp url design update on 04/24/2026              
Completed Testing</t>
  </si>
  <si>
    <t>GGO-15209</t>
  </si>
  <si>
    <t>View Sales page for Non-Admin users</t>
  </si>
  <si>
    <t>https://greatergiving.visualstudio.com/Greater%20Giving/_git/GGO/pullrequest/9516</t>
  </si>
  <si>
    <t>Design update for non-admin users on 04/28/2026                                                                                               Jennifer gave some inputs changing the control design applied the design  on 04/28/2026</t>
  </si>
  <si>
    <t>GGO-14793</t>
  </si>
  <si>
    <t>Create/Edit Payment page</t>
  </si>
  <si>
    <t>https://greatergiving.visualstudio.com/Greater%20Giving/_git/GGO/pullrequest/9512</t>
  </si>
  <si>
    <t>Started implementing Create/Edit Payment Page on 04/20/2026. 
Worked on Grid changes on 04/23/2026
Worked on alignment issues and new Datepicker on 04/24/2026
Implemented indeterminate checkbox on 04/27/2026
Verified in the Dev env. 4/28/2026 3:54 PM</t>
  </si>
  <si>
    <t>GGO-15210</t>
  </si>
  <si>
    <t>View Payments page for Non-Admin users</t>
  </si>
  <si>
    <t>Started implementing view payments for non-admin user on 04/27/2026
Unit testing done and created a PR on 04/28/2026</t>
  </si>
  <si>
    <t>GGO-15215</t>
  </si>
  <si>
    <t>Update Username for receipt generation when receiving the request from NextGen</t>
  </si>
  <si>
    <t>https://greatergiving.visualstudio.com/Greater%20Giving/_git/GGO/pullrequest/9503</t>
  </si>
  <si>
    <t>Patterson, Scott</t>
  </si>
  <si>
    <t>Implemented passing username as a parameter in cookie header from nextgen API instead of using AesopSession username on 04/20/2026
Fixed invoice generation error on 04/21/2026
Unit testing done and Created a PR on 04/23/06</t>
  </si>
  <si>
    <t>GGO 8.4.0 Sprint 2 [STRETCH]</t>
  </si>
  <si>
    <t>Created a enhanced refund page on 04/29/2026
Unit testing done and Created a PR on 04/30/2026</t>
  </si>
  <si>
    <t>GGO-12244</t>
  </si>
  <si>
    <t>LLBGen Upgrade to the latest version</t>
  </si>
  <si>
    <t>https://greatergiving.visualstudio.com/Greater%20Giving/_git/GGO/pullrequest/9424</t>
  </si>
  <si>
    <t>Got LLBLGen 5.10.1 setup file and started to work on it on 03/30/2026
Completed development, PR created and sent it to Approval on 04/01/2026
Testing completed in the TST env.</t>
  </si>
  <si>
    <t>GGO-15169</t>
  </si>
  <si>
    <t>API update to provide card expiration date to next gen</t>
  </si>
  <si>
    <t>https://greatergiving.visualstudio.com/Greater%20Giving/_git/GGO/pullrequest/9426</t>
  </si>
  <si>
    <t>Development is completed in previous sprint itself. Testing completed in the TST env.</t>
  </si>
  <si>
    <t>GGO-15174</t>
  </si>
  <si>
    <t>Remove Deleted Package from ap_OnlineBiddingSettings featuredPackageIDs Column</t>
  </si>
  <si>
    <t>https://greatergiving.visualstudio.com/Greater%20Giving/_git/GGO/pullrequest/9431</t>
  </si>
  <si>
    <t>Na</t>
  </si>
  <si>
    <t>Development is completed. Unit testing is done and Created a PR on 04/03/2026. Testing completed in the TST env.</t>
  </si>
  <si>
    <t>GGO-15186</t>
  </si>
  <si>
    <t>Snyk Findings - form-data@4.0.0</t>
  </si>
  <si>
    <t>https://greatergiving.visualstudio.com/Greater%20Giving/_git/GGO/pullrequest/9440</t>
  </si>
  <si>
    <t>Started upgrading form-data package from 4.0.0 to 4.0.4 for angular project and facing some issues on 04/03/2026
Fixed issue. Testing is done and Created PR on 04/06/2026. Testing completed in the TST env.</t>
  </si>
  <si>
    <t>GGO-15187</t>
  </si>
  <si>
    <t xml:space="preserve">Snyk Finding - ajv@8.12.0 </t>
  </si>
  <si>
    <t>https://greatergiving.visualstudio.com/Greater%20Giving/_git/GGO/pullrequest/9436</t>
  </si>
  <si>
    <t>Upgraded ajv package from 8.8.0 to 8.18.0 for angular project. Testing is done and Created PR on 04/03/2026. Testing completed in the TST env.</t>
  </si>
  <si>
    <t>GGO-14790</t>
  </si>
  <si>
    <t>View Sales page</t>
  </si>
  <si>
    <t>https://dev.azure.com/greatergiving/Greater%20Giving/_git/GGO/pullrequest/9433</t>
  </si>
  <si>
    <t xml:space="preserve">There was an issue with the text alignment that has been addressed and completed. </t>
  </si>
  <si>
    <t>Need to verify in local and dev since implementation is completed on 04/03/2026 
Verified in DEV environment. Published the PR on 04/06/2026. Testing completed in the TST env.</t>
  </si>
  <si>
    <t>GGO-14819</t>
  </si>
  <si>
    <t>View Sales Advanced search</t>
  </si>
  <si>
    <t>https://greatergiving.visualstudio.com/Greater%20Giving/_git/GGO/pullrequest/9450</t>
  </si>
  <si>
    <t>Detected a few problems and rectified some; the remaining issues will be addressed in the forthcoming story.</t>
  </si>
  <si>
    <t>Started View sales advanced search on 04/06/2026   
Fixed issues in Frozen column on 04/09/2026  
PackageNumber and BidderNumber search make confusion on grid result Asked PO for the clarification on 04/10/2026 
Moved package search to advanced search section on 04/14/2026 
Testing completed in the TST env.</t>
  </si>
  <si>
    <t>GGO-14817</t>
  </si>
  <si>
    <t>View Sales common controls</t>
  </si>
  <si>
    <t>Implemented successfully</t>
  </si>
  <si>
    <t>GGO 8.4.0 Sprint 1 [STRETCH]</t>
  </si>
  <si>
    <t>GGO-15201</t>
  </si>
  <si>
    <t>Investigate Snyk Finding - @angular/compiler-cli@16.2.8</t>
  </si>
  <si>
    <t>Snyk fix require to update angular version from 8 to 19+  and 
Updated comments in Jira on 04/14/2026</t>
  </si>
  <si>
    <t>GGO-15145</t>
  </si>
  <si>
    <t>Error on Merge with proccessedInvoice</t>
  </si>
  <si>
    <t>https://greatergiving.visualstudio.com
/Greater%20Giving/_git/GGO/
pullrequest/9455</t>
  </si>
  <si>
    <t>Started analyzing the issue and tried to reprduce the issue in TST ENV on 04/09/2026
Fixed the issue wih replacing target SupporterId with Source SupporterId while megring two supporters on 04/10/2026
Unit Testing is done on 04/11/2026</t>
  </si>
  <si>
    <t>GGO-15204</t>
  </si>
  <si>
    <t>Fundraising Signup Issue - Could not load file or assembly 'System.ValueTuple, Version=4.0.0.0, Culture=neutral, PublicKeyToken=cc7b13ffcd2ddd51' or one of its dependencies. The system cannot find the file specified.</t>
  </si>
  <si>
    <t>https://greatergiving.visualstudio.com/Greater%20Giving/_git/GGO/pullrequest/9471</t>
  </si>
  <si>
    <t>GGO-15206</t>
  </si>
  <si>
    <t>Add Index to OnlineBidderKey for ap_OnlineBidder table</t>
  </si>
  <si>
    <t>https://greatergiving.visualstudio.com/Greater%20Giving/_git/GGO/pullrequest/9478</t>
  </si>
  <si>
    <t>Migration script added for creating index for ap_OnlineBidder table for this issue and Unit testing done on 04/15/2026</t>
  </si>
  <si>
    <t>Tester Comments</t>
  </si>
  <si>
    <t>Developer Comments</t>
  </si>
  <si>
    <t>GGO-15048</t>
  </si>
  <si>
    <t>API Update for Next Gen - Invoicing Email</t>
  </si>
  <si>
    <t>https://greatergiving.visualstudio.com/Greater%20Giving/_git/GGO/pullrequest/9387</t>
  </si>
  <si>
    <t>Testing completed in the TST env</t>
  </si>
  <si>
    <t>GGO-15185</t>
  </si>
  <si>
    <t>OB Edit Image Upload issue</t>
  </si>
  <si>
    <t>https://dev.azure.com/greatergiving/Greater%20Giving/_git/GGO/pullrequest/9393</t>
  </si>
  <si>
    <t>NA+</t>
  </si>
  <si>
    <t>Fixed the issue and created the PR on 03/20/26</t>
  </si>
  <si>
    <t>Ready for Testing</t>
  </si>
  <si>
    <t>Got LLBLGen 5.10.1 setup file and started to work on it on 03/30/26
Completed development, PR created and sent it to Approval on 04/01/2026</t>
  </si>
  <si>
    <t>GGO-15167</t>
  </si>
  <si>
    <t>OB Settings - Donation Bar</t>
  </si>
  <si>
    <t>https://dev.azure.com/greatergiving/Greater%20Giving/_git/GGO/pullrequest/9402</t>
  </si>
  <si>
    <t>Verified in dev flag value pushed to the OB queue correctly and created PR on 03/25/26</t>
  </si>
  <si>
    <t>GGO-12200</t>
  </si>
  <si>
    <t>Consolidate Nuget Packages</t>
  </si>
  <si>
    <t>https://greatergiving.visualstudio.com/Greater%20Giving/_git/GGO/pullrequest/9413</t>
  </si>
  <si>
    <t>GGO-13962</t>
  </si>
  <si>
    <t>Update NuGet Authenticate in Azure Pipeline</t>
  </si>
  <si>
    <t>https://greatergiving.visualstudio.com/Greater%20Giving/_git/GGO/pullrequest/9400</t>
  </si>
  <si>
    <t>Started development on 03/20/26
Completed development and created PR on 03/24/26</t>
  </si>
  <si>
    <t>GGO-12282</t>
  </si>
  <si>
    <t>Replace DLL direct references with NuGet packages</t>
  </si>
  <si>
    <t>https://greatergiving.visualstudio.com/Greater%20Giving/_git/GGO/pullrequest/9412</t>
  </si>
  <si>
    <t xml:space="preserve">[26-Mar-26] Except Nevron.dll we can't remove other dll's for above reason.
all are third party dll's can't find in NuGet                                                           </t>
  </si>
  <si>
    <t>Priya-QAa</t>
  </si>
  <si>
    <t>GGO-15182</t>
  </si>
  <si>
    <t>24 Mar GGO 8.3.0 CRT Release &amp; Regression testing</t>
  </si>
  <si>
    <t>Testing completed in the CRT env</t>
  </si>
  <si>
    <t>GGO 8.3.0 Sprint 4 [STRETCH]</t>
  </si>
  <si>
    <t>GGO-15173</t>
  </si>
  <si>
    <t>API Update for Card Entry Permissions in Go Time</t>
  </si>
  <si>
    <t>https://greatergiving.visualstudio.com/Greater%20Giving/_git/GGO/pullrequest/9422</t>
  </si>
  <si>
    <t xml:space="preserve">Analyzing existing GetCards API and added additional property(EditCreditCards) for NextGen and 
Testing completed in Local and Dev Env on 03/31/2026
</t>
  </si>
  <si>
    <t>Analyzing existing GetCards API and added additional property(CardExpirationDate) for NextGen and 
Testing completed  in Local and Dev Env on 04/01/2026</t>
  </si>
  <si>
    <t>GGO-15147</t>
  </si>
  <si>
    <t>RSVP - Special Characters During Import for Apostrophe and Ampersand</t>
  </si>
  <si>
    <t>https://greatergiving.visualstudio.com/Greater%20Giving/_git/GGO/pullrequest/9360</t>
  </si>
  <si>
    <t>Fixed RSVP Special charcters issue during import on 03/09/2026
Tested and Created a PR on 03/10/2026</t>
  </si>
  <si>
    <t>GGO-15165</t>
  </si>
  <si>
    <t>Unicode Characters in Item Descriptions</t>
  </si>
  <si>
    <t>https://greatergiving.visualstudio.com/Greater%20Giving/_git/GGO/pullrequest/9348</t>
  </si>
  <si>
    <t>Reproduced issue in TST environment, development completed by handling
the Unicode char for the item and package description.
100% development completed and shared PR to client on 03/06/2026</t>
  </si>
  <si>
    <t>GGO-15047</t>
  </si>
  <si>
    <t>API Update for Next Gen - Invoicing Available</t>
  </si>
  <si>
    <t>https://greatergiving.visualstudio.com/Greater%20Giving/_git/GGO/pullrequest/9351</t>
  </si>
  <si>
    <t>Created new GoTime API to check the invoicing status and return response
to Mobile Team.
100% development completed and shared PR to client on 03/06/2026</t>
  </si>
  <si>
    <t>GGO-14809</t>
  </si>
  <si>
    <t>Manage Project - RSVP Dashboard - Admission, Admission by Package and Meal Types grids</t>
  </si>
  <si>
    <t>https://greatergiving.visualstudio.com/Greater%20Giving/_git/GGO/pullrequest/9359</t>
  </si>
  <si>
    <t>Development started on 03/10/2026
Did local and dev testing and created PR on 03/10/2026</t>
  </si>
  <si>
    <t>GGO-14812</t>
  </si>
  <si>
    <t>Manage Project - RSVP Dashboard</t>
  </si>
  <si>
    <t>Saranya/Rajesh</t>
  </si>
  <si>
    <t>https://greatergiving.visualstudio.com/Greater%20Giving/_git/GGO/pullrequest/9380</t>
  </si>
  <si>
    <t>Implemented rsvp grid on 03/13/2026
Develoment completed fixing minor UI issues on 03/16/2026</t>
  </si>
  <si>
    <t>GGO-15162</t>
  </si>
  <si>
    <t>Scroll bar issue in PRD - View Packages</t>
  </si>
  <si>
    <t>https://greatergiving.visualstudio.com/Greater%20Giving/_git/GGO/pullrequest/9371</t>
  </si>
  <si>
    <t>Reproduced issue in TST environment with help of customer service team
took some time to fix this issue. 
100 % development completed and shared PR to client on 03/13/2026</t>
  </si>
  <si>
    <t>GGO-15038</t>
  </si>
  <si>
    <t>Data not importing in from OP RSVP</t>
  </si>
  <si>
    <t>https://greatergiving.visualstudio.com/Greater%20Giving/_git/GGO/pullrequest/9368</t>
  </si>
  <si>
    <t xml:space="preserve">Trying to reproduce this issue. But unable to reproduce in Local, Dev, TST and CRT on 03/06//2026 </t>
  </si>
  <si>
    <t>GGO-15160</t>
  </si>
  <si>
    <t>Streamline Support Redirect from Equipment Express</t>
  </si>
  <si>
    <t>https://greatergiving.visualstudio.com/Greater%20Giving/_git/GGO/pullrequest/9358</t>
  </si>
  <si>
    <t>Development 90% Completed. Created Banner and Popup to redirect Streamline support from Equipment Express. Testing is inprogress on 03/10/2026</t>
  </si>
  <si>
    <t>GGO-14810</t>
  </si>
  <si>
    <t>Manage Project - RSVP Dashboard - Search field and Send Letters &amp; Emails button</t>
  </si>
  <si>
    <t>Implemented search functionality on 03/13/2026
Develoment completed fixing minor UI issues on 03/16/2026</t>
  </si>
  <si>
    <t>GGO 8.3.0 Sprint 3 [STRETCH]</t>
  </si>
  <si>
    <t>GGO-15178</t>
  </si>
  <si>
    <t>Un-hide PKG-06en</t>
  </si>
  <si>
    <t>https://greatergiving.visualstudio.com/Greater%20Giving/_git/GGO/pullrequest/9384</t>
  </si>
  <si>
    <t>Fixed unhide PGK report and testing completed and Created PR on 03/18/2026</t>
  </si>
  <si>
    <t>Saranya/Sathiya</t>
  </si>
  <si>
    <t>Analyzing existig Email functionality to create new API for NextGen on 03/16/2026
Created a new API to Send Email Invoice for nextgen on 03/18/2026
Testing in Local and Dev Env on 03/19/2026</t>
  </si>
  <si>
    <t>Rajesh/Saranya</t>
  </si>
  <si>
    <t>GGO-14628</t>
  </si>
  <si>
    <t>Print Invoice/Receipts page - Timeout when Omit Sales and payment option selected with both Before and After date options</t>
  </si>
  <si>
    <t>No Defects</t>
  </si>
  <si>
    <t>https://greatergiving.visualstudio.com/Greater%20Giving/_git/GGO/pullrequest/9303</t>
  </si>
  <si>
    <t>Is this change related to the Timeout Issue?</t>
  </si>
  <si>
    <t>23/2/2026 - Testing is inprogress in TST. Found one issue 
24/2/2026 -  Fixed the issue and deployed in DEV env and Testing is inprogress</t>
  </si>
  <si>
    <t>Sathiya/Praveen</t>
  </si>
  <si>
    <t>GGO-14874</t>
  </si>
  <si>
    <t>Reports and Exports - View Report Page</t>
  </si>
  <si>
    <t>GGO-15163</t>
  </si>
  <si>
    <t>https://dev.azure.com/greatergiving/Greater%20Giving/_git/GGO/pullrequest/9312</t>
  </si>
  <si>
    <t>20/2/2026 - Sorting order changed on search
23/2/2026 -  Loaded all the reports section and created PR</t>
  </si>
  <si>
    <t>GGO-15076</t>
  </si>
  <si>
    <t>API Update for Next Gen - Checkout</t>
  </si>
  <si>
    <t>https://dev.azure.com/greatergiving/Greater%20Giving/_git/GGO/pullrequest/9334</t>
  </si>
  <si>
    <t>Raised bug 9:00 PM 3/3/2026</t>
  </si>
  <si>
    <t>20/2/2026 - Analysing checkout recorded against the admission- similar to check-in
23/2/2026 - Analysing the existing functionality of checkin and checkout API's
24/2/2026 - Implemented code 20%
25/2/2026 - Added new API to update attendee's chekout info and fetch the same info in GetCheckinDetails API
26/2/2026 - Dev testing is completed and Created a PR</t>
  </si>
  <si>
    <t>GGO-15105</t>
  </si>
  <si>
    <t>Update to GGO GPPostedInvoiceItems Data</t>
  </si>
  <si>
    <t>https://dev.azure.com/greatergiving/Greater%20Giving/_git/GGO/pullrequest/9325</t>
  </si>
  <si>
    <t>PAPI-893</t>
  </si>
  <si>
    <t>Investigation into PAPI Client &amp; Settlement Data</t>
  </si>
  <si>
    <t>26/2/2026 - Started analysing PAPIClients from OPSStaging Database
27/2/2026 -  Documentaion preparation</t>
  </si>
  <si>
    <t>GGO-11918</t>
  </si>
  <si>
    <t xml:space="preserve">Sponsor imgs not updating for non ob projects on displays </t>
  </si>
  <si>
    <t>https://dev.azure.com/greatergiving/Greater%20Giving/_git/GGO/pullrequest/9320</t>
  </si>
  <si>
    <t>25/2/2026 did SP changes verified in dev environment</t>
  </si>
  <si>
    <t>Sathiya/Rajesh</t>
  </si>
  <si>
    <t>GGO-15152</t>
  </si>
  <si>
    <t>Telerik Shared Library Issue</t>
  </si>
  <si>
    <t>https://greatergiving.visualstudio.com/Greater%20Giving/_git/GGO/pullrequest/9326</t>
  </si>
  <si>
    <t xml:space="preserve">
26/02/2026 Fixed mentioned CSP issue  by adding data: in the iframe src
now facing new CORS issue on Jscrambler
27/02/2026 Created PR</t>
  </si>
  <si>
    <t>GGO-15149</t>
  </si>
  <si>
    <t>Update SkiSharp to version 2.88.6 in GGOImageTransferApp</t>
  </si>
  <si>
    <t>https://greatergiving.visualstudio.com/Greater%20Giving/_git/GGO/pullrequest/9314</t>
  </si>
  <si>
    <t>GGO 8.3.0 Sprint 2 [STRETCH]</t>
  </si>
  <si>
    <t>GGO-14561</t>
  </si>
  <si>
    <t>Bidder was assigned reused URL that led to another org</t>
  </si>
  <si>
    <t>https://greatergiving.visualstudio.com/Greater%20Giving/_git/GGO/pullrequest/9339</t>
  </si>
  <si>
    <t>Testing Completed in the Dev env. 9:00 PM 3/3/2026</t>
  </si>
  <si>
    <t>27/02/2026 - created the new function and calling old function in it
02/03/2026 - WITH EXECUTE AS CALLER and UNIQUE KEY constraint is necessary to add  
03/03/2026 - Provided the script to checking the duplicates and updated verified locally
04/03/2026 - Rajesh maodified the script and updated OnlineBidding Script
05/03/2026 - Change log created and updated script verified in local</t>
  </si>
  <si>
    <t>GGO-11722</t>
  </si>
  <si>
    <t>Discount code not able to update when set to fixed type</t>
  </si>
  <si>
    <t>https://greatergiving.visualstudio.com/Greater%20Giving/_git/GGO/pullrequest/9343</t>
  </si>
  <si>
    <t>3/3/2026 - Started analyzing about Dicount Codes
4/3/2026 - Fixed this issue and Unit testing is done. Created PR</t>
  </si>
  <si>
    <t>Bounceback/Sub-Defect</t>
  </si>
  <si>
    <t>View Report- Text Does Not Highlight in Blue After Generating Report</t>
  </si>
  <si>
    <t>Minor</t>
  </si>
  <si>
    <t>Manual</t>
  </si>
  <si>
    <t>Internal</t>
  </si>
  <si>
    <t>Closed</t>
  </si>
  <si>
    <t>Design</t>
  </si>
  <si>
    <t>Minor UI issues</t>
  </si>
  <si>
    <t>GGO-15166</t>
  </si>
  <si>
    <t>isCheckedOut flag is required for household members in API response</t>
  </si>
  <si>
    <t>Significant</t>
  </si>
  <si>
    <t>Requested by the Mobile team to add a flag</t>
  </si>
  <si>
    <t>GGO-15103</t>
  </si>
  <si>
    <t>Optout.aspx.cs Exception</t>
  </si>
  <si>
    <t>https://dev.azure.com/greatergiving/Greater%20Giving/_git/GGO/pullrequest/9260</t>
  </si>
  <si>
    <t>2/5/2026   - Fixed decryption issue and verified in DEV.
                   Created PR</t>
  </si>
  <si>
    <t>GGO-15140</t>
  </si>
  <si>
    <t>27 Jan GGO 8.2.0 CRT Release &amp; Regression Testing</t>
  </si>
  <si>
    <t xml:space="preserve">Testing completed in CRT env. </t>
  </si>
  <si>
    <t>CRT regression testing has been completed by the offshore QA team. The onsite QA requested that this story be put on hold, as WAF testing is still pending on his side. Therefore, the story has been carried forward</t>
  </si>
  <si>
    <t>GGO-13847</t>
  </si>
  <si>
    <t>Disable/Hide the Reports</t>
  </si>
  <si>
    <t>The migration script missed one report name in the delete statement.</t>
  </si>
  <si>
    <t>https://greatergiving.visualstudio.com/Greater%20Giving/_git/GGO/pullrequest/9263</t>
  </si>
  <si>
    <t>2/6/2026 - Created migration script to delete the reports which was mentioned in the story.
Unit testing is done and Created PR</t>
  </si>
  <si>
    <t>GGO-14865</t>
  </si>
  <si>
    <t>Reports and Exports page - Left nav and Header section</t>
  </si>
  <si>
    <t>https://greatergiving.visualstudio.com/Greater%20Giving/_git/GGO/pullrequest/9269</t>
  </si>
  <si>
    <t>06/02/2026 - Applied Praveen changes to to current branch Implemented new card design for the reports
10/02/2026 - Unit testing , PO verfication and fixed UI Issues 
11/02/2026 - Deployed in dev and fixed minor UI issues</t>
  </si>
  <si>
    <t>GGO-14866</t>
  </si>
  <si>
    <t>Reports and Exports - Search bar</t>
  </si>
  <si>
    <t xml:space="preserve">
09/02/2026 - Implemented search functionality on the reports
10/02/2026 - Unit testing , PO verfication and fixed UI Issues 
11/02/2026 - Deployed in dev and fixed minor UI issues</t>
  </si>
  <si>
    <t>GGO-14867</t>
  </si>
  <si>
    <t>Reports and Exports - Favorite Reports section</t>
  </si>
  <si>
    <t xml:space="preserve">
10/02/2026 - Unit testing , PO verfication and fixed UI Issues 
11/02/2026 - Deployed in dev and fixed minor UI issues</t>
  </si>
  <si>
    <t>Peer review</t>
  </si>
  <si>
    <t>Testing completed in the Dev env</t>
  </si>
  <si>
    <t>Development has been completed. Since we planned to provide a permanent fix, instead of calculating the mostRecentDate at the time of generating invoices or receipts, we decided to pre-calculate and update the relevant tables when associating sales with the corresponding payments. Initially, this logic was implemented in code, but later we moved it to triggers. As this is a major change, the testing effort required is significant, so the work has been carried forward.</t>
  </si>
  <si>
    <t>GGO 8.3.0 Sprint 1 [STRETCH]</t>
  </si>
  <si>
    <t>GGO-14868</t>
  </si>
  <si>
    <t>Reports and Exports - Recommended Reports section</t>
  </si>
  <si>
    <t>https://dev.azure.com/greatergiving/Greater%20Giving/_git/GGO/pullrequest/9281</t>
  </si>
  <si>
    <t>[02/12/2026]-did design changes for recommended reportes and created PR</t>
  </si>
  <si>
    <t>GGO-14869</t>
  </si>
  <si>
    <t>Reports and Exports - All Reports Section</t>
  </si>
  <si>
    <t>https://dev.azure.com/greatergiving/Greater%20Giving/_git/GGO/pullrequest/9284</t>
  </si>
  <si>
    <t>02/13/2026]-did design changes for all reports and exports and created PR</t>
  </si>
  <si>
    <t>GGO-14872</t>
  </si>
  <si>
    <t>Reports and Exports - Standard and Advanced Settings Page</t>
  </si>
  <si>
    <t>https://greatergiving.visualstudio.com/Greater%20Giving/_git/GGO/pullrequest/9302</t>
  </si>
  <si>
    <t>Sathiya/Saranya/Rajesh</t>
  </si>
  <si>
    <t>GGO-15135</t>
  </si>
  <si>
    <t>Jscrambler for GGO &amp; GGAM &amp; GO Time</t>
  </si>
  <si>
    <t>https://greatergiving.visualstudio.com/Greater%20Giving/_git/GGO/pullrequest/9201</t>
  </si>
  <si>
    <t xml:space="preserve">Dev Testing Completed. Testing completed in TST env. </t>
  </si>
  <si>
    <t>Development is completed in last sprint itself</t>
  </si>
  <si>
    <t>GGO-15138</t>
  </si>
  <si>
    <t>Online Bidding Settings Embed Video Settings</t>
  </si>
  <si>
    <t>https://greatergiving.visualstudio.com/Greater%20Giving/_git/GGO/pullrequest/9209</t>
  </si>
  <si>
    <t>01/23/2026  -  Development 100% completed.
                       Dev testing completed and Created PR</t>
  </si>
  <si>
    <t>GGO-15137</t>
  </si>
  <si>
    <t>Implement ReCaptcha in Supporter</t>
  </si>
  <si>
    <t>https://dev.azure.com/greatergiving/Greater%20Giving/_git/GGO/pullrequest/9211</t>
  </si>
  <si>
    <t xml:space="preserve">
01/27/2026 -  Implemented Recaptcha for Fundraising Activity page 
01/27/2026 -  Development 50% completed 
 01/28/2026 -  Fixed recaptcha error message clearing issue
                       Removed unused reference of CSP from the controllers
                       Local Unit testing and Created PR</t>
  </si>
  <si>
    <t>GGO-15108</t>
  </si>
  <si>
    <t>Equipment Express Update</t>
  </si>
  <si>
    <t>Method repeated multiple times. Move to common service and call it.</t>
  </si>
  <si>
    <t>https://dev.azure.com/greatergiving/Greater%20Giving/_git/GGO/pullrequest/9213</t>
  </si>
  <si>
    <t>Mccarty Joseph</t>
  </si>
  <si>
    <t>01/23/2026 - Remove the bullet point about Android Compatibility when the bluetooth option is enabled for a client.
                     Development 100% completed
                     Dev testing completed and Created PR</t>
  </si>
  <si>
    <t>GGO-13585</t>
  </si>
  <si>
    <t>Update to fix LLBLgen generated code</t>
  </si>
  <si>
    <t>https://greatergiving.visualstudio.com/Greater%20Giving/_git/GGO/pullrequest/9229</t>
  </si>
  <si>
    <t>01/23/2026 - Some LLBLGen Work is completed by Rajesh
01/28/2026 - Fixed code issue. Dev testing is completed</t>
  </si>
  <si>
    <t>GGO-15109</t>
  </si>
  <si>
    <t>Upgrade the Telerik to its latest version</t>
  </si>
  <si>
    <t>01/29/2026 - Upgraded Latest Telerik.Licensig Package
01/30/2026 - Analyzing how to implement licensing environmental wise for Telerik.Licensing package</t>
  </si>
  <si>
    <t>GGO-15142</t>
  </si>
  <si>
    <t>API Update for Next Gen - Checkout part 1</t>
  </si>
  <si>
    <t>https://greatergiving.visualstudio.com/Greater%20Giving/_git/GGO/pullrequest/9235</t>
  </si>
  <si>
    <t>01/28/2026 -  GetCheckinDetails API Updated with some additional info for NextGen. Development 100% completed
01/29/2026 - Dev testing completed. Created PR</t>
  </si>
  <si>
    <t>PAPI-883</t>
  </si>
  <si>
    <t>Upgrade the Polly NuGet Package</t>
  </si>
  <si>
    <t>https://dev.azure.com/greatergiving/Greater%20Giving/_git/PAPI/pullrequest/9242</t>
  </si>
  <si>
    <t>GGO 8.2.0 Sprint 4 [Stretch]</t>
  </si>
  <si>
    <t>GGO-15084</t>
  </si>
  <si>
    <t>Report Timestamps in UTC</t>
  </si>
  <si>
    <t xml:space="preserve">Dev Testing Completed. Testing completed in TST env. Pending with Onsite QA </t>
  </si>
  <si>
    <t xml:space="preserve">02/04/2026 - Implemented report run time based on Project timezone for rpf reports
</t>
  </si>
  <si>
    <t>GGO-15143</t>
  </si>
  <si>
    <t>Update the Apigee domain for Azure B2C OIDC endpoints.</t>
  </si>
  <si>
    <t>Verfiy</t>
  </si>
  <si>
    <t>2/5/2026   -Fixed decryption issue  verified in dev.
PR created</t>
  </si>
  <si>
    <t>https://greatergiving.visualstudio.com/Greater%20Giving/_git/GGO/pullrequest/9220</t>
  </si>
  <si>
    <t>01/28/2026 -  Identified query part which taking more time
01/29/2026 - Writing new sp for calculating most recent association date
                      Added migration script for the new SPCreated 
                      LLBLGen for the SP call definition</t>
  </si>
  <si>
    <t>Being Tested</t>
  </si>
  <si>
    <t>Testing completed in CRT env. Pending with Onsite QA</t>
  </si>
  <si>
    <t>GGO-15123</t>
  </si>
  <si>
    <t>package item search</t>
  </si>
  <si>
    <t>https://greatergiving.visualstudio.com/Greater%20Giving/_git/GGO/pullrequest/9159</t>
  </si>
  <si>
    <t>8/1/2026 - Item name search functionality implemented in View Packages search
9/1/2026 - Unit and Dev testing is completed. Created PR</t>
  </si>
  <si>
    <t>GGO-14843</t>
  </si>
  <si>
    <t>GGO is Creating Duplicate Event Codes</t>
  </si>
  <si>
    <t>https://greatergiving.visualstudio.com/Greater%20Giving/_git/GGO/pullrequest/9183</t>
  </si>
  <si>
    <t>Dev Testing Completed. Testing completed in TST env.  Pending with Onsite QA</t>
  </si>
  <si>
    <t>GGO-15125</t>
  </si>
  <si>
    <t>View Items - Reposition the buttons</t>
  </si>
  <si>
    <t>https://greatergiving.visualstudio.com/Greater%20Giving/_git/GGO/pullrequest/9158</t>
  </si>
  <si>
    <t>1/9/2026 - Development 100% completed. Dev testing is completed and Created a PR</t>
  </si>
  <si>
    <t>GGO-15126</t>
  </si>
  <si>
    <t>Create/Edit Item - Update the options within Image Description, Restriction and Images</t>
  </si>
  <si>
    <t>https://greatergiving.visualstudio.com/Greater%20Giving/_git/GGO/pullrequest/9167</t>
  </si>
  <si>
    <t>GGO-15127</t>
  </si>
  <si>
    <t>View Items/Packages - Remove Merge option</t>
  </si>
  <si>
    <t>the exclamation point is not necessary</t>
  </si>
  <si>
    <t>1/9/2026 - Development 100% completed. Merge option removed from Actons dropdown in View Item and View Packages pages. Dev testing is completed and Created a PR</t>
  </si>
  <si>
    <t>GGO-15079</t>
  </si>
  <si>
    <t>Do not allow OB Donation package as a featured package</t>
  </si>
  <si>
    <t>https://greatergiving.visualstudio.com/Greater%20Giving/_git/GGO/pullrequest/9191</t>
  </si>
  <si>
    <t>1/16/2026 - Analysis completed
1/17/2026 - Development is 80% completed
1/18/2026 - Development is 100% completed
1/19/2026 - Unit and Dev testing is completed and created a PR</t>
  </si>
  <si>
    <t>GGO-15128</t>
  </si>
  <si>
    <t>Image File Size not getting set</t>
  </si>
  <si>
    <t>https://greatergiving.visualstudio.com/Greater%20Giving/_git/GGO/pullrequest/9172</t>
  </si>
  <si>
    <t>1/12/2026 - Development 80% completed
1/13/2026 - LLBLGen created for stored procedure and Dev testing is completed and created a PR</t>
  </si>
  <si>
    <t>GGO-15104</t>
  </si>
  <si>
    <t>Guides &amp; Analytics toggle won't save</t>
  </si>
  <si>
    <t>Development is completed by our end. Pending from Pendo side</t>
  </si>
  <si>
    <t>1/19/2026 - Completed analysis &amp; Implemented Jscramber in ManageSalesAndPayements and GoTime
1/20/2026 - Implemented Jscramber in GGAM Page
1/21/2026 - Refactored code. Unit testing and peer review done. Created Pull request for review. Development and unit testing is done by our end. Settings to be updated by Jcramber Side</t>
  </si>
  <si>
    <t>Unable to reproduce in TST env. Mike will confirm with backend team whether we need to close  this ticket or provide the steps to reproduce</t>
  </si>
  <si>
    <t>GGO-15068</t>
  </si>
  <si>
    <t>Print or Email Invoices/Receipts - Add a loading Pop-up</t>
  </si>
  <si>
    <t>https://greatergiving.visualstudio.com/Greater%20Giving/_git/GGO/pullrequest/9094</t>
  </si>
  <si>
    <t>Completed Testing in the TST env</t>
  </si>
  <si>
    <t>GGO-15124</t>
  </si>
  <si>
    <t>Item Name field allows more than 127 characters, causing error on save in the Create Item Page</t>
  </si>
  <si>
    <t>https://greatergiving.visualstudio.com/Greater%20Giving/_git/GGO/pullrequest/9109</t>
  </si>
  <si>
    <t>GGO-15052</t>
  </si>
  <si>
    <t>API Update for Next Gen - Supporter Search</t>
  </si>
  <si>
    <t>https://greatergiving.visualstudio.com/Greater%20Giving/_git/GGO/pullrequest/9105</t>
  </si>
  <si>
    <t>GGO-15086</t>
  </si>
  <si>
    <t>no negative search for sales and payments</t>
  </si>
  <si>
    <t>https://greatergiving.visualstudio.com/Greater%20Giving/_git/GGO/pullrequest/9126</t>
  </si>
  <si>
    <t>GGO-14956</t>
  </si>
  <si>
    <t>Online Bidding settings page - Section 1</t>
  </si>
  <si>
    <t>https://greatergiving.visualstudio.com/Greater%20Giving/_git/GGO/pullrequest/9136</t>
  </si>
  <si>
    <t xml:space="preserve">
Mccarty, Joseph</t>
  </si>
  <si>
    <t>GGO-14919</t>
  </si>
  <si>
    <t>Online Bidding settings page - Section 2</t>
  </si>
  <si>
    <t>GGO-14957</t>
  </si>
  <si>
    <t>Online Bidding settings page - Section 3</t>
  </si>
  <si>
    <t>GGO-15094</t>
  </si>
  <si>
    <t>Fallback plan for OB changes</t>
  </si>
  <si>
    <t>GGO-15080</t>
  </si>
  <si>
    <t>API update for Next Gen - supporter badges</t>
  </si>
  <si>
    <t>https://greatergiving.visualstudio.com/Greater%20Giving/_git/GGO/pullrequest/9140</t>
  </si>
  <si>
    <t>GGO-15117</t>
  </si>
  <si>
    <t>View Package for for Non-Admin User*</t>
  </si>
  <si>
    <t>https://greatergiving.visualstudio.com/Greater%20Giving/_git/GGO/pullrequest/9149</t>
  </si>
  <si>
    <t>GGO-15132</t>
  </si>
  <si>
    <t>Online Bidding Settings - Edit or Change Phase*</t>
  </si>
  <si>
    <t>https://greatergiving.visualstudio.com/Greater%20Giving/_git/GGO/pullrequest/9146</t>
  </si>
  <si>
    <t>GGO-15111</t>
  </si>
  <si>
    <t>Revise Create/Edit Package design*</t>
  </si>
  <si>
    <t>https://greatergiving.visualstudio.com/Greater%20Giving/_git/GGO/pullrequest/9150</t>
  </si>
  <si>
    <t>Sathiya/Saranya</t>
  </si>
  <si>
    <t>GGO-15112</t>
  </si>
  <si>
    <t>Update the grids - Supporter, Items and Packages pages*</t>
  </si>
  <si>
    <t>https://greatergiving.visualstudio.com/Greater%20Giving/_git/GGO/pullrequest/9151</t>
  </si>
  <si>
    <t>package item search*</t>
  </si>
  <si>
    <t>GGO-14932</t>
  </si>
  <si>
    <t>Pop-up Dialogs in View Packages page</t>
  </si>
  <si>
    <t>https://greatergiving.visualstudio.com/Greater%20Giving/_git/GGO/pullrequest/9053</t>
  </si>
  <si>
    <t>GGO-15091</t>
  </si>
  <si>
    <t>Image Manager Missing in New UI for Edit Package Image while creating New Items</t>
  </si>
  <si>
    <t>https://greatergiving.visualstudio.com/Greater%20Giving/_git/GGO/pullrequest/9052</t>
  </si>
  <si>
    <t>GGO-15085</t>
  </si>
  <si>
    <t>package search update</t>
  </si>
  <si>
    <t>https://greatergiving.visualstudio.com/Greater%20Giving/_git/GGO/pullrequest/9068</t>
  </si>
  <si>
    <t>GGO-15095</t>
  </si>
  <si>
    <t>Nuget Package updates</t>
  </si>
  <si>
    <t>https://greatergiving.visualstudio.com/Greater%20Giving/_git/GGO/pullrequest/9087</t>
  </si>
  <si>
    <t>GGO-14876</t>
  </si>
  <si>
    <t>Create/Edit Package Page</t>
  </si>
  <si>
    <t>Sathya</t>
  </si>
  <si>
    <t>https://greatergiving.visualstudio.com/Greater%20Giving/_git/GGO/pullrequest/9084</t>
  </si>
  <si>
    <t>GGO-15071</t>
  </si>
  <si>
    <t>Image Manager - Folder Rename Issue</t>
  </si>
  <si>
    <t>https://greatergiving.visualstudio.com/Greater%20Giving/_git/GGO/pullrequest/9086</t>
  </si>
  <si>
    <t>Mccarty, Joseph</t>
  </si>
  <si>
    <t>GGO-15072</t>
  </si>
  <si>
    <t>Project Home Update - Non OB Clients</t>
  </si>
  <si>
    <t>https://greatergiving.visualstudio.com/Greater%20Giving/_git/GGO/pullrequest/9063</t>
  </si>
  <si>
    <t>GGO-15106</t>
  </si>
  <si>
    <t>All radio buttons appear selected by default on the Edit Invoice and GoTime Settings page</t>
  </si>
  <si>
    <t>https://greatergiving.visualstudio.com/Greater%20Giving/_git/GGO/pullrequest/9078</t>
  </si>
  <si>
    <t>GGO-15110</t>
  </si>
  <si>
    <t>Edit Package - Change Type and UI issue</t>
  </si>
  <si>
    <t>https://greatergiving.visualstudio.com/Greater%20Giving/_git/GGO/pullrequest/9095</t>
  </si>
  <si>
    <t>Print or Email Invoices/Receipts - Add a loading Pop-up*</t>
  </si>
  <si>
    <t>no negative search for sales and payments*</t>
  </si>
  <si>
    <t>GGO-15014</t>
  </si>
  <si>
    <t>Defect</t>
  </si>
  <si>
    <t>GGO-14931</t>
  </si>
  <si>
    <t>View Items Advanced Search</t>
  </si>
  <si>
    <t>https://greatergiving.visualstudio.com/Greater%20Giving/_git/GGO/pullrequest/9004</t>
  </si>
  <si>
    <t>GGO-15075</t>
  </si>
  <si>
    <t>Supporter and Item Search advanced syntax</t>
  </si>
  <si>
    <t>https://greatergiving.visualstudio.com/Greater%20Giving/_git/GGO/pullrequest/9008</t>
  </si>
  <si>
    <t>GGO-15065</t>
  </si>
  <si>
    <t>Cancel Button Hidden in Popups on Package Page Across All Environments - UI Issues</t>
  </si>
  <si>
    <t>https://greatergiving.visualstudio.com/Greater%20Giving/_git/GGO/pullrequest/9017</t>
  </si>
  <si>
    <t>GGO-15058</t>
  </si>
  <si>
    <t>Login Page Update - Expiring Privacy Policy Message v2</t>
  </si>
  <si>
    <t>https://greatergiving.visualstudio.com/Greater%20Giving/_git/GGO/pullrequest/9031</t>
  </si>
  <si>
    <t xml:space="preserve">
the whole div should be removed, right?
Are we also hiding the B2C Batch Migration setting?
this div is the end div that was surrounding the B2C Batch Migration, right?
</t>
  </si>
  <si>
    <t>GGO-15067</t>
  </si>
  <si>
    <t>Nav Bar - Maintain consistent behavior throughout the application</t>
  </si>
  <si>
    <t>https://greatergiving.visualstudio.com/Greater%20Giving/_git/GGO/pullrequest/9019</t>
  </si>
  <si>
    <t>GGO-14933</t>
  </si>
  <si>
    <t>View Packages Advanced Search</t>
  </si>
  <si>
    <t>https://greatergiving.visualstudio.com/Greater%20Giving/_git/GGO/pullrequest/9028</t>
  </si>
  <si>
    <t>Saranya / Rajesh</t>
  </si>
  <si>
    <t>PAPI-891</t>
  </si>
  <si>
    <t>GoTime Check-in with EMV is missing PAPI Payment record for CardVerify</t>
  </si>
  <si>
    <t>https://greatergiving.visualstudio.com/Greater%20Giving/_git/PAPI/pullrequest/9029</t>
  </si>
  <si>
    <t>GGO-15081</t>
  </si>
  <si>
    <t>Create Items - Update Hyperlink Manager pop-up*</t>
  </si>
  <si>
    <t>https://greatergiving.visualstudio.com/Greater%20Giving/_git/GGO/pullrequest/9040</t>
  </si>
  <si>
    <t>Completed Testing in the Dev env</t>
  </si>
  <si>
    <t>GGO-15082</t>
  </si>
  <si>
    <t>Rename popup UI shrinks and require multiple clicks in Global Search to apply changes</t>
  </si>
  <si>
    <t>https://greatergiving.visualstudio.com/Greater%20Giving/_git/GGO/pullrequest/9038</t>
  </si>
  <si>
    <t>GGO-15089</t>
  </si>
  <si>
    <t>RSVP Import Delays / Slowness*</t>
  </si>
  <si>
    <t>https://greatergiving.visualstudio.com/Greater%20Giving/_git/GGO/pullrequest/9050</t>
  </si>
  <si>
    <t>Verify</t>
  </si>
  <si>
    <t>GGO-15802</t>
  </si>
  <si>
    <t>Rename popup UI shrinks and require multiple clicks in Global Search
 to apply changes</t>
  </si>
  <si>
    <t>GGO-14901</t>
  </si>
  <si>
    <t>Manage Images - Popup</t>
  </si>
  <si>
    <t>https://dev.azure.com/greatergiving/Greater%20Giving/_git/GGO/pullrequest/8963</t>
  </si>
  <si>
    <t>GGO-10698</t>
  </si>
  <si>
    <t>Item solicitor doesn't import when added during Import Online Item Donation process</t>
  </si>
  <si>
    <t>https://dev.azure.com/greatergiving/Greater%20Giving/_git/GGO/pullrequest/8980</t>
  </si>
  <si>
    <t>GGO-15054</t>
  </si>
  <si>
    <t>Supporters - Filters - Retain Radio buttons value in Saved Search</t>
  </si>
  <si>
    <t>https://dev.azure.com/greatergiving/Greater%20Giving/_git/GGO/pullrequest/8971</t>
  </si>
  <si>
    <t>GGO-15060</t>
  </si>
  <si>
    <t>View Items page for Non-Admin User</t>
  </si>
  <si>
    <t>https://greatergiving.visualstudio.com/Greater%20Giving/_git/GGO/pullrequest/8990</t>
  </si>
  <si>
    <t>GGO-15055</t>
  </si>
  <si>
    <t>View Items - Actions - Copy Items from other Projects</t>
  </si>
  <si>
    <t>https://dev.azure.com/greatergiving/Greater%20Giving/_git/GGO/pullrequest/8987</t>
  </si>
  <si>
    <t>Rajesh/Saranya/Sathya</t>
  </si>
  <si>
    <t>View Items Advanced Search*</t>
  </si>
  <si>
    <t>GGO-15066</t>
  </si>
  <si>
    <t>Equipment Needed banner is missing after the GGO UI refresh released to Production</t>
  </si>
  <si>
    <t>https://greatergiving.visualstudio.com/Greater%20Giving/_git/GGO/pullrequest/8998</t>
  </si>
  <si>
    <t>GGO-15070</t>
  </si>
  <si>
    <t>View Supporters no cards on file search filter is not working</t>
  </si>
  <si>
    <t>https://greatergiving.visualstudio.com/Greater%20Giving/_git/GGO/pullrequest/9002</t>
  </si>
  <si>
    <t>GGO-15073</t>
  </si>
  <si>
    <t>Activate OB Link isn't on the New GGO Home Page</t>
  </si>
  <si>
    <t>https://greatergiving.visualstudio.com/Greater%20Giving/_git/GGO/pullrequest/9000</t>
  </si>
  <si>
    <t>GGO-15069</t>
  </si>
  <si>
    <t>UI Issues</t>
  </si>
  <si>
    <t>https://greatergiving.visualstudio.com/Greater%20Giving/_git/GGO/pullrequest/8994</t>
  </si>
  <si>
    <t>GGO-15042</t>
  </si>
  <si>
    <t>Re-introduce Group by Household to Supporter Grid*</t>
  </si>
  <si>
    <t>https://greatergiving.visualstudio.com/Greater%20Giving/_git/GGO/pullrequest/8944</t>
  </si>
  <si>
    <t>Testing completed in the TST env.</t>
  </si>
  <si>
    <t>GG0-15041</t>
  </si>
  <si>
    <t>Household Investigation</t>
  </si>
  <si>
    <t>GGO-15020</t>
  </si>
  <si>
    <t>OneTrust implementation issue</t>
  </si>
  <si>
    <t>https://greatergiving.visualstudio.com/Greater%20Giving/_git/GGO/pullrequest/8954</t>
  </si>
  <si>
    <t>Since the design is more complex and focused on group items by household functionality in the view supporters filter</t>
  </si>
  <si>
    <t>Saranya/Sathya</t>
  </si>
  <si>
    <t>GGO-14930</t>
  </si>
  <si>
    <t>Pop-up Dialogs in View Items page</t>
  </si>
  <si>
    <t>https://greatergiving.visualstudio.com/Greater%20Giving/_git/GGO/pullrequest/8960</t>
  </si>
  <si>
    <t>Selecting 2 items, click Package from Actions, Click cancel causes the page to refresh and items selected become unselected.</t>
  </si>
  <si>
    <t>Sathiya/Rajesh/Saranya</t>
  </si>
  <si>
    <t>GGO-15050</t>
  </si>
  <si>
    <t xml:space="preserve">Search filter and design issues </t>
  </si>
  <si>
    <t>Praveen/Sathiya</t>
  </si>
  <si>
    <t>GGO-15015</t>
  </si>
  <si>
    <t>Create Item - Update the Rich Text editor</t>
  </si>
  <si>
    <t>Praveen</t>
  </si>
  <si>
    <t>https://greatergiving.visualstudio.com/Greater%20Giving/_git/GGO/pullrequest/8918</t>
  </si>
  <si>
    <t>Mike Horihon</t>
  </si>
  <si>
    <t>Verified in the TST env. Working well</t>
  </si>
  <si>
    <t>GGO-14966</t>
  </si>
  <si>
    <t>item package updates</t>
  </si>
  <si>
    <t>https://greatergiving.visualstudio.com/Greater%20Giving/_git/GGO/pullrequest/8902</t>
  </si>
  <si>
    <t>GGO-14877</t>
  </si>
  <si>
    <t>Create Item - Image Control (Multi-image chooser)</t>
  </si>
  <si>
    <t>https://greatergiving.visualstudio.com/Greater%20Giving/_git/GGO/pullrequest/8922</t>
  </si>
  <si>
    <t>GGO-15037</t>
  </si>
  <si>
    <t>Error clicking cancel in Email Verify and Password Reset</t>
  </si>
  <si>
    <t>https://greatergiving.visualstudio.com/Greater%20Giving/_git/GGO/pullrequest/8893</t>
  </si>
  <si>
    <t>GGO-15029</t>
  </si>
  <si>
    <t>Gotime-Error</t>
  </si>
  <si>
    <t>Verified from client side.</t>
  </si>
  <si>
    <t>Testing in Dev env.</t>
  </si>
  <si>
    <t>GGO-14980</t>
  </si>
  <si>
    <t>View Supporter Page Filter - Save Search</t>
  </si>
  <si>
    <t>https://greatergiving.visualstudio.com/Greater%20Giving/_git/GGO/pullrequest/8872</t>
  </si>
  <si>
    <t>Due to complications involving multiple user controls on the filter page, some functions within the new user control are not triggering as expected. Additionally, new controls were added which require further integration and testing to ensure smooth functionality.</t>
  </si>
  <si>
    <t>GGO-14822</t>
  </si>
  <si>
    <t>Update Email validation on Project Builder</t>
  </si>
  <si>
    <t>https://greatergiving.visualstudio.com/Greater%20Giving/_git/GGO/pullrequest/8860</t>
  </si>
  <si>
    <t>GGO-15013</t>
  </si>
  <si>
    <t>Remove G logo from side nav</t>
  </si>
  <si>
    <t>https://greatergiving.visualstudio.com/Greater%20Giving/_git/GGO/pullrequest/8853</t>
  </si>
  <si>
    <t>Michael Wall</t>
  </si>
  <si>
    <t>GGO-14661</t>
  </si>
  <si>
    <t>Reskin Feature flag for new clients</t>
  </si>
  <si>
    <t>https://greatergiving.visualstudio.com/Greater%20Giving/_git/GGO/pullrequest/8850</t>
  </si>
  <si>
    <t>Saranya/Praveen</t>
  </si>
  <si>
    <t>GGO-15010</t>
  </si>
  <si>
    <t>Reskin Project Home Update Issue</t>
  </si>
  <si>
    <t>https://greatergiving.visualstudio.com/Greater%20Giving/_git/GGO/pullrequest/8873</t>
  </si>
  <si>
    <t>Rajesh/Sathiya</t>
  </si>
  <si>
    <t>GGO-14960</t>
  </si>
  <si>
    <t>Macroscope - High - Prevent URL Redirector Abuse on Logout</t>
  </si>
  <si>
    <t>https://greatergiving.visualstudio.com/Greater%20Giving/_git/GGO/pullrequest/8876</t>
  </si>
  <si>
    <t>PAPI-882</t>
  </si>
  <si>
    <t>Ensure All Card Types can be added as CoF when amount = $0.01 is set by Mobile Team</t>
  </si>
  <si>
    <t>Create Item - Update the Rich Text editor*</t>
  </si>
  <si>
    <t>item package updates*</t>
  </si>
  <si>
    <t>GGO-15030</t>
  </si>
  <si>
    <t>Create sales page UI impact</t>
  </si>
  <si>
    <t>GGO-14854</t>
  </si>
  <si>
    <t>View Supporter Page Filter - Staff and Fundraisers*</t>
  </si>
  <si>
    <t>https://greatergiving.visualstudio.com/Greater%20Giving/_git/GGO/pullrequest/8810</t>
  </si>
  <si>
    <t>Testing completed in the Dev env. 4:30 PM 9/4/2025</t>
  </si>
  <si>
    <t>Sathya / Praveen</t>
  </si>
  <si>
    <t>GGO-14875</t>
  </si>
  <si>
    <t>Create Item Page</t>
  </si>
  <si>
    <t>https://dev.azure.com/greatergiving/Greater%20Giving/_git/GGO/pullrequest/8744</t>
  </si>
  <si>
    <t>Mike Wall</t>
  </si>
  <si>
    <t>GGO-14979</t>
  </si>
  <si>
    <t>View Supporter Page Filter - Supporters</t>
  </si>
  <si>
    <t>https://greatergiving.visualstudio.com/Greater%20Giving/_git/GGO/pullrequest/8822</t>
  </si>
  <si>
    <t>GGO-14984</t>
  </si>
  <si>
    <t>Content Security Policy Update for Pendo *</t>
  </si>
  <si>
    <t>https://greatergiving.visualstudio.com/Greater%20Giving/_git/GGO/pullrequest/8820</t>
  </si>
  <si>
    <t>GGO-15009</t>
  </si>
  <si>
    <t>sub field creation links to classic page</t>
  </si>
  <si>
    <t>Enhancements</t>
  </si>
  <si>
    <t>Conor</t>
  </si>
  <si>
    <t>We found the same kind of issue in the dev env while testing the create item page. Onsite QA found the same issue while editing the items in the TST env</t>
  </si>
  <si>
    <t>Praveen / Sathiya</t>
  </si>
  <si>
    <t>GGO-14858</t>
  </si>
  <si>
    <t>Retain the overall design of the application</t>
  </si>
  <si>
    <t>https://dev.azure.com/greatergiving/Greater%20Giving/_git/GGO/pullrequest/8756</t>
  </si>
  <si>
    <t>Prabhu</t>
  </si>
  <si>
    <t>It is stretched story development  and testing completed by offshore , onsite QA testing not yet completed.[22-Aug-25]. Testing completed</t>
  </si>
  <si>
    <t>GGO-14863</t>
  </si>
  <si>
    <t>OneTrust Privacy Center in profile</t>
  </si>
  <si>
    <t>https://greatergiving.visualstudio.com/Greater%20Giving/_git/GGO/pullrequest/8779</t>
  </si>
  <si>
    <t>Testing completed in the TST env,</t>
  </si>
  <si>
    <t>GGO-14852</t>
  </si>
  <si>
    <t>View Supporter Page Filter - Bidders &amp; Attendees</t>
  </si>
  <si>
    <t>Sathya/Praveen</t>
  </si>
  <si>
    <t>https://greatergiving.visualstudio.com/Greater%20Giving/_git/GGO/pullrequest/8786</t>
  </si>
  <si>
    <t>Rajesh / Saranya / Sathya</t>
  </si>
  <si>
    <t>GGO-14853</t>
  </si>
  <si>
    <t>View Supporter Page Filter - Sponsors and Donors</t>
  </si>
  <si>
    <t xml:space="preserve">Mccarty, Joseph </t>
  </si>
  <si>
    <t>GGO 8.0.0 Sprint 1 - [Stretch]</t>
  </si>
  <si>
    <t>GGO-14971</t>
  </si>
  <si>
    <t>Pendo Content Security Policy *</t>
  </si>
  <si>
    <t>https://greatergiving.visualstudio.com/Greater%20Giving/_git/GGO/pullrequest/8799</t>
  </si>
  <si>
    <t>Testing completed by Client. Offshore QA doesnt have access to do the testing for this</t>
  </si>
  <si>
    <t>GGO-14972</t>
  </si>
  <si>
    <t>org mail templates error</t>
  </si>
  <si>
    <t>https://greatergiving.visualstudio.com/Greater%20Giving/_git/GGO/pullrequest/8773</t>
  </si>
  <si>
    <t>Carry forward CRT bug</t>
  </si>
  <si>
    <t>GGO-14970</t>
  </si>
  <si>
    <t>jquery update issues</t>
  </si>
  <si>
    <t>Onsite Dev-Mike Wall picked this story earlier did some basic changes due to design difficulties handovered the story to offshore on 1-sep-25</t>
  </si>
  <si>
    <t>GGO-14981</t>
  </si>
  <si>
    <t>Date Picker Positioning Breaks After Scrolling the Page</t>
  </si>
  <si>
    <t>https://greatergiving.visualstudio.com/Greater%20Giving/_git/GGO/pullrequest/8791</t>
  </si>
  <si>
    <t>Rajesh/Sathya/Saranya</t>
  </si>
  <si>
    <t>GGO-14851</t>
  </si>
  <si>
    <t>Filter pages - Sales &amp; Payments (with Payments on) and Supporters</t>
  </si>
  <si>
    <t>https://greatergiving.visualstudio.com/Greater%20Giving/_git/GGO/pullrequest/8742</t>
  </si>
  <si>
    <t>GGO-14712</t>
  </si>
  <si>
    <t>View Supporter Filter and Sales &amp; Payments (with Sales on) page</t>
  </si>
  <si>
    <t>https://greatergiving.visualstudio.com/Greater%20Giving/_git/GGO/pullrequest/8725</t>
  </si>
  <si>
    <t>OneTrust Privacy Center in profile*</t>
  </si>
  <si>
    <t>Retain the overall design of the application*</t>
  </si>
  <si>
    <t>Ready for testing</t>
  </si>
  <si>
    <t>It is stretched story development  and testing completed by offshore , onsite QA testing not yet completed.[22-Aug-25]</t>
  </si>
  <si>
    <t>GGO-14954</t>
  </si>
  <si>
    <t>Filter Not Reset When Sales Is Disabled</t>
  </si>
  <si>
    <t>https://greatergiving.visualstudio.com/Greater%20Giving/_git/GGO/pullrequest/8738</t>
  </si>
  <si>
    <t>GGO-14961</t>
  </si>
  <si>
    <t>Supporter Records Not Filtering Correctly When "Has Payment" is Toggled On</t>
  </si>
  <si>
    <t>GGO-14691</t>
  </si>
  <si>
    <t>View Packages page</t>
  </si>
  <si>
    <t>GGO-14689</t>
  </si>
  <si>
    <t>View Items page</t>
  </si>
  <si>
    <t>GGO-14962</t>
  </si>
  <si>
    <t>Old Icon Displayed for "Type" in View Packages Page</t>
  </si>
  <si>
    <t>GGO-14927</t>
  </si>
  <si>
    <t>Macroscope - High - Microsoft.VSSDK.BuildTools:15.8.3252</t>
  </si>
  <si>
    <t>GGO-14955</t>
  </si>
  <si>
    <t>MacroScope - Medium - BDSA-2022-2259 - System.Security.Cryptography.Xml/4.5.0</t>
  </si>
  <si>
    <t>GGO-14802</t>
  </si>
  <si>
    <t>GGO Reskin - Implement the View Supporter common controls</t>
  </si>
  <si>
    <t>https://greatergiving.visualstudio.com/Greater%20Giving/_git/GGO/pullrequest/8677</t>
  </si>
  <si>
    <t>28 July 2025 at 09:13
Verified in the TST env.</t>
  </si>
  <si>
    <t>GGO-14724</t>
  </si>
  <si>
    <t>Implement OneTrust</t>
  </si>
  <si>
    <t>https://greatergiving.visualstudio.com/Greater%20Giving/_git/GGO/pullrequest/8667</t>
  </si>
  <si>
    <t>GGO-14840</t>
  </si>
  <si>
    <t>Pop-up Dialogs in Supporters page</t>
  </si>
  <si>
    <t>https://greatergiving.visualstudio.com/Greater%20Giving/_git/GGO/pullrequest/8706</t>
  </si>
  <si>
    <t>GGO-14855</t>
  </si>
  <si>
    <t xml:space="preserve">when saved search is selected no new search can be done </t>
  </si>
  <si>
    <t>https://greatergiving.visualstudio.com/Greater%20Giving/_git/GGO/pullrequest/8691</t>
  </si>
  <si>
    <t>28 July 2025 at 09:13
Except for the 1st scenario, Everything is working as expected. As discussed with Jennifer, greying out the other action dropdowns except import will be fixed in the Popup story. Hence, closing the defect.</t>
  </si>
  <si>
    <t>The design challenges in this story prevent us from reusing existing user controls in every context.</t>
  </si>
  <si>
    <t>We didn’t work on this story due to story GGO-14840 taking more time than anticipated due to its complexity</t>
  </si>
  <si>
    <t>GGO-14794</t>
  </si>
  <si>
    <t>GGO Reskin - Implement the View Catalog page</t>
  </si>
  <si>
    <t>https://greatergiving.visualstudio.com/Greater%20Giving/_git/GGO/pullrequest/8687</t>
  </si>
  <si>
    <t>4 August 2025 at 09:14
Verified in the TST env. Working well</t>
  </si>
  <si>
    <t>GGO-14900</t>
  </si>
  <si>
    <t>Update Manage Columns in Catalog Grid</t>
  </si>
  <si>
    <t>GGO-14906</t>
  </si>
  <si>
    <t>checkbox Alignment Issues and Missed to implement Bottom Border Opacity and Title panel Aligns</t>
  </si>
  <si>
    <t>GGO-14687</t>
  </si>
  <si>
    <t>GGO Reskin - Implement the View Supporter page</t>
  </si>
  <si>
    <t>https://greatergiving.visualstudio.com/Greater%20Giving/_git/GGO/pullrequest/8649</t>
  </si>
  <si>
    <t>Testing is still in progress in the TST env
8:52 PM 7/16/2025. Testing completed in the TST env. 7/21/2025</t>
  </si>
  <si>
    <t>Did Testing in TST Env. Found a bug.Created a defect under this story</t>
  </si>
  <si>
    <t>Development part is completed. OneTrust website is not yet available in the TST environment</t>
  </si>
  <si>
    <t>GGO-14688</t>
  </si>
  <si>
    <t>GGO Reskin - Implement the Edit Supporter details page - Top Section</t>
  </si>
  <si>
    <t>Can't able to complete the task as planned due to changes in the new layout design, which introduced additional controls and complexity. Also, another story GGO-14687 required more time than anticipated, which impacted the overall timeline."</t>
  </si>
  <si>
    <t>GGO-14831</t>
  </si>
  <si>
    <t>MacroScope - High - Microsoft.Owin.Security.OpenIdConnect:4.2.2</t>
  </si>
  <si>
    <t>Did one round of Regression Testing in the TST env.</t>
  </si>
  <si>
    <t>GGO-14835</t>
  </si>
  <si>
    <t>MacroScope - High - BDSA-2024-7402 - jQuery.UI.Combined/1.12.1</t>
  </si>
  <si>
    <t>GGO-14832</t>
  </si>
  <si>
    <t>MacroScope - High - CVE-2021-24112 - System.Drawing.Common</t>
  </si>
  <si>
    <t>GGO-14829</t>
  </si>
  <si>
    <t>MacroScope - High - Manual HTML Sanitization</t>
  </si>
  <si>
    <t>GGO-14837</t>
  </si>
  <si>
    <t>MacroScope - High - DomPurify.js Unsanitized HTML</t>
  </si>
  <si>
    <t>GGO-14850</t>
  </si>
  <si>
    <t>Rajesh/Saranya/Sathiya</t>
  </si>
  <si>
    <t>Display warning popup when only one supporter is selected for household creation</t>
  </si>
  <si>
    <t>Development</t>
  </si>
  <si>
    <t>Developer missed handling this negative scenario.</t>
  </si>
  <si>
    <t>Moving forward, Developers will also do proper Unit testing before pushing this to TST env</t>
  </si>
  <si>
    <t>Dropdown under Actions is disabled when searching for supporters and no records are found, and also few UI Alignment issues</t>
  </si>
  <si>
    <t>Inprogress</t>
  </si>
  <si>
    <t>GGO-14856</t>
  </si>
  <si>
    <t>Rejected</t>
  </si>
  <si>
    <t>GGO-14799</t>
  </si>
  <si>
    <t>API update for next gen section times</t>
  </si>
  <si>
    <t>https://greatergiving.visualstudio.com/Greater%20Giving/_git/GGO/pullrequest/8619</t>
  </si>
  <si>
    <t>3 July 2025 at 09:11
Verified in the TST env.Working fine</t>
  </si>
  <si>
    <t>GGO-14699</t>
  </si>
  <si>
    <t>GGO Reskin - Update for the Project Home for Total sales grid</t>
  </si>
  <si>
    <t>https://dev.azure.com/greatergiving/Greater%20Giving/_git/GGO/pullrequest/8606</t>
  </si>
  <si>
    <t>3 July 2025 at 08:03
Verified in the TST env.</t>
  </si>
  <si>
    <t>GGO-14700</t>
  </si>
  <si>
    <t>GGO Reskin - Update for the Project Home for the Total Payments grid</t>
  </si>
  <si>
    <t>https://dev.azure.com/greatergiving/Greater%20Giving/_git/GGO/pullrequest/8612</t>
  </si>
  <si>
    <t>3 July 2025 at 08:06
Verified in the TST env.</t>
  </si>
  <si>
    <t>https://greatergiving.atlassian.net/browse/GGO-14798</t>
  </si>
  <si>
    <t>Go Time Script Update</t>
  </si>
  <si>
    <t>GGO-14682</t>
  </si>
  <si>
    <t>Reskin update for the User profile</t>
  </si>
  <si>
    <t>Tested in the Dev and TST env. Few issues found. 
Testing completed in the TST env.</t>
  </si>
  <si>
    <t>Rajesh/Sathiya/Saranya</t>
  </si>
  <si>
    <t>GGO-14683</t>
  </si>
  <si>
    <t>Reskin update for the Project Home</t>
  </si>
  <si>
    <t>Saranya/Sathiya/Rajesh</t>
  </si>
  <si>
    <t>http://greatergiving.visualstudio.com/Greater%20Giving/_git/GGO/pullrequest/8598</t>
  </si>
  <si>
    <t>GGO-14763</t>
  </si>
  <si>
    <t>Saranya/Priya</t>
  </si>
  <si>
    <t>Sathiya/Priya</t>
  </si>
  <si>
    <t>https://greatergiving.visualstudio.com/Greater%20Giving/_git/GGO/pullrequest/8581</t>
  </si>
  <si>
    <t>Tested in the TST env directly.Still one issues exists 5:25 PM 6/16/2025 
Testing completed in the TST env</t>
  </si>
  <si>
    <t>GGO-14765</t>
  </si>
  <si>
    <t>GGO 7.24.0 CRT Release &amp; Regression Testing</t>
  </si>
  <si>
    <t>PAPI-866</t>
  </si>
  <si>
    <t>PAPI 7.19.0 CRT Release &amp; Regression Testing</t>
  </si>
  <si>
    <t>https://greatergiving.atlassian.net/browse/GGO-14732</t>
  </si>
  <si>
    <t>Update MFA physical address &amp; other old addresses</t>
  </si>
  <si>
    <t>https://greatergiving.atlassian.net/browse/GGO-14766</t>
  </si>
  <si>
    <t>Update Pendo Implementation</t>
  </si>
  <si>
    <t>GGO-14721</t>
  </si>
  <si>
    <t>GoTime - NextGen API Update - Changing to a new project doesn't persist on next login if user changed their home organization</t>
  </si>
  <si>
    <t>https://greatergiving.visualstudio.com/Greater%20Giving/_git/GGO/pullrequest/8562</t>
  </si>
  <si>
    <t>https://greatergiving.visualstudio.com/Greater%20Giving/_git/GGO/pullrequest/8576</t>
  </si>
  <si>
    <t>Raised bug under this story in the TST env.</t>
  </si>
  <si>
    <t>SathiyaBharathi</t>
  </si>
  <si>
    <t>GGO-14657</t>
  </si>
  <si>
    <t>Reskin for the TopBar</t>
  </si>
  <si>
    <t>UI issues</t>
  </si>
  <si>
    <t>https://greatergiving.visualstudio.com/Greater%20Giving/_git/GGO/pullrequest/8531</t>
  </si>
  <si>
    <t>We do not have access to OneTrust Privay Policy Center and discussions are still ongoing on the client side. So Client has been moved  this stroy to the backlog</t>
  </si>
  <si>
    <t>Reskin-V2 is a complete overhaul of the existing Master Page. The new layout seamlessly integrates Telerik controls, Bootstrap, and Kendo UI CSS, ensuring an optimized, modern, and adaptive user experience across all devices. As part of this redesign, we need to explore which Telerik control is best suited for the requested layout to achieve the desired functionality and responsiveness. Its taking more time to complete this since UI design work is new to the development team and it is bit challenging too</t>
  </si>
  <si>
    <t>GGO-14722</t>
  </si>
  <si>
    <t>Stop checking expiration dates</t>
  </si>
  <si>
    <t>Did one round of Payment Regression Testing in the TST env</t>
  </si>
  <si>
    <t>https://greatergiving.atlassian.net/browse/PAPI-864</t>
  </si>
  <si>
    <t>GGO-14744</t>
  </si>
  <si>
    <t>https://greatergiving.visualstudio.com/Greater%20Giving/_git/GGO/pullrequest/8564</t>
  </si>
  <si>
    <t>GGO-14748</t>
  </si>
  <si>
    <t>Update Hamburger Menu matching figma only with 3 lines, remove border</t>
  </si>
  <si>
    <t>https://greatergiving.visualstudio.com/Greater%20Giving/_git/GGO/pullrequest/8569</t>
  </si>
  <si>
    <t>Saranya / Sathiya</t>
  </si>
  <si>
    <t>Issue not reproduceable in Dev and TST.Need to check query execution CRT 
The work around has been provided and ticket has been put on hold for now as it only impacts only one client/org and is of low priority</t>
  </si>
  <si>
    <t>Rajesh/ Sathiya</t>
  </si>
  <si>
    <t>GGO-14656</t>
  </si>
  <si>
    <t>Nav Bar Update</t>
  </si>
  <si>
    <t>https://greatergiving.visualstudio.com/Greater%20Giving/_git/GGO/pullrequest/8525</t>
  </si>
  <si>
    <t xml:space="preserve">Testing this in the Dev. In Progress 4:32 PM 5/27/2025  </t>
  </si>
  <si>
    <t>GGO-14679</t>
  </si>
  <si>
    <t>Sales Grid and Details Update for old Convenience Fee assets</t>
  </si>
  <si>
    <t>https://greatergiving.visualstudio.com/Greater%20Giving/_git/GGO/pullrequest/8496</t>
  </si>
  <si>
    <t xml:space="preserve">
Verified in the TST env successfully. 20 May 2025 at 05:52</t>
  </si>
  <si>
    <t>GGO-9991</t>
  </si>
  <si>
    <t xml:space="preserve">"Purchaser Company Name" column causes error when the "Export" link is selected </t>
  </si>
  <si>
    <t>https://greatergiving.visualstudio.com/Greater%20Giving/_git/GGO/pullrequest/8502</t>
  </si>
  <si>
    <t xml:space="preserve">
Verified this in the TST env. 21 May 2025 at 09:23</t>
  </si>
  <si>
    <t>GGO-14708</t>
  </si>
  <si>
    <t>Remove Pivotal WebApi Project from GGO Repo - Unused project and it is using .Net Core 6 (deprecated version)*</t>
  </si>
  <si>
    <t>https://greatergiving.visualstudio.com/Greater%20Giving/_git/GGO/pullrequest/8498</t>
  </si>
  <si>
    <t xml:space="preserve">
Offshore QA Verified this in the TST env. 21 May 2025 at 09:23</t>
  </si>
  <si>
    <t>Mike Wall/Rajesh/Saranya</t>
  </si>
  <si>
    <t>GGO-14701</t>
  </si>
  <si>
    <t>Update Implementation of Flag to Disable Card Types in select Organizations</t>
  </si>
  <si>
    <t>https://greatergiving.visualstudio.com/Greater%20Giving/_git/GGO/pullrequest/8508</t>
  </si>
  <si>
    <t xml:space="preserve">
Verified in the TST env. 22 May 2025 at 08:01</t>
  </si>
  <si>
    <t>PAPI-858</t>
  </si>
  <si>
    <t>Update Flag to Disable Amex in select Organizations With Pre-Token Check*</t>
  </si>
  <si>
    <t>https://greatergiving.visualstudio.com/Greater%20Giving/_git/PAPI/pullrequest/8518</t>
  </si>
  <si>
    <t>Mike H</t>
  </si>
  <si>
    <t>GGO-14684</t>
  </si>
  <si>
    <t>Implement Pendo for GGO</t>
  </si>
  <si>
    <t>Saranyas</t>
  </si>
  <si>
    <t>https://greatergiving.visualstudio.com/Greater%20Giving/_git/GGO/pullrequest/8523</t>
  </si>
  <si>
    <t xml:space="preserve">1. Let's add the following to the account metadata
Environment: pendoEnvironment,
2. PendoUserID should be prefixed with PendoEnvironment so that UserID is unique across all environments
3. Dev and local should not fall under the same environment label
</t>
  </si>
  <si>
    <t>Testing this in the Dev. In Progress 4:32 PM 5/27/2025</t>
  </si>
  <si>
    <t>GGO-14313</t>
  </si>
  <si>
    <t xml:space="preserve">HIGH- Usage of Manual HTML Sanitization (XSS) </t>
  </si>
  <si>
    <t>https://greatergiving.visualstudio.com/Greater%20Giving/_git/GGO/pullrequest/8524</t>
  </si>
  <si>
    <t>GGO-13722</t>
  </si>
  <si>
    <t>High - Weak Encryption: Insecure Mode of Operation - Cryptography.cs: 56</t>
  </si>
  <si>
    <t>https://greatergiving.visualstudio.com/Greater%20Giving/_git/GGO/pullrequest/8458</t>
  </si>
  <si>
    <t>Verified in the TST env.5 May 2025 at 08:36</t>
  </si>
  <si>
    <t>GGO-13723</t>
  </si>
  <si>
    <t>High - Weak Encryption: Insecure Mode of Operation - SymmetricAlgorithmProvider.cs: 35</t>
  </si>
  <si>
    <t>https://greatergiving.visualstudio.com/Greater%20Giving/_git/GGO/pullrequest/8457</t>
  </si>
  <si>
    <t>Michael Wall, Loan Troung</t>
  </si>
  <si>
    <t>Tested in the TST env 7 May 2025 at 09:20</t>
  </si>
  <si>
    <t>GGO-14618</t>
  </si>
  <si>
    <t>MEDIUM - BDSA-2024-4605 - System.IdentityModel.Tokens.Jwt/5.5.0</t>
  </si>
  <si>
    <t>https://dev.azure.com/greatergiving/Greater%20Giving/_git/GGO/pullrequest/8474</t>
  </si>
  <si>
    <t>Tested in the Dev env 8:09 PM 5/7/2025</t>
  </si>
  <si>
    <t>PAPI-841</t>
  </si>
  <si>
    <t>Fix ValidateAndGetPorticoToken calls to handle when Token or CardBrandTransactionId exists</t>
  </si>
  <si>
    <t>https://greatergiving.visualstudio.com/Greater%20Giving/_git/PAPI/pullrequest/8477</t>
  </si>
  <si>
    <t>Did one round of Payment Regression Testing for this story in the TST env.9 May 2025 at 09:19</t>
  </si>
  <si>
    <t>GGO-14601</t>
  </si>
  <si>
    <t>Project UI accepting Invalid Email address results in error on GGO to SF sync</t>
  </si>
  <si>
    <t>https://greatergiving.visualstudio.com/Greater%20Giving/_git/GGO/pullrequest/8463</t>
  </si>
  <si>
    <t>Test Cycle executed Successfully in the TST env.7 May 2025 at 07:30</t>
  </si>
  <si>
    <t>GGO-14652</t>
  </si>
  <si>
    <t xml:space="preserve">Enable Online Bidding - Blocked when users mistakenly generate Display Board </t>
  </si>
  <si>
    <t>https://greatergiving.visualstudio.com/Greater%20Giving/_git/GGO/pullrequest/8476</t>
  </si>
  <si>
    <t>Tested in the TST env 13 May 2025 at 09:16</t>
  </si>
  <si>
    <t>GGO 7.24.0 Sprint 1[Stretch]</t>
  </si>
  <si>
    <t>GGO-14678</t>
  </si>
  <si>
    <t>Unable to Export Sales*</t>
  </si>
  <si>
    <t>Sathiya,Priya</t>
  </si>
  <si>
    <t xml:space="preserve">Issue not reproduceable in Dev and TST.Need to check query execution CRT </t>
  </si>
  <si>
    <t>Reskin-V2 is a complete overhaul of the existing Master Page, focusing on delivering a fully responsive design. The new layout seamlessly integrates Telerik controls, Bootstrap, and Kendo UI CSS, ensuring an optimized, modern, and adaptive user experience across all devices. As part of this redesign, we need to explore which Telerik control is best suited for the requested layout to achieve the desired functionality and responsiveness.</t>
  </si>
  <si>
    <t>GGO-14619</t>
  </si>
  <si>
    <t>MEDIUM - CVE-2024-43485 - System.Text.Json/8.0.4</t>
  </si>
  <si>
    <t xml:space="preserve">Completed Testing in the TST env. </t>
  </si>
  <si>
    <t>GGO-13890</t>
  </si>
  <si>
    <t>Major</t>
  </si>
  <si>
    <t>External</t>
  </si>
  <si>
    <t>End User</t>
  </si>
  <si>
    <t>This is a production issue. The export sale grid functionality 
broke due to changes in the SLS report</t>
  </si>
  <si>
    <t>For every small change implemented, a complete regression testing cycle must be performed to ensure system stability. This includes updating both automation and manual test cases to reflect any new or impacted scenarios.
Additionally, thorough verification of all buttons across all application pages must be included, and corresponding scenarios should be documented and maintained in the manual test cases to ensure comprehensive coverage.</t>
  </si>
  <si>
    <t>PAPI-840</t>
  </si>
  <si>
    <t>Remove the use of StringHashTable</t>
  </si>
  <si>
    <t>Rajesh, Saranya</t>
  </si>
  <si>
    <t>GGO-14644</t>
  </si>
  <si>
    <t>Remove Hash table in PAPI - GGO need to pass Bluetooth Swipe data on StoreFront scenario*</t>
  </si>
  <si>
    <t>Completed One round of Payment Regression</t>
  </si>
  <si>
    <t>GGO-14614</t>
  </si>
  <si>
    <t>HIGH - Microsoft.AspNetCore.Http.Connections.Client:1.0.0</t>
  </si>
  <si>
    <t>Sathish,Priya</t>
  </si>
  <si>
    <t>https://greatergiving.visualstudio.com/Greater%20Giving/_git/GGO/pullrequest/8431</t>
  </si>
  <si>
    <t>Loan Troung</t>
  </si>
  <si>
    <t>Completed One round of Standard Regression</t>
  </si>
  <si>
    <t>GGO-14613</t>
  </si>
  <si>
    <t>HIGH - Cross-Site Scripting: DOM - MaintenanceNotification.js: 22 &amp; 25</t>
  </si>
  <si>
    <t>Rajesh,Priya</t>
  </si>
  <si>
    <t>https://greatergiving.visualstudio.com/Greater%20Giving/_git/GGO/pullrequest/8434</t>
  </si>
  <si>
    <t>GGO 7.23.0 Sprint 4[Stretch]</t>
  </si>
  <si>
    <t>GGO-14658</t>
  </si>
  <si>
    <t>CRITICAL - CVE-2021-43569 - starkbank-ecdsa/1.3.1*</t>
  </si>
  <si>
    <t>https://dev.azure.com/greatergiving/Greater%20Giving/_git/GGO/pullrequest/8436</t>
  </si>
  <si>
    <t>Development has been completed and tested in local and Dev enviroment[28-April-2025]                                                          Completed One round of Standard Regression</t>
  </si>
  <si>
    <t>Sathiya, Rajesh</t>
  </si>
  <si>
    <t>GGO-14615</t>
  </si>
  <si>
    <t>HIGH - Microsoft.Bcl.Async:1.0.168</t>
  </si>
  <si>
    <t>https://greatergiving.visualstudio.com/Greater%20Giving/_git/GGO/pullrequest/8427</t>
  </si>
  <si>
    <t>MikeW, Rajesh, Saranya</t>
  </si>
  <si>
    <t>GGO-14651</t>
  </si>
  <si>
    <t>Pass New IsFallback Swipe Flag from GoTime to PAPI</t>
  </si>
  <si>
    <t>https://greatergiving.visualstudio.com/Greater%20Giving/_git/GGO/pullrequest/8440</t>
  </si>
  <si>
    <t>MikeW, Rajesh, 
Saranya</t>
  </si>
  <si>
    <t>PAPI-846</t>
  </si>
  <si>
    <t>EMV Fallback Requires &lt;EMVChipCondition&gt; Tag along with Swipe Data*</t>
  </si>
  <si>
    <t>https://greatergiving.visualstudio.com/Greater%20Giving/_git/PAPI/pullrequest/8441</t>
  </si>
  <si>
    <t>GGO-14649</t>
  </si>
  <si>
    <t>22 APR GGO 7.23.0 CRT Release &amp; Regression Testing</t>
  </si>
  <si>
    <t>CRT Regression Testing in Progress</t>
  </si>
  <si>
    <t>PAPI-851</t>
  </si>
  <si>
    <t>22 APR PAPI 7.18.0 CRT Release &amp; Regression Testing</t>
  </si>
  <si>
    <t>GGO-14616</t>
  </si>
  <si>
    <t>HIGH &amp; MEDIUM - Microsoft.Owin.Security.OpenIdConnect:4.2.2</t>
  </si>
  <si>
    <t>N/A</t>
  </si>
  <si>
    <t>Since we can't move Reskin Project  from .net framework to .netcore update the comments in the story [04/30/2025]</t>
  </si>
  <si>
    <t>GGO-14662</t>
  </si>
  <si>
    <t>Section Times Page Fails to Load After Launch – 500 Internal Server Error in Console</t>
  </si>
  <si>
    <t>Priya/Rajesh</t>
  </si>
  <si>
    <t>As we updated Microsoft.AspNetCore.Http.Connections.Client:1.0.0  package to latest version 6.0.0.0 but it's dependent package Microsoft.Azure.SignalR.Asp.Net not updated by default Visual Studio and Pipeline doesn't show any exception</t>
  </si>
  <si>
    <t>GGO-14573</t>
  </si>
  <si>
    <t>OP to GGO import timeouts</t>
  </si>
  <si>
    <t>Nill</t>
  </si>
  <si>
    <t>https://dev.azure.com/greatergiving/Greater%20Giving/_git/GGO/pullrequest/8370</t>
  </si>
  <si>
    <t>Mike Wall and Loan</t>
  </si>
  <si>
    <t>GGO-14633</t>
  </si>
  <si>
    <t>Allow Household Share on RSVP Imported Cards</t>
  </si>
  <si>
    <t>GGO-14457</t>
  </si>
  <si>
    <t>Allow Multiple RSVP Import from OP</t>
  </si>
  <si>
    <t>sathiya</t>
  </si>
  <si>
    <t>https://dev.azure.com/greatergiving/Greater%20Giving/_git/GGO/pullrequest/8380</t>
  </si>
  <si>
    <t>GGO 7.23.0 Sprint 3-[Stretch]</t>
  </si>
  <si>
    <t>GGO-14620</t>
  </si>
  <si>
    <t>BID-19 Admissions Count issue*</t>
  </si>
  <si>
    <t>https://dev.azure.com/greatergiving/Greater%20Giving/_git/GGO/pullrequest/8407</t>
  </si>
  <si>
    <t xml:space="preserve">Mike Wall </t>
  </si>
  <si>
    <t>Priya-QA,Rajesh</t>
  </si>
  <si>
    <t>PAPI-839</t>
  </si>
  <si>
    <t>Ensure all Portico calls use the client's API Key*</t>
  </si>
  <si>
    <t>We dont have access to test EMV transactions. Offshore QA did payment Regression Testing only.</t>
  </si>
  <si>
    <t>GGO-14617</t>
  </si>
  <si>
    <t>HIGH &amp; MEDIUM-Serilog.Sinks.File:4.0.0</t>
  </si>
  <si>
    <t>Completed 'testing in the TST env. 11:19 PM 4/7/2025</t>
  </si>
  <si>
    <t>PAPI-842</t>
  </si>
  <si>
    <t>Fix issue where Payer Records CreditCardStatus are being set to Invalid</t>
  </si>
  <si>
    <t>Rajesh - Supported to analyze the root cause. 
Priya- Did Payment Regression Testing along with the void transaction from OP and Refund scenario</t>
  </si>
  <si>
    <t>Peer Review</t>
  </si>
  <si>
    <t>Priya- Did Payment Regression Testing along with the void transaction from OP and Refund scenario.
The story was left in Peer Review upon completion, per the client's request to hold it and maintain this branch separately from the CERT branch.
 Dependency on Onsite QA now</t>
  </si>
  <si>
    <t>Saranya,Rajesh</t>
  </si>
  <si>
    <t>Priya- Did Payment Regression Testing along with the void transaction from OP and Refund scenario.
The story was left in Peer Review upon completion, per the client's request to hold it and maintain this branch separately from the CERT branch.
Dependency on Onsite QA now</t>
  </si>
  <si>
    <t>GGO-14646</t>
  </si>
  <si>
    <t>Code mistakenly overwritten for GGO-14457</t>
  </si>
  <si>
    <t>GGO-14633 Code mistakenly overwritten for GGO-14457. TThe team addressed the issue promptly, and the defect was resolved and closed on the same day.</t>
  </si>
  <si>
    <t>Going forward team will make sure these kinds of overwrites will not be repeated and will do the review process accordingly</t>
  </si>
  <si>
    <t>GGO-14594</t>
  </si>
  <si>
    <t>Invoice Payment Pages are calculating unapplied convenience fees</t>
  </si>
  <si>
    <t>https://greatergiving.visualstudio.com/Greater%20Giving/_git/GGO/pullrequest/8336</t>
  </si>
  <si>
    <t>Email Queues and Quartz job issue blocked us to test this.
Verified this story in the TST env. 3/28/2025. But still  Quartz job issue exists.</t>
  </si>
  <si>
    <t>GGO 7.23.0 Sprint 2-[Stretch]</t>
  </si>
  <si>
    <t>GGO-14621</t>
  </si>
  <si>
    <t>Email queues in TST repeatedly disabling*</t>
  </si>
  <si>
    <t>NIL</t>
  </si>
  <si>
    <t>Email Queues issue got fixed. But still Quartz job issue exists in the TST env.</t>
  </si>
  <si>
    <t>GGO-14626</t>
  </si>
  <si>
    <t>Quartz Job not sending email in TST environment*</t>
  </si>
  <si>
    <t>Quartz job issue exists in the TST env.</t>
  </si>
  <si>
    <t>GGO-14589</t>
  </si>
  <si>
    <t>New clients don't have Invoicing capabilities</t>
  </si>
  <si>
    <t>https://greatergiving.visualstudio.com/Greater%20Giving/_git/GGO/pullrequest/8330</t>
  </si>
  <si>
    <t>Completed Testing in the TST env. 3/25/2025</t>
  </si>
  <si>
    <t>GGO-14606</t>
  </si>
  <si>
    <t>Duplicate EventXCode's are Being Created</t>
  </si>
  <si>
    <t>https://greatergiving.visualstudio.com/Greater%20Giving/_git/GGO/pullrequest/8355</t>
  </si>
  <si>
    <t>Loan Troung,Michael Wall</t>
  </si>
  <si>
    <t>Testing in progres 7:17 PM 3/28/2025</t>
  </si>
  <si>
    <t>GGO-14587</t>
  </si>
  <si>
    <t>Invoice is not importing or clearing from import area</t>
  </si>
  <si>
    <t>https://greatergiving.visualstudio.com/Greater%20Giving/_git/GGO/pullrequest/8338</t>
  </si>
  <si>
    <t>Completed Testing in the TST env. 3/28/2025</t>
  </si>
  <si>
    <t>We have reproduced this issue in DEV and TST environments but are still unable to reproduce it locally. Based on our analysis, GetClosedMatches method seems to be causing the issue. This method is used to find the closest matched names for the given input names and utilizes the Jaro-Winkler algorithm</t>
  </si>
  <si>
    <t>GGO-14161</t>
  </si>
  <si>
    <t>Rewrite AGG-13 to a new report toolset</t>
  </si>
  <si>
    <t>GGO-14597</t>
  </si>
  <si>
    <t>Deprecated "DOMNodeInserted" &amp; "DOMSubtreeModified" event throwing error in multiple places *</t>
  </si>
  <si>
    <t>PAPI-807</t>
  </si>
  <si>
    <t>Not all Credit Card Last 4 being added to payments table after hotfix PAPI-795*</t>
  </si>
  <si>
    <t>GGO-14592</t>
  </si>
  <si>
    <t>GGO-14473</t>
  </si>
  <si>
    <t>Remove equipment banner*</t>
  </si>
  <si>
    <t>We dont have access to test Client API Key's. Offshore QA did payment Regression Testing only.</t>
  </si>
  <si>
    <t>Rajesh,Sathiya</t>
  </si>
  <si>
    <t>GGO-14602</t>
  </si>
  <si>
    <t>Handle message for  3X Reader Wi-Fi connection failed - StoreFront*</t>
  </si>
  <si>
    <t>https://greatergiving.visualstudio.com/Greater%20Giving/_git/GGO/pullrequest/8362</t>
  </si>
  <si>
    <t>Loan</t>
  </si>
  <si>
    <t xml:space="preserve">Rajesh </t>
  </si>
  <si>
    <t>GGO-14624</t>
  </si>
  <si>
    <t>Previous/Next Month buttons not displaying in apAdmin*</t>
  </si>
  <si>
    <t>https://greatergiving.visualstudio.com/Greater%20Giving/_git/GGO/pullrequest/8363</t>
  </si>
  <si>
    <t>MikeWall</t>
  </si>
  <si>
    <t xml:space="preserve">Supported Loan for this story </t>
  </si>
  <si>
    <t>Environment_Related</t>
  </si>
  <si>
    <t>Deops team did setup new access rule for  Azure Image Storage, missed to include Quartz Job server that  results in failure of Quartz Job, finally fixed it by giving access for Quartz job server.</t>
  </si>
  <si>
    <t>Priya,Nathan</t>
  </si>
  <si>
    <t>This was issue related to Aesop Service bounce email not validated in Send Grid, removing the bounce email from Queue fixed this issue.</t>
  </si>
  <si>
    <t>GGO-14535</t>
  </si>
  <si>
    <t>OPStats.GetRsvpCount not being cached correctly</t>
  </si>
  <si>
    <t>https://greatergiving.visualstudio.com/Greater%20Giving/_git/GGO/pullrequest/8288</t>
  </si>
  <si>
    <t>Completed Testing 3/11/2025 7:40 PM</t>
  </si>
  <si>
    <t>PAPI-822</t>
  </si>
  <si>
    <t xml:space="preserve">Handle SystemError Response From Portico SOAP Call </t>
  </si>
  <si>
    <t>https://dev.azure.com/greatergiving/Greater%20Giving/_git/PAPI/pullrequest/8291</t>
  </si>
  <si>
    <t>Michael Wall,
Loan Troung</t>
  </si>
  <si>
    <t>Rewrite and Update SLS-10</t>
  </si>
  <si>
    <t>https://dev.azure.com/greatergiving/Greater%20Giving/_git/GGO/pullrequest/8300</t>
  </si>
  <si>
    <t>Completed Testing in the TST env 8:00 PM 3/12/2025</t>
  </si>
  <si>
    <t>PAPI-816</t>
  </si>
  <si>
    <t>Investigate Check-In not storing Card or Payer record for Go-Time Enter Card on EMV TAP when flag Portico_TestingNeverSendToProcessor=true</t>
  </si>
  <si>
    <t>https://dev.azure.com/greatergiving/Greater%20Giving/_git/PAPI/pullrequest/8293</t>
  </si>
  <si>
    <t>Completed Testing in the TST env. 3/11/2025 7:40 PM</t>
  </si>
  <si>
    <t>GGO-14576</t>
  </si>
  <si>
    <t>Investigate Card Verify Failure Message</t>
  </si>
  <si>
    <t>https://greatergiving.visualstudio.com/Greater%20Giving/_git/GGO/pullrequest/8292</t>
  </si>
  <si>
    <t>PAPI-809</t>
  </si>
  <si>
    <t>HIGH - jQuery/2.0.0 in PapiAdmin</t>
  </si>
  <si>
    <t>https://greatergiving.visualstudio.com/Greater%20Giving/_git/PAPI/pullrequest/8314</t>
  </si>
  <si>
    <t>PAPI-808</t>
  </si>
  <si>
    <t>HIGH - CVE-2024-43485 System.Text.Json 8.0.4</t>
  </si>
  <si>
    <t>https://greatergiving.visualstudio.com/Greater%20Giving/_git/PAPI/pullrequest/8312</t>
  </si>
  <si>
    <t>GGO 7.23.0 Sprint 1-[Stretch]</t>
  </si>
  <si>
    <t>SathiyaBharathi/ Saranya/Rajesh</t>
  </si>
  <si>
    <t>GGO-14586</t>
  </si>
  <si>
    <t>At Least 3 Card Brands Can Have Up to 19 Digit PAN*</t>
  </si>
  <si>
    <t>Ready For Testing</t>
  </si>
  <si>
    <t>https://dev.azure.com/greatergiving/Greater%20Giving/_git/GGO/pullrequest/8320</t>
  </si>
  <si>
    <t>Development has been completed and partially completed testing in dev environment[03/19/2025]. Did one round of payment Regression for this story in the TST env.</t>
  </si>
  <si>
    <t>SathiyaBharathi/Rajesh</t>
  </si>
  <si>
    <t>PAPI-829</t>
  </si>
  <si>
    <t>https://dev.azure.com/greatergiving/Greater%20Giving/_git/PAPI/pullrequest/8318</t>
  </si>
  <si>
    <t>Development has been completed and partially completed testing in dev environment. [03/19/2025]</t>
  </si>
  <si>
    <t>Invoice is not importing or clearing from import area*</t>
  </si>
  <si>
    <t>GGO-14584</t>
  </si>
  <si>
    <t>Resolve new issues introduced to automation</t>
  </si>
  <si>
    <t>Dev completed. Testing in Progress. Facing Mailinator Issues in the TST env. Completed Coding and Execution and Raised PR</t>
  </si>
  <si>
    <t>Priya-QA/ Sathiyabharathi/ Rajesh</t>
  </si>
  <si>
    <t>PAPI-820</t>
  </si>
  <si>
    <t>Update the Portico Batch delayed interval</t>
  </si>
  <si>
    <t>Priya-QA/ Rajesh</t>
  </si>
  <si>
    <t>GGO-14596</t>
  </si>
  <si>
    <t>Add 3X SWIPE card payment method type*</t>
  </si>
  <si>
    <t>PAPI-819</t>
  </si>
  <si>
    <t>Fix 3X Swipe not Storing CCN Last4 GoTime | Checkin | Enter Card, &amp; StoreFront</t>
  </si>
  <si>
    <t>GGO-14070</t>
  </si>
  <si>
    <t>Rewrite BID-15 to a new report toolset</t>
  </si>
  <si>
    <t>Alignment Issues/ Design Issues</t>
  </si>
  <si>
    <t>Test Case Prepartion is done 5:48 PM 2/7/2025. Tested in dev env. 7:30 PM 2/19/2025
Carry forwarded to next sprint :
Saranya worked on the RDLC report and own the full task took some time for her to learn and implement.
Bug GGO-14564 was created on 20/02/2025. Pull request created on 20/02/2025 and Closed on 21 February 2025 at 03:41</t>
  </si>
  <si>
    <t>GGO-14547</t>
  </si>
  <si>
    <t>Edit Package Image Display Issue</t>
  </si>
  <si>
    <t>https://dev.azure.com/greatergiving/Greater%20Giving/_git/GGO/pullrequest/8265</t>
  </si>
  <si>
    <t>Peer testing N/A for this bug it's required DB update. Priya: Verified in TST env.8:56 PM 2/24/2025</t>
  </si>
  <si>
    <t>GGO-14545</t>
  </si>
  <si>
    <t>Move the Azure Storage Settings in to Redis/IIS cache to avoid multiple DB calls</t>
  </si>
  <si>
    <t>http://dev.azure.com/greatergiving/Greater%20Giving/_git/GGO/pullrequest/8272</t>
  </si>
  <si>
    <t>[02/25/2025]-Created draft PR. Dev Testing in Progress. Tested in the TST env. Working well 7:47 PM2/27/2025</t>
  </si>
  <si>
    <t>Loan/Sathiyabharathi</t>
  </si>
  <si>
    <t>GGO-14510</t>
  </si>
  <si>
    <t>High - BDSA-2024-4305 - bootstrap/4.6.2</t>
  </si>
  <si>
    <t>This story is developed by an onsite developer (Loan). After a Bootstrap version update, we’re facing some UI issues. Offshore developer (Sathiya) is assisting with that. Tested this in the TST env. Raised a bug under this. 5:51 PM 3/5/2025. Nathan Comments: Got some Errors in Automation. So It require automation code updates or app code fix.</t>
  </si>
  <si>
    <t>GGO-14567</t>
  </si>
  <si>
    <t>Bypass Verify on 3X Storefront swipe</t>
  </si>
  <si>
    <t>https://greatergiving.visualstudio.com/Greater%20Giving/_git/GGO/pullrequest/8281</t>
  </si>
  <si>
    <t>We dont have access to test EMV transactions.  Did Payment Regression Testing using manual cards. Since Portico is down, we were not able to verify swipe transactions.
Portico is UP on last day of sprint, Verified and Completed.</t>
  </si>
  <si>
    <t>PAPI-811</t>
  </si>
  <si>
    <t>https://greatergiving.visualstudio.com/Greater%20Giving/_git/PAPI/pullrequest/8282</t>
  </si>
  <si>
    <t>GGO 7.22.0 Sprint 4-[Stretch]</t>
  </si>
  <si>
    <t>Stretch story taken 1 day before sprint end, so got carry forwarded to next sprint.</t>
  </si>
  <si>
    <t>GGO-14546</t>
  </si>
  <si>
    <t>Automation Maintenance</t>
  </si>
  <si>
    <t>Coding is still in progress 8:55 PM 2/24/2025. Completed almost all the files. Execution is in Progress 8:33 PM 3/3/2025
Execution Completed on 3/5/2025.</t>
  </si>
  <si>
    <t>PAPI-797</t>
  </si>
  <si>
    <t>Ensure Credit Card Last 4 is stored in Payers and Payments tables for 3X tap/dip</t>
  </si>
  <si>
    <t>We dont have access to test EMV transactions. Offshore QA did payment Regression Testing only. Testing  blocked (since yesterday) by partial Portico outage – cannot generate successful EMV transactions.</t>
  </si>
  <si>
    <t>GGO-14566</t>
  </si>
  <si>
    <t>25 Feb GGO 7.22.0 CRT Release &amp; Regression Testing</t>
  </si>
  <si>
    <t>CRT Regression Testing is in Progress. 8:31 PM 3/3/2025.Partially blocked by Portico transaction failures in CRT.Completed Remaining scenario from our end</t>
  </si>
  <si>
    <t>GGO-14509</t>
  </si>
  <si>
    <t xml:space="preserve">Critical - Privacy Violation </t>
  </si>
  <si>
    <t>Testing completed in TST env. 8:31 PM 3/3/2025</t>
  </si>
  <si>
    <t>PAPI-812</t>
  </si>
  <si>
    <t>25 Feb PAPI 7.17.0 CRT Release &amp; Regression Testing</t>
  </si>
  <si>
    <t>CRT Regression Testing is in Progress. 8:31 PM 3/3/2025.Partially blocked by Portico transaction failures in CRT. Completed Remaining scenario from our end</t>
  </si>
  <si>
    <t>GGO-14563</t>
  </si>
  <si>
    <t>GGO-14504</t>
  </si>
  <si>
    <t>If Adjusted Admissions purchased by one supporter 'even out,' Supporter Form -&gt; Sales Summary does not show asterisk</t>
  </si>
  <si>
    <t>Nathan</t>
  </si>
  <si>
    <t>GGO-14564</t>
  </si>
  <si>
    <t xml:space="preserve"> Negative Price Amounts Not Displaying Correctly </t>
  </si>
  <si>
    <t>GGO-14571</t>
  </si>
  <si>
    <t>Extra line appears after the Package Name in few scenario's</t>
  </si>
  <si>
    <t>GGO-14579</t>
  </si>
  <si>
    <t>Alignment Issues in GGO-apAdmin Page</t>
  </si>
  <si>
    <t>GGO-14503</t>
  </si>
  <si>
    <t>Adjust Admission Functionality - add/remove</t>
  </si>
  <si>
    <t>https://dev.azure.com/greatergiving/Greater%20Giving/_git/GGO/pullrequest/8189</t>
  </si>
  <si>
    <t>Story Analysis and Test Case preparation is on progress 5:07 PM 1/24/2025                                                                                                                                                                                                                                                                                                                                                                                                                                                                                                                       Deletion of attendee row if supporter chosen showed the popup confirmation, working on Adjusted amount calculation [1/29/2025]                                                                                                                                                                                                                                                                             Did developer testing in dev environment no issues found [02/05/2025]                                                                                  Automation is pending[02/19/2025]. Nathan Closed the Automation Ticket</t>
  </si>
  <si>
    <t xml:space="preserve">RajeshKannan </t>
  </si>
  <si>
    <t>GGO-14450</t>
  </si>
  <si>
    <t>GGO Image Thumbnail Creation error</t>
  </si>
  <si>
    <t>https://dev.azure.com/greatergiving/Greater%20Giving/_git/GGO/pullrequest/8197</t>
  </si>
  <si>
    <t>GGO-14529</t>
  </si>
  <si>
    <t>Invoice Timeout Fix</t>
  </si>
  <si>
    <t>https://dev.azure.com/greatergiving/Greater%20Giving/_git/GGO/pullrequest/8204</t>
  </si>
  <si>
    <t>Test Case Prepartion is done 5:48 PM 2/7/2025. Tested in dev env. 7:30 PM 2/19/2025
Carry forwarded to next sprint :
Saranya worked on the RDLC report and own the full task took some time for her to learn and implement</t>
  </si>
  <si>
    <t>GGO-14530</t>
  </si>
  <si>
    <t>Image Manager Fix</t>
  </si>
  <si>
    <t>https://greatergiving.visualstudio.com/Greater%20Giving/_git/GGO/pullrequest/8218</t>
  </si>
  <si>
    <t xml:space="preserve">02/08/2025: This issue was Identitfied by CS and this is not a development or QA miss, this happens because the Javascript [DOM] component was deprecated and the code need to be updated accordingly. 
</t>
  </si>
  <si>
    <t>Adjust Admission Functionality - graph updates</t>
  </si>
  <si>
    <t>https://greatergiving.visualstudio.com/Greater%20Giving/_git/GGO/pullrequest/8228</t>
  </si>
  <si>
    <t xml:space="preserve">GO
PRINT N'Drop Procedure [dbo].[sp_GetAdjustedAdmissionCount]'
GO
IF OBJECT_ID('[dbo].[sp_GetAdjustedAdmissionCount]') IS NOT NULL
	DROP PROCEDURE [dbo].[sp_GetAdjustedAdmissionCount];
GO                                                It is not necessary, but we do usually add PRINT statement.                                                                              </t>
  </si>
  <si>
    <t>Tested in the Dev env.  5:09 PM 2/17/2025. Completed testing the TST env. 8:27 PM 2/18/2025
Onsite QA Logged bug on last day of sprint, we fixed it deployed before sprint prep, QA didn't get time to complete it.</t>
  </si>
  <si>
    <t>GGO-14071</t>
  </si>
  <si>
    <t>Rewrite BID-19 to a new report toolset</t>
  </si>
  <si>
    <t>Test Case Prepartion is done 5:48 PM 2/7/2025. Testing in dev env. 8:41 PM 2/13/2025. Completed Testing in the TST env.</t>
  </si>
  <si>
    <t>PAPI-758</t>
  </si>
  <si>
    <t>Add support for additional Card Types</t>
  </si>
  <si>
    <t>Completed Testing in the TST env. Verified all the cards 8:26 PM2/18/2025</t>
  </si>
  <si>
    <t>GGO-14542</t>
  </si>
  <si>
    <t>Admission UI should display even after saving sale with admissions adjusted to 0</t>
  </si>
  <si>
    <t>Closed/Rejected</t>
  </si>
  <si>
    <t>GGO-14544</t>
  </si>
  <si>
    <t>Fix for GGO-1077 no longer working (allocation deleted via supporter)</t>
  </si>
  <si>
    <t>Image Manager Fix - the Scroll was not working so the CS was only able to see the 1st set of records and nothing beyond that</t>
  </si>
  <si>
    <t xml:space="preserve">This issue was Identitfied by CS and this is not a development or QA miss, this happens because the Javascript [DOM] component was deprecated and the code need to be updated accordingly. 
</t>
  </si>
  <si>
    <t>GGO-12487</t>
  </si>
  <si>
    <t>Adjust Admission Functionality - sale details</t>
  </si>
  <si>
    <t>https://greatergiving.visualstudio.com/Greater%20Giving/_git/GGO/pullrequest/8184</t>
  </si>
  <si>
    <t>Story Analysis and Test Case preparation is on progress 5:07 PM 1/24/2025. Priya - Testing in dev env is in progress 4:48 PM 1/30/2025</t>
  </si>
  <si>
    <t>Story Analysis and Test Case preparation is on progress 5:07 PM 1/24/2025                                                                                                                                                                                                                                                               Deletion of attendee row if supporter chosen showed the popup confirmation, working on Adjusted amount calculation [1/29/2025]                                                                                                                                                                                                                                                                             Did developer testing in TST environment no issues found [02/04/2025]
Onsite QA testing pending since [02/04/2025]</t>
  </si>
  <si>
    <t>GGO-14514</t>
  </si>
  <si>
    <t>Update remaining admission allocated attendee count in GGO webserivce to OP</t>
  </si>
  <si>
    <t>https://greatergiving.visualstudio.com/Greater%20Giving/_git/GGO/pullrequest/8174</t>
  </si>
  <si>
    <t>Completed Testing in the TST env. 8:31 PM 1/29/2025</t>
  </si>
  <si>
    <t>GGO-14477</t>
  </si>
  <si>
    <t>BID-06 Header Settings Update</t>
  </si>
  <si>
    <t>https://greatergiving.visualstudio.com/Greater%20Giving/_git/GGO/pullrequest/8170</t>
  </si>
  <si>
    <t>This is QA automation which comes under Infrastructure improvement</t>
  </si>
  <si>
    <t>Picked on 01/22/2025.Development in progress                                                                                                                                                                                                                                                                                                            23/01/2025 Deployed in dev and completed developer testing. Priya - Completed Testing in Dev. Working well 5:07 PM 1/24/2025. Completed Testing in TST 5:02 PM 1/27/2025</t>
  </si>
  <si>
    <t>It is completed and given for testing 3 days prior to Sprint end, Offshore QA doesn't got any access to test in TST, only MikeH and Nate got access to test it.</t>
  </si>
  <si>
    <t>GGO-14511</t>
  </si>
  <si>
    <t>GoTime SF Tap card generate Null Ref Error</t>
  </si>
  <si>
    <t>Priya- Did one round of Payment Regression Testing since we dont have access to Tap cards. 5:01 PM 1/27/2025</t>
  </si>
  <si>
    <t>PAPI-794</t>
  </si>
  <si>
    <t>Add Tag 9F6E to List of Acceptable Tags in ParseC3XJsonDataToTLV*</t>
  </si>
  <si>
    <t>1`</t>
  </si>
  <si>
    <t>Priya- Did one round of Payment Regression Testing since we dont have access to Tap cards. 8:00 PM1/28/2025</t>
  </si>
  <si>
    <t>Stretch --Invoice Timeout Fix*</t>
  </si>
  <si>
    <t>Production bug</t>
  </si>
  <si>
    <t>Invoice timeout fix</t>
  </si>
  <si>
    <t>Open</t>
  </si>
  <si>
    <t>A miss from both Onsite and Offshore QA and Onsite and offshore developemnt because the old report generation handled it but the new report didn't so a miss on both testing and developement end.
Extended testing needs to be done with a lot more combination of data which could be infinite combination.Moving forward this type of complex reports must be tested by all the team members including onsite lead before pushing to TST environment.</t>
  </si>
  <si>
    <t>Estimated(hrs/sp)</t>
  </si>
  <si>
    <t>Actual(hrs/sp)</t>
  </si>
  <si>
    <t>Sathiyabharathi/Rajesh Kannan</t>
  </si>
  <si>
    <t>GGO-14427</t>
  </si>
  <si>
    <t>Rewrite and Update BID-06 (Invoice) using RDLC - Part 3 (Sales &amp; Payments)</t>
  </si>
  <si>
    <t>Rajesh Kannan</t>
  </si>
  <si>
    <t>https://dev.azure.com/greatergiving/Greater%20Giving/_git/GGO/pullrequest/8097</t>
  </si>
  <si>
    <t>Tested in the TST env. And it is In Progress 1/3/2025 8:13 PM.  Tested in the Dev as well as in TST Env- 8:28 PM 1/6/2025. Testing is still in progress. 1/8/2025 8:10 PM</t>
  </si>
  <si>
    <t>GGO-14474</t>
  </si>
  <si>
    <t>Mismatch between the net invoice count and the report being generated.</t>
  </si>
  <si>
    <t>https://dev.azure.com/greatergiving/Greater%20Giving/_git/GGO/pullrequest/8112</t>
  </si>
  <si>
    <t>Tested in the Dev env. Looks good. 5:01 PM 1/21/2025.Tested in the TST env. Working well. 6:18 PM 1/22/2025</t>
  </si>
  <si>
    <t>PAPI-790</t>
  </si>
  <si>
    <t>Insecure Transport: Database - App.config: 5</t>
  </si>
  <si>
    <t>https://greatergiving.visualstudio.com/Greater%20Giving/_git/PAPI/pullrequest/8136</t>
  </si>
  <si>
    <t>Did one round of payment related regression Testing in the TST env. Looks good. 7:13 PM 1/16/2025</t>
  </si>
  <si>
    <t>Saranya/Rajesh Kannan</t>
  </si>
  <si>
    <t>https://greatergiving.visualstudio.com/Greater%20Giving/_git/GGO/pullrequest/8158</t>
  </si>
  <si>
    <t>GGO-14422</t>
  </si>
  <si>
    <t>Storefront Implement Signature Workflow in legacy go time code</t>
  </si>
  <si>
    <t>Did one round of payment Regression Testing in the TST env and checked cash and Check flow only(since I dont have EMV acces) Working well. 1/16/2025. 7:13 PM.</t>
  </si>
  <si>
    <t>Priya-QA/Rajesh Kannan</t>
  </si>
  <si>
    <t>GGO-14483</t>
  </si>
  <si>
    <t>9 Jan CRT Release &amp; Regression Testing</t>
  </si>
  <si>
    <t>Testing in the progress CRT env.1/17/2025 4:37 PM. Testing is still in progress in CRT env.  1/20/2025 8:12 PM</t>
  </si>
  <si>
    <t>PAPI-791</t>
  </si>
  <si>
    <t>Privacy Violation - PorticoSoapXmlBuilder.cs: 290</t>
  </si>
  <si>
    <t xml:space="preserve"> attempted to encrypt the entire XML section, but this failed during XML loading and saving. I observed this same privacy policy violation in two files: PorticoSoapXMLBuilder.cs and PorticoAdminBase.cs We chose PorticoAdminBase.cs for debugging and testing, this file SOAP envelope contains a username and password for Portico access. I encrypted only the username and password. However, I received a 'remote server returned 500 error' upon execution. Since the necessary data is encrypted, marking this as a false positive. </t>
  </si>
  <si>
    <t>GGO-14469</t>
  </si>
  <si>
    <t>EMV Storefront - Implement Success Message for Card Entry flow</t>
  </si>
  <si>
    <t>Did one round of payment Regression Testing in the TST env. Working well. 1/17/2025 4:36 PM</t>
  </si>
  <si>
    <t>GGO-14468</t>
  </si>
  <si>
    <t>EMV Checkin - Implement Success Message for Card Entry flow</t>
  </si>
  <si>
    <t>GGO-14447</t>
  </si>
  <si>
    <t>QA Automation - update EquipmentExpressVerification to account for date changes</t>
  </si>
  <si>
    <t>https://dev.azure.com/greatergiving/Greater%20Giving/_git/GGAutomation/pullrequest/8157</t>
  </si>
  <si>
    <t>PAPI-789</t>
  </si>
  <si>
    <t>refactor apConstants.EMV_SUCCESS_CODE and apConstants.EMV_FAILURE_CODE usage</t>
  </si>
  <si>
    <t>Did one round of payment Regression Testing in the TST env. Working well. 4:35 PM 1/18/2025</t>
  </si>
  <si>
    <t>GGO-14471</t>
  </si>
  <si>
    <t>Stretch --Update UI for Receipt Dialogue*</t>
  </si>
  <si>
    <t>https://greatergiving.visualstudio.com/Greater%20Giving/_git/GGO/pullrequest/8166</t>
  </si>
  <si>
    <t>Tested in the TST env. Looks good. 6:17 PM 1/22/2025</t>
  </si>
  <si>
    <t>Stretch -- BID-06 Header Settings Update.*</t>
  </si>
  <si>
    <t>Picked on 01/22/2025.Development in progress                                                                                                                                                                                                                                                                                                            23/01/2025 Deployed in dev and completed developer testing</t>
  </si>
  <si>
    <t>GGO-14489</t>
  </si>
  <si>
    <t>When the package number is entered under "omit sales and payments," it applies to all supporters, preventing the individual package values from being displayed for each supporter</t>
  </si>
  <si>
    <t>GGO-14490</t>
  </si>
  <si>
    <t>Invoice link in email appearing twice when triggered from "Print/Email batch"</t>
  </si>
  <si>
    <t>GGO-14500</t>
  </si>
  <si>
    <t>Print or Email Invoices - Over ride setting for "Show Invoice Page Link" &amp; "Invoice Page Link Label" is not reflecting for a new email batch</t>
  </si>
  <si>
    <t>Verified in TST.Working well. 7:15 PM 1/16/2025</t>
  </si>
  <si>
    <t>GGO-14499</t>
  </si>
  <si>
    <t>implement quartz retry logic for invoice emails</t>
  </si>
  <si>
    <t>Unable to reproduce this issue in TST. Email sent successfully within few secs without getting any failures 7:18 PM 1/16/2025</t>
  </si>
  <si>
    <t>GGO-14512</t>
  </si>
  <si>
    <t xml:space="preserve">Report Bid-06 taking more time when selecting "View Items" in "Edit Invoice &amp; Receipts settings" </t>
  </si>
  <si>
    <t>Tested in TST env. Working well. 8:11 PM 1/20/2025.</t>
  </si>
  <si>
    <t>SathyaBharathi/Rajesh Kannan</t>
  </si>
  <si>
    <t>GGO-14325</t>
  </si>
  <si>
    <t>Rewrite and Update BID-06 (Invoice) using RDLC Part 1</t>
  </si>
  <si>
    <t>Rajesh Kannan/Saranya</t>
  </si>
  <si>
    <t>https://dev.azure.com/greatergiving/Greater%20Giving/_git/GGO/pullrequest/8075</t>
  </si>
  <si>
    <t>Tested in the Dev environment - Informed few issues to the Team.12/17/202410:48 PM. Tested in the TST Env- 12/18/2024 7:20 PM.</t>
  </si>
  <si>
    <t>GGO-14426</t>
  </si>
  <si>
    <t>Rewrite and Update BID-06 (Invoice) using RDLC - Part 2 (Sales Only)</t>
  </si>
  <si>
    <t>Rolling over remaining testing to this story - GGO-14427</t>
  </si>
  <si>
    <t>GGO-14418</t>
  </si>
  <si>
    <t>Modify GGO SFDC Webservice</t>
  </si>
  <si>
    <t>https://greatergiving.visualstudio.com/Greater%20Giving/_git/GGO/pullrequest/8079</t>
  </si>
  <si>
    <t xml:space="preserve">Coordinated with saranya and Tested in Local -12/16/2024 8:56 PM.                         </t>
  </si>
  <si>
    <t>GGO-14445</t>
  </si>
  <si>
    <t>Project Website - Remove Deprecated Share Functionality</t>
  </si>
  <si>
    <t>https://greatergiving.visualstudio.com/Greater%20Giving/_git/GGO/pullrequest/8080</t>
  </si>
  <si>
    <t>Tested in the Dev environment - 12/16/2024 8:57 PM.                        Tested in the TST env. Working well. 12/17/2024 10:47 PM</t>
  </si>
  <si>
    <t>GGO-14419</t>
  </si>
  <si>
    <t xml:space="preserve">Duplicate EventXcode updated when GGO sync with SF </t>
  </si>
  <si>
    <t>https://greatergiving.visualstudio.com/Greater%20Giving/_git/GGO/pullrequest/8092</t>
  </si>
  <si>
    <t>GGO-14375</t>
  </si>
  <si>
    <t>Pop-up warning on batch process with unapplied convenience fees</t>
  </si>
  <si>
    <t>https://greatergiving.visualstudio.com/Greater%20Giving/_git/GGO/pullrequest/8096</t>
  </si>
  <si>
    <t>Tested in the TST env. Working well 1/3/2025 8:13 PM</t>
  </si>
  <si>
    <t>Stretch -- Mismatch between the net invoice count and the report being generated.*</t>
  </si>
  <si>
    <t>GGO-14479</t>
  </si>
  <si>
    <t>Design issues</t>
  </si>
  <si>
    <t>GGO-14480</t>
  </si>
  <si>
    <t>Express indicator displaying on Top right in compact scenario even the Supporter is not marked as "Express Checkout"</t>
  </si>
  <si>
    <t>GGO-14481</t>
  </si>
  <si>
    <t xml:space="preserve"> When the "Only Show Sales That Are Paid" option is enabled in the invoice settings, the "Total Due" field should not be displayed in the Bid 06 report but it is still visible</t>
  </si>
  <si>
    <t>GGO-14486</t>
  </si>
  <si>
    <t>Font not changing in Bid-06 RDLC report based on "General Accounts &amp; Settings"</t>
  </si>
  <si>
    <t>GGO-14488</t>
  </si>
  <si>
    <t>Receipt Settings Override while sending Invoice email is not working</t>
  </si>
  <si>
    <t>GGO-14476</t>
  </si>
  <si>
    <t>When the convenience fee is disabled, clicking on "Start New Batch" does not navigate to the next page.</t>
  </si>
  <si>
    <t>Strech--Rewrite and Update BID-06 (Invoice) using RDLC</t>
  </si>
  <si>
    <t>It will get carry forward to next sprint, due to requirement change by MikeH.                                                                                                                                                                                                                                                   2.[12/12/2024] Invoice Email Failed becuase of Quratz service required DB permission</t>
  </si>
  <si>
    <t>PAPI-725</t>
  </si>
  <si>
    <t>High - Weak Encryption: Insecure Mode of Operation - Dukpt.cs: 102</t>
  </si>
  <si>
    <t>Waiting for macroscope result
12/12 : Was marked out of Scope by Mike Horihan</t>
  </si>
  <si>
    <t>GGO-12835</t>
  </si>
  <si>
    <t>Update to event date range fields and logic in GGO Project Builder*</t>
  </si>
  <si>
    <t>https://greatergiving.visualstudio.com/Greater%20Giving/_git/GGO/pullrequest/8056</t>
  </si>
  <si>
    <t>Loan Troung, Michael Wall</t>
  </si>
  <si>
    <t>6-Dec-024</t>
  </si>
  <si>
    <t>GGO-14414</t>
  </si>
  <si>
    <t>Investigate GGO Client create/update API to handle Client sync process with SF*</t>
  </si>
  <si>
    <t>Investigation completed</t>
  </si>
  <si>
    <t>GGO-13319</t>
  </si>
  <si>
    <t>Azure Images CRT Testing</t>
  </si>
  <si>
    <t xml:space="preserve">Completed from our end 
</t>
  </si>
  <si>
    <t>GGO-14402</t>
  </si>
  <si>
    <t>03 DEC GGO 7.20.1 CRT Release</t>
  </si>
  <si>
    <t>GGO-14383</t>
  </si>
  <si>
    <t>Stretch --Refund Reference Number Not Generating*</t>
  </si>
  <si>
    <t>https://dev.azure.com/greatergiving/Greater%20Giving/_git/GGO/pullrequest/8071</t>
  </si>
  <si>
    <t>Completed from our end</t>
  </si>
  <si>
    <t>PAPI-773</t>
  </si>
  <si>
    <t>Update to PAPI TLV response for success / fail Verify (Check-In) if not included</t>
  </si>
  <si>
    <t>Did one Round of Payment Regression Testing, Final testing pending for onsite QA</t>
  </si>
  <si>
    <t>PAPI-781</t>
  </si>
  <si>
    <t>Required Zip Code Problems with EMV Verify (AMEX Only)</t>
  </si>
  <si>
    <t>GGO-14425</t>
  </si>
  <si>
    <t>Remove "Transaction was Successful!" pop-up at the right corner of screen for EMV (Storefront &amp; CheckInOut)*</t>
  </si>
  <si>
    <t>Did one Round of Payment Regression Testing</t>
  </si>
  <si>
    <t>SathyaBharathi</t>
  </si>
  <si>
    <t>GGO-14386</t>
  </si>
  <si>
    <t>BID-03 RDLC version ignoring grid selection for output</t>
  </si>
  <si>
    <t>https://dev.azure.com/greatergiving/Greater%20Giving/_git/GGO/pullrequest/8003</t>
  </si>
  <si>
    <t>Bug fix - Completed</t>
  </si>
  <si>
    <t>GGO-14355</t>
  </si>
  <si>
    <t>Update Help Center URLS</t>
  </si>
  <si>
    <t>https://greatergiving.visualstudio.com/Greater%20Giving/_git/GGO/pullrequest/8000</t>
  </si>
  <si>
    <t>The target has been assigned 
with a "_blank" but we still keep
 this button and ID. 
Where/which file is this ID being used? 
Looks like you removed the popup 
properties for it in file 
"GoTime.ts" line: 533</t>
  </si>
  <si>
    <t>Updated New helpcenter content - Completed</t>
  </si>
  <si>
    <t>GGO-14361</t>
  </si>
  <si>
    <t>InProgress</t>
  </si>
  <si>
    <t>GGO-14395</t>
  </si>
  <si>
    <t>Unable to add Discover cards in orgs enabled for Discover</t>
  </si>
  <si>
    <t>No</t>
  </si>
  <si>
    <t>https://dev.azure.com/greatergiving/Greater%20Giving/_git/GGO/pullrequest/8022</t>
  </si>
  <si>
    <t>Defect story for GGO-14361 - Completed</t>
  </si>
  <si>
    <t>GGO-14397</t>
  </si>
  <si>
    <t xml:space="preserve"> Image is not being retrieved from Azure after saving the Project or settings, even though Azure configuration is enabled</t>
  </si>
  <si>
    <t>SathyaBharathi/Rajesh</t>
  </si>
  <si>
    <t>GGO-14385</t>
  </si>
  <si>
    <t>Investigate New App Svc for OB Queue Replacement</t>
  </si>
  <si>
    <t>Investigation - Completed</t>
  </si>
  <si>
    <t>It's an investingation story we prepared document and attached the jira ticket</t>
  </si>
  <si>
    <t>Rajesh/SathyaBharathi</t>
  </si>
  <si>
    <t>GGO-14067</t>
  </si>
  <si>
    <t>Rewrite BID-03 to a new report toolset</t>
  </si>
  <si>
    <t>Sathiyabharathi/Rajesh</t>
  </si>
  <si>
    <t>GGO-14353 Alignment Issues and GGO-14378 Throwing 504 Gateway Timeout error while rendering Bid-03 report</t>
  </si>
  <si>
    <t>Moving report to new toolset - Completed</t>
  </si>
  <si>
    <t xml:space="preserve">Cretaed bugs under this story (GGO-14353 and GGO-14378) PR created and completed under those bugs </t>
  </si>
  <si>
    <t>GGO-14244</t>
  </si>
  <si>
    <t>Error when trying to create project website</t>
  </si>
  <si>
    <t>https://dev.azure.com/greatergiving/Greater%20Giving/_git/GGO/pullrequest/7961</t>
  </si>
  <si>
    <t>I think if we are going to catch it, then we should log it. Log "info".</t>
  </si>
  <si>
    <t>GGO-14353</t>
  </si>
  <si>
    <t>Alignment Issues</t>
  </si>
  <si>
    <t>https://dev.azure.com/greatergiving/Greater%20Giving/_git/GGO/pullrequest/7949</t>
  </si>
  <si>
    <t>No Comments</t>
  </si>
  <si>
    <t>Michael Wall/Loan</t>
  </si>
  <si>
    <t>GGO-14378</t>
  </si>
  <si>
    <t>Throwing 504 Gateway Timeout error while rendering Bid-03 report</t>
  </si>
  <si>
    <t>https://dev.azure.com/greatergiving/Greater%20Giving/_git/GGO/pullrequest/7981</t>
  </si>
  <si>
    <t>1.is this variable name a typo ? "foud" vs "found"                                        2.Could we move all these spacing into a variable/constant before using? The variable naming provides meaning to why all these spacing are used.</t>
  </si>
  <si>
    <t>Defect story for GGO-14067 - Completed</t>
  </si>
  <si>
    <t>GGO-14295</t>
  </si>
  <si>
    <t xml:space="preserve">Handle Deleted User Session </t>
  </si>
  <si>
    <t>https://greatergiving.visualstudio.com/Greater%20Giving/_git/GGO/pullrequest/7983</t>
  </si>
  <si>
    <t>Rolled over</t>
  </si>
  <si>
    <t>Trying to reproduce the issue in local</t>
  </si>
  <si>
    <t>GGO-14373</t>
  </si>
  <si>
    <t>ManageSalesAndPayments Error*</t>
  </si>
  <si>
    <t>https://dev.azure.com/greatergiving/Greater%20Giving/_git/GGO/pullrequest/7968</t>
  </si>
  <si>
    <t>Update Help Center URLS*</t>
  </si>
  <si>
    <t>https://greatergiving.visualstudio.com/Greater%20Giving/_git/GGO/pullrequest/7988</t>
  </si>
  <si>
    <t>Development completed</t>
  </si>
  <si>
    <t>PAPI-774</t>
  </si>
  <si>
    <t>Refunds failing to process</t>
  </si>
  <si>
    <t>completed</t>
  </si>
  <si>
    <t>OP Team</t>
  </si>
  <si>
    <t>ManageSalesAndPayments Error</t>
  </si>
  <si>
    <t>Production Bug missed by OP Client team and fixed by GGO team . It is a defect which needs to be documented on OP team sheet but was fixed by GGO team</t>
  </si>
  <si>
    <t>https://dev.azure.com/greatergiving/Greater%20Giving/_git/GGO/pullrequest/7869</t>
  </si>
  <si>
    <t>can we have a folder for each report ?</t>
  </si>
  <si>
    <t>Moving the report to new toolset - Rolled over</t>
  </si>
  <si>
    <t>We got an timeout issue while running the report in dev enviroment.</t>
  </si>
  <si>
    <t>GGO-14340</t>
  </si>
  <si>
    <t>Login Page Update - Expiring Privacy Policy Message</t>
  </si>
  <si>
    <t>https://greatergiving.visualstudio.com/Greater%20Giving/_git/GGO/pullrequest/7916</t>
  </si>
  <si>
    <t>To implement an expiring message with a url informing customers of an updated privacy policy on the GGO login page, to maintain compliance with corporate legal - Completed</t>
  </si>
  <si>
    <t xml:space="preserve">Error when trying to create project website* </t>
  </si>
  <si>
    <t>https://greatergiving.visualstudio.com/Greater%20Giving/_git/GGO/pullrequest/7945</t>
  </si>
  <si>
    <t>Priority defect fix - Rolled over</t>
  </si>
  <si>
    <t>GGO-14352]</t>
  </si>
  <si>
    <t>Update Report Path in Publish XML</t>
  </si>
  <si>
    <t>https://dev.azure.com/greatergiving/Greater%20Giving/_git/GGO/pullrequest/7930</t>
  </si>
  <si>
    <t>GGO-13860</t>
  </si>
  <si>
    <t>GGO - handle emv dip/tap in check in/out</t>
  </si>
  <si>
    <t>PAPI-769</t>
  </si>
  <si>
    <t>PAPI-769 Update PAPI Web References*</t>
  </si>
  <si>
    <t>https://dev.azure.com/greatergiving/Greater%20Giving/_git/PAPI/pullrequest/7934</t>
  </si>
  <si>
    <t>GGO-14347</t>
  </si>
  <si>
    <t>Update the format of amount in payment receipt*</t>
  </si>
  <si>
    <t>GGO-14356</t>
  </si>
  <si>
    <t>Footer statement appears in the middle of the report instead of at the bottom when a footer is included.</t>
  </si>
  <si>
    <t>Rajesh/SathyaBharathi/Saranya</t>
  </si>
  <si>
    <t>Rewriting all the reports to new toolset and BID-03 is the Proof of Concept. Rolled over and team is still working on it.In a single report, multiple layouts are there</t>
  </si>
  <si>
    <t>GGO-14079</t>
  </si>
  <si>
    <t>Rewrite BID-06 (Payment Receipt) using RDLC</t>
  </si>
  <si>
    <t>https://dev.azure.com/greatergiving/Greater%20Giving/_git/GGO/pullrequest/7892</t>
  </si>
  <si>
    <t xml:space="preserve">Similar to BID-03 </t>
  </si>
  <si>
    <t>PAPI-751</t>
  </si>
  <si>
    <t>High -  jQuery.UI.Combined/1.12.1</t>
  </si>
  <si>
    <t>https://dev.azure.com/greatergiving/Greater%20Giving/_git/PAPI/pullrequest/7894</t>
  </si>
  <si>
    <t>Part of Macroscope scanning epic</t>
  </si>
  <si>
    <t>GGO-14323</t>
  </si>
  <si>
    <t>Adding new GG Build Server for GGO Pipeline build replacing Azure Build server</t>
  </si>
  <si>
    <t>https://dev.azure.com/greatergiving/Greater%20Giving/_git/GGO/pullrequest/7873</t>
  </si>
  <si>
    <t>Loan Troung, Michael Wall,Mike Horihan</t>
  </si>
  <si>
    <t>GGO-14324</t>
  </si>
  <si>
    <t>Send PDF for email payment receipt</t>
  </si>
  <si>
    <t>GGO-14199</t>
  </si>
  <si>
    <t>Fix Deleted Credit Card Online Payment Pop-up Message / Function</t>
  </si>
  <si>
    <t>GGO-14332</t>
  </si>
  <si>
    <t>Unable to view the Header and Footer Statement in the Payment Receipt even though they have already been added to the payment receipt settings</t>
  </si>
  <si>
    <t>https://dev.azure.com/greatergiving/Greater%20Giving/_git/GGO/pullrequest/7896</t>
  </si>
  <si>
    <t>Bug for the Story GGO-14079</t>
  </si>
  <si>
    <t>GGO-14002</t>
  </si>
  <si>
    <t>Update AGG-03</t>
  </si>
  <si>
    <t>https://dev.azure.com/greatergiving/Greater%20Giving/_git/GGO/pullrequest/7840</t>
  </si>
  <si>
    <t>Concept of moving all the reports to new toolset</t>
  </si>
  <si>
    <t>GGO-14300</t>
  </si>
  <si>
    <t>GetAdmissionInfo API update for mobile team</t>
  </si>
  <si>
    <t>Yes(Found one Issue while testing this in Dev Env)</t>
  </si>
  <si>
    <t>https://greatergiving.visualstudio.com/Greater%20Giving/_git/GGO/pullrequest/7842</t>
  </si>
  <si>
    <t>GGO-14302</t>
  </si>
  <si>
    <t>SFDC Release Support</t>
  </si>
  <si>
    <t>https://greatergiving.visualstudio.com/Greater%20Giving/_git/GGO/pullrequest/7835</t>
  </si>
  <si>
    <t>MikeH,Loan Troung</t>
  </si>
  <si>
    <t>GGO-14255</t>
  </si>
  <si>
    <t>API update for nextgen search*</t>
  </si>
  <si>
    <t>https://dev.azure.com/greatergiving/Greater%20Giving/_git/GGO/pullrequest/7817</t>
  </si>
  <si>
    <t>GGO-14267</t>
  </si>
  <si>
    <t>GGO Image Server</t>
  </si>
  <si>
    <t>GGO-13842</t>
  </si>
  <si>
    <t>Fallback Strategy for Report Migration</t>
  </si>
  <si>
    <t>https://dev.azure.com/greatergiving/Greater%20Giving/_git/GGO/pullrequest/7838</t>
  </si>
  <si>
    <t>This is for the new reporting toolset</t>
  </si>
  <si>
    <t>PAPI-750</t>
  </si>
  <si>
    <t>Portico SOAP - Token and CardBrandTxnId*</t>
  </si>
  <si>
    <t>GGO-14287</t>
  </si>
  <si>
    <t>Renew localtest Certificate</t>
  </si>
  <si>
    <t>https://dev.azure.com/greatergiving/Greater%20Giving/_git/GGO/pullrequest/7791</t>
  </si>
  <si>
    <t>MikeH</t>
  </si>
  <si>
    <t>GGO-14293</t>
  </si>
  <si>
    <t>Event payments processed under wrong event name, GGO and SF not synced correctly*</t>
  </si>
  <si>
    <t>GGO-14218</t>
  </si>
  <si>
    <t>High - CVE-2024-30105 - System.Text.Json/4.7.2 &amp; CVE-2024-30105 - System.Text.Json/4.6.0</t>
  </si>
  <si>
    <t>https://dev.azure.com/greatergiving/Greater%20Giving/_git/GGO/pullrequest/7702</t>
  </si>
  <si>
    <t>Macroscope scanning - fixed</t>
  </si>
  <si>
    <t>GGO-14215</t>
  </si>
  <si>
    <t>Cannot create/update Project Template in PROD</t>
  </si>
  <si>
    <t>https://dev.azure.com/greatergiving/Greater%20Giving/_git/GGO/pullrequest/7800</t>
  </si>
  <si>
    <t>Priority defect - Fixed</t>
  </si>
  <si>
    <t>Sathiyabharathi/Saranya</t>
  </si>
  <si>
    <t>GGO-14275</t>
  </si>
  <si>
    <t>Add Edit Remove User Test Case* - Automation</t>
  </si>
  <si>
    <t>https://dev.azure.com/greatergiving/Greater%20Giving/_git/GGAutomation/pullrequest/7822</t>
  </si>
  <si>
    <t>Owen</t>
  </si>
  <si>
    <t>1. All Console.Writelines can be removed. Only should be used for debugging purposes.
2. This function should be moved into SeleniumActions. that file is in alphabetical order.
3. We have a function called VerifyCheckBoxInner. that should be used and this one removed.</t>
  </si>
  <si>
    <t>PAPI-733</t>
  </si>
  <si>
    <t>Refactor Polly Retry code for Portico to have "Try" block inside "Polly.Execute" block</t>
  </si>
  <si>
    <t>https://dev.azure.com/greatergiving/Greater%20Giving/_git/PAPI/pullrequest/7820</t>
  </si>
  <si>
    <t>Loan Troung, MikeW</t>
  </si>
  <si>
    <t>No defects reported</t>
  </si>
  <si>
    <t>GGO-14269</t>
  </si>
  <si>
    <t>Project builder to pull images from the Azure CDN instead of Content server url if Azure setting is enabled</t>
  </si>
  <si>
    <t>https://greatergiving.visualstudio.com/Greater%20Giving/_git/GGO/pullrequest/7766</t>
  </si>
  <si>
    <t>https://greatergiving.atlGGO-14270</t>
  </si>
  <si>
    <t>GGO 7.19.0 CRT Release &amp; Regression Testing</t>
  </si>
  <si>
    <t>PAPI-734</t>
  </si>
  <si>
    <t>PAPI 7.14.0 CRT Release &amp; Regression Testing</t>
  </si>
  <si>
    <t>GGO-14216</t>
  </si>
  <si>
    <t>High - ASP.NET MVC Bad Practices: Model With Required Non-Nullable Property - ProjectDto.cs*</t>
  </si>
  <si>
    <t>https://greatergiving.visualstudio.com/Greater%20Giving/_git/GGO/pullrequest/7770</t>
  </si>
  <si>
    <t>GGO-14264</t>
  </si>
  <si>
    <t>Duplicate Supporters that are imported in through sales does not trigger check for duplicate*</t>
  </si>
  <si>
    <t>https://greatergiving.visualstudio.com/Greater%20Giving/_git/GGO/pullrequest/7780</t>
  </si>
  <si>
    <t>GGO-14240</t>
  </si>
  <si>
    <t>NextGen API update for supporter card on file status</t>
  </si>
  <si>
    <t>https://greatergiving.visualstudio.com/Greater%20Giving/_git/GGO/pullrequest/7765</t>
  </si>
  <si>
    <t>Saranya/Rajesh/Sathiya</t>
  </si>
  <si>
    <t>GGO-14232</t>
  </si>
  <si>
    <t>PRD Issue with Recalculate Name Fields is timing out</t>
  </si>
  <si>
    <t>https://greatergiving.visualstudio.com/Greater%20Giving/_git/GGO/pullrequest/7758</t>
  </si>
  <si>
    <t>Mike W</t>
  </si>
  <si>
    <t>NVARCHAR(MAX) should not be used with Split.</t>
  </si>
  <si>
    <t>Prod issue - Fixed</t>
  </si>
  <si>
    <t>GGO-14236</t>
  </si>
  <si>
    <t>Convert asp.net core</t>
  </si>
  <si>
    <t>https://dev.azure.com/greatergiving/Greater%20Giving/_git/GGO/pullrequest/7753</t>
  </si>
  <si>
    <t>GGO-14225</t>
  </si>
  <si>
    <t>Update the left nav menu</t>
  </si>
  <si>
    <t>https://greatergiving.visualstudio.com/Greater%20Giving/_git/GGO/pullrequest/7746</t>
  </si>
  <si>
    <t>Part of Invoicing epic - Completed</t>
  </si>
  <si>
    <t>GGO-14253</t>
  </si>
  <si>
    <t>CRT Release Support GGO 7.18.2</t>
  </si>
  <si>
    <t>Macroscope scanning - Rolled oved</t>
  </si>
  <si>
    <t>Macroscope error should be resoved by our changes.But it takes 3 days. once it is done we have to check whether the issue is resolved or not</t>
  </si>
  <si>
    <t>GGO-14262</t>
  </si>
  <si>
    <t>Investigation - RSVP Page cannot be edited or deleted; leads to an error*</t>
  </si>
  <si>
    <t>It is an investigation story, we found that some of the RSVP pages in PROD is marked as “IsRsvp = 0” in “ap_WebsiteRegistrationPage” table instead of “IsRsvp=1“.</t>
  </si>
  <si>
    <t>GGO-14204</t>
  </si>
  <si>
    <t>High &amp; Medium - BDSA-2023-3833 - jQuery.Validation/1.19.5 &amp; BDSA-2021-3651 - jQuery/3.5.1</t>
  </si>
  <si>
    <t>https://dev.azure.com/greatergiving/Greater%20Giving/_git/GGO/pullrequest/7691</t>
  </si>
  <si>
    <t>Query is part of the BundleConfig for Reskin. Is this reference necessary?</t>
  </si>
  <si>
    <t>Part of macroscope scanning - Completed</t>
  </si>
  <si>
    <t>Instead of using JQuery reference directly in User control or content pages, we can use Script Manager proxy to define Jquery. So i have removed jquery reference link and used ScriptManagerProxy. In our application some of the pages(ClientView.aspx) we have used script manager proxy. It is used to add scripts and services to content pages and to user controls if the master page or host page already contains a ScriptManager control. We are not used any master pages in PreMfaLanding.aspx page but still this file handling click events so retains Jquery reference link in this file alone. (edited)</t>
  </si>
  <si>
    <t>GGO-14233</t>
  </si>
  <si>
    <t>Landing page "admissionsChart" and "totalSalesChart" Throwing Console Error*</t>
  </si>
  <si>
    <t>Yes - Found one issue while testing this bug in Dev env</t>
  </si>
  <si>
    <t>Part of Quality of life epic</t>
  </si>
  <si>
    <t>GGO-14247</t>
  </si>
  <si>
    <t>Users unable to set/reset GGO password in Chrome &amp; Edge*</t>
  </si>
  <si>
    <t>GGO 7.19.0 Sprint 2 [STRETCH]</t>
  </si>
  <si>
    <t>Unable to reproduce this issue in lower environments. Team is still finding out the way to fix this issue.</t>
  </si>
  <si>
    <t>GGO-14197</t>
  </si>
  <si>
    <t>issue with Template List not appearing on Project Creator</t>
  </si>
  <si>
    <t>Prod issue - Fixed and closed</t>
  </si>
  <si>
    <t>Rajesh coordianted with Carlos and found the root cause.user deleted the project that is associated with project template</t>
  </si>
  <si>
    <t>GGO 7.19.0 Sprint 1 [STRETCH]</t>
  </si>
  <si>
    <t>Part of macroscope scanning - Rolled over</t>
  </si>
  <si>
    <t>GGO-14308</t>
  </si>
  <si>
    <t>Update Replace Tokens Task version in GGO-VMSS Release Pipeline</t>
  </si>
  <si>
    <t>Version upgrade - Completed</t>
  </si>
  <si>
    <t>Version of the task is deprecated in release Pipelines. So we upgraded task version 3 to 6 in GGO_VMSS and PAPI_VMSS pipelines.</t>
  </si>
  <si>
    <t>PAPI-724</t>
  </si>
  <si>
    <t>Critical: Insecure Transport: Database - App.config: 5*</t>
  </si>
  <si>
    <t>Sathiyabharathi and Priya</t>
  </si>
  <si>
    <t>https://greatergiving.visualstudio.com/Greater%20Giving/_git/PAPI/pullrequest/7692</t>
  </si>
  <si>
    <t>Part of macroscope scanning - completed</t>
  </si>
  <si>
    <t>GGO 7.19.0 Sprint 1  [STRETCH]</t>
  </si>
  <si>
    <t>GGO-14210</t>
  </si>
  <si>
    <t>High - Investigate Projects using Microsoft.AspNetCore*</t>
  </si>
  <si>
    <t>GGO-14185</t>
  </si>
  <si>
    <t>GGO 7.18.0 CRT Release &amp; Regression Testing</t>
  </si>
  <si>
    <t>PAPI-721</t>
  </si>
  <si>
    <t>PAPI 7.13.0 CRT Release &amp; Regression testing</t>
  </si>
  <si>
    <t>GGO-14200</t>
  </si>
  <si>
    <t>Updated Aspose.Cells license*</t>
  </si>
  <si>
    <t>https://dev.azure.com/greatergiving/Greater%20Giving/_git/GGO/pullrequest/7665</t>
  </si>
  <si>
    <t>GGO-13995</t>
  </si>
  <si>
    <t>Update AddSalesAndPayments call from OB to handle duplicate calls*</t>
  </si>
  <si>
    <t>https://greatergiving.visualstudio.com/Greater%20Giving/_git/GGO/pullrequest/7669</t>
  </si>
  <si>
    <t>Part of infrastructure improvement - Completed</t>
  </si>
  <si>
    <t>GGO-14223</t>
  </si>
  <si>
    <t>Transfer Special instruction information to SF on Project creation before equipment order update*</t>
  </si>
  <si>
    <t>Salesforce update</t>
  </si>
  <si>
    <t>GGO-14201</t>
  </si>
  <si>
    <t>Throwing Error while uploading the new images when Azure Image setting enabled in DEV environment*</t>
  </si>
  <si>
    <t>PAPI-726</t>
  </si>
  <si>
    <t>High &amp; Medium - CVE-2024-30105 System.Text.Json 8.0.0  *</t>
  </si>
  <si>
    <t>Stretch story on Infrasturcture epic - Rolled over</t>
  </si>
  <si>
    <t>Saranya/Sathiyabharathi</t>
  </si>
  <si>
    <t>GGO-14004</t>
  </si>
  <si>
    <t>Error when attempting to edit users</t>
  </si>
  <si>
    <t>https://dev.azure.com/greatergiving/Greater%20Giving/_git/GGO/pullrequest/7663</t>
  </si>
  <si>
    <t>Replace "" with string.Empty</t>
  </si>
  <si>
    <t>Part of infrastructure epic - Completed</t>
  </si>
  <si>
    <t>GGO-14187</t>
  </si>
  <si>
    <t>Analyze impact of .net update</t>
  </si>
  <si>
    <t>Investingation story</t>
  </si>
  <si>
    <t>GGO-14193</t>
  </si>
  <si>
    <t>console app udpate*</t>
  </si>
  <si>
    <t>https://dev.azure.com/greatergiving/Greater%20Giving/_git/GGO/pullrequest/7658</t>
  </si>
  <si>
    <t>GGO-13999</t>
  </si>
  <si>
    <t>Quartz Service - Replace hard coded Application Insights key*</t>
  </si>
  <si>
    <t>GGO-13947</t>
  </si>
  <si>
    <t>Medium - CVE-2022-30187 - Azure.Storage.Blobs/12.10.0 &amp; 12.15.0</t>
  </si>
  <si>
    <t>GGO-13982</t>
  </si>
  <si>
    <t>Console errors, blank output when printing shipping labels from Firefox</t>
  </si>
  <si>
    <t>Priority defect - Implemented successfully</t>
  </si>
  <si>
    <t>GGO-13993</t>
  </si>
  <si>
    <t xml:space="preserve">Supporter - Handle MaxRequestLength* </t>
  </si>
  <si>
    <t>GGO-14003</t>
  </si>
  <si>
    <t>Recalculate Name Fields times out every time</t>
  </si>
  <si>
    <t>https://dev.azure.com/greatergiving/Greater%20Giving/_git/GGO/pullrequest/7628</t>
  </si>
  <si>
    <t>Bug fix - Implemented successfully</t>
  </si>
  <si>
    <t>Mike Wall did the script level changes but the issue occued for the org which is having more supporters we updated the name fields by Batch processing and it worked as expected</t>
  </si>
  <si>
    <t>Rajesh/Sathiyabharathi</t>
  </si>
  <si>
    <t>GGO-13655</t>
  </si>
  <si>
    <t>Enable CDC for GGO</t>
  </si>
  <si>
    <t>https://dev.azure.com/greatergiving/Greater%20Giving/_git/GGO/pullrequest/7629</t>
  </si>
  <si>
    <t>Fix typo/misspell privilege.</t>
  </si>
  <si>
    <t>Completed the implementation and tested in local and Dev environment.verification in TST is pending.it is script changes.Onsite QA confirmation is pending.</t>
  </si>
  <si>
    <t>PAPI-716</t>
  </si>
  <si>
    <t>PAPI 7.12.0 CRT Release</t>
  </si>
  <si>
    <t>GGO-14062</t>
  </si>
  <si>
    <t>GGO 7.17.0 CRT Release and Regression Testing</t>
  </si>
  <si>
    <t>GGO-13856</t>
  </si>
  <si>
    <t>Medium - Microsoft.IdentityModel.JsonWebTokens:5.5.0 &amp; Microsoft.IdentityModel.JsonWebTokens:6.10.0*</t>
  </si>
  <si>
    <t>GGO-13998</t>
  </si>
  <si>
    <t xml:space="preserve">Can not permanently delete projects from APAdmin </t>
  </si>
  <si>
    <t>GGO-14169</t>
  </si>
  <si>
    <t>MSR Certification test - iOS</t>
  </si>
  <si>
    <t>Swipe certification tests for iOS from Self testing portal</t>
  </si>
  <si>
    <t>PAPI-710</t>
  </si>
  <si>
    <t>Remove apConstants.PORTICO_TESTING_TOKEN*</t>
  </si>
  <si>
    <t>GGO 7.18.0 Sprint 3 STRETCH</t>
  </si>
  <si>
    <t>Medium - CVE-2022-30187 - Azure.Storage.Blobs/12.10.0 &amp; 12.15.0*</t>
  </si>
  <si>
    <t>https://dev.azure.com/greatergiving/Greater%20Giving/_git/GGO/pullrequest/7641</t>
  </si>
  <si>
    <t>Macroscope scanning - Rolled over</t>
  </si>
  <si>
    <t>Part of infrastructure epic - Rolled over</t>
  </si>
  <si>
    <t>It is a production issue. Reproduced in local and it should be fixed</t>
  </si>
  <si>
    <t>GGO-13691</t>
  </si>
  <si>
    <t>Issue with ClearExpiredTrialUsers</t>
  </si>
  <si>
    <t>https://dev.azure.com/greatergiving/Greater%20Giving/_git/GGO/pullrequest/7599</t>
  </si>
  <si>
    <t>GGO-13994</t>
  </si>
  <si>
    <t>Update Capital letter tagging validation for Bidder and Supporter welcome SMS</t>
  </si>
  <si>
    <t>https://dev.azure.com/greatergiving/Greater%20Giving/_git/GGO/pullrequest/7592</t>
  </si>
  <si>
    <t>GGO-14037</t>
  </si>
  <si>
    <t>MSR Certification test - Manually Keyed Transaction (Purchase/Full Reversal-V1 01 &amp; M1 03)</t>
  </si>
  <si>
    <t>This has been added a flag in ApAdmin to toggle the card present setting for GoTime&gt;Storefront - Rolled over</t>
  </si>
  <si>
    <t>Development has been completed. Client dependency (Portico side test cases required some additional params)</t>
  </si>
  <si>
    <t>PAPI-714</t>
  </si>
  <si>
    <t>https://greatergiving.visualstudio.com/Greater%20Giving/_git/PAPI/pullrequest/7613</t>
  </si>
  <si>
    <t>This has also been rolled over</t>
  </si>
  <si>
    <t>PAPI-712</t>
  </si>
  <si>
    <t>High - jquery-ui-1-11-4/1.11.4</t>
  </si>
  <si>
    <t xml:space="preserve">                          No Comments</t>
  </si>
  <si>
    <t>https://greatergiving.visualstudio.com/Greater%20Giving/_git/PAPI/pullrequest/7598</t>
  </si>
  <si>
    <t>This is a part of macroscope - completed</t>
  </si>
  <si>
    <t>PAPI-713</t>
  </si>
  <si>
    <t>Bluetooth Swipe Refund Transactions are Processed as Credit Sale*</t>
  </si>
  <si>
    <t>Deployement happened at the end of the sprint. Testing is still in progress</t>
  </si>
  <si>
    <t>GGO-13819</t>
  </si>
  <si>
    <t>Migrate Reporting to Quartz</t>
  </si>
  <si>
    <t>https://dev.azure.com/greatergiving/Greater%20Giving/_git/GGO/pullrequest/7553</t>
  </si>
  <si>
    <t xml:space="preserve">Development has been completed for this story and did local testing need to test in Dev environment is pending it requires client IT team support </t>
  </si>
  <si>
    <t>PAPI-711</t>
  </si>
  <si>
    <t>Critical - Secret Detected in Source/config/apCalcSolution/cacl</t>
  </si>
  <si>
    <t>https://dev.azure.com/greatergiving/Greater%20Giving/_git/PAPI/pullrequest/7584</t>
  </si>
  <si>
    <t>GGO-14039</t>
  </si>
  <si>
    <t>Legacy iOS - Login button for some reason is listed as Update*</t>
  </si>
  <si>
    <t>GGO-13985</t>
  </si>
  <si>
    <t>GGO 7.16.2 CRT Release &amp; Regression Testing</t>
  </si>
  <si>
    <t>GGO-13954</t>
  </si>
  <si>
    <t>AGG-07 Report not pull LY numbers</t>
  </si>
  <si>
    <t>Analyzed and found out the rootcause and updated required details in that story's comment section. That info is shared to Customer Service</t>
  </si>
  <si>
    <t>GGO-14005</t>
  </si>
  <si>
    <t>Wrong Credit Card Method Type Assignment</t>
  </si>
  <si>
    <t>Testing is Blocked due to Certificate Issues.</t>
  </si>
  <si>
    <t>GGO-14006</t>
  </si>
  <si>
    <r>
      <rPr>
        <sz val="10"/>
        <color rgb="FF000000"/>
        <rFont val="Arial"/>
      </rPr>
      <t xml:space="preserve">
</t>
    </r>
    <r>
      <rPr>
        <sz val="10"/>
        <color rgb="FF000000"/>
        <rFont val="Arial"/>
      </rPr>
      <t xml:space="preserve">
Shipping label generation not working in CRT</t>
    </r>
  </si>
  <si>
    <t>https://greatergiving.visualstudio.com/Greater%20Giving/_git/GGO/pullrequest/7567</t>
  </si>
  <si>
    <t>it looks like we need to remove a hyphen from zip code before we check the length and truncate</t>
  </si>
  <si>
    <t>GGO-13981</t>
  </si>
  <si>
    <t>Remove Bluetooth Data logging from GoTime.AddCreditCard*</t>
  </si>
  <si>
    <t>https://dev.azure.com/greatergiving/Greater%20Giving/_git/GGO/pullrequest/7521</t>
  </si>
  <si>
    <t>GGO-13948</t>
  </si>
  <si>
    <t>Value uneditable when splitting a sale</t>
  </si>
  <si>
    <t>https://dev.azure.com/greatergiving/Greater%20Giving/_git/GGO/pullrequest/7516</t>
  </si>
  <si>
    <t>GGO-13939</t>
  </si>
  <si>
    <t xml:space="preserve">Thumbnail images are not scaled proportionately by Quartz Job </t>
  </si>
  <si>
    <t>https://greatergiving.visualstudio.com/Greater%20Giving/_git/GGO/pullrequest/7527</t>
  </si>
  <si>
    <t>Development completed and marked this one as Impediment. Client IT team has to do some configuration.</t>
  </si>
  <si>
    <t>Testing completed. Client IT team has to do some configuration to resolve Shipping label generation.</t>
  </si>
  <si>
    <t>GGO-13983</t>
  </si>
  <si>
    <t>Move GGO Websvcs to its own application</t>
  </si>
  <si>
    <t>Marked this one as Impediment. Client IT team has to do some configuration.</t>
  </si>
  <si>
    <t>GGO-13760</t>
  </si>
  <si>
    <t>UPS Oauth Credentials</t>
  </si>
  <si>
    <t>https://greatergiving.visualstudio.com/Greater%20Giving/_git/GGO/pullrequest/7498</t>
  </si>
  <si>
    <t>NO</t>
  </si>
  <si>
    <t>GGO-13836</t>
  </si>
  <si>
    <t>API call for testing card readers</t>
  </si>
  <si>
    <t>Scope of the Story is only testing.And this is Fully Developed by Loan and we tested it and updated the comments in JIRA.</t>
  </si>
  <si>
    <t>GGO-13940</t>
  </si>
  <si>
    <t>Length Validation for Bidder and Supporter SMS</t>
  </si>
  <si>
    <t>https://greatergiving.visualstudio.com/Greater%20Giving/_git/GGO/pullrequest/7501</t>
  </si>
  <si>
    <t>PAPI-708</t>
  </si>
  <si>
    <t>Allow CardVerify Response Code 91 and store CardBrandTransactionID</t>
  </si>
  <si>
    <t>Scope of the Story is only testing.And this is Fully Developed by Mike Wall and we tested it and updated the comments in JIRA.</t>
  </si>
  <si>
    <t>PAPI-702</t>
  </si>
  <si>
    <t xml:space="preserve"> GGAM &amp; All Client Apps: Test to determine if they are saving Tokens instead of encrypted CCN/PAN</t>
  </si>
  <si>
    <t>We offshore tested and provided the comments. And Informed one existing issue. Nathan raised an new issue for the same and also testing is still pending from his side.</t>
  </si>
  <si>
    <t>GGO-13773</t>
  </si>
  <si>
    <t>create method for running pivotal and sfdc event sync simultaneously</t>
  </si>
  <si>
    <t xml:space="preserve">salesforce team confirmed they can't do any changes </t>
  </si>
  <si>
    <t>GGO-13877</t>
  </si>
  <si>
    <t>Tax rate in view packages cuts off decimal amounts of percentage</t>
  </si>
  <si>
    <t>https://greatergiving.visualstudio.com/Greater%20Giving/_git/GGO/pullrequest/7453</t>
  </si>
  <si>
    <t>Loan Truong</t>
  </si>
  <si>
    <t>Sathiyabharathi Paramasivam</t>
  </si>
  <si>
    <t>GGO-13878</t>
  </si>
  <si>
    <t>Issues with convenience fee rounding</t>
  </si>
  <si>
    <t>https://dev.azure.com/greatergiving/Greater%20Giving/_git/GGO/pullrequest/7465</t>
  </si>
  <si>
    <t>GGO-13879</t>
  </si>
  <si>
    <t>Payments shown in GGO as Error actually processed</t>
  </si>
  <si>
    <t>https://greatergiving.visualstudio.com/Greater%20Giving/_git/GGO/pullrequest/7469</t>
  </si>
  <si>
    <t>GGO-13925</t>
  </si>
  <si>
    <t>Tax Rate on Create Sale inaccurate</t>
  </si>
  <si>
    <t>https://dev.azure.com/greatergiving/Greater%20Giving/_git/GGO/pullrequest/7466</t>
  </si>
  <si>
    <t>GGO-13917</t>
  </si>
  <si>
    <t>ManageSalesAndPayments Nullable object must have a value</t>
  </si>
  <si>
    <t>https://dev.azure.com/greatergiving/Greater%20Giving/_git/GGO/pullrequest/7454</t>
  </si>
  <si>
    <t>Scope of the Story is only testing.And this is Fully Developed by Mike Wall and we tested and updated the comments in JIRA.card details need to verified with PAPI database, we don't have required permission for that only onsite QA need to be verified.</t>
  </si>
  <si>
    <t>GGO-13834</t>
  </si>
  <si>
    <t>Tax Rate on Packages showing as 0</t>
  </si>
  <si>
    <t>GGO-13938</t>
  </si>
  <si>
    <t>High - CVE-2024-0056 - System.Data.SqlClient/4.5.1*</t>
  </si>
  <si>
    <t>GGO-13927</t>
  </si>
  <si>
    <t>High - Detector AzureStorage Found Result*</t>
  </si>
  <si>
    <t>GGO-13857</t>
  </si>
  <si>
    <t>(High &amp; Medium) - BDSA-2018-5195 - Newtonsoft.Json/9.0.1 &amp; BDSA-2018-5195 - Newtonsoft.Json/12.0.2 &amp; Newtonsoft.Json:11.0.2*</t>
  </si>
  <si>
    <t>GGO-13843</t>
  </si>
  <si>
    <t>High - MessagePack:1.7.3.4 | MessagePack for C# and Unity Before Version 1.9.11 and 2.1.90 Has a Vulnerability</t>
  </si>
  <si>
    <t>https://dev.azure.com/greatergiving/Greater%20Giving/_git/GGO/pullrequest/7422</t>
  </si>
  <si>
    <t>GGO 7.17.0 Sprint 1 [Stretch]</t>
  </si>
  <si>
    <t>GGO-13844</t>
  </si>
  <si>
    <t>create method for running pivotal and sfdc event sync simultaneously*</t>
  </si>
  <si>
    <t>https://dev.azure.com/greatergiving/Greater%20Giving/_git/GGO/pullrequest/7442</t>
  </si>
  <si>
    <t>Development has been completed , require salesforce team support to test</t>
  </si>
  <si>
    <t>GGO-13854</t>
  </si>
  <si>
    <t>Critical - Insecure Transport: Database - App.config: 5</t>
  </si>
  <si>
    <t xml:space="preserve">Saranya </t>
  </si>
  <si>
    <t>https://greatergiving.visualstudio.com/Greater%20Giving/_git/GGO/pullrequest/7439</t>
  </si>
  <si>
    <t>Saranya Namachivayam / Mike Wall</t>
  </si>
  <si>
    <t>GGAM &amp; All Client Apps: Test to determine if they are saving Tokens instead of encrypted CCN/PAN</t>
  </si>
  <si>
    <t>Priya, Saranya</t>
  </si>
  <si>
    <t>https://dev.azure.com/greatergiving/Greater%20Giving/_git/PAPI/pullrequest/7437</t>
  </si>
  <si>
    <t>Scope of the Story is only testing. We are doing testing support to onsite resource</t>
  </si>
  <si>
    <t>GGO-13816</t>
  </si>
  <si>
    <t>GGO 7.16.0 CRT Release &amp; Regression Testing</t>
  </si>
  <si>
    <t>GGO-13785</t>
  </si>
  <si>
    <t>Go Time Card Entry update for old readers</t>
  </si>
  <si>
    <t>Scope of the Story is only testing.(Fully Developed by Loan and we tested and updated the comments in JIRA)</t>
  </si>
  <si>
    <t>GGO-13893</t>
  </si>
  <si>
    <t>CancelledDate' from SF always saved as 1969-12-31 in GGO database</t>
  </si>
  <si>
    <t>GGO-13815</t>
  </si>
  <si>
    <t>When importing Online Registrations &amp; Purchases, Sale/Payment Association Status will be Partial</t>
  </si>
  <si>
    <t>https://greatergiving.visualstudio.com/Greater%20Giving/_git/GGO/pullrequest/7370</t>
  </si>
  <si>
    <t>The bug was fixed successfully</t>
  </si>
  <si>
    <t>GGO-13801</t>
  </si>
  <si>
    <t>Supporter Details household behavior</t>
  </si>
  <si>
    <t>https://dev.azure.com/greatergiving/Greater%20Giving/_git/GGO/pullrequest/7366</t>
  </si>
  <si>
    <t>Implemented as per AC</t>
  </si>
  <si>
    <t xml:space="preserve">Got some issue with GGOApi user for transfer of data from GGO to SF -  Rolled over </t>
  </si>
  <si>
    <t>GGO-13738</t>
  </si>
  <si>
    <t>Coordinate with IT to add Bluetooth hardware column in SF</t>
  </si>
  <si>
    <t>https://greatergiving.visualstudio.com/Greater%20Giving/_git/GGO/pullrequest/7364</t>
  </si>
  <si>
    <t>GGO-13796</t>
  </si>
  <si>
    <t>TST verification for SFDC Enhancements</t>
  </si>
  <si>
    <t>https://greatergiving.visualstudio.com/Greater%20Giving/_git/GGO/pullrequest/7383</t>
  </si>
  <si>
    <t>In Progress - Rolled over</t>
  </si>
  <si>
    <t>Rolled Over</t>
  </si>
  <si>
    <t>GGO-13737</t>
  </si>
  <si>
    <t>GGO Storefront handle Mobile Transaction card data for swipe</t>
  </si>
  <si>
    <t>This story was developed by Loan and I have tested this and updated my comments</t>
  </si>
  <si>
    <t>GGO-13837</t>
  </si>
  <si>
    <t>Package you have chosen is not a multisale package and it is already sold. Getting error while trying to add another sale of this package</t>
  </si>
  <si>
    <t>GGO-13838</t>
  </si>
  <si>
    <t>Supporter Grid display issues in Fundraiser-only projects</t>
  </si>
  <si>
    <t>GGO-13835</t>
  </si>
  <si>
    <t xml:space="preserve">GoTime-Storefront - Web- Getting Error while making the payment through Cash </t>
  </si>
  <si>
    <t>GGO-13733</t>
  </si>
  <si>
    <t>Go time checkin update</t>
  </si>
  <si>
    <t>Saranya,Priya</t>
  </si>
  <si>
    <t>https://dev.azure.com/greatergiving/Greater%20Giving/_git/GGO/pullrequest/7344</t>
  </si>
  <si>
    <t>Loan Truong/Mike Wall</t>
  </si>
  <si>
    <t>Implemented as per AC, no issues found.</t>
  </si>
  <si>
    <t>SathiyaBharathi / Saranya Namachivayam</t>
  </si>
  <si>
    <t>GGO-13699</t>
  </si>
  <si>
    <t>Go time checkout update</t>
  </si>
  <si>
    <t>https://dev.azure.com/greatergiving/Greater%20Giving/_git/GGO/pullrequest/7345</t>
  </si>
  <si>
    <t>Implemented as per AC.</t>
  </si>
  <si>
    <t>GGO-13807</t>
  </si>
  <si>
    <t>Apply Fees Logic Update</t>
  </si>
  <si>
    <t>Sathiyabharathi,Priya</t>
  </si>
  <si>
    <t>https://greatergiving.visualstudio.com/Greater%20Giving/_git/GGO/pullrequest/7347</t>
  </si>
  <si>
    <t>No comments</t>
  </si>
  <si>
    <t>Saranya/SathiyaBharathi</t>
  </si>
  <si>
    <t>Saranya,Sathiyabharathi,Priya</t>
  </si>
  <si>
    <t>https://greatergiving.visualstudio.com/Greater%20Giving/_git/GGO/pullrequest/7352</t>
  </si>
  <si>
    <t>Found a new defect. Still in progress</t>
  </si>
  <si>
    <t>GGO-13744</t>
  </si>
  <si>
    <t>Convenience Fee Enabled Setting Persistence across templates and copied projects</t>
  </si>
  <si>
    <t>https://greatergiving.visualstudio.com/Greater%20Giving/_git/GGO/pullrequest/7346</t>
  </si>
  <si>
    <t>Coordinate with IT to add Bluetooth hardware column in SF*</t>
  </si>
  <si>
    <t>Still in progress</t>
  </si>
  <si>
    <t>Development is completed. Testing is pending. It requires IT team support</t>
  </si>
  <si>
    <t>GGO-13824</t>
  </si>
  <si>
    <t>When updating equipment orders, it will only update one card reader field at a time.*</t>
  </si>
  <si>
    <t>https://dev.azure.com/greatergiving/Greater%20Giving/_git/GGO/pullrequest/7358</t>
  </si>
  <si>
    <t>This bug was fixed</t>
  </si>
  <si>
    <t>GGO-13703</t>
  </si>
  <si>
    <t>Bid-18 Update</t>
  </si>
  <si>
    <t>Sathiyabharathi,Rajesh</t>
  </si>
  <si>
    <t>GGO-13820</t>
  </si>
  <si>
    <t>Salesforce Support*</t>
  </si>
  <si>
    <t>GGO 7.16.0</t>
  </si>
  <si>
    <t>Saranya Namachivayam / Rajesh</t>
  </si>
  <si>
    <t>GGO-13612</t>
  </si>
  <si>
    <t>Update Redis Cache Clearing on Release</t>
  </si>
  <si>
    <t>SathiyaBharathi,Priya</t>
  </si>
  <si>
    <t>https://greatergiving.visualstudio.com/Greater%20Giving/_git/GGO/pullrequest/7317</t>
  </si>
  <si>
    <t>The column header was occupying additional column for the report BID-18, however it’s look like an existing issue.</t>
  </si>
  <si>
    <t>GGO-13696</t>
  </si>
  <si>
    <t>Add option to supporter record</t>
  </si>
  <si>
    <t>https://dev.azure.com/greatergiving/Greater%20Giving/_git/GGO/pullrequest/7316</t>
  </si>
  <si>
    <t>Move constant variable to common file convenienceFee.cs</t>
  </si>
  <si>
    <t>GGO-13701</t>
  </si>
  <si>
    <t>Charge Batch Update</t>
  </si>
  <si>
    <t>https://dev.azure.com/greatergiving/Greater%20Giving/_git/GGO/pullrequest/7306</t>
  </si>
  <si>
    <t>move methods to common place</t>
  </si>
  <si>
    <t>One Defect Sub-task has been created to update the window height based on AC. It was fixed and the story was completed.</t>
  </si>
  <si>
    <t>GGO-13795</t>
  </si>
  <si>
    <t>Manually added Convenience Fee sales not counted as 'Convenience Fee Applied'</t>
  </si>
  <si>
    <t>Parent story-GGO-13702</t>
  </si>
  <si>
    <t>GGO-13771</t>
  </si>
  <si>
    <t>Update label on supporter record*</t>
  </si>
  <si>
    <t>https://dev.azure.com/greatergiving/Greater%20Giving/_git/GGO/pullrequest/7330</t>
  </si>
  <si>
    <t>Move variable declaration to common file convenienceFee.cs</t>
  </si>
  <si>
    <t>Priya- QA</t>
  </si>
  <si>
    <t>GGO-13702</t>
  </si>
  <si>
    <t>Supporter Advanced Search update</t>
  </si>
  <si>
    <t>Testing completed in this sprint</t>
  </si>
  <si>
    <t>GGO-13783</t>
  </si>
  <si>
    <t>Go Time Card Entry Interface for new readers</t>
  </si>
  <si>
    <t>Worked and Tested with the Mobile team to check the new popup doesn't affect any existing flow.</t>
  </si>
  <si>
    <t>GGO-13821</t>
  </si>
  <si>
    <t>Manually created negative Conv fee sale is displayed in both Total sales and Conv fee applied and the total due is calculated based on these two values...</t>
  </si>
  <si>
    <t>GGO-13825</t>
  </si>
  <si>
    <t>Negative convenience amount is calculated in the report Bid- 18 if the supporter has a negative due and covering conv fee is enabled</t>
  </si>
  <si>
    <t>GGO-13828</t>
  </si>
  <si>
    <t>Total Due Amounts in Checkout VS Manage Sales and Payments don't always match</t>
  </si>
  <si>
    <t>/GGO-13804</t>
  </si>
  <si>
    <t>Charge Batch Grid height not limited to 400px</t>
  </si>
  <si>
    <t>GGO-13143</t>
  </si>
  <si>
    <t>Send Group to OB for bidders</t>
  </si>
  <si>
    <t xml:space="preserve"> Priya</t>
  </si>
  <si>
    <t>https://dev.azure.com/greatergiving/Greater%20Giving/_git/GGO/pullrequest/7229</t>
  </si>
  <si>
    <t>20-Jan-0202</t>
  </si>
  <si>
    <t>Mike Wall,Loan</t>
  </si>
  <si>
    <t>GGO-13735</t>
  </si>
  <si>
    <t>Update Legacy Go Time Mobile Reader Options image</t>
  </si>
  <si>
    <t>https://dev.azure.com/greatergiving/Greater%20Giving/_git/GGO/pullrequest/7279</t>
  </si>
  <si>
    <t>GGO-13740</t>
  </si>
  <si>
    <t>GGO 7.15.0 CRT Release &amp; Regression Testing</t>
  </si>
  <si>
    <t>GGO-13770</t>
  </si>
  <si>
    <t>AGG-07 Reports missing from PRD</t>
  </si>
  <si>
    <t>Rajesh and Priya</t>
  </si>
  <si>
    <t>https://dev.azure.com/greatergiving/Greater%20Giving/_git/GGO/pullrequest/7264</t>
  </si>
  <si>
    <t>create new file in Library project and move the convenience fee releated changes to that file</t>
  </si>
  <si>
    <t>https://dev.azure.com/greatergiving/Greater%20Giving/_git/GGO/pullrequest/7285</t>
  </si>
  <si>
    <t>GGO-13736</t>
  </si>
  <si>
    <t>Hide card reader popup for mobile pilot users</t>
  </si>
  <si>
    <t>https://dev.azure.com/greatergiving/Greater%20Giving/_git/GGO/pullrequest/7273</t>
  </si>
  <si>
    <t>GGO-13774</t>
  </si>
  <si>
    <t>Escalation Support</t>
  </si>
  <si>
    <t>Sathiyabharathi / Saranya</t>
  </si>
  <si>
    <t>Supporter Advanced Search Update*</t>
  </si>
  <si>
    <t>Saranya and Priya</t>
  </si>
  <si>
    <t>No LLBLGen file changes should be made manually. You need to run LLBLGen using powershell tool. If you have problem with license, let me know.</t>
  </si>
  <si>
    <t>https://greatergiving.atlassian.net/browse/GGO-13775</t>
  </si>
  <si>
    <t xml:space="preserve">GGO code card entry dialogue is still showing behind the new Popup from GGO Mobile  </t>
  </si>
  <si>
    <t>https://greatergiving.atlassian.net/browse/GGO-13780</t>
  </si>
  <si>
    <t>Negative values are getting updated under Total sales when we have deleted the normal sale and convenience sale from the checkout</t>
  </si>
  <si>
    <t>Saranya Namachivayam/Sathiyabharathi Paramasivam</t>
  </si>
  <si>
    <t>https://greatergiving.visualstudio
.com/Greater%20Giving/_git/
GGO/pullrequest/7252</t>
  </si>
  <si>
    <t>25-01-2024</t>
  </si>
  <si>
    <t xml:space="preserve">
Michael Wall</t>
  </si>
  <si>
    <t>Took more time to cover all scenario's, failed with 
1 scenario at the end of sprint, so it got carry forwarded 
to next sprint</t>
  </si>
  <si>
    <t>Mobile Sprint 4</t>
  </si>
  <si>
    <t>GGOM-832</t>
  </si>
  <si>
    <t>user gets error if users login is shared in multiple orgs</t>
  </si>
  <si>
    <t>https://greatergiving.visualstudio.
com/Greater%20Giving/_git/
GGO/pullrequest/7224</t>
  </si>
  <si>
    <t>17-01-2024</t>
  </si>
  <si>
    <t>18-01-2024</t>
  </si>
  <si>
    <t>GGO-13695</t>
  </si>
  <si>
    <t>Add Conv fee flag to backend of supporter</t>
  </si>
  <si>
    <t>https://dev.azure.com/greatergiving/Greater%20Giving/_git/GGO/pullrequest/7231</t>
  </si>
  <si>
    <t>19-01-2024</t>
  </si>
  <si>
    <t>Loan,Mike Wall,Mike Horihan</t>
  </si>
  <si>
    <t>why we choose varchar(250) for the Email column</t>
  </si>
  <si>
    <t>Changed [EmailAddress] column datatype and length as([nvarchar] (127) NULL)</t>
  </si>
  <si>
    <t>GGO-13756</t>
  </si>
  <si>
    <t>CRT Regression Issue-AGG-23X Report loading issue</t>
  </si>
  <si>
    <t>https://dev.azure.com/greatergiving/Greater%20Giving/_git/GGO/pullrequest/7248</t>
  </si>
  <si>
    <t>23-01-2024</t>
  </si>
  <si>
    <t>we frequently faced AsyncPageTime out issue while Running AGG-03 ,AGG-25, AGG-23x reports.PO decided to revert the changes .</t>
  </si>
  <si>
    <t>Reverted SQLCLR 7 story changes, we frequently faced AsyncPageTime out issue while Running AGG-03 ,AGG-25, AGG-23x reports.PO decided to revert the changes .</t>
  </si>
  <si>
    <t>GGO-13742</t>
  </si>
  <si>
    <t>Project Website Creation error for returning clients*</t>
  </si>
  <si>
    <t>Migration Script Updated in ChangeLog</t>
  </si>
  <si>
    <t>GGO-13752</t>
  </si>
  <si>
    <t>Set IsBluetoothPilot Flag in browser cookies for Legacy Mobile App*</t>
  </si>
  <si>
    <t>https://dev.azure.com/greatergiving/Greater%20Giving/_git/GGO/pullrequest/7216</t>
  </si>
  <si>
    <t>13-01-2024</t>
  </si>
  <si>
    <t>13-01-202</t>
  </si>
  <si>
    <t>GGO-13753</t>
  </si>
  <si>
    <t>Set isBluetoothFlag in Switch Project functionality for Legacy Mobile App</t>
  </si>
  <si>
    <t>Loan, MikeW</t>
  </si>
  <si>
    <t>MikeW</t>
  </si>
  <si>
    <t>GGO-13462</t>
  </si>
  <si>
    <t>Identify and update the non-data table 4</t>
  </si>
  <si>
    <t>Testing completed on this sprint</t>
  </si>
  <si>
    <t>GGO-13694</t>
  </si>
  <si>
    <t>Project Builder Updates</t>
  </si>
  <si>
    <t>GGO-13758</t>
  </si>
  <si>
    <t xml:space="preserve"> Adding new admissions from the existing supporter and Save it- Getting "An Error has occurred"</t>
  </si>
  <si>
    <t>Code Review Comments received from Client for 2.5 Sprint</t>
  </si>
  <si>
    <t>S No</t>
  </si>
  <si>
    <t>Execution Steps</t>
  </si>
  <si>
    <t>index.tsx
/AugustWeb/Features/ContactMaintenance/Components/index.tsx
Search doesn't work on the details page. Please remove the search component from the header.</t>
  </si>
  <si>
    <t>Code conflict</t>
  </si>
  <si>
    <t>ParentApiRegistrationController.cs
/AugustWeb/Features/ParentAPI/ParentApiRegistrationController.cs
If the admin doesn't set up any of the new options, then the system rejects every registration.</t>
  </si>
  <si>
    <t>Coding Standard</t>
  </si>
  <si>
    <t>PickEnrollmentPlanView.tsx
/ParentWeb/ClientApp/src/pages/Registration/PickEnrollmentPlanView.tsx
This should be filtered before this ternary statement so the "No enrollment plans" message could be shown if all plans are at capacity and closed.</t>
  </si>
  <si>
    <t>Existing Functionality</t>
  </si>
  <si>
    <t>ParentApiRegistrationController.cs
/AugustWeb/Features/ParentAPI/ParentApiRegistrationController.cs
Could we add a TermEnrollmentPlanId query parameter and query for it directly instead of pulling all the plans for the term?</t>
  </si>
  <si>
    <t>Acceptance Criteria coverage</t>
  </si>
  <si>
    <t>Code execute</t>
  </si>
  <si>
    <t>Code Performance</t>
  </si>
  <si>
    <t>Code cleanup</t>
  </si>
  <si>
    <t>Understandable code comments</t>
  </si>
  <si>
    <t>Root Cause category</t>
  </si>
  <si>
    <t>Existing_Issues</t>
  </si>
  <si>
    <t>Requirements</t>
  </si>
  <si>
    <t>QA</t>
  </si>
  <si>
    <t>Documentation</t>
  </si>
  <si>
    <t>Project_Management</t>
  </si>
  <si>
    <t>Ready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</si>
</sst>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mm\-yyyy"/>
    <numFmt numFmtId="165" formatCode="dd\-mmm\-yyyy"/>
    <numFmt numFmtId="166" formatCode="[$-409]d\-mmm\-yyyy;@"/>
  </numFmts>
  <fonts count="54">
    <font>
      <sz val="10"/>
      <color rgb="FF000000"/>
      <name val="Arial"/>
      <scheme val="minor"/>
    </font>
    <font>
      <b/>
      <sz val="10"/>
      <color rgb="FFFFFFFF"/>
      <name val="Calibri"/>
    </font>
    <font>
      <sz val="10"/>
      <color theme="1"/>
      <name val="Arial"/>
      <scheme val="minor"/>
    </font>
    <font>
      <sz val="10"/>
      <color theme="1"/>
      <name val="Arial"/>
    </font>
    <font>
      <u/>
      <sz val="10"/>
      <color rgb="FF000000"/>
      <name val="Arial"/>
    </font>
    <font>
      <sz val="10"/>
      <color rgb="FF000000"/>
      <name val="Arial"/>
    </font>
    <font>
      <u/>
      <sz val="10"/>
      <color rgb="FF0000FF"/>
      <name val="Arial"/>
    </font>
    <font>
      <sz val="9"/>
      <color rgb="FF1F1F1F"/>
      <name val="&quot;Google Sans&quot;"/>
    </font>
    <font>
      <sz val="10"/>
      <color rgb="FF1C2933"/>
      <name val="Helvetica Neue"/>
    </font>
    <font>
      <u/>
      <sz val="11"/>
      <color rgb="FF0000FF"/>
      <name val="-apple-system"/>
    </font>
    <font>
      <sz val="11"/>
      <color rgb="FF172B4D"/>
      <name val="-apple-system"/>
    </font>
    <font>
      <u/>
      <sz val="10"/>
      <color theme="1"/>
      <name val="Arial"/>
    </font>
    <font>
      <u/>
      <sz val="11"/>
      <color rgb="FF172B4D"/>
      <name val="Arial"/>
    </font>
    <font>
      <u/>
      <sz val="11"/>
      <color rgb="FF0000FF"/>
      <name val="Arial"/>
    </font>
    <font>
      <sz val="11"/>
      <color rgb="FF172B4D"/>
      <name val="Arial"/>
    </font>
    <font>
      <sz val="11"/>
      <color rgb="FF000000"/>
      <name val="Arial"/>
    </font>
    <font>
      <b/>
      <sz val="10"/>
      <color theme="1"/>
      <name val="Arial"/>
    </font>
    <font>
      <sz val="10"/>
      <name val="Arial"/>
    </font>
    <font>
      <b/>
      <sz val="9"/>
      <color rgb="FFFFFFFF"/>
      <name val="Proxima Nova"/>
    </font>
    <font>
      <sz val="10"/>
      <color theme="1"/>
      <name val="Proxima Nova"/>
    </font>
    <font>
      <u/>
      <sz val="10"/>
      <color theme="10"/>
      <name val="Arial"/>
      <scheme val="minor"/>
    </font>
    <font>
      <sz val="10"/>
      <color rgb="FF000000"/>
      <name val="Arial"/>
      <charset val="1"/>
    </font>
    <font>
      <sz val="11"/>
      <color rgb="FF000000"/>
      <name val="Segoe UI"/>
      <charset val="1"/>
    </font>
    <font>
      <b/>
      <sz val="10"/>
      <color rgb="FFFFFFFF"/>
      <name val="Arial"/>
      <scheme val="major"/>
    </font>
    <font>
      <sz val="10"/>
      <color rgb="FF000000"/>
      <name val="Arial"/>
      <scheme val="major"/>
    </font>
    <font>
      <sz val="10"/>
      <color theme="1"/>
      <name val="Arial"/>
      <scheme val="major"/>
    </font>
    <font>
      <u/>
      <sz val="10"/>
      <color theme="10"/>
      <name val="Arial"/>
      <scheme val="major"/>
    </font>
    <font>
      <u/>
      <sz val="10"/>
      <color rgb="FF000000"/>
      <name val="Arial"/>
      <scheme val="minor"/>
    </font>
    <font>
      <sz val="10"/>
      <color rgb="FF202124"/>
      <name val="Roboto"/>
      <charset val="1"/>
    </font>
    <font>
      <sz val="10"/>
      <color theme="1"/>
      <name val="Arial"/>
      <charset val="1"/>
    </font>
    <font>
      <u/>
      <sz val="10"/>
      <color theme="10"/>
      <name val="Arial"/>
    </font>
    <font>
      <sz val="11"/>
      <color rgb="FF172B4D"/>
      <name val="-Apple-System"/>
      <charset val="1"/>
    </font>
    <font>
      <sz val="10"/>
      <color rgb="FFFF0000"/>
      <name val="Arial"/>
    </font>
    <font>
      <b/>
      <sz val="10"/>
      <color rgb="FFFFFFFF"/>
      <name val="Arial"/>
    </font>
    <font>
      <sz val="10"/>
      <color rgb="FFFF0000"/>
      <name val="Arial"/>
      <scheme val="minor"/>
    </font>
    <font>
      <sz val="11"/>
      <color rgb="FF242424"/>
      <name val="Aptos Narrow"/>
      <charset val="1"/>
    </font>
    <font>
      <sz val="10"/>
      <color rgb="FF242424"/>
      <name val="Arial"/>
      <scheme val="minor"/>
    </font>
    <font>
      <sz val="10"/>
      <color rgb="FF1D1C1D"/>
      <name val="Arial"/>
      <scheme val="minor"/>
    </font>
    <font>
      <sz val="10"/>
      <color rgb="FF242424"/>
      <name val="Arial"/>
      <charset val="1"/>
    </font>
    <font>
      <sz val="11"/>
      <color rgb="FF1D1C1D"/>
      <name val="Slack-Lato"/>
      <charset val="1"/>
    </font>
    <font>
      <sz val="10"/>
      <color rgb="FF172B4D"/>
      <name val="Arial"/>
      <scheme val="minor"/>
    </font>
    <font>
      <b/>
      <sz val="10"/>
      <color rgb="FFFFFFFF"/>
      <name val="Arial"/>
      <scheme val="minor"/>
    </font>
    <font>
      <sz val="11"/>
      <color rgb="FF000000"/>
      <name val="Arial"/>
      <scheme val="minor"/>
    </font>
    <font>
      <sz val="10"/>
      <color rgb="FF000000"/>
      <name val="Calibri"/>
    </font>
    <font>
      <sz val="10"/>
      <color theme="1"/>
      <name val="Calibri"/>
    </font>
    <font>
      <u/>
      <sz val="10"/>
      <color theme="10"/>
      <name val="Calibri"/>
    </font>
    <font>
      <u/>
      <sz val="10"/>
      <color rgb="FF1155CC"/>
      <name val="Calibri"/>
    </font>
    <font>
      <b/>
      <sz val="10"/>
      <color theme="1"/>
      <name val="Calibri"/>
    </font>
    <font>
      <b/>
      <sz val="10"/>
      <color rgb="FF000000"/>
      <name val="Calibri"/>
    </font>
    <font>
      <sz val="10"/>
      <color rgb="FF1D1C1D"/>
      <name val="Calibri"/>
    </font>
    <font>
      <b/>
      <sz val="10"/>
      <color rgb="FF1D1C1D"/>
      <name val="Calibri"/>
    </font>
    <font>
      <sz val="10"/>
      <color rgb="FF000000"/>
      <name val="Calibri"/>
      <charset val="1"/>
    </font>
    <font>
      <b/>
      <i/>
      <sz val="10"/>
      <color rgb="FF000000"/>
      <name val="Calibri"/>
    </font>
    <font>
      <u/>
      <sz val="10"/>
      <color rgb="FF1155CC"/>
      <name val="Arial"/>
      <scheme val="minor"/>
    </font>
  </fonts>
  <fills count="19">
    <fill>
      <patternFill patternType="none"/>
    </fill>
    <fill>
      <patternFill patternType="gray125"/>
    </fill>
    <fill>
      <patternFill patternType="solid">
        <fgColor rgb="FF27235C"/>
        <bgColor rgb="FF27235C"/>
      </patternFill>
    </fill>
    <fill>
      <patternFill patternType="solid">
        <fgColor rgb="FFE01950"/>
        <bgColor rgb="FFE01950"/>
      </patternFill>
    </fill>
    <fill>
      <patternFill patternType="solid">
        <fgColor rgb="FFFFFFFF"/>
        <bgColor rgb="FFFFFFFF"/>
      </patternFill>
    </fill>
    <fill>
      <patternFill patternType="solid">
        <fgColor rgb="FF97247E"/>
        <bgColor rgb="FF97247E"/>
      </patternFill>
    </fill>
    <fill>
      <patternFill patternType="solid">
        <fgColor rgb="FFF7F8F9"/>
        <bgColor rgb="FFF7F8F9"/>
      </patternFill>
    </fill>
    <fill>
      <patternFill patternType="solid">
        <fgColor rgb="FFD9D9D9"/>
        <bgColor rgb="FFD9D9D9"/>
      </patternFill>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6"/>
        <bgColor indexed="6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8F8F8"/>
        <bgColor indexed="64"/>
      </patternFill>
    </fill>
    <fill>
      <patternFill patternType="solid">
        <fgColor rgb="FF093D93"/>
        <bgColor rgb="FF000000"/>
      </patternFill>
    </fill>
    <fill>
      <patternFill patternType="solid">
        <fgColor rgb="FFFEA767"/>
        <bgColor rgb="FF000000"/>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style="thin">
        <color theme="4" tint="0.39997558519241921"/>
      </bottom>
      <diagonal/>
    </border>
  </borders>
  <cellStyleXfs count="2">
    <xf numFmtId="0" fontId="0" fillId="0" borderId="0"/>
    <xf numFmtId="0" fontId="20" fillId="0" borderId="0" applyNumberFormat="0" applyFill="0" applyBorder="0" applyAlignment="0" applyProtection="0"/>
  </cellStyleXfs>
  <cellXfs count="618">
    <xf numFmtId="0" fontId="0" fillId="0" borderId="0" xfId="0"/>
    <xf numFmtId="0" fontId="1" fillId="2" borderId="1" xfId="0" applyFont="1" applyFill="1" applyBorder="1" applyAlignment="1">
      <alignment horizontal="center" wrapText="1"/>
    </xf>
    <xf numFmtId="0" fontId="2" fillId="0" borderId="1" xfId="0" applyFont="1" applyBorder="1"/>
    <xf numFmtId="0" fontId="1" fillId="3" borderId="1" xfId="0" applyFont="1" applyFill="1" applyBorder="1" applyAlignment="1">
      <alignment horizontal="center" wrapText="1"/>
    </xf>
    <xf numFmtId="0" fontId="3" fillId="0" borderId="2" xfId="0" applyFont="1" applyBorder="1" applyAlignment="1">
      <alignment horizontal="right"/>
    </xf>
    <xf numFmtId="0" fontId="3" fillId="0" borderId="1" xfId="0" applyFont="1" applyBorder="1" applyAlignment="1">
      <alignment horizontal="center" wrapText="1"/>
    </xf>
    <xf numFmtId="0" fontId="3" fillId="0" borderId="3" xfId="0" applyFont="1" applyBorder="1" applyAlignment="1">
      <alignment horizontal="left"/>
    </xf>
    <xf numFmtId="0" fontId="3" fillId="0" borderId="4" xfId="0" applyFont="1" applyBorder="1" applyAlignment="1">
      <alignment horizontal="center"/>
    </xf>
    <xf numFmtId="0" fontId="3" fillId="0" borderId="4" xfId="0" applyFont="1" applyBorder="1" applyAlignment="1">
      <alignment vertical="center" wrapText="1"/>
    </xf>
    <xf numFmtId="0" fontId="3" fillId="0" borderId="1" xfId="0" applyFont="1" applyBorder="1" applyAlignment="1">
      <alignment vertical="center" wrapText="1"/>
    </xf>
    <xf numFmtId="0" fontId="3" fillId="0" borderId="1" xfId="0" applyFont="1" applyBorder="1"/>
    <xf numFmtId="0" fontId="3" fillId="0" borderId="3" xfId="0" applyFont="1" applyBorder="1" applyAlignment="1">
      <alignment horizontal="center"/>
    </xf>
    <xf numFmtId="0" fontId="3" fillId="0" borderId="3" xfId="0" applyFont="1" applyBorder="1"/>
    <xf numFmtId="0" fontId="4" fillId="0" borderId="3" xfId="0" applyFont="1" applyBorder="1" applyAlignment="1">
      <alignment horizontal="center"/>
    </xf>
    <xf numFmtId="0" fontId="5" fillId="4" borderId="1" xfId="0" applyFont="1" applyFill="1" applyBorder="1" applyAlignment="1">
      <alignment horizontal="center"/>
    </xf>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left"/>
    </xf>
    <xf numFmtId="0" fontId="5" fillId="0" borderId="1" xfId="0" applyFont="1" applyBorder="1" applyAlignment="1">
      <alignment horizontal="center"/>
    </xf>
    <xf numFmtId="0" fontId="5" fillId="0" borderId="3" xfId="0" applyFont="1" applyBorder="1" applyAlignment="1">
      <alignment horizontal="center" wrapText="1"/>
    </xf>
    <xf numFmtId="0" fontId="6" fillId="0" borderId="3" xfId="0" applyFont="1" applyBorder="1" applyAlignment="1">
      <alignment horizontal="center" wrapText="1"/>
    </xf>
    <xf numFmtId="0" fontId="5" fillId="4" borderId="0" xfId="0" applyFont="1" applyFill="1" applyAlignment="1">
      <alignment horizontal="center"/>
    </xf>
    <xf numFmtId="0" fontId="7" fillId="4" borderId="0" xfId="0" applyFont="1" applyFill="1"/>
    <xf numFmtId="0" fontId="3" fillId="0" borderId="0" xfId="0" applyFont="1" applyAlignment="1">
      <alignment wrapText="1"/>
    </xf>
    <xf numFmtId="0" fontId="1" fillId="2" borderId="5" xfId="0" applyFont="1" applyFill="1" applyBorder="1" applyAlignment="1">
      <alignment horizontal="center" wrapText="1"/>
    </xf>
    <xf numFmtId="0" fontId="1" fillId="2" borderId="5" xfId="0" applyFont="1" applyFill="1" applyBorder="1" applyAlignment="1">
      <alignment wrapText="1"/>
    </xf>
    <xf numFmtId="0" fontId="1" fillId="5" borderId="5" xfId="0" applyFont="1" applyFill="1" applyBorder="1" applyAlignment="1">
      <alignment horizontal="center" wrapText="1"/>
    </xf>
    <xf numFmtId="0" fontId="1" fillId="3" borderId="5" xfId="0" applyFont="1" applyFill="1" applyBorder="1" applyAlignment="1">
      <alignment horizontal="center" wrapText="1"/>
    </xf>
    <xf numFmtId="0" fontId="3" fillId="0" borderId="0" xfId="0" applyFont="1"/>
    <xf numFmtId="0" fontId="3" fillId="0" borderId="3" xfId="0" applyFont="1" applyBorder="1" applyAlignment="1">
      <alignment wrapText="1"/>
    </xf>
    <xf numFmtId="164" fontId="3" fillId="0" borderId="1" xfId="0" applyNumberFormat="1" applyFont="1" applyBorder="1" applyAlignment="1">
      <alignment wrapText="1"/>
    </xf>
    <xf numFmtId="0" fontId="3" fillId="0" borderId="3" xfId="0" applyFont="1" applyBorder="1" applyAlignment="1">
      <alignment horizontal="center" wrapText="1"/>
    </xf>
    <xf numFmtId="0" fontId="3" fillId="0" borderId="5" xfId="0" applyFont="1" applyBorder="1" applyAlignment="1">
      <alignment wrapText="1"/>
    </xf>
    <xf numFmtId="0" fontId="11" fillId="0" borderId="3" xfId="0" applyFont="1" applyBorder="1" applyAlignment="1">
      <alignment horizontal="center" wrapText="1"/>
    </xf>
    <xf numFmtId="165" fontId="3" fillId="0" borderId="1" xfId="0" applyNumberFormat="1" applyFont="1" applyBorder="1" applyAlignment="1">
      <alignment wrapText="1"/>
    </xf>
    <xf numFmtId="0" fontId="8" fillId="4" borderId="1" xfId="0" applyFont="1" applyFill="1" applyBorder="1" applyAlignment="1">
      <alignment vertical="top" wrapText="1"/>
    </xf>
    <xf numFmtId="0" fontId="16" fillId="7" borderId="1" xfId="0" applyFont="1" applyFill="1" applyBorder="1"/>
    <xf numFmtId="0" fontId="18" fillId="5" borderId="1" xfId="0" applyFont="1" applyFill="1" applyBorder="1" applyAlignment="1">
      <alignment horizontal="center"/>
    </xf>
    <xf numFmtId="0" fontId="19" fillId="4" borderId="2" xfId="0" applyFont="1" applyFill="1" applyBorder="1" applyAlignment="1">
      <alignment horizontal="center"/>
    </xf>
    <xf numFmtId="0" fontId="11" fillId="0" borderId="3" xfId="0" applyFont="1" applyBorder="1" applyAlignment="1">
      <alignment wrapText="1"/>
    </xf>
    <xf numFmtId="0" fontId="2" fillId="0" borderId="1" xfId="0" applyFont="1" applyBorder="1" applyAlignment="1">
      <alignment wrapText="1"/>
    </xf>
    <xf numFmtId="0" fontId="3" fillId="0" borderId="5" xfId="0" applyFont="1" applyBorder="1"/>
    <xf numFmtId="0" fontId="1" fillId="2" borderId="4" xfId="0" applyFont="1" applyFill="1" applyBorder="1" applyAlignment="1">
      <alignment horizontal="center" wrapText="1"/>
    </xf>
    <xf numFmtId="0" fontId="0" fillId="0" borderId="0" xfId="0" applyAlignment="1">
      <alignment wrapText="1"/>
    </xf>
    <xf numFmtId="0" fontId="3" fillId="0" borderId="2" xfId="0" applyFont="1" applyBorder="1" applyAlignment="1">
      <alignment horizontal="right" wrapText="1"/>
    </xf>
    <xf numFmtId="0" fontId="3" fillId="0" borderId="3" xfId="0" applyFont="1" applyBorder="1" applyAlignment="1">
      <alignment horizontal="left" wrapText="1"/>
    </xf>
    <xf numFmtId="0" fontId="10" fillId="4" borderId="1" xfId="0" applyFont="1" applyFill="1" applyBorder="1" applyAlignment="1">
      <alignment horizontal="left" wrapText="1"/>
    </xf>
    <xf numFmtId="164" fontId="3" fillId="0" borderId="3" xfId="0" applyNumberFormat="1" applyFont="1" applyBorder="1" applyAlignment="1">
      <alignment horizontal="center" wrapText="1"/>
    </xf>
    <xf numFmtId="164" fontId="5" fillId="4" borderId="1" xfId="0" applyNumberFormat="1" applyFont="1" applyFill="1" applyBorder="1" applyAlignment="1">
      <alignment horizontal="center" wrapText="1"/>
    </xf>
    <xf numFmtId="0" fontId="3" fillId="0" borderId="1" xfId="0" applyFont="1" applyBorder="1" applyAlignment="1">
      <alignment horizontal="left" wrapText="1"/>
    </xf>
    <xf numFmtId="165" fontId="3" fillId="0" borderId="3" xfId="0" applyNumberFormat="1" applyFont="1" applyBorder="1" applyAlignment="1">
      <alignment horizontal="center" wrapText="1"/>
    </xf>
    <xf numFmtId="0" fontId="10" fillId="6" borderId="1" xfId="0" applyFont="1" applyFill="1" applyBorder="1" applyAlignment="1">
      <alignment horizontal="left" wrapText="1"/>
    </xf>
    <xf numFmtId="0" fontId="3" fillId="0" borderId="1" xfId="0" applyFont="1" applyBorder="1" applyAlignment="1">
      <alignment horizontal="right" wrapText="1"/>
    </xf>
    <xf numFmtId="0" fontId="14" fillId="6" borderId="1" xfId="0" applyFont="1" applyFill="1" applyBorder="1" applyAlignment="1">
      <alignment horizontal="left" wrapText="1"/>
    </xf>
    <xf numFmtId="0" fontId="15" fillId="4" borderId="1" xfId="0" applyFont="1" applyFill="1" applyBorder="1" applyAlignment="1">
      <alignment wrapText="1"/>
    </xf>
    <xf numFmtId="0" fontId="3" fillId="0" borderId="0" xfId="0" applyFont="1" applyAlignment="1">
      <alignment horizontal="center" wrapText="1"/>
    </xf>
    <xf numFmtId="0" fontId="2" fillId="0" borderId="0" xfId="0" applyFont="1" applyAlignment="1">
      <alignment horizontal="center" wrapText="1"/>
    </xf>
    <xf numFmtId="0" fontId="1"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wrapText="1"/>
    </xf>
    <xf numFmtId="0" fontId="20" fillId="0" borderId="3" xfId="1" applyBorder="1" applyAlignment="1">
      <alignment horizontal="center" wrapText="1"/>
    </xf>
    <xf numFmtId="0" fontId="3" fillId="0" borderId="8" xfId="0" applyFont="1" applyBorder="1" applyAlignment="1">
      <alignment horizontal="center" vertical="center" wrapText="1"/>
    </xf>
    <xf numFmtId="0" fontId="3" fillId="0" borderId="6" xfId="0" applyFont="1" applyBorder="1" applyAlignment="1">
      <alignment horizontal="center" wrapText="1"/>
    </xf>
    <xf numFmtId="0" fontId="8" fillId="4" borderId="0" xfId="0" applyFont="1" applyFill="1" applyAlignment="1">
      <alignment horizontal="center" vertical="top" wrapText="1"/>
    </xf>
    <xf numFmtId="15" fontId="3" fillId="0" borderId="1" xfId="0" applyNumberFormat="1" applyFont="1" applyBorder="1" applyAlignment="1">
      <alignment wrapText="1"/>
    </xf>
    <xf numFmtId="15" fontId="3" fillId="0" borderId="3" xfId="0" applyNumberFormat="1" applyFont="1" applyBorder="1" applyAlignment="1">
      <alignment horizontal="center" wrapText="1"/>
    </xf>
    <xf numFmtId="0" fontId="20" fillId="0" borderId="3" xfId="1" applyBorder="1" applyAlignment="1">
      <alignment wrapText="1"/>
    </xf>
    <xf numFmtId="0" fontId="20" fillId="0" borderId="1" xfId="1" applyBorder="1" applyAlignment="1">
      <alignment horizontal="center" wrapText="1"/>
    </xf>
    <xf numFmtId="15" fontId="3" fillId="0" borderId="1" xfId="0" applyNumberFormat="1" applyFont="1" applyBorder="1" applyAlignment="1">
      <alignment horizontal="center" wrapText="1"/>
    </xf>
    <xf numFmtId="0" fontId="20" fillId="0" borderId="1" xfId="1" applyBorder="1" applyAlignment="1">
      <alignment horizontal="center" vertical="center" wrapText="1"/>
    </xf>
    <xf numFmtId="0" fontId="21" fillId="0" borderId="0" xfId="0" applyFont="1"/>
    <xf numFmtId="0" fontId="20" fillId="4" borderId="1" xfId="1" applyFill="1" applyBorder="1" applyAlignment="1">
      <alignment horizontal="center" vertical="center" wrapText="1"/>
    </xf>
    <xf numFmtId="15" fontId="21" fillId="0" borderId="0" xfId="0" applyNumberFormat="1" applyFont="1"/>
    <xf numFmtId="0" fontId="20" fillId="0" borderId="3" xfId="1" quotePrefix="1" applyBorder="1" applyAlignment="1">
      <alignment wrapText="1"/>
    </xf>
    <xf numFmtId="0" fontId="3" fillId="8" borderId="1" xfId="0" applyFont="1" applyFill="1" applyBorder="1" applyAlignment="1">
      <alignment wrapText="1"/>
    </xf>
    <xf numFmtId="0" fontId="10" fillId="9" borderId="1" xfId="0" applyFont="1" applyFill="1" applyBorder="1" applyAlignment="1">
      <alignment horizontal="left" wrapText="1"/>
    </xf>
    <xf numFmtId="0" fontId="3" fillId="9" borderId="1" xfId="0" applyFont="1" applyFill="1" applyBorder="1" applyAlignment="1">
      <alignment wrapText="1"/>
    </xf>
    <xf numFmtId="0" fontId="20" fillId="10" borderId="1" xfId="1" applyFill="1" applyBorder="1" applyAlignment="1">
      <alignment horizontal="center" vertical="center" wrapText="1"/>
    </xf>
    <xf numFmtId="0" fontId="20" fillId="9" borderId="1" xfId="1" applyFill="1" applyBorder="1" applyAlignment="1">
      <alignment horizontal="center" vertical="center" wrapText="1"/>
    </xf>
    <xf numFmtId="0" fontId="9" fillId="9" borderId="1" xfId="0" applyFont="1" applyFill="1" applyBorder="1" applyAlignment="1">
      <alignment horizontal="center" vertical="center" wrapText="1"/>
    </xf>
    <xf numFmtId="0" fontId="22" fillId="0" borderId="0" xfId="0" applyFont="1"/>
    <xf numFmtId="0" fontId="5" fillId="0" borderId="1" xfId="0" applyFont="1" applyBorder="1" applyAlignment="1">
      <alignment wrapText="1"/>
    </xf>
    <xf numFmtId="14" fontId="3" fillId="0" borderId="1" xfId="0" applyNumberFormat="1" applyFont="1" applyBorder="1" applyAlignment="1">
      <alignment horizontal="center" wrapText="1"/>
    </xf>
    <xf numFmtId="0" fontId="0" fillId="0" borderId="1" xfId="0" applyBorder="1" applyAlignment="1">
      <alignment wrapText="1"/>
    </xf>
    <xf numFmtId="0" fontId="3" fillId="0" borderId="4" xfId="0" applyFont="1" applyBorder="1" applyAlignment="1">
      <alignment wrapText="1"/>
    </xf>
    <xf numFmtId="0" fontId="3" fillId="0" borderId="4" xfId="0" applyFont="1" applyBorder="1" applyAlignment="1">
      <alignment horizontal="center" wrapText="1"/>
    </xf>
    <xf numFmtId="0" fontId="21" fillId="0" borderId="1" xfId="0" applyFont="1" applyBorder="1"/>
    <xf numFmtId="0" fontId="3" fillId="0" borderId="8" xfId="0" applyFont="1" applyBorder="1" applyAlignment="1">
      <alignment horizontal="center" wrapText="1"/>
    </xf>
    <xf numFmtId="0" fontId="20" fillId="0" borderId="9" xfId="1" applyBorder="1" applyAlignment="1">
      <alignment horizontal="center" wrapText="1"/>
    </xf>
    <xf numFmtId="14" fontId="3" fillId="0" borderId="4" xfId="0" applyNumberFormat="1" applyFont="1" applyBorder="1" applyAlignment="1">
      <alignment horizontal="center" wrapText="1"/>
    </xf>
    <xf numFmtId="14" fontId="3" fillId="0" borderId="4" xfId="0" applyNumberFormat="1" applyFont="1" applyBorder="1" applyAlignment="1">
      <alignment wrapText="1"/>
    </xf>
    <xf numFmtId="0" fontId="2" fillId="0" borderId="4" xfId="0" applyFont="1" applyBorder="1"/>
    <xf numFmtId="165" fontId="3" fillId="0" borderId="1" xfId="0" applyNumberFormat="1" applyFont="1" applyBorder="1" applyAlignment="1">
      <alignment horizontal="center" wrapText="1"/>
    </xf>
    <xf numFmtId="0" fontId="2" fillId="0" borderId="1" xfId="0" applyFont="1" applyBorder="1" applyAlignment="1">
      <alignment horizontal="center" wrapText="1"/>
    </xf>
    <xf numFmtId="0" fontId="22" fillId="0" borderId="1" xfId="0" applyFont="1" applyBorder="1"/>
    <xf numFmtId="0" fontId="0" fillId="0" borderId="1" xfId="0" applyBorder="1"/>
    <xf numFmtId="0" fontId="2" fillId="0" borderId="1" xfId="0" applyFont="1" applyBorder="1" applyAlignment="1">
      <alignment vertical="center"/>
    </xf>
    <xf numFmtId="14" fontId="3" fillId="0" borderId="1" xfId="0" applyNumberFormat="1" applyFont="1" applyBorder="1" applyAlignment="1">
      <alignment horizontal="center" vertical="center" wrapText="1"/>
    </xf>
    <xf numFmtId="15" fontId="3" fillId="0" borderId="1" xfId="0" applyNumberFormat="1" applyFont="1" applyBorder="1" applyAlignment="1">
      <alignment vertical="center" wrapText="1"/>
    </xf>
    <xf numFmtId="0" fontId="0" fillId="0" borderId="4" xfId="0" applyBorder="1" applyAlignment="1">
      <alignment wrapText="1"/>
    </xf>
    <xf numFmtId="0" fontId="20" fillId="0" borderId="4" xfId="1" applyBorder="1" applyAlignment="1">
      <alignment horizontal="center" vertical="center" wrapText="1"/>
    </xf>
    <xf numFmtId="0" fontId="20" fillId="0" borderId="4" xfId="1" applyBorder="1" applyAlignment="1">
      <alignment horizontal="center" wrapText="1"/>
    </xf>
    <xf numFmtId="165" fontId="3" fillId="0" borderId="4" xfId="0" applyNumberFormat="1" applyFont="1" applyBorder="1" applyAlignment="1">
      <alignment horizontal="center" wrapText="1"/>
    </xf>
    <xf numFmtId="0" fontId="2" fillId="0" borderId="1" xfId="0" applyFont="1" applyBorder="1" applyAlignment="1">
      <alignment horizontal="center" vertical="center" wrapText="1"/>
    </xf>
    <xf numFmtId="0" fontId="0" fillId="0" borderId="4" xfId="0" applyBorder="1"/>
    <xf numFmtId="0" fontId="0" fillId="0" borderId="1" xfId="0" applyBorder="1" applyAlignment="1">
      <alignment horizontal="center"/>
    </xf>
    <xf numFmtId="0" fontId="2" fillId="0" borderId="4" xfId="0" applyFont="1" applyBorder="1" applyAlignment="1">
      <alignment horizontal="center" wrapText="1"/>
    </xf>
    <xf numFmtId="0" fontId="2" fillId="0" borderId="8" xfId="0" applyFont="1" applyBorder="1"/>
    <xf numFmtId="0" fontId="0" fillId="0" borderId="9" xfId="0" applyBorder="1" applyAlignment="1">
      <alignment wrapText="1"/>
    </xf>
    <xf numFmtId="0" fontId="20" fillId="8" borderId="1" xfId="1" applyFill="1" applyBorder="1" applyAlignment="1">
      <alignment horizontal="center" vertical="center" wrapText="1"/>
    </xf>
    <xf numFmtId="0" fontId="20" fillId="10" borderId="4" xfId="1" applyFill="1" applyBorder="1" applyAlignment="1">
      <alignment horizontal="center" vertical="center" wrapText="1"/>
    </xf>
    <xf numFmtId="15" fontId="3" fillId="0" borderId="4" xfId="0" applyNumberFormat="1" applyFont="1" applyBorder="1" applyAlignment="1">
      <alignment horizontal="center" wrapText="1"/>
    </xf>
    <xf numFmtId="0" fontId="0" fillId="0" borderId="6" xfId="0" applyBorder="1" applyAlignment="1">
      <alignment wrapText="1"/>
    </xf>
    <xf numFmtId="0" fontId="20" fillId="9" borderId="4" xfId="1" applyFill="1" applyBorder="1" applyAlignment="1">
      <alignment horizontal="center" vertical="center" wrapText="1"/>
    </xf>
    <xf numFmtId="0" fontId="3" fillId="0" borderId="5" xfId="0" applyFont="1" applyBorder="1" applyAlignment="1">
      <alignment horizontal="center" wrapText="1"/>
    </xf>
    <xf numFmtId="15" fontId="0" fillId="0" borderId="4" xfId="0" applyNumberFormat="1" applyBorder="1" applyAlignment="1">
      <alignment wrapText="1"/>
    </xf>
    <xf numFmtId="0" fontId="3" fillId="0" borderId="4" xfId="0" applyFont="1" applyBorder="1" applyAlignment="1">
      <alignment horizontal="left" wrapText="1"/>
    </xf>
    <xf numFmtId="0" fontId="0" fillId="0" borderId="8" xfId="0" applyBorder="1" applyAlignment="1">
      <alignment wrapText="1"/>
    </xf>
    <xf numFmtId="14" fontId="0" fillId="0" borderId="4" xfId="0" applyNumberFormat="1" applyBorder="1" applyAlignment="1">
      <alignment wrapText="1"/>
    </xf>
    <xf numFmtId="49" fontId="3" fillId="0" borderId="4" xfId="0" applyNumberFormat="1" applyFont="1" applyBorder="1" applyAlignment="1">
      <alignment wrapText="1"/>
    </xf>
    <xf numFmtId="0" fontId="23" fillId="2" borderId="1" xfId="0" applyFont="1" applyFill="1" applyBorder="1" applyAlignment="1">
      <alignment horizontal="center" wrapText="1"/>
    </xf>
    <xf numFmtId="0" fontId="23" fillId="2" borderId="1" xfId="0" applyFont="1" applyFill="1" applyBorder="1" applyAlignment="1">
      <alignment horizontal="center" vertical="center" wrapText="1"/>
    </xf>
    <xf numFmtId="0" fontId="24" fillId="0" borderId="1" xfId="0" applyFont="1" applyBorder="1" applyAlignment="1">
      <alignment wrapText="1"/>
    </xf>
    <xf numFmtId="0" fontId="25" fillId="0" borderId="1" xfId="0" applyFont="1" applyBorder="1"/>
    <xf numFmtId="0" fontId="25" fillId="0" borderId="1" xfId="0" applyFont="1" applyBorder="1" applyAlignment="1">
      <alignment horizontal="center" wrapText="1"/>
    </xf>
    <xf numFmtId="0" fontId="26" fillId="0" borderId="1" xfId="1" applyFont="1" applyBorder="1" applyAlignment="1">
      <alignment horizontal="center" vertical="center" wrapText="1"/>
    </xf>
    <xf numFmtId="49" fontId="25" fillId="0" borderId="1" xfId="0" applyNumberFormat="1" applyFont="1" applyBorder="1" applyAlignment="1">
      <alignment wrapText="1"/>
    </xf>
    <xf numFmtId="0" fontId="25" fillId="0" borderId="1" xfId="0" applyFont="1" applyBorder="1" applyAlignment="1">
      <alignment wrapText="1"/>
    </xf>
    <xf numFmtId="0" fontId="26" fillId="0" borderId="1" xfId="1" applyFont="1" applyBorder="1" applyAlignment="1">
      <alignment horizontal="center" wrapText="1"/>
    </xf>
    <xf numFmtId="15" fontId="25" fillId="0" borderId="1" xfId="0" applyNumberFormat="1" applyFont="1" applyBorder="1" applyAlignment="1">
      <alignment horizontal="center" wrapText="1"/>
    </xf>
    <xf numFmtId="0" fontId="25" fillId="0" borderId="1" xfId="0" applyFont="1" applyBorder="1" applyAlignment="1">
      <alignment horizontal="left" wrapText="1"/>
    </xf>
    <xf numFmtId="15" fontId="24" fillId="0" borderId="1" xfId="0" applyNumberFormat="1" applyFont="1" applyBorder="1" applyAlignment="1">
      <alignment wrapText="1"/>
    </xf>
    <xf numFmtId="0" fontId="0" fillId="0" borderId="0" xfId="0" applyAlignment="1">
      <alignment horizontal="center" wrapText="1"/>
    </xf>
    <xf numFmtId="0" fontId="24" fillId="0" borderId="1" xfId="0" applyFont="1" applyBorder="1" applyAlignment="1">
      <alignment horizontal="center" wrapText="1"/>
    </xf>
    <xf numFmtId="0" fontId="20" fillId="0" borderId="1" xfId="1" applyBorder="1" applyAlignment="1">
      <alignment wrapText="1"/>
    </xf>
    <xf numFmtId="0" fontId="0" fillId="0" borderId="5" xfId="0" applyBorder="1" applyAlignment="1">
      <alignment wrapText="1"/>
    </xf>
    <xf numFmtId="0" fontId="0" fillId="0" borderId="2" xfId="0" applyBorder="1" applyAlignment="1">
      <alignment wrapText="1"/>
    </xf>
    <xf numFmtId="0" fontId="3" fillId="0" borderId="2" xfId="0" applyFont="1" applyBorder="1" applyAlignment="1">
      <alignment horizontal="center" wrapText="1"/>
    </xf>
    <xf numFmtId="15" fontId="0" fillId="0" borderId="1" xfId="0" applyNumberFormat="1" applyBorder="1" applyAlignment="1">
      <alignment wrapText="1"/>
    </xf>
    <xf numFmtId="0" fontId="0" fillId="0" borderId="3" xfId="0" applyBorder="1" applyAlignment="1">
      <alignment wrapText="1"/>
    </xf>
    <xf numFmtId="0" fontId="27" fillId="0" borderId="1" xfId="0" applyFont="1" applyBorder="1" applyAlignment="1">
      <alignment horizontal="center" vertical="center" wrapText="1"/>
    </xf>
    <xf numFmtId="0" fontId="25" fillId="0" borderId="4" xfId="0" applyFont="1" applyBorder="1"/>
    <xf numFmtId="0" fontId="24" fillId="0" borderId="4" xfId="0" applyFont="1" applyBorder="1" applyAlignment="1">
      <alignment wrapText="1"/>
    </xf>
    <xf numFmtId="0" fontId="25" fillId="0" borderId="4" xfId="0" applyFont="1" applyBorder="1" applyAlignment="1">
      <alignment horizontal="center" wrapText="1"/>
    </xf>
    <xf numFmtId="0" fontId="26" fillId="0" borderId="4" xfId="1" applyFont="1" applyBorder="1" applyAlignment="1">
      <alignment horizontal="center" wrapText="1"/>
    </xf>
    <xf numFmtId="0" fontId="27" fillId="0" borderId="4" xfId="0" applyFont="1" applyBorder="1" applyAlignment="1">
      <alignment horizontal="center" vertical="center" wrapText="1"/>
    </xf>
    <xf numFmtId="15" fontId="25" fillId="0" borderId="4" xfId="0" applyNumberFormat="1" applyFont="1" applyBorder="1" applyAlignment="1">
      <alignment horizontal="center" wrapText="1"/>
    </xf>
    <xf numFmtId="0" fontId="24" fillId="0" borderId="6" xfId="0" applyFont="1" applyBorder="1" applyAlignment="1">
      <alignment wrapText="1"/>
    </xf>
    <xf numFmtId="0" fontId="21" fillId="0" borderId="4" xfId="0" applyFont="1" applyBorder="1"/>
    <xf numFmtId="0" fontId="0" fillId="0" borderId="10" xfId="0" applyBorder="1" applyAlignment="1">
      <alignment wrapText="1"/>
    </xf>
    <xf numFmtId="0" fontId="3" fillId="0" borderId="11" xfId="0" applyFont="1" applyBorder="1" applyAlignment="1">
      <alignment horizontal="right"/>
    </xf>
    <xf numFmtId="0" fontId="1" fillId="2" borderId="9" xfId="0" applyFont="1" applyFill="1" applyBorder="1" applyAlignment="1">
      <alignment horizontal="center" wrapText="1"/>
    </xf>
    <xf numFmtId="0" fontId="1" fillId="2" borderId="9" xfId="0" applyFont="1" applyFill="1" applyBorder="1" applyAlignment="1">
      <alignment wrapText="1"/>
    </xf>
    <xf numFmtId="0" fontId="0" fillId="0" borderId="1" xfId="0" applyBorder="1" applyAlignment="1">
      <alignment horizontal="center" wrapText="1"/>
    </xf>
    <xf numFmtId="0" fontId="3" fillId="0" borderId="12" xfId="0" applyFont="1" applyBorder="1"/>
    <xf numFmtId="0" fontId="1" fillId="3" borderId="9" xfId="0" applyFont="1" applyFill="1" applyBorder="1" applyAlignment="1">
      <alignment horizontal="center" wrapText="1"/>
    </xf>
    <xf numFmtId="0" fontId="25" fillId="0" borderId="6" xfId="0" applyFont="1" applyBorder="1"/>
    <xf numFmtId="0" fontId="20" fillId="0" borderId="4" xfId="1" quotePrefix="1" applyBorder="1" applyAlignment="1">
      <alignment wrapText="1"/>
    </xf>
    <xf numFmtId="0" fontId="25" fillId="8" borderId="1" xfId="0" applyFont="1" applyFill="1" applyBorder="1"/>
    <xf numFmtId="0" fontId="20" fillId="8" borderId="3" xfId="1" applyFill="1" applyBorder="1" applyAlignment="1">
      <alignment wrapText="1"/>
    </xf>
    <xf numFmtId="0" fontId="3" fillId="8" borderId="3" xfId="0" applyFont="1" applyFill="1" applyBorder="1" applyAlignment="1">
      <alignment horizontal="left"/>
    </xf>
    <xf numFmtId="0" fontId="3" fillId="8" borderId="12" xfId="0" applyFont="1" applyFill="1" applyBorder="1"/>
    <xf numFmtId="0" fontId="28" fillId="8" borderId="1" xfId="0" applyFont="1" applyFill="1" applyBorder="1"/>
    <xf numFmtId="0" fontId="3" fillId="8" borderId="3" xfId="0" applyFont="1" applyFill="1" applyBorder="1"/>
    <xf numFmtId="0" fontId="24" fillId="0" borderId="1" xfId="0" applyFont="1" applyBorder="1" applyAlignment="1">
      <alignment horizontal="left" wrapText="1"/>
    </xf>
    <xf numFmtId="0" fontId="26" fillId="0" borderId="1" xfId="1" applyFont="1" applyBorder="1" applyAlignment="1">
      <alignment horizontal="left" wrapText="1"/>
    </xf>
    <xf numFmtId="0" fontId="22" fillId="0" borderId="1" xfId="0" applyFont="1" applyBorder="1" applyAlignment="1">
      <alignment vertical="top" wrapText="1"/>
    </xf>
    <xf numFmtId="0" fontId="24" fillId="0" borderId="5" xfId="0" applyFont="1" applyBorder="1" applyAlignment="1">
      <alignment wrapText="1"/>
    </xf>
    <xf numFmtId="0" fontId="21" fillId="0" borderId="6" xfId="0" applyFont="1" applyBorder="1" applyAlignment="1">
      <alignment horizontal="left"/>
    </xf>
    <xf numFmtId="0" fontId="23" fillId="2" borderId="3" xfId="0" applyFont="1" applyFill="1" applyBorder="1" applyAlignment="1">
      <alignment horizontal="center" wrapText="1"/>
    </xf>
    <xf numFmtId="0" fontId="23" fillId="2" borderId="2" xfId="0" applyFont="1" applyFill="1" applyBorder="1" applyAlignment="1">
      <alignment horizontal="center" wrapText="1"/>
    </xf>
    <xf numFmtId="0" fontId="23" fillId="2" borderId="2" xfId="0" applyFont="1" applyFill="1" applyBorder="1" applyAlignment="1">
      <alignment horizontal="center" vertical="center" wrapText="1"/>
    </xf>
    <xf numFmtId="0" fontId="23" fillId="2" borderId="11" xfId="0" applyFont="1" applyFill="1" applyBorder="1" applyAlignment="1">
      <alignment horizontal="center" wrapText="1"/>
    </xf>
    <xf numFmtId="0" fontId="25" fillId="0" borderId="4" xfId="0" applyFont="1" applyBorder="1" applyAlignment="1">
      <alignment wrapText="1"/>
    </xf>
    <xf numFmtId="0" fontId="25" fillId="0" borderId="4" xfId="0" applyFont="1" applyBorder="1" applyAlignment="1">
      <alignment horizontal="left" wrapText="1"/>
    </xf>
    <xf numFmtId="0" fontId="29" fillId="0" borderId="1" xfId="0" applyFont="1" applyBorder="1" applyAlignment="1">
      <alignment horizontal="left"/>
    </xf>
    <xf numFmtId="0" fontId="21" fillId="0" borderId="8" xfId="0" applyFont="1" applyBorder="1" applyAlignment="1">
      <alignment horizontal="left"/>
    </xf>
    <xf numFmtId="0" fontId="25" fillId="0" borderId="8" xfId="0" applyFont="1" applyBorder="1" applyAlignment="1">
      <alignment horizontal="left" wrapText="1"/>
    </xf>
    <xf numFmtId="0" fontId="29" fillId="0" borderId="4" xfId="0" applyFont="1" applyBorder="1" applyAlignment="1">
      <alignment horizontal="left"/>
    </xf>
    <xf numFmtId="0" fontId="3" fillId="0" borderId="6" xfId="0" applyFont="1" applyBorder="1" applyAlignment="1">
      <alignment horizontal="left" wrapText="1"/>
    </xf>
    <xf numFmtId="0" fontId="25" fillId="0" borderId="13" xfId="0" applyFont="1" applyBorder="1" applyAlignment="1">
      <alignment horizontal="left" wrapText="1"/>
    </xf>
    <xf numFmtId="0" fontId="2" fillId="0" borderId="6" xfId="0" applyFont="1" applyBorder="1" applyAlignment="1">
      <alignment horizontal="center" wrapText="1"/>
    </xf>
    <xf numFmtId="0" fontId="30" fillId="0" borderId="1" xfId="1" applyFont="1" applyBorder="1" applyAlignment="1">
      <alignment horizontal="center" vertical="center" wrapText="1"/>
    </xf>
    <xf numFmtId="0" fontId="30" fillId="0" borderId="4" xfId="1" applyFont="1" applyBorder="1" applyAlignment="1">
      <alignment horizontal="center" vertical="center" wrapText="1"/>
    </xf>
    <xf numFmtId="0" fontId="30" fillId="0" borderId="1" xfId="1" applyFont="1" applyBorder="1" applyAlignment="1">
      <alignment horizontal="center" vertical="center"/>
    </xf>
    <xf numFmtId="0" fontId="0" fillId="9" borderId="0" xfId="0" applyFill="1" applyAlignment="1">
      <alignment wrapText="1"/>
    </xf>
    <xf numFmtId="0" fontId="0" fillId="0" borderId="13" xfId="0" applyBorder="1" applyAlignment="1">
      <alignment wrapText="1"/>
    </xf>
    <xf numFmtId="0" fontId="0" fillId="0" borderId="14" xfId="0" applyBorder="1" applyAlignment="1">
      <alignment wrapText="1"/>
    </xf>
    <xf numFmtId="14" fontId="0" fillId="0" borderId="1" xfId="0" applyNumberFormat="1" applyBorder="1" applyAlignment="1">
      <alignment wrapText="1"/>
    </xf>
    <xf numFmtId="0" fontId="20" fillId="0" borderId="1" xfId="1" applyBorder="1"/>
    <xf numFmtId="0" fontId="0" fillId="0" borderId="1" xfId="0" applyBorder="1" applyAlignment="1">
      <alignment horizontal="left" wrapText="1"/>
    </xf>
    <xf numFmtId="15" fontId="21" fillId="0" borderId="1" xfId="0" applyNumberFormat="1" applyFont="1" applyBorder="1"/>
    <xf numFmtId="0" fontId="23" fillId="2" borderId="14" xfId="0" applyFont="1" applyFill="1" applyBorder="1" applyAlignment="1">
      <alignment horizontal="center" wrapText="1"/>
    </xf>
    <xf numFmtId="14" fontId="24" fillId="0" borderId="1" xfId="0" applyNumberFormat="1" applyFont="1" applyBorder="1" applyAlignment="1">
      <alignment wrapText="1"/>
    </xf>
    <xf numFmtId="0" fontId="31" fillId="0" borderId="1" xfId="0" applyFont="1" applyBorder="1"/>
    <xf numFmtId="0" fontId="29" fillId="13" borderId="1" xfId="0" applyFont="1" applyFill="1" applyBorder="1" applyAlignment="1">
      <alignment horizontal="left"/>
    </xf>
    <xf numFmtId="0" fontId="23" fillId="2" borderId="10" xfId="0" applyFont="1" applyFill="1" applyBorder="1" applyAlignment="1">
      <alignment horizontal="center" wrapText="1"/>
    </xf>
    <xf numFmtId="0" fontId="1" fillId="2" borderId="4"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5" xfId="0" applyFont="1" applyFill="1" applyBorder="1" applyAlignment="1">
      <alignment horizontal="center" wrapText="1"/>
    </xf>
    <xf numFmtId="0" fontId="1" fillId="2" borderId="1" xfId="0" applyFont="1" applyFill="1" applyBorder="1" applyAlignment="1">
      <alignment wrapText="1"/>
    </xf>
    <xf numFmtId="0" fontId="1" fillId="5" borderId="1" xfId="0" applyFont="1" applyFill="1" applyBorder="1" applyAlignment="1">
      <alignment horizontal="center" wrapText="1"/>
    </xf>
    <xf numFmtId="0" fontId="1" fillId="2" borderId="6" xfId="0" applyFont="1" applyFill="1" applyBorder="1" applyAlignment="1">
      <alignment horizontal="center" wrapText="1"/>
    </xf>
    <xf numFmtId="0" fontId="3" fillId="0" borderId="6" xfId="0" applyFont="1" applyBorder="1"/>
    <xf numFmtId="0" fontId="3" fillId="8" borderId="1" xfId="0" applyFont="1" applyFill="1" applyBorder="1"/>
    <xf numFmtId="0" fontId="2" fillId="0" borderId="1" xfId="0" applyFont="1" applyBorder="1" applyAlignment="1">
      <alignment horizontal="left" wrapText="1"/>
    </xf>
    <xf numFmtId="0" fontId="1" fillId="3" borderId="4" xfId="0" applyFont="1" applyFill="1" applyBorder="1" applyAlignment="1">
      <alignment horizontal="center" wrapText="1"/>
    </xf>
    <xf numFmtId="14" fontId="24" fillId="0" borderId="4" xfId="0" applyNumberFormat="1" applyFont="1" applyBorder="1" applyAlignment="1">
      <alignment wrapText="1"/>
    </xf>
    <xf numFmtId="0" fontId="3" fillId="0" borderId="4" xfId="0" applyFont="1" applyBorder="1"/>
    <xf numFmtId="0" fontId="24" fillId="0" borderId="4" xfId="0" applyFont="1" applyBorder="1" applyAlignment="1">
      <alignment horizontal="left" wrapText="1"/>
    </xf>
    <xf numFmtId="14" fontId="0" fillId="0" borderId="1" xfId="0" applyNumberFormat="1" applyBorder="1" applyAlignment="1">
      <alignment horizontal="left" wrapText="1"/>
    </xf>
    <xf numFmtId="0" fontId="20" fillId="0" borderId="1" xfId="1" applyBorder="1" applyAlignment="1">
      <alignment horizontal="left" wrapText="1"/>
    </xf>
    <xf numFmtId="15" fontId="3" fillId="0" borderId="1" xfId="0" applyNumberFormat="1" applyFont="1" applyBorder="1" applyAlignment="1">
      <alignment horizontal="left" wrapText="1"/>
    </xf>
    <xf numFmtId="15" fontId="0" fillId="0" borderId="1" xfId="0" applyNumberFormat="1" applyBorder="1" applyAlignment="1">
      <alignment horizontal="left" wrapText="1"/>
    </xf>
    <xf numFmtId="0" fontId="21" fillId="0" borderId="1" xfId="0" applyFont="1" applyBorder="1" applyAlignment="1">
      <alignment horizontal="left"/>
    </xf>
    <xf numFmtId="0" fontId="30" fillId="0" borderId="1" xfId="1" applyFont="1" applyBorder="1" applyAlignment="1">
      <alignment horizontal="left" wrapText="1"/>
    </xf>
    <xf numFmtId="0" fontId="0" fillId="0" borderId="4" xfId="0" applyBorder="1" applyAlignment="1">
      <alignment horizontal="left" wrapText="1"/>
    </xf>
    <xf numFmtId="0" fontId="0" fillId="0" borderId="0" xfId="0" applyAlignment="1">
      <alignment horizontal="left" wrapText="1"/>
    </xf>
    <xf numFmtId="14" fontId="0" fillId="0" borderId="4" xfId="0" applyNumberFormat="1" applyBorder="1" applyAlignment="1">
      <alignment horizontal="left" wrapText="1"/>
    </xf>
    <xf numFmtId="0" fontId="3" fillId="0" borderId="4" xfId="0" applyFont="1" applyBorder="1" applyAlignment="1">
      <alignment horizontal="left"/>
    </xf>
    <xf numFmtId="0" fontId="20" fillId="0" borderId="8" xfId="1" applyBorder="1" applyAlignment="1">
      <alignment horizontal="left" wrapText="1"/>
    </xf>
    <xf numFmtId="0" fontId="20" fillId="0" borderId="1" xfId="1" applyBorder="1" applyAlignment="1">
      <alignment horizontal="left" vertical="center" wrapText="1"/>
    </xf>
    <xf numFmtId="0" fontId="20" fillId="0" borderId="4" xfId="1" applyBorder="1" applyAlignment="1">
      <alignment wrapText="1"/>
    </xf>
    <xf numFmtId="0" fontId="20" fillId="0" borderId="4" xfId="1" applyBorder="1" applyAlignment="1">
      <alignment horizontal="left" vertical="center" wrapText="1"/>
    </xf>
    <xf numFmtId="0" fontId="3" fillId="0" borderId="0" xfId="0" applyFont="1" applyAlignment="1">
      <alignment horizontal="left" wrapText="1"/>
    </xf>
    <xf numFmtId="0" fontId="3" fillId="0" borderId="8" xfId="0" applyFont="1" applyBorder="1"/>
    <xf numFmtId="0" fontId="20" fillId="0" borderId="4" xfId="1" applyBorder="1" applyAlignment="1">
      <alignment vertical="center" wrapText="1"/>
    </xf>
    <xf numFmtId="0" fontId="2" fillId="0" borderId="4" xfId="0" applyFont="1" applyBorder="1" applyAlignment="1">
      <alignment horizontal="left" wrapText="1"/>
    </xf>
    <xf numFmtId="14" fontId="3" fillId="0" borderId="4" xfId="0" applyNumberFormat="1" applyFont="1" applyBorder="1" applyAlignment="1">
      <alignment horizontal="left" wrapText="1"/>
    </xf>
    <xf numFmtId="0" fontId="1" fillId="2" borderId="4" xfId="0" applyFont="1" applyFill="1" applyBorder="1" applyAlignment="1">
      <alignment wrapText="1"/>
    </xf>
    <xf numFmtId="0" fontId="32" fillId="9" borderId="1" xfId="0" applyFont="1" applyFill="1" applyBorder="1"/>
    <xf numFmtId="0" fontId="2" fillId="9" borderId="1" xfId="1" applyFont="1" applyFill="1" applyBorder="1"/>
    <xf numFmtId="0" fontId="0" fillId="0" borderId="1" xfId="0" applyBorder="1" applyAlignment="1">
      <alignment horizontal="left" vertical="center" wrapText="1"/>
    </xf>
    <xf numFmtId="14" fontId="0" fillId="0" borderId="1" xfId="0" applyNumberFormat="1" applyBorder="1" applyAlignment="1">
      <alignment horizontal="left" vertical="center" wrapText="1"/>
    </xf>
    <xf numFmtId="0" fontId="3" fillId="0" borderId="1" xfId="0" applyFont="1" applyBorder="1" applyAlignment="1">
      <alignment horizontal="left" vertical="center" wrapText="1"/>
    </xf>
    <xf numFmtId="0" fontId="30" fillId="0" borderId="1" xfId="1" applyFont="1" applyBorder="1" applyAlignment="1">
      <alignment horizontal="left" vertical="center" wrapText="1"/>
    </xf>
    <xf numFmtId="0" fontId="0" fillId="0" borderId="1" xfId="0" applyBorder="1" applyAlignment="1">
      <alignment vertical="center" wrapText="1"/>
    </xf>
    <xf numFmtId="0" fontId="33" fillId="2" borderId="0" xfId="0" applyFont="1" applyFill="1" applyAlignment="1">
      <alignment horizontal="center" wrapText="1"/>
    </xf>
    <xf numFmtId="0" fontId="33" fillId="2" borderId="14" xfId="0" applyFont="1" applyFill="1" applyBorder="1" applyAlignment="1">
      <alignment horizontal="center" wrapText="1"/>
    </xf>
    <xf numFmtId="0" fontId="33" fillId="2" borderId="3" xfId="0" applyFont="1" applyFill="1" applyBorder="1" applyAlignment="1">
      <alignment horizontal="center" wrapText="1"/>
    </xf>
    <xf numFmtId="0" fontId="33" fillId="2" borderId="2" xfId="0" applyFont="1" applyFill="1" applyBorder="1" applyAlignment="1">
      <alignment horizontal="center" wrapText="1"/>
    </xf>
    <xf numFmtId="0" fontId="33" fillId="3" borderId="14" xfId="0" applyFont="1" applyFill="1" applyBorder="1" applyAlignment="1">
      <alignment horizontal="center" wrapText="1"/>
    </xf>
    <xf numFmtId="0" fontId="0" fillId="0" borderId="4" xfId="0" applyBorder="1" applyAlignment="1">
      <alignment horizontal="left" vertical="center" wrapText="1"/>
    </xf>
    <xf numFmtId="0" fontId="3" fillId="0" borderId="4" xfId="0" applyFont="1" applyBorder="1" applyAlignment="1">
      <alignment horizontal="left" vertical="center" wrapText="1"/>
    </xf>
    <xf numFmtId="0" fontId="33" fillId="2" borderId="2" xfId="0" applyFont="1" applyFill="1" applyBorder="1" applyAlignment="1">
      <alignment horizontal="left" wrapText="1"/>
    </xf>
    <xf numFmtId="0" fontId="3" fillId="0" borderId="6" xfId="0" applyFont="1" applyBorder="1" applyAlignment="1">
      <alignment vertical="center" wrapText="1"/>
    </xf>
    <xf numFmtId="0" fontId="20" fillId="0" borderId="7" xfId="1" applyBorder="1" applyAlignment="1">
      <alignment horizontal="left" vertical="center" wrapText="1"/>
    </xf>
    <xf numFmtId="0" fontId="3" fillId="0" borderId="4" xfId="0" applyFont="1" applyBorder="1" applyAlignment="1">
      <alignment horizontal="right" vertical="center" wrapText="1"/>
    </xf>
    <xf numFmtId="0" fontId="3" fillId="0" borderId="1" xfId="0" applyFont="1" applyBorder="1" applyAlignment="1">
      <alignment horizontal="right" vertical="center" wrapText="1"/>
    </xf>
    <xf numFmtId="0" fontId="25" fillId="0" borderId="1" xfId="0" applyFont="1" applyBorder="1" applyAlignment="1">
      <alignment horizontal="right" vertical="center" wrapText="1"/>
    </xf>
    <xf numFmtId="0" fontId="0" fillId="0" borderId="5" xfId="0" applyBorder="1" applyAlignment="1">
      <alignment vertical="center" wrapText="1"/>
    </xf>
    <xf numFmtId="0" fontId="3" fillId="0" borderId="6" xfId="0" applyFont="1" applyBorder="1" applyAlignment="1">
      <alignment horizontal="left" vertical="center" wrapText="1"/>
    </xf>
    <xf numFmtId="0" fontId="1" fillId="2" borderId="16" xfId="0" applyFont="1" applyFill="1" applyBorder="1" applyAlignment="1">
      <alignment horizontal="center" vertical="center" wrapText="1"/>
    </xf>
    <xf numFmtId="0" fontId="0" fillId="0" borderId="9" xfId="0" applyBorder="1" applyAlignment="1">
      <alignment vertical="center" wrapText="1"/>
    </xf>
    <xf numFmtId="14" fontId="0" fillId="0" borderId="4" xfId="0" applyNumberFormat="1" applyBorder="1" applyAlignment="1">
      <alignment horizontal="left" vertical="center" wrapText="1"/>
    </xf>
    <xf numFmtId="0" fontId="3" fillId="0" borderId="8" xfId="0" applyFont="1" applyBorder="1" applyAlignment="1">
      <alignment vertical="center" wrapText="1"/>
    </xf>
    <xf numFmtId="0" fontId="20" fillId="0" borderId="13" xfId="1" applyBorder="1" applyAlignment="1">
      <alignment horizontal="left" vertical="center" wrapText="1"/>
    </xf>
    <xf numFmtId="0" fontId="3" fillId="0" borderId="8" xfId="0" applyFont="1" applyBorder="1" applyAlignment="1">
      <alignment horizontal="left" vertical="center" wrapText="1"/>
    </xf>
    <xf numFmtId="0" fontId="3" fillId="0" borderId="4" xfId="0" applyFont="1" applyBorder="1" applyAlignment="1">
      <alignment horizontal="right" wrapText="1"/>
    </xf>
    <xf numFmtId="0" fontId="0" fillId="0" borderId="4" xfId="0" applyBorder="1" applyAlignment="1">
      <alignment vertical="center" wrapText="1"/>
    </xf>
    <xf numFmtId="0" fontId="3" fillId="0" borderId="8" xfId="0" applyFont="1" applyBorder="1" applyAlignment="1">
      <alignment horizontal="left" wrapText="1"/>
    </xf>
    <xf numFmtId="0" fontId="3" fillId="0" borderId="9" xfId="0" applyFont="1" applyBorder="1" applyAlignment="1">
      <alignment wrapText="1"/>
    </xf>
    <xf numFmtId="0" fontId="3" fillId="0" borderId="6" xfId="0" applyFont="1" applyBorder="1" applyAlignment="1">
      <alignment wrapText="1"/>
    </xf>
    <xf numFmtId="0" fontId="20" fillId="0" borderId="4" xfId="1" applyBorder="1"/>
    <xf numFmtId="0" fontId="3" fillId="0" borderId="8" xfId="0" applyFont="1" applyBorder="1" applyAlignment="1">
      <alignment wrapText="1"/>
    </xf>
    <xf numFmtId="0" fontId="3" fillId="8" borderId="4" xfId="0" applyFont="1" applyFill="1" applyBorder="1"/>
    <xf numFmtId="0" fontId="1" fillId="2" borderId="6" xfId="0" applyFont="1" applyFill="1" applyBorder="1" applyAlignment="1">
      <alignment horizontal="center" vertical="center" wrapText="1"/>
    </xf>
    <xf numFmtId="0" fontId="1" fillId="2" borderId="1" xfId="0" applyFont="1" applyFill="1" applyBorder="1" applyAlignment="1">
      <alignment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0" xfId="0" applyAlignment="1">
      <alignment vertical="center"/>
    </xf>
    <xf numFmtId="0" fontId="20" fillId="8" borderId="1" xfId="1" applyFill="1" applyBorder="1" applyAlignment="1">
      <alignment vertical="center"/>
    </xf>
    <xf numFmtId="0" fontId="0" fillId="0" borderId="1" xfId="0" applyBorder="1" applyAlignment="1">
      <alignment vertical="center"/>
    </xf>
    <xf numFmtId="0" fontId="3" fillId="8" borderId="1" xfId="0" applyFont="1" applyFill="1" applyBorder="1" applyAlignment="1">
      <alignment vertical="center"/>
    </xf>
    <xf numFmtId="0" fontId="3" fillId="0" borderId="1" xfId="0" applyFont="1" applyBorder="1" applyAlignment="1">
      <alignment vertical="center"/>
    </xf>
    <xf numFmtId="0" fontId="20" fillId="0" borderId="1" xfId="1" applyBorder="1" applyAlignment="1">
      <alignment vertical="center"/>
    </xf>
    <xf numFmtId="0" fontId="1" fillId="5" borderId="6" xfId="0" applyFont="1" applyFill="1" applyBorder="1" applyAlignment="1">
      <alignment horizontal="center" wrapText="1"/>
    </xf>
    <xf numFmtId="0" fontId="3" fillId="0" borderId="6" xfId="0" applyFont="1" applyBorder="1" applyAlignment="1">
      <alignment horizontal="center"/>
    </xf>
    <xf numFmtId="0" fontId="3" fillId="0" borderId="8" xfId="0" applyFont="1" applyBorder="1" applyAlignment="1">
      <alignment horizontal="center"/>
    </xf>
    <xf numFmtId="0" fontId="0" fillId="0" borderId="0" xfId="0" applyAlignment="1">
      <alignment horizontal="center"/>
    </xf>
    <xf numFmtId="0" fontId="32" fillId="14" borderId="1" xfId="0" applyFont="1" applyFill="1" applyBorder="1" applyAlignment="1">
      <alignment vertical="center"/>
    </xf>
    <xf numFmtId="0" fontId="34" fillId="14" borderId="1" xfId="0" applyFont="1" applyFill="1" applyBorder="1" applyAlignment="1">
      <alignment vertical="center" wrapText="1"/>
    </xf>
    <xf numFmtId="0" fontId="3" fillId="0" borderId="7" xfId="0" applyFont="1" applyBorder="1" applyAlignment="1">
      <alignment horizontal="center"/>
    </xf>
    <xf numFmtId="0" fontId="3" fillId="8" borderId="6" xfId="0" applyFont="1" applyFill="1" applyBorder="1"/>
    <xf numFmtId="0" fontId="20" fillId="0" borderId="0" xfId="1"/>
    <xf numFmtId="15" fontId="0" fillId="0" borderId="4" xfId="0" applyNumberFormat="1" applyBorder="1" applyAlignment="1">
      <alignment horizontal="center" wrapText="1"/>
    </xf>
    <xf numFmtId="0" fontId="5" fillId="0" borderId="8" xfId="0" applyFont="1" applyBorder="1" applyAlignment="1">
      <alignment wrapText="1"/>
    </xf>
    <xf numFmtId="0" fontId="20" fillId="0" borderId="4" xfId="1" applyFill="1" applyBorder="1" applyAlignment="1">
      <alignment horizontal="center" vertical="center" wrapText="1"/>
    </xf>
    <xf numFmtId="0" fontId="3" fillId="0" borderId="14" xfId="0" applyFont="1" applyBorder="1" applyAlignment="1">
      <alignment horizontal="center" wrapText="1"/>
    </xf>
    <xf numFmtId="0" fontId="3" fillId="0" borderId="5" xfId="0" applyFont="1" applyBorder="1" applyAlignment="1">
      <alignment horizontal="left" vertical="center" wrapText="1"/>
    </xf>
    <xf numFmtId="0" fontId="0" fillId="8" borderId="4" xfId="0" applyFill="1" applyBorder="1" applyAlignment="1">
      <alignment vertical="center" wrapText="1"/>
    </xf>
    <xf numFmtId="14" fontId="0" fillId="8" borderId="4" xfId="0" applyNumberFormat="1" applyFill="1" applyBorder="1" applyAlignment="1">
      <alignment horizontal="left" vertical="center" wrapText="1"/>
    </xf>
    <xf numFmtId="0" fontId="3" fillId="8" borderId="4" xfId="0" applyFont="1" applyFill="1" applyBorder="1" applyAlignment="1">
      <alignment horizontal="left" vertical="center" wrapText="1"/>
    </xf>
    <xf numFmtId="0" fontId="3" fillId="8" borderId="4" xfId="0" applyFont="1" applyFill="1" applyBorder="1" applyAlignment="1">
      <alignment horizontal="center" wrapText="1"/>
    </xf>
    <xf numFmtId="0" fontId="3" fillId="8" borderId="0" xfId="0" applyFont="1" applyFill="1" applyAlignment="1">
      <alignment wrapText="1"/>
    </xf>
    <xf numFmtId="0" fontId="3" fillId="8" borderId="4" xfId="0" applyFont="1" applyFill="1" applyBorder="1" applyAlignment="1">
      <alignment wrapText="1"/>
    </xf>
    <xf numFmtId="0" fontId="0" fillId="8" borderId="1" xfId="0" applyFill="1" applyBorder="1" applyAlignment="1">
      <alignment vertical="center" wrapText="1"/>
    </xf>
    <xf numFmtId="14" fontId="0" fillId="8" borderId="1" xfId="0" applyNumberFormat="1" applyFill="1" applyBorder="1" applyAlignment="1">
      <alignment horizontal="left" vertical="center" wrapText="1"/>
    </xf>
    <xf numFmtId="0" fontId="3" fillId="8" borderId="5" xfId="0" applyFont="1" applyFill="1" applyBorder="1" applyAlignment="1">
      <alignment horizontal="left" vertical="center" wrapText="1"/>
    </xf>
    <xf numFmtId="0" fontId="3" fillId="8" borderId="6" xfId="0" applyFont="1" applyFill="1" applyBorder="1" applyAlignment="1">
      <alignment horizontal="center" wrapText="1"/>
    </xf>
    <xf numFmtId="0" fontId="35" fillId="0" borderId="1" xfId="0" applyFont="1" applyBorder="1" applyAlignment="1">
      <alignment wrapText="1"/>
    </xf>
    <xf numFmtId="0" fontId="20" fillId="8" borderId="4" xfId="1" applyFill="1" applyBorder="1" applyAlignment="1">
      <alignment horizontal="center" vertical="center" wrapText="1"/>
    </xf>
    <xf numFmtId="0" fontId="20" fillId="0" borderId="6" xfId="1" applyBorder="1" applyAlignment="1">
      <alignment horizontal="center" vertical="center" wrapText="1"/>
    </xf>
    <xf numFmtId="15" fontId="3" fillId="0" borderId="9" xfId="0" applyNumberFormat="1" applyFont="1" applyBorder="1" applyAlignment="1">
      <alignment horizontal="center" wrapText="1"/>
    </xf>
    <xf numFmtId="0" fontId="3" fillId="0" borderId="14" xfId="0" applyFont="1" applyBorder="1" applyAlignment="1">
      <alignment wrapText="1"/>
    </xf>
    <xf numFmtId="0" fontId="1" fillId="2" borderId="8" xfId="0" applyFont="1" applyFill="1" applyBorder="1" applyAlignment="1">
      <alignment horizontal="center" wrapText="1"/>
    </xf>
    <xf numFmtId="0" fontId="1" fillId="5" borderId="8" xfId="0" applyFont="1" applyFill="1" applyBorder="1" applyAlignment="1">
      <alignment horizontal="center" wrapText="1"/>
    </xf>
    <xf numFmtId="0" fontId="5" fillId="9" borderId="4" xfId="0" applyFont="1" applyFill="1" applyBorder="1" applyAlignment="1">
      <alignment wrapText="1"/>
    </xf>
    <xf numFmtId="0" fontId="20" fillId="15" borderId="1" xfId="1" applyFill="1" applyBorder="1" applyAlignment="1">
      <alignment horizontal="center" vertical="center" wrapText="1"/>
    </xf>
    <xf numFmtId="0" fontId="3" fillId="15" borderId="0" xfId="0" applyFont="1" applyFill="1" applyAlignment="1">
      <alignment wrapText="1"/>
    </xf>
    <xf numFmtId="0" fontId="3" fillId="15" borderId="1" xfId="0" applyFont="1" applyFill="1" applyBorder="1" applyAlignment="1">
      <alignment wrapText="1"/>
    </xf>
    <xf numFmtId="0" fontId="36" fillId="0" borderId="4" xfId="0" applyFont="1" applyBorder="1" applyAlignment="1">
      <alignment wrapText="1"/>
    </xf>
    <xf numFmtId="0" fontId="37" fillId="0" borderId="14" xfId="0" applyFont="1" applyBorder="1" applyAlignment="1">
      <alignment wrapText="1"/>
    </xf>
    <xf numFmtId="0" fontId="36" fillId="0" borderId="2" xfId="0" applyFont="1" applyBorder="1" applyAlignment="1">
      <alignment wrapText="1"/>
    </xf>
    <xf numFmtId="0" fontId="36" fillId="0" borderId="1" xfId="0" applyFont="1" applyBorder="1" applyAlignment="1">
      <alignment wrapText="1"/>
    </xf>
    <xf numFmtId="0" fontId="20" fillId="15" borderId="6" xfId="1" applyFill="1" applyBorder="1" applyAlignment="1">
      <alignment horizontal="center" vertical="center" wrapText="1"/>
    </xf>
    <xf numFmtId="0" fontId="3" fillId="15" borderId="4" xfId="0" applyFont="1" applyFill="1" applyBorder="1" applyAlignment="1">
      <alignment wrapText="1"/>
    </xf>
    <xf numFmtId="0" fontId="20" fillId="15" borderId="4" xfId="1" applyFill="1" applyBorder="1" applyAlignment="1">
      <alignment horizontal="center" vertical="center" wrapText="1"/>
    </xf>
    <xf numFmtId="0" fontId="36" fillId="0" borderId="14" xfId="0" applyFont="1" applyBorder="1" applyAlignment="1">
      <alignment wrapText="1"/>
    </xf>
    <xf numFmtId="0" fontId="20" fillId="0" borderId="0" xfId="1" applyAlignment="1">
      <alignment wrapText="1"/>
    </xf>
    <xf numFmtId="0" fontId="37" fillId="0" borderId="1" xfId="0" applyFont="1" applyBorder="1" applyAlignment="1">
      <alignment wrapText="1"/>
    </xf>
    <xf numFmtId="0" fontId="3" fillId="9" borderId="4" xfId="0" applyFont="1" applyFill="1" applyBorder="1" applyAlignment="1">
      <alignment wrapText="1"/>
    </xf>
    <xf numFmtId="15" fontId="3" fillId="0" borderId="4" xfId="0" applyNumberFormat="1" applyFont="1" applyBorder="1" applyAlignment="1">
      <alignment wrapText="1"/>
    </xf>
    <xf numFmtId="0" fontId="3" fillId="15" borderId="5" xfId="0" applyFont="1" applyFill="1" applyBorder="1" applyAlignment="1">
      <alignment wrapText="1"/>
    </xf>
    <xf numFmtId="0" fontId="3" fillId="9" borderId="2" xfId="0" applyFont="1" applyFill="1" applyBorder="1" applyAlignment="1">
      <alignment wrapText="1"/>
    </xf>
    <xf numFmtId="0" fontId="39" fillId="0" borderId="1" xfId="0" applyFont="1" applyBorder="1" applyAlignment="1">
      <alignment wrapText="1"/>
    </xf>
    <xf numFmtId="0" fontId="3" fillId="0" borderId="13" xfId="0" applyFont="1" applyBorder="1" applyAlignment="1">
      <alignment horizontal="left" vertical="center" wrapText="1"/>
    </xf>
    <xf numFmtId="0" fontId="0" fillId="0" borderId="6" xfId="0" applyBorder="1"/>
    <xf numFmtId="0" fontId="0" fillId="0" borderId="5" xfId="0" applyBorder="1"/>
    <xf numFmtId="0" fontId="38" fillId="0" borderId="1" xfId="0" applyFont="1" applyBorder="1" applyAlignment="1">
      <alignment wrapText="1"/>
    </xf>
    <xf numFmtId="0" fontId="3" fillId="0" borderId="2" xfId="0" applyFont="1" applyBorder="1" applyAlignment="1">
      <alignment horizontal="left" vertical="center" wrapText="1"/>
    </xf>
    <xf numFmtId="15" fontId="3" fillId="0" borderId="9" xfId="0" applyNumberFormat="1" applyFont="1" applyBorder="1" applyAlignment="1">
      <alignment wrapText="1"/>
    </xf>
    <xf numFmtId="0" fontId="39" fillId="0" borderId="4" xfId="0" applyFont="1" applyBorder="1" applyAlignment="1">
      <alignment wrapText="1"/>
    </xf>
    <xf numFmtId="0" fontId="39" fillId="0" borderId="9" xfId="0" applyFont="1" applyBorder="1" applyAlignment="1">
      <alignment wrapText="1"/>
    </xf>
    <xf numFmtId="0" fontId="21" fillId="0" borderId="0" xfId="0" applyFont="1" applyAlignment="1">
      <alignment wrapText="1"/>
    </xf>
    <xf numFmtId="0" fontId="3" fillId="9" borderId="9" xfId="0" applyFont="1" applyFill="1" applyBorder="1" applyAlignment="1">
      <alignment wrapText="1"/>
    </xf>
    <xf numFmtId="0" fontId="3" fillId="9" borderId="14" xfId="0" applyFont="1" applyFill="1" applyBorder="1" applyAlignment="1">
      <alignment wrapText="1"/>
    </xf>
    <xf numFmtId="0" fontId="39" fillId="0" borderId="8" xfId="0" applyFont="1" applyBorder="1" applyAlignment="1">
      <alignment wrapText="1"/>
    </xf>
    <xf numFmtId="0" fontId="39" fillId="0" borderId="6" xfId="0" applyFont="1" applyBorder="1" applyAlignment="1">
      <alignment wrapText="1"/>
    </xf>
    <xf numFmtId="0" fontId="3" fillId="0" borderId="13" xfId="0" applyFont="1" applyBorder="1" applyAlignment="1">
      <alignment wrapText="1"/>
    </xf>
    <xf numFmtId="0" fontId="3" fillId="9" borderId="13" xfId="0" applyFont="1" applyFill="1" applyBorder="1" applyAlignment="1">
      <alignment wrapText="1"/>
    </xf>
    <xf numFmtId="14" fontId="0" fillId="0" borderId="9" xfId="0" applyNumberFormat="1" applyBorder="1" applyAlignment="1">
      <alignment horizontal="left" vertical="center" wrapText="1"/>
    </xf>
    <xf numFmtId="14" fontId="0" fillId="0" borderId="6" xfId="0" applyNumberFormat="1" applyBorder="1" applyAlignment="1">
      <alignment horizontal="left" vertical="center" wrapText="1"/>
    </xf>
    <xf numFmtId="0" fontId="37" fillId="0" borderId="4" xfId="0" applyFont="1" applyBorder="1" applyAlignment="1">
      <alignment wrapText="1"/>
    </xf>
    <xf numFmtId="0" fontId="20" fillId="0" borderId="8" xfId="1" applyBorder="1" applyAlignment="1">
      <alignment horizontal="left" vertical="center" wrapText="1"/>
    </xf>
    <xf numFmtId="0" fontId="3" fillId="9" borderId="8" xfId="0" applyFont="1" applyFill="1" applyBorder="1" applyAlignment="1">
      <alignment wrapText="1"/>
    </xf>
    <xf numFmtId="0" fontId="40" fillId="0" borderId="1" xfId="0" applyFont="1" applyBorder="1"/>
    <xf numFmtId="0" fontId="3" fillId="0" borderId="9" xfId="0" applyFont="1" applyBorder="1" applyAlignment="1">
      <alignment horizontal="left" vertical="center" wrapText="1"/>
    </xf>
    <xf numFmtId="0" fontId="37" fillId="0" borderId="9" xfId="0" applyFont="1" applyBorder="1" applyAlignment="1">
      <alignment wrapText="1"/>
    </xf>
    <xf numFmtId="0" fontId="0" fillId="0" borderId="2" xfId="0" applyBorder="1"/>
    <xf numFmtId="0" fontId="0" fillId="9" borderId="1" xfId="0" applyFill="1" applyBorder="1"/>
    <xf numFmtId="0" fontId="0" fillId="8" borderId="1" xfId="0" applyFill="1" applyBorder="1" applyAlignment="1">
      <alignment wrapText="1"/>
    </xf>
    <xf numFmtId="0" fontId="0" fillId="0" borderId="8" xfId="0" applyBorder="1" applyAlignment="1">
      <alignment horizontal="left" wrapText="1"/>
    </xf>
    <xf numFmtId="0" fontId="20" fillId="0" borderId="13" xfId="1" applyBorder="1" applyAlignment="1">
      <alignment wrapText="1"/>
    </xf>
    <xf numFmtId="0" fontId="20" fillId="0" borderId="5" xfId="1" applyBorder="1" applyAlignment="1">
      <alignment horizontal="left" vertical="center" wrapText="1"/>
    </xf>
    <xf numFmtId="0" fontId="20" fillId="0" borderId="8" xfId="1" applyBorder="1" applyAlignment="1">
      <alignment wrapText="1"/>
    </xf>
    <xf numFmtId="14" fontId="0" fillId="0" borderId="8" xfId="0" applyNumberFormat="1" applyBorder="1" applyAlignment="1">
      <alignment horizontal="left" vertical="center" wrapText="1"/>
    </xf>
    <xf numFmtId="0" fontId="20" fillId="0" borderId="6" xfId="1" applyBorder="1" applyAlignment="1">
      <alignment wrapText="1"/>
    </xf>
    <xf numFmtId="0" fontId="0" fillId="0" borderId="7" xfId="0" applyBorder="1" applyAlignment="1">
      <alignment wrapText="1"/>
    </xf>
    <xf numFmtId="14" fontId="0" fillId="0" borderId="5" xfId="0" applyNumberFormat="1" applyBorder="1" applyAlignment="1">
      <alignment horizontal="left" vertical="center" wrapText="1"/>
    </xf>
    <xf numFmtId="0" fontId="0" fillId="9" borderId="6" xfId="0" applyFill="1" applyBorder="1"/>
    <xf numFmtId="0" fontId="20" fillId="0" borderId="1" xfId="1" applyBorder="1" applyAlignment="1">
      <alignment vertical="center" wrapText="1"/>
    </xf>
    <xf numFmtId="0" fontId="33" fillId="2" borderId="10" xfId="0" applyFont="1" applyFill="1" applyBorder="1" applyAlignment="1">
      <alignment horizontal="center" wrapText="1"/>
    </xf>
    <xf numFmtId="0" fontId="20" fillId="8" borderId="1" xfId="1" applyFill="1" applyBorder="1" applyAlignment="1">
      <alignment horizontal="left" vertical="center" wrapText="1"/>
    </xf>
    <xf numFmtId="0" fontId="0" fillId="0" borderId="6" xfId="0" applyBorder="1" applyAlignment="1">
      <alignment vertical="center" wrapText="1"/>
    </xf>
    <xf numFmtId="0" fontId="33" fillId="2" borderId="14" xfId="0" applyFont="1" applyFill="1" applyBorder="1" applyAlignment="1">
      <alignment horizontal="left" wrapText="1"/>
    </xf>
    <xf numFmtId="0" fontId="0" fillId="0" borderId="6" xfId="0" applyBorder="1" applyAlignment="1">
      <alignment horizontal="left" wrapText="1"/>
    </xf>
    <xf numFmtId="0" fontId="31" fillId="0" borderId="1" xfId="0" applyFont="1" applyBorder="1" applyAlignment="1">
      <alignment wrapText="1"/>
    </xf>
    <xf numFmtId="0" fontId="20" fillId="0" borderId="0" xfId="1" applyAlignment="1">
      <alignment vertical="center" wrapText="1"/>
    </xf>
    <xf numFmtId="0" fontId="31" fillId="0" borderId="4" xfId="0" applyFont="1" applyBorder="1" applyAlignment="1">
      <alignment wrapText="1"/>
    </xf>
    <xf numFmtId="0" fontId="1" fillId="2" borderId="14" xfId="0" applyFont="1" applyFill="1" applyBorder="1" applyAlignment="1">
      <alignment horizontal="center" vertical="center" wrapText="1"/>
    </xf>
    <xf numFmtId="0" fontId="0" fillId="0" borderId="9" xfId="0" applyBorder="1" applyAlignment="1">
      <alignment horizontal="left" wrapText="1"/>
    </xf>
    <xf numFmtId="0" fontId="20" fillId="0" borderId="6" xfId="1" applyBorder="1" applyAlignment="1">
      <alignment vertical="center" wrapText="1"/>
    </xf>
    <xf numFmtId="0" fontId="20" fillId="0" borderId="8" xfId="1" applyBorder="1" applyAlignment="1">
      <alignment vertical="center" wrapText="1"/>
    </xf>
    <xf numFmtId="15" fontId="0" fillId="0" borderId="5" xfId="0" applyNumberFormat="1" applyBorder="1" applyAlignment="1">
      <alignment wrapText="1"/>
    </xf>
    <xf numFmtId="15" fontId="0" fillId="0" borderId="9" xfId="0" applyNumberFormat="1" applyBorder="1" applyAlignment="1">
      <alignment wrapText="1"/>
    </xf>
    <xf numFmtId="0" fontId="33" fillId="2" borderId="1" xfId="0" applyFont="1" applyFill="1" applyBorder="1" applyAlignment="1">
      <alignment horizontal="center" wrapText="1"/>
    </xf>
    <xf numFmtId="0" fontId="33" fillId="2" borderId="1" xfId="0" applyFont="1" applyFill="1" applyBorder="1" applyAlignment="1">
      <alignment horizontal="left" wrapText="1"/>
    </xf>
    <xf numFmtId="0" fontId="33" fillId="3" borderId="1" xfId="0" applyFont="1" applyFill="1" applyBorder="1" applyAlignment="1">
      <alignment horizontal="center" wrapText="1"/>
    </xf>
    <xf numFmtId="0" fontId="0" fillId="9" borderId="1" xfId="0" applyFill="1" applyBorder="1" applyAlignment="1">
      <alignment wrapText="1"/>
    </xf>
    <xf numFmtId="0" fontId="0" fillId="0" borderId="4" xfId="0" applyBorder="1" applyAlignment="1">
      <alignment horizontal="right" wrapText="1"/>
    </xf>
    <xf numFmtId="0" fontId="0" fillId="0" borderId="1" xfId="0" applyBorder="1" applyAlignment="1">
      <alignment horizontal="right" wrapText="1"/>
    </xf>
    <xf numFmtId="0" fontId="22" fillId="0" borderId="0" xfId="0" applyFont="1" applyAlignment="1">
      <alignment wrapText="1"/>
    </xf>
    <xf numFmtId="0" fontId="22" fillId="0" borderId="1" xfId="0" applyFont="1" applyBorder="1" applyAlignment="1">
      <alignment wrapText="1"/>
    </xf>
    <xf numFmtId="0" fontId="22" fillId="0" borderId="4" xfId="0" applyFont="1" applyBorder="1" applyAlignment="1">
      <alignment wrapText="1"/>
    </xf>
    <xf numFmtId="0" fontId="21" fillId="0" borderId="0" xfId="0" applyFont="1" applyAlignment="1">
      <alignment vertical="center" wrapText="1"/>
    </xf>
    <xf numFmtId="0" fontId="33" fillId="3" borderId="15" xfId="0" applyFont="1" applyFill="1" applyBorder="1" applyAlignment="1">
      <alignment horizontal="center" wrapText="1"/>
    </xf>
    <xf numFmtId="0" fontId="21" fillId="0" borderId="1" xfId="0" applyFont="1" applyBorder="1" applyAlignment="1">
      <alignment vertical="center" wrapText="1"/>
    </xf>
    <xf numFmtId="0" fontId="0" fillId="0" borderId="12" xfId="0" applyBorder="1" applyAlignment="1">
      <alignment wrapText="1"/>
    </xf>
    <xf numFmtId="0" fontId="21" fillId="0" borderId="4" xfId="0" applyFont="1" applyBorder="1" applyAlignment="1">
      <alignment vertical="center" wrapText="1"/>
    </xf>
    <xf numFmtId="0" fontId="41" fillId="2" borderId="0" xfId="0" applyFont="1" applyFill="1" applyAlignment="1">
      <alignment horizontal="center" wrapText="1"/>
    </xf>
    <xf numFmtId="0" fontId="41" fillId="2" borderId="4" xfId="0" applyFont="1" applyFill="1" applyBorder="1" applyAlignment="1">
      <alignment horizontal="center" vertical="center" wrapText="1"/>
    </xf>
    <xf numFmtId="0" fontId="41" fillId="2" borderId="14" xfId="0" applyFont="1" applyFill="1" applyBorder="1" applyAlignment="1">
      <alignment horizontal="center" wrapText="1"/>
    </xf>
    <xf numFmtId="0" fontId="41" fillId="2" borderId="10" xfId="0" applyFont="1" applyFill="1" applyBorder="1" applyAlignment="1">
      <alignment horizontal="center" wrapText="1"/>
    </xf>
    <xf numFmtId="0" fontId="41" fillId="2" borderId="14" xfId="0" applyFont="1" applyFill="1" applyBorder="1" applyAlignment="1">
      <alignment horizontal="center" vertical="center" wrapText="1"/>
    </xf>
    <xf numFmtId="0" fontId="41" fillId="2" borderId="14" xfId="0" applyFont="1" applyFill="1" applyBorder="1" applyAlignment="1">
      <alignment horizontal="left" wrapText="1"/>
    </xf>
    <xf numFmtId="0" fontId="41" fillId="3" borderId="15" xfId="0" applyFont="1" applyFill="1" applyBorder="1" applyAlignment="1">
      <alignment horizontal="center" wrapText="1"/>
    </xf>
    <xf numFmtId="0" fontId="2" fillId="0" borderId="6" xfId="0" applyFont="1" applyBorder="1" applyAlignment="1">
      <alignment horizontal="left" vertical="center" wrapText="1"/>
    </xf>
    <xf numFmtId="0" fontId="2" fillId="0" borderId="1" xfId="0" applyFont="1" applyBorder="1" applyAlignment="1">
      <alignment horizontal="left" vertical="center" wrapText="1"/>
    </xf>
    <xf numFmtId="0" fontId="42" fillId="16" borderId="4" xfId="0" applyFont="1" applyFill="1" applyBorder="1" applyAlignment="1">
      <alignment wrapText="1"/>
    </xf>
    <xf numFmtId="0" fontId="41" fillId="2" borderId="1" xfId="0" applyFont="1" applyFill="1" applyBorder="1" applyAlignment="1">
      <alignment horizontal="center" vertical="center" wrapText="1"/>
    </xf>
    <xf numFmtId="0" fontId="2" fillId="0" borderId="4" xfId="0" applyFont="1" applyBorder="1" applyAlignment="1">
      <alignment horizontal="left" vertical="center" wrapText="1"/>
    </xf>
    <xf numFmtId="14" fontId="0" fillId="0" borderId="1" xfId="0" applyNumberFormat="1" applyBorder="1" applyAlignment="1">
      <alignment horizontal="right" wrapText="1"/>
    </xf>
    <xf numFmtId="0" fontId="0" fillId="0" borderId="9" xfId="0" applyBorder="1"/>
    <xf numFmtId="0" fontId="2" fillId="0" borderId="8" xfId="0" applyFont="1" applyBorder="1" applyAlignment="1">
      <alignment horizontal="left" vertical="center" wrapText="1"/>
    </xf>
    <xf numFmtId="14" fontId="0" fillId="0" borderId="4" xfId="0" applyNumberFormat="1" applyBorder="1" applyAlignment="1">
      <alignment horizontal="right" wrapText="1"/>
    </xf>
    <xf numFmtId="0" fontId="41" fillId="3" borderId="0" xfId="0" applyFont="1" applyFill="1" applyAlignment="1">
      <alignment horizontal="center" wrapText="1"/>
    </xf>
    <xf numFmtId="14" fontId="0" fillId="0" borderId="6" xfId="0" applyNumberFormat="1" applyBorder="1" applyAlignment="1">
      <alignment wrapText="1"/>
    </xf>
    <xf numFmtId="14" fontId="0" fillId="0" borderId="5" xfId="0" applyNumberFormat="1" applyBorder="1" applyAlignment="1">
      <alignment wrapText="1"/>
    </xf>
    <xf numFmtId="0" fontId="2" fillId="0" borderId="0" xfId="0" applyFont="1" applyAlignment="1">
      <alignment horizontal="left" vertical="center" wrapText="1"/>
    </xf>
    <xf numFmtId="0" fontId="0" fillId="0" borderId="2" xfId="0" applyBorder="1" applyAlignment="1">
      <alignment vertical="center" wrapText="1"/>
    </xf>
    <xf numFmtId="14" fontId="0" fillId="0" borderId="2" xfId="0" applyNumberFormat="1" applyBorder="1" applyAlignment="1">
      <alignment horizontal="left" vertical="center" wrapText="1"/>
    </xf>
    <xf numFmtId="0" fontId="2" fillId="0" borderId="11" xfId="0" applyFont="1" applyBorder="1" applyAlignment="1">
      <alignment horizontal="left" vertical="center" wrapText="1"/>
    </xf>
    <xf numFmtId="0" fontId="0" fillId="0" borderId="11" xfId="0" applyBorder="1" applyAlignment="1">
      <alignment wrapText="1"/>
    </xf>
    <xf numFmtId="0" fontId="20" fillId="0" borderId="2" xfId="1" applyBorder="1" applyAlignment="1">
      <alignment vertical="center" wrapText="1"/>
    </xf>
    <xf numFmtId="14" fontId="0" fillId="0" borderId="2" xfId="0" applyNumberFormat="1" applyBorder="1" applyAlignment="1">
      <alignment horizontal="right" wrapText="1"/>
    </xf>
    <xf numFmtId="0" fontId="0" fillId="0" borderId="2" xfId="0" applyBorder="1" applyAlignment="1">
      <alignment horizontal="left" wrapText="1"/>
    </xf>
    <xf numFmtId="0" fontId="20" fillId="0" borderId="2" xfId="1" applyBorder="1" applyAlignment="1">
      <alignment wrapText="1"/>
    </xf>
    <xf numFmtId="0" fontId="41" fillId="2" borderId="1" xfId="0" applyFont="1" applyFill="1" applyBorder="1" applyAlignment="1">
      <alignment horizontal="center" wrapText="1"/>
    </xf>
    <xf numFmtId="0" fontId="41" fillId="2" borderId="1" xfId="0" applyFont="1" applyFill="1" applyBorder="1" applyAlignment="1">
      <alignment horizontal="left" wrapText="1"/>
    </xf>
    <xf numFmtId="0" fontId="41" fillId="3" borderId="1" xfId="0" applyFont="1" applyFill="1" applyBorder="1" applyAlignment="1">
      <alignment horizontal="center" wrapText="1"/>
    </xf>
    <xf numFmtId="0" fontId="0" fillId="0" borderId="3" xfId="0" applyBorder="1" applyAlignment="1">
      <alignment vertical="center" wrapText="1"/>
    </xf>
    <xf numFmtId="14" fontId="0" fillId="0" borderId="3" xfId="0" applyNumberFormat="1" applyBorder="1" applyAlignment="1">
      <alignment vertical="center" wrapText="1"/>
    </xf>
    <xf numFmtId="14" fontId="0" fillId="0" borderId="11" xfId="0" applyNumberFormat="1" applyBorder="1" applyAlignment="1">
      <alignment wrapText="1"/>
    </xf>
    <xf numFmtId="0" fontId="41" fillId="2" borderId="4" xfId="0" applyFont="1" applyFill="1" applyBorder="1" applyAlignment="1">
      <alignment horizontal="center" wrapText="1"/>
    </xf>
    <xf numFmtId="14" fontId="0" fillId="0" borderId="11" xfId="0" applyNumberFormat="1" applyBorder="1" applyAlignment="1">
      <alignment horizontal="left" vertical="center" wrapText="1"/>
    </xf>
    <xf numFmtId="0" fontId="2" fillId="0" borderId="15" xfId="0" applyFont="1" applyBorder="1" applyAlignment="1">
      <alignment horizontal="left" vertical="center" wrapText="1"/>
    </xf>
    <xf numFmtId="0" fontId="0" fillId="0" borderId="15" xfId="0" applyBorder="1" applyAlignment="1">
      <alignment wrapText="1"/>
    </xf>
    <xf numFmtId="14" fontId="0" fillId="0" borderId="14" xfId="0" applyNumberFormat="1" applyBorder="1" applyAlignment="1">
      <alignment horizontal="right" wrapText="1"/>
    </xf>
    <xf numFmtId="0" fontId="20" fillId="0" borderId="14" xfId="1" applyBorder="1" applyAlignment="1">
      <alignment wrapText="1"/>
    </xf>
    <xf numFmtId="0" fontId="0" fillId="0" borderId="10" xfId="0" applyBorder="1" applyAlignment="1">
      <alignment vertical="center" wrapText="1"/>
    </xf>
    <xf numFmtId="0" fontId="20" fillId="0" borderId="15" xfId="1" applyBorder="1" applyAlignment="1">
      <alignment vertical="center" wrapText="1"/>
    </xf>
    <xf numFmtId="0" fontId="0" fillId="0" borderId="14" xfId="0" applyBorder="1" applyAlignment="1">
      <alignment vertical="center" wrapText="1"/>
    </xf>
    <xf numFmtId="14" fontId="0" fillId="0" borderId="14" xfId="0" applyNumberFormat="1" applyBorder="1" applyAlignment="1">
      <alignment horizontal="left" vertical="center" wrapText="1"/>
    </xf>
    <xf numFmtId="14" fontId="0" fillId="0" borderId="15" xfId="0" applyNumberFormat="1" applyBorder="1" applyAlignment="1">
      <alignment horizontal="left" vertical="center" wrapText="1"/>
    </xf>
    <xf numFmtId="14" fontId="0" fillId="0" borderId="8" xfId="0" applyNumberFormat="1" applyBorder="1" applyAlignment="1">
      <alignment wrapText="1"/>
    </xf>
    <xf numFmtId="0" fontId="20" fillId="0" borderId="0" xfId="1" applyBorder="1"/>
    <xf numFmtId="0" fontId="0" fillId="9" borderId="0" xfId="0" applyFill="1"/>
    <xf numFmtId="0" fontId="20" fillId="0" borderId="5" xfId="1" applyBorder="1" applyAlignment="1">
      <alignment wrapText="1"/>
    </xf>
    <xf numFmtId="0" fontId="2" fillId="0" borderId="2" xfId="0" applyFont="1" applyBorder="1" applyAlignment="1">
      <alignment horizontal="left" vertical="center" wrapText="1"/>
    </xf>
    <xf numFmtId="0" fontId="20" fillId="0" borderId="2" xfId="1" applyBorder="1"/>
    <xf numFmtId="0" fontId="0" fillId="9" borderId="2" xfId="0" applyFill="1" applyBorder="1"/>
    <xf numFmtId="0" fontId="0" fillId="0" borderId="2" xfId="0" applyBorder="1" applyAlignment="1">
      <alignment horizontal="center"/>
    </xf>
    <xf numFmtId="0" fontId="41" fillId="2" borderId="4" xfId="0" applyFont="1" applyFill="1" applyBorder="1" applyAlignment="1">
      <alignment horizontal="left" wrapText="1"/>
    </xf>
    <xf numFmtId="14" fontId="0" fillId="0" borderId="6" xfId="0" applyNumberFormat="1" applyBorder="1" applyAlignment="1">
      <alignment horizontal="right" wrapText="1"/>
    </xf>
    <xf numFmtId="0" fontId="41" fillId="3" borderId="4" xfId="0" applyFont="1" applyFill="1" applyBorder="1" applyAlignment="1">
      <alignment horizontal="center" wrapText="1"/>
    </xf>
    <xf numFmtId="14" fontId="0" fillId="0" borderId="15" xfId="0" applyNumberFormat="1" applyBorder="1" applyAlignment="1">
      <alignment horizontal="right" wrapText="1"/>
    </xf>
    <xf numFmtId="0" fontId="22" fillId="0" borderId="4" xfId="0" applyFont="1" applyBorder="1"/>
    <xf numFmtId="16" fontId="0" fillId="0" borderId="1" xfId="0" applyNumberFormat="1" applyBorder="1" applyAlignment="1">
      <alignment wrapText="1"/>
    </xf>
    <xf numFmtId="49" fontId="1" fillId="2" borderId="6" xfId="0" applyNumberFormat="1" applyFont="1" applyFill="1" applyBorder="1" applyAlignment="1">
      <alignment horizontal="center" vertical="center" wrapText="1"/>
    </xf>
    <xf numFmtId="0" fontId="1" fillId="2" borderId="4" xfId="0" applyFont="1" applyFill="1" applyBorder="1" applyAlignment="1">
      <alignment horizontal="left" wrapText="1"/>
    </xf>
    <xf numFmtId="0" fontId="43" fillId="0" borderId="0" xfId="0" applyFont="1" applyAlignment="1">
      <alignment wrapText="1"/>
    </xf>
    <xf numFmtId="0" fontId="43" fillId="0" borderId="1" xfId="0" applyFont="1" applyBorder="1" applyAlignment="1">
      <alignment wrapText="1"/>
    </xf>
    <xf numFmtId="0" fontId="43" fillId="0" borderId="1" xfId="0" applyFont="1" applyBorder="1" applyAlignment="1">
      <alignment vertical="center" wrapText="1"/>
    </xf>
    <xf numFmtId="14" fontId="43" fillId="0" borderId="1" xfId="0" applyNumberFormat="1" applyFont="1" applyBorder="1" applyAlignment="1">
      <alignment horizontal="left" vertical="center" wrapText="1"/>
    </xf>
    <xf numFmtId="0" fontId="44" fillId="0" borderId="6" xfId="0" applyFont="1" applyBorder="1" applyAlignment="1">
      <alignment horizontal="left" vertical="center" wrapText="1"/>
    </xf>
    <xf numFmtId="0" fontId="45" fillId="0" borderId="1" xfId="1" applyFont="1" applyBorder="1" applyAlignment="1">
      <alignment vertical="center" wrapText="1"/>
    </xf>
    <xf numFmtId="0" fontId="43" fillId="0" borderId="6" xfId="0" applyFont="1" applyBorder="1" applyAlignment="1">
      <alignment wrapText="1"/>
    </xf>
    <xf numFmtId="0" fontId="43" fillId="0" borderId="4" xfId="0" applyFont="1" applyBorder="1"/>
    <xf numFmtId="0" fontId="43" fillId="0" borderId="5" xfId="0" applyFont="1" applyBorder="1" applyAlignment="1">
      <alignment wrapText="1"/>
    </xf>
    <xf numFmtId="14" fontId="43" fillId="0" borderId="1" xfId="0" applyNumberFormat="1" applyFont="1" applyBorder="1" applyAlignment="1">
      <alignment horizontal="right" wrapText="1"/>
    </xf>
    <xf numFmtId="0" fontId="43" fillId="0" borderId="1" xfId="0" applyFont="1" applyBorder="1" applyAlignment="1">
      <alignment horizontal="left" wrapText="1"/>
    </xf>
    <xf numFmtId="0" fontId="45" fillId="0" borderId="1" xfId="1" applyFont="1" applyBorder="1" applyAlignment="1">
      <alignment wrapText="1"/>
    </xf>
    <xf numFmtId="16" fontId="43" fillId="0" borderId="1" xfId="0" applyNumberFormat="1" applyFont="1" applyBorder="1" applyAlignment="1">
      <alignment wrapText="1"/>
    </xf>
    <xf numFmtId="0" fontId="43" fillId="0" borderId="4" xfId="0" applyFont="1" applyBorder="1" applyAlignment="1">
      <alignment wrapText="1"/>
    </xf>
    <xf numFmtId="0" fontId="45" fillId="0" borderId="4" xfId="1" applyFont="1" applyBorder="1" applyAlignment="1">
      <alignment vertical="center" wrapText="1"/>
    </xf>
    <xf numFmtId="0" fontId="43" fillId="0" borderId="8" xfId="0" applyFont="1" applyBorder="1" applyAlignment="1">
      <alignment wrapText="1"/>
    </xf>
    <xf numFmtId="0" fontId="43" fillId="0" borderId="9" xfId="0" applyFont="1" applyBorder="1" applyAlignment="1">
      <alignment wrapText="1"/>
    </xf>
    <xf numFmtId="14" fontId="43" fillId="0" borderId="4" xfId="0" applyNumberFormat="1" applyFont="1" applyBorder="1" applyAlignment="1">
      <alignment horizontal="right" wrapText="1"/>
    </xf>
    <xf numFmtId="0" fontId="43" fillId="0" borderId="4" xfId="0" applyFont="1" applyBorder="1" applyAlignment="1">
      <alignment horizontal="left" wrapText="1"/>
    </xf>
    <xf numFmtId="0" fontId="45" fillId="0" borderId="4" xfId="1" applyFont="1" applyBorder="1" applyAlignment="1">
      <alignment wrapText="1"/>
    </xf>
    <xf numFmtId="0" fontId="43" fillId="0" borderId="4" xfId="0" applyFont="1" applyBorder="1" applyAlignment="1">
      <alignment vertical="center" wrapText="1"/>
    </xf>
    <xf numFmtId="0" fontId="44" fillId="0" borderId="8" xfId="0" applyFont="1" applyBorder="1" applyAlignment="1">
      <alignment horizontal="left" vertical="center" wrapText="1"/>
    </xf>
    <xf numFmtId="0" fontId="46" fillId="0" borderId="4" xfId="0" applyFont="1" applyBorder="1"/>
    <xf numFmtId="0" fontId="44" fillId="0" borderId="1" xfId="0" applyFont="1" applyBorder="1" applyAlignment="1">
      <alignment horizontal="left" vertical="center" wrapText="1"/>
    </xf>
    <xf numFmtId="0" fontId="46" fillId="0" borderId="1" xfId="0" applyFont="1" applyBorder="1"/>
    <xf numFmtId="0" fontId="43" fillId="0" borderId="1" xfId="0" applyFont="1" applyBorder="1"/>
    <xf numFmtId="14" fontId="43" fillId="0" borderId="1" xfId="0" applyNumberFormat="1" applyFont="1" applyBorder="1" applyAlignment="1">
      <alignment wrapText="1"/>
    </xf>
    <xf numFmtId="0" fontId="43" fillId="0" borderId="2" xfId="0" applyFont="1" applyBorder="1" applyAlignment="1">
      <alignment wrapText="1"/>
    </xf>
    <xf numFmtId="0" fontId="43" fillId="0" borderId="2" xfId="0" applyFont="1" applyBorder="1" applyAlignment="1">
      <alignment vertical="center" wrapText="1"/>
    </xf>
    <xf numFmtId="14" fontId="43" fillId="0" borderId="2" xfId="0" applyNumberFormat="1" applyFont="1" applyBorder="1" applyAlignment="1">
      <alignment horizontal="left" vertical="center" wrapText="1"/>
    </xf>
    <xf numFmtId="0" fontId="44" fillId="0" borderId="2" xfId="0" applyFont="1" applyBorder="1" applyAlignment="1">
      <alignment horizontal="left" vertical="center" wrapText="1"/>
    </xf>
    <xf numFmtId="0" fontId="46" fillId="0" borderId="2" xfId="0" applyFont="1" applyBorder="1"/>
    <xf numFmtId="0" fontId="43" fillId="0" borderId="11" xfId="0" applyFont="1" applyBorder="1" applyAlignment="1">
      <alignment wrapText="1"/>
    </xf>
    <xf numFmtId="14" fontId="43" fillId="0" borderId="2" xfId="0" applyNumberFormat="1" applyFont="1" applyBorder="1" applyAlignment="1">
      <alignment horizontal="right" wrapText="1"/>
    </xf>
    <xf numFmtId="0" fontId="43" fillId="0" borderId="3" xfId="0" applyFont="1" applyBorder="1" applyAlignment="1">
      <alignment wrapText="1"/>
    </xf>
    <xf numFmtId="0" fontId="46" fillId="0" borderId="0" xfId="0" applyFont="1"/>
    <xf numFmtId="14" fontId="43" fillId="0" borderId="0" xfId="0" applyNumberFormat="1" applyFont="1" applyAlignment="1">
      <alignment horizontal="right" wrapText="1"/>
    </xf>
    <xf numFmtId="0" fontId="43" fillId="0" borderId="0" xfId="0" applyFont="1" applyAlignment="1">
      <alignment vertical="center" wrapText="1"/>
    </xf>
    <xf numFmtId="14" fontId="43" fillId="0" borderId="0" xfId="0" applyNumberFormat="1" applyFont="1" applyAlignment="1">
      <alignment horizontal="left" vertical="center" wrapText="1"/>
    </xf>
    <xf numFmtId="0" fontId="44" fillId="0" borderId="0" xfId="0" applyFont="1" applyAlignment="1">
      <alignment horizontal="left" vertical="center" wrapText="1"/>
    </xf>
    <xf numFmtId="0" fontId="43" fillId="0" borderId="0" xfId="0" applyFont="1" applyAlignment="1">
      <alignment horizontal="left" wrapText="1"/>
    </xf>
    <xf numFmtId="0" fontId="45" fillId="0" borderId="1" xfId="1" applyFont="1" applyBorder="1"/>
    <xf numFmtId="0" fontId="45" fillId="0" borderId="1" xfId="1" applyFont="1" applyBorder="1" applyAlignment="1">
      <alignment horizontal="left" vertical="center" wrapText="1"/>
    </xf>
    <xf numFmtId="0" fontId="43" fillId="9" borderId="1" xfId="0" applyFont="1" applyFill="1" applyBorder="1"/>
    <xf numFmtId="0" fontId="45" fillId="0" borderId="5" xfId="1" applyFont="1" applyBorder="1" applyAlignment="1">
      <alignment wrapText="1"/>
    </xf>
    <xf numFmtId="0" fontId="43" fillId="0" borderId="1" xfId="0" applyFont="1" applyBorder="1" applyAlignment="1">
      <alignment horizontal="center"/>
    </xf>
    <xf numFmtId="14" fontId="43" fillId="0" borderId="2" xfId="0" applyNumberFormat="1" applyFont="1" applyBorder="1" applyAlignment="1">
      <alignment wrapText="1"/>
    </xf>
    <xf numFmtId="0" fontId="43" fillId="0" borderId="2" xfId="0" applyFont="1" applyBorder="1" applyAlignment="1">
      <alignment horizontal="left" wrapText="1"/>
    </xf>
    <xf numFmtId="0" fontId="45" fillId="0" borderId="2" xfId="1" applyFont="1" applyBorder="1" applyAlignment="1">
      <alignment wrapText="1"/>
    </xf>
    <xf numFmtId="0" fontId="43" fillId="0" borderId="14" xfId="0" applyFont="1" applyBorder="1" applyAlignment="1">
      <alignment wrapText="1"/>
    </xf>
    <xf numFmtId="0" fontId="43" fillId="0" borderId="14" xfId="0" applyFont="1" applyBorder="1" applyAlignment="1">
      <alignment vertical="center" wrapText="1"/>
    </xf>
    <xf numFmtId="14" fontId="43" fillId="0" borderId="14" xfId="0" applyNumberFormat="1" applyFont="1" applyBorder="1" applyAlignment="1">
      <alignment horizontal="left" vertical="center" wrapText="1"/>
    </xf>
    <xf numFmtId="0" fontId="44" fillId="0" borderId="14" xfId="0" applyFont="1" applyBorder="1" applyAlignment="1">
      <alignment horizontal="left" vertical="center" wrapText="1"/>
    </xf>
    <xf numFmtId="0" fontId="46" fillId="0" borderId="14" xfId="0" applyFont="1" applyBorder="1"/>
    <xf numFmtId="0" fontId="43" fillId="0" borderId="15" xfId="0" applyFont="1" applyBorder="1" applyAlignment="1">
      <alignment wrapText="1"/>
    </xf>
    <xf numFmtId="14" fontId="43" fillId="0" borderId="14" xfId="0" applyNumberFormat="1" applyFont="1" applyBorder="1" applyAlignment="1">
      <alignment horizontal="right" wrapText="1"/>
    </xf>
    <xf numFmtId="0" fontId="43" fillId="0" borderId="10" xfId="0" applyFont="1" applyBorder="1" applyAlignment="1">
      <alignment wrapText="1"/>
    </xf>
    <xf numFmtId="0" fontId="43" fillId="0" borderId="7" xfId="0" applyFont="1" applyBorder="1" applyAlignment="1">
      <alignment wrapText="1"/>
    </xf>
    <xf numFmtId="0" fontId="43" fillId="0" borderId="13" xfId="0" applyFont="1" applyBorder="1" applyAlignment="1">
      <alignment wrapText="1"/>
    </xf>
    <xf numFmtId="0" fontId="43" fillId="0" borderId="6" xfId="0" applyFont="1" applyBorder="1" applyAlignment="1">
      <alignment horizontal="left" wrapText="1"/>
    </xf>
    <xf numFmtId="14" fontId="43" fillId="0" borderId="6" xfId="0" applyNumberFormat="1" applyFont="1" applyBorder="1" applyAlignment="1">
      <alignment horizontal="right" wrapText="1"/>
    </xf>
    <xf numFmtId="0" fontId="43" fillId="11" borderId="1" xfId="0" applyFont="1" applyFill="1" applyBorder="1" applyAlignment="1">
      <alignment vertical="center"/>
    </xf>
    <xf numFmtId="0" fontId="43" fillId="0" borderId="1" xfId="0" applyFont="1" applyBorder="1" applyAlignment="1">
      <alignment vertical="center"/>
    </xf>
    <xf numFmtId="14" fontId="43" fillId="0" borderId="1" xfId="0" applyNumberFormat="1" applyFont="1" applyBorder="1" applyAlignment="1">
      <alignment vertical="center"/>
    </xf>
    <xf numFmtId="9" fontId="43" fillId="12" borderId="1" xfId="0" applyNumberFormat="1" applyFont="1" applyFill="1" applyBorder="1" applyAlignment="1">
      <alignment horizontal="center" vertical="center"/>
    </xf>
    <xf numFmtId="49" fontId="43" fillId="12" borderId="1" xfId="0" applyNumberFormat="1" applyFont="1" applyFill="1" applyBorder="1" applyAlignment="1">
      <alignment vertical="center"/>
    </xf>
    <xf numFmtId="0" fontId="43" fillId="12" borderId="0" xfId="0" applyFont="1" applyFill="1"/>
    <xf numFmtId="0" fontId="43" fillId="12" borderId="1" xfId="0" applyFont="1" applyFill="1" applyBorder="1" applyAlignment="1">
      <alignment vertical="center"/>
    </xf>
    <xf numFmtId="0" fontId="45" fillId="0" borderId="0" xfId="1" applyFont="1"/>
    <xf numFmtId="49" fontId="1" fillId="2" borderId="1" xfId="0" applyNumberFormat="1" applyFont="1" applyFill="1" applyBorder="1" applyAlignment="1">
      <alignment horizontal="center" vertical="center" wrapText="1"/>
    </xf>
    <xf numFmtId="0" fontId="47" fillId="8" borderId="1" xfId="0" applyFont="1" applyFill="1" applyBorder="1" applyAlignment="1">
      <alignment horizontal="center" vertical="center" wrapText="1"/>
    </xf>
    <xf numFmtId="0" fontId="44" fillId="0" borderId="1" xfId="0" applyFont="1" applyBorder="1" applyAlignment="1">
      <alignment vertical="center"/>
    </xf>
    <xf numFmtId="15" fontId="44" fillId="0" borderId="1" xfId="0" applyNumberFormat="1" applyFont="1" applyBorder="1" applyAlignment="1">
      <alignment horizontal="center" vertical="center"/>
    </xf>
    <xf numFmtId="0" fontId="44" fillId="0" borderId="1" xfId="0" applyFont="1" applyBorder="1" applyAlignment="1">
      <alignment horizontal="center" vertical="center"/>
    </xf>
    <xf numFmtId="49" fontId="44" fillId="0" borderId="1" xfId="0" applyNumberFormat="1" applyFont="1" applyBorder="1" applyAlignment="1">
      <alignment horizontal="center" vertical="center"/>
    </xf>
    <xf numFmtId="0" fontId="44" fillId="0" borderId="1" xfId="0" applyFont="1" applyBorder="1" applyAlignment="1">
      <alignment vertical="center" wrapText="1"/>
    </xf>
    <xf numFmtId="166" fontId="44" fillId="0" borderId="1" xfId="0" applyNumberFormat="1" applyFont="1" applyBorder="1" applyAlignment="1">
      <alignment vertical="center"/>
    </xf>
    <xf numFmtId="164" fontId="44" fillId="0" borderId="1" xfId="0" applyNumberFormat="1" applyFont="1" applyBorder="1" applyAlignment="1">
      <alignment horizontal="center" vertical="center"/>
    </xf>
    <xf numFmtId="0" fontId="44" fillId="9" borderId="1" xfId="0" applyFont="1" applyFill="1" applyBorder="1" applyAlignment="1">
      <alignment vertical="center" wrapText="1"/>
    </xf>
    <xf numFmtId="0" fontId="44" fillId="9" borderId="1" xfId="0" applyFont="1" applyFill="1" applyBorder="1" applyAlignment="1">
      <alignment horizontal="center" vertical="center"/>
    </xf>
    <xf numFmtId="15"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49" fontId="43" fillId="0" borderId="1" xfId="0" applyNumberFormat="1" applyFont="1" applyBorder="1" applyAlignment="1">
      <alignment horizontal="center" vertical="center"/>
    </xf>
    <xf numFmtId="15" fontId="43" fillId="0" borderId="1" xfId="0" applyNumberFormat="1" applyFont="1" applyBorder="1" applyAlignment="1">
      <alignment horizontal="left" vertical="center"/>
    </xf>
    <xf numFmtId="0" fontId="44" fillId="0" borderId="4" xfId="0" applyFont="1" applyBorder="1" applyAlignment="1">
      <alignment vertical="center"/>
    </xf>
    <xf numFmtId="0" fontId="43" fillId="0" borderId="4" xfId="0" applyFont="1" applyBorder="1" applyAlignment="1">
      <alignment vertical="center"/>
    </xf>
    <xf numFmtId="15" fontId="43" fillId="0" borderId="4" xfId="0" applyNumberFormat="1" applyFont="1" applyBorder="1" applyAlignment="1">
      <alignment horizontal="left" vertical="center"/>
    </xf>
    <xf numFmtId="0" fontId="43" fillId="0" borderId="4" xfId="0" applyFont="1" applyBorder="1" applyAlignment="1">
      <alignment horizontal="center" vertical="center"/>
    </xf>
    <xf numFmtId="49" fontId="43" fillId="0" borderId="4" xfId="0" applyNumberFormat="1" applyFont="1" applyBorder="1" applyAlignment="1">
      <alignment horizontal="center" vertical="center"/>
    </xf>
    <xf numFmtId="0" fontId="43" fillId="0" borderId="9" xfId="0" applyFont="1" applyBorder="1" applyAlignment="1">
      <alignment vertical="center" wrapText="1"/>
    </xf>
    <xf numFmtId="49" fontId="43" fillId="0" borderId="4" xfId="0" applyNumberFormat="1" applyFont="1" applyBorder="1" applyAlignment="1">
      <alignment vertical="center"/>
    </xf>
    <xf numFmtId="0" fontId="43" fillId="0" borderId="9" xfId="0" applyFont="1" applyBorder="1" applyAlignment="1">
      <alignment vertical="center"/>
    </xf>
    <xf numFmtId="49" fontId="43" fillId="0" borderId="1" xfId="0" applyNumberFormat="1" applyFont="1" applyBorder="1" applyAlignment="1">
      <alignment vertical="center"/>
    </xf>
    <xf numFmtId="0" fontId="43" fillId="0" borderId="0" xfId="0" applyFont="1"/>
    <xf numFmtId="49" fontId="43" fillId="0" borderId="1" xfId="0" applyNumberFormat="1" applyFont="1" applyBorder="1"/>
    <xf numFmtId="15" fontId="43" fillId="0" borderId="6" xfId="0" applyNumberFormat="1" applyFont="1" applyBorder="1" applyAlignment="1">
      <alignment horizontal="left" vertical="center"/>
    </xf>
    <xf numFmtId="0" fontId="43" fillId="0" borderId="5" xfId="0" applyFont="1" applyBorder="1" applyAlignment="1">
      <alignment horizontal="center" vertical="center"/>
    </xf>
    <xf numFmtId="0" fontId="43" fillId="0" borderId="6" xfId="0" applyFont="1" applyBorder="1" applyAlignment="1">
      <alignment horizontal="center" vertical="center"/>
    </xf>
    <xf numFmtId="0" fontId="43" fillId="0" borderId="9" xfId="0" applyFont="1" applyBorder="1" applyAlignment="1">
      <alignment horizontal="center" vertical="center"/>
    </xf>
    <xf numFmtId="0" fontId="43" fillId="0" borderId="8" xfId="0" applyFont="1" applyBorder="1" applyAlignment="1">
      <alignment horizontal="center" vertical="center"/>
    </xf>
    <xf numFmtId="49" fontId="43" fillId="0" borderId="4" xfId="0" applyNumberFormat="1" applyFont="1" applyBorder="1"/>
    <xf numFmtId="0" fontId="43" fillId="0" borderId="14" xfId="0" applyFont="1" applyBorder="1"/>
    <xf numFmtId="0" fontId="43" fillId="0" borderId="2" xfId="0" applyFont="1" applyBorder="1"/>
    <xf numFmtId="0" fontId="44" fillId="0" borderId="4" xfId="0" applyFont="1" applyBorder="1" applyAlignment="1">
      <alignment horizontal="left" vertical="center" wrapText="1"/>
    </xf>
    <xf numFmtId="49" fontId="43" fillId="0" borderId="8" xfId="0" applyNumberFormat="1" applyFont="1" applyBorder="1"/>
    <xf numFmtId="49" fontId="43" fillId="0" borderId="4" xfId="0" applyNumberFormat="1" applyFont="1" applyBorder="1" applyAlignment="1">
      <alignment wrapText="1"/>
    </xf>
    <xf numFmtId="0" fontId="43" fillId="0" borderId="9" xfId="0" applyFont="1" applyBorder="1"/>
    <xf numFmtId="49" fontId="43" fillId="0" borderId="1" xfId="0" applyNumberFormat="1" applyFont="1" applyBorder="1" applyAlignment="1">
      <alignment wrapText="1"/>
    </xf>
    <xf numFmtId="15" fontId="43" fillId="0" borderId="5" xfId="0" applyNumberFormat="1" applyFont="1" applyBorder="1" applyAlignment="1">
      <alignment horizontal="left" vertical="center"/>
    </xf>
    <xf numFmtId="0" fontId="44" fillId="0" borderId="13" xfId="0" applyFont="1" applyBorder="1" applyAlignment="1">
      <alignment horizontal="left" vertical="center" wrapText="1"/>
    </xf>
    <xf numFmtId="15" fontId="43" fillId="0" borderId="13" xfId="0" applyNumberFormat="1" applyFont="1" applyBorder="1" applyAlignment="1">
      <alignment horizontal="left" vertical="center"/>
    </xf>
    <xf numFmtId="49" fontId="43" fillId="0" borderId="1" xfId="0" applyNumberFormat="1" applyFont="1" applyBorder="1" applyAlignment="1">
      <alignment horizontal="left"/>
    </xf>
    <xf numFmtId="14" fontId="43" fillId="0" borderId="1" xfId="0" applyNumberFormat="1" applyFont="1" applyBorder="1" applyAlignment="1">
      <alignment horizontal="center" vertical="center"/>
    </xf>
    <xf numFmtId="14" fontId="43" fillId="0" borderId="4" xfId="0" applyNumberFormat="1" applyFont="1" applyBorder="1" applyAlignment="1">
      <alignment horizontal="center" vertical="center"/>
    </xf>
    <xf numFmtId="0" fontId="43" fillId="0" borderId="0" xfId="0" applyFont="1" applyAlignment="1">
      <alignment horizontal="center" vertical="center"/>
    </xf>
    <xf numFmtId="49" fontId="43" fillId="0" borderId="0" xfId="0" applyNumberFormat="1" applyFont="1"/>
    <xf numFmtId="0" fontId="49" fillId="16" borderId="14" xfId="0" applyFont="1" applyFill="1" applyBorder="1" applyAlignment="1">
      <alignment wrapText="1"/>
    </xf>
    <xf numFmtId="0" fontId="49" fillId="16" borderId="1" xfId="0" applyFont="1" applyFill="1" applyBorder="1" applyAlignment="1">
      <alignment wrapText="1"/>
    </xf>
    <xf numFmtId="0" fontId="49" fillId="16" borderId="4" xfId="0" applyFont="1" applyFill="1" applyBorder="1" applyAlignment="1">
      <alignment wrapText="1"/>
    </xf>
    <xf numFmtId="0" fontId="48" fillId="0" borderId="2" xfId="0" applyFont="1" applyBorder="1"/>
    <xf numFmtId="0" fontId="1" fillId="17" borderId="1" xfId="0" applyFont="1" applyFill="1" applyBorder="1"/>
    <xf numFmtId="0" fontId="48" fillId="18" borderId="1" xfId="0" applyFont="1" applyFill="1" applyBorder="1"/>
    <xf numFmtId="14" fontId="43" fillId="0" borderId="9" xfId="0" applyNumberFormat="1" applyFont="1" applyBorder="1" applyAlignment="1">
      <alignment horizontal="right" wrapText="1"/>
    </xf>
    <xf numFmtId="14" fontId="43" fillId="0" borderId="3" xfId="0" applyNumberFormat="1" applyFont="1" applyBorder="1" applyAlignment="1">
      <alignment horizontal="right" wrapText="1"/>
    </xf>
    <xf numFmtId="14" fontId="43" fillId="0" borderId="11" xfId="0" applyNumberFormat="1" applyFont="1" applyBorder="1" applyAlignment="1">
      <alignment horizontal="right" wrapText="1"/>
    </xf>
    <xf numFmtId="0" fontId="44" fillId="0" borderId="14" xfId="0" applyFont="1" applyBorder="1" applyAlignment="1">
      <alignment horizontal="left" wrapText="1"/>
    </xf>
    <xf numFmtId="0" fontId="44" fillId="0" borderId="1" xfId="0" applyFont="1" applyBorder="1" applyAlignment="1">
      <alignment horizontal="left" wrapText="1"/>
    </xf>
    <xf numFmtId="0" fontId="44" fillId="0" borderId="4" xfId="0" applyFont="1" applyBorder="1" applyAlignment="1">
      <alignment horizontal="left" wrapText="1"/>
    </xf>
    <xf numFmtId="0" fontId="43" fillId="0" borderId="10" xfId="0" applyFont="1" applyBorder="1" applyAlignment="1">
      <alignment vertical="center" wrapText="1"/>
    </xf>
    <xf numFmtId="14" fontId="43" fillId="0" borderId="12" xfId="0" applyNumberFormat="1" applyFont="1" applyBorder="1" applyAlignment="1">
      <alignment horizontal="right" wrapText="1"/>
    </xf>
    <xf numFmtId="0" fontId="45" fillId="0" borderId="14" xfId="1" applyFont="1" applyBorder="1" applyAlignment="1">
      <alignment wrapText="1"/>
    </xf>
    <xf numFmtId="14" fontId="43" fillId="0" borderId="15" xfId="0" applyNumberFormat="1" applyFont="1" applyBorder="1" applyAlignment="1">
      <alignment horizontal="right" wrapText="1"/>
    </xf>
    <xf numFmtId="0" fontId="20" fillId="0" borderId="0" xfId="1" applyBorder="1" applyAlignment="1">
      <alignment wrapText="1"/>
    </xf>
    <xf numFmtId="14" fontId="43" fillId="0" borderId="4" xfId="0" applyNumberFormat="1" applyFont="1" applyBorder="1" applyAlignment="1">
      <alignment wrapText="1"/>
    </xf>
    <xf numFmtId="0" fontId="43" fillId="0" borderId="14" xfId="0" applyFont="1" applyBorder="1" applyAlignment="1">
      <alignment horizontal="left" wrapText="1"/>
    </xf>
    <xf numFmtId="0" fontId="44" fillId="0" borderId="2" xfId="0" applyFont="1" applyBorder="1" applyAlignment="1">
      <alignment horizontal="left" wrapText="1"/>
    </xf>
    <xf numFmtId="0" fontId="51" fillId="0" borderId="1" xfId="0" applyFont="1" applyBorder="1" applyAlignment="1">
      <alignment wrapText="1"/>
    </xf>
    <xf numFmtId="0" fontId="43" fillId="0" borderId="8" xfId="0" applyFont="1" applyBorder="1" applyAlignment="1">
      <alignment horizontal="left" wrapText="1"/>
    </xf>
    <xf numFmtId="14" fontId="43" fillId="0" borderId="8" xfId="0" applyNumberFormat="1" applyFont="1" applyBorder="1" applyAlignment="1">
      <alignment horizontal="right" wrapText="1"/>
    </xf>
    <xf numFmtId="0" fontId="51" fillId="0" borderId="0" xfId="0" applyFont="1" applyAlignment="1">
      <alignment wrapText="1"/>
    </xf>
    <xf numFmtId="0" fontId="43" fillId="0" borderId="9" xfId="0" applyFont="1" applyBorder="1" applyAlignment="1">
      <alignment horizontal="left" wrapText="1"/>
    </xf>
    <xf numFmtId="0" fontId="51" fillId="0" borderId="1" xfId="0" applyFont="1" applyBorder="1"/>
    <xf numFmtId="14" fontId="43" fillId="0" borderId="6" xfId="0" applyNumberFormat="1" applyFont="1" applyBorder="1" applyAlignment="1">
      <alignment horizontal="left" vertical="center" wrapText="1"/>
    </xf>
    <xf numFmtId="0" fontId="44" fillId="0" borderId="2" xfId="0" applyFont="1" applyBorder="1" applyAlignment="1">
      <alignment wrapText="1"/>
    </xf>
    <xf numFmtId="0" fontId="41" fillId="2" borderId="8" xfId="0" applyFont="1" applyFill="1" applyBorder="1" applyAlignment="1">
      <alignment horizontal="center" wrapText="1"/>
    </xf>
    <xf numFmtId="0" fontId="41" fillId="2" borderId="4" xfId="0" applyFont="1" applyFill="1" applyBorder="1" applyAlignment="1">
      <alignment wrapText="1"/>
    </xf>
    <xf numFmtId="0" fontId="41" fillId="5" borderId="8" xfId="0" applyFont="1" applyFill="1" applyBorder="1" applyAlignment="1">
      <alignment horizontal="center" wrapText="1"/>
    </xf>
    <xf numFmtId="14" fontId="0" fillId="0" borderId="1" xfId="0" applyNumberFormat="1" applyBorder="1" applyAlignment="1">
      <alignment horizontal="right" vertical="center" wrapText="1"/>
    </xf>
    <xf numFmtId="0" fontId="53" fillId="0" borderId="1" xfId="0" applyFont="1" applyBorder="1" applyAlignment="1">
      <alignment vertical="center"/>
    </xf>
    <xf numFmtId="14" fontId="0" fillId="0" borderId="1" xfId="0" applyNumberFormat="1" applyBorder="1" applyAlignment="1">
      <alignment vertical="center" wrapText="1"/>
    </xf>
    <xf numFmtId="14" fontId="0" fillId="0" borderId="4" xfId="0" applyNumberFormat="1" applyBorder="1" applyAlignment="1">
      <alignment horizontal="right" vertical="center" wrapText="1"/>
    </xf>
    <xf numFmtId="0" fontId="53" fillId="0" borderId="4" xfId="0" applyFont="1" applyBorder="1" applyAlignment="1">
      <alignment vertical="center"/>
    </xf>
    <xf numFmtId="14" fontId="0" fillId="0" borderId="4" xfId="0" applyNumberFormat="1" applyBorder="1" applyAlignment="1">
      <alignment vertical="center" wrapText="1"/>
    </xf>
    <xf numFmtId="0" fontId="0" fillId="0" borderId="0" xfId="0" applyAlignment="1">
      <alignment horizontal="center" vertical="center" wrapText="1"/>
    </xf>
    <xf numFmtId="0" fontId="2" fillId="0" borderId="6" xfId="0" applyFont="1" applyBorder="1" applyAlignment="1">
      <alignment horizontal="center"/>
    </xf>
    <xf numFmtId="0" fontId="2" fillId="0" borderId="7" xfId="0" applyFont="1" applyBorder="1" applyAlignment="1">
      <alignment horizontal="center"/>
    </xf>
    <xf numFmtId="0" fontId="2" fillId="0" borderId="5" xfId="0" applyFont="1" applyBorder="1" applyAlignment="1">
      <alignment horizontal="center"/>
    </xf>
    <xf numFmtId="0" fontId="3" fillId="0" borderId="6" xfId="0" applyFont="1" applyBorder="1" applyAlignment="1">
      <alignment wrapText="1"/>
    </xf>
    <xf numFmtId="0" fontId="48" fillId="0" borderId="11" xfId="0" applyFont="1" applyBorder="1" applyAlignment="1"/>
    <xf numFmtId="0" fontId="48" fillId="0" borderId="7" xfId="0" applyFont="1" applyBorder="1" applyAlignment="1"/>
    <xf numFmtId="0" fontId="16" fillId="7" borderId="0" xfId="0" applyFont="1" applyFill="1" applyAlignment="1"/>
    <xf numFmtId="0" fontId="0" fillId="0" borderId="0" xfId="0" applyAlignment="1"/>
    <xf numFmtId="0" fontId="17" fillId="0" borderId="7" xfId="0" applyFont="1" applyBorder="1" applyAlignment="1"/>
    <xf numFmtId="0" fontId="17" fillId="0" borderId="5" xfId="0" applyFont="1" applyBorder="1" applyAlignment="1"/>
  </cellXfs>
  <cellStyles count="2">
    <cellStyle name="Hyperlink" xfId="1" builtinId="8"/>
    <cellStyle name="Normal" xfId="0" builtinId="0"/>
  </cellStyles>
  <dxfs count="88">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name val="Arial"/>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alignment horizontal="left" vertical="bottom" textRotation="0" wrapText="1" indent="0" justifyLastLine="0" shrinkToFit="0" readingOrder="0"/>
      <border diagonalUp="0" diagonalDown="0">
        <left style="thin">
          <color rgb="FF000000"/>
        </left>
        <right style="thin">
          <color rgb="FF000000"/>
        </right>
        <top style="thin">
          <color rgb="FF000000"/>
        </top>
        <bottom/>
        <vertical/>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charset val="1"/>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0"/>
        <color theme="1"/>
        <name val="Arial"/>
        <scheme val="major"/>
      </font>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9" formatCode="m/d/yyyy"/>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FFFFFF"/>
        <name val="Arial"/>
        <scheme val="major"/>
      </font>
      <fill>
        <patternFill patternType="solid">
          <fgColor rgb="FF27235C"/>
          <bgColor rgb="FF27235C"/>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sheetMetadata" Target="metadata.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customschemas.google.com/relationships/workbookmetadata" Target="metadata"/><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51BA32-40BA-47D1-8152-C5E4C29610D1}" name="Table1456" displayName="Table1456" ref="A1:AB2" insertRow="1" totalsRowShown="0" headerRowDxfId="87" headerRowBorderDxfId="85" tableBorderDxfId="86" totalsRowBorderDxfId="84">
  <autoFilter ref="A1:AB2" xr:uid="{8016C61E-4867-49B7-9810-91E9F2142A05}"/>
  <tableColumns count="28">
    <tableColumn id="1" xr3:uid="{35330018-7132-45F0-8730-501502BDFE67}" name="S.No" dataDxfId="83"/>
    <tableColumn id="27" xr3:uid="{2B5CD9CE-378E-4AF1-B2F7-37CF55A2E59B}" name="Application Name" dataDxfId="82">
      <calculatedColumnFormula>Dashboard!$J$1</calculatedColumnFormula>
    </tableColumn>
    <tableColumn id="26" xr3:uid="{A1EBEEF0-8753-47B8-A5B0-8699CA0BFAE3}" name="Sprint Start Date" dataDxfId="81">
      <calculatedColumnFormula>Dashboard!$F$1</calculatedColumnFormula>
    </tableColumn>
    <tableColumn id="23" xr3:uid="{7CC41475-CEE8-4FD4-B2A2-DF1BF28C34E3}" name="Sprint End Date" dataDxfId="80">
      <calculatedColumnFormula>Dashboard!$H$1</calculatedColumnFormula>
    </tableColumn>
    <tableColumn id="2" xr3:uid="{79853B2A-FD5A-44CA-8E9F-D8DF482B8C65}" name="Sprint " dataDxfId="79"/>
    <tableColumn id="3" xr3:uid="{22B2B264-7041-4ADE-88D6-82251B00642C}" name="Developer" dataDxfId="78"/>
    <tableColumn id="4" xr3:uid="{7220AAE8-4CEA-4473-B0F3-B9CF8F85666F}" name="Story ID/Defect ID" dataDxfId="77" dataCellStyle="Hyperlink"/>
    <tableColumn id="5" xr3:uid="{68152A91-C09E-486E-962D-089929D12E57}" name="Description" dataDxfId="76"/>
    <tableColumn id="25" xr3:uid="{DEC22301-ED9C-4EDA-858C-98AD521D5669}" name="Status" dataDxfId="75"/>
    <tableColumn id="6" xr3:uid="{E8F96458-4805-4224-8769-746D4BC6C386}" name="Estimated(hrs/sp)" dataDxfId="74"/>
    <tableColumn id="7" xr3:uid="{28447CF3-1D56-4923-9801-6CC379F88A89}" name="Actual(hrs/sp)" dataDxfId="73"/>
    <tableColumn id="28" xr3:uid="{7FDE622C-443F-405B-B079-35FB3B5DA9EA}" name="Actual Hours Worklog" dataDxfId="72"/>
    <tableColumn id="8" xr3:uid="{F804CD79-DD51-40C6-A216-CBA94539CAC5}" name="Unit testing" dataDxfId="71"/>
    <tableColumn id="9" xr3:uid="{4A965B28-E7E5-4ECE-AC7F-C1A3249D33A5}" name="Peer Tested By" dataDxfId="70"/>
    <tableColumn id="10" xr3:uid="{86468E3D-1FF8-4552-9426-F257F05FFF9C}" name="Peer Tested Defects, if any" dataDxfId="69"/>
    <tableColumn id="11" xr3:uid="{C2333FC5-F487-4A26-B8DD-9484D9196FB4}" name="Peer Reviewed By" dataDxfId="68"/>
    <tableColumn id="12" xr3:uid="{68EA8198-27DE-4F20-936D-F6CDD2BCE145}" name="Peer Code Review Comments, if any" dataDxfId="67"/>
    <tableColumn id="13" xr3:uid="{F107E78F-0116-4BE0-B244-A5DC9E343ED4}" name="PR Number/Link" dataDxfId="66"/>
    <tableColumn id="14" xr3:uid="{99E034D3-E80A-4127-A650-4806C73630D6}" name="PR Created Date" dataDxfId="65"/>
    <tableColumn id="15" xr3:uid="{32A750BC-92E4-4973-A2BC-A03E0A6A5113}" name="PR Approved Date" dataDxfId="64"/>
    <tableColumn id="16" xr3:uid="{64D7ECE6-D5A6-469C-9655-90D1C9C655D9}" name="Reviewer 1" dataDxfId="63"/>
    <tableColumn id="17" xr3:uid="{8CC37F69-76F4-4DF4-BE09-A66CD437EF53}" name="Code Review Comments, if any" dataDxfId="62"/>
    <tableColumn id="18" xr3:uid="{2A40691A-8A93-4F43-AAAB-D408920ACF4C}" name="Reviewer 2" dataDxfId="61"/>
    <tableColumn id="19" xr3:uid="{335535D9-F316-44AB-9E6C-FB5C6FBB16F6}" name="Approved Date" dataDxfId="60"/>
    <tableColumn id="20" xr3:uid="{72AA8035-9308-4E5D-BDA5-FB107630D699}" name="Code Review Comments, if any2" dataDxfId="59"/>
    <tableColumn id="21" xr3:uid="{54D05EBE-0FAC-405D-AC2E-FEC9C64C0BD9}" name="Internal PO -POV Comments" dataDxfId="58"/>
    <tableColumn id="22" xr3:uid="{21E36E03-2319-4E00-961E-14065C6E2846}" name="Client PO -POV Comments" dataDxfId="57"/>
    <tableColumn id="24" xr3:uid="{C93FA580-EED9-4DF4-9FF7-C3B1241D7B00}" name="Comments"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C2F467-9F64-43B1-A6D2-D904303E4B6A}" name="Table145" displayName="Table145" ref="A1:AB7" totalsRowShown="0" headerRowDxfId="55" headerRowBorderDxfId="53" tableBorderDxfId="54" totalsRowBorderDxfId="52">
  <autoFilter ref="A1:AB7" xr:uid="{8016C61E-4867-49B7-9810-91E9F2142A05}"/>
  <tableColumns count="28">
    <tableColumn id="1" xr3:uid="{1FF0416E-02DD-4F37-93B4-1F28976207D1}" name="S.No" dataDxfId="51"/>
    <tableColumn id="27" xr3:uid="{ACA01F93-6D0F-4153-B33D-7B398CCFED32}" name="Application Name" dataDxfId="50">
      <calculatedColumnFormula>Dashboard!$J$1</calculatedColumnFormula>
    </tableColumn>
    <tableColumn id="26" xr3:uid="{CFBFE655-98B2-4D35-A090-46BA58D8EE3D}" name="Sprint Start Date" dataDxfId="49">
      <calculatedColumnFormula>Dashboard!$F$1</calculatedColumnFormula>
    </tableColumn>
    <tableColumn id="23" xr3:uid="{FDD62B37-635B-4B13-BF3D-7C83DA0AA43E}" name="Sprint End Date" dataDxfId="48">
      <calculatedColumnFormula>Dashboard!$H$1</calculatedColumnFormula>
    </tableColumn>
    <tableColumn id="2" xr3:uid="{B99C3E7B-F082-4051-9717-9A305500173B}" name="Sprint " dataDxfId="47"/>
    <tableColumn id="3" xr3:uid="{A34F05ED-0355-4DEF-848C-7F6032636C4B}" name="Developer" dataDxfId="46"/>
    <tableColumn id="4" xr3:uid="{EE33BF37-C58C-4E37-A35B-89F80C3C8D48}" name="Story ID/Defect ID" dataDxfId="45" dataCellStyle="Hyperlink"/>
    <tableColumn id="5" xr3:uid="{6D862DA1-5037-4A15-AE6C-E92D3D8F6BC8}" name="Description" dataDxfId="44"/>
    <tableColumn id="25" xr3:uid="{ACDB4A12-759E-4196-A666-A86D13748EA2}" name="Status" dataDxfId="43"/>
    <tableColumn id="6" xr3:uid="{20E8CD04-3879-4C83-BF30-404210D02576}" name="Estimated(hrs/sp)" dataDxfId="42"/>
    <tableColumn id="7" xr3:uid="{81EC4961-D45F-4126-9C04-F113067EAF26}" name="Actual(hrs/sp)" dataDxfId="41"/>
    <tableColumn id="28" xr3:uid="{2F07DCCB-47CD-4222-8334-D75613A5DD6E}" name="Actual Hours Worklog" dataDxfId="40"/>
    <tableColumn id="8" xr3:uid="{DEE622DE-0679-40BA-BE83-E94D007DAF7C}" name="Unit testing" dataDxfId="39"/>
    <tableColumn id="9" xr3:uid="{8F6099A8-F0F1-4B3F-B353-4C07DBBE379E}" name="Peer Tested By" dataDxfId="38"/>
    <tableColumn id="10" xr3:uid="{5B2E8EE3-5ECC-44DB-8DC6-74193CB6FD12}" name="Peer Tested Defects, if any" dataDxfId="37"/>
    <tableColumn id="11" xr3:uid="{6E0F7190-146A-4062-B310-3B6534A9BDB3}" name="Peer Reviewed By" dataDxfId="36"/>
    <tableColumn id="12" xr3:uid="{25C44883-1F84-494F-B868-90FAE12C603F}" name="Peer Code Review Comments, if any" dataDxfId="35"/>
    <tableColumn id="13" xr3:uid="{8C195E36-6298-4ED1-8AE0-40EA9D45D086}" name="PR Number/Link" dataDxfId="34"/>
    <tableColumn id="14" xr3:uid="{0C6B0D72-BC00-4693-8142-D8B832A30847}" name="PR Created Date" dataDxfId="33"/>
    <tableColumn id="15" xr3:uid="{C35C648F-D835-469A-8C1E-64C25D9F9F0F}" name="PR Approved Date" dataDxfId="32"/>
    <tableColumn id="16" xr3:uid="{84058469-BAD5-46D9-BDBB-6330E4781B66}" name="Reviewer 1" dataDxfId="31"/>
    <tableColumn id="17" xr3:uid="{FAEC2648-33AE-40FB-BFA4-FD30127D9490}" name="Code Review Comments, if any" dataDxfId="30"/>
    <tableColumn id="18" xr3:uid="{800C3B5B-EB16-42F3-B784-DDD94DAE97CB}" name="Reviewer 2" dataDxfId="29"/>
    <tableColumn id="19" xr3:uid="{64EC51F6-9B98-4755-B708-52608CD61BAC}" name="Approved Date" dataDxfId="28"/>
    <tableColumn id="20" xr3:uid="{5C85A428-B013-4704-9649-ACEEE5449F0E}" name="Code Review Comments, if any2" dataDxfId="27"/>
    <tableColumn id="21" xr3:uid="{8D0E2202-784B-435D-B791-5A8E7A1F3FFB}" name="Internal PO -POV Comments" dataDxfId="26"/>
    <tableColumn id="22" xr3:uid="{78FF2134-E224-4785-B8BA-E1C486FFACD6}" name="Client PO -POV Comments" dataDxfId="25"/>
    <tableColumn id="24" xr3:uid="{CCE82CB7-E7B3-4C82-A139-0357B19D6D11}" name="Comments"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F34544-ECCC-443C-9126-2049AF6BA48D}" name="Table14" displayName="Table14" ref="A1:X11" totalsRowShown="0" headerRowDxfId="23" headerRowBorderDxfId="21" tableBorderDxfId="22" totalsRowBorderDxfId="20">
  <autoFilter ref="A1:X11" xr:uid="{8016C61E-4867-49B7-9810-91E9F2142A05}"/>
  <tableColumns count="24">
    <tableColumn id="1" xr3:uid="{5C64EA9A-A553-403D-A5AF-ED6160D3F329}" name="S.No" dataDxfId="19"/>
    <tableColumn id="2" xr3:uid="{A6CEC2BA-5ED0-48F0-B4CC-C87677B3BD36}" name="Sprint " dataDxfId="18"/>
    <tableColumn id="3" xr3:uid="{AE891138-2816-4E3C-B8F4-AAA259336024}" name="Developer" dataDxfId="17"/>
    <tableColumn id="4" xr3:uid="{0E69235F-2240-443C-9389-35D8C1CEE627}" name="Story ID/Defect ID" dataDxfId="16" dataCellStyle="Hyperlink"/>
    <tableColumn id="5" xr3:uid="{6F59ABB6-0392-4159-9F3E-EE62F9438734}" name="Description" dataDxfId="15"/>
    <tableColumn id="25" xr3:uid="{3A001DE0-D464-49B6-970B-831BF199633E}" name="Status" dataDxfId="14"/>
    <tableColumn id="6" xr3:uid="{3D92AA94-CC0B-4D06-897B-D5C10108BDC0}" name="Estimated(hrs/sp)"/>
    <tableColumn id="7" xr3:uid="{6455D164-46A1-45ED-9DA3-178A3CA91A64}" name="Actual(hrs/sp)"/>
    <tableColumn id="8" xr3:uid="{008F9020-562F-4806-B461-771246D8FFD6}" name="Unit testing"/>
    <tableColumn id="9" xr3:uid="{C37B611F-ACCF-41C5-82E0-329D24FDAA4C}" name="Peer Tested By" dataDxfId="13"/>
    <tableColumn id="10" xr3:uid="{45ABC0BA-B982-4ED9-B743-C627B11E270C}" name="Peer Tested Defects, if any"/>
    <tableColumn id="11" xr3:uid="{C49E13EC-B9F7-4F12-A976-17D067188805}" name="Peer Reviewed By"/>
    <tableColumn id="12" xr3:uid="{34CC5BF4-BA3B-4952-800C-380B4560D897}" name="Peer Code Review Comments, if any"/>
    <tableColumn id="13" xr3:uid="{85C146A4-C16A-4A77-8C1D-7A415519676A}" name="PR Number/Link"/>
    <tableColumn id="14" xr3:uid="{EA7600B1-D39D-4757-AC6C-BD32FC1C5FB3}" name="PR Created Date"/>
    <tableColumn id="15" xr3:uid="{E300C566-8F6B-4D6A-9089-51315A3A7BCD}" name="PR Approved Date"/>
    <tableColumn id="16" xr3:uid="{C98E7A08-5251-41CC-85A0-34910965D272}" name="Reviewer 1"/>
    <tableColumn id="17" xr3:uid="{3D230D11-F9B8-4855-BD96-52BC75269EAD}" name="Code Review Comments, if any"/>
    <tableColumn id="18" xr3:uid="{E3817472-FA15-4A78-ADCC-2DD3DCCDDAE1}" name="Reviewer 2"/>
    <tableColumn id="19" xr3:uid="{70EC0327-A44A-4ED5-860C-4DA065EAC5D8}" name="Approved Date"/>
    <tableColumn id="20" xr3:uid="{89235AB3-787C-4882-9BC8-8E9C8A8E07A5}" name="Code Review Comments, if any2"/>
    <tableColumn id="21" xr3:uid="{2C897859-EBF4-4794-B549-0689B07DB2E7}" name="Internal PO -POV Comments"/>
    <tableColumn id="22" xr3:uid="{546FB363-42C9-4CC0-84E2-D3FFC4272AC2}" name="Client PO -POV Comments"/>
    <tableColumn id="24" xr3:uid="{6813C803-3EE3-434A-81FF-E848E5E3DA75}" name="Comments"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16C61E-4867-49B7-9810-91E9F2142A05}" name="Table1" displayName="Table1" ref="A1:X8" totalsRowShown="0" headerRowDxfId="11" headerRowBorderDxfId="9" tableBorderDxfId="10" totalsRowBorderDxfId="8">
  <autoFilter ref="A1:X8" xr:uid="{8016C61E-4867-49B7-9810-91E9F2142A05}"/>
  <tableColumns count="24">
    <tableColumn id="1" xr3:uid="{22536B3D-3D54-43F6-A6BF-27C6E899B8A4}" name="S.No" dataDxfId="7"/>
    <tableColumn id="2" xr3:uid="{785CD6DD-B79B-414C-8979-B81527DD8822}" name="Sprint " dataDxfId="6"/>
    <tableColumn id="3" xr3:uid="{4BF338F8-3826-4CC4-BA77-8712C9A6C82E}" name="Developer" dataDxfId="5"/>
    <tableColumn id="4" xr3:uid="{2F4FAA1A-F8D0-4CB5-9FC0-3607C386851C}" name="Story ID/Defect ID" dataDxfId="4" dataCellStyle="Hyperlink"/>
    <tableColumn id="5" xr3:uid="{4DEAE70E-B123-48DC-BA10-C925492B81BB}" name="Description" dataDxfId="3"/>
    <tableColumn id="25" xr3:uid="{F11A8EC3-18E3-4DCB-A336-8B40F6488F95}" name="Status" dataDxfId="2"/>
    <tableColumn id="6" xr3:uid="{58115345-CFAA-4C3E-8FD4-CB23C437BF01}" name="Estimated(hrs/sp)"/>
    <tableColumn id="7" xr3:uid="{F2D9B690-E25F-4D28-84BD-8033EFC6A8B1}" name="Actual(hrs/sp)"/>
    <tableColumn id="8" xr3:uid="{0917BD31-A9C1-4A22-95AB-0855FBC4A3DD}" name="Unit testing"/>
    <tableColumn id="9" xr3:uid="{A1C2A39D-3DC9-4D08-8F4B-EFF720459E11}" name="Peer Tested By" dataDxfId="1"/>
    <tableColumn id="10" xr3:uid="{109704C5-4E9E-468E-A1E9-A472DA4DD030}" name="Peer Tested Defects, if any"/>
    <tableColumn id="11" xr3:uid="{56E7E3B7-0162-4E12-94B3-A180F442A66E}" name="Peer Reviewed By"/>
    <tableColumn id="12" xr3:uid="{EF68655D-3771-406D-8124-2A9455FEAC70}" name="Peer Code Review Comments, if any"/>
    <tableColumn id="13" xr3:uid="{DC9F6B99-4C0F-4A01-BEF7-5A8095FEC205}" name="PR Number/Link"/>
    <tableColumn id="14" xr3:uid="{AC316AB0-A375-48BE-8E05-409DE404A588}" name="PR Created Date"/>
    <tableColumn id="15" xr3:uid="{D93E287D-B197-4693-AC0C-1FB72A18E205}" name="PR Approved Date"/>
    <tableColumn id="16" xr3:uid="{2A3BEF60-2A1F-43FD-9920-69E75AEB8D35}" name="Reviewer 1"/>
    <tableColumn id="17" xr3:uid="{3D662516-CFB4-4269-8124-E4CBCAF8F541}" name="Code Review Comments, if any"/>
    <tableColumn id="18" xr3:uid="{3D35669E-68D7-493D-8EE3-67ABCAAD9B30}" name="Reviewer 2"/>
    <tableColumn id="19" xr3:uid="{C360D5E5-517C-48DB-93E7-0D98516D1026}" name="Approved Date"/>
    <tableColumn id="20" xr3:uid="{6063411C-6CE1-4A09-8989-E2EBF3E6B843}" name="Code Review Comments, if any2"/>
    <tableColumn id="21" xr3:uid="{59547E54-76DD-4082-9770-0658F36029DE}" name="Internal PO -POV Comments"/>
    <tableColumn id="22" xr3:uid="{708EA391-A9BA-4782-8D33-BE3B35FC17F2}" name="Client PO -POV Comments"/>
    <tableColumn id="24" xr3:uid="{7864C850-BED9-4B07-8903-46BDED5D9D82}" name="Comments"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jennifer.anthony@relevantz.com;saranya.namachivayam@relevantz.com;sathiyabharathi.paramasivam@relevantz.com;priyadharshini.ravichandran@relevantz.com;rajeshkannan.subramanian@relevantz.com;satarupa.mohanty@relevantz.com" TargetMode="External"/><Relationship Id="rId1" Type="http://schemas.openxmlformats.org/officeDocument/2006/relationships/hyperlink" Target="19:ac26c2f1541e4a10bdec732dd7eb2936@thread.v2"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9560" TargetMode="External"/><Relationship Id="rId3" Type="http://schemas.openxmlformats.org/officeDocument/2006/relationships/hyperlink" Target="https://greatergiving.visualstudio.com/Greater%20Giving/_git/GGO/pullrequest/9533" TargetMode="External"/><Relationship Id="rId7" Type="http://schemas.openxmlformats.org/officeDocument/2006/relationships/hyperlink" Target="https://greatergiving.visualstudio.com/Greater%20Giving/_git/GGO/pullrequest/9556" TargetMode="External"/><Relationship Id="rId2" Type="http://schemas.openxmlformats.org/officeDocument/2006/relationships/hyperlink" Target="https://greatergiving.visualstudio.com/Greater%20Giving/_git/GGO/pullrequest/9532" TargetMode="External"/><Relationship Id="rId1" Type="http://schemas.openxmlformats.org/officeDocument/2006/relationships/hyperlink" Target="https://greatergiving.visualstudio.com/Greater%20Giving/_git/GGO/pullrequest/9520" TargetMode="External"/><Relationship Id="rId6" Type="http://schemas.openxmlformats.org/officeDocument/2006/relationships/hyperlink" Target="https://greatergiving.visualstudio.com/Greater%20Giving/_git/GGO/pullrequest/9550" TargetMode="External"/><Relationship Id="rId5" Type="http://schemas.openxmlformats.org/officeDocument/2006/relationships/hyperlink" Target="https://dev.azure.com/greatergiving/Greater%20Giving/_git/GGO/pullrequest/9535" TargetMode="External"/><Relationship Id="rId4" Type="http://schemas.openxmlformats.org/officeDocument/2006/relationships/hyperlink" Target="https://greatergiving.visualstudio.com/Greater%20Giving/_git/GGO/pullrequest/9537" TargetMode="External"/><Relationship Id="rId9" Type="http://schemas.openxmlformats.org/officeDocument/2006/relationships/hyperlink" Target="https://greatergiving.visualstudio.com/Greater%20Giving/_git/GGO/pullrequest/9562"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512" TargetMode="External"/><Relationship Id="rId3" Type="http://schemas.openxmlformats.org/officeDocument/2006/relationships/hyperlink" Target="https://greatergiving.visualstudio.com/Greater%20Giving/_git/GGO/pullrequest/9464" TargetMode="External"/><Relationship Id="rId7" Type="http://schemas.openxmlformats.org/officeDocument/2006/relationships/hyperlink" Target="https://greatergiving.visualstudio.com/Greater%20Giving/_git/GGO/pullrequest/9512" TargetMode="External"/><Relationship Id="rId2" Type="http://schemas.openxmlformats.org/officeDocument/2006/relationships/hyperlink" Target="https://greatergiving.visualstudio.com/Greater%20Giving/_git/GGO/pullrequest/9464" TargetMode="External"/><Relationship Id="rId1" Type="http://schemas.openxmlformats.org/officeDocument/2006/relationships/hyperlink" Target="https://urldefense.proofpoint.com/v2/url?u=https-3A__greatergiving.atlassian.net_browse_GGO-2D14818-3FatlOrigin-3DeyJpIjoiNTQ1NzAxMDI4MzkxNGMyMDk0YTJmMzVlNmJjZGI5YjAiLCJwIjoiaiJ9&amp;d=DwMFaQ&amp;c=zQ6tLaF7dShu6emFdFLQLeh4ApIjUVDHmN_RmdGFa9g&amp;r=ltkZoA-pnKWoofiFPcGzK0Ps-e_dmmqEkpmNA7o8AA_GFW3CVG4h5ZbrDhH7cWdD&amp;m=RUsdmNTEKTH-MDv9lWTkyxGAD6cjXfn-bTZXB12YsTp0lscAslvbrPR6j7E8fNzq&amp;s=jPAtRhX7R0sKHXVPMJWf0IWi9DSwDvCIKRZbrClhC0E&amp;e=" TargetMode="External"/><Relationship Id="rId6" Type="http://schemas.openxmlformats.org/officeDocument/2006/relationships/hyperlink" Target="https://greatergiving.visualstudio.com/Greater%20Giving/_git/GGO/pullrequest/9516" TargetMode="External"/><Relationship Id="rId5" Type="http://schemas.openxmlformats.org/officeDocument/2006/relationships/hyperlink" Target="https://greatergiving.visualstudio.com/Greater%20Giving/_git/GGO/pullrequest/9503" TargetMode="External"/><Relationship Id="rId10" Type="http://schemas.openxmlformats.org/officeDocument/2006/relationships/hyperlink" Target="https://greatergiving.visualstudio.com/Greater%20Giving/_git/GGO/pullrequest/9520" TargetMode="External"/><Relationship Id="rId4" Type="http://schemas.openxmlformats.org/officeDocument/2006/relationships/hyperlink" Target="https://greatergiving.visualstudio.com/Greater%20Giving/_git/GGO/pullrequest/9485" TargetMode="External"/><Relationship Id="rId9" Type="http://schemas.openxmlformats.org/officeDocument/2006/relationships/hyperlink" Target="https://greatergiving.visualstudio.com/Greater%20Giving/_git/GGO/pullrequest/9501"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450" TargetMode="External"/><Relationship Id="rId13" Type="http://schemas.openxmlformats.org/officeDocument/2006/relationships/hyperlink" Target="https://greatergiving.visualstudio.com/Greater%20Giving/_git/GGO/pullrequest/9471" TargetMode="External"/><Relationship Id="rId3" Type="http://schemas.openxmlformats.org/officeDocument/2006/relationships/hyperlink" Target="https://dev.azure.com/greatergiving/Greater%20Giving/_git/GGO/pullrequest/9433" TargetMode="External"/><Relationship Id="rId7" Type="http://schemas.openxmlformats.org/officeDocument/2006/relationships/hyperlink" Target="https://greatergiving.visualstudio.com/Greater%20Giving/_git/GGO/pullrequest/9431" TargetMode="External"/><Relationship Id="rId12" Type="http://schemas.openxmlformats.org/officeDocument/2006/relationships/hyperlink" Target="https://greatergiving.visualstudio.com/Greater%20Giving/_git/GGO/pullrequest/9455" TargetMode="External"/><Relationship Id="rId2" Type="http://schemas.openxmlformats.org/officeDocument/2006/relationships/hyperlink" Target="https://greatergiving.visualstudio.com/Greater%20Giving/_git/GGO/pullrequest/9424" TargetMode="External"/><Relationship Id="rId1" Type="http://schemas.openxmlformats.org/officeDocument/2006/relationships/hyperlink" Target="https://greatergiving.visualstudio.com/Greater%20Giving/_git/GGO/pullrequest/9426" TargetMode="External"/><Relationship Id="rId6" Type="http://schemas.openxmlformats.org/officeDocument/2006/relationships/hyperlink" Target="https://greatergiving.visualstudio.com/Greater%20Giving/_git/GGO/pullrequest/9436" TargetMode="External"/><Relationship Id="rId11" Type="http://schemas.openxmlformats.org/officeDocument/2006/relationships/hyperlink" Target="https://greatergiving.visualstudio.com/Greater%20Giving/_git/GGO/pullrequest/9464" TargetMode="External"/><Relationship Id="rId5" Type="http://schemas.openxmlformats.org/officeDocument/2006/relationships/hyperlink" Target="https://greatergiving.visualstudio.com/Greater%20Giving/_git/GGO/pullrequest/9440" TargetMode="External"/><Relationship Id="rId10" Type="http://schemas.openxmlformats.org/officeDocument/2006/relationships/hyperlink" Target="https://greatergiving.visualstudio.com/Greater%20Giving/_git/GGO/pullrequest/9464" TargetMode="External"/><Relationship Id="rId4" Type="http://schemas.openxmlformats.org/officeDocument/2006/relationships/hyperlink" Target="https://dev.azure.com/greatergiving/Greater%20Giving/_git/GGO/pullrequest/9433" TargetMode="External"/><Relationship Id="rId9" Type="http://schemas.openxmlformats.org/officeDocument/2006/relationships/hyperlink" Target="https://urldefense.proofpoint.com/v2/url?u=https-3A__greatergiving.atlassian.net_browse_GGO-2D14818-3FatlOrigin-3DeyJpIjoiNTQ1NzAxMDI4MzkxNGMyMDk0YTJmMzVlNmJjZGI5YjAiLCJwIjoiaiJ9&amp;d=DwMFaQ&amp;c=zQ6tLaF7dShu6emFdFLQLeh4ApIjUVDHmN_RmdGFa9g&amp;r=ltkZoA-pnKWoofiFPcGzK0Ps-e_dmmqEkpmNA7o8AA_GFW3CVG4h5ZbrDhH7cWdD&amp;m=RUsdmNTEKTH-MDv9lWTkyxGAD6cjXfn-bTZXB12YsTp0lscAslvbrPR6j7E8fNzq&amp;s=jPAtRhX7R0sKHXVPMJWf0IWi9DSwDvCIKRZbrClhC0E&amp;e=" TargetMode="External"/><Relationship Id="rId14" Type="http://schemas.openxmlformats.org/officeDocument/2006/relationships/hyperlink" Target="https://greatergiving.visualstudio.com/Greater%20Giving/_git/GGO/pullrequest/9478"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422" TargetMode="External"/><Relationship Id="rId3" Type="http://schemas.openxmlformats.org/officeDocument/2006/relationships/hyperlink" Target="https://dev.azure.com/greatergiving/Greater%20Giving/_git/GGO/pullrequest/9402" TargetMode="External"/><Relationship Id="rId7" Type="http://schemas.openxmlformats.org/officeDocument/2006/relationships/hyperlink" Target="https://greatergiving.visualstudio.com/Greater%20Giving/_git/GGO/pullrequest/9426" TargetMode="External"/><Relationship Id="rId2" Type="http://schemas.openxmlformats.org/officeDocument/2006/relationships/hyperlink" Target="https://greatergiving.visualstudio.com/Greater%20Giving/_git/GGO/pullrequest/9387" TargetMode="External"/><Relationship Id="rId1" Type="http://schemas.openxmlformats.org/officeDocument/2006/relationships/hyperlink" Target="https://greatergiving.visualstudio.com/Greater%20Giving/_git/GGO/pullrequest/9400" TargetMode="External"/><Relationship Id="rId6" Type="http://schemas.openxmlformats.org/officeDocument/2006/relationships/hyperlink" Target="https://greatergiving.visualstudio.com/Greater%20Giving/_git/GGO/pullrequest/9412" TargetMode="External"/><Relationship Id="rId5" Type="http://schemas.openxmlformats.org/officeDocument/2006/relationships/hyperlink" Target="https://greatergiving.visualstudio.com/Greater%20Giving/_git/GGO/pullrequest/9413" TargetMode="External"/><Relationship Id="rId10" Type="http://schemas.openxmlformats.org/officeDocument/2006/relationships/hyperlink" Target="https://greatergiving.visualstudio.com/Greater%20Giving/_git/GGO/pullrequest/9424" TargetMode="External"/><Relationship Id="rId4" Type="http://schemas.openxmlformats.org/officeDocument/2006/relationships/hyperlink" Target="https://greatergiving.atlassian.net/browse/GGO-15182" TargetMode="External"/><Relationship Id="rId9" Type="http://schemas.openxmlformats.org/officeDocument/2006/relationships/hyperlink" Target="https://dev.azure.com/greatergiving/Greater%20Giving/_git/GGO/pullrequest/9393" TargetMode="Externa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384" TargetMode="External"/><Relationship Id="rId3" Type="http://schemas.openxmlformats.org/officeDocument/2006/relationships/hyperlink" Target="https://greatergiving.visualstudio.com/Greater%20Giving/_git/GGO/pullrequest/9351" TargetMode="External"/><Relationship Id="rId7" Type="http://schemas.openxmlformats.org/officeDocument/2006/relationships/hyperlink" Target="https://greatergiving.visualstudio.com/Greater%20Giving/_git/GGO/pullrequest/9371" TargetMode="External"/><Relationship Id="rId2" Type="http://schemas.openxmlformats.org/officeDocument/2006/relationships/hyperlink" Target="https://greatergiving.visualstudio.com/Greater%20Giving/_git/GGO/pullrequest/9359" TargetMode="External"/><Relationship Id="rId1" Type="http://schemas.openxmlformats.org/officeDocument/2006/relationships/hyperlink" Target="https://greatergiving.visualstudio.com/Greater%20Giving/_git/GGO/pullrequest/9348" TargetMode="External"/><Relationship Id="rId6" Type="http://schemas.openxmlformats.org/officeDocument/2006/relationships/hyperlink" Target="https://greatergiving.visualstudio.com/Greater%20Giving/_git/GGO/pullrequest/9360" TargetMode="External"/><Relationship Id="rId5" Type="http://schemas.openxmlformats.org/officeDocument/2006/relationships/hyperlink" Target="https://greatergiving.visualstudio.com/Greater%20Giving/_git/GGO/pullrequest/9358" TargetMode="External"/><Relationship Id="rId10" Type="http://schemas.openxmlformats.org/officeDocument/2006/relationships/hyperlink" Target="https://greatergiving.visualstudio.com/Greater%20Giving/_git/GGO/pullrequest/9380" TargetMode="External"/><Relationship Id="rId4" Type="http://schemas.openxmlformats.org/officeDocument/2006/relationships/hyperlink" Target="https://greatergiving.visualstudio.com/Greater%20Giving/_git/GGO/pullrequest/9368" TargetMode="External"/><Relationship Id="rId9" Type="http://schemas.openxmlformats.org/officeDocument/2006/relationships/hyperlink" Target="https://greatergiving.visualstudio.com/Greater%20Giving/_git/GGO/pullrequest/9380" TargetMode="External"/></Relationships>
</file>

<file path=xl/worksheets/_rels/sheet14.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9325" TargetMode="External"/><Relationship Id="rId3" Type="http://schemas.openxmlformats.org/officeDocument/2006/relationships/hyperlink" Target="https://dev.azure.com/greatergiving/Greater%20Giving/_git/GGO/pullrequest/9320" TargetMode="External"/><Relationship Id="rId7" Type="http://schemas.openxmlformats.org/officeDocument/2006/relationships/hyperlink" Target="https://greatergiving.visualstudio.com/Greater%20Giving/_git/GGO/pullrequest/9326" TargetMode="External"/><Relationship Id="rId2" Type="http://schemas.openxmlformats.org/officeDocument/2006/relationships/hyperlink" Target="https://dev.azure.com/greatergiving/Greater%20Giving/_git/GGO/pullrequest/9312" TargetMode="External"/><Relationship Id="rId1" Type="http://schemas.openxmlformats.org/officeDocument/2006/relationships/hyperlink" Target="https://greatergiving.visualstudio.com/Greater%20Giving/_git/GGO/pullrequest/9303" TargetMode="External"/><Relationship Id="rId6" Type="http://schemas.openxmlformats.org/officeDocument/2006/relationships/hyperlink" Target="https://greatergiving.visualstudio.com/Greater%20Giving/_git/GGO/pullrequest/9339" TargetMode="External"/><Relationship Id="rId5" Type="http://schemas.openxmlformats.org/officeDocument/2006/relationships/hyperlink" Target="https://greatergiving.visualstudio.com/Greater%20Giving/_git/GGO/pullrequest/9314" TargetMode="External"/><Relationship Id="rId4" Type="http://schemas.openxmlformats.org/officeDocument/2006/relationships/hyperlink" Target="https://greatergiving.visualstudio.com/Greater%20Giving/_git/GGO/pullrequest/9343" TargetMode="External"/><Relationship Id="rId9" Type="http://schemas.openxmlformats.org/officeDocument/2006/relationships/hyperlink" Target="https://dev.azure.com/greatergiving/Greater%20Giving/_git/GGO/pullrequest/9334"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greatergiving.atlassian.net/browse/GGO-15076" TargetMode="External"/><Relationship Id="rId2" Type="http://schemas.openxmlformats.org/officeDocument/2006/relationships/hyperlink" Target="https://greatergiving.atlassian.net/browse/GGO-14874" TargetMode="External"/><Relationship Id="rId1" Type="http://schemas.openxmlformats.org/officeDocument/2006/relationships/hyperlink" Target="https://greatergiving.atlassian.net/browse/GGO-15163"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hyperlink" Target="https://greatergiving.atlassian.net/browse/GGO-15166"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302" TargetMode="External"/><Relationship Id="rId3" Type="http://schemas.openxmlformats.org/officeDocument/2006/relationships/hyperlink" Target="https://greatergiving.visualstudio.com/Greater%20Giving/_git/GGO/pullrequest/9269" TargetMode="External"/><Relationship Id="rId7" Type="http://schemas.openxmlformats.org/officeDocument/2006/relationships/hyperlink" Target="https://dev.azure.com/greatergiving/Greater%20Giving/_git/GGO/pullrequest/9281" TargetMode="External"/><Relationship Id="rId2" Type="http://schemas.openxmlformats.org/officeDocument/2006/relationships/hyperlink" Target="https://greatergiving.visualstudio.com/Greater%20Giving/_git/GGO/pullrequest/9263" TargetMode="External"/><Relationship Id="rId1" Type="http://schemas.openxmlformats.org/officeDocument/2006/relationships/hyperlink" Target="https://dev.azure.com/greatergiving/Greater%20Giving/_git/GGO/pullrequest/9260" TargetMode="External"/><Relationship Id="rId6" Type="http://schemas.openxmlformats.org/officeDocument/2006/relationships/hyperlink" Target="https://dev.azure.com/greatergiving/Greater%20Giving/_git/GGO/pullrequest/9284" TargetMode="External"/><Relationship Id="rId5" Type="http://schemas.openxmlformats.org/officeDocument/2006/relationships/hyperlink" Target="https://greatergiving.visualstudio.com/Greater%20Giving/_git/GGO/pullrequest/9269" TargetMode="External"/><Relationship Id="rId4" Type="http://schemas.openxmlformats.org/officeDocument/2006/relationships/hyperlink" Target="https://greatergiving.visualstudio.com/Greater%20Giving/_git/GGO/pullrequest/9269" TargetMode="External"/><Relationship Id="rId9" Type="http://schemas.openxmlformats.org/officeDocument/2006/relationships/hyperlink" Target="https://greatergiving.visualstudio.com/Greater%20Giving/_git/GGO/pullrequest/9303" TargetMode="External"/></Relationships>
</file>

<file path=xl/worksheets/_rels/sheet1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9260" TargetMode="External"/><Relationship Id="rId3" Type="http://schemas.openxmlformats.org/officeDocument/2006/relationships/hyperlink" Target="https://dev.azure.com/greatergiving/Greater%20Giving/_git/GGO/pullrequest/9213" TargetMode="External"/><Relationship Id="rId7" Type="http://schemas.openxmlformats.org/officeDocument/2006/relationships/hyperlink" Target="https://greatergiving.visualstudio.com/Greater%20Giving/_git/GGO/pullrequest/9235" TargetMode="External"/><Relationship Id="rId2" Type="http://schemas.openxmlformats.org/officeDocument/2006/relationships/hyperlink" Target="https://greatergiving.visualstudio.com/Greater%20Giving/_git/GGO/pullrequest/9209" TargetMode="External"/><Relationship Id="rId1" Type="http://schemas.openxmlformats.org/officeDocument/2006/relationships/hyperlink" Target="https://greatergiving.visualstudio.com/Greater%20Giving/_git/GGO/pullrequest/9201" TargetMode="External"/><Relationship Id="rId6" Type="http://schemas.openxmlformats.org/officeDocument/2006/relationships/hyperlink" Target="https://dev.azure.com/greatergiving/Greater%20Giving/_git/GGO/pullrequest/9211" TargetMode="External"/><Relationship Id="rId5" Type="http://schemas.openxmlformats.org/officeDocument/2006/relationships/hyperlink" Target="https://greatergiving.visualstudio.com/Greater%20Giving/_git/GGO/pullrequest/9229" TargetMode="External"/><Relationship Id="rId4" Type="http://schemas.openxmlformats.org/officeDocument/2006/relationships/hyperlink" Target="https://greatergiving.visualstudio.com/Greater%20Giving/_git/GGO/pullrequest/9220" TargetMode="External"/></Relationships>
</file>

<file path=xl/worksheets/_rels/sheet2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201" TargetMode="External"/><Relationship Id="rId3" Type="http://schemas.openxmlformats.org/officeDocument/2006/relationships/hyperlink" Target="https://greatergiving.visualstudio.com/Greater%20Giving/_git/GGO/pullrequest/9167" TargetMode="External"/><Relationship Id="rId7" Type="http://schemas.openxmlformats.org/officeDocument/2006/relationships/hyperlink" Target="https://greatergiving.visualstudio.com/Greater%20Giving/_git/GGO/pullrequest/9183" TargetMode="External"/><Relationship Id="rId2" Type="http://schemas.openxmlformats.org/officeDocument/2006/relationships/hyperlink" Target="https://greatergiving.visualstudio.com/Greater%20Giving/_git/GGO/pullrequest/9159" TargetMode="External"/><Relationship Id="rId1" Type="http://schemas.openxmlformats.org/officeDocument/2006/relationships/hyperlink" Target="https://greatergiving.visualstudio.com/Greater%20Giving/_git/GGO/pullrequest/9158" TargetMode="External"/><Relationship Id="rId6" Type="http://schemas.openxmlformats.org/officeDocument/2006/relationships/hyperlink" Target="https://greatergiving.visualstudio.com/Greater%20Giving/_git/GGO/pullrequest/9191" TargetMode="External"/><Relationship Id="rId5" Type="http://schemas.openxmlformats.org/officeDocument/2006/relationships/hyperlink" Target="https://greatergiving.visualstudio.com/Greater%20Giving/_git/GGO/pullrequest/9172" TargetMode="External"/><Relationship Id="rId4" Type="http://schemas.openxmlformats.org/officeDocument/2006/relationships/hyperlink" Target="https://greatergiving.visualstudio.com/Greater%20Giving/_git/GGO/pullrequest/9167"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136" TargetMode="External"/><Relationship Id="rId3" Type="http://schemas.openxmlformats.org/officeDocument/2006/relationships/hyperlink" Target="https://greatergiving.visualstudio.com/Greater%20Giving/_git/GGO/pullrequest/9109" TargetMode="External"/><Relationship Id="rId7" Type="http://schemas.openxmlformats.org/officeDocument/2006/relationships/hyperlink" Target="https://greatergiving.visualstudio.com/Greater%20Giving/_git/GGO/pullrequest/9136" TargetMode="External"/><Relationship Id="rId12" Type="http://schemas.openxmlformats.org/officeDocument/2006/relationships/hyperlink" Target="https://greatergiving.visualstudio.com/Greater%20Giving/_git/GGO/pullrequest/9151" TargetMode="External"/><Relationship Id="rId2" Type="http://schemas.openxmlformats.org/officeDocument/2006/relationships/hyperlink" Target="https://greatergiving.visualstudio.com/Greater%20Giving/_git/GGO/pullrequest/9105" TargetMode="External"/><Relationship Id="rId1" Type="http://schemas.openxmlformats.org/officeDocument/2006/relationships/hyperlink" Target="https://greatergiving.visualstudio.com/Greater%20Giving/_git/GGO/pullrequest/9094" TargetMode="External"/><Relationship Id="rId6" Type="http://schemas.openxmlformats.org/officeDocument/2006/relationships/hyperlink" Target="https://greatergiving.visualstudio.com/Greater%20Giving/_git/GGO/pullrequest/9136" TargetMode="External"/><Relationship Id="rId11" Type="http://schemas.openxmlformats.org/officeDocument/2006/relationships/hyperlink" Target="https://greatergiving.visualstudio.com/Greater%20Giving/_git/GGO/pullrequest/9150" TargetMode="External"/><Relationship Id="rId5" Type="http://schemas.openxmlformats.org/officeDocument/2006/relationships/hyperlink" Target="https://greatergiving.visualstudio.com/Greater%20Giving/_git/GGO/pullrequest/9140" TargetMode="External"/><Relationship Id="rId10" Type="http://schemas.openxmlformats.org/officeDocument/2006/relationships/hyperlink" Target="https://greatergiving.visualstudio.com/Greater%20Giving/_git/GGO/pullrequest/9149" TargetMode="External"/><Relationship Id="rId4" Type="http://schemas.openxmlformats.org/officeDocument/2006/relationships/hyperlink" Target="https://greatergiving.visualstudio.com/Greater%20Giving/_git/GGO/pullrequest/9126" TargetMode="External"/><Relationship Id="rId9" Type="http://schemas.openxmlformats.org/officeDocument/2006/relationships/hyperlink" Target="https://greatergiving.visualstudio.com/Greater%20Giving/_git/GGO/pullrequest/9146" TargetMode="External"/></Relationships>
</file>

<file path=xl/worksheets/_rels/sheet2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5.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084" TargetMode="External"/><Relationship Id="rId3" Type="http://schemas.openxmlformats.org/officeDocument/2006/relationships/hyperlink" Target="https://greatergiving.visualstudio.com/Greater%20Giving/_git/GGO/pullrequest/9068" TargetMode="External"/><Relationship Id="rId7" Type="http://schemas.openxmlformats.org/officeDocument/2006/relationships/hyperlink" Target="https://greatergiving.visualstudio.com/Greater%20Giving/_git/GGO/pullrequest/9086" TargetMode="External"/><Relationship Id="rId2" Type="http://schemas.openxmlformats.org/officeDocument/2006/relationships/hyperlink" Target="https://greatergiving.visualstudio.com/Greater%20Giving/_git/GGO/pullrequest/9052" TargetMode="External"/><Relationship Id="rId1" Type="http://schemas.openxmlformats.org/officeDocument/2006/relationships/hyperlink" Target="https://greatergiving.visualstudio.com/Greater%20Giving/_git/GGO/pullrequest/9053" TargetMode="External"/><Relationship Id="rId6" Type="http://schemas.openxmlformats.org/officeDocument/2006/relationships/hyperlink" Target="https://greatergiving.visualstudio.com/Greater%20Giving/_git/GGO/pullrequest/9087" TargetMode="External"/><Relationship Id="rId5" Type="http://schemas.openxmlformats.org/officeDocument/2006/relationships/hyperlink" Target="https://greatergiving.visualstudio.com/Greater%20Giving/_git/GGO/pullrequest/9078" TargetMode="External"/><Relationship Id="rId10" Type="http://schemas.openxmlformats.org/officeDocument/2006/relationships/hyperlink" Target="https://greatergiving.visualstudio.com/Greater%20Giving/_git/GGO/pullrequest/9094" TargetMode="External"/><Relationship Id="rId4" Type="http://schemas.openxmlformats.org/officeDocument/2006/relationships/hyperlink" Target="https://greatergiving.visualstudio.com/Greater%20Giving/_git/GGO/pullrequest/9063" TargetMode="External"/><Relationship Id="rId9" Type="http://schemas.openxmlformats.org/officeDocument/2006/relationships/hyperlink" Target="https://greatergiving.visualstudio.com/Greater%20Giving/_git/GGO/pullrequest/9095" TargetMode="Externa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hyperlink" Target="https://greatergiving.atlassian.net/browse/GGO-14876" TargetMode="External"/><Relationship Id="rId1" Type="http://schemas.openxmlformats.org/officeDocument/2006/relationships/hyperlink" Target="https://greatergiving.atlassian.net/browse/GGO-15110" TargetMode="External"/><Relationship Id="rId4" Type="http://schemas.openxmlformats.org/officeDocument/2006/relationships/comments" Target="../comments12.xml"/></Relationships>
</file>

<file path=xl/worksheets/_rels/sheet27.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9038" TargetMode="External"/><Relationship Id="rId3" Type="http://schemas.openxmlformats.org/officeDocument/2006/relationships/hyperlink" Target="https://greatergiving.visualstudio.com/Greater%20Giving/_git/GGO/pullrequest/9008" TargetMode="External"/><Relationship Id="rId7" Type="http://schemas.openxmlformats.org/officeDocument/2006/relationships/hyperlink" Target="https://greatergiving.visualstudio.com/Greater%20Giving/_git/PAPI/pullrequest/9029" TargetMode="External"/><Relationship Id="rId12" Type="http://schemas.openxmlformats.org/officeDocument/2006/relationships/hyperlink" Target="https://greatergiving.visualstudio.com/Greater%20Giving/_git/GGO/pullrequest/9053" TargetMode="External"/><Relationship Id="rId2" Type="http://schemas.openxmlformats.org/officeDocument/2006/relationships/hyperlink" Target="https://greatergiving.atlassian.net/browse/GGO-15073" TargetMode="External"/><Relationship Id="rId1" Type="http://schemas.openxmlformats.org/officeDocument/2006/relationships/hyperlink" Target="https://greatergiving.visualstudio.com/Greater%20Giving/_git/GGO/pullrequest/9004" TargetMode="External"/><Relationship Id="rId6" Type="http://schemas.openxmlformats.org/officeDocument/2006/relationships/hyperlink" Target="https://greatergiving.visualstudio.com/Greater%20Giving/_git/GGO/pullrequest/9017" TargetMode="External"/><Relationship Id="rId11" Type="http://schemas.openxmlformats.org/officeDocument/2006/relationships/hyperlink" Target="https://greatergiving.visualstudio.com/Greater%20Giving/_git/GGO/pullrequest/9050" TargetMode="External"/><Relationship Id="rId5" Type="http://schemas.openxmlformats.org/officeDocument/2006/relationships/hyperlink" Target="https://greatergiving.visualstudio.com/Greater%20Giving/_git/GGO/pullrequest/9019" TargetMode="External"/><Relationship Id="rId10" Type="http://schemas.openxmlformats.org/officeDocument/2006/relationships/hyperlink" Target="https://greatergiving.visualstudio.com/Greater%20Giving/_git/GGO/pullrequest/9040" TargetMode="External"/><Relationship Id="rId4" Type="http://schemas.openxmlformats.org/officeDocument/2006/relationships/hyperlink" Target="https://greatergiving.visualstudio.com/Greater%20Giving/_git/GGO/pullrequest/9028" TargetMode="External"/><Relationship Id="rId9" Type="http://schemas.openxmlformats.org/officeDocument/2006/relationships/hyperlink" Target="https://greatergiving.visualstudio.com/Greater%20Giving/_git/GGO/pullrequest/9031" TargetMode="External"/></Relationships>
</file>

<file path=xl/worksheets/_rels/sheet2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9.xml.rels><?xml version="1.0" encoding="UTF-8" standalone="yes"?>
<Relationships xmlns="http://schemas.openxmlformats.org/package/2006/relationships"><Relationship Id="rId8" Type="http://schemas.openxmlformats.org/officeDocument/2006/relationships/hyperlink" Target="https://greatergiving.atlassian.net/browse/GGO-15073" TargetMode="External"/><Relationship Id="rId13" Type="http://schemas.openxmlformats.org/officeDocument/2006/relationships/hyperlink" Target="https://greatergiving.visualstudio.com/Greater%20Giving/_git/GGO/pullrequest/8994" TargetMode="External"/><Relationship Id="rId3" Type="http://schemas.openxmlformats.org/officeDocument/2006/relationships/hyperlink" Target="https://dev.azure.com/greatergiving/Greater%20Giving/_git/GGO/pullrequest/8980" TargetMode="External"/><Relationship Id="rId7" Type="http://schemas.openxmlformats.org/officeDocument/2006/relationships/hyperlink" Target="https://greatergiving.atlassian.net/browse/GGO-15070" TargetMode="External"/><Relationship Id="rId12" Type="http://schemas.openxmlformats.org/officeDocument/2006/relationships/hyperlink" Target="https://greatergiving.visualstudio.com/Greater%20Giving/_git/GGO/pullrequest/9000" TargetMode="External"/><Relationship Id="rId2" Type="http://schemas.openxmlformats.org/officeDocument/2006/relationships/hyperlink" Target="https://dev.azure.com/greatergiving/Greater%20Giving/_git/GGO/pullrequest/8963" TargetMode="External"/><Relationship Id="rId16" Type="http://schemas.openxmlformats.org/officeDocument/2006/relationships/hyperlink" Target="https://greatergiving.visualstudio.com/Greater%20Giving/_git/GGO/pullrequest/9008" TargetMode="External"/><Relationship Id="rId1" Type="http://schemas.openxmlformats.org/officeDocument/2006/relationships/hyperlink" Target="https://dev.azure.com/greatergiving/Greater%20Giving/_git/GGO/pullrequest/8987" TargetMode="External"/><Relationship Id="rId6" Type="http://schemas.openxmlformats.org/officeDocument/2006/relationships/hyperlink" Target="https://greatergiving.atlassian.net/browse/GGO-15066" TargetMode="External"/><Relationship Id="rId11" Type="http://schemas.openxmlformats.org/officeDocument/2006/relationships/hyperlink" Target="https://greatergiving.visualstudio.com/Greater%20Giving/_git/GGO/pullrequest/9002" TargetMode="External"/><Relationship Id="rId5" Type="http://schemas.openxmlformats.org/officeDocument/2006/relationships/hyperlink" Target="https://greatergiving.visualstudio.com/Greater%20Giving/_git/GGO/pullrequest/8990" TargetMode="External"/><Relationship Id="rId15" Type="http://schemas.openxmlformats.org/officeDocument/2006/relationships/hyperlink" Target="https://greatergiving.atlassian.net/browse/GGO-15073" TargetMode="External"/><Relationship Id="rId10" Type="http://schemas.openxmlformats.org/officeDocument/2006/relationships/hyperlink" Target="https://greatergiving.visualstudio.com/Greater%20Giving/_git/GGO/pullrequest/8998" TargetMode="External"/><Relationship Id="rId4" Type="http://schemas.openxmlformats.org/officeDocument/2006/relationships/hyperlink" Target="https://dev.azure.com/greatergiving/Greater%20Giving/_git/GGO/pullrequest/8971" TargetMode="External"/><Relationship Id="rId9" Type="http://schemas.openxmlformats.org/officeDocument/2006/relationships/hyperlink" Target="https://greatergiving.atlassian.net/browse/GGO-15073" TargetMode="External"/><Relationship Id="rId14" Type="http://schemas.openxmlformats.org/officeDocument/2006/relationships/hyperlink" Target="https://greatergiving.visualstudio.com/Greater%20Giving/_git/GGO/pullrequest/9004"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960" TargetMode="External"/><Relationship Id="rId2" Type="http://schemas.openxmlformats.org/officeDocument/2006/relationships/hyperlink" Target="https://greatergiving.visualstudio.com/Greater%20Giving/_git/GGO/pullrequest/8944" TargetMode="External"/><Relationship Id="rId1" Type="http://schemas.openxmlformats.org/officeDocument/2006/relationships/hyperlink" Target="https://greatergiving.visualstudio.com/Greater%20Giving/_git/GGO/pullrequest/8954" TargetMode="External"/></Relationships>
</file>

<file path=xl/worksheets/_rels/sheet31.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hyperlink" Target="https://greatergiving.atlassian.net/browse/GGO-15050"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918" TargetMode="External"/><Relationship Id="rId2" Type="http://schemas.openxmlformats.org/officeDocument/2006/relationships/hyperlink" Target="https://greatergiving.visualstudio.com/Greater%20Giving/_git/GGO/pullrequest/8893" TargetMode="External"/><Relationship Id="rId1" Type="http://schemas.openxmlformats.org/officeDocument/2006/relationships/hyperlink" Target="https://greatergiving.visualstudio.com/Greater%20Giving/_git/GGO/pullrequest/8902" TargetMode="External"/><Relationship Id="rId4" Type="http://schemas.openxmlformats.org/officeDocument/2006/relationships/hyperlink" Target="https://greatergiving.visualstudio.com/Greater%20Giving/_git/GGO/pullrequest/8922"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873" TargetMode="External"/><Relationship Id="rId2" Type="http://schemas.openxmlformats.org/officeDocument/2006/relationships/hyperlink" Target="https://greatergiving.visualstudio.com/Greater%20Giving/_git/GGO/pullrequest/8853" TargetMode="External"/><Relationship Id="rId1" Type="http://schemas.openxmlformats.org/officeDocument/2006/relationships/hyperlink" Target="https://greatergiving.visualstudio.com/Greater%20Giving/_git/GGO/pullrequest/8860" TargetMode="External"/><Relationship Id="rId6" Type="http://schemas.openxmlformats.org/officeDocument/2006/relationships/hyperlink" Target="https://greatergiving.visualstudio.com/Greater%20Giving/_git/GGO/pullrequest/8876" TargetMode="External"/><Relationship Id="rId5" Type="http://schemas.openxmlformats.org/officeDocument/2006/relationships/hyperlink" Target="https://greatergiving.visualstudio.com/Greater%20Giving/_git/GGO/pullrequest/8850" TargetMode="External"/><Relationship Id="rId4" Type="http://schemas.openxmlformats.org/officeDocument/2006/relationships/hyperlink" Target="https://greatergiving.visualstudio.com/Greater%20Giving/_git/GGO/pullrequest/8872" TargetMode="External"/></Relationships>
</file>

<file path=xl/worksheets/_rels/sheet3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820" TargetMode="External"/><Relationship Id="rId2" Type="http://schemas.openxmlformats.org/officeDocument/2006/relationships/hyperlink" Target="https://greatergiving.visualstudio.com/Greater%20Giving/_git/GGO/pullrequest/8822" TargetMode="External"/><Relationship Id="rId1" Type="http://schemas.openxmlformats.org/officeDocument/2006/relationships/hyperlink" Target="https://greatergiving.visualstudio.com/Greater%20Giving/_git/GGO/pullrequest/8810" TargetMode="External"/><Relationship Id="rId4" Type="http://schemas.openxmlformats.org/officeDocument/2006/relationships/hyperlink" Target="https://dev.azure.com/greatergiving/Greater%20Giving/_git/GGO/pullrequest/8744" TargetMode="External"/></Relationships>
</file>

<file path=xl/worksheets/_rels/sheet3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8.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786" TargetMode="External"/><Relationship Id="rId7" Type="http://schemas.openxmlformats.org/officeDocument/2006/relationships/hyperlink" Target="https://greatergiving.visualstudio.com/Greater%20Giving/_git/GGO/pullrequest/8773" TargetMode="External"/><Relationship Id="rId2" Type="http://schemas.openxmlformats.org/officeDocument/2006/relationships/hyperlink" Target="https://greatergiving.visualstudio.com/Greater%20Giving/_git/GGO/pullrequest/8779" TargetMode="External"/><Relationship Id="rId1" Type="http://schemas.openxmlformats.org/officeDocument/2006/relationships/hyperlink" Target="https://dev.azure.com/greatergiving/Greater%20Giving/_git/GGO/pullrequest/8756" TargetMode="External"/><Relationship Id="rId6" Type="http://schemas.openxmlformats.org/officeDocument/2006/relationships/hyperlink" Target="https://greatergiving.visualstudio.com/Greater%20Giving/_git/GGO/pullrequest/8791" TargetMode="External"/><Relationship Id="rId5" Type="http://schemas.openxmlformats.org/officeDocument/2006/relationships/hyperlink" Target="https://greatergiving.visualstudio.com/Greater%20Giving/_git/GGO/pullrequest/8799" TargetMode="External"/><Relationship Id="rId4" Type="http://schemas.openxmlformats.org/officeDocument/2006/relationships/hyperlink" Target="https://greatergiving.visualstudio.com/Greater%20Giving/_git/GGO/pullrequest/8786" TargetMode="External"/></Relationships>
</file>

<file path=xl/worksheets/_rels/sheet3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hyperlink" Target="https://greatergiving.atlassian.net/browse/GGO-14744"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https://greatergiving.atlassian.net/browse/GGO-14927" TargetMode="External"/><Relationship Id="rId3" Type="http://schemas.openxmlformats.org/officeDocument/2006/relationships/hyperlink" Target="https://greatergiving.visualstudio.com/Greater%20Giving/_git/GGO/pullrequest/8725" TargetMode="External"/><Relationship Id="rId7" Type="http://schemas.openxmlformats.org/officeDocument/2006/relationships/hyperlink" Target="https://greatergiving.atlassian.net/browse/GGO-14961" TargetMode="External"/><Relationship Id="rId2" Type="http://schemas.openxmlformats.org/officeDocument/2006/relationships/hyperlink" Target="https://greatergiving.visualstudio.com/Greater%20Giving/_git/GGO/pullrequest/8738" TargetMode="External"/><Relationship Id="rId1" Type="http://schemas.openxmlformats.org/officeDocument/2006/relationships/hyperlink" Target="https://greatergiving.visualstudio.com/Greater%20Giving/_git/GGO/pullrequest/8742" TargetMode="External"/><Relationship Id="rId6" Type="http://schemas.openxmlformats.org/officeDocument/2006/relationships/hyperlink" Target="https://greatergiving.atlassian.net/browse/GGO-14689" TargetMode="External"/><Relationship Id="rId11" Type="http://schemas.openxmlformats.org/officeDocument/2006/relationships/hyperlink" Target="https://dev.azure.com/greatergiving/Greater%20Giving/_git/GGO/pullrequest/8756" TargetMode="External"/><Relationship Id="rId5" Type="http://schemas.openxmlformats.org/officeDocument/2006/relationships/hyperlink" Target="https://greatergiving.atlassian.net/browse/GGO-14691" TargetMode="External"/><Relationship Id="rId10" Type="http://schemas.openxmlformats.org/officeDocument/2006/relationships/hyperlink" Target="https://greatergiving.atlassian.net/browse/GGO-14955" TargetMode="External"/><Relationship Id="rId4" Type="http://schemas.openxmlformats.org/officeDocument/2006/relationships/hyperlink" Target="https://greatergiving.visualstudio.com/Greater%20Giving/_git/GGO/pullrequest/8738" TargetMode="External"/><Relationship Id="rId9" Type="http://schemas.openxmlformats.org/officeDocument/2006/relationships/hyperlink" Target="https://greatergiving.atlassian.net/browse/GGO-14962"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https://greatergiving.atlassian.net/browse/GGO-14691" TargetMode="External"/><Relationship Id="rId2" Type="http://schemas.openxmlformats.org/officeDocument/2006/relationships/hyperlink" Target="https://greatergiving.atlassian.net/browse/GGO-14962" TargetMode="External"/><Relationship Id="rId1" Type="http://schemas.openxmlformats.org/officeDocument/2006/relationships/hyperlink" Target="https://greatergiving.atlassian.net/browse/GGO-14744" TargetMode="External"/><Relationship Id="rId5" Type="http://schemas.openxmlformats.org/officeDocument/2006/relationships/comments" Target="../comments19.xml"/><Relationship Id="rId4" Type="http://schemas.openxmlformats.org/officeDocument/2006/relationships/vmlDrawing" Target="../drawings/vmlDrawing19.vml"/></Relationships>
</file>

<file path=xl/worksheets/_rels/sheet42.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667" TargetMode="External"/><Relationship Id="rId2" Type="http://schemas.openxmlformats.org/officeDocument/2006/relationships/hyperlink" Target="https://greatergiving.visualstudio.com/Greater%20Giving/_git/GGO/pullrequest/8677" TargetMode="External"/><Relationship Id="rId1" Type="http://schemas.openxmlformats.org/officeDocument/2006/relationships/hyperlink" Target="https://greatergiving.atlassian.net/browse/GGO-14802" TargetMode="External"/><Relationship Id="rId6" Type="http://schemas.openxmlformats.org/officeDocument/2006/relationships/hyperlink" Target="https://greatergiving.visualstudio.com/Greater%20Giving/_git/GGO/pullrequest/8687" TargetMode="External"/><Relationship Id="rId5" Type="http://schemas.openxmlformats.org/officeDocument/2006/relationships/hyperlink" Target="https://greatergiving.visualstudio.com/Greater%20Giving/_git/GGO/pullrequest/8706" TargetMode="External"/><Relationship Id="rId4" Type="http://schemas.openxmlformats.org/officeDocument/2006/relationships/hyperlink" Target="https://greatergiving.visualstudio.com/Greater%20Giving/_git/GGO/pullrequest/8691"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https://greatergiving.atlassian.net/browse/GGO-14829" TargetMode="External"/><Relationship Id="rId3" Type="http://schemas.openxmlformats.org/officeDocument/2006/relationships/hyperlink" Target="https://greatergiving.atlassian.net/browse/GGO-14831" TargetMode="External"/><Relationship Id="rId7" Type="http://schemas.openxmlformats.org/officeDocument/2006/relationships/hyperlink" Target="https://greatergiving.atlassian.net/browse/GGO-14837" TargetMode="External"/><Relationship Id="rId2" Type="http://schemas.openxmlformats.org/officeDocument/2006/relationships/hyperlink" Target="https://greatergiving.atlassian.net/browse/GGO-14802" TargetMode="External"/><Relationship Id="rId1" Type="http://schemas.openxmlformats.org/officeDocument/2006/relationships/hyperlink" Target="https://greatergiving.atlassian.net/browse/GGO-14699" TargetMode="External"/><Relationship Id="rId6" Type="http://schemas.openxmlformats.org/officeDocument/2006/relationships/hyperlink" Target="https://greatergiving.atlassian.net/browse/GGO-14829" TargetMode="External"/><Relationship Id="rId11" Type="http://schemas.openxmlformats.org/officeDocument/2006/relationships/hyperlink" Target="https://greatergiving.visualstudio.com/Greater%20Giving/_git/GGO/pullrequest/8667" TargetMode="External"/><Relationship Id="rId5" Type="http://schemas.openxmlformats.org/officeDocument/2006/relationships/hyperlink" Target="https://greatergiving.atlassian.net/browse/GGO-14832" TargetMode="External"/><Relationship Id="rId10" Type="http://schemas.openxmlformats.org/officeDocument/2006/relationships/hyperlink" Target="https://greatergiving.visualstudio.com/Greater%20Giving/_git/GGO/pullrequest/8677" TargetMode="External"/><Relationship Id="rId4" Type="http://schemas.openxmlformats.org/officeDocument/2006/relationships/hyperlink" Target="https://greatergiving.atlassian.net/browse/GGO-14835" TargetMode="External"/><Relationship Id="rId9" Type="http://schemas.openxmlformats.org/officeDocument/2006/relationships/hyperlink" Target="https://greatergiving.visualstudio.com/Greater%20Giving/_git/GGO/pullrequest/8649" TargetMode="External"/></Relationships>
</file>

<file path=xl/worksheets/_rels/sheet4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hyperlink" Target="https://greatergiving.atlassian.net/browse/GGO-14744" TargetMode="External"/></Relationships>
</file>

<file path=xl/worksheets/_rels/sheet45.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6.xml.rels><?xml version="1.0" encoding="UTF-8" standalone="yes"?>
<Relationships xmlns="http://schemas.openxmlformats.org/package/2006/relationships"><Relationship Id="rId8" Type="http://schemas.openxmlformats.org/officeDocument/2006/relationships/hyperlink" Target="https://greatergiving.atlassian.net/browse/GGO-14802" TargetMode="External"/><Relationship Id="rId3" Type="http://schemas.openxmlformats.org/officeDocument/2006/relationships/hyperlink" Target="https://greatergiving.atlassian.net/browse/GGO-14699" TargetMode="External"/><Relationship Id="rId7" Type="http://schemas.openxmlformats.org/officeDocument/2006/relationships/hyperlink" Target="https://greatergiving.atlassian.net/browse/GGO-14798" TargetMode="External"/><Relationship Id="rId2" Type="http://schemas.openxmlformats.org/officeDocument/2006/relationships/hyperlink" Target="https://greatergiving.atlassian.net/browse/GGO-14699" TargetMode="External"/><Relationship Id="rId1" Type="http://schemas.openxmlformats.org/officeDocument/2006/relationships/hyperlink" Target="https://greatergiving.atlassian.net/browse/GGO-14699" TargetMode="External"/><Relationship Id="rId6" Type="http://schemas.openxmlformats.org/officeDocument/2006/relationships/hyperlink" Target="https://greatergiving.visualstudio.com/Greater%20Giving/_git/GGO/pullrequest/8619" TargetMode="External"/><Relationship Id="rId5" Type="http://schemas.openxmlformats.org/officeDocument/2006/relationships/hyperlink" Target="https://dev.azure.com/greatergiving/Greater%20Giving/_git/GGO/pullrequest/8606" TargetMode="External"/><Relationship Id="rId4" Type="http://schemas.openxmlformats.org/officeDocument/2006/relationships/hyperlink" Target="https://dev.azure.com/greatergiving/Greater%20Giving/_git/GGO/pullrequest/8612"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https://greatergiving.atlassian.net/browse/PAPI-866" TargetMode="External"/><Relationship Id="rId7" Type="http://schemas.openxmlformats.org/officeDocument/2006/relationships/hyperlink" Target="https://greatergiving.visualstudio.com/Greater%20Giving/_git/GGO/pullrequest/8581" TargetMode="External"/><Relationship Id="rId2" Type="http://schemas.openxmlformats.org/officeDocument/2006/relationships/hyperlink" Target="https://greatergiving.atlassian.net/browse/GGO-14765" TargetMode="External"/><Relationship Id="rId1" Type="http://schemas.openxmlformats.org/officeDocument/2006/relationships/hyperlink" Target="https://greatergiving.atlassian.net/browse/GGO-14763" TargetMode="External"/><Relationship Id="rId6" Type="http://schemas.openxmlformats.org/officeDocument/2006/relationships/hyperlink" Target="https://greatergiving.atlassian.net/browse/GGO-14766" TargetMode="External"/><Relationship Id="rId5" Type="http://schemas.openxmlformats.org/officeDocument/2006/relationships/hyperlink" Target="https://greatergiving.atlassian.net/browse/GGO-14732" TargetMode="External"/><Relationship Id="rId4" Type="http://schemas.openxmlformats.org/officeDocument/2006/relationships/hyperlink" Target="http://greatergiving.visualstudio.com/Greater%20Giving/_git/GGO/pullrequest/8598"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8564" TargetMode="External"/><Relationship Id="rId3" Type="http://schemas.openxmlformats.org/officeDocument/2006/relationships/hyperlink" Target="https://greatergiving.atlassian.net/browse/PAPI-864" TargetMode="External"/><Relationship Id="rId7" Type="http://schemas.openxmlformats.org/officeDocument/2006/relationships/hyperlink" Target="https://greatergiving.visualstudio.com/Greater%20Giving/_git/GGO/pullrequest/8569" TargetMode="External"/><Relationship Id="rId2" Type="http://schemas.openxmlformats.org/officeDocument/2006/relationships/hyperlink" Target="https://greatergiving.atlassian.net/browse/GGO-14722" TargetMode="External"/><Relationship Id="rId1" Type="http://schemas.openxmlformats.org/officeDocument/2006/relationships/hyperlink" Target="https://greatergiving.visualstudio.com/Greater%20Giving/_git/GGO/pullrequest/8531" TargetMode="External"/><Relationship Id="rId6" Type="http://schemas.openxmlformats.org/officeDocument/2006/relationships/hyperlink" Target="https://greatergiving.visualstudio.com/Greater%20Giving/_git/GGO/pullrequest/8562" TargetMode="External"/><Relationship Id="rId5" Type="http://schemas.openxmlformats.org/officeDocument/2006/relationships/hyperlink" Target="https://greatergiving.visualstudio.com/Greater%20Giving/_git/GGO/pullrequest/8576" TargetMode="External"/><Relationship Id="rId4" Type="http://schemas.openxmlformats.org/officeDocument/2006/relationships/hyperlink" Target="https://greatergiving.atlassian.net/browse/GGO-14744" TargetMode="Externa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hyperlink" Target="https://greatergiving.atlassian.net/browse/GGO-14763" TargetMode="External"/><Relationship Id="rId1" Type="http://schemas.openxmlformats.org/officeDocument/2006/relationships/hyperlink" Target="https://greatergiving.atlassian.net/browse/GGO-14744" TargetMode="External"/><Relationship Id="rId4" Type="http://schemas.openxmlformats.org/officeDocument/2006/relationships/comments" Target="../comments22.xml"/></Relationships>
</file>

<file path=xl/worksheets/_rels/sheet50.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8525" TargetMode="External"/><Relationship Id="rId3" Type="http://schemas.openxmlformats.org/officeDocument/2006/relationships/hyperlink" Target="https://greatergiving.visualstudio.com/Greater%20Giving/_git/GGO/pullrequest/8498" TargetMode="External"/><Relationship Id="rId7" Type="http://schemas.openxmlformats.org/officeDocument/2006/relationships/hyperlink" Target="https://greatergiving.visualstudio.com/Greater%20Giving/_git/GGO/pullrequest/8523" TargetMode="External"/><Relationship Id="rId2" Type="http://schemas.openxmlformats.org/officeDocument/2006/relationships/hyperlink" Target="https://greatergiving.visualstudio.com/Greater%20Giving/_git/GGO/pullrequest/8502" TargetMode="External"/><Relationship Id="rId1" Type="http://schemas.openxmlformats.org/officeDocument/2006/relationships/hyperlink" Target="https://greatergiving.visualstudio.com/Greater%20Giving/_git/GGO/pullrequest/8496" TargetMode="External"/><Relationship Id="rId6" Type="http://schemas.openxmlformats.org/officeDocument/2006/relationships/hyperlink" Target="https://greatergiving.visualstudio.com/Greater%20Giving/_git/GGO/pullrequest/8524" TargetMode="External"/><Relationship Id="rId5" Type="http://schemas.openxmlformats.org/officeDocument/2006/relationships/hyperlink" Target="https://greatergiving.visualstudio.com/Greater%20Giving/_git/PAPI/pullrequest/8518" TargetMode="External"/><Relationship Id="rId4" Type="http://schemas.openxmlformats.org/officeDocument/2006/relationships/hyperlink" Target="https://greatergiving.visualstudio.com/Greater%20Giving/_git/GGO/pullrequest/8508" TargetMode="External"/></Relationships>
</file>

<file path=xl/worksheets/_rels/sheet51.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2.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8457" TargetMode="External"/><Relationship Id="rId7" Type="http://schemas.openxmlformats.org/officeDocument/2006/relationships/hyperlink" Target="https://greatergiving.atlassian.net/browse/GGO-14619" TargetMode="External"/><Relationship Id="rId2" Type="http://schemas.openxmlformats.org/officeDocument/2006/relationships/hyperlink" Target="https://greatergiving.visualstudio.com/Greater%20Giving/_git/GGO/pullrequest/8458" TargetMode="External"/><Relationship Id="rId1" Type="http://schemas.openxmlformats.org/officeDocument/2006/relationships/hyperlink" Target="https://greatergiving.visualstudio.com/Greater%20Giving/_git/GGO/pullrequest/8463" TargetMode="External"/><Relationship Id="rId6" Type="http://schemas.openxmlformats.org/officeDocument/2006/relationships/hyperlink" Target="https://greatergiving.visualstudio.com/Greater%20Giving/_git/GGO/pullrequest/8476" TargetMode="External"/><Relationship Id="rId5" Type="http://schemas.openxmlformats.org/officeDocument/2006/relationships/hyperlink" Target="https://greatergiving.visualstudio.com/Greater%20Giving/_git/PAPI/pullrequest/8477" TargetMode="External"/><Relationship Id="rId4" Type="http://schemas.openxmlformats.org/officeDocument/2006/relationships/hyperlink" Target="https://dev.azure.com/greatergiving/Greater%20Giving/_git/GGO/pullrequest/8474" TargetMode="External"/></Relationships>
</file>

<file path=xl/worksheets/_rels/sheet5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4.xml.rels><?xml version="1.0" encoding="UTF-8" standalone="yes"?>
<Relationships xmlns="http://schemas.openxmlformats.org/package/2006/relationships"><Relationship Id="rId8" Type="http://schemas.openxmlformats.org/officeDocument/2006/relationships/hyperlink" Target="https://greatergiving.visualstudio.com/Greater%20Giving/_git/PAPI/pullrequest/8441" TargetMode="External"/><Relationship Id="rId3" Type="http://schemas.openxmlformats.org/officeDocument/2006/relationships/hyperlink" Target="https://greatergiving.atlassian.net/browse/PAPI-851" TargetMode="External"/><Relationship Id="rId7" Type="http://schemas.openxmlformats.org/officeDocument/2006/relationships/hyperlink" Target="https://greatergiving.visualstudio.com/Greater%20Giving/_git/GGO/pullrequest/8440" TargetMode="External"/><Relationship Id="rId2" Type="http://schemas.openxmlformats.org/officeDocument/2006/relationships/hyperlink" Target="https://greatergiving.atlassian.net/browse/GGO-14649" TargetMode="External"/><Relationship Id="rId1" Type="http://schemas.openxmlformats.org/officeDocument/2006/relationships/hyperlink" Target="https://greatergiving.atlassian.net/browse/GGO-14644" TargetMode="External"/><Relationship Id="rId6" Type="http://schemas.openxmlformats.org/officeDocument/2006/relationships/hyperlink" Target="https://greatergiving.visualstudio.com/Greater%20Giving/_git/GGO/pullrequest/8431" TargetMode="External"/><Relationship Id="rId5" Type="http://schemas.openxmlformats.org/officeDocument/2006/relationships/hyperlink" Target="https://greatergiving.visualstudio.com/Greater%20Giving/_git/GGO/pullrequest/8427" TargetMode="External"/><Relationship Id="rId4" Type="http://schemas.openxmlformats.org/officeDocument/2006/relationships/hyperlink" Target="https://greatergiving.visualstudio.com/Greater%20Giving/_git/GGO/pullrequest/8434" TargetMode="External"/><Relationship Id="rId9" Type="http://schemas.openxmlformats.org/officeDocument/2006/relationships/hyperlink" Target="https://dev.azure.com/greatergiving/Greater%20Giving/_git/GGO/pullrequest/8436" TargetMode="External"/></Relationships>
</file>

<file path=xl/worksheets/_rels/sheet5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hyperlink" Target="https://greatergiving.atlassian.net/browse/GGO-14662"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https://greatergiving.atlassian.net/browse/GGO-14644" TargetMode="External"/><Relationship Id="rId3" Type="http://schemas.openxmlformats.org/officeDocument/2006/relationships/hyperlink" Target="https://greatergiving.atlassian.net/browse/PAPI-842" TargetMode="External"/><Relationship Id="rId7" Type="http://schemas.openxmlformats.org/officeDocument/2006/relationships/hyperlink" Target="https://dev.azure.com/greatergiving/Greater%20Giving/_git/GGO/pullrequest/8370" TargetMode="External"/><Relationship Id="rId2" Type="http://schemas.openxmlformats.org/officeDocument/2006/relationships/hyperlink" Target="https://greatergiving.atlassian.net/browse/GGO-14617" TargetMode="External"/><Relationship Id="rId1" Type="http://schemas.openxmlformats.org/officeDocument/2006/relationships/hyperlink" Target="https://greatergiving.atlassian.net/browse/PAPI-839" TargetMode="External"/><Relationship Id="rId6" Type="http://schemas.openxmlformats.org/officeDocument/2006/relationships/hyperlink" Target="https://dev.azure.com/greatergiving/Greater%20Giving/_git/GGO/pullrequest/8380" TargetMode="External"/><Relationship Id="rId5" Type="http://schemas.openxmlformats.org/officeDocument/2006/relationships/hyperlink" Target="https://dev.azure.com/greatergiving/Greater%20Giving/_git/GGO/pullrequest/8407" TargetMode="External"/><Relationship Id="rId4" Type="http://schemas.openxmlformats.org/officeDocument/2006/relationships/hyperlink" Target="https://greatergiving.atlassian.net/browse/PAPI-842" TargetMode="External"/></Relationships>
</file>

<file path=xl/worksheets/_rels/sheet57.xml.rels><?xml version="1.0" encoding="UTF-8" standalone="yes"?>
<Relationships xmlns="http://schemas.openxmlformats.org/package/2006/relationships"><Relationship Id="rId3" Type="http://schemas.openxmlformats.org/officeDocument/2006/relationships/vmlDrawing" Target="../drawings/vmlDrawing26.vml"/><Relationship Id="rId2" Type="http://schemas.openxmlformats.org/officeDocument/2006/relationships/hyperlink" Target="https://greatergiving.atlassian.net/browse/GGO-14457" TargetMode="External"/><Relationship Id="rId1" Type="http://schemas.openxmlformats.org/officeDocument/2006/relationships/hyperlink" Target="https://greatergiving.atlassian.net/browse/GGO-14646" TargetMode="External"/><Relationship Id="rId4" Type="http://schemas.openxmlformats.org/officeDocument/2006/relationships/comments" Target="../comments26.xml"/></Relationships>
</file>

<file path=xl/worksheets/_rels/sheet58.xml.rels><?xml version="1.0" encoding="UTF-8" standalone="yes"?>
<Relationships xmlns="http://schemas.openxmlformats.org/package/2006/relationships"><Relationship Id="rId8" Type="http://schemas.openxmlformats.org/officeDocument/2006/relationships/hyperlink" Target="https://greatergiving.atlassian.net/browse/GGO-14597" TargetMode="External"/><Relationship Id="rId13" Type="http://schemas.openxmlformats.org/officeDocument/2006/relationships/hyperlink" Target="https://greatergiving.atlassian.net/browse/GGO-14624" TargetMode="External"/><Relationship Id="rId3" Type="http://schemas.openxmlformats.org/officeDocument/2006/relationships/hyperlink" Target="https://greatergiving.visualstudio.com/Greater%20Giving/_git/GGO/pullrequest/8338" TargetMode="External"/><Relationship Id="rId7" Type="http://schemas.openxmlformats.org/officeDocument/2006/relationships/hyperlink" Target="https://greatergiving.atlassian.net/browse/GGO-14597" TargetMode="External"/><Relationship Id="rId12" Type="http://schemas.openxmlformats.org/officeDocument/2006/relationships/hyperlink" Target="https://greatergiving.atlassian.net/browse/GGO-14602" TargetMode="External"/><Relationship Id="rId2" Type="http://schemas.openxmlformats.org/officeDocument/2006/relationships/hyperlink" Target="https://greatergiving.atlassian.net/browse/GGO-14161" TargetMode="External"/><Relationship Id="rId1" Type="http://schemas.openxmlformats.org/officeDocument/2006/relationships/hyperlink" Target="https://greatergiving.atlassian.net/browse/GGO-14596" TargetMode="External"/><Relationship Id="rId6" Type="http://schemas.openxmlformats.org/officeDocument/2006/relationships/hyperlink" Target="https://greatergiving.visualstudio.com/Greater%20Giving/_git/GGO/pullrequest/8355" TargetMode="External"/><Relationship Id="rId11" Type="http://schemas.openxmlformats.org/officeDocument/2006/relationships/hyperlink" Target="https://greatergiving.atlassian.net/browse/PAPI-839" TargetMode="External"/><Relationship Id="rId5" Type="http://schemas.openxmlformats.org/officeDocument/2006/relationships/hyperlink" Target="https://greatergiving.visualstudio.com/Greater%20Giving/_git/GGO/pullrequest/8336" TargetMode="External"/><Relationship Id="rId15" Type="http://schemas.openxmlformats.org/officeDocument/2006/relationships/hyperlink" Target="https://greatergiving.visualstudio.com/Greater%20Giving/_git/GGO/pullrequest/8362" TargetMode="External"/><Relationship Id="rId10" Type="http://schemas.openxmlformats.org/officeDocument/2006/relationships/hyperlink" Target="https://greatergiving.atlassian.net/browse/GGO-14592" TargetMode="External"/><Relationship Id="rId4" Type="http://schemas.openxmlformats.org/officeDocument/2006/relationships/hyperlink" Target="https://greatergiving.visualstudio.com/Greater%20Giving/_git/GGO/pullrequest/8330" TargetMode="External"/><Relationship Id="rId9" Type="http://schemas.openxmlformats.org/officeDocument/2006/relationships/hyperlink" Target="https://greatergiving.atlassian.net/browse/GGO-14592" TargetMode="External"/><Relationship Id="rId14" Type="http://schemas.openxmlformats.org/officeDocument/2006/relationships/hyperlink" Target="https://greatergiving.visualstudio.com/Greater%20Giving/_git/GGO/pullrequest/8363" TargetMode="External"/></Relationships>
</file>

<file path=xl/worksheets/_rels/sheet59.xml.rels><?xml version="1.0" encoding="UTF-8" standalone="yes"?>
<Relationships xmlns="http://schemas.openxmlformats.org/package/2006/relationships"><Relationship Id="rId3" Type="http://schemas.openxmlformats.org/officeDocument/2006/relationships/vmlDrawing" Target="../drawings/vmlDrawing27.vml"/><Relationship Id="rId2" Type="http://schemas.openxmlformats.org/officeDocument/2006/relationships/hyperlink" Target="https://greatergiving.atlassian.net/browse/GGO-14621" TargetMode="External"/><Relationship Id="rId1" Type="http://schemas.openxmlformats.org/officeDocument/2006/relationships/hyperlink" Target="https://greatergiving.atlassian.net/browse/GGO-14626" TargetMode="External"/><Relationship Id="rId4" Type="http://schemas.openxmlformats.org/officeDocument/2006/relationships/comments" Target="../comments27.xml"/></Relationships>
</file>

<file path=xl/worksheets/_rels/sheet60.xml.rels><?xml version="1.0" encoding="UTF-8" standalone="yes"?>
<Relationships xmlns="http://schemas.openxmlformats.org/package/2006/relationships"><Relationship Id="rId8" Type="http://schemas.openxmlformats.org/officeDocument/2006/relationships/hyperlink" Target="https://greatergiving.visualstudio.com/Greater%20Giving/_git/PAPI/pullrequest/8312" TargetMode="External"/><Relationship Id="rId13" Type="http://schemas.openxmlformats.org/officeDocument/2006/relationships/hyperlink" Target="https://dev.azure.com/greatergiving/Greater%20Giving/_git/PAPI/pullrequest/8318" TargetMode="External"/><Relationship Id="rId3" Type="http://schemas.openxmlformats.org/officeDocument/2006/relationships/hyperlink" Target="https://greatergiving.visualstudio.com/Greater%20Giving/_git/GGO/pullrequest/8292" TargetMode="External"/><Relationship Id="rId7" Type="http://schemas.openxmlformats.org/officeDocument/2006/relationships/hyperlink" Target="https://greatergiving.visualstudio.com/Greater%20Giving/_git/PAPI/pullrequest/8314" TargetMode="External"/><Relationship Id="rId12" Type="http://schemas.openxmlformats.org/officeDocument/2006/relationships/hyperlink" Target="https://dev.azure.com/greatergiving/Greater%20Giving/_git/GGO/pullrequest/8320" TargetMode="External"/><Relationship Id="rId2" Type="http://schemas.openxmlformats.org/officeDocument/2006/relationships/hyperlink" Target="https://dev.azure.com/greatergiving/Greater%20Giving/_git/PAPI/pullrequest/8291" TargetMode="External"/><Relationship Id="rId1" Type="http://schemas.openxmlformats.org/officeDocument/2006/relationships/hyperlink" Target="https://greatergiving.visualstudio.com/Greater%20Giving/_git/GGO/pullrequest/8288" TargetMode="External"/><Relationship Id="rId6" Type="http://schemas.openxmlformats.org/officeDocument/2006/relationships/hyperlink" Target="https://greatergiving.atlassian.net/browse/GGO-14584" TargetMode="External"/><Relationship Id="rId11" Type="http://schemas.openxmlformats.org/officeDocument/2006/relationships/hyperlink" Target="https://greatergiving.atlassian.net/browse/PAPI-819" TargetMode="External"/><Relationship Id="rId5" Type="http://schemas.openxmlformats.org/officeDocument/2006/relationships/hyperlink" Target="https://dev.azure.com/greatergiving/Greater%20Giving/_git/GGO/pullrequest/8300" TargetMode="External"/><Relationship Id="rId10" Type="http://schemas.openxmlformats.org/officeDocument/2006/relationships/hyperlink" Target="https://greatergiving.atlassian.net/browse/GGO-14596" TargetMode="External"/><Relationship Id="rId4" Type="http://schemas.openxmlformats.org/officeDocument/2006/relationships/hyperlink" Target="https://dev.azure.com/greatergiving/Greater%20Giving/_git/PAPI/pullrequest/8293" TargetMode="External"/><Relationship Id="rId9" Type="http://schemas.openxmlformats.org/officeDocument/2006/relationships/hyperlink" Target="https://greatergiving.atlassian.net/browse/PAPI-820" TargetMode="External"/></Relationships>
</file>

<file path=xl/worksheets/_rels/sheet6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62.xml.rels><?xml version="1.0" encoding="UTF-8" standalone="yes"?>
<Relationships xmlns="http://schemas.openxmlformats.org/package/2006/relationships"><Relationship Id="rId8" Type="http://schemas.openxmlformats.org/officeDocument/2006/relationships/hyperlink" Target="http://dev.azure.com/greatergiving/Greater%20Giving/_git/GGO/pullrequest/8272" TargetMode="External"/><Relationship Id="rId3" Type="http://schemas.openxmlformats.org/officeDocument/2006/relationships/hyperlink" Target="https://dev.azure.com/greatergiving/Greater%20Giving/_git/GGO/pullrequest/8265" TargetMode="External"/><Relationship Id="rId7" Type="http://schemas.openxmlformats.org/officeDocument/2006/relationships/hyperlink" Target="https://greatergiving.visualstudio.com/Greater%20Giving/_git/PAPI/pullrequest/8282" TargetMode="External"/><Relationship Id="rId2" Type="http://schemas.openxmlformats.org/officeDocument/2006/relationships/hyperlink" Target="https://greatergiving.atlassian.net/browse/GGO-14546" TargetMode="External"/><Relationship Id="rId1" Type="http://schemas.openxmlformats.org/officeDocument/2006/relationships/hyperlink" Target="https://greatergiving.atlassian.net/browse/GGO-14070" TargetMode="External"/><Relationship Id="rId6" Type="http://schemas.openxmlformats.org/officeDocument/2006/relationships/hyperlink" Target="https://greatergiving.visualstudio.com/Greater%20Giving/_git/GGO/pullrequest/8281" TargetMode="External"/><Relationship Id="rId5" Type="http://schemas.openxmlformats.org/officeDocument/2006/relationships/hyperlink" Target="https://greatergiving.atlassian.net/browse/PAPI-812" TargetMode="External"/><Relationship Id="rId4" Type="http://schemas.openxmlformats.org/officeDocument/2006/relationships/hyperlink" Target="https://greatergiving.atlassian.net/browse/GGO-14509"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https://greatergiving.atlassian.net/browse/GGO-14510" TargetMode="External"/><Relationship Id="rId3" Type="http://schemas.openxmlformats.org/officeDocument/2006/relationships/hyperlink" Target="https://greatergiving.atlassian.net/browse/GGO-14070" TargetMode="External"/><Relationship Id="rId7" Type="http://schemas.openxmlformats.org/officeDocument/2006/relationships/hyperlink" Target="https://greatergiving.atlassian.net/browse/GGO-14571" TargetMode="External"/><Relationship Id="rId2" Type="http://schemas.openxmlformats.org/officeDocument/2006/relationships/hyperlink" Target="https://greatergiving.atlassian.net/browse/GGO-14504" TargetMode="External"/><Relationship Id="rId1" Type="http://schemas.openxmlformats.org/officeDocument/2006/relationships/hyperlink" Target="https://greatergiving.atlassian.net/browse/GGO-14563" TargetMode="External"/><Relationship Id="rId6" Type="http://schemas.openxmlformats.org/officeDocument/2006/relationships/hyperlink" Target="https://greatergiving.atlassian.net/browse/GGO-14579" TargetMode="External"/><Relationship Id="rId5" Type="http://schemas.openxmlformats.org/officeDocument/2006/relationships/hyperlink" Target="https://greatergiving.atlassian.net/browse/GGO-14070" TargetMode="External"/><Relationship Id="rId10" Type="http://schemas.openxmlformats.org/officeDocument/2006/relationships/comments" Target="../comments29.xml"/><Relationship Id="rId4" Type="http://schemas.openxmlformats.org/officeDocument/2006/relationships/hyperlink" Target="https://greatergiving.atlassian.net/browse/GGO-14564" TargetMode="External"/><Relationship Id="rId9" Type="http://schemas.openxmlformats.org/officeDocument/2006/relationships/vmlDrawing" Target="../drawings/vmlDrawing29.vml"/></Relationships>
</file>

<file path=xl/worksheets/_rels/sheet64.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8218" TargetMode="External"/><Relationship Id="rId3" Type="http://schemas.openxmlformats.org/officeDocument/2006/relationships/hyperlink" Target="https://dev.azure.com/greatergiving/Greater%20Giving/_git/GGO/pullrequest/8204" TargetMode="External"/><Relationship Id="rId7" Type="http://schemas.openxmlformats.org/officeDocument/2006/relationships/hyperlink" Target="https://greatergiving.atlassian.net/browse/GGO-14530" TargetMode="External"/><Relationship Id="rId2" Type="http://schemas.openxmlformats.org/officeDocument/2006/relationships/hyperlink" Target="https://dev.azure.com/greatergiving/Greater%20Giving/_git/GGO/pullrequest/8189"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GGO-14530" TargetMode="External"/><Relationship Id="rId11" Type="http://schemas.openxmlformats.org/officeDocument/2006/relationships/hyperlink" Target="https://greatergiving.atlassian.net/browse/PAPI-758" TargetMode="External"/><Relationship Id="rId5" Type="http://schemas.openxmlformats.org/officeDocument/2006/relationships/hyperlink" Target="https://greatergiving.atlassian.net/browse/GGO-14070" TargetMode="External"/><Relationship Id="rId10" Type="http://schemas.openxmlformats.org/officeDocument/2006/relationships/hyperlink" Target="https://greatergiving.atlassian.net/browse/GGO-14071" TargetMode="External"/><Relationship Id="rId4" Type="http://schemas.openxmlformats.org/officeDocument/2006/relationships/hyperlink" Target="https://dev.azure.com/greatergiving/Greater%20Giving/_git/GGO/pullrequest/8197" TargetMode="External"/><Relationship Id="rId9" Type="http://schemas.openxmlformats.org/officeDocument/2006/relationships/hyperlink" Target="https://greatergiving.visualstudio.com/Greater%20Giving/_git/GGO/pullrequest/8228" TargetMode="External"/></Relationships>
</file>

<file path=xl/worksheets/_rels/sheet65.xml.rels><?xml version="1.0" encoding="UTF-8" standalone="yes"?>
<Relationships xmlns="http://schemas.openxmlformats.org/package/2006/relationships"><Relationship Id="rId8" Type="http://schemas.openxmlformats.org/officeDocument/2006/relationships/hyperlink" Target="https://greatergiving.atlassian.net/browse/GGO-14564" TargetMode="External"/><Relationship Id="rId3" Type="http://schemas.openxmlformats.org/officeDocument/2006/relationships/hyperlink" Target="https://greatergiving.atlassian.net/browse/GGO-14474" TargetMode="External"/><Relationship Id="rId7" Type="http://schemas.openxmlformats.org/officeDocument/2006/relationships/hyperlink" Target="https://greatergiving.atlassian.net/browse/GGO-14070" TargetMode="External"/><Relationship Id="rId2" Type="http://schemas.openxmlformats.org/officeDocument/2006/relationships/hyperlink" Target="https://greatergiving.atlassian.net/browse/GGO-14542"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GGO-14504" TargetMode="External"/><Relationship Id="rId5" Type="http://schemas.openxmlformats.org/officeDocument/2006/relationships/hyperlink" Target="https://greatergiving.atlassian.net/browse/GGO-14563" TargetMode="External"/><Relationship Id="rId4" Type="http://schemas.openxmlformats.org/officeDocument/2006/relationships/hyperlink" Target="https://greatergiving.atlassian.net/browse/GGO-14544" TargetMode="External"/><Relationship Id="rId9" Type="http://schemas.openxmlformats.org/officeDocument/2006/relationships/hyperlink" Target="https://greatergiving.atlassian.net/browse/GGO-14530" TargetMode="External"/></Relationships>
</file>

<file path=xl/worksheets/_rels/sheet66.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8189" TargetMode="External"/><Relationship Id="rId3" Type="http://schemas.openxmlformats.org/officeDocument/2006/relationships/hyperlink" Target="https://greatergiving.visualstudio.com/Greater%20Giving/_git/GGO/pullrequest/8170" TargetMode="External"/><Relationship Id="rId7" Type="http://schemas.openxmlformats.org/officeDocument/2006/relationships/hyperlink" Target="https://greatergiving.visualstudio.com/Greater%20Giving/_git/GGO/pullrequest/8184" TargetMode="External"/><Relationship Id="rId2" Type="http://schemas.openxmlformats.org/officeDocument/2006/relationships/hyperlink" Target="https://greatergiving.atlassian.net/browse/PAPI-790"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PAPI-794" TargetMode="External"/><Relationship Id="rId5" Type="http://schemas.openxmlformats.org/officeDocument/2006/relationships/hyperlink" Target="https://greatergiving.atlassian.net/browse/GGO-14511" TargetMode="External"/><Relationship Id="rId10" Type="http://schemas.openxmlformats.org/officeDocument/2006/relationships/hyperlink" Target="https://dev.azure.com/greatergiving/Greater%20Giving/_git/GGO/pullrequest/8197" TargetMode="External"/><Relationship Id="rId4" Type="http://schemas.openxmlformats.org/officeDocument/2006/relationships/hyperlink" Target="https://greatergiving.visualstudio.com/Greater%20Giving/_git/GGO/pullrequest/8174" TargetMode="External"/><Relationship Id="rId9" Type="http://schemas.openxmlformats.org/officeDocument/2006/relationships/hyperlink" Target="https://dev.azure.com/greatergiving/Greater%20Giving/_git/GGO/pullrequest/8204" TargetMode="External"/></Relationships>
</file>

<file path=xl/worksheets/_rels/sheet68.xml.rels><?xml version="1.0" encoding="UTF-8" standalone="yes"?>
<Relationships xmlns="http://schemas.openxmlformats.org/package/2006/relationships"><Relationship Id="rId8" Type="http://schemas.openxmlformats.org/officeDocument/2006/relationships/hyperlink" Target="https://greatergiving.visualstudio.com/Greater%20Giving/_git/PAPI/pullrequest/8136" TargetMode="External"/><Relationship Id="rId13" Type="http://schemas.openxmlformats.org/officeDocument/2006/relationships/hyperlink" Target="https://dev.azure.com/greatergiving/Greater%20Giving/_git/GGAutomation/pullrequest/8157" TargetMode="External"/><Relationship Id="rId3" Type="http://schemas.openxmlformats.org/officeDocument/2006/relationships/hyperlink" Target="https://dev.azure.com/greatergiving/Greater%20Giving/_git/GGO/pullrequest/8097" TargetMode="External"/><Relationship Id="rId7" Type="http://schemas.openxmlformats.org/officeDocument/2006/relationships/hyperlink" Target="https://greatergiving.atlassian.net/browse/GGO-14483" TargetMode="External"/><Relationship Id="rId12" Type="http://schemas.openxmlformats.org/officeDocument/2006/relationships/hyperlink" Target="https://greatergiving.atlassian.net/browse/GGO-14447" TargetMode="External"/><Relationship Id="rId17" Type="http://schemas.openxmlformats.org/officeDocument/2006/relationships/table" Target="../tables/table1.xml"/><Relationship Id="rId2" Type="http://schemas.openxmlformats.org/officeDocument/2006/relationships/hyperlink" Target="https://dev.azure.com/greatergiving/Greater%20Giving/_git/GGO/pullrequest/8112" TargetMode="External"/><Relationship Id="rId16" Type="http://schemas.openxmlformats.org/officeDocument/2006/relationships/hyperlink" Target="https://greatergiving.visualstudio.com/Greater%20Giving/_git/GGO/pullrequest/8158" TargetMode="External"/><Relationship Id="rId1" Type="http://schemas.openxmlformats.org/officeDocument/2006/relationships/hyperlink" Target="https://greatergiving.atlassian.net/browse/GGO-14474" TargetMode="External"/><Relationship Id="rId6" Type="http://schemas.openxmlformats.org/officeDocument/2006/relationships/hyperlink" Target="https://greatergiving.atlassian.net/browse/GGO-14422" TargetMode="External"/><Relationship Id="rId11" Type="http://schemas.openxmlformats.org/officeDocument/2006/relationships/hyperlink" Target="https://greatergiving.atlassian.net/browse/GGO-14468" TargetMode="External"/><Relationship Id="rId5" Type="http://schemas.openxmlformats.org/officeDocument/2006/relationships/hyperlink" Target="https://greatergiving.atlassian.net/browse/GGO-14450" TargetMode="External"/><Relationship Id="rId15" Type="http://schemas.openxmlformats.org/officeDocument/2006/relationships/hyperlink" Target="https://greatergiving.visualstudio.com/Greater%20Giving/_git/GGO/pullrequest/8166" TargetMode="External"/><Relationship Id="rId10" Type="http://schemas.openxmlformats.org/officeDocument/2006/relationships/hyperlink" Target="https://greatergiving.atlassian.net/browse/GGO-14469" TargetMode="External"/><Relationship Id="rId4" Type="http://schemas.openxmlformats.org/officeDocument/2006/relationships/hyperlink" Target="https://greatergiving.atlassian.net/browse/PAPI-790" TargetMode="External"/><Relationship Id="rId9" Type="http://schemas.openxmlformats.org/officeDocument/2006/relationships/hyperlink" Target="https://greatergiving.atlassian.net/browse/PAPI-790" TargetMode="External"/><Relationship Id="rId14" Type="http://schemas.openxmlformats.org/officeDocument/2006/relationships/hyperlink" Target="https://greatergiving.atlassian.net/browse/PAPI-789" TargetMode="External"/></Relationships>
</file>

<file path=xl/worksheets/_rels/sheet69.xml.rels><?xml version="1.0" encoding="UTF-8" standalone="yes"?>
<Relationships xmlns="http://schemas.openxmlformats.org/package/2006/relationships"><Relationship Id="rId8" Type="http://schemas.openxmlformats.org/officeDocument/2006/relationships/hyperlink" Target="https://greatergiving.atlassian.net/browse/GGO-14427" TargetMode="External"/><Relationship Id="rId3" Type="http://schemas.openxmlformats.org/officeDocument/2006/relationships/hyperlink" Target="https://greatergiving.atlassian.net/browse/GGO-14489" TargetMode="External"/><Relationship Id="rId7" Type="http://schemas.openxmlformats.org/officeDocument/2006/relationships/hyperlink" Target="https://greatergiving.atlassian.net/browse/GGO-14483" TargetMode="External"/><Relationship Id="rId2" Type="http://schemas.openxmlformats.org/officeDocument/2006/relationships/hyperlink" Target="https://greatergiving.atlassian.net/browse/GGO-14489" TargetMode="External"/><Relationship Id="rId1" Type="http://schemas.openxmlformats.org/officeDocument/2006/relationships/hyperlink" Target="https://greatergiving.atlassian.net/browse/GGO-14489" TargetMode="External"/><Relationship Id="rId6" Type="http://schemas.openxmlformats.org/officeDocument/2006/relationships/hyperlink" Target="https://greatergiving.atlassian.net/browse/GGO-14483" TargetMode="External"/><Relationship Id="rId5" Type="http://schemas.openxmlformats.org/officeDocument/2006/relationships/hyperlink" Target="https://greatergiving.atlassian.net/browse/GGO-14483" TargetMode="External"/><Relationship Id="rId10" Type="http://schemas.openxmlformats.org/officeDocument/2006/relationships/hyperlink" Target="https://greatergiving.atlassian.net/browse/GGO-14489" TargetMode="External"/><Relationship Id="rId4" Type="http://schemas.openxmlformats.org/officeDocument/2006/relationships/hyperlink" Target="https://greatergiving.atlassian.net/browse/GGO-14512" TargetMode="External"/><Relationship Id="rId9" Type="http://schemas.openxmlformats.org/officeDocument/2006/relationships/hyperlink" Target="https://greatergiving.atlassian.net/browse/GGO-14427" TargetMode="External"/></Relationships>
</file>

<file path=xl/worksheets/_rels/sheet70.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8097" TargetMode="External"/><Relationship Id="rId3" Type="http://schemas.openxmlformats.org/officeDocument/2006/relationships/hyperlink" Target="https://dev.azure.com/greatergiving/Greater%20Giving/_git/GGO/pullrequest/8075" TargetMode="External"/><Relationship Id="rId7" Type="http://schemas.openxmlformats.org/officeDocument/2006/relationships/hyperlink" Target="https://dev.azure.com/greatergiving/Greater%20Giving/_git/GGO/pullrequest/8112" TargetMode="External"/><Relationship Id="rId2" Type="http://schemas.openxmlformats.org/officeDocument/2006/relationships/hyperlink" Target="https://greatergiving.visualstudio.com/Greater%20Giving/_git/GGO/pullrequest/8080" TargetMode="External"/><Relationship Id="rId1" Type="http://schemas.openxmlformats.org/officeDocument/2006/relationships/hyperlink" Target="https://greatergiving.visualstudio.com/Greater%20Giving/_git/GGO/pullrequest/8079" TargetMode="External"/><Relationship Id="rId6" Type="http://schemas.openxmlformats.org/officeDocument/2006/relationships/hyperlink" Target="https://greatergiving.atlassian.net/browse/GGO-14474" TargetMode="External"/><Relationship Id="rId5" Type="http://schemas.openxmlformats.org/officeDocument/2006/relationships/hyperlink" Target="https://greatergiving.visualstudio.com/Greater%20Giving/_git/GGO/pullrequest/8092" TargetMode="External"/><Relationship Id="rId4" Type="http://schemas.openxmlformats.org/officeDocument/2006/relationships/hyperlink" Target="https://greatergiving.visualstudio.com/Greater%20Giving/_git/GGO/pullrequest/8096" TargetMode="External"/><Relationship Id="rId9" Type="http://schemas.openxmlformats.org/officeDocument/2006/relationships/table" Target="../tables/table2.xml"/></Relationships>
</file>

<file path=xl/worksheets/_rels/sheet71.xml.rels><?xml version="1.0" encoding="UTF-8" standalone="yes"?>
<Relationships xmlns="http://schemas.openxmlformats.org/package/2006/relationships"><Relationship Id="rId8" Type="http://schemas.openxmlformats.org/officeDocument/2006/relationships/hyperlink" Target="https://greatergiving.atlassian.net/browse/GGO-14489" TargetMode="External"/><Relationship Id="rId3" Type="http://schemas.openxmlformats.org/officeDocument/2006/relationships/hyperlink" Target="https://greatergiving.atlassian.net/browse/GGO-14481" TargetMode="External"/><Relationship Id="rId7" Type="http://schemas.openxmlformats.org/officeDocument/2006/relationships/hyperlink" Target="https://greatergiving.atlassian.net/browse/GGO-14489" TargetMode="External"/><Relationship Id="rId2" Type="http://schemas.openxmlformats.org/officeDocument/2006/relationships/hyperlink" Target="https://greatergiving.atlassian.net/browse/GGO-14480" TargetMode="External"/><Relationship Id="rId1" Type="http://schemas.openxmlformats.org/officeDocument/2006/relationships/hyperlink" Target="https://greatergiving.atlassian.net/browse/GGO-14479" TargetMode="External"/><Relationship Id="rId6" Type="http://schemas.openxmlformats.org/officeDocument/2006/relationships/hyperlink" Target="https://greatergiving.atlassian.net/browse/GGO-14476" TargetMode="External"/><Relationship Id="rId5" Type="http://schemas.openxmlformats.org/officeDocument/2006/relationships/hyperlink" Target="https://greatergiving.atlassian.net/browse/GGO-14488" TargetMode="External"/><Relationship Id="rId4" Type="http://schemas.openxmlformats.org/officeDocument/2006/relationships/hyperlink" Target="https://greatergiving.atlassian.net/browse/GGO-14486" TargetMode="External"/></Relationships>
</file>

<file path=xl/worksheets/_rels/sheet7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hyperlink" Target="https://greatergiving.visualstudio.com/Greater%20Giving/_git/GGO/pullrequest/8056" TargetMode="External"/><Relationship Id="rId7" Type="http://schemas.openxmlformats.org/officeDocument/2006/relationships/hyperlink" Target="https://greatergiving.atlassian.net/browse/GGO-14425" TargetMode="External"/><Relationship Id="rId2" Type="http://schemas.openxmlformats.org/officeDocument/2006/relationships/hyperlink" Target="https://greatergiving.atlassian.net/browse/GGO-13319" TargetMode="External"/><Relationship Id="rId1" Type="http://schemas.openxmlformats.org/officeDocument/2006/relationships/hyperlink" Target="https://greatergiving.atlassian.net/browse/GGO-14402" TargetMode="External"/><Relationship Id="rId6" Type="http://schemas.openxmlformats.org/officeDocument/2006/relationships/hyperlink" Target="https://greatergiving.atlassian.net/browse/PAPI-781" TargetMode="External"/><Relationship Id="rId5" Type="http://schemas.openxmlformats.org/officeDocument/2006/relationships/hyperlink" Target="https://greatergiving.atlassian.net/browse/PAPI-773" TargetMode="External"/><Relationship Id="rId4" Type="http://schemas.openxmlformats.org/officeDocument/2006/relationships/hyperlink" Target="https://dev.azure.com/greatergiving/Greater%20Giving/_git/GGO/pullrequest/8071" TargetMode="External"/></Relationships>
</file>

<file path=xl/worksheets/_rels/sheet74.xml.rels><?xml version="1.0" encoding="UTF-8" standalone="yes"?>
<Relationships xmlns="http://schemas.openxmlformats.org/package/2006/relationships"><Relationship Id="rId8" Type="http://schemas.openxmlformats.org/officeDocument/2006/relationships/hyperlink" Target="https://dev.azure.com/greatergiving/Greater%20Giving/_git/GGO/pullrequest/8022" TargetMode="External"/><Relationship Id="rId3" Type="http://schemas.openxmlformats.org/officeDocument/2006/relationships/hyperlink" Target="https://greatergiving.visualstudio.com/Greater%20Giving/_git/GGO/pullrequest/8000" TargetMode="External"/><Relationship Id="rId7" Type="http://schemas.openxmlformats.org/officeDocument/2006/relationships/hyperlink" Target="https://dev.azure.com/greatergiving/Greater%20Giving/_git/GGO/pullrequest/8022" TargetMode="External"/><Relationship Id="rId2" Type="http://schemas.openxmlformats.org/officeDocument/2006/relationships/hyperlink" Target="https://greatergiving.atlassian.net/browse/GGO-14361" TargetMode="External"/><Relationship Id="rId1" Type="http://schemas.openxmlformats.org/officeDocument/2006/relationships/hyperlink" Target="https://greatergiving.atlassian.net/browse/GGO-14355" TargetMode="External"/><Relationship Id="rId6" Type="http://schemas.openxmlformats.org/officeDocument/2006/relationships/hyperlink" Target="https://greatergiving.atlassian.net/browse/GGO-14355" TargetMode="External"/><Relationship Id="rId5" Type="http://schemas.openxmlformats.org/officeDocument/2006/relationships/hyperlink" Target="https://dev.azure.com/greatergiving/Greater%20Giving/_git/GGO/pullrequest/8003" TargetMode="External"/><Relationship Id="rId4" Type="http://schemas.openxmlformats.org/officeDocument/2006/relationships/hyperlink" Target="https://greatergiving.atlassian.net/browse/GGO-13319" TargetMode="External"/><Relationship Id="rId9" Type="http://schemas.openxmlformats.org/officeDocument/2006/relationships/table" Target="../tables/table4.xml"/></Relationships>
</file>

<file path=xl/worksheets/_rels/sheet76.xml.rels><?xml version="1.0" encoding="UTF-8" standalone="yes"?>
<Relationships xmlns="http://schemas.openxmlformats.org/package/2006/relationships"><Relationship Id="rId8" Type="http://schemas.openxmlformats.org/officeDocument/2006/relationships/hyperlink" Target="https://greatergiving.atlassian.net/browse/GGO-14361" TargetMode="External"/><Relationship Id="rId3" Type="http://schemas.openxmlformats.org/officeDocument/2006/relationships/hyperlink" Target="https://greatergiving.visualstudio.com/Greater%20Giving/_git/GGO/pullrequest/7983" TargetMode="External"/><Relationship Id="rId7" Type="http://schemas.openxmlformats.org/officeDocument/2006/relationships/hyperlink" Target="https://greatergiving.atlassian.net/browse/GGO-14361" TargetMode="External"/><Relationship Id="rId2" Type="http://schemas.openxmlformats.org/officeDocument/2006/relationships/hyperlink" Target="https://greatergiving.visualstudio.com/Greater%20Giving/_git/GGO/pullrequest/7988" TargetMode="External"/><Relationship Id="rId1" Type="http://schemas.openxmlformats.org/officeDocument/2006/relationships/hyperlink" Target="https://greatergiving.atlassian.net/browse/GGO-14295" TargetMode="External"/><Relationship Id="rId6" Type="http://schemas.openxmlformats.org/officeDocument/2006/relationships/hyperlink" Target="https://greatergiving.atlassian.net/browse/PAPI-774" TargetMode="External"/><Relationship Id="rId11" Type="http://schemas.openxmlformats.org/officeDocument/2006/relationships/hyperlink" Target="https://dev.azure.com/greatergiving/Greater%20Giving/_git/GGO/pullrequest/7968" TargetMode="External"/><Relationship Id="rId5" Type="http://schemas.openxmlformats.org/officeDocument/2006/relationships/hyperlink" Target="https://dev.azure.com/greatergiving/Greater%20Giving/_git/GGO/pullrequest/7981" TargetMode="External"/><Relationship Id="rId10" Type="http://schemas.openxmlformats.org/officeDocument/2006/relationships/hyperlink" Target="https://dev.azure.com/greatergiving/Greater%20Giving/_git/GGO/pullrequest/7961" TargetMode="External"/><Relationship Id="rId4" Type="http://schemas.openxmlformats.org/officeDocument/2006/relationships/hyperlink" Target="https://dev.azure.com/greatergiving/Greater%20Giving/_git/GGO/pullrequest/7949" TargetMode="External"/><Relationship Id="rId9" Type="http://schemas.openxmlformats.org/officeDocument/2006/relationships/hyperlink" Target="https://greatergiving.atlassian.net/browse/GGO-14244"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https://greatergiving.atlassian.net/browse/GGO-14353" TargetMode="External"/></Relationships>
</file>

<file path=xl/worksheets/_rels/sheet78.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945" TargetMode="External"/><Relationship Id="rId3" Type="http://schemas.openxmlformats.org/officeDocument/2006/relationships/hyperlink" Target="https://greatergiving.atlassian.net/browse/GGO-14340" TargetMode="External"/><Relationship Id="rId7" Type="http://schemas.openxmlformats.org/officeDocument/2006/relationships/hyperlink" Target="https://greatergiving.visualstudio.com/Greater%20Giving/_git/GGO/pullrequest/7945" TargetMode="External"/><Relationship Id="rId2" Type="http://schemas.openxmlformats.org/officeDocument/2006/relationships/hyperlink" Target="https://greatergiving.visualstudio.com/Greater%20Giving/_git/GGO/pullrequest/7916" TargetMode="External"/><Relationship Id="rId1" Type="http://schemas.openxmlformats.org/officeDocument/2006/relationships/hyperlink" Target="https://greatergiving.atlassian.net/browse/GGO-13860" TargetMode="External"/><Relationship Id="rId6" Type="http://schemas.openxmlformats.org/officeDocument/2006/relationships/hyperlink" Target="https://dev.azure.com/greatergiving/Greater%20Giving/_git/PAPI/pullrequest/7934" TargetMode="External"/><Relationship Id="rId5" Type="http://schemas.openxmlformats.org/officeDocument/2006/relationships/hyperlink" Target="https://dev.azure.com/greatergiving/Greater%20Giving/_git/GGO/pullrequest/7930" TargetMode="External"/><Relationship Id="rId4" Type="http://schemas.openxmlformats.org/officeDocument/2006/relationships/hyperlink" Target="https://dev.azure.com/greatergiving/Greater%20Giving/_git/GGO/pullrequest/7869"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https://greatergiving.atlassian.net/browse/GGO-14353" TargetMode="External"/></Relationships>
</file>

<file path=xl/worksheets/_rels/sheet80.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896" TargetMode="External"/><Relationship Id="rId2" Type="http://schemas.openxmlformats.org/officeDocument/2006/relationships/hyperlink" Target="https://dev.azure.com/greatergiving/Greater%20Giving/_git/PAPI/pullrequest/7894" TargetMode="External"/><Relationship Id="rId1" Type="http://schemas.openxmlformats.org/officeDocument/2006/relationships/hyperlink" Target="https://greatergiving.atlassian.net/browse/GGO-14199" TargetMode="External"/><Relationship Id="rId6" Type="http://schemas.openxmlformats.org/officeDocument/2006/relationships/hyperlink" Target="https://dev.azure.com/greatergiving/Greater%20Giving/_git/GGO/pullrequest/7873" TargetMode="External"/><Relationship Id="rId5" Type="http://schemas.openxmlformats.org/officeDocument/2006/relationships/hyperlink" Target="https://dev.azure.com/greatergiving/Greater%20Giving/_git/GGO/pullrequest/7892" TargetMode="External"/><Relationship Id="rId4" Type="http://schemas.openxmlformats.org/officeDocument/2006/relationships/hyperlink" Target="https://dev.azure.com/greatergiving/Greater%20Giving/_git/GGO/pullrequest/7892" TargetMode="External"/></Relationships>
</file>

<file path=xl/worksheets/_rels/sheet82.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817" TargetMode="External"/><Relationship Id="rId7" Type="http://schemas.openxmlformats.org/officeDocument/2006/relationships/hyperlink" Target="https://greatergiving.atlassian.net/browse/PAPI-750" TargetMode="External"/><Relationship Id="rId2" Type="http://schemas.openxmlformats.org/officeDocument/2006/relationships/hyperlink" Target="https://greatergiving.visualstudio.com/Greater%20Giving/_git/GGO/pullrequest/7842" TargetMode="External"/><Relationship Id="rId1" Type="http://schemas.openxmlformats.org/officeDocument/2006/relationships/hyperlink" Target="https://greatergiving.visualstudio.com/Greater%20Giving/_git/GGO/pullrequest/7835" TargetMode="External"/><Relationship Id="rId6" Type="http://schemas.openxmlformats.org/officeDocument/2006/relationships/hyperlink" Target="https://dev.azure.com/greatergiving/Greater%20Giving/_git/GGO/pullrequest/7838" TargetMode="External"/><Relationship Id="rId5" Type="http://schemas.openxmlformats.org/officeDocument/2006/relationships/hyperlink" Target="https://dev.azure.com/greatergiving/Greater%20Giving/_git/GGO/pullrequest/7840" TargetMode="External"/><Relationship Id="rId4" Type="http://schemas.openxmlformats.org/officeDocument/2006/relationships/hyperlink" Target="https://greatergiving.atlassian.net/browse/GGO-14267" TargetMode="External"/></Relationships>
</file>

<file path=xl/worksheets/_rels/sheet84.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702" TargetMode="External"/><Relationship Id="rId7" Type="http://schemas.openxmlformats.org/officeDocument/2006/relationships/hyperlink" Target="https://dev.azure.com/greatergiving/Greater%20Giving/_git/PAPI/pullrequest/7820" TargetMode="External"/><Relationship Id="rId2" Type="http://schemas.openxmlformats.org/officeDocument/2006/relationships/hyperlink" Target="https://dev.azure.com/greatergiving/Greater%20Giving/_git/GGO/pullrequest/7791" TargetMode="External"/><Relationship Id="rId1" Type="http://schemas.openxmlformats.org/officeDocument/2006/relationships/hyperlink" Target="https://greatergiving.atlassian.net/browse/GGO-14275" TargetMode="External"/><Relationship Id="rId6" Type="http://schemas.openxmlformats.org/officeDocument/2006/relationships/hyperlink" Target="https://dev.azure.com/greatergiving/Greater%20Giving/_git/GGAutomation/pullrequest/7822" TargetMode="External"/><Relationship Id="rId5" Type="http://schemas.openxmlformats.org/officeDocument/2006/relationships/hyperlink" Target="https://dev.azure.com/greatergiving/Greater%20Giving/_git/GGO/pullrequest/7817" TargetMode="External"/><Relationship Id="rId4" Type="http://schemas.openxmlformats.org/officeDocument/2006/relationships/hyperlink" Target="https://dev.azure.com/greatergiving/Greater%20Giving/_git/GGO/pullrequest/7800" TargetMode="External"/></Relationships>
</file>

<file path=xl/worksheets/_rels/sheet86.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770" TargetMode="External"/><Relationship Id="rId3" Type="http://schemas.openxmlformats.org/officeDocument/2006/relationships/hyperlink" Target="https://greatergiving.atlassian.net/browse/GGO-14216" TargetMode="External"/><Relationship Id="rId7" Type="http://schemas.openxmlformats.org/officeDocument/2006/relationships/hyperlink" Target="https://greatergiving.visualstudio.com/Greater%20Giving/_git/GGO/pullrequest/7766" TargetMode="External"/><Relationship Id="rId2" Type="http://schemas.openxmlformats.org/officeDocument/2006/relationships/hyperlink" Target="https://greatergiving.atlassian.net/browse/PAPI-734" TargetMode="External"/><Relationship Id="rId1" Type="http://schemas.openxmlformats.org/officeDocument/2006/relationships/hyperlink" Target="https://greatergiving.atlGGO-14270" TargetMode="External"/><Relationship Id="rId6" Type="http://schemas.openxmlformats.org/officeDocument/2006/relationships/hyperlink" Target="https://greatergiving.visualstudio.com/Greater%20Giving/_git/GGO/pullrequest/7765" TargetMode="External"/><Relationship Id="rId5" Type="http://schemas.openxmlformats.org/officeDocument/2006/relationships/hyperlink" Target="https://greatergiving.atlassian.net/browse/GGO-14275" TargetMode="External"/><Relationship Id="rId10" Type="http://schemas.openxmlformats.org/officeDocument/2006/relationships/hyperlink" Target="https://greatergiving.visualstudio.com/Greater%20Giving/_git/GGO/pullrequest/7780" TargetMode="External"/><Relationship Id="rId4" Type="http://schemas.openxmlformats.org/officeDocument/2006/relationships/hyperlink" Target="https://greatergiving.atlassian.net/browse/GGO-14264" TargetMode="External"/><Relationship Id="rId9" Type="http://schemas.openxmlformats.org/officeDocument/2006/relationships/hyperlink" Target="https://dev.azure.com/greatergiving/Greater%20Giving/_git/GGO/pullrequest/7817" TargetMode="External"/></Relationships>
</file>

<file path=xl/worksheets/_rels/sheet88.xml.rels><?xml version="1.0" encoding="UTF-8" standalone="yes"?>
<Relationships xmlns="http://schemas.openxmlformats.org/package/2006/relationships"><Relationship Id="rId8" Type="http://schemas.openxmlformats.org/officeDocument/2006/relationships/hyperlink" Target="https://greatergiving.atlassian.net/browse/GGO-14262" TargetMode="External"/><Relationship Id="rId3" Type="http://schemas.openxmlformats.org/officeDocument/2006/relationships/hyperlink" Target="https://greatergiving.atlassian.net/browse/GGO-14225" TargetMode="External"/><Relationship Id="rId7" Type="http://schemas.openxmlformats.org/officeDocument/2006/relationships/hyperlink" Target="https://greatergiving.visualstudio.com/Greater%20Giving/_git/GGO/pullrequest/7758" TargetMode="External"/><Relationship Id="rId2" Type="http://schemas.openxmlformats.org/officeDocument/2006/relationships/hyperlink" Target="https://greatergiving.atlassian.net/browse/GGO-14236" TargetMode="External"/><Relationship Id="rId1" Type="http://schemas.openxmlformats.org/officeDocument/2006/relationships/hyperlink" Target="https://greatergiving.atlassian.net/browse/GGO-14232" TargetMode="External"/><Relationship Id="rId6" Type="http://schemas.openxmlformats.org/officeDocument/2006/relationships/hyperlink" Target="https://greatergiving.atlassian.net/browse/GGO-14262" TargetMode="External"/><Relationship Id="rId5" Type="http://schemas.openxmlformats.org/officeDocument/2006/relationships/hyperlink" Target="https://greatergiving.visualstudio.com/Greater%20Giving/_git/GGO/pullrequest/7746" TargetMode="External"/><Relationship Id="rId4" Type="http://schemas.openxmlformats.org/officeDocument/2006/relationships/hyperlink" Target="https://greatergiving.atlassian.net/browse/GGO-14253" TargetMode="External"/><Relationship Id="rId9" Type="http://schemas.openxmlformats.org/officeDocument/2006/relationships/hyperlink" Target="https://dev.azure.com/greatergiving/Greater%20Giving/_git/GGO/pullrequest/7753" TargetMode="External"/></Relationships>
</file>

<file path=xl/worksheets/_rels/sheet90.xml.rels><?xml version="1.0" encoding="UTF-8" standalone="yes"?>
<Relationships xmlns="http://schemas.openxmlformats.org/package/2006/relationships"><Relationship Id="rId3" Type="http://schemas.openxmlformats.org/officeDocument/2006/relationships/hyperlink" Target="https://greatergiving.atlassian.net/browse/GGO-14233" TargetMode="External"/><Relationship Id="rId2" Type="http://schemas.openxmlformats.org/officeDocument/2006/relationships/hyperlink" Target="https://greatergiving.atlassian.net/browse/GGO-14204" TargetMode="External"/><Relationship Id="rId1" Type="http://schemas.openxmlformats.org/officeDocument/2006/relationships/hyperlink" Target="https://dev.azure.com/greatergiving/Greater%20Giving/_git/GGO/pullrequest/7691" TargetMode="External"/><Relationship Id="rId6" Type="http://schemas.openxmlformats.org/officeDocument/2006/relationships/hyperlink" Target="https://greatergiving.atlassian.net/browse/GGO-14236" TargetMode="External"/><Relationship Id="rId5" Type="http://schemas.openxmlformats.org/officeDocument/2006/relationships/hyperlink" Target="https://greatergiving.atlassian.net/browse/GGO-14232" TargetMode="External"/><Relationship Id="rId4" Type="http://schemas.openxmlformats.org/officeDocument/2006/relationships/hyperlink" Target="https://greatergiving.atlassian.net/browse/GGO-14247" TargetMode="External"/></Relationships>
</file>

<file path=xl/worksheets/_rels/sheet92.xml.rels><?xml version="1.0" encoding="UTF-8" standalone="yes"?>
<Relationships xmlns="http://schemas.openxmlformats.org/package/2006/relationships"><Relationship Id="rId8" Type="http://schemas.openxmlformats.org/officeDocument/2006/relationships/hyperlink" Target="https://greatergiving.atlassian.net/browse/GGO-14185" TargetMode="External"/><Relationship Id="rId13" Type="http://schemas.openxmlformats.org/officeDocument/2006/relationships/hyperlink" Target="https://greatergiving.atlassian.net/browse/GGO-14223" TargetMode="External"/><Relationship Id="rId3" Type="http://schemas.openxmlformats.org/officeDocument/2006/relationships/hyperlink" Target="https://greatergiving.atlassian.net/browse/PAPI-724" TargetMode="External"/><Relationship Id="rId7" Type="http://schemas.openxmlformats.org/officeDocument/2006/relationships/hyperlink" Target="https://greatergiving.atlassian.net/browse/GGO-14210" TargetMode="External"/><Relationship Id="rId12" Type="http://schemas.openxmlformats.org/officeDocument/2006/relationships/hyperlink" Target="https://greatergiving.visualstudio.com/Greater%20Giving/_git/GGO/pullrequest/7669" TargetMode="External"/><Relationship Id="rId2" Type="http://schemas.openxmlformats.org/officeDocument/2006/relationships/hyperlink" Target="https://greatergiving.visualstudio.com/Greater%20Giving/_git/PAPI/pullrequest/7692" TargetMode="External"/><Relationship Id="rId1" Type="http://schemas.openxmlformats.org/officeDocument/2006/relationships/hyperlink" Target="https://dev.azure.com/greatergiving/Greater%20Giving/_git/GGO/pullrequest/7691" TargetMode="External"/><Relationship Id="rId6" Type="http://schemas.openxmlformats.org/officeDocument/2006/relationships/hyperlink" Target="https://greatergiving.atlassian.net/browse/GGO-14197" TargetMode="External"/><Relationship Id="rId11" Type="http://schemas.openxmlformats.org/officeDocument/2006/relationships/hyperlink" Target="https://greatergiving.atlassian.net/browse/GGO-13981" TargetMode="External"/><Relationship Id="rId5" Type="http://schemas.openxmlformats.org/officeDocument/2006/relationships/hyperlink" Target="https://greatergiving.atlassian.net/browse/GGO-14204" TargetMode="External"/><Relationship Id="rId15" Type="http://schemas.openxmlformats.org/officeDocument/2006/relationships/hyperlink" Target="https://greatergiving.atlassian.net/browse/PAPI-726" TargetMode="External"/><Relationship Id="rId10" Type="http://schemas.openxmlformats.org/officeDocument/2006/relationships/hyperlink" Target="https://dev.azure.com/greatergiving/Greater%20Giving/_git/GGO/pullrequest/7665" TargetMode="External"/><Relationship Id="rId4" Type="http://schemas.openxmlformats.org/officeDocument/2006/relationships/hyperlink" Target="https://greatergiving.atlassian.net/browse/GGO-14038" TargetMode="External"/><Relationship Id="rId9" Type="http://schemas.openxmlformats.org/officeDocument/2006/relationships/hyperlink" Target="https://greatergiving.atlassian.net/browse/PAPI-721" TargetMode="External"/><Relationship Id="rId14" Type="http://schemas.openxmlformats.org/officeDocument/2006/relationships/hyperlink" Target="https://greatergiving.atlassian.net/browse/GGO-14201" TargetMode="External"/></Relationships>
</file>

<file path=xl/worksheets/_rels/sheet94.xml.rels><?xml version="1.0" encoding="UTF-8" standalone="yes"?>
<Relationships xmlns="http://schemas.openxmlformats.org/package/2006/relationships"><Relationship Id="rId8" Type="http://schemas.openxmlformats.org/officeDocument/2006/relationships/hyperlink" Target="https://greatergiving.atlassian.net/browse/GGO-13993" TargetMode="External"/><Relationship Id="rId3" Type="http://schemas.openxmlformats.org/officeDocument/2006/relationships/hyperlink" Target="https://dev.azure.com/greatergiving/Greater%20Giving/_git/GGO/pullrequest/7665" TargetMode="External"/><Relationship Id="rId7" Type="http://schemas.openxmlformats.org/officeDocument/2006/relationships/hyperlink" Target="https://greatergiving.atlassian.net/browse/GGO-13982" TargetMode="External"/><Relationship Id="rId2" Type="http://schemas.openxmlformats.org/officeDocument/2006/relationships/hyperlink" Target="https://greatergiving.visualstudio.com/Greater%20Giving/_git/GGO/pullrequest/7669" TargetMode="External"/><Relationship Id="rId1" Type="http://schemas.openxmlformats.org/officeDocument/2006/relationships/hyperlink" Target="https://greatergiving.atlassian.net/browse/GGO-13981" TargetMode="External"/><Relationship Id="rId6" Type="http://schemas.openxmlformats.org/officeDocument/2006/relationships/hyperlink" Target="https://greatergiving.atlassian.net/browse/GGO-13947" TargetMode="External"/><Relationship Id="rId11" Type="http://schemas.openxmlformats.org/officeDocument/2006/relationships/hyperlink" Target="https://greatergiving.atlassian.net/browse/PAPI-721" TargetMode="External"/><Relationship Id="rId5" Type="http://schemas.openxmlformats.org/officeDocument/2006/relationships/hyperlink" Target="https://dev.azure.com/greatergiving/Greater%20Giving/_git/GGO/pullrequest/7658" TargetMode="External"/><Relationship Id="rId10" Type="http://schemas.openxmlformats.org/officeDocument/2006/relationships/hyperlink" Target="https://greatergiving.atlassian.net/browse/GGO-14201" TargetMode="External"/><Relationship Id="rId4" Type="http://schemas.openxmlformats.org/officeDocument/2006/relationships/hyperlink" Target="https://dev.azure.com/greatergiving/Greater%20Giving/_git/GGO/pullrequest/7663" TargetMode="External"/><Relationship Id="rId9" Type="http://schemas.openxmlformats.org/officeDocument/2006/relationships/hyperlink" Target="https://greatergiving.atlassian.net/browse/GGO-14185" TargetMode="External"/></Relationships>
</file>

<file path=xl/worksheets/_rels/sheet96.xml.rels><?xml version="1.0" encoding="UTF-8" standalone="yes"?>
<Relationships xmlns="http://schemas.openxmlformats.org/package/2006/relationships"><Relationship Id="rId8" Type="http://schemas.openxmlformats.org/officeDocument/2006/relationships/hyperlink" Target="https://greatergiving.atlassian.net/browse/GGO-14169" TargetMode="External"/><Relationship Id="rId13" Type="http://schemas.openxmlformats.org/officeDocument/2006/relationships/hyperlink" Target="https://dev.azure.com/greatergiving/Greater%20Giving/_git/GGO/pullrequest/7641" TargetMode="External"/><Relationship Id="rId3" Type="http://schemas.openxmlformats.org/officeDocument/2006/relationships/hyperlink" Target="https://dev.azure.com/greatergiving/Greater%20Giving/_git/GGO/pullrequest/7629" TargetMode="External"/><Relationship Id="rId7" Type="http://schemas.openxmlformats.org/officeDocument/2006/relationships/hyperlink" Target="https://greatergiving.atlassian.net/browse/GGO-13998" TargetMode="External"/><Relationship Id="rId12" Type="http://schemas.openxmlformats.org/officeDocument/2006/relationships/hyperlink" Target="https://dev.azure.com/greatergiving/Greater%20Giving/_git/GGO/pullrequest/7628" TargetMode="External"/><Relationship Id="rId2" Type="http://schemas.openxmlformats.org/officeDocument/2006/relationships/hyperlink" Target="https://greatergiving.atlassian.net/browse/GGO-13939" TargetMode="External"/><Relationship Id="rId1" Type="http://schemas.openxmlformats.org/officeDocument/2006/relationships/hyperlink" Target="https://greatergiving.atlassian.net/browse/GGO-13939" TargetMode="External"/><Relationship Id="rId6" Type="http://schemas.openxmlformats.org/officeDocument/2006/relationships/hyperlink" Target="https://greatergiving.atlassian.net/browse/GGO-13856" TargetMode="External"/><Relationship Id="rId11" Type="http://schemas.openxmlformats.org/officeDocument/2006/relationships/hyperlink" Target="https://greatergiving.atlassian.net/browse/GGO-14004" TargetMode="External"/><Relationship Id="rId5" Type="http://schemas.openxmlformats.org/officeDocument/2006/relationships/hyperlink" Target="https://greatergiving.atlassian.net/browse/PAPI-716" TargetMode="External"/><Relationship Id="rId10" Type="http://schemas.openxmlformats.org/officeDocument/2006/relationships/hyperlink" Target="https://greatergiving.atlassian.net/browse/GGO-13947" TargetMode="External"/><Relationship Id="rId4" Type="http://schemas.openxmlformats.org/officeDocument/2006/relationships/hyperlink" Target="https://greatergiving.atlassian.net/browse/GGO-14062" TargetMode="External"/><Relationship Id="rId9" Type="http://schemas.openxmlformats.org/officeDocument/2006/relationships/hyperlink" Target="https://greatergiving.atlassian.net/browse/PAPI-710" TargetMode="External"/></Relationships>
</file>

<file path=xl/worksheets/_rels/sheet98.xml.rels><?xml version="1.0" encoding="UTF-8" standalone="yes"?>
<Relationships xmlns="http://schemas.openxmlformats.org/package/2006/relationships"><Relationship Id="rId8" Type="http://schemas.openxmlformats.org/officeDocument/2006/relationships/hyperlink" Target="https://greatergiving.atlassian.net/browse/GGO-14062" TargetMode="External"/><Relationship Id="rId3" Type="http://schemas.openxmlformats.org/officeDocument/2006/relationships/hyperlink" Target="https://greatergiving.atlassian.net/browse/GGO-13939" TargetMode="External"/><Relationship Id="rId7" Type="http://schemas.openxmlformats.org/officeDocument/2006/relationships/hyperlink" Target="https://greatergiving.visualstudio.com/Greater%20Giving/_git/PAPI/pullrequest/7613" TargetMode="External"/><Relationship Id="rId12" Type="http://schemas.openxmlformats.org/officeDocument/2006/relationships/hyperlink" Target="https://greatergiving.atlassian.net/browse/PAPI-713" TargetMode="External"/><Relationship Id="rId2" Type="http://schemas.openxmlformats.org/officeDocument/2006/relationships/hyperlink" Target="https://greatergiving.atlassian.net/browse/GGO-13981" TargetMode="External"/><Relationship Id="rId1" Type="http://schemas.openxmlformats.org/officeDocument/2006/relationships/hyperlink" Target="https://greatergiving.atlassian.net/browse/GGO-13948" TargetMode="External"/><Relationship Id="rId6" Type="http://schemas.openxmlformats.org/officeDocument/2006/relationships/hyperlink" Target="https://greatergiving.atlassian.net/browse/GGO-13939" TargetMode="External"/><Relationship Id="rId11" Type="http://schemas.openxmlformats.org/officeDocument/2006/relationships/hyperlink" Target="https://greatergiving.visualstudio.com/Greater%20Giving/_git/PAPI/pullrequest/7598" TargetMode="External"/><Relationship Id="rId5" Type="http://schemas.openxmlformats.org/officeDocument/2006/relationships/hyperlink" Target="https://dev.azure.com/greatergiving/Greater%20Giving/_git/GGO/pullrequest/7592" TargetMode="External"/><Relationship Id="rId10" Type="http://schemas.openxmlformats.org/officeDocument/2006/relationships/hyperlink" Target="https://greatergiving.atlassian.net/browse/PAPI-716" TargetMode="External"/><Relationship Id="rId4" Type="http://schemas.openxmlformats.org/officeDocument/2006/relationships/hyperlink" Target="https://dev.azure.com/greatergiving/Greater%20Giving/_git/GGO/pullrequest/7599" TargetMode="External"/><Relationship Id="rId9" Type="http://schemas.openxmlformats.org/officeDocument/2006/relationships/hyperlink" Target="https://greatergiving.atlassian.net/browse/GGO-13939" TargetMode="External"/></Relationships>
</file>

<file path=xl/worksheets/_rels/sheet99.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567" TargetMode="External"/><Relationship Id="rId3" Type="http://schemas.openxmlformats.org/officeDocument/2006/relationships/hyperlink" Target="https://greatergiving.atlassian.net/browse/GGO-13939" TargetMode="External"/><Relationship Id="rId7" Type="http://schemas.openxmlformats.org/officeDocument/2006/relationships/hyperlink" Target="https://greatergiving.atlassian.net/browse/GGO-14005" TargetMode="External"/><Relationship Id="rId2" Type="http://schemas.openxmlformats.org/officeDocument/2006/relationships/hyperlink" Target="https://greatergiving.atlassian.net/browse/GGO-13981" TargetMode="External"/><Relationship Id="rId1" Type="http://schemas.openxmlformats.org/officeDocument/2006/relationships/hyperlink" Target="https://greatergiving.atlassian.net/browse/GGO-13948" TargetMode="External"/><Relationship Id="rId6" Type="http://schemas.openxmlformats.org/officeDocument/2006/relationships/hyperlink" Target="https://greatergiving.atlassian.net/browse/GGO-14005" TargetMode="External"/><Relationship Id="rId5" Type="http://schemas.openxmlformats.org/officeDocument/2006/relationships/hyperlink" Target="https://dev.azure.com/greatergiving/Greater%20Giving/_git/PAPI/pullrequest/7584" TargetMode="External"/><Relationship Id="rId4" Type="http://schemas.openxmlformats.org/officeDocument/2006/relationships/hyperlink" Target="https://dev.azure.com/greatergiving/Greater%20Giving/_git/GGO/pullrequest/7553" TargetMode="External"/></Relationships>
</file>

<file path=xl/worksheets/_rels/sheet102.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527" TargetMode="External"/><Relationship Id="rId3" Type="http://schemas.openxmlformats.org/officeDocument/2006/relationships/hyperlink" Target="https://dev.azure.com/greatergiving/Greater%20Giving/_git/GGO/pullrequest/7521" TargetMode="External"/><Relationship Id="rId7" Type="http://schemas.openxmlformats.org/officeDocument/2006/relationships/hyperlink" Target="https://greatergiving.atlassian.net/browse/GGO-13983" TargetMode="External"/><Relationship Id="rId2" Type="http://schemas.openxmlformats.org/officeDocument/2006/relationships/hyperlink" Target="https://greatergiving.atlassian.net/browse/GGO-13981" TargetMode="External"/><Relationship Id="rId1" Type="http://schemas.openxmlformats.org/officeDocument/2006/relationships/hyperlink" Target="https://greatergiving.atlassian.net/browse/GGO-13948" TargetMode="External"/><Relationship Id="rId6" Type="http://schemas.openxmlformats.org/officeDocument/2006/relationships/hyperlink" Target="https://greatergiving.atlassian.net/browse/GGO-13985" TargetMode="External"/><Relationship Id="rId5" Type="http://schemas.openxmlformats.org/officeDocument/2006/relationships/hyperlink" Target="https://greatergiving.atlassian.net/browse/GGO-13939" TargetMode="External"/><Relationship Id="rId4" Type="http://schemas.openxmlformats.org/officeDocument/2006/relationships/hyperlink" Target="https://dev.azure.com/greatergiving/Greater%20Giving/_git/GGO/pullrequest/7516" TargetMode="External"/></Relationships>
</file>

<file path=xl/worksheets/_rels/sheet103.xml.rels><?xml version="1.0" encoding="UTF-8" standalone="yes"?>
<Relationships xmlns="http://schemas.openxmlformats.org/package/2006/relationships"><Relationship Id="rId8" Type="http://schemas.openxmlformats.org/officeDocument/2006/relationships/hyperlink" Target="https://greatergiving.atlassian.net/browse/GGO-13981" TargetMode="External"/><Relationship Id="rId3" Type="http://schemas.openxmlformats.org/officeDocument/2006/relationships/hyperlink" Target="https://greatergiving.atlassian.net/browse/PAPI-708" TargetMode="External"/><Relationship Id="rId7" Type="http://schemas.openxmlformats.org/officeDocument/2006/relationships/hyperlink" Target="https://greatergiving.visualstudio.com/Greater%20Giving/_git/GGO/pullrequest/7498" TargetMode="External"/><Relationship Id="rId2" Type="http://schemas.openxmlformats.org/officeDocument/2006/relationships/hyperlink" Target="https://greatergiving.atlassian.net/browse/GGO-13940" TargetMode="External"/><Relationship Id="rId1" Type="http://schemas.openxmlformats.org/officeDocument/2006/relationships/hyperlink" Target="https://greatergiving.atlassian.net/browse/GGO-13836" TargetMode="External"/><Relationship Id="rId6" Type="http://schemas.openxmlformats.org/officeDocument/2006/relationships/hyperlink" Target="https://greatergiving.visualstudio.com/Greater%20Giving/_git/GGO/pullrequest/7501" TargetMode="External"/><Relationship Id="rId5" Type="http://schemas.openxmlformats.org/officeDocument/2006/relationships/hyperlink" Target="https://greatergiving.atlassian.net/browse/GGO-13948" TargetMode="External"/><Relationship Id="rId10" Type="http://schemas.openxmlformats.org/officeDocument/2006/relationships/hyperlink" Target="https://dev.azure.com/greatergiving/Greater%20Giving/_git/GGO/pullrequest/7516" TargetMode="External"/><Relationship Id="rId4" Type="http://schemas.openxmlformats.org/officeDocument/2006/relationships/hyperlink" Target="https://greatergiving.atlassian.net/browse/PAPI-702" TargetMode="External"/><Relationship Id="rId9" Type="http://schemas.openxmlformats.org/officeDocument/2006/relationships/hyperlink" Target="https://dev.azure.com/greatergiving/Greater%20Giving/_git/GGO/pullrequest/7521" TargetMode="External"/></Relationships>
</file>

<file path=xl/worksheets/_rels/sheet106.xml.rels><?xml version="1.0" encoding="UTF-8" standalone="yes"?>
<Relationships xmlns="http://schemas.openxmlformats.org/package/2006/relationships"><Relationship Id="rId8" Type="http://schemas.openxmlformats.org/officeDocument/2006/relationships/hyperlink" Target="https://greatergiving.atlassian.net/browse/GGO-13857" TargetMode="External"/><Relationship Id="rId3" Type="http://schemas.openxmlformats.org/officeDocument/2006/relationships/hyperlink" Target="https://greatergiving.visualstudio.com/Greater%20Giving/_git/GGO/pullrequest/7469" TargetMode="External"/><Relationship Id="rId7" Type="http://schemas.openxmlformats.org/officeDocument/2006/relationships/hyperlink" Target="https://greatergiving.atlassian.net/browse/GGO-13927" TargetMode="External"/><Relationship Id="rId2" Type="http://schemas.openxmlformats.org/officeDocument/2006/relationships/hyperlink" Target="https://dev.azure.com/greatergiving/Greater%20Giving/_git/GGO/pullrequest/7465" TargetMode="External"/><Relationship Id="rId1" Type="http://schemas.openxmlformats.org/officeDocument/2006/relationships/hyperlink" Target="https://greatergiving.visualstudio.com/Greater%20Giving/_git/GGO/pullrequest/7453" TargetMode="External"/><Relationship Id="rId6" Type="http://schemas.openxmlformats.org/officeDocument/2006/relationships/hyperlink" Target="https://greatergiving.atlassian.net/browse/GGO-13938" TargetMode="External"/><Relationship Id="rId5" Type="http://schemas.openxmlformats.org/officeDocument/2006/relationships/hyperlink" Target="https://greatergiving.atlassian.net/browse/GGO-13834" TargetMode="External"/><Relationship Id="rId4" Type="http://schemas.openxmlformats.org/officeDocument/2006/relationships/hyperlink" Target="https://dev.azure.com/greatergiving/Greater%20Giving/_git/GGO/pullrequest/7454" TargetMode="External"/><Relationship Id="rId9" Type="http://schemas.openxmlformats.org/officeDocument/2006/relationships/hyperlink" Target="https://dev.azure.com/greatergiving/Greater%20Giving/_git/GGO/pullrequest/7466" TargetMode="External"/></Relationships>
</file>

<file path=xl/worksheets/_rels/sheet108.xml.rels><?xml version="1.0" encoding="UTF-8" standalone="yes"?>
<Relationships xmlns="http://schemas.openxmlformats.org/package/2006/relationships"><Relationship Id="rId3" Type="http://schemas.openxmlformats.org/officeDocument/2006/relationships/hyperlink" Target="https://dev.azure.com/greatergiving/Greater%20Giving/_git/PAPI/pullrequest/7437" TargetMode="External"/><Relationship Id="rId2" Type="http://schemas.openxmlformats.org/officeDocument/2006/relationships/hyperlink" Target="https://greatergiving.visualstudio.com/Greater%20Giving/_git/GGO/pullrequest/7439" TargetMode="External"/><Relationship Id="rId1" Type="http://schemas.openxmlformats.org/officeDocument/2006/relationships/hyperlink" Target="https://dev.azure.com/greatergiving/Greater%20Giving/_git/GGO/pullrequest/7442" TargetMode="External"/><Relationship Id="rId6" Type="http://schemas.openxmlformats.org/officeDocument/2006/relationships/hyperlink" Target="https://greatergiving.atlassian.net/browse/GGO-13785" TargetMode="External"/><Relationship Id="rId5" Type="http://schemas.openxmlformats.org/officeDocument/2006/relationships/hyperlink" Target="https://greatergiving.atlassian.net/browse/GGO-13816" TargetMode="External"/><Relationship Id="rId4" Type="http://schemas.openxmlformats.org/officeDocument/2006/relationships/hyperlink" Target="https://dev.azure.com/greatergiving/Greater%20Giving/_git/GGO/pullrequest/7422"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https://greatergiving.atlassian.net/browse/GGO-13837" TargetMode="External"/></Relationships>
</file>

<file path=xl/worksheets/_rels/sheet110.xml.rels><?xml version="1.0" encoding="UTF-8" standalone="yes"?>
<Relationships xmlns="http://schemas.openxmlformats.org/package/2006/relationships"><Relationship Id="rId3" Type="http://schemas.openxmlformats.org/officeDocument/2006/relationships/hyperlink" Target="https://greatergiving.visualstudio.com/Greater%20Giving/_git/GGO/pullrequest/7364" TargetMode="External"/><Relationship Id="rId2" Type="http://schemas.openxmlformats.org/officeDocument/2006/relationships/hyperlink" Target="https://greatergiving.visualstudio.com/Greater%20Giving/_git/GGO/pullrequest/7370" TargetMode="External"/><Relationship Id="rId1" Type="http://schemas.openxmlformats.org/officeDocument/2006/relationships/hyperlink" Target="https://dev.azure.com/greatergiving/Greater%20Giving/_git/GGO/pullrequest/7366" TargetMode="External"/><Relationship Id="rId6" Type="http://schemas.openxmlformats.org/officeDocument/2006/relationships/hyperlink" Target="https://greatergiving.atlassian.net/browse/GGO-13737" TargetMode="External"/><Relationship Id="rId5" Type="http://schemas.openxmlformats.org/officeDocument/2006/relationships/hyperlink" Target="https://greatergiving.atlassian.net/browse/GGO-13816" TargetMode="External"/><Relationship Id="rId4" Type="http://schemas.openxmlformats.org/officeDocument/2006/relationships/hyperlink" Target="https://greatergiving.visualstudio.com/Greater%20Giving/_git/GGO/pullrequest/7383" TargetMode="External"/></Relationships>
</file>

<file path=xl/worksheets/_rels/sheet111.xml.rels><?xml version="1.0" encoding="UTF-8" standalone="yes"?>
<Relationships xmlns="http://schemas.openxmlformats.org/package/2006/relationships"><Relationship Id="rId3" Type="http://schemas.openxmlformats.org/officeDocument/2006/relationships/hyperlink" Target="https://greatergiving.atlassian.net/browse/GGO-13835" TargetMode="External"/><Relationship Id="rId2" Type="http://schemas.openxmlformats.org/officeDocument/2006/relationships/hyperlink" Target="https://greatergiving.atlassian.net/browse/GGO-13838" TargetMode="External"/><Relationship Id="rId1" Type="http://schemas.openxmlformats.org/officeDocument/2006/relationships/hyperlink" Target="https://greatergiving.atlassian.net/browse/GGO-13837" TargetMode="External"/></Relationships>
</file>

<file path=xl/worksheets/_rels/sheet112.xml.rels><?xml version="1.0" encoding="UTF-8" standalone="yes"?>
<Relationships xmlns="http://schemas.openxmlformats.org/package/2006/relationships"><Relationship Id="rId8" Type="http://schemas.openxmlformats.org/officeDocument/2006/relationships/hyperlink" Target="https://greatergiving.visualstudio.com/Greater%20Giving/_git/GGO/pullrequest/7364" TargetMode="External"/><Relationship Id="rId3" Type="http://schemas.openxmlformats.org/officeDocument/2006/relationships/hyperlink" Target="https://dev.azure.com/greatergiving/Greater%20Giving/_git/GGO/pullrequest/7358" TargetMode="External"/><Relationship Id="rId7" Type="http://schemas.openxmlformats.org/officeDocument/2006/relationships/hyperlink" Target="https://greatergiving.visualstudio.com/Greater%20Giving/_git/GGO/pullrequest/7352" TargetMode="External"/><Relationship Id="rId2" Type="http://schemas.openxmlformats.org/officeDocument/2006/relationships/hyperlink" Target="https://dev.azure.com/greatergiving/Greater%20Giving/_git/GGO/pullrequest/7345" TargetMode="External"/><Relationship Id="rId1" Type="http://schemas.openxmlformats.org/officeDocument/2006/relationships/hyperlink" Target="https://dev.azure.com/greatergiving/Greater%20Giving/_git/GGO/pullrequest/7344" TargetMode="External"/><Relationship Id="rId6" Type="http://schemas.openxmlformats.org/officeDocument/2006/relationships/hyperlink" Target="https://greatergiving.visualstudio.com/Greater%20Giving/_git/GGO/pullrequest/7347" TargetMode="External"/><Relationship Id="rId5" Type="http://schemas.openxmlformats.org/officeDocument/2006/relationships/hyperlink" Target="https://greatergiving.atlassian.net/browse/GGO-13703" TargetMode="External"/><Relationship Id="rId4" Type="http://schemas.openxmlformats.org/officeDocument/2006/relationships/hyperlink" Target="https://greatergiving.atlassian.net/browse/GGO-13703" TargetMode="External"/><Relationship Id="rId9" Type="http://schemas.openxmlformats.org/officeDocument/2006/relationships/hyperlink" Target="https://greatergiving.visualstudio.com/Greater%20Giving/_git/GGO/pullrequest/7346" TargetMode="External"/></Relationships>
</file>

<file path=xl/worksheets/_rels/sheet113.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316" TargetMode="External"/><Relationship Id="rId2" Type="http://schemas.openxmlformats.org/officeDocument/2006/relationships/hyperlink" Target="https://dev.azure.com/greatergiving/Greater%20Giving/_git/GGO/pullrequest/7306" TargetMode="External"/><Relationship Id="rId1" Type="http://schemas.openxmlformats.org/officeDocument/2006/relationships/hyperlink" Target="https://greatergiving.visualstudio.com/Greater%20Giving/_git/GGO/pullrequest/7317" TargetMode="External"/><Relationship Id="rId5" Type="http://schemas.openxmlformats.org/officeDocument/2006/relationships/hyperlink" Target="https://dev.azure.com/greatergiving/Greater%20Giving/_git/GGO/pullrequest/7330" TargetMode="External"/><Relationship Id="rId4" Type="http://schemas.openxmlformats.org/officeDocument/2006/relationships/hyperlink" Target="https://dev.azure.com/greatergiving/Greater%20Giving/_git/GGO/pullrequest/7316" TargetMode="External"/></Relationships>
</file>

<file path=xl/worksheets/_rels/sheet114.xml.rels><?xml version="1.0" encoding="UTF-8" standalone="yes"?>
<Relationships xmlns="http://schemas.openxmlformats.org/package/2006/relationships"><Relationship Id="rId3" Type="http://schemas.openxmlformats.org/officeDocument/2006/relationships/hyperlink" Target="https://greatergiving.atlassian.net/browse/GGO-13828" TargetMode="External"/><Relationship Id="rId2" Type="http://schemas.openxmlformats.org/officeDocument/2006/relationships/hyperlink" Target="https://greatergiving.atlassian.net/browse/GGO-13825" TargetMode="External"/><Relationship Id="rId1" Type="http://schemas.openxmlformats.org/officeDocument/2006/relationships/hyperlink" Target="https://greatergiving.atlassian.net/browse/GGO-13821" TargetMode="External"/></Relationships>
</file>

<file path=xl/worksheets/_rels/sheet116.xml.rels><?xml version="1.0" encoding="UTF-8" standalone="yes"?>
<Relationships xmlns="http://schemas.openxmlformats.org/package/2006/relationships"><Relationship Id="rId8" Type="http://schemas.openxmlformats.org/officeDocument/2006/relationships/hyperlink" Target="https://greatergiving.atlassian.net/browse/GGO-13696" TargetMode="External"/><Relationship Id="rId13" Type="http://schemas.openxmlformats.org/officeDocument/2006/relationships/hyperlink" Target="https://greatergiving.atlassian.net/browse/GGO-13702" TargetMode="External"/><Relationship Id="rId3" Type="http://schemas.openxmlformats.org/officeDocument/2006/relationships/hyperlink" Target="https://greatergiving.atlassian.net/browse/GGO-13735" TargetMode="External"/><Relationship Id="rId7" Type="http://schemas.openxmlformats.org/officeDocument/2006/relationships/hyperlink" Target="https://dev.azure.com/greatergiving/Greater%20Giving/_git/GGO/pullrequest/7264" TargetMode="External"/><Relationship Id="rId12" Type="http://schemas.openxmlformats.org/officeDocument/2006/relationships/hyperlink" Target="https://greatergiving.atlassian.net/browse/GGO-13774" TargetMode="External"/><Relationship Id="rId2" Type="http://schemas.openxmlformats.org/officeDocument/2006/relationships/hyperlink" Target="https://dev.azure.com/greatergiving/Greater%20Giving/_git/GGO/pullrequest/7229" TargetMode="External"/><Relationship Id="rId1" Type="http://schemas.openxmlformats.org/officeDocument/2006/relationships/hyperlink" Target="https://greatergiving.atlassian.net/browse/GGO-13143" TargetMode="External"/><Relationship Id="rId6" Type="http://schemas.openxmlformats.org/officeDocument/2006/relationships/hyperlink" Target="https://greatergiving.atlassian.net/browse/GGO-13770" TargetMode="External"/><Relationship Id="rId11" Type="http://schemas.openxmlformats.org/officeDocument/2006/relationships/hyperlink" Target="https://dev.azure.com/greatergiving/Greater%20Giving/_git/GGO/pullrequest/7273" TargetMode="External"/><Relationship Id="rId5" Type="http://schemas.openxmlformats.org/officeDocument/2006/relationships/hyperlink" Target="https://greatergiving.atlassian.net/browse/GGO-13740" TargetMode="External"/><Relationship Id="rId10" Type="http://schemas.openxmlformats.org/officeDocument/2006/relationships/hyperlink" Target="https://greatergiving.atlassian.net/browse/GGO-13736" TargetMode="External"/><Relationship Id="rId4" Type="http://schemas.openxmlformats.org/officeDocument/2006/relationships/hyperlink" Target="https://dev.azure.com/greatergiving/Greater%20Giving/_git/GGO/pullrequest/7279" TargetMode="External"/><Relationship Id="rId9" Type="http://schemas.openxmlformats.org/officeDocument/2006/relationships/hyperlink" Target="https://dev.azure.com/greatergiving/Greater%20Giving/_git/GGO/pullrequest/7285" TargetMode="External"/></Relationships>
</file>

<file path=xl/worksheets/_rels/sheet117.xml.rels><?xml version="1.0" encoding="UTF-8" standalone="yes"?>
<Relationships xmlns="http://schemas.openxmlformats.org/package/2006/relationships"><Relationship Id="rId2" Type="http://schemas.openxmlformats.org/officeDocument/2006/relationships/hyperlink" Target="https://greatergiving.atlassian.net/browse/GGO-13780" TargetMode="External"/><Relationship Id="rId1" Type="http://schemas.openxmlformats.org/officeDocument/2006/relationships/hyperlink" Target="https://greatergiving.atlassian.net/browse/GGO-13775" TargetMode="External"/></Relationships>
</file>

<file path=xl/worksheets/_rels/sheet118.xml.rels><?xml version="1.0" encoding="UTF-8" standalone="yes"?>
<Relationships xmlns="http://schemas.openxmlformats.org/package/2006/relationships"><Relationship Id="rId3" Type="http://schemas.openxmlformats.org/officeDocument/2006/relationships/hyperlink" Target="https://dev.azure.com/greatergiving/Greater%20Giving/_git/GGO/pullrequest/7231" TargetMode="External"/><Relationship Id="rId2" Type="http://schemas.openxmlformats.org/officeDocument/2006/relationships/hyperlink" Target="https://greatergiving.visualstudio.com/Greater%20Giving/_git/GGO/pullrequest/7224" TargetMode="External"/><Relationship Id="rId1" Type="http://schemas.openxmlformats.org/officeDocument/2006/relationships/hyperlink" Target="https://greatergiving.visualstudio.com/Greater%20Giving/_git/GGO/pullrequest/7252" TargetMode="External"/><Relationship Id="rId5" Type="http://schemas.openxmlformats.org/officeDocument/2006/relationships/hyperlink" Target="https://dev.azure.com/greatergiving/Greater%20Giving/_git/GGO/pullrequest/7216" TargetMode="External"/><Relationship Id="rId4" Type="http://schemas.openxmlformats.org/officeDocument/2006/relationships/hyperlink" Target="https://dev.azure.com/greatergiving/Greater%20Giving/_git/GGO/pullrequest/72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62"/>
  <sheetViews>
    <sheetView showGridLines="0" workbookViewId="0">
      <pane ySplit="2" topLeftCell="J60" activePane="bottomLeft" state="frozen"/>
      <selection pane="bottomLeft" activeCell="N61" sqref="N61"/>
    </sheetView>
  </sheetViews>
  <sheetFormatPr defaultColWidth="12.5703125" defaultRowHeight="12.75"/>
  <cols>
    <col min="1" max="1" width="12.5703125" style="547"/>
    <col min="2" max="2" width="18.85546875" style="547" customWidth="1"/>
    <col min="3" max="3" width="14.85546875" style="547" customWidth="1"/>
    <col min="4" max="4" width="12.85546875" style="547" customWidth="1"/>
    <col min="5" max="5" width="16.42578125" style="568" customWidth="1"/>
    <col min="6" max="6" width="12.5703125" style="547" customWidth="1"/>
    <col min="7" max="7" width="26.7109375" style="569" customWidth="1"/>
    <col min="8" max="8" width="44" style="569" customWidth="1"/>
    <col min="9" max="10" width="79.42578125" style="547" customWidth="1"/>
    <col min="11" max="11" width="60.42578125" style="547" customWidth="1"/>
    <col min="12" max="13" width="12.5703125" style="547"/>
    <col min="14" max="14" width="17" style="547" customWidth="1"/>
    <col min="15" max="15" width="20.5703125" style="547" customWidth="1"/>
    <col min="16" max="16384" width="12.5703125" style="547"/>
  </cols>
  <sheetData>
    <row r="1" spans="1:16" s="479" customFormat="1">
      <c r="A1" s="515" t="s">
        <v>0</v>
      </c>
      <c r="B1" s="516" t="str" cm="1">
        <f t="array" aca="1" ref="B1" ca="1">INDEX($B$2:$B$99,MATCH(1,(($D$2:$D$99 &gt;=TODAY())*($C$2:$C$99&lt;=TODAY())),0))</f>
        <v>GGO 8.4.0 Sprint 4</v>
      </c>
      <c r="C1" s="515" t="s">
        <v>1</v>
      </c>
      <c r="D1" s="517" t="str">
        <f ca="1">CONCATENATE(B1,"-Status")</f>
        <v>GGO 8.4.0 Sprint 4-Status</v>
      </c>
      <c r="E1" s="518" t="s">
        <v>2</v>
      </c>
      <c r="F1" s="517">
        <f ca="1">VLOOKUP($B$1,$B$1:$C$99,2)</f>
        <v>46156</v>
      </c>
      <c r="G1" s="519" t="s">
        <v>3</v>
      </c>
      <c r="H1" s="517">
        <f ca="1">VLOOKUP($B$1,$B$1:$D$99,3)</f>
        <v>46170</v>
      </c>
      <c r="I1" s="520" t="s">
        <v>4</v>
      </c>
      <c r="J1" s="516" t="s">
        <v>5</v>
      </c>
      <c r="K1" s="521" t="s">
        <v>6</v>
      </c>
      <c r="L1" s="278" t="s">
        <v>7</v>
      </c>
      <c r="M1" s="479" t="s">
        <v>8</v>
      </c>
      <c r="N1" s="522" t="s">
        <v>9</v>
      </c>
    </row>
    <row r="2" spans="1:16" s="479" customFormat="1" ht="27">
      <c r="A2" s="57" t="s">
        <v>10</v>
      </c>
      <c r="B2" s="57" t="s">
        <v>11</v>
      </c>
      <c r="C2" s="57" t="s">
        <v>2</v>
      </c>
      <c r="D2" s="57" t="s">
        <v>3</v>
      </c>
      <c r="E2" s="57" t="s">
        <v>12</v>
      </c>
      <c r="F2" s="57" t="s">
        <v>13</v>
      </c>
      <c r="G2" s="523" t="s">
        <v>14</v>
      </c>
      <c r="H2" s="452" t="s">
        <v>15</v>
      </c>
      <c r="I2" s="57" t="s">
        <v>16</v>
      </c>
      <c r="J2" s="57" t="s">
        <v>17</v>
      </c>
      <c r="K2" s="57" t="s">
        <v>18</v>
      </c>
      <c r="L2" s="524" t="s">
        <v>19</v>
      </c>
      <c r="M2" s="524" t="s">
        <v>20</v>
      </c>
      <c r="N2" s="57" t="s">
        <v>21</v>
      </c>
      <c r="O2" s="57" t="s">
        <v>22</v>
      </c>
      <c r="P2" s="57" t="s">
        <v>23</v>
      </c>
    </row>
    <row r="3" spans="1:16" s="479" customFormat="1" ht="27">
      <c r="A3" s="525" t="str">
        <f ca="1">IF(AND($D$1&gt;=C3,$D$1&lt;=D3),"CurrentSprint","NA")</f>
        <v>NA</v>
      </c>
      <c r="B3" s="525" t="s">
        <v>24</v>
      </c>
      <c r="C3" s="526">
        <v>45303</v>
      </c>
      <c r="D3" s="526">
        <v>45316</v>
      </c>
      <c r="E3" s="527">
        <v>17</v>
      </c>
      <c r="F3" s="527">
        <v>15</v>
      </c>
      <c r="G3" s="528">
        <v>7</v>
      </c>
      <c r="H3" s="525"/>
      <c r="I3" s="525"/>
      <c r="J3" s="525" t="s">
        <v>25</v>
      </c>
      <c r="K3" s="529" t="s">
        <v>26</v>
      </c>
      <c r="L3" s="525"/>
      <c r="M3" s="530"/>
    </row>
    <row r="4" spans="1:16" s="479" customFormat="1" ht="94.5">
      <c r="A4" s="525" t="str">
        <f t="shared" ref="A4:A25" ca="1" si="0">IF(AND($D$1&gt;=C4,$D$1&lt;=D4),"CurrentSprint","NA")</f>
        <v>NA</v>
      </c>
      <c r="B4" s="525" t="s">
        <v>27</v>
      </c>
      <c r="C4" s="526">
        <v>45317</v>
      </c>
      <c r="D4" s="526">
        <v>45330</v>
      </c>
      <c r="E4" s="527">
        <v>17</v>
      </c>
      <c r="F4" s="527">
        <v>14</v>
      </c>
      <c r="G4" s="528">
        <v>3</v>
      </c>
      <c r="H4" s="529"/>
      <c r="I4" s="529"/>
      <c r="J4" s="529" t="s">
        <v>28</v>
      </c>
      <c r="K4" s="529" t="s">
        <v>26</v>
      </c>
      <c r="L4" s="525"/>
      <c r="M4" s="530"/>
    </row>
    <row r="5" spans="1:16" s="479" customFormat="1" ht="67.5">
      <c r="A5" s="525" t="str">
        <f t="shared" ca="1" si="0"/>
        <v>NA</v>
      </c>
      <c r="B5" s="525" t="s">
        <v>29</v>
      </c>
      <c r="C5" s="526">
        <v>45331</v>
      </c>
      <c r="D5" s="526">
        <v>45344</v>
      </c>
      <c r="E5" s="527">
        <v>23</v>
      </c>
      <c r="F5" s="527">
        <v>22</v>
      </c>
      <c r="G5" s="528">
        <v>2</v>
      </c>
      <c r="H5" s="529"/>
      <c r="I5" s="529"/>
      <c r="J5" s="529" t="s">
        <v>30</v>
      </c>
      <c r="K5" s="529" t="s">
        <v>26</v>
      </c>
      <c r="L5" s="525"/>
      <c r="M5" s="530"/>
    </row>
    <row r="6" spans="1:16" s="479" customFormat="1" ht="67.5">
      <c r="A6" s="525" t="str">
        <f t="shared" ca="1" si="0"/>
        <v>NA</v>
      </c>
      <c r="B6" s="525" t="s">
        <v>31</v>
      </c>
      <c r="C6" s="526">
        <v>45345</v>
      </c>
      <c r="D6" s="526">
        <v>45358</v>
      </c>
      <c r="E6" s="527">
        <v>27</v>
      </c>
      <c r="F6" s="527">
        <v>23</v>
      </c>
      <c r="G6" s="528">
        <v>7</v>
      </c>
      <c r="H6" s="529"/>
      <c r="I6" s="529"/>
      <c r="J6" s="529" t="s">
        <v>32</v>
      </c>
      <c r="K6" s="529" t="s">
        <v>26</v>
      </c>
      <c r="L6" s="525"/>
      <c r="M6" s="530"/>
    </row>
    <row r="7" spans="1:16" s="479" customFormat="1" ht="40.5">
      <c r="A7" s="525" t="str">
        <f t="shared" ca="1" si="0"/>
        <v>NA</v>
      </c>
      <c r="B7" s="525" t="s">
        <v>33</v>
      </c>
      <c r="C7" s="531">
        <v>45359</v>
      </c>
      <c r="D7" s="531">
        <v>45372</v>
      </c>
      <c r="E7" s="527">
        <v>20</v>
      </c>
      <c r="F7" s="527">
        <v>16</v>
      </c>
      <c r="G7" s="528">
        <v>5</v>
      </c>
      <c r="H7" s="529"/>
      <c r="I7" s="525"/>
      <c r="J7" s="529" t="s">
        <v>34</v>
      </c>
      <c r="K7" s="529" t="s">
        <v>26</v>
      </c>
      <c r="L7" s="525"/>
      <c r="M7" s="530"/>
    </row>
    <row r="8" spans="1:16" s="479" customFormat="1" ht="225.75" customHeight="1">
      <c r="A8" s="525" t="str">
        <f t="shared" ca="1" si="0"/>
        <v>NA</v>
      </c>
      <c r="B8" s="525" t="s">
        <v>35</v>
      </c>
      <c r="C8" s="531">
        <v>45373</v>
      </c>
      <c r="D8" s="526">
        <v>45386</v>
      </c>
      <c r="E8" s="527">
        <v>14</v>
      </c>
      <c r="F8" s="527">
        <v>11</v>
      </c>
      <c r="G8" s="528">
        <v>3</v>
      </c>
      <c r="H8" s="532"/>
      <c r="I8" s="532"/>
      <c r="J8" s="532" t="s">
        <v>36</v>
      </c>
      <c r="K8" s="529" t="s">
        <v>26</v>
      </c>
      <c r="L8" s="525"/>
      <c r="M8" s="530"/>
    </row>
    <row r="9" spans="1:16" s="479" customFormat="1" ht="40.5">
      <c r="A9" s="525" t="str">
        <f t="shared" ca="1" si="0"/>
        <v>NA</v>
      </c>
      <c r="B9" s="525" t="s">
        <v>37</v>
      </c>
      <c r="C9" s="526">
        <v>45387</v>
      </c>
      <c r="D9" s="526">
        <v>45400</v>
      </c>
      <c r="E9" s="533">
        <v>19</v>
      </c>
      <c r="F9" s="533">
        <v>17</v>
      </c>
      <c r="G9" s="528">
        <v>0</v>
      </c>
      <c r="H9" s="532"/>
      <c r="I9" s="532"/>
      <c r="J9" s="532" t="s">
        <v>38</v>
      </c>
      <c r="K9" s="529" t="s">
        <v>26</v>
      </c>
      <c r="L9" s="525"/>
      <c r="M9" s="530"/>
    </row>
    <row r="10" spans="1:16" s="479" customFormat="1" ht="27">
      <c r="A10" s="525" t="str">
        <f t="shared" ca="1" si="0"/>
        <v>NA</v>
      </c>
      <c r="B10" s="525" t="s">
        <v>39</v>
      </c>
      <c r="C10" s="526">
        <v>45401</v>
      </c>
      <c r="D10" s="526">
        <v>45414</v>
      </c>
      <c r="E10" s="527">
        <v>18</v>
      </c>
      <c r="F10" s="527">
        <v>11</v>
      </c>
      <c r="G10" s="528">
        <v>0</v>
      </c>
      <c r="H10" s="529"/>
      <c r="I10" s="525"/>
      <c r="J10" s="529" t="s">
        <v>40</v>
      </c>
      <c r="K10" s="529" t="s">
        <v>26</v>
      </c>
      <c r="L10" s="525"/>
      <c r="M10" s="530"/>
    </row>
    <row r="11" spans="1:16" s="479" customFormat="1" ht="40.5">
      <c r="A11" s="525" t="str">
        <f t="shared" ca="1" si="0"/>
        <v>NA</v>
      </c>
      <c r="B11" s="525" t="s">
        <v>41</v>
      </c>
      <c r="C11" s="526">
        <v>45415</v>
      </c>
      <c r="D11" s="526">
        <v>45428</v>
      </c>
      <c r="E11" s="527">
        <v>14</v>
      </c>
      <c r="F11" s="527">
        <v>4</v>
      </c>
      <c r="G11" s="528">
        <v>0</v>
      </c>
      <c r="H11" s="529"/>
      <c r="I11" s="525"/>
      <c r="J11" s="529" t="s">
        <v>42</v>
      </c>
      <c r="K11" s="529" t="s">
        <v>26</v>
      </c>
      <c r="L11" s="525"/>
      <c r="M11" s="530"/>
    </row>
    <row r="12" spans="1:16" s="479" customFormat="1" ht="27">
      <c r="A12" s="525" t="str">
        <f t="shared" ca="1" si="0"/>
        <v>NA</v>
      </c>
      <c r="B12" s="525" t="s">
        <v>43</v>
      </c>
      <c r="C12" s="526">
        <v>45429</v>
      </c>
      <c r="D12" s="526">
        <v>45442</v>
      </c>
      <c r="E12" s="527">
        <v>15</v>
      </c>
      <c r="F12" s="527">
        <v>14</v>
      </c>
      <c r="G12" s="528">
        <v>0</v>
      </c>
      <c r="H12" s="525"/>
      <c r="I12" s="525"/>
      <c r="J12" s="525" t="s">
        <v>44</v>
      </c>
      <c r="K12" s="529" t="s">
        <v>26</v>
      </c>
      <c r="L12" s="525"/>
      <c r="M12" s="530"/>
    </row>
    <row r="13" spans="1:16" s="479" customFormat="1" ht="27">
      <c r="A13" s="525" t="str">
        <f t="shared" ca="1" si="0"/>
        <v>NA</v>
      </c>
      <c r="B13" s="525" t="s">
        <v>45</v>
      </c>
      <c r="C13" s="526">
        <v>45443</v>
      </c>
      <c r="D13" s="526">
        <v>45456</v>
      </c>
      <c r="E13" s="527">
        <v>20</v>
      </c>
      <c r="F13" s="527">
        <v>16</v>
      </c>
      <c r="G13" s="528">
        <v>0</v>
      </c>
      <c r="H13" s="525"/>
      <c r="I13" s="525"/>
      <c r="J13" s="525"/>
      <c r="K13" s="529" t="s">
        <v>26</v>
      </c>
      <c r="L13" s="525"/>
      <c r="M13" s="530"/>
    </row>
    <row r="14" spans="1:16" s="479" customFormat="1" ht="27">
      <c r="A14" s="525" t="str">
        <f t="shared" ca="1" si="0"/>
        <v>NA</v>
      </c>
      <c r="B14" s="516" t="s">
        <v>46</v>
      </c>
      <c r="C14" s="534">
        <v>45457</v>
      </c>
      <c r="D14" s="534">
        <v>45470</v>
      </c>
      <c r="E14" s="535">
        <v>17</v>
      </c>
      <c r="F14" s="535">
        <v>15</v>
      </c>
      <c r="G14" s="536">
        <v>2</v>
      </c>
      <c r="H14" s="516"/>
      <c r="I14" s="516"/>
      <c r="J14" s="516"/>
      <c r="K14" s="529" t="s">
        <v>26</v>
      </c>
      <c r="L14" s="525"/>
      <c r="M14" s="530"/>
    </row>
    <row r="15" spans="1:16" s="479" customFormat="1" ht="27">
      <c r="A15" s="525" t="str">
        <f t="shared" ca="1" si="0"/>
        <v>NA</v>
      </c>
      <c r="B15" s="516" t="s">
        <v>47</v>
      </c>
      <c r="C15" s="534">
        <v>45471</v>
      </c>
      <c r="D15" s="534">
        <v>45484</v>
      </c>
      <c r="E15" s="535">
        <v>20</v>
      </c>
      <c r="F15" s="535">
        <v>20</v>
      </c>
      <c r="G15" s="528">
        <v>0</v>
      </c>
      <c r="H15" s="516"/>
      <c r="I15" s="516"/>
      <c r="J15" s="516"/>
      <c r="K15" s="529" t="s">
        <v>26</v>
      </c>
      <c r="L15" s="525"/>
      <c r="M15" s="530"/>
    </row>
    <row r="16" spans="1:16" s="479" customFormat="1" ht="27">
      <c r="A16" s="525" t="str">
        <f t="shared" ca="1" si="0"/>
        <v>NA</v>
      </c>
      <c r="B16" s="516" t="s">
        <v>48</v>
      </c>
      <c r="C16" s="534">
        <v>45485</v>
      </c>
      <c r="D16" s="534">
        <v>45498</v>
      </c>
      <c r="E16" s="535">
        <v>15</v>
      </c>
      <c r="F16" s="535">
        <v>15</v>
      </c>
      <c r="G16" s="528">
        <v>5</v>
      </c>
      <c r="H16" s="516"/>
      <c r="I16" s="516"/>
      <c r="J16" s="516" t="s">
        <v>49</v>
      </c>
      <c r="K16" s="529" t="s">
        <v>26</v>
      </c>
      <c r="L16" s="525"/>
      <c r="M16" s="530"/>
    </row>
    <row r="17" spans="1:13" s="479" customFormat="1" ht="27">
      <c r="A17" s="525" t="str">
        <f t="shared" ca="1" si="0"/>
        <v>NA</v>
      </c>
      <c r="B17" s="516" t="s">
        <v>50</v>
      </c>
      <c r="C17" s="534">
        <v>45499</v>
      </c>
      <c r="D17" s="534">
        <v>45511</v>
      </c>
      <c r="E17" s="535">
        <v>6</v>
      </c>
      <c r="F17" s="535">
        <v>6</v>
      </c>
      <c r="G17" s="528">
        <v>7</v>
      </c>
      <c r="H17" s="516"/>
      <c r="I17" s="516"/>
      <c r="J17" s="516" t="s">
        <v>49</v>
      </c>
      <c r="K17" s="529" t="s">
        <v>26</v>
      </c>
      <c r="L17" s="525"/>
      <c r="M17" s="530"/>
    </row>
    <row r="18" spans="1:13" s="479" customFormat="1" ht="27">
      <c r="A18" s="525" t="str">
        <f t="shared" ca="1" si="0"/>
        <v>NA</v>
      </c>
      <c r="B18" s="516" t="s">
        <v>51</v>
      </c>
      <c r="C18" s="534">
        <v>45512</v>
      </c>
      <c r="D18" s="534">
        <v>45526</v>
      </c>
      <c r="E18" s="535">
        <v>16</v>
      </c>
      <c r="F18" s="535">
        <v>16</v>
      </c>
      <c r="G18" s="528">
        <v>2</v>
      </c>
      <c r="H18" s="516"/>
      <c r="I18" s="516"/>
      <c r="J18" s="516"/>
      <c r="K18" s="529" t="s">
        <v>26</v>
      </c>
      <c r="L18" s="525"/>
      <c r="M18" s="530"/>
    </row>
    <row r="19" spans="1:13" s="479" customFormat="1" ht="27">
      <c r="A19" s="525" t="str">
        <f t="shared" ca="1" si="0"/>
        <v>NA</v>
      </c>
      <c r="B19" s="516" t="s">
        <v>52</v>
      </c>
      <c r="C19" s="534">
        <v>45527</v>
      </c>
      <c r="D19" s="534">
        <v>45540</v>
      </c>
      <c r="E19" s="535">
        <v>17</v>
      </c>
      <c r="F19" s="535">
        <v>14</v>
      </c>
      <c r="G19" s="528">
        <v>2</v>
      </c>
      <c r="H19" s="516"/>
      <c r="I19" s="516"/>
      <c r="J19" s="516" t="s">
        <v>53</v>
      </c>
      <c r="K19" s="529" t="s">
        <v>26</v>
      </c>
      <c r="L19" s="525"/>
      <c r="M19" s="530"/>
    </row>
    <row r="20" spans="1:13" s="479" customFormat="1" ht="27">
      <c r="A20" s="525" t="str">
        <f t="shared" ca="1" si="0"/>
        <v>NA</v>
      </c>
      <c r="B20" s="516" t="s">
        <v>54</v>
      </c>
      <c r="C20" s="534">
        <v>45540</v>
      </c>
      <c r="D20" s="534">
        <v>45554</v>
      </c>
      <c r="E20" s="535">
        <v>15</v>
      </c>
      <c r="F20" s="535">
        <v>13</v>
      </c>
      <c r="G20" s="536">
        <v>2</v>
      </c>
      <c r="H20" s="456"/>
      <c r="I20" s="456"/>
      <c r="J20" s="456" t="s">
        <v>55</v>
      </c>
      <c r="K20" s="529" t="s">
        <v>26</v>
      </c>
      <c r="L20" s="525"/>
      <c r="M20" s="530"/>
    </row>
    <row r="21" spans="1:13" s="479" customFormat="1" ht="108">
      <c r="A21" s="525" t="str">
        <f ca="1">IF(AND($D$1&gt;=C21,$D$1&lt;=D21),"CurrentSprint","NA")</f>
        <v>NA</v>
      </c>
      <c r="B21" s="516" t="s">
        <v>56</v>
      </c>
      <c r="C21" s="534">
        <v>45555</v>
      </c>
      <c r="D21" s="534">
        <v>45568</v>
      </c>
      <c r="E21" s="535">
        <v>19</v>
      </c>
      <c r="F21" s="535">
        <v>14</v>
      </c>
      <c r="G21" s="536">
        <v>2</v>
      </c>
      <c r="H21" s="456"/>
      <c r="I21" s="456"/>
      <c r="J21" s="456" t="s">
        <v>57</v>
      </c>
      <c r="K21" s="529" t="s">
        <v>26</v>
      </c>
      <c r="L21" s="525"/>
      <c r="M21" s="530"/>
    </row>
    <row r="22" spans="1:13" s="479" customFormat="1" ht="81">
      <c r="A22" s="525" t="str">
        <f t="shared" ca="1" si="0"/>
        <v>NA</v>
      </c>
      <c r="B22" s="516" t="s">
        <v>58</v>
      </c>
      <c r="C22" s="534">
        <v>45569</v>
      </c>
      <c r="D22" s="534">
        <v>45582</v>
      </c>
      <c r="E22" s="535">
        <v>17</v>
      </c>
      <c r="F22" s="535">
        <v>12</v>
      </c>
      <c r="G22" s="536"/>
      <c r="H22" s="456"/>
      <c r="I22" s="456"/>
      <c r="J22" s="456" t="s">
        <v>59</v>
      </c>
      <c r="K22" s="529" t="s">
        <v>26</v>
      </c>
      <c r="L22" s="525"/>
      <c r="M22" s="530"/>
    </row>
    <row r="23" spans="1:13" s="479" customFormat="1" ht="87.75" customHeight="1">
      <c r="A23" s="525" t="str">
        <f t="shared" ca="1" si="0"/>
        <v>NA</v>
      </c>
      <c r="B23" s="516" t="s">
        <v>60</v>
      </c>
      <c r="C23" s="534">
        <v>45583</v>
      </c>
      <c r="D23" s="534">
        <v>45596</v>
      </c>
      <c r="E23" s="535">
        <v>16</v>
      </c>
      <c r="F23" s="535">
        <v>13</v>
      </c>
      <c r="G23" s="536"/>
      <c r="H23" s="456"/>
      <c r="I23" s="456" t="s">
        <v>61</v>
      </c>
      <c r="J23" s="456" t="s">
        <v>62</v>
      </c>
      <c r="K23" s="529" t="s">
        <v>26</v>
      </c>
      <c r="L23" s="525"/>
      <c r="M23" s="530"/>
    </row>
    <row r="24" spans="1:13" s="479" customFormat="1" ht="67.5">
      <c r="A24" s="525" t="str">
        <f t="shared" ca="1" si="0"/>
        <v>NA</v>
      </c>
      <c r="B24" s="525" t="s">
        <v>63</v>
      </c>
      <c r="C24" s="534">
        <v>45597</v>
      </c>
      <c r="D24" s="534">
        <v>45610</v>
      </c>
      <c r="E24" s="535">
        <v>18</v>
      </c>
      <c r="F24" s="535">
        <v>17</v>
      </c>
      <c r="G24" s="536" t="s">
        <v>64</v>
      </c>
      <c r="H24" s="456"/>
      <c r="I24" s="456" t="s">
        <v>65</v>
      </c>
      <c r="J24" s="456" t="s">
        <v>66</v>
      </c>
      <c r="K24" s="529" t="s">
        <v>26</v>
      </c>
      <c r="L24" s="525"/>
      <c r="M24" s="530"/>
    </row>
    <row r="25" spans="1:13" s="479" customFormat="1" ht="81">
      <c r="A25" s="525" t="str">
        <f t="shared" ca="1" si="0"/>
        <v>NA</v>
      </c>
      <c r="B25" s="516" t="s">
        <v>67</v>
      </c>
      <c r="C25" s="534">
        <v>45611</v>
      </c>
      <c r="D25" s="534">
        <v>45621</v>
      </c>
      <c r="E25" s="535">
        <v>14</v>
      </c>
      <c r="F25" s="535">
        <v>11</v>
      </c>
      <c r="G25" s="536"/>
      <c r="H25" s="456"/>
      <c r="I25" s="456" t="s">
        <v>68</v>
      </c>
      <c r="J25" s="456" t="s">
        <v>69</v>
      </c>
      <c r="K25" s="529" t="s">
        <v>70</v>
      </c>
      <c r="L25" s="525"/>
      <c r="M25" s="530"/>
    </row>
    <row r="26" spans="1:13" s="479" customFormat="1" ht="94.5">
      <c r="A26" s="525" t="str">
        <f ca="1">IF(AND($D$1&gt;=C26,$D$1&lt;=D26),"CurrentSprint","NA")</f>
        <v>NA</v>
      </c>
      <c r="B26" s="516" t="s">
        <v>71</v>
      </c>
      <c r="C26" s="534">
        <v>45622</v>
      </c>
      <c r="D26" s="534">
        <v>45638</v>
      </c>
      <c r="E26" s="535">
        <v>14</v>
      </c>
      <c r="F26" s="535">
        <v>14</v>
      </c>
      <c r="G26" s="536" t="s">
        <v>72</v>
      </c>
      <c r="H26" s="456"/>
      <c r="I26" s="456" t="s">
        <v>73</v>
      </c>
      <c r="J26" s="456" t="s">
        <v>74</v>
      </c>
      <c r="K26" s="529" t="s">
        <v>26</v>
      </c>
      <c r="L26" s="525"/>
      <c r="M26" s="530"/>
    </row>
    <row r="27" spans="1:13" s="479" customFormat="1" ht="99" customHeight="1">
      <c r="A27" s="525" t="str">
        <f ca="1">IF(AND($D$1&gt;=C27,$D$1&lt;=D27),"CurrentSprint","NA")</f>
        <v>NA</v>
      </c>
      <c r="B27" s="516" t="s">
        <v>75</v>
      </c>
      <c r="C27" s="534">
        <v>45639</v>
      </c>
      <c r="D27" s="534">
        <v>45666</v>
      </c>
      <c r="E27" s="535">
        <v>24</v>
      </c>
      <c r="F27" s="535">
        <v>19</v>
      </c>
      <c r="G27" s="536" t="s">
        <v>64</v>
      </c>
      <c r="H27" s="456"/>
      <c r="I27" s="456" t="s">
        <v>76</v>
      </c>
      <c r="J27" s="456" t="s">
        <v>77</v>
      </c>
      <c r="K27" s="529" t="s">
        <v>78</v>
      </c>
      <c r="L27" s="525"/>
      <c r="M27" s="530"/>
    </row>
    <row r="28" spans="1:13" s="479" customFormat="1" ht="229.5">
      <c r="A28" s="525" t="str">
        <f ca="1">IF(AND($D$1&gt;=C28,$D$1&lt;=D28),"CurrentSprint","NA")</f>
        <v>NA</v>
      </c>
      <c r="B28" s="516" t="s">
        <v>79</v>
      </c>
      <c r="C28" s="537">
        <v>45667</v>
      </c>
      <c r="D28" s="537">
        <v>45680</v>
      </c>
      <c r="E28" s="535">
        <v>21</v>
      </c>
      <c r="F28" s="535">
        <v>17</v>
      </c>
      <c r="G28" s="536" t="s">
        <v>80</v>
      </c>
      <c r="H28" s="456"/>
      <c r="I28" s="456" t="s">
        <v>81</v>
      </c>
      <c r="J28" s="456" t="s">
        <v>82</v>
      </c>
      <c r="K28" s="516"/>
      <c r="L28" s="516"/>
      <c r="M28" s="516"/>
    </row>
    <row r="29" spans="1:13" s="461" customFormat="1" ht="94.5">
      <c r="A29" s="538" t="str">
        <f ca="1">IF(AND($D$1&gt;=C29,$D$1&lt;=D29),"CurrentSprint","NA")</f>
        <v>NA</v>
      </c>
      <c r="B29" s="539" t="s">
        <v>83</v>
      </c>
      <c r="C29" s="540">
        <v>45681</v>
      </c>
      <c r="D29" s="540">
        <v>45694</v>
      </c>
      <c r="E29" s="541">
        <v>18</v>
      </c>
      <c r="F29" s="541">
        <v>11</v>
      </c>
      <c r="G29" s="542" t="s">
        <v>84</v>
      </c>
      <c r="H29" s="474"/>
      <c r="I29" s="474" t="s">
        <v>85</v>
      </c>
      <c r="J29" s="474" t="s">
        <v>86</v>
      </c>
      <c r="K29" s="539"/>
      <c r="L29" s="539"/>
      <c r="M29" s="539"/>
    </row>
    <row r="30" spans="1:13" s="461" customFormat="1" ht="177" customHeight="1">
      <c r="A30" s="525" t="str">
        <f ca="1">IF(AND($D$1&gt;=C30,$D$1&lt;=D30),"CurrentSprint","NA")</f>
        <v>NA</v>
      </c>
      <c r="B30" s="516" t="s">
        <v>87</v>
      </c>
      <c r="C30" s="537">
        <v>45695</v>
      </c>
      <c r="D30" s="537">
        <v>45708</v>
      </c>
      <c r="E30" s="535">
        <v>18</v>
      </c>
      <c r="F30" s="535">
        <v>8</v>
      </c>
      <c r="G30" s="536"/>
      <c r="H30" s="543"/>
      <c r="I30" s="543" t="s">
        <v>88</v>
      </c>
      <c r="J30" s="456" t="s">
        <v>89</v>
      </c>
      <c r="K30" s="539"/>
      <c r="L30" s="539"/>
      <c r="M30" s="539"/>
    </row>
    <row r="31" spans="1:13" s="461" customFormat="1" ht="148.5">
      <c r="A31" s="538" t="str">
        <f ca="1">IF(AND($D$1&gt;=C31,$D$1&lt;=D31),"CurrentSprint","NA")</f>
        <v>NA</v>
      </c>
      <c r="B31" s="539" t="s">
        <v>90</v>
      </c>
      <c r="C31" s="540">
        <v>45709</v>
      </c>
      <c r="D31" s="540">
        <v>45722</v>
      </c>
      <c r="E31" s="541">
        <v>20</v>
      </c>
      <c r="F31" s="541">
        <v>15</v>
      </c>
      <c r="G31" s="544" t="s">
        <v>84</v>
      </c>
      <c r="H31" s="543"/>
      <c r="I31" s="545" t="s">
        <v>91</v>
      </c>
      <c r="J31" s="456" t="s">
        <v>92</v>
      </c>
      <c r="L31" s="539"/>
      <c r="M31" s="539"/>
    </row>
    <row r="32" spans="1:13" s="479" customFormat="1" ht="94.5">
      <c r="A32" s="525" t="s">
        <v>93</v>
      </c>
      <c r="B32" s="516" t="s">
        <v>94</v>
      </c>
      <c r="C32" s="537">
        <v>45723</v>
      </c>
      <c r="D32" s="537">
        <v>45736</v>
      </c>
      <c r="E32" s="535">
        <v>19</v>
      </c>
      <c r="F32" s="535">
        <v>19</v>
      </c>
      <c r="G32" s="546" t="s">
        <v>72</v>
      </c>
      <c r="H32" s="456"/>
      <c r="I32" s="456" t="s">
        <v>95</v>
      </c>
      <c r="J32" s="456" t="s">
        <v>96</v>
      </c>
      <c r="K32" s="543" t="s">
        <v>97</v>
      </c>
      <c r="L32" s="516"/>
      <c r="M32" s="516"/>
    </row>
    <row r="33" spans="1:23" ht="170.25" customHeight="1">
      <c r="A33" s="538" t="s">
        <v>93</v>
      </c>
      <c r="B33" s="539" t="s">
        <v>98</v>
      </c>
      <c r="C33" s="540">
        <v>45736</v>
      </c>
      <c r="D33" s="540">
        <v>45750</v>
      </c>
      <c r="E33" s="541">
        <v>13</v>
      </c>
      <c r="F33" s="541">
        <v>19</v>
      </c>
      <c r="G33" s="544" t="s">
        <v>99</v>
      </c>
      <c r="H33" s="474"/>
      <c r="I33" s="474" t="s">
        <v>100</v>
      </c>
      <c r="J33" s="474" t="s">
        <v>101</v>
      </c>
      <c r="K33" s="474" t="s">
        <v>102</v>
      </c>
      <c r="L33" s="539"/>
      <c r="M33" s="539"/>
    </row>
    <row r="34" spans="1:23" s="461" customFormat="1" ht="192" customHeight="1">
      <c r="A34" s="538" t="s">
        <v>93</v>
      </c>
      <c r="B34" s="539" t="s">
        <v>103</v>
      </c>
      <c r="C34" s="540">
        <v>45751</v>
      </c>
      <c r="D34" s="540">
        <v>45764</v>
      </c>
      <c r="E34" s="541">
        <v>22</v>
      </c>
      <c r="F34" s="541">
        <v>24</v>
      </c>
      <c r="G34" s="548" t="s">
        <v>104</v>
      </c>
      <c r="H34" s="543"/>
      <c r="I34" s="470" t="s">
        <v>105</v>
      </c>
      <c r="J34" s="474" t="s">
        <v>106</v>
      </c>
      <c r="K34" s="467" t="s">
        <v>107</v>
      </c>
    </row>
    <row r="35" spans="1:23" s="479" customFormat="1" ht="150" customHeight="1">
      <c r="A35" s="479" t="s">
        <v>93</v>
      </c>
      <c r="B35" s="516" t="s">
        <v>108</v>
      </c>
      <c r="C35" s="549">
        <v>45765</v>
      </c>
      <c r="D35" s="537">
        <v>45778</v>
      </c>
      <c r="E35" s="550">
        <v>23</v>
      </c>
      <c r="F35" s="551">
        <v>27</v>
      </c>
      <c r="G35" s="536" t="s">
        <v>109</v>
      </c>
      <c r="H35" s="474"/>
      <c r="I35" s="455" t="s">
        <v>110</v>
      </c>
      <c r="J35" s="474" t="s">
        <v>111</v>
      </c>
      <c r="K35" s="455" t="s">
        <v>112</v>
      </c>
      <c r="N35" s="461"/>
      <c r="O35" s="461"/>
      <c r="P35" s="461"/>
      <c r="Q35" s="461"/>
      <c r="R35" s="461"/>
      <c r="S35" s="461"/>
      <c r="T35" s="461"/>
      <c r="U35" s="461"/>
      <c r="V35" s="461"/>
      <c r="W35" s="461"/>
    </row>
    <row r="36" spans="1:23" ht="164.25" customHeight="1">
      <c r="A36" s="461" t="s">
        <v>93</v>
      </c>
      <c r="B36" s="539" t="s">
        <v>113</v>
      </c>
      <c r="C36" s="540">
        <v>45779</v>
      </c>
      <c r="D36" s="540">
        <v>45792</v>
      </c>
      <c r="E36" s="552">
        <v>19</v>
      </c>
      <c r="F36" s="553">
        <v>16</v>
      </c>
      <c r="G36" s="542" t="s">
        <v>84</v>
      </c>
      <c r="H36" s="474"/>
      <c r="I36" s="467" t="s">
        <v>114</v>
      </c>
      <c r="J36" s="474" t="s">
        <v>115</v>
      </c>
      <c r="K36" s="467" t="s">
        <v>116</v>
      </c>
      <c r="L36" s="461"/>
      <c r="M36" s="461"/>
      <c r="N36" s="479"/>
      <c r="O36" s="479"/>
      <c r="P36" s="479"/>
      <c r="Q36" s="479"/>
      <c r="R36" s="479"/>
      <c r="S36" s="479"/>
      <c r="T36" s="479"/>
      <c r="U36" s="479"/>
      <c r="V36" s="479"/>
      <c r="W36" s="479"/>
    </row>
    <row r="37" spans="1:23" ht="135">
      <c r="A37" s="461" t="s">
        <v>93</v>
      </c>
      <c r="B37" s="539" t="s">
        <v>117</v>
      </c>
      <c r="C37" s="540">
        <v>45793</v>
      </c>
      <c r="D37" s="540">
        <v>45806</v>
      </c>
      <c r="E37" s="541">
        <v>26</v>
      </c>
      <c r="F37" s="541">
        <v>23</v>
      </c>
      <c r="G37" s="554"/>
      <c r="H37" s="469"/>
      <c r="I37" s="467" t="s">
        <v>118</v>
      </c>
      <c r="J37" s="469" t="s">
        <v>119</v>
      </c>
      <c r="K37" s="470" t="s">
        <v>120</v>
      </c>
      <c r="L37" s="461"/>
      <c r="M37" s="461"/>
      <c r="N37" s="555"/>
      <c r="O37" s="555"/>
      <c r="P37" s="555"/>
      <c r="Q37" s="555"/>
      <c r="R37" s="555"/>
      <c r="S37" s="555"/>
      <c r="T37" s="555"/>
      <c r="U37" s="555"/>
      <c r="V37" s="556"/>
      <c r="W37" s="556"/>
    </row>
    <row r="38" spans="1:23" ht="152.25" customHeight="1">
      <c r="A38" s="479" t="s">
        <v>93</v>
      </c>
      <c r="B38" s="516" t="s">
        <v>121</v>
      </c>
      <c r="C38" s="537">
        <v>45806</v>
      </c>
      <c r="D38" s="537">
        <v>45820</v>
      </c>
      <c r="E38" s="535">
        <v>14</v>
      </c>
      <c r="F38" s="535">
        <v>6</v>
      </c>
      <c r="G38" s="548" t="s">
        <v>122</v>
      </c>
      <c r="H38" s="455"/>
      <c r="I38" s="479" t="s">
        <v>123</v>
      </c>
      <c r="J38" s="455" t="s">
        <v>124</v>
      </c>
      <c r="K38" s="455" t="s">
        <v>125</v>
      </c>
      <c r="L38" s="479"/>
      <c r="M38" s="479"/>
      <c r="N38" s="479"/>
      <c r="O38" s="479"/>
      <c r="P38" s="479"/>
      <c r="Q38" s="479"/>
      <c r="R38" s="479"/>
      <c r="S38" s="479"/>
      <c r="T38" s="479"/>
      <c r="U38" s="479"/>
    </row>
    <row r="39" spans="1:23" ht="81">
      <c r="A39" s="479" t="s">
        <v>93</v>
      </c>
      <c r="B39" s="516" t="s">
        <v>126</v>
      </c>
      <c r="C39" s="537">
        <v>45820</v>
      </c>
      <c r="D39" s="537">
        <v>45834</v>
      </c>
      <c r="E39" s="535">
        <v>22</v>
      </c>
      <c r="F39" s="535">
        <v>22</v>
      </c>
      <c r="G39" s="548"/>
      <c r="H39" s="455"/>
      <c r="I39" s="479" t="s">
        <v>127</v>
      </c>
      <c r="J39" s="455" t="s">
        <v>128</v>
      </c>
      <c r="K39" s="455" t="s">
        <v>129</v>
      </c>
      <c r="L39" s="479"/>
      <c r="M39" s="479"/>
      <c r="N39" s="479"/>
      <c r="O39" s="479"/>
      <c r="P39" s="479"/>
      <c r="Q39" s="479"/>
      <c r="R39" s="479"/>
      <c r="S39" s="479"/>
      <c r="T39" s="479"/>
      <c r="U39" s="479"/>
    </row>
    <row r="40" spans="1:23" ht="121.5">
      <c r="A40" s="479" t="s">
        <v>93</v>
      </c>
      <c r="B40" s="516" t="s">
        <v>130</v>
      </c>
      <c r="C40" s="537">
        <v>45834</v>
      </c>
      <c r="D40" s="537">
        <v>45848</v>
      </c>
      <c r="E40" s="535">
        <v>20</v>
      </c>
      <c r="F40" s="535">
        <v>10</v>
      </c>
      <c r="G40" s="548"/>
      <c r="H40" s="455"/>
      <c r="I40" s="479" t="s">
        <v>131</v>
      </c>
      <c r="J40" s="455" t="s">
        <v>132</v>
      </c>
      <c r="K40" s="455" t="s">
        <v>133</v>
      </c>
      <c r="L40" s="479"/>
      <c r="M40" s="479"/>
      <c r="N40" s="479"/>
      <c r="O40" s="479"/>
      <c r="P40" s="479"/>
      <c r="Q40" s="479"/>
      <c r="R40" s="479"/>
      <c r="S40" s="479"/>
      <c r="T40" s="479"/>
      <c r="U40" s="479"/>
    </row>
    <row r="41" spans="1:23" ht="150" customHeight="1">
      <c r="A41" s="461" t="s">
        <v>93</v>
      </c>
      <c r="B41" s="539" t="s">
        <v>134</v>
      </c>
      <c r="C41" s="540">
        <v>45848</v>
      </c>
      <c r="D41" s="540">
        <v>45862</v>
      </c>
      <c r="E41" s="541">
        <v>22</v>
      </c>
      <c r="F41" s="541">
        <v>9</v>
      </c>
      <c r="G41" s="554"/>
      <c r="H41" s="467"/>
      <c r="I41" s="461" t="s">
        <v>135</v>
      </c>
      <c r="J41" s="467" t="s">
        <v>136</v>
      </c>
      <c r="K41" s="467" t="s">
        <v>137</v>
      </c>
      <c r="L41" s="461"/>
      <c r="M41" s="461"/>
      <c r="N41" s="461"/>
      <c r="O41" s="461"/>
      <c r="P41" s="461"/>
      <c r="Q41" s="461"/>
      <c r="R41" s="461"/>
      <c r="S41" s="461"/>
      <c r="T41" s="461"/>
      <c r="U41" s="461"/>
    </row>
    <row r="42" spans="1:23" s="461" customFormat="1" ht="112.5" customHeight="1">
      <c r="A42" s="461" t="s">
        <v>93</v>
      </c>
      <c r="B42" s="557" t="s">
        <v>138</v>
      </c>
      <c r="C42" s="540">
        <v>45862</v>
      </c>
      <c r="D42" s="540">
        <v>45876</v>
      </c>
      <c r="E42" s="541">
        <v>24</v>
      </c>
      <c r="F42" s="541">
        <v>14</v>
      </c>
      <c r="G42" s="554"/>
      <c r="H42" s="467"/>
      <c r="J42" s="467" t="s">
        <v>139</v>
      </c>
    </row>
    <row r="43" spans="1:23" s="461" customFormat="1" ht="114" customHeight="1">
      <c r="A43" s="461" t="s">
        <v>93</v>
      </c>
      <c r="B43" s="557" t="s">
        <v>140</v>
      </c>
      <c r="C43" s="540">
        <v>45876</v>
      </c>
      <c r="D43" s="540">
        <v>45890</v>
      </c>
      <c r="E43" s="541">
        <v>14</v>
      </c>
      <c r="F43" s="541">
        <v>14</v>
      </c>
      <c r="G43" s="558" t="s">
        <v>141</v>
      </c>
      <c r="H43" s="470"/>
      <c r="I43" s="470" t="s">
        <v>142</v>
      </c>
      <c r="J43" s="467" t="s">
        <v>143</v>
      </c>
      <c r="K43" s="467" t="s">
        <v>144</v>
      </c>
    </row>
    <row r="44" spans="1:23" s="461" customFormat="1" ht="152.25" customHeight="1">
      <c r="A44" s="461" t="s">
        <v>93</v>
      </c>
      <c r="B44" s="557" t="s">
        <v>145</v>
      </c>
      <c r="C44" s="540">
        <v>45890</v>
      </c>
      <c r="D44" s="540">
        <v>45904</v>
      </c>
      <c r="E44" s="541">
        <v>15</v>
      </c>
      <c r="F44" s="541">
        <v>14</v>
      </c>
      <c r="G44" s="559" t="s">
        <v>146</v>
      </c>
      <c r="H44" s="469"/>
      <c r="I44" s="455" t="s">
        <v>147</v>
      </c>
      <c r="J44" s="469" t="s">
        <v>148</v>
      </c>
      <c r="K44" s="462" t="s">
        <v>149</v>
      </c>
      <c r="L44" s="560"/>
    </row>
    <row r="45" spans="1:23" s="461" customFormat="1" ht="96.75" customHeight="1">
      <c r="A45" s="461" t="s">
        <v>93</v>
      </c>
      <c r="B45" s="557" t="s">
        <v>150</v>
      </c>
      <c r="C45" s="540">
        <v>45904</v>
      </c>
      <c r="D45" s="540">
        <v>45918</v>
      </c>
      <c r="E45" s="541">
        <v>12</v>
      </c>
      <c r="F45" s="541">
        <v>11</v>
      </c>
      <c r="G45" s="554" t="s">
        <v>151</v>
      </c>
      <c r="H45" s="454"/>
      <c r="I45" s="454" t="s">
        <v>152</v>
      </c>
      <c r="J45" s="467" t="s">
        <v>153</v>
      </c>
      <c r="K45" s="570" t="s">
        <v>154</v>
      </c>
    </row>
    <row r="46" spans="1:23" s="479" customFormat="1" ht="132.75" customHeight="1">
      <c r="A46" s="479" t="s">
        <v>93</v>
      </c>
      <c r="B46" s="477" t="s">
        <v>155</v>
      </c>
      <c r="C46" s="537">
        <v>45918</v>
      </c>
      <c r="D46" s="537">
        <v>45932</v>
      </c>
      <c r="E46" s="535">
        <v>15</v>
      </c>
      <c r="F46" s="535">
        <v>15</v>
      </c>
      <c r="G46" s="561" t="s">
        <v>156</v>
      </c>
      <c r="H46" s="455"/>
      <c r="I46" s="479" t="s">
        <v>157</v>
      </c>
      <c r="J46" s="455" t="s">
        <v>128</v>
      </c>
      <c r="K46" s="571" t="s">
        <v>158</v>
      </c>
    </row>
    <row r="47" spans="1:23" ht="94.5">
      <c r="A47" s="461" t="s">
        <v>93</v>
      </c>
      <c r="B47" s="475" t="s">
        <v>159</v>
      </c>
      <c r="C47" s="540">
        <v>45932</v>
      </c>
      <c r="D47" s="540">
        <v>45946</v>
      </c>
      <c r="E47" s="541">
        <v>13</v>
      </c>
      <c r="F47" s="541">
        <v>13</v>
      </c>
      <c r="G47" s="559" t="s">
        <v>160</v>
      </c>
      <c r="H47" s="467"/>
      <c r="I47" s="461" t="s">
        <v>161</v>
      </c>
      <c r="J47" s="467" t="s">
        <v>128</v>
      </c>
      <c r="K47" s="572" t="s">
        <v>162</v>
      </c>
      <c r="L47" s="461"/>
      <c r="M47" s="461"/>
      <c r="N47" s="461"/>
      <c r="O47" s="461"/>
      <c r="P47" s="461"/>
      <c r="Q47" s="461"/>
      <c r="R47" s="461"/>
      <c r="S47" s="461"/>
      <c r="T47" s="461"/>
      <c r="U47" s="461"/>
      <c r="V47" s="461"/>
      <c r="W47" s="461"/>
    </row>
    <row r="48" spans="1:23" s="479" customFormat="1" ht="111.75" customHeight="1">
      <c r="A48" s="461" t="s">
        <v>93</v>
      </c>
      <c r="B48" s="458" t="s">
        <v>163</v>
      </c>
      <c r="C48" s="540">
        <v>45946</v>
      </c>
      <c r="D48" s="562">
        <v>45960</v>
      </c>
      <c r="E48" s="541">
        <v>17</v>
      </c>
      <c r="F48" s="553">
        <v>12</v>
      </c>
      <c r="G48" s="548"/>
      <c r="H48" s="455"/>
      <c r="I48" s="455" t="s">
        <v>164</v>
      </c>
      <c r="J48" s="455" t="s">
        <v>165</v>
      </c>
      <c r="K48" s="470" t="s">
        <v>166</v>
      </c>
      <c r="L48" s="461"/>
      <c r="M48" s="461"/>
      <c r="N48" s="461"/>
      <c r="O48" s="461"/>
      <c r="P48" s="461"/>
      <c r="Q48" s="461"/>
      <c r="R48" s="461"/>
      <c r="S48" s="461"/>
    </row>
    <row r="49" spans="1:19" ht="156" customHeight="1">
      <c r="A49" s="461" t="s">
        <v>93</v>
      </c>
      <c r="B49" s="563" t="s">
        <v>167</v>
      </c>
      <c r="C49" s="540">
        <v>45960</v>
      </c>
      <c r="D49" s="564">
        <v>45974</v>
      </c>
      <c r="E49" s="541">
        <v>23</v>
      </c>
      <c r="F49" s="553">
        <v>23</v>
      </c>
      <c r="G49" s="565" t="s">
        <v>168</v>
      </c>
      <c r="H49" s="455"/>
      <c r="I49" s="455" t="s">
        <v>169</v>
      </c>
      <c r="J49" s="455" t="s">
        <v>128</v>
      </c>
      <c r="K49" s="470" t="s">
        <v>170</v>
      </c>
      <c r="L49" s="461"/>
      <c r="M49" s="461"/>
      <c r="N49" s="461"/>
      <c r="O49" s="461"/>
      <c r="P49" s="461"/>
      <c r="Q49" s="461"/>
      <c r="R49" s="461"/>
      <c r="S49" s="461"/>
    </row>
    <row r="50" spans="1:19" s="461" customFormat="1" ht="174" customHeight="1">
      <c r="A50" s="461" t="s">
        <v>93</v>
      </c>
      <c r="B50" s="557" t="s">
        <v>171</v>
      </c>
      <c r="C50" s="540">
        <v>45974</v>
      </c>
      <c r="D50" s="540">
        <v>45988</v>
      </c>
      <c r="E50" s="541">
        <v>19</v>
      </c>
      <c r="F50" s="553">
        <v>24</v>
      </c>
      <c r="G50" s="561" t="s">
        <v>172</v>
      </c>
      <c r="H50" s="455"/>
      <c r="I50" s="455" t="s">
        <v>173</v>
      </c>
      <c r="J50" s="455" t="s">
        <v>128</v>
      </c>
      <c r="K50" s="470" t="s">
        <v>174</v>
      </c>
    </row>
    <row r="51" spans="1:19" s="479" customFormat="1" ht="197.25" customHeight="1">
      <c r="A51" s="479" t="s">
        <v>93</v>
      </c>
      <c r="B51" s="477" t="s">
        <v>175</v>
      </c>
      <c r="C51" s="457">
        <v>45988</v>
      </c>
      <c r="D51" s="566">
        <v>46002</v>
      </c>
      <c r="E51" s="535">
        <v>21</v>
      </c>
      <c r="F51" s="551">
        <v>21</v>
      </c>
      <c r="G51" s="561" t="s">
        <v>176</v>
      </c>
      <c r="H51" s="455"/>
      <c r="I51" s="455" t="s">
        <v>177</v>
      </c>
      <c r="J51" s="455" t="s">
        <v>128</v>
      </c>
      <c r="K51" s="462" t="s">
        <v>178</v>
      </c>
    </row>
    <row r="52" spans="1:19" ht="137.25" customHeight="1">
      <c r="A52" s="461" t="s">
        <v>93</v>
      </c>
      <c r="B52" s="557" t="s">
        <v>179</v>
      </c>
      <c r="C52" s="567">
        <v>46002</v>
      </c>
      <c r="D52" s="567">
        <v>46030</v>
      </c>
      <c r="E52" s="541">
        <v>30</v>
      </c>
      <c r="F52" s="553">
        <v>39</v>
      </c>
      <c r="G52" s="561" t="s">
        <v>180</v>
      </c>
      <c r="H52" s="455"/>
      <c r="I52" s="455" t="s">
        <v>181</v>
      </c>
      <c r="J52" s="455" t="s">
        <v>128</v>
      </c>
      <c r="K52" s="470" t="s">
        <v>182</v>
      </c>
      <c r="L52" s="461"/>
      <c r="M52" s="461"/>
      <c r="N52" s="461"/>
      <c r="O52" s="461"/>
      <c r="P52" s="461"/>
      <c r="Q52" s="461"/>
      <c r="R52" s="461"/>
      <c r="S52" s="461"/>
    </row>
    <row r="53" spans="1:19" s="461" customFormat="1" ht="149.25" customHeight="1">
      <c r="A53" s="461" t="s">
        <v>93</v>
      </c>
      <c r="B53" s="557" t="s">
        <v>183</v>
      </c>
      <c r="C53" s="567">
        <v>46030</v>
      </c>
      <c r="D53" s="567">
        <v>46044</v>
      </c>
      <c r="E53" s="541">
        <v>22</v>
      </c>
      <c r="F53" s="553">
        <v>19</v>
      </c>
      <c r="G53" s="548"/>
      <c r="H53" s="455"/>
      <c r="I53" s="455" t="s">
        <v>184</v>
      </c>
      <c r="J53" s="455" t="s">
        <v>185</v>
      </c>
      <c r="K53" s="470" t="s">
        <v>186</v>
      </c>
    </row>
    <row r="54" spans="1:19" s="461" customFormat="1" ht="170.25" customHeight="1">
      <c r="A54" s="461" t="s">
        <v>93</v>
      </c>
      <c r="B54" s="557" t="s">
        <v>187</v>
      </c>
      <c r="C54" s="567">
        <v>46044</v>
      </c>
      <c r="D54" s="567">
        <v>46058</v>
      </c>
      <c r="E54" s="541">
        <v>19</v>
      </c>
      <c r="F54" s="553">
        <v>23</v>
      </c>
      <c r="G54" s="536" t="s">
        <v>188</v>
      </c>
      <c r="H54" s="455"/>
      <c r="I54" s="455" t="s">
        <v>189</v>
      </c>
      <c r="J54" s="455" t="s">
        <v>190</v>
      </c>
      <c r="K54" s="470" t="s">
        <v>191</v>
      </c>
      <c r="N54" s="461">
        <v>1</v>
      </c>
      <c r="O54" s="461">
        <v>0.5</v>
      </c>
    </row>
    <row r="55" spans="1:19" s="461" customFormat="1" ht="229.5" customHeight="1">
      <c r="A55" s="461" t="s">
        <v>93</v>
      </c>
      <c r="B55" s="557" t="s">
        <v>192</v>
      </c>
      <c r="C55" s="567">
        <v>46058</v>
      </c>
      <c r="D55" s="567">
        <v>46072</v>
      </c>
      <c r="E55" s="541">
        <v>23</v>
      </c>
      <c r="F55" s="553">
        <v>28</v>
      </c>
      <c r="G55" s="536" t="s">
        <v>193</v>
      </c>
      <c r="H55" s="455"/>
      <c r="I55" s="455" t="s">
        <v>194</v>
      </c>
      <c r="J55" s="455" t="s">
        <v>195</v>
      </c>
      <c r="K55" s="470" t="s">
        <v>196</v>
      </c>
      <c r="L55" s="560"/>
      <c r="M55" s="560"/>
      <c r="N55" s="461">
        <v>1</v>
      </c>
      <c r="O55" s="461">
        <v>1</v>
      </c>
    </row>
    <row r="56" spans="1:19" s="479" customFormat="1" ht="173.25" customHeight="1">
      <c r="A56" s="479" t="s">
        <v>93</v>
      </c>
      <c r="B56" s="477" t="s">
        <v>197</v>
      </c>
      <c r="C56" s="566">
        <v>46072</v>
      </c>
      <c r="D56" s="566">
        <v>46086</v>
      </c>
      <c r="E56" s="535">
        <v>22</v>
      </c>
      <c r="F56" s="551">
        <v>29</v>
      </c>
      <c r="G56" s="536" t="s">
        <v>193</v>
      </c>
      <c r="H56" s="455"/>
      <c r="I56" s="455" t="s">
        <v>198</v>
      </c>
      <c r="J56" s="455" t="s">
        <v>128</v>
      </c>
      <c r="K56" s="470" t="s">
        <v>199</v>
      </c>
      <c r="N56" s="479">
        <v>1</v>
      </c>
      <c r="O56" s="479">
        <v>1</v>
      </c>
    </row>
    <row r="57" spans="1:19" ht="183" customHeight="1">
      <c r="A57" s="461" t="s">
        <v>93</v>
      </c>
      <c r="B57" s="557" t="s">
        <v>200</v>
      </c>
      <c r="C57" s="567">
        <v>46086</v>
      </c>
      <c r="D57" s="567">
        <v>46100</v>
      </c>
      <c r="E57" s="541">
        <v>23</v>
      </c>
      <c r="F57" s="553">
        <v>26</v>
      </c>
      <c r="G57" s="536" t="s">
        <v>201</v>
      </c>
      <c r="H57" s="455"/>
      <c r="I57" s="455" t="s">
        <v>202</v>
      </c>
      <c r="J57" s="455" t="s">
        <v>128</v>
      </c>
      <c r="K57" s="470" t="s">
        <v>203</v>
      </c>
      <c r="L57" s="461"/>
      <c r="M57" s="461"/>
      <c r="N57" s="461">
        <v>1</v>
      </c>
      <c r="O57" s="461">
        <v>2</v>
      </c>
      <c r="P57" s="461"/>
      <c r="Q57" s="461"/>
      <c r="R57" s="461"/>
      <c r="S57" s="461"/>
    </row>
    <row r="58" spans="1:19" s="479" customFormat="1" ht="137.25" customHeight="1">
      <c r="A58" s="479" t="s">
        <v>93</v>
      </c>
      <c r="B58" s="477" t="s">
        <v>204</v>
      </c>
      <c r="C58" s="566">
        <v>46100</v>
      </c>
      <c r="D58" s="566">
        <v>46114</v>
      </c>
      <c r="E58" s="535">
        <v>20</v>
      </c>
      <c r="F58" s="551">
        <v>21</v>
      </c>
      <c r="G58" s="536" t="s">
        <v>201</v>
      </c>
      <c r="H58" s="455"/>
      <c r="I58" s="455" t="s">
        <v>205</v>
      </c>
      <c r="J58" s="455" t="s">
        <v>206</v>
      </c>
      <c r="K58" s="462" t="s">
        <v>207</v>
      </c>
      <c r="N58" s="479">
        <v>4</v>
      </c>
      <c r="O58" s="479">
        <v>4</v>
      </c>
    </row>
    <row r="59" spans="1:19" ht="159.75" customHeight="1">
      <c r="A59" s="479" t="s">
        <v>93</v>
      </c>
      <c r="B59" s="477" t="s">
        <v>208</v>
      </c>
      <c r="C59" s="566">
        <v>46114</v>
      </c>
      <c r="D59" s="566">
        <v>46128</v>
      </c>
      <c r="E59" s="535">
        <v>20</v>
      </c>
      <c r="F59" s="551">
        <v>28</v>
      </c>
      <c r="G59" s="536" t="s">
        <v>209</v>
      </c>
      <c r="H59" s="455" t="s">
        <v>210</v>
      </c>
      <c r="I59" s="454" t="s">
        <v>211</v>
      </c>
      <c r="J59" s="455" t="s">
        <v>128</v>
      </c>
      <c r="K59" s="462" t="s">
        <v>212</v>
      </c>
      <c r="L59" s="479"/>
      <c r="M59" s="479"/>
      <c r="N59" s="479">
        <v>4</v>
      </c>
      <c r="O59" s="479">
        <v>4</v>
      </c>
      <c r="P59" s="479">
        <v>1357</v>
      </c>
      <c r="Q59" s="479"/>
      <c r="R59" s="479"/>
      <c r="S59" s="479"/>
    </row>
    <row r="60" spans="1:19" ht="171" customHeight="1">
      <c r="A60" s="461" t="s">
        <v>93</v>
      </c>
      <c r="B60" s="557" t="s">
        <v>213</v>
      </c>
      <c r="C60" s="567">
        <v>46128</v>
      </c>
      <c r="D60" s="567">
        <v>46142</v>
      </c>
      <c r="E60" s="541">
        <v>21</v>
      </c>
      <c r="F60" s="553">
        <v>22</v>
      </c>
      <c r="G60" s="542" t="s">
        <v>214</v>
      </c>
      <c r="H60" s="593" t="s">
        <v>215</v>
      </c>
      <c r="I60" s="454" t="s">
        <v>216</v>
      </c>
      <c r="J60" s="467" t="s">
        <v>217</v>
      </c>
      <c r="K60" s="470" t="s">
        <v>218</v>
      </c>
      <c r="L60" s="461"/>
      <c r="M60" s="461"/>
      <c r="N60" s="461">
        <v>4</v>
      </c>
      <c r="O60" s="461">
        <v>4</v>
      </c>
      <c r="P60" s="461">
        <v>1330</v>
      </c>
      <c r="Q60" s="479"/>
      <c r="R60" s="479"/>
      <c r="S60" s="479"/>
    </row>
    <row r="61" spans="1:19" ht="128.25" customHeight="1">
      <c r="A61" s="461" t="s">
        <v>93</v>
      </c>
      <c r="B61" s="557" t="s">
        <v>219</v>
      </c>
      <c r="C61" s="567">
        <v>46142</v>
      </c>
      <c r="D61" s="567">
        <v>46156</v>
      </c>
      <c r="E61" s="541">
        <v>20</v>
      </c>
      <c r="F61" s="541">
        <v>21</v>
      </c>
      <c r="G61" s="542" t="s">
        <v>214</v>
      </c>
      <c r="H61" s="559" t="s">
        <v>220</v>
      </c>
      <c r="I61" s="467" t="s">
        <v>221</v>
      </c>
      <c r="J61" s="467" t="s">
        <v>222</v>
      </c>
      <c r="K61" s="467" t="s">
        <v>223</v>
      </c>
      <c r="L61" s="461"/>
      <c r="M61" s="461"/>
      <c r="N61" s="461"/>
      <c r="O61" s="461"/>
      <c r="P61" s="461">
        <v>1334</v>
      </c>
    </row>
    <row r="62" spans="1:19" ht="13.5">
      <c r="A62" s="479" t="s">
        <v>93</v>
      </c>
      <c r="B62" s="477" t="s">
        <v>224</v>
      </c>
      <c r="C62" s="566">
        <v>46156</v>
      </c>
      <c r="D62" s="566">
        <v>46170</v>
      </c>
      <c r="E62" s="535">
        <v>23</v>
      </c>
      <c r="F62" s="479"/>
      <c r="G62" s="548"/>
      <c r="H62" s="548"/>
      <c r="I62" s="479"/>
      <c r="J62" s="479"/>
      <c r="K62" s="479"/>
      <c r="L62" s="479"/>
      <c r="M62" s="479"/>
      <c r="N62" s="479"/>
      <c r="O62" s="479"/>
      <c r="P62" s="479"/>
    </row>
  </sheetData>
  <dataValidations count="1">
    <dataValidation type="list" allowBlank="1" showInputMessage="1" showErrorMessage="1" sqref="L3:L27" xr:uid="{BFE0DC53-9991-4331-A8CF-4179CE1033FC}">
      <formula1>"Inprogress, Completed"</formula1>
    </dataValidation>
  </dataValidations>
  <hyperlinks>
    <hyperlink ref="N1" r:id="rId1" xr:uid="{CE2EFCF1-8BC5-482B-AFD7-D451F6F91992}"/>
    <hyperlink ref="L1" r:id="rId2" xr:uid="{591FBED5-50A6-415F-A6AA-3A4FFB1ABABE}"/>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B08E-7484-4B2F-8934-86BA5B7DA946}">
  <dimension ref="A1:H35"/>
  <sheetViews>
    <sheetView topLeftCell="E1" workbookViewId="0">
      <selection activeCell="H9" sqref="H9"/>
    </sheetView>
  </sheetViews>
  <sheetFormatPr defaultRowHeight="12.75"/>
  <cols>
    <col min="1" max="1" width="39.42578125" style="547" customWidth="1"/>
    <col min="2" max="2" width="42.42578125" style="547" customWidth="1"/>
    <col min="3" max="3" width="50.42578125" style="547" customWidth="1"/>
    <col min="4" max="4" width="19.42578125" style="547" customWidth="1"/>
    <col min="5" max="7" width="18.5703125" style="547" customWidth="1"/>
    <col min="8" max="8" width="147.85546875" style="547" customWidth="1"/>
    <col min="9" max="16384" width="9.140625" style="547"/>
  </cols>
  <sheetData>
    <row r="1" spans="1:8">
      <c r="A1" s="573"/>
      <c r="B1" s="612" t="s">
        <v>225</v>
      </c>
      <c r="C1" s="613"/>
      <c r="D1" s="613"/>
      <c r="E1" s="613"/>
      <c r="F1" s="613"/>
      <c r="G1" s="613"/>
      <c r="H1" s="613"/>
    </row>
    <row r="2" spans="1:8">
      <c r="A2" s="574" t="s">
        <v>226</v>
      </c>
      <c r="B2" s="575" t="s">
        <v>227</v>
      </c>
      <c r="C2" s="575" t="s">
        <v>228</v>
      </c>
      <c r="D2" s="575" t="s">
        <v>229</v>
      </c>
      <c r="E2" s="575" t="s">
        <v>230</v>
      </c>
      <c r="F2" s="575" t="s">
        <v>231</v>
      </c>
      <c r="G2" s="575" t="s">
        <v>232</v>
      </c>
      <c r="H2" s="575" t="s">
        <v>17</v>
      </c>
    </row>
    <row r="3" spans="1:8">
      <c r="A3" s="479" t="s">
        <v>233</v>
      </c>
      <c r="B3" s="479">
        <v>1</v>
      </c>
      <c r="C3" s="479">
        <v>0</v>
      </c>
      <c r="D3" s="479">
        <v>0</v>
      </c>
      <c r="E3" s="479">
        <v>0</v>
      </c>
      <c r="F3" s="479">
        <v>0</v>
      </c>
      <c r="G3" s="479">
        <f>SUM(B3:F3)</f>
        <v>1</v>
      </c>
      <c r="H3" s="455"/>
    </row>
    <row r="4" spans="1:8">
      <c r="A4" s="479" t="s">
        <v>234</v>
      </c>
      <c r="B4" s="479">
        <v>0</v>
      </c>
      <c r="C4" s="479">
        <v>0</v>
      </c>
      <c r="D4" s="479">
        <v>0</v>
      </c>
      <c r="E4" s="479">
        <v>0</v>
      </c>
      <c r="F4" s="479">
        <v>0</v>
      </c>
      <c r="G4" s="479">
        <f>SUM(B4:F4)</f>
        <v>0</v>
      </c>
      <c r="H4" s="455"/>
    </row>
    <row r="5" spans="1:8">
      <c r="A5" s="479" t="s">
        <v>235</v>
      </c>
      <c r="B5" s="479">
        <v>0</v>
      </c>
      <c r="C5" s="479">
        <v>1</v>
      </c>
      <c r="D5" s="479">
        <v>0.5</v>
      </c>
      <c r="E5" s="479">
        <v>0</v>
      </c>
      <c r="F5" s="479">
        <v>0</v>
      </c>
      <c r="G5" s="479">
        <f>SUM(B5:F5)</f>
        <v>1.5</v>
      </c>
      <c r="H5" s="455"/>
    </row>
    <row r="6" spans="1:8">
      <c r="A6" s="479" t="s">
        <v>236</v>
      </c>
      <c r="B6" s="479">
        <v>1</v>
      </c>
      <c r="C6" s="479">
        <v>2</v>
      </c>
      <c r="D6" s="479">
        <v>0</v>
      </c>
      <c r="E6" s="479">
        <v>1</v>
      </c>
      <c r="F6" s="479">
        <v>1</v>
      </c>
      <c r="G6" s="479">
        <f>SUM(B6:F6)</f>
        <v>5</v>
      </c>
      <c r="H6" s="455"/>
    </row>
    <row r="7" spans="1:8">
      <c r="A7" s="479" t="s">
        <v>237</v>
      </c>
      <c r="B7" s="479">
        <v>1</v>
      </c>
      <c r="C7" s="479">
        <v>0</v>
      </c>
      <c r="D7" s="479">
        <v>1</v>
      </c>
      <c r="E7" s="479">
        <v>1</v>
      </c>
      <c r="F7" s="479">
        <v>0</v>
      </c>
      <c r="G7" s="479">
        <f>SUM(B7:F7)</f>
        <v>3</v>
      </c>
      <c r="H7" s="455"/>
    </row>
    <row r="8" spans="1:8">
      <c r="A8" s="479" t="s">
        <v>238</v>
      </c>
      <c r="B8" s="479">
        <v>0</v>
      </c>
      <c r="C8" s="479">
        <v>0</v>
      </c>
      <c r="D8" s="479">
        <v>0</v>
      </c>
      <c r="E8" s="479">
        <v>0</v>
      </c>
      <c r="F8" s="479">
        <v>0</v>
      </c>
      <c r="G8" s="479">
        <v>0</v>
      </c>
      <c r="H8" s="455"/>
    </row>
    <row r="9" spans="1:8">
      <c r="A9" s="479" t="s">
        <v>239</v>
      </c>
      <c r="B9" s="479">
        <v>0</v>
      </c>
      <c r="C9" s="479">
        <v>0</v>
      </c>
      <c r="D9" s="479">
        <v>0.5</v>
      </c>
      <c r="E9" s="479">
        <v>1</v>
      </c>
      <c r="F9" s="479">
        <v>3</v>
      </c>
      <c r="G9" s="479">
        <v>4.5</v>
      </c>
      <c r="H9" s="455"/>
    </row>
    <row r="10" spans="1:8">
      <c r="A10" s="479"/>
      <c r="B10" s="479"/>
      <c r="C10" s="479"/>
      <c r="D10" s="479"/>
      <c r="E10" s="479"/>
      <c r="F10" s="479"/>
      <c r="G10" s="479"/>
      <c r="H10" s="455"/>
    </row>
    <row r="11" spans="1:8">
      <c r="A11" s="479"/>
      <c r="B11" s="479"/>
      <c r="C11" s="479"/>
      <c r="D11" s="479"/>
      <c r="E11" s="479"/>
      <c r="F11" s="479"/>
      <c r="G11" s="479"/>
      <c r="H11" s="455"/>
    </row>
    <row r="12" spans="1:8">
      <c r="A12" s="479"/>
      <c r="B12" s="479"/>
      <c r="C12" s="479"/>
      <c r="D12" s="479"/>
      <c r="E12" s="479"/>
      <c r="F12" s="479"/>
      <c r="G12" s="479"/>
      <c r="H12" s="455"/>
    </row>
    <row r="13" spans="1:8">
      <c r="A13" s="479"/>
      <c r="B13" s="479"/>
      <c r="C13" s="479"/>
      <c r="D13" s="479"/>
      <c r="E13" s="479"/>
      <c r="F13" s="479"/>
      <c r="G13" s="479"/>
      <c r="H13" s="455"/>
    </row>
    <row r="14" spans="1:8">
      <c r="A14" s="479"/>
      <c r="B14" s="479"/>
      <c r="C14" s="479"/>
      <c r="D14" s="479"/>
      <c r="E14" s="479"/>
      <c r="F14" s="479"/>
      <c r="G14" s="479"/>
      <c r="H14" s="455"/>
    </row>
    <row r="15" spans="1:8">
      <c r="A15" s="461"/>
      <c r="B15" s="461"/>
      <c r="C15" s="461"/>
      <c r="D15" s="461"/>
      <c r="E15" s="461"/>
      <c r="F15" s="461"/>
      <c r="G15" s="461"/>
      <c r="H15" s="467"/>
    </row>
    <row r="35" spans="5:5">
      <c r="E35" s="547" t="s">
        <v>240</v>
      </c>
    </row>
  </sheetData>
  <mergeCells count="1">
    <mergeCell ref="B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477C-6841-466C-A600-54A1F8E96BC5}">
  <sheetPr>
    <outlinePr summaryBelow="0" summaryRight="0"/>
  </sheetPr>
  <dimension ref="A1:AD9"/>
  <sheetViews>
    <sheetView showGridLines="0" workbookViewId="0">
      <pane ySplit="1" topLeftCell="A2" activePane="bottomLeft" state="frozen"/>
      <selection pane="bottomLeft" activeCell="J11" sqref="J11"/>
      <selection activeCell="A3" sqref="A3"/>
    </sheetView>
  </sheetViews>
  <sheetFormatPr defaultColWidth="12.5703125" defaultRowHeight="35.25" customHeight="1"/>
  <cols>
    <col min="1" max="1" width="5.140625" style="43" customWidth="1"/>
    <col min="2" max="2" width="13.42578125" style="43" customWidth="1"/>
    <col min="3" max="3" width="11.28515625" style="43" customWidth="1"/>
    <col min="4" max="4" width="12.140625" style="43" customWidth="1"/>
    <col min="5" max="5" width="27.28515625" style="43" customWidth="1"/>
    <col min="6" max="6" width="12.7109375" style="43" customWidth="1"/>
    <col min="7" max="7" width="17" style="62" customWidth="1"/>
    <col min="8" max="8" width="43.5703125" style="43" customWidth="1"/>
    <col min="9" max="9" width="15.140625" style="43" customWidth="1"/>
    <col min="10" max="10" width="12" style="43" customWidth="1"/>
    <col min="11" max="11" width="10" style="43" customWidth="1"/>
    <col min="12" max="12" width="10.42578125" style="43" customWidth="1"/>
    <col min="13" max="14" width="14.42578125" style="43" customWidth="1"/>
    <col min="15" max="15" width="13" style="43" customWidth="1"/>
    <col min="16" max="16" width="15.140625" style="43" customWidth="1"/>
    <col min="17" max="17" width="23.85546875" style="43" customWidth="1"/>
    <col min="18" max="18" width="15.42578125" style="220" customWidth="1"/>
    <col min="19" max="19" width="31.85546875" style="43" customWidth="1"/>
    <col min="20" max="20" width="31.5703125" style="43" customWidth="1"/>
    <col min="21" max="21" width="16.42578125" style="43" customWidth="1"/>
    <col min="22" max="22" width="14.85546875" style="43" customWidth="1"/>
    <col min="23" max="23" width="14.42578125" style="43" customWidth="1"/>
    <col min="24" max="24" width="27.140625" style="43" customWidth="1"/>
    <col min="25" max="25" width="15.42578125" style="43" customWidth="1"/>
    <col min="26" max="26" width="14.42578125" style="43" customWidth="1"/>
    <col min="27" max="27" width="37.28515625" style="43" customWidth="1"/>
    <col min="28" max="28" width="25.7109375" style="43" bestFit="1" customWidth="1"/>
    <col min="29" max="29" width="24" style="43" bestFit="1" customWidth="1"/>
    <col min="30" max="30" width="73" style="43" customWidth="1"/>
    <col min="31" max="16384" width="12.5703125" style="43"/>
  </cols>
  <sheetData>
    <row r="1" spans="1:30" ht="36.75" customHeight="1">
      <c r="A1" s="427" t="s">
        <v>241</v>
      </c>
      <c r="B1" s="394" t="s">
        <v>4</v>
      </c>
      <c r="C1" s="394" t="s">
        <v>2</v>
      </c>
      <c r="D1" s="394" t="s">
        <v>3</v>
      </c>
      <c r="E1" s="427" t="s">
        <v>242</v>
      </c>
      <c r="F1" s="427" t="s">
        <v>243</v>
      </c>
      <c r="G1" s="427" t="s">
        <v>244</v>
      </c>
      <c r="H1" s="427" t="s">
        <v>245</v>
      </c>
      <c r="I1" s="427" t="s">
        <v>246</v>
      </c>
      <c r="J1" s="394" t="s">
        <v>247</v>
      </c>
      <c r="K1" s="394" t="s">
        <v>248</v>
      </c>
      <c r="L1" s="394" t="s">
        <v>249</v>
      </c>
      <c r="M1" s="394" t="s">
        <v>250</v>
      </c>
      <c r="N1" s="394" t="s">
        <v>251</v>
      </c>
      <c r="O1" s="427" t="s">
        <v>252</v>
      </c>
      <c r="P1" s="427" t="s">
        <v>253</v>
      </c>
      <c r="Q1" s="427" t="s">
        <v>254</v>
      </c>
      <c r="R1" s="446" t="s">
        <v>255</v>
      </c>
      <c r="S1" s="427" t="s">
        <v>256</v>
      </c>
      <c r="T1" s="427" t="s">
        <v>257</v>
      </c>
      <c r="U1" s="427" t="s">
        <v>258</v>
      </c>
      <c r="V1" s="427" t="s">
        <v>259</v>
      </c>
      <c r="W1" s="427" t="s">
        <v>260</v>
      </c>
      <c r="X1" s="427" t="s">
        <v>261</v>
      </c>
      <c r="Y1" s="427" t="s">
        <v>262</v>
      </c>
      <c r="Z1" s="427" t="s">
        <v>263</v>
      </c>
      <c r="AA1" s="427" t="s">
        <v>264</v>
      </c>
      <c r="AB1" s="427" t="s">
        <v>265</v>
      </c>
      <c r="AC1" s="421" t="s">
        <v>266</v>
      </c>
      <c r="AD1" s="423" t="s">
        <v>267</v>
      </c>
    </row>
    <row r="2" spans="1:30" s="62" customFormat="1" ht="48.75" customHeight="1">
      <c r="A2" s="239">
        <v>1</v>
      </c>
      <c r="B2" s="235" t="s">
        <v>5</v>
      </c>
      <c r="C2" s="601">
        <v>46156</v>
      </c>
      <c r="D2" s="601">
        <v>46170</v>
      </c>
      <c r="E2" s="401" t="s">
        <v>224</v>
      </c>
      <c r="F2" s="239" t="s">
        <v>268</v>
      </c>
      <c r="G2" s="602" t="s">
        <v>269</v>
      </c>
      <c r="H2" s="239" t="s">
        <v>270</v>
      </c>
      <c r="I2" s="239" t="s">
        <v>271</v>
      </c>
      <c r="J2" s="239">
        <v>2</v>
      </c>
      <c r="K2" s="239"/>
      <c r="L2" s="239"/>
      <c r="M2" s="601">
        <v>46157</v>
      </c>
      <c r="N2" s="601"/>
      <c r="O2" s="239"/>
      <c r="P2" s="239"/>
      <c r="Q2" s="239"/>
      <c r="R2" s="235"/>
      <c r="S2" s="239"/>
      <c r="T2" s="364"/>
      <c r="U2" s="601"/>
      <c r="V2" s="603"/>
      <c r="W2" s="239"/>
      <c r="X2" s="239"/>
      <c r="Y2" s="239"/>
      <c r="Z2" s="601"/>
      <c r="AA2" s="239"/>
      <c r="AB2" s="239"/>
      <c r="AC2" s="239"/>
      <c r="AD2" s="239"/>
    </row>
    <row r="3" spans="1:30" s="62" customFormat="1" ht="35.25" customHeight="1">
      <c r="A3" s="239">
        <v>2</v>
      </c>
      <c r="B3" s="235" t="s">
        <v>5</v>
      </c>
      <c r="C3" s="601">
        <v>46156</v>
      </c>
      <c r="D3" s="601">
        <v>46170</v>
      </c>
      <c r="E3" s="401" t="s">
        <v>224</v>
      </c>
      <c r="F3" s="239"/>
      <c r="G3" s="602" t="s">
        <v>272</v>
      </c>
      <c r="H3" s="239" t="s">
        <v>273</v>
      </c>
      <c r="I3" s="239" t="s">
        <v>274</v>
      </c>
      <c r="J3" s="239">
        <v>5</v>
      </c>
      <c r="K3" s="239"/>
      <c r="L3" s="239"/>
      <c r="M3" s="601"/>
      <c r="N3" s="601"/>
      <c r="O3" s="239"/>
      <c r="P3" s="239"/>
      <c r="Q3" s="239"/>
      <c r="R3" s="235"/>
      <c r="S3" s="239"/>
      <c r="T3" s="364"/>
      <c r="U3" s="601"/>
      <c r="V3" s="603"/>
      <c r="W3" s="239"/>
      <c r="X3" s="239"/>
      <c r="Y3" s="239"/>
      <c r="Z3" s="601"/>
      <c r="AA3" s="239"/>
      <c r="AB3" s="239"/>
      <c r="AC3" s="239"/>
      <c r="AD3" s="239"/>
    </row>
    <row r="4" spans="1:30" s="62" customFormat="1" ht="35.25" customHeight="1">
      <c r="A4" s="239">
        <v>3</v>
      </c>
      <c r="B4" s="235" t="s">
        <v>5</v>
      </c>
      <c r="C4" s="601">
        <v>46156</v>
      </c>
      <c r="D4" s="601">
        <v>46170</v>
      </c>
      <c r="E4" s="401" t="s">
        <v>224</v>
      </c>
      <c r="F4" s="239" t="s">
        <v>268</v>
      </c>
      <c r="G4" s="602" t="s">
        <v>275</v>
      </c>
      <c r="H4" s="239" t="s">
        <v>276</v>
      </c>
      <c r="I4" s="239" t="s">
        <v>271</v>
      </c>
      <c r="J4" s="239">
        <v>2</v>
      </c>
      <c r="K4" s="239"/>
      <c r="L4" s="239"/>
      <c r="M4" s="601">
        <v>46157</v>
      </c>
      <c r="N4" s="601"/>
      <c r="O4" s="239"/>
      <c r="P4" s="239"/>
      <c r="Q4" s="239"/>
      <c r="R4" s="235"/>
      <c r="S4" s="239"/>
      <c r="T4" s="364"/>
      <c r="U4" s="601"/>
      <c r="V4" s="603"/>
      <c r="W4" s="239"/>
      <c r="X4" s="239"/>
      <c r="Y4" s="239"/>
      <c r="Z4" s="601"/>
      <c r="AA4" s="239"/>
      <c r="AB4" s="239"/>
      <c r="AC4" s="239"/>
      <c r="AD4" s="239"/>
    </row>
    <row r="5" spans="1:30" s="62" customFormat="1" ht="35.25" customHeight="1">
      <c r="A5" s="239">
        <v>4</v>
      </c>
      <c r="B5" s="235" t="s">
        <v>5</v>
      </c>
      <c r="C5" s="601">
        <v>46156</v>
      </c>
      <c r="D5" s="601">
        <v>46170</v>
      </c>
      <c r="E5" s="401" t="s">
        <v>224</v>
      </c>
      <c r="F5" s="239" t="s">
        <v>231</v>
      </c>
      <c r="G5" s="602" t="s">
        <v>277</v>
      </c>
      <c r="H5" s="239" t="s">
        <v>278</v>
      </c>
      <c r="I5" s="239" t="s">
        <v>271</v>
      </c>
      <c r="J5" s="239">
        <v>3</v>
      </c>
      <c r="K5" s="239"/>
      <c r="L5" s="239"/>
      <c r="M5" s="601">
        <v>46157</v>
      </c>
      <c r="N5" s="601"/>
      <c r="O5" s="239"/>
      <c r="P5" s="239"/>
      <c r="Q5" s="239"/>
      <c r="R5" s="235"/>
      <c r="S5" s="239"/>
      <c r="T5" s="364"/>
      <c r="U5" s="601"/>
      <c r="V5" s="603"/>
      <c r="W5" s="239"/>
      <c r="X5" s="239"/>
      <c r="Y5" s="239"/>
      <c r="Z5" s="601"/>
      <c r="AA5" s="239"/>
      <c r="AB5" s="239"/>
      <c r="AC5" s="239"/>
      <c r="AD5" s="239"/>
    </row>
    <row r="6" spans="1:30" s="62" customFormat="1" ht="35.25" customHeight="1">
      <c r="A6" s="239">
        <v>5</v>
      </c>
      <c r="B6" s="235" t="s">
        <v>5</v>
      </c>
      <c r="C6" s="601">
        <v>46156</v>
      </c>
      <c r="D6" s="601">
        <v>46170</v>
      </c>
      <c r="E6" s="401" t="s">
        <v>224</v>
      </c>
      <c r="F6" s="239"/>
      <c r="G6" s="602" t="s">
        <v>279</v>
      </c>
      <c r="H6" s="239" t="s">
        <v>280</v>
      </c>
      <c r="I6" s="239" t="s">
        <v>274</v>
      </c>
      <c r="J6" s="239">
        <v>2</v>
      </c>
      <c r="K6" s="239"/>
      <c r="L6" s="239"/>
      <c r="M6" s="601"/>
      <c r="N6" s="601"/>
      <c r="O6" s="239"/>
      <c r="P6" s="239"/>
      <c r="Q6" s="239"/>
      <c r="R6" s="235"/>
      <c r="S6" s="239"/>
      <c r="T6" s="364"/>
      <c r="U6" s="601"/>
      <c r="V6" s="603"/>
      <c r="W6" s="239"/>
      <c r="X6" s="239"/>
      <c r="Y6" s="239"/>
      <c r="Z6" s="601"/>
      <c r="AA6" s="239"/>
      <c r="AB6" s="239"/>
      <c r="AC6" s="239"/>
      <c r="AD6" s="239"/>
    </row>
    <row r="7" spans="1:30" s="62" customFormat="1" ht="35.25" customHeight="1">
      <c r="A7" s="239">
        <v>6</v>
      </c>
      <c r="B7" s="235" t="s">
        <v>5</v>
      </c>
      <c r="C7" s="601">
        <v>46156</v>
      </c>
      <c r="D7" s="601">
        <v>46170</v>
      </c>
      <c r="E7" s="401" t="s">
        <v>224</v>
      </c>
      <c r="F7" s="239" t="s">
        <v>281</v>
      </c>
      <c r="G7" s="602" t="s">
        <v>282</v>
      </c>
      <c r="H7" s="239" t="s">
        <v>283</v>
      </c>
      <c r="I7" s="239" t="s">
        <v>271</v>
      </c>
      <c r="J7" s="239">
        <v>5</v>
      </c>
      <c r="K7" s="239"/>
      <c r="L7" s="239"/>
      <c r="M7" s="601">
        <v>46157</v>
      </c>
      <c r="N7" s="601"/>
      <c r="O7" s="239"/>
      <c r="P7" s="239"/>
      <c r="Q7" s="239"/>
      <c r="R7" s="235"/>
      <c r="S7" s="239"/>
      <c r="T7" s="364"/>
      <c r="U7" s="601"/>
      <c r="V7" s="603"/>
      <c r="W7" s="239"/>
      <c r="X7" s="239"/>
      <c r="Y7" s="239"/>
      <c r="Z7" s="601"/>
      <c r="AA7" s="239"/>
      <c r="AB7" s="239"/>
      <c r="AC7" s="239"/>
      <c r="AD7" s="239"/>
    </row>
    <row r="8" spans="1:30" s="62" customFormat="1" ht="35.25" customHeight="1">
      <c r="A8" s="262">
        <v>7</v>
      </c>
      <c r="B8" s="245" t="s">
        <v>5</v>
      </c>
      <c r="C8" s="604">
        <v>46156</v>
      </c>
      <c r="D8" s="604">
        <v>46170</v>
      </c>
      <c r="E8" s="404" t="s">
        <v>224</v>
      </c>
      <c r="F8" s="262" t="s">
        <v>284</v>
      </c>
      <c r="G8" s="605" t="s">
        <v>285</v>
      </c>
      <c r="H8" s="262" t="s">
        <v>286</v>
      </c>
      <c r="I8" s="262" t="s">
        <v>274</v>
      </c>
      <c r="J8" s="262">
        <v>3</v>
      </c>
      <c r="K8" s="262"/>
      <c r="L8" s="262"/>
      <c r="M8" s="604"/>
      <c r="N8" s="604"/>
      <c r="O8" s="262"/>
      <c r="P8" s="262"/>
      <c r="Q8" s="262"/>
      <c r="R8" s="245"/>
      <c r="S8" s="262"/>
      <c r="T8" s="229"/>
      <c r="U8" s="604"/>
      <c r="V8" s="606"/>
      <c r="W8" s="262"/>
      <c r="X8" s="262"/>
      <c r="Y8" s="262"/>
      <c r="Z8" s="604"/>
      <c r="AA8" s="262"/>
      <c r="AB8" s="262"/>
      <c r="AC8" s="262"/>
      <c r="AD8" s="262"/>
    </row>
    <row r="9" spans="1:30" s="62" customFormat="1" ht="35.25" customHeight="1">
      <c r="A9" s="239">
        <v>8</v>
      </c>
      <c r="B9" s="235" t="s">
        <v>5</v>
      </c>
      <c r="C9" s="601">
        <v>46156</v>
      </c>
      <c r="D9" s="601">
        <v>46170</v>
      </c>
      <c r="E9" s="401" t="s">
        <v>224</v>
      </c>
      <c r="F9" s="367" t="s">
        <v>284</v>
      </c>
      <c r="G9" s="602" t="s">
        <v>287</v>
      </c>
      <c r="H9" s="253" t="s">
        <v>288</v>
      </c>
      <c r="I9" s="239" t="s">
        <v>274</v>
      </c>
      <c r="J9" s="239">
        <v>1</v>
      </c>
      <c r="K9" s="239"/>
      <c r="L9" s="239"/>
      <c r="M9" s="239"/>
      <c r="N9" s="239"/>
      <c r="O9" s="239"/>
      <c r="P9" s="239"/>
      <c r="Q9" s="239"/>
      <c r="R9" s="235"/>
      <c r="S9" s="239"/>
      <c r="T9" s="239"/>
      <c r="U9" s="239"/>
      <c r="V9" s="239"/>
      <c r="W9" s="239"/>
      <c r="X9" s="239"/>
      <c r="Y9" s="239"/>
      <c r="Z9" s="239"/>
      <c r="AA9" s="239"/>
      <c r="AB9" s="239"/>
      <c r="AC9" s="239"/>
      <c r="AD9" s="239"/>
    </row>
  </sheetData>
  <pageMargins left="0" right="0" top="0" bottom="0" header="0" footer="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08F67-91E1-44EC-B740-78781D291572}">
  <sheetPr>
    <outlinePr summaryBelow="0" summaryRight="0"/>
  </sheetPr>
  <dimension ref="A1:O3"/>
  <sheetViews>
    <sheetView topLeftCell="B1" workbookViewId="0">
      <selection activeCell="E10" sqref="A1:XFD1048576"/>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21.28515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24">
      <c r="A1" s="598" t="s">
        <v>241</v>
      </c>
      <c r="B1" s="427" t="s">
        <v>11</v>
      </c>
      <c r="C1" s="599" t="s">
        <v>289</v>
      </c>
      <c r="D1" s="599" t="s">
        <v>290</v>
      </c>
      <c r="E1" s="427" t="s">
        <v>243</v>
      </c>
      <c r="F1" s="599" t="s">
        <v>291</v>
      </c>
      <c r="G1" s="599" t="s">
        <v>292</v>
      </c>
      <c r="H1" s="427" t="s">
        <v>293</v>
      </c>
      <c r="I1" s="427" t="s">
        <v>294</v>
      </c>
      <c r="J1" s="427" t="s">
        <v>295</v>
      </c>
      <c r="K1" s="427" t="s">
        <v>246</v>
      </c>
      <c r="L1" s="600" t="s">
        <v>296</v>
      </c>
      <c r="M1" s="448" t="s">
        <v>297</v>
      </c>
      <c r="N1" s="448" t="s">
        <v>298</v>
      </c>
      <c r="O1" s="448" t="s">
        <v>299</v>
      </c>
    </row>
    <row r="2" spans="1:15" s="98" customFormat="1" ht="15" customHeight="1">
      <c r="B2" s="401"/>
      <c r="C2" s="192"/>
      <c r="D2" s="224"/>
      <c r="E2" s="115"/>
      <c r="F2" s="353"/>
      <c r="G2" s="441" t="s">
        <v>300</v>
      </c>
      <c r="I2" s="353"/>
      <c r="K2" s="353"/>
      <c r="L2" s="108"/>
      <c r="M2" s="108"/>
      <c r="O2" s="86"/>
    </row>
    <row r="3" spans="1:15" ht="15" customHeight="1">
      <c r="B3" s="412"/>
      <c r="C3" s="439"/>
      <c r="D3" s="439"/>
      <c r="F3" s="440"/>
      <c r="I3" s="440"/>
      <c r="K3" s="440"/>
    </row>
  </sheetData>
  <autoFilter ref="A1:M1" xr:uid="{3A2BB050-11AC-4ED7-A296-96B42C7FCFBA}"/>
  <dataValidations count="5">
    <dataValidation type="list" allowBlank="1" showErrorMessage="1" sqref="I2:I3" xr:uid="{AE15E949-80C7-4062-B496-E7D8F5C04212}">
      <formula1>"Manual, Automation"</formula1>
    </dataValidation>
    <dataValidation type="list" allowBlank="1" showErrorMessage="1" sqref="H2:H3" xr:uid="{E46526DC-D2A1-4829-B7D3-50B9080233E4}">
      <formula1>"Minor,Significant,Major"</formula1>
    </dataValidation>
    <dataValidation type="list" allowBlank="1" showErrorMessage="1" sqref="J2:J3" xr:uid="{56233FB0-70D5-48CB-97EF-4EC029F96660}">
      <formula1>"Internal,External"</formula1>
    </dataValidation>
    <dataValidation type="list" allowBlank="1" showErrorMessage="1" sqref="F2:F3" xr:uid="{9DAD277B-3A19-4648-8365-D7DAD7A1A99B}">
      <formula1>"Bounceback/Sub-Defect,Defect,None"</formula1>
    </dataValidation>
    <dataValidation type="list" allowBlank="1" showErrorMessage="1" sqref="K1:K1048576" xr:uid="{2B2933B8-01C9-4F14-AACC-CA73B83A1B30}">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20AFFA55-532E-4BA6-878A-ECD196A30311}">
          <x14:formula1>
            <xm:f>Details!$A$2:$A$10</xm:f>
          </x14:formula1>
          <xm:sqref>L2:L3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96485-5863-4397-8919-BE094C1FF082}">
  <sheetPr>
    <outlinePr summaryBelow="0" summaryRight="0"/>
  </sheetPr>
  <dimension ref="A1:BL11"/>
  <sheetViews>
    <sheetView showGridLines="0" tabSelected="1" workbookViewId="0">
      <pane ySplit="1" topLeftCell="A2" activePane="bottomLeft" state="frozen"/>
      <selection pane="bottomLeft" activeCell="AF8" sqref="AF8"/>
      <selection activeCell="A3" sqref="A3"/>
    </sheetView>
  </sheetViews>
  <sheetFormatPr defaultColWidth="12.5703125" defaultRowHeight="35.25" customHeight="1"/>
  <cols>
    <col min="1" max="1" width="5.140625" style="454" customWidth="1"/>
    <col min="2" max="2" width="10" style="454" customWidth="1"/>
    <col min="3" max="3" width="11.28515625" style="454" customWidth="1"/>
    <col min="4" max="4" width="11.42578125" style="454" customWidth="1"/>
    <col min="5" max="5" width="27.28515625" style="454" customWidth="1"/>
    <col min="6" max="6" width="12.7109375" style="454" customWidth="1"/>
    <col min="7" max="7" width="11.5703125" style="491" customWidth="1"/>
    <col min="8" max="8" width="43.5703125" style="454" customWidth="1"/>
    <col min="9" max="9" width="15.140625" style="454" customWidth="1"/>
    <col min="10" max="10" width="12" style="454" customWidth="1"/>
    <col min="11" max="11" width="10" style="454" customWidth="1"/>
    <col min="12" max="12" width="10.42578125" style="454" customWidth="1"/>
    <col min="13" max="14" width="14.42578125" style="454" customWidth="1"/>
    <col min="15" max="15" width="13" style="454" customWidth="1"/>
    <col min="16" max="16" width="15.140625" style="454" customWidth="1"/>
    <col min="17" max="17" width="23.85546875" style="454" customWidth="1"/>
    <col min="18" max="18" width="15.42578125" style="494" customWidth="1"/>
    <col min="19" max="19" width="31.85546875" style="454" customWidth="1"/>
    <col min="20" max="20" width="31.5703125" style="454" customWidth="1"/>
    <col min="21" max="21" width="16.42578125" style="454" customWidth="1"/>
    <col min="22" max="22" width="14.85546875" style="454" customWidth="1"/>
    <col min="23" max="23" width="14.42578125" style="454" customWidth="1"/>
    <col min="24" max="24" width="27.140625" style="454" customWidth="1"/>
    <col min="25" max="25" width="15.42578125" style="454" customWidth="1"/>
    <col min="26" max="26" width="14.42578125" style="454" customWidth="1"/>
    <col min="27" max="27" width="37.28515625" style="454" customWidth="1"/>
    <col min="28" max="28" width="25.7109375" style="454" bestFit="1" customWidth="1"/>
    <col min="29" max="29" width="24" style="454" bestFit="1" customWidth="1"/>
    <col min="30" max="30" width="73" style="454" customWidth="1"/>
    <col min="31" max="16384" width="12.5703125" style="454"/>
  </cols>
  <sheetData>
    <row r="1" spans="1:64" ht="36.75" customHeight="1">
      <c r="A1" s="42" t="s">
        <v>241</v>
      </c>
      <c r="B1" s="200" t="s">
        <v>4</v>
      </c>
      <c r="C1" s="200" t="s">
        <v>2</v>
      </c>
      <c r="D1" s="200" t="s">
        <v>3</v>
      </c>
      <c r="E1" s="42" t="s">
        <v>242</v>
      </c>
      <c r="F1" s="42" t="s">
        <v>243</v>
      </c>
      <c r="G1" s="42" t="s">
        <v>244</v>
      </c>
      <c r="H1" s="42" t="s">
        <v>245</v>
      </c>
      <c r="I1" s="42" t="s">
        <v>246</v>
      </c>
      <c r="J1" s="200" t="s">
        <v>247</v>
      </c>
      <c r="K1" s="200" t="s">
        <v>248</v>
      </c>
      <c r="L1" s="200" t="s">
        <v>249</v>
      </c>
      <c r="M1" s="200" t="s">
        <v>250</v>
      </c>
      <c r="N1" s="200" t="s">
        <v>251</v>
      </c>
      <c r="O1" s="42" t="s">
        <v>252</v>
      </c>
      <c r="P1" s="42" t="s">
        <v>253</v>
      </c>
      <c r="Q1" s="42" t="s">
        <v>254</v>
      </c>
      <c r="R1" s="453" t="s">
        <v>255</v>
      </c>
      <c r="S1" s="42" t="s">
        <v>256</v>
      </c>
      <c r="T1" s="42" t="s">
        <v>257</v>
      </c>
      <c r="U1" s="42" t="s">
        <v>258</v>
      </c>
      <c r="V1" s="42" t="s">
        <v>259</v>
      </c>
      <c r="W1" s="42" t="s">
        <v>260</v>
      </c>
      <c r="X1" s="42" t="s">
        <v>261</v>
      </c>
      <c r="Y1" s="42" t="s">
        <v>262</v>
      </c>
      <c r="Z1" s="42" t="s">
        <v>263</v>
      </c>
      <c r="AA1" s="42" t="s">
        <v>264</v>
      </c>
      <c r="AB1" s="42" t="s">
        <v>265</v>
      </c>
      <c r="AC1" s="1" t="s">
        <v>266</v>
      </c>
      <c r="AD1" s="209" t="s">
        <v>267</v>
      </c>
    </row>
    <row r="2" spans="1:64" ht="50.25" customHeight="1">
      <c r="A2" s="467">
        <v>1</v>
      </c>
      <c r="B2" s="472" t="s">
        <v>5</v>
      </c>
      <c r="C2" s="471">
        <v>46142</v>
      </c>
      <c r="D2" s="471">
        <v>46156</v>
      </c>
      <c r="E2" s="581" t="s">
        <v>219</v>
      </c>
      <c r="F2" s="467" t="s">
        <v>268</v>
      </c>
      <c r="G2" s="476" t="s">
        <v>301</v>
      </c>
      <c r="H2" s="467" t="s">
        <v>302</v>
      </c>
      <c r="I2" s="455" t="s">
        <v>13</v>
      </c>
      <c r="J2" s="467">
        <v>2</v>
      </c>
      <c r="K2" s="467">
        <v>2</v>
      </c>
      <c r="L2" s="467">
        <v>14</v>
      </c>
      <c r="M2" s="471">
        <v>46116</v>
      </c>
      <c r="N2" s="587">
        <v>46147</v>
      </c>
      <c r="O2" s="594" t="s">
        <v>303</v>
      </c>
      <c r="P2" s="467" t="s">
        <v>304</v>
      </c>
      <c r="Q2" s="467"/>
      <c r="R2" s="472" t="s">
        <v>281</v>
      </c>
      <c r="S2" s="467"/>
      <c r="T2" s="473" t="s">
        <v>305</v>
      </c>
      <c r="U2" s="587">
        <v>46141</v>
      </c>
      <c r="V2" s="463">
        <v>46147</v>
      </c>
      <c r="W2" s="467" t="s">
        <v>231</v>
      </c>
      <c r="X2" s="469"/>
      <c r="Y2" s="469" t="s">
        <v>306</v>
      </c>
      <c r="Z2" s="463">
        <v>46148</v>
      </c>
      <c r="AA2" s="467"/>
      <c r="AB2" s="467"/>
      <c r="AC2" s="469"/>
      <c r="AD2" s="467" t="s">
        <v>307</v>
      </c>
    </row>
    <row r="3" spans="1:64" ht="47.25" customHeight="1">
      <c r="A3" s="455">
        <v>2</v>
      </c>
      <c r="B3" s="472" t="s">
        <v>5</v>
      </c>
      <c r="C3" s="471">
        <v>46142</v>
      </c>
      <c r="D3" s="471">
        <v>46156</v>
      </c>
      <c r="E3" s="581" t="s">
        <v>219</v>
      </c>
      <c r="F3" s="455" t="s">
        <v>231</v>
      </c>
      <c r="G3" s="478" t="s">
        <v>308</v>
      </c>
      <c r="H3" s="455" t="s">
        <v>309</v>
      </c>
      <c r="I3" s="455" t="s">
        <v>13</v>
      </c>
      <c r="J3" s="455">
        <v>2</v>
      </c>
      <c r="K3" s="455">
        <v>2</v>
      </c>
      <c r="L3" s="455">
        <v>12</v>
      </c>
      <c r="M3" s="463">
        <v>46143</v>
      </c>
      <c r="N3" s="463">
        <v>46155</v>
      </c>
      <c r="O3" s="594" t="s">
        <v>303</v>
      </c>
      <c r="P3" s="455" t="s">
        <v>304</v>
      </c>
      <c r="Q3" s="457"/>
      <c r="R3" s="477" t="s">
        <v>268</v>
      </c>
      <c r="S3" s="455"/>
      <c r="T3" s="137" t="s">
        <v>310</v>
      </c>
      <c r="U3" s="463">
        <v>46155</v>
      </c>
      <c r="V3" s="463" t="s">
        <v>93</v>
      </c>
      <c r="W3" s="455" t="s">
        <v>93</v>
      </c>
      <c r="X3" s="455"/>
      <c r="Y3" s="469" t="s">
        <v>306</v>
      </c>
      <c r="Z3" s="463">
        <v>46155</v>
      </c>
      <c r="AA3" s="455"/>
      <c r="AB3" s="456"/>
      <c r="AC3" s="596"/>
      <c r="AD3" s="595" t="s">
        <v>311</v>
      </c>
      <c r="AF3" s="489"/>
      <c r="AL3" s="490"/>
      <c r="AN3" s="491"/>
      <c r="AO3" s="492"/>
      <c r="AP3" s="492"/>
      <c r="AQ3" s="493"/>
      <c r="AS3" s="489"/>
      <c r="AY3" s="490"/>
      <c r="BA3" s="491"/>
      <c r="BB3" s="492"/>
      <c r="BC3" s="492"/>
      <c r="BD3" s="493"/>
      <c r="BF3" s="489"/>
      <c r="BL3" s="490"/>
    </row>
    <row r="4" spans="1:64" ht="57" customHeight="1">
      <c r="A4" s="455">
        <v>3</v>
      </c>
      <c r="B4" s="472" t="s">
        <v>5</v>
      </c>
      <c r="C4" s="471">
        <v>46142</v>
      </c>
      <c r="D4" s="471">
        <v>46156</v>
      </c>
      <c r="E4" s="581" t="s">
        <v>219</v>
      </c>
      <c r="F4" s="455" t="s">
        <v>231</v>
      </c>
      <c r="G4" s="478" t="s">
        <v>312</v>
      </c>
      <c r="H4" s="455" t="s">
        <v>313</v>
      </c>
      <c r="I4" s="455" t="s">
        <v>13</v>
      </c>
      <c r="J4" s="455">
        <v>1</v>
      </c>
      <c r="K4" s="455">
        <v>1</v>
      </c>
      <c r="L4" s="455">
        <v>11</v>
      </c>
      <c r="M4" s="463">
        <v>46143</v>
      </c>
      <c r="N4" s="463">
        <v>46143</v>
      </c>
      <c r="O4" s="464" t="s">
        <v>303</v>
      </c>
      <c r="P4" s="467" t="s">
        <v>304</v>
      </c>
      <c r="Q4" s="457"/>
      <c r="R4" s="477" t="s">
        <v>268</v>
      </c>
      <c r="S4" s="455"/>
      <c r="T4" s="465" t="s">
        <v>314</v>
      </c>
      <c r="U4" s="463">
        <v>46147</v>
      </c>
      <c r="V4" s="455" t="s">
        <v>93</v>
      </c>
      <c r="W4" s="455" t="s">
        <v>93</v>
      </c>
      <c r="X4" s="455"/>
      <c r="Y4" s="469" t="s">
        <v>306</v>
      </c>
      <c r="Z4" s="463">
        <v>46147</v>
      </c>
      <c r="AA4" s="455"/>
      <c r="AB4" s="456"/>
      <c r="AC4" s="457"/>
      <c r="AD4" s="597" t="s">
        <v>311</v>
      </c>
      <c r="AF4" s="489"/>
      <c r="AL4" s="490"/>
      <c r="AN4" s="491"/>
      <c r="AO4" s="492"/>
      <c r="AP4" s="492"/>
      <c r="AQ4" s="493"/>
      <c r="AS4" s="489"/>
      <c r="AY4" s="490"/>
      <c r="BA4" s="491"/>
      <c r="BB4" s="492"/>
      <c r="BC4" s="492"/>
      <c r="BD4" s="493"/>
      <c r="BF4" s="489"/>
      <c r="BL4" s="490"/>
    </row>
    <row r="5" spans="1:64" ht="51.75" customHeight="1">
      <c r="A5" s="455">
        <v>4</v>
      </c>
      <c r="B5" s="472" t="s">
        <v>5</v>
      </c>
      <c r="C5" s="471">
        <v>46142</v>
      </c>
      <c r="D5" s="471">
        <v>46156</v>
      </c>
      <c r="E5" s="581" t="s">
        <v>219</v>
      </c>
      <c r="F5" s="455" t="s">
        <v>231</v>
      </c>
      <c r="G5" s="478" t="s">
        <v>315</v>
      </c>
      <c r="H5" s="455" t="s">
        <v>316</v>
      </c>
      <c r="I5" s="455" t="s">
        <v>13</v>
      </c>
      <c r="J5" s="455">
        <v>2</v>
      </c>
      <c r="K5" s="455">
        <v>2</v>
      </c>
      <c r="L5" s="455">
        <v>5</v>
      </c>
      <c r="M5" s="463">
        <v>46143</v>
      </c>
      <c r="N5" s="463">
        <v>46147</v>
      </c>
      <c r="O5" s="464" t="s">
        <v>303</v>
      </c>
      <c r="P5" s="467" t="s">
        <v>304</v>
      </c>
      <c r="Q5" s="457"/>
      <c r="R5" s="477" t="s">
        <v>268</v>
      </c>
      <c r="S5" s="455"/>
      <c r="T5" s="465" t="s">
        <v>317</v>
      </c>
      <c r="U5" s="463">
        <v>46147</v>
      </c>
      <c r="V5" s="455" t="s">
        <v>93</v>
      </c>
      <c r="W5" s="455" t="s">
        <v>93</v>
      </c>
      <c r="X5" s="455"/>
      <c r="Y5" s="469" t="s">
        <v>306</v>
      </c>
      <c r="Z5" s="463">
        <v>46147</v>
      </c>
      <c r="AA5" s="455"/>
      <c r="AB5" s="456"/>
      <c r="AC5" s="457"/>
      <c r="AD5" s="580" t="s">
        <v>311</v>
      </c>
      <c r="AF5" s="489"/>
      <c r="AL5" s="490"/>
      <c r="AN5" s="491"/>
      <c r="AO5" s="492"/>
      <c r="AP5" s="492"/>
      <c r="AQ5" s="493"/>
      <c r="AS5" s="489"/>
      <c r="AY5" s="490"/>
      <c r="BA5" s="491"/>
      <c r="BB5" s="492"/>
      <c r="BC5" s="492"/>
      <c r="BD5" s="493"/>
      <c r="BF5" s="489"/>
      <c r="BL5" s="490"/>
    </row>
    <row r="6" spans="1:64" ht="65.25" customHeight="1">
      <c r="A6" s="469">
        <v>5</v>
      </c>
      <c r="B6" s="591" t="s">
        <v>5</v>
      </c>
      <c r="C6" s="592">
        <v>46142</v>
      </c>
      <c r="D6" s="471">
        <v>46156</v>
      </c>
      <c r="E6" s="581" t="s">
        <v>219</v>
      </c>
      <c r="F6" s="470" t="s">
        <v>281</v>
      </c>
      <c r="G6" s="476" t="s">
        <v>318</v>
      </c>
      <c r="H6" s="467" t="s">
        <v>319</v>
      </c>
      <c r="I6" s="467" t="s">
        <v>13</v>
      </c>
      <c r="J6" s="467">
        <v>5</v>
      </c>
      <c r="K6" s="467">
        <v>5</v>
      </c>
      <c r="L6" s="467">
        <v>44.5</v>
      </c>
      <c r="M6" s="471">
        <v>46146</v>
      </c>
      <c r="N6" s="471">
        <v>46148</v>
      </c>
      <c r="O6" s="472" t="s">
        <v>303</v>
      </c>
      <c r="P6" s="467" t="s">
        <v>304</v>
      </c>
      <c r="Q6" s="467"/>
      <c r="R6" s="472" t="s">
        <v>231</v>
      </c>
      <c r="S6" s="467"/>
      <c r="T6" s="473" t="s">
        <v>320</v>
      </c>
      <c r="U6" s="471">
        <v>46148</v>
      </c>
      <c r="V6" s="587">
        <v>46148</v>
      </c>
      <c r="W6" s="467" t="s">
        <v>93</v>
      </c>
      <c r="X6" s="467"/>
      <c r="Y6" s="469" t="s">
        <v>306</v>
      </c>
      <c r="Z6" s="471">
        <v>46148</v>
      </c>
      <c r="AA6" s="467"/>
      <c r="AB6" s="467"/>
      <c r="AC6" s="467"/>
      <c r="AD6" s="467" t="s">
        <v>321</v>
      </c>
    </row>
    <row r="7" spans="1:64" ht="100.5" customHeight="1">
      <c r="A7" s="467">
        <v>6</v>
      </c>
      <c r="B7" s="472" t="s">
        <v>5</v>
      </c>
      <c r="C7" s="471">
        <v>46142</v>
      </c>
      <c r="D7" s="471">
        <v>46156</v>
      </c>
      <c r="E7" s="581" t="s">
        <v>219</v>
      </c>
      <c r="F7" s="467" t="s">
        <v>268</v>
      </c>
      <c r="G7" s="476" t="s">
        <v>322</v>
      </c>
      <c r="H7" s="469" t="s">
        <v>323</v>
      </c>
      <c r="I7" s="467" t="s">
        <v>13</v>
      </c>
      <c r="J7" s="470">
        <v>5</v>
      </c>
      <c r="K7" s="467">
        <v>5</v>
      </c>
      <c r="L7" s="467">
        <v>54.5</v>
      </c>
      <c r="M7" s="471">
        <v>46146</v>
      </c>
      <c r="N7" s="471">
        <v>46150</v>
      </c>
      <c r="O7" s="467" t="s">
        <v>303</v>
      </c>
      <c r="P7" s="467" t="s">
        <v>304</v>
      </c>
      <c r="Q7" s="467"/>
      <c r="R7" s="472" t="s">
        <v>281</v>
      </c>
      <c r="S7" s="467"/>
      <c r="T7" s="473" t="s">
        <v>324</v>
      </c>
      <c r="U7" s="471">
        <v>46150</v>
      </c>
      <c r="V7" s="467" t="s">
        <v>93</v>
      </c>
      <c r="W7" s="467" t="s">
        <v>93</v>
      </c>
      <c r="X7" s="469"/>
      <c r="Y7" s="469" t="s">
        <v>306</v>
      </c>
      <c r="Z7" s="471">
        <v>46153</v>
      </c>
      <c r="AA7" s="467"/>
      <c r="AB7" s="467"/>
      <c r="AC7" s="467"/>
      <c r="AD7" s="467" t="s">
        <v>325</v>
      </c>
    </row>
    <row r="8" spans="1:64" ht="52.5" customHeight="1">
      <c r="A8" s="467">
        <v>7</v>
      </c>
      <c r="B8" s="472" t="s">
        <v>5</v>
      </c>
      <c r="C8" s="471">
        <v>46142</v>
      </c>
      <c r="D8" s="471">
        <v>46156</v>
      </c>
      <c r="E8" s="581" t="s">
        <v>219</v>
      </c>
      <c r="F8" s="467" t="s">
        <v>231</v>
      </c>
      <c r="G8" s="476" t="s">
        <v>326</v>
      </c>
      <c r="H8" s="467" t="s">
        <v>327</v>
      </c>
      <c r="I8" s="467" t="s">
        <v>13</v>
      </c>
      <c r="J8" s="467">
        <v>2</v>
      </c>
      <c r="K8" s="467">
        <v>2</v>
      </c>
      <c r="L8" s="467">
        <v>5</v>
      </c>
      <c r="M8" s="471">
        <v>46146</v>
      </c>
      <c r="N8" s="471">
        <v>46148</v>
      </c>
      <c r="O8" s="467" t="s">
        <v>303</v>
      </c>
      <c r="P8" s="467" t="s">
        <v>304</v>
      </c>
      <c r="Q8" s="467"/>
      <c r="R8" s="472" t="s">
        <v>281</v>
      </c>
      <c r="S8" s="467"/>
      <c r="T8" s="473" t="s">
        <v>328</v>
      </c>
      <c r="U8" s="463">
        <v>46148</v>
      </c>
      <c r="V8" s="467" t="s">
        <v>93</v>
      </c>
      <c r="W8" s="467" t="s">
        <v>93</v>
      </c>
      <c r="X8" s="467"/>
      <c r="Y8" s="469" t="s">
        <v>306</v>
      </c>
      <c r="Z8" s="463">
        <v>46148</v>
      </c>
      <c r="AA8" s="467"/>
      <c r="AB8" s="467"/>
      <c r="AC8" s="467"/>
      <c r="AD8" s="467" t="s">
        <v>329</v>
      </c>
    </row>
    <row r="9" spans="1:64" ht="48" customHeight="1">
      <c r="A9" s="467">
        <v>8</v>
      </c>
      <c r="B9" s="472" t="s">
        <v>5</v>
      </c>
      <c r="C9" s="471">
        <v>46142</v>
      </c>
      <c r="D9" s="471">
        <v>46156</v>
      </c>
      <c r="E9" s="581" t="s">
        <v>219</v>
      </c>
      <c r="F9" s="469" t="s">
        <v>268</v>
      </c>
      <c r="G9" s="476" t="s">
        <v>330</v>
      </c>
      <c r="H9" s="512" t="s">
        <v>331</v>
      </c>
      <c r="I9" s="467" t="s">
        <v>13</v>
      </c>
      <c r="J9" s="470">
        <v>1</v>
      </c>
      <c r="K9" s="467">
        <v>1</v>
      </c>
      <c r="L9" s="469">
        <v>9</v>
      </c>
      <c r="M9" s="471">
        <v>46153</v>
      </c>
      <c r="N9" s="471">
        <v>46153</v>
      </c>
      <c r="O9" s="470" t="s">
        <v>303</v>
      </c>
      <c r="P9" s="467" t="s">
        <v>304</v>
      </c>
      <c r="Q9" s="467"/>
      <c r="R9" s="472" t="s">
        <v>231</v>
      </c>
      <c r="S9" s="467"/>
      <c r="T9" s="473" t="s">
        <v>332</v>
      </c>
      <c r="U9" s="471">
        <v>46153</v>
      </c>
      <c r="V9" s="467"/>
      <c r="W9" s="469" t="s">
        <v>231</v>
      </c>
      <c r="X9" s="467"/>
      <c r="Y9" s="470" t="s">
        <v>306</v>
      </c>
      <c r="Z9" s="470"/>
      <c r="AA9" s="467"/>
      <c r="AB9" s="467"/>
      <c r="AC9" s="467"/>
      <c r="AD9" s="467" t="s">
        <v>333</v>
      </c>
    </row>
    <row r="10" spans="1:64" ht="66" customHeight="1">
      <c r="A10" s="455">
        <v>9</v>
      </c>
      <c r="B10" s="464" t="s">
        <v>5</v>
      </c>
      <c r="C10" s="463">
        <v>46142</v>
      </c>
      <c r="D10" s="463">
        <v>46156</v>
      </c>
      <c r="E10" s="580" t="s">
        <v>334</v>
      </c>
      <c r="F10" s="455" t="s">
        <v>281</v>
      </c>
      <c r="G10" s="478" t="s">
        <v>335</v>
      </c>
      <c r="H10" s="455" t="s">
        <v>336</v>
      </c>
      <c r="I10" s="455" t="s">
        <v>13</v>
      </c>
      <c r="J10" s="455">
        <v>1</v>
      </c>
      <c r="K10" s="455">
        <v>1</v>
      </c>
      <c r="L10" s="455">
        <v>28</v>
      </c>
      <c r="M10" s="463">
        <v>46154</v>
      </c>
      <c r="N10" s="463">
        <v>46154</v>
      </c>
      <c r="O10" s="455" t="s">
        <v>303</v>
      </c>
      <c r="P10" s="455" t="s">
        <v>304</v>
      </c>
      <c r="Q10" s="455"/>
      <c r="R10" s="464" t="s">
        <v>231</v>
      </c>
      <c r="S10" s="455"/>
      <c r="T10" s="137" t="s">
        <v>337</v>
      </c>
      <c r="U10" s="463">
        <v>46154</v>
      </c>
      <c r="V10" s="480">
        <v>46154</v>
      </c>
      <c r="W10" s="455" t="s">
        <v>231</v>
      </c>
      <c r="X10" s="455"/>
      <c r="Y10" s="455" t="s">
        <v>306</v>
      </c>
      <c r="Z10" s="463">
        <v>46154</v>
      </c>
      <c r="AA10" s="455" t="s">
        <v>338</v>
      </c>
      <c r="AB10" s="455"/>
      <c r="AC10" s="455"/>
      <c r="AD10" s="455" t="s">
        <v>339</v>
      </c>
    </row>
    <row r="11" spans="1:64" ht="48.75" customHeight="1">
      <c r="A11" s="455">
        <v>10</v>
      </c>
      <c r="B11" s="464" t="s">
        <v>5</v>
      </c>
      <c r="C11" s="463">
        <v>46142</v>
      </c>
      <c r="D11" s="463">
        <v>46156</v>
      </c>
      <c r="E11" s="580" t="s">
        <v>334</v>
      </c>
      <c r="F11" s="455" t="s">
        <v>268</v>
      </c>
      <c r="G11" s="478" t="s">
        <v>269</v>
      </c>
      <c r="H11" s="455" t="s">
        <v>270</v>
      </c>
      <c r="I11" s="455" t="s">
        <v>271</v>
      </c>
      <c r="J11" s="455">
        <v>2</v>
      </c>
      <c r="K11" s="455">
        <v>0</v>
      </c>
      <c r="L11" s="455">
        <v>12</v>
      </c>
      <c r="M11" s="463">
        <v>46155</v>
      </c>
      <c r="N11" s="463"/>
      <c r="O11" s="455"/>
      <c r="P11" s="455"/>
      <c r="Q11" s="455"/>
      <c r="R11" s="464"/>
      <c r="S11" s="455"/>
      <c r="T11" s="137"/>
      <c r="U11" s="463"/>
      <c r="V11" s="480"/>
      <c r="W11" s="455"/>
      <c r="X11" s="455"/>
      <c r="Y11" s="455"/>
      <c r="Z11" s="463"/>
      <c r="AA11" s="455"/>
      <c r="AB11" s="455"/>
      <c r="AC11" s="455"/>
      <c r="AD11" s="455"/>
    </row>
  </sheetData>
  <hyperlinks>
    <hyperlink ref="T2" r:id="rId1" xr:uid="{FCC776B4-1C0A-4EF6-BE7B-7213A836B5D2}"/>
    <hyperlink ref="T4" r:id="rId2" xr:uid="{D1AF4C7F-BB1A-4DA6-A3B7-5A60345F2E99}"/>
    <hyperlink ref="T5" r:id="rId3" xr:uid="{27C939BF-92F0-4F2A-AC1F-066A159957F9}"/>
    <hyperlink ref="T8" r:id="rId4" xr:uid="{29B8A310-554A-4E91-B6AD-43A67CE735E0}"/>
    <hyperlink ref="T6" r:id="rId5" xr:uid="{4EE53085-6551-4FF7-8A6A-11BE9A301A20}"/>
    <hyperlink ref="T7" r:id="rId6" xr:uid="{04BDA2B4-385E-4966-84ED-7C8765706D8F}"/>
    <hyperlink ref="T9" r:id="rId7" xr:uid="{C15D3881-9264-4141-9E21-07FAC6147CB3}"/>
    <hyperlink ref="T10" r:id="rId8" xr:uid="{48AF97F3-0E03-457E-A5D9-E2FBB8762858}"/>
    <hyperlink ref="T3" r:id="rId9" xr:uid="{0708412A-F751-456F-A868-184C25E6CEBC}"/>
  </hyperlinks>
  <pageMargins left="0" right="0" top="0" bottom="0" header="0" footer="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41B9-4068-41AB-A09E-6849D6CA5CF6}">
  <sheetPr>
    <outlinePr summaryBelow="0" summaryRight="0"/>
  </sheetPr>
  <dimension ref="A1:O3"/>
  <sheetViews>
    <sheetView topLeftCell="B1" workbookViewId="0"/>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21.28515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15" customHeight="1">
      <c r="A2" s="479"/>
      <c r="B2" s="477"/>
      <c r="C2" s="495"/>
      <c r="D2" s="496"/>
      <c r="E2" s="460"/>
      <c r="F2" s="497"/>
      <c r="G2" s="498" t="s">
        <v>300</v>
      </c>
      <c r="H2" s="479"/>
      <c r="I2" s="497"/>
      <c r="J2" s="479"/>
      <c r="K2" s="497"/>
      <c r="L2" s="499"/>
      <c r="M2" s="499"/>
      <c r="N2" s="479"/>
      <c r="O2" s="455"/>
    </row>
    <row r="3" spans="1:15" ht="15" customHeight="1">
      <c r="B3" s="412"/>
      <c r="C3" s="439"/>
      <c r="D3" s="439"/>
      <c r="F3" s="440"/>
      <c r="I3" s="440"/>
      <c r="K3" s="440"/>
    </row>
  </sheetData>
  <autoFilter ref="A1:M1" xr:uid="{3A2BB050-11AC-4ED7-A296-96B42C7FCFBA}"/>
  <dataValidations count="5">
    <dataValidation type="list" allowBlank="1" showErrorMessage="1" sqref="K1:K1048576" xr:uid="{5F7CF354-A765-4FC9-8739-2E5573F72A35}">
      <formula1>"Open,Inprogress,Closed, Rejected"</formula1>
    </dataValidation>
    <dataValidation type="list" allowBlank="1" showErrorMessage="1" sqref="F2:F3" xr:uid="{DAFD33AF-F3B5-4203-80D2-96055EB9A3C9}">
      <formula1>"Bounceback/Sub-Defect,Defect,None"</formula1>
    </dataValidation>
    <dataValidation type="list" allowBlank="1" showErrorMessage="1" sqref="J2:J3" xr:uid="{6977BE87-37CF-4EB2-B54D-D7C654FAA0B4}">
      <formula1>"Internal,External"</formula1>
    </dataValidation>
    <dataValidation type="list" allowBlank="1" showErrorMessage="1" sqref="H2:H3" xr:uid="{D1AFAA27-648E-4E01-978A-E2B390B6B10E}">
      <formula1>"Minor,Significant,Major"</formula1>
    </dataValidation>
    <dataValidation type="list" allowBlank="1" showErrorMessage="1" sqref="I2:I3" xr:uid="{DB136158-FC01-4322-9CD5-DECD940C8DA9}">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0FD446DD-F8F7-445C-93F6-13D13B858046}">
          <x14:formula1>
            <xm:f>Details!$A$2:$A$10</xm:f>
          </x14:formula1>
          <xm:sqref>L2:L3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EA6E2-8A4E-4F64-9304-A37F87452C7C}">
  <sheetPr>
    <outlinePr summaryBelow="0" summaryRight="0"/>
  </sheetPr>
  <dimension ref="A1:BL15"/>
  <sheetViews>
    <sheetView showGridLines="0" workbookViewId="0">
      <pane ySplit="1" topLeftCell="B7" activePane="bottomLeft" state="frozen"/>
      <selection pane="bottomLeft" activeCell="E10" sqref="E10"/>
      <selection activeCell="A3" sqref="A3"/>
    </sheetView>
  </sheetViews>
  <sheetFormatPr defaultColWidth="12.5703125" defaultRowHeight="35.25" customHeight="1"/>
  <cols>
    <col min="1" max="1" width="5.140625" style="454" customWidth="1"/>
    <col min="2" max="2" width="12.28515625" style="454" customWidth="1"/>
    <col min="3" max="3" width="11.28515625" style="454" customWidth="1"/>
    <col min="4" max="4" width="11.42578125" style="454" customWidth="1"/>
    <col min="5" max="5" width="25" style="454" customWidth="1"/>
    <col min="6" max="6" width="12.7109375" style="454" customWidth="1"/>
    <col min="7" max="7" width="10.7109375" style="491" customWidth="1"/>
    <col min="8" max="8" width="45.5703125" style="454" customWidth="1"/>
    <col min="9" max="9" width="15.42578125" style="454" customWidth="1"/>
    <col min="10" max="10" width="12" style="454" customWidth="1"/>
    <col min="11" max="11" width="10" style="454" customWidth="1"/>
    <col min="12" max="12" width="10.42578125" style="454" customWidth="1"/>
    <col min="13" max="14" width="14.42578125" style="454" customWidth="1"/>
    <col min="15" max="15" width="13" style="454" customWidth="1"/>
    <col min="16" max="16" width="15.140625" style="454" customWidth="1"/>
    <col min="17" max="17" width="23.85546875" style="454" customWidth="1"/>
    <col min="18" max="18" width="15.42578125" style="494" customWidth="1"/>
    <col min="19" max="19" width="31.85546875" style="454" customWidth="1"/>
    <col min="20" max="20" width="31.5703125" style="454" customWidth="1"/>
    <col min="21" max="21" width="16.42578125" style="454" customWidth="1"/>
    <col min="22" max="22" width="14.85546875" style="454" customWidth="1"/>
    <col min="23" max="23" width="14.42578125" style="454" customWidth="1"/>
    <col min="24" max="24" width="27.140625" style="454" customWidth="1"/>
    <col min="25" max="25" width="15.42578125" style="454" customWidth="1"/>
    <col min="26" max="26" width="14.42578125" style="454" customWidth="1"/>
    <col min="27" max="27" width="37.28515625" style="454" customWidth="1"/>
    <col min="28" max="28" width="25.7109375" style="454" bestFit="1" customWidth="1"/>
    <col min="29" max="29" width="24" style="454" bestFit="1" customWidth="1"/>
    <col min="30" max="30" width="73" style="454" customWidth="1"/>
    <col min="31" max="16384" width="12.5703125" style="454"/>
  </cols>
  <sheetData>
    <row r="1" spans="1:64" ht="36.75" customHeight="1">
      <c r="A1" s="42" t="s">
        <v>241</v>
      </c>
      <c r="B1" s="200" t="s">
        <v>4</v>
      </c>
      <c r="C1" s="200" t="s">
        <v>2</v>
      </c>
      <c r="D1" s="200" t="s">
        <v>3</v>
      </c>
      <c r="E1" s="42" t="s">
        <v>242</v>
      </c>
      <c r="F1" s="42" t="s">
        <v>243</v>
      </c>
      <c r="G1" s="42" t="s">
        <v>244</v>
      </c>
      <c r="H1" s="42" t="s">
        <v>245</v>
      </c>
      <c r="I1" s="42" t="s">
        <v>246</v>
      </c>
      <c r="J1" s="200" t="s">
        <v>247</v>
      </c>
      <c r="K1" s="200" t="s">
        <v>248</v>
      </c>
      <c r="L1" s="200" t="s">
        <v>249</v>
      </c>
      <c r="M1" s="200" t="s">
        <v>250</v>
      </c>
      <c r="N1" s="200" t="s">
        <v>251</v>
      </c>
      <c r="O1" s="42" t="s">
        <v>252</v>
      </c>
      <c r="P1" s="42" t="s">
        <v>253</v>
      </c>
      <c r="Q1" s="42" t="s">
        <v>254</v>
      </c>
      <c r="R1" s="453" t="s">
        <v>255</v>
      </c>
      <c r="S1" s="42" t="s">
        <v>256</v>
      </c>
      <c r="T1" s="42" t="s">
        <v>257</v>
      </c>
      <c r="U1" s="42" t="s">
        <v>258</v>
      </c>
      <c r="V1" s="42" t="s">
        <v>259</v>
      </c>
      <c r="W1" s="42" t="s">
        <v>260</v>
      </c>
      <c r="X1" s="42" t="s">
        <v>261</v>
      </c>
      <c r="Y1" s="42" t="s">
        <v>262</v>
      </c>
      <c r="Z1" s="42" t="s">
        <v>263</v>
      </c>
      <c r="AA1" s="42" t="s">
        <v>264</v>
      </c>
      <c r="AB1" s="42" t="s">
        <v>265</v>
      </c>
      <c r="AC1" s="1" t="s">
        <v>266</v>
      </c>
      <c r="AD1" s="3" t="s">
        <v>267</v>
      </c>
    </row>
    <row r="2" spans="1:64" ht="35.25" customHeight="1">
      <c r="A2" s="503">
        <v>1</v>
      </c>
      <c r="B2" s="588" t="s">
        <v>5</v>
      </c>
      <c r="C2" s="509">
        <v>46128</v>
      </c>
      <c r="D2" s="509">
        <v>46142</v>
      </c>
      <c r="E2" s="579" t="s">
        <v>213</v>
      </c>
      <c r="F2" s="503" t="s">
        <v>268</v>
      </c>
      <c r="G2" s="507" t="s">
        <v>340</v>
      </c>
      <c r="H2" s="508" t="s">
        <v>341</v>
      </c>
      <c r="I2" s="455" t="s">
        <v>13</v>
      </c>
      <c r="J2" s="488">
        <v>1</v>
      </c>
      <c r="K2" s="481">
        <v>1</v>
      </c>
      <c r="L2" s="486">
        <v>13</v>
      </c>
      <c r="M2" s="487" t="s">
        <v>93</v>
      </c>
      <c r="N2" s="487" t="s">
        <v>93</v>
      </c>
      <c r="O2" s="481" t="s">
        <v>303</v>
      </c>
      <c r="P2" s="455" t="s">
        <v>304</v>
      </c>
      <c r="Q2" s="483"/>
      <c r="R2" s="589" t="s">
        <v>281</v>
      </c>
      <c r="S2" s="481"/>
      <c r="T2" s="420" t="s">
        <v>342</v>
      </c>
      <c r="U2" s="487">
        <v>46125</v>
      </c>
      <c r="V2" s="487">
        <v>46129</v>
      </c>
      <c r="W2" s="481" t="s">
        <v>231</v>
      </c>
      <c r="X2" s="488"/>
      <c r="Y2" s="486" t="s">
        <v>306</v>
      </c>
      <c r="Z2" s="487">
        <v>46130</v>
      </c>
      <c r="AA2" s="503" t="s">
        <v>343</v>
      </c>
      <c r="AB2" s="482"/>
      <c r="AC2" s="483"/>
      <c r="AD2" s="484" t="s">
        <v>344</v>
      </c>
      <c r="AF2" s="489"/>
      <c r="AL2" s="490"/>
      <c r="AN2" s="491"/>
      <c r="AO2" s="492"/>
      <c r="AP2" s="492"/>
      <c r="AQ2" s="493"/>
      <c r="AS2" s="489"/>
      <c r="AY2" s="490"/>
      <c r="BA2" s="491"/>
      <c r="BB2" s="492"/>
      <c r="BC2" s="492"/>
      <c r="BD2" s="493"/>
      <c r="BF2" s="489"/>
      <c r="BL2" s="490"/>
    </row>
    <row r="3" spans="1:64" ht="37.5" customHeight="1">
      <c r="A3" s="455">
        <v>2</v>
      </c>
      <c r="B3" s="464" t="s">
        <v>5</v>
      </c>
      <c r="C3" s="463">
        <v>46128</v>
      </c>
      <c r="D3" s="463">
        <v>46142</v>
      </c>
      <c r="E3" s="580" t="s">
        <v>213</v>
      </c>
      <c r="F3" s="455" t="s">
        <v>268</v>
      </c>
      <c r="G3" s="478" t="s">
        <v>345</v>
      </c>
      <c r="H3" s="460" t="s">
        <v>346</v>
      </c>
      <c r="I3" s="455" t="s">
        <v>13</v>
      </c>
      <c r="J3" s="510">
        <v>1</v>
      </c>
      <c r="K3" s="503">
        <v>1</v>
      </c>
      <c r="L3" s="508">
        <v>12</v>
      </c>
      <c r="M3" s="509" t="s">
        <v>93</v>
      </c>
      <c r="N3" s="509" t="s">
        <v>93</v>
      </c>
      <c r="O3" s="503" t="s">
        <v>303</v>
      </c>
      <c r="P3" s="455" t="s">
        <v>304</v>
      </c>
      <c r="Q3" s="505"/>
      <c r="R3" s="579" t="s">
        <v>281</v>
      </c>
      <c r="S3" s="503"/>
      <c r="T3" s="432" t="s">
        <v>342</v>
      </c>
      <c r="U3" s="509">
        <v>46125</v>
      </c>
      <c r="V3" s="487">
        <v>46129</v>
      </c>
      <c r="W3" s="503" t="s">
        <v>231</v>
      </c>
      <c r="X3" s="510"/>
      <c r="Y3" s="508" t="s">
        <v>306</v>
      </c>
      <c r="Z3" s="585">
        <v>46130</v>
      </c>
      <c r="AA3" s="455" t="s">
        <v>347</v>
      </c>
      <c r="AB3" s="582"/>
      <c r="AC3" s="505"/>
      <c r="AD3" s="506" t="s">
        <v>348</v>
      </c>
      <c r="AF3" s="489"/>
      <c r="AL3" s="490"/>
      <c r="AN3" s="491"/>
      <c r="AO3" s="492"/>
      <c r="AP3" s="492"/>
      <c r="AQ3" s="493"/>
      <c r="AS3" s="489"/>
      <c r="AY3" s="490"/>
      <c r="BA3" s="491"/>
      <c r="BB3" s="492"/>
      <c r="BC3" s="492"/>
      <c r="BD3" s="493"/>
      <c r="BF3" s="489"/>
      <c r="BL3" s="490"/>
    </row>
    <row r="4" spans="1:64" ht="58.5" customHeight="1">
      <c r="A4" s="503">
        <v>3</v>
      </c>
      <c r="B4" s="588" t="s">
        <v>5</v>
      </c>
      <c r="C4" s="509">
        <v>46128</v>
      </c>
      <c r="D4" s="509">
        <v>46142</v>
      </c>
      <c r="E4" s="579" t="s">
        <v>213</v>
      </c>
      <c r="F4" s="503" t="s">
        <v>268</v>
      </c>
      <c r="G4" s="584" t="s">
        <v>349</v>
      </c>
      <c r="H4" s="503" t="s">
        <v>350</v>
      </c>
      <c r="I4" s="455" t="s">
        <v>13</v>
      </c>
      <c r="J4" s="467">
        <v>2</v>
      </c>
      <c r="K4" s="467">
        <v>2</v>
      </c>
      <c r="L4" s="467">
        <v>29</v>
      </c>
      <c r="M4" s="471">
        <v>46129</v>
      </c>
      <c r="N4" s="471">
        <v>46134</v>
      </c>
      <c r="O4" s="455" t="s">
        <v>303</v>
      </c>
      <c r="P4" s="455" t="s">
        <v>304</v>
      </c>
      <c r="Q4" s="460"/>
      <c r="R4" s="464" t="s">
        <v>231</v>
      </c>
      <c r="S4" s="455"/>
      <c r="T4" s="360" t="s">
        <v>351</v>
      </c>
      <c r="U4" s="463">
        <v>46129</v>
      </c>
      <c r="V4" s="583">
        <v>46134</v>
      </c>
      <c r="W4" s="455" t="s">
        <v>231</v>
      </c>
      <c r="X4" s="511"/>
      <c r="Y4" s="460" t="s">
        <v>306</v>
      </c>
      <c r="Z4" s="463">
        <v>46134</v>
      </c>
      <c r="AA4" s="454" t="s">
        <v>352</v>
      </c>
      <c r="AB4" s="455"/>
      <c r="AC4" s="455"/>
      <c r="AD4" s="467" t="s">
        <v>353</v>
      </c>
    </row>
    <row r="5" spans="1:64" ht="122.25" customHeight="1">
      <c r="A5" s="467">
        <v>4</v>
      </c>
      <c r="B5" s="472" t="s">
        <v>5</v>
      </c>
      <c r="C5" s="471">
        <v>46128</v>
      </c>
      <c r="D5" s="471">
        <v>46142</v>
      </c>
      <c r="E5" s="581" t="s">
        <v>213</v>
      </c>
      <c r="F5" s="467" t="s">
        <v>281</v>
      </c>
      <c r="G5" s="473" t="s">
        <v>354</v>
      </c>
      <c r="H5" s="469" t="s">
        <v>355</v>
      </c>
      <c r="I5" s="455" t="s">
        <v>13</v>
      </c>
      <c r="J5" s="470">
        <v>5</v>
      </c>
      <c r="K5" s="467">
        <v>5</v>
      </c>
      <c r="L5" s="469">
        <v>52</v>
      </c>
      <c r="M5" s="463">
        <v>46129</v>
      </c>
      <c r="N5" s="576">
        <v>46135</v>
      </c>
      <c r="O5" s="455" t="s">
        <v>303</v>
      </c>
      <c r="P5" s="455" t="s">
        <v>304</v>
      </c>
      <c r="Q5" s="460"/>
      <c r="R5" s="464" t="s">
        <v>231</v>
      </c>
      <c r="S5" s="455"/>
      <c r="T5" s="137" t="s">
        <v>356</v>
      </c>
      <c r="U5" s="463">
        <v>46135</v>
      </c>
      <c r="V5" s="463">
        <v>46140</v>
      </c>
      <c r="W5" s="481" t="s">
        <v>231</v>
      </c>
      <c r="X5" s="455"/>
      <c r="Y5" s="460" t="s">
        <v>306</v>
      </c>
      <c r="Z5" s="463">
        <v>46140</v>
      </c>
      <c r="AA5" s="455"/>
      <c r="AB5" s="455"/>
      <c r="AC5" s="460"/>
      <c r="AD5" s="590" t="s">
        <v>357</v>
      </c>
    </row>
    <row r="6" spans="1:64" ht="68.25" customHeight="1">
      <c r="A6" s="455">
        <v>5</v>
      </c>
      <c r="B6" s="472" t="s">
        <v>5</v>
      </c>
      <c r="C6" s="463">
        <v>46128</v>
      </c>
      <c r="D6" s="463">
        <v>46142</v>
      </c>
      <c r="E6" s="581" t="s">
        <v>213</v>
      </c>
      <c r="F6" s="455" t="s">
        <v>281</v>
      </c>
      <c r="G6" s="478" t="s">
        <v>358</v>
      </c>
      <c r="H6" s="455" t="s">
        <v>359</v>
      </c>
      <c r="I6" s="455" t="s">
        <v>13</v>
      </c>
      <c r="J6" s="455">
        <v>3</v>
      </c>
      <c r="K6" s="455">
        <v>3</v>
      </c>
      <c r="L6" s="455">
        <v>21</v>
      </c>
      <c r="M6" s="463">
        <v>46139</v>
      </c>
      <c r="N6" s="463">
        <v>46140</v>
      </c>
      <c r="O6" s="481" t="s">
        <v>303</v>
      </c>
      <c r="P6" s="455" t="s">
        <v>304</v>
      </c>
      <c r="Q6" s="469"/>
      <c r="R6" s="464" t="s">
        <v>268</v>
      </c>
      <c r="S6" s="467"/>
      <c r="T6" s="225" t="s">
        <v>360</v>
      </c>
      <c r="U6" s="463">
        <v>46140</v>
      </c>
      <c r="V6" s="463">
        <v>46141</v>
      </c>
      <c r="W6" s="467" t="s">
        <v>231</v>
      </c>
      <c r="X6" s="467"/>
      <c r="Y6" s="460" t="s">
        <v>306</v>
      </c>
      <c r="Z6" s="463">
        <v>46141</v>
      </c>
      <c r="AA6" s="467"/>
      <c r="AB6" s="467"/>
      <c r="AC6" s="467"/>
      <c r="AD6" s="503" t="s">
        <v>361</v>
      </c>
    </row>
    <row r="7" spans="1:64" ht="93.75" customHeight="1">
      <c r="A7" s="486">
        <v>6</v>
      </c>
      <c r="B7" s="464" t="s">
        <v>5</v>
      </c>
      <c r="C7" s="577">
        <v>46128</v>
      </c>
      <c r="D7" s="578">
        <v>46142</v>
      </c>
      <c r="E7" s="580" t="s">
        <v>213</v>
      </c>
      <c r="F7" s="488" t="s">
        <v>268</v>
      </c>
      <c r="G7" s="485" t="s">
        <v>362</v>
      </c>
      <c r="H7" s="481" t="s">
        <v>363</v>
      </c>
      <c r="I7" s="455" t="s">
        <v>13</v>
      </c>
      <c r="J7" s="481">
        <v>5</v>
      </c>
      <c r="K7" s="481">
        <v>5</v>
      </c>
      <c r="L7" s="481">
        <v>33</v>
      </c>
      <c r="M7" s="463">
        <v>46132</v>
      </c>
      <c r="N7" s="463">
        <v>46139</v>
      </c>
      <c r="O7" s="481" t="s">
        <v>303</v>
      </c>
      <c r="P7" s="455" t="s">
        <v>304</v>
      </c>
      <c r="Q7" s="455"/>
      <c r="R7" s="464" t="s">
        <v>231</v>
      </c>
      <c r="S7" s="455"/>
      <c r="T7" s="137" t="s">
        <v>364</v>
      </c>
      <c r="U7" s="463">
        <v>46139</v>
      </c>
      <c r="V7" s="463">
        <v>46140</v>
      </c>
      <c r="W7" s="467" t="s">
        <v>231</v>
      </c>
      <c r="X7" s="455"/>
      <c r="Y7" s="460" t="s">
        <v>306</v>
      </c>
      <c r="Z7" s="463">
        <v>46141</v>
      </c>
      <c r="AA7" s="455"/>
      <c r="AB7" s="455"/>
      <c r="AC7" s="455"/>
      <c r="AD7" s="455" t="s">
        <v>365</v>
      </c>
    </row>
    <row r="8" spans="1:64" ht="41.25" customHeight="1">
      <c r="A8" s="503">
        <v>7</v>
      </c>
      <c r="B8" s="588" t="s">
        <v>5</v>
      </c>
      <c r="C8" s="509">
        <v>46128</v>
      </c>
      <c r="D8" s="509">
        <v>46142</v>
      </c>
      <c r="E8" s="579" t="s">
        <v>213</v>
      </c>
      <c r="F8" s="503" t="s">
        <v>268</v>
      </c>
      <c r="G8" s="507" t="s">
        <v>366</v>
      </c>
      <c r="H8" s="503" t="s">
        <v>367</v>
      </c>
      <c r="I8" s="455" t="s">
        <v>13</v>
      </c>
      <c r="J8" s="481">
        <v>3</v>
      </c>
      <c r="K8" s="481">
        <v>3</v>
      </c>
      <c r="L8" s="481">
        <v>12</v>
      </c>
      <c r="M8" s="463">
        <v>46139</v>
      </c>
      <c r="N8" s="463">
        <v>46140</v>
      </c>
      <c r="O8" s="481" t="s">
        <v>303</v>
      </c>
      <c r="P8" s="455" t="s">
        <v>304</v>
      </c>
      <c r="Q8" s="455"/>
      <c r="R8" s="464" t="s">
        <v>281</v>
      </c>
      <c r="S8" s="455"/>
      <c r="T8" s="137" t="s">
        <v>364</v>
      </c>
      <c r="U8" s="463">
        <v>46139</v>
      </c>
      <c r="V8" s="463">
        <v>46140</v>
      </c>
      <c r="W8" s="467" t="s">
        <v>231</v>
      </c>
      <c r="X8" s="455"/>
      <c r="Y8" s="460" t="s">
        <v>306</v>
      </c>
      <c r="Z8" s="463">
        <v>46141</v>
      </c>
      <c r="AA8" s="455"/>
      <c r="AB8" s="455"/>
      <c r="AC8" s="455"/>
      <c r="AD8" s="455" t="s">
        <v>368</v>
      </c>
    </row>
    <row r="9" spans="1:64" ht="61.5" customHeight="1">
      <c r="A9" s="467">
        <v>8</v>
      </c>
      <c r="B9" s="472" t="s">
        <v>5</v>
      </c>
      <c r="C9" s="471">
        <v>46128</v>
      </c>
      <c r="D9" s="471">
        <v>46142</v>
      </c>
      <c r="E9" s="581" t="s">
        <v>213</v>
      </c>
      <c r="F9" s="467" t="s">
        <v>231</v>
      </c>
      <c r="G9" s="476" t="s">
        <v>369</v>
      </c>
      <c r="H9" s="467" t="s">
        <v>370</v>
      </c>
      <c r="I9" s="467" t="s">
        <v>13</v>
      </c>
      <c r="J9" s="470">
        <v>1</v>
      </c>
      <c r="K9" s="467">
        <v>1</v>
      </c>
      <c r="L9" s="467">
        <v>10</v>
      </c>
      <c r="M9" s="471">
        <v>46132</v>
      </c>
      <c r="N9" s="471">
        <v>46135</v>
      </c>
      <c r="O9" s="467" t="s">
        <v>303</v>
      </c>
      <c r="P9" s="467" t="s">
        <v>304</v>
      </c>
      <c r="Q9" s="467"/>
      <c r="R9" s="472" t="s">
        <v>268</v>
      </c>
      <c r="S9" s="467"/>
      <c r="T9" s="225" t="s">
        <v>371</v>
      </c>
      <c r="U9" s="463">
        <v>46135</v>
      </c>
      <c r="V9" s="587" t="s">
        <v>93</v>
      </c>
      <c r="W9" s="467" t="s">
        <v>93</v>
      </c>
      <c r="X9" s="467"/>
      <c r="Y9" s="547" t="s">
        <v>372</v>
      </c>
      <c r="Z9" s="463">
        <v>46136</v>
      </c>
      <c r="AA9" s="467"/>
      <c r="AB9" s="467"/>
      <c r="AC9" s="467"/>
      <c r="AD9" s="467" t="s">
        <v>373</v>
      </c>
    </row>
    <row r="10" spans="1:64" ht="50.25" customHeight="1">
      <c r="A10" s="455">
        <v>9</v>
      </c>
      <c r="B10" s="464" t="s">
        <v>5</v>
      </c>
      <c r="C10" s="463">
        <v>46128</v>
      </c>
      <c r="D10" s="463">
        <v>46142</v>
      </c>
      <c r="E10" s="580" t="s">
        <v>374</v>
      </c>
      <c r="F10" s="455" t="s">
        <v>268</v>
      </c>
      <c r="G10" s="478" t="s">
        <v>301</v>
      </c>
      <c r="H10" s="455" t="s">
        <v>302</v>
      </c>
      <c r="I10" s="455" t="s">
        <v>271</v>
      </c>
      <c r="J10" s="455">
        <v>3</v>
      </c>
      <c r="K10" s="455">
        <v>1</v>
      </c>
      <c r="L10" s="455">
        <v>12</v>
      </c>
      <c r="M10" s="463">
        <v>46141</v>
      </c>
      <c r="N10" s="480">
        <v>46142</v>
      </c>
      <c r="O10" s="462"/>
      <c r="P10" s="455"/>
      <c r="Q10" s="455"/>
      <c r="R10" s="464"/>
      <c r="S10" s="455"/>
      <c r="T10" s="137" t="s">
        <v>305</v>
      </c>
      <c r="U10" s="480">
        <v>46141</v>
      </c>
      <c r="V10" s="455"/>
      <c r="W10" s="455" t="s">
        <v>231</v>
      </c>
      <c r="X10" s="460"/>
      <c r="Y10" s="460" t="s">
        <v>306</v>
      </c>
      <c r="Z10" s="455"/>
      <c r="AA10" s="455"/>
      <c r="AB10" s="455"/>
      <c r="AC10" s="460"/>
      <c r="AD10" s="455" t="s">
        <v>375</v>
      </c>
    </row>
    <row r="11" spans="1:64" ht="75.75" customHeight="1">
      <c r="B11" s="491"/>
      <c r="C11" s="492"/>
      <c r="D11" s="492"/>
      <c r="E11" s="493"/>
      <c r="G11" s="489"/>
      <c r="M11" s="490"/>
      <c r="N11" s="490"/>
      <c r="O11" s="491"/>
      <c r="Q11" s="492"/>
      <c r="R11" s="493"/>
      <c r="T11" s="586"/>
      <c r="U11" s="490"/>
      <c r="V11" s="490"/>
      <c r="Z11" s="490"/>
      <c r="AB11" s="491"/>
      <c r="AC11" s="492"/>
      <c r="AD11" s="493"/>
      <c r="AF11" s="489"/>
      <c r="AL11" s="490"/>
      <c r="AN11" s="491"/>
      <c r="AO11" s="492"/>
      <c r="AP11" s="492"/>
      <c r="AQ11" s="493"/>
      <c r="AS11" s="489"/>
      <c r="AY11" s="490"/>
      <c r="BA11" s="491"/>
      <c r="BB11" s="492"/>
      <c r="BC11" s="492"/>
      <c r="BD11" s="493"/>
      <c r="BF11" s="489"/>
      <c r="BL11" s="490"/>
    </row>
    <row r="12" spans="1:64" ht="69" customHeight="1">
      <c r="B12" s="491"/>
      <c r="C12" s="492"/>
      <c r="D12" s="492"/>
      <c r="E12" s="493"/>
      <c r="G12" s="489"/>
      <c r="M12" s="490"/>
      <c r="N12" s="490"/>
      <c r="O12" s="491"/>
      <c r="Q12" s="492"/>
      <c r="R12" s="493"/>
      <c r="T12" s="586"/>
      <c r="U12" s="490"/>
      <c r="Z12" s="490"/>
      <c r="AB12" s="491"/>
      <c r="AC12" s="492"/>
      <c r="AD12" s="493"/>
      <c r="AF12" s="489"/>
      <c r="AL12" s="490"/>
      <c r="AN12" s="491"/>
      <c r="AO12" s="492"/>
      <c r="AP12" s="492"/>
      <c r="AQ12" s="493"/>
      <c r="AS12" s="489"/>
      <c r="AY12" s="490"/>
      <c r="BA12" s="491"/>
      <c r="BB12" s="492"/>
      <c r="BC12" s="492"/>
      <c r="BD12" s="493"/>
      <c r="BF12" s="489"/>
      <c r="BL12" s="490"/>
    </row>
    <row r="13" spans="1:64" ht="35.25" customHeight="1">
      <c r="B13" s="491"/>
      <c r="C13" s="492"/>
      <c r="D13" s="492"/>
      <c r="E13" s="493"/>
      <c r="G13" s="489"/>
      <c r="M13" s="490"/>
      <c r="N13" s="490"/>
      <c r="O13" s="491"/>
      <c r="Q13" s="492"/>
      <c r="R13" s="493"/>
      <c r="T13" s="586"/>
      <c r="U13" s="490"/>
      <c r="Z13" s="490"/>
      <c r="AB13" s="491"/>
      <c r="AC13" s="492"/>
      <c r="AD13" s="493"/>
      <c r="AF13" s="489"/>
      <c r="AL13" s="490"/>
      <c r="AN13" s="491"/>
      <c r="AO13" s="492"/>
      <c r="AP13" s="492"/>
      <c r="AQ13" s="493"/>
      <c r="AS13" s="489"/>
      <c r="AY13" s="490"/>
      <c r="BA13" s="491"/>
      <c r="BB13" s="492"/>
      <c r="BC13" s="492"/>
      <c r="BD13" s="493"/>
      <c r="BF13" s="489"/>
      <c r="BL13" s="490"/>
    </row>
    <row r="14" spans="1:64" ht="55.5" customHeight="1">
      <c r="B14" s="491"/>
      <c r="C14" s="492"/>
      <c r="D14" s="492"/>
      <c r="E14" s="493"/>
      <c r="G14" s="489"/>
      <c r="M14" s="490"/>
      <c r="N14" s="490"/>
      <c r="T14" s="586"/>
      <c r="U14" s="490"/>
      <c r="Z14" s="490"/>
    </row>
    <row r="15" spans="1:64" ht="35.25" customHeight="1">
      <c r="B15" s="491"/>
      <c r="C15" s="492"/>
      <c r="D15" s="492"/>
      <c r="E15" s="493"/>
      <c r="G15" s="489"/>
      <c r="M15" s="490"/>
      <c r="N15" s="490"/>
    </row>
  </sheetData>
  <hyperlinks>
    <hyperlink ref="H3" r:id="rId1" xr:uid="{92CF1F33-DDCC-480E-BF61-E368119D0EBC}"/>
    <hyperlink ref="T2" r:id="rId2" display="https://greatergiving.visualstudio.com/Greater%20Giving/_git/GGO/pullrequest/9464" xr:uid="{61E51BA0-476B-43D7-9493-FEF154155FB8}"/>
    <hyperlink ref="T3" r:id="rId3" display="https://greatergiving.visualstudio.com/Greater%20Giving/_git/GGO/pullrequest/9464" xr:uid="{85E6FC27-4134-44F4-8074-85AA9A9CA48E}"/>
    <hyperlink ref="T4" r:id="rId4" xr:uid="{ECDA7AD4-7F32-46F7-8B8B-6AEB43D09016}"/>
    <hyperlink ref="T9" r:id="rId5" xr:uid="{73F11482-7279-4ED2-8DEC-63A7EC9457AC}"/>
    <hyperlink ref="T6" r:id="rId6" xr:uid="{37BE4F50-733A-468D-8668-151E0CF13F53}"/>
    <hyperlink ref="T8" r:id="rId7" xr:uid="{2971C2C3-D8F3-469F-8D39-CF1177BEA4AE}"/>
    <hyperlink ref="T7" r:id="rId8" xr:uid="{3FA3107D-8AAC-41A5-ABFB-1E56BD61A5A8}"/>
    <hyperlink ref="T5" r:id="rId9" xr:uid="{657643A3-C1C4-45FB-9FE4-7EEB1772D684}"/>
    <hyperlink ref="T10" r:id="rId10" xr:uid="{4FC41BBE-441F-40CB-B7F9-51C33E53D209}"/>
  </hyperlinks>
  <pageMargins left="0" right="0" top="0" bottom="0" header="0" footer="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51D27-10D8-4AE2-AE30-CC1E35ED7396}">
  <sheetPr>
    <outlinePr summaryBelow="0" summaryRight="0"/>
  </sheetPr>
  <dimension ref="A1:O3"/>
  <sheetViews>
    <sheetView topLeftCell="B1" workbookViewId="0">
      <selection activeCell="G13" sqref="G13"/>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21.28515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15" customHeight="1">
      <c r="A2" s="479"/>
      <c r="B2" s="477"/>
      <c r="C2" s="495"/>
      <c r="D2" s="496"/>
      <c r="E2" s="460"/>
      <c r="F2" s="497"/>
      <c r="G2" s="498" t="s">
        <v>300</v>
      </c>
      <c r="H2" s="479"/>
      <c r="I2" s="497"/>
      <c r="J2" s="479"/>
      <c r="K2" s="497"/>
      <c r="L2" s="499"/>
      <c r="M2" s="499"/>
      <c r="N2" s="479"/>
      <c r="O2" s="455"/>
    </row>
    <row r="3" spans="1:15" ht="15" customHeight="1">
      <c r="B3" s="412"/>
      <c r="C3" s="439"/>
      <c r="D3" s="439"/>
      <c r="F3" s="440"/>
      <c r="I3" s="440"/>
      <c r="K3" s="440"/>
    </row>
  </sheetData>
  <autoFilter ref="A1:M1" xr:uid="{3A2BB050-11AC-4ED7-A296-96B42C7FCFBA}"/>
  <dataValidations count="5">
    <dataValidation type="list" allowBlank="1" showErrorMessage="1" sqref="I2:I3" xr:uid="{4D57735D-EB75-4EAE-B4AB-3BCF2029A8C3}">
      <formula1>"Manual, Automation"</formula1>
    </dataValidation>
    <dataValidation type="list" allowBlank="1" showErrorMessage="1" sqref="H2:H3" xr:uid="{23DF7B02-F3AA-4512-913D-D8698B5D686A}">
      <formula1>"Minor,Significant,Major"</formula1>
    </dataValidation>
    <dataValidation type="list" allowBlank="1" showErrorMessage="1" sqref="J2:J3" xr:uid="{F1E730AF-A0F4-46B7-B507-3D2293BA07FF}">
      <formula1>"Internal,External"</formula1>
    </dataValidation>
    <dataValidation type="list" allowBlank="1" showErrorMessage="1" sqref="F2:F3" xr:uid="{2CFD0462-FBC2-4063-80D0-9DB7555EED34}">
      <formula1>"Bounceback/Sub-Defect,Defect,None"</formula1>
    </dataValidation>
    <dataValidation type="list" allowBlank="1" showErrorMessage="1" sqref="K1:K1048576" xr:uid="{3FD3CF92-3604-4F65-8E27-F31A0325D081}">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D5FC5A85-E75E-4A96-92B9-2D4D0E674E11}">
          <x14:formula1>
            <xm:f>Details!$A$2:$A$10</xm:f>
          </x14:formula1>
          <xm:sqref>L2:L3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B090-B292-4853-B3EC-7772D9D7046F}">
  <sheetPr>
    <outlinePr summaryBelow="0" summaryRight="0"/>
  </sheetPr>
  <dimension ref="A1:BL15"/>
  <sheetViews>
    <sheetView showGridLines="0" workbookViewId="0">
      <pane ySplit="1" topLeftCell="A7" activePane="bottomLeft" state="frozen"/>
      <selection pane="bottomLeft" activeCell="A8" sqref="A8"/>
      <selection activeCell="A3" sqref="A3"/>
    </sheetView>
  </sheetViews>
  <sheetFormatPr defaultColWidth="12.5703125" defaultRowHeight="35.25" customHeight="1"/>
  <cols>
    <col min="1" max="1" width="5.140625" style="454" customWidth="1"/>
    <col min="2" max="2" width="12.28515625" style="454" customWidth="1"/>
    <col min="3" max="3" width="11.28515625" style="454" customWidth="1"/>
    <col min="4" max="4" width="11.42578125" style="454" customWidth="1"/>
    <col min="5" max="5" width="25" style="454" customWidth="1"/>
    <col min="6" max="6" width="12.7109375" style="454" customWidth="1"/>
    <col min="7" max="7" width="10.7109375" style="491" customWidth="1"/>
    <col min="8" max="8" width="45.5703125" style="454" customWidth="1"/>
    <col min="9" max="9" width="15.42578125" style="454" customWidth="1"/>
    <col min="10" max="10" width="12" style="454" customWidth="1"/>
    <col min="11" max="11" width="10" style="454" customWidth="1"/>
    <col min="12" max="12" width="10.42578125" style="454" customWidth="1"/>
    <col min="13" max="14" width="14.42578125" style="454" customWidth="1"/>
    <col min="15" max="15" width="13" style="454" customWidth="1"/>
    <col min="16" max="16" width="15.140625" style="454" customWidth="1"/>
    <col min="17" max="17" width="23.85546875" style="454" customWidth="1"/>
    <col min="18" max="18" width="15.42578125" style="494" customWidth="1"/>
    <col min="19" max="19" width="31.85546875" style="454" customWidth="1"/>
    <col min="20" max="20" width="31.5703125" style="454" customWidth="1"/>
    <col min="21" max="21" width="16.42578125" style="454" customWidth="1"/>
    <col min="22" max="22" width="14.85546875" style="454" customWidth="1"/>
    <col min="23" max="23" width="14.42578125" style="454" customWidth="1"/>
    <col min="24" max="24" width="27.140625" style="454" customWidth="1"/>
    <col min="25" max="25" width="13.5703125" style="454" customWidth="1"/>
    <col min="26" max="26" width="14.42578125" style="454" customWidth="1"/>
    <col min="27" max="27" width="30" style="454" customWidth="1"/>
    <col min="28" max="28" width="25.7109375" style="454" bestFit="1" customWidth="1"/>
    <col min="29" max="29" width="24" style="454" bestFit="1" customWidth="1"/>
    <col min="30" max="30" width="59.7109375" style="454" customWidth="1"/>
    <col min="31" max="16384" width="12.5703125" style="454"/>
  </cols>
  <sheetData>
    <row r="1" spans="1:64" ht="36.75" customHeight="1">
      <c r="A1" s="42" t="s">
        <v>241</v>
      </c>
      <c r="B1" s="200" t="s">
        <v>4</v>
      </c>
      <c r="C1" s="200" t="s">
        <v>2</v>
      </c>
      <c r="D1" s="200" t="s">
        <v>3</v>
      </c>
      <c r="E1" s="42" t="s">
        <v>242</v>
      </c>
      <c r="F1" s="42" t="s">
        <v>243</v>
      </c>
      <c r="G1" s="42" t="s">
        <v>244</v>
      </c>
      <c r="H1" s="42" t="s">
        <v>245</v>
      </c>
      <c r="I1" s="42" t="s">
        <v>246</v>
      </c>
      <c r="J1" s="200" t="s">
        <v>247</v>
      </c>
      <c r="K1" s="200" t="s">
        <v>248</v>
      </c>
      <c r="L1" s="200" t="s">
        <v>249</v>
      </c>
      <c r="M1" s="200" t="s">
        <v>250</v>
      </c>
      <c r="N1" s="200" t="s">
        <v>251</v>
      </c>
      <c r="O1" s="42" t="s">
        <v>252</v>
      </c>
      <c r="P1" s="42" t="s">
        <v>253</v>
      </c>
      <c r="Q1" s="42" t="s">
        <v>254</v>
      </c>
      <c r="R1" s="453" t="s">
        <v>255</v>
      </c>
      <c r="S1" s="42" t="s">
        <v>256</v>
      </c>
      <c r="T1" s="42" t="s">
        <v>257</v>
      </c>
      <c r="U1" s="42" t="s">
        <v>258</v>
      </c>
      <c r="V1" s="42" t="s">
        <v>259</v>
      </c>
      <c r="W1" s="42" t="s">
        <v>260</v>
      </c>
      <c r="X1" s="42" t="s">
        <v>261</v>
      </c>
      <c r="Y1" s="42" t="s">
        <v>262</v>
      </c>
      <c r="Z1" s="42" t="s">
        <v>263</v>
      </c>
      <c r="AA1" s="42" t="s">
        <v>264</v>
      </c>
      <c r="AB1" s="42" t="s">
        <v>265</v>
      </c>
      <c r="AC1" s="1" t="s">
        <v>266</v>
      </c>
      <c r="AD1" s="3" t="s">
        <v>267</v>
      </c>
    </row>
    <row r="2" spans="1:64" ht="51.75" customHeight="1">
      <c r="A2" s="455">
        <v>1</v>
      </c>
      <c r="B2" s="456" t="s">
        <v>5</v>
      </c>
      <c r="C2" s="463">
        <v>46114</v>
      </c>
      <c r="D2" s="463">
        <v>46128</v>
      </c>
      <c r="E2" s="458" t="s">
        <v>208</v>
      </c>
      <c r="F2" s="455" t="s">
        <v>231</v>
      </c>
      <c r="G2" s="459" t="s">
        <v>376</v>
      </c>
      <c r="H2" s="460" t="s">
        <v>377</v>
      </c>
      <c r="I2" s="461" t="s">
        <v>13</v>
      </c>
      <c r="J2" s="462">
        <v>2</v>
      </c>
      <c r="K2" s="455">
        <v>2</v>
      </c>
      <c r="L2" s="460">
        <v>18</v>
      </c>
      <c r="M2" s="463">
        <v>46101</v>
      </c>
      <c r="N2" s="463">
        <v>46113</v>
      </c>
      <c r="O2" s="455" t="s">
        <v>303</v>
      </c>
      <c r="P2" s="455" t="s">
        <v>304</v>
      </c>
      <c r="Q2" s="455"/>
      <c r="R2" s="464" t="s">
        <v>268</v>
      </c>
      <c r="S2" s="455"/>
      <c r="T2" s="465" t="s">
        <v>378</v>
      </c>
      <c r="U2" s="463">
        <v>46113</v>
      </c>
      <c r="V2" s="463">
        <v>46113</v>
      </c>
      <c r="W2" s="455" t="s">
        <v>231</v>
      </c>
      <c r="X2" s="455"/>
      <c r="Y2" s="455" t="s">
        <v>306</v>
      </c>
      <c r="Z2" s="463">
        <v>46114</v>
      </c>
      <c r="AA2" s="460"/>
      <c r="AB2" s="455"/>
      <c r="AC2" s="455"/>
      <c r="AD2" s="466" t="s">
        <v>379</v>
      </c>
    </row>
    <row r="3" spans="1:64" ht="37.5" customHeight="1">
      <c r="A3" s="455">
        <v>2</v>
      </c>
      <c r="B3" s="456" t="s">
        <v>5</v>
      </c>
      <c r="C3" s="463">
        <v>46114</v>
      </c>
      <c r="D3" s="463">
        <v>46128</v>
      </c>
      <c r="E3" s="458" t="s">
        <v>208</v>
      </c>
      <c r="F3" s="467" t="s">
        <v>268</v>
      </c>
      <c r="G3" s="468" t="s">
        <v>380</v>
      </c>
      <c r="H3" s="469" t="s">
        <v>381</v>
      </c>
      <c r="I3" s="461" t="s">
        <v>13</v>
      </c>
      <c r="J3" s="470">
        <v>1</v>
      </c>
      <c r="K3" s="467">
        <v>1</v>
      </c>
      <c r="L3" s="469">
        <v>6</v>
      </c>
      <c r="M3" s="471">
        <v>46113</v>
      </c>
      <c r="N3" s="471">
        <v>46113</v>
      </c>
      <c r="O3" s="467" t="s">
        <v>303</v>
      </c>
      <c r="P3" s="467" t="s">
        <v>304</v>
      </c>
      <c r="Q3" s="467"/>
      <c r="R3" s="472" t="s">
        <v>231</v>
      </c>
      <c r="S3" s="467"/>
      <c r="T3" s="473" t="s">
        <v>382</v>
      </c>
      <c r="U3" s="471">
        <v>46114</v>
      </c>
      <c r="V3" s="471">
        <v>46116</v>
      </c>
      <c r="W3" s="467" t="s">
        <v>231</v>
      </c>
      <c r="X3" s="467"/>
      <c r="Y3" s="467" t="s">
        <v>306</v>
      </c>
      <c r="Z3" s="471">
        <v>46118</v>
      </c>
      <c r="AA3" s="469"/>
      <c r="AB3" s="467"/>
      <c r="AC3" s="467"/>
      <c r="AD3" s="467" t="s">
        <v>383</v>
      </c>
    </row>
    <row r="4" spans="1:64" ht="36.75" customHeight="1">
      <c r="A4" s="455">
        <v>3</v>
      </c>
      <c r="B4" s="456" t="s">
        <v>5</v>
      </c>
      <c r="C4" s="463">
        <v>46114</v>
      </c>
      <c r="D4" s="463">
        <v>46128</v>
      </c>
      <c r="E4" s="458" t="s">
        <v>208</v>
      </c>
      <c r="F4" s="455" t="s">
        <v>231</v>
      </c>
      <c r="G4" s="468" t="s">
        <v>384</v>
      </c>
      <c r="H4" s="455" t="s">
        <v>385</v>
      </c>
      <c r="I4" s="461" t="s">
        <v>13</v>
      </c>
      <c r="J4" s="455">
        <v>2</v>
      </c>
      <c r="K4" s="455">
        <v>2</v>
      </c>
      <c r="L4" s="455">
        <v>4</v>
      </c>
      <c r="M4" s="471">
        <v>46115</v>
      </c>
      <c r="N4" s="471">
        <v>46115</v>
      </c>
      <c r="O4" s="455" t="s">
        <v>303</v>
      </c>
      <c r="P4" s="455" t="s">
        <v>304</v>
      </c>
      <c r="Q4" s="460"/>
      <c r="R4" s="464" t="s">
        <v>231</v>
      </c>
      <c r="S4" s="455"/>
      <c r="T4" s="465" t="s">
        <v>386</v>
      </c>
      <c r="U4" s="471">
        <v>46115</v>
      </c>
      <c r="V4" s="455" t="s">
        <v>93</v>
      </c>
      <c r="W4" s="455" t="s">
        <v>387</v>
      </c>
      <c r="X4" s="455"/>
      <c r="Y4" s="467" t="s">
        <v>306</v>
      </c>
      <c r="Z4" s="471">
        <v>46115</v>
      </c>
      <c r="AA4" s="455"/>
      <c r="AB4" s="455"/>
      <c r="AC4" s="455"/>
      <c r="AD4" s="455" t="s">
        <v>388</v>
      </c>
    </row>
    <row r="5" spans="1:64" ht="45.75" customHeight="1">
      <c r="A5" s="455">
        <v>4</v>
      </c>
      <c r="B5" s="456" t="s">
        <v>5</v>
      </c>
      <c r="C5" s="463">
        <v>46114</v>
      </c>
      <c r="D5" s="463">
        <v>46128</v>
      </c>
      <c r="E5" s="458" t="s">
        <v>208</v>
      </c>
      <c r="F5" s="460" t="s">
        <v>268</v>
      </c>
      <c r="G5" s="468" t="s">
        <v>389</v>
      </c>
      <c r="H5" s="462" t="s">
        <v>390</v>
      </c>
      <c r="I5" s="461" t="s">
        <v>13</v>
      </c>
      <c r="J5" s="455">
        <v>2</v>
      </c>
      <c r="K5" s="455">
        <v>2</v>
      </c>
      <c r="L5" s="455">
        <v>12</v>
      </c>
      <c r="M5" s="471">
        <v>46115</v>
      </c>
      <c r="N5" s="471">
        <v>46118</v>
      </c>
      <c r="O5" s="455" t="s">
        <v>303</v>
      </c>
      <c r="P5" s="455" t="s">
        <v>304</v>
      </c>
      <c r="Q5" s="460"/>
      <c r="R5" s="464" t="s">
        <v>231</v>
      </c>
      <c r="S5" s="455"/>
      <c r="T5" s="465" t="s">
        <v>391</v>
      </c>
      <c r="U5" s="471">
        <v>46118</v>
      </c>
      <c r="V5" s="455"/>
      <c r="W5" s="455" t="s">
        <v>231</v>
      </c>
      <c r="X5" s="455"/>
      <c r="Y5" s="460" t="s">
        <v>306</v>
      </c>
      <c r="Z5" s="471">
        <v>46119</v>
      </c>
      <c r="AA5" s="455"/>
      <c r="AB5" s="455"/>
      <c r="AC5" s="455"/>
      <c r="AD5" s="455" t="s">
        <v>392</v>
      </c>
    </row>
    <row r="6" spans="1:64" ht="42.75" customHeight="1">
      <c r="A6" s="467">
        <v>5</v>
      </c>
      <c r="B6" s="474" t="s">
        <v>5</v>
      </c>
      <c r="C6" s="471">
        <v>46114</v>
      </c>
      <c r="D6" s="471">
        <v>46128</v>
      </c>
      <c r="E6" s="475" t="s">
        <v>208</v>
      </c>
      <c r="F6" s="469" t="s">
        <v>268</v>
      </c>
      <c r="G6" s="476" t="s">
        <v>393</v>
      </c>
      <c r="H6" s="470" t="s">
        <v>394</v>
      </c>
      <c r="I6" s="461" t="s">
        <v>13</v>
      </c>
      <c r="J6" s="467">
        <v>2</v>
      </c>
      <c r="K6" s="467">
        <v>2</v>
      </c>
      <c r="L6" s="467">
        <v>7</v>
      </c>
      <c r="M6" s="471">
        <v>46115</v>
      </c>
      <c r="N6" s="471">
        <v>46115</v>
      </c>
      <c r="O6" s="467" t="s">
        <v>303</v>
      </c>
      <c r="P6" s="455" t="s">
        <v>304</v>
      </c>
      <c r="Q6" s="469"/>
      <c r="R6" s="464" t="s">
        <v>231</v>
      </c>
      <c r="S6" s="467"/>
      <c r="T6" s="473" t="s">
        <v>395</v>
      </c>
      <c r="U6" s="471">
        <v>46115</v>
      </c>
      <c r="V6" s="467" t="s">
        <v>93</v>
      </c>
      <c r="W6" s="467" t="s">
        <v>93</v>
      </c>
      <c r="X6" s="467"/>
      <c r="Y6" s="469" t="s">
        <v>306</v>
      </c>
      <c r="Z6" s="471">
        <v>46118</v>
      </c>
      <c r="AA6" s="467"/>
      <c r="AB6" s="467"/>
      <c r="AC6" s="467"/>
      <c r="AD6" s="467" t="s">
        <v>396</v>
      </c>
    </row>
    <row r="7" spans="1:64" ht="72" customHeight="1">
      <c r="A7" s="455">
        <v>6</v>
      </c>
      <c r="B7" s="456" t="s">
        <v>5</v>
      </c>
      <c r="C7" s="463">
        <v>46114</v>
      </c>
      <c r="D7" s="463">
        <v>46128</v>
      </c>
      <c r="E7" s="477" t="s">
        <v>208</v>
      </c>
      <c r="F7" s="455" t="s">
        <v>281</v>
      </c>
      <c r="G7" s="478" t="s">
        <v>397</v>
      </c>
      <c r="H7" s="455" t="s">
        <v>398</v>
      </c>
      <c r="I7" s="461" t="s">
        <v>13</v>
      </c>
      <c r="J7" s="455">
        <v>3</v>
      </c>
      <c r="K7" s="455">
        <v>3</v>
      </c>
      <c r="L7" s="455">
        <v>38.5</v>
      </c>
      <c r="M7" s="463">
        <v>46115</v>
      </c>
      <c r="N7" s="480">
        <v>46118</v>
      </c>
      <c r="O7" s="455" t="s">
        <v>303</v>
      </c>
      <c r="P7" s="455" t="s">
        <v>304</v>
      </c>
      <c r="Q7" s="455"/>
      <c r="R7" s="464" t="s">
        <v>268</v>
      </c>
      <c r="S7" s="455"/>
      <c r="T7" s="465" t="s">
        <v>399</v>
      </c>
      <c r="U7" s="480">
        <v>46118</v>
      </c>
      <c r="V7" s="480">
        <v>46122</v>
      </c>
      <c r="W7" s="455" t="s">
        <v>231</v>
      </c>
      <c r="X7" s="455"/>
      <c r="Y7" s="455" t="s">
        <v>306</v>
      </c>
      <c r="Z7" s="480">
        <v>46122</v>
      </c>
      <c r="AA7" s="455" t="s">
        <v>400</v>
      </c>
      <c r="AB7" s="455"/>
      <c r="AC7" s="455"/>
      <c r="AD7" s="455" t="s">
        <v>401</v>
      </c>
    </row>
    <row r="8" spans="1:64" ht="87.75" customHeight="1">
      <c r="A8" s="455">
        <v>7</v>
      </c>
      <c r="B8" s="456" t="s">
        <v>5</v>
      </c>
      <c r="C8" s="463">
        <v>46114</v>
      </c>
      <c r="D8" s="463">
        <v>46128</v>
      </c>
      <c r="E8" s="477" t="s">
        <v>208</v>
      </c>
      <c r="F8" s="455" t="s">
        <v>281</v>
      </c>
      <c r="G8" s="478" t="s">
        <v>402</v>
      </c>
      <c r="H8" s="455" t="s">
        <v>403</v>
      </c>
      <c r="I8" s="467" t="s">
        <v>13</v>
      </c>
      <c r="J8" s="455">
        <v>5</v>
      </c>
      <c r="K8" s="455">
        <v>5</v>
      </c>
      <c r="L8" s="455">
        <v>29</v>
      </c>
      <c r="M8" s="480">
        <v>46118</v>
      </c>
      <c r="N8" s="480">
        <v>46120</v>
      </c>
      <c r="O8" s="455" t="s">
        <v>303</v>
      </c>
      <c r="P8" s="455" t="s">
        <v>304</v>
      </c>
      <c r="Q8" s="455"/>
      <c r="R8" s="464" t="s">
        <v>268</v>
      </c>
      <c r="S8" s="455"/>
      <c r="T8" s="465" t="s">
        <v>404</v>
      </c>
      <c r="U8" s="480">
        <v>46120</v>
      </c>
      <c r="V8" s="480">
        <v>46126</v>
      </c>
      <c r="W8" s="455" t="s">
        <v>231</v>
      </c>
      <c r="X8" s="455"/>
      <c r="Y8" s="455" t="s">
        <v>306</v>
      </c>
      <c r="Z8" s="480">
        <v>46126</v>
      </c>
      <c r="AA8" s="455" t="s">
        <v>405</v>
      </c>
      <c r="AB8" s="455"/>
      <c r="AC8" s="455"/>
      <c r="AD8" s="455" t="s">
        <v>406</v>
      </c>
    </row>
    <row r="9" spans="1:64" ht="72" customHeight="1">
      <c r="A9" s="455">
        <v>8</v>
      </c>
      <c r="B9" s="456" t="s">
        <v>5</v>
      </c>
      <c r="C9" s="463">
        <v>46114</v>
      </c>
      <c r="D9" s="463">
        <v>46128</v>
      </c>
      <c r="E9" s="477" t="s">
        <v>208</v>
      </c>
      <c r="F9" s="455" t="s">
        <v>281</v>
      </c>
      <c r="G9" s="478" t="s">
        <v>407</v>
      </c>
      <c r="H9" s="460" t="s">
        <v>408</v>
      </c>
      <c r="I9" s="479" t="s">
        <v>13</v>
      </c>
      <c r="J9" s="462">
        <v>3</v>
      </c>
      <c r="K9" s="455">
        <v>3</v>
      </c>
      <c r="L9" s="455">
        <v>28</v>
      </c>
      <c r="M9" s="463">
        <v>46115</v>
      </c>
      <c r="N9" s="480">
        <v>46118</v>
      </c>
      <c r="O9" s="455" t="s">
        <v>303</v>
      </c>
      <c r="P9" s="455" t="s">
        <v>304</v>
      </c>
      <c r="Q9" s="455"/>
      <c r="R9" s="464" t="s">
        <v>268</v>
      </c>
      <c r="S9" s="455"/>
      <c r="T9" s="465" t="s">
        <v>399</v>
      </c>
      <c r="U9" s="480">
        <v>46118</v>
      </c>
      <c r="V9" s="480">
        <v>46122</v>
      </c>
      <c r="W9" s="455" t="s">
        <v>231</v>
      </c>
      <c r="X9" s="455"/>
      <c r="Y9" s="455" t="s">
        <v>306</v>
      </c>
      <c r="Z9" s="480">
        <v>46122</v>
      </c>
      <c r="AA9" s="455" t="s">
        <v>409</v>
      </c>
      <c r="AB9" s="455"/>
      <c r="AC9" s="455"/>
      <c r="AD9" s="455" t="s">
        <v>401</v>
      </c>
    </row>
    <row r="10" spans="1:64" ht="50.25" customHeight="1">
      <c r="A10" s="481">
        <v>9</v>
      </c>
      <c r="B10" s="482" t="s">
        <v>5</v>
      </c>
      <c r="C10" s="487">
        <v>46114</v>
      </c>
      <c r="D10" s="487">
        <v>46128</v>
      </c>
      <c r="E10" s="484" t="s">
        <v>410</v>
      </c>
      <c r="F10" s="481" t="s">
        <v>281</v>
      </c>
      <c r="G10" s="485" t="s">
        <v>411</v>
      </c>
      <c r="H10" s="481" t="s">
        <v>412</v>
      </c>
      <c r="I10" s="481" t="s">
        <v>13</v>
      </c>
      <c r="J10" s="481">
        <v>2</v>
      </c>
      <c r="K10" s="481">
        <v>2</v>
      </c>
      <c r="L10" s="486">
        <v>7.5</v>
      </c>
      <c r="M10" s="487">
        <v>46125</v>
      </c>
      <c r="N10" s="500" t="s">
        <v>93</v>
      </c>
      <c r="O10" s="481" t="s">
        <v>93</v>
      </c>
      <c r="P10" s="481" t="s">
        <v>93</v>
      </c>
      <c r="Q10" s="481" t="s">
        <v>93</v>
      </c>
      <c r="R10" s="501" t="s">
        <v>93</v>
      </c>
      <c r="S10" s="481" t="s">
        <v>93</v>
      </c>
      <c r="T10" s="502" t="s">
        <v>93</v>
      </c>
      <c r="U10" s="500" t="s">
        <v>93</v>
      </c>
      <c r="V10" s="486" t="s">
        <v>93</v>
      </c>
      <c r="W10" s="481" t="s">
        <v>93</v>
      </c>
      <c r="X10" s="488" t="s">
        <v>93</v>
      </c>
      <c r="Y10" s="486" t="s">
        <v>93</v>
      </c>
      <c r="Z10" s="481" t="s">
        <v>93</v>
      </c>
      <c r="AA10" s="481" t="s">
        <v>93</v>
      </c>
      <c r="AB10" s="481" t="s">
        <v>93</v>
      </c>
      <c r="AC10" s="481" t="s">
        <v>93</v>
      </c>
      <c r="AD10" s="481" t="s">
        <v>413</v>
      </c>
    </row>
    <row r="11" spans="1:64" ht="75.75" customHeight="1">
      <c r="A11" s="481">
        <v>10</v>
      </c>
      <c r="B11" s="482" t="s">
        <v>5</v>
      </c>
      <c r="C11" s="487">
        <v>46114</v>
      </c>
      <c r="D11" s="487">
        <v>46128</v>
      </c>
      <c r="E11" s="484" t="s">
        <v>410</v>
      </c>
      <c r="F11" s="481" t="s">
        <v>268</v>
      </c>
      <c r="G11" s="485" t="s">
        <v>414</v>
      </c>
      <c r="H11" s="481" t="s">
        <v>415</v>
      </c>
      <c r="I11" s="481" t="s">
        <v>13</v>
      </c>
      <c r="J11" s="481">
        <v>2</v>
      </c>
      <c r="K11" s="481">
        <v>2</v>
      </c>
      <c r="L11" s="486">
        <v>14</v>
      </c>
      <c r="M11" s="487">
        <v>46120</v>
      </c>
      <c r="N11" s="487">
        <v>46122</v>
      </c>
      <c r="O11" s="482" t="s">
        <v>303</v>
      </c>
      <c r="P11" s="455" t="s">
        <v>304</v>
      </c>
      <c r="Q11" s="483"/>
      <c r="R11" s="484" t="s">
        <v>231</v>
      </c>
      <c r="S11" s="481"/>
      <c r="T11" s="420" t="s">
        <v>416</v>
      </c>
      <c r="U11" s="487">
        <v>46121</v>
      </c>
      <c r="V11" s="487">
        <v>46123</v>
      </c>
      <c r="W11" s="481" t="s">
        <v>231</v>
      </c>
      <c r="X11" s="488"/>
      <c r="Y11" s="486" t="s">
        <v>306</v>
      </c>
      <c r="Z11" s="487">
        <v>46123</v>
      </c>
      <c r="AA11" s="481"/>
      <c r="AB11" s="482"/>
      <c r="AC11" s="483"/>
      <c r="AD11" s="484" t="s">
        <v>417</v>
      </c>
      <c r="AF11" s="489"/>
      <c r="AL11" s="490"/>
      <c r="AN11" s="491"/>
      <c r="AO11" s="492"/>
      <c r="AP11" s="492"/>
      <c r="AQ11" s="493"/>
      <c r="AS11" s="489"/>
      <c r="AY11" s="490"/>
      <c r="BA11" s="491"/>
      <c r="BB11" s="492"/>
      <c r="BC11" s="492"/>
      <c r="BD11" s="493"/>
      <c r="BF11" s="489"/>
      <c r="BL11" s="490"/>
    </row>
    <row r="12" spans="1:64" ht="69" customHeight="1">
      <c r="A12" s="481">
        <v>11</v>
      </c>
      <c r="B12" s="482" t="s">
        <v>5</v>
      </c>
      <c r="C12" s="487">
        <v>46114</v>
      </c>
      <c r="D12" s="487">
        <v>46128</v>
      </c>
      <c r="E12" s="484" t="s">
        <v>410</v>
      </c>
      <c r="F12" s="481" t="s">
        <v>268</v>
      </c>
      <c r="G12" s="485" t="s">
        <v>340</v>
      </c>
      <c r="H12" s="481" t="s">
        <v>341</v>
      </c>
      <c r="I12" s="481" t="s">
        <v>271</v>
      </c>
      <c r="J12" s="481">
        <v>3</v>
      </c>
      <c r="K12" s="481">
        <v>2</v>
      </c>
      <c r="L12" s="486">
        <v>26</v>
      </c>
      <c r="M12" s="487">
        <v>46122</v>
      </c>
      <c r="N12" s="487">
        <v>46125</v>
      </c>
      <c r="O12" s="482" t="s">
        <v>303</v>
      </c>
      <c r="P12" s="455" t="s">
        <v>304</v>
      </c>
      <c r="Q12" s="483"/>
      <c r="R12" s="484" t="s">
        <v>281</v>
      </c>
      <c r="S12" s="481"/>
      <c r="T12" s="420" t="s">
        <v>342</v>
      </c>
      <c r="U12" s="487">
        <v>46125</v>
      </c>
      <c r="V12" s="486"/>
      <c r="W12" s="481" t="s">
        <v>231</v>
      </c>
      <c r="X12" s="488"/>
      <c r="Y12" s="486" t="s">
        <v>306</v>
      </c>
      <c r="Z12" s="487"/>
      <c r="AA12" s="481" t="s">
        <v>343</v>
      </c>
      <c r="AB12" s="482"/>
      <c r="AC12" s="483"/>
      <c r="AD12" s="484" t="s">
        <v>344</v>
      </c>
      <c r="AF12" s="489"/>
      <c r="AL12" s="490"/>
      <c r="AN12" s="491"/>
      <c r="AO12" s="492"/>
      <c r="AP12" s="492"/>
      <c r="AQ12" s="493"/>
      <c r="AS12" s="489"/>
      <c r="AY12" s="490"/>
      <c r="BA12" s="491"/>
      <c r="BB12" s="492"/>
      <c r="BC12" s="492"/>
      <c r="BD12" s="493"/>
      <c r="BF12" s="489"/>
      <c r="BL12" s="490"/>
    </row>
    <row r="13" spans="1:64" ht="35.25" customHeight="1">
      <c r="A13" s="503">
        <v>12</v>
      </c>
      <c r="B13" s="504" t="s">
        <v>5</v>
      </c>
      <c r="C13" s="509">
        <v>46114</v>
      </c>
      <c r="D13" s="509">
        <v>46128</v>
      </c>
      <c r="E13" s="506" t="s">
        <v>410</v>
      </c>
      <c r="F13" s="503" t="s">
        <v>268</v>
      </c>
      <c r="G13" s="507" t="s">
        <v>345</v>
      </c>
      <c r="H13" s="503" t="s">
        <v>346</v>
      </c>
      <c r="I13" s="503" t="s">
        <v>271</v>
      </c>
      <c r="J13" s="503">
        <v>1</v>
      </c>
      <c r="K13" s="503">
        <v>0</v>
      </c>
      <c r="L13" s="508">
        <v>15</v>
      </c>
      <c r="M13" s="509">
        <v>46125</v>
      </c>
      <c r="N13" s="509">
        <v>46125</v>
      </c>
      <c r="O13" s="504" t="s">
        <v>303</v>
      </c>
      <c r="P13" s="455" t="s">
        <v>304</v>
      </c>
      <c r="Q13" s="505"/>
      <c r="R13" s="506" t="s">
        <v>281</v>
      </c>
      <c r="S13" s="503"/>
      <c r="T13" s="432" t="s">
        <v>342</v>
      </c>
      <c r="U13" s="509">
        <v>46125</v>
      </c>
      <c r="V13" s="508"/>
      <c r="W13" s="503" t="s">
        <v>231</v>
      </c>
      <c r="X13" s="510"/>
      <c r="Y13" s="508" t="s">
        <v>306</v>
      </c>
      <c r="Z13" s="509"/>
      <c r="AA13" s="503" t="s">
        <v>347</v>
      </c>
      <c r="AB13" s="504"/>
      <c r="AC13" s="505"/>
      <c r="AD13" s="506" t="s">
        <v>348</v>
      </c>
      <c r="AF13" s="489"/>
      <c r="AL13" s="490"/>
      <c r="AN13" s="491"/>
      <c r="AO13" s="492"/>
      <c r="AP13" s="492"/>
      <c r="AQ13" s="493"/>
      <c r="AS13" s="489"/>
      <c r="AY13" s="490"/>
      <c r="BA13" s="491"/>
      <c r="BB13" s="492"/>
      <c r="BC13" s="492"/>
      <c r="BD13" s="493"/>
      <c r="BF13" s="489"/>
      <c r="BL13" s="490"/>
    </row>
    <row r="14" spans="1:64" ht="55.5" customHeight="1">
      <c r="A14" s="455">
        <v>13</v>
      </c>
      <c r="B14" s="456" t="s">
        <v>5</v>
      </c>
      <c r="C14" s="463">
        <v>46114</v>
      </c>
      <c r="D14" s="463">
        <v>46128</v>
      </c>
      <c r="E14" s="477" t="s">
        <v>410</v>
      </c>
      <c r="F14" s="469" t="s">
        <v>231</v>
      </c>
      <c r="G14" s="476" t="s">
        <v>418</v>
      </c>
      <c r="H14" s="512" t="s">
        <v>419</v>
      </c>
      <c r="I14" s="467" t="s">
        <v>13</v>
      </c>
      <c r="J14" s="470">
        <v>1</v>
      </c>
      <c r="K14" s="467">
        <v>1</v>
      </c>
      <c r="L14" s="469">
        <v>7</v>
      </c>
      <c r="M14" s="471">
        <v>46127</v>
      </c>
      <c r="N14" s="471">
        <v>46127</v>
      </c>
      <c r="O14" s="467" t="s">
        <v>303</v>
      </c>
      <c r="P14" s="467" t="s">
        <v>304</v>
      </c>
      <c r="Q14" s="467"/>
      <c r="R14" s="472" t="s">
        <v>268</v>
      </c>
      <c r="S14" s="467"/>
      <c r="T14" s="358" t="s">
        <v>420</v>
      </c>
      <c r="U14" s="463">
        <v>46127</v>
      </c>
      <c r="V14" s="512" t="s">
        <v>93</v>
      </c>
      <c r="W14" s="467" t="s">
        <v>231</v>
      </c>
      <c r="X14" s="512"/>
      <c r="Y14" s="467" t="s">
        <v>306</v>
      </c>
      <c r="Z14" s="463">
        <v>46127</v>
      </c>
      <c r="AA14" s="467"/>
      <c r="AB14" s="467"/>
      <c r="AC14" s="467"/>
      <c r="AD14" s="467"/>
    </row>
    <row r="15" spans="1:64" ht="35.25" customHeight="1">
      <c r="A15" s="455">
        <v>14</v>
      </c>
      <c r="B15" s="456" t="s">
        <v>5</v>
      </c>
      <c r="C15" s="463">
        <v>46114</v>
      </c>
      <c r="D15" s="463">
        <v>46128</v>
      </c>
      <c r="E15" s="458" t="s">
        <v>410</v>
      </c>
      <c r="F15" s="460" t="s">
        <v>231</v>
      </c>
      <c r="G15" s="478" t="s">
        <v>421</v>
      </c>
      <c r="H15" s="511" t="s">
        <v>422</v>
      </c>
      <c r="I15" s="455" t="s">
        <v>13</v>
      </c>
      <c r="J15" s="462">
        <v>1</v>
      </c>
      <c r="K15" s="455">
        <v>1</v>
      </c>
      <c r="L15" s="460">
        <v>1</v>
      </c>
      <c r="M15" s="514">
        <v>46127</v>
      </c>
      <c r="N15" s="463">
        <v>46127</v>
      </c>
      <c r="O15" s="462" t="s">
        <v>303</v>
      </c>
      <c r="P15" s="455" t="s">
        <v>304</v>
      </c>
      <c r="Q15" s="455"/>
      <c r="R15" s="513" t="s">
        <v>281</v>
      </c>
      <c r="S15" s="455"/>
      <c r="T15" s="137" t="s">
        <v>423</v>
      </c>
      <c r="U15" s="514">
        <v>46128</v>
      </c>
      <c r="V15" s="460" t="s">
        <v>93</v>
      </c>
      <c r="W15" s="455" t="s">
        <v>93</v>
      </c>
      <c r="X15" s="511"/>
      <c r="Y15" s="455" t="s">
        <v>306</v>
      </c>
      <c r="Z15" s="514">
        <v>46128</v>
      </c>
      <c r="AA15" s="455"/>
      <c r="AB15" s="455"/>
      <c r="AC15" s="455"/>
      <c r="AD15" s="455" t="s">
        <v>424</v>
      </c>
    </row>
  </sheetData>
  <hyperlinks>
    <hyperlink ref="T3" r:id="rId1" xr:uid="{6FE598CC-CD97-46F3-A029-1D4F0549AD02}"/>
    <hyperlink ref="T2" r:id="rId2" xr:uid="{AAC7B6A1-AF0D-47A9-B285-26D08AF12147}"/>
    <hyperlink ref="T7" r:id="rId3" xr:uid="{0D47AB74-76EC-4095-80C9-7E410E2F7D02}"/>
    <hyperlink ref="T9" r:id="rId4" xr:uid="{778ADE1E-223E-4A1F-B4E8-661CD0ECFDA9}"/>
    <hyperlink ref="T5" r:id="rId5" xr:uid="{482E3FD7-18D7-4462-80E4-542116143AF6}"/>
    <hyperlink ref="T6" r:id="rId6" xr:uid="{78413C7B-47B0-4C41-9F4E-321127D3ACD5}"/>
    <hyperlink ref="T4" r:id="rId7" xr:uid="{D30099C6-E8E6-45B1-8C13-D396D39BF76A}"/>
    <hyperlink ref="T8" r:id="rId8" xr:uid="{5918A04A-50A3-4850-99C0-61F6EC8DB4F2}"/>
    <hyperlink ref="H13" r:id="rId9" xr:uid="{1A9BD50F-32F5-47CE-A724-076FA4865658}"/>
    <hyperlink ref="T12" r:id="rId10" display="https://greatergiving.visualstudio.com/Greater%20Giving/_git/GGO/pullrequest/9464" xr:uid="{538B226D-B348-477E-80FB-F426586FB9B7}"/>
    <hyperlink ref="T13" r:id="rId11" display="https://greatergiving.visualstudio.com/Greater%20Giving/_git/GGO/pullrequest/9464" xr:uid="{C833A837-89D7-419D-81E8-974A55E35BD4}"/>
    <hyperlink ref="T11" r:id="rId12" display="https://greatergiving.visualstudio.com/Greater%20Giving/_git/GGO/pullrequest/9455" xr:uid="{B0637464-7189-4E9C-811D-0382A0F94FDB}"/>
    <hyperlink ref="T14" r:id="rId13" xr:uid="{000E7EE5-EB60-4E8E-89F5-21372EC17F14}"/>
    <hyperlink ref="T15" r:id="rId14" xr:uid="{5ADD5511-28B2-44EF-9F4D-9E9D6F67016B}"/>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18FB0CB6-28C9-4B94-BB0A-EE1DEA6608DF}">
          <x14:formula1>
            <xm:f>Settings!$C$3:$C$10</xm:f>
          </x14:formula1>
          <xm:sqref>I2:I7 I9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15F30-63CC-4484-884C-F71D0540CF48}">
  <sheetPr>
    <outlinePr summaryBelow="0" summaryRight="0"/>
  </sheetPr>
  <dimension ref="A1:O3"/>
  <sheetViews>
    <sheetView topLeftCell="B1" workbookViewId="0">
      <selection activeCell="F14" sqref="F14"/>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21.28515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15" customHeight="1">
      <c r="A2" s="479"/>
      <c r="B2" s="477"/>
      <c r="C2" s="495"/>
      <c r="D2" s="496"/>
      <c r="E2" s="460"/>
      <c r="F2" s="497"/>
      <c r="G2" s="498" t="s">
        <v>300</v>
      </c>
      <c r="H2" s="479"/>
      <c r="I2" s="497"/>
      <c r="J2" s="479"/>
      <c r="K2" s="497"/>
      <c r="L2" s="499"/>
      <c r="M2" s="499"/>
      <c r="N2" s="479"/>
      <c r="O2" s="455"/>
    </row>
    <row r="3" spans="1:15" ht="15" customHeight="1">
      <c r="B3" s="412"/>
      <c r="C3" s="439"/>
      <c r="D3" s="439"/>
      <c r="F3" s="440"/>
      <c r="I3" s="440"/>
      <c r="K3" s="440"/>
    </row>
  </sheetData>
  <autoFilter ref="A1:M1" xr:uid="{3A2BB050-11AC-4ED7-A296-96B42C7FCFBA}"/>
  <dataValidations count="5">
    <dataValidation type="list" allowBlank="1" showErrorMessage="1" sqref="K1:K1048576" xr:uid="{ED1DB3B0-9E0B-4A2F-9820-B17266D0AC06}">
      <formula1>"Open,Inprogress,Closed, Rejected"</formula1>
    </dataValidation>
    <dataValidation type="list" allowBlank="1" showErrorMessage="1" sqref="F2:F3" xr:uid="{B7842FE4-4DC0-46A6-A7DA-0A1433F7BD65}">
      <formula1>"Bounceback/Sub-Defect,Defect,None"</formula1>
    </dataValidation>
    <dataValidation type="list" allowBlank="1" showErrorMessage="1" sqref="J2:J3" xr:uid="{DD1128F1-2FAD-45B6-A1DA-1214C991F4B8}">
      <formula1>"Internal,External"</formula1>
    </dataValidation>
    <dataValidation type="list" allowBlank="1" showErrorMessage="1" sqref="H2:H3" xr:uid="{77291D40-7835-4B05-B208-B0985AC50D74}">
      <formula1>"Minor,Significant,Major"</formula1>
    </dataValidation>
    <dataValidation type="list" allowBlank="1" showErrorMessage="1" sqref="I2:I3" xr:uid="{D41FF872-BAF8-4E17-BA09-6F4C5C7F2A16}">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050A77E2-7DCF-4ABD-858B-33A7E00F8DD5}">
          <x14:formula1>
            <xm:f>Details!$A$2:$A$10</xm:f>
          </x14:formula1>
          <xm:sqref>L2:L3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2F19-0CAE-47DB-9A21-124A305A6B69}">
  <sheetPr>
    <outlinePr summaryBelow="0" summaryRight="0"/>
  </sheetPr>
  <dimension ref="A1:AE11"/>
  <sheetViews>
    <sheetView showGridLines="0" workbookViewId="0">
      <pane ySplit="1" topLeftCell="A4" activePane="bottomLeft" state="frozen"/>
      <selection pane="bottomLeft" activeCell="C11" sqref="C11:D11"/>
      <selection activeCell="A3" sqref="A3"/>
    </sheetView>
  </sheetViews>
  <sheetFormatPr defaultColWidth="12.5703125" defaultRowHeight="35.25" customHeight="1"/>
  <cols>
    <col min="1" max="1" width="5.140625" style="43" customWidth="1"/>
    <col min="2" max="2" width="12.28515625" style="43" customWidth="1"/>
    <col min="3" max="3" width="11.28515625" style="43" customWidth="1"/>
    <col min="4" max="4" width="11.42578125" style="43" customWidth="1"/>
    <col min="5" max="5" width="28.7109375" style="43" customWidth="1"/>
    <col min="6" max="6" width="18.140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2" width="10.42578125" style="43" customWidth="1"/>
    <col min="13" max="14" width="14.42578125" style="43" customWidth="1"/>
    <col min="15" max="15" width="15.28515625" style="43" customWidth="1"/>
    <col min="16" max="16" width="17" style="43" customWidth="1"/>
    <col min="17" max="17" width="26.28515625" style="43" customWidth="1"/>
    <col min="18" max="18" width="17.85546875" style="220" customWidth="1"/>
    <col min="19" max="19" width="34.85546875" style="43" customWidth="1"/>
    <col min="20" max="20" width="31.5703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31" width="65.5703125" style="43" customWidth="1"/>
    <col min="32" max="16384" width="12.5703125" style="43"/>
  </cols>
  <sheetData>
    <row r="1" spans="1:31" ht="36.75" customHeight="1">
      <c r="A1" s="427" t="s">
        <v>241</v>
      </c>
      <c r="B1" s="394" t="s">
        <v>4</v>
      </c>
      <c r="C1" s="394" t="s">
        <v>2</v>
      </c>
      <c r="D1" s="394" t="s">
        <v>3</v>
      </c>
      <c r="E1" s="427" t="s">
        <v>242</v>
      </c>
      <c r="F1" s="427" t="s">
        <v>243</v>
      </c>
      <c r="G1" s="427" t="s">
        <v>244</v>
      </c>
      <c r="H1" s="427" t="s">
        <v>245</v>
      </c>
      <c r="I1" s="427" t="s">
        <v>246</v>
      </c>
      <c r="J1" s="394" t="s">
        <v>247</v>
      </c>
      <c r="K1" s="394" t="s">
        <v>248</v>
      </c>
      <c r="L1" s="394" t="s">
        <v>249</v>
      </c>
      <c r="M1" s="394" t="s">
        <v>250</v>
      </c>
      <c r="N1" s="394" t="s">
        <v>251</v>
      </c>
      <c r="O1" s="427" t="s">
        <v>252</v>
      </c>
      <c r="P1" s="427" t="s">
        <v>253</v>
      </c>
      <c r="Q1" s="427" t="s">
        <v>254</v>
      </c>
      <c r="R1" s="446" t="s">
        <v>255</v>
      </c>
      <c r="S1" s="427" t="s">
        <v>256</v>
      </c>
      <c r="T1" s="427" t="s">
        <v>257</v>
      </c>
      <c r="U1" s="427" t="s">
        <v>258</v>
      </c>
      <c r="V1" s="427" t="s">
        <v>259</v>
      </c>
      <c r="W1" s="427" t="s">
        <v>260</v>
      </c>
      <c r="X1" s="427" t="s">
        <v>261</v>
      </c>
      <c r="Y1" s="427" t="s">
        <v>262</v>
      </c>
      <c r="Z1" s="427" t="s">
        <v>263</v>
      </c>
      <c r="AA1" s="427" t="s">
        <v>264</v>
      </c>
      <c r="AB1" s="427" t="s">
        <v>265</v>
      </c>
      <c r="AC1" s="421" t="s">
        <v>266</v>
      </c>
      <c r="AD1" s="423" t="s">
        <v>425</v>
      </c>
      <c r="AE1" s="448" t="s">
        <v>426</v>
      </c>
    </row>
    <row r="2" spans="1:31" ht="48.75" customHeight="1">
      <c r="A2" s="86">
        <v>1</v>
      </c>
      <c r="B2" s="239" t="s">
        <v>5</v>
      </c>
      <c r="C2" s="405">
        <v>46100</v>
      </c>
      <c r="D2" s="405">
        <v>46114</v>
      </c>
      <c r="E2" s="400" t="s">
        <v>204</v>
      </c>
      <c r="F2" s="86" t="s">
        <v>268</v>
      </c>
      <c r="G2" s="364" t="s">
        <v>427</v>
      </c>
      <c r="H2" s="115" t="s">
        <v>428</v>
      </c>
      <c r="I2" s="89" t="s">
        <v>13</v>
      </c>
      <c r="J2" s="138">
        <v>1</v>
      </c>
      <c r="K2" s="86">
        <v>1</v>
      </c>
      <c r="L2" s="115">
        <v>22.5</v>
      </c>
      <c r="M2" s="405" t="s">
        <v>93</v>
      </c>
      <c r="N2" s="405" t="s">
        <v>93</v>
      </c>
      <c r="O2" s="86" t="s">
        <v>303</v>
      </c>
      <c r="P2" s="86" t="s">
        <v>304</v>
      </c>
      <c r="Q2" s="86"/>
      <c r="R2" s="193" t="s">
        <v>281</v>
      </c>
      <c r="S2" s="86"/>
      <c r="T2" s="137" t="s">
        <v>429</v>
      </c>
      <c r="U2" s="191">
        <v>46099</v>
      </c>
      <c r="V2" s="191">
        <v>46101</v>
      </c>
      <c r="W2" s="86" t="s">
        <v>231</v>
      </c>
      <c r="X2" s="86"/>
      <c r="Y2" s="86" t="s">
        <v>306</v>
      </c>
      <c r="Z2" s="191">
        <v>46102</v>
      </c>
      <c r="AA2" s="115"/>
      <c r="AB2" s="86"/>
      <c r="AC2" s="86"/>
      <c r="AD2" s="115" t="s">
        <v>430</v>
      </c>
      <c r="AE2" s="86"/>
    </row>
    <row r="3" spans="1:31" ht="35.25" customHeight="1">
      <c r="A3" s="86">
        <v>2</v>
      </c>
      <c r="B3" s="239" t="s">
        <v>5</v>
      </c>
      <c r="C3" s="405">
        <v>46100</v>
      </c>
      <c r="D3" s="405">
        <v>46114</v>
      </c>
      <c r="E3" s="400" t="s">
        <v>204</v>
      </c>
      <c r="F3" s="86" t="s">
        <v>281</v>
      </c>
      <c r="G3" s="364" t="s">
        <v>431</v>
      </c>
      <c r="H3" s="115" t="s">
        <v>432</v>
      </c>
      <c r="I3" s="89" t="s">
        <v>13</v>
      </c>
      <c r="J3" s="138">
        <v>1</v>
      </c>
      <c r="K3" s="86">
        <v>1</v>
      </c>
      <c r="L3" s="115">
        <v>8</v>
      </c>
      <c r="M3" s="405" t="s">
        <v>93</v>
      </c>
      <c r="N3" s="405" t="s">
        <v>93</v>
      </c>
      <c r="O3" s="86" t="s">
        <v>303</v>
      </c>
      <c r="P3" s="86" t="s">
        <v>304</v>
      </c>
      <c r="Q3" s="86"/>
      <c r="R3" s="193" t="s">
        <v>231</v>
      </c>
      <c r="S3" s="86" t="s">
        <v>93</v>
      </c>
      <c r="T3" s="137" t="s">
        <v>433</v>
      </c>
      <c r="U3" s="191">
        <v>46101</v>
      </c>
      <c r="V3" s="410">
        <v>46101</v>
      </c>
      <c r="W3" s="86" t="s">
        <v>231</v>
      </c>
      <c r="X3" s="86" t="s">
        <v>93</v>
      </c>
      <c r="Y3" s="86" t="s">
        <v>93</v>
      </c>
      <c r="Z3" s="86" t="s">
        <v>93</v>
      </c>
      <c r="AA3" s="115" t="s">
        <v>93</v>
      </c>
      <c r="AB3" s="86" t="s">
        <v>93</v>
      </c>
      <c r="AC3" s="86" t="s">
        <v>434</v>
      </c>
      <c r="AD3" s="115" t="s">
        <v>430</v>
      </c>
      <c r="AE3" s="89" t="s">
        <v>435</v>
      </c>
    </row>
    <row r="4" spans="1:31" ht="35.25" customHeight="1">
      <c r="A4" s="86">
        <v>3</v>
      </c>
      <c r="B4" s="239" t="s">
        <v>5</v>
      </c>
      <c r="C4" s="405">
        <v>46100</v>
      </c>
      <c r="D4" s="405">
        <v>46114</v>
      </c>
      <c r="E4" s="400" t="s">
        <v>204</v>
      </c>
      <c r="F4" s="86" t="s">
        <v>231</v>
      </c>
      <c r="G4" s="364" t="s">
        <v>376</v>
      </c>
      <c r="H4" s="115" t="s">
        <v>377</v>
      </c>
      <c r="I4" s="89" t="s">
        <v>436</v>
      </c>
      <c r="J4" s="138">
        <v>5</v>
      </c>
      <c r="K4" s="86">
        <v>3</v>
      </c>
      <c r="L4" s="115">
        <v>28</v>
      </c>
      <c r="M4" s="405">
        <v>46101</v>
      </c>
      <c r="N4" s="405">
        <v>46113</v>
      </c>
      <c r="O4" s="86"/>
      <c r="P4" s="86"/>
      <c r="Q4" s="86"/>
      <c r="R4" s="193"/>
      <c r="S4" s="86"/>
      <c r="T4" s="137" t="s">
        <v>378</v>
      </c>
      <c r="U4" s="405">
        <v>46113</v>
      </c>
      <c r="V4" s="405">
        <v>46113</v>
      </c>
      <c r="W4" s="86" t="s">
        <v>231</v>
      </c>
      <c r="X4" s="86"/>
      <c r="Y4" s="86" t="s">
        <v>306</v>
      </c>
      <c r="Z4" s="405">
        <v>46114</v>
      </c>
      <c r="AA4" s="115"/>
      <c r="AB4" s="86"/>
      <c r="AC4" s="86"/>
      <c r="AD4" s="115"/>
      <c r="AE4" s="451" t="s">
        <v>437</v>
      </c>
    </row>
    <row r="5" spans="1:31" ht="35.25" customHeight="1">
      <c r="A5" s="86">
        <v>4</v>
      </c>
      <c r="B5" s="239" t="s">
        <v>5</v>
      </c>
      <c r="C5" s="405">
        <v>46100</v>
      </c>
      <c r="D5" s="405">
        <v>46114</v>
      </c>
      <c r="E5" s="400" t="s">
        <v>204</v>
      </c>
      <c r="F5" s="86" t="s">
        <v>281</v>
      </c>
      <c r="G5" s="364" t="s">
        <v>438</v>
      </c>
      <c r="H5" s="115" t="s">
        <v>439</v>
      </c>
      <c r="I5" s="89" t="s">
        <v>13</v>
      </c>
      <c r="J5" s="138">
        <v>3</v>
      </c>
      <c r="K5" s="86">
        <v>3</v>
      </c>
      <c r="L5" s="115">
        <v>25.5</v>
      </c>
      <c r="M5" s="405">
        <v>46104</v>
      </c>
      <c r="N5" s="405">
        <v>46106</v>
      </c>
      <c r="O5" s="86" t="s">
        <v>303</v>
      </c>
      <c r="P5" s="86" t="s">
        <v>304</v>
      </c>
      <c r="Q5" s="86"/>
      <c r="R5" s="193" t="s">
        <v>231</v>
      </c>
      <c r="S5" s="86"/>
      <c r="T5" s="137" t="s">
        <v>440</v>
      </c>
      <c r="U5" s="405">
        <v>46105</v>
      </c>
      <c r="V5" s="405">
        <v>46106</v>
      </c>
      <c r="W5" s="86" t="s">
        <v>231</v>
      </c>
      <c r="X5" s="86"/>
      <c r="Y5" s="86" t="s">
        <v>306</v>
      </c>
      <c r="Z5" s="405">
        <v>46107</v>
      </c>
      <c r="AA5" s="115"/>
      <c r="AB5" s="86"/>
      <c r="AC5" s="86"/>
      <c r="AD5" s="86"/>
      <c r="AE5" s="139" t="s">
        <v>441</v>
      </c>
    </row>
    <row r="6" spans="1:31" ht="35.25" customHeight="1">
      <c r="A6" s="86">
        <v>5</v>
      </c>
      <c r="B6" s="239" t="s">
        <v>5</v>
      </c>
      <c r="C6" s="405">
        <v>46100</v>
      </c>
      <c r="D6" s="405">
        <v>46114</v>
      </c>
      <c r="E6" s="400" t="s">
        <v>204</v>
      </c>
      <c r="F6" s="86" t="s">
        <v>268</v>
      </c>
      <c r="G6" s="364" t="s">
        <v>442</v>
      </c>
      <c r="H6" s="115" t="s">
        <v>443</v>
      </c>
      <c r="I6" s="89" t="s">
        <v>13</v>
      </c>
      <c r="J6" s="138">
        <v>3</v>
      </c>
      <c r="K6" s="86">
        <v>3</v>
      </c>
      <c r="L6" s="115">
        <v>52.5</v>
      </c>
      <c r="M6" s="405">
        <v>46101</v>
      </c>
      <c r="N6" s="405">
        <v>46111</v>
      </c>
      <c r="O6" s="86" t="s">
        <v>303</v>
      </c>
      <c r="P6" s="86" t="s">
        <v>304</v>
      </c>
      <c r="Q6" s="86"/>
      <c r="R6" s="193"/>
      <c r="S6" s="86"/>
      <c r="T6" s="137" t="s">
        <v>444</v>
      </c>
      <c r="U6" s="405">
        <v>46111</v>
      </c>
      <c r="V6" s="405">
        <v>46112</v>
      </c>
      <c r="W6" s="86" t="s">
        <v>231</v>
      </c>
      <c r="X6" s="86"/>
      <c r="Y6" s="86" t="s">
        <v>306</v>
      </c>
      <c r="Z6" s="405">
        <v>46112</v>
      </c>
      <c r="AA6" s="115"/>
      <c r="AB6" s="86"/>
      <c r="AC6" s="86"/>
      <c r="AD6" s="86"/>
      <c r="AE6" s="86"/>
    </row>
    <row r="7" spans="1:31" ht="35.25" customHeight="1">
      <c r="A7" s="86">
        <v>6</v>
      </c>
      <c r="B7" s="239" t="s">
        <v>5</v>
      </c>
      <c r="C7" s="405">
        <v>46100</v>
      </c>
      <c r="D7" s="405">
        <v>46114</v>
      </c>
      <c r="E7" s="400" t="s">
        <v>204</v>
      </c>
      <c r="F7" s="86" t="s">
        <v>231</v>
      </c>
      <c r="G7" s="364" t="s">
        <v>445</v>
      </c>
      <c r="H7" s="115" t="s">
        <v>446</v>
      </c>
      <c r="I7" s="89" t="s">
        <v>13</v>
      </c>
      <c r="J7" s="138">
        <v>2</v>
      </c>
      <c r="K7" s="86">
        <v>2</v>
      </c>
      <c r="L7" s="115">
        <v>6</v>
      </c>
      <c r="M7" s="405">
        <v>46101</v>
      </c>
      <c r="N7" s="191">
        <v>46105</v>
      </c>
      <c r="O7" s="86" t="s">
        <v>303</v>
      </c>
      <c r="P7" s="86" t="s">
        <v>304</v>
      </c>
      <c r="Q7" s="86"/>
      <c r="R7" s="193" t="s">
        <v>231</v>
      </c>
      <c r="S7" s="86"/>
      <c r="T7" s="137" t="s">
        <v>447</v>
      </c>
      <c r="U7" s="191">
        <v>46105</v>
      </c>
      <c r="V7" s="191" t="s">
        <v>93</v>
      </c>
      <c r="W7" s="86" t="s">
        <v>93</v>
      </c>
      <c r="X7" s="86"/>
      <c r="Y7" s="86" t="s">
        <v>306</v>
      </c>
      <c r="Z7" s="191">
        <v>46106</v>
      </c>
      <c r="AA7" s="115"/>
      <c r="AB7" s="86"/>
      <c r="AC7" s="86"/>
      <c r="AD7" s="86"/>
      <c r="AE7" s="86" t="s">
        <v>448</v>
      </c>
    </row>
    <row r="8" spans="1:31" ht="35.25" customHeight="1">
      <c r="A8" s="86">
        <v>7</v>
      </c>
      <c r="B8" s="239" t="s">
        <v>5</v>
      </c>
      <c r="C8" s="405">
        <v>46100</v>
      </c>
      <c r="D8" s="405">
        <v>46114</v>
      </c>
      <c r="E8" s="400" t="s">
        <v>204</v>
      </c>
      <c r="F8" s="86" t="s">
        <v>281</v>
      </c>
      <c r="G8" s="364" t="s">
        <v>449</v>
      </c>
      <c r="H8" s="120" t="s">
        <v>450</v>
      </c>
      <c r="I8" s="89" t="s">
        <v>13</v>
      </c>
      <c r="J8" s="111">
        <v>2</v>
      </c>
      <c r="K8" s="102">
        <v>2</v>
      </c>
      <c r="L8" s="120">
        <v>15.5</v>
      </c>
      <c r="M8" s="408">
        <v>46106</v>
      </c>
      <c r="N8" s="408">
        <v>46106</v>
      </c>
      <c r="O8" s="102" t="s">
        <v>303</v>
      </c>
      <c r="P8" s="102" t="s">
        <v>304</v>
      </c>
      <c r="Q8" s="102"/>
      <c r="R8" s="219" t="s">
        <v>231</v>
      </c>
      <c r="S8" s="102"/>
      <c r="T8" s="225" t="s">
        <v>451</v>
      </c>
      <c r="U8" s="405">
        <v>46111</v>
      </c>
      <c r="V8" s="405">
        <v>46111</v>
      </c>
      <c r="W8" s="102" t="s">
        <v>231</v>
      </c>
      <c r="X8" s="102"/>
      <c r="Y8" s="86" t="s">
        <v>306</v>
      </c>
      <c r="Z8" s="405">
        <v>46112</v>
      </c>
      <c r="AA8" s="120"/>
      <c r="AB8" s="102"/>
      <c r="AC8" s="102"/>
      <c r="AD8" s="102"/>
      <c r="AE8" s="102" t="s">
        <v>452</v>
      </c>
    </row>
    <row r="9" spans="1:31" ht="35.25" customHeight="1">
      <c r="A9" s="86">
        <v>8</v>
      </c>
      <c r="B9" s="239" t="s">
        <v>5</v>
      </c>
      <c r="C9" s="405">
        <v>46100</v>
      </c>
      <c r="D9" s="405">
        <v>46114</v>
      </c>
      <c r="E9" s="400" t="s">
        <v>204</v>
      </c>
      <c r="F9" s="86" t="s">
        <v>453</v>
      </c>
      <c r="G9" s="375" t="s">
        <v>454</v>
      </c>
      <c r="H9" s="86" t="s">
        <v>455</v>
      </c>
      <c r="I9" s="89" t="s">
        <v>13</v>
      </c>
      <c r="J9" s="86">
        <v>3</v>
      </c>
      <c r="K9" s="86">
        <v>3</v>
      </c>
      <c r="L9" s="86">
        <v>36</v>
      </c>
      <c r="M9" s="86" t="s">
        <v>93</v>
      </c>
      <c r="N9" s="86" t="s">
        <v>93</v>
      </c>
      <c r="O9" s="86" t="s">
        <v>93</v>
      </c>
      <c r="P9" s="86" t="s">
        <v>93</v>
      </c>
      <c r="Q9" s="86" t="s">
        <v>93</v>
      </c>
      <c r="R9" s="86" t="s">
        <v>93</v>
      </c>
      <c r="S9" s="86" t="s">
        <v>93</v>
      </c>
      <c r="T9" s="86" t="s">
        <v>93</v>
      </c>
      <c r="U9" s="86" t="s">
        <v>93</v>
      </c>
      <c r="V9" s="86" t="s">
        <v>93</v>
      </c>
      <c r="W9" s="86" t="s">
        <v>93</v>
      </c>
      <c r="X9" s="86" t="s">
        <v>93</v>
      </c>
      <c r="Y9" s="86" t="s">
        <v>93</v>
      </c>
      <c r="Z9" s="86" t="s">
        <v>93</v>
      </c>
      <c r="AA9" s="86" t="s">
        <v>93</v>
      </c>
      <c r="AB9" s="86" t="s">
        <v>93</v>
      </c>
      <c r="AC9" s="86"/>
      <c r="AD9" s="86" t="s">
        <v>456</v>
      </c>
      <c r="AE9" s="86"/>
    </row>
    <row r="10" spans="1:31" ht="50.25" customHeight="1">
      <c r="A10" s="86">
        <v>9</v>
      </c>
      <c r="B10" s="239" t="s">
        <v>5</v>
      </c>
      <c r="C10" s="405">
        <v>46100</v>
      </c>
      <c r="D10" s="405">
        <v>46114</v>
      </c>
      <c r="E10" s="400" t="s">
        <v>457</v>
      </c>
      <c r="F10" s="86" t="s">
        <v>268</v>
      </c>
      <c r="G10" s="364" t="s">
        <v>458</v>
      </c>
      <c r="H10" s="115" t="s">
        <v>459</v>
      </c>
      <c r="I10" s="89" t="s">
        <v>13</v>
      </c>
      <c r="J10" s="138">
        <v>2</v>
      </c>
      <c r="K10" s="86">
        <v>2</v>
      </c>
      <c r="L10" s="115">
        <v>8</v>
      </c>
      <c r="M10" s="405">
        <v>46112</v>
      </c>
      <c r="N10" s="405">
        <v>46112</v>
      </c>
      <c r="O10" s="86" t="s">
        <v>303</v>
      </c>
      <c r="P10" s="86" t="s">
        <v>304</v>
      </c>
      <c r="Q10" s="86"/>
      <c r="R10" s="193" t="s">
        <v>231</v>
      </c>
      <c r="S10" s="86"/>
      <c r="T10" s="137" t="s">
        <v>460</v>
      </c>
      <c r="U10" s="405">
        <v>46112</v>
      </c>
      <c r="V10" s="405">
        <v>46112</v>
      </c>
      <c r="W10" s="86" t="s">
        <v>231</v>
      </c>
      <c r="X10" s="86"/>
      <c r="Y10" s="86" t="s">
        <v>306</v>
      </c>
      <c r="Z10" s="405">
        <v>46113</v>
      </c>
      <c r="AA10" s="115"/>
      <c r="AB10" s="86"/>
      <c r="AC10" s="86"/>
      <c r="AD10" s="86"/>
      <c r="AE10" s="86" t="s">
        <v>461</v>
      </c>
    </row>
    <row r="11" spans="1:31" ht="35.25" customHeight="1">
      <c r="A11" s="86">
        <v>10</v>
      </c>
      <c r="B11" s="239" t="s">
        <v>5</v>
      </c>
      <c r="C11" s="405">
        <v>46100</v>
      </c>
      <c r="D11" s="405">
        <v>46114</v>
      </c>
      <c r="E11" s="400" t="s">
        <v>457</v>
      </c>
      <c r="F11" s="86" t="s">
        <v>268</v>
      </c>
      <c r="G11" s="364" t="s">
        <v>380</v>
      </c>
      <c r="H11" s="115" t="s">
        <v>381</v>
      </c>
      <c r="I11" s="89" t="s">
        <v>271</v>
      </c>
      <c r="J11" s="138">
        <v>2</v>
      </c>
      <c r="K11" s="86">
        <v>1</v>
      </c>
      <c r="L11" s="115">
        <v>8</v>
      </c>
      <c r="M11" s="405">
        <v>46113</v>
      </c>
      <c r="N11" s="405">
        <v>46113</v>
      </c>
      <c r="O11" s="86"/>
      <c r="P11" s="86"/>
      <c r="Q11" s="86"/>
      <c r="R11" s="193"/>
      <c r="S11" s="86"/>
      <c r="T11" s="137" t="s">
        <v>382</v>
      </c>
      <c r="U11" s="405">
        <v>46114</v>
      </c>
      <c r="V11" s="115"/>
      <c r="W11" s="86" t="s">
        <v>231</v>
      </c>
      <c r="X11" s="86"/>
      <c r="Y11" s="86" t="s">
        <v>306</v>
      </c>
      <c r="Z11" s="86"/>
      <c r="AA11" s="115"/>
      <c r="AB11" s="86"/>
      <c r="AC11" s="86"/>
      <c r="AD11" s="86"/>
      <c r="AE11" s="86" t="s">
        <v>462</v>
      </c>
    </row>
  </sheetData>
  <hyperlinks>
    <hyperlink ref="T7" r:id="rId1" xr:uid="{B9EB3F0A-DB17-4978-8BCC-FEC16C0BA120}"/>
    <hyperlink ref="T2" r:id="rId2" xr:uid="{AD25A4F0-3589-40E7-ACF5-C8EECB5B679F}"/>
    <hyperlink ref="T5" r:id="rId3" xr:uid="{117A1E71-49E2-417E-AD3F-70BB7D2F932E}"/>
    <hyperlink ref="G9" r:id="rId4" display="https://greatergiving.atlassian.net/browse/GGO-15182" xr:uid="{336EF4ED-6009-40C9-898B-E225366C8233}"/>
    <hyperlink ref="T6" r:id="rId5" xr:uid="{8FF6B82E-7DD1-49D0-A23C-79145F9A4939}"/>
    <hyperlink ref="T8" r:id="rId6" xr:uid="{69EFEA52-F095-42B8-B93C-EA04A29C9509}"/>
    <hyperlink ref="T11" r:id="rId7" xr:uid="{69BE501A-12DE-472A-8D57-A118913116D4}"/>
    <hyperlink ref="T10" r:id="rId8" xr:uid="{582274A4-2C9D-4AAF-A3FD-E9205A4994E6}"/>
    <hyperlink ref="T3" r:id="rId9" xr:uid="{3840B520-8D15-4422-B851-FB8E548DC804}"/>
    <hyperlink ref="T4" r:id="rId10" xr:uid="{D67E1F0E-4E12-4CD7-9728-54448AD79DE7}"/>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392EDDBB-732A-401E-9B11-F66B74ABB9F6}">
          <x14:formula1>
            <xm:f>Settings!$C$3:$C$10</xm:f>
          </x14:formula1>
          <xm:sqref>I2:I11</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A94B1-4B39-4964-A82C-BE1F5C45BFC6}">
  <sheetPr>
    <outlinePr summaryBelow="0" summaryRight="0"/>
  </sheetPr>
  <dimension ref="A1:O3"/>
  <sheetViews>
    <sheetView topLeftCell="B1" workbookViewId="0">
      <selection activeCell="B1" sqref="B1"/>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21.28515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15" customHeight="1">
      <c r="B2" s="401"/>
      <c r="C2" s="192"/>
      <c r="D2" s="224"/>
      <c r="E2" s="115"/>
      <c r="F2" s="353"/>
      <c r="G2" s="441" t="s">
        <v>300</v>
      </c>
      <c r="I2" s="353"/>
      <c r="K2" s="353"/>
      <c r="L2" s="108"/>
      <c r="M2" s="108"/>
      <c r="O2" s="86"/>
    </row>
    <row r="3" spans="1:15" ht="15" customHeight="1">
      <c r="B3" s="412"/>
      <c r="C3" s="439"/>
      <c r="D3" s="439"/>
      <c r="F3" s="440"/>
      <c r="I3" s="440"/>
      <c r="K3" s="440"/>
    </row>
  </sheetData>
  <autoFilter ref="A1:M1" xr:uid="{3A2BB050-11AC-4ED7-A296-96B42C7FCFBA}"/>
  <dataValidations count="5">
    <dataValidation type="list" allowBlank="1" showErrorMessage="1" sqref="I2:I3" xr:uid="{08EF0B0B-EF59-4437-85CE-C859A6565DCD}">
      <formula1>"Manual, Automation"</formula1>
    </dataValidation>
    <dataValidation type="list" allowBlank="1" showErrorMessage="1" sqref="H2:H3" xr:uid="{C626AA64-22F5-4CFA-A7E9-AD90F2E4B958}">
      <formula1>"Minor,Significant,Major"</formula1>
    </dataValidation>
    <dataValidation type="list" allowBlank="1" showErrorMessage="1" sqref="J2:J3" xr:uid="{919B8434-F764-49DB-828D-8EA7FD35678A}">
      <formula1>"Internal,External"</formula1>
    </dataValidation>
    <dataValidation type="list" allowBlank="1" showErrorMessage="1" sqref="F2:F3" xr:uid="{8BA07941-9AB9-4570-904B-CB01136214F6}">
      <formula1>"Bounceback/Sub-Defect,Defect,None"</formula1>
    </dataValidation>
    <dataValidation type="list" allowBlank="1" showErrorMessage="1" sqref="K1:K1048576" xr:uid="{B5CED1FB-0B56-47ED-A985-B328AF6A61CB}">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F874E7CF-A7F1-42C2-96B2-3E4643229A6A}">
          <x14:formula1>
            <xm:f>Details!$A$2:$A$10</xm:f>
          </x14:formula1>
          <xm:sqref>L2:L3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398DF-25C8-4EC7-982A-1E0A989CEC2B}">
  <sheetPr>
    <outlinePr summaryBelow="0" summaryRight="0"/>
  </sheetPr>
  <dimension ref="A1:AE12"/>
  <sheetViews>
    <sheetView showGridLines="0" workbookViewId="0">
      <pane ySplit="1" topLeftCell="AA9" activePane="bottomLeft" state="frozen"/>
      <selection pane="bottomLeft" activeCell="AE12" sqref="AE12"/>
      <selection activeCell="A3" sqref="A3"/>
    </sheetView>
  </sheetViews>
  <sheetFormatPr defaultColWidth="12.5703125" defaultRowHeight="35.25" customHeight="1"/>
  <cols>
    <col min="1" max="1" width="5.140625" style="43" customWidth="1"/>
    <col min="2" max="2" width="12.28515625" style="43" customWidth="1"/>
    <col min="3" max="3" width="11.28515625" style="43" customWidth="1"/>
    <col min="4" max="4" width="11.42578125" style="43" customWidth="1"/>
    <col min="5" max="5" width="28.7109375" style="43" customWidth="1"/>
    <col min="6" max="6" width="18.140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2" width="10.42578125" style="43" customWidth="1"/>
    <col min="13" max="14" width="14.42578125" style="43" customWidth="1"/>
    <col min="15" max="15" width="15.28515625" style="43" customWidth="1"/>
    <col min="16" max="16" width="17" style="43" customWidth="1"/>
    <col min="17" max="17" width="26.28515625" style="43" customWidth="1"/>
    <col min="18" max="18" width="17.85546875" style="220" customWidth="1"/>
    <col min="19" max="19" width="34.85546875" style="43" customWidth="1"/>
    <col min="20" max="20" width="31.5703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31" width="65.5703125" style="43" customWidth="1"/>
    <col min="32" max="16384" width="12.5703125" style="43"/>
  </cols>
  <sheetData>
    <row r="1" spans="1:31" ht="36.75" customHeight="1">
      <c r="A1" s="427" t="s">
        <v>241</v>
      </c>
      <c r="B1" s="394" t="s">
        <v>4</v>
      </c>
      <c r="C1" s="394" t="s">
        <v>2</v>
      </c>
      <c r="D1" s="394" t="s">
        <v>3</v>
      </c>
      <c r="E1" s="427" t="s">
        <v>242</v>
      </c>
      <c r="F1" s="427" t="s">
        <v>243</v>
      </c>
      <c r="G1" s="427" t="s">
        <v>244</v>
      </c>
      <c r="H1" s="427" t="s">
        <v>245</v>
      </c>
      <c r="I1" s="427" t="s">
        <v>246</v>
      </c>
      <c r="J1" s="394" t="s">
        <v>247</v>
      </c>
      <c r="K1" s="394" t="s">
        <v>248</v>
      </c>
      <c r="L1" s="394" t="s">
        <v>249</v>
      </c>
      <c r="M1" s="394" t="s">
        <v>250</v>
      </c>
      <c r="N1" s="394" t="s">
        <v>251</v>
      </c>
      <c r="O1" s="427" t="s">
        <v>252</v>
      </c>
      <c r="P1" s="427" t="s">
        <v>253</v>
      </c>
      <c r="Q1" s="427" t="s">
        <v>254</v>
      </c>
      <c r="R1" s="446" t="s">
        <v>255</v>
      </c>
      <c r="S1" s="427" t="s">
        <v>256</v>
      </c>
      <c r="T1" s="427" t="s">
        <v>257</v>
      </c>
      <c r="U1" s="427" t="s">
        <v>258</v>
      </c>
      <c r="V1" s="427" t="s">
        <v>259</v>
      </c>
      <c r="W1" s="427" t="s">
        <v>260</v>
      </c>
      <c r="X1" s="427" t="s">
        <v>261</v>
      </c>
      <c r="Y1" s="427" t="s">
        <v>262</v>
      </c>
      <c r="Z1" s="427" t="s">
        <v>263</v>
      </c>
      <c r="AA1" s="427" t="s">
        <v>264</v>
      </c>
      <c r="AB1" s="427" t="s">
        <v>265</v>
      </c>
      <c r="AC1" s="421" t="s">
        <v>266</v>
      </c>
      <c r="AD1" s="423" t="s">
        <v>425</v>
      </c>
      <c r="AE1" s="448" t="s">
        <v>426</v>
      </c>
    </row>
    <row r="2" spans="1:31" ht="42.75" customHeight="1">
      <c r="A2" s="86">
        <v>1</v>
      </c>
      <c r="B2" s="239" t="s">
        <v>5</v>
      </c>
      <c r="C2" s="236">
        <v>46086</v>
      </c>
      <c r="D2" s="236">
        <v>46100</v>
      </c>
      <c r="E2" s="401" t="s">
        <v>200</v>
      </c>
      <c r="F2" s="86" t="s">
        <v>231</v>
      </c>
      <c r="G2" s="364" t="s">
        <v>463</v>
      </c>
      <c r="H2" s="86" t="s">
        <v>464</v>
      </c>
      <c r="I2" s="89" t="s">
        <v>13</v>
      </c>
      <c r="J2" s="86">
        <v>1</v>
      </c>
      <c r="K2" s="86">
        <v>1</v>
      </c>
      <c r="L2" s="115">
        <v>11</v>
      </c>
      <c r="M2" s="405">
        <v>46090</v>
      </c>
      <c r="N2" s="405">
        <v>46091</v>
      </c>
      <c r="O2" s="86" t="s">
        <v>303</v>
      </c>
      <c r="P2" s="86" t="s">
        <v>304</v>
      </c>
      <c r="Q2" s="86"/>
      <c r="R2" s="86" t="s">
        <v>268</v>
      </c>
      <c r="S2" s="86"/>
      <c r="T2" s="137" t="s">
        <v>465</v>
      </c>
      <c r="U2" s="447">
        <v>46092</v>
      </c>
      <c r="V2" s="405" t="s">
        <v>93</v>
      </c>
      <c r="W2" s="86" t="s">
        <v>93</v>
      </c>
      <c r="X2" s="86"/>
      <c r="Y2" s="86" t="s">
        <v>306</v>
      </c>
      <c r="Z2" s="405">
        <v>46092</v>
      </c>
      <c r="AA2" s="97"/>
      <c r="AB2" s="86"/>
      <c r="AC2" s="111"/>
      <c r="AD2" s="115"/>
      <c r="AE2" s="239" t="s">
        <v>466</v>
      </c>
    </row>
    <row r="3" spans="1:31" ht="50.25" customHeight="1">
      <c r="A3" s="86">
        <v>2</v>
      </c>
      <c r="B3" s="239" t="s">
        <v>5</v>
      </c>
      <c r="C3" s="236">
        <v>46086</v>
      </c>
      <c r="D3" s="236">
        <v>46100</v>
      </c>
      <c r="E3" s="401" t="s">
        <v>200</v>
      </c>
      <c r="F3" s="86" t="s">
        <v>231</v>
      </c>
      <c r="G3" s="364" t="s">
        <v>467</v>
      </c>
      <c r="H3" s="86" t="s">
        <v>468</v>
      </c>
      <c r="I3" s="89" t="s">
        <v>13</v>
      </c>
      <c r="J3" s="86">
        <v>2</v>
      </c>
      <c r="K3" s="86">
        <v>2</v>
      </c>
      <c r="L3" s="115">
        <v>6</v>
      </c>
      <c r="M3" s="405">
        <v>46087</v>
      </c>
      <c r="N3" s="405">
        <v>46087</v>
      </c>
      <c r="O3" s="86" t="s">
        <v>303</v>
      </c>
      <c r="P3" s="86" t="s">
        <v>304</v>
      </c>
      <c r="Q3" s="86"/>
      <c r="R3" s="86" t="s">
        <v>268</v>
      </c>
      <c r="S3" s="86"/>
      <c r="T3" s="137" t="s">
        <v>469</v>
      </c>
      <c r="U3" s="447">
        <v>46087</v>
      </c>
      <c r="V3" s="405" t="s">
        <v>93</v>
      </c>
      <c r="W3" s="86" t="s">
        <v>93</v>
      </c>
      <c r="X3" s="86"/>
      <c r="Y3" s="86" t="s">
        <v>306</v>
      </c>
      <c r="Z3" s="405">
        <v>46088</v>
      </c>
      <c r="AA3" s="97"/>
      <c r="AB3" s="86"/>
      <c r="AC3" s="111"/>
      <c r="AD3" s="115"/>
      <c r="AE3" s="239" t="s">
        <v>470</v>
      </c>
    </row>
    <row r="4" spans="1:31" ht="53.25" customHeight="1">
      <c r="A4" s="86">
        <v>3</v>
      </c>
      <c r="B4" s="239" t="s">
        <v>5</v>
      </c>
      <c r="C4" s="236">
        <v>46086</v>
      </c>
      <c r="D4" s="236">
        <v>46100</v>
      </c>
      <c r="E4" s="401" t="s">
        <v>200</v>
      </c>
      <c r="F4" s="86" t="s">
        <v>231</v>
      </c>
      <c r="G4" s="364" t="s">
        <v>471</v>
      </c>
      <c r="H4" s="86" t="s">
        <v>472</v>
      </c>
      <c r="I4" s="89" t="s">
        <v>13</v>
      </c>
      <c r="J4" s="86">
        <v>2</v>
      </c>
      <c r="K4" s="86">
        <v>2</v>
      </c>
      <c r="L4" s="115">
        <v>11</v>
      </c>
      <c r="M4" s="405">
        <v>46087</v>
      </c>
      <c r="N4" s="405">
        <v>46087</v>
      </c>
      <c r="O4" s="86" t="s">
        <v>303</v>
      </c>
      <c r="P4" s="86" t="s">
        <v>304</v>
      </c>
      <c r="Q4" s="86"/>
      <c r="R4" s="86" t="s">
        <v>268</v>
      </c>
      <c r="S4" s="86"/>
      <c r="T4" s="137" t="s">
        <v>473</v>
      </c>
      <c r="U4" s="447">
        <v>46090</v>
      </c>
      <c r="V4" s="405" t="s">
        <v>93</v>
      </c>
      <c r="W4" s="86" t="s">
        <v>93</v>
      </c>
      <c r="X4" s="86"/>
      <c r="Y4" s="86" t="s">
        <v>306</v>
      </c>
      <c r="Z4" s="447">
        <v>46090</v>
      </c>
      <c r="AA4" s="97"/>
      <c r="AB4" s="86"/>
      <c r="AC4" s="111"/>
      <c r="AD4" s="115"/>
      <c r="AE4" s="239" t="s">
        <v>474</v>
      </c>
    </row>
    <row r="5" spans="1:31" ht="35.25" customHeight="1">
      <c r="A5" s="86">
        <v>4</v>
      </c>
      <c r="B5" s="239" t="s">
        <v>5</v>
      </c>
      <c r="C5" s="236">
        <v>46086</v>
      </c>
      <c r="D5" s="236">
        <v>46100</v>
      </c>
      <c r="E5" s="401" t="s">
        <v>200</v>
      </c>
      <c r="F5" s="86" t="s">
        <v>281</v>
      </c>
      <c r="G5" s="364" t="s">
        <v>475</v>
      </c>
      <c r="H5" s="86" t="s">
        <v>476</v>
      </c>
      <c r="I5" s="89" t="s">
        <v>13</v>
      </c>
      <c r="J5" s="86">
        <v>3</v>
      </c>
      <c r="K5" s="86">
        <v>3</v>
      </c>
      <c r="L5" s="115">
        <v>25</v>
      </c>
      <c r="M5" s="405">
        <v>46087</v>
      </c>
      <c r="N5" s="447">
        <v>46091</v>
      </c>
      <c r="O5" s="86" t="s">
        <v>303</v>
      </c>
      <c r="P5" s="86" t="s">
        <v>304</v>
      </c>
      <c r="Q5" s="86"/>
      <c r="R5" s="86" t="s">
        <v>231</v>
      </c>
      <c r="S5" s="86"/>
      <c r="T5" s="137" t="s">
        <v>477</v>
      </c>
      <c r="U5" s="447">
        <v>46091</v>
      </c>
      <c r="V5" s="405">
        <v>46092</v>
      </c>
      <c r="W5" s="86" t="s">
        <v>231</v>
      </c>
      <c r="X5" s="86"/>
      <c r="Y5" s="86" t="s">
        <v>306</v>
      </c>
      <c r="Z5" s="405">
        <v>46092</v>
      </c>
      <c r="AA5" s="97"/>
      <c r="AB5" s="86"/>
      <c r="AC5" s="111"/>
      <c r="AD5" s="115"/>
      <c r="AE5" s="239" t="s">
        <v>478</v>
      </c>
    </row>
    <row r="6" spans="1:31" ht="35.25" customHeight="1">
      <c r="A6" s="86">
        <v>5</v>
      </c>
      <c r="B6" s="239" t="s">
        <v>5</v>
      </c>
      <c r="C6" s="236">
        <v>46086</v>
      </c>
      <c r="D6" s="236">
        <v>46100</v>
      </c>
      <c r="E6" s="401" t="s">
        <v>200</v>
      </c>
      <c r="F6" s="86" t="s">
        <v>281</v>
      </c>
      <c r="G6" s="364" t="s">
        <v>479</v>
      </c>
      <c r="H6" s="86" t="s">
        <v>480</v>
      </c>
      <c r="I6" s="89" t="s">
        <v>13</v>
      </c>
      <c r="J6" s="86">
        <v>5</v>
      </c>
      <c r="K6" s="86">
        <v>5</v>
      </c>
      <c r="L6" s="115">
        <v>47.25</v>
      </c>
      <c r="M6" s="405">
        <v>46091</v>
      </c>
      <c r="N6" s="405">
        <v>46097</v>
      </c>
      <c r="O6" s="86" t="s">
        <v>303</v>
      </c>
      <c r="P6" s="86" t="s">
        <v>304</v>
      </c>
      <c r="Q6" s="86"/>
      <c r="R6" s="102" t="s">
        <v>481</v>
      </c>
      <c r="S6" s="86"/>
      <c r="T6" s="137" t="s">
        <v>482</v>
      </c>
      <c r="U6" s="405">
        <v>46097</v>
      </c>
      <c r="V6" s="405">
        <v>46098</v>
      </c>
      <c r="W6" s="86" t="s">
        <v>231</v>
      </c>
      <c r="X6" s="86"/>
      <c r="Y6" s="86" t="s">
        <v>306</v>
      </c>
      <c r="Z6" s="405">
        <v>46098</v>
      </c>
      <c r="AA6" s="97"/>
      <c r="AB6" s="86"/>
      <c r="AC6" s="111"/>
      <c r="AD6" s="115"/>
      <c r="AE6" s="239" t="s">
        <v>483</v>
      </c>
    </row>
    <row r="7" spans="1:31" ht="55.5" customHeight="1">
      <c r="A7" s="86">
        <v>6</v>
      </c>
      <c r="B7" s="239" t="s">
        <v>5</v>
      </c>
      <c r="C7" s="236">
        <v>46086</v>
      </c>
      <c r="D7" s="236">
        <v>46100</v>
      </c>
      <c r="E7" s="401" t="s">
        <v>200</v>
      </c>
      <c r="F7" s="86" t="s">
        <v>231</v>
      </c>
      <c r="G7" s="364" t="s">
        <v>484</v>
      </c>
      <c r="H7" s="86" t="s">
        <v>485</v>
      </c>
      <c r="I7" s="89" t="s">
        <v>13</v>
      </c>
      <c r="J7" s="86">
        <v>2</v>
      </c>
      <c r="K7" s="86">
        <v>2</v>
      </c>
      <c r="L7" s="115">
        <v>6</v>
      </c>
      <c r="M7" s="405">
        <v>46093</v>
      </c>
      <c r="N7" s="405">
        <v>46094</v>
      </c>
      <c r="O7" s="86" t="s">
        <v>303</v>
      </c>
      <c r="P7" s="86" t="s">
        <v>304</v>
      </c>
      <c r="Q7" s="86"/>
      <c r="R7" s="86" t="s">
        <v>281</v>
      </c>
      <c r="S7" s="86"/>
      <c r="T7" s="137" t="s">
        <v>486</v>
      </c>
      <c r="U7" s="447">
        <v>46094</v>
      </c>
      <c r="V7" s="405" t="s">
        <v>93</v>
      </c>
      <c r="W7" s="86" t="s">
        <v>231</v>
      </c>
      <c r="X7" s="86"/>
      <c r="Y7" s="86" t="s">
        <v>306</v>
      </c>
      <c r="Z7" s="405">
        <v>46094</v>
      </c>
      <c r="AA7" s="97"/>
      <c r="AB7" s="86"/>
      <c r="AC7" s="111"/>
      <c r="AD7" s="115"/>
      <c r="AE7" s="239" t="s">
        <v>487</v>
      </c>
    </row>
    <row r="8" spans="1:31" ht="35.25" customHeight="1">
      <c r="A8" s="86">
        <v>7</v>
      </c>
      <c r="B8" s="239" t="s">
        <v>5</v>
      </c>
      <c r="C8" s="236">
        <v>46086</v>
      </c>
      <c r="D8" s="236">
        <v>46100</v>
      </c>
      <c r="E8" s="401" t="s">
        <v>200</v>
      </c>
      <c r="F8" s="86" t="s">
        <v>268</v>
      </c>
      <c r="G8" s="364" t="s">
        <v>488</v>
      </c>
      <c r="H8" s="86" t="s">
        <v>489</v>
      </c>
      <c r="I8" s="89" t="s">
        <v>13</v>
      </c>
      <c r="J8" s="86">
        <v>2</v>
      </c>
      <c r="K8" s="86">
        <v>2</v>
      </c>
      <c r="L8" s="115">
        <v>23</v>
      </c>
      <c r="M8" s="405">
        <v>46087</v>
      </c>
      <c r="N8" s="405">
        <v>46093</v>
      </c>
      <c r="O8" s="86" t="s">
        <v>303</v>
      </c>
      <c r="P8" s="86" t="s">
        <v>304</v>
      </c>
      <c r="Q8" s="86"/>
      <c r="R8" s="86" t="s">
        <v>231</v>
      </c>
      <c r="S8" s="86"/>
      <c r="T8" s="137" t="s">
        <v>490</v>
      </c>
      <c r="U8" s="447">
        <v>46093</v>
      </c>
      <c r="V8" s="405">
        <v>46093</v>
      </c>
      <c r="W8" s="86" t="s">
        <v>231</v>
      </c>
      <c r="X8" s="86"/>
      <c r="Y8" s="86" t="s">
        <v>306</v>
      </c>
      <c r="Z8" s="405">
        <v>46094</v>
      </c>
      <c r="AA8" s="97"/>
      <c r="AB8" s="86"/>
      <c r="AC8" s="111"/>
      <c r="AD8" s="115"/>
      <c r="AE8" s="239" t="s">
        <v>491</v>
      </c>
    </row>
    <row r="9" spans="1:31" ht="57.75" customHeight="1">
      <c r="A9" s="86">
        <v>8</v>
      </c>
      <c r="B9" s="239" t="s">
        <v>5</v>
      </c>
      <c r="C9" s="236">
        <v>46086</v>
      </c>
      <c r="D9" s="236">
        <v>46100</v>
      </c>
      <c r="E9" s="401" t="s">
        <v>200</v>
      </c>
      <c r="F9" s="86" t="s">
        <v>268</v>
      </c>
      <c r="G9" s="364" t="s">
        <v>492</v>
      </c>
      <c r="H9" s="86" t="s">
        <v>493</v>
      </c>
      <c r="I9" s="89" t="s">
        <v>13</v>
      </c>
      <c r="J9" s="86">
        <v>3</v>
      </c>
      <c r="K9" s="86">
        <v>3</v>
      </c>
      <c r="L9" s="86">
        <v>23</v>
      </c>
      <c r="M9" s="191">
        <v>46091</v>
      </c>
      <c r="N9" s="405">
        <v>46093</v>
      </c>
      <c r="O9" s="86" t="s">
        <v>303</v>
      </c>
      <c r="P9" s="86" t="s">
        <v>304</v>
      </c>
      <c r="Q9" s="86"/>
      <c r="R9" s="86" t="s">
        <v>231</v>
      </c>
      <c r="S9" s="86"/>
      <c r="T9" s="137" t="s">
        <v>494</v>
      </c>
      <c r="U9" s="191">
        <v>46091</v>
      </c>
      <c r="V9" s="191">
        <v>46093</v>
      </c>
      <c r="W9" s="86" t="s">
        <v>231</v>
      </c>
      <c r="X9" s="86"/>
      <c r="Y9" s="86" t="s">
        <v>306</v>
      </c>
      <c r="Z9" s="191">
        <v>46093</v>
      </c>
      <c r="AA9" s="86"/>
      <c r="AB9" s="86"/>
      <c r="AC9" s="86"/>
      <c r="AD9" s="86"/>
      <c r="AE9" s="139" t="s">
        <v>495</v>
      </c>
    </row>
    <row r="10" spans="1:31" ht="35.25" customHeight="1">
      <c r="A10" s="86">
        <v>9</v>
      </c>
      <c r="B10" s="239" t="s">
        <v>5</v>
      </c>
      <c r="C10" s="236">
        <v>46086</v>
      </c>
      <c r="D10" s="236">
        <v>46100</v>
      </c>
      <c r="E10" s="401" t="s">
        <v>200</v>
      </c>
      <c r="F10" s="102" t="s">
        <v>281</v>
      </c>
      <c r="G10" s="229" t="s">
        <v>496</v>
      </c>
      <c r="H10" s="102" t="s">
        <v>497</v>
      </c>
      <c r="I10" s="89" t="s">
        <v>13</v>
      </c>
      <c r="J10" s="102">
        <v>3</v>
      </c>
      <c r="K10" s="102">
        <v>3</v>
      </c>
      <c r="L10" s="120">
        <v>16.5</v>
      </c>
      <c r="M10" s="408">
        <v>46091</v>
      </c>
      <c r="N10" s="408">
        <v>46097</v>
      </c>
      <c r="O10" s="102" t="s">
        <v>303</v>
      </c>
      <c r="P10" s="102" t="s">
        <v>304</v>
      </c>
      <c r="Q10" s="102"/>
      <c r="R10" s="102" t="s">
        <v>481</v>
      </c>
      <c r="S10" s="102"/>
      <c r="T10" s="225" t="s">
        <v>482</v>
      </c>
      <c r="U10" s="405">
        <v>46097</v>
      </c>
      <c r="V10" s="405">
        <v>46098</v>
      </c>
      <c r="W10" s="102" t="s">
        <v>231</v>
      </c>
      <c r="X10" s="102"/>
      <c r="Y10" s="102" t="s">
        <v>306</v>
      </c>
      <c r="Z10" s="405">
        <v>46098</v>
      </c>
      <c r="AA10" s="450"/>
      <c r="AB10" s="102"/>
      <c r="AC10" s="111"/>
      <c r="AD10" s="120"/>
      <c r="AE10" s="262" t="s">
        <v>498</v>
      </c>
    </row>
    <row r="11" spans="1:31" ht="44.25" customHeight="1">
      <c r="A11" s="86">
        <v>10</v>
      </c>
      <c r="B11" s="239" t="s">
        <v>5</v>
      </c>
      <c r="C11" s="236">
        <v>46086</v>
      </c>
      <c r="D11" s="236">
        <v>46100</v>
      </c>
      <c r="E11" s="400" t="s">
        <v>499</v>
      </c>
      <c r="F11" s="86" t="s">
        <v>231</v>
      </c>
      <c r="G11" s="364" t="s">
        <v>500</v>
      </c>
      <c r="H11" s="115" t="s">
        <v>501</v>
      </c>
      <c r="I11" s="89" t="s">
        <v>13</v>
      </c>
      <c r="J11" s="138">
        <v>1</v>
      </c>
      <c r="K11" s="86">
        <v>1</v>
      </c>
      <c r="L11" s="115">
        <v>3</v>
      </c>
      <c r="M11" s="405">
        <v>46099</v>
      </c>
      <c r="N11" s="405">
        <v>46099</v>
      </c>
      <c r="O11" s="86" t="s">
        <v>303</v>
      </c>
      <c r="P11" s="86" t="s">
        <v>304</v>
      </c>
      <c r="Q11" s="86"/>
      <c r="R11" s="193" t="s">
        <v>281</v>
      </c>
      <c r="S11" s="86"/>
      <c r="T11" s="137" t="s">
        <v>502</v>
      </c>
      <c r="U11" s="191">
        <v>46099</v>
      </c>
      <c r="V11" s="115" t="s">
        <v>93</v>
      </c>
      <c r="W11" s="86" t="s">
        <v>93</v>
      </c>
      <c r="X11" s="86"/>
      <c r="Y11" s="102" t="s">
        <v>306</v>
      </c>
      <c r="Z11" s="191">
        <v>46099</v>
      </c>
      <c r="AA11" s="115"/>
      <c r="AB11" s="86"/>
      <c r="AC11" s="86"/>
      <c r="AD11" s="86"/>
      <c r="AE11" s="86" t="s">
        <v>503</v>
      </c>
    </row>
    <row r="12" spans="1:31" ht="82.5" customHeight="1">
      <c r="A12" s="86">
        <v>11</v>
      </c>
      <c r="B12" s="239" t="s">
        <v>5</v>
      </c>
      <c r="C12" s="236">
        <v>46086</v>
      </c>
      <c r="D12" s="236">
        <v>46100</v>
      </c>
      <c r="E12" s="400" t="s">
        <v>499</v>
      </c>
      <c r="F12" s="86" t="s">
        <v>504</v>
      </c>
      <c r="G12" s="364" t="s">
        <v>427</v>
      </c>
      <c r="H12" s="115" t="s">
        <v>428</v>
      </c>
      <c r="I12" s="89" t="s">
        <v>271</v>
      </c>
      <c r="J12" s="138">
        <v>3</v>
      </c>
      <c r="K12" s="86">
        <v>2</v>
      </c>
      <c r="L12" s="115">
        <v>47.5</v>
      </c>
      <c r="M12" s="405">
        <v>46097</v>
      </c>
      <c r="N12" s="405">
        <v>46100</v>
      </c>
      <c r="O12" s="86" t="s">
        <v>303</v>
      </c>
      <c r="P12" s="86"/>
      <c r="Q12" s="86"/>
      <c r="R12" s="193"/>
      <c r="S12" s="86"/>
      <c r="T12" s="86"/>
      <c r="U12" s="86"/>
      <c r="V12" s="115"/>
      <c r="W12" s="86"/>
      <c r="X12" s="86"/>
      <c r="Y12" s="86"/>
      <c r="Z12" s="86"/>
      <c r="AA12" s="115"/>
      <c r="AB12" s="86"/>
      <c r="AC12" s="86"/>
      <c r="AD12" s="86"/>
      <c r="AE12" s="86" t="s">
        <v>505</v>
      </c>
    </row>
  </sheetData>
  <hyperlinks>
    <hyperlink ref="T3" r:id="rId1" xr:uid="{F8EDFB0E-44D4-4051-A3AF-1B4CC43143B7}"/>
    <hyperlink ref="T5" r:id="rId2" xr:uid="{64B226CD-3B10-4517-BE98-891EA798B644}"/>
    <hyperlink ref="T4" r:id="rId3" xr:uid="{7AF02F2C-178E-494A-8672-A9F6336A6111}"/>
    <hyperlink ref="T8" r:id="rId4" xr:uid="{0349EE1C-2829-4ED5-883A-5AF101E2AEEB}"/>
    <hyperlink ref="T9" r:id="rId5" xr:uid="{9A91C45D-3C90-4E27-A2CE-EE62B6533BED}"/>
    <hyperlink ref="T2" r:id="rId6" xr:uid="{8AD906A4-C0A7-43A7-BC2F-4A9624F5C1C7}"/>
    <hyperlink ref="T7" r:id="rId7" xr:uid="{C74D39D9-AC2F-4577-9CD4-33B1B4D6619A}"/>
    <hyperlink ref="T11" r:id="rId8" xr:uid="{8C480EBD-9EF6-455B-A885-8DF338321B83}"/>
    <hyperlink ref="T6" r:id="rId9" xr:uid="{6C6C7A19-F732-4FC7-83A3-3BFC87A127E5}"/>
    <hyperlink ref="T10" r:id="rId10" xr:uid="{527F3289-74AA-4915-BFA2-37FAD357DDEA}"/>
  </hyperlinks>
  <pageMargins left="0" right="0" top="0" bottom="0" header="0" footer="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04C7-F6DE-446C-9B63-243DFACD6B26}">
  <sheetPr>
    <outlinePr summaryBelow="0" summaryRight="0"/>
  </sheetPr>
  <dimension ref="A1:O3"/>
  <sheetViews>
    <sheetView topLeftCell="B1" workbookViewId="0">
      <selection activeCell="A2" sqref="A2"/>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21.28515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15" customHeight="1">
      <c r="B2" s="401"/>
      <c r="C2" s="192"/>
      <c r="D2" s="224"/>
      <c r="E2" s="115"/>
      <c r="F2" s="353"/>
      <c r="G2" s="441" t="s">
        <v>300</v>
      </c>
      <c r="I2" s="353"/>
      <c r="K2" s="353"/>
      <c r="L2" s="108"/>
      <c r="M2" s="108"/>
      <c r="O2" s="86"/>
    </row>
    <row r="3" spans="1:15" ht="15" customHeight="1">
      <c r="B3" s="412"/>
      <c r="C3" s="439"/>
      <c r="D3" s="439"/>
      <c r="F3" s="440"/>
      <c r="I3" s="440"/>
      <c r="K3" s="440"/>
    </row>
  </sheetData>
  <autoFilter ref="A1:M1" xr:uid="{3A2BB050-11AC-4ED7-A296-96B42C7FCFBA}"/>
  <dataValidations count="5">
    <dataValidation type="list" allowBlank="1" showErrorMessage="1" sqref="K1:K1048576" xr:uid="{EE70BEAF-0BC3-4B2B-A94C-7AA74D8C11F2}">
      <formula1>"Open,Inprogress,Closed, Rejected"</formula1>
    </dataValidation>
    <dataValidation type="list" allowBlank="1" showErrorMessage="1" sqref="F2:F3" xr:uid="{6EF6E5C4-F134-4CA1-BDAB-2CAF923CF348}">
      <formula1>"Bounceback/Sub-Defect,Defect,None"</formula1>
    </dataValidation>
    <dataValidation type="list" allowBlank="1" showErrorMessage="1" sqref="J2:J3" xr:uid="{57503AC7-6DAB-4660-9545-229C36AC5C39}">
      <formula1>"Internal,External"</formula1>
    </dataValidation>
    <dataValidation type="list" allowBlank="1" showErrorMessage="1" sqref="H2:H3" xr:uid="{00D94CDC-1E3A-42DF-8163-E2A33E9E2396}">
      <formula1>"Minor,Significant,Major"</formula1>
    </dataValidation>
    <dataValidation type="list" allowBlank="1" showErrorMessage="1" sqref="I2:I3" xr:uid="{ECF85819-8432-42E0-94E6-C637791E58C4}">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8BDB4008-B6B3-43A5-87D3-081D245BADA5}">
          <x14:formula1>
            <xm:f>Details!$A$2:$A$10</xm:f>
          </x14:formula1>
          <xm:sqref>L2:L3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D9FA3-8BA9-4263-8E9E-42EA58978DC2}">
  <sheetPr>
    <outlinePr summaryBelow="0" summaryRight="0"/>
  </sheetPr>
  <dimension ref="A1:AE11"/>
  <sheetViews>
    <sheetView showGridLines="0" workbookViewId="0">
      <pane ySplit="1" topLeftCell="C7" activePane="bottomLeft" state="frozen"/>
      <selection pane="bottomLeft" activeCell="E10" sqref="E10"/>
      <selection activeCell="A3" sqref="A3"/>
    </sheetView>
  </sheetViews>
  <sheetFormatPr defaultColWidth="12.5703125" defaultRowHeight="35.25" customHeight="1"/>
  <cols>
    <col min="1" max="1" width="5.140625" style="43" customWidth="1"/>
    <col min="2" max="2" width="12.28515625" style="43" customWidth="1"/>
    <col min="3" max="3" width="11.28515625" style="43" customWidth="1"/>
    <col min="4" max="4" width="11.42578125" style="43" customWidth="1"/>
    <col min="5" max="5" width="28.7109375" style="43" customWidth="1"/>
    <col min="6" max="6" width="18.140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2" width="10.42578125" style="43" customWidth="1"/>
    <col min="13" max="14" width="14.42578125" style="43" customWidth="1"/>
    <col min="15" max="15" width="15.28515625" style="43" customWidth="1"/>
    <col min="16" max="16" width="17" style="43" customWidth="1"/>
    <col min="17" max="17" width="26.28515625" style="43" customWidth="1"/>
    <col min="18" max="18" width="17.855468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31" width="65.5703125" style="43" customWidth="1"/>
    <col min="32" max="16384" width="12.5703125" style="43"/>
  </cols>
  <sheetData>
    <row r="1" spans="1:31" ht="36.75" customHeight="1">
      <c r="A1" s="421" t="s">
        <v>241</v>
      </c>
      <c r="B1" s="403" t="s">
        <v>4</v>
      </c>
      <c r="C1" s="403" t="s">
        <v>2</v>
      </c>
      <c r="D1" s="403" t="s">
        <v>3</v>
      </c>
      <c r="E1" s="421" t="s">
        <v>242</v>
      </c>
      <c r="F1" s="421" t="s">
        <v>243</v>
      </c>
      <c r="G1" s="421" t="s">
        <v>244</v>
      </c>
      <c r="H1" s="427" t="s">
        <v>245</v>
      </c>
      <c r="I1" s="421" t="s">
        <v>246</v>
      </c>
      <c r="J1" s="403" t="s">
        <v>247</v>
      </c>
      <c r="K1" s="403" t="s">
        <v>248</v>
      </c>
      <c r="L1" s="403" t="s">
        <v>249</v>
      </c>
      <c r="M1" s="403" t="s">
        <v>250</v>
      </c>
      <c r="N1" s="403" t="s">
        <v>251</v>
      </c>
      <c r="O1" s="421" t="s">
        <v>252</v>
      </c>
      <c r="P1" s="421" t="s">
        <v>253</v>
      </c>
      <c r="Q1" s="427" t="s">
        <v>254</v>
      </c>
      <c r="R1" s="422" t="s">
        <v>255</v>
      </c>
      <c r="S1" s="421" t="s">
        <v>256</v>
      </c>
      <c r="T1" s="421" t="s">
        <v>257</v>
      </c>
      <c r="U1" s="421" t="s">
        <v>258</v>
      </c>
      <c r="V1" s="421" t="s">
        <v>259</v>
      </c>
      <c r="W1" s="421" t="s">
        <v>260</v>
      </c>
      <c r="X1" s="421" t="s">
        <v>261</v>
      </c>
      <c r="Y1" s="421" t="s">
        <v>262</v>
      </c>
      <c r="Z1" s="421" t="s">
        <v>263</v>
      </c>
      <c r="AA1" s="427" t="s">
        <v>264</v>
      </c>
      <c r="AB1" s="421" t="s">
        <v>265</v>
      </c>
      <c r="AC1" s="421" t="s">
        <v>266</v>
      </c>
      <c r="AD1" s="423" t="s">
        <v>425</v>
      </c>
      <c r="AE1" s="423" t="s">
        <v>426</v>
      </c>
    </row>
    <row r="2" spans="1:31" ht="90.75" customHeight="1">
      <c r="A2" s="139">
        <v>1</v>
      </c>
      <c r="B2" s="413" t="s">
        <v>5</v>
      </c>
      <c r="C2" s="414">
        <v>46072</v>
      </c>
      <c r="D2" s="414">
        <v>46086</v>
      </c>
      <c r="E2" s="429" t="s">
        <v>197</v>
      </c>
      <c r="F2" s="430" t="s">
        <v>506</v>
      </c>
      <c r="G2" s="434" t="s">
        <v>507</v>
      </c>
      <c r="H2" s="102" t="s">
        <v>508</v>
      </c>
      <c r="I2" s="73" t="s">
        <v>13</v>
      </c>
      <c r="J2" s="190">
        <v>2</v>
      </c>
      <c r="K2" s="190">
        <v>2</v>
      </c>
      <c r="L2" s="190">
        <v>41</v>
      </c>
      <c r="M2" s="431">
        <v>46059</v>
      </c>
      <c r="N2" s="431">
        <v>46071</v>
      </c>
      <c r="O2" s="190" t="s">
        <v>303</v>
      </c>
      <c r="P2" s="430" t="s">
        <v>304</v>
      </c>
      <c r="Q2" s="102" t="s">
        <v>509</v>
      </c>
      <c r="R2" s="152" t="s">
        <v>231</v>
      </c>
      <c r="S2" s="190" t="s">
        <v>93</v>
      </c>
      <c r="T2" s="432" t="s">
        <v>510</v>
      </c>
      <c r="U2" s="431">
        <v>46072</v>
      </c>
      <c r="V2" s="431">
        <v>46073</v>
      </c>
      <c r="W2" s="190" t="s">
        <v>231</v>
      </c>
      <c r="X2" s="430"/>
      <c r="Y2" s="86" t="s">
        <v>306</v>
      </c>
      <c r="Z2" s="449">
        <v>46073</v>
      </c>
      <c r="AA2" s="450" t="s">
        <v>511</v>
      </c>
      <c r="AB2" s="111" t="s">
        <v>93</v>
      </c>
      <c r="AC2" s="102" t="s">
        <v>93</v>
      </c>
      <c r="AD2" s="86" t="s">
        <v>329</v>
      </c>
      <c r="AE2" s="433" t="s">
        <v>512</v>
      </c>
    </row>
    <row r="3" spans="1:31" ht="85.5" customHeight="1">
      <c r="A3" s="139">
        <v>2</v>
      </c>
      <c r="B3" s="413" t="s">
        <v>5</v>
      </c>
      <c r="C3" s="414">
        <v>46072</v>
      </c>
      <c r="D3" s="428">
        <v>46086</v>
      </c>
      <c r="E3" s="401" t="s">
        <v>197</v>
      </c>
      <c r="F3" s="115" t="s">
        <v>513</v>
      </c>
      <c r="G3" s="375" t="s">
        <v>514</v>
      </c>
      <c r="H3" s="86" t="s">
        <v>515</v>
      </c>
      <c r="I3" s="138" t="s">
        <v>13</v>
      </c>
      <c r="J3" s="86">
        <v>3</v>
      </c>
      <c r="K3" s="86">
        <v>3</v>
      </c>
      <c r="L3" s="115">
        <v>31.5</v>
      </c>
      <c r="M3" s="191">
        <v>46073</v>
      </c>
      <c r="N3" s="191">
        <v>46076</v>
      </c>
      <c r="O3" s="86" t="s">
        <v>303</v>
      </c>
      <c r="P3" s="86" t="s">
        <v>304</v>
      </c>
      <c r="Q3" s="86" t="s">
        <v>516</v>
      </c>
      <c r="R3" s="193" t="s">
        <v>231</v>
      </c>
      <c r="S3" s="86" t="s">
        <v>93</v>
      </c>
      <c r="T3" s="137" t="s">
        <v>517</v>
      </c>
      <c r="U3" s="191">
        <v>46076</v>
      </c>
      <c r="V3" s="410">
        <v>46077</v>
      </c>
      <c r="W3" s="86" t="s">
        <v>231</v>
      </c>
      <c r="X3" s="86"/>
      <c r="Y3" s="86" t="s">
        <v>306</v>
      </c>
      <c r="Z3" s="438">
        <v>46078</v>
      </c>
      <c r="AA3" s="102"/>
      <c r="AB3" s="138" t="s">
        <v>93</v>
      </c>
      <c r="AC3" s="115" t="s">
        <v>93</v>
      </c>
      <c r="AD3" s="86" t="s">
        <v>329</v>
      </c>
      <c r="AE3" s="86" t="s">
        <v>518</v>
      </c>
    </row>
    <row r="4" spans="1:31" ht="71.25" customHeight="1">
      <c r="A4" s="139">
        <v>3</v>
      </c>
      <c r="B4" s="413" t="s">
        <v>5</v>
      </c>
      <c r="C4" s="414">
        <v>46072</v>
      </c>
      <c r="D4" s="428">
        <v>46086</v>
      </c>
      <c r="E4" s="401" t="s">
        <v>197</v>
      </c>
      <c r="F4" s="86" t="s">
        <v>268</v>
      </c>
      <c r="G4" s="364" t="s">
        <v>519</v>
      </c>
      <c r="H4" s="152" t="s">
        <v>520</v>
      </c>
      <c r="I4" s="86" t="s">
        <v>13</v>
      </c>
      <c r="J4" s="86">
        <v>5</v>
      </c>
      <c r="K4" s="86">
        <v>5</v>
      </c>
      <c r="L4" s="115">
        <v>38</v>
      </c>
      <c r="M4" s="191">
        <v>46073</v>
      </c>
      <c r="N4" s="191">
        <v>46079</v>
      </c>
      <c r="O4" s="86" t="s">
        <v>303</v>
      </c>
      <c r="P4" s="86" t="s">
        <v>304</v>
      </c>
      <c r="Q4" s="86"/>
      <c r="R4" s="193" t="s">
        <v>231</v>
      </c>
      <c r="S4" s="86" t="s">
        <v>93</v>
      </c>
      <c r="T4" s="137" t="s">
        <v>521</v>
      </c>
      <c r="U4" s="438">
        <v>46081</v>
      </c>
      <c r="V4" s="438">
        <v>46081</v>
      </c>
      <c r="W4" s="86" t="s">
        <v>231</v>
      </c>
      <c r="X4" s="86"/>
      <c r="Y4" s="86" t="s">
        <v>306</v>
      </c>
      <c r="Z4" s="438">
        <v>46081</v>
      </c>
      <c r="AA4" s="86"/>
      <c r="AB4" s="138" t="s">
        <v>93</v>
      </c>
      <c r="AC4" s="115" t="s">
        <v>93</v>
      </c>
      <c r="AD4" s="86" t="s">
        <v>522</v>
      </c>
      <c r="AE4" s="86" t="s">
        <v>523</v>
      </c>
    </row>
    <row r="5" spans="1:31" ht="35.25" customHeight="1">
      <c r="A5" s="139">
        <v>4</v>
      </c>
      <c r="B5" s="413" t="s">
        <v>5</v>
      </c>
      <c r="C5" s="414">
        <v>46072</v>
      </c>
      <c r="D5" s="428">
        <v>46086</v>
      </c>
      <c r="E5" s="401" t="s">
        <v>197</v>
      </c>
      <c r="F5" s="86" t="s">
        <v>231</v>
      </c>
      <c r="G5" s="364" t="s">
        <v>524</v>
      </c>
      <c r="H5" s="86" t="s">
        <v>525</v>
      </c>
      <c r="I5" s="86" t="s">
        <v>13</v>
      </c>
      <c r="J5" s="86">
        <v>5</v>
      </c>
      <c r="K5" s="86">
        <v>5</v>
      </c>
      <c r="L5" s="115">
        <v>19</v>
      </c>
      <c r="M5" s="86"/>
      <c r="N5" s="86"/>
      <c r="O5" s="86"/>
      <c r="P5" s="86"/>
      <c r="Q5" s="86"/>
      <c r="R5" s="193"/>
      <c r="S5" s="86"/>
      <c r="T5" s="137" t="s">
        <v>526</v>
      </c>
      <c r="U5" s="438">
        <v>46080</v>
      </c>
      <c r="V5" s="438">
        <v>46080</v>
      </c>
      <c r="W5" s="86" t="s">
        <v>231</v>
      </c>
      <c r="X5" s="86"/>
      <c r="Y5" s="86" t="s">
        <v>306</v>
      </c>
      <c r="Z5" s="438">
        <v>46081</v>
      </c>
      <c r="AA5" s="139"/>
      <c r="AB5" s="86"/>
      <c r="AC5" s="115"/>
      <c r="AD5" s="86" t="s">
        <v>329</v>
      </c>
      <c r="AE5" s="86"/>
    </row>
    <row r="6" spans="1:31" ht="35.25" customHeight="1">
      <c r="A6" s="139">
        <v>5</v>
      </c>
      <c r="B6" s="413" t="s">
        <v>5</v>
      </c>
      <c r="C6" s="414">
        <v>46072</v>
      </c>
      <c r="D6" s="428">
        <v>46086</v>
      </c>
      <c r="E6" s="401" t="s">
        <v>197</v>
      </c>
      <c r="F6" s="86" t="s">
        <v>268</v>
      </c>
      <c r="G6" s="364" t="s">
        <v>527</v>
      </c>
      <c r="H6" s="86" t="s">
        <v>528</v>
      </c>
      <c r="I6" s="86" t="s">
        <v>13</v>
      </c>
      <c r="J6" s="86">
        <v>2</v>
      </c>
      <c r="K6" s="86">
        <v>2</v>
      </c>
      <c r="L6" s="115">
        <v>22</v>
      </c>
      <c r="M6" s="121">
        <v>46079</v>
      </c>
      <c r="N6" s="86"/>
      <c r="O6" s="86" t="s">
        <v>93</v>
      </c>
      <c r="P6" s="86" t="s">
        <v>93</v>
      </c>
      <c r="Q6" s="86" t="s">
        <v>93</v>
      </c>
      <c r="R6" s="86" t="s">
        <v>93</v>
      </c>
      <c r="S6" s="86" t="s">
        <v>93</v>
      </c>
      <c r="T6" s="86" t="s">
        <v>93</v>
      </c>
      <c r="U6" s="86" t="s">
        <v>93</v>
      </c>
      <c r="V6" s="86" t="s">
        <v>93</v>
      </c>
      <c r="W6" s="86" t="s">
        <v>93</v>
      </c>
      <c r="X6" s="86" t="s">
        <v>93</v>
      </c>
      <c r="Y6" s="86" t="s">
        <v>93</v>
      </c>
      <c r="Z6" s="86" t="s">
        <v>93</v>
      </c>
      <c r="AA6" s="86" t="s">
        <v>93</v>
      </c>
      <c r="AB6" s="86" t="s">
        <v>93</v>
      </c>
      <c r="AC6" s="86" t="s">
        <v>93</v>
      </c>
      <c r="AD6" s="86" t="s">
        <v>93</v>
      </c>
      <c r="AE6" s="86" t="s">
        <v>529</v>
      </c>
    </row>
    <row r="7" spans="1:31" ht="35.25" customHeight="1">
      <c r="A7" s="190">
        <v>6</v>
      </c>
      <c r="B7" s="435" t="s">
        <v>5</v>
      </c>
      <c r="C7" s="436">
        <v>46072</v>
      </c>
      <c r="D7" s="437">
        <v>46086</v>
      </c>
      <c r="E7" s="404" t="s">
        <v>197</v>
      </c>
      <c r="F7" s="102" t="s">
        <v>281</v>
      </c>
      <c r="G7" s="364" t="s">
        <v>530</v>
      </c>
      <c r="H7" s="102" t="s">
        <v>531</v>
      </c>
      <c r="I7" s="102" t="s">
        <v>13</v>
      </c>
      <c r="J7" s="102">
        <v>3</v>
      </c>
      <c r="K7" s="102">
        <v>3</v>
      </c>
      <c r="L7" s="120">
        <v>14.5</v>
      </c>
      <c r="M7" s="121">
        <v>46078</v>
      </c>
      <c r="N7" s="121">
        <v>46078</v>
      </c>
      <c r="O7" s="102" t="s">
        <v>303</v>
      </c>
      <c r="P7" s="102" t="s">
        <v>304</v>
      </c>
      <c r="Q7" s="102"/>
      <c r="R7" s="219"/>
      <c r="S7" s="102"/>
      <c r="T7" s="225" t="s">
        <v>532</v>
      </c>
      <c r="U7" s="121">
        <v>46078</v>
      </c>
      <c r="V7" s="438">
        <v>46079</v>
      </c>
      <c r="W7" s="102" t="s">
        <v>231</v>
      </c>
      <c r="X7" s="102"/>
      <c r="Y7" s="86" t="s">
        <v>306</v>
      </c>
      <c r="Z7" s="438">
        <v>46079</v>
      </c>
      <c r="AA7" s="102"/>
      <c r="AB7" s="102" t="s">
        <v>93</v>
      </c>
      <c r="AC7" s="120" t="s">
        <v>93</v>
      </c>
      <c r="AD7" s="86" t="s">
        <v>329</v>
      </c>
      <c r="AE7" s="102" t="s">
        <v>533</v>
      </c>
    </row>
    <row r="8" spans="1:31" ht="35.25" customHeight="1">
      <c r="A8" s="86">
        <v>7</v>
      </c>
      <c r="B8" s="239" t="s">
        <v>5</v>
      </c>
      <c r="C8" s="236">
        <v>46072</v>
      </c>
      <c r="D8" s="236">
        <v>46086</v>
      </c>
      <c r="E8" s="401" t="s">
        <v>197</v>
      </c>
      <c r="F8" s="86" t="s">
        <v>534</v>
      </c>
      <c r="G8" s="364" t="s">
        <v>535</v>
      </c>
      <c r="H8" s="86" t="s">
        <v>536</v>
      </c>
      <c r="I8" s="86" t="s">
        <v>13</v>
      </c>
      <c r="J8" s="86">
        <v>1</v>
      </c>
      <c r="K8" s="86">
        <v>1</v>
      </c>
      <c r="L8" s="86">
        <v>6.5</v>
      </c>
      <c r="M8" s="191">
        <v>46079</v>
      </c>
      <c r="N8" s="191">
        <v>46079</v>
      </c>
      <c r="O8" s="86" t="s">
        <v>303</v>
      </c>
      <c r="P8" s="86"/>
      <c r="Q8" s="86"/>
      <c r="R8" s="193"/>
      <c r="S8" s="86"/>
      <c r="T8" s="137" t="s">
        <v>537</v>
      </c>
      <c r="U8" s="438">
        <v>46080</v>
      </c>
      <c r="V8" s="438">
        <v>46080</v>
      </c>
      <c r="W8" s="86" t="s">
        <v>231</v>
      </c>
      <c r="X8" s="86"/>
      <c r="Y8" s="86" t="s">
        <v>306</v>
      </c>
      <c r="Z8" s="438">
        <v>46080</v>
      </c>
      <c r="AA8" s="86"/>
      <c r="AB8" s="86" t="s">
        <v>93</v>
      </c>
      <c r="AC8" s="86" t="s">
        <v>93</v>
      </c>
      <c r="AD8" s="86" t="s">
        <v>329</v>
      </c>
      <c r="AE8" s="86" t="s">
        <v>538</v>
      </c>
    </row>
    <row r="9" spans="1:31" ht="35.25" customHeight="1">
      <c r="A9" s="86">
        <v>8</v>
      </c>
      <c r="B9" s="239" t="s">
        <v>5</v>
      </c>
      <c r="C9" s="236">
        <v>46072</v>
      </c>
      <c r="D9" s="236">
        <v>46086</v>
      </c>
      <c r="E9" s="401" t="s">
        <v>197</v>
      </c>
      <c r="F9" s="86" t="s">
        <v>231</v>
      </c>
      <c r="G9" s="364" t="s">
        <v>539</v>
      </c>
      <c r="H9" s="86" t="s">
        <v>540</v>
      </c>
      <c r="I9" s="86" t="s">
        <v>13</v>
      </c>
      <c r="J9" s="86">
        <v>1</v>
      </c>
      <c r="K9" s="86">
        <v>1</v>
      </c>
      <c r="L9" s="86"/>
      <c r="M9" s="86"/>
      <c r="N9" s="86"/>
      <c r="O9" s="86" t="s">
        <v>303</v>
      </c>
      <c r="P9" s="86"/>
      <c r="Q9" s="86"/>
      <c r="R9" s="193"/>
      <c r="S9" s="86"/>
      <c r="T9" s="137" t="s">
        <v>541</v>
      </c>
      <c r="U9" s="121">
        <v>46076</v>
      </c>
      <c r="V9" s="438">
        <v>46080</v>
      </c>
      <c r="W9" s="86" t="s">
        <v>231</v>
      </c>
      <c r="X9" s="86"/>
      <c r="Y9" s="86" t="s">
        <v>306</v>
      </c>
      <c r="Z9" s="438">
        <v>46080</v>
      </c>
      <c r="AA9" s="86"/>
      <c r="AB9" s="86" t="s">
        <v>93</v>
      </c>
      <c r="AC9" s="86" t="s">
        <v>93</v>
      </c>
      <c r="AD9" s="86" t="s">
        <v>329</v>
      </c>
      <c r="AE9" s="86"/>
    </row>
    <row r="10" spans="1:31" ht="35.25" customHeight="1">
      <c r="A10" s="86">
        <v>9</v>
      </c>
      <c r="B10" s="239" t="s">
        <v>5</v>
      </c>
      <c r="C10" s="236">
        <v>46072</v>
      </c>
      <c r="D10" s="236">
        <v>46086</v>
      </c>
      <c r="E10" s="401" t="s">
        <v>542</v>
      </c>
      <c r="F10" s="86" t="s">
        <v>281</v>
      </c>
      <c r="G10" s="364" t="s">
        <v>543</v>
      </c>
      <c r="H10" s="86" t="s">
        <v>544</v>
      </c>
      <c r="I10" s="86" t="s">
        <v>13</v>
      </c>
      <c r="J10" s="86">
        <v>5</v>
      </c>
      <c r="K10" s="86">
        <v>5</v>
      </c>
      <c r="L10" s="86">
        <v>55</v>
      </c>
      <c r="M10" s="191">
        <v>46080</v>
      </c>
      <c r="N10" s="191">
        <v>46086</v>
      </c>
      <c r="O10" s="86" t="s">
        <v>303</v>
      </c>
      <c r="P10" s="86" t="s">
        <v>93</v>
      </c>
      <c r="Q10" s="86" t="s">
        <v>93</v>
      </c>
      <c r="R10" s="193" t="s">
        <v>93</v>
      </c>
      <c r="S10" s="86"/>
      <c r="T10" s="137" t="s">
        <v>545</v>
      </c>
      <c r="U10" s="191">
        <v>46084</v>
      </c>
      <c r="V10" s="191">
        <v>46085</v>
      </c>
      <c r="W10" s="86" t="s">
        <v>231</v>
      </c>
      <c r="X10" s="86"/>
      <c r="Y10" s="86" t="s">
        <v>306</v>
      </c>
      <c r="Z10" s="191">
        <v>46085</v>
      </c>
      <c r="AA10" s="86"/>
      <c r="AB10" s="86" t="s">
        <v>93</v>
      </c>
      <c r="AC10" s="86" t="s">
        <v>93</v>
      </c>
      <c r="AD10" s="86" t="s">
        <v>546</v>
      </c>
      <c r="AE10" s="86" t="s">
        <v>547</v>
      </c>
    </row>
    <row r="11" spans="1:31" ht="35.25" customHeight="1">
      <c r="A11" s="86">
        <v>10</v>
      </c>
      <c r="B11" s="239" t="s">
        <v>5</v>
      </c>
      <c r="C11" s="236">
        <v>46072</v>
      </c>
      <c r="D11" s="236">
        <v>46086</v>
      </c>
      <c r="E11" s="401" t="s">
        <v>542</v>
      </c>
      <c r="F11" s="86" t="s">
        <v>268</v>
      </c>
      <c r="G11" s="364" t="s">
        <v>548</v>
      </c>
      <c r="H11" s="86" t="s">
        <v>549</v>
      </c>
      <c r="I11" s="86" t="s">
        <v>13</v>
      </c>
      <c r="J11" s="86">
        <v>2</v>
      </c>
      <c r="K11" s="86">
        <v>2</v>
      </c>
      <c r="L11" s="86">
        <v>8</v>
      </c>
      <c r="M11" s="191">
        <v>46084</v>
      </c>
      <c r="N11" s="191">
        <v>46085</v>
      </c>
      <c r="O11" s="86" t="s">
        <v>303</v>
      </c>
      <c r="P11" s="86" t="s">
        <v>304</v>
      </c>
      <c r="Q11" s="86"/>
      <c r="R11" s="193" t="s">
        <v>231</v>
      </c>
      <c r="S11" s="86"/>
      <c r="T11" s="137" t="s">
        <v>550</v>
      </c>
      <c r="U11" s="191">
        <v>46085</v>
      </c>
      <c r="V11" s="191">
        <v>46085</v>
      </c>
      <c r="W11" s="86" t="s">
        <v>231</v>
      </c>
      <c r="X11" s="86"/>
      <c r="Y11" s="86" t="s">
        <v>306</v>
      </c>
      <c r="Z11" s="191">
        <v>46085</v>
      </c>
      <c r="AA11" s="86"/>
      <c r="AB11" s="86" t="s">
        <v>93</v>
      </c>
      <c r="AC11" s="86" t="s">
        <v>93</v>
      </c>
      <c r="AD11" s="86" t="s">
        <v>329</v>
      </c>
      <c r="AE11" s="86" t="s">
        <v>551</v>
      </c>
    </row>
  </sheetData>
  <hyperlinks>
    <hyperlink ref="T2" r:id="rId1" xr:uid="{BCEDD8D7-7DFD-4623-8487-E9B26570A8F8}"/>
    <hyperlink ref="T3" r:id="rId2" xr:uid="{2C9DE07C-44EE-4226-9AE0-189B7D95608D}"/>
    <hyperlink ref="T7" r:id="rId3" xr:uid="{D486FF20-81D8-4164-AE54-B53E622E7009}"/>
    <hyperlink ref="T11" r:id="rId4" xr:uid="{7964EFF2-C7EA-4523-BFB3-5D95208D8432}"/>
    <hyperlink ref="T9" r:id="rId5" xr:uid="{E461D292-8F6B-42CC-B328-7EA77F519345}"/>
    <hyperlink ref="T10" r:id="rId6" xr:uid="{82B4CBFC-0BEC-4E09-98BB-A771078DDF83}"/>
    <hyperlink ref="T8" r:id="rId7" xr:uid="{A35D31A8-BF37-4321-ABD5-7C8C63F49B89}"/>
    <hyperlink ref="T5" r:id="rId8" xr:uid="{797FA7DF-6394-41ED-ABBD-57E97344D74D}"/>
    <hyperlink ref="T4" r:id="rId9" xr:uid="{3B78857A-393D-46A0-8F9D-986F02C32C1D}"/>
  </hyperlinks>
  <pageMargins left="0" right="0" top="0" bottom="0" header="0" footer="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8D0D3-7C17-4741-A89A-A4F8623CC7A3}">
  <sheetPr>
    <outlinePr summaryBelow="0" summaryRight="0"/>
  </sheetPr>
  <dimension ref="A1:O3"/>
  <sheetViews>
    <sheetView topLeftCell="B1" workbookViewId="0">
      <selection activeCell="A2" sqref="A2:XFD2"/>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21.28515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15" customHeight="1">
      <c r="B2" s="401" t="s">
        <v>197</v>
      </c>
      <c r="C2" s="192" t="s">
        <v>516</v>
      </c>
      <c r="D2" s="224" t="s">
        <v>514</v>
      </c>
      <c r="E2" s="86" t="s">
        <v>281</v>
      </c>
      <c r="F2" s="353" t="s">
        <v>552</v>
      </c>
      <c r="G2" s="137" t="s">
        <v>553</v>
      </c>
      <c r="H2" s="98" t="s">
        <v>554</v>
      </c>
      <c r="I2" s="353" t="s">
        <v>555</v>
      </c>
      <c r="J2" s="98" t="s">
        <v>556</v>
      </c>
      <c r="K2" s="353" t="s">
        <v>557</v>
      </c>
      <c r="L2" s="108" t="s">
        <v>558</v>
      </c>
      <c r="M2" s="108" t="s">
        <v>304</v>
      </c>
      <c r="N2" s="98" t="s">
        <v>559</v>
      </c>
      <c r="O2" s="86"/>
    </row>
    <row r="3" spans="1:15" s="352" customFormat="1" ht="15" customHeight="1">
      <c r="B3" s="442" t="s">
        <v>197</v>
      </c>
      <c r="C3" s="443" t="s">
        <v>560</v>
      </c>
      <c r="D3" s="443" t="s">
        <v>519</v>
      </c>
      <c r="E3" s="352" t="s">
        <v>268</v>
      </c>
      <c r="F3" s="444" t="s">
        <v>552</v>
      </c>
      <c r="G3" s="352" t="s">
        <v>561</v>
      </c>
      <c r="H3" s="352" t="s">
        <v>562</v>
      </c>
      <c r="I3" s="444" t="s">
        <v>555</v>
      </c>
      <c r="J3" s="352" t="s">
        <v>556</v>
      </c>
      <c r="K3" s="444" t="s">
        <v>557</v>
      </c>
      <c r="L3" s="445" t="s">
        <v>558</v>
      </c>
      <c r="M3" s="445" t="s">
        <v>304</v>
      </c>
      <c r="N3" s="352" t="s">
        <v>563</v>
      </c>
    </row>
  </sheetData>
  <autoFilter ref="A1:M1" xr:uid="{3A2BB050-11AC-4ED7-A296-96B42C7FCFBA}"/>
  <dataValidations count="5">
    <dataValidation type="list" allowBlank="1" showErrorMessage="1" sqref="I2:I3" xr:uid="{EA502084-C114-428B-BEF4-D5BDB16D7A18}">
      <formula1>"Manual, Automation"</formula1>
    </dataValidation>
    <dataValidation type="list" allowBlank="1" showErrorMessage="1" sqref="H2:H3" xr:uid="{E4BFBBED-3957-4730-B3B6-D08091EA0437}">
      <formula1>"Minor,Significant,Major"</formula1>
    </dataValidation>
    <dataValidation type="list" allowBlank="1" showErrorMessage="1" sqref="J2:J3" xr:uid="{258D279C-71F2-40F7-81DA-D290A0DC6A5D}">
      <formula1>"Internal,External"</formula1>
    </dataValidation>
    <dataValidation type="list" allowBlank="1" showErrorMessage="1" sqref="F2:F3" xr:uid="{35F494CA-4E75-4967-AB80-98527CBE9BC8}">
      <formula1>"Bounceback/Sub-Defect,Defect,None"</formula1>
    </dataValidation>
    <dataValidation type="list" allowBlank="1" showErrorMessage="1" sqref="K1:K1048576" xr:uid="{757E23E9-8D20-491E-9E88-31D5AB9CCB71}">
      <formula1>"Open,Inprogress,Closed, Rejected"</formula1>
    </dataValidation>
  </dataValidations>
  <hyperlinks>
    <hyperlink ref="C2" r:id="rId1" display="https://greatergiving.atlassian.net/browse/GGO-15163" xr:uid="{E6870254-59CC-415F-9A97-757C2E9BB3AE}"/>
    <hyperlink ref="D2" r:id="rId2" display="https://greatergiving.atlassian.net/browse/GGO-14874" xr:uid="{ADD358C9-CEA2-4783-8DF2-003293AED9FE}"/>
    <hyperlink ref="D3" r:id="rId3" display="https://greatergiving.atlassian.net/browse/GGO-15076" xr:uid="{342CB159-69EC-4FFE-8BFF-033663A58F1A}"/>
    <hyperlink ref="C3" r:id="rId4" display="https://greatergiving.atlassian.net/browse/GGO-15166" xr:uid="{CBA9D413-AA1C-4914-ACB7-E9A52D2D24BD}"/>
  </hyperlinks>
  <pageMargins left="0" right="0" top="0" bottom="0" header="0" footer="0"/>
  <legacyDrawing r:id="rId5"/>
  <extLst>
    <ext xmlns:x14="http://schemas.microsoft.com/office/spreadsheetml/2009/9/main" uri="{CCE6A557-97BC-4b89-ADB6-D9C93CAAB3DF}">
      <x14:dataValidations xmlns:xm="http://schemas.microsoft.com/office/excel/2006/main" count="1">
        <x14:dataValidation type="list" allowBlank="1" showErrorMessage="1" xr:uid="{14529E47-6126-482E-8D81-7484BC8E3A8E}">
          <x14:formula1>
            <xm:f>Details!$A$2:$A$10</xm:f>
          </x14:formula1>
          <xm:sqref>L2:L3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0AA4D-0917-4F54-83D9-8872AC28B853}">
  <sheetPr>
    <outlinePr summaryBelow="0" summaryRight="0"/>
  </sheetPr>
  <dimension ref="A1:AE11"/>
  <sheetViews>
    <sheetView showGridLines="0" workbookViewId="0">
      <pane ySplit="1" topLeftCell="A10" activePane="bottomLeft" state="frozen"/>
      <selection pane="bottomLeft" activeCell="E11" sqref="E11"/>
      <selection activeCell="A3" sqref="A3"/>
    </sheetView>
  </sheetViews>
  <sheetFormatPr defaultColWidth="12.5703125" defaultRowHeight="35.25" customHeight="1"/>
  <cols>
    <col min="1" max="1" width="5.140625" style="43" customWidth="1"/>
    <col min="2" max="2" width="12.28515625" style="43" customWidth="1"/>
    <col min="3" max="3" width="11.28515625" style="43" customWidth="1"/>
    <col min="4" max="4" width="11.42578125" style="43" customWidth="1"/>
    <col min="5" max="5" width="29.42578125" style="43" customWidth="1"/>
    <col min="6" max="6" width="18.140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2" width="10.42578125" style="43" customWidth="1"/>
    <col min="13" max="14" width="14.42578125" style="43" customWidth="1"/>
    <col min="15" max="15" width="15.28515625" style="43" customWidth="1"/>
    <col min="16" max="16" width="17" style="43" customWidth="1"/>
    <col min="17" max="17" width="26.28515625" style="43" customWidth="1"/>
    <col min="18" max="18" width="17.855468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31" width="65.5703125" style="43" customWidth="1"/>
    <col min="32" max="16384" width="12.5703125" style="43"/>
  </cols>
  <sheetData>
    <row r="1" spans="1:31" ht="36.75" customHeight="1">
      <c r="A1" s="421" t="s">
        <v>241</v>
      </c>
      <c r="B1" s="403" t="s">
        <v>4</v>
      </c>
      <c r="C1" s="403" t="s">
        <v>2</v>
      </c>
      <c r="D1" s="403" t="s">
        <v>3</v>
      </c>
      <c r="E1" s="421" t="s">
        <v>242</v>
      </c>
      <c r="F1" s="421" t="s">
        <v>243</v>
      </c>
      <c r="G1" s="421" t="s">
        <v>244</v>
      </c>
      <c r="H1" s="421" t="s">
        <v>245</v>
      </c>
      <c r="I1" s="421" t="s">
        <v>246</v>
      </c>
      <c r="J1" s="403" t="s">
        <v>247</v>
      </c>
      <c r="K1" s="403" t="s">
        <v>248</v>
      </c>
      <c r="L1" s="403" t="s">
        <v>249</v>
      </c>
      <c r="M1" s="403" t="s">
        <v>250</v>
      </c>
      <c r="N1" s="403" t="s">
        <v>251</v>
      </c>
      <c r="O1" s="421" t="s">
        <v>252</v>
      </c>
      <c r="P1" s="421" t="s">
        <v>253</v>
      </c>
      <c r="Q1" s="421" t="s">
        <v>254</v>
      </c>
      <c r="R1" s="422" t="s">
        <v>255</v>
      </c>
      <c r="S1" s="421" t="s">
        <v>256</v>
      </c>
      <c r="T1" s="421" t="s">
        <v>257</v>
      </c>
      <c r="U1" s="421" t="s">
        <v>258</v>
      </c>
      <c r="V1" s="421" t="s">
        <v>259</v>
      </c>
      <c r="W1" s="421" t="s">
        <v>260</v>
      </c>
      <c r="X1" s="421" t="s">
        <v>261</v>
      </c>
      <c r="Y1" s="421" t="s">
        <v>262</v>
      </c>
      <c r="Z1" s="421" t="s">
        <v>263</v>
      </c>
      <c r="AA1" s="421" t="s">
        <v>264</v>
      </c>
      <c r="AB1" s="421" t="s">
        <v>265</v>
      </c>
      <c r="AC1" s="421" t="s">
        <v>266</v>
      </c>
      <c r="AD1" s="423" t="s">
        <v>425</v>
      </c>
      <c r="AE1" s="423" t="s">
        <v>426</v>
      </c>
    </row>
    <row r="2" spans="1:31" ht="35.25" customHeight="1">
      <c r="A2" s="139">
        <v>1</v>
      </c>
      <c r="B2" s="413" t="s">
        <v>5</v>
      </c>
      <c r="C2" s="414">
        <v>46058</v>
      </c>
      <c r="D2" s="414">
        <v>46072</v>
      </c>
      <c r="E2" s="415" t="s">
        <v>192</v>
      </c>
      <c r="F2" s="416" t="s">
        <v>281</v>
      </c>
      <c r="G2" s="417" t="s">
        <v>564</v>
      </c>
      <c r="H2" s="142" t="s">
        <v>565</v>
      </c>
      <c r="I2" s="102" t="s">
        <v>13</v>
      </c>
      <c r="J2" s="139">
        <v>1</v>
      </c>
      <c r="K2" s="139">
        <v>1</v>
      </c>
      <c r="L2" s="139">
        <v>6.5</v>
      </c>
      <c r="M2" s="418">
        <v>46058</v>
      </c>
      <c r="N2" s="418">
        <v>46058</v>
      </c>
      <c r="O2" s="102" t="s">
        <v>303</v>
      </c>
      <c r="P2" s="102" t="s">
        <v>304</v>
      </c>
      <c r="Q2" s="102" t="s">
        <v>509</v>
      </c>
      <c r="R2" s="419"/>
      <c r="S2" s="139"/>
      <c r="T2" s="420" t="s">
        <v>566</v>
      </c>
      <c r="U2" s="418">
        <v>46058</v>
      </c>
      <c r="V2" s="416"/>
      <c r="W2" s="139"/>
      <c r="X2" s="416"/>
      <c r="Y2" s="139"/>
      <c r="Z2" s="142"/>
      <c r="AA2" s="139"/>
      <c r="AB2" s="416"/>
      <c r="AC2" s="416"/>
      <c r="AD2" s="86" t="s">
        <v>430</v>
      </c>
      <c r="AE2" s="425" t="s">
        <v>567</v>
      </c>
    </row>
    <row r="3" spans="1:31" ht="56.25" customHeight="1">
      <c r="A3" s="102">
        <v>2</v>
      </c>
      <c r="B3" s="262" t="s">
        <v>5</v>
      </c>
      <c r="C3" s="257">
        <v>46058</v>
      </c>
      <c r="D3" s="257">
        <v>46072</v>
      </c>
      <c r="E3" s="407" t="s">
        <v>192</v>
      </c>
      <c r="F3" s="120" t="s">
        <v>284</v>
      </c>
      <c r="G3" s="229" t="s">
        <v>568</v>
      </c>
      <c r="H3" s="111" t="s">
        <v>569</v>
      </c>
      <c r="I3" s="102" t="s">
        <v>13</v>
      </c>
      <c r="J3" s="102">
        <v>1</v>
      </c>
      <c r="K3" s="102">
        <v>1</v>
      </c>
      <c r="L3" s="102">
        <v>16</v>
      </c>
      <c r="M3" s="408" t="s">
        <v>93</v>
      </c>
      <c r="N3" s="408" t="s">
        <v>93</v>
      </c>
      <c r="O3" s="102" t="s">
        <v>303</v>
      </c>
      <c r="P3" s="102" t="s">
        <v>304</v>
      </c>
      <c r="Q3" s="102" t="s">
        <v>509</v>
      </c>
      <c r="R3" s="219" t="s">
        <v>93</v>
      </c>
      <c r="S3" s="219" t="s">
        <v>93</v>
      </c>
      <c r="T3" s="219" t="s">
        <v>93</v>
      </c>
      <c r="U3" s="219" t="s">
        <v>93</v>
      </c>
      <c r="V3" s="219" t="s">
        <v>93</v>
      </c>
      <c r="W3" s="219" t="s">
        <v>93</v>
      </c>
      <c r="X3" s="219" t="s">
        <v>93</v>
      </c>
      <c r="Y3" s="219" t="s">
        <v>93</v>
      </c>
      <c r="Z3" s="219" t="s">
        <v>93</v>
      </c>
      <c r="AA3" s="219" t="s">
        <v>93</v>
      </c>
      <c r="AB3" s="219" t="s">
        <v>93</v>
      </c>
      <c r="AC3" s="219" t="s">
        <v>93</v>
      </c>
      <c r="AD3" s="102" t="s">
        <v>570</v>
      </c>
      <c r="AE3" s="256" t="s">
        <v>571</v>
      </c>
    </row>
    <row r="4" spans="1:31" ht="67.5" customHeight="1">
      <c r="A4" s="86">
        <v>3</v>
      </c>
      <c r="B4" s="239" t="s">
        <v>5</v>
      </c>
      <c r="C4" s="236">
        <v>46058</v>
      </c>
      <c r="D4" s="236">
        <v>46072</v>
      </c>
      <c r="E4" s="401" t="s">
        <v>192</v>
      </c>
      <c r="F4" s="86" t="s">
        <v>268</v>
      </c>
      <c r="G4" s="229" t="s">
        <v>572</v>
      </c>
      <c r="H4" s="86" t="s">
        <v>573</v>
      </c>
      <c r="I4" s="86" t="s">
        <v>13</v>
      </c>
      <c r="J4" s="86">
        <v>5</v>
      </c>
      <c r="K4" s="86">
        <v>5</v>
      </c>
      <c r="L4" s="86">
        <v>10</v>
      </c>
      <c r="M4" s="405">
        <v>46059</v>
      </c>
      <c r="N4" s="405">
        <v>46059</v>
      </c>
      <c r="O4" s="86" t="s">
        <v>303</v>
      </c>
      <c r="P4" s="86" t="s">
        <v>304</v>
      </c>
      <c r="Q4" s="86" t="s">
        <v>574</v>
      </c>
      <c r="R4" s="86" t="s">
        <v>231</v>
      </c>
      <c r="S4" s="86" t="s">
        <v>93</v>
      </c>
      <c r="T4" s="360" t="s">
        <v>575</v>
      </c>
      <c r="U4" s="405">
        <v>46060</v>
      </c>
      <c r="V4" s="405">
        <v>46060</v>
      </c>
      <c r="W4" s="138" t="s">
        <v>231</v>
      </c>
      <c r="X4" s="86" t="s">
        <v>93</v>
      </c>
      <c r="Y4" s="86" t="s">
        <v>306</v>
      </c>
      <c r="Z4" s="405">
        <v>46060</v>
      </c>
      <c r="AA4" s="86" t="s">
        <v>93</v>
      </c>
      <c r="AB4" s="86" t="s">
        <v>93</v>
      </c>
      <c r="AC4" s="86" t="s">
        <v>93</v>
      </c>
      <c r="AD4" s="86" t="s">
        <v>430</v>
      </c>
      <c r="AE4" s="239" t="s">
        <v>576</v>
      </c>
    </row>
    <row r="5" spans="1:31" ht="90" customHeight="1">
      <c r="A5" s="86">
        <v>4</v>
      </c>
      <c r="B5" s="239" t="s">
        <v>5</v>
      </c>
      <c r="C5" s="236">
        <v>46058</v>
      </c>
      <c r="D5" s="236">
        <v>46072</v>
      </c>
      <c r="E5" s="401" t="s">
        <v>192</v>
      </c>
      <c r="F5" s="86" t="s">
        <v>513</v>
      </c>
      <c r="G5" s="229" t="s">
        <v>577</v>
      </c>
      <c r="H5" s="86" t="s">
        <v>578</v>
      </c>
      <c r="I5" s="86" t="s">
        <v>13</v>
      </c>
      <c r="J5" s="86">
        <v>3</v>
      </c>
      <c r="K5" s="86">
        <v>3</v>
      </c>
      <c r="L5" s="86">
        <v>18.5</v>
      </c>
      <c r="M5" s="405">
        <v>46059</v>
      </c>
      <c r="N5" s="405">
        <v>46063</v>
      </c>
      <c r="O5" s="86" t="s">
        <v>303</v>
      </c>
      <c r="P5" s="86" t="s">
        <v>304</v>
      </c>
      <c r="Q5" s="102" t="s">
        <v>509</v>
      </c>
      <c r="R5" s="86" t="s">
        <v>231</v>
      </c>
      <c r="S5" s="86" t="s">
        <v>93</v>
      </c>
      <c r="T5" s="137" t="s">
        <v>579</v>
      </c>
      <c r="U5" s="405">
        <v>46063</v>
      </c>
      <c r="V5" s="405">
        <v>46065</v>
      </c>
      <c r="W5" s="138" t="s">
        <v>231</v>
      </c>
      <c r="X5" s="86" t="s">
        <v>93</v>
      </c>
      <c r="Y5" s="86" t="s">
        <v>306</v>
      </c>
      <c r="Z5" s="405">
        <v>46065</v>
      </c>
      <c r="AA5" s="86" t="s">
        <v>93</v>
      </c>
      <c r="AB5" s="86" t="s">
        <v>93</v>
      </c>
      <c r="AC5" s="86" t="s">
        <v>93</v>
      </c>
      <c r="AD5" s="86" t="s">
        <v>430</v>
      </c>
      <c r="AE5" s="239" t="s">
        <v>580</v>
      </c>
    </row>
    <row r="6" spans="1:31" ht="87" customHeight="1">
      <c r="A6" s="102">
        <v>5</v>
      </c>
      <c r="B6" s="262" t="s">
        <v>5</v>
      </c>
      <c r="C6" s="257">
        <v>46058</v>
      </c>
      <c r="D6" s="257">
        <v>46072</v>
      </c>
      <c r="E6" s="404" t="s">
        <v>192</v>
      </c>
      <c r="F6" s="102" t="s">
        <v>513</v>
      </c>
      <c r="G6" s="229" t="s">
        <v>581</v>
      </c>
      <c r="H6" s="102" t="s">
        <v>582</v>
      </c>
      <c r="I6" s="86" t="s">
        <v>13</v>
      </c>
      <c r="J6" s="102">
        <v>3</v>
      </c>
      <c r="K6" s="102">
        <v>3</v>
      </c>
      <c r="L6" s="102">
        <v>9.5</v>
      </c>
      <c r="M6" s="405">
        <v>46059</v>
      </c>
      <c r="N6" s="405">
        <v>46063</v>
      </c>
      <c r="O6" s="86" t="s">
        <v>303</v>
      </c>
      <c r="P6" s="102" t="s">
        <v>304</v>
      </c>
      <c r="Q6" s="102" t="s">
        <v>509</v>
      </c>
      <c r="R6" s="86" t="s">
        <v>231</v>
      </c>
      <c r="S6" s="86" t="s">
        <v>93</v>
      </c>
      <c r="T6" s="137" t="s">
        <v>579</v>
      </c>
      <c r="U6" s="405">
        <v>46063</v>
      </c>
      <c r="V6" s="405">
        <v>46065</v>
      </c>
      <c r="W6" s="138" t="s">
        <v>231</v>
      </c>
      <c r="X6" s="86" t="s">
        <v>93</v>
      </c>
      <c r="Y6" s="86" t="s">
        <v>306</v>
      </c>
      <c r="Z6" s="405">
        <v>46065</v>
      </c>
      <c r="AA6" s="86" t="s">
        <v>93</v>
      </c>
      <c r="AB6" s="86" t="s">
        <v>93</v>
      </c>
      <c r="AC6" s="86" t="s">
        <v>93</v>
      </c>
      <c r="AD6" s="86" t="s">
        <v>430</v>
      </c>
      <c r="AE6" s="239" t="s">
        <v>583</v>
      </c>
    </row>
    <row r="7" spans="1:31" ht="101.25" customHeight="1">
      <c r="A7" s="86">
        <v>6</v>
      </c>
      <c r="B7" s="239" t="s">
        <v>5</v>
      </c>
      <c r="C7" s="236">
        <v>46058</v>
      </c>
      <c r="D7" s="236">
        <v>46072</v>
      </c>
      <c r="E7" s="401" t="s">
        <v>192</v>
      </c>
      <c r="F7" s="86" t="s">
        <v>513</v>
      </c>
      <c r="G7" s="364" t="s">
        <v>584</v>
      </c>
      <c r="H7" s="86" t="s">
        <v>585</v>
      </c>
      <c r="I7" s="86" t="s">
        <v>13</v>
      </c>
      <c r="J7" s="86">
        <v>5</v>
      </c>
      <c r="K7" s="86">
        <v>5</v>
      </c>
      <c r="L7" s="86">
        <v>13.5</v>
      </c>
      <c r="M7" s="405">
        <v>46059</v>
      </c>
      <c r="N7" s="405">
        <v>46063</v>
      </c>
      <c r="O7" s="86" t="s">
        <v>303</v>
      </c>
      <c r="P7" s="86" t="s">
        <v>304</v>
      </c>
      <c r="Q7" s="102" t="s">
        <v>509</v>
      </c>
      <c r="R7" s="86" t="s">
        <v>231</v>
      </c>
      <c r="S7" s="86" t="s">
        <v>93</v>
      </c>
      <c r="T7" s="137" t="s">
        <v>579</v>
      </c>
      <c r="U7" s="405">
        <v>46063</v>
      </c>
      <c r="V7" s="405">
        <v>46065</v>
      </c>
      <c r="W7" s="138" t="s">
        <v>231</v>
      </c>
      <c r="X7" s="86" t="s">
        <v>93</v>
      </c>
      <c r="Y7" s="86" t="s">
        <v>306</v>
      </c>
      <c r="Z7" s="405">
        <v>46065</v>
      </c>
      <c r="AA7" s="86" t="s">
        <v>93</v>
      </c>
      <c r="AB7" s="86" t="s">
        <v>93</v>
      </c>
      <c r="AC7" s="86" t="s">
        <v>93</v>
      </c>
      <c r="AD7" s="86" t="s">
        <v>430</v>
      </c>
      <c r="AE7" s="239" t="s">
        <v>586</v>
      </c>
    </row>
    <row r="8" spans="1:31" ht="90.75" customHeight="1">
      <c r="A8" s="139">
        <v>7</v>
      </c>
      <c r="B8" s="413" t="s">
        <v>5</v>
      </c>
      <c r="C8" s="414">
        <v>46058</v>
      </c>
      <c r="D8" s="414">
        <v>46072</v>
      </c>
      <c r="E8" s="415" t="s">
        <v>192</v>
      </c>
      <c r="F8" s="416" t="s">
        <v>506</v>
      </c>
      <c r="G8" s="417" t="s">
        <v>507</v>
      </c>
      <c r="H8" s="142" t="s">
        <v>508</v>
      </c>
      <c r="I8" s="139" t="s">
        <v>587</v>
      </c>
      <c r="J8" s="139">
        <v>5</v>
      </c>
      <c r="K8" s="139">
        <v>3</v>
      </c>
      <c r="L8" s="139">
        <v>94.5</v>
      </c>
      <c r="M8" s="418">
        <v>46059</v>
      </c>
      <c r="N8" s="418">
        <v>46071</v>
      </c>
      <c r="O8" s="139" t="s">
        <v>303</v>
      </c>
      <c r="P8" s="139" t="s">
        <v>304</v>
      </c>
      <c r="Q8" s="102" t="s">
        <v>509</v>
      </c>
      <c r="R8" s="139" t="s">
        <v>231</v>
      </c>
      <c r="S8" s="139" t="s">
        <v>93</v>
      </c>
      <c r="T8" s="420" t="s">
        <v>510</v>
      </c>
      <c r="U8" s="418">
        <v>46072</v>
      </c>
      <c r="V8" s="418">
        <v>46073</v>
      </c>
      <c r="W8" s="139" t="s">
        <v>231</v>
      </c>
      <c r="X8" s="416"/>
      <c r="Y8" s="86"/>
      <c r="Z8" s="142"/>
      <c r="AA8" s="139"/>
      <c r="AB8" s="86" t="s">
        <v>93</v>
      </c>
      <c r="AC8" s="86" t="s">
        <v>93</v>
      </c>
      <c r="AD8" s="86" t="s">
        <v>588</v>
      </c>
      <c r="AE8" s="424" t="s">
        <v>589</v>
      </c>
    </row>
    <row r="9" spans="1:31" ht="35.25" customHeight="1">
      <c r="A9" s="139">
        <v>8</v>
      </c>
      <c r="B9" s="413" t="s">
        <v>5</v>
      </c>
      <c r="C9" s="414">
        <v>46058</v>
      </c>
      <c r="D9" s="414">
        <v>46072</v>
      </c>
      <c r="E9" s="415" t="s">
        <v>590</v>
      </c>
      <c r="F9" s="416" t="s">
        <v>513</v>
      </c>
      <c r="G9" s="364" t="s">
        <v>591</v>
      </c>
      <c r="H9" s="142" t="s">
        <v>592</v>
      </c>
      <c r="I9" s="86" t="s">
        <v>13</v>
      </c>
      <c r="J9" s="139">
        <v>1</v>
      </c>
      <c r="K9" s="139">
        <v>1</v>
      </c>
      <c r="L9" s="139">
        <v>11.5</v>
      </c>
      <c r="M9" s="418">
        <v>46065</v>
      </c>
      <c r="N9" s="418">
        <v>46065</v>
      </c>
      <c r="O9" s="139" t="s">
        <v>303</v>
      </c>
      <c r="P9" s="139" t="s">
        <v>304</v>
      </c>
      <c r="Q9" s="102" t="s">
        <v>509</v>
      </c>
      <c r="R9" s="139" t="s">
        <v>231</v>
      </c>
      <c r="S9" s="139" t="s">
        <v>93</v>
      </c>
      <c r="T9" s="420" t="s">
        <v>593</v>
      </c>
      <c r="U9" s="418">
        <v>46065</v>
      </c>
      <c r="V9" s="426">
        <v>46066</v>
      </c>
      <c r="W9" s="139" t="s">
        <v>231</v>
      </c>
      <c r="X9" s="416" t="s">
        <v>93</v>
      </c>
      <c r="Y9" s="86" t="s">
        <v>306</v>
      </c>
      <c r="Z9" s="426">
        <v>46066</v>
      </c>
      <c r="AA9" s="139"/>
      <c r="AB9" s="86" t="s">
        <v>93</v>
      </c>
      <c r="AC9" s="86" t="s">
        <v>93</v>
      </c>
      <c r="AD9" s="86" t="s">
        <v>430</v>
      </c>
      <c r="AE9" s="424" t="s">
        <v>594</v>
      </c>
    </row>
    <row r="10" spans="1:31" ht="35.25" customHeight="1">
      <c r="A10" s="139">
        <v>9</v>
      </c>
      <c r="B10" s="413" t="s">
        <v>5</v>
      </c>
      <c r="C10" s="414">
        <v>46058</v>
      </c>
      <c r="D10" s="414">
        <v>46072</v>
      </c>
      <c r="E10" s="415" t="s">
        <v>590</v>
      </c>
      <c r="F10" s="416" t="s">
        <v>513</v>
      </c>
      <c r="G10" s="364" t="s">
        <v>595</v>
      </c>
      <c r="H10" s="142" t="s">
        <v>596</v>
      </c>
      <c r="I10" s="139" t="s">
        <v>13</v>
      </c>
      <c r="J10" s="139">
        <v>3</v>
      </c>
      <c r="K10" s="139">
        <v>3</v>
      </c>
      <c r="L10" s="139"/>
      <c r="M10" s="418">
        <v>46065</v>
      </c>
      <c r="N10" s="418">
        <v>46066</v>
      </c>
      <c r="O10" s="139" t="s">
        <v>303</v>
      </c>
      <c r="P10" s="139" t="s">
        <v>304</v>
      </c>
      <c r="Q10" s="102" t="s">
        <v>509</v>
      </c>
      <c r="R10" s="139" t="s">
        <v>231</v>
      </c>
      <c r="S10" s="139" t="s">
        <v>93</v>
      </c>
      <c r="T10" s="420" t="s">
        <v>597</v>
      </c>
      <c r="U10" s="418">
        <v>46066</v>
      </c>
      <c r="V10" s="418">
        <v>46067</v>
      </c>
      <c r="W10" s="139" t="s">
        <v>231</v>
      </c>
      <c r="X10" s="416" t="s">
        <v>93</v>
      </c>
      <c r="Y10" s="86" t="s">
        <v>306</v>
      </c>
      <c r="Z10" s="418">
        <v>46067</v>
      </c>
      <c r="AA10" s="139"/>
      <c r="AB10" s="86" t="s">
        <v>93</v>
      </c>
      <c r="AC10" s="86" t="s">
        <v>93</v>
      </c>
      <c r="AD10" s="86" t="s">
        <v>430</v>
      </c>
      <c r="AE10" s="424" t="s">
        <v>598</v>
      </c>
    </row>
    <row r="11" spans="1:31" ht="35.25" customHeight="1">
      <c r="A11" s="139">
        <v>10</v>
      </c>
      <c r="B11" s="413" t="s">
        <v>5</v>
      </c>
      <c r="C11" s="414">
        <v>46058</v>
      </c>
      <c r="D11" s="414">
        <v>46072</v>
      </c>
      <c r="E11" s="415" t="s">
        <v>590</v>
      </c>
      <c r="F11" s="416" t="s">
        <v>513</v>
      </c>
      <c r="G11" s="364" t="s">
        <v>599</v>
      </c>
      <c r="H11" s="142" t="s">
        <v>600</v>
      </c>
      <c r="I11" s="139" t="s">
        <v>13</v>
      </c>
      <c r="J11" s="139">
        <v>3</v>
      </c>
      <c r="K11" s="139">
        <v>3</v>
      </c>
      <c r="L11" s="139">
        <v>18</v>
      </c>
      <c r="M11" s="418">
        <v>46069</v>
      </c>
      <c r="N11" s="418">
        <v>46071</v>
      </c>
      <c r="O11" s="139" t="s">
        <v>303</v>
      </c>
      <c r="P11" s="139" t="s">
        <v>304</v>
      </c>
      <c r="Q11" s="102" t="s">
        <v>509</v>
      </c>
      <c r="R11" s="139" t="s">
        <v>231</v>
      </c>
      <c r="S11" s="139" t="s">
        <v>93</v>
      </c>
      <c r="T11" s="420" t="s">
        <v>601</v>
      </c>
      <c r="U11" s="418">
        <v>46071</v>
      </c>
      <c r="V11" s="418">
        <v>46071</v>
      </c>
      <c r="W11" s="139" t="s">
        <v>231</v>
      </c>
      <c r="X11" s="416" t="s">
        <v>387</v>
      </c>
      <c r="Y11" s="86" t="s">
        <v>306</v>
      </c>
      <c r="Z11" s="418">
        <v>46071</v>
      </c>
      <c r="AA11" s="139"/>
      <c r="AB11" s="86" t="s">
        <v>93</v>
      </c>
      <c r="AC11" s="86" t="s">
        <v>93</v>
      </c>
      <c r="AD11" s="86" t="s">
        <v>430</v>
      </c>
      <c r="AE11" s="424" t="s">
        <v>598</v>
      </c>
    </row>
  </sheetData>
  <hyperlinks>
    <hyperlink ref="T2" r:id="rId1" xr:uid="{EBC5575B-46B3-44D6-B1D1-B6CD3449F9F7}"/>
    <hyperlink ref="T4" r:id="rId2" xr:uid="{42D34A37-3A87-4B5F-B4D5-F2EF39FF60E7}"/>
    <hyperlink ref="T5" r:id="rId3" xr:uid="{86C2EB47-53FF-4547-9C8C-BDD231D3103F}"/>
    <hyperlink ref="T6" r:id="rId4" xr:uid="{1522721C-0BCF-49C9-96CB-3C9378F8B58D}"/>
    <hyperlink ref="T7" r:id="rId5" xr:uid="{AADD913D-A325-4F76-9537-8881A7BFC43A}"/>
    <hyperlink ref="T10" r:id="rId6" xr:uid="{0F478F8C-BE66-4399-9F9F-7161B4647B75}"/>
    <hyperlink ref="T9" r:id="rId7" xr:uid="{99EDEA08-87E0-4291-9266-7C6FFFDBE1BD}"/>
    <hyperlink ref="T11" r:id="rId8" xr:uid="{CAE70AE8-C932-4DC8-9E61-0A90AA21C224}"/>
    <hyperlink ref="T8" r:id="rId9" xr:uid="{EF77C698-AE4D-469D-8B9A-5D92F4F0621B}"/>
  </hyperlinks>
  <pageMargins left="0" right="0" top="0" bottom="0" header="0" footer="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2D20-670C-4DD5-9E2B-CBB1884BDD91}">
  <sheetPr>
    <outlinePr summaryBelow="0" summaryRight="0"/>
  </sheetPr>
  <dimension ref="A1:O2"/>
  <sheetViews>
    <sheetView topLeftCell="B1" workbookViewId="0">
      <selection activeCell="G2" sqref="G2"/>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ht="15" customHeight="1">
      <c r="B2" s="237"/>
      <c r="C2" s="192"/>
      <c r="D2" s="224"/>
      <c r="E2" s="86"/>
      <c r="F2" s="353"/>
      <c r="G2" s="86" t="s">
        <v>300</v>
      </c>
      <c r="H2" s="331"/>
      <c r="I2" s="353"/>
      <c r="J2" s="98"/>
      <c r="K2" s="363"/>
      <c r="L2" s="108"/>
      <c r="M2" s="108"/>
      <c r="N2" s="98"/>
      <c r="O2" s="86"/>
    </row>
  </sheetData>
  <autoFilter ref="A1:M1" xr:uid="{3A2BB050-11AC-4ED7-A296-96B42C7FCFBA}"/>
  <dataValidations count="5">
    <dataValidation type="list" allowBlank="1" showErrorMessage="1" sqref="K1:K1048576" xr:uid="{CBA011DE-D9FC-477F-BAEF-B2E182B9B667}">
      <formula1>"Open,Inprogress,Closed, Rejected"</formula1>
    </dataValidation>
    <dataValidation type="list" allowBlank="1" showErrorMessage="1" sqref="F2" xr:uid="{3EB879A1-EC69-4DBB-B490-BC3D206B1235}">
      <formula1>"Bounceback/Sub-Defect,Defect,None"</formula1>
    </dataValidation>
    <dataValidation type="list" allowBlank="1" showErrorMessage="1" sqref="J2" xr:uid="{6160D152-1E62-45FA-98B8-2744A2BE370D}">
      <formula1>"Internal,External"</formula1>
    </dataValidation>
    <dataValidation type="list" allowBlank="1" showErrorMessage="1" sqref="H2" xr:uid="{6D57FE54-B44C-4A93-AA00-2F883EE21308}">
      <formula1>"Minor,Significant,Major"</formula1>
    </dataValidation>
    <dataValidation type="list" allowBlank="1" showErrorMessage="1" sqref="I2" xr:uid="{FADB39B0-D0EF-4E77-9461-8B67EB69AABB}">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FB1EAE4E-4870-4818-BD5D-43FD38766BE7}">
          <x14:formula1>
            <xm:f>Details!$A$2:$A$10</xm:f>
          </x14:formula1>
          <xm:sqref>L2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034E4-BFD8-46B6-BC37-6D650863B867}">
  <sheetPr>
    <outlinePr summaryBelow="0" summaryRight="0"/>
  </sheetPr>
  <dimension ref="A1:AE14"/>
  <sheetViews>
    <sheetView showGridLines="0" workbookViewId="0">
      <pane ySplit="1" topLeftCell="A13" activePane="bottomLeft" state="frozen"/>
      <selection pane="bottomLeft" activeCell="AD14" sqref="AD14"/>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4"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2" width="10.42578125" style="43" customWidth="1"/>
    <col min="13" max="14" width="14.42578125" style="43" customWidth="1"/>
    <col min="15" max="15" width="15.28515625" style="43" customWidth="1"/>
    <col min="16" max="16" width="19.85546875" style="43" customWidth="1"/>
    <col min="17" max="17" width="18.5703125" style="43"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31" width="65.5703125" style="43" customWidth="1"/>
    <col min="32" max="16384" width="12.5703125" style="43"/>
  </cols>
  <sheetData>
    <row r="1" spans="1:31"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425</v>
      </c>
      <c r="AE1" s="409" t="s">
        <v>426</v>
      </c>
    </row>
    <row r="2" spans="1:31" ht="40.5" customHeight="1">
      <c r="A2" s="86">
        <v>1</v>
      </c>
      <c r="B2" s="253" t="s">
        <v>5</v>
      </c>
      <c r="C2" s="236">
        <v>46044</v>
      </c>
      <c r="D2" s="236">
        <v>46058</v>
      </c>
      <c r="E2" s="400" t="s">
        <v>187</v>
      </c>
      <c r="F2" s="115" t="s">
        <v>602</v>
      </c>
      <c r="G2" s="364" t="s">
        <v>603</v>
      </c>
      <c r="H2" s="138" t="s">
        <v>604</v>
      </c>
      <c r="I2" s="138" t="s">
        <v>13</v>
      </c>
      <c r="J2" s="86">
        <v>3</v>
      </c>
      <c r="K2" s="86">
        <v>3</v>
      </c>
      <c r="L2" s="115">
        <v>16</v>
      </c>
      <c r="M2" s="405">
        <v>46044</v>
      </c>
      <c r="N2" s="405">
        <v>46044</v>
      </c>
      <c r="O2" s="86" t="s">
        <v>303</v>
      </c>
      <c r="P2" s="86" t="s">
        <v>304</v>
      </c>
      <c r="Q2" s="86" t="s">
        <v>509</v>
      </c>
      <c r="R2" s="193"/>
      <c r="S2" s="86"/>
      <c r="T2" s="137" t="s">
        <v>605</v>
      </c>
      <c r="U2" s="405">
        <v>46043</v>
      </c>
      <c r="V2" s="405">
        <v>46044</v>
      </c>
      <c r="W2" s="86" t="s">
        <v>231</v>
      </c>
      <c r="X2" s="86"/>
      <c r="Y2" s="102" t="s">
        <v>306</v>
      </c>
      <c r="Z2" s="405">
        <v>46045</v>
      </c>
      <c r="AA2" s="86"/>
      <c r="AB2" s="86"/>
      <c r="AC2" s="86"/>
      <c r="AD2" s="86" t="s">
        <v>606</v>
      </c>
      <c r="AE2" s="86" t="s">
        <v>607</v>
      </c>
    </row>
    <row r="3" spans="1:31" ht="36" customHeight="1">
      <c r="A3" s="86">
        <v>2</v>
      </c>
      <c r="B3" s="239" t="s">
        <v>5</v>
      </c>
      <c r="C3" s="236">
        <v>46044</v>
      </c>
      <c r="D3" s="236">
        <v>46058</v>
      </c>
      <c r="E3" s="400" t="s">
        <v>187</v>
      </c>
      <c r="F3" s="115" t="s">
        <v>231</v>
      </c>
      <c r="G3" s="364" t="s">
        <v>608</v>
      </c>
      <c r="H3" s="138" t="s">
        <v>609</v>
      </c>
      <c r="I3" s="138" t="s">
        <v>13</v>
      </c>
      <c r="J3" s="86">
        <v>1</v>
      </c>
      <c r="K3" s="86">
        <v>1</v>
      </c>
      <c r="L3" s="86">
        <v>2</v>
      </c>
      <c r="M3" s="405">
        <v>46045</v>
      </c>
      <c r="N3" s="405">
        <v>46045</v>
      </c>
      <c r="O3" s="86" t="s">
        <v>303</v>
      </c>
      <c r="P3" s="86" t="s">
        <v>304</v>
      </c>
      <c r="Q3" s="86" t="s">
        <v>509</v>
      </c>
      <c r="R3" s="193"/>
      <c r="S3" s="86"/>
      <c r="T3" s="137" t="s">
        <v>610</v>
      </c>
      <c r="U3" s="405">
        <v>46045</v>
      </c>
      <c r="V3" s="405">
        <v>46045</v>
      </c>
      <c r="W3" s="86"/>
      <c r="X3" s="86"/>
      <c r="Y3" s="86" t="s">
        <v>306</v>
      </c>
      <c r="Z3" s="405">
        <v>46045</v>
      </c>
      <c r="AA3" s="86"/>
      <c r="AB3" s="115"/>
      <c r="AC3" s="115"/>
      <c r="AD3" s="86" t="s">
        <v>606</v>
      </c>
      <c r="AE3" s="86" t="s">
        <v>611</v>
      </c>
    </row>
    <row r="4" spans="1:31" ht="69.75" customHeight="1">
      <c r="A4" s="86">
        <v>3</v>
      </c>
      <c r="B4" s="239" t="s">
        <v>5</v>
      </c>
      <c r="C4" s="236">
        <v>46044</v>
      </c>
      <c r="D4" s="236">
        <v>46058</v>
      </c>
      <c r="E4" s="400" t="s">
        <v>187</v>
      </c>
      <c r="F4" s="115" t="s">
        <v>281</v>
      </c>
      <c r="G4" s="364" t="s">
        <v>612</v>
      </c>
      <c r="H4" s="138" t="s">
        <v>613</v>
      </c>
      <c r="I4" s="138" t="s">
        <v>13</v>
      </c>
      <c r="J4" s="86">
        <v>2</v>
      </c>
      <c r="K4" s="86">
        <v>2</v>
      </c>
      <c r="L4" s="86">
        <v>35.5</v>
      </c>
      <c r="M4" s="405">
        <v>46045</v>
      </c>
      <c r="N4" s="405">
        <v>46050</v>
      </c>
      <c r="O4" s="86" t="s">
        <v>303</v>
      </c>
      <c r="P4" s="86" t="s">
        <v>304</v>
      </c>
      <c r="Q4" s="86" t="s">
        <v>509</v>
      </c>
      <c r="R4" s="193"/>
      <c r="S4" s="86"/>
      <c r="T4" s="137" t="s">
        <v>614</v>
      </c>
      <c r="U4" s="191">
        <v>46050</v>
      </c>
      <c r="V4" s="410">
        <v>46050</v>
      </c>
      <c r="W4" s="86" t="s">
        <v>231</v>
      </c>
      <c r="X4" s="86"/>
      <c r="Y4" s="86" t="s">
        <v>306</v>
      </c>
      <c r="Z4" s="191">
        <v>46050</v>
      </c>
      <c r="AA4" s="86"/>
      <c r="AB4" s="115"/>
      <c r="AC4" s="115"/>
      <c r="AD4" s="86" t="s">
        <v>606</v>
      </c>
      <c r="AE4" s="86" t="s">
        <v>615</v>
      </c>
    </row>
    <row r="5" spans="1:31" ht="60" customHeight="1">
      <c r="A5" s="86">
        <v>4</v>
      </c>
      <c r="B5" s="239" t="s">
        <v>5</v>
      </c>
      <c r="C5" s="236">
        <v>46044</v>
      </c>
      <c r="D5" s="236">
        <v>46058</v>
      </c>
      <c r="E5" s="400" t="s">
        <v>187</v>
      </c>
      <c r="F5" s="115" t="s">
        <v>481</v>
      </c>
      <c r="G5" s="364" t="s">
        <v>616</v>
      </c>
      <c r="H5" s="138" t="s">
        <v>617</v>
      </c>
      <c r="I5" s="138" t="s">
        <v>13</v>
      </c>
      <c r="J5" s="86">
        <v>1</v>
      </c>
      <c r="K5" s="86">
        <v>1</v>
      </c>
      <c r="L5" s="86">
        <v>15</v>
      </c>
      <c r="M5" s="405">
        <v>46045</v>
      </c>
      <c r="N5" s="405">
        <v>46045</v>
      </c>
      <c r="O5" s="86" t="s">
        <v>303</v>
      </c>
      <c r="P5" s="86" t="s">
        <v>304</v>
      </c>
      <c r="Q5" s="86" t="s">
        <v>509</v>
      </c>
      <c r="R5" s="193" t="s">
        <v>231</v>
      </c>
      <c r="S5" s="86" t="s">
        <v>618</v>
      </c>
      <c r="T5" s="137" t="s">
        <v>619</v>
      </c>
      <c r="U5" s="405">
        <v>46045</v>
      </c>
      <c r="V5" s="405">
        <v>46046</v>
      </c>
      <c r="W5" s="86" t="s">
        <v>231</v>
      </c>
      <c r="X5" s="86"/>
      <c r="Y5" s="86" t="s">
        <v>620</v>
      </c>
      <c r="Z5" s="405">
        <v>46046</v>
      </c>
      <c r="AA5" s="86"/>
      <c r="AB5" s="115"/>
      <c r="AC5" s="115"/>
      <c r="AD5" s="86" t="s">
        <v>606</v>
      </c>
      <c r="AE5" s="86" t="s">
        <v>621</v>
      </c>
    </row>
    <row r="6" spans="1:31" ht="43.5" customHeight="1">
      <c r="A6" s="86">
        <v>5</v>
      </c>
      <c r="B6" s="239" t="s">
        <v>5</v>
      </c>
      <c r="C6" s="236">
        <v>46044</v>
      </c>
      <c r="D6" s="236">
        <v>46058</v>
      </c>
      <c r="E6" s="400" t="s">
        <v>187</v>
      </c>
      <c r="F6" s="115" t="s">
        <v>231</v>
      </c>
      <c r="G6" s="364" t="s">
        <v>622</v>
      </c>
      <c r="H6" s="138" t="s">
        <v>623</v>
      </c>
      <c r="I6" s="86" t="s">
        <v>13</v>
      </c>
      <c r="J6" s="86">
        <v>1</v>
      </c>
      <c r="K6" s="86">
        <v>1</v>
      </c>
      <c r="L6" s="86">
        <v>12</v>
      </c>
      <c r="M6" s="405">
        <v>46045</v>
      </c>
      <c r="N6" s="405">
        <v>46051</v>
      </c>
      <c r="O6" s="86" t="s">
        <v>303</v>
      </c>
      <c r="P6" s="86" t="s">
        <v>304</v>
      </c>
      <c r="Q6" s="86" t="s">
        <v>509</v>
      </c>
      <c r="R6" s="193"/>
      <c r="S6" s="86"/>
      <c r="T6" s="137" t="s">
        <v>624</v>
      </c>
      <c r="U6" s="405">
        <v>46050</v>
      </c>
      <c r="V6" s="405">
        <v>46051</v>
      </c>
      <c r="W6" s="86" t="s">
        <v>231</v>
      </c>
      <c r="X6" s="86"/>
      <c r="Y6" s="86" t="s">
        <v>306</v>
      </c>
      <c r="Z6" s="405">
        <v>46051</v>
      </c>
      <c r="AA6" s="86"/>
      <c r="AB6" s="115"/>
      <c r="AC6" s="115"/>
      <c r="AD6" s="86" t="s">
        <v>606</v>
      </c>
      <c r="AE6" s="86" t="s">
        <v>625</v>
      </c>
    </row>
    <row r="7" spans="1:31" ht="52.5" customHeight="1">
      <c r="A7" s="86">
        <v>6</v>
      </c>
      <c r="B7" s="239" t="s">
        <v>5</v>
      </c>
      <c r="C7" s="236">
        <v>46044</v>
      </c>
      <c r="D7" s="236">
        <v>46058</v>
      </c>
      <c r="E7" s="400" t="s">
        <v>187</v>
      </c>
      <c r="F7" s="115" t="s">
        <v>481</v>
      </c>
      <c r="G7" s="364" t="s">
        <v>626</v>
      </c>
      <c r="H7" s="138" t="s">
        <v>627</v>
      </c>
      <c r="I7" s="86" t="s">
        <v>13</v>
      </c>
      <c r="J7" s="86">
        <v>5</v>
      </c>
      <c r="K7" s="86">
        <v>5</v>
      </c>
      <c r="L7" s="86">
        <v>17</v>
      </c>
      <c r="M7" s="405">
        <v>46051</v>
      </c>
      <c r="N7" s="86"/>
      <c r="O7" s="86" t="s">
        <v>303</v>
      </c>
      <c r="P7" s="86" t="s">
        <v>304</v>
      </c>
      <c r="Q7" s="86" t="s">
        <v>509</v>
      </c>
      <c r="R7" s="193"/>
      <c r="S7" s="86"/>
      <c r="T7" s="86"/>
      <c r="U7" s="86"/>
      <c r="V7" s="115"/>
      <c r="W7" s="86"/>
      <c r="X7" s="86"/>
      <c r="Y7" s="86"/>
      <c r="Z7" s="86"/>
      <c r="AA7" s="86"/>
      <c r="AB7" s="115"/>
      <c r="AC7" s="115"/>
      <c r="AD7" s="86" t="s">
        <v>606</v>
      </c>
      <c r="AE7" s="86" t="s">
        <v>628</v>
      </c>
    </row>
    <row r="8" spans="1:31" ht="55.5" customHeight="1">
      <c r="A8" s="86">
        <v>7</v>
      </c>
      <c r="B8" s="239" t="s">
        <v>5</v>
      </c>
      <c r="C8" s="236">
        <v>46044</v>
      </c>
      <c r="D8" s="236">
        <v>46058</v>
      </c>
      <c r="E8" s="400" t="s">
        <v>187</v>
      </c>
      <c r="F8" s="115" t="s">
        <v>268</v>
      </c>
      <c r="G8" s="364" t="s">
        <v>629</v>
      </c>
      <c r="H8" s="138" t="s">
        <v>630</v>
      </c>
      <c r="I8" s="86" t="s">
        <v>13</v>
      </c>
      <c r="J8" s="86">
        <v>1</v>
      </c>
      <c r="K8" s="86">
        <v>1</v>
      </c>
      <c r="L8" s="86">
        <v>10</v>
      </c>
      <c r="M8" s="405">
        <v>46050</v>
      </c>
      <c r="N8" s="405">
        <v>46050</v>
      </c>
      <c r="O8" s="86" t="s">
        <v>303</v>
      </c>
      <c r="P8" s="86" t="s">
        <v>304</v>
      </c>
      <c r="Q8" s="86" t="s">
        <v>509</v>
      </c>
      <c r="R8" s="193"/>
      <c r="S8" s="86"/>
      <c r="T8" s="137" t="s">
        <v>631</v>
      </c>
      <c r="U8" s="405">
        <v>46051</v>
      </c>
      <c r="V8" s="405">
        <v>46051</v>
      </c>
      <c r="W8" s="86" t="s">
        <v>231</v>
      </c>
      <c r="X8" s="86"/>
      <c r="Y8" s="86" t="s">
        <v>306</v>
      </c>
      <c r="Z8" s="405">
        <v>46052</v>
      </c>
      <c r="AA8" s="86"/>
      <c r="AB8" s="115"/>
      <c r="AC8" s="115"/>
      <c r="AD8" s="86" t="s">
        <v>606</v>
      </c>
      <c r="AE8" s="86" t="s">
        <v>632</v>
      </c>
    </row>
    <row r="9" spans="1:31" ht="57.75" customHeight="1">
      <c r="A9" s="86">
        <v>8</v>
      </c>
      <c r="B9" s="239" t="s">
        <v>5</v>
      </c>
      <c r="C9" s="236">
        <v>46044</v>
      </c>
      <c r="D9" s="236">
        <v>46058</v>
      </c>
      <c r="E9" s="400" t="s">
        <v>187</v>
      </c>
      <c r="F9" s="115" t="s">
        <v>231</v>
      </c>
      <c r="G9" s="364" t="s">
        <v>633</v>
      </c>
      <c r="H9" s="138" t="s">
        <v>634</v>
      </c>
      <c r="I9" s="86" t="s">
        <v>13</v>
      </c>
      <c r="J9" s="86">
        <v>2</v>
      </c>
      <c r="K9" s="86">
        <v>2</v>
      </c>
      <c r="L9" s="86">
        <v>2</v>
      </c>
      <c r="M9" s="405">
        <v>46052</v>
      </c>
      <c r="N9" s="405">
        <v>46053</v>
      </c>
      <c r="O9" s="86" t="s">
        <v>303</v>
      </c>
      <c r="P9" s="86" t="s">
        <v>304</v>
      </c>
      <c r="Q9" s="86" t="s">
        <v>509</v>
      </c>
      <c r="R9" s="193"/>
      <c r="S9" s="86"/>
      <c r="T9" s="137" t="s">
        <v>635</v>
      </c>
      <c r="U9" s="405">
        <v>46053</v>
      </c>
      <c r="V9" s="405">
        <v>46053</v>
      </c>
      <c r="W9" s="86" t="s">
        <v>231</v>
      </c>
      <c r="X9" s="86"/>
      <c r="Y9" s="86" t="s">
        <v>306</v>
      </c>
      <c r="Z9" s="405">
        <v>46053</v>
      </c>
      <c r="AA9" s="86"/>
      <c r="AB9" s="115"/>
      <c r="AC9" s="115"/>
      <c r="AD9" s="102" t="s">
        <v>606</v>
      </c>
      <c r="AE9" s="86"/>
    </row>
    <row r="10" spans="1:31" ht="55.5" customHeight="1">
      <c r="A10" s="86">
        <v>9</v>
      </c>
      <c r="B10" s="239" t="s">
        <v>5</v>
      </c>
      <c r="C10" s="236">
        <v>46044</v>
      </c>
      <c r="D10" s="236">
        <v>46058</v>
      </c>
      <c r="E10" s="400" t="s">
        <v>636</v>
      </c>
      <c r="F10" s="115" t="s">
        <v>268</v>
      </c>
      <c r="G10" s="364" t="s">
        <v>637</v>
      </c>
      <c r="H10" s="138" t="s">
        <v>638</v>
      </c>
      <c r="I10" s="86" t="s">
        <v>13</v>
      </c>
      <c r="J10" s="86">
        <v>2</v>
      </c>
      <c r="K10" s="86">
        <v>2</v>
      </c>
      <c r="L10" s="86">
        <v>10</v>
      </c>
      <c r="M10" s="405">
        <v>46057</v>
      </c>
      <c r="N10" s="405">
        <v>46058</v>
      </c>
      <c r="O10" s="86" t="s">
        <v>303</v>
      </c>
      <c r="P10" s="86" t="s">
        <v>304</v>
      </c>
      <c r="Q10" s="86" t="s">
        <v>509</v>
      </c>
      <c r="R10" s="193"/>
      <c r="S10" s="86"/>
      <c r="T10" s="137"/>
      <c r="U10" s="405"/>
      <c r="V10" s="115"/>
      <c r="W10" s="86"/>
      <c r="X10" s="115"/>
      <c r="Y10" s="86"/>
      <c r="Z10" s="138"/>
      <c r="AA10" s="86"/>
      <c r="AB10" s="115"/>
      <c r="AC10" s="115"/>
      <c r="AD10" s="102" t="s">
        <v>639</v>
      </c>
      <c r="AE10" s="138" t="s">
        <v>640</v>
      </c>
    </row>
    <row r="11" spans="1:31" ht="35.25" customHeight="1">
      <c r="A11" s="86">
        <v>10</v>
      </c>
      <c r="B11" s="239" t="s">
        <v>5</v>
      </c>
      <c r="C11" s="236">
        <v>46044</v>
      </c>
      <c r="D11" s="236">
        <v>46058</v>
      </c>
      <c r="E11" s="400" t="s">
        <v>636</v>
      </c>
      <c r="F11" s="115" t="s">
        <v>231</v>
      </c>
      <c r="G11" s="364" t="s">
        <v>641</v>
      </c>
      <c r="H11" s="138" t="s">
        <v>642</v>
      </c>
      <c r="I11" s="86" t="s">
        <v>13</v>
      </c>
      <c r="J11" s="86">
        <v>1</v>
      </c>
      <c r="K11" s="86">
        <v>1</v>
      </c>
      <c r="L11" s="86">
        <v>1</v>
      </c>
      <c r="M11" s="405">
        <v>46057</v>
      </c>
      <c r="N11" s="405">
        <v>46058</v>
      </c>
      <c r="O11" s="86" t="s">
        <v>303</v>
      </c>
      <c r="P11" s="86" t="s">
        <v>304</v>
      </c>
      <c r="Q11" s="86" t="s">
        <v>509</v>
      </c>
      <c r="R11" s="193"/>
      <c r="S11" s="86"/>
      <c r="T11" s="137"/>
      <c r="U11" s="405"/>
      <c r="V11" s="115"/>
      <c r="W11" s="86"/>
      <c r="X11" s="115"/>
      <c r="Y11" s="86"/>
      <c r="Z11" s="138"/>
      <c r="AA11" s="86"/>
      <c r="AB11" s="115"/>
      <c r="AC11" s="115"/>
      <c r="AD11" s="102" t="s">
        <v>639</v>
      </c>
      <c r="AE11" s="138"/>
    </row>
    <row r="12" spans="1:31" ht="35.25" customHeight="1">
      <c r="A12" s="86">
        <v>11</v>
      </c>
      <c r="B12" s="239" t="s">
        <v>5</v>
      </c>
      <c r="C12" s="236">
        <v>46044</v>
      </c>
      <c r="D12" s="236">
        <v>46058</v>
      </c>
      <c r="E12" s="400" t="s">
        <v>636</v>
      </c>
      <c r="F12" s="115" t="s">
        <v>281</v>
      </c>
      <c r="G12" s="364" t="s">
        <v>564</v>
      </c>
      <c r="H12" s="138" t="s">
        <v>565</v>
      </c>
      <c r="I12" s="86" t="s">
        <v>643</v>
      </c>
      <c r="J12" s="86">
        <v>2</v>
      </c>
      <c r="K12" s="86">
        <v>1</v>
      </c>
      <c r="L12" s="86">
        <v>10.5</v>
      </c>
      <c r="M12" s="405">
        <v>46058</v>
      </c>
      <c r="N12" s="405">
        <v>46058</v>
      </c>
      <c r="O12" s="86" t="s">
        <v>303</v>
      </c>
      <c r="P12" s="86"/>
      <c r="Q12" s="86"/>
      <c r="R12" s="193"/>
      <c r="S12" s="86"/>
      <c r="T12" s="137" t="s">
        <v>566</v>
      </c>
      <c r="U12" s="405">
        <v>46058</v>
      </c>
      <c r="V12" s="115"/>
      <c r="W12" s="86"/>
      <c r="X12" s="115"/>
      <c r="Y12" s="86"/>
      <c r="Z12" s="138"/>
      <c r="AA12" s="86"/>
      <c r="AB12" s="115"/>
      <c r="AC12" s="115"/>
      <c r="AD12" s="102"/>
      <c r="AE12" s="411" t="s">
        <v>644</v>
      </c>
    </row>
    <row r="13" spans="1:31" ht="48" customHeight="1">
      <c r="A13" s="86">
        <v>12</v>
      </c>
      <c r="B13" s="239" t="s">
        <v>5</v>
      </c>
      <c r="C13" s="236">
        <v>46044</v>
      </c>
      <c r="D13" s="236">
        <v>46058</v>
      </c>
      <c r="E13" s="400" t="s">
        <v>187</v>
      </c>
      <c r="F13" s="115" t="s">
        <v>534</v>
      </c>
      <c r="G13" s="364" t="s">
        <v>507</v>
      </c>
      <c r="H13" s="138" t="s">
        <v>508</v>
      </c>
      <c r="I13" s="86" t="s">
        <v>271</v>
      </c>
      <c r="J13" s="86">
        <v>3</v>
      </c>
      <c r="K13" s="86"/>
      <c r="L13" s="86">
        <v>64.5</v>
      </c>
      <c r="M13" s="405">
        <v>46045</v>
      </c>
      <c r="N13" s="405"/>
      <c r="O13" s="86"/>
      <c r="P13" s="86"/>
      <c r="Q13" s="86"/>
      <c r="R13" s="193"/>
      <c r="S13" s="86"/>
      <c r="T13" s="137" t="s">
        <v>645</v>
      </c>
      <c r="U13" s="405">
        <v>46049</v>
      </c>
      <c r="V13" s="115" t="s">
        <v>93</v>
      </c>
      <c r="W13" s="86" t="s">
        <v>93</v>
      </c>
      <c r="X13" s="86"/>
      <c r="Y13" s="102" t="s">
        <v>306</v>
      </c>
      <c r="Z13" s="86"/>
      <c r="AA13" s="86"/>
      <c r="AB13" s="115"/>
      <c r="AC13" s="115"/>
      <c r="AD13" s="102">
        <v>0</v>
      </c>
      <c r="AE13" s="138" t="s">
        <v>646</v>
      </c>
    </row>
    <row r="14" spans="1:31" ht="35.25" customHeight="1">
      <c r="A14" s="86">
        <v>13</v>
      </c>
      <c r="B14" s="239" t="s">
        <v>5</v>
      </c>
      <c r="C14" s="236">
        <v>46044</v>
      </c>
      <c r="D14" s="236">
        <v>46058</v>
      </c>
      <c r="E14" s="400" t="s">
        <v>187</v>
      </c>
      <c r="F14" s="115" t="s">
        <v>284</v>
      </c>
      <c r="G14" s="364" t="s">
        <v>568</v>
      </c>
      <c r="H14" s="138" t="s">
        <v>569</v>
      </c>
      <c r="I14" s="86" t="s">
        <v>647</v>
      </c>
      <c r="J14" s="86">
        <v>3</v>
      </c>
      <c r="K14" s="86">
        <v>3</v>
      </c>
      <c r="L14" s="86">
        <v>22</v>
      </c>
      <c r="M14" s="405">
        <v>46057</v>
      </c>
      <c r="N14" s="405">
        <v>46058</v>
      </c>
      <c r="O14" s="86" t="s">
        <v>303</v>
      </c>
      <c r="P14" s="86" t="s">
        <v>304</v>
      </c>
      <c r="Q14" s="86" t="s">
        <v>509</v>
      </c>
      <c r="R14" s="193" t="s">
        <v>93</v>
      </c>
      <c r="S14" s="193" t="s">
        <v>93</v>
      </c>
      <c r="T14" s="193" t="s">
        <v>93</v>
      </c>
      <c r="U14" s="193" t="s">
        <v>93</v>
      </c>
      <c r="V14" s="193" t="s">
        <v>93</v>
      </c>
      <c r="W14" s="193" t="s">
        <v>93</v>
      </c>
      <c r="X14" s="193" t="s">
        <v>93</v>
      </c>
      <c r="Y14" s="193" t="s">
        <v>93</v>
      </c>
      <c r="Z14" s="193" t="s">
        <v>93</v>
      </c>
      <c r="AA14" s="193" t="s">
        <v>93</v>
      </c>
      <c r="AB14" s="193" t="s">
        <v>93</v>
      </c>
      <c r="AC14" s="369" t="s">
        <v>93</v>
      </c>
      <c r="AD14" s="86" t="s">
        <v>648</v>
      </c>
      <c r="AE14" s="138"/>
    </row>
  </sheetData>
  <hyperlinks>
    <hyperlink ref="T2" r:id="rId1" xr:uid="{0707A2BE-11BE-4BCE-BA79-0DA9551F5EC6}"/>
    <hyperlink ref="T3" r:id="rId2" xr:uid="{2AD34EC0-A245-43DA-8DA5-CF9B345B7284}"/>
    <hyperlink ref="T5" r:id="rId3" xr:uid="{255262AF-57BA-4127-80BC-9B52AF6B617A}"/>
    <hyperlink ref="T13" r:id="rId4" xr:uid="{C718354F-931F-4232-90C9-BF49714B7422}"/>
    <hyperlink ref="T6" r:id="rId5" xr:uid="{0C6A0EA9-3410-4906-9F7B-6213E221BCA5}"/>
    <hyperlink ref="T4" r:id="rId6" xr:uid="{6B589C49-380D-4A3F-874D-1D4E9FB5801B}"/>
    <hyperlink ref="T8" r:id="rId7" xr:uid="{B32684CC-E462-4EE1-90EA-0AAAAEF93D85}"/>
    <hyperlink ref="T12" r:id="rId8" xr:uid="{92B066C7-CE10-49A1-B259-30E2E0CB178B}"/>
  </hyperlinks>
  <pageMargins left="0" right="0" top="0" bottom="0" header="0" footer="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9F8B5-1C46-422D-AD51-12E653055C8C}">
  <sheetPr>
    <outlinePr summaryBelow="0" summaryRight="0"/>
  </sheetPr>
  <dimension ref="A1:O2"/>
  <sheetViews>
    <sheetView topLeftCell="B1" workbookViewId="0">
      <selection activeCell="H19" sqref="H19"/>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ht="15" customHeight="1">
      <c r="B2" s="237"/>
      <c r="C2" s="192"/>
      <c r="D2" s="224"/>
      <c r="E2" s="86"/>
      <c r="F2" s="353"/>
      <c r="G2" s="86" t="s">
        <v>300</v>
      </c>
      <c r="H2" s="331"/>
      <c r="I2" s="353"/>
      <c r="J2" s="98"/>
      <c r="K2" s="363"/>
      <c r="L2" s="108"/>
      <c r="M2" s="108"/>
      <c r="N2" s="98"/>
      <c r="O2" s="86"/>
    </row>
  </sheetData>
  <autoFilter ref="A1:M1" xr:uid="{3A2BB050-11AC-4ED7-A296-96B42C7FCFBA}"/>
  <dataValidations count="5">
    <dataValidation type="list" allowBlank="1" showErrorMessage="1" sqref="I2" xr:uid="{6ED5214D-1DF5-4336-BA52-A0EB24D0BC75}">
      <formula1>"Manual, Automation"</formula1>
    </dataValidation>
    <dataValidation type="list" allowBlank="1" showErrorMessage="1" sqref="H2" xr:uid="{BFC0C766-E19F-4DAA-88CA-238C390EA462}">
      <formula1>"Minor,Significant,Major"</formula1>
    </dataValidation>
    <dataValidation type="list" allowBlank="1" showErrorMessage="1" sqref="J2" xr:uid="{98D3CC07-6E0E-49F0-A7F6-3D1174D49459}">
      <formula1>"Internal,External"</formula1>
    </dataValidation>
    <dataValidation type="list" allowBlank="1" showErrorMessage="1" sqref="F2" xr:uid="{6CBF8D23-F4EB-40E0-9387-120EFEDA0D34}">
      <formula1>"Bounceback/Sub-Defect,Defect,None"</formula1>
    </dataValidation>
    <dataValidation type="list" allowBlank="1" showErrorMessage="1" sqref="K1:K1048576" xr:uid="{5EA7BA40-A6CF-4F5F-9E46-C716D2DFFE04}">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040C70F9-A349-4516-A32F-77D2A0D8C83D}">
          <x14:formula1>
            <xm:f>Details!$A$2:$A$10</xm:f>
          </x14:formula1>
          <xm:sqref>L2</xm:sqref>
        </x14:dataValidation>
      </x14:dataValidation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A66AB-7A22-455B-ACA4-320B6088AA6A}">
  <sheetPr>
    <outlinePr summaryBelow="0" summaryRight="0"/>
  </sheetPr>
  <dimension ref="A1:O2"/>
  <sheetViews>
    <sheetView topLeftCell="B1" workbookViewId="0">
      <selection activeCell="C5" sqref="C5"/>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ht="15" customHeight="1">
      <c r="B2" s="237"/>
      <c r="C2" s="192"/>
      <c r="D2" s="224"/>
      <c r="E2" s="86"/>
      <c r="F2" s="353"/>
      <c r="G2" s="86" t="s">
        <v>300</v>
      </c>
      <c r="H2" s="331"/>
      <c r="I2" s="353"/>
      <c r="J2" s="98"/>
      <c r="K2" s="363"/>
      <c r="L2" s="108"/>
      <c r="M2" s="108"/>
      <c r="N2" s="98"/>
      <c r="O2" s="86"/>
    </row>
  </sheetData>
  <autoFilter ref="A1:M1" xr:uid="{3A2BB050-11AC-4ED7-A296-96B42C7FCFBA}"/>
  <dataValidations count="5">
    <dataValidation type="list" allowBlank="1" showErrorMessage="1" sqref="K1:K1048576" xr:uid="{D11A8790-28F3-4436-82E5-FCF1A4E77EF6}">
      <formula1>"Open,Inprogress,Closed, Rejected"</formula1>
    </dataValidation>
    <dataValidation type="list" allowBlank="1" showErrorMessage="1" sqref="F2" xr:uid="{C794DAD5-55AE-4FED-B97D-E492CA3F7CC5}">
      <formula1>"Bounceback/Sub-Defect,Defect,None"</formula1>
    </dataValidation>
    <dataValidation type="list" allowBlank="1" showErrorMessage="1" sqref="J2" xr:uid="{B9303538-1227-49DF-B2B0-2EA851488846}">
      <formula1>"Internal,External"</formula1>
    </dataValidation>
    <dataValidation type="list" allowBlank="1" showErrorMessage="1" sqref="H2" xr:uid="{98A430CF-C543-4113-B5B9-BCA917AFC160}">
      <formula1>"Minor,Significant,Major"</formula1>
    </dataValidation>
    <dataValidation type="list" allowBlank="1" showErrorMessage="1" sqref="I2" xr:uid="{D4BAF7B1-191E-4FB9-8234-5AD59825AF1A}">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FE993871-A650-4FCB-938D-7C8611EE85A2}">
          <x14:formula1>
            <xm:f>Details!$A$2:$A$10</xm:f>
          </x14:formula1>
          <xm:sqref>L2</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87910-7F06-4AE5-8E99-3F490DF7635C}">
  <sheetPr>
    <outlinePr summaryBelow="0" summaryRight="0"/>
  </sheetPr>
  <dimension ref="A1:AE11"/>
  <sheetViews>
    <sheetView showGridLines="0" workbookViewId="0">
      <pane ySplit="1" topLeftCell="A2" activePane="bottomLeft" state="frozen"/>
      <selection pane="bottomLeft" activeCell="AD4" sqref="AD4"/>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4"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2" width="10.42578125" style="43" customWidth="1"/>
    <col min="13" max="14" width="14.42578125" style="43" customWidth="1"/>
    <col min="15" max="15" width="15.28515625" style="43" customWidth="1"/>
    <col min="16" max="16" width="19.85546875" style="43" customWidth="1"/>
    <col min="17" max="17" width="18.5703125" style="43"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31" width="61" style="43" customWidth="1"/>
    <col min="32" max="16384" width="12.5703125" style="43"/>
  </cols>
  <sheetData>
    <row r="1" spans="1:31"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425</v>
      </c>
      <c r="AE1" s="409" t="s">
        <v>426</v>
      </c>
    </row>
    <row r="2" spans="1:31" ht="70.5" customHeight="1">
      <c r="A2" s="86">
        <v>1</v>
      </c>
      <c r="B2" s="239" t="s">
        <v>5</v>
      </c>
      <c r="C2" s="236">
        <v>46030</v>
      </c>
      <c r="D2" s="236">
        <v>46044</v>
      </c>
      <c r="E2" s="400" t="s">
        <v>183</v>
      </c>
      <c r="F2" s="115" t="s">
        <v>268</v>
      </c>
      <c r="G2" s="364" t="s">
        <v>649</v>
      </c>
      <c r="H2" s="138" t="s">
        <v>650</v>
      </c>
      <c r="I2" s="86" t="s">
        <v>13</v>
      </c>
      <c r="J2" s="86">
        <v>1</v>
      </c>
      <c r="K2" s="86">
        <v>1</v>
      </c>
      <c r="L2" s="86">
        <v>14</v>
      </c>
      <c r="M2" s="405">
        <v>46035</v>
      </c>
      <c r="N2" s="405">
        <v>46031</v>
      </c>
      <c r="O2" s="86" t="s">
        <v>303</v>
      </c>
      <c r="P2" s="86" t="s">
        <v>304</v>
      </c>
      <c r="Q2" s="86"/>
      <c r="R2" s="193"/>
      <c r="S2" s="86"/>
      <c r="T2" s="137" t="s">
        <v>651</v>
      </c>
      <c r="U2" s="405">
        <v>46031</v>
      </c>
      <c r="V2" s="405">
        <v>46031</v>
      </c>
      <c r="W2" s="86" t="s">
        <v>231</v>
      </c>
      <c r="X2" s="86"/>
      <c r="Y2" s="86" t="s">
        <v>306</v>
      </c>
      <c r="Z2" s="405">
        <v>46032</v>
      </c>
      <c r="AA2" s="86"/>
      <c r="AB2" s="115"/>
      <c r="AC2" s="115"/>
      <c r="AD2" s="86" t="s">
        <v>606</v>
      </c>
      <c r="AE2" s="86" t="s">
        <v>652</v>
      </c>
    </row>
    <row r="3" spans="1:31" ht="35.25" customHeight="1">
      <c r="A3" s="86">
        <v>2</v>
      </c>
      <c r="B3" s="239" t="s">
        <v>5</v>
      </c>
      <c r="C3" s="236">
        <v>46030</v>
      </c>
      <c r="D3" s="236">
        <v>46044</v>
      </c>
      <c r="E3" s="400" t="s">
        <v>183</v>
      </c>
      <c r="F3" s="115" t="s">
        <v>231</v>
      </c>
      <c r="G3" s="364" t="s">
        <v>653</v>
      </c>
      <c r="H3" s="138" t="s">
        <v>654</v>
      </c>
      <c r="I3" s="86" t="s">
        <v>13</v>
      </c>
      <c r="J3" s="86">
        <v>5</v>
      </c>
      <c r="K3" s="86">
        <v>5</v>
      </c>
      <c r="L3" s="86">
        <v>28</v>
      </c>
      <c r="M3" s="405">
        <v>46035</v>
      </c>
      <c r="N3" s="121">
        <v>46041</v>
      </c>
      <c r="O3" s="86" t="s">
        <v>303</v>
      </c>
      <c r="P3" s="86" t="s">
        <v>304</v>
      </c>
      <c r="Q3" s="86"/>
      <c r="R3" s="193"/>
      <c r="S3" s="86"/>
      <c r="T3" s="137" t="s">
        <v>655</v>
      </c>
      <c r="U3" s="405">
        <v>46039</v>
      </c>
      <c r="V3" s="405" t="s">
        <v>93</v>
      </c>
      <c r="W3" s="86" t="s">
        <v>93</v>
      </c>
      <c r="X3" s="86"/>
      <c r="Y3" s="86" t="s">
        <v>306</v>
      </c>
      <c r="Z3" s="405">
        <v>46043</v>
      </c>
      <c r="AA3" s="86"/>
      <c r="AB3" s="115"/>
      <c r="AC3" s="115"/>
      <c r="AD3" s="86" t="s">
        <v>656</v>
      </c>
      <c r="AE3" s="86"/>
    </row>
    <row r="4" spans="1:31" ht="35.25" customHeight="1">
      <c r="A4" s="86">
        <v>3</v>
      </c>
      <c r="B4" s="239" t="s">
        <v>5</v>
      </c>
      <c r="C4" s="236">
        <v>46030</v>
      </c>
      <c r="D4" s="236">
        <v>46044</v>
      </c>
      <c r="E4" s="400" t="s">
        <v>183</v>
      </c>
      <c r="F4" s="115" t="s">
        <v>281</v>
      </c>
      <c r="G4" s="364" t="s">
        <v>657</v>
      </c>
      <c r="H4" s="138" t="s">
        <v>658</v>
      </c>
      <c r="I4" s="86" t="s">
        <v>13</v>
      </c>
      <c r="J4" s="86">
        <v>1</v>
      </c>
      <c r="K4" s="86">
        <v>1</v>
      </c>
      <c r="L4" s="86">
        <v>16.5</v>
      </c>
      <c r="M4" s="405">
        <v>46031</v>
      </c>
      <c r="N4" s="405">
        <v>46031</v>
      </c>
      <c r="O4" s="86" t="s">
        <v>303</v>
      </c>
      <c r="P4" s="86" t="s">
        <v>304</v>
      </c>
      <c r="Q4" s="86"/>
      <c r="R4" s="193"/>
      <c r="S4" s="86"/>
      <c r="T4" s="137" t="s">
        <v>659</v>
      </c>
      <c r="U4" s="405">
        <v>46031</v>
      </c>
      <c r="V4" s="405">
        <v>46032</v>
      </c>
      <c r="W4" s="86" t="s">
        <v>231</v>
      </c>
      <c r="X4" s="86"/>
      <c r="Y4" s="86" t="s">
        <v>306</v>
      </c>
      <c r="Z4" s="405">
        <v>46032</v>
      </c>
      <c r="AA4" s="86"/>
      <c r="AB4" s="115"/>
      <c r="AC4" s="115"/>
      <c r="AD4" s="86" t="s">
        <v>606</v>
      </c>
      <c r="AE4" s="86" t="s">
        <v>660</v>
      </c>
    </row>
    <row r="5" spans="1:31" ht="48.75" customHeight="1">
      <c r="A5" s="86">
        <v>4</v>
      </c>
      <c r="B5" s="239" t="s">
        <v>5</v>
      </c>
      <c r="C5" s="236">
        <v>46030</v>
      </c>
      <c r="D5" s="236">
        <v>46044</v>
      </c>
      <c r="E5" s="400" t="s">
        <v>183</v>
      </c>
      <c r="F5" s="115" t="s">
        <v>268</v>
      </c>
      <c r="G5" s="364" t="s">
        <v>661</v>
      </c>
      <c r="H5" s="138" t="s">
        <v>662</v>
      </c>
      <c r="I5" s="86" t="s">
        <v>13</v>
      </c>
      <c r="J5" s="86">
        <v>1</v>
      </c>
      <c r="K5" s="86">
        <v>1</v>
      </c>
      <c r="L5" s="86">
        <v>9</v>
      </c>
      <c r="M5" s="405">
        <v>46031</v>
      </c>
      <c r="N5" s="405">
        <v>46031</v>
      </c>
      <c r="O5" s="86" t="s">
        <v>303</v>
      </c>
      <c r="P5" s="86" t="s">
        <v>304</v>
      </c>
      <c r="Q5" s="86"/>
      <c r="R5" s="193"/>
      <c r="S5" s="86"/>
      <c r="T5" s="137" t="s">
        <v>663</v>
      </c>
      <c r="U5" s="405">
        <v>46034</v>
      </c>
      <c r="V5" s="405">
        <v>46035</v>
      </c>
      <c r="W5" s="86" t="s">
        <v>231</v>
      </c>
      <c r="X5" s="86"/>
      <c r="Y5" s="86" t="s">
        <v>306</v>
      </c>
      <c r="Z5" s="405">
        <v>46035</v>
      </c>
      <c r="AA5" s="86"/>
      <c r="AB5" s="115"/>
      <c r="AC5" s="115"/>
      <c r="AD5" s="86" t="s">
        <v>606</v>
      </c>
      <c r="AE5" s="86" t="s">
        <v>660</v>
      </c>
    </row>
    <row r="6" spans="1:31" ht="68.25" customHeight="1">
      <c r="A6" s="86">
        <v>5</v>
      </c>
      <c r="B6" s="239" t="s">
        <v>5</v>
      </c>
      <c r="C6" s="236">
        <v>46030</v>
      </c>
      <c r="D6" s="236">
        <v>46044</v>
      </c>
      <c r="E6" s="400" t="s">
        <v>183</v>
      </c>
      <c r="F6" s="115" t="s">
        <v>268</v>
      </c>
      <c r="G6" s="364" t="s">
        <v>664</v>
      </c>
      <c r="H6" s="138" t="s">
        <v>665</v>
      </c>
      <c r="I6" s="86" t="s">
        <v>13</v>
      </c>
      <c r="J6" s="86">
        <v>1</v>
      </c>
      <c r="K6" s="86">
        <v>1</v>
      </c>
      <c r="L6" s="86">
        <v>13</v>
      </c>
      <c r="M6" s="405">
        <v>46031</v>
      </c>
      <c r="N6" s="405">
        <v>46031</v>
      </c>
      <c r="O6" s="86" t="s">
        <v>303</v>
      </c>
      <c r="P6" s="86" t="s">
        <v>304</v>
      </c>
      <c r="Q6" s="86"/>
      <c r="R6" s="193"/>
      <c r="S6" s="86"/>
      <c r="T6" s="137" t="s">
        <v>663</v>
      </c>
      <c r="U6" s="405">
        <v>46034</v>
      </c>
      <c r="V6" s="405">
        <v>46035</v>
      </c>
      <c r="W6" s="86" t="s">
        <v>231</v>
      </c>
      <c r="X6" s="86"/>
      <c r="Y6" s="86" t="s">
        <v>306</v>
      </c>
      <c r="Z6" s="405">
        <v>46035</v>
      </c>
      <c r="AA6" s="86" t="s">
        <v>666</v>
      </c>
      <c r="AB6" s="115"/>
      <c r="AC6" s="115"/>
      <c r="AD6" s="86" t="s">
        <v>606</v>
      </c>
      <c r="AE6" s="86" t="s">
        <v>667</v>
      </c>
    </row>
    <row r="7" spans="1:31" ht="81.75" customHeight="1">
      <c r="A7" s="86">
        <v>6</v>
      </c>
      <c r="B7" s="239" t="s">
        <v>5</v>
      </c>
      <c r="C7" s="236">
        <v>46030</v>
      </c>
      <c r="D7" s="236">
        <v>46044</v>
      </c>
      <c r="E7" s="400" t="s">
        <v>183</v>
      </c>
      <c r="F7" s="115" t="s">
        <v>231</v>
      </c>
      <c r="G7" s="364" t="s">
        <v>668</v>
      </c>
      <c r="H7" s="138" t="s">
        <v>669</v>
      </c>
      <c r="I7" s="86" t="s">
        <v>13</v>
      </c>
      <c r="J7" s="86">
        <v>3</v>
      </c>
      <c r="K7" s="86">
        <v>3</v>
      </c>
      <c r="L7" s="115">
        <v>25</v>
      </c>
      <c r="M7" s="121">
        <v>46038</v>
      </c>
      <c r="N7" s="121">
        <v>46041</v>
      </c>
      <c r="O7" s="86" t="s">
        <v>303</v>
      </c>
      <c r="P7" s="86" t="s">
        <v>304</v>
      </c>
      <c r="Q7" s="86"/>
      <c r="R7" s="193"/>
      <c r="S7" s="86"/>
      <c r="T7" s="137" t="s">
        <v>670</v>
      </c>
      <c r="U7" s="405">
        <v>46043</v>
      </c>
      <c r="V7" s="405">
        <v>46043</v>
      </c>
      <c r="W7" s="86" t="s">
        <v>231</v>
      </c>
      <c r="X7" s="86"/>
      <c r="Y7" s="86" t="s">
        <v>306</v>
      </c>
      <c r="Z7" s="405">
        <v>46043</v>
      </c>
      <c r="AA7" s="86"/>
      <c r="AB7" s="115"/>
      <c r="AC7" s="115"/>
      <c r="AD7" s="86" t="s">
        <v>656</v>
      </c>
      <c r="AE7" s="191" t="s">
        <v>671</v>
      </c>
    </row>
    <row r="8" spans="1:31" ht="81.75" customHeight="1">
      <c r="A8" s="102">
        <v>7</v>
      </c>
      <c r="B8" s="239" t="s">
        <v>5</v>
      </c>
      <c r="C8" s="236">
        <v>46030</v>
      </c>
      <c r="D8" s="236">
        <v>46044</v>
      </c>
      <c r="E8" s="400" t="s">
        <v>183</v>
      </c>
      <c r="F8" s="120" t="s">
        <v>268</v>
      </c>
      <c r="G8" s="229" t="s">
        <v>672</v>
      </c>
      <c r="H8" s="111" t="s">
        <v>673</v>
      </c>
      <c r="I8" s="102" t="s">
        <v>13</v>
      </c>
      <c r="J8" s="102">
        <v>2</v>
      </c>
      <c r="K8" s="102">
        <v>2</v>
      </c>
      <c r="L8" s="120">
        <v>16</v>
      </c>
      <c r="M8" s="408">
        <v>46034</v>
      </c>
      <c r="N8" s="408">
        <v>46035</v>
      </c>
      <c r="O8" s="86" t="s">
        <v>303</v>
      </c>
      <c r="P8" s="86" t="s">
        <v>304</v>
      </c>
      <c r="Q8" s="102"/>
      <c r="R8" s="219"/>
      <c r="S8" s="102"/>
      <c r="T8" s="225" t="s">
        <v>674</v>
      </c>
      <c r="U8" s="408">
        <v>46035</v>
      </c>
      <c r="V8" s="408">
        <v>46036</v>
      </c>
      <c r="W8" s="102" t="s">
        <v>231</v>
      </c>
      <c r="X8" s="102"/>
      <c r="Y8" s="102" t="s">
        <v>306</v>
      </c>
      <c r="Z8" s="408">
        <v>46036</v>
      </c>
      <c r="AA8" s="102"/>
      <c r="AB8" s="120"/>
      <c r="AC8" s="120"/>
      <c r="AD8" s="102" t="s">
        <v>606</v>
      </c>
      <c r="AE8" s="102" t="s">
        <v>675</v>
      </c>
    </row>
    <row r="9" spans="1:31" ht="44.25" customHeight="1">
      <c r="A9" s="86">
        <v>8</v>
      </c>
      <c r="B9" s="239" t="s">
        <v>5</v>
      </c>
      <c r="C9" s="236">
        <v>46030</v>
      </c>
      <c r="D9" s="236">
        <v>46044</v>
      </c>
      <c r="E9" s="400" t="s">
        <v>183</v>
      </c>
      <c r="F9" s="115" t="s">
        <v>231</v>
      </c>
      <c r="G9" s="364" t="s">
        <v>676</v>
      </c>
      <c r="H9" s="138" t="s">
        <v>677</v>
      </c>
      <c r="I9" s="86" t="s">
        <v>13</v>
      </c>
      <c r="J9" s="86">
        <v>2</v>
      </c>
      <c r="K9" s="86">
        <v>2</v>
      </c>
      <c r="L9" s="86">
        <v>2</v>
      </c>
      <c r="M9" s="405">
        <v>46031</v>
      </c>
      <c r="N9" s="405">
        <v>46031</v>
      </c>
      <c r="O9" s="86"/>
      <c r="P9" s="86" t="s">
        <v>93</v>
      </c>
      <c r="Q9" s="86"/>
      <c r="R9" s="193"/>
      <c r="S9" s="86"/>
      <c r="T9" s="86" t="s">
        <v>93</v>
      </c>
      <c r="U9" s="86" t="s">
        <v>93</v>
      </c>
      <c r="V9" s="86" t="s">
        <v>93</v>
      </c>
      <c r="W9" s="86" t="s">
        <v>93</v>
      </c>
      <c r="X9" s="86"/>
      <c r="Y9" s="86" t="s">
        <v>93</v>
      </c>
      <c r="Z9" s="86" t="s">
        <v>93</v>
      </c>
      <c r="AA9" s="86"/>
      <c r="AB9" s="115"/>
      <c r="AC9" s="115"/>
      <c r="AD9" s="86"/>
      <c r="AE9" s="86" t="s">
        <v>678</v>
      </c>
    </row>
    <row r="10" spans="1:31" ht="79.5" customHeight="1">
      <c r="A10" s="86">
        <v>9</v>
      </c>
      <c r="B10" s="253" t="s">
        <v>5</v>
      </c>
      <c r="C10" s="236">
        <v>46030</v>
      </c>
      <c r="D10" s="236">
        <v>46044</v>
      </c>
      <c r="E10" s="400" t="s">
        <v>183</v>
      </c>
      <c r="F10" s="115" t="s">
        <v>602</v>
      </c>
      <c r="G10" s="364" t="s">
        <v>603</v>
      </c>
      <c r="H10" s="138" t="s">
        <v>604</v>
      </c>
      <c r="I10" s="138" t="s">
        <v>587</v>
      </c>
      <c r="J10" s="86">
        <v>3</v>
      </c>
      <c r="K10" s="86">
        <v>3</v>
      </c>
      <c r="L10" s="115">
        <v>30.5</v>
      </c>
      <c r="M10" s="405">
        <v>46041</v>
      </c>
      <c r="N10" s="405">
        <v>46043</v>
      </c>
      <c r="O10" s="86" t="s">
        <v>303</v>
      </c>
      <c r="P10" s="86" t="s">
        <v>304</v>
      </c>
      <c r="Q10" s="86"/>
      <c r="R10" s="193"/>
      <c r="S10" s="86"/>
      <c r="T10" s="137" t="s">
        <v>605</v>
      </c>
      <c r="U10" s="405">
        <v>46043</v>
      </c>
      <c r="V10" s="405">
        <v>46044</v>
      </c>
      <c r="W10" s="86" t="s">
        <v>231</v>
      </c>
      <c r="X10" s="86"/>
      <c r="Y10" s="102" t="s">
        <v>306</v>
      </c>
      <c r="Z10" s="86"/>
      <c r="AA10" s="86"/>
      <c r="AB10" s="86"/>
      <c r="AC10" s="86"/>
      <c r="AD10" s="115"/>
      <c r="AE10" s="86" t="s">
        <v>679</v>
      </c>
    </row>
    <row r="11" spans="1:31" ht="63.75" customHeight="1">
      <c r="A11" s="86">
        <v>10</v>
      </c>
      <c r="B11" s="239" t="s">
        <v>5</v>
      </c>
      <c r="C11" s="236">
        <v>46030</v>
      </c>
      <c r="D11" s="236">
        <v>46044</v>
      </c>
      <c r="E11" s="400" t="s">
        <v>183</v>
      </c>
      <c r="F11" s="115" t="s">
        <v>281</v>
      </c>
      <c r="G11" s="364" t="s">
        <v>507</v>
      </c>
      <c r="H11" s="138" t="s">
        <v>508</v>
      </c>
      <c r="I11" s="86" t="s">
        <v>271</v>
      </c>
      <c r="J11" s="86">
        <v>3</v>
      </c>
      <c r="K11" s="86"/>
      <c r="L11" s="86">
        <v>56</v>
      </c>
      <c r="M11" s="405">
        <v>46031</v>
      </c>
      <c r="N11" s="86"/>
      <c r="O11" s="86"/>
      <c r="P11" s="86"/>
      <c r="Q11" s="86"/>
      <c r="R11" s="193"/>
      <c r="S11" s="86"/>
      <c r="T11" s="86"/>
      <c r="U11" s="86"/>
      <c r="V11" s="115"/>
      <c r="W11" s="86"/>
      <c r="X11" s="86"/>
      <c r="Y11" s="86"/>
      <c r="Z11" s="86"/>
      <c r="AA11" s="86"/>
      <c r="AB11" s="115"/>
      <c r="AC11" s="115"/>
      <c r="AD11" s="86"/>
      <c r="AE11" s="86" t="s">
        <v>680</v>
      </c>
    </row>
  </sheetData>
  <hyperlinks>
    <hyperlink ref="T4" r:id="rId1" xr:uid="{DBBB7514-B7AC-4CA7-8EBC-FCB26B87521B}"/>
    <hyperlink ref="T2" r:id="rId2" xr:uid="{38A0E003-3AAF-4B29-904B-8BBB8C25A767}"/>
    <hyperlink ref="T5" r:id="rId3" xr:uid="{2EB522CA-A983-4F1B-9470-9064458DC728}"/>
    <hyperlink ref="T6" r:id="rId4" xr:uid="{191BF27C-3050-433D-B332-5F016FD46857}"/>
    <hyperlink ref="T8" r:id="rId5" xr:uid="{DE868265-3756-48A1-BA45-B9181E437734}"/>
    <hyperlink ref="T7" r:id="rId6" xr:uid="{7EDBE341-9DA2-49C6-9501-B940818963BA}"/>
    <hyperlink ref="T3" r:id="rId7" xr:uid="{B386130B-3FA2-4039-BE21-8AFEC5164A76}"/>
    <hyperlink ref="T10" r:id="rId8" xr:uid="{4DA794D2-3C77-44E7-8962-CB17F6C4879A}"/>
  </hyperlinks>
  <pageMargins left="0" right="0" top="0" bottom="0" header="0" footer="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F86F8-DF34-4FA9-A4B8-B6160590E23C}">
  <sheetPr>
    <outlinePr summaryBelow="0" summaryRight="0"/>
  </sheetPr>
  <dimension ref="A1:AD15"/>
  <sheetViews>
    <sheetView showGridLines="0" workbookViewId="0">
      <pane ySplit="1" topLeftCell="A13" activePane="bottomLeft" state="frozen"/>
      <selection pane="bottomLeft" activeCell="N10" sqref="N10"/>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3.28515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4" width="14.42578125" style="43" customWidth="1"/>
    <col min="15" max="15" width="15.28515625" style="43" customWidth="1"/>
    <col min="16" max="16" width="19.85546875" style="43" customWidth="1"/>
    <col min="17" max="17" width="18.5703125" style="43"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267</v>
      </c>
    </row>
    <row r="2" spans="1:30" ht="35.25" customHeight="1">
      <c r="A2" s="86">
        <v>1</v>
      </c>
      <c r="B2" s="239" t="s">
        <v>5</v>
      </c>
      <c r="C2" s="236">
        <v>46002</v>
      </c>
      <c r="D2" s="236">
        <v>46030</v>
      </c>
      <c r="E2" s="401" t="s">
        <v>179</v>
      </c>
      <c r="F2" s="86" t="s">
        <v>268</v>
      </c>
      <c r="G2" s="364" t="s">
        <v>681</v>
      </c>
      <c r="H2" s="86" t="s">
        <v>682</v>
      </c>
      <c r="I2" s="115" t="s">
        <v>13</v>
      </c>
      <c r="J2" s="86">
        <v>1</v>
      </c>
      <c r="K2" s="86"/>
      <c r="L2" s="86">
        <v>4</v>
      </c>
      <c r="M2" s="405">
        <v>46000</v>
      </c>
      <c r="N2" s="405">
        <v>46000</v>
      </c>
      <c r="O2" s="86" t="s">
        <v>268</v>
      </c>
      <c r="P2" s="86" t="s">
        <v>304</v>
      </c>
      <c r="Q2" s="86"/>
      <c r="R2" s="193" t="s">
        <v>231</v>
      </c>
      <c r="S2" s="86"/>
      <c r="T2" s="137" t="s">
        <v>683</v>
      </c>
      <c r="U2" s="236">
        <v>46001</v>
      </c>
      <c r="V2" s="236">
        <v>46001</v>
      </c>
      <c r="W2" s="86" t="s">
        <v>231</v>
      </c>
      <c r="X2" s="86"/>
      <c r="Y2" s="86" t="s">
        <v>306</v>
      </c>
      <c r="Z2" s="236">
        <v>46001</v>
      </c>
      <c r="AA2" s="86"/>
      <c r="AB2" s="86"/>
      <c r="AC2" s="115"/>
      <c r="AD2" s="89" t="s">
        <v>684</v>
      </c>
    </row>
    <row r="3" spans="1:30" ht="35.25" customHeight="1">
      <c r="A3" s="86">
        <v>2</v>
      </c>
      <c r="B3" s="239" t="s">
        <v>5</v>
      </c>
      <c r="C3" s="236">
        <v>46002</v>
      </c>
      <c r="D3" s="236">
        <v>46030</v>
      </c>
      <c r="E3" s="401" t="s">
        <v>179</v>
      </c>
      <c r="F3" s="86" t="s">
        <v>268</v>
      </c>
      <c r="G3" s="364" t="s">
        <v>685</v>
      </c>
      <c r="H3" s="86" t="s">
        <v>686</v>
      </c>
      <c r="I3" s="86" t="s">
        <v>13</v>
      </c>
      <c r="J3" s="86">
        <v>2</v>
      </c>
      <c r="K3" s="86"/>
      <c r="L3" s="86">
        <v>1</v>
      </c>
      <c r="M3" s="405">
        <v>46007</v>
      </c>
      <c r="N3" s="405">
        <v>46007</v>
      </c>
      <c r="O3" s="86" t="s">
        <v>268</v>
      </c>
      <c r="P3" s="86" t="s">
        <v>304</v>
      </c>
      <c r="Q3" s="86"/>
      <c r="R3" s="193" t="s">
        <v>231</v>
      </c>
      <c r="S3" s="86"/>
      <c r="T3" s="137" t="s">
        <v>687</v>
      </c>
      <c r="U3" s="236">
        <v>46007</v>
      </c>
      <c r="V3" s="236">
        <v>46007</v>
      </c>
      <c r="W3" s="86" t="s">
        <v>231</v>
      </c>
      <c r="X3" s="86"/>
      <c r="Y3" s="86" t="s">
        <v>306</v>
      </c>
      <c r="Z3" s="236">
        <v>46007</v>
      </c>
      <c r="AA3" s="86"/>
      <c r="AB3" s="86"/>
      <c r="AC3" s="115"/>
      <c r="AD3" s="89" t="s">
        <v>684</v>
      </c>
    </row>
    <row r="4" spans="1:30" ht="35.25" customHeight="1">
      <c r="A4" s="86">
        <v>3</v>
      </c>
      <c r="B4" s="239" t="s">
        <v>5</v>
      </c>
      <c r="C4" s="236">
        <v>46002</v>
      </c>
      <c r="D4" s="236">
        <v>46030</v>
      </c>
      <c r="E4" s="401" t="s">
        <v>179</v>
      </c>
      <c r="F4" s="86" t="s">
        <v>231</v>
      </c>
      <c r="G4" s="364" t="s">
        <v>688</v>
      </c>
      <c r="H4" s="86" t="s">
        <v>689</v>
      </c>
      <c r="I4" s="86" t="s">
        <v>13</v>
      </c>
      <c r="J4" s="86">
        <v>3</v>
      </c>
      <c r="K4" s="86"/>
      <c r="L4" s="86">
        <v>31</v>
      </c>
      <c r="M4" s="405">
        <v>46003</v>
      </c>
      <c r="N4" s="405">
        <v>46041</v>
      </c>
      <c r="O4" s="86" t="s">
        <v>231</v>
      </c>
      <c r="P4" s="86" t="s">
        <v>304</v>
      </c>
      <c r="Q4" s="86"/>
      <c r="R4" s="193" t="s">
        <v>268</v>
      </c>
      <c r="S4" s="86"/>
      <c r="T4" s="137" t="s">
        <v>690</v>
      </c>
      <c r="U4" s="236">
        <v>46006</v>
      </c>
      <c r="V4" s="236">
        <v>46007</v>
      </c>
      <c r="W4" s="86" t="s">
        <v>231</v>
      </c>
      <c r="X4" s="86"/>
      <c r="Y4" s="86" t="s">
        <v>306</v>
      </c>
      <c r="Z4" s="236">
        <v>46007</v>
      </c>
      <c r="AA4" s="86"/>
      <c r="AB4" s="86"/>
      <c r="AC4" s="115"/>
      <c r="AD4" s="89" t="s">
        <v>684</v>
      </c>
    </row>
    <row r="5" spans="1:30" ht="35.25" customHeight="1">
      <c r="A5" s="86">
        <v>4</v>
      </c>
      <c r="B5" s="239" t="s">
        <v>5</v>
      </c>
      <c r="C5" s="236">
        <v>46002</v>
      </c>
      <c r="D5" s="236">
        <v>46030</v>
      </c>
      <c r="E5" s="401" t="s">
        <v>179</v>
      </c>
      <c r="F5" s="86" t="s">
        <v>268</v>
      </c>
      <c r="G5" s="364" t="s">
        <v>691</v>
      </c>
      <c r="H5" s="86" t="s">
        <v>692</v>
      </c>
      <c r="I5" s="86" t="s">
        <v>13</v>
      </c>
      <c r="J5" s="86">
        <v>5</v>
      </c>
      <c r="K5" s="86"/>
      <c r="L5" s="86">
        <v>53</v>
      </c>
      <c r="M5" s="405">
        <v>46003</v>
      </c>
      <c r="N5" s="405">
        <v>46041</v>
      </c>
      <c r="O5" s="86" t="s">
        <v>268</v>
      </c>
      <c r="P5" s="86" t="s">
        <v>304</v>
      </c>
      <c r="Q5" s="86"/>
      <c r="R5" s="193" t="s">
        <v>231</v>
      </c>
      <c r="S5" s="86"/>
      <c r="T5" s="137" t="s">
        <v>693</v>
      </c>
      <c r="U5" s="236">
        <v>46011</v>
      </c>
      <c r="V5" s="236">
        <v>46011</v>
      </c>
      <c r="W5" s="86" t="s">
        <v>231</v>
      </c>
      <c r="X5" s="86"/>
      <c r="Y5" s="86" t="s">
        <v>306</v>
      </c>
      <c r="Z5" s="236">
        <v>46011</v>
      </c>
      <c r="AA5" s="86"/>
      <c r="AB5" s="86"/>
      <c r="AC5" s="115"/>
      <c r="AD5" s="89" t="s">
        <v>684</v>
      </c>
    </row>
    <row r="6" spans="1:30" ht="35.25" customHeight="1">
      <c r="A6" s="86">
        <v>5</v>
      </c>
      <c r="B6" s="239" t="s">
        <v>5</v>
      </c>
      <c r="C6" s="236">
        <v>46002</v>
      </c>
      <c r="D6" s="236">
        <v>46030</v>
      </c>
      <c r="E6" s="401" t="s">
        <v>179</v>
      </c>
      <c r="F6" s="86" t="s">
        <v>281</v>
      </c>
      <c r="G6" s="364" t="s">
        <v>694</v>
      </c>
      <c r="H6" s="86" t="s">
        <v>695</v>
      </c>
      <c r="I6" s="86" t="s">
        <v>13</v>
      </c>
      <c r="J6" s="86">
        <v>5</v>
      </c>
      <c r="K6" s="86"/>
      <c r="L6" s="86">
        <v>82</v>
      </c>
      <c r="M6" s="405">
        <v>46006</v>
      </c>
      <c r="N6" s="405">
        <v>46022</v>
      </c>
      <c r="O6" s="86" t="s">
        <v>281</v>
      </c>
      <c r="P6" s="86" t="s">
        <v>304</v>
      </c>
      <c r="Q6" s="86"/>
      <c r="R6" s="193" t="s">
        <v>231</v>
      </c>
      <c r="S6" s="86"/>
      <c r="T6" s="137" t="s">
        <v>696</v>
      </c>
      <c r="U6" s="236">
        <v>46017</v>
      </c>
      <c r="V6" s="236">
        <v>46023</v>
      </c>
      <c r="W6" s="86" t="s">
        <v>231</v>
      </c>
      <c r="X6" s="86"/>
      <c r="Y6" s="86" t="s">
        <v>697</v>
      </c>
      <c r="Z6" s="236">
        <v>46023</v>
      </c>
      <c r="AA6" s="86"/>
      <c r="AB6" s="86"/>
      <c r="AC6" s="115"/>
      <c r="AD6" s="89" t="s">
        <v>684</v>
      </c>
    </row>
    <row r="7" spans="1:30" ht="35.25" customHeight="1">
      <c r="A7" s="86">
        <v>5</v>
      </c>
      <c r="B7" s="239" t="s">
        <v>5</v>
      </c>
      <c r="C7" s="236">
        <v>46002</v>
      </c>
      <c r="D7" s="236">
        <v>46030</v>
      </c>
      <c r="E7" s="401" t="s">
        <v>179</v>
      </c>
      <c r="F7" s="86" t="s">
        <v>281</v>
      </c>
      <c r="G7" s="364" t="s">
        <v>698</v>
      </c>
      <c r="H7" s="86" t="s">
        <v>699</v>
      </c>
      <c r="I7" s="86" t="s">
        <v>13</v>
      </c>
      <c r="J7" s="86">
        <v>5</v>
      </c>
      <c r="K7" s="86"/>
      <c r="L7" s="86">
        <v>44</v>
      </c>
      <c r="M7" s="405">
        <v>46007</v>
      </c>
      <c r="N7" s="405">
        <v>46022</v>
      </c>
      <c r="O7" s="86" t="s">
        <v>281</v>
      </c>
      <c r="P7" s="86" t="s">
        <v>304</v>
      </c>
      <c r="Q7" s="86"/>
      <c r="R7" s="193" t="s">
        <v>231</v>
      </c>
      <c r="S7" s="86"/>
      <c r="T7" s="137" t="s">
        <v>696</v>
      </c>
      <c r="U7" s="236">
        <v>46017</v>
      </c>
      <c r="V7" s="236">
        <v>46023</v>
      </c>
      <c r="W7" s="86" t="s">
        <v>231</v>
      </c>
      <c r="X7" s="86"/>
      <c r="Y7" s="86" t="s">
        <v>697</v>
      </c>
      <c r="Z7" s="236">
        <v>46023</v>
      </c>
      <c r="AA7" s="86"/>
      <c r="AB7" s="86"/>
      <c r="AC7" s="115"/>
      <c r="AD7" s="89" t="s">
        <v>684</v>
      </c>
    </row>
    <row r="8" spans="1:30" ht="35.25" customHeight="1">
      <c r="A8" s="86">
        <v>6</v>
      </c>
      <c r="B8" s="239" t="s">
        <v>5</v>
      </c>
      <c r="C8" s="236">
        <v>46002</v>
      </c>
      <c r="D8" s="236">
        <v>46030</v>
      </c>
      <c r="E8" s="401" t="s">
        <v>179</v>
      </c>
      <c r="F8" s="86" t="s">
        <v>281</v>
      </c>
      <c r="G8" s="364" t="s">
        <v>700</v>
      </c>
      <c r="H8" s="86" t="s">
        <v>701</v>
      </c>
      <c r="I8" s="86" t="s">
        <v>13</v>
      </c>
      <c r="J8" s="86">
        <v>5</v>
      </c>
      <c r="K8" s="86"/>
      <c r="L8" s="86">
        <v>37</v>
      </c>
      <c r="M8" s="405">
        <v>46008</v>
      </c>
      <c r="N8" s="405">
        <v>46022</v>
      </c>
      <c r="O8" s="86" t="s">
        <v>281</v>
      </c>
      <c r="P8" s="86" t="s">
        <v>304</v>
      </c>
      <c r="Q8" s="86"/>
      <c r="R8" s="193" t="s">
        <v>231</v>
      </c>
      <c r="S8" s="86"/>
      <c r="T8" s="137" t="s">
        <v>696</v>
      </c>
      <c r="U8" s="236">
        <v>46017</v>
      </c>
      <c r="V8" s="236">
        <v>46023</v>
      </c>
      <c r="W8" s="86" t="s">
        <v>231</v>
      </c>
      <c r="X8" s="86"/>
      <c r="Y8" s="86" t="s">
        <v>697</v>
      </c>
      <c r="Z8" s="236">
        <v>46023</v>
      </c>
      <c r="AA8" s="86"/>
      <c r="AB8" s="86"/>
      <c r="AC8" s="115"/>
      <c r="AD8" s="89" t="s">
        <v>684</v>
      </c>
    </row>
    <row r="9" spans="1:30" ht="35.25" customHeight="1">
      <c r="A9" s="86">
        <v>7</v>
      </c>
      <c r="B9" s="239" t="s">
        <v>5</v>
      </c>
      <c r="C9" s="236">
        <v>46003</v>
      </c>
      <c r="D9" s="236">
        <v>46030</v>
      </c>
      <c r="E9" s="401" t="s">
        <v>179</v>
      </c>
      <c r="F9" s="86" t="s">
        <v>231</v>
      </c>
      <c r="G9" s="364" t="s">
        <v>702</v>
      </c>
      <c r="H9" s="86" t="s">
        <v>703</v>
      </c>
      <c r="I9" s="86" t="s">
        <v>13</v>
      </c>
      <c r="J9" s="86">
        <v>1</v>
      </c>
      <c r="K9" s="86"/>
      <c r="L9" s="86">
        <v>6</v>
      </c>
      <c r="M9" s="405" t="s">
        <v>93</v>
      </c>
      <c r="N9" s="405" t="s">
        <v>93</v>
      </c>
      <c r="O9" s="405" t="s">
        <v>93</v>
      </c>
      <c r="P9" s="405" t="s">
        <v>304</v>
      </c>
      <c r="Q9" s="86"/>
      <c r="R9" s="193" t="s">
        <v>93</v>
      </c>
      <c r="S9" s="86"/>
      <c r="T9" s="405" t="s">
        <v>93</v>
      </c>
      <c r="U9" s="405" t="s">
        <v>93</v>
      </c>
      <c r="V9" s="405" t="s">
        <v>93</v>
      </c>
      <c r="W9" s="405" t="s">
        <v>93</v>
      </c>
      <c r="X9" s="86"/>
      <c r="Y9" s="405" t="s">
        <v>93</v>
      </c>
      <c r="Z9" s="405" t="s">
        <v>93</v>
      </c>
      <c r="AA9" s="86"/>
      <c r="AB9" s="86"/>
      <c r="AC9" s="115"/>
      <c r="AD9" s="89" t="s">
        <v>684</v>
      </c>
    </row>
    <row r="10" spans="1:30" ht="35.25" customHeight="1">
      <c r="A10" s="86">
        <v>8</v>
      </c>
      <c r="B10" s="239" t="s">
        <v>5</v>
      </c>
      <c r="C10" s="236">
        <v>46003</v>
      </c>
      <c r="D10" s="236">
        <v>46030</v>
      </c>
      <c r="E10" s="401" t="s">
        <v>179</v>
      </c>
      <c r="F10" s="86" t="s">
        <v>506</v>
      </c>
      <c r="G10" s="364" t="s">
        <v>704</v>
      </c>
      <c r="H10" s="86" t="s">
        <v>705</v>
      </c>
      <c r="I10" s="86" t="s">
        <v>13</v>
      </c>
      <c r="J10" s="86">
        <v>3</v>
      </c>
      <c r="K10" s="86"/>
      <c r="L10" s="86">
        <v>7</v>
      </c>
      <c r="M10" s="405">
        <v>46013</v>
      </c>
      <c r="N10" s="405">
        <v>46014</v>
      </c>
      <c r="O10" s="86" t="s">
        <v>268</v>
      </c>
      <c r="P10" s="102" t="s">
        <v>304</v>
      </c>
      <c r="Q10" s="86"/>
      <c r="R10" s="193" t="s">
        <v>231</v>
      </c>
      <c r="S10" s="86"/>
      <c r="T10" s="137" t="s">
        <v>706</v>
      </c>
      <c r="U10" s="236">
        <v>46021</v>
      </c>
      <c r="V10" s="236">
        <v>46022</v>
      </c>
      <c r="W10" s="86" t="s">
        <v>231</v>
      </c>
      <c r="X10" s="86"/>
      <c r="Y10" s="86" t="s">
        <v>697</v>
      </c>
      <c r="Z10" s="236">
        <v>46022</v>
      </c>
      <c r="AA10" s="86"/>
      <c r="AB10" s="86"/>
      <c r="AC10" s="115"/>
      <c r="AD10" s="89" t="s">
        <v>684</v>
      </c>
    </row>
    <row r="11" spans="1:30" ht="35.25" customHeight="1">
      <c r="A11" s="86">
        <v>9</v>
      </c>
      <c r="B11" s="239" t="s">
        <v>5</v>
      </c>
      <c r="C11" s="236">
        <v>46002</v>
      </c>
      <c r="D11" s="236">
        <v>46030</v>
      </c>
      <c r="E11" s="401" t="s">
        <v>179</v>
      </c>
      <c r="F11" s="86" t="s">
        <v>268</v>
      </c>
      <c r="G11" s="364" t="s">
        <v>707</v>
      </c>
      <c r="H11" s="86" t="s">
        <v>708</v>
      </c>
      <c r="I11" s="86" t="s">
        <v>13</v>
      </c>
      <c r="J11" s="86">
        <v>2</v>
      </c>
      <c r="K11" s="86"/>
      <c r="L11" s="86">
        <v>18</v>
      </c>
      <c r="M11" s="405">
        <v>45993</v>
      </c>
      <c r="N11" s="405">
        <v>46027</v>
      </c>
      <c r="O11" s="86" t="s">
        <v>268</v>
      </c>
      <c r="P11" s="102" t="s">
        <v>304</v>
      </c>
      <c r="Q11" s="86"/>
      <c r="R11" s="193" t="s">
        <v>231</v>
      </c>
      <c r="S11" s="86"/>
      <c r="T11" s="137" t="s">
        <v>709</v>
      </c>
      <c r="U11" s="236">
        <v>46027</v>
      </c>
      <c r="V11" s="236">
        <v>46028</v>
      </c>
      <c r="W11" s="86" t="s">
        <v>231</v>
      </c>
      <c r="X11" s="86"/>
      <c r="Y11" s="86" t="s">
        <v>306</v>
      </c>
      <c r="Z11" s="236">
        <v>46028</v>
      </c>
      <c r="AA11" s="86"/>
      <c r="AB11" s="86"/>
      <c r="AC11" s="115"/>
      <c r="AD11" s="89" t="s">
        <v>684</v>
      </c>
    </row>
    <row r="12" spans="1:30" ht="35.25" customHeight="1">
      <c r="A12" s="86">
        <v>10</v>
      </c>
      <c r="B12" s="239" t="s">
        <v>5</v>
      </c>
      <c r="C12" s="236">
        <v>46003</v>
      </c>
      <c r="D12" s="236">
        <v>46030</v>
      </c>
      <c r="E12" s="401" t="s">
        <v>179</v>
      </c>
      <c r="F12" s="102" t="s">
        <v>281</v>
      </c>
      <c r="G12" s="229" t="s">
        <v>710</v>
      </c>
      <c r="H12" s="102" t="s">
        <v>711</v>
      </c>
      <c r="I12" s="102" t="s">
        <v>13</v>
      </c>
      <c r="J12" s="102">
        <v>2</v>
      </c>
      <c r="K12" s="102"/>
      <c r="L12" s="102">
        <v>12.5</v>
      </c>
      <c r="M12" s="408">
        <v>46022</v>
      </c>
      <c r="N12" s="408">
        <v>46024</v>
      </c>
      <c r="O12" s="102" t="s">
        <v>281</v>
      </c>
      <c r="P12" s="102" t="s">
        <v>304</v>
      </c>
      <c r="Q12" s="102"/>
      <c r="R12" s="219" t="s">
        <v>268</v>
      </c>
      <c r="S12" s="102"/>
      <c r="T12" s="225" t="s">
        <v>712</v>
      </c>
      <c r="U12" s="257">
        <v>46024</v>
      </c>
      <c r="V12" s="257">
        <v>46025</v>
      </c>
      <c r="W12" s="102" t="s">
        <v>231</v>
      </c>
      <c r="X12" s="102"/>
      <c r="Y12" s="102" t="s">
        <v>306</v>
      </c>
      <c r="Z12" s="257">
        <v>46027</v>
      </c>
      <c r="AA12" s="102"/>
      <c r="AB12" s="102"/>
      <c r="AC12" s="120"/>
      <c r="AD12" s="89" t="s">
        <v>684</v>
      </c>
    </row>
    <row r="13" spans="1:30" ht="35.25" customHeight="1">
      <c r="A13" s="86">
        <v>11</v>
      </c>
      <c r="B13" s="239" t="s">
        <v>5</v>
      </c>
      <c r="C13" s="236">
        <v>46003</v>
      </c>
      <c r="D13" s="236">
        <v>46030</v>
      </c>
      <c r="E13" s="400" t="s">
        <v>179</v>
      </c>
      <c r="F13" s="86" t="s">
        <v>281</v>
      </c>
      <c r="G13" s="229" t="s">
        <v>713</v>
      </c>
      <c r="H13" s="86" t="s">
        <v>714</v>
      </c>
      <c r="I13" s="86" t="s">
        <v>13</v>
      </c>
      <c r="J13" s="86">
        <v>3</v>
      </c>
      <c r="K13" s="86"/>
      <c r="L13" s="86">
        <v>22</v>
      </c>
      <c r="M13" s="408">
        <v>46029</v>
      </c>
      <c r="N13" s="408">
        <v>46029</v>
      </c>
      <c r="O13" s="86" t="s">
        <v>281</v>
      </c>
      <c r="P13" s="102" t="s">
        <v>304</v>
      </c>
      <c r="Q13" s="86"/>
      <c r="R13" s="193" t="s">
        <v>268</v>
      </c>
      <c r="S13" s="86"/>
      <c r="T13" s="137" t="s">
        <v>715</v>
      </c>
      <c r="U13" s="257">
        <v>46029</v>
      </c>
      <c r="V13" s="257">
        <v>46029</v>
      </c>
      <c r="W13" s="86" t="s">
        <v>231</v>
      </c>
      <c r="X13" s="86"/>
      <c r="Y13" s="102" t="s">
        <v>306</v>
      </c>
      <c r="Z13" s="257">
        <v>46029</v>
      </c>
      <c r="AA13" s="86"/>
      <c r="AB13" s="115"/>
      <c r="AC13" s="86"/>
      <c r="AD13" s="139"/>
    </row>
    <row r="14" spans="1:30" ht="35.25" customHeight="1">
      <c r="A14" s="86">
        <v>12</v>
      </c>
      <c r="B14" s="239" t="s">
        <v>5</v>
      </c>
      <c r="C14" s="236">
        <v>46003</v>
      </c>
      <c r="D14" s="236">
        <v>46030</v>
      </c>
      <c r="E14" s="400" t="s">
        <v>179</v>
      </c>
      <c r="F14" s="115" t="s">
        <v>716</v>
      </c>
      <c r="G14" s="364" t="s">
        <v>717</v>
      </c>
      <c r="H14" s="138" t="s">
        <v>718</v>
      </c>
      <c r="I14" s="86" t="s">
        <v>13</v>
      </c>
      <c r="J14" s="86">
        <v>2</v>
      </c>
      <c r="K14" s="86"/>
      <c r="L14" s="86">
        <v>29</v>
      </c>
      <c r="M14" s="408">
        <v>46028</v>
      </c>
      <c r="N14" s="408">
        <v>46029</v>
      </c>
      <c r="O14" s="86" t="s">
        <v>268</v>
      </c>
      <c r="P14" s="102" t="s">
        <v>304</v>
      </c>
      <c r="Q14" s="86"/>
      <c r="R14" s="193" t="s">
        <v>281</v>
      </c>
      <c r="S14" s="86"/>
      <c r="T14" s="137" t="s">
        <v>719</v>
      </c>
      <c r="U14" s="257">
        <v>46029</v>
      </c>
      <c r="V14" s="257">
        <v>46030</v>
      </c>
      <c r="W14" s="86" t="s">
        <v>231</v>
      </c>
      <c r="X14" s="86"/>
      <c r="Y14" s="102" t="s">
        <v>306</v>
      </c>
      <c r="Z14" s="257">
        <v>46030</v>
      </c>
      <c r="AA14" s="86"/>
      <c r="AB14" s="115"/>
      <c r="AC14" s="86"/>
      <c r="AD14" s="86"/>
    </row>
    <row r="15" spans="1:30" ht="35.25" customHeight="1">
      <c r="A15" s="86">
        <v>13</v>
      </c>
      <c r="B15" s="239" t="s">
        <v>5</v>
      </c>
      <c r="C15" s="236">
        <v>46003</v>
      </c>
      <c r="D15" s="236">
        <v>46030</v>
      </c>
      <c r="E15" s="400" t="s">
        <v>179</v>
      </c>
      <c r="F15" s="115" t="s">
        <v>268</v>
      </c>
      <c r="G15" s="364" t="s">
        <v>649</v>
      </c>
      <c r="H15" s="138" t="s">
        <v>720</v>
      </c>
      <c r="I15" s="86" t="s">
        <v>271</v>
      </c>
      <c r="J15" s="86">
        <v>2</v>
      </c>
      <c r="K15" s="86"/>
      <c r="L15" s="86">
        <v>9</v>
      </c>
      <c r="M15" s="405">
        <v>45999</v>
      </c>
      <c r="N15" s="86"/>
      <c r="O15" s="86"/>
      <c r="P15" s="86"/>
      <c r="Q15" s="86"/>
      <c r="R15" s="193"/>
      <c r="S15" s="86"/>
      <c r="T15" s="86"/>
      <c r="U15" s="86"/>
      <c r="V15" s="115"/>
      <c r="W15" s="86"/>
      <c r="X15" s="86"/>
      <c r="Y15" s="86"/>
      <c r="Z15" s="86"/>
      <c r="AA15" s="86"/>
      <c r="AB15" s="115"/>
      <c r="AC15" s="86"/>
      <c r="AD15" s="86"/>
    </row>
  </sheetData>
  <hyperlinks>
    <hyperlink ref="T2" r:id="rId1" xr:uid="{1A78D4AD-DF24-42F4-A02F-DD1C2AEEE605}"/>
    <hyperlink ref="T4" r:id="rId2" xr:uid="{88A185D2-228A-403E-9D5F-A43AA6048993}"/>
    <hyperlink ref="T3" r:id="rId3" xr:uid="{672D5788-44F3-4F1D-9558-8007B109AD2B}"/>
    <hyperlink ref="T5" r:id="rId4" xr:uid="{511BB13D-4125-40CB-8446-143E543CFB31}"/>
    <hyperlink ref="T10" r:id="rId5" xr:uid="{F33B8179-B2B0-4EA5-BC7F-07A5B3EDC6B1}"/>
    <hyperlink ref="T6" r:id="rId6" xr:uid="{E9815C86-BDD9-4B04-861C-1C32C52F2900}"/>
    <hyperlink ref="T7" r:id="rId7" xr:uid="{3B6983B4-D318-4AF8-ABD2-6B76942C1595}"/>
    <hyperlink ref="T8" r:id="rId8" xr:uid="{9E45DA26-7487-4680-A64C-00595355D7D7}"/>
    <hyperlink ref="T12" r:id="rId9" xr:uid="{5791FE2C-04C5-4684-9A12-628BF1AD3797}"/>
    <hyperlink ref="T11" r:id="rId10" xr:uid="{3D6C4622-6576-4EDD-A398-B39A0CD539A0}"/>
    <hyperlink ref="T13" r:id="rId11" xr:uid="{FD9A316C-2401-4D87-9783-ECD7C31F6F06}"/>
    <hyperlink ref="T14" r:id="rId12" xr:uid="{7CC327F8-E5AE-4CC5-8F92-43FD063B5357}"/>
  </hyperlinks>
  <pageMargins left="0" right="0" top="0" bottom="0" header="0" footer="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C4144-0B82-4DF5-BB1A-69327AE93E8E}">
  <sheetPr>
    <outlinePr summaryBelow="0" summaryRight="0"/>
  </sheetPr>
  <dimension ref="A1:O2"/>
  <sheetViews>
    <sheetView topLeftCell="B1" workbookViewId="0">
      <selection activeCell="G21" sqref="G21"/>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ht="15" customHeight="1">
      <c r="B2" s="237"/>
      <c r="C2" s="192"/>
      <c r="D2" s="224"/>
      <c r="E2" s="86"/>
      <c r="F2" s="353"/>
      <c r="G2" s="86" t="s">
        <v>300</v>
      </c>
      <c r="H2" s="331"/>
      <c r="I2" s="353"/>
      <c r="J2" s="98"/>
      <c r="K2" s="363"/>
      <c r="L2" s="108"/>
      <c r="M2" s="108"/>
      <c r="N2" s="98"/>
      <c r="O2" s="86"/>
    </row>
  </sheetData>
  <autoFilter ref="A1:M1" xr:uid="{3A2BB050-11AC-4ED7-A296-96B42C7FCFBA}"/>
  <dataValidations count="5">
    <dataValidation type="list" allowBlank="1" showErrorMessage="1" sqref="I2" xr:uid="{38E22277-8B72-43C3-A09E-D9A421649F0F}">
      <formula1>"Manual, Automation"</formula1>
    </dataValidation>
    <dataValidation type="list" allowBlank="1" showErrorMessage="1" sqref="H2" xr:uid="{9EE04FC2-43E3-4BC3-A108-0423F7583AC7}">
      <formula1>"Minor,Significant,Major"</formula1>
    </dataValidation>
    <dataValidation type="list" allowBlank="1" showErrorMessage="1" sqref="J2" xr:uid="{54AC5DEE-EA13-470D-A3E1-127AF5125F51}">
      <formula1>"Internal,External"</formula1>
    </dataValidation>
    <dataValidation type="list" allowBlank="1" showErrorMessage="1" sqref="F2" xr:uid="{63CFD8F7-195C-476A-A397-90543A616DDC}">
      <formula1>"Bounceback/Sub-Defect,Defect,None"</formula1>
    </dataValidation>
    <dataValidation type="list" allowBlank="1" showErrorMessage="1" sqref="K1:K1048576" xr:uid="{8B6F64DF-90B4-4F8A-9DA2-E83110FB434A}">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76BDFF32-75BC-4489-841F-76E065BB71EA}">
          <x14:formula1>
            <xm:f>Details!$A$2:$A$10</xm:f>
          </x14:formula1>
          <xm:sqref>L2</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A217B-07FC-4589-8333-8201BDB826C6}">
  <sheetPr>
    <outlinePr summaryBelow="0" summaryRight="0"/>
  </sheetPr>
  <dimension ref="A1:AD12"/>
  <sheetViews>
    <sheetView showGridLines="0" workbookViewId="0">
      <pane ySplit="1" topLeftCell="B2" activePane="bottomLeft" state="frozen"/>
      <selection pane="bottomLeft" activeCell="L9" sqref="L9"/>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3.28515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4" width="14.42578125" style="43" customWidth="1"/>
    <col min="15" max="15" width="15.28515625" style="43" customWidth="1"/>
    <col min="16" max="16" width="19.85546875" style="43" customWidth="1"/>
    <col min="17" max="17" width="18.5703125" style="43"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267</v>
      </c>
    </row>
    <row r="2" spans="1:30" ht="35.25" customHeight="1">
      <c r="A2" s="86">
        <v>1</v>
      </c>
      <c r="B2" s="239" t="s">
        <v>5</v>
      </c>
      <c r="C2" s="236">
        <v>45988</v>
      </c>
      <c r="D2" s="236">
        <v>46002</v>
      </c>
      <c r="E2" s="401" t="s">
        <v>175</v>
      </c>
      <c r="F2" s="86" t="s">
        <v>231</v>
      </c>
      <c r="G2" s="364" t="s">
        <v>721</v>
      </c>
      <c r="H2" s="86" t="s">
        <v>722</v>
      </c>
      <c r="I2" s="115" t="s">
        <v>13</v>
      </c>
      <c r="J2" s="86">
        <v>1</v>
      </c>
      <c r="K2" s="86"/>
      <c r="L2" s="86">
        <v>12</v>
      </c>
      <c r="M2" s="405">
        <v>45987</v>
      </c>
      <c r="N2" s="405">
        <v>45987</v>
      </c>
      <c r="O2" s="86" t="s">
        <v>268</v>
      </c>
      <c r="P2" s="86" t="s">
        <v>304</v>
      </c>
      <c r="Q2" s="115"/>
      <c r="R2" s="193" t="s">
        <v>231</v>
      </c>
      <c r="S2" s="86"/>
      <c r="T2" s="360" t="s">
        <v>723</v>
      </c>
      <c r="U2" s="236">
        <v>45987</v>
      </c>
      <c r="V2" s="236">
        <v>45987</v>
      </c>
      <c r="W2" s="86" t="s">
        <v>231</v>
      </c>
      <c r="X2" s="86"/>
      <c r="Y2" s="86" t="s">
        <v>306</v>
      </c>
      <c r="Z2" s="236">
        <v>45987</v>
      </c>
      <c r="AA2" s="361"/>
      <c r="AB2" s="86"/>
      <c r="AC2" s="86"/>
      <c r="AD2" s="86"/>
    </row>
    <row r="3" spans="1:30" ht="35.25" customHeight="1">
      <c r="A3" s="86">
        <v>2</v>
      </c>
      <c r="B3" s="239" t="s">
        <v>5</v>
      </c>
      <c r="C3" s="236">
        <v>45988</v>
      </c>
      <c r="D3" s="236">
        <v>46002</v>
      </c>
      <c r="E3" s="401" t="s">
        <v>175</v>
      </c>
      <c r="F3" s="86" t="s">
        <v>281</v>
      </c>
      <c r="G3" s="364" t="s">
        <v>724</v>
      </c>
      <c r="H3" s="86" t="s">
        <v>725</v>
      </c>
      <c r="I3" s="115" t="s">
        <v>13</v>
      </c>
      <c r="J3" s="86">
        <v>1</v>
      </c>
      <c r="K3" s="86"/>
      <c r="L3" s="86">
        <v>18</v>
      </c>
      <c r="M3" s="405">
        <v>45988</v>
      </c>
      <c r="N3" s="405">
        <v>45988</v>
      </c>
      <c r="O3" s="86" t="s">
        <v>281</v>
      </c>
      <c r="P3" s="86" t="s">
        <v>304</v>
      </c>
      <c r="Q3" s="115"/>
      <c r="R3" s="193" t="s">
        <v>268</v>
      </c>
      <c r="S3" s="86"/>
      <c r="T3" s="360" t="s">
        <v>726</v>
      </c>
      <c r="U3" s="236">
        <v>45987</v>
      </c>
      <c r="V3" s="236">
        <v>45988</v>
      </c>
      <c r="W3" s="86" t="s">
        <v>231</v>
      </c>
      <c r="X3" s="86"/>
      <c r="Y3" s="86" t="s">
        <v>306</v>
      </c>
      <c r="Z3" s="236">
        <v>45988</v>
      </c>
      <c r="AA3" s="361"/>
      <c r="AB3" s="86"/>
      <c r="AC3" s="86"/>
      <c r="AD3" s="86"/>
    </row>
    <row r="4" spans="1:30" ht="35.25" customHeight="1">
      <c r="A4" s="86">
        <v>3</v>
      </c>
      <c r="B4" s="239" t="s">
        <v>5</v>
      </c>
      <c r="C4" s="236">
        <v>45988</v>
      </c>
      <c r="D4" s="236">
        <v>46002</v>
      </c>
      <c r="E4" s="401" t="s">
        <v>175</v>
      </c>
      <c r="F4" s="86" t="s">
        <v>268</v>
      </c>
      <c r="G4" s="364" t="s">
        <v>727</v>
      </c>
      <c r="H4" s="86" t="s">
        <v>728</v>
      </c>
      <c r="I4" s="115" t="s">
        <v>13</v>
      </c>
      <c r="J4" s="86">
        <v>3</v>
      </c>
      <c r="K4" s="86"/>
      <c r="L4" s="86">
        <v>28</v>
      </c>
      <c r="M4" s="405">
        <v>45988</v>
      </c>
      <c r="N4" s="405">
        <v>45993</v>
      </c>
      <c r="O4" s="86" t="s">
        <v>268</v>
      </c>
      <c r="P4" s="86" t="s">
        <v>304</v>
      </c>
      <c r="Q4" s="115"/>
      <c r="R4" s="193" t="s">
        <v>231</v>
      </c>
      <c r="S4" s="86"/>
      <c r="T4" s="360" t="s">
        <v>729</v>
      </c>
      <c r="U4" s="236">
        <v>45994</v>
      </c>
      <c r="V4" s="236">
        <v>45994</v>
      </c>
      <c r="W4" s="86" t="s">
        <v>231</v>
      </c>
      <c r="X4" s="86"/>
      <c r="Y4" s="86" t="s">
        <v>306</v>
      </c>
      <c r="Z4" s="236">
        <v>45994</v>
      </c>
      <c r="AA4" s="361"/>
      <c r="AB4" s="86"/>
      <c r="AC4" s="86"/>
      <c r="AD4" s="86"/>
    </row>
    <row r="5" spans="1:30" ht="35.25" customHeight="1">
      <c r="A5" s="86">
        <v>4</v>
      </c>
      <c r="B5" s="239" t="s">
        <v>5</v>
      </c>
      <c r="C5" s="236">
        <v>45988</v>
      </c>
      <c r="D5" s="236">
        <v>46002</v>
      </c>
      <c r="E5" s="401" t="s">
        <v>175</v>
      </c>
      <c r="F5" s="86" t="s">
        <v>231</v>
      </c>
      <c r="G5" s="364" t="s">
        <v>730</v>
      </c>
      <c r="H5" s="86" t="s">
        <v>731</v>
      </c>
      <c r="I5" s="115" t="s">
        <v>13</v>
      </c>
      <c r="J5" s="86">
        <v>3</v>
      </c>
      <c r="K5" s="86"/>
      <c r="L5" s="86">
        <v>10</v>
      </c>
      <c r="M5" s="405">
        <v>45988</v>
      </c>
      <c r="N5" s="405"/>
      <c r="O5" s="86" t="s">
        <v>231</v>
      </c>
      <c r="P5" s="86" t="s">
        <v>304</v>
      </c>
      <c r="Q5" s="115"/>
      <c r="R5" s="193" t="s">
        <v>304</v>
      </c>
      <c r="S5" s="86"/>
      <c r="T5" s="360" t="s">
        <v>732</v>
      </c>
      <c r="U5" s="236">
        <v>45997</v>
      </c>
      <c r="V5" s="236">
        <v>45997</v>
      </c>
      <c r="W5" s="86" t="s">
        <v>231</v>
      </c>
      <c r="X5" s="86"/>
      <c r="Y5" s="86" t="s">
        <v>306</v>
      </c>
      <c r="Z5" s="236">
        <v>45997</v>
      </c>
      <c r="AA5" s="361"/>
      <c r="AB5" s="86"/>
      <c r="AC5" s="86"/>
      <c r="AD5" s="86"/>
    </row>
    <row r="6" spans="1:30" ht="35.25" customHeight="1">
      <c r="A6" s="86">
        <v>5</v>
      </c>
      <c r="B6" s="239" t="s">
        <v>5</v>
      </c>
      <c r="C6" s="236">
        <v>45988</v>
      </c>
      <c r="D6" s="236">
        <v>46002</v>
      </c>
      <c r="E6" s="401" t="s">
        <v>175</v>
      </c>
      <c r="F6" s="86" t="s">
        <v>281</v>
      </c>
      <c r="G6" s="364" t="s">
        <v>733</v>
      </c>
      <c r="H6" s="86" t="s">
        <v>734</v>
      </c>
      <c r="I6" s="115" t="s">
        <v>13</v>
      </c>
      <c r="J6" s="86">
        <v>8</v>
      </c>
      <c r="K6" s="86"/>
      <c r="L6" s="86">
        <v>85.25</v>
      </c>
      <c r="M6" s="405">
        <v>45989</v>
      </c>
      <c r="N6" s="405">
        <v>46000</v>
      </c>
      <c r="O6" s="86" t="s">
        <v>735</v>
      </c>
      <c r="P6" s="86" t="s">
        <v>304</v>
      </c>
      <c r="Q6" s="115"/>
      <c r="R6" s="193" t="s">
        <v>481</v>
      </c>
      <c r="S6" s="86"/>
      <c r="T6" s="360" t="s">
        <v>736</v>
      </c>
      <c r="U6" s="257">
        <v>45996</v>
      </c>
      <c r="V6" s="236">
        <v>46000</v>
      </c>
      <c r="W6" s="86" t="s">
        <v>231</v>
      </c>
      <c r="X6" s="86"/>
      <c r="Y6" s="86" t="s">
        <v>306</v>
      </c>
      <c r="Z6" s="236">
        <v>46000</v>
      </c>
      <c r="AA6" s="361"/>
      <c r="AB6" s="86"/>
      <c r="AC6" s="86"/>
      <c r="AD6" s="86"/>
    </row>
    <row r="7" spans="1:30" ht="35.25" customHeight="1">
      <c r="A7" s="102">
        <v>6</v>
      </c>
      <c r="B7" s="262" t="s">
        <v>5</v>
      </c>
      <c r="C7" s="257">
        <v>45988</v>
      </c>
      <c r="D7" s="257">
        <v>46002</v>
      </c>
      <c r="E7" s="404" t="s">
        <v>175</v>
      </c>
      <c r="F7" s="102" t="s">
        <v>268</v>
      </c>
      <c r="G7" s="229" t="s">
        <v>737</v>
      </c>
      <c r="H7" s="102" t="s">
        <v>738</v>
      </c>
      <c r="I7" s="115" t="s">
        <v>13</v>
      </c>
      <c r="J7" s="102">
        <v>3</v>
      </c>
      <c r="K7" s="102"/>
      <c r="L7" s="102">
        <v>40</v>
      </c>
      <c r="M7" s="408">
        <v>45992</v>
      </c>
      <c r="N7" s="408"/>
      <c r="O7" s="102" t="s">
        <v>268</v>
      </c>
      <c r="P7" s="102" t="s">
        <v>304</v>
      </c>
      <c r="Q7" s="120"/>
      <c r="R7" s="219" t="s">
        <v>231</v>
      </c>
      <c r="S7" s="102"/>
      <c r="T7" s="358" t="s">
        <v>739</v>
      </c>
      <c r="U7" s="257">
        <v>45996</v>
      </c>
      <c r="V7" s="257">
        <v>45996</v>
      </c>
      <c r="W7" s="102" t="s">
        <v>231</v>
      </c>
      <c r="X7" s="102"/>
      <c r="Y7" s="83" t="s">
        <v>740</v>
      </c>
      <c r="Z7" s="257">
        <v>45997</v>
      </c>
      <c r="AA7" s="189"/>
      <c r="AB7" s="102"/>
      <c r="AC7" s="102"/>
      <c r="AD7" s="102"/>
    </row>
    <row r="8" spans="1:30" s="86" customFormat="1" ht="35.25" customHeight="1">
      <c r="A8" s="86">
        <v>7</v>
      </c>
      <c r="B8" s="239" t="s">
        <v>5</v>
      </c>
      <c r="C8" s="236">
        <v>45988</v>
      </c>
      <c r="D8" s="236">
        <v>46002</v>
      </c>
      <c r="E8" s="401" t="s">
        <v>175</v>
      </c>
      <c r="F8" s="86" t="s">
        <v>231</v>
      </c>
      <c r="G8" s="364" t="s">
        <v>741</v>
      </c>
      <c r="H8" s="86" t="s">
        <v>742</v>
      </c>
      <c r="I8" s="86" t="s">
        <v>13</v>
      </c>
      <c r="J8" s="86">
        <v>2</v>
      </c>
      <c r="L8" s="86">
        <v>8</v>
      </c>
      <c r="M8" s="405">
        <v>45988</v>
      </c>
      <c r="N8" s="405"/>
      <c r="O8" s="86" t="s">
        <v>231</v>
      </c>
      <c r="P8" s="86" t="s">
        <v>304</v>
      </c>
      <c r="R8" s="193" t="s">
        <v>281</v>
      </c>
      <c r="T8" s="137" t="s">
        <v>743</v>
      </c>
      <c r="U8" s="236">
        <v>45993</v>
      </c>
      <c r="V8" s="236">
        <v>45993</v>
      </c>
      <c r="W8" s="86" t="s">
        <v>231</v>
      </c>
      <c r="Y8" s="86" t="s">
        <v>306</v>
      </c>
      <c r="Z8" s="236">
        <v>45993</v>
      </c>
    </row>
    <row r="9" spans="1:30" ht="35.25" customHeight="1">
      <c r="A9" s="86">
        <v>8</v>
      </c>
      <c r="B9" s="239" t="s">
        <v>5</v>
      </c>
      <c r="C9" s="236">
        <v>45988</v>
      </c>
      <c r="D9" s="236">
        <v>46002</v>
      </c>
      <c r="E9" s="401" t="s">
        <v>175</v>
      </c>
      <c r="F9" s="86" t="s">
        <v>268</v>
      </c>
      <c r="G9" s="364" t="s">
        <v>744</v>
      </c>
      <c r="H9" s="86" t="s">
        <v>745</v>
      </c>
      <c r="I9" s="86" t="s">
        <v>13</v>
      </c>
      <c r="J9" s="86" t="s">
        <v>93</v>
      </c>
      <c r="K9" s="86"/>
      <c r="L9" s="86">
        <v>2</v>
      </c>
      <c r="M9" s="405">
        <v>45995</v>
      </c>
      <c r="N9" s="405">
        <v>45995</v>
      </c>
      <c r="O9" s="86" t="s">
        <v>268</v>
      </c>
      <c r="P9" s="86" t="s">
        <v>304</v>
      </c>
      <c r="Q9" s="86"/>
      <c r="R9" s="193" t="s">
        <v>281</v>
      </c>
      <c r="S9" s="86"/>
      <c r="T9" s="137" t="s">
        <v>746</v>
      </c>
      <c r="U9" s="236">
        <v>45995</v>
      </c>
      <c r="V9" s="236">
        <v>45995</v>
      </c>
      <c r="W9" s="86" t="s">
        <v>231</v>
      </c>
      <c r="X9" s="86"/>
      <c r="Y9" s="86" t="s">
        <v>306</v>
      </c>
      <c r="Z9" s="236">
        <v>45995</v>
      </c>
      <c r="AA9" s="86"/>
      <c r="AB9" s="86"/>
      <c r="AC9" s="86"/>
      <c r="AD9" s="86"/>
    </row>
    <row r="10" spans="1:30" ht="35.25" customHeight="1">
      <c r="A10" s="86">
        <v>9</v>
      </c>
      <c r="B10" s="239" t="s">
        <v>5</v>
      </c>
      <c r="C10" s="236">
        <v>45988</v>
      </c>
      <c r="D10" s="236">
        <v>46002</v>
      </c>
      <c r="E10" s="401" t="s">
        <v>175</v>
      </c>
      <c r="F10" s="86" t="s">
        <v>506</v>
      </c>
      <c r="G10" s="364" t="s">
        <v>747</v>
      </c>
      <c r="H10" s="86" t="s">
        <v>748</v>
      </c>
      <c r="I10" s="86" t="s">
        <v>13</v>
      </c>
      <c r="J10" s="86" t="s">
        <v>93</v>
      </c>
      <c r="K10" s="86"/>
      <c r="L10" s="86">
        <v>15.5</v>
      </c>
      <c r="M10" s="405">
        <v>46000</v>
      </c>
      <c r="N10" s="405">
        <v>46000</v>
      </c>
      <c r="O10" s="86" t="s">
        <v>268</v>
      </c>
      <c r="P10" s="86" t="s">
        <v>304</v>
      </c>
      <c r="Q10" s="86"/>
      <c r="R10" s="193" t="s">
        <v>231</v>
      </c>
      <c r="S10" s="86"/>
      <c r="T10" s="137" t="s">
        <v>749</v>
      </c>
      <c r="U10" s="236">
        <v>46001</v>
      </c>
      <c r="V10" s="236">
        <v>46001</v>
      </c>
      <c r="W10" s="86" t="s">
        <v>231</v>
      </c>
      <c r="X10" s="86"/>
      <c r="Y10" s="86" t="s">
        <v>306</v>
      </c>
      <c r="Z10" s="236">
        <v>46001</v>
      </c>
      <c r="AA10" s="86"/>
      <c r="AB10" s="86"/>
      <c r="AC10" s="86"/>
      <c r="AD10" s="86"/>
    </row>
    <row r="11" spans="1:30" ht="35.25" customHeight="1">
      <c r="A11" s="86">
        <v>10</v>
      </c>
      <c r="B11" s="239" t="s">
        <v>5</v>
      </c>
      <c r="C11" s="236">
        <v>45988</v>
      </c>
      <c r="D11" s="236">
        <v>46002</v>
      </c>
      <c r="E11" s="401" t="s">
        <v>175</v>
      </c>
      <c r="F11" s="86" t="s">
        <v>268</v>
      </c>
      <c r="G11" s="364" t="s">
        <v>681</v>
      </c>
      <c r="H11" s="86" t="s">
        <v>750</v>
      </c>
      <c r="I11" s="115" t="s">
        <v>647</v>
      </c>
      <c r="J11" s="86">
        <v>1</v>
      </c>
      <c r="K11" s="86"/>
      <c r="L11" s="86">
        <v>4</v>
      </c>
      <c r="M11" s="405">
        <v>46000</v>
      </c>
      <c r="N11" s="405">
        <v>46000</v>
      </c>
      <c r="O11" s="86" t="s">
        <v>268</v>
      </c>
      <c r="P11" s="86" t="s">
        <v>304</v>
      </c>
      <c r="Q11" s="86"/>
      <c r="R11" s="193" t="s">
        <v>231</v>
      </c>
      <c r="S11" s="86"/>
      <c r="T11" s="137" t="s">
        <v>683</v>
      </c>
      <c r="U11" s="236">
        <v>46001</v>
      </c>
      <c r="V11" s="236">
        <v>46001</v>
      </c>
      <c r="W11" s="86" t="s">
        <v>231</v>
      </c>
      <c r="X11" s="86"/>
      <c r="Y11" s="86" t="s">
        <v>306</v>
      </c>
      <c r="Z11" s="236">
        <v>46001</v>
      </c>
      <c r="AA11" s="86"/>
      <c r="AB11" s="86"/>
      <c r="AC11" s="86"/>
      <c r="AD11" s="86"/>
    </row>
    <row r="12" spans="1:30" ht="35.25" customHeight="1">
      <c r="A12" s="86">
        <v>11</v>
      </c>
      <c r="B12" s="239" t="s">
        <v>5</v>
      </c>
      <c r="C12" s="236">
        <v>45988</v>
      </c>
      <c r="D12" s="236">
        <v>46002</v>
      </c>
      <c r="E12" s="401" t="s">
        <v>175</v>
      </c>
      <c r="F12" s="86" t="s">
        <v>268</v>
      </c>
      <c r="G12" s="364" t="s">
        <v>691</v>
      </c>
      <c r="H12" s="86" t="s">
        <v>751</v>
      </c>
      <c r="I12" s="86" t="s">
        <v>271</v>
      </c>
      <c r="J12" s="86">
        <v>5</v>
      </c>
      <c r="K12" s="86"/>
      <c r="L12" s="86">
        <v>8</v>
      </c>
      <c r="M12" s="405">
        <v>46002</v>
      </c>
      <c r="N12" s="405"/>
      <c r="O12" s="86"/>
      <c r="P12" s="86"/>
      <c r="Q12" s="86"/>
      <c r="R12" s="193"/>
      <c r="S12" s="86"/>
      <c r="T12" s="137"/>
      <c r="U12" s="236"/>
      <c r="V12" s="236"/>
      <c r="W12" s="86"/>
      <c r="X12" s="86"/>
      <c r="Y12" s="86"/>
      <c r="Z12" s="236"/>
      <c r="AA12" s="86"/>
      <c r="AB12" s="86"/>
      <c r="AC12" s="86"/>
      <c r="AD12" s="86"/>
    </row>
  </sheetData>
  <hyperlinks>
    <hyperlink ref="T2" r:id="rId1" xr:uid="{48C44076-6E84-45E6-9A16-984CE3623A3B}"/>
    <hyperlink ref="T3" r:id="rId2" xr:uid="{64AB4B1A-DA7C-4DD1-9FCD-79B6D3F501D9}"/>
    <hyperlink ref="T4" r:id="rId3" xr:uid="{E11870EB-4FF7-4E3A-9A32-A82BB099664C}"/>
    <hyperlink ref="T8" r:id="rId4" xr:uid="{BC4171CC-403E-40EE-8B31-7E695D50F111}"/>
    <hyperlink ref="T9" r:id="rId5" xr:uid="{1180B5CA-FD13-4865-83A8-DA0FEDFEF05F}"/>
    <hyperlink ref="T5" r:id="rId6" xr:uid="{CEA312F0-DD65-4393-8A1C-3571B596C131}"/>
    <hyperlink ref="T7" r:id="rId7" xr:uid="{83B9F6F9-36AE-4520-838A-AA7D619E4497}"/>
    <hyperlink ref="T6" r:id="rId8" xr:uid="{904BD265-2EFE-477C-8C69-A5CD4BFDA288}"/>
    <hyperlink ref="T10" r:id="rId9" xr:uid="{E57D9177-761B-47D8-BD0A-AD1212E114FB}"/>
    <hyperlink ref="T11" r:id="rId10" xr:uid="{5222615C-0734-48FA-9D5C-480676D7B11B}"/>
  </hyperlinks>
  <pageMargins left="0" right="0" top="0" bottom="0" header="0" footer="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966A-0868-4DA4-9CA8-98C4274BE2C3}">
  <sheetPr>
    <outlinePr summaryBelow="0" summaryRight="0"/>
  </sheetPr>
  <dimension ref="A1:P4"/>
  <sheetViews>
    <sheetView topLeftCell="B1" workbookViewId="0">
      <selection activeCell="G3" sqref="G3"/>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58.5" customHeight="1">
      <c r="A2" s="330"/>
      <c r="B2" s="400" t="s">
        <v>175</v>
      </c>
      <c r="C2" s="98" t="s">
        <v>744</v>
      </c>
      <c r="D2" s="364" t="s">
        <v>752</v>
      </c>
      <c r="E2" s="86" t="s">
        <v>268</v>
      </c>
      <c r="F2" s="353" t="s">
        <v>753</v>
      </c>
      <c r="G2" s="138" t="s">
        <v>745</v>
      </c>
      <c r="H2" s="331" t="s">
        <v>562</v>
      </c>
      <c r="I2" s="353" t="s">
        <v>555</v>
      </c>
      <c r="J2" s="98" t="s">
        <v>556</v>
      </c>
      <c r="K2" s="363" t="s">
        <v>557</v>
      </c>
      <c r="L2" s="108" t="s">
        <v>558</v>
      </c>
      <c r="M2" s="108" t="s">
        <v>304</v>
      </c>
      <c r="N2" s="86"/>
      <c r="O2" s="86"/>
      <c r="P2" s="331"/>
    </row>
    <row r="3" spans="1:16" ht="33" customHeight="1">
      <c r="A3" s="330"/>
      <c r="B3" s="400" t="s">
        <v>175</v>
      </c>
      <c r="C3" s="364" t="s">
        <v>747</v>
      </c>
      <c r="D3" s="364" t="s">
        <v>733</v>
      </c>
      <c r="E3" s="86" t="s">
        <v>268</v>
      </c>
      <c r="F3" s="353" t="s">
        <v>753</v>
      </c>
      <c r="G3" s="138" t="s">
        <v>748</v>
      </c>
      <c r="H3" s="331" t="s">
        <v>562</v>
      </c>
      <c r="I3" s="353" t="s">
        <v>555</v>
      </c>
      <c r="J3" s="98" t="s">
        <v>556</v>
      </c>
      <c r="K3" s="363" t="s">
        <v>557</v>
      </c>
      <c r="L3" s="108" t="s">
        <v>558</v>
      </c>
      <c r="M3" s="108" t="s">
        <v>304</v>
      </c>
      <c r="N3" s="86"/>
      <c r="O3" s="86"/>
      <c r="P3" s="331"/>
    </row>
    <row r="4" spans="1:16" ht="15" customHeight="1">
      <c r="B4" s="237"/>
      <c r="C4" s="192"/>
      <c r="D4" s="224"/>
      <c r="E4" s="86"/>
      <c r="F4" s="353"/>
      <c r="G4" s="86"/>
      <c r="H4" s="331"/>
      <c r="I4" s="353"/>
      <c r="J4" s="98"/>
      <c r="K4" s="363"/>
      <c r="L4" s="108"/>
      <c r="M4" s="108"/>
      <c r="N4" s="98"/>
      <c r="O4" s="86"/>
    </row>
  </sheetData>
  <autoFilter ref="A1:M1" xr:uid="{3A2BB050-11AC-4ED7-A296-96B42C7FCFBA}"/>
  <dataValidations count="5">
    <dataValidation type="list" allowBlank="1" showErrorMessage="1" sqref="I2:I4" xr:uid="{A7DCD597-C67F-46AD-A7DD-683794BB4CBD}">
      <formula1>"Manual, Automation"</formula1>
    </dataValidation>
    <dataValidation type="list" allowBlank="1" showErrorMessage="1" sqref="H2:H4" xr:uid="{90F180D3-A84A-46DF-BAD4-EECAE5FEF7C9}">
      <formula1>"Minor,Significant,Major"</formula1>
    </dataValidation>
    <dataValidation type="list" allowBlank="1" showErrorMessage="1" sqref="J2:J4" xr:uid="{2451996B-C66B-4BF2-A17F-5085BE348D78}">
      <formula1>"Internal,External"</formula1>
    </dataValidation>
    <dataValidation type="list" allowBlank="1" showErrorMessage="1" sqref="F2:F4" xr:uid="{95764820-47AE-4102-A45F-656799D5D585}">
      <formula1>"Bounceback/Sub-Defect,Defect,None"</formula1>
    </dataValidation>
    <dataValidation type="list" allowBlank="1" showErrorMessage="1" sqref="K1:K1048576" xr:uid="{3FB969D4-F272-4C65-B1D4-13280699CC3B}">
      <formula1>"Open,Inprogress,Closed, Rejected"</formula1>
    </dataValidation>
  </dataValidations>
  <hyperlinks>
    <hyperlink ref="C3" r:id="rId1" display="https://greatergiving.atlassian.net/browse/GGO-15110" xr:uid="{28A2065A-1246-4160-9DBE-DB8173F9072C}"/>
    <hyperlink ref="D3" r:id="rId2" display="https://greatergiving.atlassian.net/browse/GGO-14876" xr:uid="{03A32278-BF13-4072-8EAA-19E6557F3AD4}"/>
  </hyperlinks>
  <pageMargins left="0" right="0" top="0" bottom="0" header="0" footer="0"/>
  <legacyDrawing r:id="rId3"/>
  <extLst>
    <ext xmlns:x14="http://schemas.microsoft.com/office/spreadsheetml/2009/9/main" uri="{CCE6A557-97BC-4b89-ADB6-D9C93CAAB3DF}">
      <x14:dataValidations xmlns:xm="http://schemas.microsoft.com/office/excel/2006/main" count="1">
        <x14:dataValidation type="list" allowBlank="1" showErrorMessage="1" xr:uid="{00213C13-3A24-4BDA-A44B-31142780F894}">
          <x14:formula1>
            <xm:f>Details!$A$2:$A$10</xm:f>
          </x14:formula1>
          <xm:sqref>L2:L4</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090FA-2627-4505-B0AA-6F19563F2957}">
  <sheetPr>
    <outlinePr summaryBelow="0" summaryRight="0"/>
  </sheetPr>
  <dimension ref="A1:AD12"/>
  <sheetViews>
    <sheetView showGridLines="0" workbookViewId="0">
      <pane xSplit="7" topLeftCell="H7" activePane="topRight" state="frozen"/>
      <selection pane="topRight" activeCell="Z4" sqref="Z4"/>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3.28515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4" width="14.42578125" style="43" customWidth="1"/>
    <col min="15" max="15" width="15.28515625" style="43" customWidth="1"/>
    <col min="16" max="16" width="19.85546875" style="43" customWidth="1"/>
    <col min="17" max="17" width="18.5703125" style="43"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76.28515625"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267</v>
      </c>
    </row>
    <row r="2" spans="1:30" ht="35.25" customHeight="1">
      <c r="A2" s="86">
        <v>1</v>
      </c>
      <c r="B2" s="239" t="s">
        <v>5</v>
      </c>
      <c r="C2" s="236">
        <v>45974</v>
      </c>
      <c r="D2" s="236">
        <v>45988</v>
      </c>
      <c r="E2" s="401" t="s">
        <v>171</v>
      </c>
      <c r="F2" s="115" t="s">
        <v>231</v>
      </c>
      <c r="G2" s="364" t="s">
        <v>754</v>
      </c>
      <c r="H2" s="138" t="s">
        <v>755</v>
      </c>
      <c r="I2" s="86" t="s">
        <v>13</v>
      </c>
      <c r="J2" s="86">
        <v>2</v>
      </c>
      <c r="K2" s="86"/>
      <c r="L2" s="115">
        <v>14</v>
      </c>
      <c r="M2" s="405">
        <v>45967</v>
      </c>
      <c r="N2" s="405">
        <v>45974</v>
      </c>
      <c r="O2" s="86" t="s">
        <v>268</v>
      </c>
      <c r="P2" s="86" t="s">
        <v>304</v>
      </c>
      <c r="Q2" s="86"/>
      <c r="R2" s="369" t="s">
        <v>735</v>
      </c>
      <c r="S2" s="86"/>
      <c r="T2" s="137" t="s">
        <v>756</v>
      </c>
      <c r="U2" s="257">
        <v>45973</v>
      </c>
      <c r="V2" s="257">
        <v>45974</v>
      </c>
      <c r="W2" s="102" t="s">
        <v>231</v>
      </c>
      <c r="X2" s="86"/>
      <c r="Y2" s="102" t="s">
        <v>306</v>
      </c>
      <c r="Z2" s="257">
        <v>45974</v>
      </c>
      <c r="AA2" s="115"/>
      <c r="AB2" s="86"/>
      <c r="AC2" s="86"/>
      <c r="AD2" s="102" t="s">
        <v>684</v>
      </c>
    </row>
    <row r="3" spans="1:30" ht="35.25" customHeight="1">
      <c r="A3" s="102">
        <v>2</v>
      </c>
      <c r="B3" s="262" t="s">
        <v>5</v>
      </c>
      <c r="C3" s="257">
        <v>45974</v>
      </c>
      <c r="D3" s="257">
        <v>45988</v>
      </c>
      <c r="E3" s="404" t="s">
        <v>171</v>
      </c>
      <c r="F3" s="102" t="s">
        <v>231</v>
      </c>
      <c r="G3" s="229" t="s">
        <v>757</v>
      </c>
      <c r="H3" s="406" t="s">
        <v>758</v>
      </c>
      <c r="I3" s="102" t="s">
        <v>13</v>
      </c>
      <c r="J3" s="102">
        <v>1</v>
      </c>
      <c r="K3" s="102"/>
      <c r="L3" s="102">
        <v>24</v>
      </c>
      <c r="M3" s="408">
        <v>45974</v>
      </c>
      <c r="N3" s="408">
        <v>45974</v>
      </c>
      <c r="O3" s="102" t="s">
        <v>268</v>
      </c>
      <c r="P3" s="102" t="s">
        <v>304</v>
      </c>
      <c r="Q3" s="102"/>
      <c r="R3" s="219" t="s">
        <v>231</v>
      </c>
      <c r="S3" s="102"/>
      <c r="T3" s="358" t="s">
        <v>759</v>
      </c>
      <c r="U3" s="359">
        <v>45974</v>
      </c>
      <c r="V3" s="257">
        <v>45975</v>
      </c>
      <c r="W3" s="111" t="s">
        <v>231</v>
      </c>
      <c r="X3" s="102"/>
      <c r="Y3" s="102" t="s">
        <v>306</v>
      </c>
      <c r="Z3" s="257">
        <v>45975</v>
      </c>
      <c r="AA3" s="102"/>
      <c r="AB3" s="102"/>
      <c r="AC3" s="102"/>
      <c r="AD3" s="102" t="s">
        <v>684</v>
      </c>
    </row>
    <row r="4" spans="1:30" ht="35.25" customHeight="1">
      <c r="A4" s="86">
        <v>3</v>
      </c>
      <c r="B4" s="239" t="s">
        <v>5</v>
      </c>
      <c r="C4" s="236">
        <v>45974</v>
      </c>
      <c r="D4" s="236">
        <v>45988</v>
      </c>
      <c r="E4" s="401" t="s">
        <v>171</v>
      </c>
      <c r="F4" s="86" t="s">
        <v>735</v>
      </c>
      <c r="G4" s="229" t="s">
        <v>760</v>
      </c>
      <c r="H4" s="86" t="s">
        <v>761</v>
      </c>
      <c r="I4" s="102" t="s">
        <v>13</v>
      </c>
      <c r="J4" s="86">
        <v>2</v>
      </c>
      <c r="K4" s="86"/>
      <c r="L4" s="115">
        <v>42.5</v>
      </c>
      <c r="M4" s="408">
        <v>45975</v>
      </c>
      <c r="N4" s="405">
        <v>45979</v>
      </c>
      <c r="O4" s="86" t="s">
        <v>735</v>
      </c>
      <c r="P4" s="86" t="s">
        <v>304</v>
      </c>
      <c r="Q4" s="86"/>
      <c r="R4" s="369" t="s">
        <v>231</v>
      </c>
      <c r="S4" s="86"/>
      <c r="T4" s="137" t="s">
        <v>762</v>
      </c>
      <c r="U4" s="236">
        <v>45979</v>
      </c>
      <c r="V4" s="236">
        <v>45979</v>
      </c>
      <c r="W4" s="111" t="s">
        <v>231</v>
      </c>
      <c r="X4" s="86"/>
      <c r="Y4" s="102" t="s">
        <v>306</v>
      </c>
      <c r="Z4" s="236">
        <v>45979</v>
      </c>
      <c r="AA4" s="115"/>
      <c r="AB4" s="86"/>
      <c r="AC4" s="86"/>
      <c r="AD4" s="102" t="s">
        <v>684</v>
      </c>
    </row>
    <row r="5" spans="1:30" ht="60.75" customHeight="1">
      <c r="A5" s="86">
        <v>4</v>
      </c>
      <c r="B5" s="239" t="s">
        <v>5</v>
      </c>
      <c r="C5" s="236">
        <v>45974</v>
      </c>
      <c r="D5" s="236">
        <v>45988</v>
      </c>
      <c r="E5" s="401" t="s">
        <v>171</v>
      </c>
      <c r="F5" s="86" t="s">
        <v>735</v>
      </c>
      <c r="G5" s="229" t="s">
        <v>763</v>
      </c>
      <c r="H5" s="86" t="s">
        <v>764</v>
      </c>
      <c r="I5" s="102" t="s">
        <v>13</v>
      </c>
      <c r="J5" s="86">
        <v>3</v>
      </c>
      <c r="K5" s="86"/>
      <c r="L5" s="115">
        <v>23</v>
      </c>
      <c r="M5" s="405">
        <v>45979</v>
      </c>
      <c r="N5" s="405">
        <v>45981</v>
      </c>
      <c r="O5" s="86" t="s">
        <v>735</v>
      </c>
      <c r="P5" s="86" t="s">
        <v>304</v>
      </c>
      <c r="Q5" s="86"/>
      <c r="R5" s="369" t="s">
        <v>231</v>
      </c>
      <c r="S5" s="86"/>
      <c r="T5" s="137" t="s">
        <v>765</v>
      </c>
      <c r="U5" s="345">
        <v>45980</v>
      </c>
      <c r="V5" s="345">
        <v>45982</v>
      </c>
      <c r="W5" s="86" t="s">
        <v>231</v>
      </c>
      <c r="X5" s="138"/>
      <c r="Y5" s="102" t="s">
        <v>306</v>
      </c>
      <c r="Z5" s="236">
        <v>45982</v>
      </c>
      <c r="AA5" s="115" t="s">
        <v>766</v>
      </c>
      <c r="AB5" s="86"/>
      <c r="AC5" s="86"/>
      <c r="AD5" s="102" t="s">
        <v>684</v>
      </c>
    </row>
    <row r="6" spans="1:30" ht="35.25" customHeight="1">
      <c r="A6" s="86">
        <v>5</v>
      </c>
      <c r="B6" s="239" t="s">
        <v>5</v>
      </c>
      <c r="C6" s="236">
        <v>45974</v>
      </c>
      <c r="D6" s="236">
        <v>45988</v>
      </c>
      <c r="E6" s="401" t="s">
        <v>171</v>
      </c>
      <c r="F6" s="86" t="s">
        <v>231</v>
      </c>
      <c r="G6" s="229" t="s">
        <v>767</v>
      </c>
      <c r="H6" s="86" t="s">
        <v>768</v>
      </c>
      <c r="I6" s="86" t="s">
        <v>13</v>
      </c>
      <c r="J6" s="86">
        <v>3</v>
      </c>
      <c r="K6" s="86"/>
      <c r="L6" s="115">
        <v>13</v>
      </c>
      <c r="M6" s="408">
        <v>45975</v>
      </c>
      <c r="N6" s="405">
        <v>45978</v>
      </c>
      <c r="O6" s="86" t="s">
        <v>231</v>
      </c>
      <c r="P6" s="86" t="s">
        <v>304</v>
      </c>
      <c r="Q6" s="86"/>
      <c r="R6" s="369" t="s">
        <v>268</v>
      </c>
      <c r="S6" s="86"/>
      <c r="T6" s="137" t="s">
        <v>769</v>
      </c>
      <c r="U6" s="236">
        <v>45978</v>
      </c>
      <c r="V6" s="236">
        <v>45979</v>
      </c>
      <c r="W6" s="152" t="s">
        <v>231</v>
      </c>
      <c r="X6" s="86"/>
      <c r="Y6" s="102" t="s">
        <v>306</v>
      </c>
      <c r="Z6" s="236">
        <v>45979</v>
      </c>
      <c r="AA6" s="115"/>
      <c r="AB6" s="86"/>
      <c r="AC6" s="86"/>
      <c r="AD6" s="102" t="s">
        <v>684</v>
      </c>
    </row>
    <row r="7" spans="1:30" ht="35.25" customHeight="1">
      <c r="A7" s="86">
        <v>6</v>
      </c>
      <c r="B7" s="239" t="s">
        <v>5</v>
      </c>
      <c r="C7" s="236">
        <v>45974</v>
      </c>
      <c r="D7" s="236">
        <v>45988</v>
      </c>
      <c r="E7" s="401" t="s">
        <v>171</v>
      </c>
      <c r="F7" s="115" t="s">
        <v>268</v>
      </c>
      <c r="G7" s="229" t="s">
        <v>770</v>
      </c>
      <c r="H7" s="138" t="s">
        <v>771</v>
      </c>
      <c r="I7" s="86" t="s">
        <v>13</v>
      </c>
      <c r="J7" s="86">
        <v>5</v>
      </c>
      <c r="K7" s="86"/>
      <c r="L7" s="115">
        <v>26</v>
      </c>
      <c r="M7" s="405">
        <v>45978</v>
      </c>
      <c r="N7" s="405">
        <v>45980</v>
      </c>
      <c r="O7" s="86" t="s">
        <v>268</v>
      </c>
      <c r="P7" s="86" t="s">
        <v>304</v>
      </c>
      <c r="Q7" s="86"/>
      <c r="R7" s="369" t="s">
        <v>231</v>
      </c>
      <c r="S7" s="86"/>
      <c r="T7" s="360" t="s">
        <v>772</v>
      </c>
      <c r="U7" s="236">
        <v>45979</v>
      </c>
      <c r="V7" s="236">
        <v>45979</v>
      </c>
      <c r="W7" s="102" t="s">
        <v>231</v>
      </c>
      <c r="X7" s="115"/>
      <c r="Y7" s="102" t="s">
        <v>306</v>
      </c>
      <c r="Z7" s="236">
        <v>45980</v>
      </c>
      <c r="AA7" s="115"/>
      <c r="AB7" s="86"/>
      <c r="AC7" s="86"/>
      <c r="AD7" s="102" t="s">
        <v>684</v>
      </c>
    </row>
    <row r="8" spans="1:30" ht="35.25" customHeight="1">
      <c r="A8" s="102">
        <v>7</v>
      </c>
      <c r="B8" s="262" t="s">
        <v>5</v>
      </c>
      <c r="C8" s="257">
        <v>45974</v>
      </c>
      <c r="D8" s="257">
        <v>45988</v>
      </c>
      <c r="E8" s="404" t="s">
        <v>171</v>
      </c>
      <c r="F8" s="120" t="s">
        <v>773</v>
      </c>
      <c r="G8" s="229" t="s">
        <v>774</v>
      </c>
      <c r="H8" s="102" t="s">
        <v>775</v>
      </c>
      <c r="I8" s="102" t="s">
        <v>13</v>
      </c>
      <c r="J8" s="102">
        <v>3</v>
      </c>
      <c r="K8" s="102"/>
      <c r="L8" s="120">
        <v>6</v>
      </c>
      <c r="M8" s="408">
        <v>45978</v>
      </c>
      <c r="N8" s="408">
        <v>45979</v>
      </c>
      <c r="O8" s="102" t="s">
        <v>268</v>
      </c>
      <c r="P8" s="102" t="s">
        <v>304</v>
      </c>
      <c r="Q8" s="102"/>
      <c r="R8" s="355" t="s">
        <v>231</v>
      </c>
      <c r="S8" s="102"/>
      <c r="T8" s="225" t="s">
        <v>776</v>
      </c>
      <c r="U8" s="257">
        <v>45980</v>
      </c>
      <c r="V8" s="359">
        <v>45980</v>
      </c>
      <c r="W8" s="102" t="s">
        <v>231</v>
      </c>
      <c r="X8" s="189"/>
      <c r="Y8" s="102" t="s">
        <v>306</v>
      </c>
      <c r="Z8" s="344">
        <v>45980</v>
      </c>
      <c r="AA8" s="120"/>
      <c r="AB8" s="102"/>
      <c r="AC8" s="102"/>
      <c r="AD8" s="102" t="s">
        <v>684</v>
      </c>
    </row>
    <row r="9" spans="1:30" ht="35.25" customHeight="1">
      <c r="A9" s="86">
        <v>8</v>
      </c>
      <c r="B9" s="239" t="s">
        <v>5</v>
      </c>
      <c r="C9" s="236">
        <v>45974</v>
      </c>
      <c r="D9" s="236">
        <v>45988</v>
      </c>
      <c r="E9" s="401" t="s">
        <v>171</v>
      </c>
      <c r="F9" s="86" t="s">
        <v>268</v>
      </c>
      <c r="G9" s="364" t="s">
        <v>777</v>
      </c>
      <c r="H9" s="86" t="s">
        <v>778</v>
      </c>
      <c r="I9" s="86" t="s">
        <v>13</v>
      </c>
      <c r="J9" s="86">
        <v>2</v>
      </c>
      <c r="K9" s="86"/>
      <c r="L9" s="86">
        <v>34</v>
      </c>
      <c r="M9" s="405">
        <v>45981</v>
      </c>
      <c r="N9" s="405">
        <v>45987</v>
      </c>
      <c r="O9" s="86" t="s">
        <v>268</v>
      </c>
      <c r="P9" s="86" t="s">
        <v>304</v>
      </c>
      <c r="Q9" s="86"/>
      <c r="R9" s="193" t="s">
        <v>735</v>
      </c>
      <c r="S9" s="86"/>
      <c r="T9" s="137" t="s">
        <v>779</v>
      </c>
      <c r="U9" s="257">
        <v>45986</v>
      </c>
      <c r="V9" s="257">
        <v>45986</v>
      </c>
      <c r="W9" s="86" t="s">
        <v>231</v>
      </c>
      <c r="X9" s="86"/>
      <c r="Y9" s="102" t="s">
        <v>306</v>
      </c>
      <c r="Z9" s="257">
        <v>45986</v>
      </c>
      <c r="AA9" s="86"/>
      <c r="AB9" s="102"/>
      <c r="AC9" s="102"/>
      <c r="AD9" s="102" t="s">
        <v>780</v>
      </c>
    </row>
    <row r="10" spans="1:30" ht="35.25" customHeight="1">
      <c r="A10" s="86">
        <v>9</v>
      </c>
      <c r="B10" s="239" t="s">
        <v>5</v>
      </c>
      <c r="C10" s="236">
        <v>45974</v>
      </c>
      <c r="D10" s="236">
        <v>45988</v>
      </c>
      <c r="E10" s="401" t="s">
        <v>171</v>
      </c>
      <c r="F10" s="86" t="s">
        <v>268</v>
      </c>
      <c r="G10" s="364" t="s">
        <v>781</v>
      </c>
      <c r="H10" s="86" t="s">
        <v>782</v>
      </c>
      <c r="I10" s="86" t="s">
        <v>13</v>
      </c>
      <c r="J10" s="102" t="s">
        <v>93</v>
      </c>
      <c r="K10" s="102"/>
      <c r="L10" s="102">
        <v>6</v>
      </c>
      <c r="M10" s="408">
        <v>45981</v>
      </c>
      <c r="N10" s="408">
        <v>45981</v>
      </c>
      <c r="O10" s="102" t="s">
        <v>268</v>
      </c>
      <c r="P10" s="102" t="s">
        <v>304</v>
      </c>
      <c r="Q10" s="102"/>
      <c r="R10" s="219" t="s">
        <v>231</v>
      </c>
      <c r="S10" s="102"/>
      <c r="T10" s="358" t="s">
        <v>783</v>
      </c>
      <c r="U10" s="359">
        <v>45981</v>
      </c>
      <c r="V10" s="257">
        <v>45981</v>
      </c>
      <c r="W10" s="111" t="s">
        <v>231</v>
      </c>
      <c r="X10" s="120"/>
      <c r="Y10" s="102" t="s">
        <v>306</v>
      </c>
      <c r="Z10" s="257">
        <v>45982</v>
      </c>
      <c r="AA10" s="189"/>
      <c r="AB10" s="86"/>
      <c r="AC10" s="86"/>
      <c r="AD10" s="86" t="s">
        <v>684</v>
      </c>
    </row>
    <row r="11" spans="1:30" ht="35.25" customHeight="1">
      <c r="A11" s="86">
        <v>10</v>
      </c>
      <c r="B11" s="239" t="s">
        <v>5</v>
      </c>
      <c r="C11" s="236">
        <v>45974</v>
      </c>
      <c r="D11" s="236">
        <v>45988</v>
      </c>
      <c r="E11" s="401" t="s">
        <v>171</v>
      </c>
      <c r="F11" s="86" t="s">
        <v>231</v>
      </c>
      <c r="G11" s="364" t="s">
        <v>784</v>
      </c>
      <c r="H11" s="86" t="s">
        <v>785</v>
      </c>
      <c r="I11" s="115" t="s">
        <v>13</v>
      </c>
      <c r="J11" s="86">
        <v>2</v>
      </c>
      <c r="K11" s="86"/>
      <c r="L11" s="86">
        <v>6</v>
      </c>
      <c r="M11" s="86"/>
      <c r="N11" s="86"/>
      <c r="O11" s="86" t="s">
        <v>231</v>
      </c>
      <c r="P11" s="86" t="s">
        <v>304</v>
      </c>
      <c r="Q11" s="115"/>
      <c r="R11" s="193">
        <f>-Dashboard!E5026</f>
        <v>0</v>
      </c>
      <c r="S11" s="86"/>
      <c r="T11" s="360" t="s">
        <v>786</v>
      </c>
      <c r="U11" s="236">
        <v>45987</v>
      </c>
      <c r="V11" s="236">
        <v>45987</v>
      </c>
      <c r="W11" s="86" t="s">
        <v>231</v>
      </c>
      <c r="X11" s="86"/>
      <c r="Y11" s="86" t="s">
        <v>306</v>
      </c>
      <c r="Z11" s="236">
        <v>45987</v>
      </c>
      <c r="AA11" s="361"/>
      <c r="AB11" s="86"/>
      <c r="AC11" s="86"/>
      <c r="AD11" s="86"/>
    </row>
    <row r="12" spans="1:30" ht="35.25" customHeight="1">
      <c r="A12" s="86">
        <v>11</v>
      </c>
      <c r="B12" s="239" t="s">
        <v>5</v>
      </c>
      <c r="C12" s="236">
        <v>45974</v>
      </c>
      <c r="D12" s="236">
        <v>45988</v>
      </c>
      <c r="E12" s="401" t="s">
        <v>171</v>
      </c>
      <c r="F12" s="86" t="s">
        <v>773</v>
      </c>
      <c r="G12" s="364" t="s">
        <v>721</v>
      </c>
      <c r="H12" s="86" t="s">
        <v>722</v>
      </c>
      <c r="I12" s="115" t="s">
        <v>787</v>
      </c>
      <c r="J12" s="86">
        <v>2</v>
      </c>
      <c r="K12" s="86"/>
      <c r="L12" s="86">
        <v>3</v>
      </c>
      <c r="M12" s="405">
        <v>45987</v>
      </c>
      <c r="N12" s="405">
        <v>45987</v>
      </c>
      <c r="O12" s="86" t="s">
        <v>268</v>
      </c>
      <c r="P12" s="86" t="s">
        <v>304</v>
      </c>
      <c r="Q12" s="115"/>
      <c r="R12" s="193" t="s">
        <v>231</v>
      </c>
      <c r="S12" s="86"/>
      <c r="T12" s="360" t="s">
        <v>723</v>
      </c>
      <c r="U12" s="236">
        <v>45987</v>
      </c>
      <c r="V12" s="236">
        <v>45987</v>
      </c>
      <c r="W12" s="86" t="s">
        <v>231</v>
      </c>
      <c r="X12" s="86"/>
      <c r="Y12" s="86" t="s">
        <v>306</v>
      </c>
      <c r="Z12" s="236">
        <v>45987</v>
      </c>
      <c r="AA12" s="361"/>
      <c r="AB12" s="86"/>
      <c r="AC12" s="86"/>
      <c r="AD12" s="86"/>
    </row>
  </sheetData>
  <hyperlinks>
    <hyperlink ref="T2" r:id="rId1" xr:uid="{1568D5A1-36FB-4067-A9CC-AB4BB9D6A952}"/>
    <hyperlink ref="G3" r:id="rId2" display="https://greatergiving.atlassian.net/browse/GGO-15073" xr:uid="{3BD1A92F-74ED-4003-A390-7A5CD5FCA895}"/>
    <hyperlink ref="T3" r:id="rId3" xr:uid="{E23762C8-985F-4BA3-BB40-077B2300B375}"/>
    <hyperlink ref="T7" r:id="rId4" xr:uid="{5E9B306F-30D9-4A21-B41A-F53AE9161AFD}"/>
    <hyperlink ref="T6" r:id="rId5" xr:uid="{EB90F6F7-407E-4504-9E13-32954D8DE11C}"/>
    <hyperlink ref="T4" r:id="rId6" xr:uid="{8E9FF694-E001-4B3B-AFFC-5643152A89CA}"/>
    <hyperlink ref="T8" r:id="rId7" xr:uid="{74C44DA9-C35E-41F9-A9C9-BB2EB26DEF7C}"/>
    <hyperlink ref="T10" r:id="rId8" xr:uid="{404B0074-BB59-413E-8006-CE85F38197F0}"/>
    <hyperlink ref="T5" r:id="rId9" xr:uid="{13CCE4A5-09A9-4028-A655-F33C17941D14}"/>
    <hyperlink ref="T9" r:id="rId10" xr:uid="{0049E75B-9691-4952-96B3-7D9980DA44CB}"/>
    <hyperlink ref="T11" r:id="rId11" xr:uid="{33A8A804-4FBD-4D13-B449-C8C1CC8DE9C1}"/>
    <hyperlink ref="T12" r:id="rId12" xr:uid="{93A76B31-9B71-4029-9D75-C7A51202C41F}"/>
  </hyperlinks>
  <pageMargins left="0" right="0" top="0" bottom="0" header="0" footer="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E45AE-77C1-4C17-97AC-008F0709D52C}">
  <sheetPr>
    <outlinePr summaryBelow="0" summaryRight="0"/>
  </sheetPr>
  <dimension ref="A1:P4"/>
  <sheetViews>
    <sheetView topLeftCell="B1" workbookViewId="0">
      <selection activeCell="G2" sqref="G2"/>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58.5" customHeight="1">
      <c r="A2" s="330"/>
      <c r="B2" s="400" t="s">
        <v>171</v>
      </c>
      <c r="C2" s="98" t="s">
        <v>770</v>
      </c>
      <c r="D2" s="364" t="s">
        <v>788</v>
      </c>
      <c r="E2" s="86" t="s">
        <v>268</v>
      </c>
      <c r="F2" s="353" t="s">
        <v>753</v>
      </c>
      <c r="G2" s="138" t="s">
        <v>789</v>
      </c>
      <c r="H2" s="331" t="s">
        <v>562</v>
      </c>
      <c r="I2" s="353" t="s">
        <v>555</v>
      </c>
      <c r="J2" s="98" t="s">
        <v>556</v>
      </c>
      <c r="K2" s="363" t="s">
        <v>557</v>
      </c>
      <c r="L2" s="108" t="s">
        <v>558</v>
      </c>
      <c r="M2" s="108" t="s">
        <v>304</v>
      </c>
      <c r="N2" s="86"/>
      <c r="O2" s="86"/>
      <c r="P2" s="331"/>
    </row>
    <row r="3" spans="1:16" ht="33" customHeight="1">
      <c r="A3" s="330"/>
      <c r="B3" s="237"/>
      <c r="C3" s="364"/>
      <c r="D3" s="364"/>
      <c r="E3" s="86"/>
      <c r="F3" s="353"/>
      <c r="G3" s="239"/>
      <c r="H3" s="331"/>
      <c r="I3" s="353"/>
      <c r="J3" s="98"/>
      <c r="K3" s="363"/>
      <c r="L3" s="108"/>
      <c r="M3" s="108"/>
      <c r="N3" s="86"/>
      <c r="O3" s="86"/>
      <c r="P3" s="331"/>
    </row>
    <row r="4" spans="1:16" ht="15" customHeight="1">
      <c r="B4" s="237"/>
      <c r="C4" s="192"/>
      <c r="D4" s="224"/>
      <c r="E4" s="86"/>
      <c r="F4" s="382"/>
      <c r="G4" s="86"/>
      <c r="H4" s="331"/>
      <c r="I4" s="353"/>
      <c r="J4" s="98"/>
      <c r="K4" s="363"/>
      <c r="L4" s="108"/>
      <c r="M4" s="108"/>
      <c r="N4" s="98"/>
      <c r="O4" s="86"/>
    </row>
  </sheetData>
  <autoFilter ref="A1:M1" xr:uid="{3A2BB050-11AC-4ED7-A296-96B42C7FCFBA}"/>
  <dataValidations count="5">
    <dataValidation type="list" allowBlank="1" showErrorMessage="1" sqref="K1:K1048576" xr:uid="{83591E45-3B7E-4571-A319-639284602CE3}">
      <formula1>"Open,Inprogress,Closed, Rejected"</formula1>
    </dataValidation>
    <dataValidation type="list" allowBlank="1" showErrorMessage="1" sqref="F2:F4" xr:uid="{5D8329B6-5B1F-4E2E-A13D-695927D52FD4}">
      <formula1>"Bounceback/Sub-Defect,Defect,None"</formula1>
    </dataValidation>
    <dataValidation type="list" allowBlank="1" showErrorMessage="1" sqref="J2:J4" xr:uid="{60712556-BD1B-4ECF-A096-229B18F4E590}">
      <formula1>"Internal,External"</formula1>
    </dataValidation>
    <dataValidation type="list" allowBlank="1" showErrorMessage="1" sqref="H2:H4" xr:uid="{37A2F272-2BD0-4C81-AD8A-EA1A58C36EEB}">
      <formula1>"Minor,Significant,Major"</formula1>
    </dataValidation>
    <dataValidation type="list" allowBlank="1" showErrorMessage="1" sqref="I2:I4" xr:uid="{05DA7DA5-BD46-476F-AE7D-81CD3FA2034E}">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92687755-8008-426F-8843-1E38406129FD}">
          <x14:formula1>
            <xm:f>Details!$A$2:$A$10</xm:f>
          </x14:formula1>
          <xm:sqref>L2:L4</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8BED-BDE9-4986-BA99-228F1302DBBE}">
  <sheetPr>
    <outlinePr summaryBelow="0" summaryRight="0"/>
  </sheetPr>
  <dimension ref="A1:AD12"/>
  <sheetViews>
    <sheetView showGridLines="0" workbookViewId="0">
      <pane xSplit="7" topLeftCell="H1" activePane="topRight" state="frozen"/>
      <selection pane="topRight" activeCell="H6" sqref="A6:XFD6"/>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3.28515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4" width="14.42578125" style="43" customWidth="1"/>
    <col min="15" max="15" width="15.28515625" style="43" customWidth="1"/>
    <col min="16" max="16" width="19.85546875" style="43" customWidth="1"/>
    <col min="17" max="17" width="18.5703125" style="43"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267</v>
      </c>
    </row>
    <row r="2" spans="1:30" ht="35.25" customHeight="1">
      <c r="A2" s="86">
        <v>1</v>
      </c>
      <c r="B2" s="239" t="s">
        <v>5</v>
      </c>
      <c r="C2" s="236">
        <v>45960</v>
      </c>
      <c r="D2" s="236">
        <v>45974</v>
      </c>
      <c r="E2" s="400" t="s">
        <v>167</v>
      </c>
      <c r="F2" s="115" t="s">
        <v>716</v>
      </c>
      <c r="G2" s="364" t="s">
        <v>790</v>
      </c>
      <c r="H2" s="115" t="s">
        <v>791</v>
      </c>
      <c r="I2" s="86" t="s">
        <v>13</v>
      </c>
      <c r="J2" s="138">
        <v>5</v>
      </c>
      <c r="K2" s="115"/>
      <c r="L2" s="115">
        <v>52</v>
      </c>
      <c r="M2" s="405">
        <v>45961</v>
      </c>
      <c r="N2" s="405">
        <v>45971</v>
      </c>
      <c r="O2" s="86" t="s">
        <v>281</v>
      </c>
      <c r="P2" s="86" t="s">
        <v>304</v>
      </c>
      <c r="Q2" s="86"/>
      <c r="R2" s="193" t="s">
        <v>268</v>
      </c>
      <c r="S2" s="86"/>
      <c r="T2" s="137" t="s">
        <v>792</v>
      </c>
      <c r="U2" s="236">
        <v>45958</v>
      </c>
      <c r="V2" s="236">
        <v>45968</v>
      </c>
      <c r="W2" s="102" t="s">
        <v>231</v>
      </c>
      <c r="X2" s="115"/>
      <c r="Y2" s="102" t="s">
        <v>306</v>
      </c>
      <c r="Z2" s="362">
        <v>45968</v>
      </c>
      <c r="AA2" s="86"/>
      <c r="AB2" s="86"/>
      <c r="AC2" s="115"/>
      <c r="AD2" s="86" t="s">
        <v>684</v>
      </c>
    </row>
    <row r="3" spans="1:30" ht="35.25" customHeight="1">
      <c r="A3" s="86">
        <v>2</v>
      </c>
      <c r="B3" s="239" t="s">
        <v>5</v>
      </c>
      <c r="C3" s="236">
        <v>45960</v>
      </c>
      <c r="D3" s="236">
        <v>45974</v>
      </c>
      <c r="E3" s="400" t="s">
        <v>167</v>
      </c>
      <c r="F3" s="115" t="s">
        <v>231</v>
      </c>
      <c r="G3" s="364" t="s">
        <v>793</v>
      </c>
      <c r="H3" s="115" t="s">
        <v>794</v>
      </c>
      <c r="I3" s="86" t="s">
        <v>13</v>
      </c>
      <c r="J3" s="138">
        <v>3</v>
      </c>
      <c r="K3" s="115"/>
      <c r="L3" s="115">
        <v>22</v>
      </c>
      <c r="M3" s="405">
        <v>45961</v>
      </c>
      <c r="N3" s="408">
        <v>45965</v>
      </c>
      <c r="O3" s="86" t="s">
        <v>231</v>
      </c>
      <c r="P3" s="86" t="s">
        <v>304</v>
      </c>
      <c r="Q3" s="86"/>
      <c r="R3" s="193" t="s">
        <v>735</v>
      </c>
      <c r="S3" s="86"/>
      <c r="T3" s="137" t="s">
        <v>795</v>
      </c>
      <c r="U3" s="236">
        <v>45965</v>
      </c>
      <c r="V3" s="236">
        <v>45965</v>
      </c>
      <c r="W3" s="86" t="s">
        <v>268</v>
      </c>
      <c r="X3" s="115"/>
      <c r="Y3" s="102" t="s">
        <v>306</v>
      </c>
      <c r="Z3" s="362">
        <v>45965</v>
      </c>
      <c r="AA3" s="86"/>
      <c r="AB3" s="86"/>
      <c r="AC3" s="115"/>
      <c r="AD3" s="86" t="s">
        <v>684</v>
      </c>
    </row>
    <row r="4" spans="1:30" ht="35.25" customHeight="1">
      <c r="A4" s="86">
        <v>3</v>
      </c>
      <c r="B4" s="239" t="s">
        <v>5</v>
      </c>
      <c r="C4" s="236">
        <v>45960</v>
      </c>
      <c r="D4" s="236">
        <v>45974</v>
      </c>
      <c r="E4" s="400" t="s">
        <v>167</v>
      </c>
      <c r="F4" s="115" t="s">
        <v>231</v>
      </c>
      <c r="G4" s="364" t="s">
        <v>796</v>
      </c>
      <c r="H4" s="115" t="s">
        <v>797</v>
      </c>
      <c r="I4" s="86" t="s">
        <v>13</v>
      </c>
      <c r="J4" s="138">
        <v>3</v>
      </c>
      <c r="K4" s="115"/>
      <c r="L4" s="115">
        <v>19</v>
      </c>
      <c r="M4" s="405">
        <v>45961</v>
      </c>
      <c r="N4" s="405">
        <v>45961</v>
      </c>
      <c r="O4" s="86" t="s">
        <v>231</v>
      </c>
      <c r="P4" s="86" t="s">
        <v>304</v>
      </c>
      <c r="Q4" s="86"/>
      <c r="R4" s="193" t="s">
        <v>735</v>
      </c>
      <c r="S4" s="86"/>
      <c r="T4" s="137" t="s">
        <v>798</v>
      </c>
      <c r="U4" s="236">
        <v>45961</v>
      </c>
      <c r="V4" s="236">
        <v>45961</v>
      </c>
      <c r="W4" s="86" t="s">
        <v>735</v>
      </c>
      <c r="X4" s="115"/>
      <c r="Y4" s="102" t="s">
        <v>306</v>
      </c>
      <c r="Z4" s="362">
        <v>45961</v>
      </c>
      <c r="AA4" s="86"/>
      <c r="AB4" s="86"/>
      <c r="AC4" s="115"/>
      <c r="AD4" s="86" t="s">
        <v>684</v>
      </c>
    </row>
    <row r="5" spans="1:30" ht="35.25" customHeight="1">
      <c r="A5" s="86">
        <v>4</v>
      </c>
      <c r="B5" s="239" t="s">
        <v>5</v>
      </c>
      <c r="C5" s="236">
        <v>45960</v>
      </c>
      <c r="D5" s="236">
        <v>45974</v>
      </c>
      <c r="E5" s="400" t="s">
        <v>167</v>
      </c>
      <c r="F5" s="115" t="s">
        <v>735</v>
      </c>
      <c r="G5" s="364" t="s">
        <v>799</v>
      </c>
      <c r="H5" s="115" t="s">
        <v>800</v>
      </c>
      <c r="I5" s="86" t="s">
        <v>13</v>
      </c>
      <c r="J5" s="138">
        <v>3</v>
      </c>
      <c r="K5" s="115"/>
      <c r="L5" s="115">
        <v>16</v>
      </c>
      <c r="M5" s="405">
        <v>45967</v>
      </c>
      <c r="N5" s="405">
        <v>45971</v>
      </c>
      <c r="O5" s="86" t="s">
        <v>735</v>
      </c>
      <c r="P5" s="86" t="s">
        <v>304</v>
      </c>
      <c r="Q5" s="86"/>
      <c r="R5" s="193" t="s">
        <v>231</v>
      </c>
      <c r="S5" s="86"/>
      <c r="T5" s="137" t="s">
        <v>801</v>
      </c>
      <c r="U5" s="236">
        <v>45968</v>
      </c>
      <c r="V5" s="236">
        <v>45968</v>
      </c>
      <c r="W5" s="86" t="s">
        <v>231</v>
      </c>
      <c r="X5" s="115"/>
      <c r="Y5" s="102" t="s">
        <v>306</v>
      </c>
      <c r="Z5" s="362">
        <v>45969</v>
      </c>
      <c r="AA5" s="86"/>
      <c r="AB5" s="86"/>
      <c r="AC5" s="115"/>
      <c r="AD5" s="86" t="s">
        <v>684</v>
      </c>
    </row>
    <row r="6" spans="1:30" ht="35.25" customHeight="1">
      <c r="A6" s="102">
        <v>5</v>
      </c>
      <c r="B6" s="262" t="s">
        <v>5</v>
      </c>
      <c r="C6" s="257">
        <v>45960</v>
      </c>
      <c r="D6" s="257">
        <v>45974</v>
      </c>
      <c r="E6" s="407" t="s">
        <v>167</v>
      </c>
      <c r="F6" s="120" t="s">
        <v>268</v>
      </c>
      <c r="G6" s="229" t="s">
        <v>802</v>
      </c>
      <c r="H6" s="120" t="s">
        <v>803</v>
      </c>
      <c r="I6" s="102" t="s">
        <v>13</v>
      </c>
      <c r="J6" s="111">
        <v>3</v>
      </c>
      <c r="K6" s="120"/>
      <c r="L6" s="120">
        <v>29</v>
      </c>
      <c r="M6" s="408">
        <v>45964</v>
      </c>
      <c r="N6" s="405">
        <v>45967</v>
      </c>
      <c r="O6" s="102" t="s">
        <v>268</v>
      </c>
      <c r="P6" s="86" t="s">
        <v>304</v>
      </c>
      <c r="Q6" s="102"/>
      <c r="R6" s="219" t="s">
        <v>735</v>
      </c>
      <c r="S6" s="102"/>
      <c r="T6" s="225" t="s">
        <v>804</v>
      </c>
      <c r="U6" s="257">
        <v>45967</v>
      </c>
      <c r="V6" s="257">
        <v>45967</v>
      </c>
      <c r="W6" s="102" t="s">
        <v>231</v>
      </c>
      <c r="X6" s="120"/>
      <c r="Y6" s="102" t="s">
        <v>306</v>
      </c>
      <c r="Z6" s="344">
        <v>45968</v>
      </c>
      <c r="AA6" s="102"/>
      <c r="AB6" s="102"/>
      <c r="AC6" s="120"/>
      <c r="AD6" s="86" t="s">
        <v>684</v>
      </c>
    </row>
    <row r="7" spans="1:30" ht="35.25" customHeight="1">
      <c r="A7" s="86">
        <v>6</v>
      </c>
      <c r="B7" s="239" t="s">
        <v>5</v>
      </c>
      <c r="C7" s="236">
        <v>45960</v>
      </c>
      <c r="D7" s="236">
        <v>45974</v>
      </c>
      <c r="E7" s="401" t="s">
        <v>167</v>
      </c>
      <c r="F7" s="115" t="s">
        <v>805</v>
      </c>
      <c r="G7" s="364" t="s">
        <v>754</v>
      </c>
      <c r="H7" s="138" t="s">
        <v>806</v>
      </c>
      <c r="I7" s="86" t="s">
        <v>647</v>
      </c>
      <c r="J7" s="86">
        <v>5</v>
      </c>
      <c r="K7" s="86"/>
      <c r="L7" s="115">
        <v>40</v>
      </c>
      <c r="M7" s="405">
        <v>45967</v>
      </c>
      <c r="N7" s="405">
        <v>45974</v>
      </c>
      <c r="O7" s="86" t="s">
        <v>268</v>
      </c>
      <c r="P7" s="86" t="s">
        <v>304</v>
      </c>
      <c r="Q7" s="86"/>
      <c r="R7" s="369" t="s">
        <v>735</v>
      </c>
      <c r="S7" s="86"/>
      <c r="T7" s="137" t="s">
        <v>756</v>
      </c>
      <c r="U7" s="257">
        <v>45973</v>
      </c>
      <c r="V7" s="257">
        <v>45974</v>
      </c>
      <c r="W7" s="102" t="s">
        <v>231</v>
      </c>
      <c r="X7" s="86"/>
      <c r="Y7" s="102" t="s">
        <v>306</v>
      </c>
      <c r="Z7" s="257">
        <v>45974</v>
      </c>
      <c r="AA7" s="115"/>
      <c r="AB7" s="86"/>
      <c r="AC7" s="86"/>
      <c r="AD7" s="86"/>
    </row>
    <row r="8" spans="1:30" ht="35.25" customHeight="1">
      <c r="A8" s="102">
        <v>7</v>
      </c>
      <c r="B8" s="262" t="s">
        <v>5</v>
      </c>
      <c r="C8" s="257">
        <v>45960</v>
      </c>
      <c r="D8" s="257">
        <v>45974</v>
      </c>
      <c r="E8" s="404" t="s">
        <v>167</v>
      </c>
      <c r="F8" s="120" t="s">
        <v>805</v>
      </c>
      <c r="G8" s="229" t="s">
        <v>807</v>
      </c>
      <c r="H8" s="111" t="s">
        <v>808</v>
      </c>
      <c r="I8" s="102" t="s">
        <v>13</v>
      </c>
      <c r="J8" s="102">
        <v>2</v>
      </c>
      <c r="K8" s="102"/>
      <c r="L8" s="120">
        <v>4</v>
      </c>
      <c r="M8" s="405">
        <v>45972</v>
      </c>
      <c r="N8" s="405">
        <v>45974</v>
      </c>
      <c r="O8" s="102" t="s">
        <v>231</v>
      </c>
      <c r="P8" s="86" t="s">
        <v>304</v>
      </c>
      <c r="Q8" s="102"/>
      <c r="R8" s="355" t="s">
        <v>268</v>
      </c>
      <c r="S8" s="102"/>
      <c r="T8" s="225" t="s">
        <v>809</v>
      </c>
      <c r="U8" s="257">
        <v>45972</v>
      </c>
      <c r="V8" s="257">
        <v>45972</v>
      </c>
      <c r="W8" s="120" t="s">
        <v>231</v>
      </c>
      <c r="X8" s="102"/>
      <c r="Y8" s="102" t="s">
        <v>306</v>
      </c>
      <c r="Z8" s="257">
        <v>45972</v>
      </c>
      <c r="AA8" s="120"/>
      <c r="AB8" s="102"/>
      <c r="AC8" s="102"/>
      <c r="AD8" s="86" t="s">
        <v>684</v>
      </c>
    </row>
    <row r="9" spans="1:30" ht="35.25" customHeight="1">
      <c r="A9" s="86">
        <v>8</v>
      </c>
      <c r="B9" s="239" t="s">
        <v>5</v>
      </c>
      <c r="C9" s="236">
        <v>45960</v>
      </c>
      <c r="D9" s="236">
        <v>45974</v>
      </c>
      <c r="E9" s="401" t="s">
        <v>167</v>
      </c>
      <c r="F9" s="86" t="s">
        <v>805</v>
      </c>
      <c r="G9" s="364" t="s">
        <v>810</v>
      </c>
      <c r="H9" s="86" t="s">
        <v>811</v>
      </c>
      <c r="I9" s="102" t="s">
        <v>13</v>
      </c>
      <c r="J9" s="86">
        <v>2</v>
      </c>
      <c r="K9" s="86"/>
      <c r="L9" s="86">
        <v>10</v>
      </c>
      <c r="M9" s="405">
        <v>45972</v>
      </c>
      <c r="N9" s="405">
        <v>45974</v>
      </c>
      <c r="O9" s="86" t="s">
        <v>268</v>
      </c>
      <c r="P9" s="86" t="s">
        <v>304</v>
      </c>
      <c r="Q9" s="86"/>
      <c r="R9" s="193" t="s">
        <v>735</v>
      </c>
      <c r="S9" s="86"/>
      <c r="T9" s="137" t="s">
        <v>812</v>
      </c>
      <c r="U9" s="257">
        <v>45972</v>
      </c>
      <c r="V9" s="257">
        <v>45972</v>
      </c>
      <c r="W9" s="86" t="s">
        <v>231</v>
      </c>
      <c r="X9" s="86"/>
      <c r="Y9" s="102" t="s">
        <v>306</v>
      </c>
      <c r="Z9" s="257">
        <v>45972</v>
      </c>
      <c r="AA9" s="86"/>
      <c r="AB9" s="86"/>
      <c r="AC9" s="86"/>
      <c r="AD9" s="86" t="s">
        <v>684</v>
      </c>
    </row>
    <row r="10" spans="1:30" ht="41.25" customHeight="1">
      <c r="A10" s="86">
        <v>9</v>
      </c>
      <c r="B10" s="239" t="s">
        <v>5</v>
      </c>
      <c r="C10" s="236">
        <v>45960</v>
      </c>
      <c r="D10" s="236">
        <v>45974</v>
      </c>
      <c r="E10" s="401" t="s">
        <v>167</v>
      </c>
      <c r="F10" s="86" t="s">
        <v>805</v>
      </c>
      <c r="G10" s="364" t="s">
        <v>813</v>
      </c>
      <c r="H10" s="86" t="s">
        <v>814</v>
      </c>
      <c r="I10" s="102" t="s">
        <v>13</v>
      </c>
      <c r="J10" s="86">
        <v>2</v>
      </c>
      <c r="K10" s="86"/>
      <c r="L10" s="86">
        <v>13.5</v>
      </c>
      <c r="M10" s="405">
        <v>45972</v>
      </c>
      <c r="N10" s="405">
        <v>45974</v>
      </c>
      <c r="O10" s="86" t="s">
        <v>735</v>
      </c>
      <c r="P10" s="86" t="s">
        <v>304</v>
      </c>
      <c r="Q10" s="86"/>
      <c r="R10" s="193" t="s">
        <v>231</v>
      </c>
      <c r="S10" s="86"/>
      <c r="T10" s="137" t="s">
        <v>815</v>
      </c>
      <c r="U10" s="257">
        <v>45972</v>
      </c>
      <c r="V10" s="257">
        <v>45973</v>
      </c>
      <c r="W10" s="86" t="s">
        <v>231</v>
      </c>
      <c r="X10" s="86"/>
      <c r="Y10" s="102" t="s">
        <v>306</v>
      </c>
      <c r="Z10" s="257">
        <v>45973</v>
      </c>
      <c r="AA10" s="86"/>
      <c r="AB10" s="86"/>
      <c r="AC10" s="86"/>
      <c r="AD10" s="86" t="s">
        <v>684</v>
      </c>
    </row>
    <row r="11" spans="1:30" ht="35.25" customHeight="1">
      <c r="A11" s="86">
        <v>10</v>
      </c>
      <c r="B11" s="239" t="s">
        <v>5</v>
      </c>
      <c r="C11" s="236">
        <v>45960</v>
      </c>
      <c r="D11" s="236">
        <v>45974</v>
      </c>
      <c r="E11" s="401" t="s">
        <v>167</v>
      </c>
      <c r="F11" s="86" t="s">
        <v>716</v>
      </c>
      <c r="G11" s="364" t="s">
        <v>816</v>
      </c>
      <c r="H11" s="331" t="s">
        <v>817</v>
      </c>
      <c r="I11" s="86" t="s">
        <v>13</v>
      </c>
      <c r="J11" s="86"/>
      <c r="K11" s="86"/>
      <c r="L11" s="86">
        <v>6.5</v>
      </c>
      <c r="M11" s="405">
        <v>45968</v>
      </c>
      <c r="N11" s="405">
        <v>45968</v>
      </c>
      <c r="O11" s="86" t="s">
        <v>735</v>
      </c>
      <c r="P11" s="86" t="s">
        <v>304</v>
      </c>
      <c r="Q11" s="86"/>
      <c r="R11" s="193" t="s">
        <v>231</v>
      </c>
      <c r="S11" s="86"/>
      <c r="T11" s="360" t="s">
        <v>818</v>
      </c>
      <c r="U11" s="345">
        <v>45969</v>
      </c>
      <c r="V11" s="236">
        <v>45969</v>
      </c>
      <c r="W11" s="138" t="s">
        <v>231</v>
      </c>
      <c r="X11" s="86"/>
      <c r="Y11" s="86" t="s">
        <v>306</v>
      </c>
      <c r="Z11" s="236">
        <v>45969</v>
      </c>
      <c r="AA11" s="86"/>
      <c r="AB11" s="86"/>
      <c r="AC11" s="86"/>
      <c r="AD11" s="86" t="s">
        <v>684</v>
      </c>
    </row>
    <row r="12" spans="1:30" ht="35.25" customHeight="1">
      <c r="A12" s="86">
        <v>11</v>
      </c>
      <c r="B12" s="239" t="s">
        <v>5</v>
      </c>
      <c r="C12" s="236">
        <v>45960</v>
      </c>
      <c r="D12" s="236">
        <v>45974</v>
      </c>
      <c r="E12" s="401" t="s">
        <v>167</v>
      </c>
      <c r="F12" s="86" t="s">
        <v>268</v>
      </c>
      <c r="G12" s="364" t="s">
        <v>757</v>
      </c>
      <c r="H12" s="331" t="s">
        <v>758</v>
      </c>
      <c r="I12" s="86" t="s">
        <v>787</v>
      </c>
      <c r="J12" s="86"/>
      <c r="K12" s="86"/>
      <c r="L12" s="86">
        <v>14</v>
      </c>
      <c r="M12" s="405">
        <v>45974</v>
      </c>
      <c r="N12" s="405">
        <v>45974</v>
      </c>
      <c r="O12" s="86" t="s">
        <v>268</v>
      </c>
      <c r="P12" s="86" t="s">
        <v>304</v>
      </c>
      <c r="Q12" s="86"/>
      <c r="R12" s="193" t="s">
        <v>231</v>
      </c>
      <c r="S12" s="86"/>
      <c r="T12" s="360" t="s">
        <v>759</v>
      </c>
      <c r="U12" s="345">
        <v>45974</v>
      </c>
      <c r="V12" s="236">
        <v>45975</v>
      </c>
      <c r="W12" s="138" t="s">
        <v>231</v>
      </c>
      <c r="X12" s="86"/>
      <c r="Y12" s="86" t="s">
        <v>306</v>
      </c>
      <c r="Z12" s="236">
        <v>45975</v>
      </c>
      <c r="AA12" s="86"/>
      <c r="AB12" s="86"/>
      <c r="AC12" s="86"/>
      <c r="AD12" s="86" t="s">
        <v>684</v>
      </c>
    </row>
  </sheetData>
  <hyperlinks>
    <hyperlink ref="T6" r:id="rId1" xr:uid="{15B18ADD-5D06-4F43-ADE8-7D17A8B8F0AA}"/>
    <hyperlink ref="T2" r:id="rId2" xr:uid="{372062EF-6466-4DC8-81AA-E3B8C9A32B61}"/>
    <hyperlink ref="T3" r:id="rId3" xr:uid="{080658E2-35A4-4C95-966A-4EDDEB13DEFE}"/>
    <hyperlink ref="T4" r:id="rId4" xr:uid="{19D07D02-FE8E-4F93-B621-948645517E8A}"/>
    <hyperlink ref="T5" r:id="rId5" xr:uid="{3961998C-2B3E-412C-AAB4-2679739C9522}"/>
    <hyperlink ref="G8" r:id="rId6" display="https://greatergiving.atlassian.net/browse/GGO-15066" xr:uid="{6B008E04-513A-4817-8F9F-E256B52F9B61}"/>
    <hyperlink ref="G9" r:id="rId7" display="https://greatergiving.atlassian.net/browse/GGO-15070" xr:uid="{B42816BC-14E3-4DE5-A369-FA21FCBD4997}"/>
    <hyperlink ref="G10" r:id="rId8" xr:uid="{430E9CCC-A61C-47C6-AFB5-29C7BCD95186}"/>
    <hyperlink ref="G11" r:id="rId9" display="https://greatergiving.atlassian.net/browse/GGO-15073" xr:uid="{D7DCF5EE-BEA4-4B95-963C-0BD1B3D3CAC1}"/>
    <hyperlink ref="T8" r:id="rId10" xr:uid="{B5A8B315-842D-4E4E-86BF-F74E03C586CC}"/>
    <hyperlink ref="T9" r:id="rId11" xr:uid="{9A58165F-F74F-4A6C-9809-374B2443411A}"/>
    <hyperlink ref="T10" r:id="rId12" xr:uid="{0AE79929-28AB-4F06-A612-AC2225A3260A}"/>
    <hyperlink ref="T11" r:id="rId13" xr:uid="{51523592-9900-4C48-9D1A-B5317B087A22}"/>
    <hyperlink ref="T7" r:id="rId14" xr:uid="{72C277A0-3DDF-452D-86E1-4D537BBF98BA}"/>
    <hyperlink ref="G12" r:id="rId15" display="https://greatergiving.atlassian.net/browse/GGO-15073" xr:uid="{78975A75-2E6E-412D-AF37-EF55A5582B5B}"/>
    <hyperlink ref="T12" r:id="rId16" xr:uid="{336C4CE5-DB1C-4C85-A4CA-129453271992}"/>
  </hyperlinks>
  <pageMargins left="0" right="0" top="0" bottom="0" header="0" footer="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F2D5E-D83D-47FB-981C-08C4EC07E50C}">
  <sheetPr>
    <outlinePr summaryBelow="0" summaryRight="0"/>
  </sheetPr>
  <dimension ref="A1:AD6"/>
  <sheetViews>
    <sheetView showGridLines="0" workbookViewId="0">
      <pane xSplit="7" topLeftCell="H1" activePane="topRight" state="frozen"/>
      <selection pane="topRight" activeCell="L8" sqref="L8"/>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3.28515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267</v>
      </c>
    </row>
    <row r="2" spans="1:30" ht="35.25" customHeight="1">
      <c r="A2" s="86">
        <v>1</v>
      </c>
      <c r="B2" s="239" t="s">
        <v>5</v>
      </c>
      <c r="C2" s="236">
        <v>45946</v>
      </c>
      <c r="D2" s="236">
        <v>45960</v>
      </c>
      <c r="E2" s="400" t="s">
        <v>163</v>
      </c>
      <c r="F2" s="115" t="s">
        <v>268</v>
      </c>
      <c r="G2" s="364" t="s">
        <v>819</v>
      </c>
      <c r="H2" s="115" t="s">
        <v>820</v>
      </c>
      <c r="I2" s="86" t="s">
        <v>13</v>
      </c>
      <c r="J2" s="138">
        <v>3</v>
      </c>
      <c r="K2" s="115"/>
      <c r="L2" s="115"/>
      <c r="M2" s="405">
        <v>45947</v>
      </c>
      <c r="N2" s="138"/>
      <c r="O2" s="86" t="s">
        <v>268</v>
      </c>
      <c r="P2" s="86" t="s">
        <v>304</v>
      </c>
      <c r="Q2" s="86"/>
      <c r="R2" s="73" t="s">
        <v>281</v>
      </c>
      <c r="S2" s="86"/>
      <c r="T2" s="137" t="s">
        <v>821</v>
      </c>
      <c r="U2" s="236">
        <v>45953</v>
      </c>
      <c r="V2" s="236">
        <v>45953</v>
      </c>
      <c r="W2" s="86" t="s">
        <v>231</v>
      </c>
      <c r="X2" s="115"/>
      <c r="Y2" s="86" t="s">
        <v>306</v>
      </c>
      <c r="Z2" s="362">
        <v>45953</v>
      </c>
      <c r="AA2" s="86"/>
      <c r="AB2" s="86"/>
      <c r="AC2" s="86"/>
      <c r="AD2" s="86" t="s">
        <v>822</v>
      </c>
    </row>
    <row r="3" spans="1:30" ht="35.25" customHeight="1">
      <c r="A3" s="86">
        <v>2</v>
      </c>
      <c r="B3" s="239" t="s">
        <v>5</v>
      </c>
      <c r="C3" s="236">
        <v>45946</v>
      </c>
      <c r="D3" s="236">
        <v>45960</v>
      </c>
      <c r="E3" s="400" t="s">
        <v>163</v>
      </c>
      <c r="F3" s="115" t="s">
        <v>231</v>
      </c>
      <c r="G3" s="364" t="s">
        <v>823</v>
      </c>
      <c r="H3" s="115" t="s">
        <v>824</v>
      </c>
      <c r="I3" s="86" t="s">
        <v>13</v>
      </c>
      <c r="J3" s="138">
        <v>3</v>
      </c>
      <c r="K3" s="115"/>
      <c r="L3" s="115">
        <v>9</v>
      </c>
      <c r="M3" s="405">
        <v>45947</v>
      </c>
      <c r="N3" s="138"/>
      <c r="O3" s="86"/>
      <c r="P3" s="86"/>
      <c r="Q3" s="86"/>
      <c r="R3" s="193"/>
      <c r="S3" s="86"/>
      <c r="T3" s="137" t="s">
        <v>93</v>
      </c>
      <c r="U3" s="236" t="s">
        <v>93</v>
      </c>
      <c r="V3" s="236" t="s">
        <v>93</v>
      </c>
      <c r="W3" s="86" t="s">
        <v>93</v>
      </c>
      <c r="X3" s="115"/>
      <c r="Y3" s="86" t="s">
        <v>93</v>
      </c>
      <c r="Z3" s="362" t="s">
        <v>93</v>
      </c>
      <c r="AA3" s="86"/>
      <c r="AB3" s="86"/>
      <c r="AC3" s="86"/>
      <c r="AD3" s="102" t="s">
        <v>93</v>
      </c>
    </row>
    <row r="4" spans="1:30" ht="35.25" customHeight="1">
      <c r="A4" s="86">
        <v>3</v>
      </c>
      <c r="B4" s="239" t="s">
        <v>5</v>
      </c>
      <c r="C4" s="236">
        <v>45946</v>
      </c>
      <c r="D4" s="236">
        <v>45960</v>
      </c>
      <c r="E4" s="400" t="s">
        <v>163</v>
      </c>
      <c r="F4" s="115" t="s">
        <v>231</v>
      </c>
      <c r="G4" s="364" t="s">
        <v>825</v>
      </c>
      <c r="H4" s="115" t="s">
        <v>826</v>
      </c>
      <c r="I4" s="86" t="s">
        <v>13</v>
      </c>
      <c r="J4" s="138">
        <v>3</v>
      </c>
      <c r="K4" s="115"/>
      <c r="L4" s="115"/>
      <c r="M4" s="405">
        <v>45947</v>
      </c>
      <c r="N4" s="138"/>
      <c r="O4" s="86" t="s">
        <v>231</v>
      </c>
      <c r="P4" s="86" t="s">
        <v>304</v>
      </c>
      <c r="Q4" s="86"/>
      <c r="R4" s="193"/>
      <c r="S4" s="86"/>
      <c r="T4" s="137" t="s">
        <v>827</v>
      </c>
      <c r="U4" s="236">
        <v>45955</v>
      </c>
      <c r="V4" s="236">
        <v>45955</v>
      </c>
      <c r="W4" s="86" t="s">
        <v>231</v>
      </c>
      <c r="X4" s="115"/>
      <c r="Y4" s="86" t="s">
        <v>306</v>
      </c>
      <c r="Z4" s="362">
        <v>45957</v>
      </c>
      <c r="AA4" s="86"/>
      <c r="AB4" s="86"/>
      <c r="AC4" s="115"/>
      <c r="AD4" s="89" t="s">
        <v>822</v>
      </c>
    </row>
    <row r="5" spans="1:30" ht="35.25" customHeight="1">
      <c r="A5" s="86">
        <v>4</v>
      </c>
      <c r="B5" s="239" t="s">
        <v>5</v>
      </c>
      <c r="C5" s="236">
        <v>45946</v>
      </c>
      <c r="D5" s="236">
        <v>45960</v>
      </c>
      <c r="E5" s="400" t="s">
        <v>163</v>
      </c>
      <c r="F5" s="115" t="s">
        <v>281</v>
      </c>
      <c r="G5" s="364" t="s">
        <v>790</v>
      </c>
      <c r="H5" s="115" t="s">
        <v>791</v>
      </c>
      <c r="I5" s="86" t="s">
        <v>13</v>
      </c>
      <c r="J5" s="138">
        <v>5</v>
      </c>
      <c r="K5" s="115"/>
      <c r="L5" s="115"/>
      <c r="M5" s="405">
        <v>45947</v>
      </c>
      <c r="N5" s="138"/>
      <c r="O5" s="86"/>
      <c r="P5" s="86"/>
      <c r="Q5" s="86"/>
      <c r="R5" s="193"/>
      <c r="S5" s="86"/>
      <c r="T5" s="137"/>
      <c r="U5" s="236"/>
      <c r="V5" s="236"/>
      <c r="W5" s="86"/>
      <c r="X5" s="115"/>
      <c r="Y5" s="86"/>
      <c r="Z5" s="362"/>
      <c r="AA5" s="86"/>
      <c r="AB5" s="86"/>
      <c r="AC5" s="86"/>
      <c r="AD5" s="337" t="s">
        <v>828</v>
      </c>
    </row>
    <row r="6" spans="1:30" ht="35.25" customHeight="1">
      <c r="A6" s="86">
        <v>5</v>
      </c>
      <c r="B6" s="239" t="s">
        <v>5</v>
      </c>
      <c r="C6" s="236">
        <v>45946</v>
      </c>
      <c r="D6" s="236">
        <v>45960</v>
      </c>
      <c r="E6" s="400" t="s">
        <v>163</v>
      </c>
      <c r="F6" s="115" t="s">
        <v>829</v>
      </c>
      <c r="G6" s="364" t="s">
        <v>830</v>
      </c>
      <c r="H6" s="115" t="s">
        <v>831</v>
      </c>
      <c r="I6" s="86" t="s">
        <v>13</v>
      </c>
      <c r="J6" s="138">
        <v>3</v>
      </c>
      <c r="K6" s="115"/>
      <c r="L6" s="115"/>
      <c r="M6" s="405">
        <v>45947</v>
      </c>
      <c r="N6" s="138"/>
      <c r="O6" s="86" t="s">
        <v>268</v>
      </c>
      <c r="P6" s="86" t="s">
        <v>304</v>
      </c>
      <c r="Q6" s="86"/>
      <c r="R6" s="193" t="s">
        <v>281</v>
      </c>
      <c r="S6" s="86"/>
      <c r="T6" s="137" t="s">
        <v>832</v>
      </c>
      <c r="U6" s="236">
        <v>45958</v>
      </c>
      <c r="V6" s="236">
        <v>45958</v>
      </c>
      <c r="W6" s="86" t="s">
        <v>231</v>
      </c>
      <c r="X6" s="115"/>
      <c r="Y6" s="86" t="s">
        <v>306</v>
      </c>
      <c r="Z6" s="362">
        <v>45958</v>
      </c>
      <c r="AA6" s="86" t="s">
        <v>833</v>
      </c>
      <c r="AB6" s="86"/>
      <c r="AC6" s="115"/>
      <c r="AD6" s="89" t="s">
        <v>822</v>
      </c>
    </row>
  </sheetData>
  <hyperlinks>
    <hyperlink ref="T4" r:id="rId1" xr:uid="{0F17D591-5C5D-418E-8740-AEA1E3AD3E10}"/>
    <hyperlink ref="T2" r:id="rId2" xr:uid="{5A9B33C4-293E-4739-9133-AAA767CE645E}"/>
    <hyperlink ref="T6" r:id="rId3" xr:uid="{A57683C8-0839-497D-AD0B-1F923839E0F1}"/>
  </hyperlinks>
  <pageMargins left="0" right="0" top="0" bottom="0" header="0" footer="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03B81-10A8-4391-99FE-B65C7B72122A}">
  <sheetPr>
    <outlinePr summaryBelow="0" summaryRight="0"/>
  </sheetPr>
  <dimension ref="A1:P4"/>
  <sheetViews>
    <sheetView topLeftCell="B1" workbookViewId="0">
      <selection activeCell="E9" sqref="E9"/>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58.5" customHeight="1">
      <c r="A2" s="330"/>
      <c r="B2" s="400" t="s">
        <v>163</v>
      </c>
      <c r="C2" s="98" t="s">
        <v>816</v>
      </c>
      <c r="D2" s="364" t="s">
        <v>790</v>
      </c>
      <c r="E2" s="86" t="s">
        <v>834</v>
      </c>
      <c r="F2" s="353" t="s">
        <v>753</v>
      </c>
      <c r="G2" s="331" t="s">
        <v>817</v>
      </c>
      <c r="H2" s="331" t="s">
        <v>562</v>
      </c>
      <c r="I2" s="353" t="s">
        <v>555</v>
      </c>
      <c r="J2" s="98" t="s">
        <v>556</v>
      </c>
      <c r="K2" s="363" t="s">
        <v>557</v>
      </c>
      <c r="L2" s="108" t="s">
        <v>558</v>
      </c>
      <c r="M2" s="108" t="s">
        <v>304</v>
      </c>
      <c r="N2" s="86"/>
      <c r="O2" s="86"/>
      <c r="P2" s="331"/>
    </row>
    <row r="3" spans="1:16" ht="33" customHeight="1">
      <c r="A3" s="330"/>
      <c r="B3" s="237"/>
      <c r="C3" s="364"/>
      <c r="D3" s="364"/>
      <c r="E3" s="86"/>
      <c r="F3" s="353"/>
      <c r="G3" s="239"/>
      <c r="H3" s="331"/>
      <c r="I3" s="353"/>
      <c r="J3" s="98"/>
      <c r="K3" s="363"/>
      <c r="L3" s="108"/>
      <c r="M3" s="108"/>
      <c r="N3" s="86"/>
      <c r="O3" s="86"/>
      <c r="P3" s="331"/>
    </row>
    <row r="4" spans="1:16" ht="15" customHeight="1">
      <c r="B4" s="237"/>
      <c r="C4" s="192"/>
      <c r="D4" s="224"/>
      <c r="E4" s="86"/>
      <c r="F4" s="382"/>
      <c r="G4" s="86"/>
      <c r="H4" s="331"/>
      <c r="I4" s="353"/>
      <c r="J4" s="98"/>
      <c r="K4" s="363"/>
      <c r="L4" s="108"/>
      <c r="M4" s="108"/>
      <c r="N4" s="98"/>
      <c r="O4" s="86"/>
    </row>
  </sheetData>
  <autoFilter ref="A1:M1" xr:uid="{3A2BB050-11AC-4ED7-A296-96B42C7FCFBA}"/>
  <dataValidations count="5">
    <dataValidation type="list" allowBlank="1" showErrorMessage="1" sqref="I2:I4" xr:uid="{B55103B9-5EC9-41DB-AAFD-27496825ADC8}">
      <formula1>"Manual, Automation"</formula1>
    </dataValidation>
    <dataValidation type="list" allowBlank="1" showErrorMessage="1" sqref="H2:H4" xr:uid="{649FC633-887E-4829-8C2D-226F6FCFD8A3}">
      <formula1>"Minor,Significant,Major"</formula1>
    </dataValidation>
    <dataValidation type="list" allowBlank="1" showErrorMessage="1" sqref="J2:J4" xr:uid="{C90E2251-B83C-424E-B593-4ECF0304A1DA}">
      <formula1>"Internal,External"</formula1>
    </dataValidation>
    <dataValidation type="list" allowBlank="1" showErrorMessage="1" sqref="F2:F4" xr:uid="{04A2F7A4-1808-4B58-9062-A42683533669}">
      <formula1>"Bounceback/Sub-Defect,Defect,None"</formula1>
    </dataValidation>
    <dataValidation type="list" allowBlank="1" showErrorMessage="1" sqref="K1:K1048576" xr:uid="{75974E99-AD2E-4BCE-9706-B3EBC475D085}">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9C911CBC-B982-43E8-8913-0738C2A5341F}">
          <x14:formula1>
            <xm:f>Details!$A$2:$A$10</xm:f>
          </x14:formula1>
          <xm:sqref>L2:L4</xm:sqref>
        </x14:dataValidation>
      </x14:dataValidation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6F66-88B5-475F-8C7D-0029525E68C4}">
  <sheetPr>
    <outlinePr summaryBelow="0" summaryRight="0"/>
  </sheetPr>
  <dimension ref="A1:P4"/>
  <sheetViews>
    <sheetView topLeftCell="B1" workbookViewId="0">
      <selection activeCell="E9" sqref="E9"/>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58.5" customHeight="1">
      <c r="A2" s="330"/>
      <c r="B2" s="400" t="s">
        <v>163</v>
      </c>
      <c r="C2" s="364" t="s">
        <v>819</v>
      </c>
      <c r="D2" s="364" t="s">
        <v>835</v>
      </c>
      <c r="E2" s="86" t="s">
        <v>834</v>
      </c>
      <c r="F2" s="353" t="s">
        <v>753</v>
      </c>
      <c r="G2" s="331" t="s">
        <v>836</v>
      </c>
      <c r="H2" s="331" t="s">
        <v>562</v>
      </c>
      <c r="I2" s="353" t="s">
        <v>555</v>
      </c>
      <c r="J2" s="98" t="s">
        <v>556</v>
      </c>
      <c r="K2" s="363" t="s">
        <v>557</v>
      </c>
      <c r="L2" s="108" t="s">
        <v>558</v>
      </c>
      <c r="M2" s="108" t="s">
        <v>304</v>
      </c>
      <c r="N2" s="86"/>
      <c r="O2" s="86"/>
      <c r="P2" s="331"/>
    </row>
    <row r="3" spans="1:16" ht="33" customHeight="1">
      <c r="A3" s="330"/>
      <c r="B3" s="237"/>
      <c r="C3" s="364"/>
      <c r="D3" s="364"/>
      <c r="E3" s="86"/>
      <c r="F3" s="353"/>
      <c r="G3" s="239"/>
      <c r="H3" s="331"/>
      <c r="I3" s="353"/>
      <c r="J3" s="98"/>
      <c r="K3" s="363"/>
      <c r="L3" s="108"/>
      <c r="M3" s="108"/>
      <c r="N3" s="86"/>
      <c r="O3" s="86"/>
      <c r="P3" s="331"/>
    </row>
    <row r="4" spans="1:16" ht="15" customHeight="1">
      <c r="B4" s="237"/>
      <c r="C4" s="192"/>
      <c r="D4" s="224"/>
      <c r="E4" s="86"/>
      <c r="F4" s="382"/>
      <c r="G4" s="86"/>
      <c r="H4" s="331"/>
      <c r="I4" s="353"/>
      <c r="J4" s="98"/>
      <c r="K4" s="363"/>
      <c r="L4" s="108"/>
      <c r="M4" s="108"/>
      <c r="N4" s="98"/>
      <c r="O4" s="86"/>
    </row>
  </sheetData>
  <autoFilter ref="A1:M1" xr:uid="{3A2BB050-11AC-4ED7-A296-96B42C7FCFBA}"/>
  <dataValidations count="5">
    <dataValidation type="list" allowBlank="1" showErrorMessage="1" sqref="K1:K1048576" xr:uid="{D9AB894E-AD7A-4866-AFE7-F0A094DA6A4C}">
      <formula1>"Open,Inprogress,Closed, Rejected"</formula1>
    </dataValidation>
    <dataValidation type="list" allowBlank="1" showErrorMessage="1" sqref="F2:F4" xr:uid="{318CF37F-0BC5-428B-9072-4FA8E7265340}">
      <formula1>"Bounceback/Sub-Defect,Defect,None"</formula1>
    </dataValidation>
    <dataValidation type="list" allowBlank="1" showErrorMessage="1" sqref="J2:J4" xr:uid="{A0A42F38-A08F-412D-82EF-86A7D83083E6}">
      <formula1>"Internal,External"</formula1>
    </dataValidation>
    <dataValidation type="list" allowBlank="1" showErrorMessage="1" sqref="H2:H4" xr:uid="{E42FF940-36A6-4350-AB61-27F98142E951}">
      <formula1>"Minor,Significant,Major"</formula1>
    </dataValidation>
    <dataValidation type="list" allowBlank="1" showErrorMessage="1" sqref="I2:I4" xr:uid="{37A889FA-F80E-4B84-B496-D1D6A1305125}">
      <formula1>"Manual, Automation"</formula1>
    </dataValidation>
  </dataValidations>
  <hyperlinks>
    <hyperlink ref="D2" r:id="rId1" display="https://greatergiving.atlassian.net/browse/GGO-15050" xr:uid="{11FBF06D-1220-4C73-9F0D-A8277C395A91}"/>
  </hyperlinks>
  <pageMargins left="0" right="0" top="0" bottom="0" header="0" footer="0"/>
  <legacyDrawing r:id="rId2"/>
  <extLst>
    <ext xmlns:x14="http://schemas.microsoft.com/office/spreadsheetml/2009/9/main" uri="{CCE6A557-97BC-4b89-ADB6-D9C93CAAB3DF}">
      <x14:dataValidations xmlns:xm="http://schemas.microsoft.com/office/excel/2006/main" count="1">
        <x14:dataValidation type="list" allowBlank="1" showErrorMessage="1" xr:uid="{D6899A4E-01C6-438E-8FE4-21FE54B55BA2}">
          <x14:formula1>
            <xm:f>Details!$A$2:$A$10</xm:f>
          </x14:formula1>
          <xm:sqref>L2:L4</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E0FE2-94A9-4014-8F98-7E697854E488}">
  <sheetPr>
    <outlinePr summaryBelow="0" summaryRight="0"/>
  </sheetPr>
  <dimension ref="A1:AD7"/>
  <sheetViews>
    <sheetView showGridLines="0" workbookViewId="0">
      <pane xSplit="7" topLeftCell="H1" activePane="topRight" state="frozen"/>
      <selection pane="topRight" activeCell="H9" sqref="H9"/>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140625" style="43" customWidth="1"/>
    <col min="6" max="6" width="23.28515625" style="43" customWidth="1"/>
    <col min="7" max="7" width="15.28515625" style="62" customWidth="1"/>
    <col min="8" max="8" width="51.5703125" style="43" customWidth="1"/>
    <col min="9" max="9" width="18.140625"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0"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267</v>
      </c>
    </row>
    <row r="2" spans="1:30" ht="35.25" customHeight="1">
      <c r="A2" s="86">
        <v>1</v>
      </c>
      <c r="B2" s="239" t="s">
        <v>5</v>
      </c>
      <c r="C2" s="236">
        <v>45933</v>
      </c>
      <c r="D2" s="236">
        <v>45946</v>
      </c>
      <c r="E2" s="400" t="s">
        <v>159</v>
      </c>
      <c r="F2" s="115" t="s">
        <v>837</v>
      </c>
      <c r="G2" s="375" t="s">
        <v>838</v>
      </c>
      <c r="H2" s="86" t="s">
        <v>839</v>
      </c>
      <c r="I2" s="138" t="s">
        <v>13</v>
      </c>
      <c r="J2" s="86">
        <v>2</v>
      </c>
      <c r="K2" s="115"/>
      <c r="L2" s="86">
        <v>32</v>
      </c>
      <c r="M2" s="121">
        <v>45933</v>
      </c>
      <c r="N2" s="86"/>
      <c r="O2" s="86" t="s">
        <v>281</v>
      </c>
      <c r="P2" s="86" t="s">
        <v>304</v>
      </c>
      <c r="Q2" s="115"/>
      <c r="R2" s="193" t="s">
        <v>840</v>
      </c>
      <c r="S2" s="86"/>
      <c r="T2" s="137" t="s">
        <v>841</v>
      </c>
      <c r="U2" s="236">
        <v>45941</v>
      </c>
      <c r="V2" s="236">
        <v>45941</v>
      </c>
      <c r="W2" s="86" t="s">
        <v>231</v>
      </c>
      <c r="X2" s="86"/>
      <c r="Y2" s="120" t="s">
        <v>842</v>
      </c>
      <c r="Z2" s="236">
        <v>45943</v>
      </c>
      <c r="AA2" s="115"/>
      <c r="AB2" s="86"/>
      <c r="AC2" s="86"/>
      <c r="AD2" s="86" t="s">
        <v>843</v>
      </c>
    </row>
    <row r="3" spans="1:30" ht="35.25" customHeight="1">
      <c r="A3" s="86">
        <v>2</v>
      </c>
      <c r="B3" s="239" t="s">
        <v>5</v>
      </c>
      <c r="C3" s="236">
        <v>45933</v>
      </c>
      <c r="D3" s="236">
        <v>45946</v>
      </c>
      <c r="E3" s="400" t="s">
        <v>159</v>
      </c>
      <c r="F3" s="120" t="s">
        <v>268</v>
      </c>
      <c r="G3" s="376" t="s">
        <v>844</v>
      </c>
      <c r="H3" s="102" t="s">
        <v>845</v>
      </c>
      <c r="I3" s="111" t="s">
        <v>13</v>
      </c>
      <c r="J3" s="102">
        <v>2</v>
      </c>
      <c r="K3" s="120"/>
      <c r="L3" s="120">
        <v>13</v>
      </c>
      <c r="M3" s="121">
        <v>45933</v>
      </c>
      <c r="N3" s="111"/>
      <c r="O3" s="102" t="s">
        <v>268</v>
      </c>
      <c r="P3" s="102" t="s">
        <v>304</v>
      </c>
      <c r="Q3" s="120"/>
      <c r="R3" s="219" t="s">
        <v>281</v>
      </c>
      <c r="S3" s="102"/>
      <c r="T3" s="225" t="s">
        <v>846</v>
      </c>
      <c r="U3" s="236">
        <v>45936</v>
      </c>
      <c r="V3" s="236">
        <v>45937</v>
      </c>
      <c r="W3" s="102" t="s">
        <v>231</v>
      </c>
      <c r="X3" s="102"/>
      <c r="Y3" s="120" t="s">
        <v>842</v>
      </c>
      <c r="Z3" s="236">
        <v>45937</v>
      </c>
      <c r="AA3" s="120"/>
      <c r="AB3" s="102"/>
      <c r="AC3" s="102"/>
      <c r="AD3" s="86" t="s">
        <v>843</v>
      </c>
    </row>
    <row r="4" spans="1:30" ht="35.25" customHeight="1">
      <c r="A4" s="86">
        <v>3</v>
      </c>
      <c r="B4" s="239" t="s">
        <v>5</v>
      </c>
      <c r="C4" s="236">
        <v>45933</v>
      </c>
      <c r="D4" s="236">
        <v>45946</v>
      </c>
      <c r="E4" s="400" t="s">
        <v>159</v>
      </c>
      <c r="F4" s="86" t="s">
        <v>837</v>
      </c>
      <c r="G4" s="364" t="s">
        <v>847</v>
      </c>
      <c r="H4" s="86" t="s">
        <v>848</v>
      </c>
      <c r="I4" s="138" t="s">
        <v>13</v>
      </c>
      <c r="J4" s="86">
        <v>5</v>
      </c>
      <c r="K4" s="115"/>
      <c r="L4" s="86">
        <v>36</v>
      </c>
      <c r="M4" s="121">
        <v>45933</v>
      </c>
      <c r="N4" s="86"/>
      <c r="O4" s="86" t="s">
        <v>281</v>
      </c>
      <c r="P4" s="86" t="s">
        <v>304</v>
      </c>
      <c r="Q4" s="115"/>
      <c r="R4" s="193" t="s">
        <v>840</v>
      </c>
      <c r="S4" s="86"/>
      <c r="T4" s="137" t="s">
        <v>849</v>
      </c>
      <c r="U4" s="236">
        <v>45944</v>
      </c>
      <c r="V4" s="236">
        <v>45945</v>
      </c>
      <c r="W4" s="86" t="s">
        <v>231</v>
      </c>
      <c r="X4" s="86"/>
      <c r="Y4" s="120" t="s">
        <v>842</v>
      </c>
      <c r="Z4" s="236">
        <v>45945</v>
      </c>
      <c r="AA4" s="86"/>
      <c r="AB4" s="86"/>
      <c r="AC4" s="86"/>
      <c r="AD4" s="86" t="s">
        <v>843</v>
      </c>
    </row>
    <row r="5" spans="1:30" ht="35.25" customHeight="1">
      <c r="A5" s="86">
        <v>4</v>
      </c>
      <c r="B5" s="239" t="s">
        <v>5</v>
      </c>
      <c r="C5" s="236">
        <v>45933</v>
      </c>
      <c r="D5" s="236">
        <v>45946</v>
      </c>
      <c r="E5" s="400" t="s">
        <v>159</v>
      </c>
      <c r="F5" s="115" t="s">
        <v>231</v>
      </c>
      <c r="G5" s="364" t="s">
        <v>850</v>
      </c>
      <c r="H5" s="115" t="s">
        <v>851</v>
      </c>
      <c r="I5" s="86" t="s">
        <v>13</v>
      </c>
      <c r="J5" s="138">
        <v>1</v>
      </c>
      <c r="K5" s="115"/>
      <c r="L5" s="86">
        <v>3</v>
      </c>
      <c r="M5" s="121">
        <v>45933</v>
      </c>
      <c r="N5" s="86"/>
      <c r="O5" s="86" t="s">
        <v>231</v>
      </c>
      <c r="P5" s="86" t="s">
        <v>304</v>
      </c>
      <c r="Q5" s="86"/>
      <c r="R5" s="193" t="s">
        <v>268</v>
      </c>
      <c r="S5" s="86"/>
      <c r="T5" s="137" t="s">
        <v>852</v>
      </c>
      <c r="U5" s="236">
        <v>45933</v>
      </c>
      <c r="V5" s="236">
        <v>45933</v>
      </c>
      <c r="W5" s="86" t="s">
        <v>93</v>
      </c>
      <c r="X5" s="115"/>
      <c r="Y5" s="86" t="s">
        <v>842</v>
      </c>
      <c r="Z5" s="362">
        <v>45933</v>
      </c>
      <c r="AA5" s="86"/>
      <c r="AB5" s="86"/>
      <c r="AC5" s="86"/>
      <c r="AD5" s="86" t="s">
        <v>843</v>
      </c>
    </row>
    <row r="6" spans="1:30" ht="35.25" customHeight="1">
      <c r="A6" s="86">
        <v>5</v>
      </c>
      <c r="B6" s="239" t="s">
        <v>5</v>
      </c>
      <c r="C6" s="236">
        <v>45933</v>
      </c>
      <c r="D6" s="236">
        <v>45946</v>
      </c>
      <c r="E6" s="400" t="s">
        <v>159</v>
      </c>
      <c r="F6" s="115" t="s">
        <v>534</v>
      </c>
      <c r="G6" s="375" t="s">
        <v>853</v>
      </c>
      <c r="H6" s="86" t="s">
        <v>854</v>
      </c>
      <c r="I6" s="138" t="s">
        <v>13</v>
      </c>
      <c r="J6" s="86">
        <v>3</v>
      </c>
      <c r="K6" s="115"/>
      <c r="L6" s="115">
        <v>43.5</v>
      </c>
      <c r="M6" s="121">
        <v>45933</v>
      </c>
      <c r="N6" s="138"/>
      <c r="O6" s="86" t="s">
        <v>93</v>
      </c>
      <c r="P6" s="86" t="s">
        <v>93</v>
      </c>
      <c r="Q6" s="115"/>
      <c r="R6" s="193" t="s">
        <v>93</v>
      </c>
      <c r="S6" s="86"/>
      <c r="T6" s="86" t="s">
        <v>93</v>
      </c>
      <c r="U6" s="86" t="s">
        <v>93</v>
      </c>
      <c r="V6" s="86" t="s">
        <v>93</v>
      </c>
      <c r="W6" s="86" t="s">
        <v>93</v>
      </c>
      <c r="X6" s="86"/>
      <c r="Y6" s="86" t="s">
        <v>93</v>
      </c>
      <c r="Z6" s="86" t="s">
        <v>93</v>
      </c>
      <c r="AA6" s="115"/>
      <c r="AB6" s="86"/>
      <c r="AC6" s="86"/>
      <c r="AD6" s="86" t="s">
        <v>855</v>
      </c>
    </row>
    <row r="7" spans="1:30" ht="35.25" customHeight="1">
      <c r="A7" s="86">
        <v>6</v>
      </c>
      <c r="B7" s="239" t="s">
        <v>5</v>
      </c>
      <c r="C7" s="236">
        <v>45933</v>
      </c>
      <c r="D7" s="236">
        <v>45946</v>
      </c>
      <c r="E7" s="400" t="s">
        <v>159</v>
      </c>
      <c r="F7" s="115" t="s">
        <v>268</v>
      </c>
      <c r="G7" s="364" t="s">
        <v>819</v>
      </c>
      <c r="H7" s="115" t="s">
        <v>820</v>
      </c>
      <c r="I7" s="86" t="s">
        <v>271</v>
      </c>
      <c r="J7" s="138">
        <v>5</v>
      </c>
      <c r="K7" s="115"/>
      <c r="L7" s="115">
        <v>47</v>
      </c>
      <c r="M7" s="405">
        <v>45943</v>
      </c>
      <c r="N7" s="138"/>
      <c r="O7" s="86"/>
      <c r="P7" s="86"/>
      <c r="Q7" s="86"/>
      <c r="R7" s="193"/>
      <c r="S7" s="86"/>
      <c r="T7" s="137"/>
      <c r="U7" s="236"/>
      <c r="V7" s="236"/>
      <c r="W7" s="86"/>
      <c r="X7" s="115"/>
      <c r="Y7" s="86"/>
      <c r="Z7" s="362"/>
      <c r="AA7" s="86"/>
      <c r="AB7" s="86"/>
      <c r="AC7" s="86"/>
      <c r="AD7" s="86" t="s">
        <v>856</v>
      </c>
    </row>
  </sheetData>
  <hyperlinks>
    <hyperlink ref="T3" r:id="rId1" xr:uid="{B8F0D1E4-FC79-4705-9E44-4226319554FE}"/>
    <hyperlink ref="T5" r:id="rId2" xr:uid="{2C94F961-5E6A-461F-8F5A-DA5B8A6FE228}"/>
    <hyperlink ref="T2" r:id="rId3" xr:uid="{44D3A7B3-A702-48B4-8653-F8304CA20174}"/>
    <hyperlink ref="T4" r:id="rId4" xr:uid="{74240A1D-BBA3-4FA5-8399-946EDBB8D28E}"/>
  </hyperlinks>
  <pageMargins left="0" right="0" top="0" bottom="0" header="0" footer="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A22A0-AAA1-456C-9079-4D2F4529EBFB}">
  <sheetPr>
    <outlinePr summaryBelow="0" summaryRight="0"/>
  </sheetPr>
  <dimension ref="A1:EC10"/>
  <sheetViews>
    <sheetView showGridLines="0" workbookViewId="0">
      <pane xSplit="7" topLeftCell="AD5" activePane="topRight" state="frozen"/>
      <selection pane="topRight" activeCell="AD5" sqref="AD5:AD8"/>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8.5703125" style="43" customWidth="1"/>
    <col min="6" max="6" width="22.140625" style="43" customWidth="1"/>
    <col min="7" max="7" width="12.85546875" style="62" customWidth="1"/>
    <col min="8" max="8" width="63.85546875" style="43" customWidth="1"/>
    <col min="9" max="9" width="12.28515625"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133" ht="36.75" customHeight="1">
      <c r="A1" s="393" t="s">
        <v>241</v>
      </c>
      <c r="B1" s="394" t="s">
        <v>4</v>
      </c>
      <c r="C1" s="394" t="s">
        <v>2</v>
      </c>
      <c r="D1" s="394" t="s">
        <v>3</v>
      </c>
      <c r="E1" s="395" t="s">
        <v>242</v>
      </c>
      <c r="F1" s="396" t="s">
        <v>243</v>
      </c>
      <c r="G1" s="395" t="s">
        <v>244</v>
      </c>
      <c r="H1" s="395" t="s">
        <v>245</v>
      </c>
      <c r="I1" s="395" t="s">
        <v>246</v>
      </c>
      <c r="J1" s="394" t="s">
        <v>247</v>
      </c>
      <c r="K1" s="394" t="s">
        <v>248</v>
      </c>
      <c r="L1" s="394" t="s">
        <v>249</v>
      </c>
      <c r="M1" s="397" t="s">
        <v>250</v>
      </c>
      <c r="N1" s="397" t="s">
        <v>251</v>
      </c>
      <c r="O1" s="395" t="s">
        <v>252</v>
      </c>
      <c r="P1" s="395" t="s">
        <v>253</v>
      </c>
      <c r="Q1" s="395" t="s">
        <v>254</v>
      </c>
      <c r="R1" s="398" t="s">
        <v>255</v>
      </c>
      <c r="S1" s="395" t="s">
        <v>256</v>
      </c>
      <c r="T1" s="395" t="s">
        <v>257</v>
      </c>
      <c r="U1" s="395" t="s">
        <v>258</v>
      </c>
      <c r="V1" s="395" t="s">
        <v>259</v>
      </c>
      <c r="W1" s="395" t="s">
        <v>260</v>
      </c>
      <c r="X1" s="395" t="s">
        <v>261</v>
      </c>
      <c r="Y1" s="395" t="s">
        <v>262</v>
      </c>
      <c r="Z1" s="395" t="s">
        <v>263</v>
      </c>
      <c r="AA1" s="395" t="s">
        <v>264</v>
      </c>
      <c r="AB1" s="395" t="s">
        <v>265</v>
      </c>
      <c r="AC1" s="395" t="s">
        <v>266</v>
      </c>
      <c r="AD1" s="399" t="s">
        <v>267</v>
      </c>
    </row>
    <row r="2" spans="1:133" s="86" customFormat="1" ht="35.25" customHeight="1">
      <c r="A2" s="86">
        <v>1</v>
      </c>
      <c r="B2" s="239" t="s">
        <v>5</v>
      </c>
      <c r="C2" s="236">
        <v>45918</v>
      </c>
      <c r="D2" s="236">
        <v>45932</v>
      </c>
      <c r="E2" s="401" t="s">
        <v>155</v>
      </c>
      <c r="F2" s="115" t="s">
        <v>834</v>
      </c>
      <c r="G2" s="364" t="s">
        <v>857</v>
      </c>
      <c r="H2" s="253" t="s">
        <v>858</v>
      </c>
      <c r="I2" s="86" t="s">
        <v>13</v>
      </c>
      <c r="J2" s="86">
        <v>3</v>
      </c>
      <c r="L2" s="86">
        <v>106</v>
      </c>
      <c r="M2" s="191">
        <v>45905</v>
      </c>
      <c r="N2" s="121">
        <v>45929</v>
      </c>
      <c r="O2" s="86" t="s">
        <v>281</v>
      </c>
      <c r="P2" s="86" t="s">
        <v>304</v>
      </c>
      <c r="R2" s="193" t="s">
        <v>268</v>
      </c>
      <c r="T2" s="137" t="s">
        <v>859</v>
      </c>
      <c r="U2" s="236">
        <v>45925</v>
      </c>
      <c r="V2" s="236">
        <v>45927</v>
      </c>
      <c r="W2" s="86" t="s">
        <v>231</v>
      </c>
      <c r="Y2" s="115" t="s">
        <v>306</v>
      </c>
      <c r="Z2" s="236">
        <v>45927</v>
      </c>
      <c r="AB2" s="115"/>
      <c r="AD2" s="86" t="s">
        <v>860</v>
      </c>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138"/>
    </row>
    <row r="3" spans="1:133" ht="45.75" customHeight="1">
      <c r="A3" s="86">
        <v>2</v>
      </c>
      <c r="B3" s="239" t="s">
        <v>5</v>
      </c>
      <c r="C3" s="236">
        <v>45918</v>
      </c>
      <c r="D3" s="236">
        <v>45932</v>
      </c>
      <c r="E3" s="401" t="s">
        <v>155</v>
      </c>
      <c r="F3" s="115" t="s">
        <v>268</v>
      </c>
      <c r="G3" s="364" t="s">
        <v>861</v>
      </c>
      <c r="H3" s="253" t="s">
        <v>862</v>
      </c>
      <c r="I3" s="86" t="s">
        <v>13</v>
      </c>
      <c r="J3" s="86">
        <v>2</v>
      </c>
      <c r="K3" s="86"/>
      <c r="L3" s="86">
        <v>18</v>
      </c>
      <c r="M3" s="191">
        <v>45922</v>
      </c>
      <c r="N3" s="191">
        <v>45924</v>
      </c>
      <c r="O3" s="86" t="s">
        <v>268</v>
      </c>
      <c r="P3" s="86" t="s">
        <v>304</v>
      </c>
      <c r="Q3" s="86"/>
      <c r="R3" s="193" t="s">
        <v>281</v>
      </c>
      <c r="S3" s="86"/>
      <c r="T3" s="137" t="s">
        <v>863</v>
      </c>
      <c r="U3" s="236">
        <v>45923</v>
      </c>
      <c r="V3" s="236">
        <v>45924</v>
      </c>
      <c r="W3" s="86" t="s">
        <v>231</v>
      </c>
      <c r="X3" s="86"/>
      <c r="Y3" s="402" t="s">
        <v>740</v>
      </c>
      <c r="Z3" s="236">
        <v>45924</v>
      </c>
      <c r="AA3" s="86"/>
      <c r="AB3" s="115"/>
      <c r="AC3" s="86"/>
      <c r="AD3" s="86" t="s">
        <v>329</v>
      </c>
      <c r="EC3" s="138"/>
    </row>
    <row r="4" spans="1:133" ht="45" customHeight="1">
      <c r="A4" s="86">
        <v>3</v>
      </c>
      <c r="B4" s="239" t="s">
        <v>5</v>
      </c>
      <c r="C4" s="236">
        <v>45918</v>
      </c>
      <c r="D4" s="236">
        <v>45932</v>
      </c>
      <c r="E4" s="401" t="s">
        <v>155</v>
      </c>
      <c r="F4" s="115" t="s">
        <v>840</v>
      </c>
      <c r="G4" s="364" t="s">
        <v>864</v>
      </c>
      <c r="H4" s="253" t="s">
        <v>865</v>
      </c>
      <c r="I4" s="86" t="s">
        <v>13</v>
      </c>
      <c r="J4" s="86">
        <v>2</v>
      </c>
      <c r="K4" s="86"/>
      <c r="L4" s="86">
        <v>8</v>
      </c>
      <c r="M4" s="191">
        <v>45919</v>
      </c>
      <c r="N4" s="86"/>
      <c r="O4" s="86" t="s">
        <v>840</v>
      </c>
      <c r="P4" s="86" t="s">
        <v>304</v>
      </c>
      <c r="Q4" s="86"/>
      <c r="R4" s="193" t="s">
        <v>281</v>
      </c>
      <c r="S4" s="86"/>
      <c r="T4" s="137" t="s">
        <v>866</v>
      </c>
      <c r="U4" s="236">
        <v>45922</v>
      </c>
      <c r="V4" s="236">
        <v>45922</v>
      </c>
      <c r="W4" s="86" t="s">
        <v>231</v>
      </c>
      <c r="X4" s="115"/>
      <c r="Y4" s="86" t="s">
        <v>867</v>
      </c>
      <c r="Z4" s="236">
        <v>45922</v>
      </c>
      <c r="AA4" s="86"/>
      <c r="AB4" s="115"/>
      <c r="AC4" s="86"/>
      <c r="AD4" s="86" t="s">
        <v>329</v>
      </c>
      <c r="EC4" s="138"/>
    </row>
    <row r="5" spans="1:133" ht="35.25" customHeight="1">
      <c r="A5" s="86">
        <v>4</v>
      </c>
      <c r="B5" s="239" t="s">
        <v>5</v>
      </c>
      <c r="C5" s="236">
        <v>45918</v>
      </c>
      <c r="D5" s="236">
        <v>45932</v>
      </c>
      <c r="E5" s="401" t="s">
        <v>155</v>
      </c>
      <c r="F5" s="120" t="s">
        <v>231</v>
      </c>
      <c r="G5" s="229" t="s">
        <v>868</v>
      </c>
      <c r="H5" s="256" t="s">
        <v>869</v>
      </c>
      <c r="I5" s="361" t="s">
        <v>13</v>
      </c>
      <c r="J5" s="102">
        <v>3</v>
      </c>
      <c r="K5" s="102"/>
      <c r="L5" s="102">
        <v>9</v>
      </c>
      <c r="M5" s="121">
        <v>45919</v>
      </c>
      <c r="N5" s="102"/>
      <c r="O5" s="102" t="s">
        <v>231</v>
      </c>
      <c r="P5" s="102" t="s">
        <v>304</v>
      </c>
      <c r="Q5" s="102"/>
      <c r="R5" s="219" t="s">
        <v>281</v>
      </c>
      <c r="S5" s="102"/>
      <c r="T5" s="225" t="s">
        <v>870</v>
      </c>
      <c r="U5" s="236">
        <v>45922</v>
      </c>
      <c r="V5" s="236">
        <v>45923</v>
      </c>
      <c r="W5" s="102" t="s">
        <v>231</v>
      </c>
      <c r="X5" s="102"/>
      <c r="Y5" s="86" t="s">
        <v>867</v>
      </c>
      <c r="Z5" s="236">
        <v>45923</v>
      </c>
      <c r="AA5" s="102"/>
      <c r="AB5" s="120"/>
      <c r="AC5" s="86"/>
      <c r="AD5" s="86" t="s">
        <v>329</v>
      </c>
      <c r="EC5" s="138"/>
    </row>
    <row r="6" spans="1:133" ht="35.25" customHeight="1">
      <c r="A6" s="86">
        <v>5</v>
      </c>
      <c r="B6" s="239" t="s">
        <v>5</v>
      </c>
      <c r="C6" s="236">
        <v>45918</v>
      </c>
      <c r="D6" s="236">
        <v>45932</v>
      </c>
      <c r="E6" s="400" t="s">
        <v>155</v>
      </c>
      <c r="F6" s="115" t="s">
        <v>871</v>
      </c>
      <c r="G6" s="364" t="s">
        <v>872</v>
      </c>
      <c r="H6" s="138" t="s">
        <v>873</v>
      </c>
      <c r="I6" s="361" t="s">
        <v>13</v>
      </c>
      <c r="J6" s="86">
        <v>2</v>
      </c>
      <c r="K6" s="86"/>
      <c r="L6" s="86">
        <v>13</v>
      </c>
      <c r="M6" s="191">
        <v>45923</v>
      </c>
      <c r="N6" s="191">
        <v>45926</v>
      </c>
      <c r="O6" s="86" t="s">
        <v>268</v>
      </c>
      <c r="P6" s="115" t="s">
        <v>304</v>
      </c>
      <c r="Q6" s="86"/>
      <c r="R6" s="193" t="s">
        <v>281</v>
      </c>
      <c r="S6" s="86"/>
      <c r="T6" s="360" t="s">
        <v>874</v>
      </c>
      <c r="U6" s="236">
        <v>45925</v>
      </c>
      <c r="V6" s="236">
        <v>45925</v>
      </c>
      <c r="W6" s="86" t="s">
        <v>231</v>
      </c>
      <c r="X6" s="86"/>
      <c r="Y6" s="86" t="s">
        <v>867</v>
      </c>
      <c r="Z6" s="236">
        <v>45926</v>
      </c>
      <c r="AA6" s="86"/>
      <c r="AB6" s="115"/>
      <c r="AC6" s="86"/>
      <c r="AD6" s="86" t="s">
        <v>329</v>
      </c>
    </row>
    <row r="7" spans="1:133" ht="35.25" customHeight="1">
      <c r="A7" s="86">
        <v>6</v>
      </c>
      <c r="B7" s="239" t="s">
        <v>5</v>
      </c>
      <c r="C7" s="236">
        <v>45918</v>
      </c>
      <c r="D7" s="236">
        <v>45932</v>
      </c>
      <c r="E7" s="400" t="s">
        <v>155</v>
      </c>
      <c r="F7" s="120" t="s">
        <v>875</v>
      </c>
      <c r="G7" s="229" t="s">
        <v>876</v>
      </c>
      <c r="H7" s="111" t="s">
        <v>877</v>
      </c>
      <c r="I7" s="189" t="s">
        <v>13</v>
      </c>
      <c r="J7" s="102">
        <v>2</v>
      </c>
      <c r="K7" s="102"/>
      <c r="L7" s="102">
        <v>17.5</v>
      </c>
      <c r="M7" s="121">
        <v>45923</v>
      </c>
      <c r="N7" s="102"/>
      <c r="O7" s="102" t="s">
        <v>281</v>
      </c>
      <c r="P7" s="120" t="s">
        <v>304</v>
      </c>
      <c r="Q7" s="102"/>
      <c r="R7" s="219" t="s">
        <v>231</v>
      </c>
      <c r="S7" s="102"/>
      <c r="T7" s="358" t="s">
        <v>878</v>
      </c>
      <c r="U7" s="257">
        <v>45926</v>
      </c>
      <c r="V7" s="257">
        <v>45926</v>
      </c>
      <c r="W7" s="102" t="s">
        <v>231</v>
      </c>
      <c r="X7" s="102"/>
      <c r="Y7" s="120" t="s">
        <v>306</v>
      </c>
      <c r="Z7" s="257">
        <v>45926</v>
      </c>
      <c r="AA7" s="102"/>
      <c r="AB7" s="120"/>
      <c r="AC7" s="102"/>
      <c r="AD7" s="86" t="s">
        <v>329</v>
      </c>
    </row>
    <row r="8" spans="1:133" ht="35.25" customHeight="1">
      <c r="A8" s="86">
        <v>7</v>
      </c>
      <c r="B8" s="239" t="s">
        <v>5</v>
      </c>
      <c r="C8" s="236">
        <v>45918</v>
      </c>
      <c r="D8" s="236">
        <v>45932</v>
      </c>
      <c r="E8" s="400" t="s">
        <v>155</v>
      </c>
      <c r="F8" s="115" t="s">
        <v>481</v>
      </c>
      <c r="G8" s="375" t="s">
        <v>879</v>
      </c>
      <c r="H8" s="86" t="s">
        <v>880</v>
      </c>
      <c r="I8" s="138" t="s">
        <v>13</v>
      </c>
      <c r="J8" s="86">
        <v>1</v>
      </c>
      <c r="K8" s="115"/>
      <c r="L8" s="86">
        <v>11</v>
      </c>
      <c r="M8" s="121">
        <v>45929</v>
      </c>
      <c r="N8" s="86"/>
      <c r="O8" s="86" t="s">
        <v>268</v>
      </c>
      <c r="P8" s="86" t="s">
        <v>231</v>
      </c>
      <c r="Q8" s="115"/>
      <c r="R8" s="193" t="s">
        <v>231</v>
      </c>
      <c r="S8" s="86"/>
      <c r="T8" s="86" t="s">
        <v>93</v>
      </c>
      <c r="U8" s="86" t="s">
        <v>93</v>
      </c>
      <c r="V8" s="115" t="s">
        <v>93</v>
      </c>
      <c r="W8" s="86" t="s">
        <v>93</v>
      </c>
      <c r="X8" s="86"/>
      <c r="Y8" s="86" t="s">
        <v>93</v>
      </c>
      <c r="Z8" s="86" t="s">
        <v>93</v>
      </c>
      <c r="AA8" s="115"/>
      <c r="AB8" s="86"/>
      <c r="AC8" s="86"/>
      <c r="AD8" s="86" t="s">
        <v>329</v>
      </c>
    </row>
    <row r="9" spans="1:133" ht="35.25" customHeight="1">
      <c r="A9" s="86">
        <v>8</v>
      </c>
      <c r="B9" s="239" t="s">
        <v>5</v>
      </c>
      <c r="C9" s="236">
        <v>45918</v>
      </c>
      <c r="D9" s="236">
        <v>45932</v>
      </c>
      <c r="E9" s="400" t="s">
        <v>155</v>
      </c>
      <c r="F9" s="115" t="s">
        <v>837</v>
      </c>
      <c r="G9" s="375" t="s">
        <v>838</v>
      </c>
      <c r="H9" s="86" t="s">
        <v>881</v>
      </c>
      <c r="I9" s="138" t="s">
        <v>271</v>
      </c>
      <c r="J9" s="86">
        <v>2</v>
      </c>
      <c r="K9" s="115"/>
      <c r="L9" s="86">
        <v>5</v>
      </c>
      <c r="M9" s="121">
        <v>45929</v>
      </c>
      <c r="N9" s="86"/>
      <c r="O9" s="86"/>
      <c r="P9" s="86"/>
      <c r="Q9" s="115"/>
      <c r="R9" s="193"/>
      <c r="S9" s="86"/>
      <c r="T9" s="86"/>
      <c r="U9" s="86"/>
      <c r="V9" s="115"/>
      <c r="W9" s="86"/>
      <c r="X9" s="86"/>
      <c r="Y9" s="86"/>
      <c r="Z9" s="86"/>
      <c r="AA9" s="115"/>
      <c r="AB9" s="86"/>
      <c r="AC9" s="86"/>
      <c r="AD9" s="86"/>
    </row>
    <row r="10" spans="1:133" ht="35.25" customHeight="1">
      <c r="A10" s="86">
        <v>9</v>
      </c>
      <c r="B10" s="239" t="s">
        <v>5</v>
      </c>
      <c r="C10" s="236">
        <v>45918</v>
      </c>
      <c r="D10" s="236">
        <v>45932</v>
      </c>
      <c r="E10" s="400" t="s">
        <v>155</v>
      </c>
      <c r="F10" s="115" t="s">
        <v>268</v>
      </c>
      <c r="G10" s="375" t="s">
        <v>844</v>
      </c>
      <c r="H10" s="86" t="s">
        <v>882</v>
      </c>
      <c r="I10" s="138" t="s">
        <v>271</v>
      </c>
      <c r="J10" s="86">
        <v>3</v>
      </c>
      <c r="K10" s="115"/>
      <c r="L10" s="115">
        <v>8</v>
      </c>
      <c r="M10" s="191">
        <v>45930</v>
      </c>
      <c r="N10" s="138"/>
      <c r="O10" s="86"/>
      <c r="P10" s="86"/>
      <c r="Q10" s="115"/>
      <c r="R10" s="193"/>
      <c r="S10" s="86"/>
      <c r="T10" s="86"/>
      <c r="U10" s="86"/>
      <c r="V10" s="115"/>
      <c r="W10" s="86" t="s">
        <v>231</v>
      </c>
      <c r="X10" s="86"/>
      <c r="Y10" s="120" t="s">
        <v>306</v>
      </c>
      <c r="Z10" s="86"/>
      <c r="AA10" s="115"/>
      <c r="AB10" s="86"/>
      <c r="AC10" s="86"/>
      <c r="AD10" s="86"/>
    </row>
  </sheetData>
  <hyperlinks>
    <hyperlink ref="T3" r:id="rId1" xr:uid="{F6A144AA-6DBF-4519-A3C8-2A7DAAB30CF7}"/>
    <hyperlink ref="T4" r:id="rId2" xr:uid="{21C58F57-115B-4CC1-B653-A5F83F5E191D}"/>
    <hyperlink ref="T6" r:id="rId3" xr:uid="{5435BD0D-6240-4B52-8D05-50342C022D5D}"/>
    <hyperlink ref="T2" r:id="rId4" xr:uid="{012441B3-9E98-47E0-B179-A01C69A2DB25}"/>
    <hyperlink ref="T5" r:id="rId5" xr:uid="{2A1A905D-4549-4EC5-8524-9EF458016C63}"/>
    <hyperlink ref="T7" r:id="rId6" xr:uid="{C1A25DF9-7679-4798-B104-1FEC56523148}"/>
  </hyperlinks>
  <pageMargins left="0" right="0" top="0" bottom="0" header="0" footer="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809F8-7A59-4177-B484-A23A35DA9487}">
  <sheetPr>
    <outlinePr summaryBelow="0" summaryRight="0"/>
  </sheetPr>
  <dimension ref="A1:P4"/>
  <sheetViews>
    <sheetView topLeftCell="B1" workbookViewId="0">
      <selection activeCell="L2" sqref="L2"/>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58.5" customHeight="1">
      <c r="A2" s="330"/>
      <c r="B2" s="237" t="s">
        <v>155</v>
      </c>
      <c r="C2" s="364" t="s">
        <v>883</v>
      </c>
      <c r="D2" s="364" t="s">
        <v>857</v>
      </c>
      <c r="E2" s="86" t="s">
        <v>834</v>
      </c>
      <c r="F2" s="353" t="s">
        <v>753</v>
      </c>
      <c r="G2" s="331" t="s">
        <v>884</v>
      </c>
      <c r="H2" s="331" t="s">
        <v>562</v>
      </c>
      <c r="I2" s="353" t="s">
        <v>555</v>
      </c>
      <c r="J2" s="98" t="s">
        <v>556</v>
      </c>
      <c r="K2" s="363" t="s">
        <v>557</v>
      </c>
      <c r="L2" s="108" t="s">
        <v>558</v>
      </c>
      <c r="M2" s="108" t="s">
        <v>281</v>
      </c>
      <c r="N2" s="86"/>
      <c r="O2" s="86"/>
      <c r="P2" s="331"/>
    </row>
    <row r="3" spans="1:16" ht="33" customHeight="1">
      <c r="A3" s="330"/>
      <c r="B3" s="237"/>
      <c r="C3" s="364"/>
      <c r="D3" s="364"/>
      <c r="E3" s="86"/>
      <c r="F3" s="353"/>
      <c r="G3" s="239"/>
      <c r="H3" s="331"/>
      <c r="I3" s="353"/>
      <c r="J3" s="98"/>
      <c r="K3" s="363"/>
      <c r="L3" s="108"/>
      <c r="M3" s="108"/>
      <c r="N3" s="86"/>
      <c r="O3" s="86"/>
      <c r="P3" s="331"/>
    </row>
    <row r="4" spans="1:16" ht="15" customHeight="1">
      <c r="B4" s="237"/>
      <c r="C4" s="192"/>
      <c r="D4" s="224"/>
      <c r="E4" s="86"/>
      <c r="F4" s="382"/>
      <c r="G4" s="86"/>
      <c r="H4" s="331"/>
      <c r="I4" s="353"/>
      <c r="J4" s="98"/>
      <c r="K4" s="363"/>
      <c r="L4" s="108"/>
      <c r="M4" s="108"/>
      <c r="N4" s="98"/>
      <c r="O4" s="86"/>
    </row>
  </sheetData>
  <autoFilter ref="A1:M1" xr:uid="{3A2BB050-11AC-4ED7-A296-96B42C7FCFBA}"/>
  <dataValidations count="5">
    <dataValidation type="list" allowBlank="1" showErrorMessage="1" sqref="I2:I4" xr:uid="{D25C8623-3FCF-4B87-ADF2-EE44E843C6AA}">
      <formula1>"Manual, Automation"</formula1>
    </dataValidation>
    <dataValidation type="list" allowBlank="1" showErrorMessage="1" sqref="H2:H4" xr:uid="{EB2F2F45-978F-4035-B2D8-799BFE4DFD78}">
      <formula1>"Minor,Significant,Major"</formula1>
    </dataValidation>
    <dataValidation type="list" allowBlank="1" showErrorMessage="1" sqref="J2:J4" xr:uid="{D012C545-EE5E-4B1D-B483-EFC0F3F2128A}">
      <formula1>"Internal,External"</formula1>
    </dataValidation>
    <dataValidation type="list" allowBlank="1" showErrorMessage="1" sqref="F2:F4" xr:uid="{6E6AF1EF-1D04-4126-AF77-3D26D51CCA93}">
      <formula1>"Bounceback/Sub-Defect,Defect,None"</formula1>
    </dataValidation>
    <dataValidation type="list" allowBlank="1" showErrorMessage="1" sqref="K1:K1048576" xr:uid="{325BBAEF-E0A4-4F67-8E70-182F748FF898}">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8C7EDB3D-7940-45CA-9C7E-C4A2F618A3B1}">
          <x14:formula1>
            <xm:f>Details!$A$2:$A$10</xm:f>
          </x14:formula1>
          <xm:sqref>L2:L4</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F46AF-7CBD-495A-9251-5638479B6C1C}">
  <sheetPr>
    <outlinePr summaryBelow="0" summaryRight="0"/>
  </sheetPr>
  <dimension ref="A1:EC7"/>
  <sheetViews>
    <sheetView showGridLines="0" workbookViewId="0">
      <pane xSplit="7" topLeftCell="H1" activePane="topRight" state="frozen"/>
      <selection pane="topRight" activeCell="F8" sqref="F8"/>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67.140625"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133" ht="36.75" customHeight="1">
      <c r="A1" s="240" t="s">
        <v>241</v>
      </c>
      <c r="B1" s="200" t="s">
        <v>4</v>
      </c>
      <c r="C1" s="200" t="s">
        <v>2</v>
      </c>
      <c r="D1" s="200" t="s">
        <v>3</v>
      </c>
      <c r="E1" s="241" t="s">
        <v>242</v>
      </c>
      <c r="F1" s="365" t="s">
        <v>243</v>
      </c>
      <c r="G1" s="241" t="s">
        <v>244</v>
      </c>
      <c r="H1" s="241" t="s">
        <v>245</v>
      </c>
      <c r="I1" s="241" t="s">
        <v>246</v>
      </c>
      <c r="J1" s="200" t="s">
        <v>247</v>
      </c>
      <c r="K1" s="200" t="s">
        <v>248</v>
      </c>
      <c r="L1" s="200" t="s">
        <v>249</v>
      </c>
      <c r="M1" s="373" t="s">
        <v>250</v>
      </c>
      <c r="N1" s="373" t="s">
        <v>251</v>
      </c>
      <c r="O1" s="241" t="s">
        <v>252</v>
      </c>
      <c r="P1" s="241" t="s">
        <v>253</v>
      </c>
      <c r="Q1" s="241" t="s">
        <v>254</v>
      </c>
      <c r="R1" s="368" t="s">
        <v>255</v>
      </c>
      <c r="S1" s="241" t="s">
        <v>256</v>
      </c>
      <c r="T1" s="241" t="s">
        <v>257</v>
      </c>
      <c r="U1" s="241" t="s">
        <v>258</v>
      </c>
      <c r="V1" s="241" t="s">
        <v>259</v>
      </c>
      <c r="W1" s="241" t="s">
        <v>260</v>
      </c>
      <c r="X1" s="241" t="s">
        <v>261</v>
      </c>
      <c r="Y1" s="241" t="s">
        <v>262</v>
      </c>
      <c r="Z1" s="241" t="s">
        <v>263</v>
      </c>
      <c r="AA1" s="241" t="s">
        <v>264</v>
      </c>
      <c r="AB1" s="241" t="s">
        <v>265</v>
      </c>
      <c r="AC1" s="241" t="s">
        <v>266</v>
      </c>
      <c r="AD1" s="389" t="s">
        <v>267</v>
      </c>
    </row>
    <row r="2" spans="1:133" s="102" customFormat="1" ht="35.25" customHeight="1">
      <c r="A2" s="102">
        <v>1</v>
      </c>
      <c r="B2" s="262" t="s">
        <v>5</v>
      </c>
      <c r="C2" s="257">
        <v>45904</v>
      </c>
      <c r="D2" s="257">
        <v>45918</v>
      </c>
      <c r="E2" s="246" t="s">
        <v>150</v>
      </c>
      <c r="F2" s="102" t="s">
        <v>268</v>
      </c>
      <c r="G2" s="376" t="s">
        <v>885</v>
      </c>
      <c r="H2" s="262" t="s">
        <v>886</v>
      </c>
      <c r="I2" s="102" t="s">
        <v>13</v>
      </c>
      <c r="J2" s="102">
        <v>1</v>
      </c>
      <c r="K2" s="102">
        <v>2</v>
      </c>
      <c r="M2" s="191">
        <v>45905</v>
      </c>
      <c r="N2" s="118"/>
      <c r="O2" s="102" t="s">
        <v>268</v>
      </c>
      <c r="P2" s="102" t="s">
        <v>304</v>
      </c>
      <c r="R2" s="374" t="s">
        <v>735</v>
      </c>
      <c r="T2" s="225" t="s">
        <v>887</v>
      </c>
      <c r="U2" s="191">
        <v>45905</v>
      </c>
      <c r="V2" s="191">
        <v>45905</v>
      </c>
      <c r="W2" s="102" t="s">
        <v>231</v>
      </c>
      <c r="X2" s="120"/>
      <c r="Y2" s="387" t="s">
        <v>306</v>
      </c>
      <c r="Z2" s="191">
        <v>45906</v>
      </c>
      <c r="AC2" s="120"/>
      <c r="AD2" s="86" t="s">
        <v>888</v>
      </c>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111"/>
    </row>
    <row r="3" spans="1:133" s="86" customFormat="1" ht="35.25" customHeight="1">
      <c r="A3" s="86">
        <v>2</v>
      </c>
      <c r="B3" s="239" t="s">
        <v>5</v>
      </c>
      <c r="C3" s="236">
        <v>45904</v>
      </c>
      <c r="D3" s="236">
        <v>45918</v>
      </c>
      <c r="E3" s="237" t="s">
        <v>150</v>
      </c>
      <c r="F3" s="86" t="s">
        <v>889</v>
      </c>
      <c r="G3" s="364" t="s">
        <v>890</v>
      </c>
      <c r="H3" s="239" t="s">
        <v>891</v>
      </c>
      <c r="I3" s="86" t="s">
        <v>13</v>
      </c>
      <c r="J3" s="86">
        <v>5</v>
      </c>
      <c r="K3" s="86">
        <v>5</v>
      </c>
      <c r="M3" s="191">
        <v>45905</v>
      </c>
      <c r="O3" s="86" t="s">
        <v>281</v>
      </c>
      <c r="P3" s="86" t="s">
        <v>304</v>
      </c>
      <c r="R3" s="86" t="s">
        <v>268</v>
      </c>
      <c r="T3" s="137" t="s">
        <v>892</v>
      </c>
      <c r="U3" s="141">
        <v>45916</v>
      </c>
      <c r="V3" s="141">
        <v>45916</v>
      </c>
      <c r="W3" s="86" t="s">
        <v>231</v>
      </c>
      <c r="Y3" s="86" t="s">
        <v>893</v>
      </c>
      <c r="Z3" s="141">
        <v>45916</v>
      </c>
      <c r="AC3" s="115"/>
      <c r="AD3" s="390" t="s">
        <v>822</v>
      </c>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c r="EB3" s="43"/>
      <c r="EC3" s="138"/>
    </row>
    <row r="4" spans="1:133" ht="35.25" customHeight="1">
      <c r="A4" s="102">
        <v>3</v>
      </c>
      <c r="B4" s="262" t="s">
        <v>5</v>
      </c>
      <c r="C4" s="257">
        <v>45904</v>
      </c>
      <c r="D4" s="257">
        <v>45918</v>
      </c>
      <c r="E4" s="246" t="s">
        <v>150</v>
      </c>
      <c r="F4" s="102" t="s">
        <v>268</v>
      </c>
      <c r="G4" s="229" t="s">
        <v>894</v>
      </c>
      <c r="H4" s="262" t="s">
        <v>895</v>
      </c>
      <c r="I4" s="102" t="s">
        <v>13</v>
      </c>
      <c r="J4" s="102">
        <v>3</v>
      </c>
      <c r="K4" s="102">
        <v>3</v>
      </c>
      <c r="L4" s="102"/>
      <c r="M4" s="191">
        <v>45905</v>
      </c>
      <c r="N4" s="102"/>
      <c r="O4" s="102" t="s">
        <v>268</v>
      </c>
      <c r="P4" s="102" t="s">
        <v>304</v>
      </c>
      <c r="Q4" s="102"/>
      <c r="R4" s="102" t="s">
        <v>735</v>
      </c>
      <c r="S4" s="102"/>
      <c r="T4" s="225" t="s">
        <v>896</v>
      </c>
      <c r="U4" s="191">
        <v>45910</v>
      </c>
      <c r="V4" s="191">
        <v>45910</v>
      </c>
      <c r="W4" s="102" t="s">
        <v>231</v>
      </c>
      <c r="X4" s="102"/>
      <c r="Y4" s="102" t="s">
        <v>306</v>
      </c>
      <c r="Z4" s="191">
        <v>45911</v>
      </c>
      <c r="AA4" s="102"/>
      <c r="AB4" s="102"/>
      <c r="AC4" s="120"/>
      <c r="AD4" s="390" t="s">
        <v>822</v>
      </c>
    </row>
    <row r="5" spans="1:133" s="86" customFormat="1" ht="35.25" customHeight="1">
      <c r="A5" s="86">
        <v>4</v>
      </c>
      <c r="B5" s="239" t="s">
        <v>5</v>
      </c>
      <c r="C5" s="236">
        <v>45904</v>
      </c>
      <c r="D5" s="236">
        <v>45918</v>
      </c>
      <c r="E5" s="237" t="s">
        <v>150</v>
      </c>
      <c r="F5" s="115" t="s">
        <v>506</v>
      </c>
      <c r="G5" s="364" t="s">
        <v>857</v>
      </c>
      <c r="H5" s="253" t="s">
        <v>858</v>
      </c>
      <c r="I5" s="86" t="s">
        <v>271</v>
      </c>
      <c r="J5" s="86">
        <v>3</v>
      </c>
      <c r="M5" s="191">
        <v>45905</v>
      </c>
      <c r="R5" s="193"/>
      <c r="AC5" s="115"/>
      <c r="AD5" s="43" t="s">
        <v>860</v>
      </c>
      <c r="AE5" s="43"/>
      <c r="AF5" s="43"/>
      <c r="AG5" s="43"/>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138"/>
    </row>
    <row r="6" spans="1:133" ht="35.25" customHeight="1">
      <c r="A6" s="86">
        <v>5</v>
      </c>
      <c r="B6" s="239" t="s">
        <v>5</v>
      </c>
      <c r="C6" s="236">
        <v>45904</v>
      </c>
      <c r="D6" s="236">
        <v>45918</v>
      </c>
      <c r="E6" s="237" t="s">
        <v>150</v>
      </c>
      <c r="F6" s="115" t="s">
        <v>231</v>
      </c>
      <c r="G6" s="229" t="s">
        <v>897</v>
      </c>
      <c r="H6" s="256" t="s">
        <v>898</v>
      </c>
      <c r="I6" s="102" t="s">
        <v>13</v>
      </c>
      <c r="J6" s="102">
        <v>2</v>
      </c>
      <c r="K6" s="102">
        <v>2</v>
      </c>
      <c r="L6" s="102"/>
      <c r="M6" s="121">
        <v>45905</v>
      </c>
      <c r="N6" s="102"/>
      <c r="O6" s="102" t="s">
        <v>231</v>
      </c>
      <c r="P6" s="102" t="s">
        <v>304</v>
      </c>
      <c r="Q6" s="102"/>
      <c r="R6" s="219"/>
      <c r="S6" s="102"/>
      <c r="T6" s="225" t="s">
        <v>899</v>
      </c>
      <c r="U6" s="121">
        <v>45909</v>
      </c>
      <c r="V6" s="121">
        <v>45909</v>
      </c>
      <c r="W6" s="102"/>
      <c r="X6" s="102"/>
      <c r="Y6" s="102" t="s">
        <v>306</v>
      </c>
      <c r="Z6" s="121">
        <v>45909</v>
      </c>
      <c r="AA6" s="102"/>
      <c r="AB6" s="102"/>
      <c r="AC6" s="120"/>
      <c r="AD6" s="392" t="s">
        <v>822</v>
      </c>
      <c r="EC6" s="138"/>
    </row>
    <row r="7" spans="1:133" ht="35.25" customHeight="1">
      <c r="A7" s="86">
        <v>6</v>
      </c>
      <c r="B7" s="239" t="s">
        <v>5</v>
      </c>
      <c r="C7" s="236">
        <v>45904</v>
      </c>
      <c r="D7" s="236">
        <v>45918</v>
      </c>
      <c r="E7" s="237" t="s">
        <v>150</v>
      </c>
      <c r="F7" s="391" t="s">
        <v>284</v>
      </c>
      <c r="G7" s="364" t="s">
        <v>900</v>
      </c>
      <c r="H7" s="86" t="s">
        <v>901</v>
      </c>
      <c r="I7" s="86" t="s">
        <v>13</v>
      </c>
      <c r="J7" s="86" t="s">
        <v>93</v>
      </c>
      <c r="K7" s="86" t="s">
        <v>93</v>
      </c>
      <c r="L7" s="138" t="s">
        <v>93</v>
      </c>
      <c r="M7" s="86" t="s">
        <v>93</v>
      </c>
      <c r="N7" s="86" t="s">
        <v>93</v>
      </c>
      <c r="O7" s="86" t="s">
        <v>93</v>
      </c>
      <c r="P7" s="86" t="s">
        <v>93</v>
      </c>
      <c r="Q7" s="86" t="s">
        <v>93</v>
      </c>
      <c r="R7" s="86" t="s">
        <v>93</v>
      </c>
      <c r="S7" s="86" t="s">
        <v>93</v>
      </c>
      <c r="T7" s="86" t="s">
        <v>93</v>
      </c>
      <c r="U7" s="86" t="s">
        <v>93</v>
      </c>
      <c r="V7" s="86" t="s">
        <v>93</v>
      </c>
      <c r="W7" s="86" t="s">
        <v>93</v>
      </c>
      <c r="X7" s="86" t="s">
        <v>93</v>
      </c>
      <c r="Y7" s="86" t="s">
        <v>93</v>
      </c>
      <c r="Z7" s="86" t="s">
        <v>93</v>
      </c>
      <c r="AA7" s="86" t="s">
        <v>93</v>
      </c>
      <c r="AB7" s="86" t="s">
        <v>93</v>
      </c>
      <c r="AC7" s="86" t="s">
        <v>93</v>
      </c>
      <c r="AD7" s="86"/>
    </row>
  </sheetData>
  <hyperlinks>
    <hyperlink ref="T2" r:id="rId1" xr:uid="{B0723136-DE65-4248-BB45-C572FECE8890}"/>
    <hyperlink ref="T4" r:id="rId2" xr:uid="{60958B3B-3369-4957-BA58-3DE1284B5261}"/>
    <hyperlink ref="T6" r:id="rId3" xr:uid="{551A700A-3370-4A59-B43B-E7E4966A008E}"/>
    <hyperlink ref="T3" r:id="rId4" xr:uid="{CE4C00EA-5E6F-4761-AF02-578DC4A878BD}"/>
  </hyperlinks>
  <pageMargins left="0" right="0" top="0" bottom="0" header="0" footer="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B9CF0-6A78-4D49-91F9-A20E8CE1319C}">
  <sheetPr>
    <outlinePr summaryBelow="0" summaryRight="0"/>
  </sheetPr>
  <dimension ref="A1:P4"/>
  <sheetViews>
    <sheetView topLeftCell="B1" workbookViewId="0">
      <selection activeCell="E11" sqref="E11"/>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5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117" customHeight="1">
      <c r="A2" s="330"/>
      <c r="B2" s="237" t="s">
        <v>150</v>
      </c>
      <c r="C2" s="364" t="s">
        <v>900</v>
      </c>
      <c r="D2" s="364" t="s">
        <v>890</v>
      </c>
      <c r="E2" s="86" t="s">
        <v>281</v>
      </c>
      <c r="F2" s="353" t="s">
        <v>753</v>
      </c>
      <c r="G2" s="239" t="s">
        <v>901</v>
      </c>
      <c r="H2" s="331" t="s">
        <v>562</v>
      </c>
      <c r="I2" s="353" t="s">
        <v>555</v>
      </c>
      <c r="J2" s="98" t="s">
        <v>556</v>
      </c>
      <c r="K2" s="363" t="s">
        <v>557</v>
      </c>
      <c r="L2" s="108" t="s">
        <v>902</v>
      </c>
      <c r="M2" s="108" t="s">
        <v>903</v>
      </c>
      <c r="N2" s="86" t="s">
        <v>904</v>
      </c>
      <c r="O2" s="86"/>
      <c r="P2" s="331"/>
    </row>
    <row r="3" spans="1:16" ht="33" customHeight="1">
      <c r="B3" s="237"/>
      <c r="C3" s="192"/>
      <c r="D3" s="224"/>
      <c r="E3" s="86"/>
      <c r="F3" s="382"/>
      <c r="G3" s="86"/>
      <c r="H3" s="331"/>
      <c r="I3" s="353"/>
      <c r="J3" s="98"/>
      <c r="K3" s="363"/>
      <c r="L3" s="108"/>
      <c r="M3" s="108"/>
      <c r="N3" s="98"/>
      <c r="O3" s="86"/>
    </row>
    <row r="4" spans="1:16" ht="15" customHeight="1">
      <c r="B4" s="237"/>
      <c r="C4" s="192"/>
      <c r="D4" s="224"/>
      <c r="E4" s="86"/>
      <c r="F4" s="382"/>
      <c r="G4" s="86"/>
      <c r="H4" s="331"/>
      <c r="I4" s="353"/>
      <c r="J4" s="98"/>
      <c r="K4" s="363"/>
      <c r="L4" s="108"/>
      <c r="M4" s="108"/>
      <c r="N4" s="98"/>
      <c r="O4" s="86"/>
    </row>
  </sheetData>
  <autoFilter ref="A1:M1" xr:uid="{3A2BB050-11AC-4ED7-A296-96B42C7FCFBA}"/>
  <dataValidations count="5">
    <dataValidation type="list" allowBlank="1" showErrorMessage="1" sqref="K1:K1048576" xr:uid="{36EE1FB3-1558-47C9-A357-11580140AA41}">
      <formula1>"Open,Inprogress,Closed, Rejected"</formula1>
    </dataValidation>
    <dataValidation type="list" allowBlank="1" showErrorMessage="1" sqref="F2:F4" xr:uid="{D1B8F2CB-7C6A-43AD-B1C9-06DC7B7D3415}">
      <formula1>"Bounceback/Sub-Defect,Defect,None"</formula1>
    </dataValidation>
    <dataValidation type="list" allowBlank="1" showErrorMessage="1" sqref="J2:J4" xr:uid="{B6FABF44-02AD-498D-A184-ED712E5ADF5A}">
      <formula1>"Internal,External"</formula1>
    </dataValidation>
    <dataValidation type="list" allowBlank="1" showErrorMessage="1" sqref="H2:H4" xr:uid="{8DA27453-BE02-4DCC-B8B6-21D786FE24BE}">
      <formula1>"Minor,Significant,Major"</formula1>
    </dataValidation>
    <dataValidation type="list" allowBlank="1" showErrorMessage="1" sqref="I2:I4" xr:uid="{71208C7E-BA92-4AC5-A47F-1C592FE570D1}">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6068DDDE-A4B5-4493-836D-7BF85E37E1A3}">
          <x14:formula1>
            <xm:f>Details!$A$2:$A$10</xm:f>
          </x14:formula1>
          <xm:sqref>L2:L4</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01271-B878-4D9C-A1DB-E5A228CE2038}">
  <sheetPr>
    <outlinePr summaryBelow="0" summaryRight="0"/>
  </sheetPr>
  <dimension ref="A1:AE11"/>
  <sheetViews>
    <sheetView showGridLines="0" workbookViewId="0">
      <pane xSplit="7" topLeftCell="H6" activePane="topRight" state="frozen"/>
      <selection pane="topRight" activeCell="H6" sqref="H6"/>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67.140625"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1" ht="36.75" customHeight="1">
      <c r="A1" s="240" t="s">
        <v>241</v>
      </c>
      <c r="B1" s="200" t="s">
        <v>4</v>
      </c>
      <c r="C1" s="200" t="s">
        <v>2</v>
      </c>
      <c r="D1" s="200" t="s">
        <v>3</v>
      </c>
      <c r="E1" s="241" t="s">
        <v>242</v>
      </c>
      <c r="F1" s="365" t="s">
        <v>243</v>
      </c>
      <c r="G1" s="241" t="s">
        <v>244</v>
      </c>
      <c r="H1" s="241" t="s">
        <v>245</v>
      </c>
      <c r="I1" s="241" t="s">
        <v>246</v>
      </c>
      <c r="J1" s="200" t="s">
        <v>247</v>
      </c>
      <c r="K1" s="200" t="s">
        <v>248</v>
      </c>
      <c r="L1" s="200" t="s">
        <v>249</v>
      </c>
      <c r="M1" s="373" t="s">
        <v>250</v>
      </c>
      <c r="N1" s="373" t="s">
        <v>251</v>
      </c>
      <c r="O1" s="241" t="s">
        <v>252</v>
      </c>
      <c r="P1" s="241" t="s">
        <v>253</v>
      </c>
      <c r="Q1" s="241" t="s">
        <v>254</v>
      </c>
      <c r="R1" s="368" t="s">
        <v>255</v>
      </c>
      <c r="S1" s="241" t="s">
        <v>256</v>
      </c>
      <c r="T1" s="241" t="s">
        <v>257</v>
      </c>
      <c r="U1" s="241" t="s">
        <v>258</v>
      </c>
      <c r="V1" s="241" t="s">
        <v>259</v>
      </c>
      <c r="W1" s="241" t="s">
        <v>260</v>
      </c>
      <c r="X1" s="241" t="s">
        <v>261</v>
      </c>
      <c r="Y1" s="241" t="s">
        <v>262</v>
      </c>
      <c r="Z1" s="241" t="s">
        <v>263</v>
      </c>
      <c r="AA1" s="241" t="s">
        <v>264</v>
      </c>
      <c r="AB1" s="241" t="s">
        <v>265</v>
      </c>
      <c r="AC1" s="241" t="s">
        <v>266</v>
      </c>
      <c r="AD1" s="244" t="s">
        <v>267</v>
      </c>
    </row>
    <row r="2" spans="1:31" ht="35.25" customHeight="1">
      <c r="A2" s="86">
        <v>1</v>
      </c>
      <c r="B2" s="239" t="s">
        <v>5</v>
      </c>
      <c r="C2" s="236">
        <v>45890</v>
      </c>
      <c r="D2" s="236">
        <v>45904</v>
      </c>
      <c r="E2" s="237" t="s">
        <v>145</v>
      </c>
      <c r="F2" s="86" t="s">
        <v>905</v>
      </c>
      <c r="G2" s="364" t="s">
        <v>906</v>
      </c>
      <c r="H2" s="86" t="s">
        <v>907</v>
      </c>
      <c r="I2" s="86" t="s">
        <v>13</v>
      </c>
      <c r="J2" s="86">
        <v>2</v>
      </c>
      <c r="K2" s="86">
        <v>2</v>
      </c>
      <c r="L2" s="86"/>
      <c r="M2" s="141">
        <v>45888</v>
      </c>
      <c r="N2" s="141">
        <v>45889</v>
      </c>
      <c r="O2" s="86" t="s">
        <v>837</v>
      </c>
      <c r="P2" s="86" t="s">
        <v>304</v>
      </c>
      <c r="Q2" s="86"/>
      <c r="R2" s="86" t="s">
        <v>268</v>
      </c>
      <c r="S2" s="86"/>
      <c r="T2" s="137" t="s">
        <v>908</v>
      </c>
      <c r="U2" s="141">
        <v>45889</v>
      </c>
      <c r="V2" s="141">
        <v>45889</v>
      </c>
      <c r="W2" s="86" t="s">
        <v>909</v>
      </c>
      <c r="X2" s="86"/>
      <c r="Y2" s="86" t="s">
        <v>867</v>
      </c>
      <c r="Z2" s="141">
        <v>45889</v>
      </c>
      <c r="AA2" s="86"/>
      <c r="AB2" s="86"/>
      <c r="AC2" s="86"/>
      <c r="AD2" s="86" t="s">
        <v>910</v>
      </c>
      <c r="AE2" s="111"/>
    </row>
    <row r="3" spans="1:31" ht="35.25" customHeight="1">
      <c r="A3" s="86">
        <v>2</v>
      </c>
      <c r="B3" s="239" t="s">
        <v>5</v>
      </c>
      <c r="C3" s="236">
        <v>45890</v>
      </c>
      <c r="D3" s="236">
        <v>45904</v>
      </c>
      <c r="E3" s="237" t="s">
        <v>145</v>
      </c>
      <c r="F3" s="86" t="s">
        <v>805</v>
      </c>
      <c r="G3" s="375" t="s">
        <v>911</v>
      </c>
      <c r="H3" s="239" t="s">
        <v>912</v>
      </c>
      <c r="I3" s="86" t="s">
        <v>13</v>
      </c>
      <c r="J3" s="86">
        <v>2</v>
      </c>
      <c r="K3" s="86">
        <v>2</v>
      </c>
      <c r="L3" s="86"/>
      <c r="M3" s="377"/>
      <c r="N3" s="141"/>
      <c r="O3" s="86" t="s">
        <v>231</v>
      </c>
      <c r="P3" s="86" t="s">
        <v>304</v>
      </c>
      <c r="Q3" s="86"/>
      <c r="R3" s="374" t="s">
        <v>268</v>
      </c>
      <c r="S3" s="102"/>
      <c r="T3" s="225" t="s">
        <v>913</v>
      </c>
      <c r="U3" s="141">
        <v>45896</v>
      </c>
      <c r="V3" s="141">
        <v>45896</v>
      </c>
      <c r="W3" s="102" t="s">
        <v>281</v>
      </c>
      <c r="X3" s="102"/>
      <c r="Y3" s="102" t="s">
        <v>867</v>
      </c>
      <c r="Z3" s="141">
        <v>45896</v>
      </c>
      <c r="AA3" s="102"/>
      <c r="AB3" s="102"/>
      <c r="AC3" s="102"/>
      <c r="AD3" s="102" t="s">
        <v>914</v>
      </c>
    </row>
    <row r="4" spans="1:31" ht="35.25" customHeight="1">
      <c r="A4" s="86">
        <v>3</v>
      </c>
      <c r="B4" s="239" t="s">
        <v>5</v>
      </c>
      <c r="C4" s="236">
        <v>45890</v>
      </c>
      <c r="D4" s="236">
        <v>45904</v>
      </c>
      <c r="E4" s="237" t="s">
        <v>145</v>
      </c>
      <c r="F4" s="86" t="s">
        <v>889</v>
      </c>
      <c r="G4" s="375" t="s">
        <v>915</v>
      </c>
      <c r="H4" s="239" t="s">
        <v>916</v>
      </c>
      <c r="I4" s="86" t="s">
        <v>13</v>
      </c>
      <c r="J4" s="86">
        <v>3</v>
      </c>
      <c r="K4" s="86">
        <v>3</v>
      </c>
      <c r="L4" s="86"/>
      <c r="M4" s="377"/>
      <c r="N4" s="141"/>
      <c r="O4" s="86" t="s">
        <v>917</v>
      </c>
      <c r="P4" s="86" t="s">
        <v>304</v>
      </c>
      <c r="Q4" s="86"/>
      <c r="R4" s="374" t="s">
        <v>268</v>
      </c>
      <c r="S4" s="102"/>
      <c r="T4" s="225" t="s">
        <v>918</v>
      </c>
      <c r="U4" s="141">
        <v>45897</v>
      </c>
      <c r="V4" s="141">
        <v>45899</v>
      </c>
      <c r="W4" s="102" t="s">
        <v>231</v>
      </c>
      <c r="X4" s="120"/>
      <c r="Y4" s="386" t="s">
        <v>740</v>
      </c>
      <c r="Z4" s="377">
        <v>45899</v>
      </c>
      <c r="AA4" s="102"/>
      <c r="AB4" s="102"/>
      <c r="AC4" s="102"/>
      <c r="AD4" s="102" t="s">
        <v>914</v>
      </c>
    </row>
    <row r="5" spans="1:31" ht="35.25" customHeight="1">
      <c r="A5" s="86">
        <v>4</v>
      </c>
      <c r="B5" s="239" t="s">
        <v>5</v>
      </c>
      <c r="C5" s="236">
        <v>45890</v>
      </c>
      <c r="D5" s="236">
        <v>45904</v>
      </c>
      <c r="E5" s="237" t="s">
        <v>145</v>
      </c>
      <c r="F5" s="86" t="s">
        <v>919</v>
      </c>
      <c r="G5" s="375" t="s">
        <v>920</v>
      </c>
      <c r="H5" s="239" t="s">
        <v>921</v>
      </c>
      <c r="I5" s="86" t="s">
        <v>13</v>
      </c>
      <c r="J5" s="86">
        <v>3</v>
      </c>
      <c r="K5" s="86">
        <v>3</v>
      </c>
      <c r="L5" s="86"/>
      <c r="M5" s="377"/>
      <c r="N5" s="141"/>
      <c r="O5" s="86" t="s">
        <v>917</v>
      </c>
      <c r="P5" s="86" t="s">
        <v>304</v>
      </c>
      <c r="Q5" s="86"/>
      <c r="R5" s="374" t="s">
        <v>268</v>
      </c>
      <c r="S5" s="102"/>
      <c r="T5" s="225" t="s">
        <v>918</v>
      </c>
      <c r="U5" s="141">
        <v>45897</v>
      </c>
      <c r="V5" s="141">
        <v>45899</v>
      </c>
      <c r="W5" s="102" t="s">
        <v>231</v>
      </c>
      <c r="X5" s="102"/>
      <c r="Y5" s="385" t="s">
        <v>922</v>
      </c>
      <c r="Z5" s="141">
        <v>45899</v>
      </c>
      <c r="AA5" s="102"/>
      <c r="AB5" s="102"/>
      <c r="AC5" s="102"/>
      <c r="AD5" s="102" t="s">
        <v>914</v>
      </c>
    </row>
    <row r="6" spans="1:31" s="102" customFormat="1" ht="35.25" customHeight="1">
      <c r="A6" s="86">
        <v>5</v>
      </c>
      <c r="B6" s="239" t="s">
        <v>5</v>
      </c>
      <c r="C6" s="236">
        <v>45890</v>
      </c>
      <c r="D6" s="236">
        <v>45904</v>
      </c>
      <c r="E6" s="237" t="s">
        <v>923</v>
      </c>
      <c r="F6" s="86" t="s">
        <v>268</v>
      </c>
      <c r="G6" s="375" t="s">
        <v>885</v>
      </c>
      <c r="H6" s="239" t="s">
        <v>886</v>
      </c>
      <c r="I6" s="86" t="s">
        <v>271</v>
      </c>
      <c r="J6" s="86">
        <v>3</v>
      </c>
      <c r="K6" s="86">
        <v>2</v>
      </c>
      <c r="L6" s="86"/>
      <c r="M6" s="377"/>
      <c r="N6" s="141"/>
      <c r="O6" s="86" t="s">
        <v>268</v>
      </c>
      <c r="P6" s="86" t="s">
        <v>304</v>
      </c>
      <c r="Q6" s="86"/>
      <c r="R6" s="374" t="s">
        <v>735</v>
      </c>
      <c r="T6" s="225"/>
      <c r="U6" s="141"/>
      <c r="V6" s="141"/>
      <c r="X6" s="120"/>
      <c r="Y6" s="387"/>
      <c r="Z6" s="377"/>
      <c r="AD6" s="102" t="s">
        <v>888</v>
      </c>
      <c r="AE6" s="43"/>
    </row>
    <row r="7" spans="1:31" s="102" customFormat="1" ht="35.25" customHeight="1">
      <c r="A7" s="102">
        <v>6</v>
      </c>
      <c r="B7" s="239" t="s">
        <v>5</v>
      </c>
      <c r="C7" s="236">
        <v>45890</v>
      </c>
      <c r="D7" s="236">
        <v>45904</v>
      </c>
      <c r="E7" s="237" t="s">
        <v>923</v>
      </c>
      <c r="F7" s="102" t="s">
        <v>231</v>
      </c>
      <c r="G7" s="229" t="s">
        <v>924</v>
      </c>
      <c r="H7" s="262" t="s">
        <v>925</v>
      </c>
      <c r="I7" s="102" t="s">
        <v>13</v>
      </c>
      <c r="J7" s="102">
        <v>2</v>
      </c>
      <c r="K7" s="102">
        <v>2</v>
      </c>
      <c r="O7" s="102" t="s">
        <v>231</v>
      </c>
      <c r="P7" s="102" t="s">
        <v>304</v>
      </c>
      <c r="R7" s="102" t="s">
        <v>268</v>
      </c>
      <c r="T7" s="225" t="s">
        <v>926</v>
      </c>
      <c r="U7" s="118">
        <v>45903</v>
      </c>
      <c r="V7" s="118" t="s">
        <v>93</v>
      </c>
      <c r="W7" s="102" t="s">
        <v>93</v>
      </c>
      <c r="X7" s="120"/>
      <c r="Y7" s="102" t="s">
        <v>867</v>
      </c>
      <c r="Z7" s="378">
        <v>45903</v>
      </c>
      <c r="AD7" s="102" t="s">
        <v>927</v>
      </c>
    </row>
    <row r="8" spans="1:31" s="86" customFormat="1" ht="35.25" customHeight="1">
      <c r="A8" s="86">
        <v>7</v>
      </c>
      <c r="B8" s="239" t="s">
        <v>5</v>
      </c>
      <c r="C8" s="236">
        <v>45890</v>
      </c>
      <c r="D8" s="236">
        <v>45904</v>
      </c>
      <c r="E8" s="237" t="s">
        <v>145</v>
      </c>
      <c r="F8" s="86" t="s">
        <v>231</v>
      </c>
      <c r="G8" s="364" t="s">
        <v>928</v>
      </c>
      <c r="H8" s="239" t="s">
        <v>929</v>
      </c>
      <c r="I8" s="86" t="s">
        <v>13</v>
      </c>
      <c r="J8" s="86" t="s">
        <v>93</v>
      </c>
      <c r="K8" s="86" t="s">
        <v>93</v>
      </c>
      <c r="T8" s="137" t="s">
        <v>930</v>
      </c>
      <c r="U8" s="118" t="s">
        <v>93</v>
      </c>
      <c r="V8" s="118" t="s">
        <v>93</v>
      </c>
      <c r="W8" s="86" t="s">
        <v>93</v>
      </c>
      <c r="X8" s="115"/>
      <c r="Y8" s="86" t="s">
        <v>867</v>
      </c>
      <c r="Z8" s="378">
        <v>45896</v>
      </c>
      <c r="AD8" s="102" t="s">
        <v>931</v>
      </c>
    </row>
    <row r="9" spans="1:31" s="102" customFormat="1" ht="35.25" customHeight="1">
      <c r="A9" s="102">
        <v>8</v>
      </c>
      <c r="B9" s="262" t="s">
        <v>5</v>
      </c>
      <c r="C9" s="257">
        <v>45890</v>
      </c>
      <c r="D9" s="257">
        <v>45904</v>
      </c>
      <c r="E9" s="246" t="s">
        <v>145</v>
      </c>
      <c r="F9" s="102" t="s">
        <v>231</v>
      </c>
      <c r="G9" s="229" t="s">
        <v>932</v>
      </c>
      <c r="H9" s="262" t="s">
        <v>933</v>
      </c>
      <c r="I9" s="102" t="s">
        <v>13</v>
      </c>
      <c r="J9" s="102" t="s">
        <v>93</v>
      </c>
      <c r="K9" s="102" t="s">
        <v>93</v>
      </c>
      <c r="M9" s="118">
        <v>45902</v>
      </c>
      <c r="N9" s="118">
        <v>45902</v>
      </c>
      <c r="T9" s="225"/>
      <c r="U9" s="118"/>
      <c r="V9" s="118"/>
      <c r="Y9" s="190" t="s">
        <v>867</v>
      </c>
      <c r="Z9" s="118">
        <v>45895</v>
      </c>
      <c r="AD9" s="73" t="s">
        <v>931</v>
      </c>
    </row>
    <row r="10" spans="1:31" s="102" customFormat="1" ht="35.25" customHeight="1">
      <c r="A10" s="102">
        <v>9</v>
      </c>
      <c r="B10" s="262" t="s">
        <v>5</v>
      </c>
      <c r="C10" s="257">
        <v>45890</v>
      </c>
      <c r="D10" s="257">
        <v>45904</v>
      </c>
      <c r="E10" s="246" t="s">
        <v>145</v>
      </c>
      <c r="F10" s="102" t="s">
        <v>889</v>
      </c>
      <c r="G10" s="229" t="s">
        <v>890</v>
      </c>
      <c r="H10" s="262" t="s">
        <v>891</v>
      </c>
      <c r="I10" s="102" t="s">
        <v>271</v>
      </c>
      <c r="J10" s="102">
        <v>5</v>
      </c>
      <c r="T10" s="225"/>
      <c r="U10" s="118"/>
      <c r="V10" s="118"/>
      <c r="Y10" s="190"/>
      <c r="Z10" s="118"/>
      <c r="AD10" s="388" t="s">
        <v>934</v>
      </c>
    </row>
    <row r="11" spans="1:31" s="86" customFormat="1" ht="35.25" customHeight="1">
      <c r="A11" s="86">
        <v>10</v>
      </c>
      <c r="B11" s="239" t="s">
        <v>5</v>
      </c>
      <c r="C11" s="236">
        <v>45890</v>
      </c>
      <c r="D11" s="236">
        <v>45904</v>
      </c>
      <c r="E11" s="237" t="s">
        <v>145</v>
      </c>
      <c r="F11" s="86" t="s">
        <v>284</v>
      </c>
      <c r="G11" s="364" t="s">
        <v>935</v>
      </c>
      <c r="H11" s="239" t="s">
        <v>936</v>
      </c>
      <c r="I11" s="86" t="s">
        <v>13</v>
      </c>
      <c r="J11" s="86" t="s">
        <v>93</v>
      </c>
      <c r="K11" s="86" t="s">
        <v>93</v>
      </c>
      <c r="T11" s="137" t="s">
        <v>937</v>
      </c>
      <c r="U11" s="141">
        <v>45902</v>
      </c>
      <c r="V11" s="141">
        <v>45903</v>
      </c>
      <c r="W11" s="86" t="s">
        <v>231</v>
      </c>
      <c r="Y11" s="86" t="s">
        <v>867</v>
      </c>
      <c r="Z11" s="141">
        <v>45903</v>
      </c>
      <c r="AD11" s="89" t="s">
        <v>931</v>
      </c>
    </row>
  </sheetData>
  <hyperlinks>
    <hyperlink ref="T2" r:id="rId1" xr:uid="{FDD46F78-B6F6-4BF6-B2AF-66DD0F79A4DF}"/>
    <hyperlink ref="T3" r:id="rId2" xr:uid="{1CC471E8-06E3-4FB2-8B5E-90C70E2C4AF2}"/>
    <hyperlink ref="T4" r:id="rId3" xr:uid="{DD97C4AF-DEFD-46C0-99BF-D7732A1DB7F7}"/>
    <hyperlink ref="T5" r:id="rId4" xr:uid="{73FB7623-3A03-4A29-B58E-1165B68FC090}"/>
    <hyperlink ref="T7" r:id="rId5" xr:uid="{7D37816A-341E-4C74-BDB6-766C3CAA82A0}"/>
    <hyperlink ref="T11" r:id="rId6" xr:uid="{3E3399C4-FCA6-4B29-AD40-04CD74D1D371}"/>
    <hyperlink ref="T8" r:id="rId7" xr:uid="{295995DD-0604-46BF-8067-CD02AB84AB60}"/>
  </hyperlinks>
  <pageMargins left="0" right="0" top="0" bottom="0" header="0" footer="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2CD24-EB92-4E8F-B183-B91805860FFE}">
  <sheetPr>
    <outlinePr summaryBelow="0" summaryRight="0"/>
  </sheetPr>
  <dimension ref="A1:P4"/>
  <sheetViews>
    <sheetView topLeftCell="C1" workbookViewId="0">
      <selection activeCell="E11" sqref="E11"/>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27.75" customHeight="1">
      <c r="A2" s="330"/>
      <c r="B2" s="237" t="s">
        <v>145</v>
      </c>
      <c r="C2" s="192" t="s">
        <v>935</v>
      </c>
      <c r="D2" s="224" t="s">
        <v>915</v>
      </c>
      <c r="E2" s="86" t="s">
        <v>281</v>
      </c>
      <c r="F2" s="353" t="s">
        <v>753</v>
      </c>
      <c r="G2" s="239" t="s">
        <v>936</v>
      </c>
      <c r="H2" s="331" t="s">
        <v>562</v>
      </c>
      <c r="I2" s="353" t="s">
        <v>555</v>
      </c>
      <c r="J2" s="98" t="s">
        <v>556</v>
      </c>
      <c r="K2" s="363" t="s">
        <v>557</v>
      </c>
      <c r="L2" s="108" t="s">
        <v>902</v>
      </c>
      <c r="M2" s="108" t="s">
        <v>304</v>
      </c>
      <c r="O2" s="86"/>
      <c r="P2" s="331"/>
    </row>
    <row r="3" spans="1:16" ht="33" customHeight="1">
      <c r="B3" s="237"/>
      <c r="C3" s="192"/>
      <c r="D3" s="224"/>
      <c r="E3" s="86"/>
      <c r="F3" s="382"/>
      <c r="G3" s="86"/>
      <c r="H3" s="331"/>
      <c r="I3" s="353"/>
      <c r="J3" s="98"/>
      <c r="K3" s="363"/>
      <c r="L3" s="108"/>
      <c r="M3" s="108"/>
      <c r="N3" s="98"/>
      <c r="O3" s="86"/>
    </row>
    <row r="4" spans="1:16" ht="15" customHeight="1">
      <c r="B4" s="237"/>
      <c r="C4" s="192"/>
      <c r="D4" s="224"/>
      <c r="E4" s="86"/>
      <c r="F4" s="382"/>
      <c r="G4" s="86"/>
      <c r="H4" s="331"/>
      <c r="I4" s="353"/>
      <c r="J4" s="98"/>
      <c r="K4" s="363"/>
      <c r="L4" s="108"/>
      <c r="M4" s="108"/>
      <c r="N4" s="98"/>
      <c r="O4" s="86"/>
    </row>
  </sheetData>
  <autoFilter ref="A1:M1" xr:uid="{3A2BB050-11AC-4ED7-A296-96B42C7FCFBA}"/>
  <dataValidations count="5">
    <dataValidation type="list" allowBlank="1" showErrorMessage="1" sqref="I2:I4" xr:uid="{3D6134A5-4BE9-4AF5-A8D4-476C35F9B936}">
      <formula1>"Manual, Automation"</formula1>
    </dataValidation>
    <dataValidation type="list" allowBlank="1" showErrorMessage="1" sqref="H2:H4" xr:uid="{8D539CCB-AE09-4246-8C9B-587BDE603043}">
      <formula1>"Minor,Significant,Major"</formula1>
    </dataValidation>
    <dataValidation type="list" allowBlank="1" showErrorMessage="1" sqref="J2:J4" xr:uid="{E57B48C5-42A4-4B8C-AED5-7FCF05A0387A}">
      <formula1>"Internal,External"</formula1>
    </dataValidation>
    <dataValidation type="list" allowBlank="1" showErrorMessage="1" sqref="F2:F4" xr:uid="{324EEB56-5F0B-4492-B3DE-4B0BFAC88A73}">
      <formula1>"Bounceback/Sub-Defect,Defect,None"</formula1>
    </dataValidation>
    <dataValidation type="list" allowBlank="1" showErrorMessage="1" sqref="K1:K1048576" xr:uid="{6400F673-E2E4-49FC-A1AE-5379339C75C0}">
      <formula1>"Open,Inprogress,Closed, Rejected"</formula1>
    </dataValidation>
  </dataValidations>
  <hyperlinks>
    <hyperlink ref="C2" r:id="rId1" display="https://greatergiving.atlassian.net/browse/GGO-14744" xr:uid="{7EABB554-0C50-4F2C-B420-1146F9797A7D}"/>
  </hyperlinks>
  <pageMargins left="0" right="0" top="0" bottom="0" header="0" footer="0"/>
  <legacyDrawing r:id="rId2"/>
  <extLst>
    <ext xmlns:x14="http://schemas.microsoft.com/office/spreadsheetml/2009/9/main" uri="{CCE6A557-97BC-4b89-ADB6-D9C93CAAB3DF}">
      <x14:dataValidations xmlns:xm="http://schemas.microsoft.com/office/excel/2006/main" count="1">
        <x14:dataValidation type="list" allowBlank="1" showErrorMessage="1" xr:uid="{E1D33F6A-3173-4CBB-8EE2-B1AC3C6D61D1}">
          <x14:formula1>
            <xm:f>Details!$A$2:$A$10</xm:f>
          </x14:formula1>
          <xm:sqref>L2:L4</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9B9B-5748-49DF-8B80-BCD68AEF7014}">
  <sheetPr>
    <outlinePr summaryBelow="0" summaryRight="0"/>
  </sheetPr>
  <dimension ref="A1:AE12"/>
  <sheetViews>
    <sheetView showGridLines="0" workbookViewId="0">
      <pane xSplit="7" topLeftCell="H1" activePane="topRight" state="frozen"/>
      <selection pane="topRight" activeCell="H4" sqref="H4:H5"/>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19.7109375" style="43" customWidth="1"/>
    <col min="6" max="6" width="21.5703125" style="43" customWidth="1"/>
    <col min="7" max="7" width="19.7109375" style="62" customWidth="1"/>
    <col min="8" max="8" width="67.140625"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1" ht="36.75" customHeight="1">
      <c r="A1" s="379" t="s">
        <v>241</v>
      </c>
      <c r="B1" s="57" t="s">
        <v>4</v>
      </c>
      <c r="C1" s="57" t="s">
        <v>2</v>
      </c>
      <c r="D1" s="57" t="s">
        <v>3</v>
      </c>
      <c r="E1" s="379" t="s">
        <v>242</v>
      </c>
      <c r="F1" s="379" t="s">
        <v>243</v>
      </c>
      <c r="G1" s="379" t="s">
        <v>244</v>
      </c>
      <c r="H1" s="379" t="s">
        <v>245</v>
      </c>
      <c r="I1" s="379" t="s">
        <v>246</v>
      </c>
      <c r="J1" s="57" t="s">
        <v>247</v>
      </c>
      <c r="K1" s="57" t="s">
        <v>248</v>
      </c>
      <c r="L1" s="57" t="s">
        <v>249</v>
      </c>
      <c r="M1" s="57" t="s">
        <v>250</v>
      </c>
      <c r="N1" s="57" t="s">
        <v>251</v>
      </c>
      <c r="O1" s="379" t="s">
        <v>252</v>
      </c>
      <c r="P1" s="379" t="s">
        <v>253</v>
      </c>
      <c r="Q1" s="379" t="s">
        <v>254</v>
      </c>
      <c r="R1" s="380" t="s">
        <v>255</v>
      </c>
      <c r="S1" s="379" t="s">
        <v>256</v>
      </c>
      <c r="T1" s="379" t="s">
        <v>257</v>
      </c>
      <c r="U1" s="379" t="s">
        <v>258</v>
      </c>
      <c r="V1" s="379" t="s">
        <v>259</v>
      </c>
      <c r="W1" s="379" t="s">
        <v>260</v>
      </c>
      <c r="X1" s="379" t="s">
        <v>261</v>
      </c>
      <c r="Y1" s="379" t="s">
        <v>262</v>
      </c>
      <c r="Z1" s="379" t="s">
        <v>263</v>
      </c>
      <c r="AA1" s="379" t="s">
        <v>264</v>
      </c>
      <c r="AB1" s="379" t="s">
        <v>265</v>
      </c>
      <c r="AC1" s="379" t="s">
        <v>266</v>
      </c>
      <c r="AD1" s="381" t="s">
        <v>267</v>
      </c>
    </row>
    <row r="2" spans="1:31" s="102" customFormat="1" ht="35.25" customHeight="1">
      <c r="A2" s="86">
        <v>1</v>
      </c>
      <c r="B2" s="239" t="s">
        <v>5</v>
      </c>
      <c r="C2" s="236">
        <v>45876</v>
      </c>
      <c r="D2" s="236">
        <v>45890</v>
      </c>
      <c r="E2" s="237" t="s">
        <v>140</v>
      </c>
      <c r="F2" s="86" t="s">
        <v>938</v>
      </c>
      <c r="G2" s="364" t="s">
        <v>939</v>
      </c>
      <c r="H2" s="239" t="s">
        <v>940</v>
      </c>
      <c r="I2" s="86" t="s">
        <v>13</v>
      </c>
      <c r="J2" s="86">
        <v>5</v>
      </c>
      <c r="K2" s="86">
        <v>5</v>
      </c>
      <c r="L2" s="86">
        <v>52.25</v>
      </c>
      <c r="M2" s="141">
        <v>45881</v>
      </c>
      <c r="N2" s="141">
        <v>45884</v>
      </c>
      <c r="O2" s="86" t="s">
        <v>281</v>
      </c>
      <c r="P2" s="86" t="s">
        <v>304</v>
      </c>
      <c r="Q2" s="86"/>
      <c r="R2" s="86" t="s">
        <v>268</v>
      </c>
      <c r="S2" s="86"/>
      <c r="T2" s="137" t="s">
        <v>941</v>
      </c>
      <c r="U2" s="141">
        <v>45884</v>
      </c>
      <c r="V2" s="141">
        <v>45884</v>
      </c>
      <c r="W2" s="86" t="s">
        <v>231</v>
      </c>
      <c r="X2" s="86"/>
      <c r="Y2" s="86" t="s">
        <v>867</v>
      </c>
      <c r="Z2" s="141">
        <v>45884</v>
      </c>
      <c r="AA2" s="86"/>
      <c r="AB2" s="86"/>
      <c r="AC2" s="86"/>
      <c r="AD2" s="86" t="s">
        <v>822</v>
      </c>
      <c r="AE2" s="111"/>
    </row>
    <row r="3" spans="1:31" s="102" customFormat="1" ht="35.25" customHeight="1">
      <c r="A3" s="86">
        <v>2</v>
      </c>
      <c r="B3" s="239" t="s">
        <v>5</v>
      </c>
      <c r="C3" s="236">
        <v>45876</v>
      </c>
      <c r="D3" s="236">
        <v>45890</v>
      </c>
      <c r="E3" s="237" t="s">
        <v>140</v>
      </c>
      <c r="F3" s="86" t="s">
        <v>938</v>
      </c>
      <c r="G3" s="364" t="s">
        <v>942</v>
      </c>
      <c r="H3" s="239" t="s">
        <v>943</v>
      </c>
      <c r="I3" s="86" t="s">
        <v>13</v>
      </c>
      <c r="J3" s="86">
        <v>5</v>
      </c>
      <c r="K3" s="86">
        <v>5</v>
      </c>
      <c r="L3" s="86">
        <v>54.75</v>
      </c>
      <c r="M3" s="141">
        <v>45876</v>
      </c>
      <c r="N3" s="141">
        <v>45880</v>
      </c>
      <c r="O3" s="86" t="s">
        <v>281</v>
      </c>
      <c r="P3" s="86" t="s">
        <v>304</v>
      </c>
      <c r="Q3" s="86"/>
      <c r="R3" s="86" t="s">
        <v>268</v>
      </c>
      <c r="S3" s="86"/>
      <c r="T3" s="137" t="s">
        <v>944</v>
      </c>
      <c r="U3" s="141">
        <v>45880</v>
      </c>
      <c r="V3" s="141">
        <v>45882</v>
      </c>
      <c r="W3" s="86" t="s">
        <v>231</v>
      </c>
      <c r="X3" s="86"/>
      <c r="Y3" s="86" t="s">
        <v>867</v>
      </c>
      <c r="Z3" s="141">
        <v>45882</v>
      </c>
      <c r="AA3" s="86"/>
      <c r="AB3" s="86"/>
      <c r="AC3" s="86"/>
      <c r="AD3" s="86" t="s">
        <v>822</v>
      </c>
      <c r="AE3" s="111"/>
    </row>
    <row r="4" spans="1:31" ht="35.25" customHeight="1">
      <c r="A4" s="86">
        <v>3</v>
      </c>
      <c r="B4" s="239" t="s">
        <v>5</v>
      </c>
      <c r="C4" s="236">
        <v>45876</v>
      </c>
      <c r="D4" s="236">
        <v>45890</v>
      </c>
      <c r="E4" s="237" t="s">
        <v>140</v>
      </c>
      <c r="F4" s="86" t="s">
        <v>506</v>
      </c>
      <c r="G4" s="364" t="s">
        <v>911</v>
      </c>
      <c r="H4" s="239" t="s">
        <v>945</v>
      </c>
      <c r="I4" s="86" t="s">
        <v>271</v>
      </c>
      <c r="J4" s="86">
        <v>3</v>
      </c>
      <c r="K4" s="86"/>
      <c r="L4" s="86">
        <v>37.75</v>
      </c>
      <c r="M4" s="141">
        <v>45887</v>
      </c>
      <c r="N4" s="86"/>
      <c r="O4" s="86"/>
      <c r="P4" s="86"/>
      <c r="Q4" s="86"/>
      <c r="R4" s="86"/>
      <c r="S4" s="86"/>
      <c r="T4" s="86"/>
      <c r="U4" s="86"/>
      <c r="V4" s="86"/>
      <c r="W4" s="86"/>
      <c r="X4" s="86"/>
      <c r="Y4" s="86"/>
      <c r="Z4" s="86"/>
      <c r="AA4" s="86"/>
      <c r="AB4" s="86"/>
      <c r="AC4" s="86"/>
      <c r="AD4" s="86"/>
      <c r="AE4" s="111"/>
    </row>
    <row r="5" spans="1:31" ht="35.25" customHeight="1">
      <c r="A5" s="86">
        <v>4</v>
      </c>
      <c r="B5" s="239" t="s">
        <v>5</v>
      </c>
      <c r="C5" s="236">
        <v>45876</v>
      </c>
      <c r="D5" s="236">
        <v>45890</v>
      </c>
      <c r="E5" s="237" t="s">
        <v>140</v>
      </c>
      <c r="F5" s="86" t="s">
        <v>837</v>
      </c>
      <c r="G5" s="364" t="s">
        <v>906</v>
      </c>
      <c r="H5" s="239" t="s">
        <v>946</v>
      </c>
      <c r="I5" s="86" t="s">
        <v>947</v>
      </c>
      <c r="J5" s="86">
        <v>3</v>
      </c>
      <c r="K5" s="86"/>
      <c r="L5" s="86">
        <v>21</v>
      </c>
      <c r="M5" s="141">
        <v>45888</v>
      </c>
      <c r="N5" s="141">
        <v>45889</v>
      </c>
      <c r="O5" s="86" t="s">
        <v>837</v>
      </c>
      <c r="P5" s="86" t="s">
        <v>304</v>
      </c>
      <c r="Q5" s="86"/>
      <c r="R5" s="86" t="s">
        <v>268</v>
      </c>
      <c r="S5" s="86"/>
      <c r="T5" s="137" t="s">
        <v>908</v>
      </c>
      <c r="U5" s="141">
        <v>45889</v>
      </c>
      <c r="V5" s="141">
        <v>45889</v>
      </c>
      <c r="W5" s="86" t="s">
        <v>909</v>
      </c>
      <c r="X5" s="86"/>
      <c r="Y5" s="86" t="s">
        <v>867</v>
      </c>
      <c r="Z5" s="141">
        <v>45889</v>
      </c>
      <c r="AA5" s="86"/>
      <c r="AB5" s="86"/>
      <c r="AC5" s="86"/>
      <c r="AD5" s="86" t="s">
        <v>948</v>
      </c>
      <c r="AE5" s="111"/>
    </row>
    <row r="6" spans="1:31" ht="35.25" customHeight="1">
      <c r="A6" s="86">
        <v>5</v>
      </c>
      <c r="B6" s="239" t="s">
        <v>5</v>
      </c>
      <c r="C6" s="236">
        <v>45876</v>
      </c>
      <c r="D6" s="236">
        <v>45890</v>
      </c>
      <c r="E6" s="237" t="s">
        <v>140</v>
      </c>
      <c r="F6" s="86" t="s">
        <v>284</v>
      </c>
      <c r="G6" s="364" t="s">
        <v>949</v>
      </c>
      <c r="H6" s="239" t="s">
        <v>950</v>
      </c>
      <c r="I6" s="86" t="s">
        <v>13</v>
      </c>
      <c r="J6" s="384" t="s">
        <v>93</v>
      </c>
      <c r="K6" s="384" t="s">
        <v>93</v>
      </c>
      <c r="L6" s="86">
        <v>9.5</v>
      </c>
      <c r="M6" s="141">
        <v>45882</v>
      </c>
      <c r="N6" s="141">
        <v>45882</v>
      </c>
      <c r="O6" s="86"/>
      <c r="P6" s="86"/>
      <c r="Q6" s="86"/>
      <c r="R6" s="86"/>
      <c r="S6" s="86"/>
      <c r="T6" s="137" t="s">
        <v>951</v>
      </c>
      <c r="U6" s="141">
        <v>45882</v>
      </c>
      <c r="V6" s="141">
        <v>45883</v>
      </c>
      <c r="W6" s="86" t="s">
        <v>231</v>
      </c>
      <c r="X6" s="86"/>
      <c r="Y6" s="86" t="s">
        <v>867</v>
      </c>
      <c r="Z6" s="141">
        <v>45883</v>
      </c>
      <c r="AA6" s="86"/>
      <c r="AB6" s="86"/>
      <c r="AC6" s="86"/>
      <c r="AD6" s="86" t="s">
        <v>822</v>
      </c>
      <c r="AE6" s="111"/>
    </row>
    <row r="7" spans="1:31" ht="35.25" customHeight="1">
      <c r="A7" s="86">
        <v>6</v>
      </c>
      <c r="B7" s="239" t="s">
        <v>5</v>
      </c>
      <c r="C7" s="236">
        <v>45876</v>
      </c>
      <c r="D7" s="236">
        <v>45890</v>
      </c>
      <c r="E7" s="237" t="s">
        <v>140</v>
      </c>
      <c r="F7" s="86" t="s">
        <v>284</v>
      </c>
      <c r="G7" s="364" t="s">
        <v>952</v>
      </c>
      <c r="H7" s="239" t="s">
        <v>953</v>
      </c>
      <c r="I7" s="86" t="s">
        <v>13</v>
      </c>
      <c r="J7" s="384" t="s">
        <v>93</v>
      </c>
      <c r="K7" s="384" t="s">
        <v>93</v>
      </c>
      <c r="L7" s="86">
        <v>1</v>
      </c>
      <c r="M7" s="141">
        <v>45882</v>
      </c>
      <c r="N7" s="141">
        <v>45882</v>
      </c>
      <c r="O7" s="86"/>
      <c r="P7" s="86"/>
      <c r="Q7" s="86"/>
      <c r="R7" s="86"/>
      <c r="S7" s="86"/>
      <c r="T7" s="137" t="s">
        <v>951</v>
      </c>
      <c r="U7" s="141">
        <v>45882</v>
      </c>
      <c r="V7" s="141">
        <v>45883</v>
      </c>
      <c r="W7" s="86" t="s">
        <v>231</v>
      </c>
      <c r="X7" s="86"/>
      <c r="Y7" s="86" t="s">
        <v>867</v>
      </c>
      <c r="Z7" s="141">
        <v>45883</v>
      </c>
      <c r="AA7" s="86"/>
      <c r="AB7" s="86"/>
      <c r="AC7" s="86"/>
      <c r="AD7" s="86" t="s">
        <v>822</v>
      </c>
      <c r="AE7" s="111"/>
    </row>
    <row r="8" spans="1:31" ht="35.25" customHeight="1">
      <c r="A8" s="86">
        <v>7</v>
      </c>
      <c r="B8" s="239" t="s">
        <v>5</v>
      </c>
      <c r="C8" s="236">
        <v>45876</v>
      </c>
      <c r="D8" s="236">
        <v>45890</v>
      </c>
      <c r="E8" s="237" t="s">
        <v>140</v>
      </c>
      <c r="F8" s="86" t="s">
        <v>284</v>
      </c>
      <c r="G8" s="364" t="s">
        <v>954</v>
      </c>
      <c r="H8" s="239" t="s">
        <v>955</v>
      </c>
      <c r="I8" s="86" t="s">
        <v>13</v>
      </c>
      <c r="J8" s="86">
        <v>1</v>
      </c>
      <c r="K8" s="86">
        <v>1</v>
      </c>
      <c r="L8" s="86">
        <v>2.25</v>
      </c>
      <c r="M8" s="141" t="s">
        <v>93</v>
      </c>
      <c r="N8" s="141" t="s">
        <v>93</v>
      </c>
      <c r="O8" s="86"/>
      <c r="P8" s="86"/>
      <c r="Q8" s="86"/>
      <c r="R8" s="86"/>
      <c r="S8" s="86"/>
      <c r="T8" s="137"/>
      <c r="U8" s="141"/>
      <c r="V8" s="141"/>
      <c r="W8" s="86"/>
      <c r="X8" s="86"/>
      <c r="Y8" s="86"/>
      <c r="Z8" s="141"/>
      <c r="AA8" s="86"/>
      <c r="AB8" s="86"/>
      <c r="AC8" s="86"/>
      <c r="AD8" s="86" t="s">
        <v>822</v>
      </c>
      <c r="AE8" s="111"/>
    </row>
    <row r="9" spans="1:31" ht="35.25" customHeight="1">
      <c r="A9" s="86">
        <v>8</v>
      </c>
      <c r="B9" s="239" t="s">
        <v>5</v>
      </c>
      <c r="C9" s="236">
        <v>45876</v>
      </c>
      <c r="D9" s="236">
        <v>45890</v>
      </c>
      <c r="E9" s="237" t="s">
        <v>140</v>
      </c>
      <c r="F9" s="86" t="s">
        <v>284</v>
      </c>
      <c r="G9" s="364" t="s">
        <v>956</v>
      </c>
      <c r="H9" s="239" t="s">
        <v>957</v>
      </c>
      <c r="I9" s="86" t="s">
        <v>13</v>
      </c>
      <c r="J9" s="86">
        <v>1</v>
      </c>
      <c r="K9" s="86">
        <v>1</v>
      </c>
      <c r="L9" s="86">
        <v>10</v>
      </c>
      <c r="M9" s="141" t="s">
        <v>93</v>
      </c>
      <c r="N9" s="141" t="s">
        <v>93</v>
      </c>
      <c r="O9" s="86"/>
      <c r="P9" s="86"/>
      <c r="Q9" s="86"/>
      <c r="R9" s="86"/>
      <c r="S9" s="86"/>
      <c r="T9" s="141" t="s">
        <v>93</v>
      </c>
      <c r="U9" s="141" t="s">
        <v>93</v>
      </c>
      <c r="V9" s="141" t="s">
        <v>93</v>
      </c>
      <c r="W9" s="141" t="s">
        <v>93</v>
      </c>
      <c r="X9" s="86"/>
      <c r="Y9" s="141" t="s">
        <v>93</v>
      </c>
      <c r="Z9" s="141" t="s">
        <v>93</v>
      </c>
      <c r="AA9" s="86"/>
      <c r="AB9" s="86"/>
      <c r="AC9" s="86"/>
      <c r="AD9" s="86" t="s">
        <v>822</v>
      </c>
      <c r="AE9" s="111"/>
    </row>
    <row r="10" spans="1:31" ht="35.25" customHeight="1">
      <c r="A10" s="86">
        <v>9</v>
      </c>
      <c r="B10" s="262" t="s">
        <v>5</v>
      </c>
      <c r="C10" s="257">
        <v>45876</v>
      </c>
      <c r="D10" s="257">
        <v>45890</v>
      </c>
      <c r="E10" s="246" t="s">
        <v>140</v>
      </c>
      <c r="F10" s="102" t="s">
        <v>284</v>
      </c>
      <c r="G10" s="266" t="s">
        <v>958</v>
      </c>
      <c r="H10" s="102" t="s">
        <v>959</v>
      </c>
      <c r="I10" s="86" t="s">
        <v>13</v>
      </c>
      <c r="J10" s="383" t="s">
        <v>93</v>
      </c>
      <c r="K10" s="383" t="s">
        <v>93</v>
      </c>
      <c r="L10" s="102">
        <v>1</v>
      </c>
      <c r="M10" s="102" t="s">
        <v>93</v>
      </c>
      <c r="N10" s="102" t="s">
        <v>93</v>
      </c>
      <c r="O10" s="102"/>
      <c r="P10" s="102"/>
      <c r="Q10" s="102"/>
      <c r="R10" s="102"/>
      <c r="S10" s="102"/>
      <c r="T10" s="141" t="s">
        <v>93</v>
      </c>
      <c r="U10" s="118" t="s">
        <v>93</v>
      </c>
      <c r="V10" s="141" t="s">
        <v>93</v>
      </c>
      <c r="W10" s="141" t="s">
        <v>93</v>
      </c>
      <c r="X10" s="102"/>
      <c r="Y10" s="141" t="s">
        <v>93</v>
      </c>
      <c r="Z10" s="141" t="s">
        <v>93</v>
      </c>
      <c r="AA10" s="102"/>
      <c r="AB10" s="102"/>
      <c r="AC10" s="102"/>
      <c r="AD10" s="86" t="s">
        <v>822</v>
      </c>
      <c r="AE10" s="111"/>
    </row>
    <row r="11" spans="1:31" s="86" customFormat="1" ht="51" customHeight="1">
      <c r="A11" s="86">
        <v>10</v>
      </c>
      <c r="B11" s="239" t="s">
        <v>5</v>
      </c>
      <c r="C11" s="236">
        <v>45876</v>
      </c>
      <c r="D11" s="236">
        <v>45890</v>
      </c>
      <c r="E11" s="237" t="s">
        <v>140</v>
      </c>
      <c r="F11" s="86" t="s">
        <v>284</v>
      </c>
      <c r="G11" s="364" t="s">
        <v>960</v>
      </c>
      <c r="H11" s="86" t="s">
        <v>961</v>
      </c>
      <c r="I11" s="86" t="s">
        <v>13</v>
      </c>
      <c r="J11" s="86">
        <v>1</v>
      </c>
      <c r="K11" s="86">
        <v>1</v>
      </c>
      <c r="L11" s="86">
        <v>2</v>
      </c>
      <c r="M11" s="102"/>
      <c r="N11" s="102" t="s">
        <v>93</v>
      </c>
      <c r="R11" s="193"/>
      <c r="T11" s="102" t="s">
        <v>93</v>
      </c>
      <c r="U11" s="102" t="s">
        <v>93</v>
      </c>
      <c r="V11" s="102" t="s">
        <v>93</v>
      </c>
      <c r="W11" s="102" t="s">
        <v>93</v>
      </c>
      <c r="Y11" s="86" t="s">
        <v>93</v>
      </c>
      <c r="Z11" s="86" t="s">
        <v>93</v>
      </c>
      <c r="AD11" s="86" t="s">
        <v>822</v>
      </c>
    </row>
    <row r="12" spans="1:31" s="86" customFormat="1" ht="35.25" customHeight="1">
      <c r="A12" s="86">
        <v>11</v>
      </c>
      <c r="B12" s="239" t="s">
        <v>5</v>
      </c>
      <c r="C12" s="236">
        <v>45876</v>
      </c>
      <c r="D12" s="236">
        <v>45890</v>
      </c>
      <c r="E12" s="237" t="s">
        <v>140</v>
      </c>
      <c r="F12" s="86" t="s">
        <v>284</v>
      </c>
      <c r="G12" s="364" t="s">
        <v>962</v>
      </c>
      <c r="H12" s="86" t="s">
        <v>963</v>
      </c>
      <c r="I12" s="86" t="s">
        <v>13</v>
      </c>
      <c r="J12" s="86">
        <v>1</v>
      </c>
      <c r="K12" s="86">
        <v>1</v>
      </c>
      <c r="L12" s="115">
        <v>2</v>
      </c>
      <c r="M12" s="115" t="s">
        <v>93</v>
      </c>
      <c r="N12" s="86" t="s">
        <v>93</v>
      </c>
      <c r="O12" s="138"/>
      <c r="R12" s="193"/>
      <c r="S12" s="115"/>
      <c r="T12" s="86" t="s">
        <v>93</v>
      </c>
      <c r="U12" s="138" t="s">
        <v>93</v>
      </c>
      <c r="V12" s="86" t="s">
        <v>93</v>
      </c>
      <c r="W12" s="86" t="s">
        <v>93</v>
      </c>
      <c r="Y12" s="86" t="s">
        <v>93</v>
      </c>
      <c r="Z12" s="86" t="s">
        <v>93</v>
      </c>
      <c r="AD12" s="86" t="s">
        <v>822</v>
      </c>
    </row>
  </sheetData>
  <hyperlinks>
    <hyperlink ref="T2" r:id="rId1" xr:uid="{84A3BA81-F7A3-4EBA-9BED-CE9D91A24326}"/>
    <hyperlink ref="T6" r:id="rId2" xr:uid="{7FCD7A0E-6D8D-492D-9AF2-0831B7D08D50}"/>
    <hyperlink ref="T3" r:id="rId3" xr:uid="{CB15F2F7-FDA5-415A-ADE8-F2186CDB0B5A}"/>
    <hyperlink ref="T7" r:id="rId4" xr:uid="{B40A4631-0484-484D-ABA9-131ABB23C4AD}"/>
    <hyperlink ref="G8" r:id="rId5" display="https://greatergiving.atlassian.net/browse/GGO-14691" xr:uid="{F57F4CC1-B6F9-41A2-B9CC-2B30A5329C05}"/>
    <hyperlink ref="G9" r:id="rId6" display="https://greatergiving.atlassian.net/browse/GGO-14689" xr:uid="{D8397E69-7286-4296-B71D-A8C376CA91CA}"/>
    <hyperlink ref="G7" r:id="rId7" display="https://greatergiving.atlassian.net/browse/GGO-14961" xr:uid="{E3418C1D-6256-4E77-981F-83A9BBA8F168}"/>
    <hyperlink ref="G11" r:id="rId8" display="https://greatergiving.atlassian.net/browse/GGO-14927" xr:uid="{B66A0C46-B53E-40EC-893C-2EEC1268A8C9}"/>
    <hyperlink ref="G10" r:id="rId9" display="https://greatergiving.atlassian.net/browse/GGO-14962" xr:uid="{7F0E4372-97F2-4E5F-BB34-4F5D32246FC3}"/>
    <hyperlink ref="G12" r:id="rId10" display="https://greatergiving.atlassian.net/browse/GGO-14955" xr:uid="{0D571476-E6B1-454B-A7CD-23642782F1CA}"/>
    <hyperlink ref="T5" r:id="rId11" xr:uid="{C0127FDE-7DF5-4D49-87D3-B45BEC7E064E}"/>
  </hyperlinks>
  <pageMargins left="0" right="0" top="0" bottom="0" header="0" footer="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AEFA-F2E8-40BF-9725-32120723E56A}">
  <sheetPr>
    <outlinePr summaryBelow="0" summaryRight="0"/>
  </sheetPr>
  <dimension ref="A1:P4"/>
  <sheetViews>
    <sheetView topLeftCell="B1" workbookViewId="0">
      <selection activeCell="K2" sqref="K2:K4"/>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27.75" customHeight="1">
      <c r="A2" s="330"/>
      <c r="B2" s="237" t="s">
        <v>140</v>
      </c>
      <c r="C2" s="192" t="s">
        <v>949</v>
      </c>
      <c r="D2" s="224" t="s">
        <v>942</v>
      </c>
      <c r="E2" s="86" t="s">
        <v>834</v>
      </c>
      <c r="F2" s="353" t="s">
        <v>753</v>
      </c>
      <c r="G2" s="239" t="s">
        <v>950</v>
      </c>
      <c r="H2" s="331" t="s">
        <v>562</v>
      </c>
      <c r="I2" s="353" t="s">
        <v>555</v>
      </c>
      <c r="J2" s="98" t="s">
        <v>556</v>
      </c>
      <c r="K2" s="363" t="s">
        <v>557</v>
      </c>
      <c r="L2" s="108" t="s">
        <v>902</v>
      </c>
      <c r="M2" s="108" t="s">
        <v>304</v>
      </c>
      <c r="O2" s="86"/>
      <c r="P2" s="331"/>
    </row>
    <row r="3" spans="1:16" ht="33" customHeight="1">
      <c r="B3" s="237" t="s">
        <v>140</v>
      </c>
      <c r="C3" s="192" t="s">
        <v>952</v>
      </c>
      <c r="D3" s="224" t="s">
        <v>939</v>
      </c>
      <c r="E3" s="86" t="s">
        <v>834</v>
      </c>
      <c r="F3" s="382" t="s">
        <v>753</v>
      </c>
      <c r="G3" s="86" t="s">
        <v>953</v>
      </c>
      <c r="H3" s="331" t="s">
        <v>562</v>
      </c>
      <c r="I3" s="353" t="s">
        <v>555</v>
      </c>
      <c r="J3" s="98" t="s">
        <v>556</v>
      </c>
      <c r="K3" s="363" t="s">
        <v>557</v>
      </c>
      <c r="L3" s="108" t="s">
        <v>902</v>
      </c>
      <c r="M3" s="108" t="s">
        <v>304</v>
      </c>
      <c r="N3" s="98"/>
      <c r="O3" s="86"/>
    </row>
    <row r="4" spans="1:16" ht="15" customHeight="1">
      <c r="B4" s="237" t="s">
        <v>140</v>
      </c>
      <c r="C4" s="192" t="s">
        <v>958</v>
      </c>
      <c r="D4" s="224" t="s">
        <v>954</v>
      </c>
      <c r="E4" s="86" t="s">
        <v>893</v>
      </c>
      <c r="F4" s="382" t="s">
        <v>753</v>
      </c>
      <c r="G4" s="86" t="s">
        <v>959</v>
      </c>
      <c r="H4" s="331" t="s">
        <v>562</v>
      </c>
      <c r="I4" s="353" t="s">
        <v>555</v>
      </c>
      <c r="J4" s="98" t="s">
        <v>556</v>
      </c>
      <c r="K4" s="363" t="s">
        <v>557</v>
      </c>
      <c r="L4" s="108" t="s">
        <v>902</v>
      </c>
      <c r="M4" s="108" t="s">
        <v>304</v>
      </c>
      <c r="N4" s="98"/>
      <c r="O4" s="86"/>
    </row>
  </sheetData>
  <autoFilter ref="A1:M1" xr:uid="{3A2BB050-11AC-4ED7-A296-96B42C7FCFBA}"/>
  <dataValidations count="5">
    <dataValidation type="list" allowBlank="1" showErrorMessage="1" sqref="K1:K1048576" xr:uid="{32DB74D6-D037-49E7-A568-AAF2177A6EAF}">
      <formula1>"Open,Inprogress,Closed, Rejected"</formula1>
    </dataValidation>
    <dataValidation type="list" allowBlank="1" showErrorMessage="1" sqref="F2:F4" xr:uid="{1C54942D-FEFB-4700-9C0E-295B0AEACC02}">
      <formula1>"Bounceback/Sub-Defect,Defect,None"</formula1>
    </dataValidation>
    <dataValidation type="list" allowBlank="1" showErrorMessage="1" sqref="J2:J4" xr:uid="{7588F693-58AE-49FF-BE9C-4916376E33CC}">
      <formula1>"Internal,External"</formula1>
    </dataValidation>
    <dataValidation type="list" allowBlank="1" showErrorMessage="1" sqref="H2:H4" xr:uid="{2174D74D-03E0-4D78-AA3D-B3827539EAE4}">
      <formula1>"Minor,Significant,Major"</formula1>
    </dataValidation>
    <dataValidation type="list" allowBlank="1" showErrorMessage="1" sqref="I2:I4" xr:uid="{0CA76DD6-A1EE-4E51-A6F4-7809D24403AE}">
      <formula1>"Manual, Automation"</formula1>
    </dataValidation>
  </dataValidations>
  <hyperlinks>
    <hyperlink ref="C2" r:id="rId1" display="https://greatergiving.atlassian.net/browse/GGO-14744" xr:uid="{98203E0C-0AF5-488D-975D-B8B5AE683EAB}"/>
    <hyperlink ref="C4" r:id="rId2" display="https://greatergiving.atlassian.net/browse/GGO-14962" xr:uid="{FF6FE327-F289-457F-BE60-C7F542518827}"/>
    <hyperlink ref="D4" r:id="rId3" display="https://greatergiving.atlassian.net/browse/GGO-14691" xr:uid="{56DBCA57-F1CC-4396-9F2B-C514ECE4A339}"/>
  </hyperlinks>
  <pageMargins left="0" right="0" top="0" bottom="0" header="0" footer="0"/>
  <legacyDrawing r:id="rId4"/>
  <extLst>
    <ext xmlns:x14="http://schemas.microsoft.com/office/spreadsheetml/2009/9/main" uri="{CCE6A557-97BC-4b89-ADB6-D9C93CAAB3DF}">
      <x14:dataValidations xmlns:xm="http://schemas.microsoft.com/office/excel/2006/main" count="1">
        <x14:dataValidation type="list" allowBlank="1" showErrorMessage="1" xr:uid="{F7B262F7-BC6C-41B5-A3FD-2AF14FB09825}">
          <x14:formula1>
            <xm:f>Details!$A$2:$A$10</xm:f>
          </x14:formula1>
          <xm:sqref>L2:L4</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B6C6-CAB0-4121-B070-C99EBB788C1F}">
  <sheetPr>
    <outlinePr summaryBelow="0" summaryRight="0"/>
  </sheetPr>
  <dimension ref="A1:AE10"/>
  <sheetViews>
    <sheetView showGridLines="0" workbookViewId="0">
      <pane xSplit="7" topLeftCell="H1" activePane="topRight" state="frozen"/>
      <selection pane="topRight" activeCell="H4" sqref="H4"/>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67.140625"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1" ht="36.75" customHeight="1">
      <c r="A1" s="240" t="s">
        <v>241</v>
      </c>
      <c r="B1" s="200" t="s">
        <v>4</v>
      </c>
      <c r="C1" s="200" t="s">
        <v>2</v>
      </c>
      <c r="D1" s="200" t="s">
        <v>3</v>
      </c>
      <c r="E1" s="241" t="s">
        <v>242</v>
      </c>
      <c r="F1" s="365" t="s">
        <v>243</v>
      </c>
      <c r="G1" s="241" t="s">
        <v>244</v>
      </c>
      <c r="H1" s="241" t="s">
        <v>245</v>
      </c>
      <c r="I1" s="241" t="s">
        <v>246</v>
      </c>
      <c r="J1" s="200" t="s">
        <v>247</v>
      </c>
      <c r="K1" s="200" t="s">
        <v>248</v>
      </c>
      <c r="L1" s="200" t="s">
        <v>249</v>
      </c>
      <c r="M1" s="373" t="s">
        <v>250</v>
      </c>
      <c r="N1" s="373" t="s">
        <v>251</v>
      </c>
      <c r="O1" s="241" t="s">
        <v>252</v>
      </c>
      <c r="P1" s="241" t="s">
        <v>253</v>
      </c>
      <c r="Q1" s="241" t="s">
        <v>254</v>
      </c>
      <c r="R1" s="368" t="s">
        <v>255</v>
      </c>
      <c r="S1" s="241" t="s">
        <v>256</v>
      </c>
      <c r="T1" s="241" t="s">
        <v>257</v>
      </c>
      <c r="U1" s="241" t="s">
        <v>258</v>
      </c>
      <c r="V1" s="241" t="s">
        <v>259</v>
      </c>
      <c r="W1" s="241" t="s">
        <v>260</v>
      </c>
      <c r="X1" s="241" t="s">
        <v>261</v>
      </c>
      <c r="Y1" s="241" t="s">
        <v>262</v>
      </c>
      <c r="Z1" s="241" t="s">
        <v>263</v>
      </c>
      <c r="AA1" s="241" t="s">
        <v>264</v>
      </c>
      <c r="AB1" s="241" t="s">
        <v>265</v>
      </c>
      <c r="AC1" s="241" t="s">
        <v>266</v>
      </c>
      <c r="AD1" s="244" t="s">
        <v>267</v>
      </c>
    </row>
    <row r="2" spans="1:31" ht="35.25" customHeight="1">
      <c r="A2" s="86">
        <v>1</v>
      </c>
      <c r="B2" s="239" t="s">
        <v>5</v>
      </c>
      <c r="C2" s="236">
        <v>45862</v>
      </c>
      <c r="D2" s="236">
        <v>45876</v>
      </c>
      <c r="E2" s="237" t="s">
        <v>138</v>
      </c>
      <c r="F2" s="86" t="s">
        <v>938</v>
      </c>
      <c r="G2" s="375" t="s">
        <v>964</v>
      </c>
      <c r="H2" s="86" t="s">
        <v>965</v>
      </c>
      <c r="I2" s="86" t="s">
        <v>13</v>
      </c>
      <c r="J2" s="86">
        <v>3</v>
      </c>
      <c r="K2" s="86">
        <v>3</v>
      </c>
      <c r="L2" s="86"/>
      <c r="M2" s="377">
        <v>45852</v>
      </c>
      <c r="N2" s="141">
        <v>45866</v>
      </c>
      <c r="O2" s="86"/>
      <c r="P2" s="86" t="s">
        <v>304</v>
      </c>
      <c r="Q2" s="86"/>
      <c r="R2" s="374" t="s">
        <v>735</v>
      </c>
      <c r="S2" s="102"/>
      <c r="T2" s="225" t="s">
        <v>966</v>
      </c>
      <c r="U2" s="141">
        <v>45861</v>
      </c>
      <c r="V2" s="141">
        <v>45861</v>
      </c>
      <c r="W2" s="102" t="s">
        <v>231</v>
      </c>
      <c r="X2" s="102"/>
      <c r="Y2" s="102" t="s">
        <v>867</v>
      </c>
      <c r="Z2" s="141">
        <v>45861</v>
      </c>
      <c r="AA2" s="102"/>
      <c r="AB2" s="102"/>
      <c r="AC2" s="102"/>
      <c r="AD2" s="102" t="s">
        <v>967</v>
      </c>
    </row>
    <row r="3" spans="1:31" ht="35.25" customHeight="1">
      <c r="A3" s="86">
        <v>2</v>
      </c>
      <c r="B3" s="239" t="s">
        <v>5</v>
      </c>
      <c r="C3" s="236">
        <v>45862</v>
      </c>
      <c r="D3" s="236">
        <v>45876</v>
      </c>
      <c r="E3" s="237" t="s">
        <v>138</v>
      </c>
      <c r="F3" s="86" t="s">
        <v>231</v>
      </c>
      <c r="G3" s="375" t="s">
        <v>968</v>
      </c>
      <c r="H3" s="86" t="s">
        <v>969</v>
      </c>
      <c r="I3" s="86" t="s">
        <v>13</v>
      </c>
      <c r="J3" s="86">
        <v>2</v>
      </c>
      <c r="K3" s="86">
        <v>2</v>
      </c>
      <c r="L3" s="86"/>
      <c r="M3" s="377">
        <v>45852</v>
      </c>
      <c r="N3" s="141">
        <v>45866</v>
      </c>
      <c r="O3" s="86"/>
      <c r="P3" s="86"/>
      <c r="Q3" s="86"/>
      <c r="R3" s="374"/>
      <c r="S3" s="102"/>
      <c r="T3" s="225" t="s">
        <v>970</v>
      </c>
      <c r="U3" s="118">
        <v>45859</v>
      </c>
      <c r="V3" s="118">
        <v>45859</v>
      </c>
      <c r="W3" s="102" t="s">
        <v>231</v>
      </c>
      <c r="X3" s="102"/>
      <c r="Y3" s="102" t="s">
        <v>867</v>
      </c>
      <c r="Z3" s="118">
        <v>45860</v>
      </c>
      <c r="AA3" s="102"/>
      <c r="AB3" s="102"/>
      <c r="AC3" s="102"/>
      <c r="AD3" s="102" t="s">
        <v>843</v>
      </c>
    </row>
    <row r="4" spans="1:31" ht="35.25" customHeight="1">
      <c r="A4" s="102">
        <v>3</v>
      </c>
      <c r="B4" s="262" t="s">
        <v>5</v>
      </c>
      <c r="C4" s="257">
        <v>45862</v>
      </c>
      <c r="D4" s="257">
        <v>45876</v>
      </c>
      <c r="E4" s="246" t="s">
        <v>138</v>
      </c>
      <c r="F4" s="102" t="s">
        <v>938</v>
      </c>
      <c r="G4" s="376" t="s">
        <v>971</v>
      </c>
      <c r="H4" s="86" t="s">
        <v>972</v>
      </c>
      <c r="I4" s="86" t="s">
        <v>13</v>
      </c>
      <c r="J4" s="86">
        <v>5</v>
      </c>
      <c r="K4" s="86">
        <v>5</v>
      </c>
      <c r="L4" s="86"/>
      <c r="M4" s="378">
        <v>45863</v>
      </c>
      <c r="N4" s="102"/>
      <c r="O4" s="102"/>
      <c r="P4" s="102"/>
      <c r="Q4" s="120"/>
      <c r="R4" s="102"/>
      <c r="S4" s="102"/>
      <c r="T4" s="225" t="s">
        <v>973</v>
      </c>
      <c r="U4" s="118">
        <v>45874</v>
      </c>
      <c r="V4" s="118">
        <v>45874</v>
      </c>
      <c r="W4" s="102" t="s">
        <v>231</v>
      </c>
      <c r="X4" s="102"/>
      <c r="Y4" s="102" t="s">
        <v>867</v>
      </c>
      <c r="Z4" s="118">
        <v>45874</v>
      </c>
      <c r="AA4" s="102"/>
      <c r="AB4" s="102"/>
      <c r="AC4" s="102"/>
      <c r="AD4" s="102"/>
    </row>
    <row r="5" spans="1:31" ht="35.25" customHeight="1">
      <c r="A5" s="102">
        <v>4</v>
      </c>
      <c r="B5" s="262" t="s">
        <v>5</v>
      </c>
      <c r="C5" s="257">
        <v>45862</v>
      </c>
      <c r="D5" s="257">
        <v>45876</v>
      </c>
      <c r="E5" s="246" t="s">
        <v>138</v>
      </c>
      <c r="F5" s="102" t="s">
        <v>938</v>
      </c>
      <c r="G5" s="266" t="s">
        <v>974</v>
      </c>
      <c r="H5" s="107" t="s">
        <v>975</v>
      </c>
      <c r="I5" s="102" t="s">
        <v>13</v>
      </c>
      <c r="J5" s="102"/>
      <c r="K5" s="102"/>
      <c r="L5" s="102"/>
      <c r="M5" s="118">
        <v>45862</v>
      </c>
      <c r="N5" s="118">
        <v>45866</v>
      </c>
      <c r="O5" s="102"/>
      <c r="P5" s="102"/>
      <c r="Q5" s="102"/>
      <c r="R5" s="102"/>
      <c r="S5" s="102"/>
      <c r="T5" s="225" t="s">
        <v>976</v>
      </c>
      <c r="U5" s="118">
        <v>45863</v>
      </c>
      <c r="V5" s="118">
        <v>45863</v>
      </c>
      <c r="W5" s="102" t="s">
        <v>231</v>
      </c>
      <c r="X5" s="102"/>
      <c r="Y5" s="102" t="s">
        <v>867</v>
      </c>
      <c r="Z5" s="118">
        <v>45863</v>
      </c>
      <c r="AA5" s="102"/>
      <c r="AB5" s="102"/>
      <c r="AC5" s="102"/>
      <c r="AD5" s="102" t="s">
        <v>977</v>
      </c>
      <c r="AE5" s="102"/>
    </row>
    <row r="6" spans="1:31" s="102" customFormat="1" ht="35.25" customHeight="1">
      <c r="A6" s="102">
        <v>5</v>
      </c>
      <c r="B6" s="262" t="s">
        <v>5</v>
      </c>
      <c r="C6" s="257">
        <v>45862</v>
      </c>
      <c r="D6" s="257">
        <v>45876</v>
      </c>
      <c r="E6" s="246" t="s">
        <v>138</v>
      </c>
      <c r="F6" s="102" t="s">
        <v>938</v>
      </c>
      <c r="G6" s="376" t="s">
        <v>939</v>
      </c>
      <c r="H6" s="262" t="s">
        <v>940</v>
      </c>
      <c r="I6" s="86" t="s">
        <v>271</v>
      </c>
      <c r="J6" s="102">
        <v>5</v>
      </c>
      <c r="M6" s="111"/>
      <c r="AC6" s="120"/>
      <c r="AD6" s="102" t="s">
        <v>978</v>
      </c>
      <c r="AE6" s="111"/>
    </row>
    <row r="7" spans="1:31" s="102" customFormat="1" ht="35.25" customHeight="1">
      <c r="A7" s="102">
        <v>6</v>
      </c>
      <c r="B7" s="262" t="s">
        <v>5</v>
      </c>
      <c r="C7" s="257">
        <v>45862</v>
      </c>
      <c r="D7" s="257">
        <v>45876</v>
      </c>
      <c r="E7" s="246" t="s">
        <v>138</v>
      </c>
      <c r="F7" s="102" t="s">
        <v>938</v>
      </c>
      <c r="G7" s="229" t="s">
        <v>942</v>
      </c>
      <c r="H7" s="262" t="s">
        <v>943</v>
      </c>
      <c r="I7" s="102" t="s">
        <v>271</v>
      </c>
      <c r="J7" s="102">
        <v>5</v>
      </c>
      <c r="AD7" s="102" t="s">
        <v>979</v>
      </c>
    </row>
    <row r="8" spans="1:31" s="86" customFormat="1" ht="35.25" customHeight="1">
      <c r="A8" s="86">
        <v>7</v>
      </c>
      <c r="B8" s="239" t="s">
        <v>5</v>
      </c>
      <c r="C8" s="236">
        <v>45862</v>
      </c>
      <c r="D8" s="236">
        <v>45876</v>
      </c>
      <c r="E8" s="237" t="s">
        <v>138</v>
      </c>
      <c r="F8" s="86" t="s">
        <v>231</v>
      </c>
      <c r="G8" s="364" t="s">
        <v>980</v>
      </c>
      <c r="H8" s="239" t="s">
        <v>981</v>
      </c>
      <c r="I8" s="86" t="s">
        <v>13</v>
      </c>
      <c r="J8" s="86">
        <v>3</v>
      </c>
      <c r="K8" s="86">
        <v>3</v>
      </c>
      <c r="T8" s="137" t="s">
        <v>982</v>
      </c>
      <c r="U8" s="118">
        <v>45863</v>
      </c>
      <c r="V8" s="118">
        <v>45870</v>
      </c>
      <c r="Y8" s="86" t="s">
        <v>231</v>
      </c>
      <c r="Z8" s="118">
        <v>45870</v>
      </c>
      <c r="AD8" s="102" t="s">
        <v>983</v>
      </c>
    </row>
    <row r="9" spans="1:31" s="86" customFormat="1" ht="35.25" customHeight="1">
      <c r="A9" s="86">
        <v>8</v>
      </c>
      <c r="B9" s="239" t="s">
        <v>5</v>
      </c>
      <c r="C9" s="236">
        <v>45862</v>
      </c>
      <c r="D9" s="236">
        <v>45876</v>
      </c>
      <c r="E9" s="237" t="s">
        <v>138</v>
      </c>
      <c r="F9" s="86" t="s">
        <v>284</v>
      </c>
      <c r="G9" s="364" t="s">
        <v>984</v>
      </c>
      <c r="H9" s="239" t="s">
        <v>985</v>
      </c>
      <c r="I9" s="86" t="s">
        <v>13</v>
      </c>
      <c r="J9" s="86">
        <v>1</v>
      </c>
      <c r="K9" s="86">
        <v>1</v>
      </c>
      <c r="O9" s="86" t="s">
        <v>93</v>
      </c>
      <c r="P9" s="86" t="s">
        <v>93</v>
      </c>
      <c r="Q9" s="86" t="s">
        <v>93</v>
      </c>
      <c r="R9" s="86" t="s">
        <v>93</v>
      </c>
      <c r="S9" s="86" t="s">
        <v>93</v>
      </c>
      <c r="T9" s="86" t="s">
        <v>93</v>
      </c>
      <c r="U9" s="86" t="s">
        <v>93</v>
      </c>
      <c r="V9" s="86" t="s">
        <v>93</v>
      </c>
      <c r="W9" s="86" t="s">
        <v>93</v>
      </c>
      <c r="X9" s="86" t="s">
        <v>93</v>
      </c>
      <c r="Y9" s="86" t="s">
        <v>93</v>
      </c>
      <c r="Z9" s="86" t="s">
        <v>93</v>
      </c>
      <c r="AA9" s="86" t="s">
        <v>93</v>
      </c>
      <c r="AB9" s="86" t="s">
        <v>93</v>
      </c>
      <c r="AC9" s="86" t="s">
        <v>93</v>
      </c>
      <c r="AD9" s="102" t="s">
        <v>843</v>
      </c>
    </row>
    <row r="10" spans="1:31" ht="35.25" customHeight="1">
      <c r="A10" s="86">
        <v>9</v>
      </c>
      <c r="B10" s="239" t="s">
        <v>5</v>
      </c>
      <c r="C10" s="236">
        <v>45862</v>
      </c>
      <c r="D10" s="236">
        <v>45876</v>
      </c>
      <c r="E10" s="237" t="s">
        <v>138</v>
      </c>
      <c r="F10" s="86" t="s">
        <v>284</v>
      </c>
      <c r="G10" s="364" t="s">
        <v>986</v>
      </c>
      <c r="H10" s="239" t="s">
        <v>987</v>
      </c>
      <c r="I10" s="86" t="s">
        <v>13</v>
      </c>
      <c r="J10" s="86"/>
      <c r="K10" s="86"/>
      <c r="L10" s="86"/>
      <c r="M10" s="86"/>
      <c r="N10" s="86"/>
      <c r="O10" s="86" t="s">
        <v>93</v>
      </c>
      <c r="P10" s="86" t="s">
        <v>93</v>
      </c>
      <c r="Q10" s="86" t="s">
        <v>93</v>
      </c>
      <c r="R10" s="86" t="s">
        <v>93</v>
      </c>
      <c r="S10" s="86" t="s">
        <v>93</v>
      </c>
      <c r="T10" s="86" t="s">
        <v>93</v>
      </c>
      <c r="U10" s="86" t="s">
        <v>93</v>
      </c>
      <c r="V10" s="86" t="s">
        <v>93</v>
      </c>
      <c r="W10" s="86" t="s">
        <v>93</v>
      </c>
      <c r="X10" s="86" t="s">
        <v>93</v>
      </c>
      <c r="Y10" s="86" t="s">
        <v>93</v>
      </c>
      <c r="Z10" s="86" t="s">
        <v>93</v>
      </c>
      <c r="AA10" s="86" t="s">
        <v>93</v>
      </c>
      <c r="AB10" s="86" t="s">
        <v>93</v>
      </c>
      <c r="AC10" s="86" t="s">
        <v>93</v>
      </c>
      <c r="AD10" s="102" t="s">
        <v>843</v>
      </c>
      <c r="AE10" s="86"/>
    </row>
  </sheetData>
  <hyperlinks>
    <hyperlink ref="G2" r:id="rId1" display="https://greatergiving.atlassian.net/browse/GGO-14802" xr:uid="{7D7EE9C8-7CA6-44EA-AB4E-DFD025D3F3A5}"/>
    <hyperlink ref="T2" r:id="rId2" xr:uid="{78756DFA-35F8-4BC3-8C5D-4B7EEEE2DA6E}"/>
    <hyperlink ref="T3" r:id="rId3" xr:uid="{03E5298D-E721-4882-AA05-C4A931AF4BA8}"/>
    <hyperlink ref="T5" r:id="rId4" xr:uid="{22E3D2BA-697E-4C72-AFF1-22C324429785}"/>
    <hyperlink ref="T4" r:id="rId5" xr:uid="{72E539EA-B652-4628-BBD6-AFD6F7D2EE53}"/>
    <hyperlink ref="T8" r:id="rId6" xr:uid="{737BE635-7557-4A86-8207-FC178E1B9DA2}"/>
  </hyperlinks>
  <pageMargins left="0" right="0" top="0" bottom="0" header="0" footer="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EC509-E56B-4937-9041-AA4561534248}">
  <sheetPr>
    <outlinePr summaryBelow="0" summaryRight="0"/>
  </sheetPr>
  <dimension ref="A1:AD12"/>
  <sheetViews>
    <sheetView showGridLines="0" workbookViewId="0">
      <pane xSplit="7" topLeftCell="AD11" activePane="topRight" state="frozen"/>
      <selection pane="topRight" activeCell="AD11" sqref="AD11"/>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67.140625" style="43" customWidth="1"/>
    <col min="9" max="9" width="20" style="43" customWidth="1"/>
    <col min="10" max="10" width="11.85546875" style="43" customWidth="1"/>
    <col min="11" max="11" width="11.140625" style="43" customWidth="1"/>
    <col min="12" max="14" width="14.42578125" style="43" customWidth="1"/>
    <col min="15" max="15" width="15.28515625" style="43" customWidth="1"/>
    <col min="16" max="16" width="22.85546875" style="43" bestFit="1" customWidth="1"/>
    <col min="17" max="17" width="24.28515625" style="43" bestFit="1" customWidth="1"/>
    <col min="18" max="18" width="19.7109375" style="220" customWidth="1"/>
    <col min="19" max="19" width="40" style="43" customWidth="1"/>
    <col min="20" max="20" width="25.42578125" style="43" customWidth="1"/>
    <col min="21" max="21" width="17.5703125" style="43" customWidth="1"/>
    <col min="22" max="22" width="14.85546875" style="43" customWidth="1"/>
    <col min="23" max="23" width="15.85546875" style="43" customWidth="1"/>
    <col min="24" max="24" width="37.85546875" style="43" customWidth="1"/>
    <col min="25" max="25" width="15.28515625" style="43" customWidth="1"/>
    <col min="26" max="26" width="16" style="43" bestFit="1" customWidth="1"/>
    <col min="27" max="27" width="31" style="43" customWidth="1"/>
    <col min="28" max="28" width="25.7109375" style="43" bestFit="1" customWidth="1"/>
    <col min="29" max="29" width="24" style="43" bestFit="1" customWidth="1"/>
    <col min="30" max="30" width="59.7109375" style="43" customWidth="1"/>
    <col min="31" max="16384" width="12.5703125" style="43"/>
  </cols>
  <sheetData>
    <row r="1" spans="1:30" customFormat="1" ht="36.75" customHeight="1">
      <c r="A1" s="240" t="s">
        <v>241</v>
      </c>
      <c r="B1" s="200" t="s">
        <v>4</v>
      </c>
      <c r="C1" s="200" t="s">
        <v>2</v>
      </c>
      <c r="D1" s="200" t="s">
        <v>3</v>
      </c>
      <c r="E1" s="241" t="s">
        <v>242</v>
      </c>
      <c r="F1" s="365" t="s">
        <v>243</v>
      </c>
      <c r="G1" s="241" t="s">
        <v>244</v>
      </c>
      <c r="H1" s="241" t="s">
        <v>245</v>
      </c>
      <c r="I1" s="241" t="s">
        <v>246</v>
      </c>
      <c r="J1" s="200" t="s">
        <v>247</v>
      </c>
      <c r="K1" s="200" t="s">
        <v>248</v>
      </c>
      <c r="L1" s="200" t="s">
        <v>249</v>
      </c>
      <c r="M1" s="373" t="s">
        <v>250</v>
      </c>
      <c r="N1" s="373" t="s">
        <v>251</v>
      </c>
      <c r="O1" s="241" t="s">
        <v>252</v>
      </c>
      <c r="P1" s="241" t="s">
        <v>253</v>
      </c>
      <c r="Q1" s="241" t="s">
        <v>254</v>
      </c>
      <c r="R1" s="368" t="s">
        <v>255</v>
      </c>
      <c r="S1" s="241" t="s">
        <v>256</v>
      </c>
      <c r="T1" s="241" t="s">
        <v>257</v>
      </c>
      <c r="U1" s="241" t="s">
        <v>258</v>
      </c>
      <c r="V1" s="241" t="s">
        <v>259</v>
      </c>
      <c r="W1" s="241" t="s">
        <v>260</v>
      </c>
      <c r="X1" s="241" t="s">
        <v>261</v>
      </c>
      <c r="Y1" s="241" t="s">
        <v>262</v>
      </c>
      <c r="Z1" s="241" t="s">
        <v>263</v>
      </c>
      <c r="AA1" s="241" t="s">
        <v>264</v>
      </c>
      <c r="AB1" s="241" t="s">
        <v>265</v>
      </c>
      <c r="AC1" s="241" t="s">
        <v>266</v>
      </c>
      <c r="AD1" s="244" t="s">
        <v>267</v>
      </c>
    </row>
    <row r="2" spans="1:30" ht="35.25" customHeight="1">
      <c r="A2" s="86">
        <v>1</v>
      </c>
      <c r="B2" s="239" t="s">
        <v>5</v>
      </c>
      <c r="C2" s="236">
        <v>45848</v>
      </c>
      <c r="D2" s="236">
        <v>45862</v>
      </c>
      <c r="E2" s="237" t="s">
        <v>134</v>
      </c>
      <c r="F2" s="86" t="s">
        <v>938</v>
      </c>
      <c r="G2" s="224" t="s">
        <v>988</v>
      </c>
      <c r="H2" s="86" t="s">
        <v>989</v>
      </c>
      <c r="I2" s="86" t="s">
        <v>13</v>
      </c>
      <c r="J2" s="115">
        <v>3</v>
      </c>
      <c r="K2" s="86">
        <v>3</v>
      </c>
      <c r="L2" s="86"/>
      <c r="M2" s="141">
        <v>45849</v>
      </c>
      <c r="N2" s="141">
        <v>45852</v>
      </c>
      <c r="O2" s="86"/>
      <c r="P2" s="86" t="s">
        <v>304</v>
      </c>
      <c r="Q2" s="86"/>
      <c r="R2" s="369"/>
      <c r="S2" s="86"/>
      <c r="T2" s="137" t="s">
        <v>990</v>
      </c>
      <c r="U2" s="141">
        <v>45854</v>
      </c>
      <c r="V2" s="141">
        <v>45854</v>
      </c>
      <c r="W2" s="115" t="s">
        <v>231</v>
      </c>
      <c r="X2" s="86"/>
      <c r="Y2" s="86" t="s">
        <v>867</v>
      </c>
      <c r="Z2" s="141">
        <v>45854</v>
      </c>
      <c r="AA2" s="115"/>
      <c r="AB2" s="86"/>
      <c r="AC2" s="115"/>
      <c r="AD2" s="86" t="s">
        <v>991</v>
      </c>
    </row>
    <row r="3" spans="1:30" ht="35.25" customHeight="1">
      <c r="A3" s="102">
        <v>2</v>
      </c>
      <c r="B3" s="262" t="s">
        <v>5</v>
      </c>
      <c r="C3" s="257">
        <v>45848</v>
      </c>
      <c r="D3" s="257">
        <v>45862</v>
      </c>
      <c r="E3" s="246" t="s">
        <v>134</v>
      </c>
      <c r="F3" s="102" t="s">
        <v>938</v>
      </c>
      <c r="G3" s="229" t="s">
        <v>964</v>
      </c>
      <c r="H3" s="102" t="s">
        <v>965</v>
      </c>
      <c r="I3" s="86" t="s">
        <v>271</v>
      </c>
      <c r="J3" s="102">
        <v>5</v>
      </c>
      <c r="K3" s="102"/>
      <c r="L3" s="102"/>
      <c r="M3" s="141">
        <v>45852</v>
      </c>
      <c r="N3" s="141">
        <v>45861</v>
      </c>
      <c r="O3" s="102"/>
      <c r="P3" s="102" t="s">
        <v>304</v>
      </c>
      <c r="Q3" s="102"/>
      <c r="R3" s="219" t="s">
        <v>735</v>
      </c>
      <c r="S3" s="102"/>
      <c r="T3" s="225" t="s">
        <v>966</v>
      </c>
      <c r="U3" s="141">
        <v>45861</v>
      </c>
      <c r="V3" s="141">
        <v>45861</v>
      </c>
      <c r="W3" s="102" t="s">
        <v>231</v>
      </c>
      <c r="X3" s="102"/>
      <c r="Y3" s="102" t="s">
        <v>867</v>
      </c>
      <c r="Z3" s="141">
        <v>45861</v>
      </c>
      <c r="AA3" s="102"/>
      <c r="AB3" s="102"/>
      <c r="AC3" s="102"/>
      <c r="AD3" s="102" t="s">
        <v>992</v>
      </c>
    </row>
    <row r="4" spans="1:30" ht="35.25" customHeight="1">
      <c r="A4" s="86">
        <v>3</v>
      </c>
      <c r="B4" s="239" t="s">
        <v>5</v>
      </c>
      <c r="C4" s="236">
        <v>45848</v>
      </c>
      <c r="D4" s="236">
        <v>45862</v>
      </c>
      <c r="E4" s="237" t="s">
        <v>134</v>
      </c>
      <c r="F4" s="86" t="s">
        <v>231</v>
      </c>
      <c r="G4" s="364" t="s">
        <v>968</v>
      </c>
      <c r="H4" s="86" t="s">
        <v>969</v>
      </c>
      <c r="I4" s="86" t="s">
        <v>271</v>
      </c>
      <c r="J4" s="86">
        <v>5</v>
      </c>
      <c r="K4" s="86"/>
      <c r="L4" s="86"/>
      <c r="M4" s="141">
        <v>45852</v>
      </c>
      <c r="N4" s="141">
        <v>45862</v>
      </c>
      <c r="O4" s="86"/>
      <c r="P4" s="86"/>
      <c r="Q4" s="86"/>
      <c r="R4" s="193"/>
      <c r="S4" s="86"/>
      <c r="T4" s="137" t="s">
        <v>970</v>
      </c>
      <c r="U4" s="141">
        <v>45859</v>
      </c>
      <c r="V4" s="141">
        <v>45859</v>
      </c>
      <c r="W4" s="86" t="s">
        <v>231</v>
      </c>
      <c r="X4" s="86"/>
      <c r="Y4" s="102" t="s">
        <v>867</v>
      </c>
      <c r="Z4" s="141">
        <v>45860</v>
      </c>
      <c r="AA4" s="86"/>
      <c r="AB4" s="86"/>
      <c r="AC4" s="86"/>
      <c r="AD4" s="86" t="s">
        <v>993</v>
      </c>
    </row>
    <row r="5" spans="1:30" ht="35.25" customHeight="1">
      <c r="A5" s="86">
        <v>4</v>
      </c>
      <c r="B5" s="239" t="s">
        <v>5</v>
      </c>
      <c r="C5" s="236">
        <v>45848</v>
      </c>
      <c r="D5" s="236">
        <v>45862</v>
      </c>
      <c r="E5" s="246" t="s">
        <v>134</v>
      </c>
      <c r="F5" s="102" t="s">
        <v>938</v>
      </c>
      <c r="G5" s="229" t="s">
        <v>994</v>
      </c>
      <c r="H5" s="102" t="s">
        <v>995</v>
      </c>
      <c r="I5" s="102" t="s">
        <v>271</v>
      </c>
      <c r="J5" s="102">
        <v>3</v>
      </c>
      <c r="K5" s="102"/>
      <c r="L5" s="102"/>
      <c r="M5" s="102"/>
      <c r="N5" s="102"/>
      <c r="O5" s="86"/>
      <c r="P5" s="86"/>
      <c r="Q5" s="86"/>
      <c r="R5" s="193"/>
      <c r="S5" s="86"/>
      <c r="T5" s="86"/>
      <c r="U5" s="86"/>
      <c r="V5" s="86"/>
      <c r="W5" s="86"/>
      <c r="X5" s="86"/>
      <c r="Y5" s="86"/>
      <c r="Z5" s="86"/>
      <c r="AA5" s="86"/>
      <c r="AB5" s="86"/>
      <c r="AC5" s="86"/>
      <c r="AD5" s="86" t="s">
        <v>996</v>
      </c>
    </row>
    <row r="6" spans="1:30" ht="35.25" customHeight="1">
      <c r="A6" s="86">
        <v>5</v>
      </c>
      <c r="B6" s="239" t="s">
        <v>5</v>
      </c>
      <c r="C6" s="236">
        <v>45848</v>
      </c>
      <c r="D6" s="345">
        <v>45862</v>
      </c>
      <c r="E6" s="237" t="s">
        <v>134</v>
      </c>
      <c r="F6" s="86" t="s">
        <v>284</v>
      </c>
      <c r="G6" s="364" t="s">
        <v>997</v>
      </c>
      <c r="H6" s="86" t="s">
        <v>998</v>
      </c>
      <c r="I6" s="361" t="s">
        <v>13</v>
      </c>
      <c r="J6" s="86">
        <v>1</v>
      </c>
      <c r="K6" s="86">
        <v>1</v>
      </c>
      <c r="L6" s="86"/>
      <c r="M6" s="86"/>
      <c r="N6" s="86"/>
      <c r="O6" s="111" t="s">
        <v>93</v>
      </c>
      <c r="P6" s="102" t="s">
        <v>93</v>
      </c>
      <c r="Q6" s="86" t="s">
        <v>93</v>
      </c>
      <c r="R6" s="86" t="s">
        <v>93</v>
      </c>
      <c r="S6" s="86" t="s">
        <v>93</v>
      </c>
      <c r="T6" s="86" t="s">
        <v>93</v>
      </c>
      <c r="U6" s="86" t="s">
        <v>93</v>
      </c>
      <c r="V6" s="86" t="s">
        <v>93</v>
      </c>
      <c r="W6" s="86" t="s">
        <v>93</v>
      </c>
      <c r="X6" s="86" t="s">
        <v>93</v>
      </c>
      <c r="Y6" s="86" t="s">
        <v>93</v>
      </c>
      <c r="Z6" s="86" t="s">
        <v>93</v>
      </c>
      <c r="AA6" s="86" t="s">
        <v>93</v>
      </c>
      <c r="AB6" s="86" t="s">
        <v>93</v>
      </c>
      <c r="AC6" s="86" t="s">
        <v>93</v>
      </c>
      <c r="AD6" s="102" t="s">
        <v>999</v>
      </c>
    </row>
    <row r="7" spans="1:30" ht="35.25" customHeight="1">
      <c r="A7" s="86">
        <v>6</v>
      </c>
      <c r="B7" s="239" t="s">
        <v>5</v>
      </c>
      <c r="C7" s="236">
        <v>45848</v>
      </c>
      <c r="D7" s="345">
        <v>45862</v>
      </c>
      <c r="E7" s="237" t="s">
        <v>134</v>
      </c>
      <c r="F7" s="86" t="s">
        <v>284</v>
      </c>
      <c r="G7" s="364" t="s">
        <v>1000</v>
      </c>
      <c r="H7" s="86" t="s">
        <v>1001</v>
      </c>
      <c r="I7" s="361" t="s">
        <v>13</v>
      </c>
      <c r="J7" s="86">
        <v>1</v>
      </c>
      <c r="K7" s="86">
        <v>1</v>
      </c>
      <c r="L7" s="86"/>
      <c r="M7" s="86"/>
      <c r="N7" s="86"/>
      <c r="O7" s="111" t="s">
        <v>93</v>
      </c>
      <c r="P7" s="102" t="s">
        <v>93</v>
      </c>
      <c r="Q7" s="86" t="s">
        <v>93</v>
      </c>
      <c r="R7" s="86" t="s">
        <v>93</v>
      </c>
      <c r="S7" s="86" t="s">
        <v>93</v>
      </c>
      <c r="T7" s="86" t="s">
        <v>93</v>
      </c>
      <c r="U7" s="86" t="s">
        <v>93</v>
      </c>
      <c r="V7" s="86" t="s">
        <v>93</v>
      </c>
      <c r="W7" s="86" t="s">
        <v>93</v>
      </c>
      <c r="X7" s="86" t="s">
        <v>93</v>
      </c>
      <c r="Y7" s="86" t="s">
        <v>93</v>
      </c>
      <c r="Z7" s="86" t="s">
        <v>93</v>
      </c>
      <c r="AA7" s="86" t="s">
        <v>93</v>
      </c>
      <c r="AB7" s="86" t="s">
        <v>93</v>
      </c>
      <c r="AC7" s="86" t="s">
        <v>93</v>
      </c>
      <c r="AD7" s="102" t="s">
        <v>999</v>
      </c>
    </row>
    <row r="8" spans="1:30" ht="35.25" customHeight="1">
      <c r="A8" s="86">
        <v>7</v>
      </c>
      <c r="B8" s="239" t="s">
        <v>5</v>
      </c>
      <c r="C8" s="236">
        <v>45848</v>
      </c>
      <c r="D8" s="345">
        <v>45862</v>
      </c>
      <c r="E8" s="237" t="s">
        <v>134</v>
      </c>
      <c r="F8" s="86" t="s">
        <v>284</v>
      </c>
      <c r="G8" s="364" t="s">
        <v>1002</v>
      </c>
      <c r="H8" s="239" t="s">
        <v>1003</v>
      </c>
      <c r="I8" s="361" t="s">
        <v>13</v>
      </c>
      <c r="J8" s="86">
        <v>1</v>
      </c>
      <c r="K8" s="86">
        <v>1</v>
      </c>
      <c r="L8" s="86"/>
      <c r="M8" s="86"/>
      <c r="N8" s="86"/>
      <c r="O8" s="111" t="s">
        <v>93</v>
      </c>
      <c r="P8" s="102" t="s">
        <v>93</v>
      </c>
      <c r="Q8" s="86" t="s">
        <v>93</v>
      </c>
      <c r="R8" s="86" t="s">
        <v>93</v>
      </c>
      <c r="S8" s="86" t="s">
        <v>93</v>
      </c>
      <c r="T8" s="86" t="s">
        <v>93</v>
      </c>
      <c r="U8" s="86" t="s">
        <v>93</v>
      </c>
      <c r="V8" s="86" t="s">
        <v>93</v>
      </c>
      <c r="W8" s="86" t="s">
        <v>93</v>
      </c>
      <c r="X8" s="86" t="s">
        <v>93</v>
      </c>
      <c r="Y8" s="86" t="s">
        <v>93</v>
      </c>
      <c r="Z8" s="86" t="s">
        <v>93</v>
      </c>
      <c r="AA8" s="86" t="s">
        <v>93</v>
      </c>
      <c r="AB8" s="86" t="s">
        <v>93</v>
      </c>
      <c r="AC8" s="86" t="s">
        <v>93</v>
      </c>
      <c r="AD8" s="102" t="s">
        <v>999</v>
      </c>
    </row>
    <row r="9" spans="1:30" ht="35.25" customHeight="1">
      <c r="A9" s="86">
        <v>8</v>
      </c>
      <c r="B9" s="239" t="s">
        <v>5</v>
      </c>
      <c r="C9" s="236">
        <v>45848</v>
      </c>
      <c r="D9" s="345">
        <v>45862</v>
      </c>
      <c r="E9" s="237" t="s">
        <v>134</v>
      </c>
      <c r="F9" s="86" t="s">
        <v>284</v>
      </c>
      <c r="G9" s="364" t="s">
        <v>1004</v>
      </c>
      <c r="H9" s="239" t="s">
        <v>1005</v>
      </c>
      <c r="I9" s="361" t="s">
        <v>13</v>
      </c>
      <c r="J9" s="86">
        <v>1</v>
      </c>
      <c r="K9" s="86">
        <v>1</v>
      </c>
      <c r="L9" s="86"/>
      <c r="M9" s="86"/>
      <c r="N9" s="86"/>
      <c r="O9" s="111" t="s">
        <v>93</v>
      </c>
      <c r="P9" s="102" t="s">
        <v>93</v>
      </c>
      <c r="Q9" s="86" t="s">
        <v>93</v>
      </c>
      <c r="R9" s="86" t="s">
        <v>93</v>
      </c>
      <c r="S9" s="86" t="s">
        <v>93</v>
      </c>
      <c r="T9" s="86" t="s">
        <v>93</v>
      </c>
      <c r="U9" s="86" t="s">
        <v>93</v>
      </c>
      <c r="V9" s="86" t="s">
        <v>93</v>
      </c>
      <c r="W9" s="86" t="s">
        <v>93</v>
      </c>
      <c r="X9" s="86" t="s">
        <v>93</v>
      </c>
      <c r="Y9" s="86" t="s">
        <v>93</v>
      </c>
      <c r="Z9" s="86" t="s">
        <v>93</v>
      </c>
      <c r="AA9" s="86" t="s">
        <v>93</v>
      </c>
      <c r="AB9" s="86" t="s">
        <v>93</v>
      </c>
      <c r="AC9" s="86" t="s">
        <v>93</v>
      </c>
      <c r="AD9" s="102" t="s">
        <v>999</v>
      </c>
    </row>
    <row r="10" spans="1:30" ht="35.25" customHeight="1">
      <c r="A10" s="86">
        <v>9</v>
      </c>
      <c r="B10" s="239" t="s">
        <v>5</v>
      </c>
      <c r="C10" s="257">
        <v>45848</v>
      </c>
      <c r="D10" s="359">
        <v>45862</v>
      </c>
      <c r="E10" s="246" t="s">
        <v>134</v>
      </c>
      <c r="F10" s="102" t="s">
        <v>284</v>
      </c>
      <c r="G10" s="371" t="s">
        <v>1006</v>
      </c>
      <c r="H10" s="262" t="s">
        <v>1007</v>
      </c>
      <c r="I10" s="189" t="s">
        <v>13</v>
      </c>
      <c r="J10" s="102">
        <v>1</v>
      </c>
      <c r="K10" s="102">
        <v>1</v>
      </c>
      <c r="L10" s="102"/>
      <c r="M10" s="102"/>
      <c r="N10" s="102"/>
      <c r="O10" s="111" t="s">
        <v>93</v>
      </c>
      <c r="P10" s="102" t="s">
        <v>93</v>
      </c>
      <c r="Q10" s="102" t="s">
        <v>93</v>
      </c>
      <c r="R10" s="102" t="s">
        <v>93</v>
      </c>
      <c r="S10" s="102" t="s">
        <v>93</v>
      </c>
      <c r="T10" s="102" t="s">
        <v>93</v>
      </c>
      <c r="U10" s="102" t="s">
        <v>93</v>
      </c>
      <c r="V10" s="102" t="s">
        <v>93</v>
      </c>
      <c r="W10" s="102" t="s">
        <v>93</v>
      </c>
      <c r="X10" s="102" t="s">
        <v>93</v>
      </c>
      <c r="Y10" s="102" t="s">
        <v>93</v>
      </c>
      <c r="Z10" s="102" t="s">
        <v>93</v>
      </c>
      <c r="AA10" s="102" t="s">
        <v>93</v>
      </c>
      <c r="AB10" s="102" t="s">
        <v>93</v>
      </c>
      <c r="AC10" s="102" t="s">
        <v>93</v>
      </c>
      <c r="AD10" s="102" t="s">
        <v>999</v>
      </c>
    </row>
    <row r="11" spans="1:30" ht="35.25" customHeight="1">
      <c r="A11" s="86">
        <v>9</v>
      </c>
      <c r="B11" s="367" t="s">
        <v>5</v>
      </c>
      <c r="C11" s="236">
        <v>45848</v>
      </c>
      <c r="D11" s="236">
        <v>45862</v>
      </c>
      <c r="E11" s="237" t="s">
        <v>134</v>
      </c>
      <c r="F11" s="86" t="s">
        <v>284</v>
      </c>
      <c r="G11" s="364" t="s">
        <v>1004</v>
      </c>
      <c r="H11" s="239" t="s">
        <v>1005</v>
      </c>
      <c r="I11" s="86" t="s">
        <v>13</v>
      </c>
      <c r="J11" s="86">
        <v>1</v>
      </c>
      <c r="K11" s="86">
        <v>1</v>
      </c>
      <c r="L11" s="86"/>
      <c r="M11" s="86"/>
      <c r="N11" s="86"/>
      <c r="O11" s="86" t="s">
        <v>93</v>
      </c>
      <c r="P11" s="86" t="s">
        <v>93</v>
      </c>
      <c r="Q11" s="86" t="s">
        <v>93</v>
      </c>
      <c r="R11" s="86" t="s">
        <v>93</v>
      </c>
      <c r="S11" s="86" t="s">
        <v>93</v>
      </c>
      <c r="T11" s="86" t="s">
        <v>93</v>
      </c>
      <c r="U11" s="86" t="s">
        <v>93</v>
      </c>
      <c r="V11" s="86" t="s">
        <v>93</v>
      </c>
      <c r="W11" s="86" t="s">
        <v>93</v>
      </c>
      <c r="X11" s="86" t="s">
        <v>93</v>
      </c>
      <c r="Y11" s="86" t="s">
        <v>93</v>
      </c>
      <c r="Z11" s="86" t="s">
        <v>93</v>
      </c>
      <c r="AA11" s="86" t="s">
        <v>93</v>
      </c>
      <c r="AB11" s="86" t="s">
        <v>93</v>
      </c>
      <c r="AC11" s="86" t="s">
        <v>93</v>
      </c>
      <c r="AD11" s="86" t="s">
        <v>999</v>
      </c>
    </row>
    <row r="12" spans="1:30" ht="35.25" customHeight="1">
      <c r="G12" s="371"/>
    </row>
  </sheetData>
  <hyperlinks>
    <hyperlink ref="G2" r:id="rId1" display="https://greatergiving.atlassian.net/browse/GGO-14699" xr:uid="{E5113AB6-F9D2-45C5-AF43-9A3E2700AA2F}"/>
    <hyperlink ref="G3" r:id="rId2" display="https://greatergiving.atlassian.net/browse/GGO-14802" xr:uid="{8313BD6E-A617-426A-9D56-51E822D41102}"/>
    <hyperlink ref="G6" r:id="rId3" display="https://greatergiving.atlassian.net/browse/GGO-14831" xr:uid="{DF84B03C-6834-4F34-AD4F-978F6A8C1EF3}"/>
    <hyperlink ref="G7" r:id="rId4" display="https://greatergiving.atlassian.net/browse/GGO-14835" xr:uid="{24C96F10-C458-4563-8B8C-81C67FE3B506}"/>
    <hyperlink ref="G8" r:id="rId5" display="https://greatergiving.atlassian.net/browse/GGO-14832" xr:uid="{BB0A2E16-953F-4F9A-A69E-B5F6A5A92E57}"/>
    <hyperlink ref="G9" r:id="rId6" display="https://greatergiving.atlassian.net/browse/GGO-14829" xr:uid="{31495DCD-B611-4E44-9823-46AE408F9330}"/>
    <hyperlink ref="G10" r:id="rId7" display="https://greatergiving.atlassian.net/browse/GGO-14837" xr:uid="{FFD00025-8AA6-4378-98DA-8A42579A3CE5}"/>
    <hyperlink ref="G11" r:id="rId8" display="https://greatergiving.atlassian.net/browse/GGO-14829" xr:uid="{27DD3C22-82E5-4F5B-8FCE-0BC65390EE8C}"/>
    <hyperlink ref="T2" r:id="rId9" xr:uid="{E8E3A968-1AA6-4195-A4B7-F15731C82A14}"/>
    <hyperlink ref="T3" r:id="rId10" xr:uid="{1CEC22C5-8C44-4524-AA53-D3EFE008AB0C}"/>
    <hyperlink ref="T4" r:id="rId11" xr:uid="{5942B0DA-E6E8-4978-9E3C-50CB7B4BAC25}"/>
  </hyperlinks>
  <pageMargins left="0" right="0" top="0" bottom="0" header="0" footer="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F05C-E0B2-4D4E-937B-029D12A27A8B}">
  <sheetPr>
    <outlinePr summaryBelow="0" summaryRight="0"/>
  </sheetPr>
  <dimension ref="A1:P4"/>
  <sheetViews>
    <sheetView topLeftCell="B1" workbookViewId="0">
      <selection activeCell="E10" sqref="E10"/>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27.75" customHeight="1">
      <c r="A2" s="330"/>
      <c r="B2" s="237" t="s">
        <v>138</v>
      </c>
      <c r="C2" s="192" t="s">
        <v>986</v>
      </c>
      <c r="D2" s="224" t="s">
        <v>971</v>
      </c>
      <c r="E2" s="98" t="s">
        <v>281</v>
      </c>
      <c r="F2" s="353" t="s">
        <v>753</v>
      </c>
      <c r="G2" s="98" t="s">
        <v>987</v>
      </c>
      <c r="H2" s="331" t="s">
        <v>562</v>
      </c>
      <c r="I2" s="353" t="s">
        <v>555</v>
      </c>
      <c r="J2" s="98" t="s">
        <v>556</v>
      </c>
      <c r="K2" s="363" t="s">
        <v>557</v>
      </c>
      <c r="L2" s="108" t="s">
        <v>902</v>
      </c>
      <c r="M2" s="108" t="s">
        <v>304</v>
      </c>
      <c r="O2" s="86"/>
      <c r="P2" s="331"/>
    </row>
    <row r="3" spans="1:16" ht="15" customHeight="1">
      <c r="B3" s="237"/>
      <c r="C3" s="98"/>
      <c r="D3" s="224"/>
      <c r="E3" s="98"/>
      <c r="F3" s="353"/>
      <c r="G3" s="98"/>
      <c r="H3" s="331"/>
      <c r="I3" s="353"/>
      <c r="J3" s="98"/>
      <c r="K3" s="363"/>
      <c r="L3" s="108"/>
      <c r="M3" s="108"/>
      <c r="N3" s="98"/>
      <c r="O3" s="86"/>
    </row>
    <row r="4" spans="1:16" ht="15" customHeight="1">
      <c r="B4" s="237"/>
      <c r="C4" s="192"/>
      <c r="D4" s="98"/>
      <c r="E4" s="98"/>
      <c r="F4" s="353"/>
      <c r="G4" s="98"/>
      <c r="H4" s="331"/>
      <c r="I4" s="353"/>
      <c r="J4" s="98"/>
      <c r="K4" s="363"/>
      <c r="L4" s="108"/>
      <c r="M4" s="108"/>
      <c r="N4" s="98"/>
      <c r="O4" s="98"/>
    </row>
  </sheetData>
  <autoFilter ref="A1:M1" xr:uid="{3A2BB050-11AC-4ED7-A296-96B42C7FCFBA}"/>
  <dataValidations count="5">
    <dataValidation type="list" allowBlank="1" showErrorMessage="1" sqref="I2:I4" xr:uid="{AE9989F6-6F0E-45D8-8395-7941DD548858}">
      <formula1>"Manual, Automation"</formula1>
    </dataValidation>
    <dataValidation type="list" allowBlank="1" showErrorMessage="1" sqref="H2:H4" xr:uid="{A5114529-8326-4C13-9422-1E4BCCADB734}">
      <formula1>"Minor,Significant,Major"</formula1>
    </dataValidation>
    <dataValidation type="list" allowBlank="1" showErrorMessage="1" sqref="J2:J4" xr:uid="{A58C625B-AE13-4DF4-8092-526DA3E49413}">
      <formula1>"Internal,External"</formula1>
    </dataValidation>
    <dataValidation type="list" allowBlank="1" showErrorMessage="1" sqref="F2:F4" xr:uid="{AE841DDC-CEA0-4D5E-83BC-313447736296}">
      <formula1>"Bounceback/Sub-Defect,Defect,None"</formula1>
    </dataValidation>
    <dataValidation type="list" allowBlank="1" showErrorMessage="1" sqref="K1:K1048576" xr:uid="{BAF410E1-BB8B-40C7-8F09-BD4B10073471}">
      <formula1>"Open,Inprogress,Closed, Rejected"</formula1>
    </dataValidation>
  </dataValidations>
  <hyperlinks>
    <hyperlink ref="C2" r:id="rId1" display="https://greatergiving.atlassian.net/browse/GGO-14744" xr:uid="{9E19B11F-75C6-401C-9E23-F21AFA6209FB}"/>
  </hyperlinks>
  <pageMargins left="0" right="0" top="0" bottom="0" header="0" footer="0"/>
  <legacyDrawing r:id="rId2"/>
  <extLst>
    <ext xmlns:x14="http://schemas.microsoft.com/office/spreadsheetml/2009/9/main" uri="{CCE6A557-97BC-4b89-ADB6-D9C93CAAB3DF}">
      <x14:dataValidations xmlns:xm="http://schemas.microsoft.com/office/excel/2006/main" count="1">
        <x14:dataValidation type="list" allowBlank="1" showErrorMessage="1" xr:uid="{0792F095-B184-4016-BD3D-BFFC3BB5CA1E}">
          <x14:formula1>
            <xm:f>Details!$A$2:$A$10</xm:f>
          </x14:formula1>
          <xm:sqref>L2:L4</xm:sqref>
        </x14:dataValidation>
      </x14:dataValidations>
    </ext>
  </extLs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C9CA4-2C89-4B8F-B3A8-20C251AC0005}">
  <sheetPr>
    <outlinePr summaryBelow="0" summaryRight="0"/>
  </sheetPr>
  <dimension ref="A1:P4"/>
  <sheetViews>
    <sheetView topLeftCell="G1" workbookViewId="0">
      <selection activeCell="O4" sqref="O4"/>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34.85546875" customWidth="1"/>
    <col min="15" max="15" width="26.570312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78.75" customHeight="1">
      <c r="A2" s="330"/>
      <c r="B2" s="237" t="s">
        <v>134</v>
      </c>
      <c r="C2" s="192" t="s">
        <v>1008</v>
      </c>
      <c r="D2" s="224" t="s">
        <v>964</v>
      </c>
      <c r="E2" s="86" t="s">
        <v>1009</v>
      </c>
      <c r="F2" s="353" t="s">
        <v>753</v>
      </c>
      <c r="G2" s="86" t="s">
        <v>1010</v>
      </c>
      <c r="H2" s="331" t="s">
        <v>554</v>
      </c>
      <c r="I2" s="353" t="s">
        <v>555</v>
      </c>
      <c r="J2" s="98" t="s">
        <v>556</v>
      </c>
      <c r="K2" s="363" t="s">
        <v>557</v>
      </c>
      <c r="L2" s="108" t="s">
        <v>1011</v>
      </c>
      <c r="M2" s="108" t="s">
        <v>268</v>
      </c>
      <c r="N2" s="86" t="s">
        <v>1012</v>
      </c>
      <c r="O2" s="86" t="s">
        <v>1013</v>
      </c>
      <c r="P2" s="331"/>
    </row>
    <row r="3" spans="1:16" ht="43.5" customHeight="1">
      <c r="B3" s="237" t="s">
        <v>134</v>
      </c>
      <c r="C3" s="192" t="s">
        <v>974</v>
      </c>
      <c r="D3" s="224" t="s">
        <v>964</v>
      </c>
      <c r="E3" s="86" t="s">
        <v>1009</v>
      </c>
      <c r="F3" s="353" t="s">
        <v>753</v>
      </c>
      <c r="G3" s="98" t="s">
        <v>1014</v>
      </c>
      <c r="H3" s="331" t="s">
        <v>562</v>
      </c>
      <c r="I3" s="353" t="s">
        <v>555</v>
      </c>
      <c r="J3" s="98" t="s">
        <v>556</v>
      </c>
      <c r="K3" s="363" t="s">
        <v>1015</v>
      </c>
      <c r="L3" s="108" t="s">
        <v>1011</v>
      </c>
      <c r="M3" s="108" t="s">
        <v>304</v>
      </c>
      <c r="N3" s="86" t="s">
        <v>1012</v>
      </c>
      <c r="O3" s="86" t="s">
        <v>1013</v>
      </c>
    </row>
    <row r="4" spans="1:16" ht="36" customHeight="1">
      <c r="B4" s="237" t="s">
        <v>134</v>
      </c>
      <c r="C4" s="192" t="s">
        <v>1016</v>
      </c>
      <c r="D4" s="224" t="s">
        <v>964</v>
      </c>
      <c r="E4" s="86" t="s">
        <v>1009</v>
      </c>
      <c r="F4" s="353" t="s">
        <v>753</v>
      </c>
      <c r="G4" s="98" t="s">
        <v>975</v>
      </c>
      <c r="H4" s="331" t="s">
        <v>562</v>
      </c>
      <c r="I4" s="353" t="s">
        <v>555</v>
      </c>
      <c r="J4" s="98" t="s">
        <v>556</v>
      </c>
      <c r="K4" s="363" t="s">
        <v>1017</v>
      </c>
      <c r="L4" s="108" t="s">
        <v>1011</v>
      </c>
      <c r="M4" s="108" t="s">
        <v>903</v>
      </c>
      <c r="N4" s="86" t="s">
        <v>1012</v>
      </c>
      <c r="O4" s="86" t="s">
        <v>1013</v>
      </c>
    </row>
  </sheetData>
  <autoFilter ref="A1:M1" xr:uid="{3A2BB050-11AC-4ED7-A296-96B42C7FCFBA}"/>
  <dataValidations count="5">
    <dataValidation type="list" allowBlank="1" showErrorMessage="1" sqref="I2:I4" xr:uid="{A4F7659D-684A-455B-BE34-1EBBB9E169EB}">
      <formula1>"Manual, Automation"</formula1>
    </dataValidation>
    <dataValidation type="list" allowBlank="1" showErrorMessage="1" sqref="H2:H4" xr:uid="{BCCF3135-C34D-4E93-B073-7D897F092C25}">
      <formula1>"Minor,Significant,Major"</formula1>
    </dataValidation>
    <dataValidation type="list" allowBlank="1" showErrorMessage="1" sqref="J2:J4" xr:uid="{E380C629-F710-40C1-91F2-600FF0441B5C}">
      <formula1>"Internal,External"</formula1>
    </dataValidation>
    <dataValidation type="list" allowBlank="1" showErrorMessage="1" sqref="F2:F4" xr:uid="{FAE6773F-AB0C-454D-9F34-74E74BF280E6}">
      <formula1>"Bounceback/Sub-Defect,Defect,None"</formula1>
    </dataValidation>
    <dataValidation type="list" allowBlank="1" showErrorMessage="1" sqref="K1:K1048576" xr:uid="{577529BB-A521-41A1-BC62-D77244342489}">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D3C7F458-DC70-4E5C-8160-7E7A4D4E6D18}">
          <x14:formula1>
            <xm:f>Details!$A$2:$A$10</xm:f>
          </x14:formula1>
          <xm:sqref>L2:L4</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A3B7-128E-4E9F-9DA7-68DCCD1DDC40}">
  <sheetPr>
    <outlinePr summaryBelow="0" summaryRight="0"/>
  </sheetPr>
  <dimension ref="A1:AB7"/>
  <sheetViews>
    <sheetView showGridLines="0" workbookViewId="0">
      <pane xSplit="7" topLeftCell="H1" activePane="topRight" state="frozen"/>
      <selection pane="topRight" activeCell="AA6" sqref="AA6"/>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67.140625"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customFormat="1" ht="36.75" customHeight="1">
      <c r="A1" s="240" t="s">
        <v>241</v>
      </c>
      <c r="B1" s="200" t="s">
        <v>4</v>
      </c>
      <c r="C1" s="200" t="s">
        <v>2</v>
      </c>
      <c r="D1" s="200" t="s">
        <v>3</v>
      </c>
      <c r="E1" s="241" t="s">
        <v>242</v>
      </c>
      <c r="F1" s="365" t="s">
        <v>243</v>
      </c>
      <c r="G1" s="241" t="s">
        <v>244</v>
      </c>
      <c r="H1" s="241" t="s">
        <v>245</v>
      </c>
      <c r="I1" s="241" t="s">
        <v>246</v>
      </c>
      <c r="J1" s="200" t="s">
        <v>247</v>
      </c>
      <c r="K1" s="200" t="s">
        <v>248</v>
      </c>
      <c r="L1" s="200" t="s">
        <v>249</v>
      </c>
      <c r="M1" s="241" t="s">
        <v>252</v>
      </c>
      <c r="N1" s="241" t="s">
        <v>253</v>
      </c>
      <c r="O1" s="241" t="s">
        <v>254</v>
      </c>
      <c r="P1" s="368" t="s">
        <v>255</v>
      </c>
      <c r="Q1" s="241" t="s">
        <v>256</v>
      </c>
      <c r="R1" s="241" t="s">
        <v>257</v>
      </c>
      <c r="S1" s="241" t="s">
        <v>258</v>
      </c>
      <c r="T1" s="241" t="s">
        <v>259</v>
      </c>
      <c r="U1" s="241" t="s">
        <v>260</v>
      </c>
      <c r="V1" s="241" t="s">
        <v>261</v>
      </c>
      <c r="W1" s="241" t="s">
        <v>262</v>
      </c>
      <c r="X1" s="241" t="s">
        <v>263</v>
      </c>
      <c r="Y1" s="241" t="s">
        <v>264</v>
      </c>
      <c r="Z1" s="241" t="s">
        <v>265</v>
      </c>
      <c r="AA1" s="241" t="s">
        <v>266</v>
      </c>
      <c r="AB1" s="244" t="s">
        <v>267</v>
      </c>
    </row>
    <row r="2" spans="1:28" ht="35.25" customHeight="1">
      <c r="A2" s="86">
        <v>1</v>
      </c>
      <c r="B2" s="239" t="s">
        <v>5</v>
      </c>
      <c r="C2" s="236">
        <v>45834</v>
      </c>
      <c r="D2" s="236">
        <v>45848</v>
      </c>
      <c r="E2" s="237" t="s">
        <v>130</v>
      </c>
      <c r="F2" s="237" t="s">
        <v>268</v>
      </c>
      <c r="G2" s="224" t="s">
        <v>1018</v>
      </c>
      <c r="H2" s="86" t="s">
        <v>1019</v>
      </c>
      <c r="I2" s="237" t="s">
        <v>13</v>
      </c>
      <c r="J2" s="115">
        <v>2</v>
      </c>
      <c r="K2" s="86">
        <v>2</v>
      </c>
      <c r="L2" s="86"/>
      <c r="M2" s="86" t="s">
        <v>268</v>
      </c>
      <c r="N2" s="86" t="s">
        <v>304</v>
      </c>
      <c r="O2" s="86"/>
      <c r="P2" s="193" t="s">
        <v>231</v>
      </c>
      <c r="Q2" s="111"/>
      <c r="R2" s="225" t="s">
        <v>1020</v>
      </c>
      <c r="S2" s="236">
        <v>45841</v>
      </c>
      <c r="T2" s="236">
        <v>45841</v>
      </c>
      <c r="U2" s="102" t="s">
        <v>231</v>
      </c>
      <c r="V2" s="102"/>
      <c r="W2" s="86" t="s">
        <v>867</v>
      </c>
      <c r="X2" s="236">
        <v>45841</v>
      </c>
      <c r="Y2" s="102"/>
      <c r="Z2" s="102"/>
      <c r="AA2" s="120"/>
      <c r="AB2" s="370" t="s">
        <v>1021</v>
      </c>
    </row>
    <row r="3" spans="1:28" ht="35.25" customHeight="1">
      <c r="A3" s="86">
        <v>2</v>
      </c>
      <c r="B3" s="239" t="s">
        <v>5</v>
      </c>
      <c r="C3" s="236">
        <v>45834</v>
      </c>
      <c r="D3" s="236">
        <v>45848</v>
      </c>
      <c r="E3" s="237" t="s">
        <v>130</v>
      </c>
      <c r="F3" s="86" t="s">
        <v>281</v>
      </c>
      <c r="G3" s="224" t="s">
        <v>1022</v>
      </c>
      <c r="H3" s="86" t="s">
        <v>1023</v>
      </c>
      <c r="I3" s="86" t="s">
        <v>13</v>
      </c>
      <c r="J3" s="115">
        <v>3</v>
      </c>
      <c r="K3" s="86">
        <v>3</v>
      </c>
      <c r="L3" s="86"/>
      <c r="M3" s="86" t="s">
        <v>281</v>
      </c>
      <c r="N3" s="86" t="s">
        <v>268</v>
      </c>
      <c r="O3" s="86"/>
      <c r="P3" s="369" t="s">
        <v>268</v>
      </c>
      <c r="Q3" s="86"/>
      <c r="R3" s="137" t="s">
        <v>1024</v>
      </c>
      <c r="S3" s="236">
        <v>45838</v>
      </c>
      <c r="T3" s="236">
        <v>45839</v>
      </c>
      <c r="U3" s="115" t="s">
        <v>231</v>
      </c>
      <c r="V3" s="86"/>
      <c r="W3" s="86" t="s">
        <v>867</v>
      </c>
      <c r="X3" s="236">
        <v>45839</v>
      </c>
      <c r="Y3" s="115"/>
      <c r="Z3" s="86"/>
      <c r="AA3" s="115"/>
      <c r="AB3" s="370" t="s">
        <v>1025</v>
      </c>
    </row>
    <row r="4" spans="1:28" ht="35.25" customHeight="1">
      <c r="A4" s="102">
        <v>3</v>
      </c>
      <c r="B4" s="262" t="s">
        <v>5</v>
      </c>
      <c r="C4" s="257">
        <v>45834</v>
      </c>
      <c r="D4" s="257">
        <v>45848</v>
      </c>
      <c r="E4" s="237" t="s">
        <v>130</v>
      </c>
      <c r="F4" s="102" t="s">
        <v>268</v>
      </c>
      <c r="G4" s="226" t="s">
        <v>1026</v>
      </c>
      <c r="H4" s="102" t="s">
        <v>1027</v>
      </c>
      <c r="I4" s="102" t="s">
        <v>13</v>
      </c>
      <c r="J4" s="120">
        <v>3</v>
      </c>
      <c r="K4" s="102">
        <v>3</v>
      </c>
      <c r="L4" s="102"/>
      <c r="M4" s="102" t="s">
        <v>268</v>
      </c>
      <c r="N4" s="102" t="s">
        <v>735</v>
      </c>
      <c r="O4" s="102"/>
      <c r="P4" s="355" t="s">
        <v>281</v>
      </c>
      <c r="Q4" s="102"/>
      <c r="R4" s="225" t="s">
        <v>1028</v>
      </c>
      <c r="S4" s="257">
        <v>45839</v>
      </c>
      <c r="T4" s="257">
        <v>45840</v>
      </c>
      <c r="U4" s="120" t="s">
        <v>231</v>
      </c>
      <c r="V4" s="102"/>
      <c r="W4" s="102" t="s">
        <v>867</v>
      </c>
      <c r="X4" s="257">
        <v>45840</v>
      </c>
      <c r="Y4" s="120"/>
      <c r="Z4" s="102"/>
      <c r="AA4" s="120"/>
      <c r="AB4" s="372" t="s">
        <v>1029</v>
      </c>
    </row>
    <row r="5" spans="1:28" s="86" customFormat="1" ht="35.25" customHeight="1">
      <c r="A5" s="86">
        <v>4</v>
      </c>
      <c r="B5" s="239" t="s">
        <v>5</v>
      </c>
      <c r="C5" s="236">
        <v>45834</v>
      </c>
      <c r="D5" s="236">
        <v>45848</v>
      </c>
      <c r="E5" s="237" t="s">
        <v>130</v>
      </c>
      <c r="F5" s="86" t="s">
        <v>938</v>
      </c>
      <c r="G5" s="224" t="s">
        <v>988</v>
      </c>
      <c r="H5" s="86" t="s">
        <v>989</v>
      </c>
      <c r="I5" s="86" t="s">
        <v>271</v>
      </c>
      <c r="J5" s="86">
        <v>5</v>
      </c>
      <c r="P5" s="193"/>
    </row>
    <row r="6" spans="1:28" ht="35.25" customHeight="1">
      <c r="A6" s="43">
        <v>5</v>
      </c>
      <c r="B6" s="239" t="s">
        <v>5</v>
      </c>
      <c r="C6" s="236">
        <v>45834</v>
      </c>
      <c r="D6" s="236">
        <v>45848</v>
      </c>
      <c r="E6" s="237" t="s">
        <v>130</v>
      </c>
      <c r="F6" s="43" t="s">
        <v>231</v>
      </c>
      <c r="G6" s="371" t="s">
        <v>1030</v>
      </c>
      <c r="H6" s="43" t="s">
        <v>1031</v>
      </c>
      <c r="I6" s="102" t="s">
        <v>13</v>
      </c>
      <c r="J6" s="43">
        <v>2</v>
      </c>
      <c r="K6" s="43">
        <v>2</v>
      </c>
    </row>
    <row r="7" spans="1:28" ht="35.25" customHeight="1">
      <c r="A7" s="86">
        <v>6</v>
      </c>
      <c r="B7" s="239" t="s">
        <v>5</v>
      </c>
      <c r="C7" s="236">
        <v>45834</v>
      </c>
      <c r="D7" s="236">
        <v>45848</v>
      </c>
      <c r="E7" s="237" t="s">
        <v>130</v>
      </c>
      <c r="F7" s="86" t="s">
        <v>938</v>
      </c>
      <c r="G7" s="364" t="s">
        <v>964</v>
      </c>
      <c r="H7" s="86" t="s">
        <v>965</v>
      </c>
      <c r="I7" s="86" t="s">
        <v>271</v>
      </c>
      <c r="J7" s="86">
        <v>5</v>
      </c>
      <c r="K7" s="86"/>
      <c r="L7" s="86"/>
      <c r="M7" s="86"/>
      <c r="N7" s="86"/>
      <c r="O7" s="86"/>
      <c r="P7" s="193"/>
      <c r="Q7" s="86"/>
      <c r="R7" s="86"/>
      <c r="S7" s="86"/>
      <c r="T7" s="86"/>
      <c r="U7" s="86"/>
      <c r="V7" s="86"/>
      <c r="W7" s="86"/>
      <c r="X7" s="86"/>
      <c r="Y7" s="86"/>
      <c r="Z7" s="86"/>
      <c r="AA7" s="86"/>
      <c r="AB7" s="86"/>
    </row>
  </sheetData>
  <hyperlinks>
    <hyperlink ref="G3" r:id="rId1" display="https://greatergiving.atlassian.net/browse/GGO-14699" xr:uid="{EA862551-0A7E-438E-B8C2-CB7BAA9B84DF}"/>
    <hyperlink ref="G4" r:id="rId2" display="https://greatergiving.atlassian.net/browse/GGO-14699" xr:uid="{B6FC84B9-704B-4CA7-BDEC-687E679FA86C}"/>
    <hyperlink ref="G5" r:id="rId3" display="https://greatergiving.atlassian.net/browse/GGO-14699" xr:uid="{55D9E880-C603-4E7F-A435-2E23CCB06D82}"/>
    <hyperlink ref="R4" r:id="rId4" xr:uid="{B865912A-2A34-4B2E-9013-C89485F141B8}"/>
    <hyperlink ref="R3" r:id="rId5" xr:uid="{F89C4D6C-616C-4B14-BF2E-CEE59BCCA611}"/>
    <hyperlink ref="R2" r:id="rId6" xr:uid="{E427F6C1-C9F2-43DC-B663-C83B91F627D5}"/>
    <hyperlink ref="G6" r:id="rId7" xr:uid="{27A2786F-3970-4A9D-92C5-7F7AF8621D35}"/>
    <hyperlink ref="G7" r:id="rId8" display="https://greatergiving.atlassian.net/browse/GGO-14802" xr:uid="{61469871-BAA3-437C-8B95-B33F0E3AC233}"/>
  </hyperlinks>
  <pageMargins left="0" right="0" top="0" bottom="0" header="0" footer="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4C96-84AD-462B-BD3E-0E3104034DEF}">
  <sheetPr>
    <outlinePr summaryBelow="0" summaryRight="0"/>
  </sheetPr>
  <dimension ref="A1:AB8"/>
  <sheetViews>
    <sheetView showGridLines="0" workbookViewId="0">
      <pane xSplit="7" topLeftCell="H1" activePane="topRight" state="frozen"/>
      <selection pane="topRight" activeCell="M5" sqref="M5"/>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67.140625"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customFormat="1" ht="36.75" customHeight="1">
      <c r="A1" s="240" t="s">
        <v>241</v>
      </c>
      <c r="B1" s="57" t="s">
        <v>4</v>
      </c>
      <c r="C1" s="57" t="s">
        <v>2</v>
      </c>
      <c r="D1" s="200" t="s">
        <v>3</v>
      </c>
      <c r="E1" s="241" t="s">
        <v>242</v>
      </c>
      <c r="F1" s="365" t="s">
        <v>243</v>
      </c>
      <c r="G1" s="241" t="s">
        <v>244</v>
      </c>
      <c r="H1" s="241" t="s">
        <v>245</v>
      </c>
      <c r="I1" s="241" t="s">
        <v>246</v>
      </c>
      <c r="J1" s="200" t="s">
        <v>247</v>
      </c>
      <c r="K1" s="200" t="s">
        <v>248</v>
      </c>
      <c r="L1" s="200" t="s">
        <v>249</v>
      </c>
      <c r="M1" s="241" t="s">
        <v>252</v>
      </c>
      <c r="N1" s="241" t="s">
        <v>253</v>
      </c>
      <c r="O1" s="241" t="s">
        <v>254</v>
      </c>
      <c r="P1" s="368" t="s">
        <v>255</v>
      </c>
      <c r="Q1" s="241" t="s">
        <v>256</v>
      </c>
      <c r="R1" s="241" t="s">
        <v>257</v>
      </c>
      <c r="S1" s="241" t="s">
        <v>258</v>
      </c>
      <c r="T1" s="241" t="s">
        <v>259</v>
      </c>
      <c r="U1" s="241" t="s">
        <v>260</v>
      </c>
      <c r="V1" s="241" t="s">
        <v>261</v>
      </c>
      <c r="W1" s="241" t="s">
        <v>262</v>
      </c>
      <c r="X1" s="241" t="s">
        <v>263</v>
      </c>
      <c r="Y1" s="241" t="s">
        <v>264</v>
      </c>
      <c r="Z1" s="241" t="s">
        <v>265</v>
      </c>
      <c r="AA1" s="241" t="s">
        <v>266</v>
      </c>
      <c r="AB1" s="244" t="s">
        <v>267</v>
      </c>
    </row>
    <row r="2" spans="1:28" ht="35.25" customHeight="1">
      <c r="A2" s="102">
        <v>1</v>
      </c>
      <c r="B2" s="253" t="s">
        <v>5</v>
      </c>
      <c r="C2" s="345">
        <v>45820</v>
      </c>
      <c r="D2" s="236">
        <v>45834</v>
      </c>
      <c r="E2" s="254" t="s">
        <v>126</v>
      </c>
      <c r="F2" s="237" t="s">
        <v>268</v>
      </c>
      <c r="G2" s="224" t="s">
        <v>1032</v>
      </c>
      <c r="H2" s="86" t="s">
        <v>1033</v>
      </c>
      <c r="I2" s="237" t="s">
        <v>13</v>
      </c>
      <c r="J2" s="86">
        <v>5</v>
      </c>
      <c r="K2" s="115">
        <v>5</v>
      </c>
      <c r="L2" s="86"/>
      <c r="M2" s="138" t="s">
        <v>304</v>
      </c>
      <c r="N2" s="86" t="s">
        <v>304</v>
      </c>
      <c r="O2" s="86" t="s">
        <v>93</v>
      </c>
      <c r="P2" s="193"/>
      <c r="Q2" s="86"/>
      <c r="R2" s="137" t="s">
        <v>93</v>
      </c>
      <c r="S2" s="236"/>
      <c r="T2" s="236"/>
      <c r="U2" s="86"/>
      <c r="V2" s="86"/>
      <c r="W2" s="86"/>
      <c r="X2" s="236"/>
      <c r="Y2" s="86"/>
      <c r="Z2" s="86"/>
      <c r="AA2" s="86"/>
      <c r="AB2" s="86" t="s">
        <v>1034</v>
      </c>
    </row>
    <row r="3" spans="1:28" ht="35.25" customHeight="1">
      <c r="A3" s="102">
        <v>2</v>
      </c>
      <c r="B3" s="253" t="s">
        <v>5</v>
      </c>
      <c r="C3" s="345">
        <v>45820</v>
      </c>
      <c r="D3" s="236">
        <v>45834</v>
      </c>
      <c r="E3" s="254" t="s">
        <v>126</v>
      </c>
      <c r="F3" s="102" t="s">
        <v>1035</v>
      </c>
      <c r="G3" s="226" t="s">
        <v>1036</v>
      </c>
      <c r="H3" s="102" t="s">
        <v>1037</v>
      </c>
      <c r="I3" s="246" t="s">
        <v>13</v>
      </c>
      <c r="J3" s="102">
        <v>8</v>
      </c>
      <c r="K3" s="115">
        <v>8</v>
      </c>
      <c r="L3" s="86"/>
      <c r="M3" s="138" t="s">
        <v>1038</v>
      </c>
      <c r="N3" s="86" t="s">
        <v>304</v>
      </c>
      <c r="O3" s="86" t="s">
        <v>93</v>
      </c>
      <c r="P3" s="219" t="s">
        <v>231</v>
      </c>
      <c r="Q3" s="102"/>
      <c r="R3" s="225" t="s">
        <v>1039</v>
      </c>
      <c r="S3" s="257">
        <v>45832</v>
      </c>
      <c r="T3" s="257">
        <v>45833</v>
      </c>
      <c r="U3" s="102" t="s">
        <v>231</v>
      </c>
      <c r="V3" s="102"/>
      <c r="W3" s="102" t="s">
        <v>867</v>
      </c>
      <c r="X3" s="257">
        <v>45833</v>
      </c>
      <c r="Y3" s="102"/>
      <c r="Z3" s="102"/>
      <c r="AA3" s="102"/>
      <c r="AB3" s="102" t="s">
        <v>430</v>
      </c>
    </row>
    <row r="4" spans="1:28" ht="35.25" customHeight="1">
      <c r="A4" s="102">
        <v>3</v>
      </c>
      <c r="B4" s="253" t="s">
        <v>5</v>
      </c>
      <c r="C4" s="345">
        <v>45820</v>
      </c>
      <c r="D4" s="236">
        <v>45834</v>
      </c>
      <c r="E4" s="254" t="s">
        <v>126</v>
      </c>
      <c r="F4" s="86" t="s">
        <v>504</v>
      </c>
      <c r="G4" s="192" t="s">
        <v>1040</v>
      </c>
      <c r="H4" s="98" t="s">
        <v>817</v>
      </c>
      <c r="I4" s="237" t="s">
        <v>13</v>
      </c>
      <c r="J4" s="86"/>
      <c r="K4" s="115"/>
      <c r="L4" s="86"/>
      <c r="M4" s="138" t="s">
        <v>1041</v>
      </c>
      <c r="N4" s="86" t="s">
        <v>1042</v>
      </c>
      <c r="O4" s="86" t="s">
        <v>93</v>
      </c>
      <c r="P4" s="193" t="s">
        <v>231</v>
      </c>
      <c r="Q4" s="86"/>
      <c r="R4" s="137" t="s">
        <v>1043</v>
      </c>
      <c r="S4" s="257">
        <v>45822</v>
      </c>
      <c r="T4" s="257">
        <v>45822</v>
      </c>
      <c r="U4" s="86" t="s">
        <v>231</v>
      </c>
      <c r="V4" s="86"/>
      <c r="W4" s="86" t="s">
        <v>306</v>
      </c>
      <c r="X4" s="257">
        <v>45822</v>
      </c>
      <c r="Y4" s="86"/>
      <c r="Z4" s="86"/>
      <c r="AA4" s="86"/>
      <c r="AB4" s="86" t="s">
        <v>1044</v>
      </c>
    </row>
    <row r="5" spans="1:28" ht="35.25" customHeight="1">
      <c r="A5" s="102">
        <v>4</v>
      </c>
      <c r="B5" s="253" t="s">
        <v>5</v>
      </c>
      <c r="C5" s="345">
        <v>45820</v>
      </c>
      <c r="D5" s="257">
        <v>45834</v>
      </c>
      <c r="E5" s="260" t="s">
        <v>126</v>
      </c>
      <c r="F5" s="102" t="s">
        <v>284</v>
      </c>
      <c r="G5" s="229" t="s">
        <v>1045</v>
      </c>
      <c r="H5" s="102" t="s">
        <v>1046</v>
      </c>
      <c r="I5" s="246" t="s">
        <v>13</v>
      </c>
      <c r="J5" s="102">
        <v>3</v>
      </c>
      <c r="K5" s="120">
        <v>3</v>
      </c>
      <c r="L5" s="86"/>
      <c r="M5" s="111" t="s">
        <v>93</v>
      </c>
      <c r="N5" s="102" t="s">
        <v>93</v>
      </c>
      <c r="O5" s="86" t="s">
        <v>93</v>
      </c>
      <c r="P5" s="86" t="s">
        <v>93</v>
      </c>
      <c r="Q5" s="86" t="s">
        <v>93</v>
      </c>
      <c r="R5" s="86" t="s">
        <v>93</v>
      </c>
      <c r="S5" s="86" t="s">
        <v>93</v>
      </c>
      <c r="T5" s="86" t="s">
        <v>93</v>
      </c>
      <c r="U5" s="86" t="s">
        <v>93</v>
      </c>
      <c r="V5" s="86" t="s">
        <v>93</v>
      </c>
      <c r="W5" s="86" t="s">
        <v>93</v>
      </c>
      <c r="X5" s="86" t="s">
        <v>93</v>
      </c>
      <c r="Y5" s="86" t="s">
        <v>93</v>
      </c>
      <c r="Z5" s="86" t="s">
        <v>93</v>
      </c>
      <c r="AA5" s="86" t="s">
        <v>93</v>
      </c>
      <c r="AB5" s="102" t="s">
        <v>456</v>
      </c>
    </row>
    <row r="6" spans="1:28" ht="35.25" customHeight="1">
      <c r="A6" s="102">
        <v>5</v>
      </c>
      <c r="B6" s="253" t="s">
        <v>5</v>
      </c>
      <c r="C6" s="345">
        <v>45820</v>
      </c>
      <c r="D6" s="236">
        <v>45834</v>
      </c>
      <c r="E6" s="237" t="s">
        <v>126</v>
      </c>
      <c r="F6" s="86" t="s">
        <v>284</v>
      </c>
      <c r="G6" s="364" t="s">
        <v>1047</v>
      </c>
      <c r="H6" s="86" t="s">
        <v>1048</v>
      </c>
      <c r="I6" s="237" t="s">
        <v>13</v>
      </c>
      <c r="J6" s="86">
        <v>3</v>
      </c>
      <c r="K6" s="115">
        <v>3</v>
      </c>
      <c r="L6" s="86"/>
      <c r="M6" s="138" t="s">
        <v>93</v>
      </c>
      <c r="N6" s="86" t="s">
        <v>93</v>
      </c>
      <c r="O6" s="86" t="s">
        <v>93</v>
      </c>
      <c r="P6" s="86" t="s">
        <v>93</v>
      </c>
      <c r="Q6" s="86" t="s">
        <v>93</v>
      </c>
      <c r="R6" s="86" t="s">
        <v>93</v>
      </c>
      <c r="S6" s="86" t="s">
        <v>93</v>
      </c>
      <c r="T6" s="86" t="s">
        <v>93</v>
      </c>
      <c r="U6" s="86" t="s">
        <v>93</v>
      </c>
      <c r="V6" s="86" t="s">
        <v>93</v>
      </c>
      <c r="W6" s="86" t="s">
        <v>93</v>
      </c>
      <c r="X6" s="86" t="s">
        <v>93</v>
      </c>
      <c r="Y6" s="86" t="s">
        <v>93</v>
      </c>
      <c r="Z6" s="86" t="s">
        <v>93</v>
      </c>
      <c r="AA6" s="86" t="s">
        <v>93</v>
      </c>
      <c r="AB6" s="102" t="s">
        <v>456</v>
      </c>
    </row>
    <row r="7" spans="1:28" ht="35.25" customHeight="1">
      <c r="A7" s="102">
        <v>6</v>
      </c>
      <c r="B7" s="253" t="s">
        <v>5</v>
      </c>
      <c r="C7" s="345">
        <v>45820</v>
      </c>
      <c r="D7" s="236">
        <v>45834</v>
      </c>
      <c r="E7" s="237" t="s">
        <v>126</v>
      </c>
      <c r="F7" s="86" t="s">
        <v>284</v>
      </c>
      <c r="G7" s="364" t="s">
        <v>1049</v>
      </c>
      <c r="H7" s="86" t="s">
        <v>1050</v>
      </c>
      <c r="I7" s="237" t="s">
        <v>13</v>
      </c>
      <c r="J7" s="86">
        <v>1</v>
      </c>
      <c r="K7" s="115">
        <v>1</v>
      </c>
      <c r="L7" s="86"/>
      <c r="M7" s="138" t="s">
        <v>93</v>
      </c>
      <c r="N7" s="86" t="s">
        <v>93</v>
      </c>
      <c r="O7" s="86" t="s">
        <v>93</v>
      </c>
      <c r="P7" s="193"/>
      <c r="Q7" s="86"/>
      <c r="R7" s="86" t="s">
        <v>93</v>
      </c>
      <c r="S7" s="86" t="s">
        <v>93</v>
      </c>
      <c r="T7" s="86" t="s">
        <v>93</v>
      </c>
      <c r="U7" s="86" t="s">
        <v>93</v>
      </c>
      <c r="V7" s="86" t="s">
        <v>93</v>
      </c>
      <c r="W7" s="86" t="s">
        <v>93</v>
      </c>
      <c r="X7" s="86" t="s">
        <v>93</v>
      </c>
      <c r="Y7" s="86" t="s">
        <v>93</v>
      </c>
      <c r="Z7" s="86" t="s">
        <v>93</v>
      </c>
      <c r="AA7" s="86" t="s">
        <v>93</v>
      </c>
      <c r="AB7" s="102" t="s">
        <v>430</v>
      </c>
    </row>
    <row r="8" spans="1:28" ht="35.25" customHeight="1">
      <c r="A8" s="102">
        <v>7</v>
      </c>
      <c r="B8" s="253" t="s">
        <v>5</v>
      </c>
      <c r="C8" s="345">
        <v>45820</v>
      </c>
      <c r="D8" s="236">
        <v>45834</v>
      </c>
      <c r="E8" s="237" t="s">
        <v>126</v>
      </c>
      <c r="F8" s="237" t="s">
        <v>268</v>
      </c>
      <c r="G8" s="364" t="s">
        <v>1051</v>
      </c>
      <c r="H8" s="86" t="s">
        <v>1052</v>
      </c>
      <c r="I8" s="237" t="s">
        <v>13</v>
      </c>
      <c r="J8" s="86">
        <v>2</v>
      </c>
      <c r="K8" s="115">
        <v>2</v>
      </c>
      <c r="L8" s="86"/>
      <c r="M8" s="138"/>
      <c r="N8" s="86" t="s">
        <v>304</v>
      </c>
      <c r="O8" s="86" t="s">
        <v>93</v>
      </c>
      <c r="P8" s="193"/>
      <c r="Q8" s="86"/>
      <c r="R8" s="86"/>
      <c r="S8" s="86"/>
      <c r="T8" s="86"/>
      <c r="U8" s="86"/>
      <c r="V8" s="86"/>
      <c r="W8" s="86"/>
      <c r="X8" s="86"/>
      <c r="Y8" s="86"/>
      <c r="Z8" s="86"/>
      <c r="AA8" s="86"/>
      <c r="AB8" s="102" t="s">
        <v>430</v>
      </c>
    </row>
  </sheetData>
  <hyperlinks>
    <hyperlink ref="G4" r:id="rId1" display="https://greatergiving.atlassian.net/browse/GGO-14763" xr:uid="{76EC65C2-1A31-4FC7-95C9-7D7DB529597D}"/>
    <hyperlink ref="G5" r:id="rId2" display="https://greatergiving.atlassian.net/browse/GGO-14765" xr:uid="{823A3AFC-0840-4E2C-BDFB-FF1B936B0931}"/>
    <hyperlink ref="G6" r:id="rId3" display="https://greatergiving.atlassian.net/browse/PAPI-866" xr:uid="{ECA061E3-030E-406E-9F01-867B43D9408A}"/>
    <hyperlink ref="R3" r:id="rId4" xr:uid="{79DF20CF-61FD-4EA3-9CEF-8F765C93365C}"/>
    <hyperlink ref="G7" r:id="rId5" xr:uid="{6D3FDEC7-D93E-491E-A91A-6DDF3EE00192}"/>
    <hyperlink ref="G8" r:id="rId6" xr:uid="{97E7925C-2D37-4138-8124-3F9F500215C1}"/>
    <hyperlink ref="R4" r:id="rId7" xr:uid="{A482F956-675F-404E-8A73-21E47917D080}"/>
  </hyperlinks>
  <pageMargins left="0" right="0" top="0" bottom="0" header="0" footer="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35437-BBDF-469D-B40C-4AE448886429}">
  <sheetPr>
    <outlinePr summaryBelow="0" summaryRight="0"/>
  </sheetPr>
  <dimension ref="A1:AB11"/>
  <sheetViews>
    <sheetView showGridLines="0" workbookViewId="0">
      <pane xSplit="7" topLeftCell="H1" activePane="topRight" state="frozen"/>
      <selection pane="topRight" activeCell="G9" sqref="G9"/>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67.140625"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customFormat="1" ht="36.75" customHeight="1">
      <c r="A1" s="240" t="s">
        <v>241</v>
      </c>
      <c r="B1" s="200" t="s">
        <v>4</v>
      </c>
      <c r="C1" s="200" t="s">
        <v>2</v>
      </c>
      <c r="D1" s="200" t="s">
        <v>3</v>
      </c>
      <c r="E1" s="241" t="s">
        <v>242</v>
      </c>
      <c r="F1" s="365" t="s">
        <v>243</v>
      </c>
      <c r="G1" s="241" t="s">
        <v>244</v>
      </c>
      <c r="H1" s="241" t="s">
        <v>245</v>
      </c>
      <c r="I1" s="241"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1" t="s">
        <v>262</v>
      </c>
      <c r="X1" s="243" t="s">
        <v>263</v>
      </c>
      <c r="Y1" s="243" t="s">
        <v>264</v>
      </c>
      <c r="Z1" s="243" t="s">
        <v>265</v>
      </c>
      <c r="AA1" s="243" t="s">
        <v>266</v>
      </c>
      <c r="AB1" s="244" t="s">
        <v>267</v>
      </c>
    </row>
    <row r="2" spans="1:28" ht="35.25" customHeight="1">
      <c r="A2" s="120">
        <v>1</v>
      </c>
      <c r="B2" s="239" t="s">
        <v>5</v>
      </c>
      <c r="C2" s="236">
        <v>45806</v>
      </c>
      <c r="D2" s="236">
        <v>45820</v>
      </c>
      <c r="E2" s="237" t="s">
        <v>121</v>
      </c>
      <c r="F2" s="237" t="s">
        <v>231</v>
      </c>
      <c r="G2" s="224" t="s">
        <v>1053</v>
      </c>
      <c r="H2" s="237" t="s">
        <v>1054</v>
      </c>
      <c r="I2" s="292" t="s">
        <v>13</v>
      </c>
      <c r="J2" s="87">
        <v>1</v>
      </c>
      <c r="K2" s="87">
        <v>1</v>
      </c>
      <c r="L2" s="87"/>
      <c r="M2" s="267"/>
      <c r="N2" s="87"/>
      <c r="O2" s="87"/>
      <c r="P2" s="87"/>
      <c r="Q2" s="267"/>
      <c r="R2" s="225" t="s">
        <v>1055</v>
      </c>
      <c r="S2" s="325">
        <v>45818</v>
      </c>
      <c r="T2" s="325">
        <v>45819</v>
      </c>
      <c r="U2" s="87"/>
      <c r="V2" s="87"/>
      <c r="W2" s="120" t="s">
        <v>306</v>
      </c>
      <c r="X2" s="325">
        <v>45819</v>
      </c>
      <c r="Y2" s="87"/>
      <c r="Z2" s="87"/>
      <c r="AA2" s="87"/>
      <c r="AB2" s="351" t="s">
        <v>13</v>
      </c>
    </row>
    <row r="3" spans="1:28" ht="35.25" customHeight="1">
      <c r="A3" s="120">
        <v>2</v>
      </c>
      <c r="B3" s="239" t="s">
        <v>5</v>
      </c>
      <c r="C3" s="236">
        <v>45806</v>
      </c>
      <c r="D3" s="236">
        <v>45820</v>
      </c>
      <c r="E3" s="237" t="s">
        <v>121</v>
      </c>
      <c r="F3" s="237" t="s">
        <v>268</v>
      </c>
      <c r="G3" s="224" t="s">
        <v>1032</v>
      </c>
      <c r="H3" s="86" t="s">
        <v>1033</v>
      </c>
      <c r="I3" s="350" t="s">
        <v>271</v>
      </c>
      <c r="J3" s="102">
        <v>5</v>
      </c>
      <c r="K3" s="102">
        <v>86</v>
      </c>
      <c r="L3" s="102"/>
      <c r="M3" s="120" t="s">
        <v>268</v>
      </c>
      <c r="N3" s="102" t="s">
        <v>304</v>
      </c>
      <c r="O3" s="102"/>
      <c r="P3" s="219" t="s">
        <v>735</v>
      </c>
      <c r="Q3" s="102"/>
      <c r="R3" s="358" t="s">
        <v>1056</v>
      </c>
      <c r="S3" s="257">
        <v>45820</v>
      </c>
      <c r="T3" s="257">
        <v>45820</v>
      </c>
      <c r="U3" s="102" t="s">
        <v>231</v>
      </c>
      <c r="V3" s="102"/>
      <c r="W3" s="102" t="s">
        <v>867</v>
      </c>
      <c r="X3" s="257">
        <v>45820</v>
      </c>
      <c r="Y3" s="102"/>
      <c r="Z3" s="102"/>
      <c r="AA3" s="102"/>
      <c r="AB3" s="102" t="s">
        <v>1057</v>
      </c>
    </row>
    <row r="4" spans="1:28" ht="35.25" customHeight="1">
      <c r="A4" s="120">
        <v>3</v>
      </c>
      <c r="B4" s="239" t="s">
        <v>5</v>
      </c>
      <c r="C4" s="236">
        <v>45806</v>
      </c>
      <c r="D4" s="236">
        <v>45820</v>
      </c>
      <c r="E4" s="237" t="s">
        <v>121</v>
      </c>
      <c r="F4" s="102" t="s">
        <v>1058</v>
      </c>
      <c r="G4" s="226" t="s">
        <v>1059</v>
      </c>
      <c r="H4" s="120" t="s">
        <v>1060</v>
      </c>
      <c r="I4" s="246" t="s">
        <v>13</v>
      </c>
      <c r="J4" s="102">
        <v>3</v>
      </c>
      <c r="K4" s="102">
        <v>3</v>
      </c>
      <c r="L4" s="102">
        <v>74</v>
      </c>
      <c r="M4" s="102" t="s">
        <v>281</v>
      </c>
      <c r="N4" s="102" t="s">
        <v>304</v>
      </c>
      <c r="O4" s="102" t="s">
        <v>1061</v>
      </c>
      <c r="P4" s="219" t="s">
        <v>231</v>
      </c>
      <c r="Q4" s="102"/>
      <c r="R4" s="225" t="s">
        <v>1062</v>
      </c>
      <c r="S4" s="257">
        <v>45807</v>
      </c>
      <c r="T4" s="257">
        <v>45818</v>
      </c>
      <c r="U4" s="102" t="s">
        <v>231</v>
      </c>
      <c r="V4" s="102"/>
      <c r="W4" s="102" t="s">
        <v>867</v>
      </c>
      <c r="X4" s="257">
        <v>45818</v>
      </c>
      <c r="Y4" s="102"/>
      <c r="Z4" s="102"/>
      <c r="AA4" s="111"/>
      <c r="AB4" s="102" t="s">
        <v>822</v>
      </c>
    </row>
    <row r="5" spans="1:28" ht="35.25" customHeight="1">
      <c r="A5" s="120">
        <v>4</v>
      </c>
      <c r="B5" s="239" t="s">
        <v>5</v>
      </c>
      <c r="C5" s="236">
        <v>45806</v>
      </c>
      <c r="D5" s="236">
        <v>45820</v>
      </c>
      <c r="E5" s="254" t="s">
        <v>121</v>
      </c>
      <c r="F5" s="354" t="s">
        <v>268</v>
      </c>
      <c r="G5" s="366" t="s">
        <v>968</v>
      </c>
      <c r="H5" s="354" t="s">
        <v>969</v>
      </c>
      <c r="I5" s="237" t="s">
        <v>271</v>
      </c>
      <c r="J5" s="86">
        <v>5</v>
      </c>
      <c r="K5" s="86"/>
      <c r="L5" s="86"/>
      <c r="M5" s="86"/>
      <c r="N5" s="86"/>
      <c r="O5" s="86"/>
      <c r="P5" s="193"/>
      <c r="Q5" s="86"/>
      <c r="R5" s="137"/>
      <c r="S5" s="236"/>
      <c r="T5" s="236"/>
      <c r="U5" s="86"/>
      <c r="V5" s="86"/>
      <c r="W5" s="86"/>
      <c r="X5" s="236"/>
      <c r="Y5" s="86"/>
      <c r="Z5" s="86"/>
      <c r="AA5" s="86"/>
      <c r="AB5" s="86" t="s">
        <v>1063</v>
      </c>
    </row>
    <row r="6" spans="1:28" ht="35.25" customHeight="1">
      <c r="A6" s="120">
        <v>5</v>
      </c>
      <c r="B6" s="239" t="s">
        <v>5</v>
      </c>
      <c r="C6" s="236">
        <v>45806</v>
      </c>
      <c r="D6" s="236">
        <v>45820</v>
      </c>
      <c r="E6" s="254" t="s">
        <v>121</v>
      </c>
      <c r="F6" s="86" t="s">
        <v>231</v>
      </c>
      <c r="G6" s="224" t="s">
        <v>1036</v>
      </c>
      <c r="H6" s="86" t="s">
        <v>1037</v>
      </c>
      <c r="I6" s="237" t="s">
        <v>271</v>
      </c>
      <c r="J6" s="86">
        <v>5</v>
      </c>
      <c r="K6" s="86">
        <v>18.5</v>
      </c>
      <c r="L6" s="86"/>
      <c r="M6" s="86"/>
      <c r="N6" s="86"/>
      <c r="O6" s="86"/>
      <c r="P6" s="193"/>
      <c r="Q6" s="86"/>
      <c r="R6" s="137"/>
      <c r="S6" s="236"/>
      <c r="T6" s="236"/>
      <c r="U6" s="86"/>
      <c r="V6" s="86"/>
      <c r="W6" s="86"/>
      <c r="X6" s="236"/>
      <c r="Y6" s="86"/>
      <c r="Z6" s="86"/>
      <c r="AA6" s="86"/>
      <c r="AB6" s="86" t="s">
        <v>1064</v>
      </c>
    </row>
    <row r="7" spans="1:28" ht="35.25" customHeight="1">
      <c r="A7" s="120">
        <v>6</v>
      </c>
      <c r="B7" s="239" t="s">
        <v>5</v>
      </c>
      <c r="C7" s="236">
        <v>45806</v>
      </c>
      <c r="D7" s="236">
        <v>45820</v>
      </c>
      <c r="E7" s="254" t="s">
        <v>121</v>
      </c>
      <c r="F7" s="49" t="s">
        <v>284</v>
      </c>
      <c r="G7" s="364" t="s">
        <v>1065</v>
      </c>
      <c r="H7" s="86" t="s">
        <v>1066</v>
      </c>
      <c r="I7" s="237" t="s">
        <v>13</v>
      </c>
      <c r="J7" s="86">
        <v>1</v>
      </c>
      <c r="K7" s="86">
        <v>1</v>
      </c>
      <c r="L7" s="86">
        <v>3</v>
      </c>
      <c r="M7" s="86"/>
      <c r="N7" s="86"/>
      <c r="O7" s="86"/>
      <c r="P7" s="193"/>
      <c r="Q7" s="86"/>
      <c r="R7" s="86"/>
      <c r="S7" s="86"/>
      <c r="T7" s="86"/>
      <c r="U7" s="86"/>
      <c r="V7" s="86"/>
      <c r="W7" s="86"/>
      <c r="X7" s="86"/>
      <c r="Y7" s="86"/>
      <c r="Z7" s="86"/>
      <c r="AA7" s="86"/>
      <c r="AB7" s="86" t="s">
        <v>1067</v>
      </c>
    </row>
    <row r="8" spans="1:28" ht="35.25" customHeight="1">
      <c r="A8" s="120">
        <v>7</v>
      </c>
      <c r="B8" s="239" t="s">
        <v>5</v>
      </c>
      <c r="C8" s="236">
        <v>45806</v>
      </c>
      <c r="D8" s="236">
        <v>45820</v>
      </c>
      <c r="E8" s="254" t="s">
        <v>121</v>
      </c>
      <c r="F8" s="49" t="s">
        <v>284</v>
      </c>
      <c r="G8" s="364" t="s">
        <v>1068</v>
      </c>
      <c r="H8" s="86" t="s">
        <v>1066</v>
      </c>
      <c r="I8" s="237" t="s">
        <v>13</v>
      </c>
      <c r="J8" s="86">
        <v>1</v>
      </c>
      <c r="K8" s="86">
        <v>1</v>
      </c>
      <c r="L8" s="86"/>
      <c r="M8" s="86"/>
      <c r="N8" s="86"/>
      <c r="O8" s="86"/>
      <c r="P8" s="193"/>
      <c r="Q8" s="86"/>
      <c r="R8" s="86"/>
      <c r="S8" s="86"/>
      <c r="T8" s="86"/>
      <c r="U8" s="86"/>
      <c r="V8" s="86"/>
      <c r="W8" s="86"/>
      <c r="X8" s="86"/>
      <c r="Y8" s="86"/>
      <c r="Z8" s="86"/>
      <c r="AA8" s="86"/>
      <c r="AB8" s="86" t="s">
        <v>1067</v>
      </c>
    </row>
    <row r="9" spans="1:28" ht="35.25" customHeight="1">
      <c r="A9" s="120">
        <v>8</v>
      </c>
      <c r="B9" s="239" t="s">
        <v>5</v>
      </c>
      <c r="C9" s="236">
        <v>45806</v>
      </c>
      <c r="D9" s="236">
        <v>45820</v>
      </c>
      <c r="E9" s="254" t="s">
        <v>121</v>
      </c>
      <c r="F9" s="49" t="s">
        <v>1058</v>
      </c>
      <c r="G9" s="192" t="s">
        <v>1069</v>
      </c>
      <c r="H9" s="98" t="s">
        <v>817</v>
      </c>
      <c r="I9" s="237" t="s">
        <v>13</v>
      </c>
      <c r="J9" s="86"/>
      <c r="K9" s="86"/>
      <c r="L9" s="86"/>
      <c r="M9" s="86"/>
      <c r="N9" s="86"/>
      <c r="O9" s="86"/>
      <c r="P9" s="193"/>
      <c r="Q9" s="86"/>
      <c r="R9" s="137" t="s">
        <v>1070</v>
      </c>
      <c r="S9" s="118">
        <v>45818</v>
      </c>
      <c r="T9" s="118">
        <v>45818</v>
      </c>
      <c r="U9" s="86" t="s">
        <v>231</v>
      </c>
      <c r="V9" s="86"/>
      <c r="W9" s="86" t="s">
        <v>867</v>
      </c>
      <c r="X9" s="118">
        <v>45818</v>
      </c>
      <c r="Y9" s="86"/>
      <c r="Z9" s="86"/>
      <c r="AA9" s="86"/>
      <c r="AB9" s="86" t="s">
        <v>822</v>
      </c>
    </row>
    <row r="10" spans="1:28" ht="35.25" customHeight="1">
      <c r="A10" s="102">
        <v>9</v>
      </c>
      <c r="B10" s="253" t="s">
        <v>5</v>
      </c>
      <c r="C10" s="236">
        <v>45806</v>
      </c>
      <c r="D10" s="236">
        <v>45820</v>
      </c>
      <c r="E10" s="254" t="s">
        <v>121</v>
      </c>
      <c r="F10" s="119" t="s">
        <v>231</v>
      </c>
      <c r="G10" s="107" t="s">
        <v>1071</v>
      </c>
      <c r="H10" s="107" t="s">
        <v>1072</v>
      </c>
      <c r="I10" s="246" t="s">
        <v>13</v>
      </c>
      <c r="J10" s="102"/>
      <c r="K10" s="102"/>
      <c r="L10" s="102"/>
      <c r="M10" s="102"/>
      <c r="N10" s="102"/>
      <c r="O10" s="102"/>
      <c r="P10" s="219"/>
      <c r="Q10" s="102"/>
      <c r="R10" s="225" t="s">
        <v>1073</v>
      </c>
      <c r="S10" s="118">
        <v>45819</v>
      </c>
      <c r="T10" s="118">
        <v>45819</v>
      </c>
      <c r="U10" s="102" t="s">
        <v>231</v>
      </c>
      <c r="V10" s="102"/>
      <c r="W10" s="102" t="s">
        <v>306</v>
      </c>
      <c r="X10" s="118">
        <v>45819</v>
      </c>
      <c r="Y10" s="102"/>
      <c r="Z10" s="102"/>
      <c r="AA10" s="102"/>
      <c r="AB10" s="102" t="s">
        <v>822</v>
      </c>
    </row>
    <row r="11" spans="1:28" ht="35.25" customHeight="1">
      <c r="A11" s="86">
        <v>10</v>
      </c>
      <c r="B11" s="253" t="s">
        <v>5</v>
      </c>
      <c r="C11" s="236">
        <v>45806</v>
      </c>
      <c r="D11" s="236">
        <v>45820</v>
      </c>
      <c r="E11" s="254" t="s">
        <v>121</v>
      </c>
      <c r="F11" s="115" t="s">
        <v>1074</v>
      </c>
      <c r="G11" s="367" t="s">
        <v>1040</v>
      </c>
      <c r="H11" s="115" t="s">
        <v>817</v>
      </c>
      <c r="I11" s="86" t="s">
        <v>271</v>
      </c>
      <c r="J11" s="86"/>
      <c r="K11" s="86"/>
      <c r="L11" s="86"/>
      <c r="M11" s="86"/>
      <c r="N11" s="115"/>
      <c r="O11" s="86"/>
      <c r="P11" s="193"/>
      <c r="Q11" s="86"/>
      <c r="R11" s="115"/>
      <c r="S11" s="86"/>
      <c r="T11" s="86"/>
      <c r="U11" s="86"/>
      <c r="V11" s="86"/>
      <c r="W11" s="115"/>
      <c r="X11" s="86"/>
      <c r="Y11" s="86"/>
      <c r="Z11" s="86"/>
      <c r="AA11" s="86"/>
      <c r="AB11" s="86"/>
    </row>
  </sheetData>
  <hyperlinks>
    <hyperlink ref="R4" r:id="rId1" xr:uid="{C0783C36-AE88-44D8-82D0-979868FE0887}"/>
    <hyperlink ref="G7" r:id="rId2" display="https://greatergiving.atlassian.net/browse/GGO-14722" xr:uid="{3078AF14-ACAC-44FA-8C72-CF1DF1046CC6}"/>
    <hyperlink ref="G8" r:id="rId3" xr:uid="{8D831875-D066-4FA0-9BF0-6D45A2DD2924}"/>
    <hyperlink ref="G9" r:id="rId4" display="https://greatergiving.atlassian.net/browse/GGO-14744" xr:uid="{D56DA8B7-87F5-4A4F-B7B7-984DF78328D9}"/>
    <hyperlink ref="R3" r:id="rId5" xr:uid="{F276DB35-DAA7-4194-A979-1C258004C3A2}"/>
    <hyperlink ref="R2" r:id="rId6" xr:uid="{62D72AE7-4F74-4A67-9752-17009207972C}"/>
    <hyperlink ref="R10" r:id="rId7" xr:uid="{27DDF989-583A-45A2-9A98-55164DBA1687}"/>
    <hyperlink ref="R9" r:id="rId8" xr:uid="{5BA5CD93-948A-41B1-83AF-EE904A324BA5}"/>
  </hyperlinks>
  <pageMargins left="0" right="0" top="0" bottom="0" header="0" footer="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7F0BA-AF1C-43F8-A761-C3B69B553788}">
  <sheetPr>
    <outlinePr summaryBelow="0" summaryRight="0"/>
  </sheetPr>
  <dimension ref="A1:P4"/>
  <sheetViews>
    <sheetView topLeftCell="E15" workbookViewId="0">
      <selection activeCell="E15" sqref="E15"/>
    </sheetView>
  </sheetViews>
  <sheetFormatPr defaultColWidth="12.5703125" defaultRowHeight="15" customHeight="1"/>
  <cols>
    <col min="1" max="1" width="12.5703125" hidden="1" customWidth="1"/>
    <col min="2" max="2" width="21.42578125" customWidth="1"/>
    <col min="3" max="3" width="18.85546875" customWidth="1"/>
    <col min="4" max="4" width="14.42578125" customWidth="1"/>
    <col min="5" max="5" width="19.140625" customWidth="1"/>
    <col min="6" max="6" width="16.140625" customWidth="1"/>
    <col min="7" max="7" width="60.425781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 min="15" max="15" width="21.7109375" customWidth="1"/>
  </cols>
  <sheetData>
    <row r="1" spans="1:16"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6" s="98" customFormat="1" ht="27.75" customHeight="1">
      <c r="A2" s="330"/>
      <c r="B2" s="237" t="s">
        <v>121</v>
      </c>
      <c r="C2" s="192" t="s">
        <v>1069</v>
      </c>
      <c r="D2" s="224" t="s">
        <v>1059</v>
      </c>
      <c r="E2" s="98" t="s">
        <v>281</v>
      </c>
      <c r="F2" s="353" t="s">
        <v>753</v>
      </c>
      <c r="G2" s="98" t="s">
        <v>817</v>
      </c>
      <c r="H2" s="331" t="s">
        <v>562</v>
      </c>
      <c r="I2" s="353" t="s">
        <v>555</v>
      </c>
      <c r="J2" s="98" t="s">
        <v>556</v>
      </c>
      <c r="K2" s="363" t="s">
        <v>557</v>
      </c>
      <c r="L2" s="108" t="s">
        <v>902</v>
      </c>
      <c r="M2" s="108" t="s">
        <v>304</v>
      </c>
      <c r="O2" s="86"/>
      <c r="P2" s="331"/>
    </row>
    <row r="3" spans="1:16" ht="15" customHeight="1">
      <c r="B3" s="237" t="s">
        <v>121</v>
      </c>
      <c r="C3" s="98" t="s">
        <v>1071</v>
      </c>
      <c r="D3" s="224" t="s">
        <v>1059</v>
      </c>
      <c r="E3" s="98" t="s">
        <v>231</v>
      </c>
      <c r="F3" s="353" t="s">
        <v>753</v>
      </c>
      <c r="G3" s="98" t="s">
        <v>1072</v>
      </c>
      <c r="H3" s="331" t="s">
        <v>562</v>
      </c>
      <c r="I3" s="353" t="s">
        <v>555</v>
      </c>
      <c r="J3" s="98" t="s">
        <v>556</v>
      </c>
      <c r="K3" s="363" t="s">
        <v>557</v>
      </c>
      <c r="L3" s="108" t="s">
        <v>902</v>
      </c>
      <c r="M3" s="108" t="s">
        <v>231</v>
      </c>
      <c r="N3" s="98"/>
      <c r="O3" s="86"/>
    </row>
    <row r="4" spans="1:16" ht="15" customHeight="1">
      <c r="B4" s="237" t="s">
        <v>121</v>
      </c>
      <c r="C4" s="192" t="s">
        <v>1040</v>
      </c>
      <c r="D4" s="98" t="s">
        <v>1032</v>
      </c>
      <c r="E4" s="98" t="s">
        <v>504</v>
      </c>
      <c r="F4" s="353" t="s">
        <v>753</v>
      </c>
      <c r="G4" s="98" t="s">
        <v>817</v>
      </c>
      <c r="H4" s="331" t="s">
        <v>562</v>
      </c>
      <c r="I4" s="353" t="s">
        <v>555</v>
      </c>
      <c r="J4" s="98" t="s">
        <v>556</v>
      </c>
      <c r="K4" s="363" t="s">
        <v>1015</v>
      </c>
      <c r="L4" s="108" t="s">
        <v>902</v>
      </c>
      <c r="M4" s="108" t="s">
        <v>304</v>
      </c>
      <c r="N4" s="98"/>
      <c r="O4" s="98"/>
    </row>
  </sheetData>
  <autoFilter ref="A1:M1" xr:uid="{3A2BB050-11AC-4ED7-A296-96B42C7FCFBA}"/>
  <dataValidations count="5">
    <dataValidation type="list" allowBlank="1" showErrorMessage="1" sqref="K1:K1048576" xr:uid="{022D7A0E-CDC4-4488-9CD1-6D61F5E269D7}">
      <formula1>"Open,Inprogress,Closed, Rejected"</formula1>
    </dataValidation>
    <dataValidation type="list" allowBlank="1" showErrorMessage="1" sqref="F2:F4" xr:uid="{DE04A48A-E6F4-41D7-9E77-36AD8D203F9E}">
      <formula1>"Bounceback/Sub-Defect,Defect,None"</formula1>
    </dataValidation>
    <dataValidation type="list" allowBlank="1" showErrorMessage="1" sqref="J2:J4" xr:uid="{1648D571-325C-4CA4-8D3A-BB81AF88F5C7}">
      <formula1>"Internal,External"</formula1>
    </dataValidation>
    <dataValidation type="list" allowBlank="1" showErrorMessage="1" sqref="H2:H4" xr:uid="{6BD78E57-F824-47A3-AF78-AB35D61DA03B}">
      <formula1>"Minor,Significant,Major"</formula1>
    </dataValidation>
    <dataValidation type="list" allowBlank="1" showErrorMessage="1" sqref="I2:I4" xr:uid="{E5440F71-C5F9-4E7F-AC15-126783786092}">
      <formula1>"Manual, Automation"</formula1>
    </dataValidation>
  </dataValidations>
  <hyperlinks>
    <hyperlink ref="C2" r:id="rId1" display="https://greatergiving.atlassian.net/browse/GGO-14744" xr:uid="{682AE1E6-8FAC-46F8-B9CC-ED5343598C3B}"/>
    <hyperlink ref="C4" r:id="rId2" display="https://greatergiving.atlassian.net/browse/GGO-14763" xr:uid="{D4B500EB-D3F3-4287-81EF-5FA838D8102B}"/>
  </hyperlinks>
  <pageMargins left="0" right="0" top="0" bottom="0" header="0" footer="0"/>
  <legacyDrawing r:id="rId3"/>
  <extLst>
    <ext xmlns:x14="http://schemas.microsoft.com/office/spreadsheetml/2009/9/main" uri="{CCE6A557-97BC-4b89-ADB6-D9C93CAAB3DF}">
      <x14:dataValidations xmlns:xm="http://schemas.microsoft.com/office/excel/2006/main" count="1">
        <x14:dataValidation type="list" allowBlank="1" showErrorMessage="1" xr:uid="{B473FABE-419B-4371-8826-A83B61E56B20}">
          <x14:formula1>
            <xm:f>Details!$A$2:$A$10</xm:f>
          </x14:formula1>
          <xm:sqref>L2:L4</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47EB-70AE-44FE-BF94-3F3AAF28D274}">
  <sheetPr>
    <outlinePr summaryBelow="0" summaryRight="0"/>
  </sheetPr>
  <dimension ref="A1:AB10"/>
  <sheetViews>
    <sheetView showGridLines="0" workbookViewId="0">
      <pane xSplit="7" topLeftCell="H1" activePane="topRight" state="frozen"/>
      <selection pane="topRight" activeCell="E3" sqref="E3"/>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26.570312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1" t="s">
        <v>245</v>
      </c>
      <c r="I1" s="241"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1" t="s">
        <v>262</v>
      </c>
      <c r="X1" s="243" t="s">
        <v>263</v>
      </c>
      <c r="Y1" s="243" t="s">
        <v>264</v>
      </c>
      <c r="Z1" s="243" t="s">
        <v>265</v>
      </c>
      <c r="AA1" s="243" t="s">
        <v>266</v>
      </c>
      <c r="AB1" s="244" t="s">
        <v>267</v>
      </c>
    </row>
    <row r="2" spans="1:28" ht="35.25" customHeight="1">
      <c r="A2" s="102">
        <v>1</v>
      </c>
      <c r="B2" s="253" t="s">
        <v>5</v>
      </c>
      <c r="C2" s="236">
        <v>45793</v>
      </c>
      <c r="D2" s="236">
        <v>45806</v>
      </c>
      <c r="E2" s="237" t="s">
        <v>117</v>
      </c>
      <c r="F2" s="260" t="s">
        <v>231</v>
      </c>
      <c r="G2" s="224" t="s">
        <v>507</v>
      </c>
      <c r="H2" s="350" t="s">
        <v>508</v>
      </c>
      <c r="I2" s="237" t="s">
        <v>271</v>
      </c>
      <c r="J2" s="87">
        <v>3</v>
      </c>
      <c r="K2" s="87"/>
      <c r="L2" s="87">
        <v>27.5</v>
      </c>
      <c r="M2" s="267"/>
      <c r="N2" s="87"/>
      <c r="O2" s="87"/>
      <c r="P2" s="87"/>
      <c r="Q2" s="267"/>
      <c r="R2" s="225"/>
      <c r="S2" s="325"/>
      <c r="T2" s="325"/>
      <c r="U2" s="87"/>
      <c r="V2" s="87"/>
      <c r="W2" s="267"/>
      <c r="X2" s="325"/>
      <c r="Y2" s="87"/>
      <c r="Z2" s="87"/>
      <c r="AA2" s="87"/>
      <c r="AB2" s="351" t="s">
        <v>1075</v>
      </c>
    </row>
    <row r="3" spans="1:28" ht="35.25" customHeight="1">
      <c r="A3" s="102">
        <v>2</v>
      </c>
      <c r="B3" s="253" t="s">
        <v>5</v>
      </c>
      <c r="C3" s="236">
        <v>45793</v>
      </c>
      <c r="D3" s="236">
        <v>45806</v>
      </c>
      <c r="E3" s="254" t="s">
        <v>117</v>
      </c>
      <c r="F3" s="102" t="s">
        <v>1076</v>
      </c>
      <c r="G3" s="259" t="s">
        <v>1077</v>
      </c>
      <c r="H3" s="102" t="s">
        <v>1078</v>
      </c>
      <c r="I3" s="329" t="s">
        <v>13</v>
      </c>
      <c r="J3" s="102">
        <v>5</v>
      </c>
      <c r="K3" s="102">
        <v>5</v>
      </c>
      <c r="L3" s="102">
        <v>107</v>
      </c>
      <c r="M3" s="120" t="s">
        <v>281</v>
      </c>
      <c r="N3" s="102" t="s">
        <v>304</v>
      </c>
      <c r="O3" s="102"/>
      <c r="P3" s="219" t="s">
        <v>231</v>
      </c>
      <c r="Q3" s="102"/>
      <c r="R3" s="358" t="s">
        <v>1079</v>
      </c>
      <c r="S3" s="236">
        <v>45805</v>
      </c>
      <c r="T3" s="236">
        <v>45805</v>
      </c>
      <c r="U3" s="102" t="s">
        <v>231</v>
      </c>
      <c r="V3" s="102"/>
      <c r="W3" s="120" t="s">
        <v>867</v>
      </c>
      <c r="X3" s="236">
        <v>45805</v>
      </c>
      <c r="Y3" s="102"/>
      <c r="Z3" s="102"/>
      <c r="AA3" s="102"/>
      <c r="AB3" s="102" t="s">
        <v>1080</v>
      </c>
    </row>
    <row r="4" spans="1:28" ht="35.25" customHeight="1">
      <c r="A4" s="102">
        <v>3</v>
      </c>
      <c r="B4" s="253" t="s">
        <v>5</v>
      </c>
      <c r="C4" s="236">
        <v>45793</v>
      </c>
      <c r="D4" s="236">
        <v>45806</v>
      </c>
      <c r="E4" s="254" t="s">
        <v>117</v>
      </c>
      <c r="F4" s="102" t="s">
        <v>268</v>
      </c>
      <c r="G4" s="224" t="s">
        <v>1081</v>
      </c>
      <c r="H4" s="102" t="s">
        <v>1082</v>
      </c>
      <c r="I4" s="237" t="s">
        <v>13</v>
      </c>
      <c r="J4" s="102">
        <v>3</v>
      </c>
      <c r="K4" s="102">
        <v>3</v>
      </c>
      <c r="L4" s="102">
        <v>19</v>
      </c>
      <c r="M4" s="120" t="s">
        <v>268</v>
      </c>
      <c r="N4" s="102" t="s">
        <v>231</v>
      </c>
      <c r="O4" s="111"/>
      <c r="P4" s="355" t="s">
        <v>735</v>
      </c>
      <c r="Q4" s="102"/>
      <c r="R4" s="356" t="s">
        <v>1083</v>
      </c>
      <c r="S4" s="236">
        <v>45793</v>
      </c>
      <c r="T4" s="236">
        <v>45797</v>
      </c>
      <c r="U4" s="102" t="s">
        <v>231</v>
      </c>
      <c r="V4" s="102"/>
      <c r="W4" s="120" t="s">
        <v>867</v>
      </c>
      <c r="X4" s="257">
        <v>45797</v>
      </c>
      <c r="Y4" s="102"/>
      <c r="Z4" s="102"/>
      <c r="AA4" s="102"/>
      <c r="AB4" s="102" t="s">
        <v>1084</v>
      </c>
    </row>
    <row r="5" spans="1:28" ht="33" customHeight="1">
      <c r="A5" s="102">
        <v>4</v>
      </c>
      <c r="B5" s="256" t="s">
        <v>5</v>
      </c>
      <c r="C5" s="257">
        <v>45793</v>
      </c>
      <c r="D5" s="257">
        <v>45806</v>
      </c>
      <c r="E5" s="260" t="s">
        <v>117</v>
      </c>
      <c r="F5" s="102" t="s">
        <v>268</v>
      </c>
      <c r="G5" s="259" t="s">
        <v>1085</v>
      </c>
      <c r="H5" s="102" t="s">
        <v>1086</v>
      </c>
      <c r="I5" s="260" t="s">
        <v>13</v>
      </c>
      <c r="J5" s="102">
        <v>2</v>
      </c>
      <c r="K5" s="102">
        <v>2</v>
      </c>
      <c r="L5" s="102">
        <v>11.5</v>
      </c>
      <c r="M5" s="102" t="s">
        <v>268</v>
      </c>
      <c r="N5" s="102" t="s">
        <v>304</v>
      </c>
      <c r="O5" s="120"/>
      <c r="P5" s="219" t="s">
        <v>231</v>
      </c>
      <c r="Q5" s="102"/>
      <c r="R5" s="225" t="s">
        <v>1087</v>
      </c>
      <c r="S5" s="236">
        <v>45796</v>
      </c>
      <c r="T5" s="236">
        <v>45797</v>
      </c>
      <c r="U5" s="102" t="s">
        <v>231</v>
      </c>
      <c r="V5" s="102"/>
      <c r="W5" s="120" t="s">
        <v>867</v>
      </c>
      <c r="X5" s="257">
        <v>45796</v>
      </c>
      <c r="Y5" s="120"/>
      <c r="Z5" s="102"/>
      <c r="AA5" s="102"/>
      <c r="AB5" s="102" t="s">
        <v>1088</v>
      </c>
    </row>
    <row r="6" spans="1:28" ht="41.25" customHeight="1">
      <c r="A6" s="102">
        <v>5</v>
      </c>
      <c r="B6" s="239" t="s">
        <v>5</v>
      </c>
      <c r="C6" s="236">
        <v>45793</v>
      </c>
      <c r="D6" s="236">
        <v>45806</v>
      </c>
      <c r="E6" s="237" t="s">
        <v>117</v>
      </c>
      <c r="F6" s="102" t="s">
        <v>231</v>
      </c>
      <c r="G6" s="226" t="s">
        <v>1089</v>
      </c>
      <c r="H6" s="102" t="s">
        <v>1090</v>
      </c>
      <c r="I6" s="246" t="s">
        <v>13</v>
      </c>
      <c r="J6" s="102">
        <v>2</v>
      </c>
      <c r="K6" s="102">
        <v>2</v>
      </c>
      <c r="L6" s="102">
        <v>33</v>
      </c>
      <c r="M6" s="120" t="s">
        <v>231</v>
      </c>
      <c r="N6" s="102" t="s">
        <v>304</v>
      </c>
      <c r="O6" s="102"/>
      <c r="P6" s="219" t="s">
        <v>268</v>
      </c>
      <c r="Q6" s="120"/>
      <c r="R6" s="225" t="s">
        <v>1091</v>
      </c>
      <c r="S6" s="257">
        <v>45794</v>
      </c>
      <c r="T6" s="257">
        <v>45796</v>
      </c>
      <c r="U6" s="102" t="s">
        <v>268</v>
      </c>
      <c r="V6" s="120"/>
      <c r="W6" s="120" t="s">
        <v>867</v>
      </c>
      <c r="X6" s="257">
        <v>45797</v>
      </c>
      <c r="Y6" s="111"/>
      <c r="Z6" s="102"/>
      <c r="AA6" s="120"/>
      <c r="AB6" s="102" t="s">
        <v>1092</v>
      </c>
    </row>
    <row r="7" spans="1:28" ht="35.25" customHeight="1">
      <c r="A7" s="102">
        <v>6</v>
      </c>
      <c r="B7" s="253" t="s">
        <v>5</v>
      </c>
      <c r="C7" s="236">
        <v>45793</v>
      </c>
      <c r="D7" s="236">
        <v>45806</v>
      </c>
      <c r="E7" s="254" t="s">
        <v>117</v>
      </c>
      <c r="F7" s="102" t="s">
        <v>1093</v>
      </c>
      <c r="G7" s="226" t="s">
        <v>1094</v>
      </c>
      <c r="H7" s="102" t="s">
        <v>1095</v>
      </c>
      <c r="I7" s="246" t="s">
        <v>13</v>
      </c>
      <c r="J7" s="102">
        <v>2</v>
      </c>
      <c r="K7" s="102">
        <v>2</v>
      </c>
      <c r="L7" s="102">
        <v>23.75</v>
      </c>
      <c r="M7" s="120" t="s">
        <v>268</v>
      </c>
      <c r="N7" s="102" t="s">
        <v>304</v>
      </c>
      <c r="O7" s="102"/>
      <c r="P7" s="219" t="s">
        <v>231</v>
      </c>
      <c r="Q7" s="120"/>
      <c r="R7" s="225" t="s">
        <v>1096</v>
      </c>
      <c r="S7" s="257">
        <v>45798</v>
      </c>
      <c r="T7" s="257">
        <v>45798</v>
      </c>
      <c r="U7" s="102" t="s">
        <v>231</v>
      </c>
      <c r="V7" s="120"/>
      <c r="W7" s="120" t="s">
        <v>867</v>
      </c>
      <c r="X7" s="257">
        <v>45798</v>
      </c>
      <c r="Y7" s="102"/>
      <c r="Z7" s="102"/>
      <c r="AA7" s="102"/>
      <c r="AB7" s="102" t="s">
        <v>1097</v>
      </c>
    </row>
    <row r="8" spans="1:28" ht="35.25" customHeight="1">
      <c r="A8" s="102">
        <v>7</v>
      </c>
      <c r="B8" s="253" t="s">
        <v>5</v>
      </c>
      <c r="C8" s="236">
        <v>45793</v>
      </c>
      <c r="D8" s="236">
        <v>45806</v>
      </c>
      <c r="E8" s="254" t="s">
        <v>117</v>
      </c>
      <c r="F8" s="86" t="s">
        <v>1093</v>
      </c>
      <c r="G8" s="357" t="s">
        <v>1098</v>
      </c>
      <c r="H8" s="189" t="s">
        <v>1099</v>
      </c>
      <c r="I8" s="246" t="s">
        <v>13</v>
      </c>
      <c r="J8" s="111">
        <v>2</v>
      </c>
      <c r="K8" s="102">
        <v>2</v>
      </c>
      <c r="L8" s="102">
        <v>38</v>
      </c>
      <c r="M8" s="120" t="s">
        <v>268</v>
      </c>
      <c r="N8" s="102" t="s">
        <v>304</v>
      </c>
      <c r="O8" s="102"/>
      <c r="P8" s="219" t="s">
        <v>231</v>
      </c>
      <c r="Q8" s="120"/>
      <c r="R8" s="358" t="s">
        <v>1100</v>
      </c>
      <c r="S8" s="359">
        <v>45799</v>
      </c>
      <c r="T8" s="257">
        <v>45800</v>
      </c>
      <c r="U8" s="111" t="s">
        <v>231</v>
      </c>
      <c r="V8" s="120"/>
      <c r="W8" s="102" t="s">
        <v>1101</v>
      </c>
      <c r="X8" s="257">
        <v>45800</v>
      </c>
      <c r="Y8" s="102"/>
      <c r="Z8" s="102"/>
      <c r="AA8" s="120"/>
      <c r="AB8" s="102" t="s">
        <v>1097</v>
      </c>
    </row>
    <row r="9" spans="1:28" ht="35.25" customHeight="1">
      <c r="A9" s="102">
        <v>8</v>
      </c>
      <c r="B9" s="256" t="s">
        <v>5</v>
      </c>
      <c r="C9" s="257">
        <v>45793</v>
      </c>
      <c r="D9" s="257">
        <v>45806</v>
      </c>
      <c r="E9" s="260" t="s">
        <v>117</v>
      </c>
      <c r="F9" s="102" t="s">
        <v>506</v>
      </c>
      <c r="G9" s="259" t="s">
        <v>1102</v>
      </c>
      <c r="H9" s="120" t="s">
        <v>1103</v>
      </c>
      <c r="I9" s="246" t="s">
        <v>13</v>
      </c>
      <c r="J9" s="102">
        <v>5</v>
      </c>
      <c r="K9" s="102">
        <v>5</v>
      </c>
      <c r="L9" s="102">
        <v>41.75</v>
      </c>
      <c r="M9" s="102" t="s">
        <v>231</v>
      </c>
      <c r="N9" s="102" t="s">
        <v>304</v>
      </c>
      <c r="O9" s="102"/>
      <c r="P9" s="219" t="s">
        <v>1104</v>
      </c>
      <c r="Q9" s="102"/>
      <c r="R9" s="358" t="s">
        <v>1105</v>
      </c>
      <c r="S9" s="236">
        <v>45804</v>
      </c>
      <c r="T9" s="236">
        <v>45806</v>
      </c>
      <c r="U9" s="111" t="s">
        <v>231</v>
      </c>
      <c r="V9" s="120" t="s">
        <v>1106</v>
      </c>
      <c r="W9" s="102" t="s">
        <v>1101</v>
      </c>
      <c r="X9" s="236">
        <v>45806</v>
      </c>
      <c r="Y9" s="102"/>
      <c r="Z9" s="102"/>
      <c r="AA9" s="120"/>
      <c r="AB9" s="102" t="s">
        <v>1107</v>
      </c>
    </row>
    <row r="10" spans="1:28" ht="35.25" customHeight="1">
      <c r="A10" s="86">
        <v>9</v>
      </c>
      <c r="B10" s="239" t="s">
        <v>5</v>
      </c>
      <c r="C10" s="236">
        <v>45793</v>
      </c>
      <c r="D10" s="236">
        <v>45806</v>
      </c>
      <c r="E10" s="237" t="s">
        <v>117</v>
      </c>
      <c r="F10" s="115" t="s">
        <v>268</v>
      </c>
      <c r="G10" s="224" t="s">
        <v>1108</v>
      </c>
      <c r="H10" s="138" t="s">
        <v>1109</v>
      </c>
      <c r="I10" s="237" t="s">
        <v>13</v>
      </c>
      <c r="J10" s="86">
        <v>2</v>
      </c>
      <c r="K10" s="86">
        <v>2</v>
      </c>
      <c r="L10" s="115">
        <v>20.5</v>
      </c>
      <c r="M10" s="86" t="s">
        <v>268</v>
      </c>
      <c r="N10" s="86" t="s">
        <v>231</v>
      </c>
      <c r="O10" s="86"/>
      <c r="P10" s="193" t="s">
        <v>231</v>
      </c>
      <c r="Q10" s="115"/>
      <c r="R10" s="360" t="s">
        <v>1110</v>
      </c>
      <c r="S10" s="236">
        <v>45804</v>
      </c>
      <c r="T10" s="236">
        <v>45805</v>
      </c>
      <c r="U10" s="86" t="s">
        <v>231</v>
      </c>
      <c r="V10" s="361"/>
      <c r="W10" s="86" t="s">
        <v>867</v>
      </c>
      <c r="X10" s="362">
        <v>45805</v>
      </c>
      <c r="Y10" s="138"/>
      <c r="Z10" s="115"/>
      <c r="AA10" s="86"/>
      <c r="AB10" s="86"/>
    </row>
  </sheetData>
  <hyperlinks>
    <hyperlink ref="R4" r:id="rId1" xr:uid="{C42BAB4E-EA7E-438A-BF82-00CAD5C9E294}"/>
    <hyperlink ref="R5" r:id="rId2" xr:uid="{644C1A93-5724-4C45-8672-BEDD4A0195E9}"/>
    <hyperlink ref="R6" r:id="rId3" xr:uid="{E7A78469-2A90-46DC-B947-A02FD5CA0700}"/>
    <hyperlink ref="R7" r:id="rId4" xr:uid="{13DEA1B6-510C-4CEA-877D-56F0594181F9}"/>
    <hyperlink ref="R8" r:id="rId5" xr:uid="{6FE6B0A2-F096-4B13-8997-C3F489E68E40}"/>
    <hyperlink ref="R10" r:id="rId6" xr:uid="{F9C401ED-B87F-43A3-AD21-145D424BE4B8}"/>
    <hyperlink ref="R9" r:id="rId7" xr:uid="{B717430D-B920-4562-B099-3B2823BB6EF8}"/>
    <hyperlink ref="R3" r:id="rId8" xr:uid="{EC828FB8-ED53-4A1C-B740-E3574DD33D2F}"/>
  </hyperlinks>
  <pageMargins left="0" right="0" top="0" bottom="0" header="0" footer="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88F8B-4316-4A29-B70B-F1195B31187C}">
  <sheetPr>
    <outlinePr summaryBelow="0" summaryRight="0"/>
  </sheetPr>
  <dimension ref="A1:O2"/>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 min="15" max="15" width="21.710937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27.75" customHeight="1">
      <c r="B2" s="237"/>
      <c r="C2" s="330"/>
      <c r="E2" s="331"/>
      <c r="F2" s="353"/>
      <c r="I2" s="353"/>
      <c r="K2" s="353"/>
      <c r="L2" s="108"/>
      <c r="M2" s="108"/>
      <c r="O2" s="86"/>
    </row>
  </sheetData>
  <autoFilter ref="A1:M1" xr:uid="{3A2BB050-11AC-4ED7-A296-96B42C7FCFBA}"/>
  <dataValidations count="5">
    <dataValidation type="list" allowBlank="1" showErrorMessage="1" sqref="I2" xr:uid="{18352605-BF0F-45F9-8DA7-5E20F8CD66A8}">
      <formula1>"Manual, Automation"</formula1>
    </dataValidation>
    <dataValidation type="list" allowBlank="1" showErrorMessage="1" sqref="H2" xr:uid="{79DFF060-CA8E-4050-BB1D-4DD70AA5EF59}">
      <formula1>"Minor,Significant,Major"</formula1>
    </dataValidation>
    <dataValidation type="list" allowBlank="1" showErrorMessage="1" sqref="J2" xr:uid="{1A429A81-9A75-496B-8E3A-3237C83E462F}">
      <formula1>"Internal,External"</formula1>
    </dataValidation>
    <dataValidation type="list" allowBlank="1" showErrorMessage="1" sqref="F2" xr:uid="{6D9FE2FE-DE79-43DD-801E-D2AF02D74FD8}">
      <formula1>"Bounceback/Sub-Defect,Defect,None"</formula1>
    </dataValidation>
    <dataValidation type="list" allowBlank="1" showErrorMessage="1" sqref="K1:K1048576" xr:uid="{2BA18248-D2C5-4A0B-9CEA-F857934C6046}">
      <formula1>"Open,Inprogress,Closed, Rejected"</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4FF628BC-036A-4699-B313-F583C98DB28F}">
          <x14:formula1>
            <xm:f>Details!$A$2:$A$10</xm:f>
          </x14:formula1>
          <xm:sqref>L2</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D4EC9-7663-4FCF-8BAE-1DC99BB9FC3F}">
  <sheetPr>
    <outlinePr summaryBelow="0" summaryRight="0"/>
  </sheetPr>
  <dimension ref="A1:AK11"/>
  <sheetViews>
    <sheetView showGridLines="0" workbookViewId="0">
      <pane ySplit="1" topLeftCell="A4" activePane="bottomLeft" state="frozen"/>
      <selection pane="bottomLeft" activeCell="F11" sqref="F11"/>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9.7109375" style="43" customWidth="1"/>
    <col min="29" max="16384" width="12.5703125" style="43"/>
  </cols>
  <sheetData>
    <row r="1" spans="1:37" customFormat="1" ht="36.75" customHeight="1">
      <c r="A1" s="240" t="s">
        <v>241</v>
      </c>
      <c r="B1" s="57" t="s">
        <v>4</v>
      </c>
      <c r="C1" s="57" t="s">
        <v>2</v>
      </c>
      <c r="D1" s="57" t="s">
        <v>3</v>
      </c>
      <c r="E1" s="241" t="s">
        <v>242</v>
      </c>
      <c r="F1" s="242" t="s">
        <v>243</v>
      </c>
      <c r="G1" s="243" t="s">
        <v>244</v>
      </c>
      <c r="H1" s="241" t="s">
        <v>245</v>
      </c>
      <c r="I1" s="241"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1" t="s">
        <v>262</v>
      </c>
      <c r="X1" s="243" t="s">
        <v>263</v>
      </c>
      <c r="Y1" s="243" t="s">
        <v>264</v>
      </c>
      <c r="Z1" s="243" t="s">
        <v>265</v>
      </c>
      <c r="AA1" s="243" t="s">
        <v>266</v>
      </c>
      <c r="AB1" s="244" t="s">
        <v>267</v>
      </c>
    </row>
    <row r="2" spans="1:37" ht="42" customHeight="1">
      <c r="A2" s="102">
        <v>1</v>
      </c>
      <c r="B2" s="239" t="s">
        <v>5</v>
      </c>
      <c r="C2" s="236">
        <v>45779</v>
      </c>
      <c r="D2" s="236">
        <v>45792</v>
      </c>
      <c r="E2" s="246" t="s">
        <v>113</v>
      </c>
      <c r="F2" s="246" t="s">
        <v>281</v>
      </c>
      <c r="G2" s="226" t="s">
        <v>1111</v>
      </c>
      <c r="H2" s="260" t="s">
        <v>1112</v>
      </c>
      <c r="I2" s="246" t="s">
        <v>13</v>
      </c>
      <c r="J2" s="264">
        <v>1</v>
      </c>
      <c r="K2" s="87">
        <v>1</v>
      </c>
      <c r="L2" s="87">
        <v>15</v>
      </c>
      <c r="M2" s="87" t="s">
        <v>281</v>
      </c>
      <c r="N2" s="87" t="s">
        <v>304</v>
      </c>
      <c r="O2" s="87"/>
      <c r="P2" s="87"/>
      <c r="Q2" s="87"/>
      <c r="R2" s="225" t="s">
        <v>1113</v>
      </c>
      <c r="S2" s="257">
        <v>45779</v>
      </c>
      <c r="T2" s="257">
        <v>45779</v>
      </c>
      <c r="U2" s="87" t="s">
        <v>231</v>
      </c>
      <c r="V2" s="267"/>
      <c r="W2" s="87" t="s">
        <v>867</v>
      </c>
      <c r="X2" s="257">
        <v>45780</v>
      </c>
      <c r="Y2" s="87"/>
      <c r="Z2" s="87"/>
      <c r="AA2" s="267"/>
      <c r="AB2" s="323" t="s">
        <v>1114</v>
      </c>
    </row>
    <row r="3" spans="1:37" ht="39" customHeight="1">
      <c r="A3" s="102">
        <v>2</v>
      </c>
      <c r="B3" s="239" t="s">
        <v>5</v>
      </c>
      <c r="C3" s="236">
        <v>45779</v>
      </c>
      <c r="D3" s="345">
        <v>45792</v>
      </c>
      <c r="E3" s="86" t="s">
        <v>113</v>
      </c>
      <c r="F3" s="329" t="s">
        <v>281</v>
      </c>
      <c r="G3" s="226" t="s">
        <v>1115</v>
      </c>
      <c r="H3" s="329" t="s">
        <v>1116</v>
      </c>
      <c r="I3" s="246" t="s">
        <v>13</v>
      </c>
      <c r="J3" s="342">
        <v>1</v>
      </c>
      <c r="K3" s="87">
        <v>1</v>
      </c>
      <c r="L3" s="264">
        <v>34.5</v>
      </c>
      <c r="M3" s="87" t="s">
        <v>281</v>
      </c>
      <c r="N3" s="87" t="s">
        <v>304</v>
      </c>
      <c r="O3" s="87"/>
      <c r="P3" s="87"/>
      <c r="Q3" s="87"/>
      <c r="R3" s="225" t="s">
        <v>1117</v>
      </c>
      <c r="S3" s="257">
        <v>45779</v>
      </c>
      <c r="T3" s="257">
        <v>45783</v>
      </c>
      <c r="U3" s="87" t="s">
        <v>231</v>
      </c>
      <c r="V3" s="267"/>
      <c r="W3" s="87" t="s">
        <v>1118</v>
      </c>
      <c r="X3" s="344">
        <v>45784</v>
      </c>
      <c r="Y3" s="87"/>
      <c r="Z3" s="87"/>
      <c r="AA3" s="267"/>
      <c r="AB3" s="323" t="s">
        <v>1119</v>
      </c>
    </row>
    <row r="4" spans="1:37" ht="39" customHeight="1">
      <c r="A4" s="102">
        <v>3</v>
      </c>
      <c r="B4" s="253" t="s">
        <v>5</v>
      </c>
      <c r="C4" s="236">
        <v>45779</v>
      </c>
      <c r="D4" s="236">
        <v>45792</v>
      </c>
      <c r="E4" s="43" t="s">
        <v>113</v>
      </c>
      <c r="F4" s="260" t="s">
        <v>281</v>
      </c>
      <c r="G4" s="226" t="s">
        <v>1120</v>
      </c>
      <c r="H4" s="329" t="s">
        <v>1121</v>
      </c>
      <c r="I4" s="246" t="s">
        <v>13</v>
      </c>
      <c r="J4" s="342">
        <v>2</v>
      </c>
      <c r="K4" s="87">
        <v>2</v>
      </c>
      <c r="L4" s="264">
        <v>10.25</v>
      </c>
      <c r="M4" s="87" t="s">
        <v>281</v>
      </c>
      <c r="N4" s="87" t="s">
        <v>231</v>
      </c>
      <c r="O4" s="87"/>
      <c r="P4" s="87"/>
      <c r="Q4" s="87"/>
      <c r="R4" s="225" t="s">
        <v>1122</v>
      </c>
      <c r="S4" s="257">
        <v>45784</v>
      </c>
      <c r="T4" s="257">
        <v>45785</v>
      </c>
      <c r="U4" s="87" t="s">
        <v>231</v>
      </c>
      <c r="V4" s="267"/>
      <c r="W4" s="87" t="s">
        <v>867</v>
      </c>
      <c r="X4" s="344">
        <v>45785</v>
      </c>
      <c r="Y4" s="87"/>
      <c r="Z4" s="87"/>
      <c r="AA4" s="267"/>
      <c r="AB4" s="323" t="s">
        <v>1123</v>
      </c>
    </row>
    <row r="5" spans="1:37" ht="39" customHeight="1">
      <c r="A5" s="102">
        <v>4</v>
      </c>
      <c r="B5" s="253" t="s">
        <v>5</v>
      </c>
      <c r="C5" s="236">
        <v>45779</v>
      </c>
      <c r="D5" s="236">
        <v>45792</v>
      </c>
      <c r="E5" s="237" t="s">
        <v>113</v>
      </c>
      <c r="F5" s="260" t="s">
        <v>506</v>
      </c>
      <c r="G5" s="226" t="s">
        <v>1124</v>
      </c>
      <c r="H5" s="329" t="s">
        <v>1125</v>
      </c>
      <c r="I5" s="246" t="s">
        <v>13</v>
      </c>
      <c r="J5" s="342">
        <v>2</v>
      </c>
      <c r="K5" s="267">
        <v>2</v>
      </c>
      <c r="L5" s="16">
        <v>18</v>
      </c>
      <c r="M5" s="264" t="s">
        <v>268</v>
      </c>
      <c r="N5" s="87" t="s">
        <v>231</v>
      </c>
      <c r="O5" s="87"/>
      <c r="P5" s="87"/>
      <c r="Q5" s="87"/>
      <c r="R5" s="225" t="s">
        <v>1126</v>
      </c>
      <c r="S5" s="257">
        <v>45785</v>
      </c>
      <c r="T5" s="257">
        <v>45786</v>
      </c>
      <c r="U5" s="87" t="s">
        <v>231</v>
      </c>
      <c r="V5" s="267"/>
      <c r="W5" s="16" t="s">
        <v>867</v>
      </c>
      <c r="X5" s="257">
        <v>45786</v>
      </c>
      <c r="Y5" s="87"/>
      <c r="Z5" s="87"/>
      <c r="AA5" s="267"/>
      <c r="AB5" s="346" t="s">
        <v>1127</v>
      </c>
    </row>
    <row r="6" spans="1:37" ht="35.25" customHeight="1">
      <c r="A6" s="102">
        <v>5</v>
      </c>
      <c r="B6" s="256" t="s">
        <v>5</v>
      </c>
      <c r="C6" s="257">
        <v>45779</v>
      </c>
      <c r="D6" s="257">
        <v>45792</v>
      </c>
      <c r="E6" s="246" t="s">
        <v>113</v>
      </c>
      <c r="F6" s="263" t="s">
        <v>268</v>
      </c>
      <c r="G6" s="226" t="s">
        <v>1128</v>
      </c>
      <c r="H6" s="343" t="s">
        <v>1129</v>
      </c>
      <c r="I6" s="246" t="s">
        <v>13</v>
      </c>
      <c r="J6" s="264">
        <v>2</v>
      </c>
      <c r="K6" s="264">
        <v>2</v>
      </c>
      <c r="L6" s="307">
        <v>35</v>
      </c>
      <c r="M6" s="264" t="s">
        <v>268</v>
      </c>
      <c r="N6" s="87" t="s">
        <v>304</v>
      </c>
      <c r="O6" s="87"/>
      <c r="P6" s="87"/>
      <c r="Q6" s="87"/>
      <c r="R6" s="225" t="s">
        <v>1130</v>
      </c>
      <c r="S6" s="257">
        <v>45782</v>
      </c>
      <c r="T6" s="257">
        <v>45783</v>
      </c>
      <c r="U6" s="87" t="s">
        <v>231</v>
      </c>
      <c r="V6" s="87"/>
      <c r="W6" s="87" t="s">
        <v>867</v>
      </c>
      <c r="X6" s="257">
        <v>45783</v>
      </c>
      <c r="Y6" s="87"/>
      <c r="Z6" s="87"/>
      <c r="AA6" s="267"/>
      <c r="AB6" s="349" t="s">
        <v>1131</v>
      </c>
    </row>
    <row r="7" spans="1:37" s="86" customFormat="1" ht="35.25" customHeight="1">
      <c r="A7" s="102">
        <v>6</v>
      </c>
      <c r="B7" s="239" t="s">
        <v>5</v>
      </c>
      <c r="C7" s="236">
        <v>45779</v>
      </c>
      <c r="D7" s="236">
        <v>45792</v>
      </c>
      <c r="E7" s="237" t="s">
        <v>113</v>
      </c>
      <c r="F7" s="49" t="s">
        <v>268</v>
      </c>
      <c r="G7" s="224" t="s">
        <v>1132</v>
      </c>
      <c r="H7" s="324" t="s">
        <v>1133</v>
      </c>
      <c r="I7" s="246" t="s">
        <v>13</v>
      </c>
      <c r="J7" s="87">
        <v>5</v>
      </c>
      <c r="K7" s="87">
        <v>5</v>
      </c>
      <c r="L7" s="87">
        <v>49.5</v>
      </c>
      <c r="M7" s="87" t="s">
        <v>268</v>
      </c>
      <c r="N7" s="87" t="s">
        <v>231</v>
      </c>
      <c r="O7" s="87"/>
      <c r="P7" s="87"/>
      <c r="Q7" s="87"/>
      <c r="R7" s="225" t="s">
        <v>1134</v>
      </c>
      <c r="S7" s="257">
        <v>45785</v>
      </c>
      <c r="T7" s="257">
        <v>45787</v>
      </c>
      <c r="U7" s="87" t="s">
        <v>231</v>
      </c>
      <c r="V7" s="87"/>
      <c r="W7" s="87" t="s">
        <v>867</v>
      </c>
      <c r="X7" s="257">
        <v>45789</v>
      </c>
      <c r="Y7" s="87"/>
      <c r="Z7" s="87"/>
      <c r="AA7" s="267"/>
      <c r="AB7" s="321" t="s">
        <v>1135</v>
      </c>
      <c r="AC7" s="43"/>
      <c r="AD7" s="43"/>
      <c r="AE7" s="43"/>
      <c r="AF7" s="43"/>
      <c r="AG7" s="43"/>
      <c r="AH7" s="43"/>
      <c r="AI7" s="43"/>
      <c r="AJ7" s="43"/>
      <c r="AK7" s="138"/>
    </row>
    <row r="8" spans="1:37" ht="35.25" customHeight="1">
      <c r="A8" s="102">
        <v>7</v>
      </c>
      <c r="B8" s="256" t="s">
        <v>5</v>
      </c>
      <c r="C8" s="257">
        <v>45779</v>
      </c>
      <c r="D8" s="257">
        <v>45792</v>
      </c>
      <c r="E8" s="237" t="s">
        <v>1136</v>
      </c>
      <c r="F8" s="119" t="s">
        <v>231</v>
      </c>
      <c r="G8" s="347" t="s">
        <v>1137</v>
      </c>
      <c r="H8" s="348" t="s">
        <v>1138</v>
      </c>
      <c r="I8" s="348" t="s">
        <v>13</v>
      </c>
      <c r="J8" s="267">
        <v>2</v>
      </c>
      <c r="K8" s="267">
        <v>2</v>
      </c>
      <c r="L8" s="267">
        <v>19</v>
      </c>
      <c r="M8" s="267" t="s">
        <v>231</v>
      </c>
      <c r="N8" s="267" t="s">
        <v>1139</v>
      </c>
      <c r="O8" s="267"/>
      <c r="P8" s="267"/>
      <c r="Q8" s="267"/>
      <c r="R8" s="267" t="s">
        <v>93</v>
      </c>
      <c r="S8" s="267" t="s">
        <v>93</v>
      </c>
      <c r="T8" s="267" t="s">
        <v>93</v>
      </c>
      <c r="U8" s="267" t="s">
        <v>93</v>
      </c>
      <c r="V8" s="267"/>
      <c r="W8" s="267" t="s">
        <v>93</v>
      </c>
      <c r="X8" s="87" t="s">
        <v>93</v>
      </c>
      <c r="Y8" s="87"/>
      <c r="Z8" s="87"/>
      <c r="AA8" s="267"/>
      <c r="AB8" s="317"/>
    </row>
    <row r="9" spans="1:37" ht="35.25" customHeight="1">
      <c r="A9" s="102">
        <v>8</v>
      </c>
      <c r="B9" s="256" t="s">
        <v>5</v>
      </c>
      <c r="C9" s="257">
        <v>45779</v>
      </c>
      <c r="D9" s="257">
        <v>45792</v>
      </c>
      <c r="E9" s="246" t="s">
        <v>113</v>
      </c>
      <c r="F9" s="260" t="s">
        <v>231</v>
      </c>
      <c r="G9" s="226" t="s">
        <v>507</v>
      </c>
      <c r="H9" s="350" t="s">
        <v>508</v>
      </c>
      <c r="I9" s="246" t="s">
        <v>271</v>
      </c>
      <c r="J9" s="87">
        <v>3</v>
      </c>
      <c r="K9" s="87">
        <v>0</v>
      </c>
      <c r="L9" s="87">
        <v>50.5</v>
      </c>
      <c r="M9" s="267"/>
      <c r="N9" s="87"/>
      <c r="O9" s="87"/>
      <c r="P9" s="87"/>
      <c r="Q9" s="267"/>
      <c r="R9" s="225"/>
      <c r="S9" s="325"/>
      <c r="T9" s="325"/>
      <c r="U9" s="87"/>
      <c r="V9" s="87"/>
      <c r="W9" s="267"/>
      <c r="X9" s="325"/>
      <c r="Y9" s="87"/>
      <c r="Z9" s="87"/>
      <c r="AA9" s="87"/>
      <c r="AB9" s="351" t="s">
        <v>1140</v>
      </c>
    </row>
    <row r="10" spans="1:37" ht="35.25" customHeight="1">
      <c r="A10" s="86">
        <v>9</v>
      </c>
      <c r="B10" s="239" t="s">
        <v>5</v>
      </c>
      <c r="C10" s="236">
        <v>45779</v>
      </c>
      <c r="D10" s="236">
        <v>45792</v>
      </c>
      <c r="E10" s="237" t="s">
        <v>113</v>
      </c>
      <c r="F10" s="86" t="s">
        <v>1076</v>
      </c>
      <c r="G10" s="224" t="s">
        <v>1077</v>
      </c>
      <c r="H10" s="86" t="s">
        <v>1078</v>
      </c>
      <c r="I10" s="237" t="s">
        <v>271</v>
      </c>
      <c r="J10" s="86">
        <v>3</v>
      </c>
      <c r="K10" s="86">
        <v>0</v>
      </c>
      <c r="L10" s="86">
        <v>64.5</v>
      </c>
      <c r="M10" s="86"/>
      <c r="N10" s="86"/>
      <c r="O10" s="86"/>
      <c r="P10" s="193"/>
      <c r="Q10" s="86"/>
      <c r="R10" s="86"/>
      <c r="S10" s="86"/>
      <c r="T10" s="86"/>
      <c r="U10" s="86"/>
      <c r="V10" s="86"/>
      <c r="W10" s="86"/>
      <c r="X10" s="86"/>
      <c r="Y10" s="86"/>
      <c r="Z10" s="86"/>
      <c r="AA10" s="86"/>
      <c r="AB10" s="354" t="s">
        <v>1141</v>
      </c>
    </row>
    <row r="11" spans="1:37" ht="35.25" customHeight="1">
      <c r="A11" s="86">
        <v>10</v>
      </c>
      <c r="B11" s="239" t="s">
        <v>5</v>
      </c>
      <c r="C11" s="236">
        <v>45779</v>
      </c>
      <c r="D11" s="236">
        <v>45792</v>
      </c>
      <c r="E11" s="237" t="s">
        <v>113</v>
      </c>
      <c r="F11" s="49" t="s">
        <v>284</v>
      </c>
      <c r="G11" s="137" t="s">
        <v>1142</v>
      </c>
      <c r="H11" s="79" t="s">
        <v>1143</v>
      </c>
      <c r="I11" s="79" t="s">
        <v>13</v>
      </c>
      <c r="J11" s="16">
        <v>1</v>
      </c>
      <c r="K11" s="16">
        <v>1</v>
      </c>
      <c r="L11" s="16">
        <v>29</v>
      </c>
      <c r="M11" s="16" t="s">
        <v>93</v>
      </c>
      <c r="N11" s="16" t="s">
        <v>93</v>
      </c>
      <c r="O11" s="16" t="s">
        <v>93</v>
      </c>
      <c r="P11" s="16" t="s">
        <v>93</v>
      </c>
      <c r="Q11" s="16" t="s">
        <v>93</v>
      </c>
      <c r="R11" s="16" t="s">
        <v>93</v>
      </c>
      <c r="S11" s="16" t="s">
        <v>93</v>
      </c>
      <c r="T11" s="16" t="s">
        <v>93</v>
      </c>
      <c r="U11" s="16" t="s">
        <v>93</v>
      </c>
      <c r="V11" s="16" t="s">
        <v>93</v>
      </c>
      <c r="W11" s="16" t="s">
        <v>93</v>
      </c>
      <c r="X11" s="16" t="s">
        <v>93</v>
      </c>
      <c r="Y11" s="16" t="s">
        <v>93</v>
      </c>
      <c r="Z11" s="16" t="s">
        <v>93</v>
      </c>
      <c r="AA11" s="86" t="s">
        <v>93</v>
      </c>
      <c r="AB11" s="86" t="s">
        <v>1144</v>
      </c>
    </row>
  </sheetData>
  <hyperlinks>
    <hyperlink ref="R6" r:id="rId1" xr:uid="{B0AF20EC-D34A-4554-B47C-F8D35A435AB5}"/>
    <hyperlink ref="R2" r:id="rId2" xr:uid="{1C19E6EA-CD33-4D6E-A56F-157AC43E27AD}"/>
    <hyperlink ref="R3" r:id="rId3" xr:uid="{742FC957-454A-4BA1-8E09-2183ABE3E477}"/>
    <hyperlink ref="R4" r:id="rId4" xr:uid="{3FBD08CF-9D9B-475A-ABCC-A02EE236751F}"/>
    <hyperlink ref="R5" r:id="rId5" xr:uid="{5A27994E-E89D-4CBB-AF70-6B31B84FE12D}"/>
    <hyperlink ref="R7" r:id="rId6" xr:uid="{BC446442-B72E-47BF-AE8C-D7F50285B4E2}"/>
    <hyperlink ref="G11" r:id="rId7" display="https://greatergiving.atlassian.net/browse/GGO-14619" xr:uid="{EB98FA76-FEDB-41B0-9639-A5DDD1BF996E}"/>
  </hyperlinks>
  <pageMargins left="0" right="0" top="0" bottom="0" header="0" footer="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52D8B-7D5C-4BF8-9B15-272C2B74FBB0}">
  <sheetPr>
    <outlinePr summaryBelow="0" summaryRight="0"/>
  </sheetPr>
  <dimension ref="A1:O3"/>
  <sheetViews>
    <sheetView topLeftCell="I1" workbookViewId="0">
      <selection activeCell="N7" sqref="N7"/>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 min="15" max="15" width="40.570312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s="98" customFormat="1" ht="220.5" customHeight="1">
      <c r="B2" s="237" t="s">
        <v>113</v>
      </c>
      <c r="C2" s="98" t="s">
        <v>1137</v>
      </c>
      <c r="D2" s="98" t="s">
        <v>1145</v>
      </c>
      <c r="E2" s="98" t="s">
        <v>231</v>
      </c>
      <c r="F2" s="353" t="s">
        <v>753</v>
      </c>
      <c r="G2" s="98" t="s">
        <v>1138</v>
      </c>
      <c r="H2" s="98" t="s">
        <v>1146</v>
      </c>
      <c r="I2" s="353" t="s">
        <v>555</v>
      </c>
      <c r="J2" s="98" t="s">
        <v>1147</v>
      </c>
      <c r="K2" s="353" t="s">
        <v>557</v>
      </c>
      <c r="L2" s="108" t="s">
        <v>902</v>
      </c>
      <c r="M2" s="108" t="s">
        <v>1148</v>
      </c>
      <c r="N2" s="86" t="s">
        <v>1149</v>
      </c>
      <c r="O2" s="86" t="s">
        <v>1150</v>
      </c>
    </row>
    <row r="3" spans="1:15" ht="15" customHeight="1">
      <c r="D3" s="98"/>
    </row>
  </sheetData>
  <autoFilter ref="A1:M1" xr:uid="{3A2BB050-11AC-4ED7-A296-96B42C7FCFBA}"/>
  <dataValidations count="5">
    <dataValidation type="list" allowBlank="1" showErrorMessage="1" sqref="K1:K1048576" xr:uid="{F17D880E-1E6E-4A13-93B0-B18270E29484}">
      <formula1>"Open,Inprogress,Closed, Rejected"</formula1>
    </dataValidation>
    <dataValidation type="list" allowBlank="1" showErrorMessage="1" sqref="F2" xr:uid="{113BF9C4-7EF2-4A9B-B3C4-BFAE0AFFD970}">
      <formula1>"Bounceback/Sub-Defect,Defect,None"</formula1>
    </dataValidation>
    <dataValidation type="list" allowBlank="1" showErrorMessage="1" sqref="J2" xr:uid="{960C7CE3-730D-4E3D-96CB-E6198C140141}">
      <formula1>"Internal,External"</formula1>
    </dataValidation>
    <dataValidation type="list" allowBlank="1" showErrorMessage="1" sqref="H2" xr:uid="{2EE1F353-005F-4E4F-A512-5EE8C48E2EAE}">
      <formula1>"Minor,Significant,Major"</formula1>
    </dataValidation>
    <dataValidation type="list" allowBlank="1" showErrorMessage="1" sqref="I2" xr:uid="{135E2024-C63A-4698-94AE-3E30132F3A41}">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333F8AA0-CDAD-4FBC-9551-626C2676D7DA}">
          <x14:formula1>
            <xm:f>Details!$A$2:$A$10</xm:f>
          </x14:formula1>
          <xm:sqref>L2</xm:sqref>
        </x14:dataValidation>
      </x14:dataValidation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FD89-14D4-43E6-BE11-7781ECD87390}">
  <sheetPr>
    <outlinePr summaryBelow="0" summaryRight="0"/>
  </sheetPr>
  <dimension ref="A1:AB14"/>
  <sheetViews>
    <sheetView showGridLines="0" workbookViewId="0">
      <pane xSplit="7" topLeftCell="H9" activePane="topRight" state="frozen"/>
      <selection pane="topRight" activeCell="E10" sqref="E10"/>
      <selection activeCell="A3" sqref="A3"/>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16.85546875" style="43" customWidth="1"/>
    <col min="7" max="7" width="25.14062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3.2851562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1" t="s">
        <v>245</v>
      </c>
      <c r="I1" s="241"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1" t="s">
        <v>262</v>
      </c>
      <c r="X1" s="243" t="s">
        <v>263</v>
      </c>
      <c r="Y1" s="243" t="s">
        <v>264</v>
      </c>
      <c r="Z1" s="243" t="s">
        <v>265</v>
      </c>
      <c r="AA1" s="243" t="s">
        <v>266</v>
      </c>
      <c r="AB1" s="244" t="s">
        <v>267</v>
      </c>
    </row>
    <row r="2" spans="1:28" ht="42" customHeight="1">
      <c r="A2" s="102">
        <v>1</v>
      </c>
      <c r="B2" s="239" t="s">
        <v>5</v>
      </c>
      <c r="C2" s="236">
        <v>45764</v>
      </c>
      <c r="D2" s="236">
        <v>45778</v>
      </c>
      <c r="E2" s="237" t="s">
        <v>108</v>
      </c>
      <c r="F2" s="246" t="s">
        <v>268</v>
      </c>
      <c r="G2" s="246" t="s">
        <v>1151</v>
      </c>
      <c r="H2" s="260" t="s">
        <v>1152</v>
      </c>
      <c r="I2" s="246" t="s">
        <v>13</v>
      </c>
      <c r="J2" s="264">
        <v>3</v>
      </c>
      <c r="K2" s="87">
        <v>3</v>
      </c>
      <c r="L2" s="87">
        <v>23.5</v>
      </c>
      <c r="M2" s="87"/>
      <c r="N2" s="87"/>
      <c r="O2" s="87"/>
      <c r="P2" s="87"/>
      <c r="Q2" s="87"/>
      <c r="R2" s="225"/>
      <c r="S2" s="325"/>
      <c r="T2" s="325"/>
      <c r="U2" s="87"/>
      <c r="V2" s="267"/>
      <c r="W2" s="16"/>
      <c r="X2" s="334"/>
      <c r="Y2" s="87"/>
      <c r="Z2" s="87"/>
      <c r="AA2" s="267"/>
      <c r="AB2" s="323"/>
    </row>
    <row r="3" spans="1:28" ht="33" customHeight="1">
      <c r="A3" s="102">
        <v>2</v>
      </c>
      <c r="B3" s="239" t="s">
        <v>5</v>
      </c>
      <c r="C3" s="236">
        <v>45764</v>
      </c>
      <c r="D3" s="236">
        <v>45778</v>
      </c>
      <c r="E3" s="237" t="s">
        <v>108</v>
      </c>
      <c r="F3" s="246" t="s">
        <v>1153</v>
      </c>
      <c r="G3" s="246" t="s">
        <v>1154</v>
      </c>
      <c r="H3" s="16" t="s">
        <v>1155</v>
      </c>
      <c r="I3" s="237" t="s">
        <v>13</v>
      </c>
      <c r="J3" s="264">
        <v>1</v>
      </c>
      <c r="K3" s="87">
        <v>1</v>
      </c>
      <c r="L3" s="87">
        <v>14.5</v>
      </c>
      <c r="M3" s="87"/>
      <c r="N3" s="87"/>
      <c r="O3" s="87"/>
      <c r="P3" s="87"/>
      <c r="Q3" s="87"/>
      <c r="R3" s="225"/>
      <c r="S3" s="325"/>
      <c r="T3" s="325"/>
      <c r="U3" s="87"/>
      <c r="V3" s="87"/>
      <c r="W3" s="307"/>
      <c r="X3" s="325"/>
      <c r="Y3" s="87"/>
      <c r="Z3" s="87"/>
      <c r="AA3" s="267"/>
      <c r="AB3" s="323" t="s">
        <v>1156</v>
      </c>
    </row>
    <row r="4" spans="1:28" ht="42" customHeight="1">
      <c r="A4" s="102">
        <v>3</v>
      </c>
      <c r="B4" s="239" t="s">
        <v>5</v>
      </c>
      <c r="C4" s="236">
        <v>45764</v>
      </c>
      <c r="D4" s="236">
        <v>45778</v>
      </c>
      <c r="E4" s="237" t="s">
        <v>108</v>
      </c>
      <c r="F4" s="246" t="s">
        <v>231</v>
      </c>
      <c r="G4" s="246" t="s">
        <v>1157</v>
      </c>
      <c r="H4" s="260" t="s">
        <v>1158</v>
      </c>
      <c r="I4" s="237" t="s">
        <v>13</v>
      </c>
      <c r="J4" s="264">
        <v>2</v>
      </c>
      <c r="K4" s="87">
        <v>2</v>
      </c>
      <c r="L4" s="87">
        <v>19.5</v>
      </c>
      <c r="M4" s="87" t="s">
        <v>231</v>
      </c>
      <c r="N4" s="87" t="s">
        <v>1159</v>
      </c>
      <c r="O4" s="87"/>
      <c r="P4" s="87"/>
      <c r="Q4" s="87"/>
      <c r="R4" s="225" t="s">
        <v>1160</v>
      </c>
      <c r="S4" s="325">
        <v>45770</v>
      </c>
      <c r="T4" s="325">
        <v>45770</v>
      </c>
      <c r="U4" s="87" t="s">
        <v>231</v>
      </c>
      <c r="V4" s="267"/>
      <c r="W4" s="16" t="s">
        <v>1161</v>
      </c>
      <c r="X4" s="334">
        <v>45770</v>
      </c>
      <c r="Y4" s="87"/>
      <c r="Z4" s="87"/>
      <c r="AA4" s="267"/>
      <c r="AB4" s="323" t="s">
        <v>1162</v>
      </c>
    </row>
    <row r="5" spans="1:28" ht="39" customHeight="1">
      <c r="A5" s="102">
        <v>4</v>
      </c>
      <c r="B5" s="239" t="s">
        <v>5</v>
      </c>
      <c r="C5" s="236">
        <v>45764</v>
      </c>
      <c r="D5" s="236">
        <v>45778</v>
      </c>
      <c r="E5" s="237" t="s">
        <v>108</v>
      </c>
      <c r="F5" s="260" t="s">
        <v>735</v>
      </c>
      <c r="G5" s="328" t="s">
        <v>1163</v>
      </c>
      <c r="H5" s="329" t="s">
        <v>1164</v>
      </c>
      <c r="I5" s="237" t="s">
        <v>13</v>
      </c>
      <c r="J5" s="264">
        <v>2</v>
      </c>
      <c r="K5" s="87">
        <v>2</v>
      </c>
      <c r="L5" s="87">
        <v>34.5</v>
      </c>
      <c r="M5" s="87" t="s">
        <v>281</v>
      </c>
      <c r="N5" s="87" t="s">
        <v>1165</v>
      </c>
      <c r="O5" s="87"/>
      <c r="P5" s="87"/>
      <c r="Q5" s="87"/>
      <c r="R5" s="225" t="s">
        <v>1166</v>
      </c>
      <c r="S5" s="325">
        <v>45771</v>
      </c>
      <c r="T5" s="325">
        <v>45775</v>
      </c>
      <c r="U5" s="87" t="s">
        <v>231</v>
      </c>
      <c r="V5" s="267"/>
      <c r="W5" s="307" t="s">
        <v>1118</v>
      </c>
      <c r="X5" s="334">
        <v>45775</v>
      </c>
      <c r="Y5" s="87"/>
      <c r="Z5" s="87"/>
      <c r="AA5" s="267"/>
      <c r="AB5" s="323"/>
    </row>
    <row r="6" spans="1:28" ht="39" customHeight="1">
      <c r="A6" s="102">
        <v>5</v>
      </c>
      <c r="B6" s="239" t="s">
        <v>5</v>
      </c>
      <c r="C6" s="236">
        <v>45764</v>
      </c>
      <c r="D6" s="236">
        <v>45778</v>
      </c>
      <c r="E6" s="237" t="s">
        <v>1167</v>
      </c>
      <c r="F6" s="260" t="s">
        <v>735</v>
      </c>
      <c r="G6" s="328" t="s">
        <v>1168</v>
      </c>
      <c r="H6" s="329" t="s">
        <v>1169</v>
      </c>
      <c r="I6" s="246" t="s">
        <v>13</v>
      </c>
      <c r="J6" s="264">
        <v>1</v>
      </c>
      <c r="K6" s="87">
        <v>1</v>
      </c>
      <c r="L6" s="87">
        <v>14</v>
      </c>
      <c r="M6" s="87" t="s">
        <v>281</v>
      </c>
      <c r="N6" s="87" t="s">
        <v>1165</v>
      </c>
      <c r="O6" s="87"/>
      <c r="P6" s="87"/>
      <c r="Q6" s="87"/>
      <c r="R6" s="225" t="s">
        <v>1170</v>
      </c>
      <c r="S6" s="325">
        <v>45772</v>
      </c>
      <c r="T6" s="325">
        <v>45775</v>
      </c>
      <c r="U6" s="87" t="s">
        <v>231</v>
      </c>
      <c r="V6" s="267"/>
      <c r="W6" s="307" t="s">
        <v>867</v>
      </c>
      <c r="X6" s="334">
        <v>45775</v>
      </c>
      <c r="Y6" s="87"/>
      <c r="Z6" s="87"/>
      <c r="AA6" s="267"/>
      <c r="AB6" s="323" t="s">
        <v>1171</v>
      </c>
    </row>
    <row r="7" spans="1:28" ht="39" customHeight="1">
      <c r="A7" s="102">
        <v>6</v>
      </c>
      <c r="B7" s="239" t="s">
        <v>5</v>
      </c>
      <c r="C7" s="236">
        <v>45764</v>
      </c>
      <c r="D7" s="236">
        <v>45778</v>
      </c>
      <c r="E7" s="237" t="s">
        <v>108</v>
      </c>
      <c r="F7" s="260" t="s">
        <v>1172</v>
      </c>
      <c r="G7" s="328" t="s">
        <v>1111</v>
      </c>
      <c r="H7" s="329" t="s">
        <v>1112</v>
      </c>
      <c r="I7" s="246" t="s">
        <v>587</v>
      </c>
      <c r="J7" s="264">
        <v>1</v>
      </c>
      <c r="K7" s="87">
        <v>0.5</v>
      </c>
      <c r="L7" s="87">
        <v>12.5</v>
      </c>
      <c r="M7" s="87" t="s">
        <v>281</v>
      </c>
      <c r="N7" s="87" t="s">
        <v>231</v>
      </c>
      <c r="O7" s="87"/>
      <c r="P7" s="87"/>
      <c r="Q7" s="87"/>
      <c r="R7" s="225" t="s">
        <v>93</v>
      </c>
      <c r="S7" s="325"/>
      <c r="T7" s="325"/>
      <c r="U7" s="87"/>
      <c r="V7" s="267"/>
      <c r="W7" s="87"/>
      <c r="X7" s="334"/>
      <c r="Y7" s="87"/>
      <c r="Z7" s="87"/>
      <c r="AA7" s="267"/>
      <c r="AB7" s="323"/>
    </row>
    <row r="8" spans="1:28" ht="44.25" customHeight="1">
      <c r="A8" s="102">
        <v>7</v>
      </c>
      <c r="B8" s="253" t="s">
        <v>5</v>
      </c>
      <c r="C8" s="236">
        <v>45764</v>
      </c>
      <c r="D8" s="236">
        <v>45778</v>
      </c>
      <c r="E8" s="237" t="s">
        <v>108</v>
      </c>
      <c r="F8" s="246" t="s">
        <v>268</v>
      </c>
      <c r="G8" s="328" t="s">
        <v>1173</v>
      </c>
      <c r="H8" s="329" t="s">
        <v>1174</v>
      </c>
      <c r="I8" s="237" t="s">
        <v>13</v>
      </c>
      <c r="J8" s="264">
        <v>2</v>
      </c>
      <c r="K8" s="87">
        <v>2</v>
      </c>
      <c r="L8" s="87">
        <v>10.5</v>
      </c>
      <c r="M8" s="87" t="s">
        <v>268</v>
      </c>
      <c r="N8" s="87" t="s">
        <v>231</v>
      </c>
      <c r="O8" s="87"/>
      <c r="P8" s="87"/>
      <c r="Q8" s="87"/>
      <c r="R8" s="225" t="s">
        <v>1175</v>
      </c>
      <c r="S8" s="325">
        <v>45769</v>
      </c>
      <c r="T8" s="325">
        <v>45769</v>
      </c>
      <c r="U8" s="87" t="s">
        <v>231</v>
      </c>
      <c r="V8" s="267"/>
      <c r="W8" s="16" t="s">
        <v>1161</v>
      </c>
      <c r="X8" s="334">
        <v>45769</v>
      </c>
      <c r="Y8" s="87"/>
      <c r="Z8" s="87"/>
      <c r="AA8" s="267"/>
      <c r="AB8" s="323" t="s">
        <v>1162</v>
      </c>
    </row>
    <row r="9" spans="1:28" ht="44.25" customHeight="1">
      <c r="A9" s="102">
        <v>8</v>
      </c>
      <c r="B9" s="253" t="s">
        <v>5</v>
      </c>
      <c r="C9" s="236">
        <v>45764</v>
      </c>
      <c r="D9" s="236">
        <v>45778</v>
      </c>
      <c r="E9" s="237" t="s">
        <v>108</v>
      </c>
      <c r="F9" s="260" t="s">
        <v>268</v>
      </c>
      <c r="G9" s="328" t="s">
        <v>1115</v>
      </c>
      <c r="H9" s="329" t="s">
        <v>1116</v>
      </c>
      <c r="I9" s="333" t="s">
        <v>587</v>
      </c>
      <c r="J9" s="264">
        <v>1</v>
      </c>
      <c r="K9" s="87">
        <v>0.5</v>
      </c>
      <c r="L9" s="87">
        <v>22</v>
      </c>
      <c r="M9" s="87"/>
      <c r="N9" s="87"/>
      <c r="O9" s="87"/>
      <c r="P9" s="87"/>
      <c r="Q9" s="87"/>
      <c r="R9" s="225" t="s">
        <v>93</v>
      </c>
      <c r="S9" s="325"/>
      <c r="T9" s="325"/>
      <c r="U9" s="87"/>
      <c r="V9" s="87"/>
      <c r="W9" s="307"/>
      <c r="X9" s="325"/>
      <c r="Y9" s="87"/>
      <c r="Z9" s="87"/>
      <c r="AA9" s="267"/>
      <c r="AB9" s="323"/>
    </row>
    <row r="10" spans="1:28" ht="48.75" customHeight="1">
      <c r="A10" s="102">
        <v>9</v>
      </c>
      <c r="B10" s="253" t="s">
        <v>5</v>
      </c>
      <c r="C10" s="236">
        <v>45764</v>
      </c>
      <c r="D10" s="236">
        <v>45778</v>
      </c>
      <c r="E10" s="237" t="s">
        <v>1167</v>
      </c>
      <c r="F10" s="237" t="s">
        <v>1176</v>
      </c>
      <c r="G10" s="336" t="s">
        <v>1177</v>
      </c>
      <c r="H10" s="329" t="s">
        <v>1178</v>
      </c>
      <c r="I10" s="327" t="s">
        <v>13</v>
      </c>
      <c r="J10" s="264">
        <v>2</v>
      </c>
      <c r="K10" s="264">
        <v>2</v>
      </c>
      <c r="L10" s="87">
        <v>36</v>
      </c>
      <c r="M10" s="87"/>
      <c r="N10" s="87"/>
      <c r="O10" s="87"/>
      <c r="P10" s="87"/>
      <c r="Q10" s="267"/>
      <c r="R10" s="137" t="s">
        <v>1179</v>
      </c>
      <c r="S10" s="334">
        <v>45775</v>
      </c>
      <c r="T10" s="325">
        <v>45775</v>
      </c>
      <c r="U10" s="87" t="s">
        <v>231</v>
      </c>
      <c r="V10" s="267"/>
      <c r="W10" s="16" t="s">
        <v>867</v>
      </c>
      <c r="X10" s="334">
        <v>45775</v>
      </c>
      <c r="Y10" s="87"/>
      <c r="Z10" s="87"/>
      <c r="AA10" s="267"/>
      <c r="AB10" s="323"/>
    </row>
    <row r="11" spans="1:28" ht="44.25" customHeight="1">
      <c r="A11" s="102">
        <v>10</v>
      </c>
      <c r="B11" s="253" t="s">
        <v>5</v>
      </c>
      <c r="C11" s="236">
        <v>45764</v>
      </c>
      <c r="D11" s="236">
        <v>45778</v>
      </c>
      <c r="E11" s="237" t="s">
        <v>108</v>
      </c>
      <c r="F11" s="337" t="s">
        <v>1180</v>
      </c>
      <c r="G11" s="335" t="s">
        <v>1181</v>
      </c>
      <c r="H11" s="329" t="s">
        <v>1182</v>
      </c>
      <c r="I11" s="327" t="s">
        <v>13</v>
      </c>
      <c r="J11" s="264">
        <v>3</v>
      </c>
      <c r="K11" s="264">
        <v>3</v>
      </c>
      <c r="L11" s="87">
        <v>48</v>
      </c>
      <c r="M11" s="87"/>
      <c r="N11" s="87"/>
      <c r="O11" s="87"/>
      <c r="P11" s="87"/>
      <c r="Q11" s="87"/>
      <c r="R11" s="322" t="s">
        <v>1183</v>
      </c>
      <c r="S11" s="325">
        <v>45775</v>
      </c>
      <c r="T11" s="325">
        <v>45775</v>
      </c>
      <c r="U11" s="87" t="s">
        <v>231</v>
      </c>
      <c r="V11" s="87"/>
      <c r="W11" s="307" t="s">
        <v>867</v>
      </c>
      <c r="X11" s="325">
        <v>45775</v>
      </c>
      <c r="Y11" s="87"/>
      <c r="Z11" s="87"/>
      <c r="AA11" s="267"/>
      <c r="AB11" s="323"/>
    </row>
    <row r="12" spans="1:28" ht="40.5" customHeight="1">
      <c r="A12" s="102">
        <v>11</v>
      </c>
      <c r="B12" s="253" t="s">
        <v>5</v>
      </c>
      <c r="C12" s="236">
        <v>45764</v>
      </c>
      <c r="D12" s="236">
        <v>45778</v>
      </c>
      <c r="E12" s="237" t="s">
        <v>108</v>
      </c>
      <c r="F12" s="182" t="s">
        <v>284</v>
      </c>
      <c r="G12" s="335" t="s">
        <v>1184</v>
      </c>
      <c r="H12" s="338" t="s">
        <v>1185</v>
      </c>
      <c r="I12" s="339" t="s">
        <v>13</v>
      </c>
      <c r="J12" s="87">
        <v>5</v>
      </c>
      <c r="K12" s="87">
        <v>5</v>
      </c>
      <c r="L12" s="16">
        <v>35.5</v>
      </c>
      <c r="M12" s="16"/>
      <c r="N12" s="16"/>
      <c r="O12" s="16"/>
      <c r="P12" s="16"/>
      <c r="Q12" s="16"/>
      <c r="R12" s="16"/>
      <c r="S12" s="16"/>
      <c r="T12" s="16"/>
      <c r="U12" s="16"/>
      <c r="V12" s="16"/>
      <c r="W12" s="16"/>
      <c r="X12" s="16"/>
      <c r="Y12" s="16"/>
      <c r="Z12" s="16"/>
      <c r="AA12" s="265"/>
      <c r="AB12" s="317" t="s">
        <v>1186</v>
      </c>
    </row>
    <row r="13" spans="1:28" ht="35.25" customHeight="1">
      <c r="A13" s="102">
        <v>12</v>
      </c>
      <c r="B13" s="256" t="s">
        <v>5</v>
      </c>
      <c r="C13" s="257">
        <v>45764</v>
      </c>
      <c r="D13" s="257">
        <v>45778</v>
      </c>
      <c r="E13" s="246" t="s">
        <v>108</v>
      </c>
      <c r="F13" s="263" t="s">
        <v>284</v>
      </c>
      <c r="G13" s="340" t="s">
        <v>1187</v>
      </c>
      <c r="H13" s="79" t="s">
        <v>1188</v>
      </c>
      <c r="I13" s="79" t="s">
        <v>13</v>
      </c>
      <c r="J13" s="16">
        <v>3</v>
      </c>
      <c r="K13" s="16">
        <v>3</v>
      </c>
      <c r="L13" s="264">
        <v>22</v>
      </c>
      <c r="M13" s="87"/>
      <c r="N13" s="87"/>
      <c r="O13" s="87"/>
      <c r="P13" s="87"/>
      <c r="Q13" s="87"/>
      <c r="R13" s="87"/>
      <c r="S13" s="87"/>
      <c r="T13" s="87"/>
      <c r="U13" s="87"/>
      <c r="V13" s="87"/>
      <c r="W13" s="87"/>
      <c r="X13" s="87"/>
      <c r="Y13" s="87"/>
      <c r="Z13" s="87"/>
      <c r="AA13" s="267"/>
      <c r="AB13" s="314" t="s">
        <v>1186</v>
      </c>
    </row>
    <row r="14" spans="1:28" s="86" customFormat="1" ht="35.25" customHeight="1">
      <c r="A14" s="86">
        <v>13</v>
      </c>
      <c r="B14" s="239" t="s">
        <v>5</v>
      </c>
      <c r="C14" s="236">
        <v>45764</v>
      </c>
      <c r="D14" s="236">
        <v>45778</v>
      </c>
      <c r="E14" s="237" t="s">
        <v>1167</v>
      </c>
      <c r="F14" s="182" t="s">
        <v>281</v>
      </c>
      <c r="G14" s="341" t="s">
        <v>1189</v>
      </c>
      <c r="H14" s="236" t="s">
        <v>1190</v>
      </c>
      <c r="I14" s="79" t="s">
        <v>13</v>
      </c>
      <c r="J14" s="16">
        <v>2</v>
      </c>
      <c r="K14" s="237">
        <v>2</v>
      </c>
      <c r="L14" s="32">
        <v>5.5</v>
      </c>
      <c r="M14" s="16" t="s">
        <v>1191</v>
      </c>
      <c r="N14" s="16" t="s">
        <v>1191</v>
      </c>
      <c r="O14" s="16" t="s">
        <v>1191</v>
      </c>
      <c r="P14" s="16" t="s">
        <v>231</v>
      </c>
      <c r="Q14" s="16"/>
      <c r="R14" s="16" t="s">
        <v>1191</v>
      </c>
      <c r="S14" s="16"/>
      <c r="T14" s="16"/>
      <c r="U14" s="16"/>
      <c r="V14" s="16"/>
      <c r="W14" s="16"/>
      <c r="X14" s="16"/>
      <c r="Y14" s="16"/>
      <c r="Z14" s="16"/>
      <c r="AA14" s="16"/>
      <c r="AB14" s="317" t="s">
        <v>1192</v>
      </c>
    </row>
  </sheetData>
  <hyperlinks>
    <hyperlink ref="G3" r:id="rId1" display="https://greatergiving.atlassian.net/browse/GGO-14644" xr:uid="{C072BD59-A126-4D0B-8E2A-140CD41C6FA0}"/>
    <hyperlink ref="G12" r:id="rId2" display="https://greatergiving.atlassian.net/browse/GGO-14649" xr:uid="{11EEC8AB-EBC6-4260-BC3E-0510D8CDFEA6}"/>
    <hyperlink ref="G13" r:id="rId3" display="https://greatergiving.atlassian.net/browse/PAPI-851" xr:uid="{5F760FB5-6F6F-43EB-9EFF-6A20C0E1BEAE}"/>
    <hyperlink ref="R5" r:id="rId4" xr:uid="{365E40E4-1525-4788-A2C0-C20141E03809}"/>
    <hyperlink ref="R8" r:id="rId5" xr:uid="{F12E15E1-C923-47A6-BD6D-AF14D90142B7}"/>
    <hyperlink ref="R4" r:id="rId6" xr:uid="{5C12788A-C0AF-48F9-A8C6-131D45F11629}"/>
    <hyperlink ref="R10" r:id="rId7" xr:uid="{C0DDD29A-8F56-4105-95E6-E1727DE78214}"/>
    <hyperlink ref="R11" r:id="rId8" xr:uid="{87D30D0B-A2A5-4C6B-BEF1-83845B724685}"/>
    <hyperlink ref="R6" r:id="rId9" xr:uid="{78CD9C4C-850E-44EE-B05F-4DDFD2A1A3C7}"/>
  </hyperlinks>
  <pageMargins left="0" right="0" top="0" bottom="0" header="0" footer="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CF211-6D98-4D08-A848-5735BE2AA8BF}">
  <sheetPr>
    <outlinePr summaryBelow="0" summaryRight="0"/>
  </sheetPr>
  <dimension ref="A1:O2"/>
  <sheetViews>
    <sheetView topLeftCell="E1" workbookViewId="0">
      <selection activeCell="G2" sqref="G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ht="15" customHeight="1">
      <c r="B2" s="239" t="s">
        <v>5</v>
      </c>
      <c r="C2" s="192" t="s">
        <v>1157</v>
      </c>
      <c r="D2" s="192" t="s">
        <v>1193</v>
      </c>
      <c r="E2" s="98" t="s">
        <v>281</v>
      </c>
      <c r="F2" s="207" t="s">
        <v>753</v>
      </c>
      <c r="G2" s="98" t="s">
        <v>1194</v>
      </c>
      <c r="H2" s="10" t="s">
        <v>562</v>
      </c>
      <c r="I2" s="207" t="s">
        <v>555</v>
      </c>
      <c r="J2" s="10" t="s">
        <v>556</v>
      </c>
      <c r="K2" s="207" t="s">
        <v>557</v>
      </c>
      <c r="L2" s="5" t="s">
        <v>1011</v>
      </c>
      <c r="M2" s="108" t="s">
        <v>1195</v>
      </c>
      <c r="N2" s="86"/>
      <c r="O2" s="86" t="s">
        <v>1196</v>
      </c>
    </row>
  </sheetData>
  <autoFilter ref="A1:M1" xr:uid="{3A2BB050-11AC-4ED7-A296-96B42C7FCFBA}"/>
  <dataValidations count="5">
    <dataValidation type="list" allowBlank="1" showErrorMessage="1" sqref="I2" xr:uid="{D36B79E9-C36F-4A5D-9295-E99A3CDA5F70}">
      <formula1>"Manual, Automation"</formula1>
    </dataValidation>
    <dataValidation type="list" allowBlank="1" showErrorMessage="1" sqref="H2" xr:uid="{18DD1402-F41E-4890-8087-DD567C8BAA40}">
      <formula1>"Minor,Significant,Major"</formula1>
    </dataValidation>
    <dataValidation type="list" allowBlank="1" showErrorMessage="1" sqref="J2" xr:uid="{245C4416-CD25-4E34-9E7A-23245E9CC97E}">
      <formula1>"Internal,External"</formula1>
    </dataValidation>
    <dataValidation type="list" allowBlank="1" showErrorMessage="1" sqref="F2" xr:uid="{EA37BDEA-CA71-4F0C-8919-ABCCC2BD90C7}">
      <formula1>"Bounceback/Sub-Defect,Defect,None"</formula1>
    </dataValidation>
    <dataValidation type="list" allowBlank="1" showErrorMessage="1" sqref="K1:K1048576" xr:uid="{DC1B3177-A946-4B7D-AE8A-7A3F7B1AF46D}">
      <formula1>"Open,Inprogress,Closed, Rejected"</formula1>
    </dataValidation>
  </dataValidations>
  <hyperlinks>
    <hyperlink ref="D2" r:id="rId1" display="https://greatergiving.atlassian.net/browse/GGO-14662" xr:uid="{85C6FCCC-CA25-4B9F-A44E-6EFBDF8C91BD}"/>
  </hyperlinks>
  <pageMargins left="0" right="0" top="0" bottom="0" header="0" footer="0"/>
  <legacyDrawing r:id="rId2"/>
  <extLst>
    <ext xmlns:x14="http://schemas.microsoft.com/office/spreadsheetml/2009/9/main" uri="{CCE6A557-97BC-4b89-ADB6-D9C93CAAB3DF}">
      <x14:dataValidations xmlns:xm="http://schemas.microsoft.com/office/excel/2006/main" count="1">
        <x14:dataValidation type="list" allowBlank="1" showErrorMessage="1" xr:uid="{CCA23B0C-B795-4549-BCFB-771BD167A3CA}">
          <x14:formula1>
            <xm:f>Details!$A$2:$A$10</xm:f>
          </x14:formula1>
          <xm:sqref>L2</xm:sqref>
        </x14:dataValidation>
      </x14:dataValidation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2EE5-E29C-4756-B783-1501DDDDC4D2}">
  <sheetPr>
    <outlinePr summaryBelow="0" summaryRight="0"/>
  </sheetPr>
  <dimension ref="A1:AB10"/>
  <sheetViews>
    <sheetView showGridLines="0" workbookViewId="0">
      <selection activeCell="I1" sqref="I1"/>
    </sheetView>
  </sheetViews>
  <sheetFormatPr defaultColWidth="12.5703125" defaultRowHeight="35.25" customHeight="1"/>
  <cols>
    <col min="1" max="1" width="5.140625" style="43" customWidth="1"/>
    <col min="2" max="2" width="12.28515625" style="43" customWidth="1"/>
    <col min="3" max="3" width="11.85546875" style="43" customWidth="1"/>
    <col min="4" max="4" width="12.5703125" style="43" customWidth="1"/>
    <col min="5" max="5" width="23.1406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3.2851562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1" t="s">
        <v>245</v>
      </c>
      <c r="I1" s="243"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3" t="s">
        <v>262</v>
      </c>
      <c r="X1" s="243" t="s">
        <v>263</v>
      </c>
      <c r="Y1" s="243" t="s">
        <v>264</v>
      </c>
      <c r="Z1" s="243" t="s">
        <v>265</v>
      </c>
      <c r="AA1" s="243" t="s">
        <v>266</v>
      </c>
      <c r="AB1" s="244" t="s">
        <v>267</v>
      </c>
    </row>
    <row r="2" spans="1:28" ht="51.75" customHeight="1">
      <c r="A2" s="102">
        <v>1</v>
      </c>
      <c r="B2" s="239" t="s">
        <v>5</v>
      </c>
      <c r="C2" s="236">
        <v>45750</v>
      </c>
      <c r="D2" s="236">
        <v>45764</v>
      </c>
      <c r="E2" s="237" t="s">
        <v>103</v>
      </c>
      <c r="F2" s="246" t="s">
        <v>281</v>
      </c>
      <c r="G2" s="318" t="s">
        <v>1197</v>
      </c>
      <c r="H2" s="319" t="s">
        <v>1198</v>
      </c>
      <c r="I2" s="16" t="s">
        <v>13</v>
      </c>
      <c r="J2" s="264">
        <v>3</v>
      </c>
      <c r="K2" s="87">
        <v>3</v>
      </c>
      <c r="L2" s="87">
        <v>42</v>
      </c>
      <c r="M2" s="87" t="s">
        <v>281</v>
      </c>
      <c r="N2" s="87" t="s">
        <v>304</v>
      </c>
      <c r="O2" s="87" t="s">
        <v>1199</v>
      </c>
      <c r="P2" s="87"/>
      <c r="Q2" s="87"/>
      <c r="R2" s="225" t="s">
        <v>1200</v>
      </c>
      <c r="S2" s="325">
        <v>45754</v>
      </c>
      <c r="T2" s="325">
        <v>45755</v>
      </c>
      <c r="U2" s="87" t="s">
        <v>231</v>
      </c>
      <c r="V2" s="87"/>
      <c r="W2" s="307" t="s">
        <v>1201</v>
      </c>
      <c r="X2" s="325">
        <v>45755</v>
      </c>
      <c r="Y2" s="87"/>
      <c r="Z2" s="87"/>
      <c r="AA2" s="267"/>
      <c r="AB2" s="323"/>
    </row>
    <row r="3" spans="1:28" ht="42" customHeight="1">
      <c r="A3" s="102">
        <v>2</v>
      </c>
      <c r="B3" s="239" t="s">
        <v>5</v>
      </c>
      <c r="C3" s="236">
        <v>45750</v>
      </c>
      <c r="D3" s="236">
        <v>45764</v>
      </c>
      <c r="E3" s="237" t="s">
        <v>103</v>
      </c>
      <c r="F3" s="260" t="s">
        <v>231</v>
      </c>
      <c r="G3" s="318" t="s">
        <v>1202</v>
      </c>
      <c r="H3" s="319" t="s">
        <v>1203</v>
      </c>
      <c r="I3" s="313" t="s">
        <v>13</v>
      </c>
      <c r="J3" s="264">
        <v>3</v>
      </c>
      <c r="K3" s="87">
        <v>3</v>
      </c>
      <c r="L3" s="87">
        <v>53</v>
      </c>
      <c r="M3" s="87" t="s">
        <v>231</v>
      </c>
      <c r="N3" s="87" t="s">
        <v>304</v>
      </c>
      <c r="O3" s="87" t="s">
        <v>1199</v>
      </c>
      <c r="P3" s="87"/>
      <c r="Q3" s="87"/>
      <c r="R3" s="87"/>
      <c r="S3" s="87"/>
      <c r="T3" s="87"/>
      <c r="U3" s="87"/>
      <c r="V3" s="87"/>
      <c r="W3" s="307"/>
      <c r="X3" s="87"/>
      <c r="Y3" s="87"/>
      <c r="Z3" s="87"/>
      <c r="AA3" s="267"/>
      <c r="AB3" s="323"/>
    </row>
    <row r="4" spans="1:28" ht="39" customHeight="1">
      <c r="A4" s="102">
        <v>3</v>
      </c>
      <c r="B4" s="239" t="s">
        <v>5</v>
      </c>
      <c r="C4" s="236">
        <v>45750</v>
      </c>
      <c r="D4" s="236">
        <v>45764</v>
      </c>
      <c r="E4" s="237" t="s">
        <v>103</v>
      </c>
      <c r="F4" s="260" t="s">
        <v>281</v>
      </c>
      <c r="G4" s="318" t="s">
        <v>1204</v>
      </c>
      <c r="H4" s="313" t="s">
        <v>1205</v>
      </c>
      <c r="I4" s="326" t="s">
        <v>13</v>
      </c>
      <c r="J4" s="264">
        <v>5</v>
      </c>
      <c r="K4" s="87">
        <v>5</v>
      </c>
      <c r="L4" s="87">
        <v>83</v>
      </c>
      <c r="M4" s="87" t="s">
        <v>1206</v>
      </c>
      <c r="N4" s="87" t="s">
        <v>304</v>
      </c>
      <c r="O4" s="87" t="s">
        <v>1199</v>
      </c>
      <c r="P4" s="87"/>
      <c r="Q4" s="87"/>
      <c r="R4" s="225" t="s">
        <v>1207</v>
      </c>
      <c r="S4" s="325">
        <v>45761</v>
      </c>
      <c r="T4" s="325">
        <v>45762</v>
      </c>
      <c r="U4" s="87" t="s">
        <v>231</v>
      </c>
      <c r="V4" s="87"/>
      <c r="W4" s="307" t="s">
        <v>1201</v>
      </c>
      <c r="X4" s="325">
        <v>45762</v>
      </c>
      <c r="Y4" s="87"/>
      <c r="Z4" s="87"/>
      <c r="AA4" s="267"/>
      <c r="AB4" s="323"/>
    </row>
    <row r="5" spans="1:28" ht="44.25" customHeight="1">
      <c r="A5" s="102">
        <v>4</v>
      </c>
      <c r="B5" s="253" t="s">
        <v>5</v>
      </c>
      <c r="C5" s="236">
        <v>45750</v>
      </c>
      <c r="D5" s="236">
        <v>45764</v>
      </c>
      <c r="E5" s="237" t="s">
        <v>1208</v>
      </c>
      <c r="F5" s="260" t="s">
        <v>504</v>
      </c>
      <c r="G5" s="311" t="s">
        <v>1209</v>
      </c>
      <c r="H5" s="312" t="s">
        <v>1210</v>
      </c>
      <c r="I5" s="313" t="s">
        <v>13</v>
      </c>
      <c r="J5" s="264">
        <v>3</v>
      </c>
      <c r="K5" s="87">
        <v>3</v>
      </c>
      <c r="L5" s="87">
        <v>13.5</v>
      </c>
      <c r="M5" s="87" t="s">
        <v>281</v>
      </c>
      <c r="N5" s="87" t="s">
        <v>304</v>
      </c>
      <c r="O5" s="87" t="s">
        <v>1199</v>
      </c>
      <c r="P5" s="87"/>
      <c r="Q5" s="87"/>
      <c r="R5" s="225" t="s">
        <v>1211</v>
      </c>
      <c r="S5" s="325">
        <v>45763</v>
      </c>
      <c r="T5" s="325">
        <v>45763</v>
      </c>
      <c r="U5" s="87" t="s">
        <v>231</v>
      </c>
      <c r="V5" s="87"/>
      <c r="W5" s="307" t="s">
        <v>1212</v>
      </c>
      <c r="X5" s="325">
        <v>45763</v>
      </c>
      <c r="Y5" s="87"/>
      <c r="Z5" s="87"/>
      <c r="AA5" s="267"/>
      <c r="AB5" s="323"/>
    </row>
    <row r="6" spans="1:28" ht="40.5" customHeight="1">
      <c r="A6" s="86">
        <v>5</v>
      </c>
      <c r="B6" s="253" t="s">
        <v>5</v>
      </c>
      <c r="C6" s="236">
        <v>45750</v>
      </c>
      <c r="D6" s="236">
        <v>45764</v>
      </c>
      <c r="E6" s="237" t="s">
        <v>1208</v>
      </c>
      <c r="F6" s="182" t="s">
        <v>1213</v>
      </c>
      <c r="G6" s="72" t="s">
        <v>1214</v>
      </c>
      <c r="H6" s="79" t="s">
        <v>1215</v>
      </c>
      <c r="I6" s="313" t="s">
        <v>13</v>
      </c>
      <c r="J6" s="16">
        <v>1</v>
      </c>
      <c r="K6" s="16">
        <v>1</v>
      </c>
      <c r="L6" s="16">
        <v>13.25</v>
      </c>
      <c r="M6" s="16" t="s">
        <v>93</v>
      </c>
      <c r="N6" s="16" t="s">
        <v>93</v>
      </c>
      <c r="O6" s="16" t="s">
        <v>93</v>
      </c>
      <c r="P6" s="16" t="s">
        <v>93</v>
      </c>
      <c r="Q6" s="16" t="s">
        <v>93</v>
      </c>
      <c r="R6" s="16" t="s">
        <v>93</v>
      </c>
      <c r="S6" s="16" t="s">
        <v>93</v>
      </c>
      <c r="T6" s="16" t="s">
        <v>93</v>
      </c>
      <c r="U6" s="16" t="s">
        <v>93</v>
      </c>
      <c r="V6" s="16" t="s">
        <v>93</v>
      </c>
      <c r="W6" s="16" t="s">
        <v>93</v>
      </c>
      <c r="X6" s="16" t="s">
        <v>93</v>
      </c>
      <c r="Y6" s="16" t="s">
        <v>93</v>
      </c>
      <c r="Z6" s="16" t="s">
        <v>93</v>
      </c>
      <c r="AA6" s="265" t="s">
        <v>93</v>
      </c>
      <c r="AB6" s="317" t="s">
        <v>1216</v>
      </c>
    </row>
    <row r="7" spans="1:28" ht="35.25" customHeight="1">
      <c r="A7" s="102">
        <v>6</v>
      </c>
      <c r="B7" s="239" t="s">
        <v>5</v>
      </c>
      <c r="C7" s="236">
        <v>45750</v>
      </c>
      <c r="D7" s="236">
        <v>45764</v>
      </c>
      <c r="E7" s="237" t="s">
        <v>103</v>
      </c>
      <c r="F7" s="182" t="s">
        <v>284</v>
      </c>
      <c r="G7" s="311" t="s">
        <v>1217</v>
      </c>
      <c r="H7" s="312" t="s">
        <v>1218</v>
      </c>
      <c r="I7" s="16" t="s">
        <v>13</v>
      </c>
      <c r="J7" s="264">
        <v>1</v>
      </c>
      <c r="K7" s="87">
        <v>1</v>
      </c>
      <c r="L7" s="87">
        <v>3</v>
      </c>
      <c r="M7" s="16" t="s">
        <v>93</v>
      </c>
      <c r="N7" s="16" t="s">
        <v>93</v>
      </c>
      <c r="O7" s="16" t="s">
        <v>93</v>
      </c>
      <c r="P7" s="16" t="s">
        <v>93</v>
      </c>
      <c r="Q7" s="16" t="s">
        <v>93</v>
      </c>
      <c r="R7" s="16" t="s">
        <v>93</v>
      </c>
      <c r="S7" s="16" t="s">
        <v>93</v>
      </c>
      <c r="T7" s="16" t="s">
        <v>93</v>
      </c>
      <c r="U7" s="16" t="s">
        <v>93</v>
      </c>
      <c r="V7" s="16" t="s">
        <v>93</v>
      </c>
      <c r="W7" s="16" t="s">
        <v>93</v>
      </c>
      <c r="X7" s="16" t="s">
        <v>93</v>
      </c>
      <c r="Y7" s="16" t="s">
        <v>93</v>
      </c>
      <c r="Z7" s="16" t="s">
        <v>93</v>
      </c>
      <c r="AA7" s="265" t="s">
        <v>93</v>
      </c>
      <c r="AB7" s="323" t="s">
        <v>1219</v>
      </c>
    </row>
    <row r="8" spans="1:28" ht="35.25" customHeight="1">
      <c r="A8" s="102">
        <v>7</v>
      </c>
      <c r="B8" s="256" t="s">
        <v>5</v>
      </c>
      <c r="C8" s="236">
        <v>45750</v>
      </c>
      <c r="D8" s="257">
        <v>45764</v>
      </c>
      <c r="E8" s="246" t="s">
        <v>103</v>
      </c>
      <c r="F8" s="263" t="s">
        <v>1213</v>
      </c>
      <c r="G8" s="103" t="s">
        <v>1220</v>
      </c>
      <c r="H8" s="324" t="s">
        <v>1221</v>
      </c>
      <c r="I8" s="87" t="s">
        <v>13</v>
      </c>
      <c r="J8" s="87">
        <v>2</v>
      </c>
      <c r="K8" s="87">
        <v>2</v>
      </c>
      <c r="L8" s="16">
        <v>17.25</v>
      </c>
      <c r="M8" s="16" t="s">
        <v>93</v>
      </c>
      <c r="N8" s="16" t="s">
        <v>93</v>
      </c>
      <c r="O8" s="16" t="s">
        <v>93</v>
      </c>
      <c r="P8" s="16" t="s">
        <v>93</v>
      </c>
      <c r="Q8" s="16" t="s">
        <v>93</v>
      </c>
      <c r="R8" s="16" t="s">
        <v>93</v>
      </c>
      <c r="S8" s="16" t="s">
        <v>93</v>
      </c>
      <c r="T8" s="16" t="s">
        <v>93</v>
      </c>
      <c r="U8" s="16" t="s">
        <v>93</v>
      </c>
      <c r="V8" s="16" t="s">
        <v>93</v>
      </c>
      <c r="W8" s="16" t="s">
        <v>93</v>
      </c>
      <c r="X8" s="16" t="s">
        <v>93</v>
      </c>
      <c r="Y8" s="16" t="s">
        <v>93</v>
      </c>
      <c r="Z8" s="16" t="s">
        <v>93</v>
      </c>
      <c r="AA8" s="16" t="s">
        <v>93</v>
      </c>
      <c r="AB8" s="321" t="s">
        <v>1222</v>
      </c>
    </row>
    <row r="9" spans="1:28" ht="35.25" customHeight="1">
      <c r="A9" s="102">
        <v>8</v>
      </c>
      <c r="B9" s="262" t="s">
        <v>5</v>
      </c>
      <c r="C9" s="236">
        <v>45750</v>
      </c>
      <c r="D9" s="257">
        <v>45764</v>
      </c>
      <c r="E9" s="246" t="s">
        <v>103</v>
      </c>
      <c r="F9" s="246" t="s">
        <v>268</v>
      </c>
      <c r="G9" s="103" t="s">
        <v>1151</v>
      </c>
      <c r="H9" s="324" t="s">
        <v>1152</v>
      </c>
      <c r="I9" s="87" t="s">
        <v>1223</v>
      </c>
      <c r="J9" s="87">
        <v>8</v>
      </c>
      <c r="K9" s="87">
        <v>5</v>
      </c>
      <c r="L9" s="264">
        <v>90.5</v>
      </c>
      <c r="M9" s="87" t="s">
        <v>281</v>
      </c>
      <c r="N9" s="87" t="s">
        <v>304</v>
      </c>
      <c r="O9" s="87" t="s">
        <v>1199</v>
      </c>
      <c r="P9" s="87"/>
      <c r="Q9" s="87"/>
      <c r="R9" s="87"/>
      <c r="S9" s="87"/>
      <c r="T9" s="87"/>
      <c r="U9" s="87"/>
      <c r="V9" s="87"/>
      <c r="W9" s="87"/>
      <c r="X9" s="87"/>
      <c r="Y9" s="87"/>
      <c r="Z9" s="87"/>
      <c r="AA9" s="267"/>
      <c r="AB9" s="332" t="s">
        <v>1224</v>
      </c>
    </row>
    <row r="10" spans="1:28" ht="35.25" customHeight="1">
      <c r="A10" s="86">
        <v>9</v>
      </c>
      <c r="B10" s="239" t="s">
        <v>5</v>
      </c>
      <c r="C10" s="236">
        <v>45750</v>
      </c>
      <c r="D10" s="236">
        <v>45764</v>
      </c>
      <c r="E10" s="237" t="s">
        <v>1208</v>
      </c>
      <c r="F10" s="237" t="s">
        <v>1225</v>
      </c>
      <c r="G10" s="72" t="s">
        <v>1154</v>
      </c>
      <c r="H10" s="16" t="s">
        <v>1155</v>
      </c>
      <c r="I10" s="16" t="s">
        <v>1223</v>
      </c>
      <c r="J10" s="16">
        <v>2</v>
      </c>
      <c r="K10" s="16">
        <v>1</v>
      </c>
      <c r="L10" s="16">
        <v>19.5</v>
      </c>
      <c r="M10" s="87" t="s">
        <v>281</v>
      </c>
      <c r="N10" s="87" t="s">
        <v>304</v>
      </c>
      <c r="O10" s="87" t="s">
        <v>1199</v>
      </c>
      <c r="P10" s="49"/>
      <c r="Q10" s="96"/>
      <c r="R10" s="5"/>
      <c r="S10" s="5"/>
      <c r="T10" s="5"/>
      <c r="U10" s="5"/>
      <c r="V10" s="86"/>
      <c r="W10" s="86"/>
      <c r="X10" s="86"/>
      <c r="Y10" s="86"/>
      <c r="Z10" s="86"/>
      <c r="AA10" s="115"/>
      <c r="AB10" s="332" t="s">
        <v>1226</v>
      </c>
    </row>
  </sheetData>
  <hyperlinks>
    <hyperlink ref="G6" r:id="rId1" display="https://greatergiving.atlassian.net/browse/PAPI-839" xr:uid="{C421A5B1-EBAA-4C8E-A0D7-081624F1BADD}"/>
    <hyperlink ref="G7" r:id="rId2" display="https://greatergiving.atlassian.net/browse/GGO-14617" xr:uid="{1A96AFD7-2AF0-42CF-B915-FE32DA20BEAC}"/>
    <hyperlink ref="G8" r:id="rId3" display="https://greatergiving.atlassian.net/browse/PAPI-842" xr:uid="{72C16C05-43D1-498B-8DD6-639E4A49DDDC}"/>
    <hyperlink ref="G9" r:id="rId4" display="https://greatergiving.atlassian.net/browse/PAPI-842" xr:uid="{A55E1986-DB33-47F4-8E95-ECDB32959205}"/>
    <hyperlink ref="R5" r:id="rId5" xr:uid="{A97CB960-2CF6-427D-9FCB-EF0964486235}"/>
    <hyperlink ref="R4" r:id="rId6" xr:uid="{0312F5D7-5816-4A2A-98E7-C63479E826FB}"/>
    <hyperlink ref="R2" r:id="rId7" xr:uid="{842709E8-77BB-494E-AFED-A87CE174BED5}"/>
    <hyperlink ref="G10" r:id="rId8" display="https://greatergiving.atlassian.net/browse/GGO-14644" xr:uid="{2625E1AC-8DEB-44BB-B56A-AB1F70C55730}"/>
  </hyperlinks>
  <pageMargins left="0" right="0" top="0" bottom="0" header="0" footer="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F2B59-C3A1-436B-BEC8-ECAB7FBC6382}">
  <sheetPr>
    <outlinePr summaryBelow="0" summaryRight="0"/>
  </sheetPr>
  <dimension ref="A1:O2"/>
  <sheetViews>
    <sheetView topLeftCell="F1" workbookViewId="0">
      <selection activeCell="O2" sqref="O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2" customWidth="1"/>
    <col min="13" max="13" width="14.140625" style="282" customWidth="1"/>
    <col min="14" max="14" width="30.140625" customWidth="1"/>
  </cols>
  <sheetData>
    <row r="1" spans="1:15"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298</v>
      </c>
      <c r="O1" s="209" t="s">
        <v>299</v>
      </c>
    </row>
    <row r="2" spans="1:15" ht="110.25" customHeight="1">
      <c r="B2" s="239" t="s">
        <v>5</v>
      </c>
      <c r="C2" s="287" t="s">
        <v>1227</v>
      </c>
      <c r="D2" s="287" t="s">
        <v>1204</v>
      </c>
      <c r="E2" t="s">
        <v>231</v>
      </c>
      <c r="F2" s="207" t="s">
        <v>753</v>
      </c>
      <c r="G2" t="s">
        <v>1228</v>
      </c>
      <c r="H2" s="10" t="s">
        <v>562</v>
      </c>
      <c r="I2" s="207" t="s">
        <v>555</v>
      </c>
      <c r="J2" s="10" t="s">
        <v>556</v>
      </c>
      <c r="K2" s="207" t="s">
        <v>557</v>
      </c>
      <c r="L2" s="5" t="s">
        <v>1011</v>
      </c>
      <c r="M2" s="108" t="s">
        <v>231</v>
      </c>
      <c r="N2" s="86" t="s">
        <v>1229</v>
      </c>
      <c r="O2" s="86" t="s">
        <v>1230</v>
      </c>
    </row>
  </sheetData>
  <autoFilter ref="A1:M1" xr:uid="{3A2BB050-11AC-4ED7-A296-96B42C7FCFBA}"/>
  <dataValidations count="5">
    <dataValidation type="list" allowBlank="1" showErrorMessage="1" sqref="K1:K1048576" xr:uid="{828358A9-CA6F-4917-BC2A-89CA1F35A439}">
      <formula1>"Open,Inprogress,Closed, Rejected"</formula1>
    </dataValidation>
    <dataValidation type="list" allowBlank="1" showErrorMessage="1" sqref="F2" xr:uid="{CFDBFF06-AA4B-4F87-9641-59E59B3C423A}">
      <formula1>"Bounceback/Sub-Defect,Defect,None"</formula1>
    </dataValidation>
    <dataValidation type="list" allowBlank="1" showErrorMessage="1" sqref="J2" xr:uid="{E9DCABC1-A9DC-41B0-8D73-6A121F069A93}">
      <formula1>"Internal,External"</formula1>
    </dataValidation>
    <dataValidation type="list" allowBlank="1" showErrorMessage="1" sqref="H2" xr:uid="{28C86757-9101-4012-8C5C-FEDB595DCB93}">
      <formula1>"Minor,Significant,Major"</formula1>
    </dataValidation>
    <dataValidation type="list" allowBlank="1" showErrorMessage="1" sqref="I2" xr:uid="{284ECBD7-5C23-4C05-B7B5-855EFC2277CA}">
      <formula1>"Manual, Automation"</formula1>
    </dataValidation>
  </dataValidations>
  <hyperlinks>
    <hyperlink ref="C2" r:id="rId1" display="https://greatergiving.atlassian.net/browse/GGO-14646" xr:uid="{535D01D8-879C-438B-8564-9FC5E6F75423}"/>
    <hyperlink ref="D2" r:id="rId2" display="https://greatergiving.atlassian.net/browse/GGO-14457" xr:uid="{1500322F-7A22-4180-AA7E-1067934F0D92}"/>
  </hyperlinks>
  <pageMargins left="0" right="0" top="0" bottom="0" header="0" footer="0"/>
  <legacyDrawing r:id="rId3"/>
  <extLst>
    <ext xmlns:x14="http://schemas.microsoft.com/office/spreadsheetml/2009/9/main" uri="{CCE6A557-97BC-4b89-ADB6-D9C93CAAB3DF}">
      <x14:dataValidations xmlns:xm="http://schemas.microsoft.com/office/excel/2006/main" count="1">
        <x14:dataValidation type="list" allowBlank="1" showErrorMessage="1" xr:uid="{64345FE8-EAD1-4210-89DF-5E7A1C03CDD5}">
          <x14:formula1>
            <xm:f>Details!$A$2:$A$10</xm:f>
          </x14:formula1>
          <xm:sqref>L2</xm:sqref>
        </x14:dataValidation>
      </x14:dataValidations>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A3A4-280D-4237-8890-20F154389EAD}">
  <sheetPr>
    <outlinePr summaryBelow="0" summaryRight="0"/>
  </sheetPr>
  <dimension ref="A1:AB16"/>
  <sheetViews>
    <sheetView showGridLines="0" workbookViewId="0">
      <pane xSplit="7" ySplit="1" topLeftCell="Z10" activePane="bottomRight" state="frozen"/>
      <selection pane="bottomRight" activeCell="M13" sqref="M13:AB13"/>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53.2851562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3" t="s">
        <v>245</v>
      </c>
      <c r="I1" s="243"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3" t="s">
        <v>262</v>
      </c>
      <c r="X1" s="243" t="s">
        <v>263</v>
      </c>
      <c r="Y1" s="243" t="s">
        <v>264</v>
      </c>
      <c r="Z1" s="243" t="s">
        <v>265</v>
      </c>
      <c r="AA1" s="243" t="s">
        <v>266</v>
      </c>
      <c r="AB1" s="244" t="s">
        <v>267</v>
      </c>
    </row>
    <row r="2" spans="1:28" s="86" customFormat="1" ht="60.75" customHeight="1">
      <c r="A2" s="86">
        <v>1</v>
      </c>
      <c r="B2" s="239" t="s">
        <v>5</v>
      </c>
      <c r="C2" s="236">
        <v>45736</v>
      </c>
      <c r="D2" s="236">
        <v>45750</v>
      </c>
      <c r="E2" s="237" t="s">
        <v>98</v>
      </c>
      <c r="F2" s="49" t="s">
        <v>231</v>
      </c>
      <c r="G2" s="72" t="s">
        <v>1231</v>
      </c>
      <c r="H2" s="84" t="s">
        <v>1232</v>
      </c>
      <c r="I2" s="16" t="s">
        <v>13</v>
      </c>
      <c r="J2" s="16">
        <v>2</v>
      </c>
      <c r="K2" s="16">
        <v>2</v>
      </c>
      <c r="L2" s="16">
        <v>22.5</v>
      </c>
      <c r="M2" s="86" t="s">
        <v>231</v>
      </c>
      <c r="N2" s="5" t="s">
        <v>1041</v>
      </c>
      <c r="O2" s="86" t="s">
        <v>93</v>
      </c>
      <c r="P2" s="49"/>
      <c r="Q2" s="96"/>
      <c r="R2" s="70" t="s">
        <v>1233</v>
      </c>
      <c r="S2" s="114">
        <v>45740</v>
      </c>
      <c r="T2" s="114">
        <v>45740</v>
      </c>
      <c r="U2" s="5" t="s">
        <v>231</v>
      </c>
      <c r="W2" s="86" t="s">
        <v>1161</v>
      </c>
      <c r="X2" s="114">
        <v>45740</v>
      </c>
      <c r="AB2" s="317" t="s">
        <v>1234</v>
      </c>
    </row>
    <row r="3" spans="1:28" s="86" customFormat="1" ht="60.75" customHeight="1">
      <c r="A3" s="102">
        <v>2</v>
      </c>
      <c r="B3" s="239" t="s">
        <v>5</v>
      </c>
      <c r="C3" s="236">
        <v>45736</v>
      </c>
      <c r="D3" s="236">
        <v>45750</v>
      </c>
      <c r="E3" s="237" t="s">
        <v>1235</v>
      </c>
      <c r="F3" s="49" t="s">
        <v>231</v>
      </c>
      <c r="G3" s="72" t="s">
        <v>1236</v>
      </c>
      <c r="H3" s="310" t="s">
        <v>1237</v>
      </c>
      <c r="I3" s="16" t="s">
        <v>13</v>
      </c>
      <c r="J3" s="264">
        <v>1</v>
      </c>
      <c r="K3" s="87">
        <v>1</v>
      </c>
      <c r="L3" s="16">
        <v>9</v>
      </c>
      <c r="N3" s="5"/>
      <c r="O3" s="87" t="s">
        <v>1238</v>
      </c>
      <c r="P3" s="49"/>
      <c r="Q3" s="96"/>
      <c r="R3" s="70"/>
      <c r="S3" s="114"/>
      <c r="T3" s="114"/>
      <c r="U3" s="5"/>
      <c r="X3" s="114"/>
      <c r="AA3" s="115"/>
      <c r="AB3" s="86" t="s">
        <v>1239</v>
      </c>
    </row>
    <row r="4" spans="1:28" s="86" customFormat="1" ht="60.75" customHeight="1">
      <c r="A4" s="102">
        <v>3</v>
      </c>
      <c r="B4" s="239" t="s">
        <v>5</v>
      </c>
      <c r="C4" s="236">
        <v>45736</v>
      </c>
      <c r="D4" s="236">
        <v>45750</v>
      </c>
      <c r="E4" s="237" t="s">
        <v>1235</v>
      </c>
      <c r="F4" s="49" t="s">
        <v>231</v>
      </c>
      <c r="G4" s="72" t="s">
        <v>1240</v>
      </c>
      <c r="H4" s="310" t="s">
        <v>1241</v>
      </c>
      <c r="I4" s="16" t="s">
        <v>13</v>
      </c>
      <c r="J4" s="264">
        <v>1</v>
      </c>
      <c r="K4" s="87">
        <v>1</v>
      </c>
      <c r="L4" s="16">
        <v>2</v>
      </c>
      <c r="N4" s="5"/>
      <c r="O4" s="87" t="s">
        <v>1238</v>
      </c>
      <c r="P4" s="49"/>
      <c r="Q4" s="96"/>
      <c r="R4" s="70"/>
      <c r="S4" s="114"/>
      <c r="T4" s="114"/>
      <c r="U4" s="5"/>
      <c r="X4" s="114"/>
      <c r="AA4" s="115"/>
      <c r="AB4" s="86" t="s">
        <v>1242</v>
      </c>
    </row>
    <row r="5" spans="1:28" s="86" customFormat="1" ht="45.75" customHeight="1">
      <c r="A5" s="102">
        <v>4</v>
      </c>
      <c r="B5" s="239" t="s">
        <v>5</v>
      </c>
      <c r="C5" s="236">
        <v>45736</v>
      </c>
      <c r="D5" s="236">
        <v>45750</v>
      </c>
      <c r="E5" s="237" t="s">
        <v>98</v>
      </c>
      <c r="F5" s="246" t="s">
        <v>281</v>
      </c>
      <c r="G5" s="72" t="s">
        <v>1243</v>
      </c>
      <c r="H5" s="87" t="s">
        <v>1244</v>
      </c>
      <c r="I5" s="16" t="s">
        <v>13</v>
      </c>
      <c r="J5" s="264">
        <v>2</v>
      </c>
      <c r="K5" s="87">
        <v>2</v>
      </c>
      <c r="L5" s="16">
        <v>13</v>
      </c>
      <c r="M5" s="16" t="s">
        <v>735</v>
      </c>
      <c r="N5" s="16" t="s">
        <v>231</v>
      </c>
      <c r="O5" s="16"/>
      <c r="P5" s="16"/>
      <c r="Q5" s="16"/>
      <c r="R5" s="137" t="s">
        <v>1245</v>
      </c>
      <c r="S5" s="114">
        <v>45737</v>
      </c>
      <c r="T5" s="114">
        <v>45737</v>
      </c>
      <c r="U5" s="16" t="s">
        <v>231</v>
      </c>
      <c r="V5" s="16"/>
      <c r="W5" s="16" t="s">
        <v>306</v>
      </c>
      <c r="X5" s="114">
        <v>45738</v>
      </c>
      <c r="Y5" s="16"/>
      <c r="Z5" s="16"/>
      <c r="AA5" s="265"/>
      <c r="AB5" s="314" t="s">
        <v>1246</v>
      </c>
    </row>
    <row r="6" spans="1:28" ht="42" customHeight="1">
      <c r="A6" s="102">
        <v>5</v>
      </c>
      <c r="B6" s="239" t="s">
        <v>5</v>
      </c>
      <c r="C6" s="236">
        <v>45736</v>
      </c>
      <c r="D6" s="236">
        <v>45750</v>
      </c>
      <c r="E6" s="237" t="s">
        <v>98</v>
      </c>
      <c r="F6" s="246" t="s">
        <v>281</v>
      </c>
      <c r="G6" s="305" t="s">
        <v>1247</v>
      </c>
      <c r="H6" s="87" t="s">
        <v>1248</v>
      </c>
      <c r="I6" s="16" t="s">
        <v>13</v>
      </c>
      <c r="J6" s="264">
        <v>3</v>
      </c>
      <c r="K6" s="87">
        <v>3</v>
      </c>
      <c r="L6" s="87">
        <v>71</v>
      </c>
      <c r="M6" s="87" t="s">
        <v>735</v>
      </c>
      <c r="N6" s="16" t="s">
        <v>1165</v>
      </c>
      <c r="O6" s="87" t="s">
        <v>1238</v>
      </c>
      <c r="P6" s="87"/>
      <c r="Q6" s="87"/>
      <c r="R6" s="225" t="s">
        <v>1249</v>
      </c>
      <c r="S6" s="114">
        <v>45743</v>
      </c>
      <c r="T6" s="114">
        <v>45744</v>
      </c>
      <c r="U6" s="16" t="s">
        <v>231</v>
      </c>
      <c r="V6" s="87"/>
      <c r="W6" s="86" t="s">
        <v>1250</v>
      </c>
      <c r="X6" s="114">
        <v>45744</v>
      </c>
      <c r="Y6" s="87"/>
      <c r="Z6" s="87"/>
      <c r="AA6" s="267"/>
      <c r="AB6" s="86" t="s">
        <v>1251</v>
      </c>
    </row>
    <row r="7" spans="1:28" ht="36" customHeight="1">
      <c r="A7" s="102">
        <v>6</v>
      </c>
      <c r="B7" s="239" t="s">
        <v>5</v>
      </c>
      <c r="C7" s="236">
        <v>45736</v>
      </c>
      <c r="D7" s="236">
        <v>45750</v>
      </c>
      <c r="E7" s="237" t="s">
        <v>98</v>
      </c>
      <c r="F7" s="246" t="s">
        <v>268</v>
      </c>
      <c r="G7" s="305" t="s">
        <v>1252</v>
      </c>
      <c r="H7" s="16" t="s">
        <v>1253</v>
      </c>
      <c r="I7" s="16" t="s">
        <v>13</v>
      </c>
      <c r="J7" s="264">
        <v>2</v>
      </c>
      <c r="K7" s="87">
        <v>2</v>
      </c>
      <c r="L7" s="87">
        <v>32</v>
      </c>
      <c r="M7" s="87" t="s">
        <v>268</v>
      </c>
      <c r="N7" s="87" t="s">
        <v>735</v>
      </c>
      <c r="O7" s="87"/>
      <c r="P7" s="87"/>
      <c r="Q7" s="87"/>
      <c r="R7" s="225" t="s">
        <v>1254</v>
      </c>
      <c r="S7" s="114">
        <v>45740</v>
      </c>
      <c r="T7" s="114">
        <v>45741</v>
      </c>
      <c r="U7" s="87" t="s">
        <v>231</v>
      </c>
      <c r="V7" s="267"/>
      <c r="W7" s="86" t="s">
        <v>1161</v>
      </c>
      <c r="X7" s="306">
        <v>45741</v>
      </c>
      <c r="Y7" s="87"/>
      <c r="Z7" s="87"/>
      <c r="AA7" s="267"/>
      <c r="AB7" s="139" t="s">
        <v>1255</v>
      </c>
    </row>
    <row r="8" spans="1:28" ht="77.25" customHeight="1">
      <c r="A8" s="102">
        <v>7</v>
      </c>
      <c r="B8" s="239" t="s">
        <v>5</v>
      </c>
      <c r="C8" s="236">
        <v>45736</v>
      </c>
      <c r="D8" s="236">
        <v>45750</v>
      </c>
      <c r="E8" s="237" t="s">
        <v>98</v>
      </c>
      <c r="F8" s="246" t="s">
        <v>268</v>
      </c>
      <c r="G8" s="311" t="s">
        <v>1197</v>
      </c>
      <c r="H8" s="312" t="s">
        <v>1198</v>
      </c>
      <c r="I8" s="313" t="s">
        <v>271</v>
      </c>
      <c r="J8" s="264">
        <v>3</v>
      </c>
      <c r="K8" s="87">
        <v>5</v>
      </c>
      <c r="L8" s="87">
        <v>97</v>
      </c>
      <c r="M8" s="87"/>
      <c r="N8" s="87"/>
      <c r="O8" s="87"/>
      <c r="P8" s="87"/>
      <c r="Q8" s="87"/>
      <c r="R8" s="87"/>
      <c r="S8" s="87"/>
      <c r="T8" s="87"/>
      <c r="U8" s="87"/>
      <c r="V8" s="87"/>
      <c r="W8" s="307"/>
      <c r="X8" s="87"/>
      <c r="Y8" s="87"/>
      <c r="Z8" s="87"/>
      <c r="AA8" s="267"/>
      <c r="AB8" s="315" t="s">
        <v>1256</v>
      </c>
    </row>
    <row r="9" spans="1:28" ht="35.25" customHeight="1">
      <c r="A9" s="86">
        <v>8</v>
      </c>
      <c r="B9" s="253" t="s">
        <v>5</v>
      </c>
      <c r="C9" s="236">
        <v>45736</v>
      </c>
      <c r="D9" s="236">
        <v>45750</v>
      </c>
      <c r="E9" s="237" t="s">
        <v>98</v>
      </c>
      <c r="F9" s="182" t="s">
        <v>284</v>
      </c>
      <c r="G9" s="72" t="s">
        <v>1257</v>
      </c>
      <c r="H9" s="16" t="s">
        <v>1258</v>
      </c>
      <c r="I9" s="16" t="s">
        <v>13</v>
      </c>
      <c r="J9" s="16">
        <v>1</v>
      </c>
      <c r="K9" s="16">
        <v>1</v>
      </c>
      <c r="L9" s="16">
        <v>8</v>
      </c>
      <c r="M9" s="16" t="s">
        <v>93</v>
      </c>
      <c r="N9" s="16" t="s">
        <v>93</v>
      </c>
      <c r="O9" s="16" t="s">
        <v>93</v>
      </c>
      <c r="P9" s="16" t="s">
        <v>93</v>
      </c>
      <c r="Q9" s="16" t="s">
        <v>93</v>
      </c>
      <c r="R9" s="16" t="s">
        <v>93</v>
      </c>
      <c r="S9" s="16" t="s">
        <v>93</v>
      </c>
      <c r="T9" s="16" t="s">
        <v>93</v>
      </c>
      <c r="U9" s="16" t="s">
        <v>93</v>
      </c>
      <c r="V9" s="16" t="s">
        <v>93</v>
      </c>
      <c r="W9" s="16" t="s">
        <v>93</v>
      </c>
      <c r="X9" s="16" t="s">
        <v>93</v>
      </c>
      <c r="Y9" s="16" t="s">
        <v>93</v>
      </c>
      <c r="Z9" s="16" t="s">
        <v>93</v>
      </c>
      <c r="AA9" s="265" t="s">
        <v>93</v>
      </c>
      <c r="AB9" s="102" t="s">
        <v>1246</v>
      </c>
    </row>
    <row r="10" spans="1:28" ht="35.25" customHeight="1">
      <c r="A10" s="86">
        <v>9</v>
      </c>
      <c r="B10" s="253" t="s">
        <v>5</v>
      </c>
      <c r="C10" s="236">
        <v>45736</v>
      </c>
      <c r="D10" s="236">
        <v>45750</v>
      </c>
      <c r="E10" s="237" t="s">
        <v>1235</v>
      </c>
      <c r="F10" s="182" t="s">
        <v>284</v>
      </c>
      <c r="G10" s="72" t="s">
        <v>1259</v>
      </c>
      <c r="H10" s="79" t="s">
        <v>1260</v>
      </c>
      <c r="I10" s="16" t="s">
        <v>13</v>
      </c>
      <c r="J10" s="16">
        <v>1</v>
      </c>
      <c r="K10" s="16">
        <v>1</v>
      </c>
      <c r="L10" s="16">
        <v>1</v>
      </c>
      <c r="M10" s="16" t="s">
        <v>93</v>
      </c>
      <c r="N10" s="16" t="s">
        <v>93</v>
      </c>
      <c r="O10" s="16" t="s">
        <v>93</v>
      </c>
      <c r="P10" s="16" t="s">
        <v>93</v>
      </c>
      <c r="Q10" s="16" t="s">
        <v>93</v>
      </c>
      <c r="R10" s="16" t="s">
        <v>93</v>
      </c>
      <c r="S10" s="16" t="s">
        <v>93</v>
      </c>
      <c r="T10" s="16" t="s">
        <v>93</v>
      </c>
      <c r="U10" s="16" t="s">
        <v>93</v>
      </c>
      <c r="V10" s="16" t="s">
        <v>93</v>
      </c>
      <c r="W10" s="16" t="s">
        <v>93</v>
      </c>
      <c r="X10" s="16" t="s">
        <v>93</v>
      </c>
      <c r="Y10" s="16" t="s">
        <v>93</v>
      </c>
      <c r="Z10" s="16" t="s">
        <v>93</v>
      </c>
      <c r="AA10" s="265" t="s">
        <v>93</v>
      </c>
      <c r="AB10" s="86" t="s">
        <v>1255</v>
      </c>
    </row>
    <row r="11" spans="1:28" ht="35.25" customHeight="1">
      <c r="A11" s="86">
        <v>10</v>
      </c>
      <c r="B11" s="253" t="s">
        <v>5</v>
      </c>
      <c r="C11" s="236">
        <v>45736</v>
      </c>
      <c r="D11" s="236">
        <v>45750</v>
      </c>
      <c r="E11" s="237" t="s">
        <v>1235</v>
      </c>
      <c r="F11" s="182" t="s">
        <v>284</v>
      </c>
      <c r="G11" s="72" t="s">
        <v>1261</v>
      </c>
      <c r="H11" s="79" t="s">
        <v>1262</v>
      </c>
      <c r="I11" s="16" t="s">
        <v>13</v>
      </c>
      <c r="J11" s="16">
        <v>1</v>
      </c>
      <c r="K11" s="16">
        <v>1</v>
      </c>
      <c r="L11" s="16">
        <v>2</v>
      </c>
      <c r="M11" s="16" t="s">
        <v>93</v>
      </c>
      <c r="N11" s="16" t="s">
        <v>93</v>
      </c>
      <c r="O11" s="16" t="s">
        <v>93</v>
      </c>
      <c r="P11" s="16" t="s">
        <v>93</v>
      </c>
      <c r="Q11" s="16" t="s">
        <v>93</v>
      </c>
      <c r="R11" s="16" t="s">
        <v>93</v>
      </c>
      <c r="S11" s="16" t="s">
        <v>93</v>
      </c>
      <c r="T11" s="16" t="s">
        <v>93</v>
      </c>
      <c r="U11" s="16" t="s">
        <v>93</v>
      </c>
      <c r="V11" s="16" t="s">
        <v>93</v>
      </c>
      <c r="W11" s="16" t="s">
        <v>93</v>
      </c>
      <c r="X11" s="16" t="s">
        <v>93</v>
      </c>
      <c r="Y11" s="16" t="s">
        <v>93</v>
      </c>
      <c r="Z11" s="16" t="s">
        <v>93</v>
      </c>
      <c r="AA11" s="16" t="s">
        <v>93</v>
      </c>
      <c r="AB11" s="316" t="s">
        <v>1216</v>
      </c>
    </row>
    <row r="12" spans="1:28" ht="35.25" customHeight="1">
      <c r="A12" s="86">
        <v>11</v>
      </c>
      <c r="B12" s="253" t="s">
        <v>5</v>
      </c>
      <c r="C12" s="236">
        <v>45736</v>
      </c>
      <c r="D12" s="236">
        <v>45750</v>
      </c>
      <c r="E12" s="237" t="s">
        <v>1235</v>
      </c>
      <c r="F12" s="182" t="s">
        <v>284</v>
      </c>
      <c r="G12" s="72" t="s">
        <v>1263</v>
      </c>
      <c r="H12" s="79" t="s">
        <v>1262</v>
      </c>
      <c r="I12" s="16" t="s">
        <v>13</v>
      </c>
      <c r="J12" s="16">
        <v>1</v>
      </c>
      <c r="K12" s="16">
        <v>1</v>
      </c>
      <c r="L12" s="16">
        <v>2</v>
      </c>
      <c r="M12" s="16" t="s">
        <v>93</v>
      </c>
      <c r="N12" s="16" t="s">
        <v>93</v>
      </c>
      <c r="O12" s="16" t="s">
        <v>93</v>
      </c>
      <c r="P12" s="16" t="s">
        <v>93</v>
      </c>
      <c r="Q12" s="16" t="s">
        <v>93</v>
      </c>
      <c r="R12" s="16" t="s">
        <v>93</v>
      </c>
      <c r="S12" s="16" t="s">
        <v>93</v>
      </c>
      <c r="T12" s="16" t="s">
        <v>93</v>
      </c>
      <c r="U12" s="16" t="s">
        <v>93</v>
      </c>
      <c r="V12" s="16" t="s">
        <v>93</v>
      </c>
      <c r="W12" s="16" t="s">
        <v>93</v>
      </c>
      <c r="X12" s="16" t="s">
        <v>93</v>
      </c>
      <c r="Y12" s="16" t="s">
        <v>93</v>
      </c>
      <c r="Z12" s="16" t="s">
        <v>93</v>
      </c>
      <c r="AA12" s="16" t="s">
        <v>93</v>
      </c>
      <c r="AB12" s="314" t="s">
        <v>1216</v>
      </c>
    </row>
    <row r="13" spans="1:28" ht="35.25" customHeight="1">
      <c r="A13" s="86">
        <v>12</v>
      </c>
      <c r="B13" s="253" t="s">
        <v>5</v>
      </c>
      <c r="C13" s="236">
        <v>45736</v>
      </c>
      <c r="D13" s="236">
        <v>45750</v>
      </c>
      <c r="E13" s="237" t="s">
        <v>1235</v>
      </c>
      <c r="F13" s="182" t="s">
        <v>284</v>
      </c>
      <c r="G13" s="72" t="s">
        <v>1264</v>
      </c>
      <c r="H13" s="79" t="s">
        <v>1265</v>
      </c>
      <c r="I13" s="16" t="s">
        <v>13</v>
      </c>
      <c r="J13" s="16">
        <v>1</v>
      </c>
      <c r="K13" s="16">
        <v>1</v>
      </c>
      <c r="L13" s="43">
        <v>1</v>
      </c>
      <c r="M13" s="16" t="s">
        <v>93</v>
      </c>
      <c r="N13" s="16" t="s">
        <v>93</v>
      </c>
      <c r="O13" s="16" t="s">
        <v>93</v>
      </c>
      <c r="P13" s="16" t="s">
        <v>93</v>
      </c>
      <c r="Q13" s="16" t="s">
        <v>93</v>
      </c>
      <c r="R13" s="16" t="s">
        <v>93</v>
      </c>
      <c r="S13" s="16" t="s">
        <v>93</v>
      </c>
      <c r="T13" s="16" t="s">
        <v>93</v>
      </c>
      <c r="U13" s="16" t="s">
        <v>93</v>
      </c>
      <c r="V13" s="16" t="s">
        <v>93</v>
      </c>
      <c r="W13" s="16" t="s">
        <v>93</v>
      </c>
      <c r="X13" s="16" t="s">
        <v>93</v>
      </c>
      <c r="Y13" s="16" t="s">
        <v>93</v>
      </c>
      <c r="Z13" s="16" t="s">
        <v>93</v>
      </c>
      <c r="AA13" s="265" t="s">
        <v>93</v>
      </c>
      <c r="AB13" s="86" t="s">
        <v>1246</v>
      </c>
    </row>
    <row r="14" spans="1:28" ht="35.25" customHeight="1">
      <c r="A14" s="102">
        <v>13</v>
      </c>
      <c r="B14" s="256" t="s">
        <v>5</v>
      </c>
      <c r="C14" s="257">
        <v>45736</v>
      </c>
      <c r="D14" s="257">
        <v>45750</v>
      </c>
      <c r="E14" s="246" t="s">
        <v>1235</v>
      </c>
      <c r="F14" s="263" t="s">
        <v>284</v>
      </c>
      <c r="G14" s="320" t="s">
        <v>1214</v>
      </c>
      <c r="H14" s="312" t="s">
        <v>1215</v>
      </c>
      <c r="I14" s="312" t="s">
        <v>647</v>
      </c>
      <c r="J14" s="87">
        <v>1</v>
      </c>
      <c r="K14" s="87">
        <v>1</v>
      </c>
      <c r="L14" s="16">
        <v>7</v>
      </c>
      <c r="M14" s="87" t="s">
        <v>93</v>
      </c>
      <c r="N14" s="87" t="s">
        <v>93</v>
      </c>
      <c r="O14" s="87" t="s">
        <v>93</v>
      </c>
      <c r="P14" s="87" t="s">
        <v>93</v>
      </c>
      <c r="Q14" s="87" t="s">
        <v>93</v>
      </c>
      <c r="R14" s="87" t="s">
        <v>93</v>
      </c>
      <c r="S14" s="87" t="s">
        <v>93</v>
      </c>
      <c r="T14" s="87" t="s">
        <v>93</v>
      </c>
      <c r="U14" s="87" t="s">
        <v>93</v>
      </c>
      <c r="V14" s="87" t="s">
        <v>93</v>
      </c>
      <c r="W14" s="87" t="s">
        <v>93</v>
      </c>
      <c r="X14" s="87" t="s">
        <v>93</v>
      </c>
      <c r="Y14" s="87" t="s">
        <v>93</v>
      </c>
      <c r="Z14" s="87" t="s">
        <v>93</v>
      </c>
      <c r="AA14" s="87" t="s">
        <v>93</v>
      </c>
      <c r="AB14" s="321" t="s">
        <v>1266</v>
      </c>
    </row>
    <row r="15" spans="1:28" s="86" customFormat="1" ht="35.25" customHeight="1">
      <c r="A15" s="86">
        <v>14</v>
      </c>
      <c r="B15" s="239" t="s">
        <v>5</v>
      </c>
      <c r="C15" s="236">
        <v>45736</v>
      </c>
      <c r="D15" s="236">
        <v>45750</v>
      </c>
      <c r="E15" s="237" t="s">
        <v>1235</v>
      </c>
      <c r="F15" s="49" t="s">
        <v>1267</v>
      </c>
      <c r="G15" s="72" t="s">
        <v>1268</v>
      </c>
      <c r="H15" s="79" t="s">
        <v>1269</v>
      </c>
      <c r="I15" s="16" t="s">
        <v>13</v>
      </c>
      <c r="J15" s="16">
        <v>2</v>
      </c>
      <c r="K15" s="16">
        <v>2</v>
      </c>
      <c r="L15" s="16">
        <v>1</v>
      </c>
      <c r="M15" s="16"/>
      <c r="N15" s="16"/>
      <c r="O15" s="16"/>
      <c r="P15" s="16"/>
      <c r="Q15" s="16"/>
      <c r="R15" s="322" t="s">
        <v>1270</v>
      </c>
      <c r="S15" s="114">
        <v>45748</v>
      </c>
      <c r="T15" s="114">
        <v>45748</v>
      </c>
      <c r="U15" s="16" t="s">
        <v>231</v>
      </c>
      <c r="V15" s="87" t="s">
        <v>93</v>
      </c>
      <c r="W15" s="16" t="s">
        <v>1271</v>
      </c>
      <c r="X15" s="16"/>
      <c r="Y15" s="16"/>
      <c r="Z15" s="16"/>
      <c r="AA15" s="16"/>
      <c r="AB15" s="303"/>
    </row>
    <row r="16" spans="1:28" s="86" customFormat="1" ht="35.25" customHeight="1">
      <c r="A16" s="86">
        <v>14</v>
      </c>
      <c r="B16" s="239" t="s">
        <v>5</v>
      </c>
      <c r="C16" s="236">
        <v>45736</v>
      </c>
      <c r="D16" s="236">
        <v>45750</v>
      </c>
      <c r="E16" s="237" t="s">
        <v>1235</v>
      </c>
      <c r="F16" s="49" t="s">
        <v>1272</v>
      </c>
      <c r="G16" s="72" t="s">
        <v>1273</v>
      </c>
      <c r="H16" s="79" t="s">
        <v>1274</v>
      </c>
      <c r="I16" s="16" t="s">
        <v>13</v>
      </c>
      <c r="J16" s="16">
        <v>1</v>
      </c>
      <c r="K16" s="16">
        <v>1</v>
      </c>
      <c r="L16" s="16">
        <v>1</v>
      </c>
      <c r="N16" s="5"/>
      <c r="P16" s="49"/>
      <c r="Q16" s="96"/>
      <c r="R16" s="322" t="s">
        <v>1275</v>
      </c>
      <c r="S16" s="114">
        <v>45748</v>
      </c>
      <c r="T16" s="114">
        <v>45748</v>
      </c>
      <c r="U16" s="5" t="s">
        <v>231</v>
      </c>
      <c r="V16" s="87" t="s">
        <v>93</v>
      </c>
      <c r="W16" s="86" t="s">
        <v>1276</v>
      </c>
      <c r="AB16" s="86" t="s">
        <v>1277</v>
      </c>
    </row>
  </sheetData>
  <hyperlinks>
    <hyperlink ref="G5" r:id="rId1" display="https://greatergiving.atlassian.net/browse/GGO-14596" xr:uid="{2C532DAD-E948-4ACA-9A05-BE6338D968E8}"/>
    <hyperlink ref="G9" r:id="rId2" display="https://greatergiving.atlassian.net/browse/GGO-14161" xr:uid="{4852ED71-F4A7-4BCD-8111-ED53C8EABC36}"/>
    <hyperlink ref="R7" r:id="rId3" xr:uid="{DA5C0875-E637-4DBF-BE19-A6BF10D00CDD}"/>
    <hyperlink ref="R5" r:id="rId4" xr:uid="{BB689C46-816E-43F5-AEF1-DCCEA9CBFA15}"/>
    <hyperlink ref="R2" r:id="rId5" xr:uid="{75AF1961-91C4-402C-8312-1045034CF227}"/>
    <hyperlink ref="R6" r:id="rId6" xr:uid="{12E76D53-38A1-4B5E-AEA6-4E607A188F38}"/>
    <hyperlink ref="G10" r:id="rId7" display="https://greatergiving.atlassian.net/browse/GGO-14597" xr:uid="{7062E3F7-3FDA-440C-8A5A-C2C9FC15B949}"/>
    <hyperlink ref="G11" r:id="rId8" display="https://greatergiving.atlassian.net/browse/GGO-14597" xr:uid="{8C8D5B42-D8C0-4C4B-ACED-19D450DB07CB}"/>
    <hyperlink ref="G12" r:id="rId9" display="https://greatergiving.atlassian.net/browse/GGO-14592" xr:uid="{E62F5E86-AE6E-4C90-9407-8C87759F0A4B}"/>
    <hyperlink ref="G13" r:id="rId10" display="https://greatergiving.atlassian.net/browse/GGO-14592" xr:uid="{D01078F4-B18B-4CE9-B1CD-6527DEE1FEC4}"/>
    <hyperlink ref="G14" r:id="rId11" display="https://greatergiving.atlassian.net/browse/PAPI-839" xr:uid="{46E73D81-BDF2-423F-B7EC-05F9A83FC28B}"/>
    <hyperlink ref="G15" r:id="rId12" display="https://greatergiving.atlassian.net/browse/GGO-14602" xr:uid="{0E71E69E-765B-441B-BC6C-1D05CA247AC6}"/>
    <hyperlink ref="G16" r:id="rId13" display="https://greatergiving.atlassian.net/browse/GGO-14624" xr:uid="{B0594B48-181C-457B-9B54-436B179D95D1}"/>
    <hyperlink ref="R16" r:id="rId14" xr:uid="{B6714123-D453-4A61-8433-2521BA74C1A5}"/>
    <hyperlink ref="R15" r:id="rId15" xr:uid="{AE848560-F572-4F7F-BE8E-5AD089723A86}"/>
  </hyperlinks>
  <pageMargins left="0" right="0" top="0" bottom="0" header="0" footer="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CE72-0692-4FAA-9F6C-EE79B89353DB}">
  <sheetPr>
    <outlinePr summaryBelow="0" summaryRight="0"/>
  </sheetPr>
  <dimension ref="A1:N3"/>
  <sheetViews>
    <sheetView topLeftCell="E1" workbookViewId="0">
      <selection activeCell="H2" sqref="H2:N2"/>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2" customWidth="1"/>
    <col min="13" max="13" width="14.140625" style="282" customWidth="1"/>
    <col min="14" max="14" width="29" customWidth="1"/>
  </cols>
  <sheetData>
    <row r="1" spans="1:14" ht="13.5">
      <c r="A1" s="308" t="s">
        <v>241</v>
      </c>
      <c r="B1" s="42" t="s">
        <v>11</v>
      </c>
      <c r="C1" s="232" t="s">
        <v>289</v>
      </c>
      <c r="D1" s="232" t="s">
        <v>290</v>
      </c>
      <c r="E1" s="42" t="s">
        <v>243</v>
      </c>
      <c r="F1" s="232" t="s">
        <v>291</v>
      </c>
      <c r="G1" s="232" t="s">
        <v>292</v>
      </c>
      <c r="H1" s="42" t="s">
        <v>293</v>
      </c>
      <c r="I1" s="42" t="s">
        <v>294</v>
      </c>
      <c r="J1" s="42" t="s">
        <v>295</v>
      </c>
      <c r="K1" s="42" t="s">
        <v>246</v>
      </c>
      <c r="L1" s="309" t="s">
        <v>296</v>
      </c>
      <c r="M1" s="209" t="s">
        <v>297</v>
      </c>
      <c r="N1" s="209" t="s">
        <v>299</v>
      </c>
    </row>
    <row r="2" spans="1:14" s="98" customFormat="1" ht="133.5" customHeight="1">
      <c r="B2" s="237" t="s">
        <v>98</v>
      </c>
      <c r="C2" s="192" t="s">
        <v>1240</v>
      </c>
      <c r="D2" s="192" t="s">
        <v>93</v>
      </c>
      <c r="E2" s="237" t="s">
        <v>231</v>
      </c>
      <c r="F2" s="207" t="s">
        <v>753</v>
      </c>
      <c r="G2" s="156" t="s">
        <v>1241</v>
      </c>
      <c r="H2" s="10" t="s">
        <v>562</v>
      </c>
      <c r="I2" s="207" t="s">
        <v>555</v>
      </c>
      <c r="J2" s="10" t="s">
        <v>556</v>
      </c>
      <c r="K2" s="207" t="s">
        <v>557</v>
      </c>
      <c r="L2" s="5" t="s">
        <v>1278</v>
      </c>
      <c r="M2" s="108" t="s">
        <v>304</v>
      </c>
      <c r="N2" s="86" t="s">
        <v>1279</v>
      </c>
    </row>
    <row r="3" spans="1:14" s="98" customFormat="1" ht="80.25" customHeight="1">
      <c r="B3" s="237" t="s">
        <v>98</v>
      </c>
      <c r="C3" s="192" t="s">
        <v>1236</v>
      </c>
      <c r="D3" s="192" t="s">
        <v>93</v>
      </c>
      <c r="E3" s="237" t="s">
        <v>231</v>
      </c>
      <c r="F3" s="207" t="s">
        <v>753</v>
      </c>
      <c r="G3" s="156" t="s">
        <v>1237</v>
      </c>
      <c r="H3" s="10" t="s">
        <v>562</v>
      </c>
      <c r="I3" s="207" t="s">
        <v>555</v>
      </c>
      <c r="J3" s="10" t="s">
        <v>556</v>
      </c>
      <c r="K3" s="207" t="s">
        <v>557</v>
      </c>
      <c r="L3" s="5" t="s">
        <v>1278</v>
      </c>
      <c r="M3" s="108" t="s">
        <v>1280</v>
      </c>
      <c r="N3" s="86" t="s">
        <v>1281</v>
      </c>
    </row>
  </sheetData>
  <autoFilter ref="A1:M1" xr:uid="{3A2BB050-11AC-4ED7-A296-96B42C7FCFBA}"/>
  <dataValidations count="5">
    <dataValidation type="list" allowBlank="1" showErrorMessage="1" sqref="I2:I3" xr:uid="{79F88FE8-A3D2-423B-99F8-22F3F156183E}">
      <formula1>"Manual, Automation"</formula1>
    </dataValidation>
    <dataValidation type="list" allowBlank="1" showErrorMessage="1" sqref="F2:F3" xr:uid="{32FFB0C2-F871-42BE-9F96-CB012940EA1E}">
      <formula1>"Bounceback/Sub-Defect,Defect,None"</formula1>
    </dataValidation>
    <dataValidation type="list" allowBlank="1" showErrorMessage="1" sqref="H2:H3" xr:uid="{DF5B0B94-533D-4190-9CC8-735EC5793A15}">
      <formula1>"Minor,Significant,Major"</formula1>
    </dataValidation>
    <dataValidation type="list" allowBlank="1" showErrorMessage="1" sqref="J2:J3" xr:uid="{5E9C9BA0-8DC1-4D74-B97E-BB2CB4B1E394}">
      <formula1>"Internal,External"</formula1>
    </dataValidation>
    <dataValidation type="list" allowBlank="1" showErrorMessage="1" sqref="K1:K1048576" xr:uid="{E972BC2E-0214-4EE1-B3E1-A097A6FE657E}">
      <formula1>"Open,Inprogress,Closed, Rejected"</formula1>
    </dataValidation>
  </dataValidations>
  <hyperlinks>
    <hyperlink ref="C2" r:id="rId1" display="https://greatergiving.atlassian.net/browse/GGO-14626" xr:uid="{23A9142A-72C8-4D32-A06D-11BDC7E53F51}"/>
    <hyperlink ref="C3" r:id="rId2" display="https://greatergiving.atlassian.net/browse/GGO-14621" xr:uid="{09844457-0807-44E3-BE67-B74BFAC26CB4}"/>
  </hyperlinks>
  <pageMargins left="0" right="0" top="0" bottom="0" header="0" footer="0"/>
  <legacyDrawing r:id="rId3"/>
  <extLst>
    <ext xmlns:x14="http://schemas.microsoft.com/office/spreadsheetml/2009/9/main" uri="{CCE6A557-97BC-4b89-ADB6-D9C93CAAB3DF}">
      <x14:dataValidations xmlns:xm="http://schemas.microsoft.com/office/excel/2006/main" count="1">
        <x14:dataValidation type="list" allowBlank="1" showErrorMessage="1" xr:uid="{A9F3A923-D5BF-4FDB-B619-36DF84370A26}">
          <x14:formula1>
            <xm:f>Details!$A$2:$A$10</xm:f>
          </x14:formula1>
          <xm:sqref>L2:L3</xm:sqref>
        </x14:dataValidation>
      </x14:dataValidation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21E7-05E6-4E17-B5B6-3CC364C2DBCE}">
  <sheetPr>
    <outlinePr summaryBelow="0" summaryRight="0"/>
  </sheetPr>
  <dimension ref="A1:AB15"/>
  <sheetViews>
    <sheetView showGridLines="0" workbookViewId="0">
      <pane xSplit="7" ySplit="1" topLeftCell="H2" activePane="bottomRight" state="frozen"/>
      <selection pane="bottomRight" activeCell="C3" sqref="C3"/>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6.8554687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3" t="s">
        <v>245</v>
      </c>
      <c r="I1" s="243"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3" t="s">
        <v>262</v>
      </c>
      <c r="X1" s="243" t="s">
        <v>263</v>
      </c>
      <c r="Y1" s="243" t="s">
        <v>264</v>
      </c>
      <c r="Z1" s="243" t="s">
        <v>265</v>
      </c>
      <c r="AA1" s="243" t="s">
        <v>266</v>
      </c>
      <c r="AB1" s="244" t="s">
        <v>267</v>
      </c>
    </row>
    <row r="2" spans="1:28" s="86" customFormat="1" ht="60.75" customHeight="1">
      <c r="A2" s="86">
        <v>1</v>
      </c>
      <c r="B2" s="239" t="s">
        <v>5</v>
      </c>
      <c r="C2" s="236">
        <v>45723</v>
      </c>
      <c r="D2" s="236">
        <v>45736</v>
      </c>
      <c r="E2" s="237" t="s">
        <v>94</v>
      </c>
      <c r="F2" s="49" t="s">
        <v>231</v>
      </c>
      <c r="G2" s="72" t="s">
        <v>1282</v>
      </c>
      <c r="H2" s="84" t="s">
        <v>1283</v>
      </c>
      <c r="I2" s="16" t="s">
        <v>13</v>
      </c>
      <c r="J2" s="16">
        <v>2</v>
      </c>
      <c r="K2" s="16">
        <v>2</v>
      </c>
      <c r="L2" s="16">
        <v>22</v>
      </c>
      <c r="M2" s="86" t="s">
        <v>231</v>
      </c>
      <c r="N2" s="5" t="s">
        <v>304</v>
      </c>
      <c r="O2" s="86" t="s">
        <v>1238</v>
      </c>
      <c r="P2" s="49"/>
      <c r="Q2" s="96"/>
      <c r="R2" s="70" t="s">
        <v>1284</v>
      </c>
      <c r="S2" s="85">
        <v>45722</v>
      </c>
      <c r="T2" s="85">
        <v>45723</v>
      </c>
      <c r="U2" s="5" t="s">
        <v>231</v>
      </c>
      <c r="W2" s="86" t="s">
        <v>867</v>
      </c>
      <c r="X2" s="85">
        <v>45723</v>
      </c>
      <c r="AB2" s="86" t="s">
        <v>1285</v>
      </c>
    </row>
    <row r="3" spans="1:28" ht="60.75" customHeight="1">
      <c r="A3" s="102">
        <v>2</v>
      </c>
      <c r="B3" s="239" t="s">
        <v>5</v>
      </c>
      <c r="C3" s="236">
        <v>45723</v>
      </c>
      <c r="D3" s="236">
        <v>45736</v>
      </c>
      <c r="E3" s="237" t="s">
        <v>94</v>
      </c>
      <c r="F3" s="49" t="s">
        <v>231</v>
      </c>
      <c r="G3" s="103" t="s">
        <v>1286</v>
      </c>
      <c r="H3" s="289" t="s">
        <v>1287</v>
      </c>
      <c r="I3" s="16" t="s">
        <v>13</v>
      </c>
      <c r="J3" s="264">
        <v>2</v>
      </c>
      <c r="K3" s="87">
        <v>2</v>
      </c>
      <c r="L3" s="87">
        <v>2.25</v>
      </c>
      <c r="M3" s="102" t="s">
        <v>231</v>
      </c>
      <c r="N3" s="88"/>
      <c r="O3" s="102"/>
      <c r="P3" s="119"/>
      <c r="Q3" s="109"/>
      <c r="R3" s="104" t="s">
        <v>1288</v>
      </c>
      <c r="S3" s="92">
        <v>45723</v>
      </c>
      <c r="T3" s="92">
        <v>45724</v>
      </c>
      <c r="U3" s="88" t="s">
        <v>231</v>
      </c>
      <c r="V3" s="102"/>
      <c r="W3" s="86" t="s">
        <v>1289</v>
      </c>
      <c r="X3" s="92">
        <v>45724</v>
      </c>
      <c r="Y3" s="102"/>
      <c r="Z3" s="102"/>
      <c r="AA3" s="102"/>
      <c r="AB3" s="102"/>
    </row>
    <row r="4" spans="1:28" ht="35.25" customHeight="1">
      <c r="A4" s="102">
        <v>3</v>
      </c>
      <c r="B4" s="239" t="s">
        <v>5</v>
      </c>
      <c r="C4" s="236">
        <v>45723</v>
      </c>
      <c r="D4" s="236">
        <v>45736</v>
      </c>
      <c r="E4" s="237" t="s">
        <v>94</v>
      </c>
      <c r="F4" s="246" t="s">
        <v>1058</v>
      </c>
      <c r="G4" s="103" t="s">
        <v>1145</v>
      </c>
      <c r="H4" s="267" t="s">
        <v>1290</v>
      </c>
      <c r="I4" s="16" t="s">
        <v>13</v>
      </c>
      <c r="J4" s="264">
        <v>3</v>
      </c>
      <c r="K4" s="87">
        <v>3</v>
      </c>
      <c r="L4" s="87">
        <v>45.5</v>
      </c>
      <c r="M4" s="102" t="s">
        <v>534</v>
      </c>
      <c r="N4" s="88" t="s">
        <v>304</v>
      </c>
      <c r="O4" s="86" t="s">
        <v>1238</v>
      </c>
      <c r="P4" s="119" t="s">
        <v>231</v>
      </c>
      <c r="Q4" s="109"/>
      <c r="R4" s="104" t="s">
        <v>1291</v>
      </c>
      <c r="S4" s="92">
        <v>45727</v>
      </c>
      <c r="T4" s="92">
        <v>45727</v>
      </c>
      <c r="U4" s="88" t="s">
        <v>231</v>
      </c>
      <c r="V4" s="102"/>
      <c r="W4" s="102" t="s">
        <v>867</v>
      </c>
      <c r="X4" s="92">
        <v>45727</v>
      </c>
      <c r="Y4" s="102"/>
      <c r="Z4" s="102"/>
      <c r="AA4" s="102"/>
      <c r="AB4" s="102" t="s">
        <v>1292</v>
      </c>
    </row>
    <row r="5" spans="1:28" ht="35.25" customHeight="1">
      <c r="A5" s="102">
        <v>4</v>
      </c>
      <c r="B5" s="239" t="s">
        <v>5</v>
      </c>
      <c r="C5" s="236">
        <v>45723</v>
      </c>
      <c r="D5" s="236">
        <v>45736</v>
      </c>
      <c r="E5" s="237" t="s">
        <v>94</v>
      </c>
      <c r="F5" s="246" t="s">
        <v>268</v>
      </c>
      <c r="G5" s="103" t="s">
        <v>1293</v>
      </c>
      <c r="H5" s="267" t="s">
        <v>1294</v>
      </c>
      <c r="I5" s="87" t="s">
        <v>13</v>
      </c>
      <c r="J5" s="264">
        <v>2</v>
      </c>
      <c r="K5" s="87">
        <v>2</v>
      </c>
      <c r="L5" s="87">
        <v>14.25</v>
      </c>
      <c r="M5" s="102" t="s">
        <v>268</v>
      </c>
      <c r="N5" s="88" t="s">
        <v>281</v>
      </c>
      <c r="O5" s="102"/>
      <c r="P5" s="119" t="s">
        <v>231</v>
      </c>
      <c r="Q5" s="109"/>
      <c r="R5" s="104" t="s">
        <v>1295</v>
      </c>
      <c r="S5" s="92">
        <v>45723</v>
      </c>
      <c r="T5" s="92">
        <v>45726</v>
      </c>
      <c r="U5" s="88" t="s">
        <v>231</v>
      </c>
      <c r="V5" s="102"/>
      <c r="W5" s="102" t="s">
        <v>867</v>
      </c>
      <c r="X5" s="92">
        <v>45727</v>
      </c>
      <c r="Y5" s="102"/>
      <c r="Z5" s="102"/>
      <c r="AA5" s="102"/>
      <c r="AB5" s="102" t="s">
        <v>1296</v>
      </c>
    </row>
    <row r="6" spans="1:28" ht="35.25" customHeight="1">
      <c r="A6" s="102">
        <v>5</v>
      </c>
      <c r="B6" s="239" t="s">
        <v>5</v>
      </c>
      <c r="C6" s="236">
        <v>45723</v>
      </c>
      <c r="D6" s="236">
        <v>45736</v>
      </c>
      <c r="E6" s="237" t="s">
        <v>94</v>
      </c>
      <c r="F6" s="246" t="s">
        <v>231</v>
      </c>
      <c r="G6" s="103" t="s">
        <v>1297</v>
      </c>
      <c r="H6" s="267" t="s">
        <v>1298</v>
      </c>
      <c r="I6" s="16" t="s">
        <v>13</v>
      </c>
      <c r="J6" s="264">
        <v>2</v>
      </c>
      <c r="K6" s="87">
        <v>2</v>
      </c>
      <c r="L6" s="87">
        <v>2.25</v>
      </c>
      <c r="M6" s="102"/>
      <c r="N6" s="88"/>
      <c r="O6" s="102"/>
      <c r="P6" s="119"/>
      <c r="Q6" s="109"/>
      <c r="R6" s="104" t="s">
        <v>1299</v>
      </c>
      <c r="S6" s="92">
        <v>45723</v>
      </c>
      <c r="T6" s="92">
        <v>45724</v>
      </c>
      <c r="U6" s="88" t="s">
        <v>231</v>
      </c>
      <c r="V6" s="102"/>
      <c r="W6" s="86" t="s">
        <v>1289</v>
      </c>
      <c r="X6" s="92">
        <v>45724</v>
      </c>
      <c r="Y6" s="102"/>
      <c r="Z6" s="102"/>
      <c r="AA6" s="102"/>
      <c r="AB6" s="102"/>
    </row>
    <row r="7" spans="1:28" ht="35.25" customHeight="1">
      <c r="A7" s="102">
        <v>6</v>
      </c>
      <c r="B7" s="239" t="s">
        <v>5</v>
      </c>
      <c r="C7" s="236">
        <v>45723</v>
      </c>
      <c r="D7" s="236">
        <v>45736</v>
      </c>
      <c r="E7" s="237" t="s">
        <v>94</v>
      </c>
      <c r="F7" s="246" t="s">
        <v>268</v>
      </c>
      <c r="G7" s="103" t="s">
        <v>1300</v>
      </c>
      <c r="H7" s="267" t="s">
        <v>1301</v>
      </c>
      <c r="I7" s="16" t="s">
        <v>13</v>
      </c>
      <c r="J7" s="264">
        <v>2</v>
      </c>
      <c r="K7" s="87">
        <v>2</v>
      </c>
      <c r="L7" s="87">
        <v>33.75</v>
      </c>
      <c r="M7" s="102" t="s">
        <v>268</v>
      </c>
      <c r="N7" s="88" t="s">
        <v>231</v>
      </c>
      <c r="O7" s="102"/>
      <c r="P7" s="119" t="s">
        <v>281</v>
      </c>
      <c r="Q7" s="109"/>
      <c r="R7" s="104" t="s">
        <v>1302</v>
      </c>
      <c r="S7" s="92">
        <v>45730</v>
      </c>
      <c r="T7" s="92">
        <v>45730</v>
      </c>
      <c r="U7" s="88" t="s">
        <v>231</v>
      </c>
      <c r="V7" s="102"/>
      <c r="W7" s="86" t="s">
        <v>1289</v>
      </c>
      <c r="X7" s="92">
        <v>45730</v>
      </c>
      <c r="Y7" s="83"/>
      <c r="Z7" s="102"/>
      <c r="AA7" s="102"/>
      <c r="AB7" s="102" t="s">
        <v>1067</v>
      </c>
    </row>
    <row r="8" spans="1:28" ht="35.25" customHeight="1">
      <c r="A8" s="102">
        <v>7</v>
      </c>
      <c r="B8" s="239" t="s">
        <v>5</v>
      </c>
      <c r="C8" s="236">
        <v>45723</v>
      </c>
      <c r="D8" s="236">
        <v>45736</v>
      </c>
      <c r="E8" s="237" t="s">
        <v>94</v>
      </c>
      <c r="F8" s="246" t="s">
        <v>231</v>
      </c>
      <c r="G8" s="103" t="s">
        <v>1303</v>
      </c>
      <c r="H8" s="267" t="s">
        <v>1304</v>
      </c>
      <c r="I8" s="16" t="s">
        <v>13</v>
      </c>
      <c r="J8" s="264">
        <v>2</v>
      </c>
      <c r="K8" s="87">
        <v>2</v>
      </c>
      <c r="L8" s="87">
        <v>11.75</v>
      </c>
      <c r="M8" s="102" t="s">
        <v>231</v>
      </c>
      <c r="N8" s="88" t="s">
        <v>268</v>
      </c>
      <c r="O8" s="102"/>
      <c r="P8" s="119" t="s">
        <v>268</v>
      </c>
      <c r="Q8" s="109"/>
      <c r="R8" s="104" t="s">
        <v>1305</v>
      </c>
      <c r="S8" s="92">
        <v>45729</v>
      </c>
      <c r="T8" s="92">
        <v>45730</v>
      </c>
      <c r="U8" s="88" t="s">
        <v>231</v>
      </c>
      <c r="V8" s="102"/>
      <c r="W8" s="86" t="s">
        <v>1289</v>
      </c>
      <c r="X8" s="92">
        <v>45730</v>
      </c>
      <c r="Y8" s="102"/>
      <c r="Z8" s="102"/>
      <c r="AA8" s="102"/>
      <c r="AB8" s="102" t="s">
        <v>1067</v>
      </c>
    </row>
    <row r="9" spans="1:28" ht="35.25" customHeight="1">
      <c r="A9" s="102">
        <v>8</v>
      </c>
      <c r="B9" s="239" t="s">
        <v>5</v>
      </c>
      <c r="C9" s="236">
        <v>45723</v>
      </c>
      <c r="D9" s="236">
        <v>45736</v>
      </c>
      <c r="E9" s="237" t="s">
        <v>1306</v>
      </c>
      <c r="F9" s="246" t="s">
        <v>1307</v>
      </c>
      <c r="G9" s="103" t="s">
        <v>1308</v>
      </c>
      <c r="H9" s="267" t="s">
        <v>1309</v>
      </c>
      <c r="I9" s="87" t="s">
        <v>1310</v>
      </c>
      <c r="J9" s="264">
        <v>5</v>
      </c>
      <c r="K9" s="87">
        <v>5</v>
      </c>
      <c r="L9" s="87">
        <v>72</v>
      </c>
      <c r="M9" s="102" t="s">
        <v>481</v>
      </c>
      <c r="N9" s="88" t="s">
        <v>304</v>
      </c>
      <c r="O9" s="86" t="s">
        <v>1238</v>
      </c>
      <c r="P9" s="119" t="s">
        <v>268</v>
      </c>
      <c r="Q9" s="109"/>
      <c r="R9" s="104" t="s">
        <v>1311</v>
      </c>
      <c r="S9" s="114">
        <v>45734</v>
      </c>
      <c r="T9" s="114">
        <v>45735</v>
      </c>
      <c r="U9" s="88" t="s">
        <v>231</v>
      </c>
      <c r="V9" s="102"/>
      <c r="W9" s="102" t="s">
        <v>867</v>
      </c>
      <c r="X9" s="288">
        <v>45735</v>
      </c>
      <c r="Y9" s="102"/>
      <c r="Z9" s="102"/>
      <c r="AA9" s="102"/>
      <c r="AB9" s="102" t="s">
        <v>1312</v>
      </c>
    </row>
    <row r="10" spans="1:28" ht="35.25" customHeight="1">
      <c r="A10" s="102">
        <v>9</v>
      </c>
      <c r="B10" s="239" t="s">
        <v>5</v>
      </c>
      <c r="C10" s="236">
        <v>45723</v>
      </c>
      <c r="D10" s="236">
        <v>45736</v>
      </c>
      <c r="E10" s="237" t="s">
        <v>1306</v>
      </c>
      <c r="F10" s="246" t="s">
        <v>1313</v>
      </c>
      <c r="G10" s="103" t="s">
        <v>1314</v>
      </c>
      <c r="H10" s="267" t="s">
        <v>1309</v>
      </c>
      <c r="I10" s="87" t="s">
        <v>1310</v>
      </c>
      <c r="J10" s="264">
        <v>2</v>
      </c>
      <c r="K10" s="87">
        <v>2</v>
      </c>
      <c r="L10" s="87">
        <v>11.5</v>
      </c>
      <c r="M10" s="102" t="s">
        <v>534</v>
      </c>
      <c r="N10" s="88" t="s">
        <v>304</v>
      </c>
      <c r="O10" s="102"/>
      <c r="P10" s="119" t="s">
        <v>268</v>
      </c>
      <c r="Q10" s="109"/>
      <c r="R10" s="104" t="s">
        <v>1315</v>
      </c>
      <c r="S10" s="114">
        <v>45734</v>
      </c>
      <c r="T10" s="114">
        <v>45735</v>
      </c>
      <c r="U10" s="88" t="s">
        <v>231</v>
      </c>
      <c r="V10" s="102"/>
      <c r="W10" s="102" t="s">
        <v>867</v>
      </c>
      <c r="X10" s="288">
        <v>45735</v>
      </c>
      <c r="Y10" s="102"/>
      <c r="Z10" s="102"/>
      <c r="AA10" s="102"/>
      <c r="AB10" s="102" t="s">
        <v>1316</v>
      </c>
    </row>
    <row r="11" spans="1:28" ht="35.25" customHeight="1">
      <c r="A11" s="102">
        <v>10</v>
      </c>
      <c r="B11" s="239" t="s">
        <v>5</v>
      </c>
      <c r="C11" s="236">
        <v>45723</v>
      </c>
      <c r="D11" s="236">
        <v>45736</v>
      </c>
      <c r="E11" s="237" t="s">
        <v>1306</v>
      </c>
      <c r="F11" s="246" t="s">
        <v>231</v>
      </c>
      <c r="G11" s="103" t="s">
        <v>1252</v>
      </c>
      <c r="H11" s="267" t="s">
        <v>1317</v>
      </c>
      <c r="I11" s="87" t="s">
        <v>271</v>
      </c>
      <c r="J11" s="264">
        <v>3</v>
      </c>
      <c r="K11" s="87"/>
      <c r="L11" s="87">
        <v>14.5</v>
      </c>
      <c r="M11" s="102"/>
      <c r="N11" s="88"/>
      <c r="O11" s="102"/>
      <c r="P11" s="119"/>
      <c r="Q11" s="109"/>
      <c r="R11" s="104"/>
      <c r="S11" s="114"/>
      <c r="T11" s="114"/>
      <c r="U11" s="88"/>
      <c r="V11" s="102"/>
      <c r="W11" s="102"/>
      <c r="X11" s="288"/>
      <c r="Y11" s="102"/>
      <c r="Z11" s="102"/>
      <c r="AA11" s="102"/>
      <c r="AB11" s="102"/>
    </row>
    <row r="12" spans="1:28" ht="35.25" customHeight="1">
      <c r="A12" s="102">
        <v>11</v>
      </c>
      <c r="B12" s="239" t="s">
        <v>5</v>
      </c>
      <c r="C12" s="236">
        <v>45723</v>
      </c>
      <c r="D12" s="236">
        <v>45736</v>
      </c>
      <c r="E12" s="237" t="s">
        <v>94</v>
      </c>
      <c r="F12" s="246" t="s">
        <v>284</v>
      </c>
      <c r="G12" s="103" t="s">
        <v>1318</v>
      </c>
      <c r="H12" s="267" t="s">
        <v>1319</v>
      </c>
      <c r="I12" s="87" t="s">
        <v>13</v>
      </c>
      <c r="J12" s="264">
        <v>1</v>
      </c>
      <c r="K12" s="87">
        <v>1</v>
      </c>
      <c r="L12" s="87">
        <v>22</v>
      </c>
      <c r="M12" s="102"/>
      <c r="N12" s="88"/>
      <c r="O12" s="102"/>
      <c r="P12" s="119"/>
      <c r="Q12" s="109"/>
      <c r="R12" s="104"/>
      <c r="S12" s="114"/>
      <c r="T12" s="114"/>
      <c r="U12" s="88"/>
      <c r="V12" s="102"/>
      <c r="W12" s="102"/>
      <c r="X12" s="114"/>
      <c r="Y12" s="102"/>
      <c r="Z12" s="102"/>
      <c r="AA12" s="102"/>
      <c r="AB12" s="102" t="s">
        <v>1320</v>
      </c>
    </row>
    <row r="13" spans="1:28" s="102" customFormat="1" ht="55.5" customHeight="1">
      <c r="A13" s="102">
        <v>12</v>
      </c>
      <c r="B13" s="239" t="s">
        <v>5</v>
      </c>
      <c r="C13" s="236">
        <v>45723</v>
      </c>
      <c r="D13" s="236">
        <v>45736</v>
      </c>
      <c r="E13" s="237" t="s">
        <v>94</v>
      </c>
      <c r="F13" s="246" t="s">
        <v>1321</v>
      </c>
      <c r="G13" s="304" t="s">
        <v>1322</v>
      </c>
      <c r="H13" s="87" t="s">
        <v>1323</v>
      </c>
      <c r="I13" s="16" t="s">
        <v>13</v>
      </c>
      <c r="J13" s="264">
        <v>1</v>
      </c>
      <c r="K13" s="87">
        <v>1</v>
      </c>
      <c r="L13" s="87">
        <v>18</v>
      </c>
      <c r="R13" s="88"/>
      <c r="T13" s="119"/>
      <c r="U13" s="109"/>
      <c r="V13" s="88"/>
      <c r="W13" s="88"/>
      <c r="AA13" s="120"/>
      <c r="AB13" s="303" t="s">
        <v>1216</v>
      </c>
    </row>
    <row r="14" spans="1:28" s="86" customFormat="1" ht="55.5" customHeight="1">
      <c r="A14" s="102">
        <v>13</v>
      </c>
      <c r="B14" s="239" t="s">
        <v>5</v>
      </c>
      <c r="C14" s="236">
        <v>45723</v>
      </c>
      <c r="D14" s="236">
        <v>45736</v>
      </c>
      <c r="E14" s="237" t="s">
        <v>94</v>
      </c>
      <c r="F14" s="246" t="s">
        <v>1324</v>
      </c>
      <c r="G14" s="72" t="s">
        <v>1325</v>
      </c>
      <c r="H14" s="16" t="s">
        <v>1326</v>
      </c>
      <c r="I14" s="16" t="s">
        <v>13</v>
      </c>
      <c r="J14" s="264">
        <v>1</v>
      </c>
      <c r="K14" s="87">
        <v>1</v>
      </c>
      <c r="L14" s="16">
        <v>2</v>
      </c>
      <c r="M14" s="16"/>
      <c r="N14" s="16"/>
      <c r="O14" s="16"/>
      <c r="P14" s="16"/>
      <c r="Q14" s="16"/>
      <c r="R14" s="16"/>
      <c r="S14" s="16"/>
      <c r="T14" s="16"/>
      <c r="U14" s="16"/>
      <c r="V14" s="16"/>
      <c r="W14" s="16"/>
      <c r="X14" s="16"/>
      <c r="Y14" s="16"/>
      <c r="Z14" s="16"/>
      <c r="AA14" s="265"/>
      <c r="AB14" s="303" t="s">
        <v>1216</v>
      </c>
    </row>
    <row r="15" spans="1:28" ht="35.25" customHeight="1">
      <c r="A15" s="102">
        <v>14</v>
      </c>
      <c r="B15" s="239" t="s">
        <v>5</v>
      </c>
      <c r="C15" s="236">
        <v>45723</v>
      </c>
      <c r="D15" s="236">
        <v>45736</v>
      </c>
      <c r="E15" s="237" t="s">
        <v>94</v>
      </c>
      <c r="F15" s="246" t="s">
        <v>284</v>
      </c>
      <c r="G15" s="112" t="s">
        <v>1327</v>
      </c>
      <c r="H15" s="23" t="s">
        <v>1328</v>
      </c>
      <c r="I15" s="16" t="s">
        <v>13</v>
      </c>
      <c r="J15" s="264">
        <v>1</v>
      </c>
      <c r="K15" s="87">
        <v>1</v>
      </c>
      <c r="L15" s="87">
        <v>1</v>
      </c>
      <c r="M15" s="87"/>
      <c r="N15" s="87"/>
      <c r="O15" s="87"/>
      <c r="P15" s="87"/>
      <c r="Q15" s="87"/>
      <c r="R15" s="87"/>
      <c r="S15" s="87"/>
      <c r="T15" s="87"/>
      <c r="U15" s="87"/>
      <c r="V15" s="87"/>
      <c r="W15" s="87"/>
      <c r="X15" s="87"/>
      <c r="Y15" s="87"/>
      <c r="Z15" s="87"/>
      <c r="AA15" s="267"/>
      <c r="AB15" s="303" t="s">
        <v>1216</v>
      </c>
    </row>
  </sheetData>
  <hyperlinks>
    <hyperlink ref="R2" r:id="rId1" xr:uid="{62ACA9E7-701D-407E-A1CD-57FF7C83B39B}"/>
    <hyperlink ref="R3" r:id="rId2" xr:uid="{7F327471-2F4C-4FCF-AB1F-9C329245FF0A}"/>
    <hyperlink ref="R6" r:id="rId3" xr:uid="{DA0FB2A2-F3C5-4741-9BD6-39F136C6770C}"/>
    <hyperlink ref="R5" r:id="rId4" xr:uid="{47E38963-C6DE-4B2F-BA23-83B15F0698FA}"/>
    <hyperlink ref="R4" r:id="rId5" xr:uid="{4ED00CE6-1FD3-4F6A-9E98-F304A1C795DF}"/>
    <hyperlink ref="G12" r:id="rId6" display="https://greatergiving.atlassian.net/browse/GGO-14584" xr:uid="{FDE4747C-E379-44A3-ADAC-9B99768FE655}"/>
    <hyperlink ref="R7" r:id="rId7" xr:uid="{647B0A23-6D22-4625-B1C3-627E5629BC1F}"/>
    <hyperlink ref="R8" r:id="rId8" xr:uid="{58193E9A-635D-4C20-8B04-1EC89C4BFFF4}"/>
    <hyperlink ref="G13" r:id="rId9" display="https://greatergiving.atlassian.net/browse/PAPI-820" xr:uid="{65637190-40E6-4626-89A4-F475C13BFF05}"/>
    <hyperlink ref="G14" r:id="rId10" display="https://greatergiving.atlassian.net/browse/GGO-14596" xr:uid="{A58674FA-2804-4540-970E-A8764056A5B1}"/>
    <hyperlink ref="G15" r:id="rId11" display="https://greatergiving.atlassian.net/browse/PAPI-819" xr:uid="{00089266-7A74-40C5-9B43-EC5789433326}"/>
    <hyperlink ref="R9" r:id="rId12" xr:uid="{68B3735E-F61A-4502-B349-53383D8A6025}"/>
    <hyperlink ref="R10" r:id="rId13" xr:uid="{136B2103-C698-48A5-9915-D5387D178B2B}"/>
  </hyperlinks>
  <pageMargins left="0" right="0" top="0" bottom="0" header="0" footer="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66BE4-8610-4131-8D86-081947DA1ACA}">
  <sheetPr>
    <outlinePr summaryBelow="0" summaryRight="0"/>
  </sheetPr>
  <dimension ref="A1:N1"/>
  <sheetViews>
    <sheetView topLeftCell="B1" workbookViewId="0">
      <selection activeCell="G5" sqref="G5"/>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2" customWidth="1"/>
    <col min="13" max="13" width="14.140625" style="282" customWidth="1"/>
    <col min="14" max="14" width="14.140625" customWidth="1"/>
  </cols>
  <sheetData>
    <row r="1" spans="1:14" ht="13.5">
      <c r="A1" s="205" t="s">
        <v>241</v>
      </c>
      <c r="B1" s="1" t="s">
        <v>11</v>
      </c>
      <c r="C1" s="203" t="s">
        <v>289</v>
      </c>
      <c r="D1" s="203" t="s">
        <v>290</v>
      </c>
      <c r="E1" s="1" t="s">
        <v>243</v>
      </c>
      <c r="F1" s="203" t="s">
        <v>291</v>
      </c>
      <c r="G1" s="203" t="s">
        <v>292</v>
      </c>
      <c r="H1" s="1" t="s">
        <v>293</v>
      </c>
      <c r="I1" s="1" t="s">
        <v>294</v>
      </c>
      <c r="J1" s="1" t="s">
        <v>295</v>
      </c>
      <c r="K1" s="1" t="s">
        <v>246</v>
      </c>
      <c r="L1" s="279" t="s">
        <v>296</v>
      </c>
      <c r="M1" s="3" t="s">
        <v>297</v>
      </c>
      <c r="N1" s="3" t="s">
        <v>299</v>
      </c>
    </row>
  </sheetData>
  <autoFilter ref="A1:M1" xr:uid="{3A2BB050-11AC-4ED7-A296-96B42C7FCFBA}"/>
  <dataValidations count="5">
    <dataValidation type="list" allowBlank="1" showErrorMessage="1" sqref="K1:K1048576" xr:uid="{8F4ECDA6-9D97-4C6C-A567-9B4DB1228432}">
      <formula1>"Open,Inprogress,Closed, Rejected"</formula1>
    </dataValidation>
    <dataValidation type="list" allowBlank="1" showErrorMessage="1" sqref="J2:J5" xr:uid="{07D7C63C-7B25-4EDC-BE40-46A8237E5F4F}">
      <formula1>"Internal,External"</formula1>
    </dataValidation>
    <dataValidation type="list" allowBlank="1" showErrorMessage="1" sqref="H2:H5" xr:uid="{1D705083-2719-40AD-8143-7562508883C4}">
      <formula1>"Minor,Significant,Major"</formula1>
    </dataValidation>
    <dataValidation type="list" allowBlank="1" showErrorMessage="1" sqref="F2:F5" xr:uid="{EC82511D-F8D9-4089-A6E7-0E2D08438CAC}">
      <formula1>"Bounceback/Sub-Defect,Defect,None"</formula1>
    </dataValidation>
    <dataValidation type="list" allowBlank="1" showErrorMessage="1" sqref="I2:I5" xr:uid="{D6D74417-B0EC-4AB2-9B8E-751CCB6681F2}">
      <formula1>"Manual, Automation"</formula1>
    </dataValidation>
  </dataValidations>
  <pageMargins left="0" right="0" top="0" bottom="0" header="0" footer="0"/>
  <legacyDrawing r:id="rId1"/>
  <extLst>
    <ext xmlns:x14="http://schemas.microsoft.com/office/spreadsheetml/2009/9/main" uri="{CCE6A557-97BC-4b89-ADB6-D9C93CAAB3DF}">
      <x14:dataValidations xmlns:xm="http://schemas.microsoft.com/office/excel/2006/main" count="1">
        <x14:dataValidation type="list" allowBlank="1" showErrorMessage="1" xr:uid="{0DF17583-0B1E-4E8D-BBC6-2812479FCC9D}">
          <x14:formula1>
            <xm:f>Details!$A$2:$A$10</xm:f>
          </x14:formula1>
          <xm:sqref>L2:L5</xm:sqref>
        </x14:dataValidation>
      </x14:dataValidation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C847-0E39-4F9B-8C89-6D6990AE482D}">
  <sheetPr>
    <outlinePr summaryBelow="0" summaryRight="0"/>
  </sheetPr>
  <dimension ref="A1:AB13"/>
  <sheetViews>
    <sheetView showGridLines="0" workbookViewId="0">
      <pane xSplit="7" ySplit="1" topLeftCell="H10" activePane="bottomRight" state="frozen"/>
      <selection pane="bottomRight" activeCell="I5" sqref="I5"/>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4.140625" style="43" customWidth="1"/>
    <col min="7" max="7" width="12.85546875" style="62" customWidth="1"/>
    <col min="8" max="8" width="48" style="43" customWidth="1"/>
    <col min="9" max="9" width="20" style="43" customWidth="1"/>
    <col min="10" max="10" width="11.85546875" style="43" customWidth="1"/>
    <col min="11" max="11" width="11.140625" style="43"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3" t="s">
        <v>245</v>
      </c>
      <c r="I1" s="243"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3" t="s">
        <v>262</v>
      </c>
      <c r="X1" s="243" t="s">
        <v>263</v>
      </c>
      <c r="Y1" s="243" t="s">
        <v>264</v>
      </c>
      <c r="Z1" s="243" t="s">
        <v>265</v>
      </c>
      <c r="AA1" s="243" t="s">
        <v>266</v>
      </c>
      <c r="AB1" s="244" t="s">
        <v>267</v>
      </c>
    </row>
    <row r="2" spans="1:28" s="86" customFormat="1" ht="60.75" customHeight="1">
      <c r="A2" s="86">
        <v>1</v>
      </c>
      <c r="B2" s="239" t="str">
        <f>Dashboard!$J$1</f>
        <v>GGO Web</v>
      </c>
      <c r="C2" s="257">
        <v>45709</v>
      </c>
      <c r="D2" s="257">
        <v>45722</v>
      </c>
      <c r="E2" s="237" t="s">
        <v>90</v>
      </c>
      <c r="F2" s="49" t="s">
        <v>268</v>
      </c>
      <c r="G2" s="72" t="s">
        <v>1329</v>
      </c>
      <c r="H2" s="16" t="s">
        <v>1330</v>
      </c>
      <c r="I2" s="16" t="s">
        <v>13</v>
      </c>
      <c r="J2" s="16">
        <v>2</v>
      </c>
      <c r="K2" s="16">
        <v>2</v>
      </c>
      <c r="L2" s="16">
        <v>15.5</v>
      </c>
      <c r="M2" s="86" t="s">
        <v>268</v>
      </c>
      <c r="N2" s="5" t="s">
        <v>304</v>
      </c>
      <c r="O2" s="86" t="s">
        <v>1331</v>
      </c>
      <c r="P2" s="49"/>
      <c r="Q2" s="96"/>
      <c r="R2" s="5"/>
      <c r="S2" s="5"/>
      <c r="T2" s="5"/>
      <c r="U2" s="5"/>
      <c r="AB2" s="86" t="s">
        <v>1332</v>
      </c>
    </row>
    <row r="3" spans="1:28" ht="35.25" customHeight="1">
      <c r="A3" s="102">
        <v>3</v>
      </c>
      <c r="B3" s="262" t="str">
        <f>Dashboard!$J$1</f>
        <v>GGO Web</v>
      </c>
      <c r="C3" s="257">
        <v>45709</v>
      </c>
      <c r="D3" s="257">
        <v>45722</v>
      </c>
      <c r="E3" s="246" t="s">
        <v>90</v>
      </c>
      <c r="F3" s="246" t="s">
        <v>230</v>
      </c>
      <c r="G3" s="103" t="s">
        <v>1333</v>
      </c>
      <c r="H3" s="267" t="s">
        <v>1334</v>
      </c>
      <c r="I3" s="87" t="s">
        <v>13</v>
      </c>
      <c r="J3" s="264">
        <v>2</v>
      </c>
      <c r="K3" s="87">
        <v>1</v>
      </c>
      <c r="L3" s="87">
        <v>9</v>
      </c>
      <c r="M3" s="102" t="s">
        <v>281</v>
      </c>
      <c r="N3" s="88" t="s">
        <v>304</v>
      </c>
      <c r="O3" s="102" t="s">
        <v>93</v>
      </c>
      <c r="P3" s="119"/>
      <c r="Q3" s="109"/>
      <c r="R3" s="104" t="s">
        <v>1335</v>
      </c>
      <c r="S3" s="114">
        <v>45709</v>
      </c>
      <c r="T3" s="114"/>
      <c r="U3" s="88" t="s">
        <v>231</v>
      </c>
      <c r="V3" s="102"/>
      <c r="W3" s="102"/>
      <c r="X3" s="118"/>
      <c r="Y3" s="102"/>
      <c r="Z3" s="102"/>
      <c r="AA3" s="102"/>
      <c r="AB3" s="102" t="s">
        <v>1336</v>
      </c>
    </row>
    <row r="4" spans="1:28" ht="35.25" customHeight="1">
      <c r="A4" s="102">
        <v>4</v>
      </c>
      <c r="B4" s="262" t="s">
        <v>5</v>
      </c>
      <c r="C4" s="257">
        <v>45709</v>
      </c>
      <c r="D4" s="257">
        <v>45722</v>
      </c>
      <c r="E4" s="246" t="s">
        <v>90</v>
      </c>
      <c r="F4" s="246" t="s">
        <v>230</v>
      </c>
      <c r="G4" s="103" t="s">
        <v>1337</v>
      </c>
      <c r="H4" s="267" t="s">
        <v>1338</v>
      </c>
      <c r="I4" s="87" t="s">
        <v>13</v>
      </c>
      <c r="J4" s="264">
        <v>2</v>
      </c>
      <c r="K4" s="87">
        <v>3</v>
      </c>
      <c r="L4" s="87">
        <v>40.25</v>
      </c>
      <c r="M4" s="102" t="s">
        <v>281</v>
      </c>
      <c r="N4" s="88" t="s">
        <v>304</v>
      </c>
      <c r="O4" s="102" t="s">
        <v>93</v>
      </c>
      <c r="P4" s="119"/>
      <c r="Q4" s="109"/>
      <c r="R4" s="104" t="s">
        <v>1339</v>
      </c>
      <c r="S4" s="114">
        <v>45714</v>
      </c>
      <c r="T4" s="114">
        <v>45714</v>
      </c>
      <c r="U4" s="88" t="s">
        <v>231</v>
      </c>
      <c r="V4" s="102"/>
      <c r="W4" s="102"/>
      <c r="X4" s="118"/>
      <c r="Y4" s="102"/>
      <c r="Z4" s="102"/>
      <c r="AA4" s="102"/>
      <c r="AB4" s="102" t="s">
        <v>1340</v>
      </c>
    </row>
    <row r="5" spans="1:28" ht="35.25" customHeight="1">
      <c r="A5" s="102">
        <v>5</v>
      </c>
      <c r="B5" s="262" t="s">
        <v>5</v>
      </c>
      <c r="C5" s="257">
        <v>45709</v>
      </c>
      <c r="D5" s="257">
        <v>45722</v>
      </c>
      <c r="E5" s="246" t="s">
        <v>90</v>
      </c>
      <c r="F5" s="246" t="s">
        <v>1341</v>
      </c>
      <c r="G5" s="290" t="s">
        <v>1342</v>
      </c>
      <c r="H5" s="267" t="s">
        <v>1343</v>
      </c>
      <c r="I5" s="87" t="s">
        <v>647</v>
      </c>
      <c r="J5" s="264">
        <v>5</v>
      </c>
      <c r="K5" s="87">
        <v>3</v>
      </c>
      <c r="L5" s="87">
        <v>75.25</v>
      </c>
      <c r="M5" s="102" t="s">
        <v>281</v>
      </c>
      <c r="N5" s="88"/>
      <c r="O5" s="102" t="s">
        <v>93</v>
      </c>
      <c r="P5" s="119"/>
      <c r="Q5" s="109"/>
      <c r="R5" s="104"/>
      <c r="S5" s="114"/>
      <c r="T5" s="114"/>
      <c r="U5" s="88"/>
      <c r="V5" s="102"/>
      <c r="W5" s="102" t="s">
        <v>1161</v>
      </c>
      <c r="X5" s="288">
        <v>45714</v>
      </c>
      <c r="Y5" s="102"/>
      <c r="Z5" s="102"/>
      <c r="AA5" s="102"/>
      <c r="AB5" s="102" t="s">
        <v>1344</v>
      </c>
    </row>
    <row r="6" spans="1:28" ht="35.25" customHeight="1">
      <c r="A6" s="102">
        <v>6</v>
      </c>
      <c r="B6" s="262" t="s">
        <v>5</v>
      </c>
      <c r="C6" s="257">
        <v>45709</v>
      </c>
      <c r="D6" s="257">
        <v>45722</v>
      </c>
      <c r="E6" s="246" t="s">
        <v>90</v>
      </c>
      <c r="F6" s="246" t="s">
        <v>268</v>
      </c>
      <c r="G6" s="103" t="s">
        <v>1345</v>
      </c>
      <c r="H6" s="267" t="s">
        <v>1346</v>
      </c>
      <c r="I6" s="87" t="s">
        <v>13</v>
      </c>
      <c r="J6" s="264">
        <v>2</v>
      </c>
      <c r="K6" s="87">
        <v>2</v>
      </c>
      <c r="L6" s="87">
        <v>34.5</v>
      </c>
      <c r="M6" s="102" t="s">
        <v>268</v>
      </c>
      <c r="N6" s="88" t="s">
        <v>304</v>
      </c>
      <c r="O6" s="102"/>
      <c r="P6" s="119"/>
      <c r="Q6" s="109"/>
      <c r="R6" s="104" t="s">
        <v>1347</v>
      </c>
      <c r="S6" s="114">
        <v>45716</v>
      </c>
      <c r="T6" s="114">
        <v>45720</v>
      </c>
      <c r="U6" s="88" t="s">
        <v>231</v>
      </c>
      <c r="V6" s="102"/>
      <c r="W6" s="102" t="s">
        <v>1161</v>
      </c>
      <c r="X6" s="114">
        <v>45721</v>
      </c>
      <c r="Y6" s="102"/>
      <c r="Z6" s="102"/>
      <c r="AA6" s="102"/>
      <c r="AB6" s="102" t="s">
        <v>1348</v>
      </c>
    </row>
    <row r="7" spans="1:28" ht="35.25" customHeight="1">
      <c r="A7" s="102">
        <v>7</v>
      </c>
      <c r="B7" s="262" t="s">
        <v>5</v>
      </c>
      <c r="C7" s="257">
        <v>45709</v>
      </c>
      <c r="D7" s="257">
        <v>45722</v>
      </c>
      <c r="E7" s="246" t="s">
        <v>90</v>
      </c>
      <c r="F7" s="246" t="s">
        <v>268</v>
      </c>
      <c r="G7" s="103" t="s">
        <v>1349</v>
      </c>
      <c r="H7" s="267" t="s">
        <v>1346</v>
      </c>
      <c r="I7" s="87" t="s">
        <v>13</v>
      </c>
      <c r="J7" s="264">
        <v>2</v>
      </c>
      <c r="K7" s="87">
        <v>2</v>
      </c>
      <c r="L7" s="87">
        <v>35.75</v>
      </c>
      <c r="M7" s="102" t="s">
        <v>268</v>
      </c>
      <c r="N7" s="88" t="s">
        <v>304</v>
      </c>
      <c r="O7" s="102"/>
      <c r="P7" s="119"/>
      <c r="Q7" s="109"/>
      <c r="R7" s="104" t="s">
        <v>1350</v>
      </c>
      <c r="S7" s="114">
        <v>45716</v>
      </c>
      <c r="T7" s="114">
        <v>45720</v>
      </c>
      <c r="U7" s="90" t="s">
        <v>231</v>
      </c>
      <c r="V7" s="86"/>
      <c r="W7" s="86" t="s">
        <v>1161</v>
      </c>
      <c r="X7" s="71">
        <v>45721</v>
      </c>
      <c r="Y7" s="86"/>
      <c r="Z7" s="86"/>
      <c r="AA7" s="86"/>
      <c r="AB7" s="115" t="s">
        <v>1348</v>
      </c>
    </row>
    <row r="8" spans="1:28" ht="35.25" customHeight="1">
      <c r="A8" s="102">
        <v>8</v>
      </c>
      <c r="B8" s="262" t="s">
        <v>5</v>
      </c>
      <c r="C8" s="257">
        <v>45709</v>
      </c>
      <c r="D8" s="257">
        <v>45722</v>
      </c>
      <c r="E8" s="246" t="s">
        <v>1351</v>
      </c>
      <c r="F8" s="246" t="s">
        <v>268</v>
      </c>
      <c r="G8" s="103" t="s">
        <v>1282</v>
      </c>
      <c r="H8" s="267" t="s">
        <v>1283</v>
      </c>
      <c r="I8" s="87" t="s">
        <v>271</v>
      </c>
      <c r="J8" s="264">
        <v>2</v>
      </c>
      <c r="K8" s="87">
        <v>2</v>
      </c>
      <c r="L8" s="87">
        <v>31</v>
      </c>
      <c r="M8" s="102"/>
      <c r="N8" s="88"/>
      <c r="O8" s="102"/>
      <c r="P8" s="119"/>
      <c r="Q8" s="109"/>
      <c r="R8" s="104"/>
      <c r="S8" s="114"/>
      <c r="T8" s="114"/>
      <c r="U8" s="90"/>
      <c r="V8" s="86"/>
      <c r="W8" s="86"/>
      <c r="X8" s="141"/>
      <c r="Y8" s="86"/>
      <c r="Z8" s="86"/>
      <c r="AA8" s="86"/>
      <c r="AB8" s="115" t="s">
        <v>1352</v>
      </c>
    </row>
    <row r="9" spans="1:28" s="102" customFormat="1" ht="55.5" customHeight="1">
      <c r="A9" s="102">
        <v>8</v>
      </c>
      <c r="B9" s="262" t="str">
        <f>Dashboard!$J$1</f>
        <v>GGO Web</v>
      </c>
      <c r="C9" s="257">
        <v>45709</v>
      </c>
      <c r="D9" s="257">
        <v>45722</v>
      </c>
      <c r="E9" s="246" t="s">
        <v>90</v>
      </c>
      <c r="F9" s="88" t="s">
        <v>284</v>
      </c>
      <c r="G9" s="103" t="s">
        <v>1353</v>
      </c>
      <c r="H9" s="87" t="s">
        <v>1354</v>
      </c>
      <c r="I9" s="87" t="s">
        <v>13</v>
      </c>
      <c r="J9" s="87">
        <v>1</v>
      </c>
      <c r="K9" s="87">
        <v>1</v>
      </c>
      <c r="L9" s="87">
        <v>10</v>
      </c>
      <c r="R9" s="88"/>
      <c r="T9" s="119"/>
      <c r="U9" s="109"/>
      <c r="V9" s="291"/>
      <c r="W9" s="291"/>
      <c r="X9" s="190"/>
      <c r="Y9" s="190"/>
      <c r="Z9" s="190"/>
      <c r="AA9" s="190"/>
      <c r="AB9" s="190" t="s">
        <v>1355</v>
      </c>
    </row>
    <row r="10" spans="1:28" s="86" customFormat="1" ht="55.5" customHeight="1">
      <c r="A10" s="86">
        <v>9</v>
      </c>
      <c r="B10" s="239" t="str">
        <f>Dashboard!$J$1</f>
        <v>GGO Web</v>
      </c>
      <c r="C10" s="257">
        <v>45709</v>
      </c>
      <c r="D10" s="257">
        <v>45722</v>
      </c>
      <c r="E10" s="237" t="s">
        <v>90</v>
      </c>
      <c r="F10" s="5" t="s">
        <v>284</v>
      </c>
      <c r="G10" s="72" t="s">
        <v>1356</v>
      </c>
      <c r="H10" s="16" t="s">
        <v>1357</v>
      </c>
      <c r="I10" s="16" t="s">
        <v>13</v>
      </c>
      <c r="J10" s="16">
        <v>1</v>
      </c>
      <c r="K10" s="16">
        <v>1</v>
      </c>
      <c r="L10" s="16">
        <v>3</v>
      </c>
      <c r="M10" s="16" t="s">
        <v>93</v>
      </c>
      <c r="N10" s="16" t="s">
        <v>93</v>
      </c>
      <c r="O10" s="16" t="s">
        <v>93</v>
      </c>
      <c r="P10" s="16" t="s">
        <v>93</v>
      </c>
      <c r="Q10" s="16" t="s">
        <v>93</v>
      </c>
      <c r="R10" s="16" t="s">
        <v>93</v>
      </c>
      <c r="S10" s="16" t="s">
        <v>93</v>
      </c>
      <c r="T10" s="16" t="s">
        <v>93</v>
      </c>
      <c r="U10" s="16" t="s">
        <v>93</v>
      </c>
      <c r="V10" s="16" t="s">
        <v>93</v>
      </c>
      <c r="W10" s="16" t="s">
        <v>93</v>
      </c>
      <c r="X10" s="16" t="s">
        <v>93</v>
      </c>
      <c r="Y10" s="16" t="s">
        <v>93</v>
      </c>
      <c r="Z10" s="16" t="s">
        <v>93</v>
      </c>
      <c r="AA10" s="16" t="s">
        <v>93</v>
      </c>
      <c r="AB10" s="120" t="s">
        <v>1358</v>
      </c>
    </row>
    <row r="11" spans="1:28" ht="35.25" customHeight="1">
      <c r="A11" s="102">
        <v>10</v>
      </c>
      <c r="B11" s="293" t="str">
        <f>Dashboard!$J$1</f>
        <v>GGO Web</v>
      </c>
      <c r="C11" s="294">
        <v>45709</v>
      </c>
      <c r="D11" s="294">
        <v>45722</v>
      </c>
      <c r="E11" s="295" t="s">
        <v>90</v>
      </c>
      <c r="F11" s="296" t="s">
        <v>284</v>
      </c>
      <c r="G11" s="112" t="s">
        <v>1359</v>
      </c>
      <c r="H11" s="297" t="s">
        <v>1360</v>
      </c>
      <c r="I11" s="77" t="s">
        <v>13</v>
      </c>
      <c r="J11" s="298">
        <v>1</v>
      </c>
      <c r="K11" s="298">
        <v>1</v>
      </c>
      <c r="L11" s="298"/>
      <c r="M11" s="87" t="s">
        <v>93</v>
      </c>
      <c r="N11" s="87" t="s">
        <v>93</v>
      </c>
      <c r="O11" s="87" t="s">
        <v>93</v>
      </c>
      <c r="P11" s="87" t="s">
        <v>93</v>
      </c>
      <c r="Q11" s="87" t="s">
        <v>93</v>
      </c>
      <c r="R11" s="87" t="s">
        <v>93</v>
      </c>
      <c r="S11" s="87" t="s">
        <v>93</v>
      </c>
      <c r="T11" s="87" t="s">
        <v>93</v>
      </c>
      <c r="U11" s="87" t="s">
        <v>93</v>
      </c>
      <c r="V11" s="87" t="s">
        <v>93</v>
      </c>
      <c r="W11" s="87" t="s">
        <v>93</v>
      </c>
      <c r="X11" s="87" t="s">
        <v>93</v>
      </c>
      <c r="Y11" s="87" t="s">
        <v>93</v>
      </c>
      <c r="Z11" s="87" t="s">
        <v>93</v>
      </c>
      <c r="AA11" s="267" t="s">
        <v>93</v>
      </c>
      <c r="AB11" s="115" t="s">
        <v>1361</v>
      </c>
    </row>
    <row r="12" spans="1:28" s="86" customFormat="1" ht="35.25" customHeight="1">
      <c r="A12" s="115">
        <v>11</v>
      </c>
      <c r="B12" s="239" t="s">
        <v>5</v>
      </c>
      <c r="C12" s="236">
        <v>45709</v>
      </c>
      <c r="D12" s="236">
        <v>45722</v>
      </c>
      <c r="E12" s="292" t="s">
        <v>90</v>
      </c>
      <c r="F12" s="5" t="s">
        <v>284</v>
      </c>
      <c r="G12" s="103" t="s">
        <v>1362</v>
      </c>
      <c r="H12" s="87" t="s">
        <v>1363</v>
      </c>
      <c r="I12" s="16" t="s">
        <v>13</v>
      </c>
      <c r="J12" s="16">
        <v>1</v>
      </c>
      <c r="K12" s="16">
        <v>1</v>
      </c>
      <c r="L12" s="16">
        <v>6</v>
      </c>
      <c r="M12" s="16" t="s">
        <v>93</v>
      </c>
      <c r="N12" s="16" t="s">
        <v>93</v>
      </c>
      <c r="O12" s="16" t="s">
        <v>93</v>
      </c>
      <c r="P12" s="16" t="s">
        <v>93</v>
      </c>
      <c r="Q12" s="16" t="s">
        <v>93</v>
      </c>
      <c r="R12" s="16" t="s">
        <v>93</v>
      </c>
      <c r="S12" s="16" t="s">
        <v>93</v>
      </c>
      <c r="T12" s="16" t="s">
        <v>93</v>
      </c>
      <c r="U12" s="16" t="s">
        <v>93</v>
      </c>
      <c r="V12" s="16" t="s">
        <v>93</v>
      </c>
      <c r="W12" s="16" t="s">
        <v>93</v>
      </c>
      <c r="X12" s="16" t="s">
        <v>93</v>
      </c>
      <c r="Y12" s="16" t="s">
        <v>93</v>
      </c>
      <c r="Z12" s="16" t="s">
        <v>93</v>
      </c>
      <c r="AA12" s="16" t="s">
        <v>93</v>
      </c>
      <c r="AB12" s="139" t="s">
        <v>1364</v>
      </c>
    </row>
    <row r="13" spans="1:28" ht="35.25" customHeight="1">
      <c r="A13" s="115">
        <v>12</v>
      </c>
      <c r="B13" s="299" t="s">
        <v>5</v>
      </c>
      <c r="C13" s="300">
        <v>45709</v>
      </c>
      <c r="D13" s="300">
        <v>45722</v>
      </c>
      <c r="E13" s="301" t="s">
        <v>90</v>
      </c>
      <c r="F13" s="302" t="s">
        <v>284</v>
      </c>
      <c r="G13" s="112" t="s">
        <v>1365</v>
      </c>
      <c r="H13" s="77" t="s">
        <v>1366</v>
      </c>
      <c r="I13" s="77" t="s">
        <v>13</v>
      </c>
      <c r="J13" s="77">
        <v>1</v>
      </c>
      <c r="K13" s="77">
        <v>1</v>
      </c>
      <c r="L13" s="77"/>
      <c r="M13" s="16" t="s">
        <v>93</v>
      </c>
      <c r="N13" s="16" t="s">
        <v>93</v>
      </c>
      <c r="O13" s="16" t="s">
        <v>93</v>
      </c>
      <c r="P13" s="16" t="s">
        <v>93</v>
      </c>
      <c r="Q13" s="16" t="s">
        <v>93</v>
      </c>
      <c r="R13" s="16" t="s">
        <v>93</v>
      </c>
      <c r="S13" s="16" t="s">
        <v>93</v>
      </c>
      <c r="T13" s="16" t="s">
        <v>93</v>
      </c>
      <c r="U13" s="16" t="s">
        <v>93</v>
      </c>
      <c r="V13" s="16" t="s">
        <v>93</v>
      </c>
      <c r="W13" s="16" t="s">
        <v>93</v>
      </c>
      <c r="X13" s="16" t="s">
        <v>93</v>
      </c>
      <c r="Y13" s="16" t="s">
        <v>93</v>
      </c>
      <c r="Z13" s="16" t="s">
        <v>93</v>
      </c>
      <c r="AA13" s="16" t="s">
        <v>93</v>
      </c>
      <c r="AB13" s="86" t="s">
        <v>1367</v>
      </c>
    </row>
  </sheetData>
  <hyperlinks>
    <hyperlink ref="G2" r:id="rId1" display="https://greatergiving.atlassian.net/browse/GGO-14070" xr:uid="{F477B1D7-A211-4474-9DA5-F2D5900F969A}"/>
    <hyperlink ref="G9" r:id="rId2" display="https://greatergiving.atlassian.net/browse/GGO-14546" xr:uid="{8E48EF3C-E1DD-48BF-A8AB-2D24BF758102}"/>
    <hyperlink ref="R3" r:id="rId3" xr:uid="{9EC89A60-A61D-4107-925D-F04326D9E53B}"/>
    <hyperlink ref="G12" r:id="rId4" display="https://greatergiving.atlassian.net/browse/GGO-14509" xr:uid="{FE0FA3FE-0082-49A7-B307-89F7A086A093}"/>
    <hyperlink ref="G13" r:id="rId5" display="https://greatergiving.atlassian.net/browse/PAPI-812" xr:uid="{D04938CB-AE27-4075-A0C6-17707B221E89}"/>
    <hyperlink ref="R6" r:id="rId6" xr:uid="{D4E4242F-CDBB-4855-B578-073653533452}"/>
    <hyperlink ref="R7" r:id="rId7" xr:uid="{6422CAC9-718B-4D0D-AB9A-89E3F7406165}"/>
    <hyperlink ref="R4" r:id="rId8" xr:uid="{AFDD0544-55B9-4F48-B0B8-C0F7E138062D}"/>
  </hyperlinks>
  <pageMargins left="0" right="0" top="0" bottom="0" header="0" footer="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5D5F5-9DA0-49FD-AE46-12E6C89586A5}">
  <sheetPr>
    <outlinePr summaryBelow="0" summaryRight="0"/>
  </sheetPr>
  <dimension ref="A1:N5"/>
  <sheetViews>
    <sheetView topLeftCell="F1" workbookViewId="0">
      <selection activeCell="K4" sqref="K4:K5"/>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6.140625" customWidth="1"/>
    <col min="7" max="7" width="41.140625" customWidth="1"/>
    <col min="8" max="9" width="18.7109375" customWidth="1"/>
    <col min="10" max="10" width="9.140625" bestFit="1" customWidth="1"/>
    <col min="11" max="11" width="19" customWidth="1"/>
    <col min="12" max="12" width="18" style="282" customWidth="1"/>
    <col min="13" max="13" width="14.140625" style="282" customWidth="1"/>
    <col min="14" max="14" width="14.140625" customWidth="1"/>
  </cols>
  <sheetData>
    <row r="1" spans="1:14" ht="13.5">
      <c r="A1" s="205" t="s">
        <v>241</v>
      </c>
      <c r="B1" s="1" t="s">
        <v>11</v>
      </c>
      <c r="C1" s="203" t="s">
        <v>289</v>
      </c>
      <c r="D1" s="203" t="s">
        <v>290</v>
      </c>
      <c r="E1" s="1" t="s">
        <v>243</v>
      </c>
      <c r="F1" s="203" t="s">
        <v>291</v>
      </c>
      <c r="G1" s="203" t="s">
        <v>292</v>
      </c>
      <c r="H1" s="1" t="s">
        <v>293</v>
      </c>
      <c r="I1" s="1" t="s">
        <v>294</v>
      </c>
      <c r="J1" s="1" t="s">
        <v>295</v>
      </c>
      <c r="K1" s="1" t="s">
        <v>246</v>
      </c>
      <c r="L1" s="279" t="s">
        <v>296</v>
      </c>
      <c r="M1" s="3" t="s">
        <v>297</v>
      </c>
      <c r="N1" s="3" t="s">
        <v>299</v>
      </c>
    </row>
    <row r="2" spans="1:14" ht="54.75" customHeight="1">
      <c r="B2" s="237" t="s">
        <v>90</v>
      </c>
      <c r="C2" s="192" t="s">
        <v>1368</v>
      </c>
      <c r="D2" s="192" t="s">
        <v>1369</v>
      </c>
      <c r="E2" s="237" t="s">
        <v>230</v>
      </c>
      <c r="F2" s="207" t="s">
        <v>753</v>
      </c>
      <c r="G2" s="135" t="s">
        <v>1370</v>
      </c>
      <c r="H2" s="10" t="s">
        <v>562</v>
      </c>
      <c r="I2" s="207" t="s">
        <v>555</v>
      </c>
      <c r="J2" s="10" t="s">
        <v>556</v>
      </c>
      <c r="K2" s="268" t="s">
        <v>557</v>
      </c>
      <c r="L2" s="280" t="s">
        <v>1011</v>
      </c>
      <c r="M2" s="108" t="s">
        <v>1371</v>
      </c>
      <c r="N2" s="98"/>
    </row>
    <row r="3" spans="1:14" ht="35.25" customHeight="1">
      <c r="B3" s="246" t="s">
        <v>90</v>
      </c>
      <c r="C3" s="266" t="s">
        <v>1372</v>
      </c>
      <c r="D3" s="266" t="s">
        <v>1329</v>
      </c>
      <c r="E3" s="246" t="s">
        <v>268</v>
      </c>
      <c r="F3" s="268" t="s">
        <v>753</v>
      </c>
      <c r="G3" s="135" t="s">
        <v>1373</v>
      </c>
      <c r="H3" s="211" t="s">
        <v>562</v>
      </c>
      <c r="I3" s="268" t="s">
        <v>555</v>
      </c>
      <c r="J3" s="211" t="s">
        <v>556</v>
      </c>
      <c r="K3" s="268" t="s">
        <v>557</v>
      </c>
      <c r="L3" s="281" t="s">
        <v>1011</v>
      </c>
      <c r="M3" s="108" t="s">
        <v>304</v>
      </c>
      <c r="N3" s="98"/>
    </row>
    <row r="4" spans="1:14" ht="15.75" customHeight="1">
      <c r="B4" s="237" t="s">
        <v>90</v>
      </c>
      <c r="C4" s="192" t="s">
        <v>1374</v>
      </c>
      <c r="D4" s="192" t="s">
        <v>1329</v>
      </c>
      <c r="E4" s="98" t="s">
        <v>231</v>
      </c>
      <c r="F4" s="207" t="s">
        <v>753</v>
      </c>
      <c r="G4" s="98" t="s">
        <v>1375</v>
      </c>
      <c r="H4" s="10" t="s">
        <v>562</v>
      </c>
      <c r="I4" s="207" t="s">
        <v>555</v>
      </c>
      <c r="J4" s="206" t="s">
        <v>556</v>
      </c>
      <c r="K4" s="207" t="s">
        <v>557</v>
      </c>
      <c r="L4" s="285" t="s">
        <v>1011</v>
      </c>
      <c r="M4" s="108" t="s">
        <v>304</v>
      </c>
      <c r="N4" s="98"/>
    </row>
    <row r="5" spans="1:14" ht="15.75" customHeight="1">
      <c r="B5" s="237" t="s">
        <v>90</v>
      </c>
      <c r="C5" s="192" t="s">
        <v>1342</v>
      </c>
      <c r="D5" s="287" t="s">
        <v>1376</v>
      </c>
      <c r="E5" t="s">
        <v>1341</v>
      </c>
      <c r="F5" s="207" t="s">
        <v>753</v>
      </c>
      <c r="G5" t="s">
        <v>1377</v>
      </c>
      <c r="H5" s="10" t="s">
        <v>562</v>
      </c>
      <c r="I5" s="207" t="s">
        <v>555</v>
      </c>
      <c r="J5" s="206" t="s">
        <v>556</v>
      </c>
      <c r="K5" s="207" t="s">
        <v>557</v>
      </c>
      <c r="L5" s="285" t="s">
        <v>1011</v>
      </c>
      <c r="M5" s="282" t="s">
        <v>304</v>
      </c>
    </row>
  </sheetData>
  <autoFilter ref="A1:M1" xr:uid="{3A2BB050-11AC-4ED7-A296-96B42C7FCFBA}"/>
  <dataValidations count="5">
    <dataValidation type="list" allowBlank="1" showErrorMessage="1" sqref="I2:I5" xr:uid="{3B63B257-1E73-48E6-B18F-4C447B42979B}">
      <formula1>"Manual, Automation"</formula1>
    </dataValidation>
    <dataValidation type="list" allowBlank="1" showErrorMessage="1" sqref="F2:F5" xr:uid="{2EFAACCE-171E-4C14-AAF5-A1F52633CFA3}">
      <formula1>"Bounceback/Sub-Defect,Defect,None"</formula1>
    </dataValidation>
    <dataValidation type="list" allowBlank="1" showErrorMessage="1" sqref="H2:H5" xr:uid="{24084C49-81EF-4C60-B9FB-5E8819E1E84A}">
      <formula1>"Minor,Significant,Major"</formula1>
    </dataValidation>
    <dataValidation type="list" allowBlank="1" showErrorMessage="1" sqref="J2:J5" xr:uid="{61AEDBA5-3976-4BD3-85FD-669C4D9A53FC}">
      <formula1>"Internal,External"</formula1>
    </dataValidation>
    <dataValidation type="list" allowBlank="1" showErrorMessage="1" sqref="K1:K1048576" xr:uid="{5920D0DC-7597-487A-81ED-E3AE31341530}">
      <formula1>"Open,Inprogress,Closed, Rejected"</formula1>
    </dataValidation>
  </dataValidations>
  <hyperlinks>
    <hyperlink ref="C2" r:id="rId1" display="https://greatergiving.atlassian.net/browse/GGO-14563" xr:uid="{D9AE7E63-4579-4FEA-BB63-D12A60FB5978}"/>
    <hyperlink ref="D2" r:id="rId2" display="https://greatergiving.atlassian.net/browse/GGO-14504" xr:uid="{50E3768A-B066-425B-B02A-90F8523F8A53}"/>
    <hyperlink ref="D3" r:id="rId3" display="https://greatergiving.atlassian.net/browse/GGO-14070" xr:uid="{D1AA5213-8B4A-4165-B8EC-7D5DBB6C5DFD}"/>
    <hyperlink ref="C3" r:id="rId4" display="https://greatergiving.atlassian.net/browse/GGO-14564" xr:uid="{06875F8E-D20B-47EC-8354-A02A6151B3BC}"/>
    <hyperlink ref="D4" r:id="rId5" display="https://greatergiving.atlassian.net/browse/GGO-14070" xr:uid="{37342425-20DD-4D84-A056-8F9846C855FC}"/>
    <hyperlink ref="D5" r:id="rId6" display="https://greatergiving.atlassian.net/browse/GGO-14579" xr:uid="{64ACB1BA-D6A2-4DBA-9C66-0A375E018981}"/>
    <hyperlink ref="C4" r:id="rId7" display="https://greatergiving.atlassian.net/browse/GGO-14571" xr:uid="{46A3BC01-3B6B-4BF1-B453-993BACD508B7}"/>
    <hyperlink ref="C5" r:id="rId8" display="https://greatergiving.atlassian.net/browse/GGO-14510" xr:uid="{F0787EFE-F1EE-4C17-AEED-6CAF1887D3F4}"/>
  </hyperlinks>
  <pageMargins left="0" right="0" top="0" bottom="0" header="0" footer="0"/>
  <legacyDrawing r:id="rId9"/>
  <extLst>
    <ext xmlns:x14="http://schemas.microsoft.com/office/spreadsheetml/2009/9/main" uri="{CCE6A557-97BC-4b89-ADB6-D9C93CAAB3DF}">
      <x14:dataValidations xmlns:xm="http://schemas.microsoft.com/office/excel/2006/main" count="1">
        <x14:dataValidation type="list" allowBlank="1" showErrorMessage="1" xr:uid="{E570ACCA-B08E-48E9-A95F-F7ADA30D63EE}">
          <x14:formula1>
            <xm:f>Details!$A$2:$A$10</xm:f>
          </x14:formula1>
          <xm:sqref>L2:L5</xm:sqref>
        </x14:dataValidation>
      </x14:dataValidation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077F6-FE6E-42F8-A212-6E59D9D9099D}">
  <sheetPr>
    <outlinePr summaryBelow="0" summaryRight="0"/>
  </sheetPr>
  <dimension ref="A1:AB9"/>
  <sheetViews>
    <sheetView showGridLines="0" workbookViewId="0">
      <pane xSplit="7" ySplit="1" topLeftCell="AA4" activePane="bottomRight" state="frozen"/>
      <selection pane="bottomRight" activeCell="AH11" sqref="AH11"/>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4.140625" style="43" customWidth="1"/>
    <col min="7" max="7" width="12.85546875" style="62" customWidth="1"/>
    <col min="8" max="8" width="48" style="43" customWidth="1"/>
    <col min="9" max="9" width="16.5703125" style="43" customWidth="1"/>
    <col min="10" max="10" width="11.85546875" style="43" customWidth="1"/>
    <col min="11" max="11" width="10.140625" style="43" customWidth="1"/>
    <col min="12" max="12" width="19.42578125" style="43" customWidth="1"/>
    <col min="13" max="13" width="12" style="43" customWidth="1"/>
    <col min="14" max="14" width="22.85546875" style="43" bestFit="1" customWidth="1"/>
    <col min="15" max="15" width="24.28515625" style="43" bestFit="1" customWidth="1"/>
    <col min="16" max="16" width="17.2851562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3" t="s">
        <v>245</v>
      </c>
      <c r="I1" s="243"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3" t="s">
        <v>262</v>
      </c>
      <c r="X1" s="243" t="s">
        <v>263</v>
      </c>
      <c r="Y1" s="243" t="s">
        <v>264</v>
      </c>
      <c r="Z1" s="243" t="s">
        <v>265</v>
      </c>
      <c r="AA1" s="243" t="s">
        <v>266</v>
      </c>
      <c r="AB1" s="244" t="s">
        <v>267</v>
      </c>
    </row>
    <row r="2" spans="1:28" customFormat="1" ht="49.5" customHeight="1">
      <c r="A2" s="235">
        <v>1</v>
      </c>
      <c r="B2" s="235" t="str">
        <f>Dashboard!$J$1</f>
        <v>GGO Web</v>
      </c>
      <c r="C2" s="236">
        <f ca="1">Dashboard!$F$1</f>
        <v>46156</v>
      </c>
      <c r="D2" s="236">
        <f ca="1">Dashboard!$H$1</f>
        <v>46170</v>
      </c>
      <c r="E2" s="237" t="s">
        <v>87</v>
      </c>
      <c r="F2" s="237" t="s">
        <v>230</v>
      </c>
      <c r="G2" s="224" t="s">
        <v>1378</v>
      </c>
      <c r="H2" s="237" t="s">
        <v>1379</v>
      </c>
      <c r="I2" s="87" t="s">
        <v>13</v>
      </c>
      <c r="J2" s="251">
        <v>2</v>
      </c>
      <c r="K2" s="252">
        <v>2</v>
      </c>
      <c r="L2" s="252">
        <v>23</v>
      </c>
      <c r="M2" s="193" t="s">
        <v>281</v>
      </c>
      <c r="N2" s="5" t="s">
        <v>304</v>
      </c>
      <c r="O2" s="193"/>
      <c r="P2" s="49" t="s">
        <v>231</v>
      </c>
      <c r="Q2" s="208"/>
      <c r="R2" s="214" t="s">
        <v>1380</v>
      </c>
      <c r="S2" s="71">
        <v>45691</v>
      </c>
      <c r="T2" s="71">
        <v>45692</v>
      </c>
      <c r="U2" s="49" t="s">
        <v>231</v>
      </c>
      <c r="V2" s="193"/>
      <c r="W2" s="217" t="s">
        <v>1161</v>
      </c>
      <c r="X2" s="216">
        <v>45692</v>
      </c>
      <c r="Y2" s="193"/>
      <c r="Z2" s="193"/>
      <c r="AA2" s="193"/>
      <c r="AB2" s="193" t="s">
        <v>1381</v>
      </c>
    </row>
    <row r="3" spans="1:28" ht="35.25" customHeight="1">
      <c r="A3" s="86">
        <v>2</v>
      </c>
      <c r="B3" s="253" t="str">
        <f>Dashboard!$J$1</f>
        <v>GGO Web</v>
      </c>
      <c r="C3" s="236">
        <f ca="1">Dashboard!$F$1</f>
        <v>46156</v>
      </c>
      <c r="D3" s="236">
        <f ca="1">Dashboard!$H$1</f>
        <v>46170</v>
      </c>
      <c r="E3" s="237" t="s">
        <v>87</v>
      </c>
      <c r="F3" s="16" t="s">
        <v>1382</v>
      </c>
      <c r="G3" s="249" t="s">
        <v>1383</v>
      </c>
      <c r="H3" s="16" t="s">
        <v>1384</v>
      </c>
      <c r="I3" s="87" t="s">
        <v>13</v>
      </c>
      <c r="J3" s="52">
        <v>2</v>
      </c>
      <c r="K3" s="16">
        <v>2</v>
      </c>
      <c r="L3" s="16">
        <v>2</v>
      </c>
      <c r="M3" s="86" t="s">
        <v>231</v>
      </c>
      <c r="N3" s="49" t="s">
        <v>268</v>
      </c>
      <c r="O3" s="86"/>
      <c r="P3" s="49" t="s">
        <v>268</v>
      </c>
      <c r="Q3" s="96"/>
      <c r="R3" s="70" t="s">
        <v>1385</v>
      </c>
      <c r="S3" s="71">
        <v>45692</v>
      </c>
      <c r="T3" s="71">
        <v>45693</v>
      </c>
      <c r="U3" s="49" t="s">
        <v>231</v>
      </c>
      <c r="V3" s="86"/>
      <c r="W3" s="215" t="s">
        <v>1161</v>
      </c>
      <c r="X3" s="71">
        <v>45693</v>
      </c>
      <c r="Y3" s="86"/>
      <c r="Z3" s="86"/>
      <c r="AA3" s="86"/>
      <c r="AB3" s="86"/>
    </row>
    <row r="4" spans="1:28" s="102" customFormat="1" ht="35.25" customHeight="1">
      <c r="A4" s="102">
        <v>3</v>
      </c>
      <c r="B4" s="262" t="str">
        <f>Dashboard!$J$1</f>
        <v>GGO Web</v>
      </c>
      <c r="C4" s="257">
        <f ca="1">Dashboard!$F$1</f>
        <v>46156</v>
      </c>
      <c r="D4" s="257">
        <f ca="1">Dashboard!$H$1</f>
        <v>46170</v>
      </c>
      <c r="E4" s="246" t="s">
        <v>87</v>
      </c>
      <c r="F4" s="263" t="s">
        <v>506</v>
      </c>
      <c r="G4" s="226" t="s">
        <v>1386</v>
      </c>
      <c r="H4" s="264" t="s">
        <v>1387</v>
      </c>
      <c r="I4" s="87" t="s">
        <v>13</v>
      </c>
      <c r="J4" s="87">
        <v>1</v>
      </c>
      <c r="K4" s="87">
        <v>1</v>
      </c>
      <c r="L4" s="87">
        <v>7.5</v>
      </c>
      <c r="N4" s="5" t="s">
        <v>304</v>
      </c>
      <c r="P4" s="119"/>
      <c r="Q4" s="109"/>
      <c r="R4" s="104" t="s">
        <v>1388</v>
      </c>
      <c r="S4" s="88"/>
      <c r="T4" s="88"/>
      <c r="U4" s="88"/>
    </row>
    <row r="5" spans="1:28" s="86" customFormat="1" ht="60.75" customHeight="1">
      <c r="A5" s="86">
        <v>4</v>
      </c>
      <c r="B5" s="239" t="str">
        <f>Dashboard!$J$1</f>
        <v>GGO Web</v>
      </c>
      <c r="C5" s="236">
        <f ca="1">Dashboard!$F$1</f>
        <v>46156</v>
      </c>
      <c r="D5" s="236">
        <f ca="1">Dashboard!$H$1</f>
        <v>46170</v>
      </c>
      <c r="E5" s="237" t="s">
        <v>87</v>
      </c>
      <c r="F5" s="49" t="s">
        <v>268</v>
      </c>
      <c r="G5" s="72" t="s">
        <v>1329</v>
      </c>
      <c r="H5" s="16" t="s">
        <v>1330</v>
      </c>
      <c r="I5" s="16" t="s">
        <v>1223</v>
      </c>
      <c r="J5" s="16">
        <v>5</v>
      </c>
      <c r="K5" s="16">
        <v>5</v>
      </c>
      <c r="L5" s="16">
        <v>84.5</v>
      </c>
      <c r="N5" s="5" t="s">
        <v>304</v>
      </c>
      <c r="P5" s="49"/>
      <c r="Q5" s="96"/>
      <c r="R5" s="5"/>
      <c r="S5" s="5"/>
      <c r="T5" s="5"/>
      <c r="U5" s="5"/>
      <c r="AB5" s="86" t="s">
        <v>1389</v>
      </c>
    </row>
    <row r="6" spans="1:28" s="86" customFormat="1" ht="35.25" customHeight="1">
      <c r="A6" s="86">
        <v>6</v>
      </c>
      <c r="B6" s="239" t="str">
        <f>Dashboard!$J$1</f>
        <v>GGO Web</v>
      </c>
      <c r="C6" s="236">
        <f ca="1">Dashboard!$F$1</f>
        <v>46156</v>
      </c>
      <c r="D6" s="236">
        <f ca="1">Dashboard!$H$1</f>
        <v>46170</v>
      </c>
      <c r="E6" s="237" t="s">
        <v>87</v>
      </c>
      <c r="F6" s="237" t="s">
        <v>230</v>
      </c>
      <c r="G6" s="72" t="s">
        <v>1390</v>
      </c>
      <c r="H6" s="16" t="s">
        <v>1391</v>
      </c>
      <c r="I6" s="87" t="s">
        <v>13</v>
      </c>
      <c r="J6" s="16">
        <v>1</v>
      </c>
      <c r="K6" s="16">
        <v>1</v>
      </c>
      <c r="L6" s="16">
        <v>25.5</v>
      </c>
      <c r="M6" s="86" t="s">
        <v>231</v>
      </c>
      <c r="N6" s="5" t="s">
        <v>304</v>
      </c>
      <c r="P6" s="49" t="s">
        <v>304</v>
      </c>
      <c r="Q6" s="96"/>
      <c r="R6" s="70" t="s">
        <v>1392</v>
      </c>
      <c r="S6" s="71">
        <v>45695</v>
      </c>
      <c r="T6" s="71">
        <v>45695</v>
      </c>
      <c r="U6" s="5" t="s">
        <v>231</v>
      </c>
      <c r="W6" s="215" t="s">
        <v>1161</v>
      </c>
      <c r="X6" s="71">
        <v>45695</v>
      </c>
      <c r="AB6" s="86" t="s">
        <v>1393</v>
      </c>
    </row>
    <row r="7" spans="1:28" ht="35.25" customHeight="1">
      <c r="A7" s="86">
        <v>7</v>
      </c>
      <c r="B7" s="239" t="str">
        <f>Dashboard!$J$1</f>
        <v>GGO Web</v>
      </c>
      <c r="C7" s="236">
        <f ca="1">Dashboard!$F$1</f>
        <v>46156</v>
      </c>
      <c r="D7" s="236">
        <f ca="1">Dashboard!$H$1</f>
        <v>46170</v>
      </c>
      <c r="E7" s="237" t="s">
        <v>87</v>
      </c>
      <c r="F7" s="237" t="s">
        <v>230</v>
      </c>
      <c r="G7" s="72" t="s">
        <v>1369</v>
      </c>
      <c r="H7" s="265" t="s">
        <v>1394</v>
      </c>
      <c r="I7" s="16" t="s">
        <v>436</v>
      </c>
      <c r="J7" s="32">
        <v>5</v>
      </c>
      <c r="K7" s="16">
        <v>5</v>
      </c>
      <c r="L7" s="16">
        <v>60</v>
      </c>
      <c r="M7" s="86"/>
      <c r="N7" s="5" t="s">
        <v>304</v>
      </c>
      <c r="O7" s="86"/>
      <c r="P7" s="49"/>
      <c r="Q7" s="96"/>
      <c r="R7" s="70" t="s">
        <v>1395</v>
      </c>
      <c r="S7" s="71">
        <v>45700</v>
      </c>
      <c r="T7" s="71">
        <v>45706</v>
      </c>
      <c r="U7" s="5" t="s">
        <v>231</v>
      </c>
      <c r="V7" s="86"/>
      <c r="W7" s="86" t="s">
        <v>1161</v>
      </c>
      <c r="X7" s="141">
        <v>45706</v>
      </c>
      <c r="Y7" s="86" t="s">
        <v>1396</v>
      </c>
      <c r="Z7" s="86"/>
      <c r="AA7" s="86"/>
      <c r="AB7" s="86" t="s">
        <v>1397</v>
      </c>
    </row>
    <row r="8" spans="1:28" ht="35.25" customHeight="1">
      <c r="A8" s="86">
        <v>8</v>
      </c>
      <c r="B8" s="239" t="str">
        <f>Dashboard!$J$1</f>
        <v>GGO Web</v>
      </c>
      <c r="C8" s="236">
        <f ca="1">Dashboard!$F$1</f>
        <v>46156</v>
      </c>
      <c r="D8" s="236">
        <f ca="1">Dashboard!$H$1</f>
        <v>46170</v>
      </c>
      <c r="E8" s="237" t="s">
        <v>87</v>
      </c>
      <c r="F8" s="49" t="s">
        <v>284</v>
      </c>
      <c r="G8" s="72" t="s">
        <v>1398</v>
      </c>
      <c r="H8" s="16" t="s">
        <v>1399</v>
      </c>
      <c r="I8" s="16" t="s">
        <v>13</v>
      </c>
      <c r="J8" s="16">
        <v>1</v>
      </c>
      <c r="K8" s="16">
        <v>1</v>
      </c>
      <c r="L8" s="87">
        <v>22</v>
      </c>
      <c r="M8" s="219" t="s">
        <v>93</v>
      </c>
      <c r="N8" s="119" t="s">
        <v>93</v>
      </c>
      <c r="O8" s="219" t="s">
        <v>93</v>
      </c>
      <c r="P8" s="119" t="s">
        <v>93</v>
      </c>
      <c r="Q8" s="230" t="s">
        <v>93</v>
      </c>
      <c r="R8" s="119" t="s">
        <v>93</v>
      </c>
      <c r="S8" s="119" t="s">
        <v>93</v>
      </c>
      <c r="T8" s="119" t="s">
        <v>93</v>
      </c>
      <c r="U8" s="119" t="s">
        <v>93</v>
      </c>
      <c r="V8" s="219" t="s">
        <v>93</v>
      </c>
      <c r="W8" s="219" t="s">
        <v>93</v>
      </c>
      <c r="X8" s="219" t="s">
        <v>93</v>
      </c>
      <c r="Y8" s="219" t="s">
        <v>93</v>
      </c>
      <c r="Z8" s="219" t="s">
        <v>93</v>
      </c>
      <c r="AA8" s="219" t="s">
        <v>93</v>
      </c>
      <c r="AB8" s="102" t="s">
        <v>1400</v>
      </c>
    </row>
    <row r="9" spans="1:28" ht="35.25" customHeight="1">
      <c r="A9" s="86">
        <v>9</v>
      </c>
      <c r="B9" s="239" t="str">
        <f>Dashboard!$J$1</f>
        <v>GGO Web</v>
      </c>
      <c r="C9" s="236">
        <f ca="1">Dashboard!$F$1</f>
        <v>46156</v>
      </c>
      <c r="D9" s="236">
        <f ca="1">Dashboard!$H$1</f>
        <v>46170</v>
      </c>
      <c r="E9" s="237" t="s">
        <v>87</v>
      </c>
      <c r="F9" s="49" t="s">
        <v>284</v>
      </c>
      <c r="G9" s="72" t="s">
        <v>1401</v>
      </c>
      <c r="H9" s="16" t="s">
        <v>1402</v>
      </c>
      <c r="I9" s="16" t="s">
        <v>13</v>
      </c>
      <c r="J9" s="16">
        <v>1</v>
      </c>
      <c r="K9" s="265">
        <v>1</v>
      </c>
      <c r="L9" s="16">
        <v>1</v>
      </c>
      <c r="M9" s="193" t="s">
        <v>93</v>
      </c>
      <c r="N9" s="49" t="s">
        <v>93</v>
      </c>
      <c r="O9" s="193" t="s">
        <v>93</v>
      </c>
      <c r="P9" s="49" t="s">
        <v>93</v>
      </c>
      <c r="Q9" s="208" t="s">
        <v>93</v>
      </c>
      <c r="R9" s="49" t="s">
        <v>93</v>
      </c>
      <c r="S9" s="49" t="s">
        <v>93</v>
      </c>
      <c r="T9" s="49" t="s">
        <v>93</v>
      </c>
      <c r="U9" s="49" t="s">
        <v>93</v>
      </c>
      <c r="V9" s="193" t="s">
        <v>93</v>
      </c>
      <c r="W9" s="193" t="s">
        <v>93</v>
      </c>
      <c r="X9" s="193" t="s">
        <v>93</v>
      </c>
      <c r="Y9" s="193" t="s">
        <v>93</v>
      </c>
      <c r="Z9" s="193" t="s">
        <v>93</v>
      </c>
      <c r="AA9" s="193" t="s">
        <v>93</v>
      </c>
      <c r="AB9" s="86" t="s">
        <v>1403</v>
      </c>
    </row>
  </sheetData>
  <hyperlinks>
    <hyperlink ref="G2" r:id="rId1" display="https://greatergiving.atlassian.net/browse/GGO-14474" xr:uid="{1C67C0FD-8B01-4ACF-87A9-D1EC76C95246}"/>
    <hyperlink ref="R2" r:id="rId2" xr:uid="{8E58BC5C-B4ED-44AA-8EB3-F43821A7C7F8}"/>
    <hyperlink ref="R4" r:id="rId3" xr:uid="{91F85426-32A2-4DBD-93F5-704617D3FF87}"/>
    <hyperlink ref="R3" r:id="rId4" xr:uid="{A476A8F2-688B-4BE9-A4C0-BA23CB44A0F8}"/>
    <hyperlink ref="G5" r:id="rId5" display="https://greatergiving.atlassian.net/browse/GGO-14070" xr:uid="{ACF43583-CD7C-4269-9A33-D51E5B876E7F}"/>
    <hyperlink ref="G6" r:id="rId6" display="https://greatergiving.atlassian.net/browse/GGO-14530" xr:uid="{576ED417-690E-4603-8473-4454BC3AB7B5}"/>
    <hyperlink ref="G7" r:id="rId7" display="https://greatergiving.atlassian.net/browse/GGO-14530" xr:uid="{C1A9E4ED-AE9A-4E86-935D-D40E949F7D3A}"/>
    <hyperlink ref="R6" r:id="rId8" xr:uid="{C990A566-F761-4416-8D23-32EF4D51297C}"/>
    <hyperlink ref="R7" r:id="rId9" xr:uid="{CEEC9E59-0661-41C7-868A-026F3D41089E}"/>
    <hyperlink ref="G8" r:id="rId10" display="https://greatergiving.atlassian.net/browse/GGO-14071" xr:uid="{60756C3B-782F-44FC-BA35-8A7662C10069}"/>
    <hyperlink ref="G9" r:id="rId11" display="https://greatergiving.atlassian.net/browse/PAPI-758" xr:uid="{6CE87B57-7861-40B0-B7E1-C8AF7E0FABAE}"/>
  </hyperlinks>
  <pageMargins left="0" right="0" top="0" bottom="0" header="0" footer="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98F3-949B-44D7-9A60-12A2B0D6BA33}">
  <sheetPr>
    <outlinePr summaryBelow="0" summaryRight="0"/>
  </sheetPr>
  <dimension ref="A1:M6"/>
  <sheetViews>
    <sheetView topLeftCell="F1" workbookViewId="0">
      <selection activeCell="M6" sqref="M6"/>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37.5703125" customWidth="1"/>
    <col min="7" max="7" width="41.140625" customWidth="1"/>
    <col min="8" max="9" width="18.7109375" customWidth="1"/>
    <col min="10" max="10" width="9.140625" bestFit="1" customWidth="1"/>
    <col min="11" max="11" width="19" customWidth="1"/>
    <col min="12" max="12" width="18" customWidth="1"/>
    <col min="13" max="13" width="39.5703125" customWidth="1"/>
  </cols>
  <sheetData>
    <row r="1" spans="1:13" ht="13.5">
      <c r="A1" s="205" t="s">
        <v>241</v>
      </c>
      <c r="B1" s="1" t="s">
        <v>11</v>
      </c>
      <c r="C1" s="203" t="s">
        <v>289</v>
      </c>
      <c r="D1" s="203" t="s">
        <v>290</v>
      </c>
      <c r="E1" s="1" t="s">
        <v>243</v>
      </c>
      <c r="F1" s="203" t="s">
        <v>291</v>
      </c>
      <c r="G1" s="203" t="s">
        <v>292</v>
      </c>
      <c r="H1" s="1" t="s">
        <v>293</v>
      </c>
      <c r="I1" s="1" t="s">
        <v>294</v>
      </c>
      <c r="J1" s="1" t="s">
        <v>295</v>
      </c>
      <c r="K1" s="1" t="s">
        <v>246</v>
      </c>
      <c r="L1" s="204" t="s">
        <v>296</v>
      </c>
      <c r="M1" s="3" t="s">
        <v>267</v>
      </c>
    </row>
    <row r="2" spans="1:13" ht="70.5" customHeight="1">
      <c r="B2" s="237" t="s">
        <v>87</v>
      </c>
      <c r="C2" s="224" t="s">
        <v>1404</v>
      </c>
      <c r="D2" s="224" t="s">
        <v>1378</v>
      </c>
      <c r="E2" s="237" t="s">
        <v>230</v>
      </c>
      <c r="F2" s="207" t="s">
        <v>552</v>
      </c>
      <c r="G2" s="193" t="s">
        <v>1405</v>
      </c>
      <c r="H2" s="10" t="s">
        <v>562</v>
      </c>
      <c r="I2" s="207" t="s">
        <v>555</v>
      </c>
      <c r="J2" s="10" t="s">
        <v>556</v>
      </c>
      <c r="K2" s="207" t="s">
        <v>1406</v>
      </c>
      <c r="L2" s="10" t="s">
        <v>1011</v>
      </c>
      <c r="M2" s="98"/>
    </row>
    <row r="3" spans="1:13" ht="33.75" customHeight="1">
      <c r="B3" s="246" t="s">
        <v>87</v>
      </c>
      <c r="C3" s="266" t="s">
        <v>1407</v>
      </c>
      <c r="D3" s="226" t="s">
        <v>1378</v>
      </c>
      <c r="E3" s="237" t="s">
        <v>230</v>
      </c>
      <c r="F3" s="207" t="s">
        <v>552</v>
      </c>
      <c r="G3" s="219" t="s">
        <v>1408</v>
      </c>
      <c r="H3" s="10" t="s">
        <v>562</v>
      </c>
      <c r="I3" s="207" t="s">
        <v>555</v>
      </c>
      <c r="J3" s="10" t="s">
        <v>556</v>
      </c>
      <c r="K3" s="207" t="s">
        <v>1406</v>
      </c>
      <c r="L3" s="10" t="s">
        <v>1011</v>
      </c>
      <c r="M3" s="98"/>
    </row>
    <row r="4" spans="1:13" ht="54.75" customHeight="1">
      <c r="B4" s="237" t="s">
        <v>87</v>
      </c>
      <c r="C4" s="192" t="s">
        <v>1368</v>
      </c>
      <c r="D4" s="192" t="s">
        <v>1369</v>
      </c>
      <c r="E4" s="237" t="s">
        <v>230</v>
      </c>
      <c r="F4" s="286" t="s">
        <v>552</v>
      </c>
      <c r="G4" s="156" t="s">
        <v>1370</v>
      </c>
      <c r="H4" s="41" t="s">
        <v>562</v>
      </c>
      <c r="I4" s="207" t="s">
        <v>555</v>
      </c>
      <c r="J4" s="10" t="s">
        <v>556</v>
      </c>
      <c r="K4" s="207" t="s">
        <v>1015</v>
      </c>
      <c r="L4" s="10" t="s">
        <v>1011</v>
      </c>
      <c r="M4" s="98"/>
    </row>
    <row r="5" spans="1:13" ht="31.5" customHeight="1">
      <c r="B5" s="237" t="s">
        <v>87</v>
      </c>
      <c r="C5" s="192" t="s">
        <v>1372</v>
      </c>
      <c r="D5" s="192" t="s">
        <v>1329</v>
      </c>
      <c r="E5" s="237" t="s">
        <v>230</v>
      </c>
      <c r="F5" s="286" t="s">
        <v>552</v>
      </c>
      <c r="G5" s="156" t="s">
        <v>1373</v>
      </c>
      <c r="H5" s="41" t="s">
        <v>562</v>
      </c>
      <c r="I5" s="207" t="s">
        <v>555</v>
      </c>
      <c r="J5" s="10" t="s">
        <v>556</v>
      </c>
      <c r="K5" s="207" t="s">
        <v>1015</v>
      </c>
      <c r="L5" s="10" t="s">
        <v>1011</v>
      </c>
      <c r="M5" s="98"/>
    </row>
    <row r="6" spans="1:13" ht="76.5" customHeight="1">
      <c r="B6" s="237" t="s">
        <v>87</v>
      </c>
      <c r="C6" s="72" t="s">
        <v>1390</v>
      </c>
      <c r="D6" s="192"/>
      <c r="E6" s="237"/>
      <c r="F6" s="286" t="s">
        <v>753</v>
      </c>
      <c r="G6" s="156" t="s">
        <v>1409</v>
      </c>
      <c r="H6" s="41" t="s">
        <v>562</v>
      </c>
      <c r="I6" s="207" t="s">
        <v>555</v>
      </c>
      <c r="J6" s="10" t="s">
        <v>1147</v>
      </c>
      <c r="K6" s="207" t="s">
        <v>1406</v>
      </c>
      <c r="L6" s="10" t="s">
        <v>902</v>
      </c>
      <c r="M6" s="86" t="s">
        <v>1410</v>
      </c>
    </row>
  </sheetData>
  <autoFilter ref="A1:M2" xr:uid="{3A2BB050-11AC-4ED7-A296-96B42C7FCFBA}"/>
  <dataValidations count="5">
    <dataValidation type="list" allowBlank="1" showErrorMessage="1" sqref="J2:J6" xr:uid="{14FA5D59-9D68-4238-83E1-63F82D13F9B4}">
      <formula1>"Internal,External"</formula1>
    </dataValidation>
    <dataValidation type="list" allowBlank="1" showErrorMessage="1" sqref="H2:H6" xr:uid="{51644904-C868-4CB1-9D3C-31A2EE5D16A0}">
      <formula1>"Minor,Significant,Major"</formula1>
    </dataValidation>
    <dataValidation type="list" allowBlank="1" showErrorMessage="1" sqref="F2:F6" xr:uid="{E1A1F98B-F625-4C05-87D6-7D185EABEF0D}">
      <formula1>"Bounceback/Sub-Defect,Defect,None"</formula1>
    </dataValidation>
    <dataValidation type="list" allowBlank="1" showErrorMessage="1" sqref="I2:I6" xr:uid="{B3DE7E57-80BB-445D-BF65-7ED7623F9625}">
      <formula1>"Manual, Automation"</formula1>
    </dataValidation>
    <dataValidation type="list" allowBlank="1" showErrorMessage="1" sqref="K2:K6" xr:uid="{E6E2BF86-841F-4060-AD01-CC7EC6C85B77}">
      <formula1>"Open,Inprogress,Closed/Rejected"</formula1>
    </dataValidation>
  </dataValidations>
  <hyperlinks>
    <hyperlink ref="D2" r:id="rId1" display="https://greatergiving.atlassian.net/browse/GGO-14474" xr:uid="{0AE9D26D-A462-47AD-8BEC-6ADF36205868}"/>
    <hyperlink ref="C2" r:id="rId2" display="https://greatergiving.atlassian.net/browse/GGO-14542" xr:uid="{64FA2DB7-7C25-48E6-A66E-8EE4D1BA5AB0}"/>
    <hyperlink ref="D3" r:id="rId3" display="https://greatergiving.atlassian.net/browse/GGO-14474" xr:uid="{6AC05E2C-8DAC-4852-98D8-1B5D4A9C18E5}"/>
    <hyperlink ref="C3" r:id="rId4" display="https://greatergiving.atlassian.net/browse/GGO-14544" xr:uid="{60069D59-C681-4D00-9DBC-EEF3BED75940}"/>
    <hyperlink ref="C4" r:id="rId5" display="https://greatergiving.atlassian.net/browse/GGO-14563" xr:uid="{06347465-9CC1-4FBA-BF4C-26680D77726E}"/>
    <hyperlink ref="D4" r:id="rId6" display="https://greatergiving.atlassian.net/browse/GGO-14504" xr:uid="{DEFA4524-EDC7-47CC-BCE1-EB8378923D3D}"/>
    <hyperlink ref="D5" r:id="rId7" display="https://greatergiving.atlassian.net/browse/GGO-14070" xr:uid="{5598358A-A627-4008-A571-4AB0279009A5}"/>
    <hyperlink ref="C5" r:id="rId8" display="https://greatergiving.atlassian.net/browse/GGO-14564" xr:uid="{69E39D07-7F84-48A9-A394-455936EC37FF}"/>
    <hyperlink ref="C6" r:id="rId9" display="https://greatergiving.atlassian.net/browse/GGO-14530" xr:uid="{0E662192-12D6-4DED-AEBF-239096E43209}"/>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643FE5B-3EE6-4F5F-A049-FF1973B0A4F9}">
          <x14:formula1>
            <xm:f>Details!$A$2:$A$10</xm:f>
          </x14:formula1>
          <xm:sqref>L2:L6</xm:sqref>
        </x14:dataValidation>
      </x14:dataValidation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CFE2B-D160-4ED4-A11D-1745EF58E9ED}">
  <sheetPr>
    <outlinePr summaryBelow="0" summaryRight="0"/>
  </sheetPr>
  <dimension ref="A1:AB9"/>
  <sheetViews>
    <sheetView showGridLines="0" workbookViewId="0">
      <pane xSplit="7" ySplit="1" topLeftCell="H2" activePane="bottomRight" state="frozen"/>
      <selection pane="bottomRight" activeCell="E9" sqref="E9"/>
      <selection pane="bottomLeft" activeCell="A3" sqref="A3"/>
      <selection pane="topRight" activeCell="F1" sqref="F1"/>
    </sheetView>
  </sheetViews>
  <sheetFormatPr defaultColWidth="12.5703125" defaultRowHeight="35.25" customHeight="1"/>
  <cols>
    <col min="1" max="1" width="5.140625" style="43" customWidth="1"/>
    <col min="2" max="2" width="9.7109375" style="43" customWidth="1"/>
    <col min="3" max="3" width="13.85546875" style="43" customWidth="1"/>
    <col min="4" max="4" width="12.5703125" style="43" customWidth="1"/>
    <col min="5" max="5" width="14.5703125" style="43" customWidth="1"/>
    <col min="6" max="6" width="14.140625" style="43" customWidth="1"/>
    <col min="7" max="7" width="12.85546875" style="62" customWidth="1"/>
    <col min="8" max="8" width="70.42578125" style="43" customWidth="1"/>
    <col min="9" max="9" width="29.85546875" style="43" customWidth="1"/>
    <col min="10" max="10" width="13.28515625" style="43" customWidth="1"/>
    <col min="11" max="11" width="14.42578125" style="43" bestFit="1"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220"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customFormat="1" ht="36.75" customHeight="1">
      <c r="A1" s="240" t="s">
        <v>241</v>
      </c>
      <c r="B1" s="57" t="s">
        <v>4</v>
      </c>
      <c r="C1" s="57" t="s">
        <v>2</v>
      </c>
      <c r="D1" s="57" t="s">
        <v>3</v>
      </c>
      <c r="E1" s="241" t="s">
        <v>242</v>
      </c>
      <c r="F1" s="242" t="s">
        <v>243</v>
      </c>
      <c r="G1" s="243" t="s">
        <v>244</v>
      </c>
      <c r="H1" s="243" t="s">
        <v>245</v>
      </c>
      <c r="I1" s="243" t="s">
        <v>246</v>
      </c>
      <c r="J1" s="255" t="s">
        <v>247</v>
      </c>
      <c r="K1" s="255" t="s">
        <v>248</v>
      </c>
      <c r="L1" s="255" t="s">
        <v>249</v>
      </c>
      <c r="M1" s="243" t="s">
        <v>252</v>
      </c>
      <c r="N1" s="241" t="s">
        <v>253</v>
      </c>
      <c r="O1" s="241" t="s">
        <v>254</v>
      </c>
      <c r="P1" s="247" t="s">
        <v>255</v>
      </c>
      <c r="Q1" s="241" t="s">
        <v>256</v>
      </c>
      <c r="R1" s="243" t="s">
        <v>257</v>
      </c>
      <c r="S1" s="243" t="s">
        <v>258</v>
      </c>
      <c r="T1" s="243" t="s">
        <v>259</v>
      </c>
      <c r="U1" s="243" t="s">
        <v>260</v>
      </c>
      <c r="V1" s="243" t="s">
        <v>261</v>
      </c>
      <c r="W1" s="243" t="s">
        <v>262</v>
      </c>
      <c r="X1" s="243" t="s">
        <v>263</v>
      </c>
      <c r="Y1" s="243" t="s">
        <v>264</v>
      </c>
      <c r="Z1" s="243" t="s">
        <v>265</v>
      </c>
      <c r="AA1" s="243" t="s">
        <v>266</v>
      </c>
      <c r="AB1" s="244" t="s">
        <v>267</v>
      </c>
    </row>
    <row r="2" spans="1:28" customFormat="1" ht="44.25" customHeight="1">
      <c r="A2" s="235">
        <v>1</v>
      </c>
      <c r="B2" s="235" t="str">
        <f>Dashboard!$J$1</f>
        <v>GGO Web</v>
      </c>
      <c r="C2" s="236">
        <f ca="1">Dashboard!$F$1</f>
        <v>46156</v>
      </c>
      <c r="D2" s="236">
        <f ca="1">Dashboard!$H$1</f>
        <v>46170</v>
      </c>
      <c r="E2" s="237" t="s">
        <v>83</v>
      </c>
      <c r="F2" s="237" t="s">
        <v>268</v>
      </c>
      <c r="G2" s="238" t="s">
        <v>1411</v>
      </c>
      <c r="H2" s="237" t="s">
        <v>1412</v>
      </c>
      <c r="I2" s="9" t="s">
        <v>13</v>
      </c>
      <c r="J2" s="252">
        <v>5</v>
      </c>
      <c r="K2" s="252">
        <v>5</v>
      </c>
      <c r="L2" s="252">
        <v>23</v>
      </c>
      <c r="M2" s="193" t="s">
        <v>268</v>
      </c>
      <c r="N2" s="133" t="s">
        <v>304</v>
      </c>
      <c r="O2" s="193"/>
      <c r="P2" s="49" t="s">
        <v>735</v>
      </c>
      <c r="Q2" s="208"/>
      <c r="R2" s="214" t="s">
        <v>1413</v>
      </c>
      <c r="S2" s="71">
        <v>45687</v>
      </c>
      <c r="T2" s="71">
        <v>45687</v>
      </c>
      <c r="U2" s="49" t="s">
        <v>231</v>
      </c>
      <c r="V2" s="193"/>
      <c r="W2" s="215" t="s">
        <v>1161</v>
      </c>
      <c r="X2" s="71">
        <v>45687</v>
      </c>
      <c r="Y2" s="193"/>
      <c r="Z2" s="193"/>
      <c r="AA2" s="193"/>
      <c r="AB2" s="193" t="s">
        <v>1414</v>
      </c>
    </row>
    <row r="3" spans="1:28" customFormat="1" ht="49.5" customHeight="1">
      <c r="A3" s="235">
        <v>2</v>
      </c>
      <c r="B3" s="235" t="str">
        <f>Dashboard!$J$1</f>
        <v>GGO Web</v>
      </c>
      <c r="C3" s="236">
        <f ca="1">Dashboard!$F$1</f>
        <v>46156</v>
      </c>
      <c r="D3" s="236">
        <f ca="1">Dashboard!$H$1</f>
        <v>46170</v>
      </c>
      <c r="E3" s="237" t="s">
        <v>83</v>
      </c>
      <c r="F3" s="237" t="s">
        <v>230</v>
      </c>
      <c r="G3" s="224" t="s">
        <v>1378</v>
      </c>
      <c r="H3" s="237" t="s">
        <v>1379</v>
      </c>
      <c r="I3" s="9" t="s">
        <v>436</v>
      </c>
      <c r="J3" s="251">
        <v>5</v>
      </c>
      <c r="K3" s="252">
        <v>5</v>
      </c>
      <c r="L3" s="252"/>
      <c r="M3" s="193" t="s">
        <v>281</v>
      </c>
      <c r="N3" s="133"/>
      <c r="O3" s="193"/>
      <c r="P3" s="49" t="s">
        <v>231</v>
      </c>
      <c r="Q3" s="208"/>
      <c r="R3" s="214" t="s">
        <v>1380</v>
      </c>
      <c r="S3" s="71">
        <v>45691</v>
      </c>
      <c r="T3" s="71">
        <v>45692</v>
      </c>
      <c r="U3" s="49" t="s">
        <v>231</v>
      </c>
      <c r="V3" s="193"/>
      <c r="W3" s="217" t="s">
        <v>1161</v>
      </c>
      <c r="X3" s="216">
        <v>45692</v>
      </c>
      <c r="Y3" s="193"/>
      <c r="Z3" s="193"/>
      <c r="AA3" s="193"/>
      <c r="AB3" s="193" t="s">
        <v>1415</v>
      </c>
    </row>
    <row r="4" spans="1:28" customFormat="1" ht="42.75" customHeight="1">
      <c r="A4" s="235">
        <v>3</v>
      </c>
      <c r="B4" s="235" t="str">
        <f>Dashboard!$J$1</f>
        <v>GGO Web</v>
      </c>
      <c r="C4" s="236">
        <f ca="1">Dashboard!$F$1</f>
        <v>46156</v>
      </c>
      <c r="D4" s="236">
        <f ca="1">Dashboard!$H$1</f>
        <v>46170</v>
      </c>
      <c r="E4" s="237" t="s">
        <v>83</v>
      </c>
      <c r="F4" s="237" t="s">
        <v>1382</v>
      </c>
      <c r="G4" s="224" t="s">
        <v>1416</v>
      </c>
      <c r="H4" s="237" t="s">
        <v>1417</v>
      </c>
      <c r="I4" s="9" t="s">
        <v>13</v>
      </c>
      <c r="J4" s="251">
        <v>1</v>
      </c>
      <c r="K4" s="251">
        <v>1</v>
      </c>
      <c r="L4" s="251"/>
      <c r="M4" s="193" t="s">
        <v>231</v>
      </c>
      <c r="N4" s="49" t="s">
        <v>304</v>
      </c>
      <c r="O4" s="193"/>
      <c r="P4" s="49" t="s">
        <v>735</v>
      </c>
      <c r="Q4" s="208"/>
      <c r="R4" s="214" t="s">
        <v>1418</v>
      </c>
      <c r="S4" s="71">
        <v>45681</v>
      </c>
      <c r="T4" s="71">
        <v>45681</v>
      </c>
      <c r="U4" s="49" t="s">
        <v>231</v>
      </c>
      <c r="V4" s="193"/>
      <c r="W4" s="215" t="s">
        <v>1161</v>
      </c>
      <c r="X4" s="71">
        <v>45681</v>
      </c>
      <c r="Y4" s="193"/>
      <c r="Z4" s="193"/>
      <c r="AA4" s="193"/>
      <c r="AB4" s="193" t="s">
        <v>1419</v>
      </c>
    </row>
    <row r="5" spans="1:28" customFormat="1" ht="63" customHeight="1">
      <c r="A5" s="245">
        <v>4</v>
      </c>
      <c r="B5" s="239" t="str">
        <f>Dashboard!$J$1</f>
        <v>GGO Web</v>
      </c>
      <c r="C5" s="236">
        <f ca="1">Dashboard!$F$1</f>
        <v>46156</v>
      </c>
      <c r="D5" s="236">
        <f ca="1">Dashboard!$H$1</f>
        <v>46170</v>
      </c>
      <c r="E5" s="9" t="s">
        <v>83</v>
      </c>
      <c r="F5" s="246" t="s">
        <v>230</v>
      </c>
      <c r="G5" s="224" t="s">
        <v>1420</v>
      </c>
      <c r="H5" s="8" t="s">
        <v>1421</v>
      </c>
      <c r="I5" s="9" t="s">
        <v>13</v>
      </c>
      <c r="J5" s="250">
        <v>2</v>
      </c>
      <c r="K5" s="250">
        <v>2</v>
      </c>
      <c r="L5" s="250"/>
      <c r="M5" s="102" t="s">
        <v>281</v>
      </c>
      <c r="N5" s="177" t="s">
        <v>304</v>
      </c>
      <c r="O5" s="102"/>
      <c r="P5" s="119" t="s">
        <v>231</v>
      </c>
      <c r="Q5" s="109"/>
      <c r="R5" s="104" t="s">
        <v>1422</v>
      </c>
      <c r="S5" s="114">
        <v>45680</v>
      </c>
      <c r="T5" s="114">
        <v>45681</v>
      </c>
      <c r="U5" s="119" t="s">
        <v>231</v>
      </c>
      <c r="V5" s="102"/>
      <c r="W5" s="102" t="s">
        <v>867</v>
      </c>
      <c r="X5" s="114">
        <v>45681</v>
      </c>
      <c r="Y5" s="102"/>
      <c r="Z5" s="102" t="s">
        <v>1423</v>
      </c>
      <c r="AA5" s="102"/>
      <c r="AB5" s="102" t="s">
        <v>1424</v>
      </c>
    </row>
    <row r="6" spans="1:28" ht="35.25" customHeight="1">
      <c r="A6" s="86">
        <v>5</v>
      </c>
      <c r="B6" s="253" t="str">
        <f>Dashboard!$J$1</f>
        <v>GGO Web</v>
      </c>
      <c r="C6" s="236">
        <f ca="1">Dashboard!$F$1</f>
        <v>46156</v>
      </c>
      <c r="D6" s="236">
        <f ca="1">Dashboard!$H$1</f>
        <v>46170</v>
      </c>
      <c r="E6" s="248" t="s">
        <v>83</v>
      </c>
      <c r="F6" s="16" t="s">
        <v>1382</v>
      </c>
      <c r="G6" s="249" t="s">
        <v>1383</v>
      </c>
      <c r="H6" s="16" t="s">
        <v>1384</v>
      </c>
      <c r="I6" s="73" t="s">
        <v>436</v>
      </c>
      <c r="J6" s="52">
        <v>2</v>
      </c>
      <c r="K6" s="16">
        <v>2</v>
      </c>
      <c r="L6" s="16"/>
      <c r="M6" s="86" t="s">
        <v>231</v>
      </c>
      <c r="N6" s="49" t="s">
        <v>268</v>
      </c>
      <c r="O6" s="86"/>
      <c r="P6" s="49" t="s">
        <v>268</v>
      </c>
      <c r="Q6" s="96"/>
      <c r="R6" s="70" t="s">
        <v>1385</v>
      </c>
      <c r="S6" s="71">
        <v>45692</v>
      </c>
      <c r="T6" s="71">
        <v>45693</v>
      </c>
      <c r="U6" s="49" t="s">
        <v>231</v>
      </c>
      <c r="V6" s="86"/>
      <c r="W6" s="215" t="s">
        <v>1161</v>
      </c>
      <c r="X6" s="71">
        <v>45693</v>
      </c>
      <c r="Y6" s="86"/>
      <c r="Z6" s="86"/>
      <c r="AA6" s="86"/>
      <c r="AB6" s="86" t="s">
        <v>1425</v>
      </c>
    </row>
    <row r="7" spans="1:28" ht="35.25" customHeight="1">
      <c r="A7" s="86">
        <v>6</v>
      </c>
      <c r="B7" s="253" t="str">
        <f>Dashboard!$J$1</f>
        <v>GGO Web</v>
      </c>
      <c r="C7" s="236">
        <f ca="1">Dashboard!$F$1</f>
        <v>46156</v>
      </c>
      <c r="D7" s="236">
        <f ca="1">Dashboard!$H$1</f>
        <v>46170</v>
      </c>
      <c r="E7" s="248" t="s">
        <v>83</v>
      </c>
      <c r="F7" s="49" t="s">
        <v>284</v>
      </c>
      <c r="G7" s="249" t="s">
        <v>1426</v>
      </c>
      <c r="H7" s="49" t="s">
        <v>1427</v>
      </c>
      <c r="I7" s="254" t="s">
        <v>13</v>
      </c>
      <c r="J7" s="52">
        <v>2</v>
      </c>
      <c r="K7" s="52">
        <v>2</v>
      </c>
      <c r="L7" s="52"/>
      <c r="M7" s="193" t="s">
        <v>93</v>
      </c>
      <c r="N7" s="49" t="s">
        <v>93</v>
      </c>
      <c r="O7" s="193" t="s">
        <v>93</v>
      </c>
      <c r="P7" s="49" t="s">
        <v>93</v>
      </c>
      <c r="Q7" s="208" t="s">
        <v>93</v>
      </c>
      <c r="R7" s="49" t="s">
        <v>93</v>
      </c>
      <c r="S7" s="49" t="s">
        <v>93</v>
      </c>
      <c r="T7" s="49" t="s">
        <v>93</v>
      </c>
      <c r="U7" s="49" t="s">
        <v>93</v>
      </c>
      <c r="V7" s="193" t="s">
        <v>93</v>
      </c>
      <c r="W7" s="193" t="s">
        <v>93</v>
      </c>
      <c r="X7" s="193" t="s">
        <v>93</v>
      </c>
      <c r="Y7" s="193" t="s">
        <v>93</v>
      </c>
      <c r="Z7" s="193" t="s">
        <v>93</v>
      </c>
      <c r="AA7" s="193" t="s">
        <v>93</v>
      </c>
      <c r="AB7" s="193" t="s">
        <v>1428</v>
      </c>
    </row>
    <row r="8" spans="1:28" ht="35.25" customHeight="1">
      <c r="A8" s="102">
        <v>7</v>
      </c>
      <c r="B8" s="256" t="str">
        <f>Dashboard!$J$1</f>
        <v>GGO Web</v>
      </c>
      <c r="C8" s="257">
        <f ca="1">Dashboard!$F$1</f>
        <v>46156</v>
      </c>
      <c r="D8" s="257">
        <f ca="1">Dashboard!$H$1</f>
        <v>46170</v>
      </c>
      <c r="E8" s="258" t="s">
        <v>83</v>
      </c>
      <c r="F8" s="119" t="s">
        <v>284</v>
      </c>
      <c r="G8" s="259" t="s">
        <v>1429</v>
      </c>
      <c r="H8" s="119" t="s">
        <v>1430</v>
      </c>
      <c r="I8" s="260" t="s">
        <v>13</v>
      </c>
      <c r="J8" s="261" t="s">
        <v>1431</v>
      </c>
      <c r="K8" s="261">
        <v>1</v>
      </c>
      <c r="L8" s="261"/>
      <c r="M8" s="219" t="s">
        <v>93</v>
      </c>
      <c r="N8" s="119" t="s">
        <v>93</v>
      </c>
      <c r="O8" s="219" t="s">
        <v>93</v>
      </c>
      <c r="P8" s="119" t="s">
        <v>93</v>
      </c>
      <c r="Q8" s="230" t="s">
        <v>93</v>
      </c>
      <c r="R8" s="119" t="s">
        <v>93</v>
      </c>
      <c r="S8" s="119" t="s">
        <v>93</v>
      </c>
      <c r="T8" s="119" t="s">
        <v>93</v>
      </c>
      <c r="U8" s="119" t="s">
        <v>93</v>
      </c>
      <c r="V8" s="219" t="s">
        <v>93</v>
      </c>
      <c r="W8" s="219" t="s">
        <v>93</v>
      </c>
      <c r="X8" s="219" t="s">
        <v>93</v>
      </c>
      <c r="Y8" s="219" t="s">
        <v>93</v>
      </c>
      <c r="Z8" s="219" t="s">
        <v>93</v>
      </c>
      <c r="AA8" s="219" t="s">
        <v>93</v>
      </c>
      <c r="AB8" s="219" t="s">
        <v>1432</v>
      </c>
    </row>
    <row r="9" spans="1:28" s="86" customFormat="1" ht="35.25" customHeight="1">
      <c r="A9" s="86">
        <v>8</v>
      </c>
      <c r="B9" s="239" t="str">
        <f>Dashboard!$J$1</f>
        <v>GGO Web</v>
      </c>
      <c r="C9" s="236">
        <f ca="1">Dashboard!$F$1</f>
        <v>46156</v>
      </c>
      <c r="D9" s="236">
        <f ca="1">Dashboard!$H$1</f>
        <v>46170</v>
      </c>
      <c r="E9" s="9" t="s">
        <v>83</v>
      </c>
      <c r="F9" s="182" t="s">
        <v>268</v>
      </c>
      <c r="G9" s="224" t="s">
        <v>1386</v>
      </c>
      <c r="H9" s="32" t="s">
        <v>1433</v>
      </c>
      <c r="I9" s="16" t="s">
        <v>1223</v>
      </c>
      <c r="J9" s="16">
        <v>2</v>
      </c>
      <c r="K9" s="16">
        <v>2</v>
      </c>
      <c r="L9" s="16">
        <v>12</v>
      </c>
      <c r="N9" s="5"/>
      <c r="P9" s="49"/>
      <c r="Q9" s="96"/>
      <c r="R9" s="70" t="s">
        <v>1388</v>
      </c>
      <c r="S9" s="5"/>
      <c r="T9" s="5"/>
      <c r="U9" s="5"/>
    </row>
  </sheetData>
  <hyperlinks>
    <hyperlink ref="G3" r:id="rId1" display="https://greatergiving.atlassian.net/browse/GGO-14474" xr:uid="{BDBB4551-DCED-468A-B505-79C011D0F8FF}"/>
    <hyperlink ref="G4" r:id="rId2" display="https://greatergiving.atlassian.net/browse/PAPI-790" xr:uid="{1CD73FB5-DFBC-497F-8A05-FA89130F98AB}"/>
    <hyperlink ref="R5" r:id="rId3" xr:uid="{0D931F80-027C-4DA0-812A-D4FF694AF0D5}"/>
    <hyperlink ref="R4" r:id="rId4" xr:uid="{9BE73DFD-850C-4B7A-9B0E-86590DD1EEA2}"/>
    <hyperlink ref="G7" r:id="rId5" display="https://greatergiving.atlassian.net/browse/GGO-14511" xr:uid="{980F6A27-F98F-452B-B5B2-4A7FD79F71A1}"/>
    <hyperlink ref="G8" r:id="rId6" display="https://greatergiving.atlassian.net/browse/PAPI-794" xr:uid="{22976151-6AEF-4033-A4E6-A282985C4188}"/>
    <hyperlink ref="R2" r:id="rId7" xr:uid="{1925CB9A-7E1E-4049-B55A-37E9E72D73CB}"/>
    <hyperlink ref="R3" r:id="rId8" xr:uid="{09B396D2-AA8B-4EEE-B386-91ECC24D24F4}"/>
    <hyperlink ref="R9" r:id="rId9" xr:uid="{F890DAA7-9635-4506-8F3B-891B6F20A785}"/>
    <hyperlink ref="R6" r:id="rId10" xr:uid="{B44C7B37-14D3-457C-A81F-414D4801989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InputMessage="1" showErrorMessage="1" xr:uid="{EAB6B382-B02D-4ACE-B535-E86A05CBB2A9}">
          <x14:formula1>
            <xm:f>Settings!$C$3:$C$20</xm:f>
          </x14:formula1>
          <xm:sqref>I2:I3 I7:I8</xm:sqref>
        </x14:dataValidation>
      </x14:dataValidation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17CDF-283E-448C-AC72-E623C5DA1CCB}">
  <sheetPr>
    <outlinePr summaryBelow="0" summaryRight="0"/>
  </sheetPr>
  <dimension ref="A1:M12"/>
  <sheetViews>
    <sheetView topLeftCell="G1" workbookViewId="0">
      <selection activeCell="L1" sqref="L1"/>
    </sheetView>
  </sheetViews>
  <sheetFormatPr defaultColWidth="12.5703125" defaultRowHeight="15" customHeight="1"/>
  <cols>
    <col min="1" max="1" width="12.5703125" style="273" hidden="1" customWidth="1"/>
    <col min="2" max="2" width="21.42578125" style="273" customWidth="1"/>
    <col min="3" max="4" width="14.42578125" style="273" customWidth="1"/>
    <col min="5" max="5" width="19.140625" style="273" customWidth="1"/>
    <col min="6" max="6" width="37.5703125" style="273" customWidth="1"/>
    <col min="7" max="7" width="41.140625" style="273" customWidth="1"/>
    <col min="8" max="9" width="18.7109375" style="273" customWidth="1"/>
    <col min="10" max="10" width="9.140625" style="273" bestFit="1" customWidth="1"/>
    <col min="11" max="11" width="19" style="273" customWidth="1"/>
    <col min="12" max="12" width="18" style="273" customWidth="1"/>
    <col min="13" max="13" width="52.140625" style="273" customWidth="1"/>
    <col min="14" max="16384" width="12.5703125" style="273"/>
  </cols>
  <sheetData>
    <row r="1" spans="1:13" ht="13.5">
      <c r="A1" s="269" t="s">
        <v>241</v>
      </c>
      <c r="B1" s="57" t="s">
        <v>11</v>
      </c>
      <c r="C1" s="270" t="s">
        <v>289</v>
      </c>
      <c r="D1" s="270" t="s">
        <v>290</v>
      </c>
      <c r="E1" s="57" t="s">
        <v>243</v>
      </c>
      <c r="F1" s="270" t="s">
        <v>291</v>
      </c>
      <c r="G1" s="270" t="s">
        <v>292</v>
      </c>
      <c r="H1" s="57" t="s">
        <v>293</v>
      </c>
      <c r="I1" s="57" t="s">
        <v>294</v>
      </c>
      <c r="J1" s="57" t="s">
        <v>295</v>
      </c>
      <c r="K1" s="57" t="s">
        <v>246</v>
      </c>
      <c r="L1" s="271" t="s">
        <v>296</v>
      </c>
      <c r="M1" s="272" t="s">
        <v>267</v>
      </c>
    </row>
    <row r="2" spans="1:13" ht="104.25">
      <c r="B2" s="9" t="s">
        <v>83</v>
      </c>
      <c r="C2" s="224" t="s">
        <v>1386</v>
      </c>
      <c r="D2" s="274" t="s">
        <v>1434</v>
      </c>
      <c r="E2" s="275"/>
      <c r="F2" s="276" t="s">
        <v>753</v>
      </c>
      <c r="G2" s="235" t="s">
        <v>1435</v>
      </c>
      <c r="H2" s="277" t="s">
        <v>1146</v>
      </c>
      <c r="I2" s="276" t="s">
        <v>555</v>
      </c>
      <c r="J2" s="277" t="s">
        <v>1147</v>
      </c>
      <c r="K2" s="276" t="s">
        <v>1436</v>
      </c>
      <c r="L2" s="283" t="s">
        <v>1011</v>
      </c>
      <c r="M2" s="284" t="s">
        <v>1437</v>
      </c>
    </row>
    <row r="3" spans="1:13" ht="33.75" customHeight="1">
      <c r="B3" s="277"/>
      <c r="C3" s="278"/>
      <c r="D3" s="278"/>
      <c r="E3" s="277"/>
      <c r="F3" s="277"/>
      <c r="G3" s="235"/>
      <c r="H3" s="277"/>
      <c r="I3" s="277"/>
      <c r="J3" s="277"/>
      <c r="K3" s="277"/>
      <c r="L3" s="277"/>
      <c r="M3" s="275"/>
    </row>
    <row r="4" spans="1:13" ht="15.75" customHeight="1"/>
    <row r="5" spans="1:13" ht="15.75" customHeight="1"/>
    <row r="6" spans="1:13" ht="15.75" customHeight="1"/>
    <row r="7" spans="1:13" ht="15.75" customHeight="1">
      <c r="F7" s="62"/>
    </row>
    <row r="8" spans="1:13" ht="15.75" customHeight="1"/>
    <row r="9" spans="1:13" ht="15.75" customHeight="1"/>
    <row r="10" spans="1:13" ht="15.75" customHeight="1">
      <c r="K10" s="62"/>
    </row>
    <row r="11" spans="1:13" ht="15.75" customHeight="1">
      <c r="M11" s="607"/>
    </row>
    <row r="12" spans="1:13" ht="15.75" customHeight="1">
      <c r="M12" s="607"/>
    </row>
  </sheetData>
  <autoFilter ref="A1:M2" xr:uid="{B9017CDF-283E-448C-AC72-E623C5DA1CCB}"/>
  <mergeCells count="1">
    <mergeCell ref="M11:M12"/>
  </mergeCells>
  <dataValidations count="7">
    <dataValidation type="list" allowBlank="1" showErrorMessage="1" sqref="K2" xr:uid="{03990519-8CAA-4E30-9523-F9C9E0707772}">
      <formula1>"Open,Inprogress,Closed/Rejected"</formula1>
    </dataValidation>
    <dataValidation type="list" allowBlank="1" showErrorMessage="1" sqref="I2:I3" xr:uid="{0BA25BE3-E952-4BFE-86FB-51B1B942807A}">
      <formula1>"Manual, Automation"</formula1>
    </dataValidation>
    <dataValidation type="list" allowBlank="1" showErrorMessage="1" sqref="F2" xr:uid="{C76E48E9-8D2D-4A1F-B6DC-7301A4F25E18}">
      <formula1>"Bounceback/Sub-Defect,Defect,None"</formula1>
    </dataValidation>
    <dataValidation type="list" allowBlank="1" showErrorMessage="1" sqref="F3" xr:uid="{5625670D-3115-4131-97E3-D8FDF1DD6F07}">
      <formula1>"Bounceback,Defect,None"</formula1>
    </dataValidation>
    <dataValidation type="list" allowBlank="1" showErrorMessage="1" sqref="H2:H3" xr:uid="{3F4DB7BB-652D-4F7A-8B95-B1E6ABFA87AC}">
      <formula1>"Minor,Significant,Major"</formula1>
    </dataValidation>
    <dataValidation type="list" allowBlank="1" showErrorMessage="1" sqref="K3" xr:uid="{201EBFE2-673A-4428-AB8A-4709696D8831}">
      <formula1>"Open,Inprogress,Closed"</formula1>
    </dataValidation>
    <dataValidation type="list" allowBlank="1" showErrorMessage="1" sqref="J2:J3" xr:uid="{0D328FB4-3E44-4E74-90C7-C4FA6403FF6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AD2EC56-6B13-4F60-A231-EC18DB725FF5}">
          <x14:formula1>
            <xm:f>Details!$A$2:$A$10</xm:f>
          </x14:formula1>
          <xm:sqref>L2:L3</xm:sqref>
        </x14:dataValidation>
      </x14:dataValidations>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4E97-F99F-4233-AE38-89606839B945}">
  <sheetPr>
    <outlinePr summaryBelow="0" summaryRight="0"/>
  </sheetPr>
  <dimension ref="A1:AB15"/>
  <sheetViews>
    <sheetView showGridLines="0" workbookViewId="0">
      <pane xSplit="7" ySplit="1" topLeftCell="H3" activePane="bottomRight" state="frozen"/>
      <selection pane="bottomRight" activeCell="A3" sqref="A3"/>
      <selection pane="bottomLeft" activeCell="A3" sqref="A3"/>
      <selection pane="topRight" activeCell="F1" sqref="F1"/>
    </sheetView>
  </sheetViews>
  <sheetFormatPr defaultColWidth="12.5703125" defaultRowHeight="35.25" customHeight="1"/>
  <cols>
    <col min="1" max="1" width="7.5703125" style="43" customWidth="1"/>
    <col min="2" max="2" width="12" style="43" customWidth="1"/>
    <col min="3" max="4" width="10" style="43" customWidth="1"/>
    <col min="5" max="5" width="22.7109375" style="43" customWidth="1"/>
    <col min="6" max="6" width="27.85546875" style="43" customWidth="1"/>
    <col min="7" max="7" width="19.28515625" style="62" customWidth="1"/>
    <col min="8" max="8" width="53.85546875" style="43" bestFit="1" customWidth="1"/>
    <col min="9" max="9" width="29.85546875" style="43" customWidth="1"/>
    <col min="10" max="10" width="13.28515625" style="43" customWidth="1"/>
    <col min="11" max="11" width="14.42578125" style="43" bestFit="1"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43"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s="86" customFormat="1" ht="35.25" customHeight="1">
      <c r="A1" s="199" t="s">
        <v>241</v>
      </c>
      <c r="B1" s="200" t="s">
        <v>4</v>
      </c>
      <c r="C1" s="200" t="s">
        <v>2</v>
      </c>
      <c r="D1" s="200" t="s">
        <v>3</v>
      </c>
      <c r="E1" s="195" t="s">
        <v>242</v>
      </c>
      <c r="F1" s="195" t="s">
        <v>243</v>
      </c>
      <c r="G1" s="201" t="s">
        <v>244</v>
      </c>
      <c r="H1" s="195" t="s">
        <v>245</v>
      </c>
      <c r="I1" s="202" t="s">
        <v>246</v>
      </c>
      <c r="J1" s="195" t="s">
        <v>1438</v>
      </c>
      <c r="K1" s="195" t="s">
        <v>1439</v>
      </c>
      <c r="L1" s="195" t="s">
        <v>249</v>
      </c>
      <c r="M1" s="195" t="s">
        <v>252</v>
      </c>
      <c r="N1" s="195" t="s">
        <v>253</v>
      </c>
      <c r="O1" s="195" t="s">
        <v>254</v>
      </c>
      <c r="P1" s="195" t="s">
        <v>255</v>
      </c>
      <c r="Q1" s="195" t="s">
        <v>256</v>
      </c>
      <c r="R1" s="195" t="s">
        <v>257</v>
      </c>
      <c r="S1" s="195" t="s">
        <v>258</v>
      </c>
      <c r="T1" s="195" t="s">
        <v>259</v>
      </c>
      <c r="U1" s="195" t="s">
        <v>260</v>
      </c>
      <c r="V1" s="195" t="s">
        <v>261</v>
      </c>
      <c r="W1" s="195" t="s">
        <v>262</v>
      </c>
      <c r="X1" s="195" t="s">
        <v>263</v>
      </c>
      <c r="Y1" s="195" t="s">
        <v>264</v>
      </c>
      <c r="Z1" s="195" t="s">
        <v>265</v>
      </c>
      <c r="AA1" s="195" t="s">
        <v>266</v>
      </c>
      <c r="AB1" s="195" t="s">
        <v>267</v>
      </c>
    </row>
    <row r="2" spans="1:28" s="86" customFormat="1" ht="3" customHeight="1">
      <c r="A2" s="145"/>
      <c r="B2" s="145"/>
      <c r="C2" s="210"/>
      <c r="D2" s="210"/>
      <c r="E2" s="211"/>
      <c r="F2" s="88"/>
      <c r="G2" s="186"/>
      <c r="H2" s="87"/>
      <c r="I2" s="181"/>
      <c r="J2" s="177"/>
      <c r="K2" s="177"/>
      <c r="L2" s="177"/>
      <c r="M2" s="212"/>
      <c r="N2" s="177"/>
      <c r="O2" s="145"/>
      <c r="P2" s="88"/>
      <c r="Q2" s="146"/>
      <c r="R2" s="104"/>
      <c r="S2" s="114"/>
      <c r="T2" s="114"/>
      <c r="U2" s="146"/>
      <c r="V2" s="145"/>
      <c r="W2" s="102"/>
      <c r="X2" s="114"/>
      <c r="Y2" s="145"/>
      <c r="Z2" s="145"/>
      <c r="AA2" s="145"/>
      <c r="AB2" s="102"/>
    </row>
    <row r="3" spans="1:28" s="86" customFormat="1" ht="58.5" customHeight="1">
      <c r="A3" s="193">
        <v>1</v>
      </c>
      <c r="B3" s="193" t="str">
        <f>Dashboard!$J$1</f>
        <v>GGO Web</v>
      </c>
      <c r="C3" s="213">
        <f ca="1">Dashboard!$F$1</f>
        <v>46156</v>
      </c>
      <c r="D3" s="213">
        <f ca="1">Dashboard!$H$1</f>
        <v>46170</v>
      </c>
      <c r="E3" s="17" t="s">
        <v>79</v>
      </c>
      <c r="F3" s="49" t="s">
        <v>1440</v>
      </c>
      <c r="G3" s="218" t="s">
        <v>1441</v>
      </c>
      <c r="H3" s="49" t="s">
        <v>1442</v>
      </c>
      <c r="I3" s="16" t="s">
        <v>13</v>
      </c>
      <c r="J3" s="133">
        <v>2</v>
      </c>
      <c r="K3" s="133">
        <v>2</v>
      </c>
      <c r="L3" s="133"/>
      <c r="M3" s="193"/>
      <c r="N3" s="133" t="s">
        <v>304</v>
      </c>
      <c r="O3" s="193"/>
      <c r="P3" s="49" t="s">
        <v>1443</v>
      </c>
      <c r="Q3" s="208"/>
      <c r="R3" s="214" t="s">
        <v>1444</v>
      </c>
      <c r="S3" s="215">
        <v>45657</v>
      </c>
      <c r="T3" s="215">
        <v>37621</v>
      </c>
      <c r="U3" s="49" t="s">
        <v>231</v>
      </c>
      <c r="V3" s="193"/>
      <c r="W3" s="193" t="s">
        <v>867</v>
      </c>
      <c r="X3" s="216">
        <v>45657</v>
      </c>
      <c r="Y3" s="193"/>
      <c r="Z3" s="193"/>
      <c r="AA3" s="193"/>
      <c r="AB3" s="193" t="s">
        <v>1445</v>
      </c>
    </row>
    <row r="4" spans="1:28" s="139" customFormat="1" ht="35.25" customHeight="1">
      <c r="A4" s="193">
        <v>2</v>
      </c>
      <c r="B4" s="193" t="str">
        <f>Dashboard!$J$1</f>
        <v>GGO Web</v>
      </c>
      <c r="C4" s="213">
        <f ca="1">Dashboard!$F$1</f>
        <v>46156</v>
      </c>
      <c r="D4" s="213">
        <f ca="1">Dashboard!$H$1</f>
        <v>46170</v>
      </c>
      <c r="E4" s="17" t="s">
        <v>79</v>
      </c>
      <c r="F4" s="49" t="s">
        <v>230</v>
      </c>
      <c r="G4" s="214" t="s">
        <v>1446</v>
      </c>
      <c r="H4" s="49" t="s">
        <v>1447</v>
      </c>
      <c r="I4" s="73" t="s">
        <v>13</v>
      </c>
      <c r="J4" s="49">
        <v>3</v>
      </c>
      <c r="K4" s="133">
        <v>3</v>
      </c>
      <c r="L4" s="133"/>
      <c r="M4" s="193"/>
      <c r="N4" s="133" t="s">
        <v>304</v>
      </c>
      <c r="O4" s="193"/>
      <c r="P4" s="49" t="s">
        <v>1443</v>
      </c>
      <c r="Q4" s="208"/>
      <c r="R4" s="214" t="s">
        <v>1448</v>
      </c>
      <c r="S4" s="215">
        <v>45664</v>
      </c>
      <c r="T4" s="215">
        <v>45665</v>
      </c>
      <c r="U4" s="49" t="s">
        <v>231</v>
      </c>
      <c r="V4" s="193"/>
      <c r="W4" s="217" t="s">
        <v>1161</v>
      </c>
      <c r="X4" s="216">
        <v>45665</v>
      </c>
      <c r="Y4" s="193"/>
      <c r="Z4" s="193"/>
      <c r="AA4" s="193"/>
      <c r="AB4" s="193" t="s">
        <v>1449</v>
      </c>
    </row>
    <row r="5" spans="1:28" ht="35.25" customHeight="1">
      <c r="A5" s="193">
        <v>3</v>
      </c>
      <c r="B5" s="193" t="str">
        <f>Dashboard!$J$1</f>
        <v>GGO Web</v>
      </c>
      <c r="C5" s="213">
        <f ca="1">Dashboard!$F$1</f>
        <v>46156</v>
      </c>
      <c r="D5" s="213">
        <f ca="1">Dashboard!$H$1</f>
        <v>46170</v>
      </c>
      <c r="E5" s="17" t="s">
        <v>79</v>
      </c>
      <c r="F5" s="49" t="s">
        <v>268</v>
      </c>
      <c r="G5" s="214" t="s">
        <v>1450</v>
      </c>
      <c r="H5" s="49" t="s">
        <v>1451</v>
      </c>
      <c r="I5" s="16" t="s">
        <v>13</v>
      </c>
      <c r="J5" s="49">
        <v>1</v>
      </c>
      <c r="K5" s="49">
        <v>1</v>
      </c>
      <c r="L5" s="49"/>
      <c r="M5" s="193"/>
      <c r="N5" s="49" t="s">
        <v>304</v>
      </c>
      <c r="O5" s="193"/>
      <c r="P5" s="49" t="s">
        <v>1443</v>
      </c>
      <c r="Q5" s="208"/>
      <c r="R5" s="214" t="s">
        <v>1452</v>
      </c>
      <c r="S5" s="215">
        <v>45668</v>
      </c>
      <c r="T5" s="215">
        <v>45668</v>
      </c>
      <c r="U5" s="49" t="s">
        <v>231</v>
      </c>
      <c r="V5" s="193"/>
      <c r="W5" s="193" t="s">
        <v>1161</v>
      </c>
      <c r="X5" s="216">
        <v>45668</v>
      </c>
      <c r="Y5" s="193"/>
      <c r="Z5" s="193"/>
      <c r="AA5" s="193"/>
      <c r="AB5" s="193" t="s">
        <v>1453</v>
      </c>
    </row>
    <row r="6" spans="1:28" ht="35.25" customHeight="1">
      <c r="A6" s="193">
        <v>4</v>
      </c>
      <c r="B6" s="193" t="str">
        <f>Dashboard!$J$1</f>
        <v>GGO Web</v>
      </c>
      <c r="C6" s="213">
        <f ca="1">Dashboard!$F$1</f>
        <v>46156</v>
      </c>
      <c r="D6" s="213">
        <f ca="1">Dashboard!$H$1</f>
        <v>46170</v>
      </c>
      <c r="E6" s="17" t="s">
        <v>79</v>
      </c>
      <c r="F6" s="49" t="s">
        <v>1454</v>
      </c>
      <c r="G6" s="214" t="s">
        <v>1383</v>
      </c>
      <c r="H6" s="49" t="s">
        <v>1384</v>
      </c>
      <c r="I6" s="16" t="s">
        <v>271</v>
      </c>
      <c r="J6" s="49">
        <v>3</v>
      </c>
      <c r="K6" s="49">
        <v>3</v>
      </c>
      <c r="L6" s="49"/>
      <c r="M6" s="193"/>
      <c r="N6" s="49" t="s">
        <v>304</v>
      </c>
      <c r="O6" s="193"/>
      <c r="P6" s="49" t="s">
        <v>1443</v>
      </c>
      <c r="Q6" s="208"/>
      <c r="R6" s="214" t="s">
        <v>1455</v>
      </c>
      <c r="S6" s="215">
        <v>45674</v>
      </c>
      <c r="T6" s="215">
        <v>45678</v>
      </c>
      <c r="U6" s="49" t="s">
        <v>231</v>
      </c>
      <c r="V6" s="193"/>
      <c r="W6" s="193" t="s">
        <v>1161</v>
      </c>
      <c r="X6" s="216">
        <v>45678</v>
      </c>
      <c r="Y6" s="193"/>
      <c r="Z6" s="193"/>
      <c r="AA6" s="193"/>
      <c r="AB6" s="193"/>
    </row>
    <row r="7" spans="1:28" ht="54.75" customHeight="1">
      <c r="A7" s="193">
        <v>5</v>
      </c>
      <c r="B7" s="193" t="str">
        <f>Dashboard!$J$1</f>
        <v>GGO Web</v>
      </c>
      <c r="C7" s="213">
        <f ca="1">Dashboard!$F$1</f>
        <v>46156</v>
      </c>
      <c r="D7" s="213">
        <f ca="1">Dashboard!$H$1</f>
        <v>46170</v>
      </c>
      <c r="E7" s="17" t="s">
        <v>79</v>
      </c>
      <c r="F7" s="49" t="s">
        <v>284</v>
      </c>
      <c r="G7" s="214" t="s">
        <v>1456</v>
      </c>
      <c r="H7" s="49" t="s">
        <v>1457</v>
      </c>
      <c r="I7" s="16" t="s">
        <v>436</v>
      </c>
      <c r="J7" s="49">
        <v>1</v>
      </c>
      <c r="K7" s="49">
        <v>1</v>
      </c>
      <c r="L7" s="49"/>
      <c r="M7" s="193"/>
      <c r="N7" s="49" t="s">
        <v>93</v>
      </c>
      <c r="O7" s="193" t="s">
        <v>93</v>
      </c>
      <c r="P7" s="49" t="s">
        <v>93</v>
      </c>
      <c r="Q7" s="208" t="s">
        <v>93</v>
      </c>
      <c r="R7" s="49" t="s">
        <v>93</v>
      </c>
      <c r="S7" s="49" t="s">
        <v>93</v>
      </c>
      <c r="T7" s="49" t="s">
        <v>93</v>
      </c>
      <c r="U7" s="49" t="s">
        <v>93</v>
      </c>
      <c r="V7" s="193" t="s">
        <v>93</v>
      </c>
      <c r="W7" s="193" t="s">
        <v>93</v>
      </c>
      <c r="X7" s="193" t="s">
        <v>93</v>
      </c>
      <c r="Y7" s="193" t="s">
        <v>93</v>
      </c>
      <c r="Z7" s="193" t="s">
        <v>93</v>
      </c>
      <c r="AA7" s="193" t="s">
        <v>93</v>
      </c>
      <c r="AB7" s="193" t="s">
        <v>1458</v>
      </c>
    </row>
    <row r="8" spans="1:28" ht="48" customHeight="1">
      <c r="A8" s="193">
        <v>6</v>
      </c>
      <c r="B8" s="193" t="str">
        <f>Dashboard!$J$1</f>
        <v>GGO Web</v>
      </c>
      <c r="C8" s="213">
        <f ca="1">Dashboard!$F$1</f>
        <v>46156</v>
      </c>
      <c r="D8" s="213">
        <f ca="1">Dashboard!$H$1</f>
        <v>46170</v>
      </c>
      <c r="E8" s="17" t="s">
        <v>79</v>
      </c>
      <c r="F8" s="49" t="s">
        <v>1459</v>
      </c>
      <c r="G8" s="214" t="s">
        <v>1460</v>
      </c>
      <c r="H8" s="119" t="s">
        <v>1461</v>
      </c>
      <c r="I8" s="16" t="s">
        <v>13</v>
      </c>
      <c r="J8" s="49">
        <v>5</v>
      </c>
      <c r="K8" s="119">
        <v>5</v>
      </c>
      <c r="L8" s="119"/>
      <c r="M8" s="219"/>
      <c r="N8" s="49" t="s">
        <v>93</v>
      </c>
      <c r="O8" s="193" t="s">
        <v>93</v>
      </c>
      <c r="P8" s="49" t="s">
        <v>93</v>
      </c>
      <c r="Q8" s="208" t="s">
        <v>93</v>
      </c>
      <c r="R8" s="49" t="s">
        <v>93</v>
      </c>
      <c r="S8" s="49" t="s">
        <v>93</v>
      </c>
      <c r="T8" s="49" t="s">
        <v>93</v>
      </c>
      <c r="U8" s="49" t="s">
        <v>93</v>
      </c>
      <c r="V8" s="193" t="s">
        <v>93</v>
      </c>
      <c r="W8" s="193" t="s">
        <v>93</v>
      </c>
      <c r="X8" s="193" t="s">
        <v>93</v>
      </c>
      <c r="Y8" s="193" t="s">
        <v>93</v>
      </c>
      <c r="Z8" s="193" t="s">
        <v>93</v>
      </c>
      <c r="AA8" s="193" t="s">
        <v>93</v>
      </c>
      <c r="AB8" s="193" t="s">
        <v>1462</v>
      </c>
    </row>
    <row r="9" spans="1:28" ht="112.5" customHeight="1">
      <c r="A9" s="220">
        <v>7</v>
      </c>
      <c r="B9" s="219" t="str">
        <f>Dashboard!$J$1</f>
        <v>GGO Web</v>
      </c>
      <c r="C9" s="221">
        <f ca="1">Dashboard!$F$1</f>
        <v>46156</v>
      </c>
      <c r="D9" s="221">
        <f ca="1">Dashboard!$H$1</f>
        <v>46170</v>
      </c>
      <c r="E9" s="222" t="s">
        <v>79</v>
      </c>
      <c r="F9" s="119" t="s">
        <v>268</v>
      </c>
      <c r="G9" s="223" t="s">
        <v>1463</v>
      </c>
      <c r="H9" s="87" t="s">
        <v>1464</v>
      </c>
      <c r="I9" s="16" t="s">
        <v>13</v>
      </c>
      <c r="J9" s="119">
        <v>2</v>
      </c>
      <c r="K9" s="119">
        <v>2</v>
      </c>
      <c r="L9" s="119"/>
      <c r="M9" s="102"/>
      <c r="N9" s="88"/>
      <c r="O9" s="102"/>
      <c r="P9" s="88"/>
      <c r="Q9" s="109"/>
      <c r="R9" s="49" t="s">
        <v>93</v>
      </c>
      <c r="S9" s="49" t="s">
        <v>93</v>
      </c>
      <c r="T9" s="49" t="s">
        <v>93</v>
      </c>
      <c r="U9" s="49" t="s">
        <v>93</v>
      </c>
      <c r="V9" s="49" t="s">
        <v>93</v>
      </c>
      <c r="W9" s="49" t="s">
        <v>93</v>
      </c>
      <c r="X9" s="49" t="s">
        <v>93</v>
      </c>
      <c r="Y9" s="49" t="s">
        <v>93</v>
      </c>
      <c r="Z9" s="49" t="s">
        <v>93</v>
      </c>
      <c r="AA9" s="49" t="s">
        <v>93</v>
      </c>
      <c r="AB9" s="102" t="s">
        <v>1465</v>
      </c>
    </row>
    <row r="10" spans="1:28" s="86" customFormat="1" ht="35.25" customHeight="1">
      <c r="A10" s="193">
        <v>8</v>
      </c>
      <c r="B10" s="86" t="str">
        <f>Dashboard!$J$1</f>
        <v>GGO Web</v>
      </c>
      <c r="C10" s="191">
        <f ca="1">Dashboard!$F$1</f>
        <v>46156</v>
      </c>
      <c r="D10" s="191">
        <f ca="1">Dashboard!$H$1</f>
        <v>46170</v>
      </c>
      <c r="E10" s="10" t="s">
        <v>79</v>
      </c>
      <c r="F10" s="16" t="s">
        <v>284</v>
      </c>
      <c r="G10" s="225" t="s">
        <v>1466</v>
      </c>
      <c r="H10" s="87" t="s">
        <v>1467</v>
      </c>
      <c r="I10" s="16" t="s">
        <v>13</v>
      </c>
      <c r="J10" s="49">
        <v>1</v>
      </c>
      <c r="K10" s="49">
        <v>1</v>
      </c>
      <c r="L10" s="49"/>
      <c r="N10" s="49" t="s">
        <v>93</v>
      </c>
      <c r="O10" s="193" t="s">
        <v>93</v>
      </c>
      <c r="P10" s="49" t="s">
        <v>93</v>
      </c>
      <c r="Q10" s="208" t="s">
        <v>93</v>
      </c>
      <c r="R10" s="49" t="s">
        <v>93</v>
      </c>
      <c r="S10" s="49" t="s">
        <v>93</v>
      </c>
      <c r="T10" s="49" t="s">
        <v>93</v>
      </c>
      <c r="U10" s="49" t="s">
        <v>93</v>
      </c>
      <c r="V10" s="193" t="s">
        <v>93</v>
      </c>
      <c r="W10" s="193" t="s">
        <v>93</v>
      </c>
      <c r="X10" s="193" t="s">
        <v>93</v>
      </c>
      <c r="Y10" s="193" t="s">
        <v>93</v>
      </c>
      <c r="Z10" s="193" t="s">
        <v>93</v>
      </c>
      <c r="AA10" s="193" t="s">
        <v>93</v>
      </c>
      <c r="AB10" s="193" t="s">
        <v>1468</v>
      </c>
    </row>
    <row r="11" spans="1:28" ht="35.25" customHeight="1">
      <c r="A11" s="193">
        <v>9</v>
      </c>
      <c r="B11" s="86" t="str">
        <f>Dashboard!$J$1</f>
        <v>GGO Web</v>
      </c>
      <c r="C11" s="191">
        <f ca="1">Dashboard!$F$1</f>
        <v>46156</v>
      </c>
      <c r="D11" s="191">
        <f ca="1">Dashboard!$H$1</f>
        <v>46170</v>
      </c>
      <c r="E11" s="10" t="s">
        <v>79</v>
      </c>
      <c r="F11" s="87" t="s">
        <v>284</v>
      </c>
      <c r="G11" s="226" t="s">
        <v>1469</v>
      </c>
      <c r="H11" s="87" t="s">
        <v>1470</v>
      </c>
      <c r="I11" s="16" t="s">
        <v>13</v>
      </c>
      <c r="J11" s="119">
        <v>1</v>
      </c>
      <c r="K11" s="49">
        <v>1</v>
      </c>
      <c r="L11" s="119"/>
      <c r="M11" s="102"/>
      <c r="N11" s="119" t="s">
        <v>93</v>
      </c>
      <c r="O11" s="219" t="s">
        <v>93</v>
      </c>
      <c r="P11" s="119" t="s">
        <v>93</v>
      </c>
      <c r="Q11" s="208" t="s">
        <v>93</v>
      </c>
      <c r="R11" s="49" t="s">
        <v>93</v>
      </c>
      <c r="S11" s="119" t="s">
        <v>93</v>
      </c>
      <c r="T11" s="119" t="s">
        <v>93</v>
      </c>
      <c r="U11" s="119" t="s">
        <v>93</v>
      </c>
      <c r="V11" s="219" t="s">
        <v>93</v>
      </c>
      <c r="W11" s="219" t="s">
        <v>93</v>
      </c>
      <c r="X11" s="219" t="s">
        <v>93</v>
      </c>
      <c r="Y11" s="219" t="s">
        <v>93</v>
      </c>
      <c r="Z11" s="219" t="s">
        <v>93</v>
      </c>
      <c r="AA11" s="219" t="s">
        <v>93</v>
      </c>
      <c r="AB11" s="219" t="s">
        <v>1468</v>
      </c>
    </row>
    <row r="12" spans="1:28" ht="35.25" customHeight="1">
      <c r="A12" s="220">
        <v>10</v>
      </c>
      <c r="B12" s="102" t="str">
        <f>Dashboard!$J$1</f>
        <v>GGO Web</v>
      </c>
      <c r="C12" s="121">
        <f ca="1">Dashboard!$F$1</f>
        <v>46156</v>
      </c>
      <c r="D12" s="121">
        <f ca="1">Dashboard!$H$1</f>
        <v>46170</v>
      </c>
      <c r="E12" s="228" t="s">
        <v>79</v>
      </c>
      <c r="F12" s="87" t="s">
        <v>284</v>
      </c>
      <c r="G12" s="229" t="s">
        <v>1471</v>
      </c>
      <c r="H12" s="87" t="s">
        <v>1472</v>
      </c>
      <c r="I12" s="16" t="s">
        <v>271</v>
      </c>
      <c r="J12" s="119">
        <v>1</v>
      </c>
      <c r="K12" s="227">
        <v>1</v>
      </c>
      <c r="L12" s="227"/>
      <c r="M12" s="219"/>
      <c r="N12" s="119"/>
      <c r="O12" s="219" t="s">
        <v>93</v>
      </c>
      <c r="P12" s="119"/>
      <c r="Q12" s="230"/>
      <c r="R12" s="223" t="s">
        <v>1473</v>
      </c>
      <c r="S12" s="231">
        <v>45674</v>
      </c>
      <c r="T12" s="88"/>
      <c r="U12" s="88"/>
      <c r="V12" s="102"/>
      <c r="W12" s="102"/>
      <c r="X12" s="102"/>
      <c r="Y12" s="102"/>
      <c r="Z12" s="102"/>
      <c r="AA12" s="102"/>
      <c r="AB12" s="102"/>
    </row>
    <row r="13" spans="1:28" s="102" customFormat="1" ht="35.25" customHeight="1">
      <c r="A13" s="219">
        <v>11</v>
      </c>
      <c r="B13" s="102" t="str">
        <f>Dashboard!$J$1</f>
        <v>GGO Web</v>
      </c>
      <c r="C13" s="121">
        <f ca="1">Dashboard!$F$1</f>
        <v>46156</v>
      </c>
      <c r="D13" s="121">
        <f ca="1">Dashboard!$H$1</f>
        <v>46170</v>
      </c>
      <c r="E13" s="211" t="s">
        <v>79</v>
      </c>
      <c r="F13" s="119" t="s">
        <v>284</v>
      </c>
      <c r="G13" s="226" t="s">
        <v>1474</v>
      </c>
      <c r="H13" s="119" t="s">
        <v>1475</v>
      </c>
      <c r="I13" s="16" t="s">
        <v>436</v>
      </c>
      <c r="J13" s="119">
        <v>1</v>
      </c>
      <c r="K13" s="119">
        <v>1</v>
      </c>
      <c r="L13" s="119"/>
      <c r="N13" s="119" t="s">
        <v>93</v>
      </c>
      <c r="O13" s="219" t="s">
        <v>93</v>
      </c>
      <c r="P13" s="119" t="s">
        <v>93</v>
      </c>
      <c r="Q13" s="230" t="s">
        <v>93</v>
      </c>
      <c r="R13" s="119" t="s">
        <v>93</v>
      </c>
      <c r="S13" s="119" t="s">
        <v>93</v>
      </c>
      <c r="T13" s="119" t="s">
        <v>93</v>
      </c>
      <c r="U13" s="119" t="s">
        <v>93</v>
      </c>
      <c r="V13" s="219" t="s">
        <v>93</v>
      </c>
      <c r="W13" s="219" t="s">
        <v>93</v>
      </c>
      <c r="X13" s="219" t="s">
        <v>93</v>
      </c>
      <c r="Y13" s="219" t="s">
        <v>93</v>
      </c>
      <c r="Z13" s="219" t="s">
        <v>93</v>
      </c>
      <c r="AA13" s="219" t="s">
        <v>93</v>
      </c>
      <c r="AB13" s="219" t="s">
        <v>1476</v>
      </c>
    </row>
    <row r="14" spans="1:28" s="86" customFormat="1" ht="35.25" customHeight="1">
      <c r="A14" s="193">
        <v>12</v>
      </c>
      <c r="B14" s="86" t="str">
        <f>Dashboard!$J$1</f>
        <v>GGO Web</v>
      </c>
      <c r="C14" s="191">
        <f ca="1">Dashboard!$F$1</f>
        <v>46156</v>
      </c>
      <c r="D14" s="191">
        <f ca="1">Dashboard!$H$1</f>
        <v>46170</v>
      </c>
      <c r="E14" s="10" t="s">
        <v>79</v>
      </c>
      <c r="F14" s="49" t="s">
        <v>268</v>
      </c>
      <c r="G14" s="224" t="s">
        <v>1477</v>
      </c>
      <c r="H14" s="16" t="s">
        <v>1478</v>
      </c>
      <c r="I14" s="16" t="s">
        <v>13</v>
      </c>
      <c r="J14" s="49">
        <v>2</v>
      </c>
      <c r="K14" s="49">
        <v>2</v>
      </c>
      <c r="L14" s="49"/>
      <c r="N14" s="133" t="s">
        <v>304</v>
      </c>
      <c r="P14" s="5" t="s">
        <v>1443</v>
      </c>
      <c r="Q14" s="96"/>
      <c r="R14" s="70" t="s">
        <v>1479</v>
      </c>
      <c r="S14" s="215">
        <v>45678</v>
      </c>
      <c r="T14" s="71">
        <v>45679</v>
      </c>
      <c r="U14" s="5" t="s">
        <v>231</v>
      </c>
      <c r="W14" s="86" t="s">
        <v>1161</v>
      </c>
      <c r="X14" s="141">
        <v>45679</v>
      </c>
      <c r="AB14" s="86" t="s">
        <v>1480</v>
      </c>
    </row>
    <row r="15" spans="1:28" ht="35.25" customHeight="1">
      <c r="A15" s="193">
        <v>13</v>
      </c>
      <c r="B15" s="86" t="str">
        <f>Dashboard!$J$1</f>
        <v>GGO Web</v>
      </c>
      <c r="C15" s="191">
        <f ca="1">Dashboard!$F$1</f>
        <v>46156</v>
      </c>
      <c r="D15" s="191">
        <f ca="1">Dashboard!$H$1</f>
        <v>46170</v>
      </c>
      <c r="E15" s="10" t="s">
        <v>79</v>
      </c>
      <c r="F15" s="49" t="s">
        <v>230</v>
      </c>
      <c r="G15" s="224" t="s">
        <v>1420</v>
      </c>
      <c r="H15" s="16" t="s">
        <v>1481</v>
      </c>
      <c r="I15" s="16" t="s">
        <v>271</v>
      </c>
      <c r="J15" s="49">
        <v>2</v>
      </c>
      <c r="K15" s="49">
        <v>2</v>
      </c>
      <c r="L15" s="49"/>
      <c r="M15" s="86"/>
      <c r="N15" s="133"/>
      <c r="O15" s="86"/>
      <c r="P15" s="5"/>
      <c r="Q15" s="96"/>
      <c r="R15" s="70"/>
      <c r="S15" s="215"/>
      <c r="T15" s="71"/>
      <c r="U15" s="5"/>
      <c r="V15" s="86"/>
      <c r="W15" s="86"/>
      <c r="X15" s="141"/>
      <c r="Y15" s="86"/>
      <c r="Z15" s="86"/>
      <c r="AA15" s="86"/>
      <c r="AB15" s="86" t="s">
        <v>1482</v>
      </c>
    </row>
  </sheetData>
  <hyperlinks>
    <hyperlink ref="G4" r:id="rId1" display="https://greatergiving.atlassian.net/browse/GGO-14474" xr:uid="{5D59942D-1C4C-4B36-B3FF-CC6BBDBB1547}"/>
    <hyperlink ref="R4" r:id="rId2" xr:uid="{5F6FB60A-7601-41C0-8217-DC08D18A7736}"/>
    <hyperlink ref="R3" r:id="rId3" xr:uid="{BCD36BFF-56F7-4F63-8BAD-8D1CC9D903B6}"/>
    <hyperlink ref="G5" r:id="rId4" display="https://greatergiving.atlassian.net/browse/PAPI-790" xr:uid="{951B7BF5-2067-4FE3-B137-D953CF97EC6B}"/>
    <hyperlink ref="G6" r:id="rId5" display="https://greatergiving.atlassian.net/browse/GGO-14450" xr:uid="{F4776FED-073F-4150-B990-12F2FD890329}"/>
    <hyperlink ref="G7" r:id="rId6" display="https://greatergiving.atlassian.net/browse/GGO-14422" xr:uid="{1A4F1344-A1A9-4B6A-9116-F75165BAB46D}"/>
    <hyperlink ref="G8" r:id="rId7" display="https://greatergiving.atlassian.net/browse/GGO-14483" xr:uid="{FAC73DA1-3076-4CED-A5FA-B4A1E7C84651}"/>
    <hyperlink ref="R5" r:id="rId8" xr:uid="{90FB854E-F786-4605-90B0-902A87205BE7}"/>
    <hyperlink ref="G9" r:id="rId9" display="https://greatergiving.atlassian.net/browse/PAPI-790" xr:uid="{90205948-C5AF-4F41-90DD-D0F468A15F14}"/>
    <hyperlink ref="G10" r:id="rId10" display="https://greatergiving.atlassian.net/browse/GGO-14469" xr:uid="{38B68C43-7C0E-47F9-8933-D92003C35876}"/>
    <hyperlink ref="G11" r:id="rId11" display="https://greatergiving.atlassian.net/browse/GGO-14468" xr:uid="{FE8E44B8-1137-4F6D-B6A9-79EE535A01CC}"/>
    <hyperlink ref="G12" r:id="rId12" display="https://greatergiving.atlassian.net/browse/GGO-14447" xr:uid="{9443A514-FDDD-4061-A5F2-ACB54B8091B2}"/>
    <hyperlink ref="R12" r:id="rId13" xr:uid="{75178069-34D3-498E-BADD-6F4A0B8C2CF7}"/>
    <hyperlink ref="G13" r:id="rId14" display="https://greatergiving.atlassian.net/browse/PAPI-789" xr:uid="{0ED0091C-34B1-432A-B79E-5F480CBA8349}"/>
    <hyperlink ref="R14" r:id="rId15" xr:uid="{15EA2BA2-BE03-4393-987C-C1EAF91AEE2D}"/>
    <hyperlink ref="R6" r:id="rId16" xr:uid="{6DBC49CE-7F43-42AF-B800-5F5189EEF795}"/>
  </hyperlinks>
  <pageMargins left="0" right="0" top="0" bottom="0" header="0" footer="0"/>
  <tableParts count="1">
    <tablePart r:id="rId17"/>
  </tableParts>
  <extLst>
    <ext xmlns:x14="http://schemas.microsoft.com/office/spreadsheetml/2009/9/main" uri="{CCE6A557-97BC-4b89-ADB6-D9C93CAAB3DF}">
      <x14:dataValidations xmlns:xm="http://schemas.microsoft.com/office/excel/2006/main" count="2">
        <x14:dataValidation type="list" allowBlank="1" showErrorMessage="1" xr:uid="{0C70CD8A-7B22-459F-A358-2755DE9908A1}">
          <x14:formula1>
            <xm:f>Settings!$C$3:$C$20</xm:f>
          </x14:formula1>
          <xm:sqref>I12:I14</xm:sqref>
        </x14:dataValidation>
        <x14:dataValidation type="list" allowBlank="1" showInputMessage="1" showErrorMessage="1" xr:uid="{3F2F7E11-4AC8-44B8-8803-82F1708884DC}">
          <x14:formula1>
            <xm:f>Settings!$C$3:$C$20</xm:f>
          </x14:formula1>
          <xm:sqref>I3 I5 I7:I11</xm:sqref>
        </x14:dataValidation>
      </x14:dataValidation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4BCBB-D5F8-4498-9F34-CE89A0A2DCE5}">
  <sheetPr>
    <outlinePr summaryBelow="0" summaryRight="0"/>
  </sheetPr>
  <dimension ref="A1:M6"/>
  <sheetViews>
    <sheetView topLeftCell="B1" workbookViewId="0">
      <selection activeCell="M6" sqref="M6"/>
    </sheetView>
  </sheetViews>
  <sheetFormatPr defaultColWidth="12.5703125" defaultRowHeight="15" customHeight="1"/>
  <cols>
    <col min="1" max="1" width="12.5703125" hidden="1" customWidth="1"/>
    <col min="2" max="2" width="21.42578125" customWidth="1"/>
    <col min="3" max="4" width="14.42578125" customWidth="1"/>
    <col min="5" max="5" width="19.140625" customWidth="1"/>
    <col min="6" max="6" width="12.5703125" customWidth="1"/>
    <col min="7" max="7" width="41.140625" customWidth="1"/>
    <col min="8" max="9" width="18.7109375" customWidth="1"/>
    <col min="10" max="10" width="9.140625" bestFit="1" customWidth="1"/>
    <col min="11" max="11" width="11.5703125" customWidth="1"/>
    <col min="12" max="12" width="18" customWidth="1"/>
    <col min="13" max="13" width="41.85546875" customWidth="1"/>
  </cols>
  <sheetData>
    <row r="1" spans="1:13" ht="13.5">
      <c r="A1" s="205" t="s">
        <v>241</v>
      </c>
      <c r="B1" s="42" t="s">
        <v>11</v>
      </c>
      <c r="C1" s="232" t="s">
        <v>289</v>
      </c>
      <c r="D1" s="232" t="s">
        <v>290</v>
      </c>
      <c r="E1" s="42" t="s">
        <v>243</v>
      </c>
      <c r="F1" s="232" t="s">
        <v>291</v>
      </c>
      <c r="G1" s="232" t="s">
        <v>292</v>
      </c>
      <c r="H1" s="1" t="s">
        <v>293</v>
      </c>
      <c r="I1" s="1" t="s">
        <v>294</v>
      </c>
      <c r="J1" s="1" t="s">
        <v>295</v>
      </c>
      <c r="K1" s="1" t="s">
        <v>246</v>
      </c>
      <c r="L1" s="204" t="s">
        <v>296</v>
      </c>
      <c r="M1" s="209" t="s">
        <v>267</v>
      </c>
    </row>
    <row r="2" spans="1:13" ht="70.5" customHeight="1">
      <c r="B2" s="10" t="s">
        <v>79</v>
      </c>
      <c r="C2" s="192" t="s">
        <v>1483</v>
      </c>
      <c r="D2" s="192" t="s">
        <v>1441</v>
      </c>
      <c r="E2" s="98" t="s">
        <v>281</v>
      </c>
      <c r="F2" s="10" t="s">
        <v>753</v>
      </c>
      <c r="G2" s="193" t="s">
        <v>1484</v>
      </c>
      <c r="H2" s="41" t="s">
        <v>562</v>
      </c>
      <c r="I2" s="233" t="s">
        <v>555</v>
      </c>
      <c r="J2" s="10" t="s">
        <v>556</v>
      </c>
      <c r="K2" s="10" t="s">
        <v>557</v>
      </c>
      <c r="L2" s="206" t="s">
        <v>1011</v>
      </c>
      <c r="M2" s="98"/>
    </row>
    <row r="3" spans="1:13" ht="33.75" customHeight="1">
      <c r="B3" s="10" t="s">
        <v>79</v>
      </c>
      <c r="C3" s="192" t="s">
        <v>1485</v>
      </c>
      <c r="D3" s="192" t="s">
        <v>1441</v>
      </c>
      <c r="E3" s="10" t="s">
        <v>231</v>
      </c>
      <c r="F3" s="10" t="s">
        <v>753</v>
      </c>
      <c r="G3" s="193" t="s">
        <v>1486</v>
      </c>
      <c r="H3" s="41" t="s">
        <v>562</v>
      </c>
      <c r="I3" s="233" t="s">
        <v>555</v>
      </c>
      <c r="J3" s="10" t="s">
        <v>556</v>
      </c>
      <c r="K3" s="10" t="s">
        <v>557</v>
      </c>
      <c r="L3" s="206" t="s">
        <v>1011</v>
      </c>
      <c r="M3" s="98"/>
    </row>
    <row r="4" spans="1:13" ht="50.25" customHeight="1">
      <c r="B4" s="10" t="s">
        <v>79</v>
      </c>
      <c r="C4" s="192" t="s">
        <v>1487</v>
      </c>
      <c r="D4" s="192" t="s">
        <v>1460</v>
      </c>
      <c r="E4" s="10" t="s">
        <v>231</v>
      </c>
      <c r="F4" s="10" t="s">
        <v>753</v>
      </c>
      <c r="G4" s="193" t="s">
        <v>1488</v>
      </c>
      <c r="H4" s="41" t="s">
        <v>562</v>
      </c>
      <c r="I4" s="233" t="s">
        <v>555</v>
      </c>
      <c r="J4" s="10" t="s">
        <v>556</v>
      </c>
      <c r="K4" s="10" t="s">
        <v>557</v>
      </c>
      <c r="L4" s="206" t="s">
        <v>1011</v>
      </c>
      <c r="M4" s="98" t="s">
        <v>1489</v>
      </c>
    </row>
    <row r="5" spans="1:13" ht="72" customHeight="1">
      <c r="B5" s="10" t="s">
        <v>79</v>
      </c>
      <c r="C5" s="192" t="s">
        <v>1490</v>
      </c>
      <c r="D5" s="192" t="s">
        <v>1460</v>
      </c>
      <c r="E5" s="10" t="s">
        <v>231</v>
      </c>
      <c r="F5" s="10" t="s">
        <v>753</v>
      </c>
      <c r="G5" s="193" t="s">
        <v>1491</v>
      </c>
      <c r="H5" s="41" t="s">
        <v>562</v>
      </c>
      <c r="I5" s="233" t="s">
        <v>555</v>
      </c>
      <c r="J5" s="10" t="s">
        <v>556</v>
      </c>
      <c r="K5" s="10" t="s">
        <v>557</v>
      </c>
      <c r="L5" s="206" t="s">
        <v>1011</v>
      </c>
      <c r="M5" s="86" t="s">
        <v>1492</v>
      </c>
    </row>
    <row r="6" spans="1:13" ht="15.75" customHeight="1">
      <c r="B6" s="10" t="s">
        <v>79</v>
      </c>
      <c r="C6" s="192" t="s">
        <v>1493</v>
      </c>
      <c r="D6" s="192" t="s">
        <v>1460</v>
      </c>
      <c r="E6" s="10" t="s">
        <v>231</v>
      </c>
      <c r="F6" s="10" t="s">
        <v>753</v>
      </c>
      <c r="G6" s="234" t="s">
        <v>1494</v>
      </c>
      <c r="H6" s="41" t="s">
        <v>562</v>
      </c>
      <c r="I6" s="233" t="s">
        <v>555</v>
      </c>
      <c r="J6" s="10" t="s">
        <v>556</v>
      </c>
      <c r="K6" s="10" t="s">
        <v>557</v>
      </c>
      <c r="L6" s="206" t="s">
        <v>1011</v>
      </c>
      <c r="M6" t="s">
        <v>1495</v>
      </c>
    </row>
  </sheetData>
  <dataValidations count="5">
    <dataValidation type="list" allowBlank="1" showErrorMessage="1" sqref="F2:F6" xr:uid="{6025611A-5776-4BEB-9410-52CD9255C42D}">
      <formula1>"Bounceback,Defect,None"</formula1>
    </dataValidation>
    <dataValidation type="list" allowBlank="1" showErrorMessage="1" sqref="H2:H6" xr:uid="{D6D1C0BF-9884-454A-8027-60D1F3AAA566}">
      <formula1>"Minor,Significant,Major"</formula1>
    </dataValidation>
    <dataValidation type="list" allowBlank="1" showErrorMessage="1" sqref="K2:K6" xr:uid="{87CC80D8-F7FB-4873-BFF4-19DAD6196266}">
      <formula1>"Open,Inprogress,Closed"</formula1>
    </dataValidation>
    <dataValidation type="list" allowBlank="1" showErrorMessage="1" sqref="J2:J6" xr:uid="{1ADAEE41-D86C-4F67-A2F1-A3699A76CF52}">
      <formula1>"Internal,External"</formula1>
    </dataValidation>
    <dataValidation type="list" allowBlank="1" showErrorMessage="1" sqref="I2:I6" xr:uid="{79360F3B-1CBB-45EC-B37F-C5B8ABF96332}">
      <formula1>"Manual, Automation"</formula1>
    </dataValidation>
  </dataValidations>
  <hyperlinks>
    <hyperlink ref="C2" r:id="rId1" display="https://greatergiving.atlassian.net/browse/GGO-14489" xr:uid="{EC515BD1-7BB2-4327-BCAD-CEAF6E13F9F6}"/>
    <hyperlink ref="C4" r:id="rId2" display="https://greatergiving.atlassian.net/browse/GGO-14489" xr:uid="{CD1BFABB-2231-4C06-8BC9-7BA1711CBBFB}"/>
    <hyperlink ref="C5" r:id="rId3" display="https://greatergiving.atlassian.net/browse/GGO-14489" xr:uid="{5AF327B4-AFB1-420A-A41A-FC4C62C13559}"/>
    <hyperlink ref="C6" r:id="rId4" display="https://greatergiving.atlassian.net/browse/GGO-14512" xr:uid="{FB2BA5FE-0691-4C91-9775-F08ED4C3F48D}"/>
    <hyperlink ref="D6" r:id="rId5" display="https://greatergiving.atlassian.net/browse/GGO-14483" xr:uid="{CFE88C5A-DC6D-4F5B-84B3-57BA8C4FED29}"/>
    <hyperlink ref="D5" r:id="rId6" display="https://greatergiving.atlassian.net/browse/GGO-14483" xr:uid="{AFFE9ED6-0C2D-46B1-A558-ED1BDDD19B74}"/>
    <hyperlink ref="D4" r:id="rId7" display="https://greatergiving.atlassian.net/browse/GGO-14483" xr:uid="{8978B27C-78B2-42E2-8C22-F38576F327A1}"/>
    <hyperlink ref="D3" r:id="rId8" display="https://greatergiving.atlassian.net/browse/GGO-14427" xr:uid="{2BF3FE31-8773-447A-BD7C-36A045F4EF07}"/>
    <hyperlink ref="D2" r:id="rId9" display="https://greatergiving.atlassian.net/browse/GGO-14427" xr:uid="{AC44BBEC-D6A4-471E-9BD2-FDE1808BBE82}"/>
    <hyperlink ref="C3" r:id="rId10" display="https://greatergiving.atlassian.net/browse/GGO-14489" xr:uid="{B79E12DE-9BF8-4586-94CF-736389CE0E8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855D2C3-1FA2-4A97-8CEB-E2D2A4FFA2AE}">
          <x14:formula1>
            <xm:f>Details!$A$2:$A$10</xm:f>
          </x14:formula1>
          <xm:sqref>L2:L6</xm:sqref>
        </x14:dataValidation>
      </x14:dataValidation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7E21-7995-44C4-8199-FCEF51F2D81B}">
  <sheetPr>
    <outlinePr summaryBelow="0" summaryRight="0"/>
  </sheetPr>
  <dimension ref="A1:AB9"/>
  <sheetViews>
    <sheetView showGridLines="0" workbookViewId="0">
      <pane xSplit="8" ySplit="1" topLeftCell="I2" activePane="bottomRight" state="frozen"/>
      <selection pane="bottomRight" activeCell="L1" sqref="L1"/>
      <selection pane="bottomLeft" activeCell="A3" sqref="A3"/>
      <selection pane="topRight" activeCell="F1" sqref="F1"/>
    </sheetView>
  </sheetViews>
  <sheetFormatPr defaultColWidth="12.5703125" defaultRowHeight="35.25" customHeight="1"/>
  <cols>
    <col min="1" max="1" width="7.5703125" style="43" customWidth="1"/>
    <col min="2" max="2" width="12" style="43" customWidth="1"/>
    <col min="3" max="4" width="10" style="43" customWidth="1"/>
    <col min="5" max="5" width="16.42578125" style="43" customWidth="1"/>
    <col min="6" max="6" width="27.85546875" style="43" customWidth="1"/>
    <col min="7" max="7" width="19.28515625" style="62" customWidth="1"/>
    <col min="8" max="8" width="53.85546875" style="43" bestFit="1" customWidth="1"/>
    <col min="9" max="9" width="53.85546875" style="43" customWidth="1"/>
    <col min="10" max="10" width="13.28515625" style="43" customWidth="1"/>
    <col min="11" max="11" width="14.42578125" style="43" bestFit="1" customWidth="1"/>
    <col min="12" max="12" width="14.42578125" style="43" customWidth="1"/>
    <col min="13" max="13" width="15.28515625" style="43" customWidth="1"/>
    <col min="14" max="14" width="22.85546875" style="43" bestFit="1" customWidth="1"/>
    <col min="15" max="15" width="24.28515625" style="43" bestFit="1" customWidth="1"/>
    <col min="16" max="16" width="19.7109375" style="43" customWidth="1"/>
    <col min="17" max="17" width="40" style="43" customWidth="1"/>
    <col min="18" max="18" width="25.42578125" style="43" customWidth="1"/>
    <col min="19" max="19" width="17.5703125" style="43" customWidth="1"/>
    <col min="20" max="20" width="14.85546875" style="43" customWidth="1"/>
    <col min="21" max="21" width="15.85546875" style="43" customWidth="1"/>
    <col min="22" max="22" width="37.85546875" style="43" customWidth="1"/>
    <col min="23" max="23" width="15.28515625" style="43" customWidth="1"/>
    <col min="24" max="24" width="16" style="43" bestFit="1" customWidth="1"/>
    <col min="25" max="25" width="31" style="43" customWidth="1"/>
    <col min="26" max="26" width="25.7109375" style="43" bestFit="1" customWidth="1"/>
    <col min="27" max="27" width="24" style="43" bestFit="1" customWidth="1"/>
    <col min="28" max="28" width="45.140625" style="43" customWidth="1"/>
    <col min="29" max="16384" width="12.5703125" style="43"/>
  </cols>
  <sheetData>
    <row r="1" spans="1:28" s="86" customFormat="1" ht="35.25" customHeight="1">
      <c r="A1" s="199" t="s">
        <v>241</v>
      </c>
      <c r="B1" s="200" t="s">
        <v>4</v>
      </c>
      <c r="C1" s="200" t="s">
        <v>2</v>
      </c>
      <c r="D1" s="200" t="s">
        <v>3</v>
      </c>
      <c r="E1" s="195" t="s">
        <v>242</v>
      </c>
      <c r="F1" s="195" t="s">
        <v>243</v>
      </c>
      <c r="G1" s="201" t="s">
        <v>244</v>
      </c>
      <c r="H1" s="195" t="s">
        <v>245</v>
      </c>
      <c r="I1" s="202" t="s">
        <v>246</v>
      </c>
      <c r="J1" s="195" t="s">
        <v>1438</v>
      </c>
      <c r="K1" s="195" t="s">
        <v>1439</v>
      </c>
      <c r="L1" s="195" t="s">
        <v>249</v>
      </c>
      <c r="M1" s="195" t="s">
        <v>252</v>
      </c>
      <c r="N1" s="195" t="s">
        <v>253</v>
      </c>
      <c r="O1" s="195" t="s">
        <v>254</v>
      </c>
      <c r="P1" s="195" t="s">
        <v>255</v>
      </c>
      <c r="Q1" s="195" t="s">
        <v>256</v>
      </c>
      <c r="R1" s="195" t="s">
        <v>257</v>
      </c>
      <c r="S1" s="195" t="s">
        <v>258</v>
      </c>
      <c r="T1" s="195" t="s">
        <v>259</v>
      </c>
      <c r="U1" s="195" t="s">
        <v>260</v>
      </c>
      <c r="V1" s="195" t="s">
        <v>261</v>
      </c>
      <c r="W1" s="195" t="s">
        <v>262</v>
      </c>
      <c r="X1" s="195" t="s">
        <v>263</v>
      </c>
      <c r="Y1" s="195" t="s">
        <v>264</v>
      </c>
      <c r="Z1" s="195" t="s">
        <v>265</v>
      </c>
      <c r="AA1" s="195" t="s">
        <v>266</v>
      </c>
      <c r="AB1" s="195" t="s">
        <v>267</v>
      </c>
    </row>
    <row r="2" spans="1:28" s="86" customFormat="1" ht="35.25" customHeight="1">
      <c r="A2" s="125">
        <v>1</v>
      </c>
      <c r="B2" s="125" t="str">
        <f>Dashboard!$J$1</f>
        <v>GGO Web</v>
      </c>
      <c r="C2" s="196">
        <f ca="1">Dashboard!$F$1</f>
        <v>46156</v>
      </c>
      <c r="D2" s="196">
        <f ca="1">Dashboard!$H$1</f>
        <v>46170</v>
      </c>
      <c r="E2" s="10" t="s">
        <v>75</v>
      </c>
      <c r="F2" s="5" t="s">
        <v>1496</v>
      </c>
      <c r="G2" s="185" t="s">
        <v>1497</v>
      </c>
      <c r="H2" s="16" t="s">
        <v>1498</v>
      </c>
      <c r="I2" s="178" t="s">
        <v>13</v>
      </c>
      <c r="J2" s="133">
        <v>3</v>
      </c>
      <c r="K2" s="133">
        <v>3</v>
      </c>
      <c r="L2" s="133"/>
      <c r="M2" s="167"/>
      <c r="N2" s="133" t="s">
        <v>304</v>
      </c>
      <c r="O2" s="125"/>
      <c r="P2" s="5" t="s">
        <v>1499</v>
      </c>
      <c r="Q2" s="127"/>
      <c r="R2" s="70" t="s">
        <v>1500</v>
      </c>
      <c r="S2" s="71">
        <v>45643</v>
      </c>
      <c r="T2" s="71">
        <v>45643</v>
      </c>
      <c r="U2" s="127" t="s">
        <v>231</v>
      </c>
      <c r="V2" s="125"/>
      <c r="W2" s="86" t="s">
        <v>867</v>
      </c>
      <c r="X2" s="71">
        <v>45643</v>
      </c>
      <c r="Y2" s="125"/>
      <c r="Z2" s="125"/>
      <c r="AA2" s="125"/>
      <c r="AB2" s="86" t="s">
        <v>1501</v>
      </c>
    </row>
    <row r="3" spans="1:28" s="102" customFormat="1" ht="35.25" customHeight="1">
      <c r="A3" s="86">
        <v>2</v>
      </c>
      <c r="B3" s="86" t="str">
        <f>Dashboard!$J$1</f>
        <v>GGO Web</v>
      </c>
      <c r="C3" s="191">
        <f ca="1">Dashboard!$F$1</f>
        <v>46156</v>
      </c>
      <c r="D3" s="191">
        <f ca="1">Dashboard!$H$1</f>
        <v>46170</v>
      </c>
      <c r="E3" s="10" t="s">
        <v>75</v>
      </c>
      <c r="F3" s="5" t="s">
        <v>1496</v>
      </c>
      <c r="G3" s="185" t="s">
        <v>1502</v>
      </c>
      <c r="H3" s="16" t="s">
        <v>1503</v>
      </c>
      <c r="I3" s="178" t="s">
        <v>13</v>
      </c>
      <c r="J3" s="133">
        <v>5</v>
      </c>
      <c r="K3" s="133">
        <v>5</v>
      </c>
      <c r="L3" s="133"/>
      <c r="M3" s="86"/>
      <c r="N3" s="133" t="s">
        <v>304</v>
      </c>
      <c r="O3" s="86"/>
      <c r="P3" s="5" t="s">
        <v>1443</v>
      </c>
      <c r="Q3" s="96"/>
      <c r="R3" s="5"/>
      <c r="S3" s="5"/>
      <c r="T3" s="5"/>
      <c r="U3" s="5"/>
      <c r="V3" s="86"/>
      <c r="W3" s="86"/>
      <c r="X3" s="86"/>
      <c r="Y3" s="86"/>
      <c r="Z3" s="86"/>
      <c r="AA3" s="86"/>
      <c r="AB3" s="197" t="s">
        <v>1504</v>
      </c>
    </row>
    <row r="4" spans="1:28" s="86" customFormat="1" ht="35.25" customHeight="1">
      <c r="A4" s="86">
        <v>3</v>
      </c>
      <c r="B4" s="86" t="str">
        <f>Dashboard!$J$1</f>
        <v>GGO Web</v>
      </c>
      <c r="C4" s="191">
        <f ca="1">Dashboard!$F$1</f>
        <v>46156</v>
      </c>
      <c r="D4" s="191">
        <f ca="1">Dashboard!$H$1</f>
        <v>46170</v>
      </c>
      <c r="E4" s="10" t="s">
        <v>75</v>
      </c>
      <c r="F4" s="5" t="s">
        <v>268</v>
      </c>
      <c r="G4" s="185" t="s">
        <v>1505</v>
      </c>
      <c r="H4" s="16" t="s">
        <v>1506</v>
      </c>
      <c r="I4" s="178" t="s">
        <v>13</v>
      </c>
      <c r="J4" s="133">
        <v>3</v>
      </c>
      <c r="K4" s="133">
        <v>3</v>
      </c>
      <c r="L4" s="133"/>
      <c r="N4" s="133" t="s">
        <v>304</v>
      </c>
      <c r="P4" s="5" t="s">
        <v>1443</v>
      </c>
      <c r="Q4" s="96"/>
      <c r="R4" s="70" t="s">
        <v>1507</v>
      </c>
      <c r="S4" s="71">
        <v>45639</v>
      </c>
      <c r="T4" s="71">
        <v>45643</v>
      </c>
      <c r="U4" s="5" t="s">
        <v>231</v>
      </c>
      <c r="W4" s="86" t="s">
        <v>867</v>
      </c>
      <c r="X4" s="141">
        <v>45643</v>
      </c>
      <c r="AB4" s="86" t="s">
        <v>1508</v>
      </c>
    </row>
    <row r="5" spans="1:28" s="190" customFormat="1" ht="36.75" customHeight="1">
      <c r="A5" s="86">
        <v>4</v>
      </c>
      <c r="B5" s="86" t="str">
        <f>Dashboard!$J$1</f>
        <v>GGO Web</v>
      </c>
      <c r="C5" s="191">
        <f ca="1">Dashboard!$F$1</f>
        <v>46156</v>
      </c>
      <c r="D5" s="191">
        <f ca="1">Dashboard!$H$1</f>
        <v>46170</v>
      </c>
      <c r="E5" s="10" t="s">
        <v>75</v>
      </c>
      <c r="F5" s="5" t="s">
        <v>268</v>
      </c>
      <c r="G5" s="185" t="s">
        <v>1509</v>
      </c>
      <c r="H5" s="16" t="s">
        <v>1510</v>
      </c>
      <c r="I5" s="178" t="s">
        <v>13</v>
      </c>
      <c r="J5" s="133">
        <v>2</v>
      </c>
      <c r="K5" s="133">
        <v>2</v>
      </c>
      <c r="L5" s="133"/>
      <c r="M5" s="86"/>
      <c r="N5" s="133" t="s">
        <v>304</v>
      </c>
      <c r="O5" s="86"/>
      <c r="P5" s="5" t="s">
        <v>1443</v>
      </c>
      <c r="Q5" s="96"/>
      <c r="R5" s="70" t="s">
        <v>1511</v>
      </c>
      <c r="S5" s="71">
        <v>45639</v>
      </c>
      <c r="T5" s="71">
        <v>45642</v>
      </c>
      <c r="U5" s="5" t="s">
        <v>231</v>
      </c>
      <c r="V5" s="86"/>
      <c r="W5" s="86" t="s">
        <v>1161</v>
      </c>
      <c r="X5" s="141">
        <v>45642</v>
      </c>
      <c r="Y5" s="86"/>
      <c r="Z5" s="86"/>
      <c r="AA5" s="86"/>
      <c r="AB5" s="86" t="s">
        <v>1512</v>
      </c>
    </row>
    <row r="6" spans="1:28" s="86" customFormat="1" ht="35.25" customHeight="1">
      <c r="A6" s="86">
        <v>5</v>
      </c>
      <c r="B6" s="86" t="str">
        <f>Dashboard!$J$1</f>
        <v>GGO Web</v>
      </c>
      <c r="C6" s="191">
        <f ca="1">Dashboard!$F$1</f>
        <v>46156</v>
      </c>
      <c r="D6" s="191">
        <f ca="1">Dashboard!$H$1</f>
        <v>46170</v>
      </c>
      <c r="E6" s="10" t="s">
        <v>75</v>
      </c>
      <c r="F6" s="5" t="s">
        <v>1443</v>
      </c>
      <c r="G6" s="185" t="s">
        <v>1513</v>
      </c>
      <c r="H6" s="16" t="s">
        <v>1514</v>
      </c>
      <c r="I6" s="178" t="s">
        <v>13</v>
      </c>
      <c r="J6" s="49">
        <v>3</v>
      </c>
      <c r="K6" s="49">
        <v>3</v>
      </c>
      <c r="L6" s="49"/>
      <c r="N6" s="133" t="s">
        <v>304</v>
      </c>
      <c r="P6" s="5" t="s">
        <v>268</v>
      </c>
      <c r="Q6" s="96"/>
      <c r="R6" s="70" t="s">
        <v>1515</v>
      </c>
      <c r="S6" s="71">
        <v>45653</v>
      </c>
      <c r="T6" s="194">
        <v>45656</v>
      </c>
      <c r="U6" s="5" t="s">
        <v>231</v>
      </c>
      <c r="W6" s="86" t="s">
        <v>867</v>
      </c>
      <c r="X6" s="194">
        <v>45656</v>
      </c>
    </row>
    <row r="7" spans="1:28" s="86" customFormat="1" ht="35.25" customHeight="1">
      <c r="A7" s="86">
        <v>6</v>
      </c>
      <c r="B7" s="86" t="str">
        <f>Dashboard!$J$1</f>
        <v>GGO Web</v>
      </c>
      <c r="C7" s="191">
        <f ca="1">Dashboard!$F$1</f>
        <v>46156</v>
      </c>
      <c r="D7" s="191">
        <f ca="1">Dashboard!$H$1</f>
        <v>46170</v>
      </c>
      <c r="E7" s="10" t="s">
        <v>75</v>
      </c>
      <c r="F7" s="5" t="s">
        <v>1454</v>
      </c>
      <c r="G7" s="185" t="s">
        <v>1516</v>
      </c>
      <c r="H7" s="16" t="s">
        <v>1517</v>
      </c>
      <c r="I7" s="178" t="s">
        <v>13</v>
      </c>
      <c r="J7" s="133">
        <v>3</v>
      </c>
      <c r="K7" s="133">
        <v>3</v>
      </c>
      <c r="L7" s="133"/>
      <c r="N7" s="133" t="s">
        <v>304</v>
      </c>
      <c r="P7" s="5" t="s">
        <v>1443</v>
      </c>
      <c r="Q7" s="96"/>
      <c r="R7" s="70" t="s">
        <v>1518</v>
      </c>
      <c r="S7" s="71">
        <v>45657</v>
      </c>
      <c r="T7" s="194">
        <v>45657</v>
      </c>
      <c r="U7" s="5" t="s">
        <v>231</v>
      </c>
      <c r="W7" s="86" t="s">
        <v>867</v>
      </c>
      <c r="X7" s="194">
        <v>45657</v>
      </c>
      <c r="AB7" s="86" t="s">
        <v>1519</v>
      </c>
    </row>
    <row r="8" spans="1:28" s="86" customFormat="1" ht="42" customHeight="1">
      <c r="A8" s="86">
        <v>7</v>
      </c>
      <c r="B8" s="86" t="str">
        <f>Dashboard!$J$1</f>
        <v>GGO Web</v>
      </c>
      <c r="C8" s="191">
        <f ca="1">Dashboard!$F$1</f>
        <v>46156</v>
      </c>
      <c r="D8" s="191">
        <f ca="1">Dashboard!$H$1</f>
        <v>46170</v>
      </c>
      <c r="E8" s="10" t="s">
        <v>75</v>
      </c>
      <c r="F8" s="5" t="s">
        <v>1440</v>
      </c>
      <c r="G8" s="185" t="s">
        <v>1441</v>
      </c>
      <c r="H8" s="16" t="s">
        <v>1442</v>
      </c>
      <c r="I8" s="198" t="s">
        <v>647</v>
      </c>
      <c r="J8" s="133">
        <v>5</v>
      </c>
      <c r="K8" s="133">
        <v>5</v>
      </c>
      <c r="L8" s="133"/>
      <c r="N8" s="133" t="s">
        <v>304</v>
      </c>
      <c r="P8" s="5" t="s">
        <v>1443</v>
      </c>
      <c r="Q8" s="96"/>
      <c r="R8" s="70" t="s">
        <v>1444</v>
      </c>
      <c r="S8" s="71">
        <v>45657</v>
      </c>
      <c r="T8" s="71">
        <v>37621</v>
      </c>
      <c r="U8" s="5" t="s">
        <v>231</v>
      </c>
      <c r="W8" s="86" t="s">
        <v>867</v>
      </c>
      <c r="X8" s="141">
        <v>45657</v>
      </c>
      <c r="AB8" s="86" t="s">
        <v>1445</v>
      </c>
    </row>
    <row r="9" spans="1:28" s="139" customFormat="1" ht="35.25" customHeight="1">
      <c r="A9" s="86">
        <v>8</v>
      </c>
      <c r="B9" s="86" t="str">
        <f>Dashboard!$J$1</f>
        <v>GGO Web</v>
      </c>
      <c r="C9" s="191">
        <f ca="1">Dashboard!$F$1</f>
        <v>46156</v>
      </c>
      <c r="D9" s="191">
        <f ca="1">Dashboard!$H$1</f>
        <v>46170</v>
      </c>
      <c r="E9" s="10" t="s">
        <v>75</v>
      </c>
      <c r="F9" s="5" t="s">
        <v>230</v>
      </c>
      <c r="G9" s="72" t="s">
        <v>1446</v>
      </c>
      <c r="H9" s="16" t="s">
        <v>1520</v>
      </c>
      <c r="I9" s="16" t="s">
        <v>1310</v>
      </c>
      <c r="J9" s="49">
        <v>3</v>
      </c>
      <c r="K9" s="16">
        <v>3</v>
      </c>
      <c r="L9" s="16"/>
      <c r="M9" s="86"/>
      <c r="N9" s="133" t="s">
        <v>304</v>
      </c>
      <c r="O9" s="86"/>
      <c r="P9" s="5" t="s">
        <v>1443</v>
      </c>
      <c r="Q9" s="96"/>
      <c r="R9" s="70" t="s">
        <v>1448</v>
      </c>
      <c r="S9" s="71">
        <v>45664</v>
      </c>
      <c r="T9" s="71">
        <v>45665</v>
      </c>
      <c r="U9" s="5" t="s">
        <v>231</v>
      </c>
      <c r="V9" s="86"/>
      <c r="W9" s="86" t="s">
        <v>1271</v>
      </c>
      <c r="X9" s="141">
        <v>45665</v>
      </c>
      <c r="Y9" s="86"/>
      <c r="Z9" s="86"/>
      <c r="AA9" s="86"/>
      <c r="AB9" s="86"/>
    </row>
  </sheetData>
  <hyperlinks>
    <hyperlink ref="R4" r:id="rId1" xr:uid="{6BE0A780-3E86-4E56-B3BD-5B3238C486DE}"/>
    <hyperlink ref="R5" r:id="rId2" xr:uid="{43D78E56-40F6-4714-9D09-EDAD28BED2AE}"/>
    <hyperlink ref="R2" r:id="rId3" xr:uid="{4C0FC325-672E-439C-9511-6A176933B228}"/>
    <hyperlink ref="R7" r:id="rId4" xr:uid="{6851F33F-3E5F-4E20-BF93-E9E40B500A05}"/>
    <hyperlink ref="R6" r:id="rId5" xr:uid="{BCA7AA28-51CF-409C-9A3B-4D704AC78570}"/>
    <hyperlink ref="G9" r:id="rId6" display="https://greatergiving.atlassian.net/browse/GGO-14474" xr:uid="{867594FA-00C1-40F0-AB8D-BEDB070C02D4}"/>
    <hyperlink ref="R9" r:id="rId7" xr:uid="{CD3BC1D1-36F2-40B6-AA9E-70DB414A52C5}"/>
    <hyperlink ref="R8" r:id="rId8" xr:uid="{90D73EA3-CAA0-4250-9C1E-D036DD7395CA}"/>
  </hyperlinks>
  <pageMargins left="0" right="0" top="0" bottom="0" header="0" footer="0"/>
  <tableParts count="1">
    <tablePart r:id="rId9"/>
  </tablePart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87C0C-E23E-4D10-97A0-FA917BB61692}">
  <sheetPr>
    <outlinePr summaryBelow="0" summaryRight="0"/>
  </sheetPr>
  <dimension ref="A1:K9"/>
  <sheetViews>
    <sheetView topLeftCell="B1" workbookViewId="0">
      <selection activeCell="F8" sqref="F8"/>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205" t="s">
        <v>241</v>
      </c>
      <c r="B1" s="1" t="s">
        <v>11</v>
      </c>
      <c r="C1" s="203" t="s">
        <v>289</v>
      </c>
      <c r="D1" s="1" t="s">
        <v>243</v>
      </c>
      <c r="E1" s="203" t="s">
        <v>291</v>
      </c>
      <c r="F1" s="203" t="s">
        <v>292</v>
      </c>
      <c r="G1" s="1" t="s">
        <v>293</v>
      </c>
      <c r="H1" s="1" t="s">
        <v>295</v>
      </c>
      <c r="I1" s="1" t="s">
        <v>246</v>
      </c>
      <c r="J1" s="204" t="s">
        <v>296</v>
      </c>
      <c r="K1" s="3" t="s">
        <v>267</v>
      </c>
    </row>
    <row r="2" spans="1:11" ht="48" customHeight="1">
      <c r="A2" s="153"/>
      <c r="B2" s="10" t="s">
        <v>75</v>
      </c>
      <c r="C2" s="72" t="s">
        <v>1521</v>
      </c>
      <c r="D2" s="98" t="s">
        <v>281</v>
      </c>
      <c r="E2" s="10" t="s">
        <v>753</v>
      </c>
      <c r="F2" s="130" t="s">
        <v>1522</v>
      </c>
      <c r="G2" s="10" t="s">
        <v>554</v>
      </c>
      <c r="H2" s="10" t="s">
        <v>556</v>
      </c>
      <c r="I2" s="10" t="s">
        <v>557</v>
      </c>
      <c r="J2" s="10" t="s">
        <v>558</v>
      </c>
      <c r="K2" s="156"/>
    </row>
    <row r="3" spans="1:11" ht="57.75" customHeight="1">
      <c r="A3" s="153"/>
      <c r="B3" s="10" t="s">
        <v>75</v>
      </c>
      <c r="C3" s="137" t="s">
        <v>1523</v>
      </c>
      <c r="D3" s="10" t="s">
        <v>231</v>
      </c>
      <c r="E3" s="10" t="s">
        <v>753</v>
      </c>
      <c r="F3" s="16" t="s">
        <v>1524</v>
      </c>
      <c r="G3" s="10" t="s">
        <v>562</v>
      </c>
      <c r="H3" s="10" t="s">
        <v>556</v>
      </c>
      <c r="I3" s="10" t="s">
        <v>557</v>
      </c>
      <c r="J3" s="10" t="s">
        <v>1011</v>
      </c>
      <c r="K3" s="10"/>
    </row>
    <row r="4" spans="1:11" ht="51.75" customHeight="1">
      <c r="B4" s="10" t="s">
        <v>75</v>
      </c>
      <c r="C4" s="192" t="s">
        <v>1525</v>
      </c>
      <c r="D4" s="98" t="s">
        <v>281</v>
      </c>
      <c r="E4" s="10" t="s">
        <v>753</v>
      </c>
      <c r="F4" s="86" t="s">
        <v>1526</v>
      </c>
      <c r="G4" s="10" t="s">
        <v>562</v>
      </c>
      <c r="H4" s="10" t="s">
        <v>556</v>
      </c>
      <c r="I4" s="10" t="s">
        <v>557</v>
      </c>
      <c r="J4" s="10" t="s">
        <v>1011</v>
      </c>
      <c r="K4" s="98"/>
    </row>
    <row r="5" spans="1:11" ht="33" customHeight="1">
      <c r="B5" s="10" t="s">
        <v>75</v>
      </c>
      <c r="C5" s="192" t="s">
        <v>1527</v>
      </c>
      <c r="D5" s="10" t="s">
        <v>231</v>
      </c>
      <c r="E5" s="10" t="s">
        <v>753</v>
      </c>
      <c r="F5" s="86" t="s">
        <v>1528</v>
      </c>
      <c r="G5" s="10" t="s">
        <v>562</v>
      </c>
      <c r="H5" s="10" t="s">
        <v>556</v>
      </c>
      <c r="I5" s="10" t="s">
        <v>557</v>
      </c>
      <c r="J5" s="10" t="s">
        <v>1011</v>
      </c>
      <c r="K5" s="98"/>
    </row>
    <row r="6" spans="1:11" ht="15.75" customHeight="1">
      <c r="B6" s="10" t="s">
        <v>75</v>
      </c>
      <c r="C6" s="192" t="s">
        <v>1529</v>
      </c>
      <c r="D6" s="10" t="s">
        <v>231</v>
      </c>
      <c r="E6" s="10" t="s">
        <v>753</v>
      </c>
      <c r="F6" s="98" t="s">
        <v>1530</v>
      </c>
      <c r="G6" s="10" t="s">
        <v>562</v>
      </c>
      <c r="H6" s="10" t="s">
        <v>556</v>
      </c>
      <c r="I6" s="10" t="s">
        <v>557</v>
      </c>
      <c r="J6" s="10" t="s">
        <v>1011</v>
      </c>
      <c r="K6" s="98"/>
    </row>
    <row r="7" spans="1:11" ht="15.75" customHeight="1">
      <c r="B7" s="10" t="s">
        <v>75</v>
      </c>
      <c r="C7" s="192" t="s">
        <v>1531</v>
      </c>
      <c r="D7" s="10" t="s">
        <v>268</v>
      </c>
      <c r="E7" s="10" t="s">
        <v>753</v>
      </c>
      <c r="F7" s="98" t="s">
        <v>1532</v>
      </c>
      <c r="G7" s="10" t="s">
        <v>562</v>
      </c>
      <c r="H7" s="10" t="s">
        <v>556</v>
      </c>
      <c r="I7" s="10" t="s">
        <v>557</v>
      </c>
      <c r="J7" s="10" t="s">
        <v>1011</v>
      </c>
      <c r="K7" s="98"/>
    </row>
    <row r="8" spans="1:11" ht="70.5" customHeight="1">
      <c r="B8" s="10" t="s">
        <v>75</v>
      </c>
      <c r="C8" s="192" t="s">
        <v>1483</v>
      </c>
      <c r="D8" s="98" t="s">
        <v>281</v>
      </c>
      <c r="E8" s="10" t="s">
        <v>753</v>
      </c>
      <c r="F8" s="193" t="s">
        <v>1484</v>
      </c>
      <c r="G8" s="10" t="s">
        <v>562</v>
      </c>
      <c r="H8" s="10" t="s">
        <v>556</v>
      </c>
      <c r="I8" s="10" t="s">
        <v>1015</v>
      </c>
      <c r="J8" s="10" t="s">
        <v>1011</v>
      </c>
      <c r="K8" s="98"/>
    </row>
    <row r="9" spans="1:11" ht="15.75" customHeight="1">
      <c r="B9" s="10" t="s">
        <v>75</v>
      </c>
      <c r="C9" s="192" t="s">
        <v>1485</v>
      </c>
      <c r="D9" s="10" t="s">
        <v>231</v>
      </c>
      <c r="E9" s="10" t="s">
        <v>753</v>
      </c>
      <c r="F9" s="193" t="s">
        <v>1486</v>
      </c>
      <c r="G9" s="10" t="s">
        <v>562</v>
      </c>
      <c r="H9" s="10" t="s">
        <v>556</v>
      </c>
      <c r="I9" s="10" t="s">
        <v>557</v>
      </c>
      <c r="J9" s="10" t="s">
        <v>1011</v>
      </c>
      <c r="K9" s="98"/>
    </row>
  </sheetData>
  <dataValidations count="4">
    <dataValidation type="list" allowBlank="1" showErrorMessage="1" sqref="F2 E2:E9" xr:uid="{45043BB9-0302-4809-BDD9-E474BA84841C}">
      <formula1>"Bounceback,Defect,None"</formula1>
    </dataValidation>
    <dataValidation type="list" allowBlank="1" showErrorMessage="1" sqref="H2:H9" xr:uid="{E338FACC-F3A3-42EE-948C-A94363AE53F1}">
      <formula1>"Internal,External"</formula1>
    </dataValidation>
    <dataValidation type="list" allowBlank="1" showErrorMessage="1" sqref="I2:I9" xr:uid="{E42D4599-0038-44DF-B4CD-E805D5FAD8D4}">
      <formula1>"Open,Inprogress,Closed"</formula1>
    </dataValidation>
    <dataValidation type="list" allowBlank="1" showErrorMessage="1" sqref="G2:G9" xr:uid="{DD806246-C78D-46A4-80E6-6EBC7CE5BCA5}">
      <formula1>"Minor,Significant,Major"</formula1>
    </dataValidation>
  </dataValidations>
  <hyperlinks>
    <hyperlink ref="C2" r:id="rId1" display="https://greatergiving.atlassian.net/browse/GGO-14479" xr:uid="{4E335917-1DAB-42E8-A272-1F6682A48E3E}"/>
    <hyperlink ref="C3" r:id="rId2" display="https://greatergiving.atlassian.net/browse/GGO-14480" xr:uid="{D0549279-E6F7-438B-A3B8-84E92FEFB6E8}"/>
    <hyperlink ref="C4" r:id="rId3" display="https://greatergiving.atlassian.net/browse/GGO-14481" xr:uid="{60C02D1C-3B00-489F-BB6B-07C2435426EA}"/>
    <hyperlink ref="C5" r:id="rId4" display="https://greatergiving.atlassian.net/browse/GGO-14486" xr:uid="{36ECB0C2-B1F8-4871-BF26-EA7DB773A069}"/>
    <hyperlink ref="C6" r:id="rId5" display="https://greatergiving.atlassian.net/browse/GGO-14488" xr:uid="{BBF674C7-B76B-4382-A62F-4E811BF601A2}"/>
    <hyperlink ref="C7" r:id="rId6" display="https://greatergiving.atlassian.net/browse/GGO-14476" xr:uid="{1EF83C99-7C6A-485A-BB83-638A7A2CA39C}"/>
    <hyperlink ref="C8" r:id="rId7" display="https://greatergiving.atlassian.net/browse/GGO-14489" xr:uid="{7D58D067-F9F1-4455-8D93-B2B51CD3582D}"/>
    <hyperlink ref="C9" r:id="rId8" display="https://greatergiving.atlassian.net/browse/GGO-14489" xr:uid="{DD9CB282-AC5D-4F9E-8478-37E90E63A63B}"/>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6C4AD00-012C-4E35-A5FC-1C2513A53BB5}">
          <x14:formula1>
            <xm:f>Details!$A$2:$A$10</xm:f>
          </x14:formula1>
          <xm:sqref>J2:J9</xm:sqref>
        </x14:dataValidation>
      </x14:dataValidation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03835-0094-424F-A4E5-8B002BDCC0A9}">
  <sheetPr>
    <outlinePr summaryBelow="0" summaryRight="0"/>
  </sheetPr>
  <dimension ref="A1:X11"/>
  <sheetViews>
    <sheetView showGridLines="0" workbookViewId="0">
      <pane xSplit="5" ySplit="1" topLeftCell="F4" activePane="bottomRight" state="frozen"/>
      <selection pane="bottomRight" activeCell="E4" sqref="E4"/>
      <selection pane="bottomLeft" activeCell="A3" sqref="A3"/>
      <selection pane="topRight" activeCell="F1" sqref="F1"/>
    </sheetView>
  </sheetViews>
  <sheetFormatPr defaultColWidth="12.5703125" defaultRowHeight="35.25" customHeight="1"/>
  <cols>
    <col min="1" max="1" width="7.5703125" style="43" customWidth="1"/>
    <col min="2" max="2" width="22.7109375" style="43" customWidth="1"/>
    <col min="3" max="3" width="27.85546875" style="43" customWidth="1"/>
    <col min="4" max="4" width="19.28515625" style="62" customWidth="1"/>
    <col min="5" max="5" width="53.85546875" style="43" bestFit="1" customWidth="1"/>
    <col min="6" max="6" width="53.85546875" style="43" customWidth="1"/>
    <col min="7" max="7" width="13.28515625" style="43" customWidth="1"/>
    <col min="8" max="8" width="14.42578125" style="43" bestFit="1" customWidth="1"/>
    <col min="9" max="9" width="15.28515625" style="43" customWidth="1"/>
    <col min="10" max="10" width="22.85546875" style="43" bestFit="1" customWidth="1"/>
    <col min="11" max="11" width="24.28515625" style="43" bestFit="1" customWidth="1"/>
    <col min="12" max="12" width="19.7109375" style="43" customWidth="1"/>
    <col min="13" max="13" width="40" style="43" customWidth="1"/>
    <col min="14" max="14" width="25.42578125" style="43" customWidth="1"/>
    <col min="15" max="15" width="17.5703125" style="43" customWidth="1"/>
    <col min="16" max="16" width="14.85546875" style="43" customWidth="1"/>
    <col min="17" max="17" width="15.85546875" style="43" customWidth="1"/>
    <col min="18" max="18" width="37.85546875" style="43" customWidth="1"/>
    <col min="19" max="19" width="13.140625" style="43" customWidth="1"/>
    <col min="20" max="20" width="16" style="43" bestFit="1" customWidth="1"/>
    <col min="21" max="21" width="31" style="43" customWidth="1"/>
    <col min="22" max="22" width="25.7109375" style="43" bestFit="1" customWidth="1"/>
    <col min="23" max="23" width="24" style="43" bestFit="1" customWidth="1"/>
    <col min="24" max="24" width="35.5703125" style="43" customWidth="1"/>
    <col min="25" max="16384" width="12.5703125" style="43"/>
  </cols>
  <sheetData>
    <row r="1" spans="1:24" s="86" customFormat="1" ht="35.25" customHeight="1">
      <c r="A1" s="172" t="s">
        <v>241</v>
      </c>
      <c r="B1" s="173" t="s">
        <v>242</v>
      </c>
      <c r="C1" s="173" t="s">
        <v>243</v>
      </c>
      <c r="D1" s="174" t="s">
        <v>244</v>
      </c>
      <c r="E1" s="173" t="s">
        <v>245</v>
      </c>
      <c r="F1" s="175" t="s">
        <v>246</v>
      </c>
      <c r="G1" s="173" t="s">
        <v>1438</v>
      </c>
      <c r="H1" s="173" t="s">
        <v>1439</v>
      </c>
      <c r="I1" s="173" t="s">
        <v>252</v>
      </c>
      <c r="J1" s="173" t="s">
        <v>253</v>
      </c>
      <c r="K1" s="173" t="s">
        <v>254</v>
      </c>
      <c r="L1" s="173" t="s">
        <v>255</v>
      </c>
      <c r="M1" s="173" t="s">
        <v>256</v>
      </c>
      <c r="N1" s="173" t="s">
        <v>257</v>
      </c>
      <c r="O1" s="173" t="s">
        <v>258</v>
      </c>
      <c r="P1" s="173" t="s">
        <v>259</v>
      </c>
      <c r="Q1" s="173" t="s">
        <v>260</v>
      </c>
      <c r="R1" s="173" t="s">
        <v>261</v>
      </c>
      <c r="S1" s="173" t="s">
        <v>262</v>
      </c>
      <c r="T1" s="173" t="s">
        <v>263</v>
      </c>
      <c r="U1" s="173" t="s">
        <v>264</v>
      </c>
      <c r="V1" s="173" t="s">
        <v>265</v>
      </c>
      <c r="W1" s="173" t="s">
        <v>266</v>
      </c>
      <c r="X1" s="173" t="s">
        <v>267</v>
      </c>
    </row>
    <row r="2" spans="1:24" s="86" customFormat="1" ht="35.25" customHeight="1">
      <c r="A2" s="170">
        <v>1</v>
      </c>
      <c r="B2" s="10" t="s">
        <v>71</v>
      </c>
      <c r="C2" s="5" t="s">
        <v>1496</v>
      </c>
      <c r="D2" s="185" t="s">
        <v>1497</v>
      </c>
      <c r="E2" s="16" t="s">
        <v>1533</v>
      </c>
      <c r="F2" s="171" t="s">
        <v>1015</v>
      </c>
      <c r="G2" s="133">
        <v>5</v>
      </c>
      <c r="H2" s="133">
        <v>5</v>
      </c>
      <c r="I2" s="167"/>
      <c r="J2" s="133"/>
      <c r="K2" s="125"/>
      <c r="L2" s="127"/>
      <c r="M2" s="127"/>
      <c r="N2" s="70"/>
      <c r="O2" s="132"/>
      <c r="P2" s="132"/>
      <c r="Q2" s="127"/>
      <c r="R2" s="125"/>
      <c r="S2" s="125"/>
      <c r="T2" s="134"/>
      <c r="U2" s="125"/>
      <c r="V2" s="125"/>
      <c r="W2" s="125"/>
      <c r="X2" s="86" t="s">
        <v>1534</v>
      </c>
    </row>
    <row r="3" spans="1:24" s="86" customFormat="1" ht="35.25" customHeight="1">
      <c r="A3" s="111">
        <v>2</v>
      </c>
      <c r="B3" s="10" t="s">
        <v>71</v>
      </c>
      <c r="C3" s="88" t="s">
        <v>268</v>
      </c>
      <c r="D3" s="186" t="s">
        <v>1535</v>
      </c>
      <c r="E3" s="16" t="s">
        <v>1536</v>
      </c>
      <c r="F3" s="178" t="s">
        <v>13</v>
      </c>
      <c r="G3" s="133">
        <v>3</v>
      </c>
      <c r="H3" s="133">
        <v>3</v>
      </c>
      <c r="I3" s="102"/>
      <c r="J3" s="177"/>
      <c r="K3" s="102"/>
      <c r="L3" s="88"/>
      <c r="M3" s="109"/>
      <c r="N3" s="88"/>
      <c r="O3" s="88"/>
      <c r="P3" s="88"/>
      <c r="Q3" s="88"/>
      <c r="R3" s="102"/>
      <c r="S3" s="102"/>
      <c r="T3" s="102"/>
      <c r="U3" s="102"/>
      <c r="V3" s="102"/>
      <c r="W3" s="102"/>
      <c r="X3" s="102" t="s">
        <v>1537</v>
      </c>
    </row>
    <row r="4" spans="1:24" s="86" customFormat="1" ht="35.25" customHeight="1">
      <c r="A4" s="111">
        <v>3</v>
      </c>
      <c r="B4" s="10" t="s">
        <v>71</v>
      </c>
      <c r="C4" s="88" t="s">
        <v>268</v>
      </c>
      <c r="D4" s="186" t="s">
        <v>1538</v>
      </c>
      <c r="E4" s="16" t="s">
        <v>1539</v>
      </c>
      <c r="F4" s="179" t="s">
        <v>13</v>
      </c>
      <c r="G4" s="177">
        <v>3</v>
      </c>
      <c r="H4" s="180">
        <v>3</v>
      </c>
      <c r="I4" s="102"/>
      <c r="J4" s="177"/>
      <c r="K4" s="102"/>
      <c r="L4" s="88"/>
      <c r="M4" s="109"/>
      <c r="N4" s="104" t="s">
        <v>1540</v>
      </c>
      <c r="O4" s="114">
        <v>45630</v>
      </c>
      <c r="P4" s="114">
        <v>45632</v>
      </c>
      <c r="Q4" s="88" t="s">
        <v>231</v>
      </c>
      <c r="R4" s="102"/>
      <c r="S4" s="102" t="s">
        <v>1541</v>
      </c>
      <c r="T4" s="88" t="s">
        <v>1542</v>
      </c>
      <c r="U4" s="120"/>
      <c r="X4" s="111"/>
    </row>
    <row r="5" spans="1:24" ht="35.25" customHeight="1">
      <c r="A5" s="111">
        <v>4</v>
      </c>
      <c r="B5" s="10" t="s">
        <v>71</v>
      </c>
      <c r="C5" s="88" t="s">
        <v>1443</v>
      </c>
      <c r="D5" s="186" t="s">
        <v>1543</v>
      </c>
      <c r="E5" s="16" t="s">
        <v>1544</v>
      </c>
      <c r="F5" s="178" t="s">
        <v>13</v>
      </c>
      <c r="G5" s="133">
        <v>2</v>
      </c>
      <c r="H5" s="133">
        <v>2</v>
      </c>
      <c r="I5" s="86"/>
      <c r="J5" s="133"/>
      <c r="K5" s="86"/>
      <c r="L5" s="5"/>
      <c r="M5" s="96"/>
      <c r="N5" s="5"/>
      <c r="O5" s="5"/>
      <c r="P5" s="5"/>
      <c r="Q5" s="5"/>
      <c r="R5" s="86"/>
      <c r="S5" s="86"/>
      <c r="T5" s="86"/>
      <c r="U5" s="115"/>
      <c r="V5" s="86"/>
      <c r="W5" s="86"/>
      <c r="X5" s="138" t="s">
        <v>1545</v>
      </c>
    </row>
    <row r="6" spans="1:24" ht="35.25" customHeight="1">
      <c r="A6" s="111">
        <v>5</v>
      </c>
      <c r="B6" s="10" t="s">
        <v>71</v>
      </c>
      <c r="C6" s="88" t="s">
        <v>304</v>
      </c>
      <c r="D6" s="187" t="s">
        <v>1546</v>
      </c>
      <c r="E6" s="16" t="s">
        <v>1547</v>
      </c>
      <c r="F6" s="178" t="s">
        <v>13</v>
      </c>
      <c r="G6" s="133">
        <v>1</v>
      </c>
      <c r="H6" s="133">
        <v>1</v>
      </c>
      <c r="I6" s="86"/>
      <c r="J6" s="133"/>
      <c r="K6" s="102"/>
      <c r="L6" s="88"/>
      <c r="M6" s="109"/>
      <c r="N6" s="88"/>
      <c r="O6" s="88"/>
      <c r="P6" s="88"/>
      <c r="Q6" s="88"/>
      <c r="R6" s="102"/>
      <c r="S6" s="102"/>
      <c r="T6" s="102"/>
      <c r="U6" s="120"/>
      <c r="V6" s="86"/>
      <c r="W6" s="86"/>
      <c r="X6" s="111" t="s">
        <v>1548</v>
      </c>
    </row>
    <row r="7" spans="1:24" ht="35.25" customHeight="1">
      <c r="A7" s="111">
        <v>6</v>
      </c>
      <c r="B7" s="10" t="s">
        <v>71</v>
      </c>
      <c r="C7" s="88" t="s">
        <v>304</v>
      </c>
      <c r="D7" s="187" t="s">
        <v>1549</v>
      </c>
      <c r="E7" s="16" t="s">
        <v>1550</v>
      </c>
      <c r="F7" s="181" t="s">
        <v>13</v>
      </c>
      <c r="G7" s="177">
        <v>2</v>
      </c>
      <c r="H7" s="177">
        <v>2</v>
      </c>
      <c r="J7" s="180"/>
      <c r="K7" s="115"/>
      <c r="L7" s="65"/>
      <c r="M7" s="184"/>
      <c r="N7" s="5"/>
      <c r="O7" s="5"/>
      <c r="P7" s="5"/>
      <c r="Q7" s="5"/>
      <c r="R7" s="115"/>
      <c r="S7" s="86"/>
      <c r="T7" s="86"/>
      <c r="U7" s="115"/>
      <c r="V7" s="86"/>
      <c r="W7" s="86"/>
      <c r="X7" s="111"/>
    </row>
    <row r="8" spans="1:24" ht="35.25" customHeight="1">
      <c r="A8" s="111">
        <v>7</v>
      </c>
      <c r="B8" s="10" t="s">
        <v>71</v>
      </c>
      <c r="C8" s="88" t="s">
        <v>268</v>
      </c>
      <c r="D8" s="186" t="s">
        <v>1551</v>
      </c>
      <c r="E8" s="16" t="s">
        <v>1552</v>
      </c>
      <c r="F8" s="178" t="s">
        <v>13</v>
      </c>
      <c r="G8" s="182">
        <v>2</v>
      </c>
      <c r="H8" s="182">
        <v>2</v>
      </c>
      <c r="I8" s="86"/>
      <c r="J8" s="183"/>
      <c r="K8" s="115"/>
      <c r="L8" s="65"/>
      <c r="M8" s="184"/>
      <c r="N8" s="70" t="s">
        <v>1553</v>
      </c>
      <c r="O8" s="71">
        <v>45636</v>
      </c>
      <c r="P8" s="71">
        <v>45637</v>
      </c>
      <c r="Q8" s="5" t="s">
        <v>231</v>
      </c>
      <c r="R8" s="115"/>
      <c r="S8" s="102" t="s">
        <v>1541</v>
      </c>
      <c r="T8" s="71">
        <v>45637</v>
      </c>
      <c r="U8" s="115"/>
      <c r="V8" s="86"/>
      <c r="W8" s="86"/>
      <c r="X8" s="111" t="s">
        <v>1554</v>
      </c>
    </row>
    <row r="9" spans="1:24" ht="35.25" customHeight="1">
      <c r="A9" s="111">
        <v>8</v>
      </c>
      <c r="B9" s="10" t="s">
        <v>71</v>
      </c>
      <c r="C9" s="88" t="s">
        <v>304</v>
      </c>
      <c r="D9" s="103" t="s">
        <v>1555</v>
      </c>
      <c r="E9" s="16" t="s">
        <v>1556</v>
      </c>
      <c r="F9" s="178" t="s">
        <v>436</v>
      </c>
      <c r="G9" s="182">
        <v>1</v>
      </c>
      <c r="H9" s="182">
        <v>1</v>
      </c>
      <c r="J9" s="177"/>
      <c r="L9" s="55"/>
      <c r="M9" s="56"/>
      <c r="N9" s="55"/>
      <c r="O9" s="55"/>
      <c r="P9" s="55"/>
      <c r="Q9" s="55"/>
      <c r="V9" s="86"/>
      <c r="W9" s="86"/>
      <c r="X9" s="111" t="s">
        <v>1557</v>
      </c>
    </row>
    <row r="10" spans="1:24" s="188" customFormat="1" ht="35.25" customHeight="1">
      <c r="A10" s="111">
        <v>9</v>
      </c>
      <c r="B10" s="111" t="s">
        <v>71</v>
      </c>
      <c r="C10" s="88" t="s">
        <v>304</v>
      </c>
      <c r="D10" s="91" t="s">
        <v>1558</v>
      </c>
      <c r="E10" s="16" t="s">
        <v>1559</v>
      </c>
      <c r="F10" s="178" t="s">
        <v>436</v>
      </c>
      <c r="G10" s="182">
        <v>1</v>
      </c>
      <c r="H10" s="182">
        <v>1</v>
      </c>
      <c r="I10" s="111"/>
      <c r="J10" s="111"/>
      <c r="K10" s="111"/>
      <c r="L10" s="111"/>
      <c r="M10" s="111"/>
      <c r="N10" s="111"/>
      <c r="O10" s="111"/>
      <c r="P10" s="111"/>
      <c r="Q10" s="111"/>
      <c r="R10" s="111"/>
      <c r="S10" s="111"/>
      <c r="T10" s="111"/>
      <c r="U10" s="189"/>
      <c r="V10" s="86"/>
      <c r="W10" s="86"/>
      <c r="X10" s="111" t="s">
        <v>1557</v>
      </c>
    </row>
    <row r="11" spans="1:24" ht="35.25" customHeight="1">
      <c r="A11" s="111">
        <v>10</v>
      </c>
      <c r="B11" s="111" t="s">
        <v>71</v>
      </c>
      <c r="C11" s="88" t="s">
        <v>304</v>
      </c>
      <c r="D11" s="103" t="s">
        <v>1560</v>
      </c>
      <c r="E11" s="16" t="s">
        <v>1561</v>
      </c>
      <c r="F11" s="178" t="s">
        <v>13</v>
      </c>
      <c r="G11" s="182">
        <v>1</v>
      </c>
      <c r="H11" s="182">
        <v>1</v>
      </c>
      <c r="J11" s="177"/>
      <c r="L11" s="55"/>
      <c r="M11" s="56"/>
      <c r="N11" s="55"/>
      <c r="O11" s="55"/>
      <c r="P11" s="55"/>
      <c r="Q11" s="55"/>
      <c r="V11" s="86"/>
      <c r="W11" s="86"/>
      <c r="X11" s="111" t="s">
        <v>1562</v>
      </c>
    </row>
  </sheetData>
  <hyperlinks>
    <hyperlink ref="D7" r:id="rId1" display="https://greatergiving.atlassian.net/browse/GGO-14402" xr:uid="{FE40B93B-AA15-4388-8631-42049107D9C5}"/>
    <hyperlink ref="D6" r:id="rId2" display="https://greatergiving.atlassian.net/browse/GGO-13319" xr:uid="{7E8C50A3-E7A1-4CEF-865C-0587BF352780}"/>
    <hyperlink ref="N4" r:id="rId3" xr:uid="{C3EE0EEB-39A0-4F0E-B531-75D822245F61}"/>
    <hyperlink ref="N8" r:id="rId4" xr:uid="{25BC3F3F-3417-42F2-8644-DCFBE1779F1A}"/>
    <hyperlink ref="D9" r:id="rId5" display="https://greatergiving.atlassian.net/browse/PAPI-773" xr:uid="{8768455D-CB88-4EB9-A5DC-019A06F3B0DA}"/>
    <hyperlink ref="D10" r:id="rId6" display="https://greatergiving.atlassian.net/browse/PAPI-781" xr:uid="{F0E33E63-B278-4E4F-83CC-919A268BF135}"/>
    <hyperlink ref="D11" r:id="rId7" display="https://greatergiving.atlassian.net/browse/GGO-14425" xr:uid="{D4F0F9DA-7B89-461F-9FFE-D1553F5F97E3}"/>
  </hyperlinks>
  <pageMargins left="0" right="0" top="0" bottom="0" header="0" footer="0"/>
  <tableParts count="1">
    <tablePart r:id="rId8"/>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9EC20-3C67-47FD-971C-28F8E24C6F9A}">
  <sheetPr>
    <outlinePr summaryBelow="0" summaryRight="0"/>
  </sheetPr>
  <dimension ref="A1:K2"/>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241</v>
      </c>
      <c r="B1" s="154" t="s">
        <v>11</v>
      </c>
      <c r="C1" s="155" t="s">
        <v>289</v>
      </c>
      <c r="D1" s="154" t="s">
        <v>243</v>
      </c>
      <c r="E1" s="155" t="s">
        <v>291</v>
      </c>
      <c r="F1" s="155" t="s">
        <v>292</v>
      </c>
      <c r="G1" s="154" t="s">
        <v>293</v>
      </c>
      <c r="H1" s="154" t="s">
        <v>295</v>
      </c>
      <c r="I1" s="154" t="s">
        <v>246</v>
      </c>
      <c r="J1" s="26" t="s">
        <v>296</v>
      </c>
      <c r="K1" s="158" t="s">
        <v>267</v>
      </c>
    </row>
    <row r="2" spans="1:11" ht="48" customHeight="1">
      <c r="A2" s="153"/>
      <c r="B2" s="126" t="s">
        <v>509</v>
      </c>
      <c r="C2" s="128"/>
      <c r="D2" s="98"/>
      <c r="E2" s="10"/>
      <c r="F2" s="130"/>
      <c r="G2" s="10"/>
      <c r="H2" s="10"/>
      <c r="I2" s="10"/>
      <c r="J2" s="157"/>
      <c r="K2" s="156"/>
    </row>
  </sheetData>
  <dataValidations count="4">
    <dataValidation type="list" allowBlank="1" showErrorMessage="1" sqref="G2:G3" xr:uid="{7E92BEFD-41B3-401B-A46C-1A3B8E84A886}">
      <formula1>"Minor,Significant,Major"</formula1>
    </dataValidation>
    <dataValidation type="list" allowBlank="1" showErrorMessage="1" sqref="I2:I3" xr:uid="{21AE4B49-B3F5-430B-ACED-7AD7820FA8C3}">
      <formula1>"Open,Inprogress,Closed"</formula1>
    </dataValidation>
    <dataValidation type="list" allowBlank="1" showErrorMessage="1" sqref="H2:H3" xr:uid="{991E5BE7-7B01-4668-97D7-DD6AA6F97EB9}">
      <formula1>"Internal,External"</formula1>
    </dataValidation>
    <dataValidation type="list" allowBlank="1" showErrorMessage="1" sqref="F2 E2:E3" xr:uid="{ADB1E2C0-5CB2-43E8-8DD9-746C6A1568DB}">
      <formula1>"Bounceback,Defect,None"</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1C800C00-0187-4D79-8C1A-5A03CEC3B899}">
          <x14:formula1>
            <xm:f>Details!$A$2:$A$10</xm:f>
          </x14:formula1>
          <xm:sqref>J2:J3</xm:sqref>
        </x14:dataValidation>
      </x14:dataValidation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170F-6C7D-41DB-9DDF-C9BF9F252705}">
  <sheetPr>
    <outlinePr summaryBelow="0" summaryRight="0"/>
  </sheetPr>
  <dimension ref="A1:X8"/>
  <sheetViews>
    <sheetView showGridLines="0" workbookViewId="0">
      <pane xSplit="5" ySplit="1" topLeftCell="F2" activePane="bottomRight" state="frozen"/>
      <selection pane="bottomRight" activeCell="E1" sqref="E1"/>
      <selection pane="bottomLeft" activeCell="A3" sqref="A3"/>
      <selection pane="topRight" activeCell="F1" sqref="F1"/>
    </sheetView>
  </sheetViews>
  <sheetFormatPr defaultColWidth="12.5703125" defaultRowHeight="12.75"/>
  <cols>
    <col min="1" max="1" width="7.5703125" style="43" customWidth="1"/>
    <col min="2" max="2" width="22.7109375" style="43" customWidth="1"/>
    <col min="3" max="3" width="27.85546875" style="43" customWidth="1"/>
    <col min="4" max="4" width="19.28515625" style="62" customWidth="1"/>
    <col min="5" max="5" width="53.85546875" style="43" bestFit="1" customWidth="1"/>
    <col min="6" max="6" width="53.85546875" style="43" customWidth="1"/>
    <col min="7" max="7" width="13.28515625" style="43" customWidth="1"/>
    <col min="8" max="8" width="14.42578125" style="43" bestFit="1" customWidth="1"/>
    <col min="9" max="9" width="15.28515625" style="43" customWidth="1"/>
    <col min="10" max="10" width="22.85546875" style="43" bestFit="1" customWidth="1"/>
    <col min="11" max="11" width="24.28515625" style="43" bestFit="1" customWidth="1"/>
    <col min="12" max="12" width="19.7109375" style="43" customWidth="1"/>
    <col min="13" max="13" width="40" style="43" customWidth="1"/>
    <col min="14" max="14" width="25.42578125" style="43" customWidth="1"/>
    <col min="15" max="16" width="14.85546875" style="43" customWidth="1"/>
    <col min="17" max="17" width="15.85546875" style="43" customWidth="1"/>
    <col min="18" max="18" width="37.85546875" style="43" customWidth="1"/>
    <col min="19" max="19" width="13.140625" style="43" customWidth="1"/>
    <col min="20" max="20" width="16" style="43" bestFit="1" customWidth="1"/>
    <col min="21" max="21" width="31" style="43" customWidth="1"/>
    <col min="22" max="22" width="25.7109375" style="43" bestFit="1" customWidth="1"/>
    <col min="23" max="23" width="24" style="43" bestFit="1" customWidth="1"/>
    <col min="24" max="24" width="35.5703125" style="43" customWidth="1"/>
    <col min="25" max="16384" width="12.5703125" style="43"/>
  </cols>
  <sheetData>
    <row r="1" spans="1:24" s="86" customFormat="1" ht="23.25">
      <c r="A1" s="172" t="s">
        <v>241</v>
      </c>
      <c r="B1" s="173" t="s">
        <v>242</v>
      </c>
      <c r="C1" s="173" t="s">
        <v>243</v>
      </c>
      <c r="D1" s="174" t="s">
        <v>244</v>
      </c>
      <c r="E1" s="173" t="s">
        <v>245</v>
      </c>
      <c r="F1" s="175" t="s">
        <v>246</v>
      </c>
      <c r="G1" s="173" t="s">
        <v>1438</v>
      </c>
      <c r="H1" s="173" t="s">
        <v>1439</v>
      </c>
      <c r="I1" s="173" t="s">
        <v>252</v>
      </c>
      <c r="J1" s="173" t="s">
        <v>253</v>
      </c>
      <c r="K1" s="173" t="s">
        <v>254</v>
      </c>
      <c r="L1" s="173" t="s">
        <v>255</v>
      </c>
      <c r="M1" s="173" t="s">
        <v>256</v>
      </c>
      <c r="N1" s="173" t="s">
        <v>257</v>
      </c>
      <c r="O1" s="173" t="s">
        <v>258</v>
      </c>
      <c r="P1" s="173" t="s">
        <v>259</v>
      </c>
      <c r="Q1" s="173" t="s">
        <v>260</v>
      </c>
      <c r="R1" s="173" t="s">
        <v>261</v>
      </c>
      <c r="S1" s="173" t="s">
        <v>262</v>
      </c>
      <c r="T1" s="173" t="s">
        <v>263</v>
      </c>
      <c r="U1" s="173" t="s">
        <v>264</v>
      </c>
      <c r="V1" s="173" t="s">
        <v>265</v>
      </c>
      <c r="W1" s="173" t="s">
        <v>266</v>
      </c>
      <c r="X1" s="173" t="s">
        <v>267</v>
      </c>
    </row>
    <row r="2" spans="1:24" s="86" customFormat="1" ht="65.25" customHeight="1">
      <c r="A2" s="170">
        <v>1</v>
      </c>
      <c r="B2" s="126" t="s">
        <v>67</v>
      </c>
      <c r="C2" s="127" t="s">
        <v>1563</v>
      </c>
      <c r="D2" s="128" t="s">
        <v>1564</v>
      </c>
      <c r="E2" s="130" t="s">
        <v>1565</v>
      </c>
      <c r="F2" s="171" t="s">
        <v>13</v>
      </c>
      <c r="G2" s="133">
        <v>3</v>
      </c>
      <c r="H2" s="133">
        <v>3</v>
      </c>
      <c r="I2" s="167" t="s">
        <v>230</v>
      </c>
      <c r="J2" s="133" t="s">
        <v>304</v>
      </c>
      <c r="K2" s="125"/>
      <c r="L2" s="127"/>
      <c r="M2" s="127"/>
      <c r="N2" s="70" t="s">
        <v>1566</v>
      </c>
      <c r="O2" s="132">
        <v>45614</v>
      </c>
      <c r="P2" s="132">
        <v>45615</v>
      </c>
      <c r="Q2" s="127" t="s">
        <v>231</v>
      </c>
      <c r="R2" s="125"/>
      <c r="S2" s="125"/>
      <c r="T2" s="134"/>
      <c r="U2" s="125"/>
      <c r="V2" s="125" t="s">
        <v>1567</v>
      </c>
      <c r="W2" s="125"/>
    </row>
    <row r="3" spans="1:24" s="86" customFormat="1" ht="78.75" customHeight="1">
      <c r="A3" s="170">
        <v>2</v>
      </c>
      <c r="B3" s="126" t="s">
        <v>67</v>
      </c>
      <c r="C3" s="127" t="s">
        <v>268</v>
      </c>
      <c r="D3" s="72" t="s">
        <v>1568</v>
      </c>
      <c r="E3" s="130" t="s">
        <v>1569</v>
      </c>
      <c r="F3" s="171" t="s">
        <v>13</v>
      </c>
      <c r="G3" s="133">
        <v>2</v>
      </c>
      <c r="H3" s="133">
        <v>2</v>
      </c>
      <c r="I3" s="133" t="s">
        <v>268</v>
      </c>
      <c r="J3" s="133" t="s">
        <v>304</v>
      </c>
      <c r="K3" s="125"/>
      <c r="L3" s="127"/>
      <c r="M3" s="127"/>
      <c r="N3" s="70" t="s">
        <v>1570</v>
      </c>
      <c r="O3" s="132">
        <v>45611</v>
      </c>
      <c r="P3" s="132">
        <v>45612</v>
      </c>
      <c r="Q3" s="127" t="s">
        <v>231</v>
      </c>
      <c r="R3" s="125"/>
      <c r="S3" s="125" t="s">
        <v>1161</v>
      </c>
      <c r="T3" s="134">
        <v>45612</v>
      </c>
      <c r="U3" s="169" t="s">
        <v>1571</v>
      </c>
      <c r="V3" s="125" t="s">
        <v>1572</v>
      </c>
      <c r="W3" s="125"/>
    </row>
    <row r="4" spans="1:24" s="86" customFormat="1">
      <c r="A4" s="138">
        <v>3</v>
      </c>
      <c r="B4" s="126" t="s">
        <v>67</v>
      </c>
      <c r="C4" s="5" t="s">
        <v>284</v>
      </c>
      <c r="D4" s="72" t="s">
        <v>1573</v>
      </c>
      <c r="E4" s="16" t="s">
        <v>1402</v>
      </c>
      <c r="F4" s="171" t="s">
        <v>13</v>
      </c>
      <c r="G4" s="49">
        <v>1</v>
      </c>
      <c r="H4" s="49">
        <v>1</v>
      </c>
      <c r="I4" s="167" t="s">
        <v>93</v>
      </c>
      <c r="J4" s="133" t="s">
        <v>304</v>
      </c>
      <c r="K4" s="168" t="s">
        <v>93</v>
      </c>
      <c r="L4" s="168" t="s">
        <v>93</v>
      </c>
      <c r="M4" s="168" t="s">
        <v>93</v>
      </c>
      <c r="N4" s="168" t="s">
        <v>93</v>
      </c>
      <c r="O4" s="133" t="s">
        <v>93</v>
      </c>
      <c r="P4" s="133" t="s">
        <v>93</v>
      </c>
      <c r="Q4" s="133" t="s">
        <v>93</v>
      </c>
      <c r="R4" s="167" t="s">
        <v>93</v>
      </c>
      <c r="S4" s="167" t="s">
        <v>93</v>
      </c>
      <c r="T4" s="167" t="s">
        <v>93</v>
      </c>
      <c r="U4" s="167" t="s">
        <v>93</v>
      </c>
      <c r="V4" s="167" t="s">
        <v>93</v>
      </c>
      <c r="W4" s="167" t="s">
        <v>93</v>
      </c>
    </row>
    <row r="5" spans="1:24" s="86" customFormat="1">
      <c r="A5" s="138">
        <v>4</v>
      </c>
      <c r="B5" s="126" t="s">
        <v>67</v>
      </c>
      <c r="C5" s="5" t="s">
        <v>284</v>
      </c>
      <c r="D5" s="137" t="s">
        <v>1546</v>
      </c>
      <c r="E5" s="86" t="s">
        <v>1547</v>
      </c>
      <c r="F5" s="171" t="s">
        <v>1574</v>
      </c>
      <c r="G5" s="49">
        <v>3</v>
      </c>
      <c r="H5" s="49">
        <v>3</v>
      </c>
      <c r="I5" s="167" t="s">
        <v>93</v>
      </c>
      <c r="J5" s="133" t="s">
        <v>304</v>
      </c>
      <c r="K5" s="168" t="s">
        <v>93</v>
      </c>
      <c r="L5" s="168" t="s">
        <v>93</v>
      </c>
      <c r="M5" s="168" t="s">
        <v>93</v>
      </c>
      <c r="N5" s="168" t="s">
        <v>93</v>
      </c>
      <c r="O5" s="133" t="s">
        <v>93</v>
      </c>
      <c r="P5" s="133" t="s">
        <v>93</v>
      </c>
      <c r="Q5" s="133" t="s">
        <v>93</v>
      </c>
      <c r="R5" s="167" t="s">
        <v>93</v>
      </c>
      <c r="S5" s="167" t="s">
        <v>93</v>
      </c>
      <c r="T5" s="167" t="s">
        <v>93</v>
      </c>
      <c r="U5" s="167" t="s">
        <v>93</v>
      </c>
      <c r="V5" s="167" t="s">
        <v>93</v>
      </c>
      <c r="W5" s="167" t="s">
        <v>93</v>
      </c>
    </row>
    <row r="6" spans="1:24" s="86" customFormat="1" ht="46.5">
      <c r="A6" s="138">
        <v>5</v>
      </c>
      <c r="B6" s="126" t="s">
        <v>67</v>
      </c>
      <c r="C6" s="5" t="s">
        <v>268</v>
      </c>
      <c r="D6" s="72" t="s">
        <v>1575</v>
      </c>
      <c r="E6" s="16" t="s">
        <v>1576</v>
      </c>
      <c r="F6" s="171" t="s">
        <v>13</v>
      </c>
      <c r="G6" s="16">
        <v>1</v>
      </c>
      <c r="H6" s="16">
        <v>1</v>
      </c>
      <c r="I6" s="86" t="s">
        <v>268</v>
      </c>
      <c r="J6" s="5" t="s">
        <v>304</v>
      </c>
      <c r="K6" s="86" t="s">
        <v>1577</v>
      </c>
      <c r="L6" s="5" t="s">
        <v>281</v>
      </c>
      <c r="M6" s="96" t="s">
        <v>1577</v>
      </c>
      <c r="N6" s="70" t="s">
        <v>1578</v>
      </c>
      <c r="O6" s="71">
        <v>45618</v>
      </c>
      <c r="P6" s="71">
        <v>45618</v>
      </c>
      <c r="Q6" s="5" t="s">
        <v>231</v>
      </c>
      <c r="R6" s="86" t="s">
        <v>1577</v>
      </c>
      <c r="S6" s="86" t="s">
        <v>1212</v>
      </c>
      <c r="T6" s="141">
        <v>45618</v>
      </c>
      <c r="U6" s="86" t="s">
        <v>1577</v>
      </c>
      <c r="V6" s="86" t="s">
        <v>1579</v>
      </c>
      <c r="W6" s="86" t="s">
        <v>1577</v>
      </c>
    </row>
    <row r="7" spans="1:24" s="86" customFormat="1" ht="46.5">
      <c r="A7" s="111">
        <v>6</v>
      </c>
      <c r="B7" s="144" t="s">
        <v>67</v>
      </c>
      <c r="C7" s="88" t="s">
        <v>231</v>
      </c>
      <c r="D7" s="103" t="s">
        <v>1580</v>
      </c>
      <c r="E7" s="87" t="s">
        <v>1581</v>
      </c>
      <c r="F7" s="171" t="s">
        <v>13</v>
      </c>
      <c r="G7" s="87">
        <v>2</v>
      </c>
      <c r="H7" s="87">
        <v>2</v>
      </c>
      <c r="I7" s="102" t="s">
        <v>231</v>
      </c>
      <c r="J7" s="88" t="s">
        <v>304</v>
      </c>
      <c r="K7" s="102" t="s">
        <v>1577</v>
      </c>
      <c r="L7" s="88" t="s">
        <v>281</v>
      </c>
      <c r="M7" s="109" t="s">
        <v>1577</v>
      </c>
      <c r="N7" s="104" t="s">
        <v>1578</v>
      </c>
      <c r="O7" s="114">
        <v>45618</v>
      </c>
      <c r="P7" s="114">
        <v>45618</v>
      </c>
      <c r="Q7" s="88" t="s">
        <v>281</v>
      </c>
      <c r="R7" s="102" t="s">
        <v>1577</v>
      </c>
      <c r="S7" s="102" t="s">
        <v>1212</v>
      </c>
      <c r="T7" s="118">
        <v>45618</v>
      </c>
      <c r="U7" s="102" t="s">
        <v>1577</v>
      </c>
      <c r="V7" s="102" t="s">
        <v>1567</v>
      </c>
      <c r="W7" s="102" t="s">
        <v>1577</v>
      </c>
    </row>
    <row r="8" spans="1:24" s="86" customFormat="1" ht="23.25">
      <c r="A8" s="111">
        <v>7</v>
      </c>
      <c r="B8" s="176" t="s">
        <v>67</v>
      </c>
      <c r="C8" s="88" t="s">
        <v>1582</v>
      </c>
      <c r="D8" s="103" t="s">
        <v>1583</v>
      </c>
      <c r="E8" s="87" t="s">
        <v>1584</v>
      </c>
      <c r="F8" s="171" t="s">
        <v>13</v>
      </c>
      <c r="G8" s="87">
        <v>2</v>
      </c>
      <c r="H8" s="87">
        <v>2</v>
      </c>
      <c r="I8" s="102" t="s">
        <v>93</v>
      </c>
      <c r="J8" s="177" t="s">
        <v>93</v>
      </c>
      <c r="K8" s="102" t="s">
        <v>93</v>
      </c>
      <c r="L8" s="88" t="s">
        <v>93</v>
      </c>
      <c r="M8" s="109" t="s">
        <v>93</v>
      </c>
      <c r="N8" s="88" t="s">
        <v>93</v>
      </c>
      <c r="O8" s="88" t="s">
        <v>93</v>
      </c>
      <c r="P8" s="88" t="s">
        <v>93</v>
      </c>
      <c r="Q8" s="88" t="s">
        <v>93</v>
      </c>
      <c r="R8" s="102" t="s">
        <v>93</v>
      </c>
      <c r="S8" s="102" t="s">
        <v>93</v>
      </c>
      <c r="T8" s="102" t="s">
        <v>93</v>
      </c>
      <c r="U8" s="102" t="s">
        <v>93</v>
      </c>
      <c r="V8" s="102" t="s">
        <v>1585</v>
      </c>
      <c r="W8" s="102" t="s">
        <v>93</v>
      </c>
      <c r="X8" s="102" t="s">
        <v>1586</v>
      </c>
    </row>
  </sheetData>
  <hyperlinks>
    <hyperlink ref="D3" r:id="rId1" display="https://greatergiving.atlassian.net/browse/GGO-14355" xr:uid="{C3A0FA68-1A63-4ECE-8345-B6F5967FE2BE}"/>
    <hyperlink ref="D4" r:id="rId2" display="https://greatergiving.atlassian.net/browse/GGO-14361" xr:uid="{3916EF7A-F3A8-4BD5-93B6-0BA56B029659}"/>
    <hyperlink ref="N3" r:id="rId3" xr:uid="{EFF788FA-CCD7-4362-B146-6B16B5CF8729}"/>
    <hyperlink ref="D5" r:id="rId4" display="https://greatergiving.atlassian.net/browse/GGO-13319" xr:uid="{33CD8A65-B1BA-482A-877B-F942A022D63D}"/>
    <hyperlink ref="N2" r:id="rId5" xr:uid="{CA77288E-5672-48AF-A1DF-E9F99D70F684}"/>
    <hyperlink ref="D7" r:id="rId6" display="https://greatergiving.atlassian.net/browse/GGO-14355" xr:uid="{D9DE9AEB-0EEF-4541-8034-1526087F9A3E}"/>
    <hyperlink ref="N7" r:id="rId7" xr:uid="{B37E10C9-D6B1-4F36-BCFB-C8820EA618F8}"/>
    <hyperlink ref="N6" r:id="rId8" xr:uid="{69BC9AE6-30A6-434F-9966-D96BF1571D2D}"/>
  </hyperlinks>
  <pageMargins left="0" right="0" top="0" bottom="0" header="0" footer="0"/>
  <tableParts count="1">
    <tablePart r:id="rId9"/>
  </tablePart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4B26B-B57B-4DBA-BDAD-90F86E51A232}">
  <sheetPr>
    <outlinePr summaryBelow="0" summaryRight="0"/>
  </sheetPr>
  <dimension ref="A1:K1"/>
  <sheetViews>
    <sheetView topLeftCell="B1" workbookViewId="0">
      <selection activeCell="D14" sqref="D14"/>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241</v>
      </c>
      <c r="B1" s="154" t="s">
        <v>11</v>
      </c>
      <c r="C1" s="155" t="s">
        <v>289</v>
      </c>
      <c r="D1" s="154" t="s">
        <v>243</v>
      </c>
      <c r="E1" s="155" t="s">
        <v>291</v>
      </c>
      <c r="F1" s="155" t="s">
        <v>292</v>
      </c>
      <c r="G1" s="154" t="s">
        <v>293</v>
      </c>
      <c r="H1" s="154" t="s">
        <v>295</v>
      </c>
      <c r="I1" s="154" t="s">
        <v>246</v>
      </c>
      <c r="J1" s="26" t="s">
        <v>296</v>
      </c>
      <c r="K1" s="158" t="s">
        <v>267</v>
      </c>
    </row>
  </sheetData>
  <dataValidations count="4">
    <dataValidation type="list" allowBlank="1" showErrorMessage="1" sqref="F2 E2:E3" xr:uid="{D9E02287-3D55-40FB-A64D-6AA5EC1757F1}">
      <formula1>"Bounceback,Defect,None"</formula1>
    </dataValidation>
    <dataValidation type="list" allowBlank="1" showErrorMessage="1" sqref="H2:H3" xr:uid="{374BD630-E790-4C16-B7B1-5E58D83C5BCC}">
      <formula1>"Internal,External"</formula1>
    </dataValidation>
    <dataValidation type="list" allowBlank="1" showErrorMessage="1" sqref="I2:I3" xr:uid="{A2478AF7-6AF0-4173-8D09-45AC89FC9F32}">
      <formula1>"Open,Inprogress,Closed"</formula1>
    </dataValidation>
    <dataValidation type="list" allowBlank="1" showErrorMessage="1" sqref="G2:G3" xr:uid="{6926D04F-F628-4057-A202-4D791EB89248}">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5556B44-FF39-4A28-87E7-39383912A97C}">
          <x14:formula1>
            <xm:f>Details!$A$2:$A$10</xm:f>
          </x14:formula1>
          <xm:sqref>J2:J3</xm:sqref>
        </x14:dataValidation>
      </x14:dataValidation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EAF7-1D76-4C31-AE77-54D79CE91715}">
  <sheetPr>
    <outlinePr summaryBelow="0" summaryRight="0"/>
  </sheetPr>
  <dimension ref="A2:X13"/>
  <sheetViews>
    <sheetView showGridLines="0" workbookViewId="0">
      <pane xSplit="5" ySplit="2" topLeftCell="F3" activePane="bottomRight" state="frozen"/>
      <selection pane="bottomRight" activeCell="E3" sqref="E3"/>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43" customWidth="1"/>
    <col min="7" max="7" width="12.140625" style="43" bestFit="1" customWidth="1"/>
    <col min="8" max="8" width="15.28515625" style="43"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8.85546875" style="43" customWidth="1"/>
    <col min="24" max="24" width="35.5703125" style="43" customWidth="1"/>
    <col min="25" max="16384" width="12.5703125" style="43"/>
  </cols>
  <sheetData>
    <row r="2" spans="1:24" ht="23.25">
      <c r="A2" s="123" t="s">
        <v>241</v>
      </c>
      <c r="B2" s="123" t="s">
        <v>242</v>
      </c>
      <c r="C2" s="123" t="s">
        <v>243</v>
      </c>
      <c r="D2" s="124" t="s">
        <v>244</v>
      </c>
      <c r="E2" s="123" t="s">
        <v>245</v>
      </c>
      <c r="F2" s="123" t="s">
        <v>1438</v>
      </c>
      <c r="G2" s="123" t="s">
        <v>1439</v>
      </c>
      <c r="H2" s="123" t="s">
        <v>252</v>
      </c>
      <c r="I2" s="123" t="s">
        <v>253</v>
      </c>
      <c r="J2" s="123" t="s">
        <v>254</v>
      </c>
      <c r="K2" s="123" t="s">
        <v>255</v>
      </c>
      <c r="L2" s="123" t="s">
        <v>256</v>
      </c>
      <c r="M2" s="123" t="s">
        <v>257</v>
      </c>
      <c r="N2" s="123" t="s">
        <v>258</v>
      </c>
      <c r="O2" s="123" t="s">
        <v>259</v>
      </c>
      <c r="P2" s="123" t="s">
        <v>260</v>
      </c>
      <c r="Q2" s="123" t="s">
        <v>261</v>
      </c>
      <c r="R2" s="123" t="s">
        <v>262</v>
      </c>
      <c r="S2" s="123" t="s">
        <v>263</v>
      </c>
      <c r="T2" s="123" t="s">
        <v>261</v>
      </c>
      <c r="U2" s="123" t="s">
        <v>265</v>
      </c>
      <c r="V2" s="123" t="s">
        <v>266</v>
      </c>
      <c r="W2" s="123" t="s">
        <v>246</v>
      </c>
      <c r="X2" s="3"/>
    </row>
    <row r="3" spans="1:24" ht="65.25" customHeight="1">
      <c r="A3" s="125">
        <v>1</v>
      </c>
      <c r="B3" s="126" t="s">
        <v>63</v>
      </c>
      <c r="C3" s="127" t="s">
        <v>1587</v>
      </c>
      <c r="D3" s="128" t="s">
        <v>1588</v>
      </c>
      <c r="E3" s="130" t="s">
        <v>1589</v>
      </c>
      <c r="F3" s="130">
        <v>5</v>
      </c>
      <c r="G3" s="130">
        <v>5</v>
      </c>
      <c r="H3" s="125" t="s">
        <v>1590</v>
      </c>
      <c r="I3" s="127" t="s">
        <v>304</v>
      </c>
      <c r="J3" s="125" t="s">
        <v>1591</v>
      </c>
      <c r="K3" s="127" t="s">
        <v>268</v>
      </c>
      <c r="L3" s="127" t="s">
        <v>1577</v>
      </c>
      <c r="M3" s="70" t="s">
        <v>93</v>
      </c>
      <c r="N3" s="132" t="s">
        <v>93</v>
      </c>
      <c r="O3" s="132" t="s">
        <v>93</v>
      </c>
      <c r="P3" s="127" t="s">
        <v>93</v>
      </c>
      <c r="Q3" s="125"/>
      <c r="R3" s="125" t="s">
        <v>93</v>
      </c>
      <c r="S3" s="134"/>
      <c r="T3" s="125"/>
      <c r="U3" s="125" t="s">
        <v>1592</v>
      </c>
      <c r="V3" s="125"/>
      <c r="W3" s="145" t="s">
        <v>13</v>
      </c>
      <c r="X3" s="102" t="s">
        <v>1593</v>
      </c>
    </row>
    <row r="4" spans="1:24" ht="36" customHeight="1">
      <c r="A4" s="125">
        <v>2</v>
      </c>
      <c r="B4" s="126" t="s">
        <v>63</v>
      </c>
      <c r="C4" s="127" t="s">
        <v>231</v>
      </c>
      <c r="D4" s="128" t="s">
        <v>1594</v>
      </c>
      <c r="E4" s="130" t="s">
        <v>1595</v>
      </c>
      <c r="F4" s="130">
        <v>3</v>
      </c>
      <c r="G4" s="130">
        <v>3</v>
      </c>
      <c r="H4" s="125" t="s">
        <v>231</v>
      </c>
      <c r="I4" s="127" t="s">
        <v>304</v>
      </c>
      <c r="J4" s="125" t="s">
        <v>1577</v>
      </c>
      <c r="K4" s="127" t="s">
        <v>281</v>
      </c>
      <c r="L4" s="127" t="s">
        <v>1577</v>
      </c>
      <c r="M4" s="70" t="s">
        <v>1596</v>
      </c>
      <c r="N4" s="132">
        <v>45602</v>
      </c>
      <c r="O4" s="132">
        <v>45602</v>
      </c>
      <c r="P4" s="127" t="s">
        <v>1271</v>
      </c>
      <c r="Q4" s="125" t="s">
        <v>1597</v>
      </c>
      <c r="R4" s="125"/>
      <c r="S4" s="134">
        <v>45602</v>
      </c>
      <c r="T4" s="125"/>
      <c r="U4" s="125" t="s">
        <v>1567</v>
      </c>
      <c r="V4" s="150"/>
      <c r="W4" s="145" t="s">
        <v>13</v>
      </c>
      <c r="X4" s="138"/>
    </row>
    <row r="5" spans="1:24" ht="36" customHeight="1">
      <c r="A5" s="125">
        <v>3</v>
      </c>
      <c r="B5" s="126" t="s">
        <v>63</v>
      </c>
      <c r="C5" s="127" t="s">
        <v>230</v>
      </c>
      <c r="D5" s="128" t="s">
        <v>1598</v>
      </c>
      <c r="E5" s="130" t="s">
        <v>1599</v>
      </c>
      <c r="F5" s="130" t="s">
        <v>93</v>
      </c>
      <c r="G5" s="130" t="s">
        <v>93</v>
      </c>
      <c r="H5" s="125" t="s">
        <v>230</v>
      </c>
      <c r="I5" s="127" t="s">
        <v>304</v>
      </c>
      <c r="J5" s="125" t="s">
        <v>1577</v>
      </c>
      <c r="K5" s="127" t="s">
        <v>268</v>
      </c>
      <c r="L5" s="127" t="s">
        <v>1577</v>
      </c>
      <c r="M5" s="70" t="s">
        <v>1600</v>
      </c>
      <c r="N5" s="132">
        <v>45604</v>
      </c>
      <c r="O5" s="132">
        <v>45604</v>
      </c>
      <c r="P5" s="127"/>
      <c r="Q5" s="125" t="s">
        <v>1601</v>
      </c>
      <c r="R5" s="125" t="s">
        <v>1602</v>
      </c>
      <c r="S5" s="134">
        <v>45604</v>
      </c>
      <c r="T5" s="125" t="s">
        <v>1601</v>
      </c>
      <c r="U5" s="125"/>
      <c r="V5" s="150"/>
      <c r="W5" s="151" t="s">
        <v>13</v>
      </c>
      <c r="X5" s="142"/>
    </row>
    <row r="6" spans="1:24" ht="36" customHeight="1">
      <c r="A6" s="125">
        <v>4</v>
      </c>
      <c r="B6" s="126" t="s">
        <v>63</v>
      </c>
      <c r="C6" s="127" t="s">
        <v>230</v>
      </c>
      <c r="D6" s="128" t="s">
        <v>1603</v>
      </c>
      <c r="E6" s="130" t="s">
        <v>1604</v>
      </c>
      <c r="F6" s="130" t="s">
        <v>93</v>
      </c>
      <c r="G6" s="130" t="s">
        <v>93</v>
      </c>
      <c r="H6" s="125" t="s">
        <v>230</v>
      </c>
      <c r="I6" s="127" t="s">
        <v>304</v>
      </c>
      <c r="J6" s="125"/>
      <c r="K6" s="127" t="s">
        <v>268</v>
      </c>
      <c r="L6" s="127" t="s">
        <v>1577</v>
      </c>
      <c r="M6" s="70" t="s">
        <v>1605</v>
      </c>
      <c r="N6" s="132">
        <v>45608</v>
      </c>
      <c r="O6" s="132">
        <v>45608</v>
      </c>
      <c r="P6" s="127" t="s">
        <v>231</v>
      </c>
      <c r="Q6" s="125" t="s">
        <v>1601</v>
      </c>
      <c r="R6" s="125" t="s">
        <v>1602</v>
      </c>
      <c r="S6" s="134">
        <v>45608</v>
      </c>
      <c r="T6" s="125" t="s">
        <v>1606</v>
      </c>
      <c r="U6" s="125" t="s">
        <v>1607</v>
      </c>
      <c r="V6" s="150"/>
      <c r="W6" s="151" t="s">
        <v>13</v>
      </c>
      <c r="X6" s="142"/>
    </row>
    <row r="7" spans="1:24" ht="40.5" customHeight="1">
      <c r="A7" s="102">
        <v>5</v>
      </c>
      <c r="B7" s="144" t="s">
        <v>63</v>
      </c>
      <c r="C7" s="88" t="s">
        <v>268</v>
      </c>
      <c r="D7" s="103" t="s">
        <v>1608</v>
      </c>
      <c r="E7" s="87" t="s">
        <v>1609</v>
      </c>
      <c r="F7" s="87">
        <v>3</v>
      </c>
      <c r="G7" s="87">
        <v>3</v>
      </c>
      <c r="H7" s="102" t="s">
        <v>268</v>
      </c>
      <c r="I7" s="146" t="s">
        <v>304</v>
      </c>
      <c r="J7" s="102"/>
      <c r="K7" s="88" t="s">
        <v>281</v>
      </c>
      <c r="L7" s="109" t="s">
        <v>1577</v>
      </c>
      <c r="M7" s="104" t="s">
        <v>1610</v>
      </c>
      <c r="N7" s="71">
        <v>45609</v>
      </c>
      <c r="O7" s="71">
        <v>45609</v>
      </c>
      <c r="P7" s="114" t="s">
        <v>231</v>
      </c>
      <c r="Q7" s="102"/>
      <c r="R7" s="102" t="s">
        <v>867</v>
      </c>
      <c r="S7" s="71">
        <v>45609</v>
      </c>
      <c r="T7" s="102"/>
      <c r="U7" s="102" t="s">
        <v>1611</v>
      </c>
      <c r="V7" s="120"/>
      <c r="W7" s="151" t="s">
        <v>1574</v>
      </c>
      <c r="X7" s="152" t="s">
        <v>1612</v>
      </c>
    </row>
    <row r="8" spans="1:24" ht="40.5" customHeight="1">
      <c r="A8" s="102">
        <v>6</v>
      </c>
      <c r="B8" s="144" t="s">
        <v>63</v>
      </c>
      <c r="C8" s="88" t="s">
        <v>231</v>
      </c>
      <c r="D8" s="103" t="s">
        <v>1613</v>
      </c>
      <c r="E8" s="87" t="s">
        <v>1614</v>
      </c>
      <c r="F8" s="87">
        <v>2</v>
      </c>
      <c r="G8" s="87">
        <v>2</v>
      </c>
      <c r="H8" s="102" t="s">
        <v>231</v>
      </c>
      <c r="I8" s="146" t="s">
        <v>304</v>
      </c>
      <c r="J8" s="102" t="s">
        <v>1577</v>
      </c>
      <c r="K8" s="88" t="s">
        <v>281</v>
      </c>
      <c r="L8" s="109" t="s">
        <v>1577</v>
      </c>
      <c r="M8" s="104" t="s">
        <v>1615</v>
      </c>
      <c r="N8" s="114">
        <v>45603</v>
      </c>
      <c r="O8" s="114">
        <v>45604</v>
      </c>
      <c r="P8" s="114" t="s">
        <v>1271</v>
      </c>
      <c r="Q8" s="102" t="s">
        <v>1601</v>
      </c>
      <c r="R8" s="102"/>
      <c r="S8" s="114"/>
      <c r="T8" s="102"/>
      <c r="U8" s="102" t="s">
        <v>1567</v>
      </c>
      <c r="V8" s="120"/>
      <c r="W8" s="151" t="s">
        <v>13</v>
      </c>
      <c r="X8" s="152"/>
    </row>
    <row r="9" spans="1:24" s="86" customFormat="1" ht="40.5" customHeight="1">
      <c r="A9" s="102">
        <v>6</v>
      </c>
      <c r="B9" s="144" t="s">
        <v>63</v>
      </c>
      <c r="C9" s="88" t="s">
        <v>268</v>
      </c>
      <c r="D9" s="103" t="s">
        <v>1568</v>
      </c>
      <c r="E9" s="87" t="s">
        <v>1616</v>
      </c>
      <c r="F9" s="87">
        <v>3</v>
      </c>
      <c r="G9" s="87">
        <v>2</v>
      </c>
      <c r="H9" s="102"/>
      <c r="I9" s="146" t="s">
        <v>304</v>
      </c>
      <c r="J9" s="102"/>
      <c r="K9" s="88"/>
      <c r="L9" s="109"/>
      <c r="M9" s="104" t="s">
        <v>1617</v>
      </c>
      <c r="N9" s="114">
        <v>45609</v>
      </c>
      <c r="O9" s="114"/>
      <c r="P9" s="88" t="s">
        <v>231</v>
      </c>
      <c r="Q9" s="102"/>
      <c r="R9" s="102"/>
      <c r="S9" s="118"/>
      <c r="T9" s="102"/>
      <c r="U9" s="102" t="s">
        <v>1611</v>
      </c>
      <c r="V9" s="102"/>
      <c r="W9" s="151" t="s">
        <v>1574</v>
      </c>
      <c r="X9" s="102" t="s">
        <v>1618</v>
      </c>
    </row>
    <row r="10" spans="1:24">
      <c r="A10" s="86">
        <v>7</v>
      </c>
      <c r="B10" s="126" t="s">
        <v>63</v>
      </c>
      <c r="C10" s="5" t="s">
        <v>284</v>
      </c>
      <c r="D10" s="72" t="s">
        <v>1619</v>
      </c>
      <c r="E10" s="16" t="s">
        <v>1620</v>
      </c>
      <c r="F10" s="117">
        <v>1</v>
      </c>
      <c r="G10" s="5">
        <v>1</v>
      </c>
      <c r="H10" s="125" t="s">
        <v>93</v>
      </c>
      <c r="I10" s="127" t="s">
        <v>304</v>
      </c>
      <c r="J10" s="131" t="s">
        <v>93</v>
      </c>
      <c r="K10" s="131" t="s">
        <v>93</v>
      </c>
      <c r="L10" s="131" t="s">
        <v>93</v>
      </c>
      <c r="M10" s="131" t="s">
        <v>93</v>
      </c>
      <c r="N10" s="127" t="s">
        <v>93</v>
      </c>
      <c r="O10" s="127" t="s">
        <v>93</v>
      </c>
      <c r="P10" s="127" t="s">
        <v>93</v>
      </c>
      <c r="Q10" s="125" t="s">
        <v>93</v>
      </c>
      <c r="R10" s="125" t="s">
        <v>93</v>
      </c>
      <c r="S10" s="125" t="s">
        <v>93</v>
      </c>
      <c r="T10" s="125" t="s">
        <v>93</v>
      </c>
      <c r="U10" s="125" t="s">
        <v>93</v>
      </c>
      <c r="V10" s="125" t="s">
        <v>93</v>
      </c>
      <c r="W10" s="125" t="s">
        <v>1621</v>
      </c>
      <c r="X10" s="86"/>
    </row>
    <row r="11" spans="1:24">
      <c r="A11" s="86">
        <v>8</v>
      </c>
      <c r="B11" s="126" t="s">
        <v>63</v>
      </c>
      <c r="C11" s="88" t="s">
        <v>284</v>
      </c>
      <c r="D11" s="103" t="s">
        <v>1573</v>
      </c>
      <c r="E11" s="87" t="s">
        <v>1402</v>
      </c>
      <c r="F11" s="117">
        <v>1</v>
      </c>
      <c r="G11" s="5">
        <v>1</v>
      </c>
      <c r="H11" s="125" t="s">
        <v>93</v>
      </c>
      <c r="I11" s="127" t="s">
        <v>304</v>
      </c>
      <c r="J11" s="131" t="s">
        <v>93</v>
      </c>
      <c r="K11" s="131" t="s">
        <v>93</v>
      </c>
      <c r="L11" s="131" t="s">
        <v>93</v>
      </c>
      <c r="M11" s="131" t="s">
        <v>93</v>
      </c>
      <c r="N11" s="127" t="s">
        <v>93</v>
      </c>
      <c r="O11" s="127" t="s">
        <v>93</v>
      </c>
      <c r="P11" s="127" t="s">
        <v>93</v>
      </c>
      <c r="Q11" s="125" t="s">
        <v>93</v>
      </c>
      <c r="R11" s="125" t="s">
        <v>93</v>
      </c>
      <c r="S11" s="125" t="s">
        <v>93</v>
      </c>
      <c r="T11" s="125" t="s">
        <v>93</v>
      </c>
      <c r="U11" s="125" t="s">
        <v>93</v>
      </c>
      <c r="V11" s="125" t="s">
        <v>93</v>
      </c>
      <c r="W11" s="89" t="s">
        <v>1574</v>
      </c>
      <c r="X11" s="86"/>
    </row>
    <row r="12" spans="1:24">
      <c r="A12" s="86">
        <v>9</v>
      </c>
      <c r="B12" s="159" t="s">
        <v>63</v>
      </c>
      <c r="C12" s="5" t="s">
        <v>284</v>
      </c>
      <c r="D12" s="72" t="s">
        <v>1613</v>
      </c>
      <c r="E12" s="16" t="s">
        <v>1614</v>
      </c>
      <c r="F12" s="117">
        <v>1</v>
      </c>
      <c r="G12" s="5">
        <v>1</v>
      </c>
      <c r="H12" s="125" t="s">
        <v>93</v>
      </c>
      <c r="I12" s="127" t="s">
        <v>304</v>
      </c>
      <c r="J12" s="131" t="s">
        <v>93</v>
      </c>
      <c r="K12" s="131" t="s">
        <v>93</v>
      </c>
      <c r="L12" s="131" t="s">
        <v>93</v>
      </c>
      <c r="M12" s="131" t="s">
        <v>93</v>
      </c>
      <c r="N12" s="127" t="s">
        <v>93</v>
      </c>
      <c r="O12" s="127" t="s">
        <v>93</v>
      </c>
      <c r="P12" s="127" t="s">
        <v>93</v>
      </c>
      <c r="Q12" s="125" t="s">
        <v>93</v>
      </c>
      <c r="R12" s="125" t="s">
        <v>93</v>
      </c>
      <c r="S12" s="125" t="s">
        <v>93</v>
      </c>
      <c r="T12" s="125" t="s">
        <v>93</v>
      </c>
      <c r="U12" s="125" t="s">
        <v>93</v>
      </c>
      <c r="V12" s="125" t="s">
        <v>93</v>
      </c>
      <c r="W12" s="151" t="s">
        <v>13</v>
      </c>
      <c r="X12" s="86"/>
    </row>
    <row r="13" spans="1:24">
      <c r="A13" s="86">
        <v>10</v>
      </c>
      <c r="B13" s="159" t="s">
        <v>63</v>
      </c>
      <c r="C13" s="5" t="s">
        <v>284</v>
      </c>
      <c r="D13" s="72" t="s">
        <v>1594</v>
      </c>
      <c r="E13" s="16" t="s">
        <v>1595</v>
      </c>
      <c r="F13" s="117">
        <v>1</v>
      </c>
      <c r="G13" s="5">
        <v>1</v>
      </c>
      <c r="H13" s="125" t="s">
        <v>93</v>
      </c>
      <c r="I13" s="127" t="s">
        <v>304</v>
      </c>
      <c r="J13" s="131" t="s">
        <v>93</v>
      </c>
      <c r="K13" s="131" t="s">
        <v>93</v>
      </c>
      <c r="L13" s="131" t="s">
        <v>93</v>
      </c>
      <c r="M13" s="131" t="s">
        <v>93</v>
      </c>
      <c r="N13" s="127" t="s">
        <v>93</v>
      </c>
      <c r="O13" s="127" t="s">
        <v>93</v>
      </c>
      <c r="P13" s="127" t="s">
        <v>93</v>
      </c>
      <c r="Q13" s="125" t="s">
        <v>93</v>
      </c>
      <c r="R13" s="125" t="s">
        <v>93</v>
      </c>
      <c r="S13" s="125" t="s">
        <v>93</v>
      </c>
      <c r="T13" s="125" t="s">
        <v>93</v>
      </c>
      <c r="U13" s="125" t="s">
        <v>93</v>
      </c>
      <c r="V13" s="125" t="s">
        <v>93</v>
      </c>
      <c r="W13" s="151" t="s">
        <v>13</v>
      </c>
    </row>
  </sheetData>
  <hyperlinks>
    <hyperlink ref="D7" r:id="rId1" display="https://greatergiving.atlassian.net/browse/GGO-14295" xr:uid="{B8976636-531F-4491-8EA8-48DA30A6C19E}"/>
    <hyperlink ref="M9" r:id="rId2" xr:uid="{A5B820C6-9CEC-4E4A-8B1D-1B3B98EB3A79}"/>
    <hyperlink ref="M7" r:id="rId3" xr:uid="{3397FAD1-93FE-49C5-8155-E087A30545E9}"/>
    <hyperlink ref="M5" r:id="rId4" xr:uid="{D6A43CA1-709E-41A3-B30E-04D643442D14}"/>
    <hyperlink ref="M6" r:id="rId5" xr:uid="{8EE9C81F-1013-4977-99E9-534BB9C8D90D}"/>
    <hyperlink ref="D10" r:id="rId6" display="https://greatergiving.atlassian.net/browse/PAPI-774" xr:uid="{4A6830EC-4A79-440D-8706-3AB1738A1E32}"/>
    <hyperlink ref="D11" r:id="rId7" display="https://greatergiving.atlassian.net/browse/GGO-14361" xr:uid="{F972A292-0982-4B51-9F4F-4AA1724F7E2C}"/>
    <hyperlink ref="D12" r:id="rId8" display="https://greatergiving.atlassian.net/browse/GGO-14361" xr:uid="{13FC7350-F270-472D-A77C-6BE18E60DA55}"/>
    <hyperlink ref="D13" r:id="rId9" display="https://greatergiving.atlassian.net/browse/GGO-14244" xr:uid="{0A8379C3-12DF-4427-9177-AFB564830F70}"/>
    <hyperlink ref="M4" r:id="rId10" xr:uid="{8AD85A11-912F-4017-A2BC-830407B8007C}"/>
    <hyperlink ref="M8" r:id="rId11" xr:uid="{FB3795E6-2884-4E16-B8BC-F35E63F5B255}"/>
  </hyperlinks>
  <pageMargins left="0" right="0" top="0" bottom="0" header="0" footer="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0BA25-7EB6-456D-B9C0-CB4BE54AC27C}">
  <sheetPr>
    <outlinePr summaryBelow="0" summaryRight="0"/>
  </sheetPr>
  <dimension ref="A1:K4"/>
  <sheetViews>
    <sheetView topLeftCell="B1" workbookViewId="0">
      <selection activeCell="C4" sqref="C4"/>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241</v>
      </c>
      <c r="B1" s="154" t="s">
        <v>11</v>
      </c>
      <c r="C1" s="155" t="s">
        <v>289</v>
      </c>
      <c r="D1" s="154" t="s">
        <v>243</v>
      </c>
      <c r="E1" s="155" t="s">
        <v>291</v>
      </c>
      <c r="F1" s="155" t="s">
        <v>292</v>
      </c>
      <c r="G1" s="154" t="s">
        <v>293</v>
      </c>
      <c r="H1" s="154" t="s">
        <v>295</v>
      </c>
      <c r="I1" s="154" t="s">
        <v>246</v>
      </c>
      <c r="J1" s="26" t="s">
        <v>296</v>
      </c>
      <c r="K1" s="158" t="s">
        <v>267</v>
      </c>
    </row>
    <row r="2" spans="1:11" ht="48" customHeight="1">
      <c r="A2" s="153"/>
      <c r="B2" s="126" t="s">
        <v>63</v>
      </c>
      <c r="C2" s="128" t="s">
        <v>1594</v>
      </c>
      <c r="D2" s="98" t="s">
        <v>231</v>
      </c>
      <c r="E2" s="10" t="s">
        <v>753</v>
      </c>
      <c r="F2" s="130" t="s">
        <v>1595</v>
      </c>
      <c r="G2" s="10" t="s">
        <v>1146</v>
      </c>
      <c r="H2" s="10" t="s">
        <v>556</v>
      </c>
      <c r="I2" s="10" t="s">
        <v>557</v>
      </c>
      <c r="J2" s="157"/>
      <c r="K2" s="156"/>
    </row>
    <row r="3" spans="1:11" ht="26.25" customHeight="1">
      <c r="A3" s="153"/>
      <c r="B3" s="126" t="s">
        <v>63</v>
      </c>
      <c r="C3" s="137" t="s">
        <v>1603</v>
      </c>
      <c r="D3" s="49" t="s">
        <v>281</v>
      </c>
      <c r="E3" s="10" t="s">
        <v>753</v>
      </c>
      <c r="F3" s="160" t="s">
        <v>1604</v>
      </c>
      <c r="G3" s="10" t="s">
        <v>562</v>
      </c>
      <c r="H3" s="10" t="s">
        <v>556</v>
      </c>
      <c r="I3" s="10" t="s">
        <v>557</v>
      </c>
      <c r="J3" s="157"/>
      <c r="K3" s="156"/>
    </row>
    <row r="4" spans="1:11" ht="130.5">
      <c r="A4" s="4"/>
      <c r="B4" s="161" t="s">
        <v>63</v>
      </c>
      <c r="C4" s="162" t="s">
        <v>1613</v>
      </c>
      <c r="D4" s="163" t="s">
        <v>1622</v>
      </c>
      <c r="E4" s="164" t="s">
        <v>753</v>
      </c>
      <c r="F4" s="165" t="s">
        <v>1623</v>
      </c>
      <c r="G4" s="166" t="s">
        <v>1146</v>
      </c>
      <c r="H4" s="166" t="s">
        <v>1147</v>
      </c>
      <c r="I4" s="166" t="s">
        <v>557</v>
      </c>
      <c r="J4" s="164"/>
      <c r="K4" s="77" t="s">
        <v>1624</v>
      </c>
    </row>
  </sheetData>
  <dataValidations count="4">
    <dataValidation type="list" allowBlank="1" showErrorMessage="1" sqref="G2:G5" xr:uid="{6A6FB4DC-C7D7-4373-98EB-749528840E34}">
      <formula1>"Minor,Significant,Major"</formula1>
    </dataValidation>
    <dataValidation type="list" allowBlank="1" showErrorMessage="1" sqref="I2:I5" xr:uid="{9E1696F3-5D35-430F-A64A-15EF4A561788}">
      <formula1>"Open,Inprogress,Closed"</formula1>
    </dataValidation>
    <dataValidation type="list" allowBlank="1" showErrorMessage="1" sqref="H2:H5" xr:uid="{3939551F-4C17-4EE2-91BB-66D63217532E}">
      <formula1>"Internal,External"</formula1>
    </dataValidation>
    <dataValidation type="list" allowBlank="1" showErrorMessage="1" sqref="F2 E2:E5" xr:uid="{3A202B44-A310-4CE6-97D9-9A36481A4239}">
      <formula1>"Bounceback,Defect,None"</formula1>
    </dataValidation>
  </dataValidations>
  <hyperlinks>
    <hyperlink ref="C3" r:id="rId1" display="https://greatergiving.atlassian.net/browse/GGO-14353" xr:uid="{E55B94E7-ECD4-4E17-A8BC-8DAC6C47CF92}"/>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491DA6D-4A69-499F-8F10-AE343848804B}">
          <x14:formula1>
            <xm:f>Details!$A$2:$A$10</xm:f>
          </x14:formula1>
          <xm:sqref>J2:J5</xm:sqref>
        </x14:dataValidation>
      </x14:dataValidations>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12AC5-A1AD-4EC6-834E-E0EFE7E6336D}">
  <sheetPr>
    <outlinePr summaryBelow="0" summaryRight="0"/>
  </sheetPr>
  <dimension ref="A2:X10"/>
  <sheetViews>
    <sheetView showGridLines="0" workbookViewId="0">
      <pane xSplit="5" ySplit="2" topLeftCell="V3" activePane="bottomRight" state="frozen"/>
      <selection pane="bottomRight" activeCell="Y2" sqref="Y2"/>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135" customWidth="1"/>
    <col min="7" max="7" width="12.140625" style="135" bestFit="1" customWidth="1"/>
    <col min="8" max="8" width="15.28515625" style="43"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8.85546875" style="43" customWidth="1"/>
    <col min="24" max="24" width="35.5703125" style="43" customWidth="1"/>
    <col min="25" max="16384" width="12.5703125" style="43"/>
  </cols>
  <sheetData>
    <row r="2" spans="1:24" ht="24">
      <c r="A2" s="123" t="s">
        <v>241</v>
      </c>
      <c r="B2" s="123" t="s">
        <v>242</v>
      </c>
      <c r="C2" s="123" t="s">
        <v>243</v>
      </c>
      <c r="D2" s="124" t="s">
        <v>244</v>
      </c>
      <c r="E2" s="123" t="s">
        <v>245</v>
      </c>
      <c r="F2" s="123" t="s">
        <v>1438</v>
      </c>
      <c r="G2" s="123" t="s">
        <v>1439</v>
      </c>
      <c r="H2" s="123" t="s">
        <v>252</v>
      </c>
      <c r="I2" s="123" t="s">
        <v>253</v>
      </c>
      <c r="J2" s="123" t="s">
        <v>254</v>
      </c>
      <c r="K2" s="123" t="s">
        <v>255</v>
      </c>
      <c r="L2" s="123" t="s">
        <v>256</v>
      </c>
      <c r="M2" s="123" t="s">
        <v>257</v>
      </c>
      <c r="N2" s="123" t="s">
        <v>258</v>
      </c>
      <c r="O2" s="123" t="s">
        <v>259</v>
      </c>
      <c r="P2" s="123" t="s">
        <v>260</v>
      </c>
      <c r="Q2" s="123" t="s">
        <v>261</v>
      </c>
      <c r="R2" s="123" t="s">
        <v>262</v>
      </c>
      <c r="S2" s="123" t="s">
        <v>263</v>
      </c>
      <c r="T2" s="123" t="s">
        <v>261</v>
      </c>
      <c r="U2" s="123" t="s">
        <v>265</v>
      </c>
      <c r="V2" s="123" t="s">
        <v>266</v>
      </c>
      <c r="W2" s="123" t="s">
        <v>246</v>
      </c>
      <c r="X2" s="3"/>
    </row>
    <row r="3" spans="1:24" ht="65.25" customHeight="1">
      <c r="A3" s="125">
        <v>1</v>
      </c>
      <c r="B3" s="126" t="s">
        <v>60</v>
      </c>
      <c r="C3" s="127" t="s">
        <v>1587</v>
      </c>
      <c r="D3" s="128" t="s">
        <v>1588</v>
      </c>
      <c r="E3" s="130" t="s">
        <v>1589</v>
      </c>
      <c r="F3" s="127">
        <v>5</v>
      </c>
      <c r="G3" s="127"/>
      <c r="H3" s="125"/>
      <c r="I3" s="127" t="s">
        <v>304</v>
      </c>
      <c r="J3" s="125"/>
      <c r="K3" s="127"/>
      <c r="L3" s="127"/>
      <c r="M3" s="70" t="s">
        <v>1625</v>
      </c>
      <c r="N3" s="132">
        <v>45589</v>
      </c>
      <c r="O3" s="132">
        <v>45589</v>
      </c>
      <c r="P3" s="127" t="s">
        <v>231</v>
      </c>
      <c r="Q3" s="125" t="s">
        <v>1577</v>
      </c>
      <c r="R3" s="125" t="s">
        <v>867</v>
      </c>
      <c r="S3" s="134">
        <v>45589</v>
      </c>
      <c r="T3" s="125" t="s">
        <v>1626</v>
      </c>
      <c r="U3" s="125" t="s">
        <v>1627</v>
      </c>
      <c r="V3" s="125"/>
      <c r="W3" s="125" t="s">
        <v>1574</v>
      </c>
      <c r="X3" s="86" t="s">
        <v>1628</v>
      </c>
    </row>
    <row r="4" spans="1:24" ht="45" customHeight="1">
      <c r="A4" s="86">
        <v>2</v>
      </c>
      <c r="B4" s="126" t="s">
        <v>60</v>
      </c>
      <c r="C4" s="5" t="s">
        <v>268</v>
      </c>
      <c r="D4" s="143" t="s">
        <v>1629</v>
      </c>
      <c r="E4" s="16" t="s">
        <v>1630</v>
      </c>
      <c r="F4" s="5">
        <v>3</v>
      </c>
      <c r="G4" s="5">
        <v>3</v>
      </c>
      <c r="H4" s="86"/>
      <c r="I4" s="127" t="s">
        <v>304</v>
      </c>
      <c r="J4" s="86"/>
      <c r="K4" s="5"/>
      <c r="L4" s="96"/>
      <c r="M4" s="70" t="s">
        <v>1631</v>
      </c>
      <c r="N4" s="71">
        <v>45588</v>
      </c>
      <c r="O4" s="71">
        <v>45590</v>
      </c>
      <c r="P4" s="5" t="s">
        <v>231</v>
      </c>
      <c r="Q4" s="86"/>
      <c r="R4" s="86" t="s">
        <v>867</v>
      </c>
      <c r="S4" s="141">
        <v>45590</v>
      </c>
      <c r="T4" s="86"/>
      <c r="U4" s="86" t="s">
        <v>1632</v>
      </c>
      <c r="V4" s="86"/>
      <c r="W4" s="125" t="s">
        <v>1621</v>
      </c>
      <c r="X4" s="86"/>
    </row>
    <row r="5" spans="1:24" ht="45" customHeight="1">
      <c r="A5" s="102">
        <v>3</v>
      </c>
      <c r="B5" s="126" t="s">
        <v>60</v>
      </c>
      <c r="C5" s="5" t="s">
        <v>268</v>
      </c>
      <c r="D5" s="148" t="s">
        <v>1594</v>
      </c>
      <c r="E5" s="87" t="s">
        <v>1633</v>
      </c>
      <c r="F5" s="88">
        <v>3</v>
      </c>
      <c r="G5" s="88">
        <v>3</v>
      </c>
      <c r="H5" s="102"/>
      <c r="I5" s="127" t="s">
        <v>304</v>
      </c>
      <c r="J5" s="102"/>
      <c r="K5" s="88"/>
      <c r="L5" s="109"/>
      <c r="M5" s="104" t="s">
        <v>1634</v>
      </c>
      <c r="N5" s="114">
        <v>45595</v>
      </c>
      <c r="O5" s="114">
        <v>45595</v>
      </c>
      <c r="P5" s="88" t="s">
        <v>231</v>
      </c>
      <c r="Q5" s="102" t="s">
        <v>1577</v>
      </c>
      <c r="R5" s="86" t="s">
        <v>867</v>
      </c>
      <c r="S5" s="118">
        <v>45595</v>
      </c>
      <c r="T5" s="102"/>
      <c r="U5" s="102" t="s">
        <v>1635</v>
      </c>
      <c r="V5" s="102"/>
      <c r="W5" s="125" t="s">
        <v>1574</v>
      </c>
      <c r="X5" s="102"/>
    </row>
    <row r="6" spans="1:24" ht="45" customHeight="1">
      <c r="A6" s="102">
        <v>4</v>
      </c>
      <c r="B6" s="144" t="s">
        <v>60</v>
      </c>
      <c r="C6" s="88" t="s">
        <v>231</v>
      </c>
      <c r="D6" s="148" t="s">
        <v>1636</v>
      </c>
      <c r="E6" s="87" t="s">
        <v>1637</v>
      </c>
      <c r="F6" s="88" t="s">
        <v>93</v>
      </c>
      <c r="G6" s="88" t="s">
        <v>93</v>
      </c>
      <c r="H6" s="102"/>
      <c r="I6" s="146" t="s">
        <v>93</v>
      </c>
      <c r="J6" s="102"/>
      <c r="K6" s="88"/>
      <c r="L6" s="109"/>
      <c r="M6" s="104" t="s">
        <v>1638</v>
      </c>
      <c r="N6" s="114">
        <v>45589</v>
      </c>
      <c r="O6" s="114">
        <v>45589</v>
      </c>
      <c r="P6" s="88"/>
      <c r="Q6" s="102"/>
      <c r="R6" s="102" t="s">
        <v>867</v>
      </c>
      <c r="S6" s="118">
        <v>45589</v>
      </c>
      <c r="T6" s="102" t="s">
        <v>1577</v>
      </c>
      <c r="U6" s="102"/>
      <c r="V6" s="102"/>
      <c r="W6" s="125" t="s">
        <v>1621</v>
      </c>
      <c r="X6" s="102"/>
    </row>
    <row r="7" spans="1:24" ht="45" customHeight="1">
      <c r="A7" s="102">
        <v>5</v>
      </c>
      <c r="B7" s="144" t="s">
        <v>60</v>
      </c>
      <c r="C7" s="88" t="s">
        <v>284</v>
      </c>
      <c r="D7" s="103" t="s">
        <v>1639</v>
      </c>
      <c r="E7" s="87" t="s">
        <v>1640</v>
      </c>
      <c r="F7" s="88">
        <v>1</v>
      </c>
      <c r="G7" s="88">
        <v>1</v>
      </c>
      <c r="H7" s="145" t="s">
        <v>1271</v>
      </c>
      <c r="I7" s="146" t="s">
        <v>304</v>
      </c>
      <c r="J7" s="145"/>
      <c r="K7" s="146"/>
      <c r="L7" s="146"/>
      <c r="M7" s="147" t="s">
        <v>93</v>
      </c>
      <c r="N7" s="146" t="s">
        <v>93</v>
      </c>
      <c r="O7" s="146" t="s">
        <v>93</v>
      </c>
      <c r="P7" s="146" t="s">
        <v>93</v>
      </c>
      <c r="Q7" s="145" t="s">
        <v>93</v>
      </c>
      <c r="R7" s="145" t="s">
        <v>93</v>
      </c>
      <c r="S7" s="145" t="s">
        <v>93</v>
      </c>
      <c r="T7" s="145" t="s">
        <v>93</v>
      </c>
      <c r="U7" s="145" t="s">
        <v>1611</v>
      </c>
      <c r="V7" s="145" t="s">
        <v>93</v>
      </c>
      <c r="W7" s="125" t="s">
        <v>1621</v>
      </c>
      <c r="X7" s="102"/>
    </row>
    <row r="8" spans="1:24" ht="45" customHeight="1">
      <c r="A8" s="102">
        <v>6</v>
      </c>
      <c r="B8" s="144" t="s">
        <v>60</v>
      </c>
      <c r="C8" s="88" t="s">
        <v>231</v>
      </c>
      <c r="D8" s="103" t="s">
        <v>1641</v>
      </c>
      <c r="E8" s="87" t="s">
        <v>1642</v>
      </c>
      <c r="F8" s="88">
        <v>2</v>
      </c>
      <c r="G8" s="88">
        <v>2</v>
      </c>
      <c r="H8" s="145" t="s">
        <v>231</v>
      </c>
      <c r="I8" s="146" t="s">
        <v>304</v>
      </c>
      <c r="J8" s="145" t="s">
        <v>1577</v>
      </c>
      <c r="K8" s="146" t="s">
        <v>93</v>
      </c>
      <c r="L8" s="146" t="s">
        <v>93</v>
      </c>
      <c r="M8" s="104" t="s">
        <v>1643</v>
      </c>
      <c r="N8" s="149">
        <v>45590</v>
      </c>
      <c r="O8" s="149">
        <v>45590</v>
      </c>
      <c r="P8" s="146" t="s">
        <v>893</v>
      </c>
      <c r="Q8" s="145" t="s">
        <v>1577</v>
      </c>
      <c r="R8" s="145" t="s">
        <v>93</v>
      </c>
      <c r="S8" s="145" t="s">
        <v>93</v>
      </c>
      <c r="T8" s="145" t="s">
        <v>1577</v>
      </c>
      <c r="U8" s="145" t="s">
        <v>1567</v>
      </c>
      <c r="V8" s="145"/>
      <c r="W8" s="125" t="s">
        <v>1621</v>
      </c>
      <c r="X8" s="102"/>
    </row>
    <row r="9" spans="1:24" s="102" customFormat="1" ht="42" customHeight="1">
      <c r="A9" s="102">
        <v>7</v>
      </c>
      <c r="B9" s="144" t="s">
        <v>60</v>
      </c>
      <c r="C9" s="146" t="s">
        <v>231</v>
      </c>
      <c r="D9" s="103" t="s">
        <v>1644</v>
      </c>
      <c r="E9" s="87" t="s">
        <v>1645</v>
      </c>
      <c r="F9" s="88">
        <v>1</v>
      </c>
      <c r="G9" s="88">
        <v>1</v>
      </c>
      <c r="H9" s="145" t="s">
        <v>281</v>
      </c>
      <c r="I9" s="146" t="s">
        <v>304</v>
      </c>
      <c r="J9" s="145"/>
      <c r="K9" s="146"/>
      <c r="L9" s="146"/>
      <c r="M9" s="147"/>
      <c r="N9" s="146"/>
      <c r="O9" s="146"/>
      <c r="P9" s="146"/>
      <c r="Q9" s="145"/>
      <c r="R9" s="145"/>
      <c r="S9" s="145"/>
      <c r="T9" s="145"/>
      <c r="U9" s="145" t="s">
        <v>1567</v>
      </c>
      <c r="V9" s="145"/>
      <c r="W9" s="145" t="s">
        <v>13</v>
      </c>
    </row>
    <row r="10" spans="1:24" s="86" customFormat="1" ht="48">
      <c r="A10" s="86">
        <v>8</v>
      </c>
      <c r="B10" s="126" t="s">
        <v>60</v>
      </c>
      <c r="C10" s="127" t="s">
        <v>268</v>
      </c>
      <c r="D10" s="72" t="s">
        <v>1646</v>
      </c>
      <c r="E10" s="16" t="s">
        <v>1647</v>
      </c>
      <c r="F10" s="5">
        <v>1</v>
      </c>
      <c r="G10" s="5">
        <v>1</v>
      </c>
      <c r="H10" s="125" t="s">
        <v>268</v>
      </c>
      <c r="I10" s="127" t="s">
        <v>304</v>
      </c>
      <c r="J10" s="125"/>
      <c r="K10" s="127"/>
      <c r="L10" s="127"/>
      <c r="M10" s="70" t="s">
        <v>1634</v>
      </c>
      <c r="N10" s="127"/>
      <c r="O10" s="127"/>
      <c r="P10" s="127"/>
      <c r="Q10" s="125"/>
      <c r="R10" s="125"/>
      <c r="S10" s="125"/>
      <c r="T10" s="125"/>
      <c r="U10" s="125"/>
      <c r="V10" s="125"/>
      <c r="W10" s="145" t="s">
        <v>13</v>
      </c>
    </row>
  </sheetData>
  <hyperlinks>
    <hyperlink ref="D7" r:id="rId1" display="https://greatergiving.atlassian.net/browse/GGO-13860" xr:uid="{A3858ACE-34CE-4227-AB36-AEC7EDB87F28}"/>
    <hyperlink ref="M4" r:id="rId2" xr:uid="{FD671CB4-CE97-40B4-9814-3A99A9A232A9}"/>
    <hyperlink ref="D9" r:id="rId3" display="https://greatergiving.atlassian.net/browse/GGO-14340" xr:uid="{8C9B13B3-01D6-487D-B1B4-AE680FC358D3}"/>
    <hyperlink ref="M3" r:id="rId4" xr:uid="{A72D1321-81B7-4278-9820-0C79201593BA}"/>
    <hyperlink ref="M6" r:id="rId5" xr:uid="{0D5A4483-F5F3-42A0-B8FB-71B1B98B4B1C}"/>
    <hyperlink ref="M8" r:id="rId6" xr:uid="{8791EAC1-5BC1-4C10-925A-4621B38526B8}"/>
    <hyperlink ref="M5" r:id="rId7" xr:uid="{951B2817-0C1A-47CF-AEBC-CE136B9638B4}"/>
    <hyperlink ref="M10" r:id="rId8" xr:uid="{E42FA3D4-D81B-4B88-A9BB-D2BDB639A0A0}"/>
  </hyperlinks>
  <pageMargins left="0" right="0" top="0" bottom="0" header="0" footer="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A3271-083D-4202-8C17-37D281BAEF5A}">
  <sheetPr>
    <outlinePr summaryBelow="0" summaryRight="0"/>
  </sheetPr>
  <dimension ref="A1:K3"/>
  <sheetViews>
    <sheetView topLeftCell="B2" workbookViewId="0">
      <selection activeCell="A2" sqref="A2:XFD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126" t="s">
        <v>60</v>
      </c>
      <c r="C2" s="69" t="s">
        <v>1598</v>
      </c>
      <c r="D2" s="140" t="s">
        <v>281</v>
      </c>
      <c r="E2" s="12" t="s">
        <v>753</v>
      </c>
      <c r="F2" s="76" t="s">
        <v>1599</v>
      </c>
      <c r="G2" s="12" t="s">
        <v>554</v>
      </c>
      <c r="H2" s="12" t="s">
        <v>556</v>
      </c>
      <c r="I2" s="12" t="s">
        <v>1436</v>
      </c>
      <c r="J2" s="12"/>
      <c r="K2" s="135"/>
    </row>
    <row r="3" spans="1:11" ht="26.25" customHeight="1">
      <c r="A3" s="4"/>
      <c r="B3" s="608"/>
      <c r="C3" s="609"/>
      <c r="D3" s="609"/>
      <c r="E3" s="610"/>
      <c r="F3" s="29"/>
      <c r="G3" s="12"/>
      <c r="H3" s="12"/>
      <c r="I3" s="12"/>
      <c r="J3" s="12"/>
      <c r="K3" s="12"/>
    </row>
  </sheetData>
  <mergeCells count="1">
    <mergeCell ref="B3:E3"/>
  </mergeCells>
  <dataValidations count="4">
    <dataValidation type="list" allowBlank="1" showErrorMessage="1" sqref="H2:H5" xr:uid="{6CB5AF57-A390-414C-86ED-BB75584C15FC}">
      <formula1>"Internal,External"</formula1>
    </dataValidation>
    <dataValidation type="list" allowBlank="1" showErrorMessage="1" sqref="E2:E5" xr:uid="{F6BF0C3F-EA85-4A3E-B487-347FAE1120C5}">
      <formula1>"Bounceback,Defect,None"</formula1>
    </dataValidation>
    <dataValidation type="list" allowBlank="1" showErrorMessage="1" sqref="I2:I5" xr:uid="{0AF180B6-2CF1-47F6-8B8E-C38AF37A5FC4}">
      <formula1>"Open,Inprogress,Closed"</formula1>
    </dataValidation>
    <dataValidation type="list" allowBlank="1" showErrorMessage="1" sqref="G2:G5" xr:uid="{E0707375-556E-4B87-BA90-56FAC77D4287}">
      <formula1>"Minor,Significant,Major"</formula1>
    </dataValidation>
  </dataValidations>
  <hyperlinks>
    <hyperlink ref="C2" r:id="rId1" display="https://greatergiving.atlassian.net/browse/GGO-14353" xr:uid="{22153108-F296-441E-887C-D47015B97F79}"/>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EB684BC9-2CF4-4334-8B93-19311E7B599A}">
          <x14:formula1>
            <xm:f>Details!$A$2:$A$10</xm:f>
          </x14:formula1>
          <xm:sqref>J2:J5</xm:sqref>
        </x14:dataValidation>
      </x14:dataValidations>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6F6C7-0692-4827-A9C9-96FC010D1FC0}">
  <sheetPr>
    <outlinePr summaryBelow="0" summaryRight="0"/>
  </sheetPr>
  <dimension ref="A2:W9"/>
  <sheetViews>
    <sheetView showGridLines="0" workbookViewId="0">
      <pane xSplit="5" ySplit="2" topLeftCell="T3" activePane="bottomRight" state="frozen"/>
      <selection pane="bottomRight" activeCell="W8" sqref="W8"/>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43" customWidth="1"/>
    <col min="7" max="7" width="12.140625" style="43" bestFit="1" customWidth="1"/>
    <col min="8" max="8" width="15.28515625" style="43"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8.85546875" style="43" customWidth="1"/>
    <col min="24" max="24" width="35.5703125" style="43" customWidth="1"/>
    <col min="25" max="16384" width="12.5703125" style="43"/>
  </cols>
  <sheetData>
    <row r="2" spans="1:23" ht="23.25">
      <c r="A2" s="123" t="s">
        <v>241</v>
      </c>
      <c r="B2" s="123" t="s">
        <v>242</v>
      </c>
      <c r="C2" s="123" t="s">
        <v>243</v>
      </c>
      <c r="D2" s="124" t="s">
        <v>244</v>
      </c>
      <c r="E2" s="123" t="s">
        <v>245</v>
      </c>
      <c r="F2" s="123" t="s">
        <v>1438</v>
      </c>
      <c r="G2" s="123" t="s">
        <v>1439</v>
      </c>
      <c r="H2" s="123" t="s">
        <v>252</v>
      </c>
      <c r="I2" s="123" t="s">
        <v>253</v>
      </c>
      <c r="J2" s="123" t="s">
        <v>254</v>
      </c>
      <c r="K2" s="123" t="s">
        <v>255</v>
      </c>
      <c r="L2" s="123" t="s">
        <v>256</v>
      </c>
      <c r="M2" s="123" t="s">
        <v>257</v>
      </c>
      <c r="N2" s="123" t="s">
        <v>258</v>
      </c>
      <c r="O2" s="123" t="s">
        <v>259</v>
      </c>
      <c r="P2" s="123" t="s">
        <v>260</v>
      </c>
      <c r="Q2" s="123" t="s">
        <v>261</v>
      </c>
      <c r="R2" s="123" t="s">
        <v>262</v>
      </c>
      <c r="S2" s="123" t="s">
        <v>263</v>
      </c>
      <c r="T2" s="123" t="s">
        <v>261</v>
      </c>
      <c r="U2" s="123" t="s">
        <v>265</v>
      </c>
      <c r="V2" s="123" t="s">
        <v>266</v>
      </c>
      <c r="W2" s="123" t="s">
        <v>246</v>
      </c>
    </row>
    <row r="3" spans="1:23" ht="65.25" customHeight="1">
      <c r="A3" s="125">
        <v>1</v>
      </c>
      <c r="B3" s="126" t="s">
        <v>58</v>
      </c>
      <c r="C3" s="127" t="s">
        <v>1648</v>
      </c>
      <c r="D3" s="128" t="s">
        <v>1588</v>
      </c>
      <c r="E3" s="130" t="s">
        <v>1589</v>
      </c>
      <c r="F3" s="130">
        <v>5</v>
      </c>
      <c r="G3" s="130"/>
      <c r="H3" s="125"/>
      <c r="I3" s="127"/>
      <c r="J3" s="125"/>
      <c r="K3" s="127"/>
      <c r="L3" s="127"/>
      <c r="M3" s="131"/>
      <c r="N3" s="127"/>
      <c r="O3" s="127"/>
      <c r="P3" s="127"/>
      <c r="Q3" s="125"/>
      <c r="R3" s="125"/>
      <c r="S3" s="125"/>
      <c r="T3" s="125"/>
      <c r="U3" s="125" t="s">
        <v>1649</v>
      </c>
      <c r="V3" s="125"/>
      <c r="W3" s="125" t="s">
        <v>1015</v>
      </c>
    </row>
    <row r="4" spans="1:23" ht="45" customHeight="1">
      <c r="A4" s="86">
        <v>2</v>
      </c>
      <c r="B4" s="126" t="s">
        <v>58</v>
      </c>
      <c r="C4" s="5" t="s">
        <v>506</v>
      </c>
      <c r="D4" s="106" t="s">
        <v>1650</v>
      </c>
      <c r="E4" s="16" t="s">
        <v>1651</v>
      </c>
      <c r="F4" s="16">
        <v>5</v>
      </c>
      <c r="G4" s="16">
        <v>5</v>
      </c>
      <c r="H4" s="86" t="s">
        <v>506</v>
      </c>
      <c r="I4" s="5" t="s">
        <v>304</v>
      </c>
      <c r="J4" s="86"/>
      <c r="K4" s="5" t="s">
        <v>735</v>
      </c>
      <c r="L4" s="96"/>
      <c r="M4" s="70" t="s">
        <v>1652</v>
      </c>
      <c r="N4" s="71">
        <v>45577</v>
      </c>
      <c r="O4" s="71">
        <v>45577</v>
      </c>
      <c r="P4" s="5" t="s">
        <v>231</v>
      </c>
      <c r="Q4" s="86" t="s">
        <v>1577</v>
      </c>
      <c r="R4" s="86" t="s">
        <v>1541</v>
      </c>
      <c r="S4" s="141">
        <v>45577</v>
      </c>
      <c r="T4" s="86" t="s">
        <v>1577</v>
      </c>
      <c r="U4" s="86" t="s">
        <v>1653</v>
      </c>
      <c r="V4" s="86"/>
      <c r="W4" s="125" t="s">
        <v>557</v>
      </c>
    </row>
    <row r="5" spans="1:23" ht="46.5" customHeight="1">
      <c r="A5" s="86">
        <v>3</v>
      </c>
      <c r="B5" s="126" t="s">
        <v>58</v>
      </c>
      <c r="C5" s="5" t="s">
        <v>268</v>
      </c>
      <c r="D5" s="106" t="s">
        <v>1654</v>
      </c>
      <c r="E5" s="16" t="s">
        <v>1655</v>
      </c>
      <c r="F5" s="16">
        <v>2</v>
      </c>
      <c r="G5" s="16">
        <v>2</v>
      </c>
      <c r="H5" s="86" t="s">
        <v>268</v>
      </c>
      <c r="I5" s="5" t="s">
        <v>231</v>
      </c>
      <c r="J5" s="86"/>
      <c r="K5" s="5"/>
      <c r="L5" s="96"/>
      <c r="M5" s="70" t="s">
        <v>1656</v>
      </c>
      <c r="N5" s="71">
        <v>45580</v>
      </c>
      <c r="O5" s="71">
        <v>45580</v>
      </c>
      <c r="P5" s="5" t="s">
        <v>231</v>
      </c>
      <c r="Q5" s="86" t="s">
        <v>1577</v>
      </c>
      <c r="R5" s="86" t="s">
        <v>1541</v>
      </c>
      <c r="S5" s="141">
        <v>45580</v>
      </c>
      <c r="T5" s="86" t="s">
        <v>1577</v>
      </c>
      <c r="U5" s="86" t="s">
        <v>1657</v>
      </c>
      <c r="V5" s="86"/>
      <c r="W5" s="125" t="s">
        <v>557</v>
      </c>
    </row>
    <row r="6" spans="1:23" ht="44.25" customHeight="1">
      <c r="A6" s="86">
        <v>4</v>
      </c>
      <c r="B6" s="126" t="s">
        <v>58</v>
      </c>
      <c r="C6" s="5" t="s">
        <v>231</v>
      </c>
      <c r="D6" s="106" t="s">
        <v>1658</v>
      </c>
      <c r="E6" s="16" t="s">
        <v>1659</v>
      </c>
      <c r="F6" s="16">
        <v>1</v>
      </c>
      <c r="G6" s="16">
        <v>1</v>
      </c>
      <c r="H6" s="86" t="s">
        <v>231</v>
      </c>
      <c r="I6" s="5" t="s">
        <v>304</v>
      </c>
      <c r="J6" s="86"/>
      <c r="K6" s="5" t="s">
        <v>268</v>
      </c>
      <c r="L6" s="96"/>
      <c r="M6" s="70" t="s">
        <v>1660</v>
      </c>
      <c r="N6" s="71">
        <v>45570</v>
      </c>
      <c r="O6" s="71">
        <v>45570</v>
      </c>
      <c r="P6" s="5" t="s">
        <v>93</v>
      </c>
      <c r="Q6" s="86" t="s">
        <v>1577</v>
      </c>
      <c r="R6" s="86" t="s">
        <v>1661</v>
      </c>
      <c r="S6" s="141">
        <v>45570</v>
      </c>
      <c r="T6" s="86" t="s">
        <v>1577</v>
      </c>
      <c r="U6" s="86"/>
      <c r="V6" s="86"/>
      <c r="W6" s="125" t="s">
        <v>557</v>
      </c>
    </row>
    <row r="7" spans="1:23" ht="46.5" customHeight="1">
      <c r="A7" s="86">
        <v>5</v>
      </c>
      <c r="B7" s="126" t="s">
        <v>58</v>
      </c>
      <c r="C7" s="5" t="s">
        <v>231</v>
      </c>
      <c r="D7" s="106" t="s">
        <v>1662</v>
      </c>
      <c r="E7" s="16" t="s">
        <v>1663</v>
      </c>
      <c r="F7" s="16">
        <v>3</v>
      </c>
      <c r="G7" s="16">
        <v>3</v>
      </c>
      <c r="H7" s="86" t="s">
        <v>506</v>
      </c>
      <c r="I7" s="5" t="s">
        <v>304</v>
      </c>
      <c r="J7" s="86"/>
      <c r="K7" s="5" t="s">
        <v>735</v>
      </c>
      <c r="L7" s="96"/>
      <c r="M7" s="70" t="s">
        <v>1652</v>
      </c>
      <c r="N7" s="71">
        <v>45577</v>
      </c>
      <c r="O7" s="71">
        <v>45577</v>
      </c>
      <c r="P7" s="5"/>
      <c r="Q7" s="86" t="s">
        <v>1577</v>
      </c>
      <c r="R7" s="86" t="s">
        <v>1541</v>
      </c>
      <c r="S7" s="71">
        <v>45577</v>
      </c>
      <c r="T7" s="86" t="s">
        <v>1577</v>
      </c>
      <c r="U7" s="86"/>
      <c r="V7" s="86"/>
      <c r="W7" s="125" t="s">
        <v>557</v>
      </c>
    </row>
    <row r="8" spans="1:23" s="86" customFormat="1" ht="33.75" customHeight="1">
      <c r="A8" s="86">
        <v>6</v>
      </c>
      <c r="B8" s="126" t="s">
        <v>58</v>
      </c>
      <c r="C8" s="5" t="s">
        <v>284</v>
      </c>
      <c r="D8" s="72" t="s">
        <v>1664</v>
      </c>
      <c r="E8" s="16" t="s">
        <v>1665</v>
      </c>
      <c r="F8" s="16">
        <v>1</v>
      </c>
      <c r="G8" s="16">
        <v>1</v>
      </c>
      <c r="H8" s="125" t="s">
        <v>1271</v>
      </c>
      <c r="I8" s="127" t="s">
        <v>304</v>
      </c>
      <c r="J8" s="125"/>
      <c r="K8" s="127"/>
      <c r="L8" s="127"/>
      <c r="M8" s="131" t="s">
        <v>93</v>
      </c>
      <c r="N8" s="127" t="s">
        <v>93</v>
      </c>
      <c r="O8" s="127" t="s">
        <v>93</v>
      </c>
      <c r="P8" s="127" t="s">
        <v>93</v>
      </c>
      <c r="Q8" s="125" t="s">
        <v>93</v>
      </c>
      <c r="R8" s="125" t="s">
        <v>93</v>
      </c>
      <c r="S8" s="125" t="s">
        <v>93</v>
      </c>
      <c r="T8" s="125" t="s">
        <v>93</v>
      </c>
      <c r="U8" s="125" t="s">
        <v>93</v>
      </c>
      <c r="V8" s="125" t="s">
        <v>93</v>
      </c>
      <c r="W8" s="125" t="s">
        <v>557</v>
      </c>
    </row>
    <row r="9" spans="1:23" s="139" customFormat="1" ht="44.25" customHeight="1">
      <c r="A9" s="86">
        <v>7</v>
      </c>
      <c r="B9" s="126" t="s">
        <v>58</v>
      </c>
      <c r="C9" s="5" t="s">
        <v>506</v>
      </c>
      <c r="D9" s="72" t="s">
        <v>1666</v>
      </c>
      <c r="E9" s="16" t="s">
        <v>1667</v>
      </c>
      <c r="F9" s="16"/>
      <c r="G9" s="16"/>
      <c r="H9" s="125" t="s">
        <v>506</v>
      </c>
      <c r="I9" s="127" t="s">
        <v>735</v>
      </c>
      <c r="J9" s="125"/>
      <c r="K9" s="127"/>
      <c r="L9" s="127"/>
      <c r="M9" s="70" t="s">
        <v>1668</v>
      </c>
      <c r="N9" s="71">
        <v>45581</v>
      </c>
      <c r="O9" s="71">
        <v>45581</v>
      </c>
      <c r="P9" s="127" t="s">
        <v>231</v>
      </c>
      <c r="Q9" s="125" t="s">
        <v>1577</v>
      </c>
      <c r="R9" s="86" t="s">
        <v>867</v>
      </c>
      <c r="S9" s="134">
        <v>45581</v>
      </c>
      <c r="T9" s="125" t="s">
        <v>1577</v>
      </c>
      <c r="U9" s="106" t="s">
        <v>1669</v>
      </c>
      <c r="V9" s="125"/>
      <c r="W9" s="125" t="s">
        <v>557</v>
      </c>
    </row>
  </sheetData>
  <hyperlinks>
    <hyperlink ref="D8" r:id="rId1" display="https://greatergiving.atlassian.net/browse/GGO-14199" xr:uid="{2370FB85-78DA-4946-8C9D-7FD26E9D8212}"/>
    <hyperlink ref="M5" r:id="rId2" xr:uid="{D4AA353B-87BF-4EDE-A157-80EBFCC9CFCF}"/>
    <hyperlink ref="M9" r:id="rId3" xr:uid="{C978AD3E-55BF-4296-AEAD-D51C4D75E363}"/>
    <hyperlink ref="M4" r:id="rId4" xr:uid="{2931ADEB-ADE0-4937-AFBC-E00ED63D63EB}"/>
    <hyperlink ref="M7" r:id="rId5" xr:uid="{4DCBDF54-50B1-4A16-9E7A-CFC77B083C6F}"/>
    <hyperlink ref="M6" r:id="rId6" xr:uid="{0CF1F1C8-F38E-434E-8707-0770453C0FDC}"/>
  </hyperlinks>
  <pageMargins left="0" right="0" top="0" bottom="0" header="0" footer="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4B25B-4D1E-4BCA-9E10-4C9D9455FF3E}">
  <sheetPr>
    <outlinePr summaryBelow="0" summaryRight="0"/>
  </sheetPr>
  <dimension ref="A1:K3"/>
  <sheetViews>
    <sheetView topLeftCell="B1" workbookViewId="0">
      <selection activeCell="D2" sqref="D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8" width="9.140625" bestFit="1" customWidth="1"/>
    <col min="9" max="9" width="11.5703125" customWidth="1"/>
    <col min="10" max="10" width="18" customWidth="1"/>
    <col min="11" max="11" width="14.140625"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126" t="s">
        <v>58</v>
      </c>
      <c r="C2" s="69" t="s">
        <v>1666</v>
      </c>
      <c r="D2" s="140" t="s">
        <v>506</v>
      </c>
      <c r="E2" s="12" t="s">
        <v>753</v>
      </c>
      <c r="F2" s="76" t="s">
        <v>1667</v>
      </c>
      <c r="G2" s="12" t="s">
        <v>1146</v>
      </c>
      <c r="H2" s="12" t="s">
        <v>556</v>
      </c>
      <c r="I2" s="12" t="s">
        <v>557</v>
      </c>
      <c r="J2" s="12" t="s">
        <v>902</v>
      </c>
      <c r="K2" s="135"/>
    </row>
    <row r="3" spans="1:11" ht="26.25" customHeight="1">
      <c r="A3" s="4"/>
      <c r="B3" s="608"/>
      <c r="C3" s="609"/>
      <c r="D3" s="609"/>
      <c r="E3" s="610"/>
      <c r="F3" s="29"/>
      <c r="G3" s="12"/>
      <c r="H3" s="12"/>
      <c r="I3" s="12"/>
      <c r="J3" s="12"/>
      <c r="K3" s="12"/>
    </row>
  </sheetData>
  <mergeCells count="1">
    <mergeCell ref="B3:E3"/>
  </mergeCells>
  <dataValidations count="4">
    <dataValidation type="list" allowBlank="1" showErrorMessage="1" sqref="G2:G5" xr:uid="{FC7BD584-F90C-415C-8025-AAF823805740}">
      <formula1>"Minor,Significant,Major"</formula1>
    </dataValidation>
    <dataValidation type="list" allowBlank="1" showErrorMessage="1" sqref="I2:I5" xr:uid="{6F737121-E303-40B5-B90C-FCB48498CA63}">
      <formula1>"Open,Inprogress,Closed"</formula1>
    </dataValidation>
    <dataValidation type="list" allowBlank="1" showErrorMessage="1" sqref="E2:E5" xr:uid="{879D7B34-FE72-422D-96D6-9A31D75AB836}">
      <formula1>"Bounceback,Defect,None"</formula1>
    </dataValidation>
    <dataValidation type="list" allowBlank="1" showErrorMessage="1" sqref="H2:H5" xr:uid="{D6281E9A-9E2E-456F-912A-ADD5A33AC6C7}">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B195BC8-114F-48E6-84DB-55B7E491BA39}">
          <x14:formula1>
            <xm:f>Details!$A$2:$A$10</xm:f>
          </x14:formula1>
          <xm:sqref>J2:J5</xm:sqref>
        </x14:dataValidation>
      </x14:dataValidations>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1963-DE24-4D3E-9A28-EC0563C9B9AE}">
  <sheetPr>
    <outlinePr summaryBelow="0" summaryRight="0"/>
  </sheetPr>
  <dimension ref="A2:W10"/>
  <sheetViews>
    <sheetView showGridLines="0" workbookViewId="0">
      <pane xSplit="5" ySplit="2" topLeftCell="T3" activePane="bottomRight" state="frozen"/>
      <selection pane="bottomRight" activeCell="W8" sqref="W8"/>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7.85546875" style="43" customWidth="1"/>
    <col min="4" max="4" width="17.42578125" style="62" customWidth="1"/>
    <col min="5" max="5" width="53.85546875" style="43" bestFit="1" customWidth="1"/>
    <col min="6" max="6" width="11" style="43"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3" ht="23.25">
      <c r="A2" s="123" t="s">
        <v>241</v>
      </c>
      <c r="B2" s="123" t="s">
        <v>242</v>
      </c>
      <c r="C2" s="123" t="s">
        <v>243</v>
      </c>
      <c r="D2" s="124" t="s">
        <v>244</v>
      </c>
      <c r="E2" s="123" t="s">
        <v>245</v>
      </c>
      <c r="F2" s="123" t="s">
        <v>1438</v>
      </c>
      <c r="G2" s="123" t="s">
        <v>1439</v>
      </c>
      <c r="H2" s="123" t="s">
        <v>252</v>
      </c>
      <c r="I2" s="123" t="s">
        <v>253</v>
      </c>
      <c r="J2" s="123" t="s">
        <v>254</v>
      </c>
      <c r="K2" s="123" t="s">
        <v>255</v>
      </c>
      <c r="L2" s="123" t="s">
        <v>256</v>
      </c>
      <c r="M2" s="123" t="s">
        <v>257</v>
      </c>
      <c r="N2" s="123" t="s">
        <v>258</v>
      </c>
      <c r="O2" s="123" t="s">
        <v>259</v>
      </c>
      <c r="P2" s="123" t="s">
        <v>260</v>
      </c>
      <c r="Q2" s="123" t="s">
        <v>261</v>
      </c>
      <c r="R2" s="123" t="s">
        <v>262</v>
      </c>
      <c r="S2" s="123" t="s">
        <v>263</v>
      </c>
      <c r="T2" s="123" t="s">
        <v>261</v>
      </c>
      <c r="U2" s="123" t="s">
        <v>265</v>
      </c>
      <c r="V2" s="123" t="s">
        <v>266</v>
      </c>
      <c r="W2" s="123" t="s">
        <v>246</v>
      </c>
    </row>
    <row r="3" spans="1:23" ht="53.25" customHeight="1">
      <c r="A3" s="125">
        <v>1</v>
      </c>
      <c r="B3" s="126" t="s">
        <v>56</v>
      </c>
      <c r="C3" s="127" t="s">
        <v>230</v>
      </c>
      <c r="D3" s="128" t="s">
        <v>1670</v>
      </c>
      <c r="E3" s="129" t="s">
        <v>1671</v>
      </c>
      <c r="F3" s="130">
        <v>3</v>
      </c>
      <c r="G3" s="130">
        <v>3</v>
      </c>
      <c r="H3" s="125" t="s">
        <v>1206</v>
      </c>
      <c r="I3" s="127" t="s">
        <v>304</v>
      </c>
      <c r="J3" s="125" t="s">
        <v>1577</v>
      </c>
      <c r="K3" s="127" t="s">
        <v>268</v>
      </c>
      <c r="L3" s="127" t="s">
        <v>1577</v>
      </c>
      <c r="M3" s="70" t="s">
        <v>1672</v>
      </c>
      <c r="N3" s="132">
        <v>45558</v>
      </c>
      <c r="O3" s="132">
        <v>45561</v>
      </c>
      <c r="P3" s="127" t="s">
        <v>231</v>
      </c>
      <c r="Q3" s="125" t="s">
        <v>1577</v>
      </c>
      <c r="R3" s="125" t="s">
        <v>1161</v>
      </c>
      <c r="S3" s="132">
        <v>45561</v>
      </c>
      <c r="T3" s="125" t="s">
        <v>1577</v>
      </c>
      <c r="U3" s="125" t="s">
        <v>1673</v>
      </c>
      <c r="V3" s="125" t="s">
        <v>1577</v>
      </c>
      <c r="W3" s="125" t="s">
        <v>557</v>
      </c>
    </row>
    <row r="4" spans="1:23" ht="36" customHeight="1">
      <c r="A4" s="125">
        <v>2</v>
      </c>
      <c r="B4" s="126" t="s">
        <v>56</v>
      </c>
      <c r="C4" s="127" t="s">
        <v>1648</v>
      </c>
      <c r="D4" s="128" t="s">
        <v>1588</v>
      </c>
      <c r="E4" s="130" t="s">
        <v>1589</v>
      </c>
      <c r="F4" s="130">
        <v>5</v>
      </c>
      <c r="G4" s="130"/>
      <c r="H4" s="125"/>
      <c r="I4" s="127"/>
      <c r="J4" s="125"/>
      <c r="K4" s="127"/>
      <c r="L4" s="127"/>
      <c r="M4" s="131"/>
      <c r="N4" s="127"/>
      <c r="O4" s="127"/>
      <c r="P4" s="127"/>
      <c r="Q4" s="125"/>
      <c r="R4" s="125"/>
      <c r="S4" s="125"/>
      <c r="T4" s="125"/>
      <c r="U4" s="125" t="s">
        <v>1673</v>
      </c>
      <c r="V4" s="125"/>
      <c r="W4" s="125" t="s">
        <v>1015</v>
      </c>
    </row>
    <row r="5" spans="1:23" ht="41.25" customHeight="1">
      <c r="A5" s="125">
        <v>3</v>
      </c>
      <c r="B5" s="126" t="s">
        <v>56</v>
      </c>
      <c r="C5" s="127" t="s">
        <v>268</v>
      </c>
      <c r="D5" s="128" t="s">
        <v>1674</v>
      </c>
      <c r="E5" s="130" t="s">
        <v>1675</v>
      </c>
      <c r="F5" s="130">
        <v>3</v>
      </c>
      <c r="G5" s="130">
        <v>3</v>
      </c>
      <c r="H5" s="125"/>
      <c r="I5" s="127" t="s">
        <v>304</v>
      </c>
      <c r="J5" s="125" t="s">
        <v>1676</v>
      </c>
      <c r="K5" s="127" t="s">
        <v>1058</v>
      </c>
      <c r="L5" s="127" t="s">
        <v>1577</v>
      </c>
      <c r="M5" s="70" t="s">
        <v>1677</v>
      </c>
      <c r="N5" s="132">
        <v>45558</v>
      </c>
      <c r="O5" s="132">
        <v>45559</v>
      </c>
      <c r="P5" s="127" t="s">
        <v>231</v>
      </c>
      <c r="Q5" s="125" t="s">
        <v>1577</v>
      </c>
      <c r="R5" s="125" t="s">
        <v>1541</v>
      </c>
      <c r="S5" s="132">
        <v>45559</v>
      </c>
      <c r="T5" s="125" t="s">
        <v>1577</v>
      </c>
      <c r="U5" s="125" t="s">
        <v>1577</v>
      </c>
      <c r="V5" s="125" t="s">
        <v>1577</v>
      </c>
      <c r="W5" s="125" t="s">
        <v>557</v>
      </c>
    </row>
    <row r="6" spans="1:23" ht="49.5" customHeight="1">
      <c r="A6" s="125">
        <v>4</v>
      </c>
      <c r="B6" s="126" t="s">
        <v>56</v>
      </c>
      <c r="C6" s="136" t="s">
        <v>268</v>
      </c>
      <c r="D6" s="128" t="s">
        <v>1678</v>
      </c>
      <c r="E6" s="125" t="s">
        <v>1679</v>
      </c>
      <c r="F6" s="125">
        <v>2</v>
      </c>
      <c r="G6" s="125">
        <v>2</v>
      </c>
      <c r="H6" s="125"/>
      <c r="I6" s="127" t="s">
        <v>304</v>
      </c>
      <c r="J6" s="125"/>
      <c r="K6" s="125" t="s">
        <v>1563</v>
      </c>
      <c r="L6" s="125"/>
      <c r="M6" s="137" t="s">
        <v>1680</v>
      </c>
      <c r="N6" s="132">
        <v>45555</v>
      </c>
      <c r="O6" s="132">
        <v>45555</v>
      </c>
      <c r="P6" s="127" t="s">
        <v>231</v>
      </c>
      <c r="Q6" s="125" t="s">
        <v>1577</v>
      </c>
      <c r="R6" s="125" t="s">
        <v>1681</v>
      </c>
      <c r="S6" s="132">
        <v>45555</v>
      </c>
      <c r="T6" s="125" t="s">
        <v>1577</v>
      </c>
      <c r="U6" s="125"/>
      <c r="V6" s="125"/>
      <c r="W6" s="125" t="s">
        <v>557</v>
      </c>
    </row>
    <row r="7" spans="1:23" ht="36" customHeight="1">
      <c r="A7" s="125">
        <v>5</v>
      </c>
      <c r="B7" s="126" t="s">
        <v>56</v>
      </c>
      <c r="C7" s="127" t="s">
        <v>230</v>
      </c>
      <c r="D7" s="128" t="s">
        <v>1682</v>
      </c>
      <c r="E7" s="130" t="s">
        <v>1683</v>
      </c>
      <c r="F7" s="130">
        <v>1</v>
      </c>
      <c r="G7" s="130">
        <v>1</v>
      </c>
      <c r="H7" s="125" t="s">
        <v>304</v>
      </c>
      <c r="I7" s="127" t="s">
        <v>304</v>
      </c>
      <c r="J7" s="125" t="s">
        <v>1577</v>
      </c>
      <c r="K7" s="127" t="s">
        <v>231</v>
      </c>
      <c r="L7" s="127"/>
      <c r="M7" s="70" t="s">
        <v>1684</v>
      </c>
      <c r="N7" s="132">
        <v>45548</v>
      </c>
      <c r="O7" s="132">
        <v>45554</v>
      </c>
      <c r="P7" s="127" t="s">
        <v>231</v>
      </c>
      <c r="Q7" s="125" t="s">
        <v>1577</v>
      </c>
      <c r="R7" s="125" t="s">
        <v>1161</v>
      </c>
      <c r="S7" s="134">
        <v>45554</v>
      </c>
      <c r="T7" s="125" t="s">
        <v>1577</v>
      </c>
      <c r="U7" s="125" t="s">
        <v>1577</v>
      </c>
      <c r="V7" s="125" t="s">
        <v>1577</v>
      </c>
      <c r="W7" s="125" t="s">
        <v>557</v>
      </c>
    </row>
    <row r="8" spans="1:23" ht="44.25" customHeight="1">
      <c r="A8" s="125">
        <v>5</v>
      </c>
      <c r="B8" s="126" t="s">
        <v>56</v>
      </c>
      <c r="C8" s="136" t="s">
        <v>284</v>
      </c>
      <c r="D8" s="70" t="s">
        <v>1685</v>
      </c>
      <c r="E8" s="125" t="s">
        <v>1686</v>
      </c>
      <c r="F8" s="125">
        <v>2</v>
      </c>
      <c r="G8" s="125">
        <v>2</v>
      </c>
      <c r="H8" s="125" t="s">
        <v>1271</v>
      </c>
      <c r="I8" s="127" t="s">
        <v>304</v>
      </c>
      <c r="J8" s="125"/>
      <c r="K8" s="127"/>
      <c r="L8" s="127"/>
      <c r="M8" s="131" t="s">
        <v>93</v>
      </c>
      <c r="N8" s="127" t="s">
        <v>93</v>
      </c>
      <c r="O8" s="127" t="s">
        <v>93</v>
      </c>
      <c r="P8" s="127" t="s">
        <v>93</v>
      </c>
      <c r="Q8" s="125" t="s">
        <v>93</v>
      </c>
      <c r="R8" s="125" t="s">
        <v>93</v>
      </c>
      <c r="S8" s="125" t="s">
        <v>93</v>
      </c>
      <c r="T8" s="125" t="s">
        <v>93</v>
      </c>
      <c r="U8" s="125" t="s">
        <v>93</v>
      </c>
      <c r="V8" s="125" t="s">
        <v>93</v>
      </c>
      <c r="W8" s="125" t="s">
        <v>557</v>
      </c>
    </row>
    <row r="9" spans="1:23" ht="44.25" customHeight="1">
      <c r="A9" s="125">
        <v>6</v>
      </c>
      <c r="B9" s="126" t="s">
        <v>56</v>
      </c>
      <c r="C9" s="127" t="s">
        <v>231</v>
      </c>
      <c r="D9" s="128" t="s">
        <v>1687</v>
      </c>
      <c r="E9" s="130" t="s">
        <v>1688</v>
      </c>
      <c r="F9" s="130">
        <v>2</v>
      </c>
      <c r="G9" s="130">
        <v>2</v>
      </c>
      <c r="H9" s="125" t="s">
        <v>231</v>
      </c>
      <c r="I9" s="127" t="s">
        <v>304</v>
      </c>
      <c r="J9" s="125" t="s">
        <v>1577</v>
      </c>
      <c r="K9" s="127" t="s">
        <v>268</v>
      </c>
      <c r="L9" s="127" t="s">
        <v>1577</v>
      </c>
      <c r="M9" s="70" t="s">
        <v>1689</v>
      </c>
      <c r="N9" s="132">
        <v>45555</v>
      </c>
      <c r="O9" s="132">
        <v>45558</v>
      </c>
      <c r="P9" s="127" t="s">
        <v>1271</v>
      </c>
      <c r="Q9" s="125" t="s">
        <v>1577</v>
      </c>
      <c r="R9" s="125" t="s">
        <v>893</v>
      </c>
      <c r="S9" s="132">
        <v>45558</v>
      </c>
      <c r="T9" s="125" t="s">
        <v>1577</v>
      </c>
      <c r="U9" s="125" t="s">
        <v>1690</v>
      </c>
      <c r="V9" s="125" t="s">
        <v>1577</v>
      </c>
      <c r="W9" s="125" t="s">
        <v>557</v>
      </c>
    </row>
    <row r="10" spans="1:23">
      <c r="A10" s="125">
        <v>7</v>
      </c>
      <c r="B10" s="126" t="s">
        <v>56</v>
      </c>
      <c r="C10" s="136" t="s">
        <v>284</v>
      </c>
      <c r="D10" s="70" t="s">
        <v>1691</v>
      </c>
      <c r="E10" s="125" t="s">
        <v>1692</v>
      </c>
      <c r="F10" s="125">
        <v>1</v>
      </c>
      <c r="G10" s="125">
        <v>1</v>
      </c>
      <c r="H10" s="125" t="s">
        <v>893</v>
      </c>
      <c r="I10" s="127" t="s">
        <v>304</v>
      </c>
      <c r="J10" s="125" t="s">
        <v>1577</v>
      </c>
      <c r="K10" s="127" t="s">
        <v>93</v>
      </c>
      <c r="L10" s="127" t="s">
        <v>93</v>
      </c>
      <c r="M10" s="131" t="s">
        <v>93</v>
      </c>
      <c r="N10" s="127" t="s">
        <v>93</v>
      </c>
      <c r="O10" s="127" t="s">
        <v>93</v>
      </c>
      <c r="P10" s="127" t="s">
        <v>93</v>
      </c>
      <c r="Q10" s="125" t="s">
        <v>93</v>
      </c>
      <c r="R10" s="125" t="s">
        <v>93</v>
      </c>
      <c r="S10" s="125" t="s">
        <v>93</v>
      </c>
      <c r="T10" s="125" t="s">
        <v>93</v>
      </c>
      <c r="U10" s="125" t="s">
        <v>93</v>
      </c>
      <c r="V10" s="125" t="s">
        <v>93</v>
      </c>
      <c r="W10" s="125" t="s">
        <v>557</v>
      </c>
    </row>
  </sheetData>
  <hyperlinks>
    <hyperlink ref="M6" r:id="rId1" xr:uid="{4358320A-7D38-46D0-B06B-5DFAAFAA8EEB}"/>
    <hyperlink ref="M5" r:id="rId2" xr:uid="{FCA562DA-561D-4D07-878F-3C337C2D4729}"/>
    <hyperlink ref="M7" r:id="rId3" xr:uid="{03E7202D-EE75-47FF-9869-7AD6C5DE8F53}"/>
    <hyperlink ref="D8" r:id="rId4" display="https://greatergiving.atlassian.net/browse/GGO-14267" xr:uid="{95FA730C-B666-48C6-9EE8-2F4499FB78E4}"/>
    <hyperlink ref="M3" r:id="rId5" xr:uid="{F8BCE842-8247-47AC-B5C1-29E3F64A0D17}"/>
    <hyperlink ref="M9" r:id="rId6" xr:uid="{61F96E36-E839-4D30-81FF-BA0633D78D0A}"/>
    <hyperlink ref="D10" r:id="rId7" display="https://greatergiving.atlassian.net/browse/PAPI-750" xr:uid="{90BA00D5-5FDD-4E12-A199-31617FD066A6}"/>
  </hyperlinks>
  <pageMargins left="0" right="0" top="0" bottom="0" header="0" footer="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1E7C-5614-436E-9926-2DCA1837BF50}">
  <sheetPr>
    <outlinePr summaryBelow="0" summaryRight="0"/>
  </sheetPr>
  <dimension ref="A1:K3"/>
  <sheetViews>
    <sheetView topLeftCell="B1" workbookViewId="0">
      <selection activeCell="B2" sqref="B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 min="11" max="11" width="14.140625"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2"/>
      <c r="C2" s="69"/>
      <c r="D2" s="11"/>
      <c r="E2" s="12"/>
      <c r="F2" s="76"/>
      <c r="G2" s="12"/>
      <c r="H2" s="12"/>
      <c r="I2" s="12"/>
      <c r="J2" s="12"/>
      <c r="K2" s="135"/>
    </row>
    <row r="3" spans="1:11" ht="26.25" customHeight="1">
      <c r="A3" s="4"/>
      <c r="B3" s="608"/>
      <c r="C3" s="609"/>
      <c r="D3" s="609"/>
      <c r="E3" s="610"/>
      <c r="F3" s="29"/>
      <c r="G3" s="12"/>
      <c r="H3" s="12"/>
      <c r="I3" s="12"/>
      <c r="J3" s="12"/>
      <c r="K3" s="12"/>
    </row>
  </sheetData>
  <mergeCells count="1">
    <mergeCell ref="B3:E3"/>
  </mergeCells>
  <dataValidations count="4">
    <dataValidation type="list" allowBlank="1" showErrorMessage="1" sqref="H2:H5" xr:uid="{95A02152-A7FC-491C-B6FC-23BCC291B45D}">
      <formula1>"Internal,External"</formula1>
    </dataValidation>
    <dataValidation type="list" allowBlank="1" showErrorMessage="1" sqref="E2:E5" xr:uid="{2F63CB1E-D36D-4EEE-B64D-7023BEA067A8}">
      <formula1>"Bounceback,Defect,None"</formula1>
    </dataValidation>
    <dataValidation type="list" allowBlank="1" showErrorMessage="1" sqref="I2:I5" xr:uid="{C1F1CBF5-5189-427E-A962-0C7024D86091}">
      <formula1>"Open,Inprogress,Closed"</formula1>
    </dataValidation>
    <dataValidation type="list" allowBlank="1" showErrorMessage="1" sqref="G2:G5" xr:uid="{BC740893-51AA-4121-AAF1-088C73FF100A}">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BAB438D-8552-4124-8D4B-04C6416B9A6B}">
          <x14:formula1>
            <xm:f>Details!$A$2:$A$10</xm:f>
          </x14:formula1>
          <xm:sqref>J2:J5</xm:sqref>
        </x14:dataValidation>
      </x14:dataValidations>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A5D04-E04E-45B5-B9EC-9F2E4FFACEB9}">
  <sheetPr>
    <outlinePr summaryBelow="0" summaryRight="0"/>
  </sheetPr>
  <dimension ref="A2:W9"/>
  <sheetViews>
    <sheetView showGridLines="0" workbookViewId="0">
      <pane xSplit="5" ySplit="2" topLeftCell="L3" activePane="bottomRight" state="frozen"/>
      <selection pane="bottomRight" activeCell="M5" sqref="M5"/>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1" style="43"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3" ht="23.25">
      <c r="A2" s="123" t="s">
        <v>241</v>
      </c>
      <c r="B2" s="123" t="s">
        <v>242</v>
      </c>
      <c r="C2" s="123" t="s">
        <v>243</v>
      </c>
      <c r="D2" s="124" t="s">
        <v>244</v>
      </c>
      <c r="E2" s="123" t="s">
        <v>245</v>
      </c>
      <c r="F2" s="123" t="s">
        <v>1438</v>
      </c>
      <c r="G2" s="123" t="s">
        <v>1439</v>
      </c>
      <c r="H2" s="123" t="s">
        <v>252</v>
      </c>
      <c r="I2" s="123" t="s">
        <v>253</v>
      </c>
      <c r="J2" s="123" t="s">
        <v>254</v>
      </c>
      <c r="K2" s="123" t="s">
        <v>255</v>
      </c>
      <c r="L2" s="123" t="s">
        <v>256</v>
      </c>
      <c r="M2" s="123" t="s">
        <v>257</v>
      </c>
      <c r="N2" s="123" t="s">
        <v>258</v>
      </c>
      <c r="O2" s="123" t="s">
        <v>259</v>
      </c>
      <c r="P2" s="123" t="s">
        <v>260</v>
      </c>
      <c r="Q2" s="123" t="s">
        <v>261</v>
      </c>
      <c r="R2" s="123" t="s">
        <v>262</v>
      </c>
      <c r="S2" s="123" t="s">
        <v>263</v>
      </c>
      <c r="T2" s="123" t="s">
        <v>261</v>
      </c>
      <c r="U2" s="123" t="s">
        <v>265</v>
      </c>
      <c r="V2" s="123" t="s">
        <v>266</v>
      </c>
      <c r="W2" s="123" t="s">
        <v>246</v>
      </c>
    </row>
    <row r="3" spans="1:23" ht="53.25" customHeight="1">
      <c r="A3" s="125">
        <v>1</v>
      </c>
      <c r="B3" s="126" t="s">
        <v>54</v>
      </c>
      <c r="C3" s="127" t="s">
        <v>230</v>
      </c>
      <c r="D3" s="128" t="s">
        <v>1693</v>
      </c>
      <c r="E3" s="129" t="s">
        <v>1694</v>
      </c>
      <c r="F3" s="130">
        <v>1</v>
      </c>
      <c r="G3" s="130">
        <v>1</v>
      </c>
      <c r="H3" s="125" t="s">
        <v>231</v>
      </c>
      <c r="I3" s="127" t="s">
        <v>231</v>
      </c>
      <c r="J3" s="125" t="s">
        <v>1577</v>
      </c>
      <c r="K3" s="127" t="s">
        <v>231</v>
      </c>
      <c r="L3" s="127"/>
      <c r="M3" s="70" t="s">
        <v>1695</v>
      </c>
      <c r="N3" s="132">
        <v>45544</v>
      </c>
      <c r="O3" s="132">
        <v>45544</v>
      </c>
      <c r="P3" s="127" t="s">
        <v>231</v>
      </c>
      <c r="Q3" s="125"/>
      <c r="R3" s="125" t="s">
        <v>1696</v>
      </c>
      <c r="S3" s="132">
        <v>45544</v>
      </c>
      <c r="T3" s="125" t="s">
        <v>1577</v>
      </c>
      <c r="U3" s="125" t="s">
        <v>1577</v>
      </c>
      <c r="V3" s="125" t="s">
        <v>1577</v>
      </c>
      <c r="W3" s="125" t="s">
        <v>557</v>
      </c>
    </row>
    <row r="4" spans="1:23" ht="36" customHeight="1">
      <c r="A4" s="125">
        <v>2</v>
      </c>
      <c r="B4" s="126" t="s">
        <v>54</v>
      </c>
      <c r="C4" s="127" t="s">
        <v>231</v>
      </c>
      <c r="D4" s="128" t="s">
        <v>1697</v>
      </c>
      <c r="E4" s="130" t="s">
        <v>1698</v>
      </c>
      <c r="F4" s="130">
        <v>1</v>
      </c>
      <c r="G4" s="130">
        <v>1</v>
      </c>
      <c r="H4" s="125" t="s">
        <v>231</v>
      </c>
      <c r="I4" s="127" t="s">
        <v>231</v>
      </c>
      <c r="J4" s="125" t="s">
        <v>1577</v>
      </c>
      <c r="K4" s="127" t="s">
        <v>231</v>
      </c>
      <c r="L4" s="127"/>
      <c r="M4" s="131" t="s">
        <v>93</v>
      </c>
      <c r="N4" s="127" t="s">
        <v>93</v>
      </c>
      <c r="O4" s="127" t="s">
        <v>93</v>
      </c>
      <c r="P4" s="127" t="s">
        <v>93</v>
      </c>
      <c r="Q4" s="125" t="s">
        <v>93</v>
      </c>
      <c r="R4" s="125" t="s">
        <v>93</v>
      </c>
      <c r="S4" s="125" t="s">
        <v>93</v>
      </c>
      <c r="T4" s="125" t="s">
        <v>93</v>
      </c>
      <c r="U4" s="125" t="s">
        <v>93</v>
      </c>
      <c r="V4" s="125" t="s">
        <v>93</v>
      </c>
      <c r="W4" s="125" t="s">
        <v>557</v>
      </c>
    </row>
    <row r="5" spans="1:23" ht="41.25" customHeight="1">
      <c r="A5" s="125">
        <v>3</v>
      </c>
      <c r="B5" s="126" t="s">
        <v>54</v>
      </c>
      <c r="C5" s="127" t="s">
        <v>268</v>
      </c>
      <c r="D5" s="128" t="s">
        <v>1699</v>
      </c>
      <c r="E5" s="130" t="s">
        <v>1700</v>
      </c>
      <c r="F5" s="130">
        <v>2</v>
      </c>
      <c r="G5" s="130">
        <v>2</v>
      </c>
      <c r="H5" s="125" t="s">
        <v>304</v>
      </c>
      <c r="I5" s="127" t="s">
        <v>304</v>
      </c>
      <c r="J5" s="125" t="s">
        <v>1577</v>
      </c>
      <c r="K5" s="127" t="s">
        <v>231</v>
      </c>
      <c r="L5" s="127"/>
      <c r="M5" s="70" t="s">
        <v>1701</v>
      </c>
      <c r="N5" s="132">
        <v>45546</v>
      </c>
      <c r="O5" s="132">
        <v>45546</v>
      </c>
      <c r="P5" s="127" t="s">
        <v>231</v>
      </c>
      <c r="Q5" s="125" t="s">
        <v>1577</v>
      </c>
      <c r="R5" s="125" t="s">
        <v>867</v>
      </c>
      <c r="S5" s="132">
        <v>45546</v>
      </c>
      <c r="T5" s="125" t="s">
        <v>1577</v>
      </c>
      <c r="U5" s="125" t="s">
        <v>1702</v>
      </c>
      <c r="V5" s="125" t="s">
        <v>1577</v>
      </c>
      <c r="W5" s="125" t="s">
        <v>557</v>
      </c>
    </row>
    <row r="6" spans="1:23" ht="49.5" customHeight="1">
      <c r="A6" s="125">
        <v>4</v>
      </c>
      <c r="B6" s="126" t="s">
        <v>54</v>
      </c>
      <c r="C6" s="127" t="s">
        <v>230</v>
      </c>
      <c r="D6" s="128" t="s">
        <v>1703</v>
      </c>
      <c r="E6" s="133" t="s">
        <v>1704</v>
      </c>
      <c r="F6" s="130">
        <v>2</v>
      </c>
      <c r="G6" s="130">
        <v>2</v>
      </c>
      <c r="H6" s="125" t="s">
        <v>304</v>
      </c>
      <c r="I6" s="127" t="s">
        <v>304</v>
      </c>
      <c r="J6" s="125" t="s">
        <v>1577</v>
      </c>
      <c r="K6" s="127" t="s">
        <v>231</v>
      </c>
      <c r="L6" s="127"/>
      <c r="M6" s="70" t="s">
        <v>1705</v>
      </c>
      <c r="N6" s="132">
        <v>45547</v>
      </c>
      <c r="O6" s="132">
        <v>45547</v>
      </c>
      <c r="P6" s="127" t="s">
        <v>231</v>
      </c>
      <c r="Q6" s="125" t="s">
        <v>1577</v>
      </c>
      <c r="R6" s="125" t="s">
        <v>1161</v>
      </c>
      <c r="S6" s="132">
        <v>45547</v>
      </c>
      <c r="T6" s="125" t="s">
        <v>1577</v>
      </c>
      <c r="U6" s="125" t="s">
        <v>1706</v>
      </c>
      <c r="V6" s="125" t="s">
        <v>1577</v>
      </c>
      <c r="W6" s="125" t="s">
        <v>557</v>
      </c>
    </row>
    <row r="7" spans="1:23" ht="36" customHeight="1">
      <c r="A7" s="125">
        <v>5</v>
      </c>
      <c r="B7" s="126" t="s">
        <v>54</v>
      </c>
      <c r="C7" s="127" t="s">
        <v>1707</v>
      </c>
      <c r="D7" s="128" t="s">
        <v>1682</v>
      </c>
      <c r="E7" s="130" t="s">
        <v>1683</v>
      </c>
      <c r="F7" s="130">
        <v>2</v>
      </c>
      <c r="G7" s="130">
        <v>2</v>
      </c>
      <c r="H7" s="125" t="s">
        <v>304</v>
      </c>
      <c r="I7" s="127" t="s">
        <v>304</v>
      </c>
      <c r="J7" s="125" t="s">
        <v>1577</v>
      </c>
      <c r="K7" s="127" t="s">
        <v>231</v>
      </c>
      <c r="L7" s="127"/>
      <c r="M7" s="70" t="s">
        <v>1684</v>
      </c>
      <c r="N7" s="132">
        <v>45548</v>
      </c>
      <c r="O7" s="132">
        <v>45554</v>
      </c>
      <c r="P7" s="127" t="s">
        <v>231</v>
      </c>
      <c r="Q7" s="125" t="s">
        <v>1577</v>
      </c>
      <c r="R7" s="125" t="s">
        <v>1161</v>
      </c>
      <c r="S7" s="134">
        <v>45554</v>
      </c>
      <c r="T7" s="125" t="s">
        <v>1577</v>
      </c>
      <c r="U7" s="125" t="s">
        <v>1577</v>
      </c>
      <c r="V7" s="125" t="s">
        <v>1577</v>
      </c>
      <c r="W7" s="125" t="s">
        <v>1015</v>
      </c>
    </row>
    <row r="8" spans="1:23" ht="122.25" customHeight="1">
      <c r="A8" s="125">
        <v>6</v>
      </c>
      <c r="B8" s="126" t="s">
        <v>54</v>
      </c>
      <c r="C8" s="127" t="s">
        <v>284</v>
      </c>
      <c r="D8" s="128" t="s">
        <v>1708</v>
      </c>
      <c r="E8" s="130" t="s">
        <v>1709</v>
      </c>
      <c r="F8" s="130">
        <v>2</v>
      </c>
      <c r="G8" s="130">
        <v>2</v>
      </c>
      <c r="H8" s="125" t="s">
        <v>304</v>
      </c>
      <c r="I8" s="127" t="s">
        <v>304</v>
      </c>
      <c r="J8" s="125" t="s">
        <v>1577</v>
      </c>
      <c r="K8" s="127" t="s">
        <v>231</v>
      </c>
      <c r="L8" s="127"/>
      <c r="M8" s="70" t="s">
        <v>1710</v>
      </c>
      <c r="N8" s="132">
        <v>45553</v>
      </c>
      <c r="O8" s="134">
        <v>45554</v>
      </c>
      <c r="P8" s="127" t="s">
        <v>1711</v>
      </c>
      <c r="Q8" s="125" t="s">
        <v>1712</v>
      </c>
      <c r="R8" s="125" t="s">
        <v>1711</v>
      </c>
      <c r="S8" s="134">
        <v>45554</v>
      </c>
      <c r="T8" s="125" t="s">
        <v>1577</v>
      </c>
      <c r="U8" s="125" t="s">
        <v>1577</v>
      </c>
      <c r="V8" s="125" t="s">
        <v>1577</v>
      </c>
      <c r="W8" s="125" t="s">
        <v>557</v>
      </c>
    </row>
    <row r="9" spans="1:23" ht="44.25" customHeight="1">
      <c r="A9" s="125">
        <v>7</v>
      </c>
      <c r="B9" s="126" t="s">
        <v>54</v>
      </c>
      <c r="C9" s="127" t="s">
        <v>268</v>
      </c>
      <c r="D9" s="128" t="s">
        <v>1713</v>
      </c>
      <c r="E9" s="130" t="s">
        <v>1714</v>
      </c>
      <c r="F9" s="130">
        <v>5</v>
      </c>
      <c r="G9" s="130">
        <v>5</v>
      </c>
      <c r="H9" s="125" t="s">
        <v>304</v>
      </c>
      <c r="I9" s="127" t="s">
        <v>281</v>
      </c>
      <c r="J9" s="125" t="s">
        <v>1577</v>
      </c>
      <c r="K9" s="127" t="s">
        <v>231</v>
      </c>
      <c r="L9" s="127"/>
      <c r="M9" s="70" t="s">
        <v>1715</v>
      </c>
      <c r="N9" s="132">
        <v>45551</v>
      </c>
      <c r="O9" s="132">
        <v>45551</v>
      </c>
      <c r="P9" s="127" t="s">
        <v>231</v>
      </c>
      <c r="Q9" s="125" t="s">
        <v>1577</v>
      </c>
      <c r="R9" s="125" t="s">
        <v>1716</v>
      </c>
      <c r="S9" s="132">
        <v>45551</v>
      </c>
      <c r="T9" s="125" t="s">
        <v>1577</v>
      </c>
      <c r="U9" s="125" t="s">
        <v>1577</v>
      </c>
      <c r="V9" s="125" t="s">
        <v>1577</v>
      </c>
      <c r="W9" s="125" t="s">
        <v>557</v>
      </c>
    </row>
  </sheetData>
  <hyperlinks>
    <hyperlink ref="D8" r:id="rId1" display="https://greatergiving.atlassian.net/browse/GGO-14275" xr:uid="{A2EF3A40-C7E5-4F9E-8463-B634915FB0DE}"/>
    <hyperlink ref="M3" r:id="rId2" xr:uid="{755D8E4E-C15B-437B-85B2-C099CA260F78}"/>
    <hyperlink ref="M5" r:id="rId3" xr:uid="{9FC4D378-6332-4668-A848-FB3E312CEFE1}"/>
    <hyperlink ref="M6" r:id="rId4" xr:uid="{3E2E0DAF-90C6-48FB-9C94-0BC098BAD270}"/>
    <hyperlink ref="M7" r:id="rId5" xr:uid="{6896208D-EF96-44DB-9CA7-F4D9644C336B}"/>
    <hyperlink ref="M8" r:id="rId6" xr:uid="{52B847C7-68F3-494A-A0F5-D3B820960FAF}"/>
    <hyperlink ref="M9" r:id="rId7" xr:uid="{C63B549B-8156-4B06-9AB2-72D73179ED2A}"/>
  </hyperlinks>
  <pageMargins left="0" right="0" top="0" bottom="0" header="0" footer="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71E4B-D121-4937-96E5-E3E5966D814D}">
  <sheetPr>
    <outlinePr summaryBelow="0" summaryRight="0"/>
  </sheetPr>
  <dimension ref="A1:K3"/>
  <sheetViews>
    <sheetView topLeftCell="B1" workbookViewId="0">
      <selection activeCell="B2" sqref="B2:E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 min="11" max="11" width="14.140625"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76"/>
      <c r="G2" s="12"/>
      <c r="H2" s="12"/>
      <c r="I2" s="12"/>
      <c r="J2" s="12"/>
      <c r="K2" s="135"/>
    </row>
    <row r="3" spans="1:11" ht="26.25" customHeight="1">
      <c r="A3" s="4"/>
      <c r="B3" s="608"/>
      <c r="C3" s="609"/>
      <c r="D3" s="609"/>
      <c r="E3" s="610"/>
      <c r="F3" s="29"/>
      <c r="G3" s="12"/>
      <c r="H3" s="12"/>
      <c r="I3" s="12"/>
      <c r="J3" s="12"/>
      <c r="K3" s="12"/>
    </row>
  </sheetData>
  <mergeCells count="2">
    <mergeCell ref="B3:E3"/>
    <mergeCell ref="B2:E2"/>
  </mergeCells>
  <dataValidations count="4">
    <dataValidation type="list" allowBlank="1" showErrorMessage="1" sqref="G2:G5" xr:uid="{9953F54F-B372-4B54-A63D-3FF040341A46}">
      <formula1>"Minor,Significant,Major"</formula1>
    </dataValidation>
    <dataValidation type="list" allowBlank="1" showErrorMessage="1" sqref="I2:I5" xr:uid="{DFCE35B8-1298-4DA3-813E-65309C734923}">
      <formula1>"Open,Inprogress,Closed"</formula1>
    </dataValidation>
    <dataValidation type="list" allowBlank="1" showErrorMessage="1" sqref="E3:E5" xr:uid="{C448A0A2-88BE-4879-AA4C-2B9530CCE969}">
      <formula1>"Bounceback,Defect,None"</formula1>
    </dataValidation>
    <dataValidation type="list" allowBlank="1" showErrorMessage="1" sqref="H2:H5" xr:uid="{846673C1-54EE-4001-B6FD-773B024D5C3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5D1D9A0-392C-475A-95F7-7BB84C01B707}">
          <x14:formula1>
            <xm:f>Details!$A$2:$A$10</xm:f>
          </x14:formula1>
          <xm:sqref>J2:J5</xm:sqref>
        </x14:dataValidation>
      </x14:dataValidations>
    </ext>
  </extLs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B732-B991-4603-9759-6076B706F9D5}">
  <sheetPr>
    <outlinePr summaryBelow="0" summaryRight="0"/>
  </sheetPr>
  <dimension ref="A2:W10"/>
  <sheetViews>
    <sheetView showGridLines="0" workbookViewId="0">
      <pane xSplit="5" ySplit="2" topLeftCell="T3" activePane="bottomRight" state="frozen"/>
      <selection pane="bottomRight" activeCell="H5" sqref="H5"/>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1" style="43"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3" ht="23.25">
      <c r="A2" s="123" t="s">
        <v>241</v>
      </c>
      <c r="B2" s="123" t="s">
        <v>242</v>
      </c>
      <c r="C2" s="123" t="s">
        <v>243</v>
      </c>
      <c r="D2" s="124" t="s">
        <v>244</v>
      </c>
      <c r="E2" s="123" t="s">
        <v>245</v>
      </c>
      <c r="F2" s="123" t="s">
        <v>1438</v>
      </c>
      <c r="G2" s="123" t="s">
        <v>1439</v>
      </c>
      <c r="H2" s="123" t="s">
        <v>252</v>
      </c>
      <c r="I2" s="123" t="s">
        <v>253</v>
      </c>
      <c r="J2" s="123" t="s">
        <v>254</v>
      </c>
      <c r="K2" s="123" t="s">
        <v>255</v>
      </c>
      <c r="L2" s="123" t="s">
        <v>256</v>
      </c>
      <c r="M2" s="123" t="s">
        <v>257</v>
      </c>
      <c r="N2" s="123" t="s">
        <v>258</v>
      </c>
      <c r="O2" s="123" t="s">
        <v>259</v>
      </c>
      <c r="P2" s="123" t="s">
        <v>260</v>
      </c>
      <c r="Q2" s="123" t="s">
        <v>261</v>
      </c>
      <c r="R2" s="123" t="s">
        <v>262</v>
      </c>
      <c r="S2" s="123" t="s">
        <v>263</v>
      </c>
      <c r="T2" s="123" t="s">
        <v>261</v>
      </c>
      <c r="U2" s="123" t="s">
        <v>265</v>
      </c>
      <c r="V2" s="123" t="s">
        <v>266</v>
      </c>
      <c r="W2" s="123" t="s">
        <v>246</v>
      </c>
    </row>
    <row r="3" spans="1:23" ht="53.25" customHeight="1">
      <c r="A3" s="125">
        <v>1</v>
      </c>
      <c r="B3" s="126" t="s">
        <v>52</v>
      </c>
      <c r="C3" s="127" t="s">
        <v>1707</v>
      </c>
      <c r="D3" s="128" t="s">
        <v>1718</v>
      </c>
      <c r="E3" s="129" t="s">
        <v>1719</v>
      </c>
      <c r="F3" s="130">
        <v>2</v>
      </c>
      <c r="G3" s="130">
        <v>2</v>
      </c>
      <c r="H3" s="125"/>
      <c r="I3" s="127" t="s">
        <v>1707</v>
      </c>
      <c r="J3" s="125" t="s">
        <v>1577</v>
      </c>
      <c r="K3" s="127" t="s">
        <v>268</v>
      </c>
      <c r="L3" s="127"/>
      <c r="M3" s="131" t="s">
        <v>1720</v>
      </c>
      <c r="N3" s="132">
        <v>45527</v>
      </c>
      <c r="O3" s="132">
        <v>45538</v>
      </c>
      <c r="P3" s="127" t="s">
        <v>231</v>
      </c>
      <c r="Q3" s="125"/>
      <c r="R3" s="125" t="s">
        <v>867</v>
      </c>
      <c r="S3" s="132">
        <v>45538</v>
      </c>
      <c r="T3" s="125" t="s">
        <v>1577</v>
      </c>
      <c r="U3" s="125" t="s">
        <v>1577</v>
      </c>
      <c r="V3" s="125" t="s">
        <v>1577</v>
      </c>
      <c r="W3" s="125" t="s">
        <v>557</v>
      </c>
    </row>
    <row r="4" spans="1:23" ht="36" customHeight="1">
      <c r="A4" s="125">
        <v>2</v>
      </c>
      <c r="B4" s="126" t="s">
        <v>52</v>
      </c>
      <c r="C4" s="127" t="s">
        <v>284</v>
      </c>
      <c r="D4" s="128" t="s">
        <v>1721</v>
      </c>
      <c r="E4" s="130" t="s">
        <v>1722</v>
      </c>
      <c r="F4" s="130">
        <v>3</v>
      </c>
      <c r="G4" s="130"/>
      <c r="H4" s="125" t="s">
        <v>304</v>
      </c>
      <c r="I4" s="127" t="s">
        <v>304</v>
      </c>
      <c r="J4" s="125"/>
      <c r="K4" s="127"/>
      <c r="L4" s="127"/>
      <c r="M4" s="131" t="s">
        <v>93</v>
      </c>
      <c r="N4" s="127" t="s">
        <v>93</v>
      </c>
      <c r="O4" s="127" t="s">
        <v>93</v>
      </c>
      <c r="P4" s="127" t="s">
        <v>93</v>
      </c>
      <c r="Q4" s="125" t="s">
        <v>93</v>
      </c>
      <c r="R4" s="125" t="s">
        <v>93</v>
      </c>
      <c r="S4" s="125" t="s">
        <v>93</v>
      </c>
      <c r="T4" s="125" t="s">
        <v>93</v>
      </c>
      <c r="U4" s="125" t="s">
        <v>93</v>
      </c>
      <c r="V4" s="125" t="s">
        <v>93</v>
      </c>
      <c r="W4" s="125" t="s">
        <v>557</v>
      </c>
    </row>
    <row r="5" spans="1:23" ht="41.25" customHeight="1">
      <c r="A5" s="125">
        <v>3</v>
      </c>
      <c r="B5" s="126" t="s">
        <v>52</v>
      </c>
      <c r="C5" s="127" t="s">
        <v>284</v>
      </c>
      <c r="D5" s="128" t="s">
        <v>1723</v>
      </c>
      <c r="E5" s="130" t="s">
        <v>1724</v>
      </c>
      <c r="F5" s="130">
        <v>1</v>
      </c>
      <c r="G5" s="130">
        <v>1</v>
      </c>
      <c r="H5" s="125" t="s">
        <v>304</v>
      </c>
      <c r="I5" s="127" t="s">
        <v>304</v>
      </c>
      <c r="J5" s="125"/>
      <c r="K5" s="127"/>
      <c r="L5" s="127"/>
      <c r="M5" s="131" t="s">
        <v>93</v>
      </c>
      <c r="N5" s="127" t="s">
        <v>93</v>
      </c>
      <c r="O5" s="127" t="s">
        <v>93</v>
      </c>
      <c r="P5" s="127" t="s">
        <v>93</v>
      </c>
      <c r="Q5" s="125" t="s">
        <v>93</v>
      </c>
      <c r="R5" s="125" t="s">
        <v>93</v>
      </c>
      <c r="S5" s="125" t="s">
        <v>93</v>
      </c>
      <c r="T5" s="125" t="s">
        <v>93</v>
      </c>
      <c r="U5" s="125" t="s">
        <v>93</v>
      </c>
      <c r="V5" s="125" t="s">
        <v>93</v>
      </c>
      <c r="W5" s="125" t="s">
        <v>557</v>
      </c>
    </row>
    <row r="6" spans="1:23" ht="49.5" customHeight="1">
      <c r="A6" s="125">
        <v>4</v>
      </c>
      <c r="B6" s="126" t="s">
        <v>52</v>
      </c>
      <c r="C6" s="127" t="s">
        <v>268</v>
      </c>
      <c r="D6" s="128" t="s">
        <v>1725</v>
      </c>
      <c r="E6" s="133" t="s">
        <v>1726</v>
      </c>
      <c r="F6" s="130">
        <v>1</v>
      </c>
      <c r="G6" s="130">
        <v>1</v>
      </c>
      <c r="H6" s="125" t="s">
        <v>304</v>
      </c>
      <c r="I6" s="127"/>
      <c r="J6" s="125"/>
      <c r="K6" s="127"/>
      <c r="L6" s="127"/>
      <c r="M6" s="70" t="s">
        <v>1727</v>
      </c>
      <c r="N6" s="132">
        <v>45527</v>
      </c>
      <c r="O6" s="132">
        <v>45527</v>
      </c>
      <c r="P6" s="127" t="s">
        <v>231</v>
      </c>
      <c r="Q6" s="125" t="s">
        <v>1577</v>
      </c>
      <c r="R6" s="125" t="s">
        <v>1161</v>
      </c>
      <c r="S6" s="134">
        <v>45527</v>
      </c>
      <c r="T6" s="125" t="s">
        <v>1577</v>
      </c>
      <c r="U6" s="125"/>
      <c r="V6" s="125"/>
      <c r="W6" s="125" t="s">
        <v>557</v>
      </c>
    </row>
    <row r="7" spans="1:23" ht="46.5" customHeight="1">
      <c r="A7" s="125">
        <v>5</v>
      </c>
      <c r="B7" s="126" t="s">
        <v>52</v>
      </c>
      <c r="C7" s="127" t="s">
        <v>534</v>
      </c>
      <c r="D7" s="128" t="s">
        <v>1728</v>
      </c>
      <c r="E7" s="130" t="s">
        <v>1729</v>
      </c>
      <c r="F7" s="130">
        <v>3</v>
      </c>
      <c r="G7" s="130">
        <v>3</v>
      </c>
      <c r="H7" s="125" t="s">
        <v>304</v>
      </c>
      <c r="I7" s="127" t="s">
        <v>304</v>
      </c>
      <c r="J7" s="125"/>
      <c r="K7" s="127" t="s">
        <v>268</v>
      </c>
      <c r="L7" s="127"/>
      <c r="M7" s="70" t="s">
        <v>1730</v>
      </c>
      <c r="N7" s="132">
        <v>45533</v>
      </c>
      <c r="O7" s="132">
        <v>45534</v>
      </c>
      <c r="P7" s="127" t="s">
        <v>231</v>
      </c>
      <c r="Q7" s="125" t="s">
        <v>1577</v>
      </c>
      <c r="R7" s="125" t="s">
        <v>867</v>
      </c>
      <c r="S7" s="134">
        <v>45534</v>
      </c>
      <c r="T7" s="125" t="s">
        <v>1577</v>
      </c>
      <c r="U7" s="125"/>
      <c r="V7" s="125"/>
      <c r="W7" s="125" t="s">
        <v>557</v>
      </c>
    </row>
    <row r="8" spans="1:23" ht="36" customHeight="1">
      <c r="A8" s="125">
        <v>6</v>
      </c>
      <c r="B8" s="126" t="s">
        <v>52</v>
      </c>
      <c r="C8" s="127" t="s">
        <v>1707</v>
      </c>
      <c r="D8" s="128" t="s">
        <v>1682</v>
      </c>
      <c r="E8" s="130" t="s">
        <v>1683</v>
      </c>
      <c r="F8" s="130">
        <v>2</v>
      </c>
      <c r="G8" s="130">
        <v>1</v>
      </c>
      <c r="H8" s="125" t="s">
        <v>304</v>
      </c>
      <c r="I8" s="127" t="s">
        <v>304</v>
      </c>
      <c r="J8" s="125"/>
      <c r="K8" s="127"/>
      <c r="L8" s="127"/>
      <c r="M8" s="70" t="s">
        <v>1684</v>
      </c>
      <c r="N8" s="127"/>
      <c r="O8" s="127"/>
      <c r="P8" s="127"/>
      <c r="Q8" s="125"/>
      <c r="R8" s="125"/>
      <c r="S8" s="125"/>
      <c r="T8" s="125"/>
      <c r="U8" s="125"/>
      <c r="V8" s="125"/>
      <c r="W8" s="125" t="s">
        <v>1015</v>
      </c>
    </row>
    <row r="9" spans="1:23" ht="40.5" customHeight="1">
      <c r="A9" s="125">
        <v>7</v>
      </c>
      <c r="B9" s="126" t="s">
        <v>52</v>
      </c>
      <c r="C9" s="127" t="s">
        <v>268</v>
      </c>
      <c r="D9" s="128" t="s">
        <v>1731</v>
      </c>
      <c r="E9" s="130" t="s">
        <v>1732</v>
      </c>
      <c r="F9" s="130">
        <v>2</v>
      </c>
      <c r="G9" s="130">
        <v>2</v>
      </c>
      <c r="H9" s="125" t="s">
        <v>268</v>
      </c>
      <c r="I9" s="127" t="s">
        <v>304</v>
      </c>
      <c r="J9" s="125"/>
      <c r="K9" s="127" t="s">
        <v>1058</v>
      </c>
      <c r="L9" s="127"/>
      <c r="M9" s="131" t="s">
        <v>1733</v>
      </c>
      <c r="N9" s="132">
        <v>45527</v>
      </c>
      <c r="O9" s="132">
        <v>45527</v>
      </c>
      <c r="P9" s="127" t="s">
        <v>231</v>
      </c>
      <c r="Q9" s="125" t="s">
        <v>1577</v>
      </c>
      <c r="R9" s="125" t="s">
        <v>1161</v>
      </c>
      <c r="S9" s="134">
        <v>45527</v>
      </c>
      <c r="T9" s="125" t="s">
        <v>1577</v>
      </c>
      <c r="U9" s="125" t="s">
        <v>1577</v>
      </c>
      <c r="V9" s="125" t="s">
        <v>1577</v>
      </c>
      <c r="W9" s="125" t="s">
        <v>557</v>
      </c>
    </row>
    <row r="10" spans="1:23" ht="44.25" customHeight="1">
      <c r="A10" s="125">
        <v>8</v>
      </c>
      <c r="B10" s="126" t="s">
        <v>52</v>
      </c>
      <c r="C10" s="127" t="s">
        <v>284</v>
      </c>
      <c r="D10" s="128" t="s">
        <v>1708</v>
      </c>
      <c r="E10" s="130" t="s">
        <v>1709</v>
      </c>
      <c r="F10" s="130">
        <v>3</v>
      </c>
      <c r="G10" s="130"/>
      <c r="H10" s="125" t="s">
        <v>304</v>
      </c>
      <c r="I10" s="127" t="s">
        <v>304</v>
      </c>
      <c r="J10" s="102"/>
      <c r="K10" s="88"/>
      <c r="L10" s="109"/>
      <c r="M10" s="104" t="s">
        <v>93</v>
      </c>
      <c r="N10" s="88" t="s">
        <v>93</v>
      </c>
      <c r="O10" s="88" t="s">
        <v>93</v>
      </c>
      <c r="P10" s="88" t="s">
        <v>93</v>
      </c>
      <c r="Q10" s="102" t="s">
        <v>93</v>
      </c>
      <c r="R10" s="102" t="s">
        <v>93</v>
      </c>
      <c r="S10" s="102" t="s">
        <v>93</v>
      </c>
      <c r="T10" s="102" t="s">
        <v>93</v>
      </c>
      <c r="U10" s="102" t="s">
        <v>93</v>
      </c>
      <c r="V10" s="102" t="s">
        <v>93</v>
      </c>
      <c r="W10" s="102" t="s">
        <v>1015</v>
      </c>
    </row>
  </sheetData>
  <hyperlinks>
    <hyperlink ref="D4" r:id="rId1" xr:uid="{E4113BD7-607C-4777-974E-3D694B9EFDC7}"/>
    <hyperlink ref="D5" r:id="rId2" display="https://greatergiving.atlassian.net/browse/PAPI-734" xr:uid="{CE44B579-FBE3-49B8-BB03-230A05BB06C4}"/>
    <hyperlink ref="D6" r:id="rId3" display="https://greatergiving.atlassian.net/browse/GGO-14216" xr:uid="{F964EA7D-D66F-4A40-A364-45D0915B808F}"/>
    <hyperlink ref="D7" r:id="rId4" display="https://greatergiving.atlassian.net/browse/GGO-14264" xr:uid="{CCC9DF93-DF99-490D-BA00-8E65803CA276}"/>
    <hyperlink ref="D10" r:id="rId5" display="https://greatergiving.atlassian.net/browse/GGO-14275" xr:uid="{5D12B66C-BA9D-4B17-810B-6A02333E0559}"/>
    <hyperlink ref="M9" r:id="rId6" xr:uid="{1FDA4E90-723D-47BE-B617-67742BC2E112}"/>
    <hyperlink ref="M3" r:id="rId7" xr:uid="{E43BB9AB-0551-47CF-B722-9616A05C750E}"/>
    <hyperlink ref="M6" r:id="rId8" xr:uid="{9CC38F08-399E-4B9D-9AC6-BA7526284CCD}"/>
    <hyperlink ref="M8" r:id="rId9" xr:uid="{CA6C0994-C25D-4D15-B966-EA3D31589674}"/>
    <hyperlink ref="M7" r:id="rId10" xr:uid="{F0125090-084D-4B3D-8F36-3E7130225888}"/>
  </hyperlinks>
  <pageMargins left="0" right="0" top="0" bottom="0" header="0" footer="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D3345-DA08-4DAA-A908-F2D8DE523EEE}">
  <sheetPr>
    <outlinePr summaryBelow="0" summaryRight="0"/>
  </sheetPr>
  <dimension ref="A1:K2"/>
  <sheetViews>
    <sheetView topLeftCell="B1" workbookViewId="0">
      <selection activeCell="B2" sqref="B2:E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H2:H5" xr:uid="{12059397-233F-4E4D-90A6-6C2D323C1EFE}">
      <formula1>"Internal,External"</formula1>
    </dataValidation>
    <dataValidation type="list" allowBlank="1" showErrorMessage="1" sqref="E3:E5" xr:uid="{AA85E5C8-D01A-434B-9315-3F5841668D81}">
      <formula1>"Bounceback,Defect,None"</formula1>
    </dataValidation>
    <dataValidation type="list" allowBlank="1" showErrorMessage="1" sqref="I2:I5" xr:uid="{B63894ED-D798-43D6-A95D-7201D6D140D6}">
      <formula1>"Open,Inprogress,Closed"</formula1>
    </dataValidation>
    <dataValidation type="list" allowBlank="1" showErrorMessage="1" sqref="G2:G5" xr:uid="{8BD15CBE-4016-459F-9265-E415201D26D0}">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A9A13F9-DAF8-48CA-9B63-A75118F9556E}">
          <x14:formula1>
            <xm:f>Details!$A$2:$A$10</xm:f>
          </x14:formula1>
          <xm:sqref>J2:J5</xm:sqref>
        </x14:dataValidation>
      </x14:dataValidations>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E38E8-74E0-4D78-9784-0923A34A6635}">
  <sheetPr>
    <outlinePr summaryBelow="0" summaryRight="0"/>
  </sheetPr>
  <dimension ref="A2:X8"/>
  <sheetViews>
    <sheetView showGridLines="0" workbookViewId="0">
      <pane xSplit="5" ySplit="2" topLeftCell="T3" activePane="bottomRight" state="frozen"/>
      <selection pane="bottomRight" activeCell="U4" sqref="U4"/>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row>
    <row r="3" spans="1:24" ht="48">
      <c r="A3" s="43">
        <v>1</v>
      </c>
      <c r="B3" s="94" t="s">
        <v>51</v>
      </c>
      <c r="C3" s="88" t="s">
        <v>1734</v>
      </c>
      <c r="D3" s="103" t="s">
        <v>1735</v>
      </c>
      <c r="E3" s="122" t="s">
        <v>1736</v>
      </c>
      <c r="F3" s="87">
        <v>2</v>
      </c>
      <c r="G3" s="87">
        <v>1</v>
      </c>
      <c r="H3" s="102" t="s">
        <v>268</v>
      </c>
      <c r="I3" s="88" t="s">
        <v>304</v>
      </c>
      <c r="J3" s="102"/>
      <c r="K3" s="88" t="s">
        <v>231</v>
      </c>
      <c r="L3" s="109"/>
      <c r="M3" s="104" t="s">
        <v>1737</v>
      </c>
      <c r="N3" s="92">
        <v>45524</v>
      </c>
      <c r="O3" s="92">
        <v>45524</v>
      </c>
      <c r="P3" s="88" t="s">
        <v>231</v>
      </c>
      <c r="Q3" s="102" t="s">
        <v>93</v>
      </c>
      <c r="R3" s="102" t="s">
        <v>1738</v>
      </c>
      <c r="S3" s="92">
        <v>45524</v>
      </c>
      <c r="T3" s="102" t="s">
        <v>1739</v>
      </c>
      <c r="U3" s="102" t="s">
        <v>1740</v>
      </c>
      <c r="V3" s="102" t="s">
        <v>93</v>
      </c>
      <c r="W3" s="102" t="s">
        <v>557</v>
      </c>
      <c r="X3" s="102"/>
    </row>
    <row r="4" spans="1:24" ht="27" customHeight="1">
      <c r="A4" s="102">
        <v>2</v>
      </c>
      <c r="B4" s="94" t="s">
        <v>51</v>
      </c>
      <c r="C4" s="88" t="s">
        <v>230</v>
      </c>
      <c r="D4" s="103" t="s">
        <v>1741</v>
      </c>
      <c r="E4" s="87" t="s">
        <v>1742</v>
      </c>
      <c r="F4" s="87">
        <v>5</v>
      </c>
      <c r="G4" s="87">
        <v>5</v>
      </c>
      <c r="H4" s="102" t="s">
        <v>230</v>
      </c>
      <c r="I4" s="88" t="s">
        <v>304</v>
      </c>
      <c r="J4" s="102" t="s">
        <v>1577</v>
      </c>
      <c r="K4" s="88" t="s">
        <v>231</v>
      </c>
      <c r="L4" s="109"/>
      <c r="M4" s="104" t="s">
        <v>1743</v>
      </c>
      <c r="N4" s="114">
        <v>45517</v>
      </c>
      <c r="O4" s="114">
        <v>45523</v>
      </c>
      <c r="P4" s="88" t="s">
        <v>231</v>
      </c>
      <c r="Q4" s="102" t="s">
        <v>93</v>
      </c>
      <c r="R4" s="102" t="s">
        <v>1271</v>
      </c>
      <c r="S4" s="92">
        <v>45523</v>
      </c>
      <c r="T4" s="102" t="s">
        <v>1577</v>
      </c>
      <c r="U4" s="102" t="s">
        <v>93</v>
      </c>
      <c r="V4" s="102" t="s">
        <v>93</v>
      </c>
      <c r="W4" s="102" t="s">
        <v>557</v>
      </c>
      <c r="X4" s="102"/>
    </row>
    <row r="5" spans="1:24" ht="48">
      <c r="A5" s="102">
        <v>3</v>
      </c>
      <c r="B5" s="94" t="s">
        <v>51</v>
      </c>
      <c r="C5" s="88" t="s">
        <v>268</v>
      </c>
      <c r="D5" s="103" t="s">
        <v>1744</v>
      </c>
      <c r="E5" s="87" t="s">
        <v>1745</v>
      </c>
      <c r="F5" s="87">
        <v>2</v>
      </c>
      <c r="G5" s="87">
        <v>2</v>
      </c>
      <c r="H5" s="102" t="s">
        <v>268</v>
      </c>
      <c r="I5" s="88" t="s">
        <v>304</v>
      </c>
      <c r="J5" s="102"/>
      <c r="K5" s="88" t="s">
        <v>231</v>
      </c>
      <c r="L5" s="109"/>
      <c r="M5" s="104" t="s">
        <v>1746</v>
      </c>
      <c r="N5" s="92">
        <v>45511</v>
      </c>
      <c r="O5" s="92">
        <v>45511</v>
      </c>
      <c r="P5" s="88" t="s">
        <v>231</v>
      </c>
      <c r="Q5" s="102"/>
      <c r="R5" s="102" t="s">
        <v>306</v>
      </c>
      <c r="S5" s="121">
        <v>45517</v>
      </c>
      <c r="T5" s="102"/>
      <c r="U5" s="102" t="s">
        <v>1747</v>
      </c>
      <c r="V5" s="102"/>
      <c r="W5" s="102" t="s">
        <v>557</v>
      </c>
      <c r="X5" s="102"/>
    </row>
    <row r="6" spans="1:24" ht="31.5" customHeight="1">
      <c r="A6" s="102">
        <v>4</v>
      </c>
      <c r="B6" s="94" t="s">
        <v>51</v>
      </c>
      <c r="C6" s="88" t="s">
        <v>284</v>
      </c>
      <c r="D6" s="103" t="s">
        <v>1748</v>
      </c>
      <c r="E6" s="119" t="s">
        <v>1749</v>
      </c>
      <c r="F6" s="87">
        <v>3</v>
      </c>
      <c r="G6" s="87"/>
      <c r="H6" s="120" t="s">
        <v>304</v>
      </c>
      <c r="I6" s="88" t="s">
        <v>304</v>
      </c>
      <c r="J6" s="102"/>
      <c r="K6" s="88"/>
      <c r="L6" s="109"/>
      <c r="M6" s="104" t="s">
        <v>93</v>
      </c>
      <c r="N6" s="88" t="s">
        <v>93</v>
      </c>
      <c r="O6" s="88" t="s">
        <v>93</v>
      </c>
      <c r="P6" s="88" t="s">
        <v>93</v>
      </c>
      <c r="Q6" s="102" t="s">
        <v>93</v>
      </c>
      <c r="R6" s="102" t="s">
        <v>93</v>
      </c>
      <c r="S6" s="102" t="s">
        <v>93</v>
      </c>
      <c r="T6" s="102" t="s">
        <v>93</v>
      </c>
      <c r="U6" s="102" t="s">
        <v>93</v>
      </c>
      <c r="V6" s="102" t="s">
        <v>93</v>
      </c>
      <c r="W6" s="102" t="s">
        <v>557</v>
      </c>
      <c r="X6" s="102"/>
    </row>
    <row r="7" spans="1:24" ht="49.5" customHeight="1">
      <c r="A7" s="102">
        <v>5</v>
      </c>
      <c r="B7" s="2" t="s">
        <v>51</v>
      </c>
      <c r="C7" s="55" t="s">
        <v>268</v>
      </c>
      <c r="D7" s="72" t="s">
        <v>1725</v>
      </c>
      <c r="E7" s="23" t="s">
        <v>1726</v>
      </c>
      <c r="F7" s="87">
        <v>2</v>
      </c>
      <c r="G7" s="87">
        <v>1</v>
      </c>
      <c r="H7" s="120" t="s">
        <v>268</v>
      </c>
      <c r="I7" s="88" t="s">
        <v>304</v>
      </c>
      <c r="J7" s="102"/>
      <c r="K7" s="88" t="s">
        <v>231</v>
      </c>
      <c r="L7" s="109"/>
      <c r="M7" s="104" t="s">
        <v>93</v>
      </c>
      <c r="N7" s="88"/>
      <c r="O7" s="88"/>
      <c r="P7" s="88"/>
      <c r="Q7" s="102"/>
      <c r="R7" s="102"/>
      <c r="S7" s="102"/>
      <c r="T7" s="102"/>
      <c r="U7" s="102" t="s">
        <v>1750</v>
      </c>
      <c r="V7" s="102"/>
      <c r="W7" s="102" t="s">
        <v>557</v>
      </c>
      <c r="X7" s="102" t="s">
        <v>1751</v>
      </c>
    </row>
    <row r="8" spans="1:24" ht="44.25" customHeight="1">
      <c r="A8" s="86">
        <v>6</v>
      </c>
      <c r="B8" s="2" t="s">
        <v>51</v>
      </c>
      <c r="C8" s="5" t="s">
        <v>230</v>
      </c>
      <c r="D8" s="72" t="s">
        <v>1752</v>
      </c>
      <c r="E8" s="16" t="s">
        <v>1753</v>
      </c>
      <c r="F8" s="16">
        <v>2</v>
      </c>
      <c r="G8" s="16">
        <v>2</v>
      </c>
      <c r="H8" s="86" t="s">
        <v>230</v>
      </c>
      <c r="I8" s="5" t="s">
        <v>93</v>
      </c>
      <c r="J8" s="86" t="s">
        <v>93</v>
      </c>
      <c r="K8" s="5" t="s">
        <v>231</v>
      </c>
      <c r="L8" s="96"/>
      <c r="M8" s="5" t="s">
        <v>93</v>
      </c>
      <c r="N8" s="5" t="s">
        <v>93</v>
      </c>
      <c r="O8" s="5" t="s">
        <v>93</v>
      </c>
      <c r="P8" s="5" t="s">
        <v>231</v>
      </c>
      <c r="Q8" s="86" t="s">
        <v>93</v>
      </c>
      <c r="R8" s="86" t="s">
        <v>93</v>
      </c>
      <c r="S8" s="86" t="s">
        <v>93</v>
      </c>
      <c r="T8" s="86" t="s">
        <v>93</v>
      </c>
      <c r="U8" s="86" t="s">
        <v>1706</v>
      </c>
      <c r="V8" s="86" t="s">
        <v>93</v>
      </c>
      <c r="W8" s="102" t="s">
        <v>557</v>
      </c>
      <c r="X8" s="86" t="s">
        <v>1754</v>
      </c>
    </row>
  </sheetData>
  <hyperlinks>
    <hyperlink ref="D3" r:id="rId1" display="https://greatergiving.atlassian.net/browse/GGO-14232" xr:uid="{8C7081B7-7D99-4CA4-AB05-C4AC60D2D3EE}"/>
    <hyperlink ref="D4" r:id="rId2" display="https://greatergiving.atlassian.net/browse/GGO-14236" xr:uid="{B573C41C-959E-4AB2-8FA5-3C11AD7BFE6D}"/>
    <hyperlink ref="D5" r:id="rId3" display="https://greatergiving.atlassian.net/browse/GGO-14225" xr:uid="{5B56D1A5-3A07-463A-B9BE-B18BE5CB7360}"/>
    <hyperlink ref="D6" r:id="rId4" xr:uid="{505C4EA8-1BFC-4077-8AA1-734C0B108E31}"/>
    <hyperlink ref="M5" r:id="rId5" xr:uid="{3612C9AF-69D3-4EE5-98E7-1A8257DF8D69}"/>
    <hyperlink ref="D8" r:id="rId6" xr:uid="{B92E98E0-37DC-4FC7-9B0B-754E7898FE28}"/>
    <hyperlink ref="M3" r:id="rId7" xr:uid="{CF772324-7EEA-41BF-B381-3BCBB82E2B3D}"/>
    <hyperlink ref="D7" r:id="rId8" xr:uid="{88BE7375-5465-4683-9516-556880E43194}"/>
    <hyperlink ref="M4" r:id="rId9" xr:uid="{A7869A86-66AA-4139-B9A8-E744E18D982F}"/>
  </hyperlinks>
  <pageMargins left="0" right="0" top="0" bottom="0" header="0" footer="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C357-7646-4202-A3C4-A683CA43680A}">
  <sheetPr>
    <outlinePr summaryBelow="0" summaryRight="0"/>
  </sheetPr>
  <dimension ref="A1:K2"/>
  <sheetViews>
    <sheetView topLeftCell="B1" workbookViewId="0">
      <selection activeCell="F14" sqref="F14"/>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G2:G5" xr:uid="{E0A7F85A-1F1B-4610-9A78-02F0C5D44FAD}">
      <formula1>"Minor,Significant,Major"</formula1>
    </dataValidation>
    <dataValidation type="list" allowBlank="1" showErrorMessage="1" sqref="I2:I5" xr:uid="{D560487D-04C0-4460-A19E-C7F3642EB187}">
      <formula1>"Open,Inprogress,Closed"</formula1>
    </dataValidation>
    <dataValidation type="list" allowBlank="1" showErrorMessage="1" sqref="E3:E5" xr:uid="{80B4A494-D455-4E73-8DFF-1FE676860183}">
      <formula1>"Bounceback,Defect,None"</formula1>
    </dataValidation>
    <dataValidation type="list" allowBlank="1" showErrorMessage="1" sqref="H2:H5" xr:uid="{A7930EC6-5E94-48AC-B3BC-E18847E48FDC}">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96E91B0-D7C3-44F9-9BDC-D4C9AE03B499}">
          <x14:formula1>
            <xm:f>Details!$A$2:$A$10</xm:f>
          </x14:formula1>
          <xm:sqref>J2:J5</xm:sqref>
        </x14:dataValidation>
      </x14:dataValidation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E391-E383-4767-B1B1-F3432FA0876B}">
  <sheetPr>
    <outlinePr summaryBelow="0" summaryRight="0"/>
  </sheetPr>
  <dimension ref="A2:X7"/>
  <sheetViews>
    <sheetView showGridLines="0" workbookViewId="0">
      <pane xSplit="5" ySplit="2" topLeftCell="T3" activePane="bottomRight" state="frozen"/>
      <selection pane="bottomRight" activeCell="U6" sqref="U6"/>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s="86" customFormat="1" ht="190.5">
      <c r="A3" s="102">
        <v>1</v>
      </c>
      <c r="B3" s="94" t="s">
        <v>50</v>
      </c>
      <c r="C3" s="88" t="s">
        <v>230</v>
      </c>
      <c r="D3" s="113" t="s">
        <v>1755</v>
      </c>
      <c r="E3" s="87" t="s">
        <v>1756</v>
      </c>
      <c r="F3" s="87">
        <v>2</v>
      </c>
      <c r="G3" s="87">
        <v>2</v>
      </c>
      <c r="H3" s="102" t="s">
        <v>230</v>
      </c>
      <c r="I3" s="88" t="s">
        <v>304</v>
      </c>
      <c r="J3" s="102" t="s">
        <v>1577</v>
      </c>
      <c r="K3" s="88" t="s">
        <v>268</v>
      </c>
      <c r="L3" s="109" t="s">
        <v>1577</v>
      </c>
      <c r="M3" s="104" t="s">
        <v>1757</v>
      </c>
      <c r="N3" s="114">
        <v>45489</v>
      </c>
      <c r="O3" s="114">
        <v>45491</v>
      </c>
      <c r="P3" s="88" t="s">
        <v>231</v>
      </c>
      <c r="Q3" s="102" t="s">
        <v>1577</v>
      </c>
      <c r="R3" s="102" t="s">
        <v>1271</v>
      </c>
      <c r="S3" s="118">
        <v>45491</v>
      </c>
      <c r="T3" s="102" t="s">
        <v>1758</v>
      </c>
      <c r="U3" s="102" t="s">
        <v>1759</v>
      </c>
      <c r="V3" s="102"/>
      <c r="W3" s="87" t="s">
        <v>557</v>
      </c>
      <c r="X3" s="102" t="s">
        <v>1760</v>
      </c>
    </row>
    <row r="4" spans="1:24" ht="36">
      <c r="A4" s="86">
        <v>2</v>
      </c>
      <c r="B4" s="2" t="s">
        <v>50</v>
      </c>
      <c r="C4" s="88" t="s">
        <v>284</v>
      </c>
      <c r="D4" s="103" t="s">
        <v>1761</v>
      </c>
      <c r="E4" s="87" t="s">
        <v>1762</v>
      </c>
      <c r="F4" s="87">
        <v>1</v>
      </c>
      <c r="G4" s="87">
        <v>1</v>
      </c>
      <c r="H4" s="87" t="s">
        <v>93</v>
      </c>
      <c r="I4" s="88" t="s">
        <v>304</v>
      </c>
      <c r="J4" s="87" t="s">
        <v>1763</v>
      </c>
      <c r="K4" s="88" t="s">
        <v>93</v>
      </c>
      <c r="L4" s="88" t="s">
        <v>1601</v>
      </c>
      <c r="M4" s="104" t="s">
        <v>93</v>
      </c>
      <c r="N4" s="105" t="s">
        <v>93</v>
      </c>
      <c r="O4" s="88" t="s">
        <v>93</v>
      </c>
      <c r="P4" s="88" t="s">
        <v>93</v>
      </c>
      <c r="Q4" s="87" t="s">
        <v>93</v>
      </c>
      <c r="R4" s="87" t="s">
        <v>93</v>
      </c>
      <c r="S4" s="87" t="s">
        <v>93</v>
      </c>
      <c r="T4" s="87" t="s">
        <v>93</v>
      </c>
      <c r="U4" s="87" t="s">
        <v>1764</v>
      </c>
      <c r="V4" s="87" t="s">
        <v>93</v>
      </c>
      <c r="W4" s="87" t="s">
        <v>557</v>
      </c>
      <c r="X4" s="102"/>
    </row>
    <row r="5" spans="1:24">
      <c r="A5" s="43">
        <v>3</v>
      </c>
      <c r="B5" s="110" t="s">
        <v>50</v>
      </c>
      <c r="C5" s="88" t="s">
        <v>284</v>
      </c>
      <c r="D5" s="103" t="s">
        <v>1765</v>
      </c>
      <c r="E5" s="87" t="s">
        <v>1766</v>
      </c>
      <c r="F5" s="87">
        <v>3</v>
      </c>
      <c r="G5" s="87">
        <v>2</v>
      </c>
      <c r="H5" s="87" t="s">
        <v>93</v>
      </c>
      <c r="I5" s="88" t="s">
        <v>304</v>
      </c>
      <c r="J5" s="102"/>
      <c r="K5" s="88" t="s">
        <v>93</v>
      </c>
      <c r="L5" s="88" t="s">
        <v>1601</v>
      </c>
      <c r="M5" s="104" t="s">
        <v>93</v>
      </c>
      <c r="N5" s="105" t="s">
        <v>93</v>
      </c>
      <c r="O5" s="88" t="s">
        <v>93</v>
      </c>
      <c r="P5" s="88" t="s">
        <v>93</v>
      </c>
      <c r="Q5" s="87" t="s">
        <v>93</v>
      </c>
      <c r="R5" s="87" t="s">
        <v>93</v>
      </c>
      <c r="S5" s="87" t="s">
        <v>93</v>
      </c>
      <c r="T5" s="87" t="s">
        <v>93</v>
      </c>
      <c r="U5" s="87" t="s">
        <v>1706</v>
      </c>
      <c r="V5" s="87" t="s">
        <v>93</v>
      </c>
      <c r="W5" s="87" t="s">
        <v>557</v>
      </c>
      <c r="X5" s="102"/>
    </row>
    <row r="6" spans="1:24" ht="36">
      <c r="A6" s="43">
        <v>4</v>
      </c>
      <c r="B6" s="94" t="s">
        <v>1767</v>
      </c>
      <c r="C6" s="88" t="s">
        <v>268</v>
      </c>
      <c r="D6" s="103" t="s">
        <v>1735</v>
      </c>
      <c r="E6" s="87" t="s">
        <v>1736</v>
      </c>
      <c r="F6" s="87">
        <v>2</v>
      </c>
      <c r="G6" s="87">
        <v>1</v>
      </c>
      <c r="H6" s="102"/>
      <c r="I6" s="88" t="s">
        <v>304</v>
      </c>
      <c r="J6" s="102"/>
      <c r="K6" s="88" t="s">
        <v>93</v>
      </c>
      <c r="L6" s="109"/>
      <c r="M6" s="104" t="s">
        <v>93</v>
      </c>
      <c r="N6" s="88" t="s">
        <v>93</v>
      </c>
      <c r="O6" s="88" t="s">
        <v>93</v>
      </c>
      <c r="P6" s="88" t="s">
        <v>93</v>
      </c>
      <c r="Q6" s="102" t="s">
        <v>93</v>
      </c>
      <c r="R6" s="102" t="s">
        <v>93</v>
      </c>
      <c r="S6" s="102" t="s">
        <v>93</v>
      </c>
      <c r="T6" s="102" t="s">
        <v>93</v>
      </c>
      <c r="U6" s="102" t="s">
        <v>1611</v>
      </c>
      <c r="V6" s="102" t="s">
        <v>93</v>
      </c>
      <c r="W6" s="102" t="s">
        <v>1015</v>
      </c>
      <c r="X6" s="102" t="s">
        <v>1768</v>
      </c>
    </row>
    <row r="7" spans="1:24">
      <c r="A7" s="115">
        <v>5</v>
      </c>
      <c r="B7" s="2" t="s">
        <v>1767</v>
      </c>
      <c r="C7" s="117" t="s">
        <v>230</v>
      </c>
      <c r="D7" s="72" t="s">
        <v>1741</v>
      </c>
      <c r="E7" s="16" t="s">
        <v>1742</v>
      </c>
      <c r="F7" s="16">
        <v>5</v>
      </c>
      <c r="G7" s="16">
        <v>5</v>
      </c>
      <c r="H7" s="86"/>
      <c r="I7" s="5" t="s">
        <v>93</v>
      </c>
      <c r="J7" s="86"/>
      <c r="K7" s="5"/>
      <c r="L7" s="96"/>
      <c r="M7" s="5"/>
      <c r="N7" s="5"/>
      <c r="O7" s="5"/>
      <c r="P7" s="5"/>
      <c r="Q7" s="86"/>
      <c r="R7" s="86"/>
      <c r="S7" s="86"/>
      <c r="T7" s="86"/>
      <c r="U7" s="86" t="s">
        <v>1611</v>
      </c>
      <c r="V7" s="86"/>
      <c r="W7" s="86" t="s">
        <v>1015</v>
      </c>
      <c r="X7" s="86"/>
    </row>
  </sheetData>
  <dataValidations count="1">
    <dataValidation type="list" allowBlank="1" showErrorMessage="1" sqref="W3:W5" xr:uid="{F38CDA17-4235-4829-AF88-5978DACC2779}">
      <formula1>"Open,Inprogress,Closed"</formula1>
    </dataValidation>
  </dataValidations>
  <hyperlinks>
    <hyperlink ref="M3" r:id="rId1" xr:uid="{354EA237-AAAE-45FD-AA34-6BC8122DF418}"/>
    <hyperlink ref="D3" r:id="rId2" xr:uid="{FD30B9F4-C054-41F9-B710-C40B30ED7DCA}"/>
    <hyperlink ref="D4" r:id="rId3" display="https://greatergiving.atlassian.net/browse/GGO-14233" xr:uid="{A77992A2-0CDB-4F09-B0B7-B3D6F35B2F7A}"/>
    <hyperlink ref="D5" r:id="rId4" display="https://greatergiving.atlassian.net/browse/GGO-14247" xr:uid="{98BEB5A4-F692-4606-B7FC-B876563AC679}"/>
    <hyperlink ref="D6" r:id="rId5" display="https://greatergiving.atlassian.net/browse/GGO-14232" xr:uid="{27A53B1A-5FF7-48BE-9B28-F456D969DE4A}"/>
    <hyperlink ref="D7" r:id="rId6" display="https://greatergiving.atlassian.net/browse/GGO-14236" xr:uid="{4D18A889-C08B-498B-9141-069FAC75C2BE}"/>
  </hyperlinks>
  <pageMargins left="0" right="0" top="0" bottom="0" header="0" footer="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0A328-C19D-4525-8E3B-AE7ABB2ED823}">
  <sheetPr>
    <outlinePr summaryBelow="0" summaryRight="0"/>
  </sheetPr>
  <dimension ref="A1:K2"/>
  <sheetViews>
    <sheetView topLeftCell="B1" workbookViewId="0">
      <selection activeCell="E16" sqref="E16"/>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H2:H5" xr:uid="{FC0E487E-01D1-4CA6-9112-60108E141561}">
      <formula1>"Internal,External"</formula1>
    </dataValidation>
    <dataValidation type="list" allowBlank="1" showErrorMessage="1" sqref="E3:E5" xr:uid="{7C774A30-1F21-49DD-A84B-A42DD6855CAA}">
      <formula1>"Bounceback,Defect,None"</formula1>
    </dataValidation>
    <dataValidation type="list" allowBlank="1" showErrorMessage="1" sqref="I2:I5" xr:uid="{CE88A35C-0A4B-4B15-86A1-E5F54D1E8688}">
      <formula1>"Open,Inprogress,Closed"</formula1>
    </dataValidation>
    <dataValidation type="list" allowBlank="1" showErrorMessage="1" sqref="G2:G5" xr:uid="{96BE2279-A383-48FD-B447-404085AFB236}">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3FE88A56-0418-4C6A-9E06-45EE6BEDFF06}">
          <x14:formula1>
            <xm:f>Details!$A$2:$A$10</xm:f>
          </x14:formula1>
          <xm:sqref>J2:J5</xm:sqref>
        </x14:dataValidation>
      </x14:dataValidations>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848C-2186-44A4-8F12-975211F33BC5}">
  <sheetPr>
    <outlinePr summaryBelow="0" summaryRight="0"/>
  </sheetPr>
  <dimension ref="A2:X14"/>
  <sheetViews>
    <sheetView showGridLines="0" workbookViewId="0">
      <pane xSplit="5" ySplit="2" topLeftCell="T8" activePane="bottomRight" state="frozen"/>
      <selection pane="bottomRight" activeCell="U13" sqref="U13"/>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36">
      <c r="A3" s="44">
        <v>1</v>
      </c>
      <c r="B3" s="2" t="s">
        <v>48</v>
      </c>
      <c r="C3" s="5" t="s">
        <v>231</v>
      </c>
      <c r="D3" s="81" t="s">
        <v>1769</v>
      </c>
      <c r="E3" s="78" t="s">
        <v>1770</v>
      </c>
      <c r="F3" s="35">
        <v>3</v>
      </c>
      <c r="G3" s="35">
        <v>3</v>
      </c>
      <c r="H3" s="16" t="s">
        <v>231</v>
      </c>
      <c r="I3" s="5" t="s">
        <v>1191</v>
      </c>
      <c r="J3" s="32" t="s">
        <v>1191</v>
      </c>
      <c r="K3" s="31" t="s">
        <v>1191</v>
      </c>
      <c r="L3" s="31" t="s">
        <v>1191</v>
      </c>
      <c r="M3" s="70" t="s">
        <v>1191</v>
      </c>
      <c r="N3" s="50"/>
      <c r="O3" s="71"/>
      <c r="P3" s="5"/>
      <c r="Q3" s="16"/>
      <c r="R3" s="16"/>
      <c r="S3" s="67"/>
      <c r="T3" s="16"/>
      <c r="U3" s="16" t="s">
        <v>1771</v>
      </c>
      <c r="V3" s="16"/>
      <c r="W3" s="16" t="s">
        <v>557</v>
      </c>
      <c r="X3" s="79" t="s">
        <v>1772</v>
      </c>
    </row>
    <row r="4" spans="1:24" s="86" customFormat="1" ht="48">
      <c r="A4" s="86">
        <v>2</v>
      </c>
      <c r="B4" s="2" t="s">
        <v>1773</v>
      </c>
      <c r="C4" s="5" t="s">
        <v>230</v>
      </c>
      <c r="D4" s="81" t="s">
        <v>1755</v>
      </c>
      <c r="E4" s="16" t="s">
        <v>1756</v>
      </c>
      <c r="F4" s="16">
        <v>2</v>
      </c>
      <c r="G4" s="16">
        <v>2</v>
      </c>
      <c r="H4" s="86" t="s">
        <v>230</v>
      </c>
      <c r="I4" s="5" t="s">
        <v>304</v>
      </c>
      <c r="J4" s="86" t="s">
        <v>1577</v>
      </c>
      <c r="K4" s="5" t="s">
        <v>268</v>
      </c>
      <c r="L4" s="96" t="s">
        <v>1577</v>
      </c>
      <c r="M4" s="70" t="s">
        <v>1757</v>
      </c>
      <c r="N4" s="71">
        <v>45489</v>
      </c>
      <c r="O4" s="5"/>
      <c r="P4" s="5"/>
      <c r="U4" s="86" t="s">
        <v>1774</v>
      </c>
      <c r="W4" s="16" t="s">
        <v>1015</v>
      </c>
    </row>
    <row r="5" spans="1:24" s="86" customFormat="1" ht="48">
      <c r="A5" s="86">
        <v>3</v>
      </c>
      <c r="B5" s="2" t="s">
        <v>48</v>
      </c>
      <c r="C5" s="5" t="s">
        <v>268</v>
      </c>
      <c r="D5" s="81" t="s">
        <v>1775</v>
      </c>
      <c r="E5" s="16" t="s">
        <v>1776</v>
      </c>
      <c r="F5" s="16">
        <v>1</v>
      </c>
      <c r="G5" s="16">
        <v>1</v>
      </c>
      <c r="H5" s="86" t="s">
        <v>268</v>
      </c>
      <c r="I5" s="5" t="s">
        <v>304</v>
      </c>
      <c r="J5" s="86" t="s">
        <v>1577</v>
      </c>
      <c r="K5" s="5" t="s">
        <v>230</v>
      </c>
      <c r="L5" s="96" t="s">
        <v>1577</v>
      </c>
      <c r="M5" s="5" t="s">
        <v>93</v>
      </c>
      <c r="N5" s="5"/>
      <c r="O5" s="5"/>
      <c r="P5" s="5"/>
      <c r="U5" s="86" t="s">
        <v>1777</v>
      </c>
      <c r="W5" s="16" t="s">
        <v>557</v>
      </c>
      <c r="X5" s="86" t="s">
        <v>1778</v>
      </c>
    </row>
    <row r="6" spans="1:24" s="86" customFormat="1" ht="48">
      <c r="A6" s="86">
        <v>4</v>
      </c>
      <c r="B6" s="2" t="s">
        <v>48</v>
      </c>
      <c r="C6" s="5" t="s">
        <v>268</v>
      </c>
      <c r="D6" s="81" t="s">
        <v>1779</v>
      </c>
      <c r="E6" s="16" t="s">
        <v>1780</v>
      </c>
      <c r="F6" s="16">
        <v>1</v>
      </c>
      <c r="G6" s="16">
        <v>1</v>
      </c>
      <c r="H6" s="86" t="s">
        <v>268</v>
      </c>
      <c r="I6" s="5" t="s">
        <v>1781</v>
      </c>
      <c r="J6" s="86" t="s">
        <v>1577</v>
      </c>
      <c r="K6" s="5" t="s">
        <v>230</v>
      </c>
      <c r="L6" s="96" t="s">
        <v>1577</v>
      </c>
      <c r="M6" s="70" t="s">
        <v>1782</v>
      </c>
      <c r="N6" s="71">
        <v>45489</v>
      </c>
      <c r="O6" s="71">
        <v>45489</v>
      </c>
      <c r="P6" s="5" t="s">
        <v>231</v>
      </c>
      <c r="Q6" s="86" t="s">
        <v>1577</v>
      </c>
      <c r="R6" s="86" t="s">
        <v>1161</v>
      </c>
      <c r="S6" s="71">
        <v>45490</v>
      </c>
      <c r="T6" s="86" t="s">
        <v>1577</v>
      </c>
      <c r="U6" s="86" t="s">
        <v>1783</v>
      </c>
      <c r="W6" s="16" t="s">
        <v>557</v>
      </c>
    </row>
    <row r="7" spans="1:24" s="86" customFormat="1" ht="24" customHeight="1">
      <c r="A7" s="86">
        <v>5</v>
      </c>
      <c r="B7" s="2" t="s">
        <v>1784</v>
      </c>
      <c r="C7" s="5" t="s">
        <v>230</v>
      </c>
      <c r="D7" s="81" t="s">
        <v>1785</v>
      </c>
      <c r="E7" s="16" t="s">
        <v>1786</v>
      </c>
      <c r="F7" s="16">
        <v>3</v>
      </c>
      <c r="G7" s="16"/>
      <c r="I7" s="5"/>
      <c r="K7" s="5"/>
      <c r="L7" s="96"/>
      <c r="M7" s="5"/>
      <c r="N7" s="5"/>
      <c r="O7" s="5"/>
      <c r="P7" s="5"/>
      <c r="U7" s="86" t="s">
        <v>1783</v>
      </c>
      <c r="W7" s="16" t="s">
        <v>1015</v>
      </c>
    </row>
    <row r="8" spans="1:24" s="86" customFormat="1">
      <c r="A8" s="86">
        <v>6</v>
      </c>
      <c r="B8" s="2" t="s">
        <v>48</v>
      </c>
      <c r="C8" s="88" t="s">
        <v>284</v>
      </c>
      <c r="D8" s="81" t="s">
        <v>1787</v>
      </c>
      <c r="E8" s="16" t="s">
        <v>1788</v>
      </c>
      <c r="F8" s="16">
        <v>1</v>
      </c>
      <c r="G8" s="16">
        <v>1</v>
      </c>
      <c r="H8" s="87" t="s">
        <v>93</v>
      </c>
      <c r="I8" s="88" t="s">
        <v>304</v>
      </c>
      <c r="J8" s="87" t="s">
        <v>1577</v>
      </c>
      <c r="K8" s="88" t="s">
        <v>93</v>
      </c>
      <c r="L8" s="88" t="s">
        <v>1601</v>
      </c>
      <c r="M8" s="104" t="s">
        <v>93</v>
      </c>
      <c r="N8" s="105" t="s">
        <v>93</v>
      </c>
      <c r="O8" s="88" t="s">
        <v>93</v>
      </c>
      <c r="P8" s="88" t="s">
        <v>93</v>
      </c>
      <c r="Q8" s="87" t="s">
        <v>93</v>
      </c>
      <c r="R8" s="87" t="s">
        <v>93</v>
      </c>
      <c r="S8" s="87" t="s">
        <v>93</v>
      </c>
      <c r="T8" s="87" t="s">
        <v>93</v>
      </c>
      <c r="U8" s="87" t="s">
        <v>93</v>
      </c>
      <c r="V8" s="87" t="s">
        <v>93</v>
      </c>
      <c r="W8" s="87" t="s">
        <v>557</v>
      </c>
    </row>
    <row r="9" spans="1:24" s="86" customFormat="1">
      <c r="A9" s="86">
        <v>7</v>
      </c>
      <c r="B9" s="2" t="s">
        <v>48</v>
      </c>
      <c r="C9" s="88" t="s">
        <v>284</v>
      </c>
      <c r="D9" s="81" t="s">
        <v>1789</v>
      </c>
      <c r="E9" s="16" t="s">
        <v>1790</v>
      </c>
      <c r="F9" s="16">
        <v>1</v>
      </c>
      <c r="G9" s="16">
        <v>1</v>
      </c>
      <c r="H9" s="87" t="s">
        <v>93</v>
      </c>
      <c r="I9" s="88" t="s">
        <v>304</v>
      </c>
      <c r="J9" s="87" t="s">
        <v>1577</v>
      </c>
      <c r="K9" s="88" t="s">
        <v>93</v>
      </c>
      <c r="L9" s="88" t="s">
        <v>1601</v>
      </c>
      <c r="M9" s="104" t="s">
        <v>93</v>
      </c>
      <c r="N9" s="105" t="s">
        <v>93</v>
      </c>
      <c r="O9" s="88" t="s">
        <v>93</v>
      </c>
      <c r="P9" s="88" t="s">
        <v>93</v>
      </c>
      <c r="Q9" s="87" t="s">
        <v>93</v>
      </c>
      <c r="R9" s="87" t="s">
        <v>93</v>
      </c>
      <c r="S9" s="87" t="s">
        <v>93</v>
      </c>
      <c r="T9" s="87" t="s">
        <v>93</v>
      </c>
      <c r="U9" s="87" t="s">
        <v>93</v>
      </c>
      <c r="V9" s="87" t="s">
        <v>93</v>
      </c>
      <c r="W9" s="87" t="s">
        <v>557</v>
      </c>
    </row>
    <row r="10" spans="1:24" s="86" customFormat="1" ht="48">
      <c r="A10" s="44">
        <v>8</v>
      </c>
      <c r="B10" s="2" t="s">
        <v>48</v>
      </c>
      <c r="C10" s="5" t="s">
        <v>230</v>
      </c>
      <c r="D10" s="81" t="s">
        <v>1791</v>
      </c>
      <c r="E10" s="78" t="s">
        <v>1792</v>
      </c>
      <c r="F10" s="35">
        <v>2</v>
      </c>
      <c r="G10" s="35">
        <v>2</v>
      </c>
      <c r="H10" s="16" t="s">
        <v>230</v>
      </c>
      <c r="I10" s="5" t="s">
        <v>304</v>
      </c>
      <c r="J10" s="32" t="s">
        <v>1577</v>
      </c>
      <c r="K10" s="31" t="s">
        <v>268</v>
      </c>
      <c r="L10" s="31" t="s">
        <v>1601</v>
      </c>
      <c r="M10" s="70" t="s">
        <v>1793</v>
      </c>
      <c r="N10" s="50">
        <v>45478</v>
      </c>
      <c r="O10" s="71">
        <v>45481</v>
      </c>
      <c r="P10" s="5" t="s">
        <v>231</v>
      </c>
      <c r="Q10" s="16" t="s">
        <v>1601</v>
      </c>
      <c r="R10" s="16" t="s">
        <v>1271</v>
      </c>
      <c r="S10" s="67">
        <v>45481</v>
      </c>
      <c r="T10" s="16" t="s">
        <v>1601</v>
      </c>
      <c r="U10" s="16"/>
      <c r="V10" s="16"/>
      <c r="W10" s="16" t="s">
        <v>557</v>
      </c>
      <c r="X10" s="79"/>
    </row>
    <row r="11" spans="1:24" s="86" customFormat="1" ht="48">
      <c r="A11" s="52">
        <v>9</v>
      </c>
      <c r="B11" s="2" t="s">
        <v>48</v>
      </c>
      <c r="C11" s="5" t="s">
        <v>268</v>
      </c>
      <c r="D11" s="81" t="s">
        <v>1794</v>
      </c>
      <c r="E11" s="16" t="s">
        <v>1795</v>
      </c>
      <c r="F11" s="16">
        <v>2</v>
      </c>
      <c r="G11" s="16">
        <v>2</v>
      </c>
      <c r="H11" s="16" t="s">
        <v>230</v>
      </c>
      <c r="I11" s="5" t="s">
        <v>304</v>
      </c>
      <c r="J11" s="32" t="s">
        <v>1577</v>
      </c>
      <c r="K11" s="31" t="s">
        <v>281</v>
      </c>
      <c r="L11" s="31" t="s">
        <v>1601</v>
      </c>
      <c r="M11" s="70" t="s">
        <v>1796</v>
      </c>
      <c r="N11" s="50">
        <v>45477</v>
      </c>
      <c r="O11" s="50">
        <v>45482</v>
      </c>
      <c r="P11" s="5" t="s">
        <v>231</v>
      </c>
      <c r="Q11" s="16" t="s">
        <v>1601</v>
      </c>
      <c r="R11" s="16" t="s">
        <v>1271</v>
      </c>
      <c r="S11" s="67">
        <v>45482</v>
      </c>
      <c r="T11" s="16" t="s">
        <v>1601</v>
      </c>
      <c r="U11" s="16" t="s">
        <v>1797</v>
      </c>
      <c r="V11" s="16"/>
      <c r="W11" s="16" t="s">
        <v>557</v>
      </c>
      <c r="X11" s="79"/>
    </row>
    <row r="12" spans="1:24" s="86" customFormat="1" ht="24">
      <c r="A12" s="86">
        <v>10</v>
      </c>
      <c r="B12" s="2" t="s">
        <v>48</v>
      </c>
      <c r="C12" s="88" t="s">
        <v>231</v>
      </c>
      <c r="D12" s="116" t="s">
        <v>1798</v>
      </c>
      <c r="E12" s="87" t="s">
        <v>1799</v>
      </c>
      <c r="F12" s="87">
        <v>2</v>
      </c>
      <c r="G12" s="87">
        <v>2</v>
      </c>
      <c r="H12" s="102" t="s">
        <v>231</v>
      </c>
      <c r="I12" s="88" t="s">
        <v>304</v>
      </c>
      <c r="J12" s="102"/>
      <c r="K12" s="88"/>
      <c r="L12" s="109"/>
      <c r="M12" s="88"/>
      <c r="N12" s="88"/>
      <c r="O12" s="88"/>
      <c r="P12" s="88"/>
      <c r="Q12" s="102"/>
      <c r="R12" s="102"/>
      <c r="S12" s="102"/>
      <c r="T12" s="102"/>
      <c r="U12" s="102" t="s">
        <v>1800</v>
      </c>
      <c r="V12" s="102"/>
      <c r="W12" s="102" t="s">
        <v>557</v>
      </c>
    </row>
    <row r="13" spans="1:24" s="102" customFormat="1" ht="24">
      <c r="A13" s="102">
        <v>11</v>
      </c>
      <c r="B13" s="110" t="s">
        <v>48</v>
      </c>
      <c r="C13" s="88" t="s">
        <v>231</v>
      </c>
      <c r="D13" s="116" t="s">
        <v>1801</v>
      </c>
      <c r="E13" s="87" t="s">
        <v>1802</v>
      </c>
      <c r="F13" s="87">
        <v>1</v>
      </c>
      <c r="G13" s="87">
        <v>1</v>
      </c>
      <c r="H13" s="102" t="s">
        <v>231</v>
      </c>
      <c r="I13" s="88" t="s">
        <v>304</v>
      </c>
      <c r="K13" s="88"/>
      <c r="L13" s="109"/>
      <c r="M13" s="88"/>
      <c r="N13" s="88"/>
      <c r="O13" s="88"/>
      <c r="P13" s="88"/>
      <c r="U13" s="102" t="s">
        <v>1783</v>
      </c>
      <c r="W13" s="102" t="s">
        <v>557</v>
      </c>
      <c r="X13" s="111"/>
    </row>
    <row r="14" spans="1:24" s="86" customFormat="1">
      <c r="A14" s="86">
        <v>12</v>
      </c>
      <c r="B14" s="2" t="s">
        <v>48</v>
      </c>
      <c r="C14" s="5" t="s">
        <v>284</v>
      </c>
      <c r="D14" s="81" t="s">
        <v>1803</v>
      </c>
      <c r="E14" s="16" t="s">
        <v>1804</v>
      </c>
      <c r="F14" s="86">
        <v>1</v>
      </c>
      <c r="G14" s="86">
        <v>1</v>
      </c>
      <c r="H14" s="16" t="s">
        <v>93</v>
      </c>
      <c r="I14" s="5" t="s">
        <v>304</v>
      </c>
      <c r="J14" s="16" t="s">
        <v>1577</v>
      </c>
      <c r="K14" s="5" t="s">
        <v>93</v>
      </c>
      <c r="L14" s="5" t="s">
        <v>1601</v>
      </c>
      <c r="M14" s="70" t="s">
        <v>93</v>
      </c>
      <c r="N14" s="95" t="s">
        <v>93</v>
      </c>
      <c r="O14" s="5" t="s">
        <v>93</v>
      </c>
      <c r="P14" s="5" t="s">
        <v>93</v>
      </c>
      <c r="Q14" s="16" t="s">
        <v>93</v>
      </c>
      <c r="R14" s="16" t="s">
        <v>93</v>
      </c>
      <c r="S14" s="16" t="s">
        <v>93</v>
      </c>
      <c r="T14" s="16" t="s">
        <v>93</v>
      </c>
      <c r="U14" s="16" t="s">
        <v>93</v>
      </c>
      <c r="V14" s="16" t="s">
        <v>93</v>
      </c>
      <c r="W14" s="16" t="s">
        <v>557</v>
      </c>
    </row>
  </sheetData>
  <dataValidations count="1">
    <dataValidation type="list" allowBlank="1" showErrorMessage="1" sqref="W3:W11 W14" xr:uid="{E3969D31-2157-48C6-873D-3CEEC28C33A7}">
      <formula1>"Open,Inprogress,Closed"</formula1>
    </dataValidation>
  </dataValidations>
  <hyperlinks>
    <hyperlink ref="M4" r:id="rId1" xr:uid="{42CE2426-2F81-4FFA-8F9F-C5CC3A1B8017}"/>
    <hyperlink ref="M6" r:id="rId2" xr:uid="{A1664E8E-1421-4319-95E7-EC47D6A04BB4}"/>
    <hyperlink ref="D6" r:id="rId3" xr:uid="{659D03F1-F811-4697-8BBD-FBA7DED3491C}"/>
    <hyperlink ref="D5" r:id="rId4" xr:uid="{659CD30B-2815-489D-960E-01D205E0103B}"/>
    <hyperlink ref="D4" r:id="rId5" xr:uid="{25E45144-E6FA-497B-B53D-3FE7FFFA5066}"/>
    <hyperlink ref="D3" r:id="rId6" xr:uid="{76A674E6-56B2-4912-8545-BF511C572B3F}"/>
    <hyperlink ref="D7" r:id="rId7" xr:uid="{22FAA7E6-EFDA-4680-86E3-8A3F508C591B}"/>
    <hyperlink ref="D8" r:id="rId8" display="https://greatergiving.atlassian.net/browse/GGO-14185" xr:uid="{9304F53E-3511-4B96-91A2-2DD731E1D33F}"/>
    <hyperlink ref="D9" r:id="rId9" display="https://greatergiving.atlassian.net/browse/PAPI-721" xr:uid="{EAB48592-CF13-4DFB-935C-E592F30F88DD}"/>
    <hyperlink ref="M10" r:id="rId10" xr:uid="{447DB733-0A20-4043-A7BF-3E6BD6F3CC07}"/>
    <hyperlink ref="D11" r:id="rId11" display="https://greatergiving.atlassian.net/browse/GGO-13981" xr:uid="{516B0A3D-6CF4-4CC0-9A82-E2A808527648}"/>
    <hyperlink ref="M11" r:id="rId12" xr:uid="{A1F99184-7A7C-4B08-A37F-636B2886010A}"/>
    <hyperlink ref="D12" r:id="rId13" display="https://greatergiving.atlassian.net/browse/GGO-14223" xr:uid="{4CAD95B7-C532-48F7-BDC7-FFE85F41C6B2}"/>
    <hyperlink ref="D13" r:id="rId14" display="https://greatergiving.atlassian.net/browse/GGO-14201" xr:uid="{5445C5BC-DCC8-45C7-80E1-1778A5EB6173}"/>
    <hyperlink ref="D14" r:id="rId15" display="https://greatergiving.atlassian.net/browse/PAPI-726" xr:uid="{9467BFBF-B56A-414A-B9D6-5712CCD72D14}"/>
  </hyperlinks>
  <pageMargins left="0" right="0" top="0" bottom="0" header="0" footer="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30628-65BA-47BD-8916-1CD1BE9AF54E}">
  <sheetPr>
    <outlinePr summaryBelow="0" summaryRight="0"/>
  </sheetPr>
  <dimension ref="A1:K2"/>
  <sheetViews>
    <sheetView topLeftCell="B1" workbookViewId="0">
      <selection activeCell="F11" sqref="F11"/>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G2:G5" xr:uid="{25C6E3D6-BB59-4733-A6BC-C94FF2E2FBBD}">
      <formula1>"Minor,Significant,Major"</formula1>
    </dataValidation>
    <dataValidation type="list" allowBlank="1" showErrorMessage="1" sqref="I2:I5" xr:uid="{77DB8D76-BF0C-4FEE-8C38-A531456E8F8D}">
      <formula1>"Open,Inprogress,Closed"</formula1>
    </dataValidation>
    <dataValidation type="list" allowBlank="1" showErrorMessage="1" sqref="E3:E5" xr:uid="{C9DEBD6B-52A9-4853-8A20-7EE8ED2224FB}">
      <formula1>"Bounceback,Defect,None"</formula1>
    </dataValidation>
    <dataValidation type="list" allowBlank="1" showErrorMessage="1" sqref="H2:H5" xr:uid="{FA60122D-6E13-4C12-BE7D-40D8706F19A9}">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D97830BB-8716-480F-9E94-D77FB4B05D9F}">
          <x14:formula1>
            <xm:f>Details!$A$2:$A$10</xm:f>
          </x14:formula1>
          <xm:sqref>J2:J5</xm:sqref>
        </x14:dataValidation>
      </x14:dataValidations>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C1EF-A68D-4548-A873-58DA1DACF3AB}">
  <sheetPr>
    <outlinePr summaryBelow="0" summaryRight="0"/>
  </sheetPr>
  <dimension ref="A2:X14"/>
  <sheetViews>
    <sheetView showGridLines="0" workbookViewId="0">
      <pane xSplit="5" ySplit="2" topLeftCell="T7" activePane="bottomRight" state="frozen"/>
      <selection pane="bottomRight" activeCell="U11" sqref="U11"/>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13.85546875" style="43"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3.5" customHeight="1">
      <c r="A3" s="52">
        <v>1</v>
      </c>
      <c r="B3" s="2" t="s">
        <v>47</v>
      </c>
      <c r="C3" s="5" t="s">
        <v>268</v>
      </c>
      <c r="D3" s="72" t="s">
        <v>1794</v>
      </c>
      <c r="E3" s="16" t="s">
        <v>1795</v>
      </c>
      <c r="F3" s="16">
        <v>2</v>
      </c>
      <c r="G3" s="16">
        <v>2</v>
      </c>
      <c r="H3" s="16" t="s">
        <v>230</v>
      </c>
      <c r="I3" s="5" t="s">
        <v>304</v>
      </c>
      <c r="J3" s="32" t="s">
        <v>1577</v>
      </c>
      <c r="K3" s="31" t="s">
        <v>281</v>
      </c>
      <c r="L3" s="31" t="s">
        <v>1601</v>
      </c>
      <c r="M3" s="70" t="s">
        <v>1796</v>
      </c>
      <c r="N3" s="50">
        <v>45477</v>
      </c>
      <c r="O3" s="50">
        <v>45482</v>
      </c>
      <c r="P3" s="5" t="s">
        <v>231</v>
      </c>
      <c r="Q3" s="16" t="s">
        <v>1601</v>
      </c>
      <c r="R3" s="16" t="s">
        <v>1271</v>
      </c>
      <c r="S3" s="67">
        <v>45482</v>
      </c>
      <c r="T3" s="16" t="s">
        <v>1601</v>
      </c>
      <c r="U3" s="16" t="s">
        <v>1805</v>
      </c>
      <c r="V3" s="16"/>
      <c r="W3" s="16" t="s">
        <v>557</v>
      </c>
      <c r="X3" s="79"/>
    </row>
    <row r="4" spans="1:24" ht="48">
      <c r="A4" s="44">
        <v>2</v>
      </c>
      <c r="B4" s="2" t="s">
        <v>47</v>
      </c>
      <c r="C4" s="5" t="s">
        <v>230</v>
      </c>
      <c r="D4" s="80" t="s">
        <v>1791</v>
      </c>
      <c r="E4" s="78" t="s">
        <v>1792</v>
      </c>
      <c r="F4" s="35">
        <v>2</v>
      </c>
      <c r="G4" s="35">
        <v>2</v>
      </c>
      <c r="H4" s="16" t="s">
        <v>230</v>
      </c>
      <c r="I4" s="5" t="s">
        <v>304</v>
      </c>
      <c r="J4" s="32" t="s">
        <v>1577</v>
      </c>
      <c r="K4" s="31" t="s">
        <v>268</v>
      </c>
      <c r="L4" s="31" t="s">
        <v>1601</v>
      </c>
      <c r="M4" s="70" t="s">
        <v>1793</v>
      </c>
      <c r="N4" s="50">
        <v>45478</v>
      </c>
      <c r="O4" s="71">
        <v>45481</v>
      </c>
      <c r="P4" s="5" t="s">
        <v>231</v>
      </c>
      <c r="Q4" s="16" t="s">
        <v>1601</v>
      </c>
      <c r="R4" s="16" t="s">
        <v>1271</v>
      </c>
      <c r="S4" s="67">
        <v>45481</v>
      </c>
      <c r="T4" s="16" t="s">
        <v>1601</v>
      </c>
      <c r="U4" s="16"/>
      <c r="V4" s="16"/>
      <c r="W4" s="16" t="s">
        <v>557</v>
      </c>
      <c r="X4" s="79"/>
    </row>
    <row r="5" spans="1:24" ht="48">
      <c r="A5" s="16">
        <v>3</v>
      </c>
      <c r="B5" s="2" t="s">
        <v>47</v>
      </c>
      <c r="C5" s="5" t="s">
        <v>1806</v>
      </c>
      <c r="D5" s="72" t="s">
        <v>1807</v>
      </c>
      <c r="E5" s="16" t="s">
        <v>1808</v>
      </c>
      <c r="F5" s="16">
        <v>2</v>
      </c>
      <c r="G5" s="16">
        <v>2</v>
      </c>
      <c r="H5" s="16" t="s">
        <v>230</v>
      </c>
      <c r="I5" s="5" t="s">
        <v>304</v>
      </c>
      <c r="J5" s="16" t="s">
        <v>1577</v>
      </c>
      <c r="K5" s="31" t="s">
        <v>268</v>
      </c>
      <c r="L5" s="31" t="s">
        <v>1601</v>
      </c>
      <c r="M5" s="63" t="s">
        <v>1809</v>
      </c>
      <c r="N5" s="68">
        <v>45476</v>
      </c>
      <c r="O5" s="68">
        <v>45477</v>
      </c>
      <c r="P5" s="5" t="s">
        <v>231</v>
      </c>
      <c r="Q5" s="16" t="s">
        <v>1601</v>
      </c>
      <c r="R5" s="83" t="s">
        <v>1271</v>
      </c>
      <c r="S5" s="67">
        <v>45477</v>
      </c>
      <c r="T5" s="16" t="s">
        <v>1810</v>
      </c>
      <c r="U5" s="16" t="s">
        <v>1811</v>
      </c>
      <c r="V5" s="16"/>
      <c r="W5" s="16" t="s">
        <v>557</v>
      </c>
      <c r="X5" s="16"/>
    </row>
    <row r="6" spans="1:24">
      <c r="A6" s="16">
        <v>4</v>
      </c>
      <c r="B6" s="2" t="s">
        <v>47</v>
      </c>
      <c r="C6" s="5" t="s">
        <v>1590</v>
      </c>
      <c r="D6" s="72" t="s">
        <v>1812</v>
      </c>
      <c r="E6" s="16" t="s">
        <v>1813</v>
      </c>
      <c r="F6" s="16">
        <v>3</v>
      </c>
      <c r="G6" s="16">
        <v>3</v>
      </c>
      <c r="H6" s="16" t="s">
        <v>1191</v>
      </c>
      <c r="I6" s="5" t="s">
        <v>1191</v>
      </c>
      <c r="J6" s="16" t="s">
        <v>1191</v>
      </c>
      <c r="K6" s="5" t="s">
        <v>1191</v>
      </c>
      <c r="L6" s="88" t="s">
        <v>1191</v>
      </c>
      <c r="M6" s="70" t="s">
        <v>1191</v>
      </c>
      <c r="N6" s="85" t="s">
        <v>1191</v>
      </c>
      <c r="O6" s="85" t="s">
        <v>1191</v>
      </c>
      <c r="P6" s="5" t="s">
        <v>1191</v>
      </c>
      <c r="Q6" s="16" t="s">
        <v>1191</v>
      </c>
      <c r="R6" s="16" t="s">
        <v>1271</v>
      </c>
      <c r="S6" s="16"/>
      <c r="T6" s="16"/>
      <c r="U6" s="16"/>
      <c r="V6" s="16"/>
      <c r="W6" s="87" t="s">
        <v>557</v>
      </c>
      <c r="X6" s="16" t="s">
        <v>1814</v>
      </c>
    </row>
    <row r="7" spans="1:24" ht="60" customHeight="1">
      <c r="A7" s="87">
        <v>5</v>
      </c>
      <c r="B7" s="2" t="s">
        <v>47</v>
      </c>
      <c r="C7" s="88" t="s">
        <v>231</v>
      </c>
      <c r="D7" s="72" t="s">
        <v>1815</v>
      </c>
      <c r="E7" s="16" t="s">
        <v>1816</v>
      </c>
      <c r="F7" s="87">
        <v>2</v>
      </c>
      <c r="G7" s="87">
        <v>2</v>
      </c>
      <c r="H7" s="87" t="s">
        <v>231</v>
      </c>
      <c r="I7" s="88" t="s">
        <v>281</v>
      </c>
      <c r="J7" s="87" t="s">
        <v>1577</v>
      </c>
      <c r="K7" s="90" t="s">
        <v>281</v>
      </c>
      <c r="L7" s="89" t="s">
        <v>1601</v>
      </c>
      <c r="M7" s="91" t="s">
        <v>1817</v>
      </c>
      <c r="N7" s="92">
        <v>45471</v>
      </c>
      <c r="O7" s="92">
        <v>45472</v>
      </c>
      <c r="P7" s="88" t="s">
        <v>281</v>
      </c>
      <c r="Q7" s="87" t="s">
        <v>1601</v>
      </c>
      <c r="R7" s="16" t="s">
        <v>1271</v>
      </c>
      <c r="S7" s="93">
        <v>45472</v>
      </c>
      <c r="T7" s="87" t="s">
        <v>1601</v>
      </c>
      <c r="U7" s="87"/>
      <c r="V7" s="87"/>
      <c r="W7" s="87" t="s">
        <v>557</v>
      </c>
      <c r="X7" s="87"/>
    </row>
    <row r="8" spans="1:24" s="86" customFormat="1">
      <c r="A8" s="86">
        <v>6</v>
      </c>
      <c r="B8" s="2" t="s">
        <v>47</v>
      </c>
      <c r="C8" s="5" t="s">
        <v>481</v>
      </c>
      <c r="D8" s="72" t="s">
        <v>1818</v>
      </c>
      <c r="E8" s="16" t="s">
        <v>1819</v>
      </c>
      <c r="F8" s="16">
        <v>2</v>
      </c>
      <c r="G8" s="16">
        <v>2</v>
      </c>
      <c r="I8" s="5"/>
      <c r="J8" s="32"/>
      <c r="K8" s="31"/>
      <c r="L8" s="31"/>
      <c r="M8" s="70"/>
      <c r="N8" s="50"/>
      <c r="O8" s="5"/>
      <c r="P8" s="5"/>
      <c r="Q8" s="16"/>
      <c r="R8" s="16"/>
      <c r="S8" s="16"/>
      <c r="T8" s="16"/>
      <c r="U8" s="16"/>
      <c r="V8" s="16"/>
      <c r="W8" s="87"/>
    </row>
    <row r="9" spans="1:24" s="86" customFormat="1" ht="24">
      <c r="A9" s="86">
        <v>7</v>
      </c>
      <c r="B9" s="2" t="s">
        <v>47</v>
      </c>
      <c r="C9" s="5" t="s">
        <v>284</v>
      </c>
      <c r="D9" s="72" t="s">
        <v>1820</v>
      </c>
      <c r="E9" s="16" t="s">
        <v>1821</v>
      </c>
      <c r="F9" s="16">
        <v>1</v>
      </c>
      <c r="G9" s="16">
        <v>1</v>
      </c>
      <c r="H9" s="16" t="s">
        <v>93</v>
      </c>
      <c r="I9" s="5" t="s">
        <v>304</v>
      </c>
      <c r="J9" s="16" t="s">
        <v>1577</v>
      </c>
      <c r="K9" s="5" t="s">
        <v>93</v>
      </c>
      <c r="L9" s="5" t="s">
        <v>1601</v>
      </c>
      <c r="M9" s="70" t="s">
        <v>93</v>
      </c>
      <c r="N9" s="95" t="s">
        <v>93</v>
      </c>
      <c r="O9" s="5" t="s">
        <v>93</v>
      </c>
      <c r="P9" s="5" t="s">
        <v>93</v>
      </c>
      <c r="Q9" s="16" t="s">
        <v>93</v>
      </c>
      <c r="R9" s="16" t="s">
        <v>93</v>
      </c>
      <c r="S9" s="16" t="s">
        <v>93</v>
      </c>
      <c r="T9" s="16" t="s">
        <v>93</v>
      </c>
      <c r="U9" s="16" t="s">
        <v>1759</v>
      </c>
      <c r="V9" s="16" t="s">
        <v>93</v>
      </c>
      <c r="W9" s="16" t="s">
        <v>557</v>
      </c>
      <c r="X9" s="16"/>
    </row>
    <row r="10" spans="1:24" s="102" customFormat="1" ht="24">
      <c r="A10" s="102">
        <v>8</v>
      </c>
      <c r="B10" s="94" t="s">
        <v>47</v>
      </c>
      <c r="C10" s="88" t="s">
        <v>284</v>
      </c>
      <c r="D10" s="103" t="s">
        <v>1822</v>
      </c>
      <c r="E10" s="87" t="s">
        <v>1823</v>
      </c>
      <c r="F10" s="87">
        <v>2</v>
      </c>
      <c r="G10" s="87">
        <v>2</v>
      </c>
      <c r="H10" s="87" t="s">
        <v>93</v>
      </c>
      <c r="I10" s="88" t="s">
        <v>304</v>
      </c>
      <c r="J10" s="87" t="s">
        <v>1577</v>
      </c>
      <c r="K10" s="88" t="s">
        <v>93</v>
      </c>
      <c r="L10" s="88" t="s">
        <v>1601</v>
      </c>
      <c r="M10" s="104" t="s">
        <v>93</v>
      </c>
      <c r="N10" s="105" t="s">
        <v>93</v>
      </c>
      <c r="O10" s="88" t="s">
        <v>93</v>
      </c>
      <c r="P10" s="88" t="s">
        <v>93</v>
      </c>
      <c r="Q10" s="87" t="s">
        <v>93</v>
      </c>
      <c r="R10" s="87" t="s">
        <v>93</v>
      </c>
      <c r="S10" s="87" t="s">
        <v>93</v>
      </c>
      <c r="T10" s="87" t="s">
        <v>93</v>
      </c>
      <c r="U10" s="87" t="s">
        <v>1824</v>
      </c>
      <c r="V10" s="87" t="s">
        <v>93</v>
      </c>
      <c r="W10" s="87" t="s">
        <v>557</v>
      </c>
      <c r="X10" s="87"/>
    </row>
    <row r="11" spans="1:24" s="102" customFormat="1">
      <c r="A11" s="102">
        <v>9</v>
      </c>
      <c r="B11" s="94" t="s">
        <v>47</v>
      </c>
      <c r="C11" s="88" t="s">
        <v>284</v>
      </c>
      <c r="D11" s="103" t="s">
        <v>1825</v>
      </c>
      <c r="E11" s="87" t="s">
        <v>1826</v>
      </c>
      <c r="F11" s="87">
        <v>1</v>
      </c>
      <c r="G11" s="87">
        <v>1</v>
      </c>
      <c r="H11" s="87" t="s">
        <v>93</v>
      </c>
      <c r="I11" s="88" t="s">
        <v>304</v>
      </c>
      <c r="J11" s="87" t="s">
        <v>1577</v>
      </c>
      <c r="K11" s="88" t="s">
        <v>93</v>
      </c>
      <c r="L11" s="88" t="s">
        <v>1601</v>
      </c>
      <c r="M11" s="104" t="s">
        <v>93</v>
      </c>
      <c r="N11" s="105" t="s">
        <v>93</v>
      </c>
      <c r="O11" s="88" t="s">
        <v>93</v>
      </c>
      <c r="P11" s="88" t="s">
        <v>93</v>
      </c>
      <c r="Q11" s="87" t="s">
        <v>93</v>
      </c>
      <c r="R11" s="87" t="s">
        <v>93</v>
      </c>
      <c r="S11" s="87" t="s">
        <v>93</v>
      </c>
      <c r="T11" s="87" t="s">
        <v>93</v>
      </c>
      <c r="U11" s="87" t="s">
        <v>93</v>
      </c>
      <c r="V11" s="87" t="s">
        <v>93</v>
      </c>
      <c r="W11" s="87" t="s">
        <v>557</v>
      </c>
    </row>
    <row r="12" spans="1:24" s="86" customFormat="1">
      <c r="A12" s="86">
        <v>10</v>
      </c>
      <c r="B12" s="94" t="s">
        <v>47</v>
      </c>
      <c r="C12" s="88" t="s">
        <v>284</v>
      </c>
      <c r="D12" s="72" t="s">
        <v>1787</v>
      </c>
      <c r="E12" s="16" t="s">
        <v>1788</v>
      </c>
      <c r="F12" s="16">
        <v>1</v>
      </c>
      <c r="G12" s="16">
        <v>1</v>
      </c>
      <c r="H12" s="87" t="s">
        <v>93</v>
      </c>
      <c r="I12" s="88" t="s">
        <v>304</v>
      </c>
      <c r="J12" s="87" t="s">
        <v>1577</v>
      </c>
      <c r="K12" s="88" t="s">
        <v>93</v>
      </c>
      <c r="L12" s="88" t="s">
        <v>1601</v>
      </c>
      <c r="M12" s="104" t="s">
        <v>93</v>
      </c>
      <c r="N12" s="105" t="s">
        <v>93</v>
      </c>
      <c r="O12" s="88" t="s">
        <v>93</v>
      </c>
      <c r="P12" s="88" t="s">
        <v>93</v>
      </c>
      <c r="Q12" s="87" t="s">
        <v>93</v>
      </c>
      <c r="R12" s="87" t="s">
        <v>93</v>
      </c>
      <c r="S12" s="87" t="s">
        <v>93</v>
      </c>
      <c r="T12" s="87" t="s">
        <v>93</v>
      </c>
      <c r="U12" s="87" t="s">
        <v>93</v>
      </c>
      <c r="V12" s="87" t="s">
        <v>93</v>
      </c>
      <c r="W12" s="87" t="s">
        <v>557</v>
      </c>
    </row>
    <row r="13" spans="1:24" s="86" customFormat="1" ht="24">
      <c r="A13" s="86">
        <v>11</v>
      </c>
      <c r="B13" s="94" t="s">
        <v>47</v>
      </c>
      <c r="C13" s="88" t="s">
        <v>231</v>
      </c>
      <c r="D13" s="72" t="s">
        <v>1801</v>
      </c>
      <c r="E13" s="16" t="s">
        <v>1802</v>
      </c>
      <c r="F13" s="16">
        <v>1</v>
      </c>
      <c r="G13" s="16">
        <v>1</v>
      </c>
      <c r="H13" s="86" t="s">
        <v>231</v>
      </c>
      <c r="I13" s="5" t="s">
        <v>304</v>
      </c>
      <c r="K13" s="5"/>
      <c r="L13" s="96"/>
      <c r="M13" s="5"/>
      <c r="N13" s="5"/>
      <c r="O13" s="5"/>
      <c r="P13" s="5"/>
      <c r="W13" s="87" t="s">
        <v>557</v>
      </c>
    </row>
    <row r="14" spans="1:24" s="86" customFormat="1">
      <c r="A14" s="86">
        <v>12</v>
      </c>
      <c r="B14" s="94" t="s">
        <v>47</v>
      </c>
      <c r="C14" s="88" t="s">
        <v>284</v>
      </c>
      <c r="D14" s="72" t="s">
        <v>1789</v>
      </c>
      <c r="E14" s="16" t="s">
        <v>1790</v>
      </c>
      <c r="F14" s="16">
        <v>1</v>
      </c>
      <c r="G14" s="16">
        <v>1</v>
      </c>
      <c r="H14" s="87" t="s">
        <v>93</v>
      </c>
      <c r="I14" s="88" t="s">
        <v>304</v>
      </c>
      <c r="J14" s="87" t="s">
        <v>1577</v>
      </c>
      <c r="K14" s="88" t="s">
        <v>93</v>
      </c>
      <c r="L14" s="88" t="s">
        <v>1601</v>
      </c>
      <c r="M14" s="104" t="s">
        <v>93</v>
      </c>
      <c r="N14" s="105" t="s">
        <v>93</v>
      </c>
      <c r="O14" s="88" t="s">
        <v>93</v>
      </c>
      <c r="P14" s="88" t="s">
        <v>93</v>
      </c>
      <c r="Q14" s="87" t="s">
        <v>93</v>
      </c>
      <c r="R14" s="87" t="s">
        <v>93</v>
      </c>
      <c r="S14" s="87" t="s">
        <v>93</v>
      </c>
      <c r="T14" s="87" t="s">
        <v>93</v>
      </c>
      <c r="U14" s="87" t="s">
        <v>93</v>
      </c>
      <c r="V14" s="87" t="s">
        <v>93</v>
      </c>
      <c r="W14" s="87" t="s">
        <v>557</v>
      </c>
    </row>
  </sheetData>
  <dataValidations count="1">
    <dataValidation type="list" allowBlank="1" showErrorMessage="1" sqref="W3:W5 W9:W10" xr:uid="{46A64B20-45B0-4744-A1E2-CF8189F2532D}">
      <formula1>"Open,Inprogress,Closed"</formula1>
    </dataValidation>
  </dataValidations>
  <hyperlinks>
    <hyperlink ref="D3" r:id="rId1" display="https://greatergiving.atlassian.net/browse/GGO-13981" xr:uid="{3F52BEFE-A1D1-4F85-99F4-DC226A5E458E}"/>
    <hyperlink ref="M3" r:id="rId2" xr:uid="{4C1C2BA7-90FC-4745-8F3D-FE13E1C6F483}"/>
    <hyperlink ref="M4" r:id="rId3" xr:uid="{67654030-09FA-4EC5-9BBC-F930E63A72DC}"/>
    <hyperlink ref="M5" r:id="rId4" xr:uid="{345A2BA5-9F14-4AC2-8F87-ADABEAFDF8AB}"/>
    <hyperlink ref="M7" r:id="rId5" xr:uid="{540ECC94-4824-4428-9C42-2E47C225A65A}"/>
    <hyperlink ref="D9" r:id="rId6" display="https://greatergiving.atlassian.net/browse/GGO-13947" xr:uid="{555298EE-9BFE-475D-94FD-6B144C476E90}"/>
    <hyperlink ref="D10" r:id="rId7" display="https://greatergiving.atlassian.net/browse/GGO-13982" xr:uid="{D8ED1726-F64A-40E1-85F9-1BC5804BB970}"/>
    <hyperlink ref="D11" r:id="rId8" display="https://greatergiving.atlassian.net/browse/GGO-13993" xr:uid="{09656618-05D7-440A-A774-43620DF8A16E}"/>
    <hyperlink ref="D12" r:id="rId9" display="https://greatergiving.atlassian.net/browse/GGO-14185" xr:uid="{8A8427BC-92C1-4D51-B8ED-955ECED49A76}"/>
    <hyperlink ref="D13" r:id="rId10" display="https://greatergiving.atlassian.net/browse/GGO-14201" xr:uid="{D33919A2-946D-41AF-A433-74929EE6B076}"/>
    <hyperlink ref="D14" r:id="rId11" display="https://greatergiving.atlassian.net/browse/PAPI-721" xr:uid="{04360155-07D0-4D99-B2B5-F2D554A3893A}"/>
  </hyperlinks>
  <pageMargins left="0" right="0" top="0" bottom="0" header="0" footer="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8D9AF-0654-43DF-8D2B-312D2BD17A4B}">
  <sheetPr>
    <outlinePr summaryBelow="0" summaryRight="0"/>
  </sheetPr>
  <dimension ref="A1:K2"/>
  <sheetViews>
    <sheetView topLeftCell="B1" workbookViewId="0">
      <selection activeCell="B2" sqref="B2:E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H2:H5" xr:uid="{7E3C3952-5DD7-42BC-8314-E0BBEAF8188D}">
      <formula1>"Internal,External"</formula1>
    </dataValidation>
    <dataValidation type="list" allowBlank="1" showErrorMessage="1" sqref="E3:E5" xr:uid="{BEC65623-8612-491B-86CB-6512894EB2DB}">
      <formula1>"Bounceback,Defect,None"</formula1>
    </dataValidation>
    <dataValidation type="list" allowBlank="1" showErrorMessage="1" sqref="I2:I5" xr:uid="{FE90C4D5-F475-404C-BECA-968ABF4ECFE8}">
      <formula1>"Open,Inprogress,Closed"</formula1>
    </dataValidation>
    <dataValidation type="list" allowBlank="1" showErrorMessage="1" sqref="G2:G5" xr:uid="{C886537C-C2EE-46F3-9528-C98045C316E2}">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1B20B7E-081F-4DC1-8416-B8E1062F48E4}">
          <x14:formula1>
            <xm:f>Details!$A$2:$A$10</xm:f>
          </x14:formula1>
          <xm:sqref>J2:J5</xm:sqref>
        </x14:dataValidation>
      </x14:dataValidations>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59BA-45F4-4C86-A80D-651D02FDB2C3}">
  <sheetPr>
    <outlinePr summaryBelow="0" summaryRight="0"/>
  </sheetPr>
  <dimension ref="A2:X12"/>
  <sheetViews>
    <sheetView showGridLines="0" workbookViewId="0">
      <pane xSplit="5" ySplit="2" topLeftCell="T5" activePane="bottomRight" state="frozen"/>
      <selection pane="bottomRight" activeCell="U13" sqref="U13"/>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60">
      <c r="A3" s="16">
        <v>1</v>
      </c>
      <c r="B3" s="2" t="s">
        <v>46</v>
      </c>
      <c r="C3" s="5" t="s">
        <v>230</v>
      </c>
      <c r="D3" s="72" t="s">
        <v>1827</v>
      </c>
      <c r="E3" s="16" t="s">
        <v>1828</v>
      </c>
      <c r="F3" s="16">
        <v>3</v>
      </c>
      <c r="G3" s="16">
        <v>3</v>
      </c>
      <c r="H3" s="16" t="s">
        <v>230</v>
      </c>
      <c r="I3" s="5" t="s">
        <v>304</v>
      </c>
      <c r="J3" s="16" t="s">
        <v>1577</v>
      </c>
      <c r="K3" s="5" t="s">
        <v>268</v>
      </c>
      <c r="L3" s="5" t="s">
        <v>1601</v>
      </c>
      <c r="M3" s="70" t="s">
        <v>1829</v>
      </c>
      <c r="N3" s="71">
        <v>45467</v>
      </c>
      <c r="O3" s="71">
        <v>45467</v>
      </c>
      <c r="P3" s="5" t="s">
        <v>231</v>
      </c>
      <c r="Q3" s="16" t="s">
        <v>1577</v>
      </c>
      <c r="R3" s="97" t="s">
        <v>1161</v>
      </c>
      <c r="S3" s="67">
        <v>45467</v>
      </c>
      <c r="T3" s="16" t="s">
        <v>1577</v>
      </c>
      <c r="U3" s="16" t="s">
        <v>1830</v>
      </c>
      <c r="V3" s="16" t="s">
        <v>1577</v>
      </c>
      <c r="W3" s="16" t="s">
        <v>557</v>
      </c>
      <c r="X3" s="16" t="s">
        <v>1831</v>
      </c>
    </row>
    <row r="4" spans="1:24" s="62" customFormat="1" ht="132.75" customHeight="1">
      <c r="A4" s="9">
        <v>2</v>
      </c>
      <c r="B4" s="99" t="s">
        <v>46</v>
      </c>
      <c r="C4" s="61" t="s">
        <v>1832</v>
      </c>
      <c r="D4" s="81" t="s">
        <v>1833</v>
      </c>
      <c r="E4" s="9" t="s">
        <v>1834</v>
      </c>
      <c r="F4" s="9">
        <v>3</v>
      </c>
      <c r="G4" s="9">
        <v>3</v>
      </c>
      <c r="H4" s="9" t="s">
        <v>230</v>
      </c>
      <c r="I4" s="61" t="s">
        <v>1191</v>
      </c>
      <c r="J4" s="9" t="s">
        <v>1191</v>
      </c>
      <c r="K4" s="61" t="s">
        <v>268</v>
      </c>
      <c r="L4" s="61" t="s">
        <v>1601</v>
      </c>
      <c r="M4" s="72" t="s">
        <v>1835</v>
      </c>
      <c r="N4" s="100">
        <v>45461</v>
      </c>
      <c r="O4" s="100">
        <v>45467</v>
      </c>
      <c r="P4" s="61" t="s">
        <v>231</v>
      </c>
      <c r="Q4" s="9" t="s">
        <v>1577</v>
      </c>
      <c r="R4" s="9" t="s">
        <v>1161</v>
      </c>
      <c r="S4" s="101">
        <v>45467</v>
      </c>
      <c r="T4" s="9" t="s">
        <v>1836</v>
      </c>
      <c r="U4" s="9" t="s">
        <v>1611</v>
      </c>
      <c r="V4" s="9" t="s">
        <v>1577</v>
      </c>
      <c r="W4" s="9" t="s">
        <v>557</v>
      </c>
      <c r="X4" s="9" t="s">
        <v>1837</v>
      </c>
    </row>
    <row r="5" spans="1:24">
      <c r="A5" s="86">
        <v>3</v>
      </c>
      <c r="B5" s="2" t="s">
        <v>46</v>
      </c>
      <c r="C5" s="5" t="s">
        <v>284</v>
      </c>
      <c r="D5" s="72" t="s">
        <v>1838</v>
      </c>
      <c r="E5" s="16" t="s">
        <v>1839</v>
      </c>
      <c r="F5" s="16">
        <v>2</v>
      </c>
      <c r="G5" s="16">
        <v>1</v>
      </c>
      <c r="H5" s="16" t="s">
        <v>93</v>
      </c>
      <c r="I5" s="5" t="s">
        <v>304</v>
      </c>
      <c r="J5" s="16" t="s">
        <v>1577</v>
      </c>
      <c r="K5" s="5" t="s">
        <v>93</v>
      </c>
      <c r="L5" s="5" t="s">
        <v>1601</v>
      </c>
      <c r="M5" s="70" t="s">
        <v>93</v>
      </c>
      <c r="N5" s="95" t="s">
        <v>93</v>
      </c>
      <c r="O5" s="5" t="s">
        <v>93</v>
      </c>
      <c r="P5" s="5" t="s">
        <v>93</v>
      </c>
      <c r="Q5" s="16" t="s">
        <v>93</v>
      </c>
      <c r="R5" s="16" t="s">
        <v>93</v>
      </c>
      <c r="S5" s="16" t="s">
        <v>93</v>
      </c>
      <c r="T5" s="16" t="s">
        <v>93</v>
      </c>
      <c r="U5" s="16" t="s">
        <v>93</v>
      </c>
      <c r="V5" s="16" t="s">
        <v>93</v>
      </c>
      <c r="W5" s="16" t="s">
        <v>557</v>
      </c>
      <c r="X5" s="16"/>
    </row>
    <row r="6" spans="1:24">
      <c r="A6" s="86">
        <v>4</v>
      </c>
      <c r="B6" s="2" t="s">
        <v>46</v>
      </c>
      <c r="C6" s="5" t="s">
        <v>284</v>
      </c>
      <c r="D6" s="72" t="s">
        <v>1840</v>
      </c>
      <c r="E6" s="16" t="s">
        <v>1841</v>
      </c>
      <c r="F6" s="16">
        <v>2</v>
      </c>
      <c r="G6" s="16">
        <v>1</v>
      </c>
      <c r="H6" s="16" t="s">
        <v>93</v>
      </c>
      <c r="I6" s="5" t="s">
        <v>304</v>
      </c>
      <c r="J6" s="16" t="s">
        <v>1577</v>
      </c>
      <c r="K6" s="5" t="s">
        <v>93</v>
      </c>
      <c r="L6" s="5" t="s">
        <v>1601</v>
      </c>
      <c r="M6" s="70" t="s">
        <v>93</v>
      </c>
      <c r="N6" s="95" t="s">
        <v>93</v>
      </c>
      <c r="O6" s="5" t="s">
        <v>93</v>
      </c>
      <c r="P6" s="5" t="s">
        <v>93</v>
      </c>
      <c r="Q6" s="16" t="s">
        <v>93</v>
      </c>
      <c r="R6" s="16" t="s">
        <v>93</v>
      </c>
      <c r="S6" s="16" t="s">
        <v>93</v>
      </c>
      <c r="T6" s="16" t="s">
        <v>93</v>
      </c>
      <c r="U6" s="16" t="s">
        <v>93</v>
      </c>
      <c r="V6" s="16" t="s">
        <v>93</v>
      </c>
      <c r="W6" s="16" t="s">
        <v>557</v>
      </c>
      <c r="X6" s="16"/>
    </row>
    <row r="7" spans="1:24" ht="24">
      <c r="A7" s="86">
        <v>5</v>
      </c>
      <c r="B7" s="2" t="s">
        <v>46</v>
      </c>
      <c r="C7" s="5" t="s">
        <v>284</v>
      </c>
      <c r="D7" s="72" t="s">
        <v>1842</v>
      </c>
      <c r="E7" s="16" t="s">
        <v>1843</v>
      </c>
      <c r="F7" s="16">
        <v>1</v>
      </c>
      <c r="G7" s="16">
        <v>1</v>
      </c>
      <c r="H7" s="16" t="s">
        <v>93</v>
      </c>
      <c r="I7" s="5" t="s">
        <v>304</v>
      </c>
      <c r="J7" s="16" t="s">
        <v>1577</v>
      </c>
      <c r="K7" s="5" t="s">
        <v>93</v>
      </c>
      <c r="L7" s="5" t="s">
        <v>1601</v>
      </c>
      <c r="M7" s="70" t="s">
        <v>93</v>
      </c>
      <c r="N7" s="95" t="s">
        <v>93</v>
      </c>
      <c r="O7" s="5" t="s">
        <v>93</v>
      </c>
      <c r="P7" s="5" t="s">
        <v>93</v>
      </c>
      <c r="Q7" s="16" t="s">
        <v>93</v>
      </c>
      <c r="R7" s="16" t="s">
        <v>93</v>
      </c>
      <c r="S7" s="16" t="s">
        <v>93</v>
      </c>
      <c r="T7" s="16" t="s">
        <v>93</v>
      </c>
      <c r="U7" s="16" t="s">
        <v>93</v>
      </c>
      <c r="V7" s="16" t="s">
        <v>93</v>
      </c>
      <c r="W7" s="16" t="s">
        <v>557</v>
      </c>
      <c r="X7" s="16"/>
    </row>
    <row r="8" spans="1:24">
      <c r="A8" s="86">
        <v>6</v>
      </c>
      <c r="B8" s="2" t="s">
        <v>46</v>
      </c>
      <c r="C8" s="5"/>
      <c r="D8" s="72" t="s">
        <v>1844</v>
      </c>
      <c r="E8" s="16" t="s">
        <v>1845</v>
      </c>
      <c r="F8" s="16">
        <v>2</v>
      </c>
      <c r="G8" s="16">
        <v>2</v>
      </c>
      <c r="H8" s="86"/>
      <c r="I8" s="5" t="s">
        <v>304</v>
      </c>
      <c r="J8" s="86"/>
      <c r="K8" s="5"/>
      <c r="L8" s="96"/>
      <c r="M8" s="5"/>
      <c r="N8" s="5"/>
      <c r="O8" s="5"/>
      <c r="P8" s="5"/>
      <c r="Q8" s="86"/>
      <c r="R8" s="86"/>
      <c r="S8" s="86"/>
      <c r="T8" s="86"/>
      <c r="U8" s="86"/>
      <c r="V8" s="86"/>
      <c r="W8" s="16" t="s">
        <v>557</v>
      </c>
      <c r="X8" s="86"/>
    </row>
    <row r="9" spans="1:24" ht="36">
      <c r="A9" s="86">
        <v>7</v>
      </c>
      <c r="B9" s="2" t="s">
        <v>46</v>
      </c>
      <c r="C9" s="5" t="s">
        <v>284</v>
      </c>
      <c r="D9" s="72" t="s">
        <v>1846</v>
      </c>
      <c r="E9" s="16" t="s">
        <v>1847</v>
      </c>
      <c r="F9" s="16">
        <v>1</v>
      </c>
      <c r="G9" s="16">
        <v>1</v>
      </c>
      <c r="H9" s="16" t="s">
        <v>93</v>
      </c>
      <c r="I9" s="5" t="s">
        <v>304</v>
      </c>
      <c r="J9" s="16" t="s">
        <v>1577</v>
      </c>
      <c r="K9" s="5" t="s">
        <v>93</v>
      </c>
      <c r="L9" s="5" t="s">
        <v>1601</v>
      </c>
      <c r="M9" s="70" t="s">
        <v>93</v>
      </c>
      <c r="N9" s="95" t="s">
        <v>93</v>
      </c>
      <c r="O9" s="5" t="s">
        <v>93</v>
      </c>
      <c r="P9" s="5" t="s">
        <v>93</v>
      </c>
      <c r="Q9" s="16" t="s">
        <v>93</v>
      </c>
      <c r="R9" s="16" t="s">
        <v>93</v>
      </c>
      <c r="S9" s="16" t="s">
        <v>93</v>
      </c>
      <c r="T9" s="16" t="s">
        <v>93</v>
      </c>
      <c r="U9" s="16" t="s">
        <v>1848</v>
      </c>
      <c r="V9" s="16" t="s">
        <v>93</v>
      </c>
      <c r="W9" s="16" t="s">
        <v>557</v>
      </c>
      <c r="X9" s="86"/>
    </row>
    <row r="10" spans="1:24">
      <c r="A10" s="86">
        <v>8</v>
      </c>
      <c r="B10" s="2" t="s">
        <v>46</v>
      </c>
      <c r="C10" s="5" t="s">
        <v>268</v>
      </c>
      <c r="D10" s="72" t="s">
        <v>1849</v>
      </c>
      <c r="E10" s="16" t="s">
        <v>1850</v>
      </c>
      <c r="F10" s="16">
        <v>1</v>
      </c>
      <c r="G10" s="16">
        <v>1</v>
      </c>
      <c r="H10" s="86" t="s">
        <v>93</v>
      </c>
      <c r="I10" s="5" t="s">
        <v>304</v>
      </c>
      <c r="J10" s="86" t="s">
        <v>1577</v>
      </c>
      <c r="K10" s="5" t="s">
        <v>93</v>
      </c>
      <c r="L10" s="96" t="s">
        <v>1601</v>
      </c>
      <c r="M10" s="5" t="s">
        <v>93</v>
      </c>
      <c r="N10" s="5" t="s">
        <v>93</v>
      </c>
      <c r="O10" s="5" t="s">
        <v>93</v>
      </c>
      <c r="P10" s="5" t="s">
        <v>93</v>
      </c>
      <c r="Q10" s="86" t="s">
        <v>93</v>
      </c>
      <c r="R10" s="86" t="s">
        <v>93</v>
      </c>
      <c r="S10" s="86" t="s">
        <v>93</v>
      </c>
      <c r="T10" s="86" t="s">
        <v>93</v>
      </c>
      <c r="U10" s="86" t="s">
        <v>93</v>
      </c>
      <c r="V10" s="86" t="s">
        <v>93</v>
      </c>
      <c r="W10" s="16" t="s">
        <v>557</v>
      </c>
      <c r="X10" s="86"/>
    </row>
    <row r="11" spans="1:24" ht="48">
      <c r="A11" s="86">
        <v>10</v>
      </c>
      <c r="B11" s="2" t="s">
        <v>1851</v>
      </c>
      <c r="C11" s="5" t="s">
        <v>230</v>
      </c>
      <c r="D11" s="112" t="s">
        <v>1820</v>
      </c>
      <c r="E11" s="16" t="s">
        <v>1852</v>
      </c>
      <c r="F11" s="16">
        <v>2</v>
      </c>
      <c r="G11" s="16">
        <v>2</v>
      </c>
      <c r="H11" s="86" t="s">
        <v>230</v>
      </c>
      <c r="I11" s="5" t="s">
        <v>304</v>
      </c>
      <c r="J11" s="86" t="s">
        <v>1577</v>
      </c>
      <c r="K11" s="5" t="s">
        <v>1191</v>
      </c>
      <c r="L11" s="96" t="s">
        <v>1601</v>
      </c>
      <c r="M11" s="70" t="s">
        <v>1853</v>
      </c>
      <c r="N11" s="71">
        <v>45467</v>
      </c>
      <c r="O11" s="5"/>
      <c r="P11" s="5"/>
      <c r="Q11" s="86"/>
      <c r="R11" s="86"/>
      <c r="S11" s="86"/>
      <c r="T11" s="86"/>
      <c r="U11" s="86" t="s">
        <v>1854</v>
      </c>
      <c r="V11" s="86"/>
      <c r="W11" s="16" t="s">
        <v>1015</v>
      </c>
      <c r="X11" s="86"/>
    </row>
    <row r="12" spans="1:24" ht="24">
      <c r="A12" s="86">
        <v>11</v>
      </c>
      <c r="B12" s="2" t="s">
        <v>46</v>
      </c>
      <c r="C12" s="5" t="s">
        <v>268</v>
      </c>
      <c r="D12" s="112" t="s">
        <v>1807</v>
      </c>
      <c r="E12" s="16" t="s">
        <v>1808</v>
      </c>
      <c r="F12" s="16">
        <v>2</v>
      </c>
      <c r="G12" s="16">
        <v>2</v>
      </c>
      <c r="H12" s="86"/>
      <c r="I12" s="5" t="s">
        <v>304</v>
      </c>
      <c r="J12" s="86"/>
      <c r="K12" s="5"/>
      <c r="L12" s="96"/>
      <c r="M12" s="5"/>
      <c r="N12" s="5"/>
      <c r="O12" s="5"/>
      <c r="P12" s="5"/>
      <c r="Q12" s="86"/>
      <c r="R12" s="86"/>
      <c r="S12" s="86"/>
      <c r="T12" s="86"/>
      <c r="U12" s="86" t="s">
        <v>1855</v>
      </c>
      <c r="V12" s="86"/>
      <c r="W12" s="16" t="s">
        <v>1015</v>
      </c>
      <c r="X12" s="86" t="s">
        <v>1856</v>
      </c>
    </row>
  </sheetData>
  <dataValidations count="1">
    <dataValidation type="list" allowBlank="1" showErrorMessage="1" sqref="W3:W12" xr:uid="{4C9BC241-D1FD-4A9B-96DF-E39E39C0C599}">
      <formula1>"Open,Inprogress,Closed"</formula1>
    </dataValidation>
  </dataValidations>
  <hyperlinks>
    <hyperlink ref="D3" r:id="rId1" display="https://greatergiving.atlassian.net/browse/GGO-13939" xr:uid="{F75A1EDB-C892-4460-811B-5CE123755510}"/>
    <hyperlink ref="D4" r:id="rId2" display="https://greatergiving.atlassian.net/browse/GGO-13939" xr:uid="{AB7166F9-E592-462B-8655-30608ED95923}"/>
    <hyperlink ref="M4" r:id="rId3" xr:uid="{EDE051E3-86CF-4D34-816B-2F925990F8DF}"/>
    <hyperlink ref="D6" r:id="rId4" display="https://greatergiving.atlassian.net/browse/GGO-14062" xr:uid="{8AD39B0C-0038-4E4C-83E5-F339EB1E8372}"/>
    <hyperlink ref="D5" r:id="rId5" display="https://greatergiving.atlassian.net/browse/PAPI-716" xr:uid="{DED98A57-04E6-4A23-BDFD-A956556EE133}"/>
    <hyperlink ref="D7" r:id="rId6" display="https://greatergiving.atlassian.net/browse/GGO-13856" xr:uid="{F7B71F48-4F89-4140-A017-98D171D3596C}"/>
    <hyperlink ref="D8" r:id="rId7" display="https://greatergiving.atlassian.net/browse/GGO-13998" xr:uid="{C142F25D-3179-478E-A465-D6B7FE6CCA23}"/>
    <hyperlink ref="D9" r:id="rId8" display="https://greatergiving.atlassian.net/browse/GGO-14169" xr:uid="{25A3032B-C52E-436C-9A08-E5132B0B4A06}"/>
    <hyperlink ref="D10" r:id="rId9" display="https://greatergiving.atlassian.net/browse/PAPI-710" xr:uid="{150C95A7-E89B-4A68-94AA-C3F57CA681D8}"/>
    <hyperlink ref="D11" r:id="rId10" display="https://greatergiving.atlassian.net/browse/GGO-13947" xr:uid="{A1BCD8E4-8334-4268-85F8-E62E4C300C42}"/>
    <hyperlink ref="D12" r:id="rId11" display="https://greatergiving.atlassian.net/browse/GGO-14004" xr:uid="{43728519-B18D-42DA-AFDB-8BFF21A5C5C2}"/>
    <hyperlink ref="M3" r:id="rId12" xr:uid="{035A6905-57E1-4DAD-B9EE-84F686BB22B9}"/>
    <hyperlink ref="M11" r:id="rId13" xr:uid="{5E98CE33-030D-49D6-9987-B41BEBBB83F8}"/>
  </hyperlinks>
  <pageMargins left="0" right="0" top="0" bottom="0" header="0" footer="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A92A-9C3B-4E6F-89F5-580E57A697CA}">
  <sheetPr>
    <outlinePr summaryBelow="0" summaryRight="0"/>
  </sheetPr>
  <dimension ref="A1:K2"/>
  <sheetViews>
    <sheetView topLeftCell="B1" workbookViewId="0">
      <selection activeCell="F11" sqref="F11"/>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G2:G5" xr:uid="{DA7284B8-E09E-4877-9C4B-A63B8CA5A253}">
      <formula1>"Minor,Significant,Major"</formula1>
    </dataValidation>
    <dataValidation type="list" allowBlank="1" showErrorMessage="1" sqref="I2:I5" xr:uid="{D78231BD-8495-4D1D-BFC7-63747CD31809}">
      <formula1>"Open,Inprogress,Closed"</formula1>
    </dataValidation>
    <dataValidation type="list" allowBlank="1" showErrorMessage="1" sqref="E3:E5" xr:uid="{23816B75-758D-4859-9A98-663CF5547583}">
      <formula1>"Bounceback,Defect,None"</formula1>
    </dataValidation>
    <dataValidation type="list" allowBlank="1" showErrorMessage="1" sqref="H2:H5" xr:uid="{54E4C920-FE02-467D-BE01-C5F43DD5F5D1}">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98186C3-AF5B-4EA3-B83B-FCF7595B04C6}">
          <x14:formula1>
            <xm:f>Details!$A$2:$A$10</xm:f>
          </x14:formula1>
          <xm:sqref>J2:J5</xm:sqref>
        </x14:dataValidation>
      </x14:dataValidations>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3095-B264-44B6-9050-F3649E7D7AA7}">
  <sheetPr>
    <outlinePr summaryBelow="0" summaryRight="0"/>
  </sheetPr>
  <dimension ref="A2:X10"/>
  <sheetViews>
    <sheetView showGridLines="0" workbookViewId="0">
      <pane xSplit="5" ySplit="2" topLeftCell="T3" activePane="bottomRight" state="frozen"/>
      <selection pane="bottomRight" activeCell="U5" sqref="U5"/>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3.5" customHeight="1">
      <c r="A3" s="52">
        <v>1</v>
      </c>
      <c r="B3" s="2" t="s">
        <v>45</v>
      </c>
      <c r="C3" s="5" t="s">
        <v>230</v>
      </c>
      <c r="D3" s="72" t="s">
        <v>1857</v>
      </c>
      <c r="E3" s="16" t="s">
        <v>1858</v>
      </c>
      <c r="F3" s="16">
        <v>2</v>
      </c>
      <c r="G3" s="16">
        <v>2</v>
      </c>
      <c r="H3" s="16" t="s">
        <v>230</v>
      </c>
      <c r="I3" s="5" t="s">
        <v>304</v>
      </c>
      <c r="J3" s="32" t="s">
        <v>1577</v>
      </c>
      <c r="K3" s="31" t="s">
        <v>268</v>
      </c>
      <c r="L3" s="31" t="s">
        <v>1601</v>
      </c>
      <c r="M3" s="70" t="s">
        <v>1859</v>
      </c>
      <c r="N3" s="50">
        <v>45447</v>
      </c>
      <c r="O3" s="50">
        <v>45448</v>
      </c>
      <c r="P3" s="5" t="s">
        <v>231</v>
      </c>
      <c r="Q3" s="16" t="s">
        <v>1601</v>
      </c>
      <c r="R3" s="16" t="s">
        <v>1271</v>
      </c>
      <c r="S3" s="67">
        <v>45448</v>
      </c>
      <c r="T3" s="16" t="s">
        <v>1601</v>
      </c>
      <c r="U3" s="16" t="s">
        <v>409</v>
      </c>
      <c r="V3" s="16"/>
      <c r="W3" s="16" t="s">
        <v>557</v>
      </c>
      <c r="X3" s="79"/>
    </row>
    <row r="4" spans="1:24" ht="48">
      <c r="A4" s="44">
        <v>2</v>
      </c>
      <c r="B4" s="2" t="s">
        <v>45</v>
      </c>
      <c r="C4" s="5" t="s">
        <v>230</v>
      </c>
      <c r="D4" s="80" t="s">
        <v>1860</v>
      </c>
      <c r="E4" s="78" t="s">
        <v>1861</v>
      </c>
      <c r="F4" s="35">
        <v>2</v>
      </c>
      <c r="G4" s="35">
        <v>2</v>
      </c>
      <c r="H4" s="16" t="s">
        <v>230</v>
      </c>
      <c r="I4" s="5" t="s">
        <v>304</v>
      </c>
      <c r="J4" s="32" t="s">
        <v>1577</v>
      </c>
      <c r="K4" s="31" t="s">
        <v>268</v>
      </c>
      <c r="L4" s="31" t="s">
        <v>1601</v>
      </c>
      <c r="M4" s="70" t="s">
        <v>1862</v>
      </c>
      <c r="N4" s="50">
        <v>45443</v>
      </c>
      <c r="O4" s="71">
        <v>45444</v>
      </c>
      <c r="P4" s="5" t="s">
        <v>231</v>
      </c>
      <c r="Q4" s="16" t="s">
        <v>1601</v>
      </c>
      <c r="R4" s="16" t="s">
        <v>1271</v>
      </c>
      <c r="S4" s="67">
        <v>45444</v>
      </c>
      <c r="T4" s="16" t="s">
        <v>1601</v>
      </c>
      <c r="U4" s="16" t="s">
        <v>409</v>
      </c>
      <c r="V4" s="16"/>
      <c r="W4" s="16" t="s">
        <v>557</v>
      </c>
      <c r="X4" s="79"/>
    </row>
    <row r="5" spans="1:24" ht="60">
      <c r="A5" s="16">
        <v>3</v>
      </c>
      <c r="B5" s="2" t="s">
        <v>45</v>
      </c>
      <c r="C5" s="5" t="s">
        <v>230</v>
      </c>
      <c r="D5" s="72" t="s">
        <v>1863</v>
      </c>
      <c r="E5" s="16" t="s">
        <v>1864</v>
      </c>
      <c r="F5" s="16">
        <v>5</v>
      </c>
      <c r="G5" s="16">
        <v>4</v>
      </c>
      <c r="H5" s="16" t="s">
        <v>230</v>
      </c>
      <c r="I5" s="5"/>
      <c r="J5" s="16"/>
      <c r="K5" s="31"/>
      <c r="L5" s="31"/>
      <c r="M5" s="63"/>
      <c r="N5" s="68"/>
      <c r="O5" s="68"/>
      <c r="P5" s="5"/>
      <c r="Q5" s="16"/>
      <c r="R5" s="83"/>
      <c r="S5" s="67"/>
      <c r="T5" s="16"/>
      <c r="U5" s="16" t="s">
        <v>1865</v>
      </c>
      <c r="V5" s="16"/>
      <c r="W5" s="16" t="s">
        <v>557</v>
      </c>
      <c r="X5" s="16" t="s">
        <v>1866</v>
      </c>
    </row>
    <row r="6" spans="1:24" ht="48">
      <c r="A6" s="16">
        <v>4</v>
      </c>
      <c r="B6" s="2" t="s">
        <v>45</v>
      </c>
      <c r="C6" s="5" t="s">
        <v>268</v>
      </c>
      <c r="D6" s="72" t="s">
        <v>1867</v>
      </c>
      <c r="E6" s="16" t="s">
        <v>1864</v>
      </c>
      <c r="F6" s="16">
        <v>3</v>
      </c>
      <c r="G6" s="16">
        <v>2</v>
      </c>
      <c r="H6" s="16" t="s">
        <v>268</v>
      </c>
      <c r="I6" s="5" t="s">
        <v>304</v>
      </c>
      <c r="J6" s="16"/>
      <c r="K6" s="5" t="s">
        <v>735</v>
      </c>
      <c r="L6" s="88" t="s">
        <v>1601</v>
      </c>
      <c r="M6" s="70" t="s">
        <v>1868</v>
      </c>
      <c r="N6" s="85">
        <v>45571</v>
      </c>
      <c r="O6" s="85">
        <v>45632</v>
      </c>
      <c r="P6" s="5" t="s">
        <v>231</v>
      </c>
      <c r="Q6" s="16"/>
      <c r="R6" s="16" t="s">
        <v>1161</v>
      </c>
      <c r="S6" s="16"/>
      <c r="T6" s="16"/>
      <c r="U6" s="16" t="s">
        <v>1869</v>
      </c>
      <c r="V6" s="16"/>
      <c r="W6" s="16" t="s">
        <v>557</v>
      </c>
      <c r="X6" s="16" t="s">
        <v>1866</v>
      </c>
    </row>
    <row r="7" spans="1:24" ht="60" customHeight="1">
      <c r="A7" s="87">
        <v>5</v>
      </c>
      <c r="B7" s="2" t="s">
        <v>45</v>
      </c>
      <c r="C7" s="88" t="s">
        <v>268</v>
      </c>
      <c r="D7" s="72" t="s">
        <v>1870</v>
      </c>
      <c r="E7" s="16" t="s">
        <v>1871</v>
      </c>
      <c r="F7" s="87">
        <v>3</v>
      </c>
      <c r="G7" s="87">
        <v>3</v>
      </c>
      <c r="H7" s="87" t="s">
        <v>268</v>
      </c>
      <c r="I7" s="88" t="s">
        <v>304</v>
      </c>
      <c r="J7" s="87"/>
      <c r="K7" s="90" t="s">
        <v>231</v>
      </c>
      <c r="L7" s="89" t="s">
        <v>1872</v>
      </c>
      <c r="M7" s="91" t="s">
        <v>1873</v>
      </c>
      <c r="N7" s="92">
        <v>45388</v>
      </c>
      <c r="O7" s="92">
        <v>45388</v>
      </c>
      <c r="P7" s="88" t="s">
        <v>231</v>
      </c>
      <c r="Q7" s="87" t="s">
        <v>1601</v>
      </c>
      <c r="R7" s="16" t="s">
        <v>1161</v>
      </c>
      <c r="S7" s="93">
        <v>45388</v>
      </c>
      <c r="T7" s="87" t="s">
        <v>1601</v>
      </c>
      <c r="U7" s="87" t="s">
        <v>1874</v>
      </c>
      <c r="V7" s="87"/>
      <c r="W7" s="87" t="s">
        <v>557</v>
      </c>
      <c r="X7" s="87"/>
    </row>
    <row r="8" spans="1:24" s="86" customFormat="1" ht="23.25">
      <c r="A8" s="86">
        <v>6</v>
      </c>
      <c r="B8" s="2" t="s">
        <v>45</v>
      </c>
      <c r="C8" s="5" t="s">
        <v>284</v>
      </c>
      <c r="D8" s="72" t="s">
        <v>1875</v>
      </c>
      <c r="E8" s="16" t="s">
        <v>1876</v>
      </c>
      <c r="F8" s="16">
        <v>1</v>
      </c>
      <c r="G8" s="16">
        <v>1</v>
      </c>
      <c r="H8" s="86" t="s">
        <v>93</v>
      </c>
      <c r="I8" s="5" t="s">
        <v>304</v>
      </c>
      <c r="J8" s="32" t="s">
        <v>1577</v>
      </c>
      <c r="K8" s="31" t="s">
        <v>93</v>
      </c>
      <c r="L8" s="31" t="s">
        <v>1601</v>
      </c>
      <c r="M8" s="70" t="s">
        <v>93</v>
      </c>
      <c r="N8" s="50" t="s">
        <v>93</v>
      </c>
      <c r="O8" s="5" t="s">
        <v>93</v>
      </c>
      <c r="P8" s="5" t="s">
        <v>93</v>
      </c>
      <c r="Q8" s="16" t="s">
        <v>93</v>
      </c>
      <c r="R8" s="16" t="s">
        <v>93</v>
      </c>
      <c r="S8" s="16" t="s">
        <v>93</v>
      </c>
      <c r="T8" s="16" t="s">
        <v>93</v>
      </c>
      <c r="U8" s="16" t="s">
        <v>93</v>
      </c>
      <c r="V8" s="16" t="s">
        <v>93</v>
      </c>
      <c r="W8" s="87" t="s">
        <v>557</v>
      </c>
    </row>
    <row r="9" spans="1:24" s="86" customFormat="1" ht="23.25">
      <c r="A9" s="86">
        <v>7</v>
      </c>
      <c r="B9" s="2" t="s">
        <v>45</v>
      </c>
      <c r="C9" s="5" t="s">
        <v>284</v>
      </c>
      <c r="D9" s="72" t="s">
        <v>1838</v>
      </c>
      <c r="E9" s="16" t="s">
        <v>1839</v>
      </c>
      <c r="F9" s="16">
        <v>2</v>
      </c>
      <c r="G9" s="16">
        <v>1</v>
      </c>
      <c r="H9" s="16" t="s">
        <v>93</v>
      </c>
      <c r="I9" s="5" t="s">
        <v>304</v>
      </c>
      <c r="J9" s="32" t="s">
        <v>1577</v>
      </c>
      <c r="K9" s="31" t="s">
        <v>93</v>
      </c>
      <c r="L9" s="31" t="s">
        <v>1601</v>
      </c>
      <c r="M9" s="70" t="s">
        <v>93</v>
      </c>
      <c r="N9" s="50" t="s">
        <v>93</v>
      </c>
      <c r="O9" s="5" t="s">
        <v>93</v>
      </c>
      <c r="P9" s="5" t="s">
        <v>93</v>
      </c>
      <c r="Q9" s="16" t="s">
        <v>93</v>
      </c>
      <c r="R9" s="16" t="s">
        <v>93</v>
      </c>
      <c r="S9" s="16" t="s">
        <v>93</v>
      </c>
      <c r="T9" s="16" t="s">
        <v>93</v>
      </c>
      <c r="U9" s="16" t="s">
        <v>93</v>
      </c>
      <c r="V9" s="16" t="s">
        <v>93</v>
      </c>
      <c r="W9" s="16" t="s">
        <v>1015</v>
      </c>
      <c r="X9" s="16" t="s">
        <v>1877</v>
      </c>
    </row>
    <row r="10" spans="1:24" s="86" customFormat="1" ht="23.25">
      <c r="A10" s="86">
        <v>8</v>
      </c>
      <c r="B10" s="2" t="s">
        <v>45</v>
      </c>
      <c r="C10" s="5" t="s">
        <v>284</v>
      </c>
      <c r="D10" s="72" t="s">
        <v>1840</v>
      </c>
      <c r="E10" s="16" t="s">
        <v>1841</v>
      </c>
      <c r="F10" s="16">
        <v>2</v>
      </c>
      <c r="G10" s="16">
        <v>1</v>
      </c>
      <c r="H10" s="16" t="s">
        <v>93</v>
      </c>
      <c r="I10" s="5" t="s">
        <v>304</v>
      </c>
      <c r="J10" s="32" t="s">
        <v>1577</v>
      </c>
      <c r="K10" s="31" t="s">
        <v>93</v>
      </c>
      <c r="L10" s="31" t="s">
        <v>1601</v>
      </c>
      <c r="M10" s="70" t="s">
        <v>93</v>
      </c>
      <c r="N10" s="50" t="s">
        <v>93</v>
      </c>
      <c r="O10" s="5" t="s">
        <v>93</v>
      </c>
      <c r="P10" s="5" t="s">
        <v>93</v>
      </c>
      <c r="Q10" s="16" t="s">
        <v>93</v>
      </c>
      <c r="R10" s="16" t="s">
        <v>93</v>
      </c>
      <c r="S10" s="16" t="s">
        <v>93</v>
      </c>
      <c r="T10" s="16" t="s">
        <v>93</v>
      </c>
      <c r="U10" s="16" t="s">
        <v>93</v>
      </c>
      <c r="V10" s="16" t="s">
        <v>93</v>
      </c>
      <c r="W10" s="16" t="s">
        <v>1015</v>
      </c>
      <c r="X10" s="16" t="s">
        <v>1877</v>
      </c>
    </row>
  </sheetData>
  <dataValidations count="1">
    <dataValidation type="list" allowBlank="1" showErrorMessage="1" sqref="W3:W6" xr:uid="{17712662-DC92-4C36-8E4F-6792941776FC}">
      <formula1>"Open,Inprogress,Closed"</formula1>
    </dataValidation>
  </dataValidations>
  <hyperlinks>
    <hyperlink ref="D4" r:id="rId1" display="https://greatergiving.atlassian.net/browse/GGO-13948" xr:uid="{9853FE5E-BC18-4F26-A7FD-5FBC01D7EA22}"/>
    <hyperlink ref="D3" r:id="rId2" display="https://greatergiving.atlassian.net/browse/GGO-13981" xr:uid="{F1EFD592-48D8-4657-899C-54783D266C87}"/>
    <hyperlink ref="D5" r:id="rId3" display="https://greatergiving.atlassian.net/browse/GGO-13939" xr:uid="{FEB6FE90-EDD7-48FC-A723-B4B41780FA52}"/>
    <hyperlink ref="M3" r:id="rId4" xr:uid="{868BAA90-FE10-4644-A9AB-D35DAAD9EE7D}"/>
    <hyperlink ref="M4" r:id="rId5" xr:uid="{E229D58F-3627-463C-840A-8C8393F6EAA9}"/>
    <hyperlink ref="D6" r:id="rId6" display="https://greatergiving.atlassian.net/browse/GGO-13939" xr:uid="{1F1019E1-9475-4C65-B0B4-0E5A9FF0402E}"/>
    <hyperlink ref="M6" r:id="rId7" xr:uid="{B53CCA93-6D96-4ECD-9FE6-3E763B5AE377}"/>
    <hyperlink ref="D10" r:id="rId8" display="https://greatergiving.atlassian.net/browse/GGO-14062" xr:uid="{1077766E-C52A-4AF9-AD8A-73D52C977C49}"/>
    <hyperlink ref="D7" r:id="rId9" display="https://greatergiving.atlassian.net/browse/GGO-13939" xr:uid="{2A461421-77F5-420B-A23B-8FA3AABC9DDD}"/>
    <hyperlink ref="D9" r:id="rId10" display="https://greatergiving.atlassian.net/browse/PAPI-716" xr:uid="{7C04D5F6-0EFA-465E-9A4A-13673F6B8B8E}"/>
    <hyperlink ref="M7" r:id="rId11" xr:uid="{AA394E14-D309-4251-941D-C378D7255339}"/>
    <hyperlink ref="D8" r:id="rId12" display="https://greatergiving.atlassian.net/browse/PAPI-713" xr:uid="{FF4D0AE6-6DD3-4828-8F1E-AE4E142B6CB7}"/>
  </hyperlinks>
  <pageMargins left="0" right="0" top="0" bottom="0" header="0" footer="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5BB0B-84EC-47CA-BC2A-04A2D8DBE37D}">
  <sheetPr>
    <outlinePr summaryBelow="0" summaryRight="0"/>
  </sheetPr>
  <dimension ref="A2:X9"/>
  <sheetViews>
    <sheetView showGridLines="0" workbookViewId="0">
      <pane xSplit="5" ySplit="2" topLeftCell="F3" activePane="bottomRight" state="frozen"/>
      <selection pane="bottomRight" activeCell="B2" sqref="B2"/>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3.5" customHeight="1">
      <c r="A3" s="52">
        <v>1</v>
      </c>
      <c r="B3" s="2" t="s">
        <v>43</v>
      </c>
      <c r="C3" s="5" t="s">
        <v>1590</v>
      </c>
      <c r="D3" s="72" t="s">
        <v>1878</v>
      </c>
      <c r="E3" s="16" t="s">
        <v>1879</v>
      </c>
      <c r="F3" s="16">
        <v>5</v>
      </c>
      <c r="G3" s="16">
        <v>5</v>
      </c>
      <c r="H3" s="16" t="s">
        <v>230</v>
      </c>
      <c r="I3" s="5"/>
      <c r="J3" s="32"/>
      <c r="K3" s="31" t="s">
        <v>268</v>
      </c>
      <c r="L3" s="31"/>
      <c r="M3" s="70" t="s">
        <v>1880</v>
      </c>
      <c r="N3" s="50">
        <v>45436</v>
      </c>
      <c r="O3" s="5"/>
      <c r="P3" s="5"/>
      <c r="Q3" s="16"/>
      <c r="R3" s="16"/>
      <c r="S3" s="16"/>
      <c r="T3" s="16"/>
      <c r="U3" s="16"/>
      <c r="V3" s="16"/>
      <c r="W3" s="16" t="s">
        <v>557</v>
      </c>
      <c r="X3" s="79" t="s">
        <v>1881</v>
      </c>
    </row>
    <row r="4" spans="1:24" ht="46.5">
      <c r="A4" s="44">
        <v>2</v>
      </c>
      <c r="B4" s="2" t="s">
        <v>43</v>
      </c>
      <c r="C4" s="5" t="s">
        <v>230</v>
      </c>
      <c r="D4" s="80" t="s">
        <v>1882</v>
      </c>
      <c r="E4" s="78" t="s">
        <v>1883</v>
      </c>
      <c r="F4" s="35">
        <v>2</v>
      </c>
      <c r="G4" s="35">
        <v>2</v>
      </c>
      <c r="H4" s="16" t="s">
        <v>230</v>
      </c>
      <c r="I4" s="5"/>
      <c r="J4" s="32"/>
      <c r="K4" s="31"/>
      <c r="L4" s="31"/>
      <c r="M4" s="70" t="s">
        <v>1884</v>
      </c>
      <c r="N4" s="50">
        <v>45440</v>
      </c>
      <c r="O4" s="71"/>
      <c r="P4" s="5"/>
      <c r="Q4" s="16"/>
      <c r="R4" s="16"/>
      <c r="S4" s="67"/>
      <c r="T4" s="16"/>
      <c r="U4" s="16"/>
      <c r="V4" s="16"/>
      <c r="W4" s="16" t="s">
        <v>557</v>
      </c>
      <c r="X4" s="79"/>
    </row>
    <row r="5" spans="1:24" ht="23.25">
      <c r="A5" s="16">
        <v>3</v>
      </c>
      <c r="B5" s="2" t="s">
        <v>43</v>
      </c>
      <c r="C5" s="5" t="s">
        <v>231</v>
      </c>
      <c r="D5" s="72" t="s">
        <v>1885</v>
      </c>
      <c r="E5" s="16" t="s">
        <v>1886</v>
      </c>
      <c r="F5" s="16">
        <v>1</v>
      </c>
      <c r="G5" s="16">
        <v>1</v>
      </c>
      <c r="H5" s="16" t="s">
        <v>231</v>
      </c>
      <c r="I5" s="5"/>
      <c r="J5" s="16"/>
      <c r="K5" s="31"/>
      <c r="L5" s="31"/>
      <c r="M5" s="63"/>
      <c r="N5" s="68"/>
      <c r="O5" s="68"/>
      <c r="P5" s="5"/>
      <c r="Q5" s="16"/>
      <c r="R5" s="83"/>
      <c r="S5" s="67"/>
      <c r="T5" s="16"/>
      <c r="U5" s="16"/>
      <c r="V5" s="16"/>
      <c r="W5" s="16" t="s">
        <v>557</v>
      </c>
      <c r="X5" s="16"/>
    </row>
    <row r="6" spans="1:24">
      <c r="A6" s="16">
        <v>4</v>
      </c>
      <c r="B6" s="2" t="s">
        <v>43</v>
      </c>
      <c r="C6" s="5" t="s">
        <v>284</v>
      </c>
      <c r="D6" s="72" t="s">
        <v>1887</v>
      </c>
      <c r="E6" s="16" t="s">
        <v>1888</v>
      </c>
      <c r="F6" s="16">
        <v>2</v>
      </c>
      <c r="G6" s="16">
        <v>2</v>
      </c>
      <c r="H6" s="16" t="s">
        <v>268</v>
      </c>
      <c r="I6" s="5" t="s">
        <v>304</v>
      </c>
      <c r="J6" s="32" t="s">
        <v>1577</v>
      </c>
      <c r="K6" s="31" t="s">
        <v>93</v>
      </c>
      <c r="L6" s="31" t="s">
        <v>1601</v>
      </c>
      <c r="M6" s="70" t="s">
        <v>93</v>
      </c>
      <c r="N6" s="50" t="s">
        <v>93</v>
      </c>
      <c r="O6" s="5" t="s">
        <v>93</v>
      </c>
      <c r="P6" s="5" t="s">
        <v>93</v>
      </c>
      <c r="Q6" s="16" t="s">
        <v>93</v>
      </c>
      <c r="R6" s="16" t="s">
        <v>93</v>
      </c>
      <c r="S6" s="16" t="s">
        <v>93</v>
      </c>
      <c r="T6" s="16" t="s">
        <v>93</v>
      </c>
      <c r="U6" s="16" t="s">
        <v>93</v>
      </c>
      <c r="V6" s="16" t="s">
        <v>93</v>
      </c>
      <c r="W6" s="16" t="s">
        <v>557</v>
      </c>
      <c r="X6" s="16"/>
    </row>
    <row r="7" spans="1:24" ht="48">
      <c r="A7" s="16">
        <v>5</v>
      </c>
      <c r="B7" s="2" t="s">
        <v>43</v>
      </c>
      <c r="C7" s="5" t="s">
        <v>268</v>
      </c>
      <c r="D7" s="72" t="s">
        <v>1889</v>
      </c>
      <c r="E7" s="16" t="s">
        <v>1890</v>
      </c>
      <c r="F7" s="16">
        <v>3</v>
      </c>
      <c r="G7" s="16"/>
      <c r="H7" s="16"/>
      <c r="I7" s="5"/>
      <c r="J7" s="16"/>
      <c r="K7" s="5"/>
      <c r="L7" s="5" t="s">
        <v>93</v>
      </c>
      <c r="M7" s="5" t="s">
        <v>93</v>
      </c>
      <c r="N7" s="5" t="s">
        <v>93</v>
      </c>
      <c r="O7" s="5" t="s">
        <v>93</v>
      </c>
      <c r="P7" s="5"/>
      <c r="Q7" s="16"/>
      <c r="R7" s="16"/>
      <c r="S7" s="16"/>
      <c r="T7" s="16"/>
      <c r="U7" s="16"/>
      <c r="V7" s="16"/>
      <c r="W7" s="16" t="s">
        <v>557</v>
      </c>
      <c r="X7" s="16" t="s">
        <v>1891</v>
      </c>
    </row>
    <row r="8" spans="1:24" ht="39" customHeight="1">
      <c r="A8" s="16">
        <v>6</v>
      </c>
      <c r="B8" s="2" t="s">
        <v>43</v>
      </c>
      <c r="C8" s="5" t="s">
        <v>284</v>
      </c>
      <c r="D8" s="72" t="s">
        <v>1892</v>
      </c>
      <c r="E8" s="16" t="s">
        <v>1893</v>
      </c>
      <c r="F8" s="16">
        <v>1</v>
      </c>
      <c r="G8" s="16">
        <v>1</v>
      </c>
      <c r="H8" s="16" t="s">
        <v>93</v>
      </c>
      <c r="I8" s="5" t="s">
        <v>304</v>
      </c>
      <c r="J8" s="32" t="s">
        <v>1577</v>
      </c>
      <c r="K8" s="31" t="s">
        <v>93</v>
      </c>
      <c r="L8" s="31" t="s">
        <v>1601</v>
      </c>
      <c r="M8" s="70" t="s">
        <v>93</v>
      </c>
      <c r="N8" s="50" t="s">
        <v>93</v>
      </c>
      <c r="O8" s="5" t="s">
        <v>93</v>
      </c>
      <c r="P8" s="5" t="s">
        <v>93</v>
      </c>
      <c r="Q8" s="16" t="s">
        <v>93</v>
      </c>
      <c r="R8" s="16" t="s">
        <v>93</v>
      </c>
      <c r="S8" s="16" t="s">
        <v>93</v>
      </c>
      <c r="T8" s="16" t="s">
        <v>93</v>
      </c>
      <c r="U8" s="16" t="s">
        <v>93</v>
      </c>
      <c r="V8" s="16" t="s">
        <v>93</v>
      </c>
      <c r="W8" s="16" t="s">
        <v>1015</v>
      </c>
      <c r="X8" s="16" t="s">
        <v>1894</v>
      </c>
    </row>
    <row r="9" spans="1:24" ht="48">
      <c r="A9" s="16">
        <v>7</v>
      </c>
      <c r="B9" s="16" t="s">
        <v>43</v>
      </c>
      <c r="C9" s="5" t="s">
        <v>268</v>
      </c>
      <c r="D9" s="72" t="s">
        <v>1895</v>
      </c>
      <c r="E9" s="84" t="s">
        <v>1896</v>
      </c>
      <c r="F9" s="16">
        <v>1</v>
      </c>
      <c r="G9" s="16">
        <v>1</v>
      </c>
      <c r="H9" s="16" t="s">
        <v>93</v>
      </c>
      <c r="I9" s="5" t="s">
        <v>93</v>
      </c>
      <c r="J9" s="16" t="s">
        <v>93</v>
      </c>
      <c r="K9" s="5" t="s">
        <v>93</v>
      </c>
      <c r="L9" s="5" t="s">
        <v>1601</v>
      </c>
      <c r="M9" s="70" t="s">
        <v>1897</v>
      </c>
      <c r="N9" s="71">
        <v>45432</v>
      </c>
      <c r="O9" s="71">
        <v>45433</v>
      </c>
      <c r="P9" s="5" t="s">
        <v>231</v>
      </c>
      <c r="Q9" s="16" t="s">
        <v>1577</v>
      </c>
      <c r="R9" s="16" t="s">
        <v>306</v>
      </c>
      <c r="S9" s="67">
        <v>45433</v>
      </c>
      <c r="T9" s="83" t="s">
        <v>1898</v>
      </c>
      <c r="U9" s="16" t="s">
        <v>1577</v>
      </c>
      <c r="V9" s="16" t="s">
        <v>1577</v>
      </c>
      <c r="W9" s="16" t="s">
        <v>557</v>
      </c>
      <c r="X9" s="16"/>
    </row>
  </sheetData>
  <dataValidations count="1">
    <dataValidation type="list" allowBlank="1" showErrorMessage="1" sqref="W3:W7" xr:uid="{4A25F8EE-280B-40E2-9570-FE1C14BBC47B}">
      <formula1>"Open,Inprogress,Closed"</formula1>
    </dataValidation>
  </dataValidations>
  <hyperlinks>
    <hyperlink ref="D4" r:id="rId1" display="https://greatergiving.atlassian.net/browse/GGO-13948" xr:uid="{98687DB3-8285-407E-A4D9-0DECDCADC2BE}"/>
    <hyperlink ref="D3" r:id="rId2" display="https://greatergiving.atlassian.net/browse/GGO-13981" xr:uid="{9B73E304-67C1-4219-B0F2-805A1C9BAD67}"/>
    <hyperlink ref="D5" r:id="rId3" display="https://greatergiving.atlassian.net/browse/GGO-13939" xr:uid="{4278E63C-4933-47B9-B1E3-B9FA16F4E244}"/>
    <hyperlink ref="M3" r:id="rId4" xr:uid="{7FFE3749-7946-489C-8A95-7334CB12D305}"/>
    <hyperlink ref="M4" r:id="rId5" xr:uid="{EB856035-668C-4ED8-9AB6-D8199E4D546F}"/>
    <hyperlink ref="D8" r:id="rId6" display="https://greatergiving.atlassian.net/browse/GGO-14005" xr:uid="{7A3D806B-7550-4176-AE41-F9CC09C77D3A}"/>
    <hyperlink ref="D9" r:id="rId7" display="https://greatergiving.atlassian.net/browse/GGO-14005" xr:uid="{F81CF1BD-E05F-46CB-B8EC-1090480696EE}"/>
    <hyperlink ref="M9" r:id="rId8" xr:uid="{B4373841-D8D7-4153-B645-0CCDF5A9B687}"/>
  </hyperlinks>
  <pageMargins left="0" right="0" top="0" bottom="0" header="0" footer="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0A1C5-014F-44B0-8FE2-5FFF7295A8BD}">
  <sheetPr>
    <outlinePr summaryBelow="0" summaryRight="0"/>
  </sheetPr>
  <dimension ref="A1:K2"/>
  <sheetViews>
    <sheetView topLeftCell="B1" workbookViewId="0"/>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H2:H5" xr:uid="{9D0C07B1-9CB1-408E-8F0A-45DA7F98ECDC}">
      <formula1>"Internal,External"</formula1>
    </dataValidation>
    <dataValidation type="list" allowBlank="1" showErrorMessage="1" sqref="E3:E5" xr:uid="{1AA3B31B-C804-4554-A75E-3B407E4F4425}">
      <formula1>"Bounceback,Defect,None"</formula1>
    </dataValidation>
    <dataValidation type="list" allowBlank="1" showErrorMessage="1" sqref="I2:I5" xr:uid="{82037857-673C-4C2F-9BFE-D6BB9C18666B}">
      <formula1>"Open,Inprogress,Closed"</formula1>
    </dataValidation>
    <dataValidation type="list" allowBlank="1" showErrorMessage="1" sqref="G2:G5" xr:uid="{960A1756-0840-4146-989E-2629A23FE17B}">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88E685E-6A4F-4ED1-A804-4B868156A0D6}">
          <x14:formula1>
            <xm:f>Details!$A$2:$A$10</xm:f>
          </x14:formula1>
          <xm:sqref>J2:J5</xm:sqref>
        </x14:dataValidation>
      </x14:dataValidations>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C060-4C36-48F3-AF70-25E7C2DC4DC5}">
  <sheetPr>
    <outlinePr summaryBelow="0" summaryRight="0"/>
  </sheetPr>
  <dimension ref="A1:K2"/>
  <sheetViews>
    <sheetView topLeftCell="B1" workbookViewId="0">
      <selection activeCell="C1" sqref="C1"/>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bestFit="1"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69"/>
      <c r="G2" s="12"/>
      <c r="H2" s="12"/>
      <c r="I2" s="12"/>
      <c r="J2" s="12"/>
      <c r="K2" s="12"/>
    </row>
  </sheetData>
  <mergeCells count="1">
    <mergeCell ref="B2:E2"/>
  </mergeCells>
  <dataValidations count="4">
    <dataValidation type="list" allowBlank="1" showErrorMessage="1" sqref="G2:G5" xr:uid="{C25DB35A-3BF6-4ED6-A0E2-9F9245451EB6}">
      <formula1>"Minor,Significant,Major"</formula1>
    </dataValidation>
    <dataValidation type="list" allowBlank="1" showErrorMessage="1" sqref="I2:I5" xr:uid="{DC4F3D0D-7D53-4D98-BF7A-EC379DDAACD3}">
      <formula1>"Open,Inprogress,Closed"</formula1>
    </dataValidation>
    <dataValidation type="list" allowBlank="1" showErrorMessage="1" sqref="E3:E5" xr:uid="{26D41AE6-FAB9-41F9-A21C-873E34AB08C7}">
      <formula1>"Bounceback,Defect,None"</formula1>
    </dataValidation>
    <dataValidation type="list" allowBlank="1" showErrorMessage="1" sqref="H2:H5" xr:uid="{AAE43E11-C91C-40E2-963D-0E74E700CC7E}">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2C723E5D-3DA5-4986-9234-50ABAF922773}">
          <x14:formula1>
            <xm:f>Details!$A$2:$A$10</xm:f>
          </x14:formula1>
          <xm:sqref>J2:J5</xm:sqref>
        </x14:dataValidation>
      </x14:dataValidations>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83247-47FD-461F-B6A8-9CD37D763ECC}">
  <sheetPr>
    <outlinePr summaryBelow="0" summaryRight="0"/>
  </sheetPr>
  <dimension ref="A2:X7"/>
  <sheetViews>
    <sheetView showGridLines="0" workbookViewId="0">
      <pane xSplit="5" ySplit="2" topLeftCell="W7" activePane="bottomRight" state="frozen"/>
      <selection pane="bottomRight" activeCell="W7" sqref="W7"/>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3.5" customHeight="1">
      <c r="A3" s="52">
        <v>1</v>
      </c>
      <c r="B3" s="2" t="s">
        <v>41</v>
      </c>
      <c r="C3" s="5" t="s">
        <v>231</v>
      </c>
      <c r="D3" s="72" t="s">
        <v>1899</v>
      </c>
      <c r="E3" s="16" t="s">
        <v>1900</v>
      </c>
      <c r="F3" s="16">
        <v>1</v>
      </c>
      <c r="G3" s="16">
        <v>1</v>
      </c>
      <c r="H3" s="16" t="s">
        <v>231</v>
      </c>
      <c r="I3" s="5" t="s">
        <v>304</v>
      </c>
      <c r="J3" s="32" t="s">
        <v>1577</v>
      </c>
      <c r="K3" s="31" t="s">
        <v>230</v>
      </c>
      <c r="L3" s="31" t="s">
        <v>1601</v>
      </c>
      <c r="M3" s="70" t="s">
        <v>1901</v>
      </c>
      <c r="N3" s="50"/>
      <c r="O3" s="5"/>
      <c r="P3" s="5"/>
      <c r="Q3" s="16"/>
      <c r="R3" s="16"/>
      <c r="S3" s="16"/>
      <c r="T3" s="16"/>
      <c r="U3" s="16"/>
      <c r="V3" s="16"/>
      <c r="W3" s="16" t="s">
        <v>557</v>
      </c>
      <c r="X3" s="79"/>
    </row>
    <row r="4" spans="1:24" ht="46.5">
      <c r="A4" s="44">
        <v>2</v>
      </c>
      <c r="B4" s="2" t="s">
        <v>41</v>
      </c>
      <c r="C4" s="5" t="s">
        <v>230</v>
      </c>
      <c r="D4" s="80" t="s">
        <v>1902</v>
      </c>
      <c r="E4" s="78" t="s">
        <v>1903</v>
      </c>
      <c r="F4" s="35">
        <v>2</v>
      </c>
      <c r="G4" s="35">
        <v>2</v>
      </c>
      <c r="H4" s="16" t="s">
        <v>230</v>
      </c>
      <c r="I4" s="5" t="s">
        <v>304</v>
      </c>
      <c r="J4" s="32" t="s">
        <v>1577</v>
      </c>
      <c r="K4" s="31" t="s">
        <v>231</v>
      </c>
      <c r="L4" s="31" t="s">
        <v>1601</v>
      </c>
      <c r="M4" s="70" t="s">
        <v>1904</v>
      </c>
      <c r="N4" s="50">
        <v>45412</v>
      </c>
      <c r="O4" s="71">
        <v>45413</v>
      </c>
      <c r="P4" s="5" t="s">
        <v>231</v>
      </c>
      <c r="Q4" s="16" t="s">
        <v>93</v>
      </c>
      <c r="R4" s="16" t="s">
        <v>1271</v>
      </c>
      <c r="S4" s="67">
        <v>45413</v>
      </c>
      <c r="T4" s="16" t="s">
        <v>1577</v>
      </c>
      <c r="U4" s="16" t="s">
        <v>1577</v>
      </c>
      <c r="V4" s="16" t="s">
        <v>1577</v>
      </c>
      <c r="W4" s="16" t="s">
        <v>557</v>
      </c>
      <c r="X4" s="79"/>
    </row>
    <row r="5" spans="1:24" ht="46.5">
      <c r="A5" s="16">
        <v>3</v>
      </c>
      <c r="B5" s="2" t="s">
        <v>41</v>
      </c>
      <c r="C5" s="5" t="s">
        <v>268</v>
      </c>
      <c r="D5" s="72" t="s">
        <v>1905</v>
      </c>
      <c r="E5" s="16" t="s">
        <v>1906</v>
      </c>
      <c r="F5" s="16">
        <v>3</v>
      </c>
      <c r="G5" s="16">
        <v>2</v>
      </c>
      <c r="H5" s="16" t="s">
        <v>268</v>
      </c>
      <c r="I5" s="5" t="s">
        <v>304</v>
      </c>
      <c r="J5" s="16" t="s">
        <v>1577</v>
      </c>
      <c r="K5" s="31" t="s">
        <v>231</v>
      </c>
      <c r="L5" s="31" t="s">
        <v>1601</v>
      </c>
      <c r="M5" s="63" t="s">
        <v>1907</v>
      </c>
      <c r="N5" s="68">
        <v>45415</v>
      </c>
      <c r="O5" s="68">
        <v>45419</v>
      </c>
      <c r="P5" s="5" t="s">
        <v>231</v>
      </c>
      <c r="Q5" s="16" t="s">
        <v>93</v>
      </c>
      <c r="R5" s="83" t="s">
        <v>867</v>
      </c>
      <c r="S5" s="67">
        <v>45419</v>
      </c>
      <c r="T5" s="16" t="s">
        <v>1577</v>
      </c>
      <c r="U5" s="16" t="s">
        <v>1577</v>
      </c>
      <c r="V5" s="16" t="s">
        <v>1577</v>
      </c>
      <c r="W5" s="16" t="s">
        <v>1015</v>
      </c>
      <c r="X5" s="16" t="s">
        <v>1908</v>
      </c>
    </row>
    <row r="6" spans="1:24" ht="35.25">
      <c r="A6" s="16">
        <v>4</v>
      </c>
      <c r="B6" s="2" t="s">
        <v>41</v>
      </c>
      <c r="C6" s="5" t="s">
        <v>284</v>
      </c>
      <c r="D6" s="72" t="s">
        <v>1887</v>
      </c>
      <c r="E6" s="16" t="s">
        <v>1888</v>
      </c>
      <c r="F6" s="16">
        <v>3</v>
      </c>
      <c r="G6" s="16">
        <v>2</v>
      </c>
      <c r="H6" s="16" t="s">
        <v>268</v>
      </c>
      <c r="I6" s="5" t="s">
        <v>304</v>
      </c>
      <c r="J6" s="32" t="s">
        <v>1577</v>
      </c>
      <c r="K6" s="31" t="s">
        <v>93</v>
      </c>
      <c r="L6" s="31" t="s">
        <v>1601</v>
      </c>
      <c r="M6" s="70" t="s">
        <v>93</v>
      </c>
      <c r="N6" s="50" t="s">
        <v>93</v>
      </c>
      <c r="O6" s="5" t="s">
        <v>93</v>
      </c>
      <c r="P6" s="5" t="s">
        <v>93</v>
      </c>
      <c r="Q6" s="16" t="s">
        <v>93</v>
      </c>
      <c r="R6" s="16" t="s">
        <v>93</v>
      </c>
      <c r="S6" s="16" t="s">
        <v>93</v>
      </c>
      <c r="T6" s="16" t="s">
        <v>93</v>
      </c>
      <c r="U6" s="16" t="s">
        <v>93</v>
      </c>
      <c r="V6" s="16" t="s">
        <v>93</v>
      </c>
      <c r="W6" s="16" t="s">
        <v>1015</v>
      </c>
      <c r="X6" s="16" t="s">
        <v>1909</v>
      </c>
    </row>
    <row r="7" spans="1:24" ht="23.25">
      <c r="A7" s="16">
        <v>5</v>
      </c>
      <c r="B7" s="2" t="s">
        <v>41</v>
      </c>
      <c r="C7" s="5" t="s">
        <v>231</v>
      </c>
      <c r="D7" s="72" t="s">
        <v>1910</v>
      </c>
      <c r="E7" s="16" t="s">
        <v>1911</v>
      </c>
      <c r="F7" s="16">
        <v>5</v>
      </c>
      <c r="G7" s="16">
        <v>3</v>
      </c>
      <c r="H7" s="16"/>
      <c r="I7" s="5"/>
      <c r="J7" s="16"/>
      <c r="K7" s="5"/>
      <c r="L7" s="5"/>
      <c r="M7" s="5"/>
      <c r="N7" s="5"/>
      <c r="O7" s="5"/>
      <c r="P7" s="5"/>
      <c r="Q7" s="16"/>
      <c r="R7" s="16"/>
      <c r="S7" s="16"/>
      <c r="T7" s="16"/>
      <c r="U7" s="16"/>
      <c r="V7" s="16"/>
      <c r="W7" s="16" t="s">
        <v>1015</v>
      </c>
      <c r="X7" s="16" t="s">
        <v>1912</v>
      </c>
    </row>
  </sheetData>
  <dataValidations count="1">
    <dataValidation type="list" allowBlank="1" showErrorMessage="1" sqref="W3:W7" xr:uid="{FBC98143-FFDD-4AF3-93AD-CBC5AF42AC27}">
      <formula1>"Open,Inprogress,Closed"</formula1>
    </dataValidation>
  </dataValidations>
  <hyperlinks>
    <hyperlink ref="D4" r:id="rId1" display="https://greatergiving.atlassian.net/browse/GGO-13948" xr:uid="{4FDF6BCA-D197-4924-A476-9510F353B6A1}"/>
    <hyperlink ref="D3" r:id="rId2" display="https://greatergiving.atlassian.net/browse/GGO-13981" xr:uid="{51759947-2BD5-4923-BDCF-F406D1763DCA}"/>
    <hyperlink ref="M3" r:id="rId3" xr:uid="{130450AC-FAB9-40BC-962D-AAFBAAAAB870}"/>
    <hyperlink ref="M4" r:id="rId4" xr:uid="{4AEE16DF-2916-4865-ACC6-74C8EE5F226D}"/>
    <hyperlink ref="D5" r:id="rId5" display="https://greatergiving.atlassian.net/browse/GGO-13939" xr:uid="{B192346D-F4C0-4C13-8071-41C5542DF2C2}"/>
    <hyperlink ref="D6" r:id="rId6" display="https://greatergiving.atlassian.net/browse/GGO-13985" xr:uid="{90DF2214-E737-4D69-B62E-D1E79F24571D}"/>
    <hyperlink ref="D7" r:id="rId7" display="https://greatergiving.atlassian.net/browse/GGO-13983" xr:uid="{929D49C2-4088-46EC-BB82-65C27029F1D1}"/>
    <hyperlink ref="M5" r:id="rId8" xr:uid="{EF07E210-DB38-4C6B-B792-AF1ADC475B60}"/>
  </hyperlinks>
  <pageMargins left="0" right="0" top="0" bottom="0" header="0" footer="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85BEA-932F-454D-AB3A-D790E15698DF}">
  <sheetPr>
    <outlinePr summaryBelow="0" summaryRight="0"/>
  </sheetPr>
  <dimension ref="A2:X10"/>
  <sheetViews>
    <sheetView showGridLines="0" workbookViewId="0">
      <pane xSplit="5" ySplit="2" topLeftCell="F12" activePane="bottomRight" state="frozen"/>
      <selection pane="bottomRight" activeCell="A12" sqref="A12"/>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8">
      <c r="A3" s="44">
        <v>1</v>
      </c>
      <c r="B3" s="2" t="s">
        <v>39</v>
      </c>
      <c r="C3" s="45" t="s">
        <v>228</v>
      </c>
      <c r="D3" s="82" t="s">
        <v>1913</v>
      </c>
      <c r="E3" s="78" t="s">
        <v>1914</v>
      </c>
      <c r="F3" s="8">
        <v>3</v>
      </c>
      <c r="G3" s="8">
        <v>3</v>
      </c>
      <c r="H3" s="16" t="s">
        <v>268</v>
      </c>
      <c r="I3" s="31" t="s">
        <v>304</v>
      </c>
      <c r="J3" s="29" t="s">
        <v>1577</v>
      </c>
      <c r="K3" s="31" t="s">
        <v>281</v>
      </c>
      <c r="L3" s="31" t="s">
        <v>1601</v>
      </c>
      <c r="M3" s="63" t="s">
        <v>1915</v>
      </c>
      <c r="N3" s="50">
        <v>45406</v>
      </c>
      <c r="O3" s="50">
        <v>45406</v>
      </c>
      <c r="P3" s="5" t="s">
        <v>231</v>
      </c>
      <c r="Q3" s="16" t="s">
        <v>1916</v>
      </c>
      <c r="R3" s="16" t="s">
        <v>867</v>
      </c>
      <c r="S3" s="47">
        <v>45408</v>
      </c>
      <c r="T3" s="16" t="s">
        <v>1577</v>
      </c>
      <c r="U3" s="16" t="s">
        <v>93</v>
      </c>
      <c r="V3" s="16" t="s">
        <v>93</v>
      </c>
      <c r="W3" s="16" t="s">
        <v>557</v>
      </c>
      <c r="X3" s="16"/>
    </row>
    <row r="4" spans="1:24" ht="55.5" customHeight="1">
      <c r="A4" s="44">
        <v>2</v>
      </c>
      <c r="B4" s="2" t="s">
        <v>39</v>
      </c>
      <c r="C4" s="49" t="s">
        <v>284</v>
      </c>
      <c r="D4" s="81" t="s">
        <v>1917</v>
      </c>
      <c r="E4" s="78" t="s">
        <v>1918</v>
      </c>
      <c r="F4" s="8">
        <v>2</v>
      </c>
      <c r="G4" s="8">
        <v>2</v>
      </c>
      <c r="H4" s="16" t="s">
        <v>93</v>
      </c>
      <c r="I4" s="5" t="s">
        <v>304</v>
      </c>
      <c r="J4" s="32" t="s">
        <v>1577</v>
      </c>
      <c r="K4" s="31" t="s">
        <v>93</v>
      </c>
      <c r="L4" s="31" t="s">
        <v>1601</v>
      </c>
      <c r="M4" s="70" t="s">
        <v>93</v>
      </c>
      <c r="N4" s="50" t="s">
        <v>93</v>
      </c>
      <c r="O4" s="5" t="s">
        <v>93</v>
      </c>
      <c r="P4" s="5" t="s">
        <v>93</v>
      </c>
      <c r="Q4" s="16" t="s">
        <v>93</v>
      </c>
      <c r="R4" s="16" t="s">
        <v>93</v>
      </c>
      <c r="S4" s="16" t="s">
        <v>93</v>
      </c>
      <c r="T4" s="16" t="s">
        <v>93</v>
      </c>
      <c r="U4" s="16" t="s">
        <v>93</v>
      </c>
      <c r="V4" s="16" t="s">
        <v>93</v>
      </c>
      <c r="W4" s="16" t="s">
        <v>557</v>
      </c>
      <c r="X4" s="79" t="s">
        <v>1919</v>
      </c>
    </row>
    <row r="5" spans="1:24" ht="45" customHeight="1">
      <c r="A5" s="44">
        <v>3</v>
      </c>
      <c r="B5" s="2" t="s">
        <v>39</v>
      </c>
      <c r="C5" s="49" t="s">
        <v>228</v>
      </c>
      <c r="D5" s="81" t="s">
        <v>1920</v>
      </c>
      <c r="E5" s="78" t="s">
        <v>1921</v>
      </c>
      <c r="F5" s="8">
        <v>2</v>
      </c>
      <c r="G5" s="8">
        <v>2</v>
      </c>
      <c r="H5" s="16"/>
      <c r="I5" s="31" t="s">
        <v>304</v>
      </c>
      <c r="J5" s="29"/>
      <c r="K5" s="31"/>
      <c r="L5" s="31"/>
      <c r="M5" s="63" t="s">
        <v>1922</v>
      </c>
      <c r="N5" s="50">
        <v>45406</v>
      </c>
      <c r="O5" s="50">
        <v>45406</v>
      </c>
      <c r="P5" s="31" t="s">
        <v>231</v>
      </c>
      <c r="Q5" s="16" t="s">
        <v>1577</v>
      </c>
      <c r="R5" s="16" t="s">
        <v>867</v>
      </c>
      <c r="S5" s="75">
        <v>45406</v>
      </c>
      <c r="T5" s="16" t="s">
        <v>93</v>
      </c>
      <c r="U5" s="16" t="s">
        <v>93</v>
      </c>
      <c r="V5" s="16" t="s">
        <v>93</v>
      </c>
      <c r="W5" s="16" t="s">
        <v>557</v>
      </c>
      <c r="X5" s="16"/>
    </row>
    <row r="6" spans="1:24" ht="48">
      <c r="A6" s="44">
        <v>4</v>
      </c>
      <c r="B6" s="2" t="s">
        <v>39</v>
      </c>
      <c r="C6" s="49" t="s">
        <v>284</v>
      </c>
      <c r="D6" s="81" t="s">
        <v>1923</v>
      </c>
      <c r="E6" s="78" t="s">
        <v>1924</v>
      </c>
      <c r="F6" s="8">
        <v>2</v>
      </c>
      <c r="G6" s="8">
        <v>2</v>
      </c>
      <c r="H6" s="16" t="s">
        <v>93</v>
      </c>
      <c r="I6" s="5" t="s">
        <v>304</v>
      </c>
      <c r="J6" s="32" t="s">
        <v>1577</v>
      </c>
      <c r="K6" s="31" t="s">
        <v>93</v>
      </c>
      <c r="L6" s="31" t="s">
        <v>1601</v>
      </c>
      <c r="M6" s="70" t="s">
        <v>93</v>
      </c>
      <c r="N6" s="50" t="s">
        <v>93</v>
      </c>
      <c r="O6" s="5" t="s">
        <v>93</v>
      </c>
      <c r="P6" s="5" t="s">
        <v>93</v>
      </c>
      <c r="Q6" s="16" t="s">
        <v>93</v>
      </c>
      <c r="R6" s="16" t="s">
        <v>93</v>
      </c>
      <c r="S6" s="16" t="s">
        <v>93</v>
      </c>
      <c r="T6" s="16" t="s">
        <v>93</v>
      </c>
      <c r="U6" s="16" t="s">
        <v>93</v>
      </c>
      <c r="V6" s="16" t="s">
        <v>93</v>
      </c>
      <c r="W6" s="16" t="s">
        <v>557</v>
      </c>
      <c r="X6" s="79" t="s">
        <v>1925</v>
      </c>
    </row>
    <row r="7" spans="1:24" ht="43.5" customHeight="1">
      <c r="A7" s="44">
        <v>5</v>
      </c>
      <c r="B7" s="2" t="s">
        <v>39</v>
      </c>
      <c r="C7" s="49" t="s">
        <v>284</v>
      </c>
      <c r="D7" s="81" t="s">
        <v>1926</v>
      </c>
      <c r="E7" s="78" t="s">
        <v>1927</v>
      </c>
      <c r="F7" s="8">
        <v>1</v>
      </c>
      <c r="G7" s="8">
        <v>1</v>
      </c>
      <c r="H7" s="16" t="s">
        <v>93</v>
      </c>
      <c r="I7" s="5" t="s">
        <v>304</v>
      </c>
      <c r="J7" s="32" t="s">
        <v>1577</v>
      </c>
      <c r="K7" s="31" t="s">
        <v>93</v>
      </c>
      <c r="L7" s="31" t="s">
        <v>1601</v>
      </c>
      <c r="M7" s="70" t="s">
        <v>93</v>
      </c>
      <c r="N7" s="50" t="s">
        <v>93</v>
      </c>
      <c r="O7" s="5" t="s">
        <v>93</v>
      </c>
      <c r="P7" s="5" t="s">
        <v>93</v>
      </c>
      <c r="Q7" s="16" t="s">
        <v>93</v>
      </c>
      <c r="R7" s="16" t="s">
        <v>93</v>
      </c>
      <c r="S7" s="16" t="s">
        <v>93</v>
      </c>
      <c r="T7" s="16" t="s">
        <v>93</v>
      </c>
      <c r="U7" s="16" t="s">
        <v>93</v>
      </c>
      <c r="V7" s="16" t="s">
        <v>93</v>
      </c>
      <c r="W7" s="16" t="s">
        <v>557</v>
      </c>
      <c r="X7" s="79" t="s">
        <v>1925</v>
      </c>
    </row>
    <row r="8" spans="1:24" ht="43.5" customHeight="1">
      <c r="A8" s="52">
        <v>6</v>
      </c>
      <c r="B8" s="2" t="s">
        <v>39</v>
      </c>
      <c r="C8" s="49" t="s">
        <v>231</v>
      </c>
      <c r="D8" s="72" t="s">
        <v>1899</v>
      </c>
      <c r="E8" s="16" t="s">
        <v>1900</v>
      </c>
      <c r="F8" s="16">
        <v>1</v>
      </c>
      <c r="G8" s="16">
        <v>1</v>
      </c>
      <c r="H8" s="16" t="s">
        <v>231</v>
      </c>
      <c r="I8" s="5" t="s">
        <v>304</v>
      </c>
      <c r="J8" s="32" t="s">
        <v>1577</v>
      </c>
      <c r="K8" s="31" t="s">
        <v>230</v>
      </c>
      <c r="L8" s="31" t="s">
        <v>1601</v>
      </c>
      <c r="M8" s="70" t="s">
        <v>1901</v>
      </c>
      <c r="N8" s="50"/>
      <c r="O8" s="5"/>
      <c r="P8" s="5"/>
      <c r="Q8" s="16"/>
      <c r="R8" s="16"/>
      <c r="S8" s="16"/>
      <c r="T8" s="16"/>
      <c r="U8" s="16"/>
      <c r="V8" s="16"/>
      <c r="W8" s="16" t="s">
        <v>557</v>
      </c>
      <c r="X8" s="79"/>
    </row>
    <row r="9" spans="1:24" ht="60">
      <c r="A9" s="44">
        <v>7</v>
      </c>
      <c r="B9" s="2" t="s">
        <v>39</v>
      </c>
      <c r="C9" s="49" t="s">
        <v>230</v>
      </c>
      <c r="D9" s="80" t="s">
        <v>1902</v>
      </c>
      <c r="E9" s="78" t="s">
        <v>1903</v>
      </c>
      <c r="F9" s="35">
        <v>2</v>
      </c>
      <c r="G9" s="35">
        <v>1</v>
      </c>
      <c r="H9" s="16" t="s">
        <v>230</v>
      </c>
      <c r="I9" s="5" t="s">
        <v>304</v>
      </c>
      <c r="J9" s="32" t="s">
        <v>1577</v>
      </c>
      <c r="K9" s="31" t="s">
        <v>231</v>
      </c>
      <c r="L9" s="31" t="s">
        <v>1601</v>
      </c>
      <c r="M9" s="70" t="s">
        <v>1904</v>
      </c>
      <c r="N9" s="50">
        <v>45412</v>
      </c>
      <c r="O9" s="71">
        <v>45413</v>
      </c>
      <c r="P9" s="5" t="s">
        <v>231</v>
      </c>
      <c r="Q9" s="16" t="s">
        <v>93</v>
      </c>
      <c r="R9" s="16" t="s">
        <v>1271</v>
      </c>
      <c r="S9" s="67">
        <v>45413</v>
      </c>
      <c r="T9" s="16" t="s">
        <v>1577</v>
      </c>
      <c r="U9" s="16" t="s">
        <v>1577</v>
      </c>
      <c r="V9" s="16" t="s">
        <v>1577</v>
      </c>
      <c r="W9" s="16" t="s">
        <v>1015</v>
      </c>
      <c r="X9" s="79" t="s">
        <v>1928</v>
      </c>
    </row>
    <row r="10" spans="1:24" ht="51.75" customHeight="1">
      <c r="A10" s="44">
        <v>8</v>
      </c>
      <c r="B10" s="2" t="s">
        <v>39</v>
      </c>
      <c r="C10" s="49" t="s">
        <v>230</v>
      </c>
      <c r="D10" s="80" t="s">
        <v>1929</v>
      </c>
      <c r="E10" s="16" t="s">
        <v>1930</v>
      </c>
      <c r="F10" s="16">
        <v>5</v>
      </c>
      <c r="G10" s="16">
        <v>4</v>
      </c>
      <c r="H10" s="16" t="s">
        <v>230</v>
      </c>
      <c r="I10" s="5" t="s">
        <v>1191</v>
      </c>
      <c r="J10" s="32" t="s">
        <v>1577</v>
      </c>
      <c r="K10" s="31" t="s">
        <v>231</v>
      </c>
      <c r="L10" s="31" t="s">
        <v>1601</v>
      </c>
      <c r="M10" s="70" t="s">
        <v>1191</v>
      </c>
      <c r="N10" s="50"/>
      <c r="O10" s="5"/>
      <c r="P10" s="5"/>
      <c r="Q10" s="16"/>
      <c r="R10" s="16"/>
      <c r="S10" s="16"/>
      <c r="T10" s="16"/>
      <c r="U10" s="16"/>
      <c r="V10" s="16"/>
      <c r="W10" s="16" t="s">
        <v>1015</v>
      </c>
      <c r="X10" s="79" t="s">
        <v>1931</v>
      </c>
    </row>
  </sheetData>
  <dataValidations count="1">
    <dataValidation type="list" allowBlank="1" showErrorMessage="1" sqref="W3:W10" xr:uid="{37F75C9F-553F-4CD1-8772-9F4C0C43F2B5}">
      <formula1>"Open,Inprogress,Closed"</formula1>
    </dataValidation>
  </dataValidations>
  <hyperlinks>
    <hyperlink ref="D4" r:id="rId1" display="https://greatergiving.atlassian.net/browse/GGO-13836" xr:uid="{C937018E-0C4E-4453-889C-046418811B6C}"/>
    <hyperlink ref="D5" r:id="rId2" display="https://greatergiving.atlassian.net/browse/GGO-13940" xr:uid="{A55C5F0F-364A-4B80-844D-0C3E8C8EB040}"/>
    <hyperlink ref="D6" r:id="rId3" display="https://greatergiving.atlassian.net/browse/PAPI-708" xr:uid="{688A9A6D-3E5A-47FF-A7DB-FC19F0A0AB7A}"/>
    <hyperlink ref="D7" r:id="rId4" xr:uid="{96D57368-14D3-49E8-85EE-741D85E27FA2}"/>
    <hyperlink ref="D9" r:id="rId5" display="https://greatergiving.atlassian.net/browse/GGO-13948" xr:uid="{7FE57F7F-365E-472E-AD7F-8C8377988411}"/>
    <hyperlink ref="M5" r:id="rId6" xr:uid="{F1F904C9-9D64-4267-9DDA-8328AABEA627}"/>
    <hyperlink ref="M3" r:id="rId7" xr:uid="{06C024E1-7A62-45D5-86A8-670DADC44E60}"/>
    <hyperlink ref="D8" r:id="rId8" display="https://greatergiving.atlassian.net/browse/GGO-13981" xr:uid="{5BB503E2-1CC8-4FCD-BB91-A831569BD3DF}"/>
    <hyperlink ref="M8" r:id="rId9" xr:uid="{59DD200F-658B-4E8E-B8A3-D5FF6A58F6E7}"/>
    <hyperlink ref="M9" r:id="rId10" xr:uid="{24256FEE-499B-4D01-8B26-8D0B249E3F14}"/>
  </hyperlinks>
  <pageMargins left="0" right="0" top="0" bottom="0" header="0" footer="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D1DD3-F894-4499-9D0F-812B9FD17BDB}">
  <sheetPr>
    <outlinePr summaryBelow="0" summaryRight="0"/>
  </sheetPr>
  <dimension ref="A1:K2"/>
  <sheetViews>
    <sheetView topLeftCell="B1" workbookViewId="0"/>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76"/>
      <c r="G2" s="12"/>
      <c r="H2" s="12"/>
      <c r="I2" s="12"/>
      <c r="J2" s="12"/>
      <c r="K2" s="12"/>
    </row>
  </sheetData>
  <mergeCells count="1">
    <mergeCell ref="B2:E2"/>
  </mergeCells>
  <dataValidations count="4">
    <dataValidation type="list" allowBlank="1" showErrorMessage="1" sqref="H2:H5" xr:uid="{63E6E70E-A72E-4551-8B2D-F27B476A3DF3}">
      <formula1>"Internal,External"</formula1>
    </dataValidation>
    <dataValidation type="list" allowBlank="1" showErrorMessage="1" sqref="E3:E5" xr:uid="{723A06EA-ED44-4169-AE16-E5389DB106BD}">
      <formula1>"Bounceback,Defect,None"</formula1>
    </dataValidation>
    <dataValidation type="list" allowBlank="1" showErrorMessage="1" sqref="I2:I5" xr:uid="{C36BF147-B9AF-46B5-9212-04661F259B5A}">
      <formula1>"Open,Inprogress,Closed"</formula1>
    </dataValidation>
    <dataValidation type="list" allowBlank="1" showErrorMessage="1" sqref="G2:G5" xr:uid="{619E5AE4-BCB1-4A76-B8CB-B8179F24C21F}">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31ABA40-2CA5-4F4B-9864-83F8F5C788EB}">
          <x14:formula1>
            <xm:f>Details!$A$2:$A$10</xm:f>
          </x14:formula1>
          <xm:sqref>J2:J5</xm:sqref>
        </x14:dataValidation>
      </x14:dataValidations>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8DD2F-6B01-4A74-8E85-B43D58EF553D}">
  <sheetPr>
    <outlinePr summaryBelow="0" summaryRight="0"/>
  </sheetPr>
  <dimension ref="A1:K2"/>
  <sheetViews>
    <sheetView topLeftCell="B1" workbookViewId="0">
      <selection activeCell="D9" sqref="D9"/>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76"/>
      <c r="G2" s="12"/>
      <c r="H2" s="12"/>
      <c r="I2" s="12"/>
      <c r="J2" s="12"/>
      <c r="K2" s="12"/>
    </row>
  </sheetData>
  <mergeCells count="1">
    <mergeCell ref="B2:E2"/>
  </mergeCells>
  <dataValidations count="4">
    <dataValidation type="list" allowBlank="1" showErrorMessage="1" sqref="G2:G5" xr:uid="{770C4DD0-6A9A-4A61-A4D6-E65F5DC71470}">
      <formula1>"Minor,Significant,Major"</formula1>
    </dataValidation>
    <dataValidation type="list" allowBlank="1" showErrorMessage="1" sqref="I2:I5" xr:uid="{6C2ADD10-8B95-4EA9-A64A-E4BABBC22BB5}">
      <formula1>"Open,Inprogress,Closed"</formula1>
    </dataValidation>
    <dataValidation type="list" allowBlank="1" showErrorMessage="1" sqref="E3:E5" xr:uid="{227B82B0-0418-48CF-B4F9-C4A2908B29EC}">
      <formula1>"Bounceback,Defect,None"</formula1>
    </dataValidation>
    <dataValidation type="list" allowBlank="1" showErrorMessage="1" sqref="H2:H5" xr:uid="{8B39CB26-E658-4671-8D14-9893E6EF9855}">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C95DC725-1272-45E7-82AB-3D989420E448}">
          <x14:formula1>
            <xm:f>Details!$A$2:$A$10</xm:f>
          </x14:formula1>
          <xm:sqref>J2:J5</xm:sqref>
        </x14:dataValidation>
      </x14:dataValidations>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8FAE5-B1C1-44B3-9FD1-20A337BFED82}">
  <sheetPr>
    <outlinePr summaryBelow="0" summaryRight="0"/>
  </sheetPr>
  <dimension ref="A2:X12"/>
  <sheetViews>
    <sheetView showGridLines="0" workbookViewId="0">
      <pane xSplit="5" ySplit="2" topLeftCell="F15" activePane="bottomRight" state="frozen"/>
      <selection pane="bottomRight" activeCell="E16" sqref="E16"/>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8">
      <c r="A3" s="44">
        <v>1</v>
      </c>
      <c r="B3" s="2" t="s">
        <v>37</v>
      </c>
      <c r="C3" s="45" t="s">
        <v>228</v>
      </c>
      <c r="D3" s="82" t="s">
        <v>1932</v>
      </c>
      <c r="E3" s="78" t="s">
        <v>1933</v>
      </c>
      <c r="F3" s="8">
        <v>3</v>
      </c>
      <c r="G3" s="8">
        <v>3</v>
      </c>
      <c r="H3" s="16" t="s">
        <v>268</v>
      </c>
      <c r="I3" s="31" t="s">
        <v>304</v>
      </c>
      <c r="J3" s="29" t="s">
        <v>1577</v>
      </c>
      <c r="K3" s="31" t="s">
        <v>1058</v>
      </c>
      <c r="L3" s="31" t="s">
        <v>1577</v>
      </c>
      <c r="M3" s="63" t="s">
        <v>1934</v>
      </c>
      <c r="N3" s="50">
        <v>45387</v>
      </c>
      <c r="O3" s="50">
        <v>45390</v>
      </c>
      <c r="P3" s="5" t="s">
        <v>231</v>
      </c>
      <c r="Q3" s="16" t="s">
        <v>1577</v>
      </c>
      <c r="R3" s="16" t="s">
        <v>1935</v>
      </c>
      <c r="S3" s="47">
        <v>45390</v>
      </c>
      <c r="T3" s="16" t="s">
        <v>1577</v>
      </c>
      <c r="U3" s="16" t="s">
        <v>1577</v>
      </c>
      <c r="V3" s="16" t="s">
        <v>1577</v>
      </c>
      <c r="W3" s="16" t="s">
        <v>557</v>
      </c>
      <c r="X3" s="16"/>
    </row>
    <row r="4" spans="1:24" ht="48">
      <c r="A4" s="44">
        <v>2</v>
      </c>
      <c r="B4" s="2" t="s">
        <v>37</v>
      </c>
      <c r="C4" s="49" t="s">
        <v>1936</v>
      </c>
      <c r="D4" s="82" t="s">
        <v>1937</v>
      </c>
      <c r="E4" s="78" t="s">
        <v>1938</v>
      </c>
      <c r="F4" s="8">
        <v>3</v>
      </c>
      <c r="G4" s="8">
        <v>3</v>
      </c>
      <c r="H4" s="16" t="s">
        <v>230</v>
      </c>
      <c r="I4" s="31" t="s">
        <v>231</v>
      </c>
      <c r="J4" s="29" t="s">
        <v>1577</v>
      </c>
      <c r="K4" s="31" t="s">
        <v>231</v>
      </c>
      <c r="L4" s="31" t="s">
        <v>1577</v>
      </c>
      <c r="M4" s="63" t="s">
        <v>1939</v>
      </c>
      <c r="N4" s="50">
        <v>45392</v>
      </c>
      <c r="O4" s="50">
        <v>45393</v>
      </c>
      <c r="P4" s="31" t="s">
        <v>231</v>
      </c>
      <c r="Q4" s="16" t="s">
        <v>1577</v>
      </c>
      <c r="R4" s="16" t="s">
        <v>893</v>
      </c>
      <c r="S4" s="30">
        <v>45393</v>
      </c>
      <c r="T4" s="16" t="s">
        <v>1577</v>
      </c>
      <c r="U4" s="16" t="s">
        <v>1577</v>
      </c>
      <c r="V4" s="16" t="s">
        <v>1577</v>
      </c>
      <c r="W4" s="16" t="s">
        <v>557</v>
      </c>
      <c r="X4" s="79"/>
    </row>
    <row r="5" spans="1:24" ht="48">
      <c r="A5" s="44">
        <v>3</v>
      </c>
      <c r="B5" s="2" t="s">
        <v>37</v>
      </c>
      <c r="C5" s="49" t="s">
        <v>228</v>
      </c>
      <c r="D5" s="82" t="s">
        <v>1940</v>
      </c>
      <c r="E5" s="78" t="s">
        <v>1941</v>
      </c>
      <c r="F5" s="8">
        <v>3</v>
      </c>
      <c r="G5" s="8">
        <v>3</v>
      </c>
      <c r="H5" s="16" t="s">
        <v>268</v>
      </c>
      <c r="I5" s="31" t="s">
        <v>304</v>
      </c>
      <c r="J5" s="29" t="s">
        <v>1577</v>
      </c>
      <c r="K5" s="31" t="s">
        <v>231</v>
      </c>
      <c r="L5" s="31" t="s">
        <v>1577</v>
      </c>
      <c r="M5" s="63" t="s">
        <v>1942</v>
      </c>
      <c r="N5" s="50">
        <v>45392</v>
      </c>
      <c r="O5" s="50">
        <v>45393</v>
      </c>
      <c r="P5" s="31" t="s">
        <v>231</v>
      </c>
      <c r="Q5" s="16" t="s">
        <v>1577</v>
      </c>
      <c r="R5" s="16" t="s">
        <v>1935</v>
      </c>
      <c r="S5" s="75">
        <v>45393</v>
      </c>
      <c r="T5" s="16" t="s">
        <v>1577</v>
      </c>
      <c r="U5" s="16" t="s">
        <v>1577</v>
      </c>
      <c r="V5" s="16" t="s">
        <v>1577</v>
      </c>
      <c r="W5" s="16" t="s">
        <v>557</v>
      </c>
      <c r="X5" s="16"/>
    </row>
    <row r="6" spans="1:24" ht="48">
      <c r="A6" s="44">
        <v>4</v>
      </c>
      <c r="B6" s="2" t="s">
        <v>37</v>
      </c>
      <c r="C6" s="49" t="s">
        <v>231</v>
      </c>
      <c r="D6" s="82" t="s">
        <v>1943</v>
      </c>
      <c r="E6" s="78" t="s">
        <v>1944</v>
      </c>
      <c r="F6" s="8">
        <v>2</v>
      </c>
      <c r="G6" s="8">
        <v>2</v>
      </c>
      <c r="H6" s="16" t="s">
        <v>231</v>
      </c>
      <c r="I6" s="31" t="s">
        <v>304</v>
      </c>
      <c r="J6" s="29" t="s">
        <v>1577</v>
      </c>
      <c r="K6" s="31" t="s">
        <v>1058</v>
      </c>
      <c r="L6" s="31" t="s">
        <v>1577</v>
      </c>
      <c r="M6" s="63" t="s">
        <v>1945</v>
      </c>
      <c r="N6" s="50">
        <v>45392</v>
      </c>
      <c r="O6" s="50">
        <v>45392</v>
      </c>
      <c r="P6" s="31" t="s">
        <v>1271</v>
      </c>
      <c r="Q6" s="16" t="s">
        <v>1577</v>
      </c>
      <c r="R6" s="23" t="s">
        <v>893</v>
      </c>
      <c r="S6" s="75">
        <v>45392</v>
      </c>
      <c r="T6" s="16" t="s">
        <v>1577</v>
      </c>
      <c r="U6" s="16" t="s">
        <v>1577</v>
      </c>
      <c r="V6" s="16" t="s">
        <v>1577</v>
      </c>
      <c r="W6" s="16" t="s">
        <v>557</v>
      </c>
      <c r="X6" s="16"/>
    </row>
    <row r="7" spans="1:24" ht="43.5" customHeight="1">
      <c r="A7" s="44">
        <v>5</v>
      </c>
      <c r="B7" s="2" t="s">
        <v>37</v>
      </c>
      <c r="C7" s="49" t="s">
        <v>231</v>
      </c>
      <c r="D7" s="82" t="s">
        <v>1946</v>
      </c>
      <c r="E7" s="78" t="s">
        <v>1947</v>
      </c>
      <c r="F7" s="8">
        <v>2</v>
      </c>
      <c r="G7" s="8">
        <v>2</v>
      </c>
      <c r="H7" s="16" t="s">
        <v>231</v>
      </c>
      <c r="I7" s="31" t="s">
        <v>304</v>
      </c>
      <c r="J7" s="32" t="s">
        <v>1577</v>
      </c>
      <c r="K7" s="31" t="s">
        <v>1058</v>
      </c>
      <c r="L7" s="31" t="s">
        <v>1577</v>
      </c>
      <c r="M7" s="63" t="s">
        <v>1948</v>
      </c>
      <c r="N7" s="68">
        <v>45387</v>
      </c>
      <c r="O7" s="68">
        <v>45387</v>
      </c>
      <c r="P7" s="31" t="s">
        <v>230</v>
      </c>
      <c r="Q7" s="40" t="s">
        <v>1577</v>
      </c>
      <c r="R7" s="73" t="s">
        <v>1935</v>
      </c>
      <c r="S7" s="68">
        <v>45388</v>
      </c>
      <c r="T7" s="16" t="s">
        <v>1577</v>
      </c>
      <c r="U7" s="16" t="s">
        <v>1577</v>
      </c>
      <c r="V7" s="16" t="s">
        <v>1577</v>
      </c>
      <c r="W7" s="16" t="s">
        <v>557</v>
      </c>
      <c r="X7" s="79"/>
    </row>
    <row r="8" spans="1:24" ht="84">
      <c r="A8" s="44">
        <v>6</v>
      </c>
      <c r="B8" s="2" t="s">
        <v>37</v>
      </c>
      <c r="C8" s="49" t="s">
        <v>284</v>
      </c>
      <c r="D8" s="80" t="s">
        <v>1926</v>
      </c>
      <c r="E8" s="78" t="s">
        <v>1927</v>
      </c>
      <c r="F8" s="35">
        <v>2</v>
      </c>
      <c r="G8" s="35">
        <v>1</v>
      </c>
      <c r="H8" s="16" t="s">
        <v>93</v>
      </c>
      <c r="I8" s="5" t="s">
        <v>304</v>
      </c>
      <c r="J8" s="32" t="s">
        <v>1577</v>
      </c>
      <c r="K8" s="31" t="s">
        <v>93</v>
      </c>
      <c r="L8" s="31" t="s">
        <v>1601</v>
      </c>
      <c r="M8" s="70" t="s">
        <v>93</v>
      </c>
      <c r="N8" s="50" t="s">
        <v>93</v>
      </c>
      <c r="O8" s="5" t="s">
        <v>93</v>
      </c>
      <c r="P8" s="5" t="s">
        <v>93</v>
      </c>
      <c r="Q8" s="16" t="s">
        <v>93</v>
      </c>
      <c r="R8" s="16" t="s">
        <v>93</v>
      </c>
      <c r="S8" s="16" t="s">
        <v>93</v>
      </c>
      <c r="T8" s="16" t="s">
        <v>93</v>
      </c>
      <c r="U8" s="16" t="s">
        <v>93</v>
      </c>
      <c r="V8" s="16" t="s">
        <v>93</v>
      </c>
      <c r="W8" s="16" t="s">
        <v>1015</v>
      </c>
      <c r="X8" s="79" t="s">
        <v>1949</v>
      </c>
    </row>
    <row r="9" spans="1:24" ht="51.75" customHeight="1">
      <c r="A9" s="44">
        <v>7</v>
      </c>
      <c r="B9" s="2" t="s">
        <v>37</v>
      </c>
      <c r="C9" s="49" t="s">
        <v>284</v>
      </c>
      <c r="D9" s="81" t="s">
        <v>1950</v>
      </c>
      <c r="E9" s="16" t="s">
        <v>1951</v>
      </c>
      <c r="F9" s="16">
        <v>1</v>
      </c>
      <c r="G9" s="16">
        <v>1</v>
      </c>
      <c r="H9" s="16" t="s">
        <v>93</v>
      </c>
      <c r="I9" s="5" t="s">
        <v>304</v>
      </c>
      <c r="J9" s="32" t="s">
        <v>1577</v>
      </c>
      <c r="K9" s="31" t="s">
        <v>93</v>
      </c>
      <c r="L9" s="31" t="s">
        <v>1601</v>
      </c>
      <c r="M9" s="70" t="s">
        <v>93</v>
      </c>
      <c r="N9" s="50" t="s">
        <v>93</v>
      </c>
      <c r="O9" s="5" t="s">
        <v>93</v>
      </c>
      <c r="P9" s="5" t="s">
        <v>93</v>
      </c>
      <c r="Q9" s="16" t="s">
        <v>93</v>
      </c>
      <c r="R9" s="16" t="s">
        <v>93</v>
      </c>
      <c r="S9" s="16" t="s">
        <v>93</v>
      </c>
      <c r="T9" s="16" t="s">
        <v>93</v>
      </c>
      <c r="U9" s="16" t="s">
        <v>93</v>
      </c>
      <c r="V9" s="16" t="s">
        <v>93</v>
      </c>
      <c r="W9" s="16" t="s">
        <v>557</v>
      </c>
      <c r="X9" s="79" t="s">
        <v>1919</v>
      </c>
    </row>
    <row r="10" spans="1:24" ht="61.5" customHeight="1">
      <c r="A10" s="52">
        <v>8</v>
      </c>
      <c r="B10" s="2" t="s">
        <v>37</v>
      </c>
      <c r="C10" s="49" t="s">
        <v>284</v>
      </c>
      <c r="D10" s="72" t="s">
        <v>1952</v>
      </c>
      <c r="E10" s="16" t="s">
        <v>1953</v>
      </c>
      <c r="F10" s="16">
        <v>1</v>
      </c>
      <c r="G10" s="16">
        <v>1</v>
      </c>
      <c r="H10" s="16" t="s">
        <v>93</v>
      </c>
      <c r="I10" s="5" t="s">
        <v>304</v>
      </c>
      <c r="J10" s="32" t="s">
        <v>1577</v>
      </c>
      <c r="K10" s="31" t="s">
        <v>93</v>
      </c>
      <c r="L10" s="31" t="s">
        <v>1601</v>
      </c>
      <c r="M10" s="70" t="s">
        <v>93</v>
      </c>
      <c r="N10" s="50" t="s">
        <v>93</v>
      </c>
      <c r="O10" s="5" t="s">
        <v>93</v>
      </c>
      <c r="P10" s="5" t="s">
        <v>93</v>
      </c>
      <c r="Q10" s="16" t="s">
        <v>93</v>
      </c>
      <c r="R10" s="16" t="s">
        <v>93</v>
      </c>
      <c r="S10" s="16" t="s">
        <v>93</v>
      </c>
      <c r="T10" s="16" t="s">
        <v>93</v>
      </c>
      <c r="U10" s="16" t="s">
        <v>93</v>
      </c>
      <c r="V10" s="16" t="s">
        <v>93</v>
      </c>
      <c r="W10" s="16" t="s">
        <v>557</v>
      </c>
      <c r="X10" s="79" t="s">
        <v>1919</v>
      </c>
    </row>
    <row r="11" spans="1:24" ht="60" customHeight="1">
      <c r="A11" s="52">
        <v>9</v>
      </c>
      <c r="B11" s="2" t="s">
        <v>37</v>
      </c>
      <c r="C11" s="49" t="s">
        <v>284</v>
      </c>
      <c r="D11" s="72" t="s">
        <v>1954</v>
      </c>
      <c r="E11" s="16" t="s">
        <v>1955</v>
      </c>
      <c r="F11" s="16">
        <v>1</v>
      </c>
      <c r="G11" s="16">
        <v>1</v>
      </c>
      <c r="H11" s="16" t="s">
        <v>93</v>
      </c>
      <c r="I11" s="5" t="s">
        <v>304</v>
      </c>
      <c r="J11" s="32" t="s">
        <v>1577</v>
      </c>
      <c r="K11" s="31" t="s">
        <v>93</v>
      </c>
      <c r="L11" s="31" t="s">
        <v>1601</v>
      </c>
      <c r="M11" s="70" t="s">
        <v>93</v>
      </c>
      <c r="N11" s="50" t="s">
        <v>93</v>
      </c>
      <c r="O11" s="5" t="s">
        <v>93</v>
      </c>
      <c r="P11" s="5" t="s">
        <v>93</v>
      </c>
      <c r="Q11" s="16" t="s">
        <v>93</v>
      </c>
      <c r="R11" s="16" t="s">
        <v>93</v>
      </c>
      <c r="S11" s="16" t="s">
        <v>93</v>
      </c>
      <c r="T11" s="16" t="s">
        <v>93</v>
      </c>
      <c r="U11" s="16" t="s">
        <v>93</v>
      </c>
      <c r="V11" s="16" t="s">
        <v>93</v>
      </c>
      <c r="W11" s="16" t="s">
        <v>557</v>
      </c>
      <c r="X11" s="79" t="s">
        <v>1919</v>
      </c>
    </row>
    <row r="12" spans="1:24" ht="62.25" customHeight="1">
      <c r="A12" s="52">
        <v>10</v>
      </c>
      <c r="B12" s="2" t="s">
        <v>37</v>
      </c>
      <c r="C12" s="49" t="s">
        <v>284</v>
      </c>
      <c r="D12" s="72" t="s">
        <v>1956</v>
      </c>
      <c r="E12" s="16" t="s">
        <v>1957</v>
      </c>
      <c r="F12" s="16">
        <v>1</v>
      </c>
      <c r="G12" s="16">
        <v>1</v>
      </c>
      <c r="H12" s="16" t="s">
        <v>93</v>
      </c>
      <c r="I12" s="5" t="s">
        <v>304</v>
      </c>
      <c r="J12" s="32" t="s">
        <v>1577</v>
      </c>
      <c r="K12" s="31" t="s">
        <v>93</v>
      </c>
      <c r="L12" s="31" t="s">
        <v>1601</v>
      </c>
      <c r="M12" s="70" t="s">
        <v>93</v>
      </c>
      <c r="N12" s="50" t="s">
        <v>93</v>
      </c>
      <c r="O12" s="5" t="s">
        <v>93</v>
      </c>
      <c r="P12" s="5" t="s">
        <v>93</v>
      </c>
      <c r="Q12" s="16" t="s">
        <v>93</v>
      </c>
      <c r="R12" s="16" t="s">
        <v>93</v>
      </c>
      <c r="S12" s="16" t="s">
        <v>93</v>
      </c>
      <c r="T12" s="16" t="s">
        <v>93</v>
      </c>
      <c r="U12" s="16" t="s">
        <v>93</v>
      </c>
      <c r="V12" s="16" t="s">
        <v>93</v>
      </c>
      <c r="W12" s="16" t="s">
        <v>557</v>
      </c>
      <c r="X12" s="79" t="s">
        <v>1919</v>
      </c>
    </row>
  </sheetData>
  <dataValidations count="1">
    <dataValidation type="list" allowBlank="1" showErrorMessage="1" sqref="W3:W12" xr:uid="{A9B69FE8-6B89-49A4-BCEF-23BAA4690092}">
      <formula1>"Open,Inprogress,Closed"</formula1>
    </dataValidation>
  </dataValidations>
  <hyperlinks>
    <hyperlink ref="M3" r:id="rId1" xr:uid="{F1010FE0-A52B-4617-8207-36B6C6A421A4}"/>
    <hyperlink ref="M4" r:id="rId2" xr:uid="{241F9662-55C2-479A-B809-904067589895}"/>
    <hyperlink ref="M5" r:id="rId3" xr:uid="{B08DC6F8-3D51-4116-9831-839224E53512}"/>
    <hyperlink ref="M7" r:id="rId4" xr:uid="{5B503E49-D525-4DB6-8DDB-52A671FFE6AE}"/>
    <hyperlink ref="D9" r:id="rId5" display="https://greatergiving.atlassian.net/browse/GGO-13834" xr:uid="{67E36272-CC90-49C0-BD8B-516A483D751F}"/>
    <hyperlink ref="D10" r:id="rId6" display="https://greatergiving.atlassian.net/browse/GGO-13938" xr:uid="{1FF9D435-591F-495E-B0A2-9D7FDCBFD61F}"/>
    <hyperlink ref="D11" r:id="rId7" display="https://greatergiving.atlassian.net/browse/GGO-13927" xr:uid="{FE611380-A7D8-4FE5-BF86-BC5B38BD70E9}"/>
    <hyperlink ref="D12" r:id="rId8" display="https://greatergiving.atlassian.net/browse/GGO-13857" xr:uid="{1F23272F-A8A2-4559-BAA3-5CC5364D626D}"/>
    <hyperlink ref="M6" r:id="rId9" xr:uid="{E59AC136-1251-4469-B8B0-26F6ED99259A}"/>
  </hyperlinks>
  <pageMargins left="0" right="0" top="0" bottom="0" header="0" footer="0"/>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5A0E-9121-4A7E-ACC5-CA349BA440B3}">
  <sheetPr>
    <outlinePr summaryBelow="0" summaryRight="0"/>
  </sheetPr>
  <dimension ref="A1:K2"/>
  <sheetViews>
    <sheetView topLeftCell="B1" workbookViewId="0">
      <selection activeCell="D12" sqref="D12"/>
    </sheetView>
  </sheetViews>
  <sheetFormatPr defaultColWidth="12.5703125" defaultRowHeight="15" customHeight="1"/>
  <cols>
    <col min="1" max="1" width="12.5703125" hidden="1"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c r="B2" s="608" t="s">
        <v>1717</v>
      </c>
      <c r="C2" s="609"/>
      <c r="D2" s="609"/>
      <c r="E2" s="610"/>
      <c r="F2" s="76"/>
      <c r="G2" s="12"/>
      <c r="H2" s="12"/>
      <c r="I2" s="12"/>
      <c r="J2" s="12"/>
      <c r="K2" s="12"/>
    </row>
  </sheetData>
  <mergeCells count="1">
    <mergeCell ref="B2:E2"/>
  </mergeCells>
  <dataValidations count="4">
    <dataValidation type="list" allowBlank="1" showErrorMessage="1" sqref="H2:H5" xr:uid="{1D3273F9-B48D-45D6-A673-E4F8CA39A480}">
      <formula1>"Internal,External"</formula1>
    </dataValidation>
    <dataValidation type="list" allowBlank="1" showErrorMessage="1" sqref="E3:E5" xr:uid="{37E1D78A-2FF6-4BC7-8C4B-8FCF14AB7EA9}">
      <formula1>"Bounceback,Defect,None"</formula1>
    </dataValidation>
    <dataValidation type="list" allowBlank="1" showErrorMessage="1" sqref="I2:I5" xr:uid="{14599616-2093-4088-BC0E-1AA86BC67884}">
      <formula1>"Open,Inprogress,Closed"</formula1>
    </dataValidation>
    <dataValidation type="list" allowBlank="1" showErrorMessage="1" sqref="G2:G5" xr:uid="{11568AF6-1A8E-4754-AE71-D7576752B834}">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6C4926B4-A52A-400D-B62C-D676B3E853F9}">
          <x14:formula1>
            <xm:f>Details!$A$2:$A$10</xm:f>
          </x14:formula1>
          <xm:sqref>J2:J5</xm:sqref>
        </x14:dataValidation>
      </x14:dataValidations>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66741-FFF0-4082-A9CF-D4668218E0DA}">
  <sheetPr>
    <outlinePr summaryBelow="0" summaryRight="0"/>
  </sheetPr>
  <dimension ref="A2:X8"/>
  <sheetViews>
    <sheetView showGridLines="0" workbookViewId="0">
      <pane xSplit="5" ySplit="2" topLeftCell="G7" activePane="bottomRight" state="frozen"/>
      <selection pane="bottomRight" activeCell="H8" sqref="H8"/>
      <selection pane="bottomLeft" activeCell="A3" sqref="A3"/>
      <selection pane="topRight" activeCell="F1" sqref="F1"/>
    </sheetView>
  </sheetViews>
  <sheetFormatPr defaultColWidth="12.5703125" defaultRowHeight="12.75"/>
  <cols>
    <col min="1" max="1" width="5.28515625" style="43" customWidth="1"/>
    <col min="2" max="2" width="31.4257812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35.5703125"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50.25">
      <c r="A3" s="44">
        <v>1</v>
      </c>
      <c r="B3" s="2" t="s">
        <v>35</v>
      </c>
      <c r="C3" s="45" t="s">
        <v>230</v>
      </c>
      <c r="D3" s="58" t="s">
        <v>1958</v>
      </c>
      <c r="E3" s="78" t="s">
        <v>1959</v>
      </c>
      <c r="F3" s="8">
        <v>2</v>
      </c>
      <c r="G3" s="8">
        <v>2</v>
      </c>
      <c r="H3" s="16" t="s">
        <v>230</v>
      </c>
      <c r="I3" s="31" t="s">
        <v>304</v>
      </c>
      <c r="J3" s="29" t="s">
        <v>1577</v>
      </c>
      <c r="K3" s="31" t="s">
        <v>268</v>
      </c>
      <c r="L3" s="31" t="s">
        <v>1601</v>
      </c>
      <c r="M3" s="63" t="s">
        <v>1960</v>
      </c>
      <c r="N3" s="50">
        <v>45378</v>
      </c>
      <c r="O3" s="50">
        <v>45379</v>
      </c>
      <c r="P3" s="5" t="s">
        <v>909</v>
      </c>
      <c r="Q3" s="16" t="s">
        <v>1577</v>
      </c>
      <c r="R3" s="16" t="s">
        <v>1271</v>
      </c>
      <c r="S3" s="47">
        <v>45379</v>
      </c>
      <c r="T3" s="16" t="s">
        <v>1577</v>
      </c>
      <c r="U3" s="16" t="s">
        <v>1577</v>
      </c>
      <c r="V3" s="16" t="s">
        <v>1577</v>
      </c>
      <c r="W3" s="16" t="s">
        <v>557</v>
      </c>
      <c r="X3" s="16"/>
    </row>
    <row r="4" spans="1:24" ht="48">
      <c r="A4" s="44">
        <v>2</v>
      </c>
      <c r="B4" s="2" t="s">
        <v>1961</v>
      </c>
      <c r="C4" s="49" t="s">
        <v>230</v>
      </c>
      <c r="D4" s="58" t="s">
        <v>1962</v>
      </c>
      <c r="E4" s="78" t="s">
        <v>1963</v>
      </c>
      <c r="F4" s="8">
        <v>3</v>
      </c>
      <c r="G4" s="8">
        <v>3</v>
      </c>
      <c r="H4" s="16" t="s">
        <v>230</v>
      </c>
      <c r="I4" s="31" t="s">
        <v>1191</v>
      </c>
      <c r="J4" s="29" t="s">
        <v>1577</v>
      </c>
      <c r="K4" s="31" t="s">
        <v>268</v>
      </c>
      <c r="L4" s="31" t="s">
        <v>1601</v>
      </c>
      <c r="M4" s="63" t="s">
        <v>1964</v>
      </c>
      <c r="N4" s="50">
        <v>45384</v>
      </c>
      <c r="O4" s="50"/>
      <c r="P4" s="31" t="s">
        <v>231</v>
      </c>
      <c r="Q4" s="16" t="s">
        <v>1577</v>
      </c>
      <c r="R4" s="16"/>
      <c r="S4" s="30"/>
      <c r="T4" s="16"/>
      <c r="U4" s="16"/>
      <c r="V4" s="16"/>
      <c r="W4" s="16" t="s">
        <v>1015</v>
      </c>
      <c r="X4" s="77" t="s">
        <v>1965</v>
      </c>
    </row>
    <row r="5" spans="1:24" ht="48">
      <c r="A5" s="44">
        <v>3</v>
      </c>
      <c r="B5" s="2" t="s">
        <v>35</v>
      </c>
      <c r="C5" s="49" t="s">
        <v>228</v>
      </c>
      <c r="D5" s="58" t="s">
        <v>1966</v>
      </c>
      <c r="E5" s="78" t="s">
        <v>1967</v>
      </c>
      <c r="F5" s="8">
        <v>3</v>
      </c>
      <c r="G5" s="8">
        <v>3</v>
      </c>
      <c r="H5" s="16" t="s">
        <v>1968</v>
      </c>
      <c r="I5" s="31" t="s">
        <v>304</v>
      </c>
      <c r="J5" s="29" t="s">
        <v>1577</v>
      </c>
      <c r="K5" s="31" t="s">
        <v>1058</v>
      </c>
      <c r="L5" s="31" t="s">
        <v>1601</v>
      </c>
      <c r="M5" s="63" t="s">
        <v>1969</v>
      </c>
      <c r="N5" s="50">
        <v>45383</v>
      </c>
      <c r="O5" s="50">
        <v>45383</v>
      </c>
      <c r="P5" s="31" t="s">
        <v>231</v>
      </c>
      <c r="Q5" s="16" t="s">
        <v>1577</v>
      </c>
      <c r="R5" s="16" t="s">
        <v>893</v>
      </c>
      <c r="S5" s="75">
        <v>45383</v>
      </c>
      <c r="T5" s="16" t="s">
        <v>1577</v>
      </c>
      <c r="U5" s="16" t="s">
        <v>1577</v>
      </c>
      <c r="V5" s="16" t="s">
        <v>1577</v>
      </c>
      <c r="W5" s="16" t="s">
        <v>557</v>
      </c>
      <c r="X5" s="16"/>
    </row>
    <row r="6" spans="1:24" ht="43.5" customHeight="1">
      <c r="A6" s="44">
        <v>4</v>
      </c>
      <c r="B6" s="2" t="s">
        <v>35</v>
      </c>
      <c r="C6" s="49" t="s">
        <v>1970</v>
      </c>
      <c r="D6" s="58" t="s">
        <v>1926</v>
      </c>
      <c r="E6" s="78" t="s">
        <v>1971</v>
      </c>
      <c r="F6" s="8">
        <v>2</v>
      </c>
      <c r="G6" s="8">
        <v>2</v>
      </c>
      <c r="H6" s="16" t="s">
        <v>1968</v>
      </c>
      <c r="I6" s="31" t="s">
        <v>1972</v>
      </c>
      <c r="J6" s="32" t="s">
        <v>1577</v>
      </c>
      <c r="K6" s="31" t="s">
        <v>231</v>
      </c>
      <c r="L6" s="31" t="s">
        <v>1601</v>
      </c>
      <c r="M6" s="63" t="s">
        <v>1973</v>
      </c>
      <c r="N6" s="68">
        <v>45381</v>
      </c>
      <c r="O6" s="68">
        <v>45381</v>
      </c>
      <c r="P6" s="31" t="s">
        <v>1935</v>
      </c>
      <c r="Q6" s="40" t="s">
        <v>1577</v>
      </c>
      <c r="R6" s="73" t="s">
        <v>231</v>
      </c>
      <c r="S6" s="68">
        <v>45385</v>
      </c>
      <c r="T6" s="16" t="s">
        <v>1577</v>
      </c>
      <c r="U6" s="16" t="s">
        <v>1577</v>
      </c>
      <c r="V6" s="16" t="s">
        <v>1577</v>
      </c>
      <c r="W6" s="16" t="s">
        <v>557</v>
      </c>
      <c r="X6" s="79" t="s">
        <v>1974</v>
      </c>
    </row>
    <row r="7" spans="1:24" ht="16.5">
      <c r="A7" s="44">
        <v>5</v>
      </c>
      <c r="B7" s="2" t="s">
        <v>35</v>
      </c>
      <c r="C7" s="49" t="s">
        <v>284</v>
      </c>
      <c r="D7" s="74" t="s">
        <v>1975</v>
      </c>
      <c r="E7" s="78" t="s">
        <v>1976</v>
      </c>
      <c r="F7" s="35">
        <v>2</v>
      </c>
      <c r="G7" s="35">
        <v>2</v>
      </c>
      <c r="H7" s="16" t="s">
        <v>93</v>
      </c>
      <c r="I7" s="5" t="s">
        <v>304</v>
      </c>
      <c r="J7" s="32" t="s">
        <v>1577</v>
      </c>
      <c r="K7" s="31" t="s">
        <v>93</v>
      </c>
      <c r="L7" s="31" t="s">
        <v>1601</v>
      </c>
      <c r="M7" s="70" t="s">
        <v>93</v>
      </c>
      <c r="N7" s="50" t="s">
        <v>93</v>
      </c>
      <c r="O7" s="5" t="s">
        <v>93</v>
      </c>
      <c r="P7" s="5" t="s">
        <v>93</v>
      </c>
      <c r="Q7" s="16" t="s">
        <v>93</v>
      </c>
      <c r="R7" s="16" t="s">
        <v>93</v>
      </c>
      <c r="S7" s="16" t="s">
        <v>93</v>
      </c>
      <c r="T7" s="16" t="s">
        <v>93</v>
      </c>
      <c r="U7" s="16" t="s">
        <v>93</v>
      </c>
      <c r="V7" s="16" t="s">
        <v>93</v>
      </c>
      <c r="W7" s="16" t="s">
        <v>557</v>
      </c>
      <c r="X7" s="16"/>
    </row>
    <row r="8" spans="1:24" ht="36">
      <c r="A8" s="44">
        <v>6</v>
      </c>
      <c r="B8" s="2" t="s">
        <v>35</v>
      </c>
      <c r="C8" s="49" t="s">
        <v>284</v>
      </c>
      <c r="D8" s="74" t="s">
        <v>1977</v>
      </c>
      <c r="E8" s="16" t="s">
        <v>1978</v>
      </c>
      <c r="F8" s="16">
        <v>2</v>
      </c>
      <c r="G8" s="16">
        <v>2</v>
      </c>
      <c r="H8" s="16" t="s">
        <v>93</v>
      </c>
      <c r="I8" s="5" t="s">
        <v>304</v>
      </c>
      <c r="J8" s="32" t="s">
        <v>1577</v>
      </c>
      <c r="K8" s="31" t="s">
        <v>93</v>
      </c>
      <c r="L8" s="31" t="s">
        <v>1601</v>
      </c>
      <c r="M8" s="70" t="s">
        <v>93</v>
      </c>
      <c r="N8" s="50" t="s">
        <v>93</v>
      </c>
      <c r="O8" s="5" t="s">
        <v>93</v>
      </c>
      <c r="P8" s="5" t="s">
        <v>93</v>
      </c>
      <c r="Q8" s="16" t="s">
        <v>93</v>
      </c>
      <c r="R8" s="16" t="s">
        <v>93</v>
      </c>
      <c r="S8" s="16" t="s">
        <v>93</v>
      </c>
      <c r="T8" s="16" t="s">
        <v>93</v>
      </c>
      <c r="U8" s="16" t="s">
        <v>93</v>
      </c>
      <c r="V8" s="16" t="s">
        <v>93</v>
      </c>
      <c r="W8" s="16" t="s">
        <v>557</v>
      </c>
      <c r="X8" s="79" t="s">
        <v>1979</v>
      </c>
    </row>
  </sheetData>
  <dataValidations count="1">
    <dataValidation type="list" allowBlank="1" showErrorMessage="1" sqref="W3:W11" xr:uid="{3616C290-EE1A-41FA-8CA0-BE535619C657}">
      <formula1>"Open,Inprogress,Closed"</formula1>
    </dataValidation>
  </dataValidations>
  <hyperlinks>
    <hyperlink ref="M4" r:id="rId1" xr:uid="{DB926ABE-A767-4312-927F-F19E54060343}"/>
    <hyperlink ref="M5" r:id="rId2" xr:uid="{CAC55CCF-FD86-4DED-A73B-3CF2C3F26F1D}"/>
    <hyperlink ref="M6" r:id="rId3" xr:uid="{BFC26C6A-D277-4D2C-9B96-A209E00A1FCD}"/>
    <hyperlink ref="M3" r:id="rId4" xr:uid="{0491977B-5772-49EA-8425-497F5E2F5249}"/>
    <hyperlink ref="D7" r:id="rId5" display="https://greatergiving.atlassian.net/browse/GGO-13816" xr:uid="{37550389-BC28-4DEC-98F5-DA0C81D3C3A4}"/>
    <hyperlink ref="D8" r:id="rId6" display="https://greatergiving.atlassian.net/browse/GGO-13785" xr:uid="{2F13BE1A-2B4D-4BA6-8AC5-8D2A89C280C6}"/>
  </hyperlinks>
  <pageMargins left="0" right="0" top="0" bottom="0" header="0" footer="0"/>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BB922-FC1C-4694-9423-58378AD49F14}">
  <sheetPr>
    <outlinePr summaryBelow="0" summaryRight="0"/>
  </sheetPr>
  <dimension ref="A1:K2"/>
  <sheetViews>
    <sheetView workbookViewId="0">
      <selection activeCell="A2" sqref="A2:J2"/>
    </sheetView>
  </sheetViews>
  <sheetFormatPr defaultColWidth="12.5703125" defaultRowHeight="15" customHeight="1"/>
  <cols>
    <col min="1" max="1" width="12.5703125" customWidth="1"/>
    <col min="2" max="2" width="21.42578125" customWidth="1"/>
    <col min="3" max="3" width="14.42578125" customWidth="1"/>
    <col min="4" max="4" width="19.140625" customWidth="1"/>
    <col min="5" max="5" width="12.5703125" customWidth="1"/>
    <col min="6" max="6" width="41.140625" customWidth="1"/>
    <col min="7" max="9" width="9.140625"/>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48" customHeight="1">
      <c r="A2" s="4">
        <v>1</v>
      </c>
      <c r="B2" s="2" t="s">
        <v>35</v>
      </c>
      <c r="C2" s="69" t="s">
        <v>1980</v>
      </c>
      <c r="D2" s="11" t="s">
        <v>268</v>
      </c>
      <c r="E2" s="12" t="s">
        <v>753</v>
      </c>
      <c r="F2" s="76" t="s">
        <v>1981</v>
      </c>
      <c r="G2" s="12" t="s">
        <v>562</v>
      </c>
      <c r="H2" s="12" t="s">
        <v>556</v>
      </c>
      <c r="I2" s="12" t="s">
        <v>557</v>
      </c>
      <c r="J2" s="12" t="s">
        <v>1011</v>
      </c>
      <c r="K2" s="12"/>
    </row>
  </sheetData>
  <dataValidations count="4">
    <dataValidation type="list" allowBlank="1" showErrorMessage="1" sqref="G2:G5" xr:uid="{DF087BD1-DF6E-4DCA-AC69-37AC1D0C17E4}">
      <formula1>"Minor,Significant,Major"</formula1>
    </dataValidation>
    <dataValidation type="list" allowBlank="1" showErrorMessage="1" sqref="I2:I5" xr:uid="{8ED3A38A-893D-47C1-899D-B82BE1830CEF}">
      <formula1>"Open,Inprogress,Closed"</formula1>
    </dataValidation>
    <dataValidation type="list" allowBlank="1" showErrorMessage="1" sqref="E2:E5" xr:uid="{2C4BB18B-BB8D-4ABA-AF41-D443C4F92C66}">
      <formula1>"Bounceback,Defect,None"</formula1>
    </dataValidation>
    <dataValidation type="list" allowBlank="1" showErrorMessage="1" sqref="H2:H5" xr:uid="{DBD7FE18-D988-465F-9399-D0523E3340D4}">
      <formula1>"Internal,External"</formula1>
    </dataValidation>
  </dataValidations>
  <hyperlinks>
    <hyperlink ref="C2" r:id="rId1" display="https://greatergiving.atlassian.net/browse/GGO-13837" xr:uid="{73525892-3727-483C-980A-C78A1D59C43D}"/>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9E52D013-A1E9-4442-9246-DD6BE119F7E7}">
          <x14:formula1>
            <xm:f>Details!$A$2:$A$10</xm:f>
          </x14:formula1>
          <xm:sqref>J2:J5</xm:sqref>
        </x14:dataValidation>
      </x14:dataValidations>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AE1A5-6BF9-4DC5-9675-26137C697D66}">
  <sheetPr>
    <outlinePr summaryBelow="0" summaryRight="0"/>
  </sheetPr>
  <dimension ref="A2:X9"/>
  <sheetViews>
    <sheetView showGridLines="0" workbookViewId="0">
      <pane xSplit="5" ySplit="2" topLeftCell="T4" activePane="bottomRight" state="frozen"/>
      <selection pane="bottomRight" activeCell="V4" sqref="V4"/>
      <selection pane="bottomLeft" activeCell="A3" sqref="A3"/>
      <selection pane="topRight" activeCell="F1" sqref="F1"/>
    </sheetView>
  </sheetViews>
  <sheetFormatPr defaultColWidth="12.5703125" defaultRowHeight="12.75"/>
  <cols>
    <col min="1" max="1" width="5.28515625" style="43" customWidth="1"/>
    <col min="2" max="2" width="22.7109375" style="43" customWidth="1"/>
    <col min="3" max="3" width="23" style="43" bestFit="1" customWidth="1"/>
    <col min="4" max="4" width="17.42578125" style="62"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18"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8">
      <c r="A3" s="44">
        <v>1</v>
      </c>
      <c r="B3" s="2" t="s">
        <v>33</v>
      </c>
      <c r="C3" s="45" t="s">
        <v>228</v>
      </c>
      <c r="D3" s="58" t="s">
        <v>1982</v>
      </c>
      <c r="E3" s="46" t="s">
        <v>1983</v>
      </c>
      <c r="F3" s="8">
        <v>5</v>
      </c>
      <c r="G3" s="8">
        <v>5</v>
      </c>
      <c r="H3" s="16" t="s">
        <v>1968</v>
      </c>
      <c r="I3" s="31" t="s">
        <v>304</v>
      </c>
      <c r="J3" s="29" t="s">
        <v>1577</v>
      </c>
      <c r="K3" s="31" t="s">
        <v>1058</v>
      </c>
      <c r="L3" s="31" t="s">
        <v>1601</v>
      </c>
      <c r="M3" s="63" t="s">
        <v>1984</v>
      </c>
      <c r="N3" s="50">
        <v>45360</v>
      </c>
      <c r="O3" s="50">
        <v>45359</v>
      </c>
      <c r="P3" s="5" t="s">
        <v>231</v>
      </c>
      <c r="Q3" s="16" t="s">
        <v>1577</v>
      </c>
      <c r="R3" s="16" t="s">
        <v>893</v>
      </c>
      <c r="S3" s="47">
        <v>45363</v>
      </c>
      <c r="T3" s="16" t="s">
        <v>1577</v>
      </c>
      <c r="U3" s="16" t="s">
        <v>1985</v>
      </c>
      <c r="V3" s="16" t="s">
        <v>1577</v>
      </c>
      <c r="W3" s="16" t="s">
        <v>557</v>
      </c>
      <c r="X3" s="16"/>
    </row>
    <row r="4" spans="1:24" ht="48">
      <c r="A4" s="44">
        <v>2</v>
      </c>
      <c r="B4" s="2" t="s">
        <v>33</v>
      </c>
      <c r="C4" s="49" t="s">
        <v>230</v>
      </c>
      <c r="D4" s="58" t="s">
        <v>1986</v>
      </c>
      <c r="E4" s="46" t="s">
        <v>1987</v>
      </c>
      <c r="F4" s="8">
        <v>2</v>
      </c>
      <c r="G4" s="8">
        <v>2</v>
      </c>
      <c r="H4" s="16" t="s">
        <v>230</v>
      </c>
      <c r="I4" s="31" t="s">
        <v>304</v>
      </c>
      <c r="J4" s="29" t="s">
        <v>1577</v>
      </c>
      <c r="K4" s="31" t="s">
        <v>268</v>
      </c>
      <c r="L4" s="31" t="s">
        <v>1601</v>
      </c>
      <c r="M4" s="63" t="s">
        <v>1988</v>
      </c>
      <c r="N4" s="50">
        <v>45359</v>
      </c>
      <c r="O4" s="50">
        <v>45359</v>
      </c>
      <c r="P4" s="31" t="s">
        <v>231</v>
      </c>
      <c r="Q4" s="16" t="s">
        <v>1577</v>
      </c>
      <c r="R4" s="16" t="s">
        <v>1271</v>
      </c>
      <c r="S4" s="30">
        <v>45359</v>
      </c>
      <c r="T4" s="16" t="s">
        <v>1577</v>
      </c>
      <c r="U4" s="16" t="s">
        <v>1989</v>
      </c>
      <c r="V4" s="16" t="s">
        <v>1577</v>
      </c>
      <c r="W4" s="16" t="s">
        <v>557</v>
      </c>
      <c r="X4" s="16"/>
    </row>
    <row r="5" spans="1:24" ht="48">
      <c r="A5" s="44">
        <v>3</v>
      </c>
      <c r="B5" s="2" t="s">
        <v>33</v>
      </c>
      <c r="C5" s="49" t="s">
        <v>230</v>
      </c>
      <c r="D5" s="58" t="s">
        <v>1929</v>
      </c>
      <c r="E5" s="51" t="s">
        <v>1963</v>
      </c>
      <c r="F5" s="8">
        <v>5</v>
      </c>
      <c r="G5" s="8">
        <v>5</v>
      </c>
      <c r="H5" s="16"/>
      <c r="I5" s="31"/>
      <c r="J5" s="29"/>
      <c r="K5" s="31"/>
      <c r="L5" s="31"/>
      <c r="M5" s="63"/>
      <c r="N5" s="68"/>
      <c r="O5" s="68"/>
      <c r="P5" s="31"/>
      <c r="Q5" s="16"/>
      <c r="R5" s="16"/>
      <c r="S5" s="68"/>
      <c r="T5" s="16"/>
      <c r="U5" s="16" t="s">
        <v>1990</v>
      </c>
      <c r="V5" s="16"/>
      <c r="W5" s="16" t="s">
        <v>1015</v>
      </c>
      <c r="X5" s="16" t="s">
        <v>1965</v>
      </c>
    </row>
    <row r="6" spans="1:24" ht="48">
      <c r="A6" s="44">
        <v>4</v>
      </c>
      <c r="B6" s="2" t="s">
        <v>33</v>
      </c>
      <c r="C6" s="49" t="s">
        <v>228</v>
      </c>
      <c r="D6" s="58" t="s">
        <v>1991</v>
      </c>
      <c r="E6" s="46" t="s">
        <v>1992</v>
      </c>
      <c r="F6" s="8">
        <v>1</v>
      </c>
      <c r="G6" s="8">
        <v>1</v>
      </c>
      <c r="H6" s="16" t="s">
        <v>1968</v>
      </c>
      <c r="I6" s="31" t="s">
        <v>304</v>
      </c>
      <c r="J6" s="29" t="s">
        <v>1577</v>
      </c>
      <c r="K6" s="31" t="s">
        <v>1058</v>
      </c>
      <c r="L6" s="31" t="s">
        <v>1601</v>
      </c>
      <c r="M6" s="63" t="s">
        <v>1993</v>
      </c>
      <c r="N6" s="50">
        <v>45358</v>
      </c>
      <c r="O6" s="50">
        <v>45365</v>
      </c>
      <c r="P6" s="31" t="s">
        <v>231</v>
      </c>
      <c r="Q6" s="16" t="s">
        <v>1577</v>
      </c>
      <c r="R6" s="16" t="s">
        <v>893</v>
      </c>
      <c r="S6" s="30">
        <v>45365</v>
      </c>
      <c r="T6" s="16" t="s">
        <v>1577</v>
      </c>
      <c r="U6" s="16" t="s">
        <v>1989</v>
      </c>
      <c r="V6" s="16" t="s">
        <v>1577</v>
      </c>
      <c r="W6" s="16" t="s">
        <v>557</v>
      </c>
      <c r="X6" s="16"/>
    </row>
    <row r="7" spans="1:24" ht="43.5" customHeight="1">
      <c r="A7" s="44">
        <v>5</v>
      </c>
      <c r="B7" s="2" t="s">
        <v>33</v>
      </c>
      <c r="C7" s="49" t="s">
        <v>228</v>
      </c>
      <c r="D7" s="58" t="s">
        <v>1994</v>
      </c>
      <c r="E7" s="51" t="s">
        <v>1995</v>
      </c>
      <c r="F7" s="8">
        <v>3</v>
      </c>
      <c r="G7" s="8"/>
      <c r="H7" s="16" t="s">
        <v>1968</v>
      </c>
      <c r="I7" s="31" t="s">
        <v>304</v>
      </c>
      <c r="J7" s="32" t="s">
        <v>1577</v>
      </c>
      <c r="K7" s="31" t="s">
        <v>1058</v>
      </c>
      <c r="L7" s="31"/>
      <c r="M7" s="63" t="s">
        <v>1996</v>
      </c>
      <c r="N7" s="68">
        <v>45364</v>
      </c>
      <c r="O7" s="68"/>
      <c r="P7" s="31" t="s">
        <v>231</v>
      </c>
      <c r="Q7" s="40"/>
      <c r="R7" s="73"/>
      <c r="S7" s="68"/>
      <c r="T7" s="16"/>
      <c r="U7" s="16" t="s">
        <v>1997</v>
      </c>
      <c r="V7" s="16"/>
      <c r="W7" s="16" t="s">
        <v>1015</v>
      </c>
      <c r="X7" s="16"/>
    </row>
    <row r="8" spans="1:24" ht="16.5">
      <c r="A8" s="44">
        <v>6</v>
      </c>
      <c r="B8" s="2" t="s">
        <v>33</v>
      </c>
      <c r="C8" s="49" t="s">
        <v>284</v>
      </c>
      <c r="D8" s="74" t="s">
        <v>1975</v>
      </c>
      <c r="E8" s="51" t="s">
        <v>1976</v>
      </c>
      <c r="F8" s="35">
        <v>3</v>
      </c>
      <c r="G8" s="35">
        <v>3</v>
      </c>
      <c r="H8" s="16" t="s">
        <v>93</v>
      </c>
      <c r="I8" s="5" t="s">
        <v>304</v>
      </c>
      <c r="J8" s="32" t="s">
        <v>1577</v>
      </c>
      <c r="K8" s="31" t="s">
        <v>93</v>
      </c>
      <c r="L8" s="31" t="s">
        <v>1601</v>
      </c>
      <c r="M8" s="70" t="s">
        <v>93</v>
      </c>
      <c r="N8" s="50" t="s">
        <v>93</v>
      </c>
      <c r="O8" s="5" t="s">
        <v>93</v>
      </c>
      <c r="P8" s="5" t="s">
        <v>93</v>
      </c>
      <c r="Q8" s="16" t="s">
        <v>93</v>
      </c>
      <c r="R8" s="16" t="s">
        <v>93</v>
      </c>
      <c r="S8" s="16" t="s">
        <v>93</v>
      </c>
      <c r="T8" s="16" t="s">
        <v>93</v>
      </c>
      <c r="U8" s="16" t="s">
        <v>1998</v>
      </c>
      <c r="V8" s="16" t="s">
        <v>93</v>
      </c>
      <c r="W8" s="16" t="s">
        <v>1015</v>
      </c>
      <c r="X8" s="16"/>
    </row>
    <row r="9" spans="1:24" ht="60">
      <c r="A9" s="44">
        <v>6</v>
      </c>
      <c r="B9" s="2" t="s">
        <v>33</v>
      </c>
      <c r="C9" s="49" t="s">
        <v>284</v>
      </c>
      <c r="D9" s="74" t="s">
        <v>1999</v>
      </c>
      <c r="E9" s="16" t="s">
        <v>2000</v>
      </c>
      <c r="F9" s="16">
        <v>3</v>
      </c>
      <c r="G9" s="16">
        <v>1</v>
      </c>
      <c r="H9" s="16" t="s">
        <v>93</v>
      </c>
      <c r="I9" s="5" t="s">
        <v>304</v>
      </c>
      <c r="J9" s="32" t="s">
        <v>1577</v>
      </c>
      <c r="K9" s="31" t="s">
        <v>93</v>
      </c>
      <c r="L9" s="31" t="s">
        <v>1601</v>
      </c>
      <c r="M9" s="70" t="s">
        <v>93</v>
      </c>
      <c r="N9" s="50" t="s">
        <v>93</v>
      </c>
      <c r="O9" s="5" t="s">
        <v>93</v>
      </c>
      <c r="P9" s="5" t="s">
        <v>93</v>
      </c>
      <c r="Q9" s="16" t="s">
        <v>93</v>
      </c>
      <c r="R9" s="16" t="s">
        <v>93</v>
      </c>
      <c r="S9" s="16" t="s">
        <v>93</v>
      </c>
      <c r="T9" s="16" t="s">
        <v>93</v>
      </c>
      <c r="U9" s="16" t="s">
        <v>1989</v>
      </c>
      <c r="V9" s="16" t="s">
        <v>93</v>
      </c>
      <c r="W9" s="16" t="s">
        <v>1015</v>
      </c>
      <c r="X9" s="16" t="s">
        <v>2001</v>
      </c>
    </row>
  </sheetData>
  <dataValidations count="1">
    <dataValidation type="list" allowBlank="1" showErrorMessage="1" sqref="W3:W12" xr:uid="{EA381DAC-6DB1-4ECE-8FCE-C765D5931CBC}">
      <formula1>"Open,Inprogress,Closed"</formula1>
    </dataValidation>
  </dataValidations>
  <hyperlinks>
    <hyperlink ref="M4" r:id="rId1" xr:uid="{2AA7C6B9-C93B-45C4-B33C-D465445FFF45}"/>
    <hyperlink ref="M3" r:id="rId2" xr:uid="{F3704259-C7B5-409A-B941-A34C1BECC748}"/>
    <hyperlink ref="M6" r:id="rId3" xr:uid="{CC7E066A-04E7-499F-AFF2-75386D86CE3D}"/>
    <hyperlink ref="M7" r:id="rId4" xr:uid="{C3E95907-187F-46A0-9D3F-605926ABB192}"/>
    <hyperlink ref="D8" r:id="rId5" display="https://greatergiving.atlassian.net/browse/GGO-13816" xr:uid="{09B14222-99B5-4207-BDE4-1C7691BD4081}"/>
    <hyperlink ref="D9" r:id="rId6" display="https://greatergiving.atlassian.net/browse/GGO-13737" xr:uid="{785A50A1-BAC0-4074-A280-6C79BB53B990}"/>
  </hyperlinks>
  <pageMargins left="0" right="0" top="0" bottom="0" header="0" footer="0"/>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47454-C322-4636-878E-37B2788D0B0D}">
  <sheetPr>
    <outlinePr summaryBelow="0" summaryRight="0"/>
  </sheetPr>
  <dimension ref="A1:K4"/>
  <sheetViews>
    <sheetView topLeftCell="B1" workbookViewId="0">
      <selection activeCell="F7" sqref="F7"/>
    </sheetView>
  </sheetViews>
  <sheetFormatPr defaultColWidth="12.5703125" defaultRowHeight="15" customHeight="1"/>
  <cols>
    <col min="1" max="1" width="12.5703125" customWidth="1"/>
    <col min="2" max="2" width="21.42578125" customWidth="1"/>
    <col min="3" max="3" width="14.42578125" customWidth="1"/>
    <col min="4" max="4" width="19.140625" customWidth="1"/>
    <col min="5" max="5" width="12.5703125" customWidth="1"/>
    <col min="6" max="6" width="41.140625" customWidth="1"/>
    <col min="10" max="10" width="18" customWidth="1"/>
  </cols>
  <sheetData>
    <row r="1" spans="1:11" ht="13.5">
      <c r="A1" s="1" t="s">
        <v>241</v>
      </c>
      <c r="B1" s="24" t="s">
        <v>11</v>
      </c>
      <c r="C1" s="25" t="s">
        <v>289</v>
      </c>
      <c r="D1" s="24" t="s">
        <v>243</v>
      </c>
      <c r="E1" s="25" t="s">
        <v>291</v>
      </c>
      <c r="F1" s="25" t="s">
        <v>292</v>
      </c>
      <c r="G1" s="24" t="s">
        <v>293</v>
      </c>
      <c r="H1" s="24" t="s">
        <v>295</v>
      </c>
      <c r="I1" s="24" t="s">
        <v>246</v>
      </c>
      <c r="J1" s="26" t="s">
        <v>296</v>
      </c>
      <c r="K1" s="27" t="s">
        <v>267</v>
      </c>
    </row>
    <row r="2" spans="1:11" ht="71.25" customHeight="1">
      <c r="A2" s="4">
        <v>1</v>
      </c>
      <c r="B2" s="2" t="s">
        <v>33</v>
      </c>
      <c r="C2" s="69" t="s">
        <v>2002</v>
      </c>
      <c r="D2" s="11" t="s">
        <v>268</v>
      </c>
      <c r="E2" s="12" t="s">
        <v>753</v>
      </c>
      <c r="F2" s="29" t="s">
        <v>2003</v>
      </c>
      <c r="G2" s="12" t="s">
        <v>562</v>
      </c>
      <c r="H2" s="12" t="s">
        <v>556</v>
      </c>
      <c r="I2" s="12" t="s">
        <v>557</v>
      </c>
      <c r="J2" s="12" t="s">
        <v>1011</v>
      </c>
      <c r="K2" s="12"/>
    </row>
    <row r="3" spans="1:11" ht="26.25" customHeight="1">
      <c r="A3" s="4">
        <v>2</v>
      </c>
      <c r="B3" s="2" t="s">
        <v>33</v>
      </c>
      <c r="C3" s="69" t="s">
        <v>2004</v>
      </c>
      <c r="D3" s="11" t="s">
        <v>268</v>
      </c>
      <c r="E3" s="12" t="s">
        <v>753</v>
      </c>
      <c r="F3" s="29" t="s">
        <v>2005</v>
      </c>
      <c r="G3" s="12" t="s">
        <v>562</v>
      </c>
      <c r="H3" s="12" t="s">
        <v>556</v>
      </c>
      <c r="I3" s="12" t="s">
        <v>557</v>
      </c>
      <c r="J3" s="12" t="s">
        <v>1011</v>
      </c>
      <c r="K3" s="12"/>
    </row>
    <row r="4" spans="1:11" ht="26.25" customHeight="1">
      <c r="A4" s="4">
        <v>3</v>
      </c>
      <c r="B4" s="2" t="s">
        <v>33</v>
      </c>
      <c r="C4" s="69" t="s">
        <v>2006</v>
      </c>
      <c r="D4" s="11" t="s">
        <v>1271</v>
      </c>
      <c r="E4" s="12" t="s">
        <v>753</v>
      </c>
      <c r="F4" s="29" t="s">
        <v>2007</v>
      </c>
      <c r="G4" s="12" t="s">
        <v>562</v>
      </c>
      <c r="H4" s="12" t="s">
        <v>556</v>
      </c>
      <c r="I4" s="12" t="s">
        <v>557</v>
      </c>
      <c r="J4" s="12" t="s">
        <v>1011</v>
      </c>
      <c r="K4" s="12"/>
    </row>
  </sheetData>
  <dataValidations count="4">
    <dataValidation type="list" allowBlank="1" showErrorMessage="1" sqref="H2:H5" xr:uid="{9108C372-8A55-404B-8D1A-811BC4250DD3}">
      <formula1>"Internal,External"</formula1>
    </dataValidation>
    <dataValidation type="list" allowBlank="1" showErrorMessage="1" sqref="E2:E5" xr:uid="{2692389D-11EC-488E-B85F-34194C91EF03}">
      <formula1>"Bounceback,Defect,None"</formula1>
    </dataValidation>
    <dataValidation type="list" allowBlank="1" showErrorMessage="1" sqref="I2:I5" xr:uid="{51896737-0D47-436C-8E03-18F59DD38734}">
      <formula1>"Open,Inprogress,Closed"</formula1>
    </dataValidation>
    <dataValidation type="list" allowBlank="1" showErrorMessage="1" sqref="G2:G5" xr:uid="{93E403B8-5852-42A7-A8B0-03F49CEA4DFB}">
      <formula1>"Minor,Significant,Major"</formula1>
    </dataValidation>
  </dataValidations>
  <hyperlinks>
    <hyperlink ref="C2" r:id="rId1" display="https://greatergiving.atlassian.net/browse/GGO-13837" xr:uid="{441678EB-32A0-4F5F-88BC-8473073EF8A5}"/>
    <hyperlink ref="C3" r:id="rId2" display="https://greatergiving.atlassian.net/browse/GGO-13838" xr:uid="{BA54978D-DCCC-40D6-883D-3BA471F546D7}"/>
    <hyperlink ref="C4" r:id="rId3" display="https://greatergiving.atlassian.net/browse/GGO-13835" xr:uid="{3FC5BFD4-9B33-435D-9AD7-BEC05E2E1EFA}"/>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7A3B0BD-BB11-433E-B876-E91A996A1551}">
          <x14:formula1>
            <xm:f>Details!$A$2:$A$10</xm:f>
          </x14:formula1>
          <xm:sqref>J2:J5</xm:sqref>
        </x14:dataValidation>
      </x14:dataValidations>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5704A-403F-4CA4-B1F4-386F279B3BEB}">
  <sheetPr>
    <outlinePr summaryBelow="0" summaryRight="0"/>
  </sheetPr>
  <dimension ref="A2:X11"/>
  <sheetViews>
    <sheetView showGridLines="0" workbookViewId="0">
      <pane xSplit="5" ySplit="2" topLeftCell="F3" activePane="bottomRight" state="frozen"/>
      <selection pane="bottomRight" activeCell="C10" sqref="C10"/>
      <selection pane="bottomLeft" activeCell="A3" sqref="A3"/>
      <selection pane="topRight" activeCell="F1" sqref="F1"/>
    </sheetView>
  </sheetViews>
  <sheetFormatPr defaultColWidth="12.5703125" defaultRowHeight="12.75"/>
  <cols>
    <col min="1" max="1" width="4.28515625" style="43" customWidth="1"/>
    <col min="2" max="2" width="22.7109375" style="43" customWidth="1"/>
    <col min="3" max="3" width="23" style="43" bestFit="1" customWidth="1"/>
    <col min="4" max="4" width="12.85546875" style="62" bestFit="1"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5.85546875" style="43" customWidth="1"/>
    <col min="17" max="17" width="37.85546875" style="43" customWidth="1"/>
    <col min="18" max="18" width="13"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18"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8">
      <c r="A3" s="44">
        <v>1</v>
      </c>
      <c r="B3" s="2" t="s">
        <v>31</v>
      </c>
      <c r="C3" s="45" t="s">
        <v>1058</v>
      </c>
      <c r="D3" s="58" t="s">
        <v>2008</v>
      </c>
      <c r="E3" s="46" t="s">
        <v>2009</v>
      </c>
      <c r="F3" s="8">
        <v>3</v>
      </c>
      <c r="G3" s="8">
        <v>3</v>
      </c>
      <c r="H3" s="16" t="s">
        <v>230</v>
      </c>
      <c r="I3" s="31" t="s">
        <v>2010</v>
      </c>
      <c r="J3" s="29" t="s">
        <v>1577</v>
      </c>
      <c r="K3" s="31" t="s">
        <v>268</v>
      </c>
      <c r="L3" s="31" t="s">
        <v>1601</v>
      </c>
      <c r="M3" s="63" t="s">
        <v>2011</v>
      </c>
      <c r="N3" s="47">
        <v>45348</v>
      </c>
      <c r="O3" s="47">
        <v>45348</v>
      </c>
      <c r="P3" s="5" t="s">
        <v>231</v>
      </c>
      <c r="Q3" s="16" t="s">
        <v>1601</v>
      </c>
      <c r="R3" s="16" t="s">
        <v>2012</v>
      </c>
      <c r="S3" s="47">
        <v>45349</v>
      </c>
      <c r="T3" s="16" t="s">
        <v>1601</v>
      </c>
      <c r="U3" s="16" t="s">
        <v>2013</v>
      </c>
      <c r="V3" s="16"/>
      <c r="W3" s="16" t="s">
        <v>557</v>
      </c>
      <c r="X3" s="16"/>
    </row>
    <row r="4" spans="1:24" ht="48">
      <c r="A4" s="44">
        <v>2</v>
      </c>
      <c r="B4" s="2" t="s">
        <v>31</v>
      </c>
      <c r="C4" s="49" t="s">
        <v>2014</v>
      </c>
      <c r="D4" s="58" t="s">
        <v>2015</v>
      </c>
      <c r="E4" s="46" t="s">
        <v>2016</v>
      </c>
      <c r="F4" s="8">
        <v>5</v>
      </c>
      <c r="G4" s="8">
        <v>5</v>
      </c>
      <c r="H4" s="16" t="s">
        <v>1707</v>
      </c>
      <c r="I4" s="31" t="s">
        <v>2010</v>
      </c>
      <c r="J4" s="29"/>
      <c r="K4" s="31" t="s">
        <v>268</v>
      </c>
      <c r="L4" s="31"/>
      <c r="M4" s="63" t="s">
        <v>2017</v>
      </c>
      <c r="N4" s="50">
        <v>45352</v>
      </c>
      <c r="O4" s="50">
        <v>45352</v>
      </c>
      <c r="P4" s="31" t="s">
        <v>231</v>
      </c>
      <c r="Q4" s="16" t="s">
        <v>1601</v>
      </c>
      <c r="R4" s="16" t="s">
        <v>2012</v>
      </c>
      <c r="S4" s="30">
        <v>45352</v>
      </c>
      <c r="T4" s="16" t="s">
        <v>1601</v>
      </c>
      <c r="U4" s="16" t="s">
        <v>2018</v>
      </c>
      <c r="V4" s="16"/>
      <c r="W4" s="16" t="s">
        <v>557</v>
      </c>
      <c r="X4" s="16"/>
    </row>
    <row r="5" spans="1:24" ht="48">
      <c r="A5" s="44">
        <v>3</v>
      </c>
      <c r="B5" s="2" t="s">
        <v>31</v>
      </c>
      <c r="C5" s="49" t="s">
        <v>268</v>
      </c>
      <c r="D5" s="58" t="s">
        <v>2019</v>
      </c>
      <c r="E5" s="51" t="s">
        <v>2020</v>
      </c>
      <c r="F5" s="8">
        <v>5</v>
      </c>
      <c r="G5" s="8">
        <v>5</v>
      </c>
      <c r="H5" s="16" t="s">
        <v>230</v>
      </c>
      <c r="I5" s="31" t="s">
        <v>2021</v>
      </c>
      <c r="J5" s="29"/>
      <c r="K5" s="31" t="s">
        <v>230</v>
      </c>
      <c r="L5" s="31"/>
      <c r="M5" s="63" t="s">
        <v>2022</v>
      </c>
      <c r="N5" s="68">
        <v>45350</v>
      </c>
      <c r="O5" s="68">
        <v>45350</v>
      </c>
      <c r="P5" s="31" t="s">
        <v>231</v>
      </c>
      <c r="Q5" s="16" t="s">
        <v>1601</v>
      </c>
      <c r="R5" s="16" t="s">
        <v>2012</v>
      </c>
      <c r="S5" s="68">
        <v>45351</v>
      </c>
      <c r="T5" s="16" t="s">
        <v>1601</v>
      </c>
      <c r="U5" s="16" t="s">
        <v>2023</v>
      </c>
      <c r="V5" s="16"/>
      <c r="W5" s="16" t="s">
        <v>557</v>
      </c>
      <c r="X5" s="16"/>
    </row>
    <row r="6" spans="1:24" ht="48">
      <c r="A6" s="44">
        <v>4</v>
      </c>
      <c r="B6" s="2" t="s">
        <v>31</v>
      </c>
      <c r="C6" s="49" t="s">
        <v>2024</v>
      </c>
      <c r="D6" s="58" t="s">
        <v>1986</v>
      </c>
      <c r="E6" s="46" t="s">
        <v>1987</v>
      </c>
      <c r="F6" s="8">
        <v>3</v>
      </c>
      <c r="G6" s="8">
        <v>3</v>
      </c>
      <c r="H6" s="16" t="s">
        <v>1707</v>
      </c>
      <c r="I6" s="31" t="s">
        <v>2025</v>
      </c>
      <c r="J6" s="29"/>
      <c r="K6" s="31" t="s">
        <v>268</v>
      </c>
      <c r="L6" s="31"/>
      <c r="M6" s="63" t="s">
        <v>2026</v>
      </c>
      <c r="N6" s="50">
        <v>45352</v>
      </c>
      <c r="O6" s="50">
        <v>45353</v>
      </c>
      <c r="P6" s="31" t="s">
        <v>231</v>
      </c>
      <c r="Q6" s="16" t="s">
        <v>1601</v>
      </c>
      <c r="R6" s="16" t="s">
        <v>2012</v>
      </c>
      <c r="S6" s="30">
        <v>45353</v>
      </c>
      <c r="T6" s="16" t="s">
        <v>1601</v>
      </c>
      <c r="U6" s="16" t="s">
        <v>2027</v>
      </c>
      <c r="V6" s="16"/>
      <c r="W6" s="16" t="s">
        <v>1015</v>
      </c>
      <c r="X6" s="16"/>
    </row>
    <row r="7" spans="1:24" ht="48">
      <c r="A7" s="44">
        <v>5</v>
      </c>
      <c r="B7" s="2" t="s">
        <v>31</v>
      </c>
      <c r="C7" s="45" t="s">
        <v>231</v>
      </c>
      <c r="D7" s="58" t="s">
        <v>2028</v>
      </c>
      <c r="E7" s="51" t="s">
        <v>2029</v>
      </c>
      <c r="F7" s="8">
        <v>2</v>
      </c>
      <c r="G7" s="8">
        <v>2</v>
      </c>
      <c r="H7" s="16" t="s">
        <v>231</v>
      </c>
      <c r="I7" s="31" t="s">
        <v>304</v>
      </c>
      <c r="J7" s="32"/>
      <c r="K7" s="31" t="s">
        <v>230</v>
      </c>
      <c r="L7" s="31"/>
      <c r="M7" s="63" t="s">
        <v>2030</v>
      </c>
      <c r="N7" s="68">
        <v>45349</v>
      </c>
      <c r="O7" s="68">
        <v>45349</v>
      </c>
      <c r="P7" s="31" t="s">
        <v>1058</v>
      </c>
      <c r="Q7" s="40" t="s">
        <v>1601</v>
      </c>
      <c r="R7" s="73" t="s">
        <v>1935</v>
      </c>
      <c r="S7" s="68">
        <v>45350</v>
      </c>
      <c r="T7" s="16" t="s">
        <v>1601</v>
      </c>
      <c r="U7" s="16" t="s">
        <v>2018</v>
      </c>
      <c r="V7" s="16"/>
      <c r="W7" s="16" t="s">
        <v>557</v>
      </c>
      <c r="X7" s="16"/>
    </row>
    <row r="8" spans="1:24" ht="60">
      <c r="A8" s="52">
        <v>6</v>
      </c>
      <c r="B8" s="2" t="s">
        <v>31</v>
      </c>
      <c r="C8" s="49" t="s">
        <v>268</v>
      </c>
      <c r="D8" s="58" t="s">
        <v>1991</v>
      </c>
      <c r="E8" s="51" t="s">
        <v>2031</v>
      </c>
      <c r="F8" s="35">
        <v>3</v>
      </c>
      <c r="G8" s="35"/>
      <c r="H8" s="16" t="s">
        <v>268</v>
      </c>
      <c r="I8" s="5" t="s">
        <v>230</v>
      </c>
      <c r="J8" s="16"/>
      <c r="K8" s="31" t="s">
        <v>230</v>
      </c>
      <c r="L8" s="5"/>
      <c r="M8" s="70" t="s">
        <v>1993</v>
      </c>
      <c r="N8" s="50">
        <v>45358</v>
      </c>
      <c r="O8" s="5"/>
      <c r="P8" s="5" t="s">
        <v>231</v>
      </c>
      <c r="Q8" s="16"/>
      <c r="R8" s="16"/>
      <c r="S8" s="16"/>
      <c r="T8" s="16"/>
      <c r="U8" s="16" t="s">
        <v>2032</v>
      </c>
      <c r="V8" s="16"/>
      <c r="W8" s="16" t="s">
        <v>1015</v>
      </c>
      <c r="X8" s="16" t="s">
        <v>2033</v>
      </c>
    </row>
    <row r="9" spans="1:24" ht="48">
      <c r="A9" s="52">
        <v>7</v>
      </c>
      <c r="B9" s="2" t="s">
        <v>31</v>
      </c>
      <c r="C9" s="49" t="s">
        <v>1058</v>
      </c>
      <c r="D9" s="58" t="s">
        <v>2034</v>
      </c>
      <c r="E9" s="16" t="s">
        <v>2035</v>
      </c>
      <c r="F9" s="16">
        <v>3</v>
      </c>
      <c r="G9" s="16">
        <v>3</v>
      </c>
      <c r="H9" s="16" t="s">
        <v>230</v>
      </c>
      <c r="I9" s="5" t="s">
        <v>304</v>
      </c>
      <c r="J9" s="16" t="s">
        <v>1577</v>
      </c>
      <c r="K9" s="5" t="s">
        <v>268</v>
      </c>
      <c r="L9" s="5" t="s">
        <v>1601</v>
      </c>
      <c r="M9" s="70" t="s">
        <v>2036</v>
      </c>
      <c r="N9" s="71">
        <v>45356</v>
      </c>
      <c r="O9" s="71">
        <v>45356</v>
      </c>
      <c r="P9" s="5" t="s">
        <v>231</v>
      </c>
      <c r="Q9" s="16" t="s">
        <v>1601</v>
      </c>
      <c r="R9" s="16" t="s">
        <v>2012</v>
      </c>
      <c r="S9" s="67">
        <v>45356</v>
      </c>
      <c r="T9" s="16" t="s">
        <v>1601</v>
      </c>
      <c r="U9" s="16" t="s">
        <v>2037</v>
      </c>
      <c r="V9" s="54"/>
      <c r="W9" s="16" t="s">
        <v>557</v>
      </c>
      <c r="X9" s="16"/>
    </row>
    <row r="10" spans="1:24" ht="24">
      <c r="A10" s="52">
        <v>8</v>
      </c>
      <c r="B10" s="2" t="s">
        <v>31</v>
      </c>
      <c r="C10" s="49" t="s">
        <v>284</v>
      </c>
      <c r="D10" s="72" t="s">
        <v>2038</v>
      </c>
      <c r="E10" s="16" t="s">
        <v>2039</v>
      </c>
      <c r="F10" s="16">
        <v>2</v>
      </c>
      <c r="G10" s="16">
        <v>2</v>
      </c>
      <c r="H10" s="16" t="s">
        <v>268</v>
      </c>
      <c r="I10" s="31" t="s">
        <v>304</v>
      </c>
      <c r="J10" s="29" t="s">
        <v>509</v>
      </c>
      <c r="K10" s="31" t="s">
        <v>2040</v>
      </c>
      <c r="L10" s="31" t="s">
        <v>1577</v>
      </c>
      <c r="M10" s="19" t="s">
        <v>93</v>
      </c>
      <c r="N10" s="31" t="s">
        <v>93</v>
      </c>
      <c r="O10" s="31" t="s">
        <v>93</v>
      </c>
      <c r="P10" s="31" t="s">
        <v>93</v>
      </c>
      <c r="Q10" s="16" t="s">
        <v>1601</v>
      </c>
      <c r="R10" s="16" t="s">
        <v>93</v>
      </c>
      <c r="S10" s="16" t="s">
        <v>93</v>
      </c>
      <c r="T10" s="16" t="s">
        <v>93</v>
      </c>
      <c r="U10" s="16" t="s">
        <v>2023</v>
      </c>
      <c r="V10" s="16" t="s">
        <v>93</v>
      </c>
      <c r="W10" s="16" t="s">
        <v>557</v>
      </c>
      <c r="X10" s="16"/>
    </row>
    <row r="11" spans="1:24">
      <c r="A11" s="52">
        <v>9</v>
      </c>
      <c r="B11" s="2" t="s">
        <v>33</v>
      </c>
      <c r="C11" s="49" t="s">
        <v>231</v>
      </c>
      <c r="D11" s="72" t="s">
        <v>2041</v>
      </c>
      <c r="E11" s="16" t="s">
        <v>2042</v>
      </c>
      <c r="F11" s="16">
        <v>1</v>
      </c>
      <c r="G11" s="16">
        <v>1</v>
      </c>
      <c r="H11" s="16" t="s">
        <v>231</v>
      </c>
      <c r="I11" s="5" t="s">
        <v>1191</v>
      </c>
      <c r="J11" s="16" t="s">
        <v>1191</v>
      </c>
      <c r="K11" s="5" t="s">
        <v>1191</v>
      </c>
      <c r="L11" s="5" t="s">
        <v>1191</v>
      </c>
      <c r="M11" s="5" t="s">
        <v>1191</v>
      </c>
      <c r="N11" s="5" t="s">
        <v>1191</v>
      </c>
      <c r="O11" s="5" t="s">
        <v>1191</v>
      </c>
      <c r="P11" s="5" t="s">
        <v>1191</v>
      </c>
      <c r="Q11" s="16" t="s">
        <v>1191</v>
      </c>
      <c r="R11" s="16" t="s">
        <v>1191</v>
      </c>
      <c r="S11" s="16" t="s">
        <v>1191</v>
      </c>
      <c r="T11" s="16" t="s">
        <v>1191</v>
      </c>
      <c r="U11" s="16" t="s">
        <v>2023</v>
      </c>
      <c r="V11" s="16" t="s">
        <v>1191</v>
      </c>
      <c r="W11" s="16" t="s">
        <v>557</v>
      </c>
      <c r="X11" s="16"/>
    </row>
  </sheetData>
  <dataValidations count="1">
    <dataValidation type="list" allowBlank="1" showErrorMessage="1" sqref="W3:W12" xr:uid="{CB372776-F513-4E19-9E8B-31040915EE17}">
      <formula1>"Open,Inprogress,Closed"</formula1>
    </dataValidation>
  </dataValidations>
  <hyperlinks>
    <hyperlink ref="M3" r:id="rId1" xr:uid="{C71FCC34-E857-4A84-AF7B-A0A7BDBD6906}"/>
    <hyperlink ref="M4" r:id="rId2" xr:uid="{E7C80421-9A5D-4F4D-940B-195FB09D1224}"/>
    <hyperlink ref="M9" r:id="rId3" xr:uid="{2D1ED32C-D4FD-4B23-92C0-0F01AC8FEDF5}"/>
    <hyperlink ref="D10" r:id="rId4" display="https://greatergiving.atlassian.net/browse/GGO-13703" xr:uid="{F3CBDCD6-BA0C-4082-9476-1A8825C626BC}"/>
    <hyperlink ref="D11" r:id="rId5" display="https://greatergiving.atlassian.net/browse/GGO-13703" xr:uid="{9DC433DF-4909-457B-BCE8-D2048A359478}"/>
    <hyperlink ref="M5" r:id="rId6" xr:uid="{DF5A270E-B4ED-43A6-9B86-ED815E7DDEC8}"/>
    <hyperlink ref="M6" r:id="rId7" xr:uid="{5CF7DDBF-05CC-4FA1-87E1-10C55EE92393}"/>
    <hyperlink ref="M8" r:id="rId8" xr:uid="{636B35D7-51D6-4BD4-94E8-D4C059A54534}"/>
    <hyperlink ref="M7" r:id="rId9" xr:uid="{AB439F30-0BFF-4FD9-99D9-0055E7C404AF}"/>
  </hyperlinks>
  <pageMargins left="0" right="0" top="0" bottom="0" header="0" footer="0"/>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F961E-F63E-4A91-B1D5-85366E875810}">
  <sheetPr>
    <outlinePr summaryBelow="0" summaryRight="0"/>
  </sheetPr>
  <dimension ref="A2:X10"/>
  <sheetViews>
    <sheetView showGridLines="0" workbookViewId="0">
      <pane xSplit="5" ySplit="2" topLeftCell="U4" activePane="bottomRight" state="frozen"/>
      <selection pane="bottomRight" activeCell="U4" sqref="U4"/>
      <selection pane="bottomLeft" activeCell="A3" sqref="A3"/>
      <selection pane="topRight" activeCell="F1" sqref="F1"/>
    </sheetView>
  </sheetViews>
  <sheetFormatPr defaultColWidth="12.5703125" defaultRowHeight="12.75"/>
  <cols>
    <col min="1" max="1" width="4.28515625" style="43" customWidth="1"/>
    <col min="2" max="2" width="11.140625" style="43" bestFit="1" customWidth="1"/>
    <col min="3" max="3" width="23" style="43" bestFit="1" customWidth="1"/>
    <col min="4" max="4" width="12.85546875" style="62" bestFit="1"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7.5703125" style="43" customWidth="1"/>
    <col min="12" max="12" width="40" style="43" customWidth="1"/>
    <col min="13" max="13" width="25.42578125" style="43" customWidth="1"/>
    <col min="14" max="15" width="12.5703125" style="43" customWidth="1"/>
    <col min="16" max="16" width="14" style="43" bestFit="1" customWidth="1"/>
    <col min="17" max="17" width="46.28515625" style="43" customWidth="1"/>
    <col min="18" max="18" width="10.140625"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18" style="43"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23" t="s">
        <v>263</v>
      </c>
      <c r="T2" s="1" t="s">
        <v>261</v>
      </c>
      <c r="U2" s="1" t="s">
        <v>265</v>
      </c>
      <c r="V2" s="1" t="s">
        <v>266</v>
      </c>
      <c r="W2" s="1" t="s">
        <v>246</v>
      </c>
      <c r="X2" s="3" t="s">
        <v>267</v>
      </c>
    </row>
    <row r="3" spans="1:24" ht="48">
      <c r="A3" s="44">
        <v>1</v>
      </c>
      <c r="B3" s="5" t="s">
        <v>2043</v>
      </c>
      <c r="C3" s="45" t="s">
        <v>2044</v>
      </c>
      <c r="D3" s="58" t="s">
        <v>2045</v>
      </c>
      <c r="E3" s="46" t="s">
        <v>2046</v>
      </c>
      <c r="F3" s="8">
        <v>5</v>
      </c>
      <c r="G3" s="8">
        <v>5</v>
      </c>
      <c r="H3" s="16"/>
      <c r="I3" s="31" t="s">
        <v>2047</v>
      </c>
      <c r="J3" s="29"/>
      <c r="K3" s="31" t="s">
        <v>1058</v>
      </c>
      <c r="L3" s="31"/>
      <c r="M3" s="63" t="s">
        <v>2048</v>
      </c>
      <c r="N3" s="47">
        <v>45337</v>
      </c>
      <c r="O3" s="47">
        <v>45338</v>
      </c>
      <c r="P3" s="5" t="s">
        <v>231</v>
      </c>
      <c r="Q3" s="16"/>
      <c r="R3" s="16" t="s">
        <v>1935</v>
      </c>
      <c r="S3" s="47">
        <v>45338</v>
      </c>
      <c r="T3" s="16"/>
      <c r="U3" s="16" t="s">
        <v>2023</v>
      </c>
      <c r="V3" s="16"/>
      <c r="W3" s="16" t="s">
        <v>557</v>
      </c>
      <c r="X3" s="16"/>
    </row>
    <row r="4" spans="1:24" ht="60">
      <c r="A4" s="44">
        <v>2</v>
      </c>
      <c r="B4" s="5" t="s">
        <v>2043</v>
      </c>
      <c r="C4" s="49" t="s">
        <v>2014</v>
      </c>
      <c r="D4" s="58" t="s">
        <v>2038</v>
      </c>
      <c r="E4" s="46" t="s">
        <v>2039</v>
      </c>
      <c r="F4" s="8">
        <v>3</v>
      </c>
      <c r="G4" s="8">
        <v>2</v>
      </c>
      <c r="H4" s="16"/>
      <c r="I4" s="31" t="s">
        <v>304</v>
      </c>
      <c r="J4" s="29"/>
      <c r="K4" s="31" t="s">
        <v>268</v>
      </c>
      <c r="L4" s="31"/>
      <c r="M4" s="20"/>
      <c r="N4" s="50"/>
      <c r="O4" s="50"/>
      <c r="P4" s="31"/>
      <c r="Q4" s="16"/>
      <c r="R4" s="16"/>
      <c r="S4" s="30"/>
      <c r="T4" s="16"/>
      <c r="U4" s="16" t="s">
        <v>2049</v>
      </c>
      <c r="V4" s="16"/>
      <c r="W4" s="16" t="s">
        <v>1015</v>
      </c>
      <c r="X4" s="16"/>
    </row>
    <row r="5" spans="1:24" ht="48">
      <c r="A5" s="44">
        <v>3</v>
      </c>
      <c r="B5" s="5" t="s">
        <v>2043</v>
      </c>
      <c r="C5" s="49" t="s">
        <v>284</v>
      </c>
      <c r="D5" s="58" t="s">
        <v>2050</v>
      </c>
      <c r="E5" s="51" t="s">
        <v>2051</v>
      </c>
      <c r="F5" s="8">
        <v>1</v>
      </c>
      <c r="G5" s="8">
        <v>1</v>
      </c>
      <c r="H5" s="16" t="s">
        <v>1590</v>
      </c>
      <c r="I5" s="31" t="s">
        <v>2010</v>
      </c>
      <c r="J5" s="29" t="s">
        <v>1577</v>
      </c>
      <c r="K5" s="31" t="s">
        <v>268</v>
      </c>
      <c r="L5" s="31" t="s">
        <v>1601</v>
      </c>
      <c r="M5" s="63" t="s">
        <v>2052</v>
      </c>
      <c r="N5" s="68">
        <v>45336</v>
      </c>
      <c r="O5" s="68">
        <v>45337</v>
      </c>
      <c r="P5" s="31" t="s">
        <v>231</v>
      </c>
      <c r="Q5" s="16" t="s">
        <v>2053</v>
      </c>
      <c r="R5" s="16" t="s">
        <v>1935</v>
      </c>
      <c r="S5" s="67">
        <v>45337</v>
      </c>
      <c r="T5" s="16" t="s">
        <v>1601</v>
      </c>
      <c r="U5" s="16" t="s">
        <v>1989</v>
      </c>
      <c r="V5" s="16" t="s">
        <v>1601</v>
      </c>
      <c r="W5" s="16" t="s">
        <v>557</v>
      </c>
      <c r="X5" s="16"/>
    </row>
    <row r="6" spans="1:24" ht="60">
      <c r="A6" s="44">
        <v>4</v>
      </c>
      <c r="B6" s="5" t="s">
        <v>2043</v>
      </c>
      <c r="C6" s="49" t="s">
        <v>1058</v>
      </c>
      <c r="D6" s="58" t="s">
        <v>2054</v>
      </c>
      <c r="E6" s="46" t="s">
        <v>2055</v>
      </c>
      <c r="F6" s="8">
        <v>5</v>
      </c>
      <c r="G6" s="8">
        <v>5</v>
      </c>
      <c r="H6" s="16" t="s">
        <v>230</v>
      </c>
      <c r="I6" s="31" t="s">
        <v>2010</v>
      </c>
      <c r="J6" s="29" t="s">
        <v>1577</v>
      </c>
      <c r="K6" s="31" t="s">
        <v>268</v>
      </c>
      <c r="L6" s="31" t="s">
        <v>1601</v>
      </c>
      <c r="M6" s="63" t="s">
        <v>2056</v>
      </c>
      <c r="N6" s="47">
        <v>45334</v>
      </c>
      <c r="O6" s="47">
        <v>45337</v>
      </c>
      <c r="P6" s="31" t="s">
        <v>231</v>
      </c>
      <c r="Q6" s="16"/>
      <c r="R6" s="16" t="s">
        <v>1935</v>
      </c>
      <c r="S6" s="67">
        <v>45337</v>
      </c>
      <c r="T6" s="16" t="s">
        <v>2057</v>
      </c>
      <c r="U6" s="16" t="s">
        <v>2058</v>
      </c>
      <c r="V6" s="16" t="s">
        <v>1601</v>
      </c>
      <c r="W6" s="16" t="s">
        <v>557</v>
      </c>
      <c r="X6" s="16"/>
    </row>
    <row r="7" spans="1:24" ht="48">
      <c r="A7" s="44">
        <v>5</v>
      </c>
      <c r="B7" s="5" t="s">
        <v>2043</v>
      </c>
      <c r="C7" s="45" t="s">
        <v>1313</v>
      </c>
      <c r="D7" s="58" t="s">
        <v>2059</v>
      </c>
      <c r="E7" s="51" t="s">
        <v>2060</v>
      </c>
      <c r="F7" s="8">
        <v>2</v>
      </c>
      <c r="G7" s="8">
        <v>2</v>
      </c>
      <c r="H7" s="16" t="s">
        <v>1590</v>
      </c>
      <c r="I7" s="31" t="s">
        <v>2010</v>
      </c>
      <c r="J7" s="32" t="s">
        <v>1577</v>
      </c>
      <c r="K7" s="31" t="s">
        <v>268</v>
      </c>
      <c r="L7" s="31" t="s">
        <v>1601</v>
      </c>
      <c r="M7" s="63" t="s">
        <v>2052</v>
      </c>
      <c r="N7" s="50">
        <v>45336</v>
      </c>
      <c r="O7" s="50">
        <v>45337</v>
      </c>
      <c r="P7" s="31" t="s">
        <v>231</v>
      </c>
      <c r="Q7" s="40" t="s">
        <v>1601</v>
      </c>
      <c r="R7" s="16" t="s">
        <v>1935</v>
      </c>
      <c r="S7" s="34">
        <v>45337</v>
      </c>
      <c r="T7" s="16" t="s">
        <v>1601</v>
      </c>
      <c r="U7" s="16" t="s">
        <v>1601</v>
      </c>
      <c r="V7" s="16" t="s">
        <v>1601</v>
      </c>
      <c r="W7" s="16" t="s">
        <v>557</v>
      </c>
      <c r="X7" s="16" t="s">
        <v>2061</v>
      </c>
    </row>
    <row r="8" spans="1:24" ht="48">
      <c r="A8" s="44">
        <v>6</v>
      </c>
      <c r="B8" s="5" t="s">
        <v>2043</v>
      </c>
      <c r="C8" s="45" t="s">
        <v>1058</v>
      </c>
      <c r="D8" s="58" t="s">
        <v>2062</v>
      </c>
      <c r="E8" s="51" t="s">
        <v>2063</v>
      </c>
      <c r="F8" s="8">
        <v>2</v>
      </c>
      <c r="G8" s="8">
        <v>2</v>
      </c>
      <c r="H8" s="16" t="s">
        <v>230</v>
      </c>
      <c r="I8" s="31" t="s">
        <v>1191</v>
      </c>
      <c r="J8" s="29" t="s">
        <v>1191</v>
      </c>
      <c r="K8" s="31" t="s">
        <v>1191</v>
      </c>
      <c r="L8" s="31" t="s">
        <v>1191</v>
      </c>
      <c r="M8" s="63" t="s">
        <v>2064</v>
      </c>
      <c r="N8" s="50">
        <v>45343</v>
      </c>
      <c r="O8" s="50">
        <v>45343</v>
      </c>
      <c r="P8" s="31" t="s">
        <v>231</v>
      </c>
      <c r="Q8" s="16" t="s">
        <v>2065</v>
      </c>
      <c r="R8" s="16" t="s">
        <v>1935</v>
      </c>
      <c r="S8" s="34">
        <v>45343</v>
      </c>
      <c r="T8" s="16" t="s">
        <v>1601</v>
      </c>
      <c r="U8" s="5" t="s">
        <v>1989</v>
      </c>
      <c r="V8" s="49" t="s">
        <v>1601</v>
      </c>
      <c r="W8" s="16" t="s">
        <v>557</v>
      </c>
      <c r="X8" s="16"/>
    </row>
    <row r="9" spans="1:24" ht="24">
      <c r="A9" s="44">
        <v>7</v>
      </c>
      <c r="B9" s="5" t="s">
        <v>2043</v>
      </c>
      <c r="C9" s="45" t="s">
        <v>2066</v>
      </c>
      <c r="D9" s="58" t="s">
        <v>2067</v>
      </c>
      <c r="E9" s="51" t="s">
        <v>2068</v>
      </c>
      <c r="F9" s="8">
        <v>3</v>
      </c>
      <c r="G9" s="8">
        <v>3</v>
      </c>
      <c r="H9" s="16" t="s">
        <v>230</v>
      </c>
      <c r="I9" s="31" t="s">
        <v>304</v>
      </c>
      <c r="J9" s="29" t="s">
        <v>1191</v>
      </c>
      <c r="K9" s="31" t="s">
        <v>1191</v>
      </c>
      <c r="L9" s="31" t="s">
        <v>1191</v>
      </c>
      <c r="M9" s="31" t="s">
        <v>1191</v>
      </c>
      <c r="N9" s="31" t="s">
        <v>1191</v>
      </c>
      <c r="O9" s="31" t="s">
        <v>1191</v>
      </c>
      <c r="P9" s="31" t="s">
        <v>1191</v>
      </c>
      <c r="Q9" s="31" t="s">
        <v>1191</v>
      </c>
      <c r="R9" s="31" t="s">
        <v>1191</v>
      </c>
      <c r="S9" s="31" t="s">
        <v>1191</v>
      </c>
      <c r="T9" s="31" t="s">
        <v>1191</v>
      </c>
      <c r="U9" s="31" t="s">
        <v>1989</v>
      </c>
      <c r="V9" s="31" t="s">
        <v>1191</v>
      </c>
      <c r="W9" s="16" t="s">
        <v>557</v>
      </c>
      <c r="X9" s="16" t="s">
        <v>2069</v>
      </c>
    </row>
    <row r="10" spans="1:24" ht="60">
      <c r="A10" s="52">
        <v>8</v>
      </c>
      <c r="B10" s="5" t="s">
        <v>2043</v>
      </c>
      <c r="C10" s="45" t="s">
        <v>2066</v>
      </c>
      <c r="D10" s="60" t="s">
        <v>2070</v>
      </c>
      <c r="E10" s="53" t="s">
        <v>2071</v>
      </c>
      <c r="F10" s="16">
        <v>2</v>
      </c>
      <c r="G10" s="16">
        <v>2</v>
      </c>
      <c r="H10" s="16" t="s">
        <v>231</v>
      </c>
      <c r="I10" s="31" t="s">
        <v>304</v>
      </c>
      <c r="J10" s="29" t="s">
        <v>1191</v>
      </c>
      <c r="K10" s="31" t="s">
        <v>1191</v>
      </c>
      <c r="L10" s="31" t="s">
        <v>1191</v>
      </c>
      <c r="M10" s="31" t="s">
        <v>1191</v>
      </c>
      <c r="N10" s="31" t="s">
        <v>1191</v>
      </c>
      <c r="O10" s="31" t="s">
        <v>1191</v>
      </c>
      <c r="P10" s="31" t="s">
        <v>1191</v>
      </c>
      <c r="Q10" s="31" t="s">
        <v>1191</v>
      </c>
      <c r="R10" s="31" t="s">
        <v>1191</v>
      </c>
      <c r="S10" s="31" t="s">
        <v>1191</v>
      </c>
      <c r="T10" s="31" t="s">
        <v>1191</v>
      </c>
      <c r="U10" s="31" t="s">
        <v>1989</v>
      </c>
      <c r="V10" s="31" t="s">
        <v>1191</v>
      </c>
      <c r="W10" s="16" t="s">
        <v>557</v>
      </c>
      <c r="X10" s="16" t="s">
        <v>2072</v>
      </c>
    </row>
  </sheetData>
  <dataValidations count="1">
    <dataValidation type="list" allowBlank="1" showErrorMessage="1" sqref="W3:W15" xr:uid="{5632ED69-18CA-40F9-865C-CA7477F09A78}">
      <formula1>"Open,Inprogress,Closed"</formula1>
    </dataValidation>
  </dataValidations>
  <hyperlinks>
    <hyperlink ref="M3" r:id="rId1" xr:uid="{EFF4C93C-9376-4071-BC63-DD7BE38DE59B}"/>
    <hyperlink ref="M6" r:id="rId2" xr:uid="{4CAE46C1-2C5C-4DBB-9182-7D620FBF88B4}"/>
    <hyperlink ref="M5" r:id="rId3" xr:uid="{C105641E-C7B7-4076-B53D-E8D73B66B46C}"/>
    <hyperlink ref="M7" r:id="rId4" xr:uid="{0847EAD3-CC52-4E9C-879D-AA193E6DB21A}"/>
    <hyperlink ref="M8" r:id="rId5" xr:uid="{B48EBDAB-041A-4033-A439-7F46909BC661}"/>
  </hyperlinks>
  <pageMargins left="0" right="0" top="0" bottom="0" header="0" footer="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628E3-CB20-41FD-B9A6-D001B54EB63A}">
  <sheetPr>
    <outlinePr summaryBelow="0" summaryRight="0"/>
  </sheetPr>
  <dimension ref="A1:K4"/>
  <sheetViews>
    <sheetView workbookViewId="0">
      <selection activeCell="D7" sqref="D7"/>
    </sheetView>
  </sheetViews>
  <sheetFormatPr defaultColWidth="12.5703125" defaultRowHeight="15" customHeight="1"/>
  <cols>
    <col min="1" max="1" width="12.5703125" customWidth="1"/>
    <col min="2" max="2" width="21.42578125" customWidth="1"/>
    <col min="3" max="3" width="12.5703125" customWidth="1"/>
    <col min="4" max="4" width="19.140625" customWidth="1"/>
    <col min="5" max="5" width="12.5703125" customWidth="1"/>
    <col min="6" max="6" width="41.140625" customWidth="1"/>
  </cols>
  <sheetData>
    <row r="1" spans="1:11" ht="32.25" customHeight="1">
      <c r="A1" s="1" t="s">
        <v>241</v>
      </c>
      <c r="B1" s="24" t="s">
        <v>11</v>
      </c>
      <c r="C1" s="25" t="s">
        <v>289</v>
      </c>
      <c r="D1" s="24" t="s">
        <v>243</v>
      </c>
      <c r="E1" s="25" t="s">
        <v>291</v>
      </c>
      <c r="F1" s="25" t="s">
        <v>292</v>
      </c>
      <c r="G1" s="24" t="s">
        <v>293</v>
      </c>
      <c r="H1" s="24" t="s">
        <v>295</v>
      </c>
      <c r="I1" s="24" t="s">
        <v>246</v>
      </c>
      <c r="J1" s="26" t="s">
        <v>296</v>
      </c>
      <c r="K1" s="27" t="s">
        <v>267</v>
      </c>
    </row>
    <row r="2" spans="1:11" ht="56.25" customHeight="1">
      <c r="A2" s="4">
        <v>1</v>
      </c>
      <c r="B2" s="2" t="s">
        <v>31</v>
      </c>
      <c r="C2" s="69" t="s">
        <v>2073</v>
      </c>
      <c r="D2" s="11" t="s">
        <v>268</v>
      </c>
      <c r="E2" s="12" t="s">
        <v>753</v>
      </c>
      <c r="F2" s="29" t="s">
        <v>2074</v>
      </c>
      <c r="G2" s="12" t="s">
        <v>562</v>
      </c>
      <c r="H2" s="12" t="s">
        <v>556</v>
      </c>
      <c r="I2" s="12" t="s">
        <v>557</v>
      </c>
      <c r="J2" s="12" t="s">
        <v>1011</v>
      </c>
      <c r="K2" s="12"/>
    </row>
    <row r="3" spans="1:11" ht="45" customHeight="1">
      <c r="A3" s="4">
        <v>2</v>
      </c>
      <c r="B3" s="2" t="s">
        <v>31</v>
      </c>
      <c r="C3" s="69" t="s">
        <v>2075</v>
      </c>
      <c r="D3" s="11" t="s">
        <v>281</v>
      </c>
      <c r="E3" s="12" t="s">
        <v>753</v>
      </c>
      <c r="F3" s="29" t="s">
        <v>2076</v>
      </c>
      <c r="G3" s="12" t="s">
        <v>562</v>
      </c>
      <c r="H3" s="12" t="s">
        <v>556</v>
      </c>
      <c r="I3" s="12" t="s">
        <v>557</v>
      </c>
      <c r="J3" s="12" t="s">
        <v>1011</v>
      </c>
      <c r="K3" s="12"/>
    </row>
    <row r="4" spans="1:11" ht="15.75" customHeight="1">
      <c r="A4" s="4">
        <v>3</v>
      </c>
      <c r="B4" s="2" t="s">
        <v>31</v>
      </c>
      <c r="C4" s="69" t="s">
        <v>2077</v>
      </c>
      <c r="D4" s="11" t="s">
        <v>281</v>
      </c>
      <c r="E4" s="12" t="s">
        <v>753</v>
      </c>
      <c r="F4" s="29" t="s">
        <v>2078</v>
      </c>
      <c r="G4" s="12" t="s">
        <v>562</v>
      </c>
      <c r="H4" s="12" t="s">
        <v>556</v>
      </c>
      <c r="I4" s="12" t="s">
        <v>1015</v>
      </c>
      <c r="J4" s="12" t="s">
        <v>1011</v>
      </c>
      <c r="K4" s="12"/>
    </row>
  </sheetData>
  <dataValidations count="4">
    <dataValidation type="list" allowBlank="1" showErrorMessage="1" sqref="G2:G5" xr:uid="{C33F4D69-6776-497E-B9D9-E30F3167215F}">
      <formula1>"Minor,Significant,Major"</formula1>
    </dataValidation>
    <dataValidation type="list" allowBlank="1" showErrorMessage="1" sqref="I2:I5" xr:uid="{E0F37848-198C-4396-8DBE-544EBAF0BD66}">
      <formula1>"Open,Inprogress,Closed"</formula1>
    </dataValidation>
    <dataValidation type="list" allowBlank="1" showErrorMessage="1" sqref="E2:E5" xr:uid="{88E6424A-BA84-4E23-A9B3-24D8422E1431}">
      <formula1>"Bounceback,Defect,None"</formula1>
    </dataValidation>
    <dataValidation type="list" allowBlank="1" showErrorMessage="1" sqref="H2:H5" xr:uid="{A3CB6EF4-AE37-4DD5-BE86-7E9AC47E460F}">
      <formula1>"Internal,External"</formula1>
    </dataValidation>
  </dataValidations>
  <hyperlinks>
    <hyperlink ref="C2" r:id="rId1" display="https://greatergiving.atlassian.net/browse/GGO-13821" xr:uid="{CC52B3B5-FD56-4078-B5D1-CC65EC106F2A}"/>
    <hyperlink ref="C3" r:id="rId2" display="https://greatergiving.atlassian.net/browse/GGO-13825" xr:uid="{C5C7A27A-8C4A-4FBB-A341-58851DF79157}"/>
    <hyperlink ref="C4" r:id="rId3" display="https://greatergiving.atlassian.net/browse/GGO-13828" xr:uid="{95DE1C3C-5978-4DBA-A3CE-B5905738DBC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8642C235-E2C8-4B63-8034-B3063F2EB7B0}">
          <x14:formula1>
            <xm:f>Details!$A$2:$A$10</xm:f>
          </x14:formula1>
          <xm:sqref>J2:J5</xm:sqref>
        </x14:dataValidation>
      </x14:dataValidations>
    </ext>
  </extLst>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2CE7B-9C29-44B6-9757-AB98B7B50C48}">
  <sheetPr>
    <outlinePr summaryBelow="0" summaryRight="0"/>
  </sheetPr>
  <dimension ref="A1:K3"/>
  <sheetViews>
    <sheetView workbookViewId="0">
      <selection activeCell="F15" sqref="F15:F20"/>
    </sheetView>
  </sheetViews>
  <sheetFormatPr defaultColWidth="12.5703125" defaultRowHeight="15" customHeight="1"/>
  <cols>
    <col min="1" max="3" width="12.5703125" customWidth="1"/>
    <col min="4" max="4" width="19.140625" customWidth="1"/>
    <col min="5" max="5" width="12.5703125" customWidth="1"/>
    <col min="6" max="6" width="41.140625" customWidth="1"/>
  </cols>
  <sheetData>
    <row r="1" spans="1:11" ht="32.25" customHeight="1">
      <c r="A1" s="1" t="s">
        <v>241</v>
      </c>
      <c r="B1" s="24" t="s">
        <v>11</v>
      </c>
      <c r="C1" s="25" t="s">
        <v>289</v>
      </c>
      <c r="D1" s="24" t="s">
        <v>243</v>
      </c>
      <c r="E1" s="25" t="s">
        <v>291</v>
      </c>
      <c r="F1" s="25" t="s">
        <v>292</v>
      </c>
      <c r="G1" s="24" t="s">
        <v>293</v>
      </c>
      <c r="H1" s="24" t="s">
        <v>295</v>
      </c>
      <c r="I1" s="24" t="s">
        <v>246</v>
      </c>
      <c r="J1" s="26" t="s">
        <v>296</v>
      </c>
      <c r="K1" s="27" t="s">
        <v>267</v>
      </c>
    </row>
    <row r="2" spans="1:11" ht="56.25" customHeight="1">
      <c r="A2" s="4">
        <v>1</v>
      </c>
      <c r="B2" s="5" t="s">
        <v>2043</v>
      </c>
      <c r="C2" s="39" t="s">
        <v>2059</v>
      </c>
      <c r="D2" s="11" t="s">
        <v>230</v>
      </c>
      <c r="E2" s="12" t="s">
        <v>753</v>
      </c>
      <c r="F2" s="29" t="s">
        <v>2060</v>
      </c>
      <c r="G2" s="12" t="s">
        <v>562</v>
      </c>
      <c r="H2" s="12" t="s">
        <v>556</v>
      </c>
      <c r="I2" s="12" t="s">
        <v>557</v>
      </c>
      <c r="J2" s="12" t="s">
        <v>1011</v>
      </c>
      <c r="K2" s="12"/>
    </row>
    <row r="3" spans="1:11" ht="45" customHeight="1">
      <c r="A3" s="4">
        <v>2</v>
      </c>
      <c r="B3" s="5" t="s">
        <v>2043</v>
      </c>
      <c r="C3" s="39" t="s">
        <v>2079</v>
      </c>
      <c r="D3" s="11" t="s">
        <v>230</v>
      </c>
      <c r="E3" s="12" t="s">
        <v>753</v>
      </c>
      <c r="F3" s="29" t="s">
        <v>2080</v>
      </c>
      <c r="G3" s="12" t="s">
        <v>554</v>
      </c>
      <c r="H3" s="12" t="s">
        <v>556</v>
      </c>
      <c r="I3" s="12" t="s">
        <v>557</v>
      </c>
      <c r="J3" s="12" t="s">
        <v>1011</v>
      </c>
      <c r="K3" s="12"/>
    </row>
  </sheetData>
  <dataValidations count="4">
    <dataValidation type="list" allowBlank="1" showErrorMessage="1" sqref="H2:H5" xr:uid="{432632B6-7BBE-4EBF-A08F-DA09FF1E8CB6}">
      <formula1>"Internal,External"</formula1>
    </dataValidation>
    <dataValidation type="list" allowBlank="1" showErrorMessage="1" sqref="E2:E5" xr:uid="{A4FBA862-E6DA-4EDE-9827-E4610EA7B6BB}">
      <formula1>"Bounceback,Defect,None"</formula1>
    </dataValidation>
    <dataValidation type="list" allowBlank="1" showErrorMessage="1" sqref="I2:I5" xr:uid="{76792730-6AF4-4820-BAFC-4FCF65E93292}">
      <formula1>"Open,Inprogress,Closed"</formula1>
    </dataValidation>
    <dataValidation type="list" allowBlank="1" showErrorMessage="1" sqref="G2:G5" xr:uid="{D9B167C8-7FB7-4E95-BBB3-88A051C2A5E3}">
      <formula1>"Minor,Significant,Major"</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735E38A3-11D3-4C3A-8E56-BE98D87CD871}">
          <x14:formula1>
            <xm:f>Details!$A$2:$A$10</xm:f>
          </x14:formula1>
          <xm:sqref>J2:J5</xm:sqref>
        </x14:dataValidation>
      </x14:dataValidations>
    </ext>
  </extLst>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2:X10"/>
  <sheetViews>
    <sheetView showGridLines="0" workbookViewId="0">
      <pane xSplit="5" ySplit="2" topLeftCell="F7" activePane="bottomRight" state="frozen"/>
      <selection pane="bottomRight" activeCell="E7" sqref="E7"/>
      <selection pane="bottomLeft" activeCell="A3" sqref="A3"/>
      <selection pane="topRight" activeCell="F1" sqref="F1"/>
    </sheetView>
  </sheetViews>
  <sheetFormatPr defaultColWidth="12.5703125" defaultRowHeight="12.75"/>
  <cols>
    <col min="1" max="1" width="4.28515625" style="43" customWidth="1"/>
    <col min="2" max="2" width="11.140625" style="43" bestFit="1" customWidth="1"/>
    <col min="3" max="3" width="23" style="43" bestFit="1" customWidth="1"/>
    <col min="4" max="4" width="12.85546875" style="62" bestFit="1" customWidth="1"/>
    <col min="5" max="5" width="53.85546875" style="43" bestFit="1" customWidth="1"/>
    <col min="6" max="6" width="15.140625" style="43" bestFit="1" customWidth="1"/>
    <col min="7" max="7" width="12.140625" style="43" bestFit="1" customWidth="1"/>
    <col min="8" max="8" width="14.140625" style="43" bestFit="1" customWidth="1"/>
    <col min="9" max="9" width="22.85546875" style="43" bestFit="1" customWidth="1"/>
    <col min="10" max="10" width="22" style="43" bestFit="1" customWidth="1"/>
    <col min="11" max="11" width="12.5703125" style="43" customWidth="1"/>
    <col min="12" max="12" width="40" style="43" customWidth="1"/>
    <col min="13" max="13" width="25.42578125" style="43" customWidth="1"/>
    <col min="14" max="15" width="12.5703125" style="43" customWidth="1"/>
    <col min="16" max="16" width="14" style="43" bestFit="1" customWidth="1"/>
    <col min="17" max="17" width="46.28515625" style="43" customWidth="1"/>
    <col min="18" max="18" width="10.140625" style="43" customWidth="1"/>
    <col min="19" max="19" width="13.7109375" style="43" bestFit="1" customWidth="1"/>
    <col min="20" max="20" width="25.42578125" style="43" bestFit="1" customWidth="1"/>
    <col min="21" max="21" width="23.42578125" style="43" bestFit="1" customWidth="1"/>
    <col min="22" max="22" width="21.7109375" style="43" bestFit="1" customWidth="1"/>
    <col min="23" max="23" width="9.85546875" style="43" bestFit="1" customWidth="1"/>
    <col min="24" max="24" width="9.42578125" style="43" bestFit="1" customWidth="1"/>
    <col min="25" max="16384" width="12.5703125" style="43"/>
  </cols>
  <sheetData>
    <row r="2" spans="1:24" ht="27">
      <c r="A2" s="1" t="s">
        <v>241</v>
      </c>
      <c r="B2" s="1" t="s">
        <v>242</v>
      </c>
      <c r="C2" s="1" t="s">
        <v>243</v>
      </c>
      <c r="D2" s="57" t="s">
        <v>244</v>
      </c>
      <c r="E2" s="1" t="s">
        <v>245</v>
      </c>
      <c r="F2" s="1" t="s">
        <v>1438</v>
      </c>
      <c r="G2" s="1" t="s">
        <v>1439</v>
      </c>
      <c r="H2" s="1" t="s">
        <v>252</v>
      </c>
      <c r="I2" s="1" t="s">
        <v>253</v>
      </c>
      <c r="J2" s="1" t="s">
        <v>254</v>
      </c>
      <c r="K2" s="1" t="s">
        <v>255</v>
      </c>
      <c r="L2" s="1" t="s">
        <v>256</v>
      </c>
      <c r="M2" s="1" t="s">
        <v>257</v>
      </c>
      <c r="N2" s="1" t="s">
        <v>258</v>
      </c>
      <c r="O2" s="1" t="s">
        <v>259</v>
      </c>
      <c r="P2" s="1" t="s">
        <v>260</v>
      </c>
      <c r="Q2" s="1" t="s">
        <v>261</v>
      </c>
      <c r="R2" s="1" t="s">
        <v>262</v>
      </c>
      <c r="S2" s="23" t="s">
        <v>263</v>
      </c>
      <c r="T2" s="1" t="s">
        <v>261</v>
      </c>
      <c r="U2" s="1" t="s">
        <v>265</v>
      </c>
      <c r="V2" s="1" t="s">
        <v>266</v>
      </c>
      <c r="W2" s="1" t="s">
        <v>246</v>
      </c>
      <c r="X2" s="3" t="s">
        <v>267</v>
      </c>
    </row>
    <row r="3" spans="1:24" ht="48">
      <c r="A3" s="44">
        <v>1</v>
      </c>
      <c r="B3" s="5" t="s">
        <v>2043</v>
      </c>
      <c r="C3" s="45" t="s">
        <v>268</v>
      </c>
      <c r="D3" s="58" t="s">
        <v>2081</v>
      </c>
      <c r="E3" s="46" t="s">
        <v>2082</v>
      </c>
      <c r="F3" s="8">
        <v>2</v>
      </c>
      <c r="G3" s="8">
        <v>2</v>
      </c>
      <c r="H3" s="16" t="s">
        <v>268</v>
      </c>
      <c r="I3" s="31" t="s">
        <v>2083</v>
      </c>
      <c r="J3" s="29" t="s">
        <v>1601</v>
      </c>
      <c r="K3" s="31" t="s">
        <v>231</v>
      </c>
      <c r="L3" s="31" t="s">
        <v>1577</v>
      </c>
      <c r="M3" s="20" t="s">
        <v>2084</v>
      </c>
      <c r="N3" s="47">
        <v>45309</v>
      </c>
      <c r="O3" s="48" t="s">
        <v>2085</v>
      </c>
      <c r="P3" s="5" t="s">
        <v>231</v>
      </c>
      <c r="Q3" s="16" t="s">
        <v>1601</v>
      </c>
      <c r="R3" s="16" t="s">
        <v>2086</v>
      </c>
      <c r="S3" s="30">
        <v>45311</v>
      </c>
      <c r="T3" s="16" t="s">
        <v>1601</v>
      </c>
      <c r="U3" s="16" t="s">
        <v>1601</v>
      </c>
      <c r="V3" s="16" t="s">
        <v>1601</v>
      </c>
      <c r="W3" s="16" t="s">
        <v>557</v>
      </c>
      <c r="X3" s="16"/>
    </row>
    <row r="4" spans="1:24" ht="48">
      <c r="A4" s="44">
        <v>2</v>
      </c>
      <c r="B4" s="5" t="s">
        <v>2043</v>
      </c>
      <c r="C4" s="49" t="s">
        <v>268</v>
      </c>
      <c r="D4" s="58" t="s">
        <v>2087</v>
      </c>
      <c r="E4" s="46" t="s">
        <v>2088</v>
      </c>
      <c r="F4" s="8">
        <v>3</v>
      </c>
      <c r="G4" s="8">
        <v>3</v>
      </c>
      <c r="H4" s="16" t="s">
        <v>268</v>
      </c>
      <c r="I4" s="31" t="s">
        <v>1781</v>
      </c>
      <c r="J4" s="29" t="s">
        <v>1601</v>
      </c>
      <c r="K4" s="31" t="s">
        <v>231</v>
      </c>
      <c r="L4" s="31" t="s">
        <v>1577</v>
      </c>
      <c r="M4" s="20" t="s">
        <v>2089</v>
      </c>
      <c r="N4" s="50">
        <v>45324</v>
      </c>
      <c r="O4" s="50">
        <v>45324</v>
      </c>
      <c r="P4" s="31" t="s">
        <v>231</v>
      </c>
      <c r="Q4" s="16" t="s">
        <v>1601</v>
      </c>
      <c r="R4" s="16" t="s">
        <v>2086</v>
      </c>
      <c r="S4" s="30">
        <v>45311</v>
      </c>
      <c r="T4" s="16" t="s">
        <v>1601</v>
      </c>
      <c r="U4" s="16" t="s">
        <v>1601</v>
      </c>
      <c r="V4" s="16" t="s">
        <v>1601</v>
      </c>
      <c r="W4" s="16" t="s">
        <v>557</v>
      </c>
      <c r="X4" s="16"/>
    </row>
    <row r="5" spans="1:24" ht="16.5">
      <c r="A5" s="44">
        <v>3</v>
      </c>
      <c r="B5" s="5" t="s">
        <v>2043</v>
      </c>
      <c r="C5" s="49" t="s">
        <v>284</v>
      </c>
      <c r="D5" s="58" t="s">
        <v>2090</v>
      </c>
      <c r="E5" s="51" t="s">
        <v>2091</v>
      </c>
      <c r="F5" s="8">
        <v>2</v>
      </c>
      <c r="G5" s="8">
        <v>2</v>
      </c>
      <c r="H5" s="16" t="s">
        <v>304</v>
      </c>
      <c r="I5" s="31" t="s">
        <v>304</v>
      </c>
      <c r="J5" s="29" t="s">
        <v>509</v>
      </c>
      <c r="K5" s="31" t="s">
        <v>231</v>
      </c>
      <c r="L5" s="31" t="s">
        <v>1577</v>
      </c>
      <c r="M5" s="19" t="s">
        <v>93</v>
      </c>
      <c r="N5" s="31" t="s">
        <v>93</v>
      </c>
      <c r="O5" s="31" t="s">
        <v>93</v>
      </c>
      <c r="P5" s="31" t="s">
        <v>93</v>
      </c>
      <c r="Q5" s="16" t="s">
        <v>1601</v>
      </c>
      <c r="R5" s="16" t="s">
        <v>93</v>
      </c>
      <c r="S5" s="16" t="s">
        <v>93</v>
      </c>
      <c r="T5" s="16" t="s">
        <v>93</v>
      </c>
      <c r="U5" s="16" t="s">
        <v>93</v>
      </c>
      <c r="V5" s="16" t="s">
        <v>93</v>
      </c>
      <c r="W5" s="16" t="s">
        <v>557</v>
      </c>
      <c r="X5" s="16"/>
    </row>
    <row r="6" spans="1:24" ht="48">
      <c r="A6" s="44">
        <v>4</v>
      </c>
      <c r="B6" s="5" t="s">
        <v>2043</v>
      </c>
      <c r="C6" s="49" t="s">
        <v>231</v>
      </c>
      <c r="D6" s="58" t="s">
        <v>2092</v>
      </c>
      <c r="E6" s="46" t="s">
        <v>2093</v>
      </c>
      <c r="F6" s="8">
        <v>2</v>
      </c>
      <c r="G6" s="8">
        <v>2</v>
      </c>
      <c r="H6" s="16" t="s">
        <v>231</v>
      </c>
      <c r="I6" s="31" t="s">
        <v>2094</v>
      </c>
      <c r="J6" s="29" t="s">
        <v>1601</v>
      </c>
      <c r="K6" s="31" t="s">
        <v>231</v>
      </c>
      <c r="L6" s="31" t="s">
        <v>1577</v>
      </c>
      <c r="M6" s="20" t="s">
        <v>2095</v>
      </c>
      <c r="N6" s="47">
        <v>45319</v>
      </c>
      <c r="O6" s="47">
        <v>45322</v>
      </c>
      <c r="P6" s="31" t="s">
        <v>2086</v>
      </c>
      <c r="Q6" s="16" t="s">
        <v>1601</v>
      </c>
      <c r="R6" s="16" t="s">
        <v>93</v>
      </c>
      <c r="S6" s="16" t="s">
        <v>93</v>
      </c>
      <c r="T6" s="16" t="s">
        <v>93</v>
      </c>
      <c r="U6" s="16" t="s">
        <v>1601</v>
      </c>
      <c r="V6" s="16" t="s">
        <v>1601</v>
      </c>
      <c r="W6" s="16" t="s">
        <v>557</v>
      </c>
      <c r="X6" s="16"/>
    </row>
    <row r="7" spans="1:24" ht="48">
      <c r="A7" s="44">
        <v>5</v>
      </c>
      <c r="B7" s="5" t="s">
        <v>2043</v>
      </c>
      <c r="C7" s="45" t="s">
        <v>230</v>
      </c>
      <c r="D7" s="58" t="s">
        <v>2050</v>
      </c>
      <c r="E7" s="51" t="s">
        <v>2051</v>
      </c>
      <c r="F7" s="8">
        <v>3</v>
      </c>
      <c r="G7" s="8">
        <v>3</v>
      </c>
      <c r="H7" s="16" t="s">
        <v>230</v>
      </c>
      <c r="I7" s="31" t="s">
        <v>2083</v>
      </c>
      <c r="J7" s="32" t="s">
        <v>1601</v>
      </c>
      <c r="K7" s="31" t="s">
        <v>231</v>
      </c>
      <c r="L7" s="31" t="s">
        <v>2096</v>
      </c>
      <c r="M7" s="33" t="s">
        <v>2097</v>
      </c>
      <c r="N7" s="50">
        <v>45328</v>
      </c>
      <c r="O7" s="50">
        <v>45328</v>
      </c>
      <c r="P7" s="31" t="s">
        <v>231</v>
      </c>
      <c r="Q7" s="40" t="s">
        <v>1601</v>
      </c>
      <c r="R7" s="16" t="s">
        <v>893</v>
      </c>
      <c r="S7" s="34">
        <v>45324</v>
      </c>
      <c r="T7" s="16" t="s">
        <v>1601</v>
      </c>
      <c r="U7" s="16" t="s">
        <v>1601</v>
      </c>
      <c r="V7" s="16" t="s">
        <v>1601</v>
      </c>
      <c r="W7" s="16" t="s">
        <v>1015</v>
      </c>
      <c r="X7" s="16"/>
    </row>
    <row r="8" spans="1:24" ht="48">
      <c r="A8" s="44">
        <v>6</v>
      </c>
      <c r="B8" s="5" t="s">
        <v>2043</v>
      </c>
      <c r="C8" s="45" t="s">
        <v>268</v>
      </c>
      <c r="D8" s="58" t="s">
        <v>2098</v>
      </c>
      <c r="E8" s="51" t="s">
        <v>2099</v>
      </c>
      <c r="F8" s="8">
        <v>3</v>
      </c>
      <c r="G8" s="8">
        <v>3</v>
      </c>
      <c r="H8" s="16" t="s">
        <v>268</v>
      </c>
      <c r="I8" s="31" t="s">
        <v>2083</v>
      </c>
      <c r="J8" s="29" t="s">
        <v>1601</v>
      </c>
      <c r="K8" s="31" t="s">
        <v>231</v>
      </c>
      <c r="L8" s="31" t="s">
        <v>1577</v>
      </c>
      <c r="M8" s="20" t="s">
        <v>2100</v>
      </c>
      <c r="N8" s="50">
        <v>45323</v>
      </c>
      <c r="O8" s="50">
        <v>45324</v>
      </c>
      <c r="P8" s="31" t="s">
        <v>231</v>
      </c>
      <c r="Q8" s="16" t="s">
        <v>1601</v>
      </c>
      <c r="R8" s="16" t="s">
        <v>2086</v>
      </c>
      <c r="S8" s="34">
        <v>45324</v>
      </c>
      <c r="T8" s="16" t="s">
        <v>1601</v>
      </c>
      <c r="U8" s="5" t="s">
        <v>1601</v>
      </c>
      <c r="V8" s="49" t="s">
        <v>1601</v>
      </c>
      <c r="W8" s="16" t="s">
        <v>557</v>
      </c>
      <c r="X8" s="16"/>
    </row>
    <row r="9" spans="1:24" ht="16.5">
      <c r="A9" s="44">
        <v>7</v>
      </c>
      <c r="B9" s="5" t="s">
        <v>2043</v>
      </c>
      <c r="C9" s="45" t="s">
        <v>231</v>
      </c>
      <c r="D9" s="59" t="s">
        <v>2101</v>
      </c>
      <c r="E9" s="51" t="s">
        <v>2102</v>
      </c>
      <c r="F9" s="8">
        <v>2</v>
      </c>
      <c r="G9" s="8">
        <v>2</v>
      </c>
      <c r="H9" s="16" t="s">
        <v>231</v>
      </c>
      <c r="I9" s="31" t="s">
        <v>231</v>
      </c>
      <c r="J9" s="29" t="s">
        <v>93</v>
      </c>
      <c r="K9" s="31" t="s">
        <v>231</v>
      </c>
      <c r="L9" s="31" t="s">
        <v>1577</v>
      </c>
      <c r="M9" s="31" t="s">
        <v>93</v>
      </c>
      <c r="N9" s="31" t="s">
        <v>93</v>
      </c>
      <c r="O9" s="31" t="s">
        <v>93</v>
      </c>
      <c r="P9" s="31" t="s">
        <v>231</v>
      </c>
      <c r="Q9" s="16" t="s">
        <v>1601</v>
      </c>
      <c r="R9" s="16" t="s">
        <v>93</v>
      </c>
      <c r="S9" s="16" t="s">
        <v>93</v>
      </c>
      <c r="T9" s="16" t="s">
        <v>93</v>
      </c>
      <c r="U9" s="5" t="s">
        <v>93</v>
      </c>
      <c r="V9" s="49" t="s">
        <v>93</v>
      </c>
      <c r="W9" s="16" t="s">
        <v>557</v>
      </c>
      <c r="X9" s="16"/>
    </row>
    <row r="10" spans="1:24" ht="36">
      <c r="A10" s="52">
        <v>8</v>
      </c>
      <c r="B10" s="5" t="s">
        <v>2043</v>
      </c>
      <c r="C10" s="49" t="s">
        <v>2103</v>
      </c>
      <c r="D10" s="60" t="s">
        <v>2067</v>
      </c>
      <c r="E10" s="53" t="s">
        <v>2104</v>
      </c>
      <c r="F10" s="16">
        <v>3</v>
      </c>
      <c r="G10" s="16">
        <v>3</v>
      </c>
      <c r="H10" s="16" t="s">
        <v>230</v>
      </c>
      <c r="I10" s="31" t="s">
        <v>2105</v>
      </c>
      <c r="J10" s="16" t="s">
        <v>1601</v>
      </c>
      <c r="K10" s="31" t="s">
        <v>231</v>
      </c>
      <c r="L10" s="31" t="s">
        <v>1577</v>
      </c>
      <c r="M10" s="5"/>
      <c r="N10" s="5"/>
      <c r="O10" s="5"/>
      <c r="P10" s="31" t="s">
        <v>231</v>
      </c>
      <c r="Q10" s="16" t="s">
        <v>2106</v>
      </c>
      <c r="R10" s="16"/>
      <c r="S10" s="16"/>
      <c r="T10" s="16"/>
      <c r="U10" s="16"/>
      <c r="V10" s="16"/>
      <c r="W10" s="16" t="s">
        <v>1015</v>
      </c>
      <c r="X10" s="16"/>
    </row>
  </sheetData>
  <dataValidations count="1">
    <dataValidation type="list" allowBlank="1" showErrorMessage="1" sqref="W3:W15" xr:uid="{00000000-0002-0000-0300-000000000000}">
      <formula1>"Open,Inprogress,Closed"</formula1>
    </dataValidation>
  </dataValidations>
  <hyperlinks>
    <hyperlink ref="D3" r:id="rId1" xr:uid="{00000000-0004-0000-0300-000000000000}"/>
    <hyperlink ref="M3" r:id="rId2" xr:uid="{00000000-0004-0000-0300-000001000000}"/>
    <hyperlink ref="D4" r:id="rId3" xr:uid="{00000000-0004-0000-0300-000002000000}"/>
    <hyperlink ref="M4" r:id="rId4" xr:uid="{00000000-0004-0000-0300-000003000000}"/>
    <hyperlink ref="D5" r:id="rId5" xr:uid="{00000000-0004-0000-0300-000004000000}"/>
    <hyperlink ref="D6" r:id="rId6" xr:uid="{00000000-0004-0000-0300-000005000000}"/>
    <hyperlink ref="M6" r:id="rId7" xr:uid="{00000000-0004-0000-0300-000006000000}"/>
    <hyperlink ref="D7" r:id="rId8" xr:uid="{00000000-0004-0000-0300-000007000000}"/>
    <hyperlink ref="M7" r:id="rId9" xr:uid="{00000000-0004-0000-0300-000008000000}"/>
    <hyperlink ref="D8" r:id="rId10" xr:uid="{00000000-0004-0000-0300-000009000000}"/>
    <hyperlink ref="M8" r:id="rId11" xr:uid="{00000000-0004-0000-0300-00000A000000}"/>
    <hyperlink ref="D9" r:id="rId12" xr:uid="{00000000-0004-0000-0300-00000B000000}"/>
    <hyperlink ref="D10" r:id="rId13" xr:uid="{00000000-0004-0000-0300-00000C000000}"/>
  </hyperlinks>
  <pageMargins left="0" right="0" top="0" bottom="0" header="0" footer="0"/>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3"/>
  <sheetViews>
    <sheetView topLeftCell="C1" workbookViewId="0">
      <selection activeCell="Q2" sqref="Q2"/>
    </sheetView>
  </sheetViews>
  <sheetFormatPr defaultColWidth="8.7109375" defaultRowHeight="22.5" customHeight="1"/>
  <cols>
    <col min="3" max="3" width="40" customWidth="1"/>
    <col min="4" max="4" width="21.85546875" bestFit="1" customWidth="1"/>
    <col min="6" max="6" width="22.5703125" customWidth="1"/>
    <col min="7" max="7" width="9.7109375" bestFit="1" customWidth="1"/>
    <col min="10" max="10" width="17.42578125" customWidth="1"/>
  </cols>
  <sheetData>
    <row r="1" spans="1:11" ht="22.5" customHeight="1">
      <c r="A1" s="1" t="s">
        <v>241</v>
      </c>
      <c r="B1" s="24" t="s">
        <v>11</v>
      </c>
      <c r="C1" s="25" t="s">
        <v>289</v>
      </c>
      <c r="D1" s="24" t="s">
        <v>243</v>
      </c>
      <c r="E1" s="25" t="s">
        <v>291</v>
      </c>
      <c r="F1" s="25" t="s">
        <v>292</v>
      </c>
      <c r="G1" s="24" t="s">
        <v>293</v>
      </c>
      <c r="H1" s="24" t="s">
        <v>295</v>
      </c>
      <c r="I1" s="24" t="s">
        <v>246</v>
      </c>
      <c r="J1" s="26" t="s">
        <v>296</v>
      </c>
      <c r="K1" s="27" t="s">
        <v>267</v>
      </c>
    </row>
    <row r="2" spans="1:11" ht="66" customHeight="1">
      <c r="A2" s="4">
        <v>1</v>
      </c>
      <c r="B2" s="5" t="s">
        <v>27</v>
      </c>
      <c r="C2" s="39" t="s">
        <v>2107</v>
      </c>
      <c r="D2" s="11" t="s">
        <v>228</v>
      </c>
      <c r="E2" s="12" t="s">
        <v>753</v>
      </c>
      <c r="F2" s="29" t="s">
        <v>2108</v>
      </c>
      <c r="G2" s="12" t="s">
        <v>562</v>
      </c>
      <c r="H2" s="12" t="s">
        <v>556</v>
      </c>
      <c r="I2" s="12" t="s">
        <v>557</v>
      </c>
      <c r="J2" s="12" t="s">
        <v>1011</v>
      </c>
      <c r="K2" s="12"/>
    </row>
    <row r="3" spans="1:11" ht="93.75" customHeight="1">
      <c r="A3" s="4">
        <v>2</v>
      </c>
      <c r="B3" s="5" t="s">
        <v>27</v>
      </c>
      <c r="C3" s="39" t="s">
        <v>2109</v>
      </c>
      <c r="D3" s="12" t="s">
        <v>281</v>
      </c>
      <c r="E3" s="12" t="s">
        <v>753</v>
      </c>
      <c r="F3" s="29" t="s">
        <v>2110</v>
      </c>
      <c r="G3" s="12" t="s">
        <v>562</v>
      </c>
      <c r="H3" s="12" t="s">
        <v>556</v>
      </c>
      <c r="I3" s="12" t="s">
        <v>1015</v>
      </c>
      <c r="J3" s="12" t="s">
        <v>1011</v>
      </c>
      <c r="K3" s="12"/>
    </row>
  </sheetData>
  <dataValidations count="4">
    <dataValidation type="list" allowBlank="1" showErrorMessage="1" sqref="G2:G5" xr:uid="{00000000-0002-0000-0400-000000000000}">
      <formula1>"Minor,Significant,Major"</formula1>
    </dataValidation>
    <dataValidation type="list" allowBlank="1" showErrorMessage="1" sqref="I2:I5" xr:uid="{00000000-0002-0000-0400-000001000000}">
      <formula1>"Open,Inprogress,Closed"</formula1>
    </dataValidation>
    <dataValidation type="list" allowBlank="1" showErrorMessage="1" sqref="E2:E5" xr:uid="{00000000-0002-0000-0400-000003000000}">
      <formula1>"Bounceback,Defect,None"</formula1>
    </dataValidation>
    <dataValidation type="list" allowBlank="1" showErrorMessage="1" sqref="H2:H5" xr:uid="{00000000-0002-0000-0400-000004000000}">
      <formula1>"Internal,External"</formula1>
    </dataValidation>
  </dataValidations>
  <hyperlinks>
    <hyperlink ref="C2" r:id="rId1" xr:uid="{00000000-0004-0000-0400-000000000000}"/>
    <hyperlink ref="C3" r:id="rId2" xr:uid="{00000000-0004-0000-0400-000001000000}"/>
  </hyperlink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400-000002000000}">
          <x14:formula1>
            <xm:f>Details!$A$2:$A$10</xm:f>
          </x14:formula1>
          <xm:sqref>J2:J5</xm:sqref>
        </x14:dataValidation>
      </x14:dataValidations>
    </ext>
  </extLst>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X11"/>
  <sheetViews>
    <sheetView showGridLines="0" workbookViewId="0">
      <pane xSplit="5" ySplit="2" topLeftCell="F4" activePane="bottomRight" state="frozen"/>
      <selection pane="bottomRight" activeCell="X4" sqref="X4"/>
      <selection pane="bottomLeft" activeCell="A3" sqref="A3"/>
      <selection pane="topRight" activeCell="F1" sqref="F1"/>
    </sheetView>
  </sheetViews>
  <sheetFormatPr defaultColWidth="12.5703125" defaultRowHeight="15" customHeight="1"/>
  <cols>
    <col min="1" max="1" width="4.28515625" customWidth="1"/>
    <col min="2" max="2" width="17.5703125" customWidth="1"/>
    <col min="3" max="3" width="24.7109375" customWidth="1"/>
    <col min="4" max="4" width="12.42578125" customWidth="1"/>
    <col min="5" max="5" width="41.85546875" customWidth="1"/>
    <col min="6" max="7" width="23.140625" customWidth="1"/>
    <col min="8" max="8" width="11.42578125" customWidth="1"/>
    <col min="9" max="9" width="12.5703125" customWidth="1"/>
    <col min="10" max="10" width="40.140625" customWidth="1"/>
    <col min="11" max="11" width="45.42578125" customWidth="1"/>
    <col min="12" max="12" width="40" customWidth="1"/>
    <col min="13" max="13" width="25.42578125" customWidth="1"/>
    <col min="14" max="16" width="12.5703125" customWidth="1"/>
    <col min="17" max="17" width="46.28515625" customWidth="1"/>
    <col min="18" max="19" width="10.140625" customWidth="1"/>
    <col min="20" max="20" width="29.42578125" customWidth="1"/>
    <col min="21" max="22" width="41.28515625" customWidth="1"/>
    <col min="23" max="23" width="21.42578125" customWidth="1"/>
    <col min="24" max="24" width="42" customWidth="1"/>
  </cols>
  <sheetData>
    <row r="2" spans="1:24">
      <c r="A2" s="1" t="s">
        <v>241</v>
      </c>
      <c r="B2" s="1" t="s">
        <v>242</v>
      </c>
      <c r="C2" s="1" t="s">
        <v>243</v>
      </c>
      <c r="D2" s="1" t="s">
        <v>244</v>
      </c>
      <c r="E2" s="1" t="s">
        <v>245</v>
      </c>
      <c r="F2" s="42" t="s">
        <v>1438</v>
      </c>
      <c r="G2" s="42" t="s">
        <v>1439</v>
      </c>
      <c r="H2" s="1" t="s">
        <v>252</v>
      </c>
      <c r="I2" s="1" t="s">
        <v>253</v>
      </c>
      <c r="J2" s="1" t="s">
        <v>254</v>
      </c>
      <c r="K2" s="1" t="s">
        <v>255</v>
      </c>
      <c r="L2" s="1" t="s">
        <v>256</v>
      </c>
      <c r="M2" s="1" t="s">
        <v>257</v>
      </c>
      <c r="N2" s="1" t="s">
        <v>258</v>
      </c>
      <c r="O2" s="1" t="s">
        <v>259</v>
      </c>
      <c r="P2" s="1" t="s">
        <v>260</v>
      </c>
      <c r="Q2" s="1" t="s">
        <v>261</v>
      </c>
      <c r="R2" s="1" t="s">
        <v>262</v>
      </c>
      <c r="S2" s="1" t="s">
        <v>263</v>
      </c>
      <c r="T2" s="1" t="s">
        <v>261</v>
      </c>
      <c r="U2" s="1" t="s">
        <v>265</v>
      </c>
      <c r="V2" s="1" t="s">
        <v>266</v>
      </c>
      <c r="W2" s="1" t="s">
        <v>246</v>
      </c>
      <c r="X2" s="3" t="s">
        <v>267</v>
      </c>
    </row>
    <row r="3" spans="1:24" ht="48">
      <c r="A3" s="4">
        <v>1</v>
      </c>
      <c r="B3" s="5" t="s">
        <v>24</v>
      </c>
      <c r="C3" s="6" t="s">
        <v>2111</v>
      </c>
      <c r="D3" s="7" t="s">
        <v>2081</v>
      </c>
      <c r="E3" s="64" t="s">
        <v>2082</v>
      </c>
      <c r="F3" s="9">
        <v>3</v>
      </c>
      <c r="G3" s="9">
        <v>3</v>
      </c>
      <c r="H3" s="41" t="s">
        <v>13</v>
      </c>
      <c r="I3" s="11" t="s">
        <v>231</v>
      </c>
      <c r="J3" s="12" t="s">
        <v>2023</v>
      </c>
      <c r="K3" s="11" t="s">
        <v>231</v>
      </c>
      <c r="L3" s="12" t="s">
        <v>2023</v>
      </c>
      <c r="M3" s="13" t="s">
        <v>2112</v>
      </c>
      <c r="N3" s="11" t="s">
        <v>2113</v>
      </c>
      <c r="O3" s="14" t="s">
        <v>2113</v>
      </c>
      <c r="P3" s="15" t="s">
        <v>231</v>
      </c>
      <c r="Q3" s="16" t="s">
        <v>1601</v>
      </c>
      <c r="R3" s="16" t="s">
        <v>2114</v>
      </c>
      <c r="S3" s="16" t="s">
        <v>2113</v>
      </c>
      <c r="T3" s="16" t="s">
        <v>1601</v>
      </c>
      <c r="U3" s="16" t="s">
        <v>1601</v>
      </c>
      <c r="V3" s="16" t="s">
        <v>1601</v>
      </c>
      <c r="W3" s="10" t="s">
        <v>557</v>
      </c>
      <c r="X3" s="16" t="s">
        <v>2115</v>
      </c>
    </row>
    <row r="4" spans="1:24" ht="36">
      <c r="A4" s="4">
        <v>2</v>
      </c>
      <c r="B4" s="5" t="s">
        <v>2116</v>
      </c>
      <c r="C4" s="17" t="s">
        <v>228</v>
      </c>
      <c r="D4" s="18" t="s">
        <v>2117</v>
      </c>
      <c r="E4" s="64" t="s">
        <v>2118</v>
      </c>
      <c r="F4" s="9">
        <v>1</v>
      </c>
      <c r="G4" s="2">
        <v>1</v>
      </c>
      <c r="H4" s="41" t="s">
        <v>13</v>
      </c>
      <c r="I4" s="11" t="s">
        <v>231</v>
      </c>
      <c r="J4" s="12" t="s">
        <v>2023</v>
      </c>
      <c r="K4" s="11" t="s">
        <v>231</v>
      </c>
      <c r="L4" s="12" t="s">
        <v>2023</v>
      </c>
      <c r="M4" s="13" t="s">
        <v>2119</v>
      </c>
      <c r="N4" s="11" t="s">
        <v>2120</v>
      </c>
      <c r="O4" s="11" t="s">
        <v>2121</v>
      </c>
      <c r="P4" s="11" t="s">
        <v>231</v>
      </c>
      <c r="Q4" s="16" t="s">
        <v>1601</v>
      </c>
      <c r="R4" s="16" t="s">
        <v>2114</v>
      </c>
      <c r="S4" s="16" t="s">
        <v>2121</v>
      </c>
      <c r="T4" s="16" t="s">
        <v>1601</v>
      </c>
      <c r="U4" s="16" t="s">
        <v>1601</v>
      </c>
      <c r="V4" s="16" t="s">
        <v>1601</v>
      </c>
      <c r="W4" s="10" t="s">
        <v>557</v>
      </c>
      <c r="X4" s="10"/>
    </row>
    <row r="5" spans="1:24" ht="48">
      <c r="A5" s="4">
        <v>3</v>
      </c>
      <c r="B5" s="5" t="s">
        <v>24</v>
      </c>
      <c r="C5" s="17" t="s">
        <v>1936</v>
      </c>
      <c r="D5" s="7" t="s">
        <v>2122</v>
      </c>
      <c r="E5" s="64" t="s">
        <v>2123</v>
      </c>
      <c r="F5" s="9">
        <v>3</v>
      </c>
      <c r="G5" s="9">
        <v>3</v>
      </c>
      <c r="H5" s="41" t="s">
        <v>13</v>
      </c>
      <c r="I5" s="11" t="s">
        <v>231</v>
      </c>
      <c r="J5" s="12" t="s">
        <v>2023</v>
      </c>
      <c r="K5" s="15" t="s">
        <v>231</v>
      </c>
      <c r="L5" s="12" t="s">
        <v>2023</v>
      </c>
      <c r="M5" s="19" t="s">
        <v>2124</v>
      </c>
      <c r="N5" s="11" t="s">
        <v>2125</v>
      </c>
      <c r="O5" s="11" t="s">
        <v>2125</v>
      </c>
      <c r="P5" s="11" t="s">
        <v>231</v>
      </c>
      <c r="Q5" s="16" t="s">
        <v>1601</v>
      </c>
      <c r="R5" s="16" t="s">
        <v>2126</v>
      </c>
      <c r="S5" s="16" t="s">
        <v>2125</v>
      </c>
      <c r="T5" s="16" t="s">
        <v>2127</v>
      </c>
      <c r="U5" s="16" t="s">
        <v>1601</v>
      </c>
      <c r="V5" s="16" t="s">
        <v>1601</v>
      </c>
      <c r="W5" s="10" t="s">
        <v>557</v>
      </c>
      <c r="X5" s="16" t="s">
        <v>2128</v>
      </c>
    </row>
    <row r="6" spans="1:24" ht="48">
      <c r="A6" s="4">
        <v>4</v>
      </c>
      <c r="B6" s="5" t="s">
        <v>24</v>
      </c>
      <c r="C6" s="17" t="s">
        <v>1936</v>
      </c>
      <c r="D6" s="15" t="s">
        <v>2129</v>
      </c>
      <c r="E6" s="64" t="s">
        <v>2130</v>
      </c>
      <c r="F6" s="9">
        <v>2</v>
      </c>
      <c r="G6" s="9">
        <v>2</v>
      </c>
      <c r="H6" s="41" t="s">
        <v>13</v>
      </c>
      <c r="I6" s="11" t="s">
        <v>231</v>
      </c>
      <c r="J6" s="12" t="s">
        <v>2023</v>
      </c>
      <c r="K6" s="15" t="s">
        <v>231</v>
      </c>
      <c r="L6" s="12" t="s">
        <v>2023</v>
      </c>
      <c r="M6" s="20" t="s">
        <v>2131</v>
      </c>
      <c r="N6" s="11" t="s">
        <v>2132</v>
      </c>
      <c r="O6" s="11" t="s">
        <v>2132</v>
      </c>
      <c r="P6" s="11" t="s">
        <v>231</v>
      </c>
      <c r="Q6" s="16" t="s">
        <v>1601</v>
      </c>
      <c r="R6" s="16" t="s">
        <v>1271</v>
      </c>
      <c r="S6" s="16" t="s">
        <v>2132</v>
      </c>
      <c r="T6" s="16" t="s">
        <v>1601</v>
      </c>
      <c r="U6" s="16" t="s">
        <v>1601</v>
      </c>
      <c r="V6" s="16" t="s">
        <v>2133</v>
      </c>
      <c r="W6" s="10" t="s">
        <v>557</v>
      </c>
      <c r="X6" s="16" t="s">
        <v>2134</v>
      </c>
    </row>
    <row r="7" spans="1:24" ht="60">
      <c r="A7" s="4">
        <v>5</v>
      </c>
      <c r="B7" s="5" t="s">
        <v>24</v>
      </c>
      <c r="C7" s="6" t="s">
        <v>228</v>
      </c>
      <c r="D7" s="21" t="s">
        <v>2135</v>
      </c>
      <c r="E7" s="64" t="s">
        <v>2136</v>
      </c>
      <c r="F7" s="9">
        <v>2</v>
      </c>
      <c r="G7" s="9">
        <v>2</v>
      </c>
      <c r="H7" s="41" t="s">
        <v>13</v>
      </c>
      <c r="I7" s="11" t="s">
        <v>231</v>
      </c>
      <c r="J7" s="12" t="s">
        <v>2023</v>
      </c>
      <c r="K7" s="11" t="s">
        <v>231</v>
      </c>
      <c r="L7" s="12" t="s">
        <v>2023</v>
      </c>
      <c r="M7" s="11"/>
      <c r="N7" s="11"/>
      <c r="O7" s="11"/>
      <c r="P7" s="11" t="s">
        <v>231</v>
      </c>
      <c r="Q7" s="16" t="s">
        <v>1601</v>
      </c>
      <c r="R7" s="16" t="s">
        <v>1696</v>
      </c>
      <c r="S7" s="16" t="s">
        <v>2137</v>
      </c>
      <c r="T7" s="16" t="s">
        <v>1601</v>
      </c>
      <c r="U7" s="16" t="s">
        <v>1601</v>
      </c>
      <c r="V7" s="22" t="s">
        <v>1601</v>
      </c>
      <c r="W7" s="10" t="s">
        <v>557</v>
      </c>
      <c r="X7" s="10"/>
    </row>
    <row r="8" spans="1:24" ht="48">
      <c r="A8" s="4">
        <v>6</v>
      </c>
      <c r="B8" s="5" t="s">
        <v>24</v>
      </c>
      <c r="C8" s="11" t="s">
        <v>231</v>
      </c>
      <c r="D8" s="7" t="s">
        <v>2138</v>
      </c>
      <c r="E8" s="64" t="s">
        <v>2139</v>
      </c>
      <c r="F8" s="9">
        <v>1</v>
      </c>
      <c r="G8" s="9">
        <v>1</v>
      </c>
      <c r="H8" s="41" t="s">
        <v>13</v>
      </c>
      <c r="I8" s="11" t="s">
        <v>231</v>
      </c>
      <c r="J8" s="12" t="s">
        <v>2023</v>
      </c>
      <c r="K8" s="11" t="s">
        <v>1271</v>
      </c>
      <c r="L8" s="12" t="s">
        <v>2023</v>
      </c>
      <c r="M8" s="20" t="s">
        <v>2140</v>
      </c>
      <c r="N8" s="11" t="s">
        <v>2141</v>
      </c>
      <c r="O8" s="11" t="s">
        <v>2142</v>
      </c>
      <c r="P8" s="11" t="s">
        <v>1271</v>
      </c>
      <c r="Q8" s="16" t="s">
        <v>1601</v>
      </c>
      <c r="R8" s="6" t="s">
        <v>1271</v>
      </c>
      <c r="S8" s="16" t="s">
        <v>2141</v>
      </c>
      <c r="T8" s="16" t="s">
        <v>1601</v>
      </c>
      <c r="U8" s="16" t="s">
        <v>1601</v>
      </c>
      <c r="V8" s="22" t="s">
        <v>1601</v>
      </c>
      <c r="W8" s="10" t="s">
        <v>557</v>
      </c>
      <c r="X8" s="10"/>
    </row>
    <row r="9" spans="1:24" ht="24">
      <c r="A9" s="4">
        <v>7</v>
      </c>
      <c r="B9" s="5" t="s">
        <v>24</v>
      </c>
      <c r="C9" s="15" t="s">
        <v>231</v>
      </c>
      <c r="D9" s="7" t="s">
        <v>2143</v>
      </c>
      <c r="E9" s="65" t="s">
        <v>2144</v>
      </c>
      <c r="F9" s="16">
        <v>1</v>
      </c>
      <c r="G9" s="16">
        <v>1</v>
      </c>
      <c r="H9" s="41" t="s">
        <v>13</v>
      </c>
      <c r="I9" s="11" t="s">
        <v>231</v>
      </c>
      <c r="J9" s="12" t="s">
        <v>2023</v>
      </c>
      <c r="K9" s="11" t="s">
        <v>2145</v>
      </c>
      <c r="L9" s="11" t="s">
        <v>1577</v>
      </c>
      <c r="M9" s="15"/>
      <c r="N9" s="15"/>
      <c r="O9" s="15"/>
      <c r="P9" s="11" t="s">
        <v>231</v>
      </c>
      <c r="Q9" s="16" t="s">
        <v>1601</v>
      </c>
      <c r="R9" s="6" t="s">
        <v>2146</v>
      </c>
      <c r="S9" s="16" t="s">
        <v>2121</v>
      </c>
      <c r="T9" s="16" t="s">
        <v>1601</v>
      </c>
      <c r="U9" s="16" t="s">
        <v>1601</v>
      </c>
      <c r="V9" s="22" t="s">
        <v>1601</v>
      </c>
      <c r="W9" s="10" t="s">
        <v>557</v>
      </c>
      <c r="X9" s="10"/>
    </row>
    <row r="10" spans="1:24" ht="24">
      <c r="A10" s="5"/>
      <c r="B10" s="5" t="s">
        <v>24</v>
      </c>
      <c r="C10" s="15" t="s">
        <v>284</v>
      </c>
      <c r="D10" s="15" t="s">
        <v>2147</v>
      </c>
      <c r="E10" s="66" t="s">
        <v>2148</v>
      </c>
      <c r="F10" s="35">
        <v>2</v>
      </c>
      <c r="G10" s="35">
        <v>1</v>
      </c>
      <c r="H10" s="41" t="s">
        <v>93</v>
      </c>
      <c r="I10" s="15" t="s">
        <v>93</v>
      </c>
      <c r="J10" s="10" t="s">
        <v>93</v>
      </c>
      <c r="K10" s="15" t="s">
        <v>93</v>
      </c>
      <c r="L10" s="15" t="s">
        <v>93</v>
      </c>
      <c r="M10" s="15" t="s">
        <v>93</v>
      </c>
      <c r="N10" s="15" t="s">
        <v>93</v>
      </c>
      <c r="O10" s="15" t="s">
        <v>93</v>
      </c>
      <c r="P10" s="15" t="s">
        <v>93</v>
      </c>
      <c r="Q10" s="16" t="s">
        <v>93</v>
      </c>
      <c r="R10" s="16" t="s">
        <v>93</v>
      </c>
      <c r="S10" s="16" t="s">
        <v>93</v>
      </c>
      <c r="T10" s="16" t="s">
        <v>93</v>
      </c>
      <c r="U10" s="16" t="s">
        <v>93</v>
      </c>
      <c r="V10" s="16" t="s">
        <v>93</v>
      </c>
      <c r="W10" s="10" t="s">
        <v>557</v>
      </c>
      <c r="X10" s="10" t="s">
        <v>2149</v>
      </c>
    </row>
    <row r="11" spans="1:24" ht="24">
      <c r="A11" s="4">
        <v>9</v>
      </c>
      <c r="B11" s="5" t="s">
        <v>24</v>
      </c>
      <c r="C11" s="15" t="s">
        <v>284</v>
      </c>
      <c r="D11" s="15" t="s">
        <v>2150</v>
      </c>
      <c r="E11" s="65" t="s">
        <v>2151</v>
      </c>
      <c r="F11" s="16">
        <v>2</v>
      </c>
      <c r="G11" s="35">
        <v>1</v>
      </c>
      <c r="H11" s="41" t="s">
        <v>93</v>
      </c>
      <c r="I11" s="15" t="s">
        <v>93</v>
      </c>
      <c r="J11" s="10" t="s">
        <v>93</v>
      </c>
      <c r="K11" s="15" t="s">
        <v>93</v>
      </c>
      <c r="L11" s="15" t="s">
        <v>93</v>
      </c>
      <c r="M11" s="15" t="s">
        <v>93</v>
      </c>
      <c r="N11" s="15" t="s">
        <v>93</v>
      </c>
      <c r="O11" s="15" t="s">
        <v>93</v>
      </c>
      <c r="P11" s="15" t="s">
        <v>93</v>
      </c>
      <c r="Q11" s="16" t="s">
        <v>93</v>
      </c>
      <c r="R11" s="16" t="s">
        <v>93</v>
      </c>
      <c r="S11" s="16" t="s">
        <v>93</v>
      </c>
      <c r="T11" s="16" t="s">
        <v>93</v>
      </c>
      <c r="U11" s="16" t="s">
        <v>93</v>
      </c>
      <c r="V11" s="16" t="s">
        <v>93</v>
      </c>
      <c r="W11" s="10" t="s">
        <v>557</v>
      </c>
      <c r="X11" s="10" t="s">
        <v>2149</v>
      </c>
    </row>
  </sheetData>
  <dataValidations count="1">
    <dataValidation type="list" allowBlank="1" showErrorMessage="1" sqref="W3:W14" xr:uid="{00000000-0002-0000-0100-000000000000}">
      <formula1>"Open,Inprogress,Closed"</formula1>
    </dataValidation>
  </dataValidations>
  <hyperlinks>
    <hyperlink ref="M3" r:id="rId1" xr:uid="{00000000-0004-0000-0100-000000000000}"/>
    <hyperlink ref="M4" r:id="rId2" xr:uid="{00000000-0004-0000-0100-000001000000}"/>
    <hyperlink ref="M5" r:id="rId3" xr:uid="{00000000-0004-0000-0100-000002000000}"/>
    <hyperlink ref="M6" r:id="rId4" xr:uid="{00000000-0004-0000-0100-000003000000}"/>
    <hyperlink ref="M8" r:id="rId5" xr:uid="{00000000-0004-0000-0100-000004000000}"/>
  </hyperlinks>
  <pageMargins left="0" right="0" top="0" bottom="0" header="0" footer="0"/>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2"/>
  <sheetViews>
    <sheetView workbookViewId="0"/>
  </sheetViews>
  <sheetFormatPr defaultColWidth="12.5703125" defaultRowHeight="15" customHeight="1"/>
  <cols>
    <col min="1" max="3" width="12.5703125" customWidth="1"/>
    <col min="4" max="4" width="19.140625" customWidth="1"/>
    <col min="5" max="6" width="12.5703125" customWidth="1"/>
  </cols>
  <sheetData>
    <row r="1" spans="1:11" ht="15.75" customHeight="1">
      <c r="A1" s="1" t="s">
        <v>241</v>
      </c>
      <c r="B1" s="24" t="s">
        <v>11</v>
      </c>
      <c r="C1" s="25" t="s">
        <v>289</v>
      </c>
      <c r="D1" s="24" t="s">
        <v>243</v>
      </c>
      <c r="E1" s="25" t="s">
        <v>291</v>
      </c>
      <c r="F1" s="25" t="s">
        <v>292</v>
      </c>
      <c r="G1" s="24" t="s">
        <v>293</v>
      </c>
      <c r="H1" s="24" t="s">
        <v>295</v>
      </c>
      <c r="I1" s="24" t="s">
        <v>246</v>
      </c>
      <c r="J1" s="26" t="s">
        <v>296</v>
      </c>
      <c r="K1" s="27" t="s">
        <v>267</v>
      </c>
    </row>
    <row r="2" spans="1:11" ht="15.75" customHeight="1">
      <c r="A2" s="4">
        <v>1</v>
      </c>
      <c r="B2" s="5" t="s">
        <v>24</v>
      </c>
      <c r="C2" s="29" t="s">
        <v>2152</v>
      </c>
      <c r="D2" s="11" t="s">
        <v>228</v>
      </c>
      <c r="E2" s="12" t="s">
        <v>753</v>
      </c>
      <c r="F2" s="29" t="s">
        <v>2153</v>
      </c>
      <c r="G2" s="12" t="s">
        <v>562</v>
      </c>
      <c r="H2" s="12" t="s">
        <v>556</v>
      </c>
      <c r="I2" s="12" t="s">
        <v>557</v>
      </c>
      <c r="J2" s="12" t="s">
        <v>1011</v>
      </c>
      <c r="K2" s="12"/>
    </row>
  </sheetData>
  <dataValidations count="4">
    <dataValidation type="list" allowBlank="1" showErrorMessage="1" sqref="G2:G5" xr:uid="{00000000-0002-0000-0200-000000000000}">
      <formula1>"Minor,Significant,Major"</formula1>
    </dataValidation>
    <dataValidation type="list" allowBlank="1" showErrorMessage="1" sqref="I2:I5" xr:uid="{00000000-0002-0000-0200-000001000000}">
      <formula1>"Open,Inprogress,Closed"</formula1>
    </dataValidation>
    <dataValidation type="list" allowBlank="1" showErrorMessage="1" sqref="E2:E5" xr:uid="{00000000-0002-0000-0200-000003000000}">
      <formula1>"Bounceback,Defect,None"</formula1>
    </dataValidation>
    <dataValidation type="list" allowBlank="1" showErrorMessage="1" sqref="H2:H5" xr:uid="{00000000-0002-0000-0200-000004000000}">
      <formula1>"Internal,External"</formula1>
    </dataValidation>
  </dataValidations>
  <pageMargins left="0" right="0" top="0" bottom="0" header="0" footer="0"/>
  <extLst>
    <ext xmlns:x14="http://schemas.microsoft.com/office/spreadsheetml/2009/9/main" uri="{CCE6A557-97BC-4b89-ADB6-D9C93CAAB3DF}">
      <x14:dataValidations xmlns:xm="http://schemas.microsoft.com/office/excel/2006/main" count="1">
        <x14:dataValidation type="list" allowBlank="1" showErrorMessage="1" xr:uid="{00000000-0002-0000-0200-000002000000}">
          <x14:formula1>
            <xm:f>Details!$A$2:$A$10</xm:f>
          </x14:formula1>
          <xm:sqref>J2:J5</xm:sqref>
        </x14:dataValidation>
      </x14:dataValidations>
    </ext>
  </extLst>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B2:K10"/>
  <sheetViews>
    <sheetView showGridLines="0" workbookViewId="0"/>
  </sheetViews>
  <sheetFormatPr defaultColWidth="12.5703125" defaultRowHeight="15" customHeight="1"/>
  <cols>
    <col min="1" max="1" width="3.5703125" customWidth="1"/>
    <col min="2" max="2" width="5.5703125" customWidth="1"/>
    <col min="3" max="3" width="25" customWidth="1"/>
    <col min="4" max="4" width="6.140625" customWidth="1"/>
    <col min="5" max="6" width="12.5703125" customWidth="1"/>
    <col min="7" max="7" width="35.5703125" customWidth="1"/>
    <col min="9" max="9" width="4.7109375" customWidth="1"/>
    <col min="10" max="10" width="25" customWidth="1"/>
  </cols>
  <sheetData>
    <row r="2" spans="2:11" ht="15.75" customHeight="1">
      <c r="B2" s="614" t="s">
        <v>2154</v>
      </c>
      <c r="C2" s="615"/>
      <c r="D2" s="615"/>
      <c r="E2" s="615"/>
      <c r="F2" s="615"/>
      <c r="G2" s="615"/>
      <c r="I2" s="36" t="s">
        <v>2155</v>
      </c>
      <c r="J2" s="36" t="s">
        <v>2156</v>
      </c>
      <c r="K2" s="36" t="s">
        <v>246</v>
      </c>
    </row>
    <row r="3" spans="2:11" ht="15.75" customHeight="1">
      <c r="B3" s="10">
        <v>1</v>
      </c>
      <c r="C3" s="611" t="s">
        <v>2157</v>
      </c>
      <c r="D3" s="616"/>
      <c r="E3" s="616"/>
      <c r="F3" s="616"/>
      <c r="G3" s="617"/>
      <c r="I3" s="10">
        <v>1</v>
      </c>
      <c r="J3" s="10" t="s">
        <v>2158</v>
      </c>
      <c r="K3" s="10" t="b">
        <v>0</v>
      </c>
    </row>
    <row r="4" spans="2:11" ht="15.75" customHeight="1">
      <c r="B4" s="10">
        <v>2</v>
      </c>
      <c r="C4" s="611" t="s">
        <v>2159</v>
      </c>
      <c r="D4" s="616"/>
      <c r="E4" s="616"/>
      <c r="F4" s="616"/>
      <c r="G4" s="617"/>
      <c r="I4" s="10">
        <v>2</v>
      </c>
      <c r="J4" s="10" t="s">
        <v>2160</v>
      </c>
      <c r="K4" s="10" t="b">
        <v>0</v>
      </c>
    </row>
    <row r="5" spans="2:11" ht="15.75" customHeight="1">
      <c r="B5" s="10">
        <v>3</v>
      </c>
      <c r="C5" s="611" t="s">
        <v>2161</v>
      </c>
      <c r="D5" s="616"/>
      <c r="E5" s="616"/>
      <c r="F5" s="616"/>
      <c r="G5" s="617"/>
      <c r="I5" s="10">
        <v>3</v>
      </c>
      <c r="J5" s="10" t="s">
        <v>2162</v>
      </c>
      <c r="K5" s="10" t="b">
        <v>0</v>
      </c>
    </row>
    <row r="6" spans="2:11" ht="15.75" customHeight="1">
      <c r="B6" s="10">
        <v>4</v>
      </c>
      <c r="C6" s="611" t="s">
        <v>2163</v>
      </c>
      <c r="D6" s="616"/>
      <c r="E6" s="616"/>
      <c r="F6" s="616"/>
      <c r="G6" s="617"/>
      <c r="I6" s="10">
        <v>4</v>
      </c>
      <c r="J6" s="10" t="s">
        <v>2164</v>
      </c>
      <c r="K6" s="10" t="b">
        <v>0</v>
      </c>
    </row>
    <row r="7" spans="2:11" ht="15.75" customHeight="1">
      <c r="D7" s="28"/>
      <c r="I7" s="10">
        <v>5</v>
      </c>
      <c r="J7" s="10" t="s">
        <v>2165</v>
      </c>
      <c r="K7" s="10" t="b">
        <v>0</v>
      </c>
    </row>
    <row r="8" spans="2:11" ht="15.75" customHeight="1">
      <c r="D8" s="28"/>
      <c r="I8" s="10">
        <v>6</v>
      </c>
      <c r="J8" s="10" t="s">
        <v>2166</v>
      </c>
      <c r="K8" s="10" t="b">
        <v>0</v>
      </c>
    </row>
    <row r="9" spans="2:11" ht="15.75" customHeight="1">
      <c r="D9" s="28"/>
      <c r="I9" s="10">
        <v>7</v>
      </c>
      <c r="J9" s="10" t="s">
        <v>2167</v>
      </c>
      <c r="K9" s="10" t="b">
        <v>0</v>
      </c>
    </row>
    <row r="10" spans="2:11" ht="15.75" customHeight="1">
      <c r="D10" s="28"/>
      <c r="I10" s="10">
        <v>8</v>
      </c>
      <c r="J10" s="10" t="s">
        <v>2168</v>
      </c>
      <c r="K10" s="10" t="b">
        <v>0</v>
      </c>
    </row>
  </sheetData>
  <mergeCells count="5">
    <mergeCell ref="B2:G2"/>
    <mergeCell ref="C3:G3"/>
    <mergeCell ref="C4:G4"/>
    <mergeCell ref="C5:G5"/>
    <mergeCell ref="C6:G6"/>
  </mergeCells>
  <pageMargins left="0" right="0" top="0" bottom="0" header="0" footer="0"/>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
  <sheetViews>
    <sheetView workbookViewId="0">
      <selection activeCell="E10" sqref="E10"/>
    </sheetView>
  </sheetViews>
  <sheetFormatPr defaultColWidth="12.5703125" defaultRowHeight="15" customHeight="1"/>
  <cols>
    <col min="1" max="1" width="16.5703125" customWidth="1"/>
    <col min="2" max="6" width="12.5703125" customWidth="1"/>
  </cols>
  <sheetData>
    <row r="1" spans="1:1" ht="15.75" customHeight="1">
      <c r="A1" s="37" t="s">
        <v>2169</v>
      </c>
    </row>
    <row r="2" spans="1:1" ht="15.75" customHeight="1">
      <c r="A2" s="38" t="s">
        <v>902</v>
      </c>
    </row>
    <row r="3" spans="1:1" ht="15.75" customHeight="1">
      <c r="A3" s="38" t="s">
        <v>2170</v>
      </c>
    </row>
    <row r="4" spans="1:1" ht="15.75" customHeight="1">
      <c r="A4" s="38" t="s">
        <v>2171</v>
      </c>
    </row>
    <row r="5" spans="1:1" ht="15.75" customHeight="1">
      <c r="A5" s="38" t="s">
        <v>2172</v>
      </c>
    </row>
    <row r="6" spans="1:1" ht="15.75" customHeight="1">
      <c r="A6" s="38" t="s">
        <v>558</v>
      </c>
    </row>
    <row r="7" spans="1:1" ht="15.75" customHeight="1">
      <c r="A7" s="38" t="s">
        <v>2173</v>
      </c>
    </row>
    <row r="8" spans="1:1" ht="15.75" customHeight="1">
      <c r="A8" s="38" t="s">
        <v>1011</v>
      </c>
    </row>
    <row r="9" spans="1:1" ht="15.75" customHeight="1">
      <c r="A9" s="38" t="s">
        <v>2174</v>
      </c>
    </row>
    <row r="10" spans="1:1" ht="15.75" customHeight="1">
      <c r="A10" s="38" t="s">
        <v>1278</v>
      </c>
    </row>
  </sheetData>
  <pageMargins left="0" right="0" top="0" bottom="0" header="0" footer="0"/>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91BC6-3A2D-4896-9526-BC875D91881D}">
  <dimension ref="C3:C10"/>
  <sheetViews>
    <sheetView workbookViewId="0"/>
  </sheetViews>
  <sheetFormatPr defaultRowHeight="12.75"/>
  <cols>
    <col min="3" max="3" width="15" bestFit="1" customWidth="1"/>
  </cols>
  <sheetData>
    <row r="3" spans="3:3">
      <c r="C3" t="s">
        <v>274</v>
      </c>
    </row>
    <row r="4" spans="3:3">
      <c r="C4" t="s">
        <v>2175</v>
      </c>
    </row>
    <row r="5" spans="3:3">
      <c r="C5" t="s">
        <v>271</v>
      </c>
    </row>
    <row r="6" spans="3:3">
      <c r="C6" t="s">
        <v>1223</v>
      </c>
    </row>
    <row r="7" spans="3:3">
      <c r="C7" t="s">
        <v>787</v>
      </c>
    </row>
    <row r="8" spans="3:3">
      <c r="C8" t="s">
        <v>947</v>
      </c>
    </row>
    <row r="9" spans="3:3">
      <c r="C9" t="s">
        <v>647</v>
      </c>
    </row>
    <row r="10" spans="3:3">
      <c r="C10" t="s">
        <v>13</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5EFB5-2215-4C99-972E-D45AA083C9A1}">
  <dimension ref="A1:AB238"/>
  <sheetViews>
    <sheetView workbookViewId="0"/>
  </sheetViews>
  <sheetFormatPr defaultRowHeight="12.75"/>
  <sheetData>
    <row r="1" spans="1:28">
      <c r="A1">
        <v>1</v>
      </c>
      <c r="B1" t="s">
        <v>5</v>
      </c>
      <c r="C1">
        <v>46058</v>
      </c>
      <c r="D1">
        <v>46072</v>
      </c>
      <c r="E1" t="s">
        <v>75</v>
      </c>
      <c r="F1" t="s">
        <v>1496</v>
      </c>
      <c r="G1" t="s">
        <v>1497</v>
      </c>
      <c r="H1" t="s">
        <v>1498</v>
      </c>
      <c r="I1" t="s">
        <v>13</v>
      </c>
      <c r="J1">
        <v>3</v>
      </c>
      <c r="K1">
        <v>3</v>
      </c>
      <c r="N1" t="s">
        <v>304</v>
      </c>
      <c r="P1" t="s">
        <v>1499</v>
      </c>
      <c r="R1" t="s">
        <v>1500</v>
      </c>
      <c r="S1">
        <v>45643</v>
      </c>
      <c r="T1">
        <v>45643</v>
      </c>
      <c r="U1" t="s">
        <v>231</v>
      </c>
      <c r="W1" t="s">
        <v>867</v>
      </c>
      <c r="X1">
        <v>45643</v>
      </c>
      <c r="AB1" t="s">
        <v>1501</v>
      </c>
    </row>
    <row r="2" spans="1:28">
      <c r="A2">
        <v>2</v>
      </c>
      <c r="B2" t="s">
        <v>5</v>
      </c>
      <c r="C2">
        <v>46058</v>
      </c>
      <c r="D2">
        <v>46072</v>
      </c>
      <c r="E2" t="s">
        <v>75</v>
      </c>
      <c r="F2" t="s">
        <v>1496</v>
      </c>
      <c r="G2" t="s">
        <v>1502</v>
      </c>
      <c r="H2" t="s">
        <v>1503</v>
      </c>
      <c r="I2" t="s">
        <v>13</v>
      </c>
      <c r="J2">
        <v>5</v>
      </c>
      <c r="K2">
        <v>5</v>
      </c>
      <c r="N2" t="s">
        <v>304</v>
      </c>
      <c r="P2" t="s">
        <v>1443</v>
      </c>
      <c r="AB2" t="s">
        <v>1504</v>
      </c>
    </row>
    <row r="3" spans="1:28">
      <c r="A3">
        <v>3</v>
      </c>
      <c r="B3" t="s">
        <v>5</v>
      </c>
      <c r="C3">
        <v>46058</v>
      </c>
      <c r="D3">
        <v>46072</v>
      </c>
      <c r="E3" t="s">
        <v>75</v>
      </c>
      <c r="F3" t="s">
        <v>268</v>
      </c>
      <c r="G3" t="s">
        <v>1505</v>
      </c>
      <c r="H3" t="s">
        <v>1506</v>
      </c>
      <c r="I3" t="s">
        <v>13</v>
      </c>
      <c r="J3">
        <v>3</v>
      </c>
      <c r="K3">
        <v>3</v>
      </c>
      <c r="N3" t="s">
        <v>304</v>
      </c>
      <c r="P3" t="s">
        <v>1443</v>
      </c>
      <c r="R3" t="s">
        <v>1507</v>
      </c>
      <c r="S3">
        <v>45639</v>
      </c>
      <c r="T3">
        <v>45643</v>
      </c>
      <c r="U3" t="s">
        <v>231</v>
      </c>
      <c r="W3" t="s">
        <v>867</v>
      </c>
      <c r="X3">
        <v>45643</v>
      </c>
      <c r="AB3" t="s">
        <v>1508</v>
      </c>
    </row>
    <row r="4" spans="1:28">
      <c r="A4">
        <v>4</v>
      </c>
      <c r="B4" t="s">
        <v>5</v>
      </c>
      <c r="C4">
        <v>46058</v>
      </c>
      <c r="D4">
        <v>46072</v>
      </c>
      <c r="E4" t="s">
        <v>75</v>
      </c>
      <c r="F4" t="s">
        <v>268</v>
      </c>
      <c r="G4" t="s">
        <v>1509</v>
      </c>
      <c r="H4" t="s">
        <v>1510</v>
      </c>
      <c r="I4" t="s">
        <v>13</v>
      </c>
      <c r="J4">
        <v>2</v>
      </c>
      <c r="K4">
        <v>2</v>
      </c>
      <c r="N4" t="s">
        <v>304</v>
      </c>
      <c r="P4" t="s">
        <v>1443</v>
      </c>
      <c r="R4" t="s">
        <v>1511</v>
      </c>
      <c r="S4">
        <v>45639</v>
      </c>
      <c r="T4">
        <v>45642</v>
      </c>
      <c r="U4" t="s">
        <v>231</v>
      </c>
      <c r="W4" t="s">
        <v>1161</v>
      </c>
      <c r="X4">
        <v>45642</v>
      </c>
      <c r="AB4" t="s">
        <v>1512</v>
      </c>
    </row>
    <row r="5" spans="1:28">
      <c r="A5">
        <v>5</v>
      </c>
      <c r="B5" t="s">
        <v>5</v>
      </c>
      <c r="C5">
        <v>46058</v>
      </c>
      <c r="D5">
        <v>46072</v>
      </c>
      <c r="E5" t="s">
        <v>75</v>
      </c>
      <c r="F5" t="s">
        <v>1443</v>
      </c>
      <c r="G5" t="s">
        <v>1513</v>
      </c>
      <c r="H5" t="s">
        <v>1514</v>
      </c>
      <c r="I5" t="s">
        <v>13</v>
      </c>
      <c r="J5">
        <v>3</v>
      </c>
      <c r="K5">
        <v>3</v>
      </c>
      <c r="N5" t="s">
        <v>304</v>
      </c>
      <c r="P5" t="s">
        <v>268</v>
      </c>
      <c r="R5" t="s">
        <v>1515</v>
      </c>
      <c r="S5">
        <v>45653</v>
      </c>
      <c r="T5">
        <v>45656</v>
      </c>
      <c r="U5" t="s">
        <v>231</v>
      </c>
      <c r="W5" t="s">
        <v>867</v>
      </c>
      <c r="X5">
        <v>45656</v>
      </c>
    </row>
    <row r="6" spans="1:28">
      <c r="A6">
        <v>6</v>
      </c>
      <c r="B6" t="s">
        <v>5</v>
      </c>
      <c r="C6">
        <v>46058</v>
      </c>
      <c r="D6">
        <v>46072</v>
      </c>
      <c r="E6" t="s">
        <v>75</v>
      </c>
      <c r="F6" t="s">
        <v>1454</v>
      </c>
      <c r="G6" t="s">
        <v>1516</v>
      </c>
      <c r="H6" t="s">
        <v>1517</v>
      </c>
      <c r="I6" t="s">
        <v>13</v>
      </c>
      <c r="J6">
        <v>3</v>
      </c>
      <c r="K6">
        <v>3</v>
      </c>
      <c r="N6" t="s">
        <v>304</v>
      </c>
      <c r="P6" t="s">
        <v>1443</v>
      </c>
      <c r="R6" t="s">
        <v>1518</v>
      </c>
      <c r="S6">
        <v>45657</v>
      </c>
      <c r="T6">
        <v>45657</v>
      </c>
      <c r="U6" t="s">
        <v>231</v>
      </c>
      <c r="W6" t="s">
        <v>867</v>
      </c>
      <c r="X6">
        <v>45657</v>
      </c>
      <c r="AB6" t="s">
        <v>1519</v>
      </c>
    </row>
    <row r="7" spans="1:28">
      <c r="A7">
        <v>7</v>
      </c>
      <c r="B7" t="s">
        <v>5</v>
      </c>
      <c r="C7">
        <v>46058</v>
      </c>
      <c r="D7">
        <v>46072</v>
      </c>
      <c r="E7" t="s">
        <v>75</v>
      </c>
      <c r="F7" t="s">
        <v>1440</v>
      </c>
      <c r="G7" t="s">
        <v>1441</v>
      </c>
      <c r="H7" t="s">
        <v>1442</v>
      </c>
      <c r="I7" t="s">
        <v>647</v>
      </c>
      <c r="J7">
        <v>5</v>
      </c>
      <c r="K7">
        <v>5</v>
      </c>
      <c r="N7" t="s">
        <v>304</v>
      </c>
      <c r="P7" t="s">
        <v>1443</v>
      </c>
      <c r="R7" t="s">
        <v>1444</v>
      </c>
      <c r="S7">
        <v>45657</v>
      </c>
      <c r="T7">
        <v>37621</v>
      </c>
      <c r="U7" t="s">
        <v>231</v>
      </c>
      <c r="W7" t="s">
        <v>867</v>
      </c>
      <c r="X7">
        <v>45657</v>
      </c>
      <c r="AB7" t="s">
        <v>1445</v>
      </c>
    </row>
    <row r="8" spans="1:28">
      <c r="A8">
        <v>1</v>
      </c>
      <c r="B8" t="s">
        <v>5</v>
      </c>
      <c r="C8">
        <v>46058</v>
      </c>
      <c r="D8">
        <v>46072</v>
      </c>
      <c r="E8" t="s">
        <v>83</v>
      </c>
      <c r="F8" t="s">
        <v>268</v>
      </c>
      <c r="G8" t="s">
        <v>1411</v>
      </c>
      <c r="H8" t="s">
        <v>1412</v>
      </c>
      <c r="I8" t="s">
        <v>13</v>
      </c>
      <c r="J8">
        <v>5</v>
      </c>
      <c r="K8">
        <v>5</v>
      </c>
      <c r="L8">
        <v>23</v>
      </c>
      <c r="M8" t="s">
        <v>268</v>
      </c>
      <c r="N8" t="s">
        <v>304</v>
      </c>
      <c r="P8" t="s">
        <v>735</v>
      </c>
      <c r="R8" t="s">
        <v>1413</v>
      </c>
      <c r="S8">
        <v>45687</v>
      </c>
      <c r="T8">
        <v>45687</v>
      </c>
      <c r="U8" t="s">
        <v>231</v>
      </c>
      <c r="W8" t="s">
        <v>1161</v>
      </c>
      <c r="X8">
        <v>45687</v>
      </c>
      <c r="AB8" t="s">
        <v>1414</v>
      </c>
    </row>
    <row r="9" spans="1:28">
      <c r="A9">
        <v>2</v>
      </c>
      <c r="B9" t="s">
        <v>5</v>
      </c>
      <c r="C9">
        <v>46058</v>
      </c>
      <c r="D9">
        <v>46072</v>
      </c>
      <c r="E9" t="s">
        <v>83</v>
      </c>
      <c r="F9" t="s">
        <v>230</v>
      </c>
      <c r="G9" t="s">
        <v>1378</v>
      </c>
      <c r="H9" t="s">
        <v>1379</v>
      </c>
      <c r="I9" t="s">
        <v>436</v>
      </c>
      <c r="J9">
        <v>5</v>
      </c>
      <c r="K9">
        <v>5</v>
      </c>
      <c r="M9" t="s">
        <v>281</v>
      </c>
      <c r="P9" t="s">
        <v>231</v>
      </c>
      <c r="R9" t="s">
        <v>1380</v>
      </c>
      <c r="S9">
        <v>45691</v>
      </c>
      <c r="T9">
        <v>45692</v>
      </c>
      <c r="U9" t="s">
        <v>231</v>
      </c>
      <c r="W9" t="s">
        <v>1161</v>
      </c>
      <c r="X9">
        <v>45692</v>
      </c>
      <c r="AB9" s="43" t="s">
        <v>1415</v>
      </c>
    </row>
    <row r="10" spans="1:28">
      <c r="A10">
        <v>3</v>
      </c>
      <c r="B10" t="s">
        <v>5</v>
      </c>
      <c r="C10">
        <v>46058</v>
      </c>
      <c r="D10">
        <v>46072</v>
      </c>
      <c r="E10" t="s">
        <v>83</v>
      </c>
      <c r="F10" t="s">
        <v>1382</v>
      </c>
      <c r="G10" t="s">
        <v>1416</v>
      </c>
      <c r="H10" t="s">
        <v>1417</v>
      </c>
      <c r="I10" t="s">
        <v>13</v>
      </c>
      <c r="J10">
        <v>1</v>
      </c>
      <c r="K10">
        <v>1</v>
      </c>
      <c r="M10" t="s">
        <v>231</v>
      </c>
      <c r="N10" t="s">
        <v>304</v>
      </c>
      <c r="P10" t="s">
        <v>735</v>
      </c>
      <c r="R10" t="s">
        <v>1418</v>
      </c>
      <c r="S10">
        <v>45681</v>
      </c>
      <c r="T10">
        <v>45681</v>
      </c>
      <c r="U10" t="s">
        <v>231</v>
      </c>
      <c r="W10" t="s">
        <v>1161</v>
      </c>
      <c r="X10">
        <v>45681</v>
      </c>
      <c r="AB10" t="s">
        <v>1419</v>
      </c>
    </row>
    <row r="11" spans="1:28">
      <c r="A11">
        <v>4</v>
      </c>
      <c r="B11" t="s">
        <v>5</v>
      </c>
      <c r="C11">
        <v>46058</v>
      </c>
      <c r="D11">
        <v>46072</v>
      </c>
      <c r="E11" t="s">
        <v>83</v>
      </c>
      <c r="F11" t="s">
        <v>230</v>
      </c>
      <c r="G11" t="s">
        <v>1420</v>
      </c>
      <c r="H11" t="s">
        <v>1421</v>
      </c>
      <c r="I11" t="s">
        <v>13</v>
      </c>
      <c r="J11">
        <v>2</v>
      </c>
      <c r="K11">
        <v>2</v>
      </c>
      <c r="M11" t="s">
        <v>281</v>
      </c>
      <c r="N11" t="s">
        <v>304</v>
      </c>
      <c r="P11" t="s">
        <v>231</v>
      </c>
      <c r="R11" t="s">
        <v>1422</v>
      </c>
      <c r="S11">
        <v>45680</v>
      </c>
      <c r="T11">
        <v>45681</v>
      </c>
      <c r="U11" t="s">
        <v>231</v>
      </c>
      <c r="W11" t="s">
        <v>867</v>
      </c>
      <c r="X11">
        <v>45681</v>
      </c>
      <c r="Z11" t="s">
        <v>1423</v>
      </c>
      <c r="AB11" t="s">
        <v>1424</v>
      </c>
    </row>
    <row r="12" spans="1:28">
      <c r="A12">
        <v>5</v>
      </c>
      <c r="B12" t="s">
        <v>5</v>
      </c>
      <c r="C12">
        <v>46058</v>
      </c>
      <c r="D12">
        <v>46072</v>
      </c>
      <c r="E12" t="s">
        <v>83</v>
      </c>
      <c r="F12" t="s">
        <v>1382</v>
      </c>
      <c r="G12" t="s">
        <v>1383</v>
      </c>
      <c r="H12" t="s">
        <v>1384</v>
      </c>
      <c r="I12" t="s">
        <v>436</v>
      </c>
      <c r="J12">
        <v>2</v>
      </c>
      <c r="K12">
        <v>2</v>
      </c>
      <c r="M12" t="s">
        <v>231</v>
      </c>
      <c r="N12" t="s">
        <v>268</v>
      </c>
      <c r="P12" t="s">
        <v>268</v>
      </c>
      <c r="R12" t="s">
        <v>1385</v>
      </c>
      <c r="S12">
        <v>45692</v>
      </c>
      <c r="T12">
        <v>45693</v>
      </c>
      <c r="U12" t="s">
        <v>231</v>
      </c>
      <c r="W12" t="s">
        <v>1161</v>
      </c>
      <c r="X12">
        <v>45693</v>
      </c>
      <c r="AB12" t="s">
        <v>1425</v>
      </c>
    </row>
    <row r="13" spans="1:28">
      <c r="A13">
        <v>6</v>
      </c>
      <c r="B13" t="s">
        <v>5</v>
      </c>
      <c r="C13">
        <v>46058</v>
      </c>
      <c r="D13">
        <v>46072</v>
      </c>
      <c r="E13" t="s">
        <v>83</v>
      </c>
      <c r="F13" t="s">
        <v>284</v>
      </c>
      <c r="G13" t="s">
        <v>1426</v>
      </c>
      <c r="H13" t="s">
        <v>1427</v>
      </c>
      <c r="I13" t="s">
        <v>13</v>
      </c>
      <c r="J13">
        <v>2</v>
      </c>
      <c r="K13">
        <v>2</v>
      </c>
      <c r="M13" t="s">
        <v>93</v>
      </c>
      <c r="N13" t="s">
        <v>93</v>
      </c>
      <c r="O13" t="s">
        <v>93</v>
      </c>
      <c r="P13" t="s">
        <v>93</v>
      </c>
      <c r="Q13" t="s">
        <v>93</v>
      </c>
      <c r="R13" t="s">
        <v>93</v>
      </c>
      <c r="S13" t="s">
        <v>93</v>
      </c>
      <c r="T13" t="s">
        <v>93</v>
      </c>
      <c r="U13" t="s">
        <v>93</v>
      </c>
      <c r="V13" t="s">
        <v>93</v>
      </c>
      <c r="W13" t="s">
        <v>93</v>
      </c>
      <c r="X13" t="s">
        <v>93</v>
      </c>
      <c r="Y13" t="s">
        <v>93</v>
      </c>
      <c r="Z13" t="s">
        <v>93</v>
      </c>
      <c r="AA13" t="s">
        <v>93</v>
      </c>
      <c r="AB13" t="s">
        <v>1428</v>
      </c>
    </row>
    <row r="14" spans="1:28">
      <c r="A14">
        <v>7</v>
      </c>
      <c r="B14" t="s">
        <v>5</v>
      </c>
      <c r="C14">
        <v>46058</v>
      </c>
      <c r="D14">
        <v>46072</v>
      </c>
      <c r="E14" t="s">
        <v>83</v>
      </c>
      <c r="F14" t="s">
        <v>284</v>
      </c>
      <c r="G14" t="s">
        <v>1429</v>
      </c>
      <c r="H14" t="s">
        <v>1430</v>
      </c>
      <c r="I14" t="s">
        <v>13</v>
      </c>
      <c r="J14" t="s">
        <v>1431</v>
      </c>
      <c r="K14">
        <v>1</v>
      </c>
      <c r="M14" t="s">
        <v>93</v>
      </c>
      <c r="N14" t="s">
        <v>93</v>
      </c>
      <c r="O14" t="s">
        <v>93</v>
      </c>
      <c r="P14" t="s">
        <v>93</v>
      </c>
      <c r="Q14" t="s">
        <v>93</v>
      </c>
      <c r="R14" t="s">
        <v>93</v>
      </c>
      <c r="S14" t="s">
        <v>93</v>
      </c>
      <c r="T14" t="s">
        <v>93</v>
      </c>
      <c r="U14" t="s">
        <v>93</v>
      </c>
      <c r="V14" t="s">
        <v>93</v>
      </c>
      <c r="W14" t="s">
        <v>93</v>
      </c>
      <c r="X14" t="s">
        <v>93</v>
      </c>
      <c r="Y14" t="s">
        <v>93</v>
      </c>
      <c r="Z14" t="s">
        <v>93</v>
      </c>
      <c r="AA14" t="s">
        <v>93</v>
      </c>
      <c r="AB14" t="s">
        <v>1432</v>
      </c>
    </row>
    <row r="15" spans="1:28">
      <c r="A15">
        <v>1</v>
      </c>
      <c r="B15" t="s">
        <v>5</v>
      </c>
      <c r="C15">
        <v>46058</v>
      </c>
      <c r="D15">
        <v>46072</v>
      </c>
      <c r="E15" t="s">
        <v>87</v>
      </c>
      <c r="F15" t="s">
        <v>230</v>
      </c>
      <c r="G15" t="s">
        <v>1378</v>
      </c>
      <c r="H15" t="s">
        <v>1379</v>
      </c>
      <c r="I15" t="s">
        <v>13</v>
      </c>
      <c r="J15">
        <v>2</v>
      </c>
      <c r="K15">
        <v>2</v>
      </c>
      <c r="L15">
        <v>23</v>
      </c>
      <c r="M15" t="s">
        <v>281</v>
      </c>
      <c r="N15" t="s">
        <v>304</v>
      </c>
      <c r="P15" t="s">
        <v>231</v>
      </c>
      <c r="R15" t="s">
        <v>1380</v>
      </c>
      <c r="S15">
        <v>45691</v>
      </c>
      <c r="T15">
        <v>45692</v>
      </c>
      <c r="U15" t="s">
        <v>231</v>
      </c>
      <c r="W15" t="s">
        <v>1161</v>
      </c>
      <c r="X15">
        <v>45692</v>
      </c>
      <c r="AB15" t="s">
        <v>1381</v>
      </c>
    </row>
    <row r="16" spans="1:28">
      <c r="A16">
        <v>2</v>
      </c>
      <c r="B16" t="s">
        <v>5</v>
      </c>
      <c r="C16">
        <v>46058</v>
      </c>
      <c r="D16">
        <v>46072</v>
      </c>
      <c r="E16" t="s">
        <v>87</v>
      </c>
      <c r="F16" t="s">
        <v>1382</v>
      </c>
      <c r="G16" t="s">
        <v>1383</v>
      </c>
      <c r="H16" t="s">
        <v>1384</v>
      </c>
      <c r="I16" t="s">
        <v>13</v>
      </c>
      <c r="J16">
        <v>2</v>
      </c>
      <c r="K16">
        <v>2</v>
      </c>
      <c r="L16">
        <v>2</v>
      </c>
      <c r="M16" t="s">
        <v>231</v>
      </c>
      <c r="N16" t="s">
        <v>268</v>
      </c>
      <c r="P16" t="s">
        <v>268</v>
      </c>
      <c r="R16" t="s">
        <v>1385</v>
      </c>
      <c r="S16">
        <v>45692</v>
      </c>
      <c r="T16">
        <v>45693</v>
      </c>
      <c r="U16" t="s">
        <v>231</v>
      </c>
      <c r="W16" t="s">
        <v>1161</v>
      </c>
      <c r="X16">
        <v>45693</v>
      </c>
    </row>
    <row r="17" spans="1:28">
      <c r="A17">
        <v>3</v>
      </c>
      <c r="B17" t="s">
        <v>5</v>
      </c>
      <c r="C17">
        <v>46058</v>
      </c>
      <c r="D17">
        <v>46072</v>
      </c>
      <c r="E17" t="s">
        <v>87</v>
      </c>
      <c r="F17" t="s">
        <v>506</v>
      </c>
      <c r="G17" t="s">
        <v>1386</v>
      </c>
      <c r="H17" t="s">
        <v>1387</v>
      </c>
      <c r="I17" t="s">
        <v>13</v>
      </c>
      <c r="J17">
        <v>1</v>
      </c>
      <c r="K17">
        <v>1</v>
      </c>
      <c r="L17">
        <v>7.5</v>
      </c>
      <c r="N17" t="s">
        <v>304</v>
      </c>
      <c r="R17" t="s">
        <v>1388</v>
      </c>
    </row>
    <row r="18" spans="1:28">
      <c r="A18">
        <v>4</v>
      </c>
      <c r="B18" t="s">
        <v>5</v>
      </c>
      <c r="C18">
        <v>46058</v>
      </c>
      <c r="D18">
        <v>46072</v>
      </c>
      <c r="E18" t="s">
        <v>87</v>
      </c>
      <c r="F18" t="s">
        <v>268</v>
      </c>
      <c r="G18" t="s">
        <v>1329</v>
      </c>
      <c r="H18" t="s">
        <v>1330</v>
      </c>
      <c r="I18" t="s">
        <v>1223</v>
      </c>
      <c r="J18">
        <v>5</v>
      </c>
      <c r="K18">
        <v>5</v>
      </c>
      <c r="L18">
        <v>84.5</v>
      </c>
      <c r="N18" t="s">
        <v>304</v>
      </c>
      <c r="AB18" s="43" t="s">
        <v>1389</v>
      </c>
    </row>
    <row r="19" spans="1:28">
      <c r="A19">
        <v>6</v>
      </c>
      <c r="B19" t="s">
        <v>5</v>
      </c>
      <c r="C19">
        <v>46058</v>
      </c>
      <c r="D19">
        <v>46072</v>
      </c>
      <c r="E19" t="s">
        <v>87</v>
      </c>
      <c r="F19" t="s">
        <v>230</v>
      </c>
      <c r="G19" t="s">
        <v>1390</v>
      </c>
      <c r="H19" t="s">
        <v>1391</v>
      </c>
      <c r="I19" t="s">
        <v>13</v>
      </c>
      <c r="J19">
        <v>1</v>
      </c>
      <c r="K19">
        <v>1</v>
      </c>
      <c r="L19">
        <v>25.5</v>
      </c>
      <c r="M19" t="s">
        <v>231</v>
      </c>
      <c r="N19" t="s">
        <v>304</v>
      </c>
      <c r="P19" t="s">
        <v>304</v>
      </c>
      <c r="R19" t="s">
        <v>1392</v>
      </c>
      <c r="S19">
        <v>45695</v>
      </c>
      <c r="T19">
        <v>45695</v>
      </c>
      <c r="U19" t="s">
        <v>231</v>
      </c>
      <c r="W19" t="s">
        <v>1161</v>
      </c>
      <c r="X19">
        <v>45695</v>
      </c>
      <c r="AB19" s="43" t="s">
        <v>1393</v>
      </c>
    </row>
    <row r="20" spans="1:28">
      <c r="A20">
        <v>7</v>
      </c>
      <c r="B20" t="s">
        <v>5</v>
      </c>
      <c r="C20">
        <v>46058</v>
      </c>
      <c r="D20">
        <v>46072</v>
      </c>
      <c r="E20" t="s">
        <v>87</v>
      </c>
      <c r="F20" t="s">
        <v>230</v>
      </c>
      <c r="G20" t="s">
        <v>1369</v>
      </c>
      <c r="H20" t="s">
        <v>1394</v>
      </c>
      <c r="I20" t="s">
        <v>436</v>
      </c>
      <c r="J20">
        <v>5</v>
      </c>
      <c r="K20">
        <v>5</v>
      </c>
      <c r="L20">
        <v>60</v>
      </c>
      <c r="N20" t="s">
        <v>304</v>
      </c>
      <c r="R20" t="s">
        <v>1395</v>
      </c>
      <c r="S20">
        <v>45700</v>
      </c>
      <c r="T20">
        <v>45706</v>
      </c>
      <c r="U20" t="s">
        <v>231</v>
      </c>
      <c r="W20" t="s">
        <v>1161</v>
      </c>
      <c r="X20">
        <v>45706</v>
      </c>
      <c r="Y20" s="43" t="s">
        <v>1396</v>
      </c>
      <c r="AB20" s="43" t="s">
        <v>1397</v>
      </c>
    </row>
    <row r="21" spans="1:28">
      <c r="A21">
        <v>8</v>
      </c>
      <c r="B21" t="s">
        <v>5</v>
      </c>
      <c r="C21">
        <v>46058</v>
      </c>
      <c r="D21">
        <v>46072</v>
      </c>
      <c r="E21" t="s">
        <v>87</v>
      </c>
      <c r="F21" t="s">
        <v>284</v>
      </c>
      <c r="G21" t="s">
        <v>1398</v>
      </c>
      <c r="H21" t="s">
        <v>1399</v>
      </c>
      <c r="I21" t="s">
        <v>13</v>
      </c>
      <c r="J21">
        <v>1</v>
      </c>
      <c r="K21">
        <v>1</v>
      </c>
      <c r="L21">
        <v>22</v>
      </c>
      <c r="M21" t="s">
        <v>93</v>
      </c>
      <c r="N21" t="s">
        <v>93</v>
      </c>
      <c r="O21" t="s">
        <v>93</v>
      </c>
      <c r="P21" t="s">
        <v>93</v>
      </c>
      <c r="Q21" t="s">
        <v>93</v>
      </c>
      <c r="R21" t="s">
        <v>93</v>
      </c>
      <c r="S21" t="s">
        <v>93</v>
      </c>
      <c r="T21" t="s">
        <v>93</v>
      </c>
      <c r="U21" t="s">
        <v>93</v>
      </c>
      <c r="V21" t="s">
        <v>93</v>
      </c>
      <c r="W21" t="s">
        <v>93</v>
      </c>
      <c r="X21" t="s">
        <v>93</v>
      </c>
      <c r="Y21" t="s">
        <v>93</v>
      </c>
      <c r="Z21" t="s">
        <v>93</v>
      </c>
      <c r="AA21" t="s">
        <v>93</v>
      </c>
      <c r="AB21" t="s">
        <v>1400</v>
      </c>
    </row>
    <row r="22" spans="1:28">
      <c r="A22">
        <v>1</v>
      </c>
      <c r="B22" t="s">
        <v>5</v>
      </c>
      <c r="C22">
        <v>45709</v>
      </c>
      <c r="D22">
        <v>45722</v>
      </c>
      <c r="E22" t="s">
        <v>90</v>
      </c>
      <c r="F22" t="s">
        <v>268</v>
      </c>
      <c r="G22" t="s">
        <v>1329</v>
      </c>
      <c r="H22" t="s">
        <v>1330</v>
      </c>
      <c r="I22" t="s">
        <v>13</v>
      </c>
      <c r="J22">
        <v>2</v>
      </c>
      <c r="K22">
        <v>2</v>
      </c>
      <c r="L22">
        <v>15.5</v>
      </c>
      <c r="M22" t="s">
        <v>268</v>
      </c>
      <c r="N22" t="s">
        <v>304</v>
      </c>
      <c r="O22" t="s">
        <v>1331</v>
      </c>
      <c r="AB22" s="43" t="s">
        <v>1332</v>
      </c>
    </row>
    <row r="23" spans="1:28">
      <c r="A23">
        <v>3</v>
      </c>
      <c r="B23" t="s">
        <v>5</v>
      </c>
      <c r="C23">
        <v>45709</v>
      </c>
      <c r="D23">
        <v>45722</v>
      </c>
      <c r="E23" t="s">
        <v>90</v>
      </c>
      <c r="F23" t="s">
        <v>230</v>
      </c>
      <c r="G23" t="s">
        <v>1333</v>
      </c>
      <c r="H23" t="s">
        <v>1334</v>
      </c>
      <c r="I23" t="s">
        <v>13</v>
      </c>
      <c r="J23">
        <v>2</v>
      </c>
      <c r="K23">
        <v>1</v>
      </c>
      <c r="L23">
        <v>9</v>
      </c>
      <c r="M23" t="s">
        <v>281</v>
      </c>
      <c r="N23" t="s">
        <v>304</v>
      </c>
      <c r="O23" t="s">
        <v>93</v>
      </c>
      <c r="R23" t="s">
        <v>1335</v>
      </c>
      <c r="S23">
        <v>45709</v>
      </c>
      <c r="U23" t="s">
        <v>231</v>
      </c>
      <c r="AB23" t="s">
        <v>1336</v>
      </c>
    </row>
    <row r="24" spans="1:28">
      <c r="A24">
        <v>4</v>
      </c>
      <c r="B24" t="s">
        <v>5</v>
      </c>
      <c r="C24">
        <v>45709</v>
      </c>
      <c r="D24">
        <v>45722</v>
      </c>
      <c r="E24" t="s">
        <v>90</v>
      </c>
      <c r="F24" t="s">
        <v>230</v>
      </c>
      <c r="G24" t="s">
        <v>1337</v>
      </c>
      <c r="H24" t="s">
        <v>1338</v>
      </c>
      <c r="I24" t="s">
        <v>13</v>
      </c>
      <c r="J24">
        <v>2</v>
      </c>
      <c r="K24">
        <v>3</v>
      </c>
      <c r="L24">
        <v>40.25</v>
      </c>
      <c r="M24" t="s">
        <v>281</v>
      </c>
      <c r="N24" t="s">
        <v>304</v>
      </c>
      <c r="O24" t="s">
        <v>93</v>
      </c>
      <c r="R24" t="s">
        <v>1339</v>
      </c>
      <c r="S24">
        <v>45714</v>
      </c>
      <c r="T24">
        <v>45714</v>
      </c>
      <c r="U24" t="s">
        <v>231</v>
      </c>
      <c r="AB24" t="s">
        <v>1340</v>
      </c>
    </row>
    <row r="25" spans="1:28">
      <c r="A25">
        <v>5</v>
      </c>
      <c r="B25" t="s">
        <v>5</v>
      </c>
      <c r="C25">
        <v>45709</v>
      </c>
      <c r="D25">
        <v>45722</v>
      </c>
      <c r="E25" t="s">
        <v>90</v>
      </c>
      <c r="F25" t="s">
        <v>1341</v>
      </c>
      <c r="G25" t="s">
        <v>1342</v>
      </c>
      <c r="H25" t="s">
        <v>1343</v>
      </c>
      <c r="I25" t="s">
        <v>647</v>
      </c>
      <c r="J25">
        <v>5</v>
      </c>
      <c r="K25">
        <v>3</v>
      </c>
      <c r="L25">
        <v>75.25</v>
      </c>
      <c r="M25" t="s">
        <v>281</v>
      </c>
      <c r="O25" t="s">
        <v>93</v>
      </c>
      <c r="W25" t="s">
        <v>1161</v>
      </c>
      <c r="X25">
        <v>45714</v>
      </c>
      <c r="AB25" t="s">
        <v>1344</v>
      </c>
    </row>
    <row r="26" spans="1:28">
      <c r="A26">
        <v>6</v>
      </c>
      <c r="B26" t="s">
        <v>5</v>
      </c>
      <c r="C26">
        <v>45709</v>
      </c>
      <c r="D26">
        <v>45722</v>
      </c>
      <c r="E26" t="s">
        <v>90</v>
      </c>
      <c r="F26" t="s">
        <v>268</v>
      </c>
      <c r="G26" t="s">
        <v>1345</v>
      </c>
      <c r="H26" t="s">
        <v>1346</v>
      </c>
      <c r="I26" t="s">
        <v>13</v>
      </c>
      <c r="J26">
        <v>2</v>
      </c>
      <c r="K26">
        <v>2</v>
      </c>
      <c r="L26">
        <v>34.5</v>
      </c>
      <c r="M26" t="s">
        <v>268</v>
      </c>
      <c r="N26" t="s">
        <v>304</v>
      </c>
      <c r="R26" t="s">
        <v>1347</v>
      </c>
      <c r="S26">
        <v>45716</v>
      </c>
      <c r="T26">
        <v>45720</v>
      </c>
      <c r="U26" t="s">
        <v>231</v>
      </c>
      <c r="W26" t="s">
        <v>1161</v>
      </c>
      <c r="X26">
        <v>45721</v>
      </c>
      <c r="AB26" s="43" t="s">
        <v>1348</v>
      </c>
    </row>
    <row r="27" spans="1:28">
      <c r="A27">
        <v>7</v>
      </c>
      <c r="B27" t="s">
        <v>5</v>
      </c>
      <c r="C27">
        <v>45709</v>
      </c>
      <c r="D27">
        <v>45722</v>
      </c>
      <c r="E27" t="s">
        <v>90</v>
      </c>
      <c r="F27" t="s">
        <v>268</v>
      </c>
      <c r="G27" t="s">
        <v>1349</v>
      </c>
      <c r="H27" t="s">
        <v>1346</v>
      </c>
      <c r="I27" t="s">
        <v>13</v>
      </c>
      <c r="J27">
        <v>2</v>
      </c>
      <c r="K27">
        <v>2</v>
      </c>
      <c r="L27">
        <v>35.75</v>
      </c>
      <c r="M27" t="s">
        <v>268</v>
      </c>
      <c r="N27" t="s">
        <v>304</v>
      </c>
      <c r="R27" t="s">
        <v>1350</v>
      </c>
      <c r="S27">
        <v>45716</v>
      </c>
      <c r="T27">
        <v>45720</v>
      </c>
      <c r="U27" t="s">
        <v>231</v>
      </c>
      <c r="W27" t="s">
        <v>1161</v>
      </c>
      <c r="X27">
        <v>45721</v>
      </c>
      <c r="AB27" s="43" t="s">
        <v>1348</v>
      </c>
    </row>
    <row r="28" spans="1:28">
      <c r="A28">
        <v>8</v>
      </c>
      <c r="B28" t="s">
        <v>5</v>
      </c>
      <c r="C28">
        <v>45709</v>
      </c>
      <c r="D28">
        <v>45722</v>
      </c>
      <c r="E28" t="s">
        <v>1351</v>
      </c>
      <c r="F28" t="s">
        <v>268</v>
      </c>
      <c r="G28" t="s">
        <v>1282</v>
      </c>
      <c r="H28" t="s">
        <v>1283</v>
      </c>
      <c r="I28" t="s">
        <v>271</v>
      </c>
      <c r="J28">
        <v>2</v>
      </c>
      <c r="K28">
        <v>2</v>
      </c>
      <c r="L28">
        <v>31</v>
      </c>
      <c r="AB28" t="s">
        <v>1352</v>
      </c>
    </row>
    <row r="29" spans="1:28">
      <c r="A29">
        <v>8</v>
      </c>
      <c r="B29" t="s">
        <v>5</v>
      </c>
      <c r="C29">
        <v>45709</v>
      </c>
      <c r="D29">
        <v>45722</v>
      </c>
      <c r="E29" t="s">
        <v>90</v>
      </c>
      <c r="F29" t="s">
        <v>284</v>
      </c>
      <c r="G29" t="s">
        <v>1353</v>
      </c>
      <c r="H29" t="s">
        <v>1354</v>
      </c>
      <c r="I29" t="s">
        <v>13</v>
      </c>
      <c r="J29">
        <v>1</v>
      </c>
      <c r="K29">
        <v>1</v>
      </c>
      <c r="L29">
        <v>10</v>
      </c>
      <c r="AB29" s="43" t="s">
        <v>1355</v>
      </c>
    </row>
    <row r="30" spans="1:28">
      <c r="A30">
        <v>9</v>
      </c>
      <c r="B30" t="s">
        <v>5</v>
      </c>
      <c r="C30">
        <v>45709</v>
      </c>
      <c r="D30">
        <v>45722</v>
      </c>
      <c r="E30" t="s">
        <v>90</v>
      </c>
      <c r="F30" t="s">
        <v>284</v>
      </c>
      <c r="G30" t="s">
        <v>1356</v>
      </c>
      <c r="H30" t="s">
        <v>1357</v>
      </c>
      <c r="I30" t="s">
        <v>13</v>
      </c>
      <c r="J30">
        <v>1</v>
      </c>
      <c r="K30">
        <v>1</v>
      </c>
      <c r="L30">
        <v>3</v>
      </c>
      <c r="M30" t="s">
        <v>93</v>
      </c>
      <c r="N30" t="s">
        <v>93</v>
      </c>
      <c r="O30" t="s">
        <v>93</v>
      </c>
      <c r="P30" t="s">
        <v>93</v>
      </c>
      <c r="Q30" t="s">
        <v>93</v>
      </c>
      <c r="R30" t="s">
        <v>93</v>
      </c>
      <c r="S30" t="s">
        <v>93</v>
      </c>
      <c r="T30" t="s">
        <v>93</v>
      </c>
      <c r="U30" t="s">
        <v>93</v>
      </c>
      <c r="V30" t="s">
        <v>93</v>
      </c>
      <c r="W30" t="s">
        <v>93</v>
      </c>
      <c r="X30" t="s">
        <v>93</v>
      </c>
      <c r="Y30" t="s">
        <v>93</v>
      </c>
      <c r="Z30" t="s">
        <v>93</v>
      </c>
      <c r="AA30" t="s">
        <v>93</v>
      </c>
      <c r="AB30" t="s">
        <v>1358</v>
      </c>
    </row>
    <row r="31" spans="1:28">
      <c r="A31">
        <v>10</v>
      </c>
      <c r="B31" t="s">
        <v>5</v>
      </c>
      <c r="C31">
        <v>45709</v>
      </c>
      <c r="D31">
        <v>45722</v>
      </c>
      <c r="E31" t="s">
        <v>90</v>
      </c>
      <c r="F31" t="s">
        <v>284</v>
      </c>
      <c r="G31" t="s">
        <v>1359</v>
      </c>
      <c r="H31" t="s">
        <v>1360</v>
      </c>
      <c r="I31" t="s">
        <v>13</v>
      </c>
      <c r="J31">
        <v>1</v>
      </c>
      <c r="K31">
        <v>1</v>
      </c>
      <c r="M31" t="s">
        <v>93</v>
      </c>
      <c r="N31" t="s">
        <v>93</v>
      </c>
      <c r="O31" t="s">
        <v>93</v>
      </c>
      <c r="P31" t="s">
        <v>93</v>
      </c>
      <c r="Q31" t="s">
        <v>93</v>
      </c>
      <c r="R31" t="s">
        <v>93</v>
      </c>
      <c r="S31" t="s">
        <v>93</v>
      </c>
      <c r="T31" t="s">
        <v>93</v>
      </c>
      <c r="U31" t="s">
        <v>93</v>
      </c>
      <c r="V31" t="s">
        <v>93</v>
      </c>
      <c r="W31" t="s">
        <v>93</v>
      </c>
      <c r="X31" t="s">
        <v>93</v>
      </c>
      <c r="Y31" t="s">
        <v>93</v>
      </c>
      <c r="Z31" t="s">
        <v>93</v>
      </c>
      <c r="AA31" t="s">
        <v>93</v>
      </c>
      <c r="AB31" t="s">
        <v>1361</v>
      </c>
    </row>
    <row r="32" spans="1:28">
      <c r="A32">
        <v>11</v>
      </c>
      <c r="B32" t="s">
        <v>5</v>
      </c>
      <c r="C32">
        <v>45709</v>
      </c>
      <c r="D32">
        <v>45722</v>
      </c>
      <c r="E32" t="s">
        <v>90</v>
      </c>
      <c r="F32" t="s">
        <v>284</v>
      </c>
      <c r="G32" t="s">
        <v>1362</v>
      </c>
      <c r="H32" t="s">
        <v>1363</v>
      </c>
      <c r="I32" t="s">
        <v>13</v>
      </c>
      <c r="J32">
        <v>1</v>
      </c>
      <c r="K32">
        <v>1</v>
      </c>
      <c r="L32">
        <v>6</v>
      </c>
      <c r="M32" t="s">
        <v>93</v>
      </c>
      <c r="N32" t="s">
        <v>93</v>
      </c>
      <c r="O32" t="s">
        <v>93</v>
      </c>
      <c r="P32" t="s">
        <v>93</v>
      </c>
      <c r="Q32" t="s">
        <v>93</v>
      </c>
      <c r="R32" t="s">
        <v>93</v>
      </c>
      <c r="S32" t="s">
        <v>93</v>
      </c>
      <c r="T32" t="s">
        <v>93</v>
      </c>
      <c r="U32" t="s">
        <v>93</v>
      </c>
      <c r="V32" t="s">
        <v>93</v>
      </c>
      <c r="W32" t="s">
        <v>93</v>
      </c>
      <c r="X32" t="s">
        <v>93</v>
      </c>
      <c r="Y32" t="s">
        <v>93</v>
      </c>
      <c r="Z32" t="s">
        <v>93</v>
      </c>
      <c r="AA32" t="s">
        <v>93</v>
      </c>
      <c r="AB32" t="s">
        <v>1364</v>
      </c>
    </row>
    <row r="33" spans="1:28">
      <c r="A33">
        <v>1</v>
      </c>
      <c r="B33" t="s">
        <v>5</v>
      </c>
      <c r="C33">
        <v>45723</v>
      </c>
      <c r="D33">
        <v>45736</v>
      </c>
      <c r="E33" t="s">
        <v>94</v>
      </c>
      <c r="F33" t="s">
        <v>231</v>
      </c>
      <c r="G33" t="s">
        <v>1282</v>
      </c>
      <c r="H33" t="s">
        <v>1283</v>
      </c>
      <c r="I33" t="s">
        <v>13</v>
      </c>
      <c r="J33">
        <v>2</v>
      </c>
      <c r="K33">
        <v>2</v>
      </c>
      <c r="L33">
        <v>22</v>
      </c>
      <c r="M33" t="s">
        <v>231</v>
      </c>
      <c r="N33" t="s">
        <v>304</v>
      </c>
      <c r="O33" t="s">
        <v>1238</v>
      </c>
      <c r="R33" t="s">
        <v>1284</v>
      </c>
      <c r="S33">
        <v>45722</v>
      </c>
      <c r="T33">
        <v>45723</v>
      </c>
      <c r="U33" t="s">
        <v>231</v>
      </c>
      <c r="W33" t="s">
        <v>867</v>
      </c>
      <c r="X33">
        <v>45723</v>
      </c>
      <c r="AB33" t="s">
        <v>1285</v>
      </c>
    </row>
    <row r="34" spans="1:28">
      <c r="A34">
        <v>2</v>
      </c>
      <c r="B34" t="s">
        <v>5</v>
      </c>
      <c r="C34">
        <v>45723</v>
      </c>
      <c r="D34">
        <v>45736</v>
      </c>
      <c r="E34" t="s">
        <v>94</v>
      </c>
      <c r="F34" t="s">
        <v>231</v>
      </c>
      <c r="G34" t="s">
        <v>1286</v>
      </c>
      <c r="H34" t="s">
        <v>1287</v>
      </c>
      <c r="I34" t="s">
        <v>13</v>
      </c>
      <c r="J34">
        <v>2</v>
      </c>
      <c r="K34">
        <v>2</v>
      </c>
      <c r="L34">
        <v>2.25</v>
      </c>
      <c r="M34" t="s">
        <v>231</v>
      </c>
      <c r="R34" t="s">
        <v>1288</v>
      </c>
      <c r="S34">
        <v>45723</v>
      </c>
      <c r="T34">
        <v>45724</v>
      </c>
      <c r="U34" t="s">
        <v>231</v>
      </c>
      <c r="W34" s="43" t="s">
        <v>1289</v>
      </c>
      <c r="X34">
        <v>45724</v>
      </c>
    </row>
    <row r="35" spans="1:28">
      <c r="A35">
        <v>3</v>
      </c>
      <c r="B35" t="s">
        <v>5</v>
      </c>
      <c r="C35">
        <v>45723</v>
      </c>
      <c r="D35">
        <v>45736</v>
      </c>
      <c r="E35" t="s">
        <v>94</v>
      </c>
      <c r="F35" t="s">
        <v>1058</v>
      </c>
      <c r="G35" t="s">
        <v>1145</v>
      </c>
      <c r="H35" t="s">
        <v>1290</v>
      </c>
      <c r="I35" t="s">
        <v>13</v>
      </c>
      <c r="J35">
        <v>3</v>
      </c>
      <c r="K35">
        <v>3</v>
      </c>
      <c r="L35">
        <v>45.5</v>
      </c>
      <c r="M35" t="s">
        <v>534</v>
      </c>
      <c r="N35" t="s">
        <v>304</v>
      </c>
      <c r="O35" t="s">
        <v>1238</v>
      </c>
      <c r="P35" t="s">
        <v>231</v>
      </c>
      <c r="R35" t="s">
        <v>1291</v>
      </c>
      <c r="S35">
        <v>45727</v>
      </c>
      <c r="T35">
        <v>45727</v>
      </c>
      <c r="U35" t="s">
        <v>231</v>
      </c>
      <c r="W35" t="s">
        <v>867</v>
      </c>
      <c r="X35">
        <v>45727</v>
      </c>
      <c r="AB35" t="s">
        <v>1292</v>
      </c>
    </row>
    <row r="36" spans="1:28">
      <c r="A36">
        <v>4</v>
      </c>
      <c r="B36" t="s">
        <v>5</v>
      </c>
      <c r="C36">
        <v>45723</v>
      </c>
      <c r="D36">
        <v>45736</v>
      </c>
      <c r="E36" t="s">
        <v>94</v>
      </c>
      <c r="F36" t="s">
        <v>268</v>
      </c>
      <c r="G36" t="s">
        <v>1293</v>
      </c>
      <c r="H36" t="s">
        <v>1294</v>
      </c>
      <c r="I36" t="s">
        <v>13</v>
      </c>
      <c r="J36">
        <v>2</v>
      </c>
      <c r="K36">
        <v>2</v>
      </c>
      <c r="L36">
        <v>14.25</v>
      </c>
      <c r="M36" t="s">
        <v>268</v>
      </c>
      <c r="N36" t="s">
        <v>281</v>
      </c>
      <c r="P36" t="s">
        <v>231</v>
      </c>
      <c r="R36" t="s">
        <v>1295</v>
      </c>
      <c r="S36">
        <v>45723</v>
      </c>
      <c r="T36">
        <v>45726</v>
      </c>
      <c r="U36" t="s">
        <v>231</v>
      </c>
      <c r="W36" t="s">
        <v>867</v>
      </c>
      <c r="X36">
        <v>45727</v>
      </c>
      <c r="AB36" t="s">
        <v>1296</v>
      </c>
    </row>
    <row r="37" spans="1:28">
      <c r="A37">
        <v>5</v>
      </c>
      <c r="B37" t="s">
        <v>5</v>
      </c>
      <c r="C37">
        <v>45723</v>
      </c>
      <c r="D37">
        <v>45736</v>
      </c>
      <c r="E37" t="s">
        <v>94</v>
      </c>
      <c r="F37" t="s">
        <v>231</v>
      </c>
      <c r="G37" t="s">
        <v>1297</v>
      </c>
      <c r="H37" t="s">
        <v>1298</v>
      </c>
      <c r="I37" t="s">
        <v>13</v>
      </c>
      <c r="J37">
        <v>2</v>
      </c>
      <c r="K37">
        <v>2</v>
      </c>
      <c r="L37">
        <v>2.25</v>
      </c>
      <c r="R37" t="s">
        <v>1299</v>
      </c>
      <c r="S37">
        <v>45723</v>
      </c>
      <c r="T37">
        <v>45724</v>
      </c>
      <c r="U37" t="s">
        <v>231</v>
      </c>
      <c r="W37" s="43" t="s">
        <v>1289</v>
      </c>
      <c r="X37">
        <v>45724</v>
      </c>
    </row>
    <row r="38" spans="1:28">
      <c r="A38">
        <v>6</v>
      </c>
      <c r="B38" t="s">
        <v>5</v>
      </c>
      <c r="C38">
        <v>45723</v>
      </c>
      <c r="D38">
        <v>45736</v>
      </c>
      <c r="E38" t="s">
        <v>94</v>
      </c>
      <c r="F38" t="s">
        <v>268</v>
      </c>
      <c r="G38" t="s">
        <v>1300</v>
      </c>
      <c r="H38" t="s">
        <v>1301</v>
      </c>
      <c r="I38" t="s">
        <v>13</v>
      </c>
      <c r="J38">
        <v>2</v>
      </c>
      <c r="K38">
        <v>2</v>
      </c>
      <c r="L38">
        <v>33.75</v>
      </c>
      <c r="M38" t="s">
        <v>268</v>
      </c>
      <c r="N38" t="s">
        <v>231</v>
      </c>
      <c r="P38" t="s">
        <v>281</v>
      </c>
      <c r="R38" t="s">
        <v>1302</v>
      </c>
      <c r="S38">
        <v>45730</v>
      </c>
      <c r="T38">
        <v>45730</v>
      </c>
      <c r="U38" t="s">
        <v>231</v>
      </c>
      <c r="W38" s="43" t="s">
        <v>1289</v>
      </c>
      <c r="X38">
        <v>45730</v>
      </c>
      <c r="AB38" t="s">
        <v>1067</v>
      </c>
    </row>
    <row r="39" spans="1:28">
      <c r="A39">
        <v>7</v>
      </c>
      <c r="B39" t="s">
        <v>5</v>
      </c>
      <c r="C39">
        <v>45723</v>
      </c>
      <c r="D39">
        <v>45736</v>
      </c>
      <c r="E39" t="s">
        <v>94</v>
      </c>
      <c r="F39" t="s">
        <v>231</v>
      </c>
      <c r="G39" t="s">
        <v>1303</v>
      </c>
      <c r="H39" t="s">
        <v>1304</v>
      </c>
      <c r="I39" t="s">
        <v>13</v>
      </c>
      <c r="J39">
        <v>2</v>
      </c>
      <c r="K39">
        <v>2</v>
      </c>
      <c r="L39">
        <v>11.75</v>
      </c>
      <c r="M39" t="s">
        <v>231</v>
      </c>
      <c r="N39" t="s">
        <v>268</v>
      </c>
      <c r="P39" t="s">
        <v>268</v>
      </c>
      <c r="R39" t="s">
        <v>1305</v>
      </c>
      <c r="S39">
        <v>45729</v>
      </c>
      <c r="T39">
        <v>45730</v>
      </c>
      <c r="U39" t="s">
        <v>231</v>
      </c>
      <c r="W39" s="43" t="s">
        <v>1289</v>
      </c>
      <c r="X39">
        <v>45730</v>
      </c>
      <c r="AB39" t="s">
        <v>1067</v>
      </c>
    </row>
    <row r="40" spans="1:28">
      <c r="A40">
        <v>8</v>
      </c>
      <c r="B40" t="s">
        <v>5</v>
      </c>
      <c r="C40">
        <v>45723</v>
      </c>
      <c r="D40">
        <v>45736</v>
      </c>
      <c r="E40" t="s">
        <v>1306</v>
      </c>
      <c r="F40" t="s">
        <v>1307</v>
      </c>
      <c r="G40" t="s">
        <v>1308</v>
      </c>
      <c r="H40" t="s">
        <v>1309</v>
      </c>
      <c r="I40" t="s">
        <v>1310</v>
      </c>
      <c r="J40">
        <v>5</v>
      </c>
      <c r="K40">
        <v>5</v>
      </c>
      <c r="L40">
        <v>72</v>
      </c>
      <c r="M40" t="s">
        <v>481</v>
      </c>
      <c r="N40" t="s">
        <v>304</v>
      </c>
      <c r="O40" t="s">
        <v>1238</v>
      </c>
      <c r="P40" t="s">
        <v>268</v>
      </c>
      <c r="R40" t="s">
        <v>1311</v>
      </c>
      <c r="S40">
        <v>45734</v>
      </c>
      <c r="T40">
        <v>45735</v>
      </c>
      <c r="U40" t="s">
        <v>231</v>
      </c>
      <c r="W40" t="s">
        <v>867</v>
      </c>
      <c r="X40">
        <v>45735</v>
      </c>
      <c r="AB40" t="s">
        <v>1312</v>
      </c>
    </row>
    <row r="41" spans="1:28">
      <c r="A41">
        <v>9</v>
      </c>
      <c r="B41" t="s">
        <v>5</v>
      </c>
      <c r="C41">
        <v>45723</v>
      </c>
      <c r="D41">
        <v>45736</v>
      </c>
      <c r="E41" t="s">
        <v>1306</v>
      </c>
      <c r="F41" t="s">
        <v>1313</v>
      </c>
      <c r="G41" t="s">
        <v>1314</v>
      </c>
      <c r="H41" t="s">
        <v>1309</v>
      </c>
      <c r="I41" t="s">
        <v>1310</v>
      </c>
      <c r="J41">
        <v>2</v>
      </c>
      <c r="K41">
        <v>2</v>
      </c>
      <c r="L41">
        <v>11.5</v>
      </c>
      <c r="M41" t="s">
        <v>534</v>
      </c>
      <c r="N41" t="s">
        <v>304</v>
      </c>
      <c r="P41" t="s">
        <v>268</v>
      </c>
      <c r="R41" t="s">
        <v>1315</v>
      </c>
      <c r="S41">
        <v>45734</v>
      </c>
      <c r="T41">
        <v>45735</v>
      </c>
      <c r="U41" t="s">
        <v>231</v>
      </c>
      <c r="W41" t="s">
        <v>867</v>
      </c>
      <c r="X41">
        <v>45735</v>
      </c>
      <c r="AB41" t="s">
        <v>1316</v>
      </c>
    </row>
    <row r="42" spans="1:28">
      <c r="A42">
        <v>10</v>
      </c>
      <c r="B42" t="s">
        <v>5</v>
      </c>
      <c r="C42">
        <v>45723</v>
      </c>
      <c r="D42">
        <v>45736</v>
      </c>
      <c r="E42" t="s">
        <v>1306</v>
      </c>
      <c r="F42" t="s">
        <v>231</v>
      </c>
      <c r="G42" t="s">
        <v>1252</v>
      </c>
      <c r="H42" t="s">
        <v>1317</v>
      </c>
      <c r="I42" t="s">
        <v>271</v>
      </c>
      <c r="J42">
        <v>3</v>
      </c>
      <c r="L42">
        <v>14.5</v>
      </c>
    </row>
    <row r="43" spans="1:28">
      <c r="A43">
        <v>11</v>
      </c>
      <c r="B43" t="s">
        <v>5</v>
      </c>
      <c r="C43">
        <v>45723</v>
      </c>
      <c r="D43">
        <v>45736</v>
      </c>
      <c r="E43" t="s">
        <v>94</v>
      </c>
      <c r="F43" t="s">
        <v>284</v>
      </c>
      <c r="G43" t="s">
        <v>1318</v>
      </c>
      <c r="H43" t="s">
        <v>1319</v>
      </c>
      <c r="I43" t="s">
        <v>13</v>
      </c>
      <c r="J43">
        <v>1</v>
      </c>
      <c r="K43">
        <v>1</v>
      </c>
      <c r="L43">
        <v>22</v>
      </c>
      <c r="AB43" t="s">
        <v>1320</v>
      </c>
    </row>
    <row r="44" spans="1:28">
      <c r="A44">
        <v>12</v>
      </c>
      <c r="B44" t="s">
        <v>5</v>
      </c>
      <c r="C44">
        <v>45723</v>
      </c>
      <c r="D44">
        <v>45736</v>
      </c>
      <c r="E44" t="s">
        <v>94</v>
      </c>
      <c r="F44" t="s">
        <v>1321</v>
      </c>
      <c r="G44" t="s">
        <v>1322</v>
      </c>
      <c r="H44" t="s">
        <v>1323</v>
      </c>
      <c r="I44" t="s">
        <v>13</v>
      </c>
      <c r="J44">
        <v>1</v>
      </c>
      <c r="K44">
        <v>1</v>
      </c>
      <c r="L44">
        <v>18</v>
      </c>
      <c r="AB44" t="s">
        <v>1216</v>
      </c>
    </row>
    <row r="45" spans="1:28">
      <c r="A45">
        <v>13</v>
      </c>
      <c r="B45" t="s">
        <v>5</v>
      </c>
      <c r="C45">
        <v>45723</v>
      </c>
      <c r="D45">
        <v>45736</v>
      </c>
      <c r="E45" t="s">
        <v>94</v>
      </c>
      <c r="F45" t="s">
        <v>1324</v>
      </c>
      <c r="G45" t="s">
        <v>1325</v>
      </c>
      <c r="H45" t="s">
        <v>1326</v>
      </c>
      <c r="I45" t="s">
        <v>13</v>
      </c>
      <c r="J45">
        <v>1</v>
      </c>
      <c r="K45">
        <v>1</v>
      </c>
      <c r="L45">
        <v>2</v>
      </c>
      <c r="AB45" t="s">
        <v>1216</v>
      </c>
    </row>
    <row r="46" spans="1:28">
      <c r="A46">
        <v>1</v>
      </c>
      <c r="B46" t="s">
        <v>5</v>
      </c>
      <c r="C46">
        <v>45736</v>
      </c>
      <c r="D46">
        <v>45750</v>
      </c>
      <c r="E46" t="s">
        <v>98</v>
      </c>
      <c r="F46" t="s">
        <v>231</v>
      </c>
      <c r="G46" t="s">
        <v>1231</v>
      </c>
      <c r="H46" t="s">
        <v>1232</v>
      </c>
      <c r="I46" t="s">
        <v>13</v>
      </c>
      <c r="J46">
        <v>2</v>
      </c>
      <c r="K46">
        <v>2</v>
      </c>
      <c r="L46">
        <v>22.5</v>
      </c>
      <c r="M46" t="s">
        <v>231</v>
      </c>
      <c r="N46" t="s">
        <v>1041</v>
      </c>
      <c r="O46" t="s">
        <v>93</v>
      </c>
      <c r="R46" t="s">
        <v>1233</v>
      </c>
      <c r="S46">
        <v>45740</v>
      </c>
      <c r="T46">
        <v>45740</v>
      </c>
      <c r="U46" t="s">
        <v>231</v>
      </c>
      <c r="W46" t="s">
        <v>1161</v>
      </c>
      <c r="X46">
        <v>45740</v>
      </c>
      <c r="AB46" s="43" t="s">
        <v>1234</v>
      </c>
    </row>
    <row r="47" spans="1:28">
      <c r="A47">
        <v>2</v>
      </c>
      <c r="B47" t="s">
        <v>5</v>
      </c>
      <c r="C47">
        <v>45736</v>
      </c>
      <c r="D47">
        <v>45750</v>
      </c>
      <c r="E47" t="s">
        <v>1235</v>
      </c>
      <c r="F47" t="s">
        <v>231</v>
      </c>
      <c r="G47" t="s">
        <v>1236</v>
      </c>
      <c r="H47" t="s">
        <v>1237</v>
      </c>
      <c r="I47" t="s">
        <v>13</v>
      </c>
      <c r="J47">
        <v>1</v>
      </c>
      <c r="K47">
        <v>1</v>
      </c>
      <c r="L47">
        <v>9</v>
      </c>
      <c r="O47" t="s">
        <v>1238</v>
      </c>
      <c r="AB47" t="s">
        <v>1239</v>
      </c>
    </row>
    <row r="48" spans="1:28">
      <c r="A48">
        <v>3</v>
      </c>
      <c r="B48" t="s">
        <v>5</v>
      </c>
      <c r="C48">
        <v>45736</v>
      </c>
      <c r="D48">
        <v>45750</v>
      </c>
      <c r="E48" t="s">
        <v>1235</v>
      </c>
      <c r="F48" t="s">
        <v>231</v>
      </c>
      <c r="G48" t="s">
        <v>1240</v>
      </c>
      <c r="H48" t="s">
        <v>1241</v>
      </c>
      <c r="I48" t="s">
        <v>13</v>
      </c>
      <c r="J48">
        <v>1</v>
      </c>
      <c r="K48">
        <v>1</v>
      </c>
      <c r="L48">
        <v>2</v>
      </c>
      <c r="O48" t="s">
        <v>1238</v>
      </c>
      <c r="AB48" t="s">
        <v>1242</v>
      </c>
    </row>
    <row r="49" spans="1:28">
      <c r="A49">
        <v>4</v>
      </c>
      <c r="B49" t="s">
        <v>5</v>
      </c>
      <c r="C49">
        <v>45736</v>
      </c>
      <c r="D49">
        <v>45750</v>
      </c>
      <c r="E49" t="s">
        <v>98</v>
      </c>
      <c r="F49" t="s">
        <v>281</v>
      </c>
      <c r="G49" t="s">
        <v>1243</v>
      </c>
      <c r="H49" t="s">
        <v>1244</v>
      </c>
      <c r="I49" t="s">
        <v>13</v>
      </c>
      <c r="J49">
        <v>2</v>
      </c>
      <c r="K49">
        <v>2</v>
      </c>
      <c r="L49">
        <v>13</v>
      </c>
      <c r="M49" t="s">
        <v>735</v>
      </c>
      <c r="N49" t="s">
        <v>231</v>
      </c>
      <c r="R49" t="s">
        <v>1245</v>
      </c>
      <c r="S49">
        <v>45737</v>
      </c>
      <c r="T49">
        <v>45737</v>
      </c>
      <c r="U49" t="s">
        <v>231</v>
      </c>
      <c r="W49" t="s">
        <v>306</v>
      </c>
      <c r="X49">
        <v>45738</v>
      </c>
      <c r="AB49" t="s">
        <v>1246</v>
      </c>
    </row>
    <row r="50" spans="1:28">
      <c r="A50">
        <v>5</v>
      </c>
      <c r="B50" t="s">
        <v>5</v>
      </c>
      <c r="C50">
        <v>45736</v>
      </c>
      <c r="D50">
        <v>45750</v>
      </c>
      <c r="E50" t="s">
        <v>98</v>
      </c>
      <c r="F50" t="s">
        <v>281</v>
      </c>
      <c r="G50" t="s">
        <v>1247</v>
      </c>
      <c r="H50" t="s">
        <v>1248</v>
      </c>
      <c r="I50" t="s">
        <v>13</v>
      </c>
      <c r="J50">
        <v>3</v>
      </c>
      <c r="K50">
        <v>3</v>
      </c>
      <c r="L50">
        <v>71</v>
      </c>
      <c r="M50" t="s">
        <v>735</v>
      </c>
      <c r="N50" t="s">
        <v>1165</v>
      </c>
      <c r="O50" t="s">
        <v>1238</v>
      </c>
      <c r="R50" t="s">
        <v>1249</v>
      </c>
      <c r="S50">
        <v>45743</v>
      </c>
      <c r="T50">
        <v>45744</v>
      </c>
      <c r="U50" t="s">
        <v>231</v>
      </c>
      <c r="W50" t="s">
        <v>1250</v>
      </c>
      <c r="X50">
        <v>45744</v>
      </c>
      <c r="AB50" t="s">
        <v>1251</v>
      </c>
    </row>
    <row r="51" spans="1:28">
      <c r="A51">
        <v>6</v>
      </c>
      <c r="B51" t="s">
        <v>5</v>
      </c>
      <c r="C51">
        <v>45736</v>
      </c>
      <c r="D51">
        <v>45750</v>
      </c>
      <c r="E51" t="s">
        <v>98</v>
      </c>
      <c r="F51" t="s">
        <v>268</v>
      </c>
      <c r="G51" t="s">
        <v>1252</v>
      </c>
      <c r="H51" t="s">
        <v>1253</v>
      </c>
      <c r="I51" t="s">
        <v>13</v>
      </c>
      <c r="J51">
        <v>2</v>
      </c>
      <c r="K51">
        <v>2</v>
      </c>
      <c r="L51">
        <v>32</v>
      </c>
      <c r="M51" t="s">
        <v>268</v>
      </c>
      <c r="N51" t="s">
        <v>735</v>
      </c>
      <c r="R51" t="s">
        <v>1254</v>
      </c>
      <c r="S51">
        <v>45740</v>
      </c>
      <c r="T51">
        <v>45741</v>
      </c>
      <c r="U51" t="s">
        <v>231</v>
      </c>
      <c r="W51" t="s">
        <v>1161</v>
      </c>
      <c r="X51">
        <v>45741</v>
      </c>
      <c r="AB51" t="s">
        <v>1255</v>
      </c>
    </row>
    <row r="52" spans="1:28">
      <c r="A52">
        <v>7</v>
      </c>
      <c r="B52" t="s">
        <v>5</v>
      </c>
      <c r="C52">
        <v>45736</v>
      </c>
      <c r="D52">
        <v>45750</v>
      </c>
      <c r="E52" t="s">
        <v>98</v>
      </c>
      <c r="F52" t="s">
        <v>268</v>
      </c>
      <c r="G52" t="s">
        <v>1197</v>
      </c>
      <c r="H52" t="s">
        <v>1198</v>
      </c>
      <c r="I52" t="s">
        <v>271</v>
      </c>
      <c r="J52">
        <v>3</v>
      </c>
      <c r="K52">
        <v>5</v>
      </c>
      <c r="L52">
        <v>97</v>
      </c>
      <c r="AB52" t="s">
        <v>1256</v>
      </c>
    </row>
    <row r="53" spans="1:28">
      <c r="A53">
        <v>8</v>
      </c>
      <c r="B53" t="s">
        <v>5</v>
      </c>
      <c r="C53">
        <v>45736</v>
      </c>
      <c r="D53">
        <v>45750</v>
      </c>
      <c r="E53" t="s">
        <v>98</v>
      </c>
      <c r="F53" t="s">
        <v>284</v>
      </c>
      <c r="G53" t="s">
        <v>1257</v>
      </c>
      <c r="H53" t="s">
        <v>1258</v>
      </c>
      <c r="I53" t="s">
        <v>13</v>
      </c>
      <c r="J53">
        <v>1</v>
      </c>
      <c r="K53">
        <v>1</v>
      </c>
      <c r="L53">
        <v>8</v>
      </c>
      <c r="M53" t="s">
        <v>93</v>
      </c>
      <c r="N53" t="s">
        <v>93</v>
      </c>
      <c r="O53" t="s">
        <v>93</v>
      </c>
      <c r="P53" t="s">
        <v>93</v>
      </c>
      <c r="Q53" t="s">
        <v>93</v>
      </c>
      <c r="R53" t="s">
        <v>93</v>
      </c>
      <c r="S53" t="s">
        <v>93</v>
      </c>
      <c r="T53" t="s">
        <v>93</v>
      </c>
      <c r="U53" t="s">
        <v>93</v>
      </c>
      <c r="V53" t="s">
        <v>93</v>
      </c>
      <c r="W53" t="s">
        <v>93</v>
      </c>
      <c r="X53" t="s">
        <v>93</v>
      </c>
      <c r="Y53" t="s">
        <v>93</v>
      </c>
      <c r="Z53" t="s">
        <v>93</v>
      </c>
      <c r="AA53" t="s">
        <v>93</v>
      </c>
      <c r="AB53" t="s">
        <v>1246</v>
      </c>
    </row>
    <row r="54" spans="1:28">
      <c r="A54">
        <v>9</v>
      </c>
      <c r="B54" t="s">
        <v>5</v>
      </c>
      <c r="C54">
        <v>45736</v>
      </c>
      <c r="D54">
        <v>45750</v>
      </c>
      <c r="E54" t="s">
        <v>1235</v>
      </c>
      <c r="F54" t="s">
        <v>284</v>
      </c>
      <c r="G54" t="s">
        <v>1259</v>
      </c>
      <c r="H54" t="s">
        <v>1260</v>
      </c>
      <c r="I54" t="s">
        <v>13</v>
      </c>
      <c r="J54">
        <v>1</v>
      </c>
      <c r="K54">
        <v>1</v>
      </c>
      <c r="L54">
        <v>1</v>
      </c>
      <c r="M54" t="s">
        <v>93</v>
      </c>
      <c r="N54" t="s">
        <v>93</v>
      </c>
      <c r="O54" t="s">
        <v>93</v>
      </c>
      <c r="P54" t="s">
        <v>93</v>
      </c>
      <c r="Q54" t="s">
        <v>93</v>
      </c>
      <c r="R54" t="s">
        <v>93</v>
      </c>
      <c r="S54" t="s">
        <v>93</v>
      </c>
      <c r="T54" t="s">
        <v>93</v>
      </c>
      <c r="U54" t="s">
        <v>93</v>
      </c>
      <c r="V54" t="s">
        <v>93</v>
      </c>
      <c r="W54" t="s">
        <v>93</v>
      </c>
      <c r="X54" t="s">
        <v>93</v>
      </c>
      <c r="Y54" t="s">
        <v>93</v>
      </c>
      <c r="Z54" t="s">
        <v>93</v>
      </c>
      <c r="AA54" t="s">
        <v>93</v>
      </c>
      <c r="AB54" t="s">
        <v>1255</v>
      </c>
    </row>
    <row r="55" spans="1:28">
      <c r="A55">
        <v>10</v>
      </c>
      <c r="B55" t="s">
        <v>5</v>
      </c>
      <c r="C55">
        <v>45736</v>
      </c>
      <c r="D55">
        <v>45750</v>
      </c>
      <c r="E55" t="s">
        <v>1235</v>
      </c>
      <c r="F55" t="s">
        <v>284</v>
      </c>
      <c r="G55" t="s">
        <v>1261</v>
      </c>
      <c r="H55" t="s">
        <v>1262</v>
      </c>
      <c r="I55" t="s">
        <v>13</v>
      </c>
      <c r="J55">
        <v>1</v>
      </c>
      <c r="K55">
        <v>1</v>
      </c>
      <c r="L55">
        <v>2</v>
      </c>
      <c r="M55" t="s">
        <v>93</v>
      </c>
      <c r="N55" t="s">
        <v>93</v>
      </c>
      <c r="O55" t="s">
        <v>93</v>
      </c>
      <c r="P55" t="s">
        <v>93</v>
      </c>
      <c r="Q55" t="s">
        <v>93</v>
      </c>
      <c r="R55" t="s">
        <v>93</v>
      </c>
      <c r="S55" t="s">
        <v>93</v>
      </c>
      <c r="T55" t="s">
        <v>93</v>
      </c>
      <c r="U55" t="s">
        <v>93</v>
      </c>
      <c r="V55" t="s">
        <v>93</v>
      </c>
      <c r="W55" t="s">
        <v>93</v>
      </c>
      <c r="X55" t="s">
        <v>93</v>
      </c>
      <c r="Y55" t="s">
        <v>93</v>
      </c>
      <c r="Z55" t="s">
        <v>93</v>
      </c>
      <c r="AA55" t="s">
        <v>93</v>
      </c>
      <c r="AB55" t="s">
        <v>1216</v>
      </c>
    </row>
    <row r="56" spans="1:28">
      <c r="A56">
        <v>11</v>
      </c>
      <c r="B56" t="s">
        <v>5</v>
      </c>
      <c r="C56">
        <v>45736</v>
      </c>
      <c r="D56">
        <v>45750</v>
      </c>
      <c r="E56" t="s">
        <v>1235</v>
      </c>
      <c r="F56" t="s">
        <v>284</v>
      </c>
      <c r="G56" t="s">
        <v>1263</v>
      </c>
      <c r="H56" t="s">
        <v>1262</v>
      </c>
      <c r="I56" t="s">
        <v>13</v>
      </c>
      <c r="J56">
        <v>1</v>
      </c>
      <c r="K56">
        <v>1</v>
      </c>
      <c r="L56">
        <v>2</v>
      </c>
      <c r="M56" t="s">
        <v>93</v>
      </c>
      <c r="N56" t="s">
        <v>93</v>
      </c>
      <c r="O56" t="s">
        <v>93</v>
      </c>
      <c r="P56" t="s">
        <v>93</v>
      </c>
      <c r="Q56" t="s">
        <v>93</v>
      </c>
      <c r="R56" t="s">
        <v>93</v>
      </c>
      <c r="S56" t="s">
        <v>93</v>
      </c>
      <c r="T56" t="s">
        <v>93</v>
      </c>
      <c r="U56" t="s">
        <v>93</v>
      </c>
      <c r="V56" t="s">
        <v>93</v>
      </c>
      <c r="W56" t="s">
        <v>93</v>
      </c>
      <c r="X56" t="s">
        <v>93</v>
      </c>
      <c r="Y56" t="s">
        <v>93</v>
      </c>
      <c r="Z56" t="s">
        <v>93</v>
      </c>
      <c r="AA56" t="s">
        <v>93</v>
      </c>
      <c r="AB56" t="s">
        <v>1216</v>
      </c>
    </row>
    <row r="57" spans="1:28">
      <c r="A57">
        <v>12</v>
      </c>
      <c r="B57" t="s">
        <v>5</v>
      </c>
      <c r="C57">
        <v>45736</v>
      </c>
      <c r="D57">
        <v>45750</v>
      </c>
      <c r="E57" t="s">
        <v>1235</v>
      </c>
      <c r="F57" t="s">
        <v>284</v>
      </c>
      <c r="G57" t="s">
        <v>1264</v>
      </c>
      <c r="H57" t="s">
        <v>1265</v>
      </c>
      <c r="I57" t="s">
        <v>13</v>
      </c>
      <c r="J57">
        <v>1</v>
      </c>
      <c r="K57">
        <v>1</v>
      </c>
      <c r="L57">
        <v>1</v>
      </c>
      <c r="M57" t="s">
        <v>93</v>
      </c>
      <c r="N57" t="s">
        <v>93</v>
      </c>
      <c r="O57" t="s">
        <v>93</v>
      </c>
      <c r="P57" t="s">
        <v>93</v>
      </c>
      <c r="Q57" t="s">
        <v>93</v>
      </c>
      <c r="R57" t="s">
        <v>93</v>
      </c>
      <c r="S57" t="s">
        <v>93</v>
      </c>
      <c r="T57" t="s">
        <v>93</v>
      </c>
      <c r="U57" t="s">
        <v>93</v>
      </c>
      <c r="V57" t="s">
        <v>93</v>
      </c>
      <c r="W57" t="s">
        <v>93</v>
      </c>
      <c r="X57" t="s">
        <v>93</v>
      </c>
      <c r="Y57" t="s">
        <v>93</v>
      </c>
      <c r="Z57" t="s">
        <v>93</v>
      </c>
      <c r="AA57" t="s">
        <v>93</v>
      </c>
      <c r="AB57" t="s">
        <v>1246</v>
      </c>
    </row>
    <row r="58" spans="1:28">
      <c r="A58">
        <v>13</v>
      </c>
      <c r="B58" t="s">
        <v>5</v>
      </c>
      <c r="C58">
        <v>45736</v>
      </c>
      <c r="D58">
        <v>45750</v>
      </c>
      <c r="E58" t="s">
        <v>1235</v>
      </c>
      <c r="F58" t="s">
        <v>284</v>
      </c>
      <c r="G58" t="s">
        <v>1214</v>
      </c>
      <c r="H58" t="s">
        <v>1215</v>
      </c>
      <c r="I58" t="s">
        <v>647</v>
      </c>
      <c r="J58">
        <v>1</v>
      </c>
      <c r="K58">
        <v>1</v>
      </c>
      <c r="L58">
        <v>7</v>
      </c>
      <c r="M58" t="s">
        <v>93</v>
      </c>
      <c r="N58" t="s">
        <v>93</v>
      </c>
      <c r="O58" t="s">
        <v>93</v>
      </c>
      <c r="P58" t="s">
        <v>93</v>
      </c>
      <c r="Q58" t="s">
        <v>93</v>
      </c>
      <c r="R58" t="s">
        <v>93</v>
      </c>
      <c r="S58" t="s">
        <v>93</v>
      </c>
      <c r="T58" t="s">
        <v>93</v>
      </c>
      <c r="U58" t="s">
        <v>93</v>
      </c>
      <c r="V58" t="s">
        <v>93</v>
      </c>
      <c r="W58" t="s">
        <v>93</v>
      </c>
      <c r="X58" t="s">
        <v>93</v>
      </c>
      <c r="Y58" t="s">
        <v>93</v>
      </c>
      <c r="Z58" t="s">
        <v>93</v>
      </c>
      <c r="AA58" t="s">
        <v>93</v>
      </c>
      <c r="AB58" t="s">
        <v>1266</v>
      </c>
    </row>
    <row r="59" spans="1:28">
      <c r="A59">
        <v>14</v>
      </c>
      <c r="B59" t="s">
        <v>5</v>
      </c>
      <c r="C59">
        <v>45736</v>
      </c>
      <c r="D59">
        <v>45750</v>
      </c>
      <c r="E59" t="s">
        <v>1235</v>
      </c>
      <c r="F59" t="s">
        <v>1267</v>
      </c>
      <c r="G59" t="s">
        <v>1268</v>
      </c>
      <c r="H59" t="s">
        <v>1269</v>
      </c>
      <c r="I59" t="s">
        <v>13</v>
      </c>
      <c r="J59">
        <v>2</v>
      </c>
      <c r="K59">
        <v>2</v>
      </c>
      <c r="L59">
        <v>1</v>
      </c>
      <c r="R59" t="s">
        <v>1270</v>
      </c>
      <c r="S59">
        <v>45748</v>
      </c>
      <c r="T59">
        <v>45748</v>
      </c>
      <c r="U59" t="s">
        <v>231</v>
      </c>
      <c r="V59" t="s">
        <v>93</v>
      </c>
      <c r="W59" t="s">
        <v>1271</v>
      </c>
    </row>
    <row r="60" spans="1:28">
      <c r="A60">
        <v>1</v>
      </c>
      <c r="B60" t="s">
        <v>5</v>
      </c>
      <c r="C60">
        <v>45750</v>
      </c>
      <c r="D60">
        <v>45764</v>
      </c>
      <c r="E60" t="s">
        <v>103</v>
      </c>
      <c r="F60" t="s">
        <v>281</v>
      </c>
      <c r="G60" t="s">
        <v>1197</v>
      </c>
      <c r="H60" t="s">
        <v>1198</v>
      </c>
      <c r="I60" t="s">
        <v>13</v>
      </c>
      <c r="J60">
        <v>3</v>
      </c>
      <c r="K60">
        <v>3</v>
      </c>
      <c r="L60">
        <v>42</v>
      </c>
      <c r="M60" t="s">
        <v>281</v>
      </c>
      <c r="N60" t="s">
        <v>304</v>
      </c>
      <c r="O60" t="s">
        <v>1199</v>
      </c>
      <c r="R60" t="s">
        <v>1200</v>
      </c>
      <c r="S60">
        <v>45754</v>
      </c>
      <c r="T60">
        <v>45755</v>
      </c>
      <c r="U60" t="s">
        <v>231</v>
      </c>
      <c r="W60" t="s">
        <v>1201</v>
      </c>
      <c r="X60">
        <v>45755</v>
      </c>
    </row>
    <row r="61" spans="1:28">
      <c r="A61">
        <v>2</v>
      </c>
      <c r="B61" t="s">
        <v>5</v>
      </c>
      <c r="C61">
        <v>45750</v>
      </c>
      <c r="D61">
        <v>45764</v>
      </c>
      <c r="E61" t="s">
        <v>103</v>
      </c>
      <c r="F61" t="s">
        <v>231</v>
      </c>
      <c r="G61" t="s">
        <v>1202</v>
      </c>
      <c r="H61" t="s">
        <v>1203</v>
      </c>
      <c r="I61" t="s">
        <v>13</v>
      </c>
      <c r="J61">
        <v>3</v>
      </c>
      <c r="K61">
        <v>3</v>
      </c>
      <c r="L61">
        <v>53</v>
      </c>
      <c r="M61" t="s">
        <v>231</v>
      </c>
      <c r="N61" t="s">
        <v>304</v>
      </c>
      <c r="O61" t="s">
        <v>1199</v>
      </c>
    </row>
    <row r="62" spans="1:28">
      <c r="A62">
        <v>3</v>
      </c>
      <c r="B62" t="s">
        <v>5</v>
      </c>
      <c r="C62">
        <v>45750</v>
      </c>
      <c r="D62">
        <v>45764</v>
      </c>
      <c r="E62" t="s">
        <v>103</v>
      </c>
      <c r="F62" t="s">
        <v>281</v>
      </c>
      <c r="G62" t="s">
        <v>1204</v>
      </c>
      <c r="H62" t="s">
        <v>1205</v>
      </c>
      <c r="I62" t="s">
        <v>13</v>
      </c>
      <c r="J62">
        <v>5</v>
      </c>
      <c r="K62">
        <v>5</v>
      </c>
      <c r="L62">
        <v>83</v>
      </c>
      <c r="M62" t="s">
        <v>1206</v>
      </c>
      <c r="N62" t="s">
        <v>304</v>
      </c>
      <c r="O62" t="s">
        <v>1199</v>
      </c>
      <c r="R62" t="s">
        <v>1207</v>
      </c>
      <c r="S62">
        <v>45761</v>
      </c>
      <c r="T62">
        <v>45762</v>
      </c>
      <c r="U62" t="s">
        <v>231</v>
      </c>
      <c r="W62" t="s">
        <v>1201</v>
      </c>
      <c r="X62">
        <v>45762</v>
      </c>
    </row>
    <row r="63" spans="1:28">
      <c r="A63">
        <v>4</v>
      </c>
      <c r="B63" t="s">
        <v>5</v>
      </c>
      <c r="C63">
        <v>45750</v>
      </c>
      <c r="D63">
        <v>45764</v>
      </c>
      <c r="E63" t="s">
        <v>1208</v>
      </c>
      <c r="F63" t="s">
        <v>504</v>
      </c>
      <c r="G63" t="s">
        <v>1209</v>
      </c>
      <c r="H63" t="s">
        <v>1210</v>
      </c>
      <c r="I63" t="s">
        <v>13</v>
      </c>
      <c r="J63">
        <v>3</v>
      </c>
      <c r="K63">
        <v>3</v>
      </c>
      <c r="L63">
        <v>13.5</v>
      </c>
      <c r="M63" t="s">
        <v>281</v>
      </c>
      <c r="N63" t="s">
        <v>304</v>
      </c>
      <c r="O63" t="s">
        <v>1199</v>
      </c>
      <c r="R63" t="s">
        <v>1211</v>
      </c>
      <c r="S63">
        <v>45763</v>
      </c>
      <c r="T63">
        <v>45763</v>
      </c>
      <c r="U63" t="s">
        <v>231</v>
      </c>
      <c r="W63" t="s">
        <v>1212</v>
      </c>
      <c r="X63">
        <v>45763</v>
      </c>
    </row>
    <row r="64" spans="1:28">
      <c r="A64">
        <v>5</v>
      </c>
      <c r="B64" t="s">
        <v>5</v>
      </c>
      <c r="C64">
        <v>45750</v>
      </c>
      <c r="D64">
        <v>45764</v>
      </c>
      <c r="E64" t="s">
        <v>1208</v>
      </c>
      <c r="F64" t="s">
        <v>1213</v>
      </c>
      <c r="G64" t="s">
        <v>1214</v>
      </c>
      <c r="H64" t="s">
        <v>1215</v>
      </c>
      <c r="I64" t="s">
        <v>13</v>
      </c>
      <c r="J64">
        <v>1</v>
      </c>
      <c r="K64">
        <v>1</v>
      </c>
      <c r="L64">
        <v>13.25</v>
      </c>
      <c r="M64" t="s">
        <v>93</v>
      </c>
      <c r="N64" t="s">
        <v>93</v>
      </c>
      <c r="O64" t="s">
        <v>93</v>
      </c>
      <c r="P64" t="s">
        <v>93</v>
      </c>
      <c r="Q64" t="s">
        <v>93</v>
      </c>
      <c r="R64" t="s">
        <v>93</v>
      </c>
      <c r="S64" t="s">
        <v>93</v>
      </c>
      <c r="T64" t="s">
        <v>93</v>
      </c>
      <c r="U64" t="s">
        <v>93</v>
      </c>
      <c r="V64" t="s">
        <v>93</v>
      </c>
      <c r="W64" t="s">
        <v>93</v>
      </c>
      <c r="X64" t="s">
        <v>93</v>
      </c>
      <c r="Y64" t="s">
        <v>93</v>
      </c>
      <c r="Z64" t="s">
        <v>93</v>
      </c>
      <c r="AA64" t="s">
        <v>93</v>
      </c>
      <c r="AB64" t="s">
        <v>1216</v>
      </c>
    </row>
    <row r="65" spans="1:28">
      <c r="A65">
        <v>6</v>
      </c>
      <c r="B65" t="s">
        <v>5</v>
      </c>
      <c r="C65">
        <v>45750</v>
      </c>
      <c r="D65">
        <v>45764</v>
      </c>
      <c r="E65" t="s">
        <v>103</v>
      </c>
      <c r="F65" t="s">
        <v>284</v>
      </c>
      <c r="G65" t="s">
        <v>1217</v>
      </c>
      <c r="H65" t="s">
        <v>1218</v>
      </c>
      <c r="I65" t="s">
        <v>13</v>
      </c>
      <c r="J65">
        <v>1</v>
      </c>
      <c r="K65">
        <v>1</v>
      </c>
      <c r="L65">
        <v>3</v>
      </c>
      <c r="M65" t="s">
        <v>93</v>
      </c>
      <c r="N65" t="s">
        <v>93</v>
      </c>
      <c r="O65" t="s">
        <v>93</v>
      </c>
      <c r="P65" t="s">
        <v>93</v>
      </c>
      <c r="Q65" t="s">
        <v>93</v>
      </c>
      <c r="R65" t="s">
        <v>93</v>
      </c>
      <c r="S65" t="s">
        <v>93</v>
      </c>
      <c r="T65" t="s">
        <v>93</v>
      </c>
      <c r="U65" t="s">
        <v>93</v>
      </c>
      <c r="V65" t="s">
        <v>93</v>
      </c>
      <c r="W65" t="s">
        <v>93</v>
      </c>
      <c r="X65" t="s">
        <v>93</v>
      </c>
      <c r="Y65" t="s">
        <v>93</v>
      </c>
      <c r="Z65" t="s">
        <v>93</v>
      </c>
      <c r="AA65" t="s">
        <v>93</v>
      </c>
      <c r="AB65" t="s">
        <v>1219</v>
      </c>
    </row>
    <row r="66" spans="1:28">
      <c r="A66">
        <v>7</v>
      </c>
      <c r="B66" t="s">
        <v>5</v>
      </c>
      <c r="C66">
        <v>45750</v>
      </c>
      <c r="D66">
        <v>45764</v>
      </c>
      <c r="E66" t="s">
        <v>103</v>
      </c>
      <c r="F66" t="s">
        <v>1213</v>
      </c>
      <c r="G66" t="s">
        <v>1220</v>
      </c>
      <c r="H66" t="s">
        <v>1221</v>
      </c>
      <c r="I66" t="s">
        <v>13</v>
      </c>
      <c r="J66">
        <v>2</v>
      </c>
      <c r="K66">
        <v>2</v>
      </c>
      <c r="L66">
        <v>17.25</v>
      </c>
      <c r="M66" t="s">
        <v>93</v>
      </c>
      <c r="N66" t="s">
        <v>93</v>
      </c>
      <c r="O66" t="s">
        <v>93</v>
      </c>
      <c r="P66" t="s">
        <v>93</v>
      </c>
      <c r="Q66" t="s">
        <v>93</v>
      </c>
      <c r="R66" t="s">
        <v>93</v>
      </c>
      <c r="S66" t="s">
        <v>93</v>
      </c>
      <c r="T66" t="s">
        <v>93</v>
      </c>
      <c r="U66" t="s">
        <v>93</v>
      </c>
      <c r="V66" t="s">
        <v>93</v>
      </c>
      <c r="W66" t="s">
        <v>93</v>
      </c>
      <c r="X66" t="s">
        <v>93</v>
      </c>
      <c r="Y66" t="s">
        <v>93</v>
      </c>
      <c r="Z66" t="s">
        <v>93</v>
      </c>
      <c r="AA66" t="s">
        <v>93</v>
      </c>
      <c r="AB66" s="43" t="s">
        <v>1222</v>
      </c>
    </row>
    <row r="67" spans="1:28">
      <c r="A67">
        <v>8</v>
      </c>
      <c r="B67" t="s">
        <v>5</v>
      </c>
      <c r="C67">
        <v>45750</v>
      </c>
      <c r="D67">
        <v>45764</v>
      </c>
      <c r="E67" t="s">
        <v>103</v>
      </c>
      <c r="F67" t="s">
        <v>268</v>
      </c>
      <c r="G67" t="s">
        <v>1151</v>
      </c>
      <c r="H67" t="s">
        <v>1152</v>
      </c>
      <c r="I67" t="s">
        <v>1223</v>
      </c>
      <c r="J67">
        <v>8</v>
      </c>
      <c r="K67">
        <v>5</v>
      </c>
      <c r="L67">
        <v>90.5</v>
      </c>
      <c r="M67" t="s">
        <v>281</v>
      </c>
      <c r="N67" t="s">
        <v>304</v>
      </c>
      <c r="O67" t="s">
        <v>1199</v>
      </c>
      <c r="AB67" s="43" t="s">
        <v>1224</v>
      </c>
    </row>
    <row r="68" spans="1:28">
      <c r="A68">
        <v>1</v>
      </c>
      <c r="B68" t="s">
        <v>5</v>
      </c>
      <c r="C68">
        <v>45764</v>
      </c>
      <c r="D68">
        <v>45778</v>
      </c>
      <c r="E68" t="s">
        <v>108</v>
      </c>
      <c r="F68" t="s">
        <v>268</v>
      </c>
      <c r="G68" t="s">
        <v>1151</v>
      </c>
      <c r="H68" t="s">
        <v>1152</v>
      </c>
      <c r="I68" t="s">
        <v>13</v>
      </c>
      <c r="J68">
        <v>3</v>
      </c>
      <c r="K68">
        <v>3</v>
      </c>
      <c r="L68">
        <v>23.5</v>
      </c>
    </row>
    <row r="69" spans="1:28">
      <c r="A69">
        <v>2</v>
      </c>
      <c r="B69" t="s">
        <v>5</v>
      </c>
      <c r="C69">
        <v>45764</v>
      </c>
      <c r="D69">
        <v>45778</v>
      </c>
      <c r="E69" t="s">
        <v>108</v>
      </c>
      <c r="F69" t="s">
        <v>1153</v>
      </c>
      <c r="G69" t="s">
        <v>1154</v>
      </c>
      <c r="H69" t="s">
        <v>1155</v>
      </c>
      <c r="I69" t="s">
        <v>13</v>
      </c>
      <c r="J69">
        <v>1</v>
      </c>
      <c r="K69">
        <v>1</v>
      </c>
      <c r="L69">
        <v>14.5</v>
      </c>
      <c r="AB69" t="s">
        <v>1156</v>
      </c>
    </row>
    <row r="70" spans="1:28">
      <c r="A70">
        <v>3</v>
      </c>
      <c r="B70" t="s">
        <v>5</v>
      </c>
      <c r="C70">
        <v>45764</v>
      </c>
      <c r="D70">
        <v>45778</v>
      </c>
      <c r="E70" t="s">
        <v>108</v>
      </c>
      <c r="F70" t="s">
        <v>231</v>
      </c>
      <c r="G70" t="s">
        <v>1157</v>
      </c>
      <c r="H70" t="s">
        <v>1158</v>
      </c>
      <c r="I70" t="s">
        <v>13</v>
      </c>
      <c r="J70">
        <v>2</v>
      </c>
      <c r="K70">
        <v>2</v>
      </c>
      <c r="L70">
        <v>19.5</v>
      </c>
      <c r="M70" t="s">
        <v>231</v>
      </c>
      <c r="N70" t="s">
        <v>1159</v>
      </c>
      <c r="R70" t="s">
        <v>1160</v>
      </c>
      <c r="S70">
        <v>45770</v>
      </c>
      <c r="T70">
        <v>45770</v>
      </c>
      <c r="U70" t="s">
        <v>231</v>
      </c>
      <c r="W70" t="s">
        <v>1161</v>
      </c>
      <c r="X70">
        <v>45770</v>
      </c>
      <c r="AB70" t="s">
        <v>1162</v>
      </c>
    </row>
    <row r="71" spans="1:28">
      <c r="A71">
        <v>4</v>
      </c>
      <c r="B71" t="s">
        <v>5</v>
      </c>
      <c r="C71">
        <v>45764</v>
      </c>
      <c r="D71">
        <v>45778</v>
      </c>
      <c r="E71" t="s">
        <v>108</v>
      </c>
      <c r="F71" t="s">
        <v>735</v>
      </c>
      <c r="G71" t="s">
        <v>1163</v>
      </c>
      <c r="H71" t="s">
        <v>1164</v>
      </c>
      <c r="I71" t="s">
        <v>13</v>
      </c>
      <c r="J71">
        <v>2</v>
      </c>
      <c r="K71">
        <v>2</v>
      </c>
      <c r="L71">
        <v>34.5</v>
      </c>
      <c r="M71" t="s">
        <v>281</v>
      </c>
      <c r="N71" t="s">
        <v>1165</v>
      </c>
      <c r="R71" t="s">
        <v>1166</v>
      </c>
      <c r="S71">
        <v>45771</v>
      </c>
      <c r="T71">
        <v>45775</v>
      </c>
      <c r="U71" t="s">
        <v>231</v>
      </c>
      <c r="W71" t="s">
        <v>1118</v>
      </c>
      <c r="X71">
        <v>45775</v>
      </c>
    </row>
    <row r="72" spans="1:28">
      <c r="A72">
        <v>5</v>
      </c>
      <c r="B72" t="s">
        <v>5</v>
      </c>
      <c r="C72">
        <v>45764</v>
      </c>
      <c r="D72">
        <v>45778</v>
      </c>
      <c r="E72" t="s">
        <v>1167</v>
      </c>
      <c r="F72" t="s">
        <v>735</v>
      </c>
      <c r="G72" t="s">
        <v>1168</v>
      </c>
      <c r="H72" t="s">
        <v>1169</v>
      </c>
      <c r="I72" t="s">
        <v>13</v>
      </c>
      <c r="J72">
        <v>1</v>
      </c>
      <c r="K72">
        <v>1</v>
      </c>
      <c r="L72">
        <v>14</v>
      </c>
      <c r="M72" t="s">
        <v>281</v>
      </c>
      <c r="N72" t="s">
        <v>1165</v>
      </c>
      <c r="R72" t="s">
        <v>1170</v>
      </c>
      <c r="S72">
        <v>45772</v>
      </c>
      <c r="T72">
        <v>45775</v>
      </c>
      <c r="U72" t="s">
        <v>231</v>
      </c>
      <c r="W72" t="s">
        <v>867</v>
      </c>
      <c r="X72">
        <v>45775</v>
      </c>
      <c r="AB72" t="s">
        <v>1171</v>
      </c>
    </row>
    <row r="73" spans="1:28">
      <c r="A73">
        <v>6</v>
      </c>
      <c r="B73" t="s">
        <v>5</v>
      </c>
      <c r="C73">
        <v>45764</v>
      </c>
      <c r="D73">
        <v>45778</v>
      </c>
      <c r="E73" t="s">
        <v>108</v>
      </c>
      <c r="F73" t="s">
        <v>1172</v>
      </c>
      <c r="G73" t="s">
        <v>1111</v>
      </c>
      <c r="H73" t="s">
        <v>1112</v>
      </c>
      <c r="I73" t="s">
        <v>587</v>
      </c>
      <c r="J73">
        <v>1</v>
      </c>
      <c r="K73">
        <v>0.5</v>
      </c>
      <c r="L73">
        <v>12.5</v>
      </c>
      <c r="M73" t="s">
        <v>281</v>
      </c>
      <c r="N73" t="s">
        <v>231</v>
      </c>
      <c r="R73" t="s">
        <v>93</v>
      </c>
    </row>
    <row r="74" spans="1:28">
      <c r="A74">
        <v>7</v>
      </c>
      <c r="B74" t="s">
        <v>5</v>
      </c>
      <c r="C74">
        <v>45764</v>
      </c>
      <c r="D74">
        <v>45778</v>
      </c>
      <c r="E74" t="s">
        <v>108</v>
      </c>
      <c r="F74" t="s">
        <v>268</v>
      </c>
      <c r="G74" t="s">
        <v>1173</v>
      </c>
      <c r="H74" t="s">
        <v>1174</v>
      </c>
      <c r="I74" t="s">
        <v>13</v>
      </c>
      <c r="J74">
        <v>2</v>
      </c>
      <c r="K74">
        <v>2</v>
      </c>
      <c r="L74">
        <v>10.5</v>
      </c>
      <c r="M74" t="s">
        <v>268</v>
      </c>
      <c r="N74" t="s">
        <v>231</v>
      </c>
      <c r="R74" t="s">
        <v>1175</v>
      </c>
      <c r="S74">
        <v>45769</v>
      </c>
      <c r="T74">
        <v>45769</v>
      </c>
      <c r="U74" t="s">
        <v>231</v>
      </c>
      <c r="W74" t="s">
        <v>1161</v>
      </c>
      <c r="X74">
        <v>45769</v>
      </c>
      <c r="AB74" t="s">
        <v>1162</v>
      </c>
    </row>
    <row r="75" spans="1:28">
      <c r="A75">
        <v>8</v>
      </c>
      <c r="B75" t="s">
        <v>5</v>
      </c>
      <c r="C75">
        <v>45764</v>
      </c>
      <c r="D75">
        <v>45778</v>
      </c>
      <c r="E75" t="s">
        <v>108</v>
      </c>
      <c r="F75" t="s">
        <v>268</v>
      </c>
      <c r="G75" t="s">
        <v>1115</v>
      </c>
      <c r="H75" t="s">
        <v>1116</v>
      </c>
      <c r="I75" t="s">
        <v>587</v>
      </c>
      <c r="J75">
        <v>1</v>
      </c>
      <c r="K75">
        <v>0.5</v>
      </c>
      <c r="L75">
        <v>22</v>
      </c>
      <c r="R75" t="s">
        <v>93</v>
      </c>
    </row>
    <row r="76" spans="1:28">
      <c r="A76">
        <v>9</v>
      </c>
      <c r="B76" t="s">
        <v>5</v>
      </c>
      <c r="C76">
        <v>45764</v>
      </c>
      <c r="D76">
        <v>45778</v>
      </c>
      <c r="E76" t="s">
        <v>1167</v>
      </c>
      <c r="F76" t="s">
        <v>1176</v>
      </c>
      <c r="G76" t="s">
        <v>1177</v>
      </c>
      <c r="H76" t="s">
        <v>1178</v>
      </c>
      <c r="I76" t="s">
        <v>13</v>
      </c>
      <c r="J76">
        <v>2</v>
      </c>
      <c r="K76">
        <v>2</v>
      </c>
      <c r="L76">
        <v>36</v>
      </c>
      <c r="R76" t="s">
        <v>1179</v>
      </c>
      <c r="S76">
        <v>45775</v>
      </c>
      <c r="T76">
        <v>45775</v>
      </c>
      <c r="U76" t="s">
        <v>231</v>
      </c>
      <c r="W76" t="s">
        <v>867</v>
      </c>
      <c r="X76">
        <v>45775</v>
      </c>
    </row>
    <row r="77" spans="1:28">
      <c r="A77">
        <v>10</v>
      </c>
      <c r="B77" t="s">
        <v>5</v>
      </c>
      <c r="C77">
        <v>45764</v>
      </c>
      <c r="D77">
        <v>45778</v>
      </c>
      <c r="E77" t="s">
        <v>108</v>
      </c>
      <c r="F77" s="43" t="s">
        <v>1180</v>
      </c>
      <c r="G77" t="s">
        <v>1181</v>
      </c>
      <c r="H77" t="s">
        <v>1182</v>
      </c>
      <c r="I77" t="s">
        <v>13</v>
      </c>
      <c r="J77">
        <v>3</v>
      </c>
      <c r="K77">
        <v>3</v>
      </c>
      <c r="L77">
        <v>48</v>
      </c>
      <c r="R77" t="s">
        <v>1183</v>
      </c>
      <c r="S77">
        <v>45775</v>
      </c>
      <c r="T77">
        <v>45775</v>
      </c>
      <c r="U77" t="s">
        <v>231</v>
      </c>
      <c r="W77" t="s">
        <v>867</v>
      </c>
      <c r="X77">
        <v>45775</v>
      </c>
    </row>
    <row r="78" spans="1:28">
      <c r="A78">
        <v>11</v>
      </c>
      <c r="B78" t="s">
        <v>5</v>
      </c>
      <c r="C78">
        <v>45764</v>
      </c>
      <c r="D78">
        <v>45778</v>
      </c>
      <c r="E78" t="s">
        <v>108</v>
      </c>
      <c r="F78" t="s">
        <v>284</v>
      </c>
      <c r="G78" t="s">
        <v>1184</v>
      </c>
      <c r="H78" t="s">
        <v>1185</v>
      </c>
      <c r="I78" t="s">
        <v>13</v>
      </c>
      <c r="J78">
        <v>5</v>
      </c>
      <c r="K78">
        <v>5</v>
      </c>
      <c r="L78">
        <v>35.5</v>
      </c>
      <c r="AB78" t="s">
        <v>1186</v>
      </c>
    </row>
    <row r="79" spans="1:28">
      <c r="A79">
        <v>12</v>
      </c>
      <c r="B79" t="s">
        <v>5</v>
      </c>
      <c r="C79">
        <v>45764</v>
      </c>
      <c r="D79">
        <v>45778</v>
      </c>
      <c r="E79" t="s">
        <v>108</v>
      </c>
      <c r="F79" t="s">
        <v>284</v>
      </c>
      <c r="G79" t="s">
        <v>1187</v>
      </c>
      <c r="H79" t="s">
        <v>1188</v>
      </c>
      <c r="I79" t="s">
        <v>13</v>
      </c>
      <c r="J79">
        <v>3</v>
      </c>
      <c r="K79">
        <v>3</v>
      </c>
      <c r="L79">
        <v>22</v>
      </c>
      <c r="AB79" t="s">
        <v>1186</v>
      </c>
    </row>
    <row r="80" spans="1:28">
      <c r="A80">
        <v>1</v>
      </c>
      <c r="B80" t="s">
        <v>5</v>
      </c>
      <c r="C80">
        <v>45779</v>
      </c>
      <c r="D80">
        <v>45792</v>
      </c>
      <c r="E80" t="s">
        <v>113</v>
      </c>
      <c r="F80" t="s">
        <v>281</v>
      </c>
      <c r="G80" t="s">
        <v>1111</v>
      </c>
      <c r="H80" t="s">
        <v>1112</v>
      </c>
      <c r="I80" t="s">
        <v>13</v>
      </c>
      <c r="J80">
        <v>1</v>
      </c>
      <c r="K80">
        <v>1</v>
      </c>
      <c r="L80">
        <v>15</v>
      </c>
      <c r="M80" t="s">
        <v>281</v>
      </c>
      <c r="N80" t="s">
        <v>304</v>
      </c>
      <c r="R80" t="s">
        <v>1113</v>
      </c>
      <c r="S80">
        <v>45779</v>
      </c>
      <c r="T80">
        <v>45779</v>
      </c>
      <c r="U80" t="s">
        <v>231</v>
      </c>
      <c r="W80" t="s">
        <v>867</v>
      </c>
      <c r="X80">
        <v>45780</v>
      </c>
      <c r="AB80" t="s">
        <v>1114</v>
      </c>
    </row>
    <row r="81" spans="1:28">
      <c r="A81">
        <v>2</v>
      </c>
      <c r="B81" t="s">
        <v>5</v>
      </c>
      <c r="C81">
        <v>45779</v>
      </c>
      <c r="D81">
        <v>45792</v>
      </c>
      <c r="E81" t="s">
        <v>113</v>
      </c>
      <c r="F81" t="s">
        <v>281</v>
      </c>
      <c r="G81" t="s">
        <v>1115</v>
      </c>
      <c r="H81" t="s">
        <v>1116</v>
      </c>
      <c r="I81" t="s">
        <v>13</v>
      </c>
      <c r="J81">
        <v>1</v>
      </c>
      <c r="K81">
        <v>1</v>
      </c>
      <c r="L81">
        <v>34.5</v>
      </c>
      <c r="M81" t="s">
        <v>281</v>
      </c>
      <c r="N81" t="s">
        <v>304</v>
      </c>
      <c r="R81" t="s">
        <v>1117</v>
      </c>
      <c r="S81">
        <v>45779</v>
      </c>
      <c r="T81">
        <v>45783</v>
      </c>
      <c r="U81" t="s">
        <v>231</v>
      </c>
      <c r="W81" t="s">
        <v>1118</v>
      </c>
      <c r="X81">
        <v>45784</v>
      </c>
      <c r="AB81" t="s">
        <v>1119</v>
      </c>
    </row>
    <row r="82" spans="1:28">
      <c r="A82">
        <v>3</v>
      </c>
      <c r="B82" t="s">
        <v>5</v>
      </c>
      <c r="C82">
        <v>45779</v>
      </c>
      <c r="D82">
        <v>45792</v>
      </c>
      <c r="E82" t="s">
        <v>113</v>
      </c>
      <c r="F82" t="s">
        <v>281</v>
      </c>
      <c r="G82" t="s">
        <v>1120</v>
      </c>
      <c r="H82" t="s">
        <v>1121</v>
      </c>
      <c r="I82" t="s">
        <v>13</v>
      </c>
      <c r="J82">
        <v>2</v>
      </c>
      <c r="K82">
        <v>2</v>
      </c>
      <c r="L82">
        <v>10.25</v>
      </c>
      <c r="M82" t="s">
        <v>281</v>
      </c>
      <c r="N82" t="s">
        <v>231</v>
      </c>
      <c r="R82" t="s">
        <v>1122</v>
      </c>
      <c r="S82">
        <v>45784</v>
      </c>
      <c r="T82">
        <v>45785</v>
      </c>
      <c r="U82" t="s">
        <v>231</v>
      </c>
      <c r="W82" t="s">
        <v>867</v>
      </c>
      <c r="X82">
        <v>45785</v>
      </c>
      <c r="AB82" t="s">
        <v>1123</v>
      </c>
    </row>
    <row r="83" spans="1:28">
      <c r="A83">
        <v>4</v>
      </c>
      <c r="B83" t="s">
        <v>5</v>
      </c>
      <c r="C83">
        <v>45779</v>
      </c>
      <c r="D83">
        <v>45792</v>
      </c>
      <c r="E83" t="s">
        <v>113</v>
      </c>
      <c r="F83" t="s">
        <v>506</v>
      </c>
      <c r="G83" t="s">
        <v>1124</v>
      </c>
      <c r="H83" t="s">
        <v>1125</v>
      </c>
      <c r="I83" t="s">
        <v>13</v>
      </c>
      <c r="J83">
        <v>2</v>
      </c>
      <c r="K83">
        <v>2</v>
      </c>
      <c r="L83">
        <v>18</v>
      </c>
      <c r="M83" t="s">
        <v>268</v>
      </c>
      <c r="N83" t="s">
        <v>231</v>
      </c>
      <c r="R83" t="s">
        <v>1126</v>
      </c>
      <c r="S83">
        <v>45785</v>
      </c>
      <c r="T83">
        <v>45786</v>
      </c>
      <c r="U83" t="s">
        <v>231</v>
      </c>
      <c r="W83" t="s">
        <v>867</v>
      </c>
      <c r="X83">
        <v>45786</v>
      </c>
      <c r="AB83" t="s">
        <v>1127</v>
      </c>
    </row>
    <row r="84" spans="1:28">
      <c r="A84">
        <v>5</v>
      </c>
      <c r="B84" t="s">
        <v>5</v>
      </c>
      <c r="C84">
        <v>45779</v>
      </c>
      <c r="D84">
        <v>45792</v>
      </c>
      <c r="E84" t="s">
        <v>113</v>
      </c>
      <c r="F84" t="s">
        <v>268</v>
      </c>
      <c r="G84" t="s">
        <v>1128</v>
      </c>
      <c r="H84" t="s">
        <v>1129</v>
      </c>
      <c r="I84" t="s">
        <v>13</v>
      </c>
      <c r="J84">
        <v>2</v>
      </c>
      <c r="K84">
        <v>2</v>
      </c>
      <c r="L84">
        <v>35</v>
      </c>
      <c r="M84" t="s">
        <v>268</v>
      </c>
      <c r="N84" t="s">
        <v>304</v>
      </c>
      <c r="R84" t="s">
        <v>1130</v>
      </c>
      <c r="S84">
        <v>45782</v>
      </c>
      <c r="T84">
        <v>45783</v>
      </c>
      <c r="U84" t="s">
        <v>231</v>
      </c>
      <c r="W84" t="s">
        <v>867</v>
      </c>
      <c r="X84">
        <v>45783</v>
      </c>
      <c r="AB84" t="s">
        <v>1131</v>
      </c>
    </row>
    <row r="85" spans="1:28">
      <c r="A85">
        <v>6</v>
      </c>
      <c r="B85" t="s">
        <v>5</v>
      </c>
      <c r="C85">
        <v>45779</v>
      </c>
      <c r="D85">
        <v>45792</v>
      </c>
      <c r="E85" t="s">
        <v>113</v>
      </c>
      <c r="F85" t="s">
        <v>268</v>
      </c>
      <c r="G85" t="s">
        <v>1132</v>
      </c>
      <c r="H85" t="s">
        <v>1133</v>
      </c>
      <c r="I85" t="s">
        <v>13</v>
      </c>
      <c r="J85">
        <v>5</v>
      </c>
      <c r="K85">
        <v>5</v>
      </c>
      <c r="L85">
        <v>49.5</v>
      </c>
      <c r="M85" t="s">
        <v>268</v>
      </c>
      <c r="N85" t="s">
        <v>231</v>
      </c>
      <c r="R85" t="s">
        <v>1134</v>
      </c>
      <c r="S85">
        <v>45785</v>
      </c>
      <c r="T85">
        <v>45787</v>
      </c>
      <c r="U85" t="s">
        <v>231</v>
      </c>
      <c r="W85" t="s">
        <v>867</v>
      </c>
      <c r="X85">
        <v>45789</v>
      </c>
      <c r="AB85" t="s">
        <v>1135</v>
      </c>
    </row>
    <row r="86" spans="1:28">
      <c r="A86">
        <v>7</v>
      </c>
      <c r="B86" t="s">
        <v>5</v>
      </c>
      <c r="C86">
        <v>45779</v>
      </c>
      <c r="D86">
        <v>45792</v>
      </c>
      <c r="E86" t="s">
        <v>1136</v>
      </c>
      <c r="F86" t="s">
        <v>231</v>
      </c>
      <c r="G86" t="s">
        <v>1137</v>
      </c>
      <c r="H86" t="s">
        <v>1138</v>
      </c>
      <c r="I86" t="s">
        <v>13</v>
      </c>
      <c r="J86">
        <v>2</v>
      </c>
      <c r="K86">
        <v>2</v>
      </c>
      <c r="L86">
        <v>19</v>
      </c>
      <c r="M86" t="s">
        <v>231</v>
      </c>
      <c r="N86" t="s">
        <v>1139</v>
      </c>
      <c r="R86" t="s">
        <v>93</v>
      </c>
      <c r="S86" t="s">
        <v>93</v>
      </c>
      <c r="T86" t="s">
        <v>93</v>
      </c>
      <c r="U86" t="s">
        <v>93</v>
      </c>
      <c r="W86" t="s">
        <v>93</v>
      </c>
      <c r="X86" t="s">
        <v>93</v>
      </c>
    </row>
    <row r="87" spans="1:28">
      <c r="A87">
        <v>8</v>
      </c>
      <c r="B87" t="s">
        <v>5</v>
      </c>
      <c r="C87">
        <v>45779</v>
      </c>
      <c r="D87">
        <v>45792</v>
      </c>
      <c r="E87" t="s">
        <v>113</v>
      </c>
      <c r="F87" t="s">
        <v>231</v>
      </c>
      <c r="G87" t="s">
        <v>507</v>
      </c>
      <c r="H87" t="s">
        <v>508</v>
      </c>
      <c r="I87" t="s">
        <v>271</v>
      </c>
      <c r="J87">
        <v>3</v>
      </c>
      <c r="K87">
        <v>0</v>
      </c>
      <c r="L87">
        <v>50.5</v>
      </c>
      <c r="AB87" t="s">
        <v>1140</v>
      </c>
    </row>
    <row r="88" spans="1:28">
      <c r="A88">
        <v>9</v>
      </c>
      <c r="B88" t="s">
        <v>5</v>
      </c>
      <c r="C88">
        <v>45779</v>
      </c>
      <c r="D88">
        <v>45792</v>
      </c>
      <c r="E88" t="s">
        <v>113</v>
      </c>
      <c r="F88" t="s">
        <v>1076</v>
      </c>
      <c r="G88" t="s">
        <v>1077</v>
      </c>
      <c r="H88" t="s">
        <v>1078</v>
      </c>
      <c r="I88" t="s">
        <v>271</v>
      </c>
      <c r="J88">
        <v>3</v>
      </c>
      <c r="K88">
        <v>0</v>
      </c>
      <c r="L88">
        <v>64.5</v>
      </c>
      <c r="AB88" t="s">
        <v>1141</v>
      </c>
    </row>
    <row r="89" spans="1:28">
      <c r="A89">
        <v>1</v>
      </c>
      <c r="B89" t="s">
        <v>5</v>
      </c>
      <c r="C89">
        <v>45793</v>
      </c>
      <c r="D89">
        <v>45806</v>
      </c>
      <c r="E89" t="s">
        <v>117</v>
      </c>
      <c r="F89" t="s">
        <v>231</v>
      </c>
      <c r="G89" t="s">
        <v>507</v>
      </c>
      <c r="H89" t="s">
        <v>508</v>
      </c>
      <c r="I89" t="s">
        <v>271</v>
      </c>
      <c r="J89">
        <v>3</v>
      </c>
      <c r="L89">
        <v>27.5</v>
      </c>
      <c r="AB89" s="43" t="s">
        <v>1075</v>
      </c>
    </row>
    <row r="90" spans="1:28">
      <c r="A90">
        <v>2</v>
      </c>
      <c r="B90" t="s">
        <v>5</v>
      </c>
      <c r="C90">
        <v>45793</v>
      </c>
      <c r="D90">
        <v>45806</v>
      </c>
      <c r="E90" t="s">
        <v>117</v>
      </c>
      <c r="F90" t="s">
        <v>1076</v>
      </c>
      <c r="G90" t="s">
        <v>1077</v>
      </c>
      <c r="H90" t="s">
        <v>1078</v>
      </c>
      <c r="I90" t="s">
        <v>13</v>
      </c>
      <c r="J90">
        <v>5</v>
      </c>
      <c r="K90">
        <v>5</v>
      </c>
      <c r="L90">
        <v>107</v>
      </c>
      <c r="M90" t="s">
        <v>281</v>
      </c>
      <c r="N90" t="s">
        <v>304</v>
      </c>
      <c r="P90" t="s">
        <v>231</v>
      </c>
      <c r="R90" t="s">
        <v>1079</v>
      </c>
      <c r="S90">
        <v>45805</v>
      </c>
      <c r="T90">
        <v>45805</v>
      </c>
      <c r="U90" t="s">
        <v>231</v>
      </c>
      <c r="W90" t="s">
        <v>867</v>
      </c>
      <c r="X90">
        <v>45805</v>
      </c>
      <c r="AB90" t="s">
        <v>1080</v>
      </c>
    </row>
    <row r="91" spans="1:28">
      <c r="A91">
        <v>3</v>
      </c>
      <c r="B91" t="s">
        <v>5</v>
      </c>
      <c r="C91">
        <v>45793</v>
      </c>
      <c r="D91">
        <v>45806</v>
      </c>
      <c r="E91" t="s">
        <v>117</v>
      </c>
      <c r="F91" t="s">
        <v>268</v>
      </c>
      <c r="G91" t="s">
        <v>1081</v>
      </c>
      <c r="H91" t="s">
        <v>1082</v>
      </c>
      <c r="I91" t="s">
        <v>13</v>
      </c>
      <c r="J91">
        <v>3</v>
      </c>
      <c r="K91">
        <v>3</v>
      </c>
      <c r="L91">
        <v>19</v>
      </c>
      <c r="M91" t="s">
        <v>268</v>
      </c>
      <c r="N91" t="s">
        <v>231</v>
      </c>
      <c r="P91" t="s">
        <v>735</v>
      </c>
      <c r="R91" t="s">
        <v>1083</v>
      </c>
      <c r="S91">
        <v>45793</v>
      </c>
      <c r="T91">
        <v>45797</v>
      </c>
      <c r="U91" t="s">
        <v>231</v>
      </c>
      <c r="W91" t="s">
        <v>867</v>
      </c>
      <c r="X91">
        <v>45797</v>
      </c>
      <c r="AB91" s="43" t="s">
        <v>1084</v>
      </c>
    </row>
    <row r="92" spans="1:28">
      <c r="A92">
        <v>4</v>
      </c>
      <c r="B92" t="s">
        <v>5</v>
      </c>
      <c r="C92">
        <v>45793</v>
      </c>
      <c r="D92">
        <v>45806</v>
      </c>
      <c r="E92" t="s">
        <v>117</v>
      </c>
      <c r="F92" t="s">
        <v>268</v>
      </c>
      <c r="G92" t="s">
        <v>1085</v>
      </c>
      <c r="H92" t="s">
        <v>1086</v>
      </c>
      <c r="I92" t="s">
        <v>13</v>
      </c>
      <c r="J92">
        <v>2</v>
      </c>
      <c r="K92">
        <v>2</v>
      </c>
      <c r="L92">
        <v>11.5</v>
      </c>
      <c r="M92" t="s">
        <v>268</v>
      </c>
      <c r="N92" t="s">
        <v>304</v>
      </c>
      <c r="P92" t="s">
        <v>231</v>
      </c>
      <c r="R92" t="s">
        <v>1087</v>
      </c>
      <c r="S92">
        <v>45796</v>
      </c>
      <c r="T92">
        <v>45797</v>
      </c>
      <c r="U92" t="s">
        <v>231</v>
      </c>
      <c r="W92" t="s">
        <v>867</v>
      </c>
      <c r="X92">
        <v>45796</v>
      </c>
      <c r="AB92" s="43" t="s">
        <v>1088</v>
      </c>
    </row>
    <row r="93" spans="1:28">
      <c r="A93">
        <v>5</v>
      </c>
      <c r="B93" t="s">
        <v>5</v>
      </c>
      <c r="C93">
        <v>45793</v>
      </c>
      <c r="D93">
        <v>45806</v>
      </c>
      <c r="E93" t="s">
        <v>117</v>
      </c>
      <c r="F93" t="s">
        <v>231</v>
      </c>
      <c r="G93" t="s">
        <v>1089</v>
      </c>
      <c r="H93" t="s">
        <v>1090</v>
      </c>
      <c r="I93" t="s">
        <v>13</v>
      </c>
      <c r="J93">
        <v>2</v>
      </c>
      <c r="K93">
        <v>2</v>
      </c>
      <c r="L93">
        <v>33</v>
      </c>
      <c r="M93" t="s">
        <v>231</v>
      </c>
      <c r="N93" t="s">
        <v>304</v>
      </c>
      <c r="P93" t="s">
        <v>268</v>
      </c>
      <c r="R93" t="s">
        <v>1091</v>
      </c>
      <c r="S93">
        <v>45794</v>
      </c>
      <c r="T93">
        <v>45796</v>
      </c>
      <c r="U93" t="s">
        <v>268</v>
      </c>
      <c r="W93" t="s">
        <v>867</v>
      </c>
      <c r="X93">
        <v>45797</v>
      </c>
      <c r="AB93" s="43" t="s">
        <v>1092</v>
      </c>
    </row>
    <row r="94" spans="1:28">
      <c r="A94">
        <v>6</v>
      </c>
      <c r="B94" t="s">
        <v>5</v>
      </c>
      <c r="C94">
        <v>45793</v>
      </c>
      <c r="D94">
        <v>45806</v>
      </c>
      <c r="E94" t="s">
        <v>117</v>
      </c>
      <c r="F94" t="s">
        <v>1093</v>
      </c>
      <c r="G94" t="s">
        <v>1094</v>
      </c>
      <c r="H94" t="s">
        <v>1095</v>
      </c>
      <c r="I94" t="s">
        <v>13</v>
      </c>
      <c r="J94">
        <v>2</v>
      </c>
      <c r="K94">
        <v>2</v>
      </c>
      <c r="L94">
        <v>23.75</v>
      </c>
      <c r="M94" t="s">
        <v>268</v>
      </c>
      <c r="N94" t="s">
        <v>304</v>
      </c>
      <c r="P94" t="s">
        <v>231</v>
      </c>
      <c r="R94" t="s">
        <v>1096</v>
      </c>
      <c r="S94">
        <v>45798</v>
      </c>
      <c r="T94">
        <v>45798</v>
      </c>
      <c r="U94" t="s">
        <v>231</v>
      </c>
      <c r="W94" t="s">
        <v>867</v>
      </c>
      <c r="X94">
        <v>45798</v>
      </c>
      <c r="AB94" s="43" t="s">
        <v>1097</v>
      </c>
    </row>
    <row r="95" spans="1:28">
      <c r="A95">
        <v>7</v>
      </c>
      <c r="B95" t="s">
        <v>5</v>
      </c>
      <c r="C95">
        <v>45793</v>
      </c>
      <c r="D95">
        <v>45806</v>
      </c>
      <c r="E95" t="s">
        <v>117</v>
      </c>
      <c r="F95" t="s">
        <v>1093</v>
      </c>
      <c r="G95" t="s">
        <v>1098</v>
      </c>
      <c r="H95" t="s">
        <v>1099</v>
      </c>
      <c r="I95" t="s">
        <v>13</v>
      </c>
      <c r="J95">
        <v>2</v>
      </c>
      <c r="K95">
        <v>2</v>
      </c>
      <c r="L95">
        <v>38</v>
      </c>
      <c r="M95" t="s">
        <v>268</v>
      </c>
      <c r="N95" t="s">
        <v>304</v>
      </c>
      <c r="P95" t="s">
        <v>231</v>
      </c>
      <c r="R95" t="s">
        <v>1100</v>
      </c>
      <c r="S95">
        <v>45799</v>
      </c>
      <c r="T95">
        <v>45800</v>
      </c>
      <c r="U95" t="s">
        <v>231</v>
      </c>
      <c r="W95" t="s">
        <v>1101</v>
      </c>
      <c r="X95">
        <v>45800</v>
      </c>
      <c r="AB95" s="43" t="s">
        <v>1097</v>
      </c>
    </row>
    <row r="96" spans="1:28">
      <c r="A96">
        <v>8</v>
      </c>
      <c r="B96" t="s">
        <v>5</v>
      </c>
      <c r="C96">
        <v>45793</v>
      </c>
      <c r="D96">
        <v>45806</v>
      </c>
      <c r="E96" t="s">
        <v>117</v>
      </c>
      <c r="F96" t="s">
        <v>506</v>
      </c>
      <c r="G96" t="s">
        <v>1102</v>
      </c>
      <c r="H96" t="s">
        <v>1103</v>
      </c>
      <c r="I96" t="s">
        <v>13</v>
      </c>
      <c r="J96">
        <v>5</v>
      </c>
      <c r="K96">
        <v>5</v>
      </c>
      <c r="L96">
        <v>41.75</v>
      </c>
      <c r="M96" t="s">
        <v>231</v>
      </c>
      <c r="N96" t="s">
        <v>304</v>
      </c>
      <c r="P96" t="s">
        <v>1104</v>
      </c>
      <c r="R96" t="s">
        <v>1105</v>
      </c>
      <c r="S96">
        <v>45804</v>
      </c>
      <c r="T96">
        <v>45806</v>
      </c>
      <c r="U96" t="s">
        <v>231</v>
      </c>
      <c r="V96" s="43" t="s">
        <v>1106</v>
      </c>
      <c r="W96" t="s">
        <v>1101</v>
      </c>
      <c r="X96">
        <v>45806</v>
      </c>
      <c r="AB96" t="s">
        <v>1107</v>
      </c>
    </row>
    <row r="97" spans="1:28">
      <c r="A97">
        <v>1</v>
      </c>
      <c r="B97" t="s">
        <v>5</v>
      </c>
      <c r="C97">
        <v>45806</v>
      </c>
      <c r="D97">
        <v>45820</v>
      </c>
      <c r="E97" t="s">
        <v>121</v>
      </c>
      <c r="F97" t="s">
        <v>231</v>
      </c>
      <c r="G97" t="s">
        <v>1053</v>
      </c>
      <c r="H97" t="s">
        <v>1054</v>
      </c>
      <c r="I97" t="s">
        <v>13</v>
      </c>
      <c r="J97">
        <v>1</v>
      </c>
      <c r="K97">
        <v>1</v>
      </c>
      <c r="R97" t="s">
        <v>1055</v>
      </c>
      <c r="S97">
        <v>45818</v>
      </c>
      <c r="T97">
        <v>45819</v>
      </c>
      <c r="W97" t="s">
        <v>306</v>
      </c>
      <c r="X97">
        <v>45819</v>
      </c>
      <c r="AB97" t="s">
        <v>13</v>
      </c>
    </row>
    <row r="98" spans="1:28">
      <c r="A98">
        <v>2</v>
      </c>
      <c r="B98" t="s">
        <v>5</v>
      </c>
      <c r="C98">
        <v>45806</v>
      </c>
      <c r="D98">
        <v>45820</v>
      </c>
      <c r="E98" t="s">
        <v>121</v>
      </c>
      <c r="F98" t="s">
        <v>268</v>
      </c>
      <c r="G98" t="s">
        <v>1032</v>
      </c>
      <c r="H98" t="s">
        <v>1033</v>
      </c>
      <c r="I98" t="s">
        <v>271</v>
      </c>
      <c r="J98">
        <v>5</v>
      </c>
      <c r="K98">
        <v>86</v>
      </c>
      <c r="M98" t="s">
        <v>268</v>
      </c>
      <c r="N98" t="s">
        <v>304</v>
      </c>
      <c r="P98" t="s">
        <v>735</v>
      </c>
      <c r="R98" t="s">
        <v>1056</v>
      </c>
      <c r="S98">
        <v>45820</v>
      </c>
      <c r="T98">
        <v>45820</v>
      </c>
      <c r="U98" t="s">
        <v>231</v>
      </c>
      <c r="W98" t="s">
        <v>867</v>
      </c>
      <c r="X98">
        <v>45820</v>
      </c>
      <c r="AB98" t="s">
        <v>1057</v>
      </c>
    </row>
    <row r="99" spans="1:28">
      <c r="A99">
        <v>3</v>
      </c>
      <c r="B99" t="s">
        <v>5</v>
      </c>
      <c r="C99">
        <v>45806</v>
      </c>
      <c r="D99">
        <v>45820</v>
      </c>
      <c r="E99" t="s">
        <v>121</v>
      </c>
      <c r="F99" t="s">
        <v>1058</v>
      </c>
      <c r="G99" t="s">
        <v>1059</v>
      </c>
      <c r="H99" t="s">
        <v>1060</v>
      </c>
      <c r="I99" t="s">
        <v>13</v>
      </c>
      <c r="J99">
        <v>3</v>
      </c>
      <c r="K99">
        <v>3</v>
      </c>
      <c r="L99">
        <v>74</v>
      </c>
      <c r="M99" t="s">
        <v>281</v>
      </c>
      <c r="N99" t="s">
        <v>304</v>
      </c>
      <c r="O99" t="s">
        <v>1061</v>
      </c>
      <c r="P99" t="s">
        <v>231</v>
      </c>
      <c r="R99" t="s">
        <v>1062</v>
      </c>
      <c r="S99">
        <v>45807</v>
      </c>
      <c r="T99">
        <v>45818</v>
      </c>
      <c r="U99" t="s">
        <v>231</v>
      </c>
      <c r="W99" t="s">
        <v>867</v>
      </c>
      <c r="X99">
        <v>45818</v>
      </c>
      <c r="AB99" t="s">
        <v>822</v>
      </c>
    </row>
    <row r="100" spans="1:28">
      <c r="A100">
        <v>4</v>
      </c>
      <c r="B100" t="s">
        <v>5</v>
      </c>
      <c r="C100">
        <v>45806</v>
      </c>
      <c r="D100">
        <v>45820</v>
      </c>
      <c r="E100" t="s">
        <v>121</v>
      </c>
      <c r="F100" t="s">
        <v>268</v>
      </c>
      <c r="G100" t="s">
        <v>968</v>
      </c>
      <c r="H100" t="s">
        <v>969</v>
      </c>
      <c r="I100" t="s">
        <v>271</v>
      </c>
      <c r="J100">
        <v>5</v>
      </c>
      <c r="AB100" t="s">
        <v>1063</v>
      </c>
    </row>
    <row r="101" spans="1:28">
      <c r="A101">
        <v>5</v>
      </c>
      <c r="B101" t="s">
        <v>5</v>
      </c>
      <c r="C101">
        <v>45806</v>
      </c>
      <c r="D101">
        <v>45820</v>
      </c>
      <c r="E101" t="s">
        <v>121</v>
      </c>
      <c r="F101" t="s">
        <v>231</v>
      </c>
      <c r="G101" t="s">
        <v>1036</v>
      </c>
      <c r="H101" t="s">
        <v>1037</v>
      </c>
      <c r="I101" t="s">
        <v>271</v>
      </c>
      <c r="J101">
        <v>5</v>
      </c>
      <c r="K101">
        <v>18.5</v>
      </c>
      <c r="AB101" t="s">
        <v>1064</v>
      </c>
    </row>
    <row r="102" spans="1:28">
      <c r="A102">
        <v>6</v>
      </c>
      <c r="B102" t="s">
        <v>5</v>
      </c>
      <c r="C102">
        <v>45806</v>
      </c>
      <c r="D102">
        <v>45820</v>
      </c>
      <c r="E102" t="s">
        <v>121</v>
      </c>
      <c r="F102" t="s">
        <v>284</v>
      </c>
      <c r="G102" t="s">
        <v>1065</v>
      </c>
      <c r="H102" t="s">
        <v>1066</v>
      </c>
      <c r="I102" t="s">
        <v>13</v>
      </c>
      <c r="J102">
        <v>1</v>
      </c>
      <c r="K102">
        <v>1</v>
      </c>
      <c r="L102">
        <v>3</v>
      </c>
      <c r="AB102" t="s">
        <v>1067</v>
      </c>
    </row>
    <row r="103" spans="1:28">
      <c r="A103">
        <v>7</v>
      </c>
      <c r="B103" t="s">
        <v>5</v>
      </c>
      <c r="C103">
        <v>45806</v>
      </c>
      <c r="D103">
        <v>45820</v>
      </c>
      <c r="E103" t="s">
        <v>121</v>
      </c>
      <c r="F103" t="s">
        <v>284</v>
      </c>
      <c r="G103" t="s">
        <v>1068</v>
      </c>
      <c r="H103" t="s">
        <v>1066</v>
      </c>
      <c r="I103" t="s">
        <v>13</v>
      </c>
      <c r="J103">
        <v>1</v>
      </c>
      <c r="K103">
        <v>1</v>
      </c>
      <c r="AB103" t="s">
        <v>1067</v>
      </c>
    </row>
    <row r="104" spans="1:28">
      <c r="A104">
        <v>8</v>
      </c>
      <c r="B104" t="s">
        <v>5</v>
      </c>
      <c r="C104">
        <v>45806</v>
      </c>
      <c r="D104">
        <v>45820</v>
      </c>
      <c r="E104" t="s">
        <v>121</v>
      </c>
      <c r="F104" t="s">
        <v>1058</v>
      </c>
      <c r="G104" t="s">
        <v>1069</v>
      </c>
      <c r="H104" t="s">
        <v>817</v>
      </c>
      <c r="I104" t="s">
        <v>13</v>
      </c>
      <c r="R104" t="s">
        <v>1070</v>
      </c>
      <c r="S104">
        <v>45818</v>
      </c>
      <c r="T104">
        <v>45818</v>
      </c>
      <c r="U104" t="s">
        <v>231</v>
      </c>
      <c r="W104" t="s">
        <v>867</v>
      </c>
      <c r="X104">
        <v>45818</v>
      </c>
      <c r="AB104" t="s">
        <v>822</v>
      </c>
    </row>
    <row r="105" spans="1:28">
      <c r="A105">
        <v>9</v>
      </c>
      <c r="B105" t="s">
        <v>5</v>
      </c>
      <c r="C105">
        <v>45806</v>
      </c>
      <c r="D105">
        <v>45820</v>
      </c>
      <c r="E105" t="s">
        <v>121</v>
      </c>
      <c r="F105" t="s">
        <v>231</v>
      </c>
      <c r="G105" t="s">
        <v>1071</v>
      </c>
      <c r="H105" t="s">
        <v>1072</v>
      </c>
      <c r="I105" t="s">
        <v>13</v>
      </c>
      <c r="R105" t="s">
        <v>1073</v>
      </c>
      <c r="S105">
        <v>45819</v>
      </c>
      <c r="T105">
        <v>45819</v>
      </c>
      <c r="U105" t="s">
        <v>231</v>
      </c>
      <c r="W105" t="s">
        <v>306</v>
      </c>
      <c r="X105">
        <v>45819</v>
      </c>
      <c r="AB105" t="s">
        <v>822</v>
      </c>
    </row>
    <row r="106" spans="1:28">
      <c r="A106">
        <v>1</v>
      </c>
      <c r="B106" t="s">
        <v>5</v>
      </c>
      <c r="C106">
        <v>45820</v>
      </c>
      <c r="D106">
        <v>45834</v>
      </c>
      <c r="E106" t="s">
        <v>126</v>
      </c>
      <c r="F106" t="s">
        <v>268</v>
      </c>
      <c r="G106" t="s">
        <v>1032</v>
      </c>
      <c r="H106" t="s">
        <v>1033</v>
      </c>
      <c r="I106" t="s">
        <v>13</v>
      </c>
      <c r="J106">
        <v>5</v>
      </c>
      <c r="K106">
        <v>5</v>
      </c>
      <c r="M106" t="s">
        <v>304</v>
      </c>
      <c r="N106" t="s">
        <v>304</v>
      </c>
      <c r="O106" t="s">
        <v>93</v>
      </c>
      <c r="R106" t="s">
        <v>93</v>
      </c>
      <c r="AB106" s="43" t="s">
        <v>1034</v>
      </c>
    </row>
    <row r="107" spans="1:28">
      <c r="A107">
        <v>2</v>
      </c>
      <c r="B107" t="s">
        <v>5</v>
      </c>
      <c r="C107">
        <v>45820</v>
      </c>
      <c r="D107">
        <v>45834</v>
      </c>
      <c r="E107" t="s">
        <v>126</v>
      </c>
      <c r="F107" t="s">
        <v>1035</v>
      </c>
      <c r="G107" t="s">
        <v>1036</v>
      </c>
      <c r="H107" t="s">
        <v>1037</v>
      </c>
      <c r="I107" t="s">
        <v>13</v>
      </c>
      <c r="J107">
        <v>8</v>
      </c>
      <c r="K107">
        <v>8</v>
      </c>
      <c r="M107" t="s">
        <v>1038</v>
      </c>
      <c r="N107" t="s">
        <v>304</v>
      </c>
      <c r="O107" t="s">
        <v>93</v>
      </c>
      <c r="P107" t="s">
        <v>231</v>
      </c>
      <c r="R107" t="s">
        <v>1039</v>
      </c>
      <c r="S107">
        <v>45832</v>
      </c>
      <c r="T107">
        <v>45833</v>
      </c>
      <c r="U107" t="s">
        <v>231</v>
      </c>
      <c r="W107" t="s">
        <v>867</v>
      </c>
      <c r="X107">
        <v>45833</v>
      </c>
      <c r="AB107" t="s">
        <v>430</v>
      </c>
    </row>
    <row r="108" spans="1:28">
      <c r="A108">
        <v>3</v>
      </c>
      <c r="B108" t="s">
        <v>5</v>
      </c>
      <c r="C108">
        <v>45820</v>
      </c>
      <c r="D108">
        <v>45834</v>
      </c>
      <c r="E108" t="s">
        <v>126</v>
      </c>
      <c r="F108" t="s">
        <v>504</v>
      </c>
      <c r="G108" t="s">
        <v>1040</v>
      </c>
      <c r="H108" t="s">
        <v>817</v>
      </c>
      <c r="I108" t="s">
        <v>13</v>
      </c>
      <c r="M108" t="s">
        <v>1041</v>
      </c>
      <c r="N108" t="s">
        <v>1042</v>
      </c>
      <c r="O108" t="s">
        <v>93</v>
      </c>
      <c r="P108" t="s">
        <v>231</v>
      </c>
      <c r="R108" t="s">
        <v>1043</v>
      </c>
      <c r="S108">
        <v>45822</v>
      </c>
      <c r="T108">
        <v>45822</v>
      </c>
      <c r="U108" t="s">
        <v>231</v>
      </c>
      <c r="W108" t="s">
        <v>306</v>
      </c>
      <c r="X108">
        <v>45822</v>
      </c>
      <c r="AB108" s="43" t="s">
        <v>1044</v>
      </c>
    </row>
    <row r="109" spans="1:28">
      <c r="A109">
        <v>4</v>
      </c>
      <c r="B109" t="s">
        <v>5</v>
      </c>
      <c r="C109">
        <v>45820</v>
      </c>
      <c r="D109">
        <v>45834</v>
      </c>
      <c r="E109" t="s">
        <v>126</v>
      </c>
      <c r="F109" t="s">
        <v>284</v>
      </c>
      <c r="G109" t="s">
        <v>1045</v>
      </c>
      <c r="H109" t="s">
        <v>1046</v>
      </c>
      <c r="I109" t="s">
        <v>13</v>
      </c>
      <c r="J109">
        <v>3</v>
      </c>
      <c r="K109">
        <v>3</v>
      </c>
      <c r="M109" t="s">
        <v>93</v>
      </c>
      <c r="N109" t="s">
        <v>93</v>
      </c>
      <c r="O109" t="s">
        <v>93</v>
      </c>
      <c r="P109" t="s">
        <v>93</v>
      </c>
      <c r="Q109" t="s">
        <v>93</v>
      </c>
      <c r="R109" t="s">
        <v>93</v>
      </c>
      <c r="S109" t="s">
        <v>93</v>
      </c>
      <c r="T109" t="s">
        <v>93</v>
      </c>
      <c r="U109" t="s">
        <v>93</v>
      </c>
      <c r="V109" t="s">
        <v>93</v>
      </c>
      <c r="W109" t="s">
        <v>93</v>
      </c>
      <c r="X109" t="s">
        <v>93</v>
      </c>
      <c r="Y109" t="s">
        <v>93</v>
      </c>
      <c r="Z109" t="s">
        <v>93</v>
      </c>
      <c r="AA109" t="s">
        <v>93</v>
      </c>
      <c r="AB109" t="s">
        <v>456</v>
      </c>
    </row>
    <row r="110" spans="1:28">
      <c r="A110">
        <v>5</v>
      </c>
      <c r="B110" t="s">
        <v>5</v>
      </c>
      <c r="C110">
        <v>45820</v>
      </c>
      <c r="D110">
        <v>45834</v>
      </c>
      <c r="E110" t="s">
        <v>126</v>
      </c>
      <c r="F110" t="s">
        <v>284</v>
      </c>
      <c r="G110" t="s">
        <v>1047</v>
      </c>
      <c r="H110" t="s">
        <v>1048</v>
      </c>
      <c r="I110" t="s">
        <v>13</v>
      </c>
      <c r="J110">
        <v>3</v>
      </c>
      <c r="K110">
        <v>3</v>
      </c>
      <c r="M110" t="s">
        <v>93</v>
      </c>
      <c r="N110" t="s">
        <v>93</v>
      </c>
      <c r="O110" t="s">
        <v>93</v>
      </c>
      <c r="P110" t="s">
        <v>93</v>
      </c>
      <c r="Q110" t="s">
        <v>93</v>
      </c>
      <c r="R110" t="s">
        <v>93</v>
      </c>
      <c r="S110" t="s">
        <v>93</v>
      </c>
      <c r="T110" t="s">
        <v>93</v>
      </c>
      <c r="U110" t="s">
        <v>93</v>
      </c>
      <c r="V110" t="s">
        <v>93</v>
      </c>
      <c r="W110" t="s">
        <v>93</v>
      </c>
      <c r="X110" t="s">
        <v>93</v>
      </c>
      <c r="Y110" t="s">
        <v>93</v>
      </c>
      <c r="Z110" t="s">
        <v>93</v>
      </c>
      <c r="AA110" t="s">
        <v>93</v>
      </c>
      <c r="AB110" t="s">
        <v>456</v>
      </c>
    </row>
    <row r="111" spans="1:28">
      <c r="A111">
        <v>6</v>
      </c>
      <c r="B111" t="s">
        <v>5</v>
      </c>
      <c r="C111">
        <v>45820</v>
      </c>
      <c r="D111">
        <v>45834</v>
      </c>
      <c r="E111" t="s">
        <v>126</v>
      </c>
      <c r="F111" t="s">
        <v>284</v>
      </c>
      <c r="G111" t="s">
        <v>1049</v>
      </c>
      <c r="H111" t="s">
        <v>1050</v>
      </c>
      <c r="I111" t="s">
        <v>13</v>
      </c>
      <c r="J111">
        <v>1</v>
      </c>
      <c r="K111">
        <v>1</v>
      </c>
      <c r="M111" t="s">
        <v>93</v>
      </c>
      <c r="N111" t="s">
        <v>93</v>
      </c>
      <c r="O111" t="s">
        <v>93</v>
      </c>
      <c r="R111" t="s">
        <v>93</v>
      </c>
      <c r="S111" t="s">
        <v>93</v>
      </c>
      <c r="T111" t="s">
        <v>93</v>
      </c>
      <c r="U111" t="s">
        <v>93</v>
      </c>
      <c r="V111" t="s">
        <v>93</v>
      </c>
      <c r="W111" t="s">
        <v>93</v>
      </c>
      <c r="X111" t="s">
        <v>93</v>
      </c>
      <c r="Y111" t="s">
        <v>93</v>
      </c>
      <c r="Z111" t="s">
        <v>93</v>
      </c>
      <c r="AA111" t="s">
        <v>93</v>
      </c>
      <c r="AB111" t="s">
        <v>430</v>
      </c>
    </row>
    <row r="112" spans="1:28">
      <c r="A112">
        <v>1</v>
      </c>
      <c r="B112" t="s">
        <v>5</v>
      </c>
      <c r="C112">
        <v>45834</v>
      </c>
      <c r="D112">
        <v>45848</v>
      </c>
      <c r="E112" t="s">
        <v>130</v>
      </c>
      <c r="F112" t="s">
        <v>268</v>
      </c>
      <c r="G112" t="s">
        <v>1018</v>
      </c>
      <c r="H112" t="s">
        <v>1019</v>
      </c>
      <c r="I112" t="s">
        <v>13</v>
      </c>
      <c r="J112">
        <v>2</v>
      </c>
      <c r="K112">
        <v>2</v>
      </c>
      <c r="M112" t="s">
        <v>268</v>
      </c>
      <c r="N112" t="s">
        <v>304</v>
      </c>
      <c r="P112" t="s">
        <v>231</v>
      </c>
      <c r="R112" t="s">
        <v>1020</v>
      </c>
      <c r="S112">
        <v>45841</v>
      </c>
      <c r="T112">
        <v>45841</v>
      </c>
      <c r="U112" t="s">
        <v>231</v>
      </c>
      <c r="W112" t="s">
        <v>867</v>
      </c>
      <c r="X112">
        <v>45841</v>
      </c>
      <c r="AB112" s="43" t="s">
        <v>1021</v>
      </c>
    </row>
    <row r="113" spans="1:28">
      <c r="A113">
        <v>2</v>
      </c>
      <c r="B113" t="s">
        <v>5</v>
      </c>
      <c r="C113">
        <v>45834</v>
      </c>
      <c r="D113">
        <v>45848</v>
      </c>
      <c r="E113" t="s">
        <v>130</v>
      </c>
      <c r="F113" t="s">
        <v>281</v>
      </c>
      <c r="G113" t="s">
        <v>1022</v>
      </c>
      <c r="H113" t="s">
        <v>1023</v>
      </c>
      <c r="I113" t="s">
        <v>13</v>
      </c>
      <c r="J113">
        <v>3</v>
      </c>
      <c r="K113">
        <v>3</v>
      </c>
      <c r="M113" t="s">
        <v>281</v>
      </c>
      <c r="N113" t="s">
        <v>268</v>
      </c>
      <c r="P113" t="s">
        <v>268</v>
      </c>
      <c r="R113" t="s">
        <v>1024</v>
      </c>
      <c r="S113">
        <v>45838</v>
      </c>
      <c r="T113">
        <v>45839</v>
      </c>
      <c r="U113" t="s">
        <v>231</v>
      </c>
      <c r="W113" t="s">
        <v>867</v>
      </c>
      <c r="X113">
        <v>45839</v>
      </c>
      <c r="AB113" s="43" t="s">
        <v>1025</v>
      </c>
    </row>
    <row r="114" spans="1:28">
      <c r="A114">
        <v>3</v>
      </c>
      <c r="B114" t="s">
        <v>5</v>
      </c>
      <c r="C114">
        <v>45834</v>
      </c>
      <c r="D114">
        <v>45848</v>
      </c>
      <c r="E114" t="s">
        <v>130</v>
      </c>
      <c r="F114" t="s">
        <v>268</v>
      </c>
      <c r="G114" t="s">
        <v>1026</v>
      </c>
      <c r="H114" t="s">
        <v>1027</v>
      </c>
      <c r="I114" t="s">
        <v>13</v>
      </c>
      <c r="J114">
        <v>3</v>
      </c>
      <c r="K114">
        <v>3</v>
      </c>
      <c r="M114" t="s">
        <v>268</v>
      </c>
      <c r="N114" t="s">
        <v>735</v>
      </c>
      <c r="P114" t="s">
        <v>281</v>
      </c>
      <c r="R114" t="s">
        <v>1028</v>
      </c>
      <c r="S114">
        <v>45839</v>
      </c>
      <c r="T114">
        <v>45840</v>
      </c>
      <c r="U114" t="s">
        <v>231</v>
      </c>
      <c r="W114" t="s">
        <v>867</v>
      </c>
      <c r="X114">
        <v>45840</v>
      </c>
      <c r="AB114" s="43" t="s">
        <v>1029</v>
      </c>
    </row>
    <row r="115" spans="1:28">
      <c r="A115">
        <v>4</v>
      </c>
      <c r="B115" t="s">
        <v>5</v>
      </c>
      <c r="C115">
        <v>45834</v>
      </c>
      <c r="D115">
        <v>45848</v>
      </c>
      <c r="E115" t="s">
        <v>130</v>
      </c>
      <c r="F115" t="s">
        <v>938</v>
      </c>
      <c r="G115" t="s">
        <v>988</v>
      </c>
      <c r="H115" t="s">
        <v>989</v>
      </c>
      <c r="I115" t="s">
        <v>271</v>
      </c>
      <c r="J115">
        <v>5</v>
      </c>
    </row>
    <row r="116" spans="1:28">
      <c r="A116">
        <v>5</v>
      </c>
      <c r="B116" t="s">
        <v>5</v>
      </c>
      <c r="C116">
        <v>45834</v>
      </c>
      <c r="D116">
        <v>45848</v>
      </c>
      <c r="E116" t="s">
        <v>130</v>
      </c>
      <c r="F116" t="s">
        <v>231</v>
      </c>
      <c r="G116" t="s">
        <v>1030</v>
      </c>
      <c r="H116" t="s">
        <v>1031</v>
      </c>
      <c r="I116" t="s">
        <v>13</v>
      </c>
      <c r="J116">
        <v>2</v>
      </c>
      <c r="K116">
        <v>2</v>
      </c>
    </row>
    <row r="117" spans="1:28">
      <c r="A117">
        <v>1</v>
      </c>
      <c r="B117" t="s">
        <v>5</v>
      </c>
      <c r="C117">
        <v>45848</v>
      </c>
      <c r="D117">
        <v>45862</v>
      </c>
      <c r="E117" t="s">
        <v>134</v>
      </c>
      <c r="F117" t="s">
        <v>938</v>
      </c>
      <c r="G117" t="s">
        <v>988</v>
      </c>
      <c r="H117" t="s">
        <v>989</v>
      </c>
      <c r="I117" t="s">
        <v>13</v>
      </c>
      <c r="J117">
        <v>3</v>
      </c>
      <c r="K117">
        <v>3</v>
      </c>
      <c r="M117">
        <v>45849</v>
      </c>
      <c r="N117">
        <v>45852</v>
      </c>
      <c r="P117" t="s">
        <v>304</v>
      </c>
      <c r="T117" t="s">
        <v>990</v>
      </c>
      <c r="U117">
        <v>45854</v>
      </c>
      <c r="V117">
        <v>45854</v>
      </c>
      <c r="W117" t="s">
        <v>231</v>
      </c>
      <c r="Y117" t="s">
        <v>867</v>
      </c>
      <c r="Z117">
        <v>45854</v>
      </c>
    </row>
    <row r="118" spans="1:28">
      <c r="A118">
        <v>2</v>
      </c>
      <c r="B118" t="s">
        <v>5</v>
      </c>
      <c r="C118">
        <v>45848</v>
      </c>
      <c r="D118">
        <v>45862</v>
      </c>
      <c r="E118" t="s">
        <v>134</v>
      </c>
      <c r="F118" t="s">
        <v>938</v>
      </c>
      <c r="G118" t="s">
        <v>964</v>
      </c>
      <c r="H118" t="s">
        <v>965</v>
      </c>
      <c r="I118" t="s">
        <v>271</v>
      </c>
      <c r="J118">
        <v>5</v>
      </c>
      <c r="M118">
        <v>45852</v>
      </c>
      <c r="N118">
        <v>45861</v>
      </c>
      <c r="P118" t="s">
        <v>304</v>
      </c>
      <c r="R118" t="s">
        <v>735</v>
      </c>
      <c r="T118" t="s">
        <v>966</v>
      </c>
      <c r="U118">
        <v>45861</v>
      </c>
      <c r="V118">
        <v>45861</v>
      </c>
      <c r="W118" t="s">
        <v>231</v>
      </c>
      <c r="Y118" t="s">
        <v>867</v>
      </c>
      <c r="Z118">
        <v>45861</v>
      </c>
    </row>
    <row r="119" spans="1:28">
      <c r="A119">
        <v>3</v>
      </c>
      <c r="B119" t="s">
        <v>5</v>
      </c>
      <c r="C119">
        <v>45848</v>
      </c>
      <c r="D119">
        <v>45862</v>
      </c>
      <c r="E119" t="s">
        <v>134</v>
      </c>
      <c r="F119" t="s">
        <v>231</v>
      </c>
      <c r="G119" t="s">
        <v>968</v>
      </c>
      <c r="H119" t="s">
        <v>969</v>
      </c>
      <c r="I119" t="s">
        <v>271</v>
      </c>
      <c r="J119">
        <v>5</v>
      </c>
      <c r="M119">
        <v>45852</v>
      </c>
      <c r="N119">
        <v>45862</v>
      </c>
      <c r="T119" t="s">
        <v>970</v>
      </c>
      <c r="U119">
        <v>45859</v>
      </c>
      <c r="V119">
        <v>45859</v>
      </c>
      <c r="W119" t="s">
        <v>231</v>
      </c>
      <c r="Y119" t="s">
        <v>867</v>
      </c>
      <c r="Z119">
        <v>45860</v>
      </c>
    </row>
    <row r="120" spans="1:28">
      <c r="A120">
        <v>4</v>
      </c>
      <c r="B120" t="s">
        <v>5</v>
      </c>
      <c r="C120">
        <v>45848</v>
      </c>
      <c r="D120">
        <v>45862</v>
      </c>
      <c r="E120" t="s">
        <v>134</v>
      </c>
      <c r="F120" t="s">
        <v>938</v>
      </c>
      <c r="G120" t="s">
        <v>994</v>
      </c>
      <c r="H120" t="s">
        <v>995</v>
      </c>
      <c r="I120" t="s">
        <v>271</v>
      </c>
      <c r="J120">
        <v>3</v>
      </c>
    </row>
    <row r="121" spans="1:28">
      <c r="A121">
        <v>5</v>
      </c>
      <c r="B121" t="s">
        <v>5</v>
      </c>
      <c r="C121">
        <v>45848</v>
      </c>
      <c r="D121">
        <v>45862</v>
      </c>
      <c r="E121" t="s">
        <v>134</v>
      </c>
      <c r="F121" t="s">
        <v>284</v>
      </c>
      <c r="G121" t="s">
        <v>997</v>
      </c>
      <c r="H121" t="s">
        <v>998</v>
      </c>
      <c r="I121" t="s">
        <v>13</v>
      </c>
      <c r="J121">
        <v>1</v>
      </c>
      <c r="K121">
        <v>1</v>
      </c>
      <c r="O121" t="s">
        <v>93</v>
      </c>
      <c r="P121" t="s">
        <v>93</v>
      </c>
      <c r="Q121" t="s">
        <v>93</v>
      </c>
      <c r="R121" t="s">
        <v>93</v>
      </c>
      <c r="S121" t="s">
        <v>93</v>
      </c>
      <c r="T121" t="s">
        <v>93</v>
      </c>
      <c r="U121" t="s">
        <v>93</v>
      </c>
      <c r="V121" t="s">
        <v>93</v>
      </c>
      <c r="W121" t="s">
        <v>93</v>
      </c>
      <c r="X121" t="s">
        <v>93</v>
      </c>
      <c r="Y121" t="s">
        <v>93</v>
      </c>
      <c r="Z121" t="s">
        <v>93</v>
      </c>
      <c r="AA121" t="s">
        <v>93</v>
      </c>
      <c r="AB121" t="s">
        <v>93</v>
      </c>
    </row>
    <row r="122" spans="1:28">
      <c r="A122">
        <v>6</v>
      </c>
      <c r="B122" t="s">
        <v>5</v>
      </c>
      <c r="C122">
        <v>45848</v>
      </c>
      <c r="D122">
        <v>45862</v>
      </c>
      <c r="E122" t="s">
        <v>134</v>
      </c>
      <c r="F122" t="s">
        <v>284</v>
      </c>
      <c r="G122" t="s">
        <v>1000</v>
      </c>
      <c r="H122" t="s">
        <v>1001</v>
      </c>
      <c r="I122" t="s">
        <v>13</v>
      </c>
      <c r="J122">
        <v>1</v>
      </c>
      <c r="K122">
        <v>1</v>
      </c>
      <c r="O122" t="s">
        <v>93</v>
      </c>
      <c r="P122" t="s">
        <v>93</v>
      </c>
      <c r="Q122" t="s">
        <v>93</v>
      </c>
      <c r="R122" t="s">
        <v>93</v>
      </c>
      <c r="S122" t="s">
        <v>93</v>
      </c>
      <c r="T122" t="s">
        <v>93</v>
      </c>
      <c r="U122" t="s">
        <v>93</v>
      </c>
      <c r="V122" t="s">
        <v>93</v>
      </c>
      <c r="W122" t="s">
        <v>93</v>
      </c>
      <c r="X122" t="s">
        <v>93</v>
      </c>
      <c r="Y122" t="s">
        <v>93</v>
      </c>
      <c r="Z122" t="s">
        <v>93</v>
      </c>
      <c r="AA122" t="s">
        <v>93</v>
      </c>
      <c r="AB122" t="s">
        <v>93</v>
      </c>
    </row>
    <row r="123" spans="1:28">
      <c r="A123">
        <v>7</v>
      </c>
      <c r="B123" t="s">
        <v>5</v>
      </c>
      <c r="C123">
        <v>45848</v>
      </c>
      <c r="D123">
        <v>45862</v>
      </c>
      <c r="E123" t="s">
        <v>134</v>
      </c>
      <c r="F123" t="s">
        <v>284</v>
      </c>
      <c r="G123" t="s">
        <v>1002</v>
      </c>
      <c r="H123" t="s">
        <v>1003</v>
      </c>
      <c r="I123" t="s">
        <v>13</v>
      </c>
      <c r="J123">
        <v>1</v>
      </c>
      <c r="K123">
        <v>1</v>
      </c>
      <c r="O123" t="s">
        <v>93</v>
      </c>
      <c r="P123" t="s">
        <v>93</v>
      </c>
      <c r="Q123" t="s">
        <v>93</v>
      </c>
      <c r="R123" t="s">
        <v>93</v>
      </c>
      <c r="S123" t="s">
        <v>93</v>
      </c>
      <c r="T123" t="s">
        <v>93</v>
      </c>
      <c r="U123" t="s">
        <v>93</v>
      </c>
      <c r="V123" t="s">
        <v>93</v>
      </c>
      <c r="W123" t="s">
        <v>93</v>
      </c>
      <c r="X123" t="s">
        <v>93</v>
      </c>
      <c r="Y123" t="s">
        <v>93</v>
      </c>
      <c r="Z123" t="s">
        <v>93</v>
      </c>
      <c r="AA123" t="s">
        <v>93</v>
      </c>
      <c r="AB123" t="s">
        <v>93</v>
      </c>
    </row>
    <row r="124" spans="1:28">
      <c r="A124">
        <v>8</v>
      </c>
      <c r="B124" t="s">
        <v>5</v>
      </c>
      <c r="C124">
        <v>45848</v>
      </c>
      <c r="D124">
        <v>45862</v>
      </c>
      <c r="E124" t="s">
        <v>134</v>
      </c>
      <c r="F124" t="s">
        <v>284</v>
      </c>
      <c r="G124" t="s">
        <v>1004</v>
      </c>
      <c r="H124" t="s">
        <v>1005</v>
      </c>
      <c r="I124" t="s">
        <v>13</v>
      </c>
      <c r="J124">
        <v>1</v>
      </c>
      <c r="K124">
        <v>1</v>
      </c>
      <c r="O124" t="s">
        <v>93</v>
      </c>
      <c r="P124" t="s">
        <v>93</v>
      </c>
      <c r="Q124" t="s">
        <v>93</v>
      </c>
      <c r="R124" t="s">
        <v>93</v>
      </c>
      <c r="S124" t="s">
        <v>93</v>
      </c>
      <c r="T124" t="s">
        <v>93</v>
      </c>
      <c r="U124" t="s">
        <v>93</v>
      </c>
      <c r="V124" t="s">
        <v>93</v>
      </c>
      <c r="W124" t="s">
        <v>93</v>
      </c>
      <c r="X124" t="s">
        <v>93</v>
      </c>
      <c r="Y124" t="s">
        <v>93</v>
      </c>
      <c r="Z124" t="s">
        <v>93</v>
      </c>
      <c r="AA124" t="s">
        <v>93</v>
      </c>
      <c r="AB124" t="s">
        <v>93</v>
      </c>
    </row>
    <row r="125" spans="1:28">
      <c r="A125">
        <v>9</v>
      </c>
      <c r="B125" t="s">
        <v>5</v>
      </c>
      <c r="C125">
        <v>45848</v>
      </c>
      <c r="D125">
        <v>45862</v>
      </c>
      <c r="E125" t="s">
        <v>134</v>
      </c>
      <c r="F125" t="s">
        <v>284</v>
      </c>
      <c r="G125" t="s">
        <v>1006</v>
      </c>
      <c r="H125" t="s">
        <v>1007</v>
      </c>
      <c r="I125" t="s">
        <v>13</v>
      </c>
      <c r="J125">
        <v>1</v>
      </c>
      <c r="K125">
        <v>1</v>
      </c>
      <c r="O125" t="s">
        <v>93</v>
      </c>
      <c r="P125" t="s">
        <v>93</v>
      </c>
      <c r="Q125" t="s">
        <v>93</v>
      </c>
      <c r="R125" t="s">
        <v>93</v>
      </c>
      <c r="S125" t="s">
        <v>93</v>
      </c>
      <c r="T125" t="s">
        <v>93</v>
      </c>
      <c r="U125" t="s">
        <v>93</v>
      </c>
      <c r="V125" t="s">
        <v>93</v>
      </c>
      <c r="W125" t="s">
        <v>93</v>
      </c>
      <c r="X125" t="s">
        <v>93</v>
      </c>
      <c r="Y125" t="s">
        <v>93</v>
      </c>
      <c r="Z125" t="s">
        <v>93</v>
      </c>
      <c r="AA125" t="s">
        <v>93</v>
      </c>
      <c r="AB125" t="s">
        <v>93</v>
      </c>
    </row>
    <row r="126" spans="1:28">
      <c r="A126">
        <v>1</v>
      </c>
      <c r="B126" t="s">
        <v>5</v>
      </c>
      <c r="C126">
        <v>45862</v>
      </c>
      <c r="D126">
        <v>45876</v>
      </c>
      <c r="E126" t="s">
        <v>138</v>
      </c>
      <c r="F126" t="s">
        <v>938</v>
      </c>
      <c r="G126" t="s">
        <v>964</v>
      </c>
      <c r="H126" t="s">
        <v>965</v>
      </c>
      <c r="I126" t="s">
        <v>13</v>
      </c>
      <c r="J126">
        <v>3</v>
      </c>
      <c r="K126">
        <v>3</v>
      </c>
      <c r="M126">
        <v>45852</v>
      </c>
      <c r="N126">
        <v>45866</v>
      </c>
      <c r="P126" t="s">
        <v>304</v>
      </c>
      <c r="R126" t="s">
        <v>735</v>
      </c>
      <c r="T126" t="s">
        <v>966</v>
      </c>
      <c r="U126">
        <v>45861</v>
      </c>
      <c r="V126">
        <v>45861</v>
      </c>
      <c r="W126" t="s">
        <v>231</v>
      </c>
      <c r="Y126" t="s">
        <v>867</v>
      </c>
      <c r="Z126">
        <v>45861</v>
      </c>
    </row>
    <row r="127" spans="1:28">
      <c r="A127">
        <v>2</v>
      </c>
      <c r="B127" t="s">
        <v>5</v>
      </c>
      <c r="C127">
        <v>45862</v>
      </c>
      <c r="D127">
        <v>45876</v>
      </c>
      <c r="E127" t="s">
        <v>138</v>
      </c>
      <c r="F127" t="s">
        <v>231</v>
      </c>
      <c r="G127" t="s">
        <v>968</v>
      </c>
      <c r="H127" t="s">
        <v>969</v>
      </c>
      <c r="I127" t="s">
        <v>13</v>
      </c>
      <c r="J127">
        <v>2</v>
      </c>
      <c r="K127">
        <v>2</v>
      </c>
      <c r="M127">
        <v>45852</v>
      </c>
      <c r="N127">
        <v>45866</v>
      </c>
      <c r="T127" t="s">
        <v>970</v>
      </c>
      <c r="U127">
        <v>45859</v>
      </c>
      <c r="V127">
        <v>45859</v>
      </c>
      <c r="W127" t="s">
        <v>231</v>
      </c>
      <c r="Y127" t="s">
        <v>867</v>
      </c>
      <c r="Z127">
        <v>45860</v>
      </c>
    </row>
    <row r="128" spans="1:28">
      <c r="A128">
        <v>3</v>
      </c>
      <c r="B128" t="s">
        <v>5</v>
      </c>
      <c r="C128">
        <v>45862</v>
      </c>
      <c r="D128">
        <v>45876</v>
      </c>
      <c r="E128" t="s">
        <v>138</v>
      </c>
      <c r="F128" t="s">
        <v>938</v>
      </c>
      <c r="G128" t="s">
        <v>971</v>
      </c>
      <c r="H128" t="s">
        <v>972</v>
      </c>
      <c r="I128" t="s">
        <v>13</v>
      </c>
      <c r="J128">
        <v>5</v>
      </c>
      <c r="K128">
        <v>5</v>
      </c>
      <c r="M128">
        <v>45863</v>
      </c>
      <c r="T128" t="s">
        <v>973</v>
      </c>
      <c r="U128">
        <v>45874</v>
      </c>
      <c r="V128">
        <v>45874</v>
      </c>
      <c r="W128" t="s">
        <v>231</v>
      </c>
      <c r="Y128" t="s">
        <v>867</v>
      </c>
      <c r="Z128">
        <v>45874</v>
      </c>
    </row>
    <row r="129" spans="1:28">
      <c r="A129">
        <v>4</v>
      </c>
      <c r="B129" t="s">
        <v>5</v>
      </c>
      <c r="C129">
        <v>45862</v>
      </c>
      <c r="D129">
        <v>45876</v>
      </c>
      <c r="E129" t="s">
        <v>138</v>
      </c>
      <c r="F129" t="s">
        <v>938</v>
      </c>
      <c r="G129" t="s">
        <v>974</v>
      </c>
      <c r="H129" t="s">
        <v>975</v>
      </c>
      <c r="I129" t="s">
        <v>13</v>
      </c>
      <c r="M129">
        <v>45862</v>
      </c>
      <c r="N129">
        <v>45866</v>
      </c>
      <c r="T129" t="s">
        <v>976</v>
      </c>
      <c r="U129">
        <v>45863</v>
      </c>
      <c r="V129">
        <v>45863</v>
      </c>
      <c r="W129" t="s">
        <v>231</v>
      </c>
      <c r="Y129" t="s">
        <v>867</v>
      </c>
      <c r="Z129">
        <v>45863</v>
      </c>
    </row>
    <row r="130" spans="1:28">
      <c r="A130">
        <v>5</v>
      </c>
      <c r="B130" t="s">
        <v>5</v>
      </c>
      <c r="C130">
        <v>45862</v>
      </c>
      <c r="D130">
        <v>45876</v>
      </c>
      <c r="E130" t="s">
        <v>138</v>
      </c>
      <c r="F130" t="s">
        <v>938</v>
      </c>
      <c r="G130" t="s">
        <v>939</v>
      </c>
      <c r="H130" t="s">
        <v>940</v>
      </c>
      <c r="I130" t="s">
        <v>271</v>
      </c>
      <c r="J130">
        <v>5</v>
      </c>
    </row>
    <row r="131" spans="1:28">
      <c r="A131">
        <v>6</v>
      </c>
      <c r="B131" t="s">
        <v>5</v>
      </c>
      <c r="C131">
        <v>45862</v>
      </c>
      <c r="D131">
        <v>45876</v>
      </c>
      <c r="E131" t="s">
        <v>138</v>
      </c>
      <c r="F131" t="s">
        <v>938</v>
      </c>
      <c r="G131" t="s">
        <v>942</v>
      </c>
      <c r="H131" t="s">
        <v>943</v>
      </c>
      <c r="I131" t="s">
        <v>271</v>
      </c>
      <c r="J131">
        <v>5</v>
      </c>
    </row>
    <row r="132" spans="1:28">
      <c r="A132">
        <v>7</v>
      </c>
      <c r="B132" t="s">
        <v>5</v>
      </c>
      <c r="C132">
        <v>45862</v>
      </c>
      <c r="D132">
        <v>45876</v>
      </c>
      <c r="E132" t="s">
        <v>138</v>
      </c>
      <c r="F132" t="s">
        <v>231</v>
      </c>
      <c r="G132" t="s">
        <v>980</v>
      </c>
      <c r="H132" t="s">
        <v>981</v>
      </c>
      <c r="I132" t="s">
        <v>13</v>
      </c>
      <c r="J132">
        <v>3</v>
      </c>
      <c r="K132">
        <v>3</v>
      </c>
      <c r="T132" t="s">
        <v>982</v>
      </c>
      <c r="U132">
        <v>45863</v>
      </c>
      <c r="V132">
        <v>45870</v>
      </c>
      <c r="Y132" t="s">
        <v>231</v>
      </c>
      <c r="Z132">
        <v>45870</v>
      </c>
    </row>
    <row r="133" spans="1:28">
      <c r="A133">
        <v>8</v>
      </c>
      <c r="B133" t="s">
        <v>5</v>
      </c>
      <c r="C133">
        <v>45862</v>
      </c>
      <c r="D133">
        <v>45876</v>
      </c>
      <c r="E133" t="s">
        <v>138</v>
      </c>
      <c r="F133" t="s">
        <v>284</v>
      </c>
      <c r="G133" t="s">
        <v>984</v>
      </c>
      <c r="H133" t="s">
        <v>985</v>
      </c>
      <c r="I133" t="s">
        <v>13</v>
      </c>
      <c r="J133">
        <v>1</v>
      </c>
      <c r="K133">
        <v>1</v>
      </c>
      <c r="O133" t="s">
        <v>93</v>
      </c>
      <c r="P133" t="s">
        <v>93</v>
      </c>
      <c r="Q133" t="s">
        <v>93</v>
      </c>
      <c r="R133" t="s">
        <v>93</v>
      </c>
      <c r="S133" t="s">
        <v>93</v>
      </c>
      <c r="T133" t="s">
        <v>93</v>
      </c>
      <c r="U133" t="s">
        <v>93</v>
      </c>
      <c r="V133" t="s">
        <v>93</v>
      </c>
      <c r="W133" t="s">
        <v>93</v>
      </c>
      <c r="X133" t="s">
        <v>93</v>
      </c>
      <c r="Y133" t="s">
        <v>93</v>
      </c>
      <c r="Z133" t="s">
        <v>93</v>
      </c>
      <c r="AA133" t="s">
        <v>93</v>
      </c>
      <c r="AB133" t="s">
        <v>93</v>
      </c>
    </row>
    <row r="134" spans="1:28">
      <c r="A134">
        <v>1</v>
      </c>
      <c r="B134" t="s">
        <v>5</v>
      </c>
      <c r="C134">
        <v>45876</v>
      </c>
      <c r="D134">
        <v>45890</v>
      </c>
      <c r="E134" t="s">
        <v>140</v>
      </c>
      <c r="F134" t="s">
        <v>938</v>
      </c>
      <c r="G134" t="s">
        <v>939</v>
      </c>
      <c r="H134" t="s">
        <v>940</v>
      </c>
      <c r="I134" t="s">
        <v>13</v>
      </c>
      <c r="J134">
        <v>5</v>
      </c>
      <c r="K134">
        <v>5</v>
      </c>
      <c r="L134">
        <v>52.25</v>
      </c>
      <c r="M134">
        <v>45881</v>
      </c>
      <c r="N134">
        <v>45884</v>
      </c>
      <c r="O134" t="s">
        <v>281</v>
      </c>
      <c r="P134" t="s">
        <v>304</v>
      </c>
      <c r="R134" t="s">
        <v>268</v>
      </c>
      <c r="T134" t="s">
        <v>941</v>
      </c>
      <c r="U134">
        <v>45884</v>
      </c>
      <c r="V134">
        <v>45884</v>
      </c>
      <c r="W134" t="s">
        <v>231</v>
      </c>
      <c r="Y134" t="s">
        <v>867</v>
      </c>
      <c r="Z134">
        <v>45884</v>
      </c>
    </row>
    <row r="135" spans="1:28">
      <c r="A135">
        <v>2</v>
      </c>
      <c r="B135" t="s">
        <v>5</v>
      </c>
      <c r="C135">
        <v>45876</v>
      </c>
      <c r="D135">
        <v>45890</v>
      </c>
      <c r="E135" t="s">
        <v>140</v>
      </c>
      <c r="F135" t="s">
        <v>938</v>
      </c>
      <c r="G135" t="s">
        <v>942</v>
      </c>
      <c r="H135" t="s">
        <v>943</v>
      </c>
      <c r="I135" t="s">
        <v>13</v>
      </c>
      <c r="J135">
        <v>5</v>
      </c>
      <c r="K135">
        <v>5</v>
      </c>
      <c r="L135">
        <v>54.75</v>
      </c>
      <c r="M135">
        <v>45876</v>
      </c>
      <c r="N135">
        <v>45880</v>
      </c>
      <c r="O135" t="s">
        <v>281</v>
      </c>
      <c r="P135" t="s">
        <v>304</v>
      </c>
      <c r="R135" t="s">
        <v>268</v>
      </c>
      <c r="T135" t="s">
        <v>944</v>
      </c>
      <c r="U135">
        <v>45880</v>
      </c>
      <c r="V135">
        <v>45882</v>
      </c>
      <c r="W135" t="s">
        <v>231</v>
      </c>
      <c r="Y135" t="s">
        <v>867</v>
      </c>
      <c r="Z135">
        <v>45882</v>
      </c>
    </row>
    <row r="136" spans="1:28">
      <c r="A136">
        <v>3</v>
      </c>
      <c r="B136" t="s">
        <v>5</v>
      </c>
      <c r="C136">
        <v>45876</v>
      </c>
      <c r="D136">
        <v>45890</v>
      </c>
      <c r="E136" t="s">
        <v>140</v>
      </c>
      <c r="F136" t="s">
        <v>506</v>
      </c>
      <c r="G136" t="s">
        <v>911</v>
      </c>
      <c r="H136" t="s">
        <v>945</v>
      </c>
      <c r="I136" t="s">
        <v>271</v>
      </c>
      <c r="J136">
        <v>3</v>
      </c>
      <c r="L136">
        <v>37.75</v>
      </c>
      <c r="M136">
        <v>45887</v>
      </c>
    </row>
    <row r="137" spans="1:28">
      <c r="A137">
        <v>4</v>
      </c>
      <c r="B137" t="s">
        <v>5</v>
      </c>
      <c r="C137">
        <v>45876</v>
      </c>
      <c r="D137">
        <v>45890</v>
      </c>
      <c r="E137" t="s">
        <v>140</v>
      </c>
      <c r="F137" t="s">
        <v>837</v>
      </c>
      <c r="G137" t="s">
        <v>906</v>
      </c>
      <c r="H137" t="s">
        <v>946</v>
      </c>
      <c r="I137" t="s">
        <v>947</v>
      </c>
      <c r="J137">
        <v>3</v>
      </c>
      <c r="L137">
        <v>21</v>
      </c>
      <c r="M137">
        <v>45888</v>
      </c>
      <c r="N137">
        <v>45889</v>
      </c>
      <c r="O137" t="s">
        <v>837</v>
      </c>
      <c r="P137" t="s">
        <v>304</v>
      </c>
      <c r="R137" t="s">
        <v>268</v>
      </c>
      <c r="T137" t="s">
        <v>908</v>
      </c>
      <c r="U137">
        <v>45889</v>
      </c>
      <c r="V137">
        <v>45889</v>
      </c>
      <c r="W137" t="s">
        <v>909</v>
      </c>
      <c r="Y137" t="s">
        <v>867</v>
      </c>
      <c r="Z137">
        <v>45889</v>
      </c>
    </row>
    <row r="138" spans="1:28">
      <c r="A138">
        <v>5</v>
      </c>
      <c r="B138" t="s">
        <v>5</v>
      </c>
      <c r="C138">
        <v>45876</v>
      </c>
      <c r="D138">
        <v>45890</v>
      </c>
      <c r="E138" t="s">
        <v>140</v>
      </c>
      <c r="F138" t="s">
        <v>284</v>
      </c>
      <c r="G138" t="s">
        <v>949</v>
      </c>
      <c r="H138" t="s">
        <v>950</v>
      </c>
      <c r="I138" t="s">
        <v>13</v>
      </c>
      <c r="J138" t="s">
        <v>93</v>
      </c>
      <c r="K138" t="s">
        <v>93</v>
      </c>
      <c r="L138">
        <v>9.5</v>
      </c>
      <c r="M138">
        <v>45882</v>
      </c>
      <c r="N138">
        <v>45882</v>
      </c>
      <c r="T138" t="s">
        <v>951</v>
      </c>
      <c r="U138">
        <v>45882</v>
      </c>
      <c r="V138">
        <v>45883</v>
      </c>
      <c r="W138" t="s">
        <v>231</v>
      </c>
      <c r="Y138" t="s">
        <v>867</v>
      </c>
      <c r="Z138">
        <v>45883</v>
      </c>
    </row>
    <row r="139" spans="1:28">
      <c r="A139">
        <v>6</v>
      </c>
      <c r="B139" t="s">
        <v>5</v>
      </c>
      <c r="C139">
        <v>45876</v>
      </c>
      <c r="D139">
        <v>45890</v>
      </c>
      <c r="E139" t="s">
        <v>140</v>
      </c>
      <c r="F139" t="s">
        <v>284</v>
      </c>
      <c r="G139" t="s">
        <v>952</v>
      </c>
      <c r="H139" t="s">
        <v>953</v>
      </c>
      <c r="I139" t="s">
        <v>13</v>
      </c>
      <c r="J139" t="s">
        <v>93</v>
      </c>
      <c r="K139" t="s">
        <v>93</v>
      </c>
      <c r="L139">
        <v>1</v>
      </c>
      <c r="M139">
        <v>45882</v>
      </c>
      <c r="N139">
        <v>45882</v>
      </c>
      <c r="T139" t="s">
        <v>951</v>
      </c>
      <c r="U139">
        <v>45882</v>
      </c>
      <c r="V139">
        <v>45883</v>
      </c>
      <c r="W139" t="s">
        <v>231</v>
      </c>
      <c r="Y139" t="s">
        <v>867</v>
      </c>
      <c r="Z139">
        <v>45883</v>
      </c>
    </row>
    <row r="140" spans="1:28">
      <c r="A140">
        <v>7</v>
      </c>
      <c r="B140" t="s">
        <v>5</v>
      </c>
      <c r="C140">
        <v>45876</v>
      </c>
      <c r="D140">
        <v>45890</v>
      </c>
      <c r="E140" t="s">
        <v>140</v>
      </c>
      <c r="F140" t="s">
        <v>284</v>
      </c>
      <c r="G140" t="s">
        <v>954</v>
      </c>
      <c r="H140" t="s">
        <v>955</v>
      </c>
      <c r="I140" t="s">
        <v>13</v>
      </c>
      <c r="J140">
        <v>1</v>
      </c>
      <c r="K140">
        <v>1</v>
      </c>
      <c r="L140">
        <v>2.25</v>
      </c>
      <c r="M140" t="s">
        <v>93</v>
      </c>
      <c r="N140" t="s">
        <v>93</v>
      </c>
    </row>
    <row r="141" spans="1:28">
      <c r="A141">
        <v>8</v>
      </c>
      <c r="B141" t="s">
        <v>5</v>
      </c>
      <c r="C141">
        <v>45876</v>
      </c>
      <c r="D141">
        <v>45890</v>
      </c>
      <c r="E141" t="s">
        <v>140</v>
      </c>
      <c r="F141" t="s">
        <v>284</v>
      </c>
      <c r="G141" t="s">
        <v>956</v>
      </c>
      <c r="H141" t="s">
        <v>957</v>
      </c>
      <c r="I141" t="s">
        <v>13</v>
      </c>
      <c r="J141">
        <v>1</v>
      </c>
      <c r="K141">
        <v>1</v>
      </c>
      <c r="L141">
        <v>10</v>
      </c>
      <c r="M141" t="s">
        <v>93</v>
      </c>
      <c r="N141" t="s">
        <v>93</v>
      </c>
      <c r="T141" t="s">
        <v>93</v>
      </c>
      <c r="U141" t="s">
        <v>93</v>
      </c>
      <c r="V141" t="s">
        <v>93</v>
      </c>
      <c r="W141" t="s">
        <v>93</v>
      </c>
      <c r="Y141" t="s">
        <v>93</v>
      </c>
      <c r="Z141" t="s">
        <v>93</v>
      </c>
    </row>
    <row r="142" spans="1:28">
      <c r="A142">
        <v>9</v>
      </c>
      <c r="B142" t="s">
        <v>5</v>
      </c>
      <c r="C142">
        <v>45876</v>
      </c>
      <c r="D142">
        <v>45890</v>
      </c>
      <c r="E142" t="s">
        <v>140</v>
      </c>
      <c r="F142" t="s">
        <v>284</v>
      </c>
      <c r="G142" t="s">
        <v>958</v>
      </c>
      <c r="H142" t="s">
        <v>959</v>
      </c>
      <c r="I142" t="s">
        <v>13</v>
      </c>
      <c r="J142" t="s">
        <v>93</v>
      </c>
      <c r="K142" t="s">
        <v>93</v>
      </c>
      <c r="L142">
        <v>1</v>
      </c>
      <c r="M142" t="s">
        <v>93</v>
      </c>
      <c r="N142" t="s">
        <v>93</v>
      </c>
      <c r="T142" t="s">
        <v>93</v>
      </c>
      <c r="U142" t="s">
        <v>93</v>
      </c>
      <c r="V142" t="s">
        <v>93</v>
      </c>
      <c r="W142" t="s">
        <v>93</v>
      </c>
      <c r="Y142" t="s">
        <v>93</v>
      </c>
      <c r="Z142" t="s">
        <v>93</v>
      </c>
    </row>
    <row r="143" spans="1:28">
      <c r="A143">
        <v>10</v>
      </c>
      <c r="B143" t="s">
        <v>5</v>
      </c>
      <c r="C143">
        <v>45876</v>
      </c>
      <c r="D143">
        <v>45890</v>
      </c>
      <c r="E143" t="s">
        <v>140</v>
      </c>
      <c r="F143" t="s">
        <v>284</v>
      </c>
      <c r="G143" t="s">
        <v>960</v>
      </c>
      <c r="H143" t="s">
        <v>961</v>
      </c>
      <c r="I143" t="s">
        <v>13</v>
      </c>
      <c r="J143">
        <v>1</v>
      </c>
      <c r="K143">
        <v>1</v>
      </c>
      <c r="L143">
        <v>2</v>
      </c>
      <c r="N143" t="s">
        <v>93</v>
      </c>
      <c r="T143" t="s">
        <v>93</v>
      </c>
      <c r="U143" t="s">
        <v>93</v>
      </c>
      <c r="V143" t="s">
        <v>93</v>
      </c>
      <c r="W143" t="s">
        <v>93</v>
      </c>
      <c r="Y143" t="s">
        <v>93</v>
      </c>
      <c r="Z143" t="s">
        <v>93</v>
      </c>
    </row>
    <row r="144" spans="1:28">
      <c r="A144">
        <v>1</v>
      </c>
      <c r="B144" t="s">
        <v>5</v>
      </c>
      <c r="C144">
        <v>45890</v>
      </c>
      <c r="D144">
        <v>45904</v>
      </c>
      <c r="E144" t="s">
        <v>145</v>
      </c>
      <c r="F144" t="s">
        <v>905</v>
      </c>
      <c r="G144" t="s">
        <v>906</v>
      </c>
      <c r="H144" t="s">
        <v>907</v>
      </c>
      <c r="I144" t="s">
        <v>13</v>
      </c>
      <c r="J144">
        <v>2</v>
      </c>
      <c r="K144">
        <v>2</v>
      </c>
      <c r="M144">
        <v>45888</v>
      </c>
      <c r="N144">
        <v>45889</v>
      </c>
      <c r="O144" t="s">
        <v>837</v>
      </c>
      <c r="P144" t="s">
        <v>304</v>
      </c>
      <c r="R144" t="s">
        <v>268</v>
      </c>
      <c r="T144" t="s">
        <v>908</v>
      </c>
      <c r="U144">
        <v>45889</v>
      </c>
      <c r="V144">
        <v>45889</v>
      </c>
      <c r="W144" t="s">
        <v>909</v>
      </c>
      <c r="Y144" t="s">
        <v>867</v>
      </c>
      <c r="Z144">
        <v>45889</v>
      </c>
    </row>
    <row r="145" spans="1:26">
      <c r="A145">
        <v>2</v>
      </c>
      <c r="B145" t="s">
        <v>5</v>
      </c>
      <c r="C145">
        <v>45890</v>
      </c>
      <c r="D145">
        <v>45904</v>
      </c>
      <c r="E145" t="s">
        <v>145</v>
      </c>
      <c r="F145" t="s">
        <v>805</v>
      </c>
      <c r="G145" t="s">
        <v>911</v>
      </c>
      <c r="H145" t="s">
        <v>912</v>
      </c>
      <c r="I145" t="s">
        <v>13</v>
      </c>
      <c r="J145">
        <v>2</v>
      </c>
      <c r="K145">
        <v>2</v>
      </c>
      <c r="O145" t="s">
        <v>231</v>
      </c>
      <c r="P145" t="s">
        <v>304</v>
      </c>
      <c r="R145" t="s">
        <v>268</v>
      </c>
      <c r="T145" t="s">
        <v>913</v>
      </c>
      <c r="U145">
        <v>45896</v>
      </c>
      <c r="V145">
        <v>45896</v>
      </c>
      <c r="W145" t="s">
        <v>281</v>
      </c>
      <c r="Y145" t="s">
        <v>867</v>
      </c>
      <c r="Z145">
        <v>45896</v>
      </c>
    </row>
    <row r="146" spans="1:26">
      <c r="A146">
        <v>3</v>
      </c>
      <c r="B146" t="s">
        <v>5</v>
      </c>
      <c r="C146">
        <v>45890</v>
      </c>
      <c r="D146">
        <v>45904</v>
      </c>
      <c r="E146" t="s">
        <v>145</v>
      </c>
      <c r="F146" t="s">
        <v>889</v>
      </c>
      <c r="G146" t="s">
        <v>915</v>
      </c>
      <c r="H146" t="s">
        <v>916</v>
      </c>
      <c r="I146" t="s">
        <v>13</v>
      </c>
      <c r="J146">
        <v>3</v>
      </c>
      <c r="K146">
        <v>3</v>
      </c>
      <c r="O146" t="s">
        <v>917</v>
      </c>
      <c r="P146" t="s">
        <v>304</v>
      </c>
      <c r="R146" t="s">
        <v>268</v>
      </c>
      <c r="T146" t="s">
        <v>918</v>
      </c>
      <c r="U146">
        <v>45897</v>
      </c>
      <c r="V146">
        <v>45899</v>
      </c>
      <c r="W146" t="s">
        <v>231</v>
      </c>
      <c r="Y146" t="s">
        <v>740</v>
      </c>
      <c r="Z146">
        <v>45899</v>
      </c>
    </row>
    <row r="147" spans="1:26">
      <c r="A147">
        <v>4</v>
      </c>
      <c r="B147" t="s">
        <v>5</v>
      </c>
      <c r="C147">
        <v>45890</v>
      </c>
      <c r="D147">
        <v>45904</v>
      </c>
      <c r="E147" t="s">
        <v>145</v>
      </c>
      <c r="F147" t="s">
        <v>919</v>
      </c>
      <c r="G147" t="s">
        <v>920</v>
      </c>
      <c r="H147" t="s">
        <v>921</v>
      </c>
      <c r="I147" t="s">
        <v>13</v>
      </c>
      <c r="J147">
        <v>3</v>
      </c>
      <c r="K147">
        <v>3</v>
      </c>
      <c r="O147" t="s">
        <v>917</v>
      </c>
      <c r="P147" t="s">
        <v>304</v>
      </c>
      <c r="R147" t="s">
        <v>268</v>
      </c>
      <c r="T147" t="s">
        <v>918</v>
      </c>
      <c r="U147">
        <v>45897</v>
      </c>
      <c r="V147">
        <v>45899</v>
      </c>
      <c r="W147" t="s">
        <v>231</v>
      </c>
      <c r="Y147" t="s">
        <v>922</v>
      </c>
      <c r="Z147">
        <v>45899</v>
      </c>
    </row>
    <row r="148" spans="1:26">
      <c r="A148">
        <v>5</v>
      </c>
      <c r="B148" t="s">
        <v>5</v>
      </c>
      <c r="C148">
        <v>45890</v>
      </c>
      <c r="D148">
        <v>45904</v>
      </c>
      <c r="E148" t="s">
        <v>923</v>
      </c>
      <c r="F148" t="s">
        <v>268</v>
      </c>
      <c r="G148" t="s">
        <v>885</v>
      </c>
      <c r="H148" t="s">
        <v>886</v>
      </c>
      <c r="I148" t="s">
        <v>271</v>
      </c>
      <c r="J148">
        <v>3</v>
      </c>
      <c r="K148">
        <v>2</v>
      </c>
      <c r="O148" t="s">
        <v>268</v>
      </c>
      <c r="P148" t="s">
        <v>304</v>
      </c>
      <c r="R148" t="s">
        <v>735</v>
      </c>
    </row>
    <row r="149" spans="1:26">
      <c r="A149">
        <v>6</v>
      </c>
      <c r="B149" t="s">
        <v>5</v>
      </c>
      <c r="C149">
        <v>45890</v>
      </c>
      <c r="D149">
        <v>45904</v>
      </c>
      <c r="E149" t="s">
        <v>923</v>
      </c>
      <c r="F149" t="s">
        <v>231</v>
      </c>
      <c r="G149" t="s">
        <v>924</v>
      </c>
      <c r="H149" t="s">
        <v>925</v>
      </c>
      <c r="I149" t="s">
        <v>13</v>
      </c>
      <c r="J149">
        <v>2</v>
      </c>
      <c r="K149">
        <v>2</v>
      </c>
      <c r="O149" t="s">
        <v>231</v>
      </c>
      <c r="P149" t="s">
        <v>304</v>
      </c>
      <c r="R149" t="s">
        <v>268</v>
      </c>
      <c r="T149" t="s">
        <v>926</v>
      </c>
      <c r="U149">
        <v>45903</v>
      </c>
      <c r="V149" t="s">
        <v>93</v>
      </c>
      <c r="W149" t="s">
        <v>93</v>
      </c>
      <c r="Y149" t="s">
        <v>867</v>
      </c>
      <c r="Z149">
        <v>45903</v>
      </c>
    </row>
    <row r="150" spans="1:26">
      <c r="A150">
        <v>7</v>
      </c>
      <c r="B150" t="s">
        <v>5</v>
      </c>
      <c r="C150">
        <v>45890</v>
      </c>
      <c r="D150">
        <v>45904</v>
      </c>
      <c r="E150" t="s">
        <v>145</v>
      </c>
      <c r="F150" t="s">
        <v>231</v>
      </c>
      <c r="G150" t="s">
        <v>928</v>
      </c>
      <c r="H150" t="s">
        <v>929</v>
      </c>
      <c r="I150" t="s">
        <v>13</v>
      </c>
      <c r="J150" t="s">
        <v>93</v>
      </c>
      <c r="K150" t="s">
        <v>93</v>
      </c>
      <c r="T150" t="s">
        <v>930</v>
      </c>
      <c r="U150" t="s">
        <v>93</v>
      </c>
      <c r="V150" t="s">
        <v>93</v>
      </c>
      <c r="W150" t="s">
        <v>93</v>
      </c>
      <c r="Y150" t="s">
        <v>867</v>
      </c>
      <c r="Z150">
        <v>45896</v>
      </c>
    </row>
    <row r="151" spans="1:26">
      <c r="A151">
        <v>8</v>
      </c>
      <c r="B151" t="s">
        <v>5</v>
      </c>
      <c r="C151">
        <v>45890</v>
      </c>
      <c r="D151">
        <v>45904</v>
      </c>
      <c r="E151" t="s">
        <v>145</v>
      </c>
      <c r="F151" t="s">
        <v>231</v>
      </c>
      <c r="G151" t="s">
        <v>932</v>
      </c>
      <c r="H151" t="s">
        <v>933</v>
      </c>
      <c r="I151" t="s">
        <v>13</v>
      </c>
      <c r="J151" t="s">
        <v>93</v>
      </c>
      <c r="K151" t="s">
        <v>93</v>
      </c>
      <c r="M151">
        <v>45902</v>
      </c>
      <c r="N151">
        <v>45902</v>
      </c>
      <c r="Y151" t="s">
        <v>867</v>
      </c>
      <c r="Z151">
        <v>45895</v>
      </c>
    </row>
    <row r="152" spans="1:26">
      <c r="A152">
        <v>9</v>
      </c>
      <c r="B152" t="s">
        <v>5</v>
      </c>
      <c r="C152">
        <v>45890</v>
      </c>
      <c r="D152">
        <v>45904</v>
      </c>
      <c r="E152" t="s">
        <v>145</v>
      </c>
      <c r="F152" t="s">
        <v>889</v>
      </c>
      <c r="G152" t="s">
        <v>890</v>
      </c>
      <c r="H152" t="s">
        <v>891</v>
      </c>
      <c r="I152" t="s">
        <v>271</v>
      </c>
      <c r="J152">
        <v>5</v>
      </c>
    </row>
    <row r="153" spans="1:26">
      <c r="A153">
        <v>1</v>
      </c>
      <c r="B153" t="s">
        <v>5</v>
      </c>
      <c r="C153">
        <v>45904</v>
      </c>
      <c r="D153">
        <v>45918</v>
      </c>
      <c r="E153" t="s">
        <v>150</v>
      </c>
      <c r="F153" t="s">
        <v>268</v>
      </c>
      <c r="G153" t="s">
        <v>885</v>
      </c>
      <c r="H153" t="s">
        <v>886</v>
      </c>
      <c r="I153" t="s">
        <v>13</v>
      </c>
      <c r="J153">
        <v>1</v>
      </c>
      <c r="K153">
        <v>2</v>
      </c>
      <c r="M153">
        <v>45905</v>
      </c>
      <c r="O153" t="s">
        <v>268</v>
      </c>
      <c r="P153" t="s">
        <v>304</v>
      </c>
      <c r="R153" t="s">
        <v>735</v>
      </c>
      <c r="T153" t="s">
        <v>887</v>
      </c>
      <c r="U153">
        <v>45905</v>
      </c>
      <c r="V153">
        <v>45905</v>
      </c>
      <c r="W153" t="s">
        <v>231</v>
      </c>
      <c r="Y153" t="s">
        <v>306</v>
      </c>
      <c r="Z153">
        <v>45906</v>
      </c>
    </row>
    <row r="154" spans="1:26">
      <c r="A154">
        <v>2</v>
      </c>
      <c r="B154" t="s">
        <v>5</v>
      </c>
      <c r="C154">
        <v>45904</v>
      </c>
      <c r="D154">
        <v>45918</v>
      </c>
      <c r="E154" t="s">
        <v>150</v>
      </c>
      <c r="F154" t="s">
        <v>889</v>
      </c>
      <c r="G154" t="s">
        <v>890</v>
      </c>
      <c r="H154" t="s">
        <v>891</v>
      </c>
      <c r="I154" t="s">
        <v>13</v>
      </c>
      <c r="J154">
        <v>5</v>
      </c>
      <c r="K154">
        <v>5</v>
      </c>
      <c r="M154">
        <v>45905</v>
      </c>
      <c r="O154" t="s">
        <v>281</v>
      </c>
      <c r="P154" t="s">
        <v>304</v>
      </c>
      <c r="R154" t="s">
        <v>268</v>
      </c>
      <c r="T154" t="s">
        <v>892</v>
      </c>
      <c r="U154">
        <v>45916</v>
      </c>
      <c r="V154">
        <v>45916</v>
      </c>
      <c r="W154" t="s">
        <v>231</v>
      </c>
      <c r="Y154" t="s">
        <v>893</v>
      </c>
      <c r="Z154">
        <v>45916</v>
      </c>
    </row>
    <row r="155" spans="1:26">
      <c r="A155">
        <v>3</v>
      </c>
      <c r="B155" t="s">
        <v>5</v>
      </c>
      <c r="C155">
        <v>45904</v>
      </c>
      <c r="D155">
        <v>45918</v>
      </c>
      <c r="E155" t="s">
        <v>150</v>
      </c>
      <c r="F155" t="s">
        <v>268</v>
      </c>
      <c r="G155" t="s">
        <v>894</v>
      </c>
      <c r="H155" t="s">
        <v>895</v>
      </c>
      <c r="I155" t="s">
        <v>13</v>
      </c>
      <c r="J155">
        <v>3</v>
      </c>
      <c r="K155">
        <v>3</v>
      </c>
      <c r="M155">
        <v>45905</v>
      </c>
      <c r="O155" t="s">
        <v>268</v>
      </c>
      <c r="P155" t="s">
        <v>304</v>
      </c>
      <c r="R155" t="s">
        <v>735</v>
      </c>
      <c r="T155" t="s">
        <v>896</v>
      </c>
      <c r="U155">
        <v>45910</v>
      </c>
      <c r="V155">
        <v>45910</v>
      </c>
      <c r="W155" t="s">
        <v>231</v>
      </c>
      <c r="Y155" t="s">
        <v>306</v>
      </c>
      <c r="Z155">
        <v>45911</v>
      </c>
    </row>
    <row r="156" spans="1:26">
      <c r="A156">
        <v>4</v>
      </c>
      <c r="B156" t="s">
        <v>5</v>
      </c>
      <c r="C156">
        <v>45904</v>
      </c>
      <c r="D156">
        <v>45918</v>
      </c>
      <c r="E156" t="s">
        <v>150</v>
      </c>
      <c r="F156" t="s">
        <v>506</v>
      </c>
      <c r="G156" t="s">
        <v>857</v>
      </c>
      <c r="H156" t="s">
        <v>858</v>
      </c>
      <c r="I156" t="s">
        <v>271</v>
      </c>
      <c r="J156">
        <v>3</v>
      </c>
      <c r="M156">
        <v>45905</v>
      </c>
    </row>
    <row r="157" spans="1:26">
      <c r="A157">
        <v>5</v>
      </c>
      <c r="B157" t="s">
        <v>5</v>
      </c>
      <c r="C157">
        <v>45904</v>
      </c>
      <c r="D157">
        <v>45918</v>
      </c>
      <c r="E157" t="s">
        <v>150</v>
      </c>
      <c r="F157" t="s">
        <v>231</v>
      </c>
      <c r="G157" t="s">
        <v>897</v>
      </c>
      <c r="H157" t="s">
        <v>898</v>
      </c>
      <c r="I157" t="s">
        <v>13</v>
      </c>
      <c r="J157">
        <v>2</v>
      </c>
      <c r="K157">
        <v>2</v>
      </c>
      <c r="M157">
        <v>45905</v>
      </c>
      <c r="O157" t="s">
        <v>231</v>
      </c>
      <c r="P157" t="s">
        <v>304</v>
      </c>
      <c r="T157" t="s">
        <v>899</v>
      </c>
      <c r="U157">
        <v>45909</v>
      </c>
      <c r="V157">
        <v>45909</v>
      </c>
      <c r="Y157" t="s">
        <v>306</v>
      </c>
      <c r="Z157">
        <v>45909</v>
      </c>
    </row>
    <row r="158" spans="1:26">
      <c r="A158">
        <v>1</v>
      </c>
      <c r="B158" t="s">
        <v>5</v>
      </c>
      <c r="C158">
        <v>45918</v>
      </c>
      <c r="D158">
        <v>45932</v>
      </c>
      <c r="E158" t="s">
        <v>155</v>
      </c>
      <c r="F158" t="s">
        <v>834</v>
      </c>
      <c r="G158" t="s">
        <v>857</v>
      </c>
      <c r="H158" t="s">
        <v>858</v>
      </c>
      <c r="I158" t="s">
        <v>13</v>
      </c>
      <c r="J158">
        <v>3</v>
      </c>
      <c r="L158">
        <v>106</v>
      </c>
      <c r="M158">
        <v>45905</v>
      </c>
      <c r="N158">
        <v>45929</v>
      </c>
      <c r="O158" t="s">
        <v>281</v>
      </c>
      <c r="P158" t="s">
        <v>304</v>
      </c>
      <c r="R158" t="s">
        <v>268</v>
      </c>
      <c r="T158" t="s">
        <v>859</v>
      </c>
      <c r="U158">
        <v>45925</v>
      </c>
      <c r="V158">
        <v>45927</v>
      </c>
      <c r="W158" t="s">
        <v>231</v>
      </c>
      <c r="Y158" t="s">
        <v>306</v>
      </c>
      <c r="Z158">
        <v>45927</v>
      </c>
    </row>
    <row r="159" spans="1:26">
      <c r="A159">
        <v>2</v>
      </c>
      <c r="B159" t="s">
        <v>5</v>
      </c>
      <c r="C159">
        <v>45918</v>
      </c>
      <c r="D159">
        <v>45932</v>
      </c>
      <c r="E159" t="s">
        <v>155</v>
      </c>
      <c r="F159" t="s">
        <v>268</v>
      </c>
      <c r="G159" t="s">
        <v>861</v>
      </c>
      <c r="H159" t="s">
        <v>862</v>
      </c>
      <c r="I159" t="s">
        <v>13</v>
      </c>
      <c r="J159">
        <v>2</v>
      </c>
      <c r="L159">
        <v>18</v>
      </c>
      <c r="M159">
        <v>45922</v>
      </c>
      <c r="N159">
        <v>45924</v>
      </c>
      <c r="O159" t="s">
        <v>268</v>
      </c>
      <c r="P159" t="s">
        <v>304</v>
      </c>
      <c r="R159" t="s">
        <v>281</v>
      </c>
      <c r="T159" t="s">
        <v>863</v>
      </c>
      <c r="U159">
        <v>45923</v>
      </c>
      <c r="V159">
        <v>45924</v>
      </c>
      <c r="W159" t="s">
        <v>231</v>
      </c>
      <c r="Y159" t="s">
        <v>740</v>
      </c>
      <c r="Z159">
        <v>45924</v>
      </c>
    </row>
    <row r="160" spans="1:26">
      <c r="A160">
        <v>3</v>
      </c>
      <c r="B160" t="s">
        <v>5</v>
      </c>
      <c r="C160">
        <v>45918</v>
      </c>
      <c r="D160">
        <v>45932</v>
      </c>
      <c r="E160" t="s">
        <v>155</v>
      </c>
      <c r="F160" t="s">
        <v>840</v>
      </c>
      <c r="G160" t="s">
        <v>864</v>
      </c>
      <c r="H160" t="s">
        <v>865</v>
      </c>
      <c r="I160" t="s">
        <v>13</v>
      </c>
      <c r="J160">
        <v>2</v>
      </c>
      <c r="L160">
        <v>8</v>
      </c>
      <c r="M160">
        <v>45919</v>
      </c>
      <c r="O160" t="s">
        <v>840</v>
      </c>
      <c r="P160" t="s">
        <v>304</v>
      </c>
      <c r="R160" t="s">
        <v>281</v>
      </c>
      <c r="T160" t="s">
        <v>866</v>
      </c>
      <c r="U160">
        <v>45922</v>
      </c>
      <c r="V160">
        <v>45922</v>
      </c>
      <c r="W160" t="s">
        <v>231</v>
      </c>
      <c r="Y160" t="s">
        <v>867</v>
      </c>
      <c r="Z160">
        <v>45922</v>
      </c>
    </row>
    <row r="161" spans="1:26">
      <c r="A161">
        <v>4</v>
      </c>
      <c r="B161" t="s">
        <v>5</v>
      </c>
      <c r="C161">
        <v>45918</v>
      </c>
      <c r="D161">
        <v>45932</v>
      </c>
      <c r="E161" t="s">
        <v>155</v>
      </c>
      <c r="F161" t="s">
        <v>231</v>
      </c>
      <c r="G161" t="s">
        <v>868</v>
      </c>
      <c r="H161" t="s">
        <v>869</v>
      </c>
      <c r="I161" t="s">
        <v>13</v>
      </c>
      <c r="J161">
        <v>3</v>
      </c>
      <c r="L161">
        <v>9</v>
      </c>
      <c r="M161">
        <v>45919</v>
      </c>
      <c r="O161" t="s">
        <v>231</v>
      </c>
      <c r="P161" t="s">
        <v>304</v>
      </c>
      <c r="R161" t="s">
        <v>281</v>
      </c>
      <c r="T161" t="s">
        <v>870</v>
      </c>
      <c r="U161">
        <v>45922</v>
      </c>
      <c r="V161">
        <v>45923</v>
      </c>
      <c r="W161" t="s">
        <v>231</v>
      </c>
      <c r="Y161" t="s">
        <v>867</v>
      </c>
      <c r="Z161">
        <v>45923</v>
      </c>
    </row>
    <row r="162" spans="1:26">
      <c r="A162">
        <v>5</v>
      </c>
      <c r="B162" t="s">
        <v>5</v>
      </c>
      <c r="C162">
        <v>45918</v>
      </c>
      <c r="D162">
        <v>45932</v>
      </c>
      <c r="E162" t="s">
        <v>155</v>
      </c>
      <c r="F162" t="s">
        <v>871</v>
      </c>
      <c r="G162" t="s">
        <v>872</v>
      </c>
      <c r="H162" t="s">
        <v>873</v>
      </c>
      <c r="I162" t="s">
        <v>13</v>
      </c>
      <c r="J162">
        <v>2</v>
      </c>
      <c r="L162">
        <v>13</v>
      </c>
      <c r="M162">
        <v>45923</v>
      </c>
      <c r="N162">
        <v>45926</v>
      </c>
      <c r="O162" t="s">
        <v>268</v>
      </c>
      <c r="P162" t="s">
        <v>304</v>
      </c>
      <c r="R162" t="s">
        <v>281</v>
      </c>
      <c r="T162" t="s">
        <v>874</v>
      </c>
      <c r="U162">
        <v>45925</v>
      </c>
      <c r="V162">
        <v>45925</v>
      </c>
      <c r="W162" t="s">
        <v>231</v>
      </c>
      <c r="Y162" t="s">
        <v>867</v>
      </c>
      <c r="Z162">
        <v>45926</v>
      </c>
    </row>
    <row r="163" spans="1:26">
      <c r="A163">
        <v>6</v>
      </c>
      <c r="B163" t="s">
        <v>5</v>
      </c>
      <c r="C163">
        <v>45918</v>
      </c>
      <c r="D163">
        <v>45932</v>
      </c>
      <c r="E163" t="s">
        <v>155</v>
      </c>
      <c r="F163" t="s">
        <v>875</v>
      </c>
      <c r="G163" t="s">
        <v>876</v>
      </c>
      <c r="H163" t="s">
        <v>877</v>
      </c>
      <c r="I163" t="s">
        <v>13</v>
      </c>
      <c r="J163">
        <v>2</v>
      </c>
      <c r="L163">
        <v>17.5</v>
      </c>
      <c r="M163">
        <v>45923</v>
      </c>
      <c r="O163" t="s">
        <v>281</v>
      </c>
      <c r="P163" t="s">
        <v>304</v>
      </c>
      <c r="R163" t="s">
        <v>231</v>
      </c>
      <c r="T163" t="s">
        <v>878</v>
      </c>
      <c r="U163">
        <v>45926</v>
      </c>
      <c r="V163">
        <v>45926</v>
      </c>
      <c r="W163" t="s">
        <v>231</v>
      </c>
      <c r="Y163" t="s">
        <v>306</v>
      </c>
      <c r="Z163">
        <v>45926</v>
      </c>
    </row>
    <row r="164" spans="1:26">
      <c r="A164">
        <v>7</v>
      </c>
      <c r="B164" t="s">
        <v>5</v>
      </c>
      <c r="C164">
        <v>45918</v>
      </c>
      <c r="D164">
        <v>45932</v>
      </c>
      <c r="E164" t="s">
        <v>155</v>
      </c>
      <c r="F164" t="s">
        <v>481</v>
      </c>
      <c r="G164" t="s">
        <v>879</v>
      </c>
      <c r="H164" t="s">
        <v>880</v>
      </c>
      <c r="I164" t="s">
        <v>13</v>
      </c>
      <c r="J164">
        <v>1</v>
      </c>
      <c r="L164">
        <v>11</v>
      </c>
      <c r="M164">
        <v>45929</v>
      </c>
      <c r="O164" t="s">
        <v>268</v>
      </c>
      <c r="P164" t="s">
        <v>231</v>
      </c>
      <c r="R164" t="s">
        <v>231</v>
      </c>
      <c r="T164" t="s">
        <v>93</v>
      </c>
      <c r="U164" t="s">
        <v>93</v>
      </c>
      <c r="V164" t="s">
        <v>93</v>
      </c>
      <c r="W164" t="s">
        <v>93</v>
      </c>
      <c r="Y164" t="s">
        <v>93</v>
      </c>
      <c r="Z164" t="s">
        <v>93</v>
      </c>
    </row>
    <row r="165" spans="1:26">
      <c r="A165">
        <v>8</v>
      </c>
      <c r="B165" t="s">
        <v>5</v>
      </c>
      <c r="C165">
        <v>45918</v>
      </c>
      <c r="D165">
        <v>45932</v>
      </c>
      <c r="E165" t="s">
        <v>155</v>
      </c>
      <c r="F165" t="s">
        <v>837</v>
      </c>
      <c r="G165" t="s">
        <v>838</v>
      </c>
      <c r="H165" t="s">
        <v>881</v>
      </c>
      <c r="I165" t="s">
        <v>271</v>
      </c>
      <c r="J165">
        <v>2</v>
      </c>
      <c r="L165">
        <v>5</v>
      </c>
      <c r="M165">
        <v>45929</v>
      </c>
    </row>
    <row r="166" spans="1:26">
      <c r="A166">
        <v>1</v>
      </c>
      <c r="B166" t="s">
        <v>5</v>
      </c>
      <c r="C166">
        <v>45933</v>
      </c>
      <c r="D166">
        <v>45946</v>
      </c>
      <c r="E166" t="s">
        <v>159</v>
      </c>
      <c r="F166" t="s">
        <v>837</v>
      </c>
      <c r="G166" t="s">
        <v>838</v>
      </c>
      <c r="H166" t="s">
        <v>839</v>
      </c>
      <c r="I166" t="s">
        <v>13</v>
      </c>
      <c r="J166">
        <v>2</v>
      </c>
      <c r="L166">
        <v>32</v>
      </c>
      <c r="M166">
        <v>45933</v>
      </c>
      <c r="O166" t="s">
        <v>281</v>
      </c>
      <c r="P166" t="s">
        <v>304</v>
      </c>
      <c r="R166" t="s">
        <v>840</v>
      </c>
      <c r="T166" t="s">
        <v>841</v>
      </c>
      <c r="U166">
        <v>45941</v>
      </c>
      <c r="V166">
        <v>45941</v>
      </c>
      <c r="W166" t="s">
        <v>231</v>
      </c>
      <c r="Y166" t="s">
        <v>842</v>
      </c>
      <c r="Z166">
        <v>45943</v>
      </c>
    </row>
    <row r="167" spans="1:26">
      <c r="A167">
        <v>2</v>
      </c>
      <c r="B167" t="s">
        <v>5</v>
      </c>
      <c r="C167">
        <v>45933</v>
      </c>
      <c r="D167">
        <v>45946</v>
      </c>
      <c r="E167" t="s">
        <v>159</v>
      </c>
      <c r="F167" t="s">
        <v>268</v>
      </c>
      <c r="G167" t="s">
        <v>844</v>
      </c>
      <c r="H167" t="s">
        <v>845</v>
      </c>
      <c r="I167" t="s">
        <v>13</v>
      </c>
      <c r="J167">
        <v>2</v>
      </c>
      <c r="L167">
        <v>13</v>
      </c>
      <c r="M167">
        <v>45933</v>
      </c>
      <c r="O167" t="s">
        <v>268</v>
      </c>
      <c r="P167" t="s">
        <v>304</v>
      </c>
      <c r="R167" t="s">
        <v>281</v>
      </c>
      <c r="T167" t="s">
        <v>846</v>
      </c>
      <c r="U167">
        <v>45936</v>
      </c>
      <c r="V167">
        <v>45937</v>
      </c>
      <c r="W167" t="s">
        <v>231</v>
      </c>
      <c r="Y167" t="s">
        <v>842</v>
      </c>
      <c r="Z167">
        <v>45937</v>
      </c>
    </row>
    <row r="168" spans="1:26">
      <c r="A168">
        <v>3</v>
      </c>
      <c r="B168" t="s">
        <v>5</v>
      </c>
      <c r="C168">
        <v>45933</v>
      </c>
      <c r="D168">
        <v>45946</v>
      </c>
      <c r="E168" t="s">
        <v>159</v>
      </c>
      <c r="F168" t="s">
        <v>837</v>
      </c>
      <c r="G168" t="s">
        <v>847</v>
      </c>
      <c r="H168" t="s">
        <v>848</v>
      </c>
      <c r="I168" t="s">
        <v>13</v>
      </c>
      <c r="J168">
        <v>5</v>
      </c>
      <c r="L168">
        <v>36</v>
      </c>
      <c r="M168">
        <v>45933</v>
      </c>
      <c r="O168" t="s">
        <v>281</v>
      </c>
      <c r="P168" t="s">
        <v>304</v>
      </c>
      <c r="R168" t="s">
        <v>840</v>
      </c>
      <c r="T168" t="s">
        <v>849</v>
      </c>
      <c r="U168">
        <v>45944</v>
      </c>
      <c r="V168">
        <v>45945</v>
      </c>
      <c r="W168" t="s">
        <v>231</v>
      </c>
      <c r="Y168" t="s">
        <v>842</v>
      </c>
      <c r="Z168">
        <v>45945</v>
      </c>
    </row>
    <row r="169" spans="1:26">
      <c r="A169">
        <v>4</v>
      </c>
      <c r="B169" t="s">
        <v>5</v>
      </c>
      <c r="C169">
        <v>45933</v>
      </c>
      <c r="D169">
        <v>45946</v>
      </c>
      <c r="E169" t="s">
        <v>159</v>
      </c>
      <c r="F169" t="s">
        <v>231</v>
      </c>
      <c r="G169" t="s">
        <v>850</v>
      </c>
      <c r="H169" t="s">
        <v>851</v>
      </c>
      <c r="I169" t="s">
        <v>13</v>
      </c>
      <c r="J169">
        <v>1</v>
      </c>
      <c r="L169">
        <v>3</v>
      </c>
      <c r="M169">
        <v>45933</v>
      </c>
      <c r="O169" t="s">
        <v>231</v>
      </c>
      <c r="P169" t="s">
        <v>304</v>
      </c>
      <c r="R169" t="s">
        <v>268</v>
      </c>
      <c r="T169" t="s">
        <v>852</v>
      </c>
      <c r="U169">
        <v>45933</v>
      </c>
      <c r="V169">
        <v>45933</v>
      </c>
      <c r="W169" t="s">
        <v>93</v>
      </c>
      <c r="Y169" t="s">
        <v>842</v>
      </c>
      <c r="Z169">
        <v>45933</v>
      </c>
    </row>
    <row r="170" spans="1:26">
      <c r="A170">
        <v>5</v>
      </c>
      <c r="B170" t="s">
        <v>5</v>
      </c>
      <c r="C170">
        <v>45933</v>
      </c>
      <c r="D170">
        <v>45946</v>
      </c>
      <c r="E170" t="s">
        <v>159</v>
      </c>
      <c r="F170" t="s">
        <v>534</v>
      </c>
      <c r="G170" t="s">
        <v>853</v>
      </c>
      <c r="H170" t="s">
        <v>854</v>
      </c>
      <c r="I170" t="s">
        <v>13</v>
      </c>
      <c r="J170">
        <v>3</v>
      </c>
      <c r="L170">
        <v>43.5</v>
      </c>
      <c r="M170">
        <v>45933</v>
      </c>
      <c r="O170" t="s">
        <v>93</v>
      </c>
      <c r="P170" t="s">
        <v>93</v>
      </c>
      <c r="R170" t="s">
        <v>93</v>
      </c>
      <c r="T170" t="s">
        <v>93</v>
      </c>
      <c r="U170" t="s">
        <v>93</v>
      </c>
      <c r="V170" t="s">
        <v>93</v>
      </c>
      <c r="W170" t="s">
        <v>93</v>
      </c>
      <c r="Y170" t="s">
        <v>93</v>
      </c>
      <c r="Z170" t="s">
        <v>93</v>
      </c>
    </row>
    <row r="171" spans="1:26">
      <c r="A171">
        <v>1</v>
      </c>
      <c r="B171" t="s">
        <v>5</v>
      </c>
      <c r="C171">
        <v>45946</v>
      </c>
      <c r="D171">
        <v>45960</v>
      </c>
      <c r="E171" t="s">
        <v>163</v>
      </c>
      <c r="F171" t="s">
        <v>268</v>
      </c>
      <c r="G171" t="s">
        <v>819</v>
      </c>
      <c r="H171" t="s">
        <v>820</v>
      </c>
      <c r="I171" t="s">
        <v>13</v>
      </c>
      <c r="J171">
        <v>3</v>
      </c>
      <c r="M171">
        <v>45947</v>
      </c>
      <c r="O171" t="s">
        <v>268</v>
      </c>
      <c r="P171" t="s">
        <v>304</v>
      </c>
      <c r="R171" t="s">
        <v>281</v>
      </c>
      <c r="T171" t="s">
        <v>821</v>
      </c>
      <c r="U171">
        <v>45953</v>
      </c>
      <c r="V171">
        <v>45953</v>
      </c>
      <c r="W171" t="s">
        <v>231</v>
      </c>
      <c r="Y171" t="s">
        <v>306</v>
      </c>
      <c r="Z171">
        <v>45953</v>
      </c>
    </row>
    <row r="172" spans="1:26">
      <c r="A172">
        <v>2</v>
      </c>
      <c r="B172" t="s">
        <v>5</v>
      </c>
      <c r="C172">
        <v>45946</v>
      </c>
      <c r="D172">
        <v>45960</v>
      </c>
      <c r="E172" t="s">
        <v>163</v>
      </c>
      <c r="F172" t="s">
        <v>231</v>
      </c>
      <c r="G172" t="s">
        <v>823</v>
      </c>
      <c r="H172" t="s">
        <v>824</v>
      </c>
      <c r="I172" t="s">
        <v>13</v>
      </c>
      <c r="J172">
        <v>3</v>
      </c>
      <c r="L172">
        <v>9</v>
      </c>
      <c r="M172">
        <v>45947</v>
      </c>
      <c r="T172" t="s">
        <v>93</v>
      </c>
      <c r="U172" t="s">
        <v>93</v>
      </c>
      <c r="V172" t="s">
        <v>93</v>
      </c>
      <c r="W172" t="s">
        <v>93</v>
      </c>
      <c r="Y172" t="s">
        <v>93</v>
      </c>
      <c r="Z172" t="s">
        <v>93</v>
      </c>
    </row>
    <row r="173" spans="1:26">
      <c r="A173">
        <v>3</v>
      </c>
      <c r="B173" t="s">
        <v>5</v>
      </c>
      <c r="C173">
        <v>45946</v>
      </c>
      <c r="D173">
        <v>45960</v>
      </c>
      <c r="E173" t="s">
        <v>163</v>
      </c>
      <c r="F173" t="s">
        <v>231</v>
      </c>
      <c r="G173" t="s">
        <v>825</v>
      </c>
      <c r="H173" t="s">
        <v>826</v>
      </c>
      <c r="I173" t="s">
        <v>13</v>
      </c>
      <c r="J173">
        <v>3</v>
      </c>
      <c r="M173">
        <v>45947</v>
      </c>
      <c r="O173" t="s">
        <v>231</v>
      </c>
      <c r="P173" t="s">
        <v>304</v>
      </c>
      <c r="T173" t="s">
        <v>827</v>
      </c>
      <c r="U173">
        <v>45955</v>
      </c>
      <c r="V173">
        <v>45955</v>
      </c>
      <c r="W173" t="s">
        <v>231</v>
      </c>
      <c r="Y173" t="s">
        <v>306</v>
      </c>
      <c r="Z173">
        <v>45957</v>
      </c>
    </row>
    <row r="174" spans="1:26">
      <c r="A174">
        <v>4</v>
      </c>
      <c r="B174" t="s">
        <v>5</v>
      </c>
      <c r="C174">
        <v>45946</v>
      </c>
      <c r="D174">
        <v>45960</v>
      </c>
      <c r="E174" t="s">
        <v>163</v>
      </c>
      <c r="F174" t="s">
        <v>281</v>
      </c>
      <c r="G174" t="s">
        <v>790</v>
      </c>
      <c r="H174" t="s">
        <v>791</v>
      </c>
      <c r="I174" t="s">
        <v>13</v>
      </c>
      <c r="J174">
        <v>5</v>
      </c>
      <c r="M174">
        <v>45947</v>
      </c>
    </row>
    <row r="175" spans="1:26">
      <c r="A175">
        <v>1</v>
      </c>
      <c r="B175" t="s">
        <v>5</v>
      </c>
      <c r="C175">
        <v>45960</v>
      </c>
      <c r="D175">
        <v>45974</v>
      </c>
      <c r="E175" t="s">
        <v>167</v>
      </c>
      <c r="F175" t="s">
        <v>716</v>
      </c>
      <c r="G175" t="s">
        <v>790</v>
      </c>
      <c r="H175" t="s">
        <v>791</v>
      </c>
      <c r="I175" t="s">
        <v>13</v>
      </c>
      <c r="J175">
        <v>5</v>
      </c>
      <c r="L175">
        <v>52</v>
      </c>
      <c r="M175">
        <v>45961</v>
      </c>
      <c r="N175">
        <v>45971</v>
      </c>
      <c r="O175" t="s">
        <v>281</v>
      </c>
      <c r="P175" t="s">
        <v>304</v>
      </c>
      <c r="R175" t="s">
        <v>268</v>
      </c>
      <c r="T175" t="s">
        <v>792</v>
      </c>
      <c r="U175">
        <v>45958</v>
      </c>
      <c r="V175">
        <v>45968</v>
      </c>
      <c r="W175" t="s">
        <v>231</v>
      </c>
      <c r="Y175" t="s">
        <v>306</v>
      </c>
      <c r="Z175">
        <v>45968</v>
      </c>
    </row>
    <row r="176" spans="1:26">
      <c r="A176">
        <v>2</v>
      </c>
      <c r="B176" t="s">
        <v>5</v>
      </c>
      <c r="C176">
        <v>45960</v>
      </c>
      <c r="D176">
        <v>45974</v>
      </c>
      <c r="E176" t="s">
        <v>167</v>
      </c>
      <c r="F176" t="s">
        <v>231</v>
      </c>
      <c r="G176" t="s">
        <v>793</v>
      </c>
      <c r="H176" t="s">
        <v>794</v>
      </c>
      <c r="I176" t="s">
        <v>13</v>
      </c>
      <c r="J176">
        <v>3</v>
      </c>
      <c r="L176">
        <v>22</v>
      </c>
      <c r="M176">
        <v>45961</v>
      </c>
      <c r="N176">
        <v>45965</v>
      </c>
      <c r="O176" t="s">
        <v>231</v>
      </c>
      <c r="P176" t="s">
        <v>304</v>
      </c>
      <c r="R176" t="s">
        <v>735</v>
      </c>
      <c r="T176" t="s">
        <v>795</v>
      </c>
      <c r="U176">
        <v>45965</v>
      </c>
      <c r="V176">
        <v>45965</v>
      </c>
      <c r="W176" t="s">
        <v>268</v>
      </c>
      <c r="Y176" t="s">
        <v>306</v>
      </c>
      <c r="Z176">
        <v>45965</v>
      </c>
    </row>
    <row r="177" spans="1:27">
      <c r="A177">
        <v>3</v>
      </c>
      <c r="B177" t="s">
        <v>5</v>
      </c>
      <c r="C177">
        <v>45960</v>
      </c>
      <c r="D177">
        <v>45974</v>
      </c>
      <c r="E177" t="s">
        <v>167</v>
      </c>
      <c r="F177" t="s">
        <v>231</v>
      </c>
      <c r="G177" t="s">
        <v>796</v>
      </c>
      <c r="H177" t="s">
        <v>797</v>
      </c>
      <c r="I177" t="s">
        <v>13</v>
      </c>
      <c r="J177">
        <v>3</v>
      </c>
      <c r="L177">
        <v>19</v>
      </c>
      <c r="M177">
        <v>45961</v>
      </c>
      <c r="N177">
        <v>45961</v>
      </c>
      <c r="O177" t="s">
        <v>231</v>
      </c>
      <c r="P177" t="s">
        <v>304</v>
      </c>
      <c r="R177" t="s">
        <v>735</v>
      </c>
      <c r="T177" t="s">
        <v>798</v>
      </c>
      <c r="U177">
        <v>45961</v>
      </c>
      <c r="V177">
        <v>45961</v>
      </c>
      <c r="W177" t="s">
        <v>735</v>
      </c>
      <c r="Y177" t="s">
        <v>306</v>
      </c>
      <c r="Z177">
        <v>45961</v>
      </c>
    </row>
    <row r="178" spans="1:27">
      <c r="A178">
        <v>4</v>
      </c>
      <c r="B178" t="s">
        <v>5</v>
      </c>
      <c r="C178">
        <v>45960</v>
      </c>
      <c r="D178">
        <v>45974</v>
      </c>
      <c r="E178" t="s">
        <v>167</v>
      </c>
      <c r="F178" t="s">
        <v>735</v>
      </c>
      <c r="G178" t="s">
        <v>799</v>
      </c>
      <c r="H178" t="s">
        <v>800</v>
      </c>
      <c r="I178" t="s">
        <v>13</v>
      </c>
      <c r="J178">
        <v>3</v>
      </c>
      <c r="L178">
        <v>16</v>
      </c>
      <c r="M178">
        <v>45967</v>
      </c>
      <c r="N178">
        <v>45971</v>
      </c>
      <c r="O178" t="s">
        <v>735</v>
      </c>
      <c r="P178" t="s">
        <v>304</v>
      </c>
      <c r="R178" t="s">
        <v>231</v>
      </c>
      <c r="T178" t="s">
        <v>801</v>
      </c>
      <c r="U178">
        <v>45968</v>
      </c>
      <c r="V178">
        <v>45968</v>
      </c>
      <c r="W178" t="s">
        <v>231</v>
      </c>
      <c r="Y178" t="s">
        <v>306</v>
      </c>
      <c r="Z178">
        <v>45969</v>
      </c>
    </row>
    <row r="179" spans="1:27">
      <c r="A179">
        <v>5</v>
      </c>
      <c r="B179" t="s">
        <v>5</v>
      </c>
      <c r="C179">
        <v>45960</v>
      </c>
      <c r="D179">
        <v>45974</v>
      </c>
      <c r="E179" t="s">
        <v>167</v>
      </c>
      <c r="F179" t="s">
        <v>268</v>
      </c>
      <c r="G179" t="s">
        <v>802</v>
      </c>
      <c r="H179" t="s">
        <v>803</v>
      </c>
      <c r="I179" t="s">
        <v>13</v>
      </c>
      <c r="J179">
        <v>3</v>
      </c>
      <c r="L179">
        <v>29</v>
      </c>
      <c r="M179">
        <v>45964</v>
      </c>
      <c r="N179">
        <v>45967</v>
      </c>
      <c r="O179" t="s">
        <v>268</v>
      </c>
      <c r="P179" t="s">
        <v>304</v>
      </c>
      <c r="R179" t="s">
        <v>735</v>
      </c>
      <c r="T179" t="s">
        <v>804</v>
      </c>
      <c r="U179">
        <v>45967</v>
      </c>
      <c r="V179">
        <v>45967</v>
      </c>
      <c r="W179" t="s">
        <v>231</v>
      </c>
      <c r="Y179" t="s">
        <v>306</v>
      </c>
      <c r="Z179">
        <v>45968</v>
      </c>
    </row>
    <row r="180" spans="1:27">
      <c r="A180">
        <v>6</v>
      </c>
      <c r="B180" t="s">
        <v>5</v>
      </c>
      <c r="C180">
        <v>45960</v>
      </c>
      <c r="D180">
        <v>45974</v>
      </c>
      <c r="E180" t="s">
        <v>167</v>
      </c>
      <c r="F180" t="s">
        <v>805</v>
      </c>
      <c r="G180" t="s">
        <v>754</v>
      </c>
      <c r="H180" t="s">
        <v>806</v>
      </c>
      <c r="I180" t="s">
        <v>647</v>
      </c>
      <c r="J180">
        <v>5</v>
      </c>
      <c r="L180">
        <v>40</v>
      </c>
      <c r="M180">
        <v>45967</v>
      </c>
      <c r="N180">
        <v>45974</v>
      </c>
      <c r="O180" t="s">
        <v>268</v>
      </c>
      <c r="P180" t="s">
        <v>304</v>
      </c>
      <c r="R180" t="s">
        <v>735</v>
      </c>
      <c r="T180" t="s">
        <v>756</v>
      </c>
      <c r="U180">
        <v>45973</v>
      </c>
      <c r="V180">
        <v>45974</v>
      </c>
      <c r="W180" t="s">
        <v>231</v>
      </c>
      <c r="Y180" t="s">
        <v>306</v>
      </c>
      <c r="Z180">
        <v>45974</v>
      </c>
    </row>
    <row r="181" spans="1:27">
      <c r="A181">
        <v>7</v>
      </c>
      <c r="B181" t="s">
        <v>5</v>
      </c>
      <c r="C181">
        <v>45960</v>
      </c>
      <c r="D181">
        <v>45974</v>
      </c>
      <c r="E181" t="s">
        <v>167</v>
      </c>
      <c r="F181" t="s">
        <v>805</v>
      </c>
      <c r="G181" t="s">
        <v>807</v>
      </c>
      <c r="H181" t="s">
        <v>808</v>
      </c>
      <c r="I181" t="s">
        <v>13</v>
      </c>
      <c r="J181">
        <v>2</v>
      </c>
      <c r="L181">
        <v>4</v>
      </c>
      <c r="M181">
        <v>45972</v>
      </c>
      <c r="N181">
        <v>45974</v>
      </c>
      <c r="O181" t="s">
        <v>231</v>
      </c>
      <c r="P181" t="s">
        <v>304</v>
      </c>
      <c r="R181" t="s">
        <v>268</v>
      </c>
      <c r="T181" t="s">
        <v>809</v>
      </c>
      <c r="U181">
        <v>45972</v>
      </c>
      <c r="V181">
        <v>45972</v>
      </c>
      <c r="W181" t="s">
        <v>231</v>
      </c>
      <c r="Y181" t="s">
        <v>306</v>
      </c>
      <c r="Z181">
        <v>45972</v>
      </c>
    </row>
    <row r="182" spans="1:27">
      <c r="A182">
        <v>8</v>
      </c>
      <c r="B182" t="s">
        <v>5</v>
      </c>
      <c r="C182">
        <v>45960</v>
      </c>
      <c r="D182">
        <v>45974</v>
      </c>
      <c r="E182" t="s">
        <v>167</v>
      </c>
      <c r="F182" t="s">
        <v>805</v>
      </c>
      <c r="G182" t="s">
        <v>810</v>
      </c>
      <c r="H182" t="s">
        <v>811</v>
      </c>
      <c r="I182" t="s">
        <v>13</v>
      </c>
      <c r="J182">
        <v>2</v>
      </c>
      <c r="L182">
        <v>10</v>
      </c>
      <c r="M182">
        <v>45972</v>
      </c>
      <c r="N182">
        <v>45974</v>
      </c>
      <c r="O182" t="s">
        <v>268</v>
      </c>
      <c r="P182" t="s">
        <v>304</v>
      </c>
      <c r="R182" t="s">
        <v>735</v>
      </c>
      <c r="T182" t="s">
        <v>812</v>
      </c>
      <c r="U182">
        <v>45972</v>
      </c>
      <c r="V182">
        <v>45972</v>
      </c>
      <c r="W182" t="s">
        <v>231</v>
      </c>
      <c r="Y182" t="s">
        <v>306</v>
      </c>
      <c r="Z182">
        <v>45972</v>
      </c>
    </row>
    <row r="183" spans="1:27">
      <c r="A183">
        <v>9</v>
      </c>
      <c r="B183" t="s">
        <v>5</v>
      </c>
      <c r="C183">
        <v>45960</v>
      </c>
      <c r="D183">
        <v>45974</v>
      </c>
      <c r="E183" t="s">
        <v>167</v>
      </c>
      <c r="F183" t="s">
        <v>805</v>
      </c>
      <c r="G183" t="s">
        <v>813</v>
      </c>
      <c r="H183" t="s">
        <v>814</v>
      </c>
      <c r="I183" t="s">
        <v>13</v>
      </c>
      <c r="J183">
        <v>2</v>
      </c>
      <c r="L183">
        <v>13.5</v>
      </c>
      <c r="M183">
        <v>45972</v>
      </c>
      <c r="N183">
        <v>45974</v>
      </c>
      <c r="O183" t="s">
        <v>735</v>
      </c>
      <c r="P183" t="s">
        <v>304</v>
      </c>
      <c r="R183" t="s">
        <v>231</v>
      </c>
      <c r="T183" t="s">
        <v>815</v>
      </c>
      <c r="U183">
        <v>45972</v>
      </c>
      <c r="V183">
        <v>45973</v>
      </c>
      <c r="W183" t="s">
        <v>231</v>
      </c>
      <c r="Y183" t="s">
        <v>306</v>
      </c>
      <c r="Z183">
        <v>45973</v>
      </c>
    </row>
    <row r="184" spans="1:27">
      <c r="A184">
        <v>10</v>
      </c>
      <c r="B184" t="s">
        <v>5</v>
      </c>
      <c r="C184">
        <v>45960</v>
      </c>
      <c r="D184">
        <v>45974</v>
      </c>
      <c r="E184" t="s">
        <v>167</v>
      </c>
      <c r="F184" t="s">
        <v>716</v>
      </c>
      <c r="G184" t="s">
        <v>816</v>
      </c>
      <c r="H184" t="s">
        <v>817</v>
      </c>
      <c r="I184" t="s">
        <v>13</v>
      </c>
      <c r="L184">
        <v>6.5</v>
      </c>
      <c r="M184">
        <v>45968</v>
      </c>
      <c r="N184">
        <v>45968</v>
      </c>
      <c r="O184" t="s">
        <v>735</v>
      </c>
      <c r="P184" t="s">
        <v>304</v>
      </c>
      <c r="R184" t="s">
        <v>231</v>
      </c>
      <c r="T184" t="s">
        <v>818</v>
      </c>
      <c r="U184">
        <v>45969</v>
      </c>
      <c r="V184">
        <v>45969</v>
      </c>
      <c r="W184" t="s">
        <v>231</v>
      </c>
      <c r="Y184" t="s">
        <v>306</v>
      </c>
      <c r="Z184">
        <v>45969</v>
      </c>
    </row>
    <row r="185" spans="1:27">
      <c r="A185">
        <v>1</v>
      </c>
      <c r="B185" t="s">
        <v>5</v>
      </c>
      <c r="C185">
        <v>45974</v>
      </c>
      <c r="D185">
        <v>45988</v>
      </c>
      <c r="E185" t="s">
        <v>171</v>
      </c>
      <c r="F185" t="s">
        <v>231</v>
      </c>
      <c r="G185" t="s">
        <v>754</v>
      </c>
      <c r="H185" t="s">
        <v>755</v>
      </c>
      <c r="I185" t="s">
        <v>13</v>
      </c>
      <c r="J185">
        <v>2</v>
      </c>
      <c r="L185">
        <v>14</v>
      </c>
      <c r="M185">
        <v>45967</v>
      </c>
      <c r="N185">
        <v>45974</v>
      </c>
      <c r="O185" t="s">
        <v>268</v>
      </c>
      <c r="P185" t="s">
        <v>304</v>
      </c>
      <c r="R185" t="s">
        <v>735</v>
      </c>
      <c r="T185" t="s">
        <v>756</v>
      </c>
      <c r="U185">
        <v>45973</v>
      </c>
      <c r="V185">
        <v>45974</v>
      </c>
      <c r="W185" t="s">
        <v>231</v>
      </c>
      <c r="Y185" t="s">
        <v>306</v>
      </c>
      <c r="Z185">
        <v>45974</v>
      </c>
    </row>
    <row r="186" spans="1:27">
      <c r="A186">
        <v>2</v>
      </c>
      <c r="B186" t="s">
        <v>5</v>
      </c>
      <c r="C186">
        <v>45974</v>
      </c>
      <c r="D186">
        <v>45988</v>
      </c>
      <c r="E186" t="s">
        <v>171</v>
      </c>
      <c r="F186" t="s">
        <v>231</v>
      </c>
      <c r="G186" t="s">
        <v>757</v>
      </c>
      <c r="H186" t="s">
        <v>758</v>
      </c>
      <c r="I186" t="s">
        <v>13</v>
      </c>
      <c r="J186">
        <v>1</v>
      </c>
      <c r="L186">
        <v>24</v>
      </c>
      <c r="M186">
        <v>45974</v>
      </c>
      <c r="N186">
        <v>45974</v>
      </c>
      <c r="O186" t="s">
        <v>268</v>
      </c>
      <c r="P186" t="s">
        <v>304</v>
      </c>
      <c r="R186" t="s">
        <v>231</v>
      </c>
      <c r="T186" t="s">
        <v>759</v>
      </c>
      <c r="U186">
        <v>45974</v>
      </c>
      <c r="V186">
        <v>45975</v>
      </c>
      <c r="W186" t="s">
        <v>231</v>
      </c>
      <c r="Y186" t="s">
        <v>306</v>
      </c>
      <c r="Z186">
        <v>45975</v>
      </c>
    </row>
    <row r="187" spans="1:27">
      <c r="A187">
        <v>3</v>
      </c>
      <c r="B187" t="s">
        <v>5</v>
      </c>
      <c r="C187">
        <v>45974</v>
      </c>
      <c r="D187">
        <v>45988</v>
      </c>
      <c r="E187" t="s">
        <v>171</v>
      </c>
      <c r="F187" t="s">
        <v>735</v>
      </c>
      <c r="G187" t="s">
        <v>760</v>
      </c>
      <c r="H187" t="s">
        <v>761</v>
      </c>
      <c r="I187" t="s">
        <v>13</v>
      </c>
      <c r="J187">
        <v>2</v>
      </c>
      <c r="L187">
        <v>42.5</v>
      </c>
      <c r="M187">
        <v>45975</v>
      </c>
      <c r="N187">
        <v>45979</v>
      </c>
      <c r="O187" t="s">
        <v>735</v>
      </c>
      <c r="P187" t="s">
        <v>304</v>
      </c>
      <c r="R187" t="s">
        <v>231</v>
      </c>
      <c r="T187" t="s">
        <v>762</v>
      </c>
      <c r="U187">
        <v>45979</v>
      </c>
      <c r="V187">
        <v>45979</v>
      </c>
      <c r="W187" t="s">
        <v>231</v>
      </c>
      <c r="Y187" t="s">
        <v>306</v>
      </c>
      <c r="Z187">
        <v>45979</v>
      </c>
    </row>
    <row r="188" spans="1:27">
      <c r="A188">
        <v>4</v>
      </c>
      <c r="B188" t="s">
        <v>5</v>
      </c>
      <c r="C188">
        <v>45974</v>
      </c>
      <c r="D188">
        <v>45988</v>
      </c>
      <c r="E188" t="s">
        <v>171</v>
      </c>
      <c r="F188" t="s">
        <v>735</v>
      </c>
      <c r="G188" t="s">
        <v>763</v>
      </c>
      <c r="H188" t="s">
        <v>764</v>
      </c>
      <c r="I188" t="s">
        <v>13</v>
      </c>
      <c r="J188">
        <v>3</v>
      </c>
      <c r="L188">
        <v>23</v>
      </c>
      <c r="M188">
        <v>45979</v>
      </c>
      <c r="N188">
        <v>45981</v>
      </c>
      <c r="O188" t="s">
        <v>735</v>
      </c>
      <c r="P188" t="s">
        <v>304</v>
      </c>
      <c r="R188" t="s">
        <v>231</v>
      </c>
      <c r="T188" t="s">
        <v>765</v>
      </c>
      <c r="U188">
        <v>45980</v>
      </c>
      <c r="V188">
        <v>45982</v>
      </c>
      <c r="W188" t="s">
        <v>231</v>
      </c>
      <c r="Y188" t="s">
        <v>306</v>
      </c>
      <c r="Z188">
        <v>45982</v>
      </c>
      <c r="AA188" s="43" t="s">
        <v>766</v>
      </c>
    </row>
    <row r="189" spans="1:27">
      <c r="A189">
        <v>5</v>
      </c>
      <c r="B189" t="s">
        <v>5</v>
      </c>
      <c r="C189">
        <v>45974</v>
      </c>
      <c r="D189">
        <v>45988</v>
      </c>
      <c r="E189" t="s">
        <v>171</v>
      </c>
      <c r="F189" t="s">
        <v>231</v>
      </c>
      <c r="G189" t="s">
        <v>767</v>
      </c>
      <c r="H189" t="s">
        <v>768</v>
      </c>
      <c r="I189" t="s">
        <v>13</v>
      </c>
      <c r="J189">
        <v>3</v>
      </c>
      <c r="L189">
        <v>13</v>
      </c>
      <c r="M189">
        <v>45975</v>
      </c>
      <c r="N189">
        <v>45978</v>
      </c>
      <c r="O189" t="s">
        <v>231</v>
      </c>
      <c r="P189" t="s">
        <v>304</v>
      </c>
      <c r="R189" t="s">
        <v>268</v>
      </c>
      <c r="T189" t="s">
        <v>769</v>
      </c>
      <c r="U189">
        <v>45978</v>
      </c>
      <c r="V189">
        <v>45979</v>
      </c>
      <c r="W189" t="s">
        <v>231</v>
      </c>
      <c r="Y189" t="s">
        <v>306</v>
      </c>
      <c r="Z189">
        <v>45979</v>
      </c>
    </row>
    <row r="190" spans="1:27">
      <c r="A190">
        <v>6</v>
      </c>
      <c r="B190" t="s">
        <v>5</v>
      </c>
      <c r="C190">
        <v>45974</v>
      </c>
      <c r="D190">
        <v>45988</v>
      </c>
      <c r="E190" t="s">
        <v>171</v>
      </c>
      <c r="F190" t="s">
        <v>268</v>
      </c>
      <c r="G190" t="s">
        <v>770</v>
      </c>
      <c r="H190" t="s">
        <v>771</v>
      </c>
      <c r="I190" t="s">
        <v>13</v>
      </c>
      <c r="J190">
        <v>5</v>
      </c>
      <c r="L190">
        <v>26</v>
      </c>
      <c r="M190">
        <v>45978</v>
      </c>
      <c r="N190">
        <v>45980</v>
      </c>
      <c r="O190" t="s">
        <v>268</v>
      </c>
      <c r="P190" t="s">
        <v>304</v>
      </c>
      <c r="R190" t="s">
        <v>231</v>
      </c>
      <c r="T190" t="s">
        <v>772</v>
      </c>
      <c r="U190">
        <v>45979</v>
      </c>
      <c r="V190">
        <v>45979</v>
      </c>
      <c r="W190" t="s">
        <v>231</v>
      </c>
      <c r="Y190" t="s">
        <v>306</v>
      </c>
      <c r="Z190">
        <v>45980</v>
      </c>
    </row>
    <row r="191" spans="1:27">
      <c r="A191">
        <v>7</v>
      </c>
      <c r="B191" t="s">
        <v>5</v>
      </c>
      <c r="C191">
        <v>45974</v>
      </c>
      <c r="D191">
        <v>45988</v>
      </c>
      <c r="E191" t="s">
        <v>171</v>
      </c>
      <c r="F191" t="s">
        <v>773</v>
      </c>
      <c r="G191" t="s">
        <v>774</v>
      </c>
      <c r="H191" t="s">
        <v>775</v>
      </c>
      <c r="I191" t="s">
        <v>13</v>
      </c>
      <c r="J191">
        <v>3</v>
      </c>
      <c r="L191">
        <v>6</v>
      </c>
      <c r="M191">
        <v>45978</v>
      </c>
      <c r="N191">
        <v>45979</v>
      </c>
      <c r="O191" t="s">
        <v>268</v>
      </c>
      <c r="P191" t="s">
        <v>304</v>
      </c>
      <c r="R191" t="s">
        <v>231</v>
      </c>
      <c r="T191" t="s">
        <v>776</v>
      </c>
      <c r="U191">
        <v>45980</v>
      </c>
      <c r="V191">
        <v>45980</v>
      </c>
      <c r="W191" t="s">
        <v>231</v>
      </c>
      <c r="Y191" t="s">
        <v>306</v>
      </c>
      <c r="Z191">
        <v>45980</v>
      </c>
    </row>
    <row r="192" spans="1:27">
      <c r="A192">
        <v>8</v>
      </c>
      <c r="B192" t="s">
        <v>5</v>
      </c>
      <c r="C192">
        <v>45974</v>
      </c>
      <c r="D192">
        <v>45988</v>
      </c>
      <c r="E192" t="s">
        <v>171</v>
      </c>
      <c r="F192" t="s">
        <v>268</v>
      </c>
      <c r="G192" t="s">
        <v>777</v>
      </c>
      <c r="H192" t="s">
        <v>778</v>
      </c>
      <c r="I192" t="s">
        <v>13</v>
      </c>
      <c r="J192">
        <v>2</v>
      </c>
      <c r="L192">
        <v>34</v>
      </c>
      <c r="M192">
        <v>45981</v>
      </c>
      <c r="N192">
        <v>45987</v>
      </c>
      <c r="O192" t="s">
        <v>268</v>
      </c>
      <c r="P192" t="s">
        <v>304</v>
      </c>
      <c r="R192" t="s">
        <v>735</v>
      </c>
      <c r="T192" t="s">
        <v>779</v>
      </c>
      <c r="U192">
        <v>45986</v>
      </c>
      <c r="V192">
        <v>45986</v>
      </c>
      <c r="W192" t="s">
        <v>231</v>
      </c>
      <c r="Y192" t="s">
        <v>306</v>
      </c>
      <c r="Z192">
        <v>45986</v>
      </c>
    </row>
    <row r="193" spans="1:26">
      <c r="A193">
        <v>9</v>
      </c>
      <c r="B193" t="s">
        <v>5</v>
      </c>
      <c r="C193">
        <v>45974</v>
      </c>
      <c r="D193">
        <v>45988</v>
      </c>
      <c r="E193" t="s">
        <v>171</v>
      </c>
      <c r="F193" t="s">
        <v>268</v>
      </c>
      <c r="G193" t="s">
        <v>781</v>
      </c>
      <c r="H193" t="s">
        <v>782</v>
      </c>
      <c r="I193" t="s">
        <v>13</v>
      </c>
      <c r="J193" t="s">
        <v>93</v>
      </c>
      <c r="L193">
        <v>6</v>
      </c>
      <c r="M193">
        <v>45981</v>
      </c>
      <c r="N193">
        <v>45981</v>
      </c>
      <c r="O193" t="s">
        <v>268</v>
      </c>
      <c r="P193" t="s">
        <v>304</v>
      </c>
      <c r="R193" t="s">
        <v>231</v>
      </c>
      <c r="T193" t="s">
        <v>783</v>
      </c>
      <c r="U193">
        <v>45981</v>
      </c>
      <c r="V193">
        <v>45981</v>
      </c>
      <c r="W193" t="s">
        <v>231</v>
      </c>
      <c r="Y193" t="s">
        <v>306</v>
      </c>
      <c r="Z193">
        <v>45982</v>
      </c>
    </row>
    <row r="194" spans="1:26">
      <c r="A194">
        <v>10</v>
      </c>
      <c r="B194" t="s">
        <v>5</v>
      </c>
      <c r="C194">
        <v>45974</v>
      </c>
      <c r="D194">
        <v>45988</v>
      </c>
      <c r="E194" t="s">
        <v>171</v>
      </c>
      <c r="F194" t="s">
        <v>231</v>
      </c>
      <c r="G194" t="s">
        <v>784</v>
      </c>
      <c r="H194" t="s">
        <v>785</v>
      </c>
      <c r="I194" t="s">
        <v>13</v>
      </c>
      <c r="J194">
        <v>2</v>
      </c>
      <c r="L194">
        <v>6</v>
      </c>
      <c r="O194" t="s">
        <v>231</v>
      </c>
      <c r="P194" t="s">
        <v>304</v>
      </c>
      <c r="R194">
        <v>0</v>
      </c>
      <c r="T194" t="s">
        <v>786</v>
      </c>
      <c r="U194">
        <v>45987</v>
      </c>
      <c r="V194">
        <v>45987</v>
      </c>
      <c r="W194" t="s">
        <v>231</v>
      </c>
      <c r="Y194" t="s">
        <v>306</v>
      </c>
      <c r="Z194">
        <v>45987</v>
      </c>
    </row>
    <row r="195" spans="1:26">
      <c r="A195">
        <v>1</v>
      </c>
      <c r="B195" t="s">
        <v>5</v>
      </c>
      <c r="C195">
        <v>45988</v>
      </c>
      <c r="D195">
        <v>46002</v>
      </c>
      <c r="E195" t="s">
        <v>175</v>
      </c>
      <c r="F195" t="s">
        <v>231</v>
      </c>
      <c r="G195" t="s">
        <v>721</v>
      </c>
      <c r="H195" t="s">
        <v>722</v>
      </c>
      <c r="I195" t="s">
        <v>13</v>
      </c>
      <c r="J195">
        <v>1</v>
      </c>
      <c r="L195">
        <v>12</v>
      </c>
      <c r="M195">
        <v>45987</v>
      </c>
      <c r="N195">
        <v>45987</v>
      </c>
      <c r="O195" t="s">
        <v>268</v>
      </c>
      <c r="P195" t="s">
        <v>304</v>
      </c>
      <c r="R195" t="s">
        <v>231</v>
      </c>
      <c r="T195" t="s">
        <v>723</v>
      </c>
      <c r="U195">
        <v>45987</v>
      </c>
      <c r="V195">
        <v>45987</v>
      </c>
      <c r="W195" t="s">
        <v>231</v>
      </c>
      <c r="Y195" t="s">
        <v>306</v>
      </c>
      <c r="Z195">
        <v>45987</v>
      </c>
    </row>
    <row r="196" spans="1:26">
      <c r="A196">
        <v>2</v>
      </c>
      <c r="B196" t="s">
        <v>5</v>
      </c>
      <c r="C196">
        <v>45988</v>
      </c>
      <c r="D196">
        <v>46002</v>
      </c>
      <c r="E196" t="s">
        <v>175</v>
      </c>
      <c r="F196" t="s">
        <v>281</v>
      </c>
      <c r="G196" t="s">
        <v>724</v>
      </c>
      <c r="H196" t="s">
        <v>725</v>
      </c>
      <c r="I196" t="s">
        <v>13</v>
      </c>
      <c r="J196">
        <v>1</v>
      </c>
      <c r="L196">
        <v>18</v>
      </c>
      <c r="M196">
        <v>45988</v>
      </c>
      <c r="N196">
        <v>45988</v>
      </c>
      <c r="O196" t="s">
        <v>281</v>
      </c>
      <c r="P196" t="s">
        <v>304</v>
      </c>
      <c r="R196" t="s">
        <v>268</v>
      </c>
      <c r="T196" t="s">
        <v>726</v>
      </c>
      <c r="U196">
        <v>45987</v>
      </c>
      <c r="V196">
        <v>45988</v>
      </c>
      <c r="W196" t="s">
        <v>231</v>
      </c>
      <c r="Y196" t="s">
        <v>306</v>
      </c>
      <c r="Z196">
        <v>45988</v>
      </c>
    </row>
    <row r="197" spans="1:26">
      <c r="A197">
        <v>3</v>
      </c>
      <c r="B197" t="s">
        <v>5</v>
      </c>
      <c r="C197">
        <v>45988</v>
      </c>
      <c r="D197">
        <v>46002</v>
      </c>
      <c r="E197" t="s">
        <v>175</v>
      </c>
      <c r="F197" t="s">
        <v>268</v>
      </c>
      <c r="G197" t="s">
        <v>727</v>
      </c>
      <c r="H197" t="s">
        <v>728</v>
      </c>
      <c r="I197" t="s">
        <v>13</v>
      </c>
      <c r="J197">
        <v>3</v>
      </c>
      <c r="L197">
        <v>28</v>
      </c>
      <c r="M197">
        <v>45988</v>
      </c>
      <c r="N197">
        <v>45993</v>
      </c>
      <c r="O197" t="s">
        <v>268</v>
      </c>
      <c r="P197" t="s">
        <v>304</v>
      </c>
      <c r="R197" t="s">
        <v>231</v>
      </c>
      <c r="T197" t="s">
        <v>729</v>
      </c>
      <c r="U197">
        <v>45994</v>
      </c>
      <c r="V197">
        <v>45994</v>
      </c>
      <c r="W197" t="s">
        <v>231</v>
      </c>
      <c r="Y197" t="s">
        <v>306</v>
      </c>
      <c r="Z197">
        <v>45994</v>
      </c>
    </row>
    <row r="198" spans="1:26">
      <c r="A198">
        <v>4</v>
      </c>
      <c r="B198" t="s">
        <v>5</v>
      </c>
      <c r="C198">
        <v>45988</v>
      </c>
      <c r="D198">
        <v>46002</v>
      </c>
      <c r="E198" t="s">
        <v>175</v>
      </c>
      <c r="F198" t="s">
        <v>231</v>
      </c>
      <c r="G198" t="s">
        <v>730</v>
      </c>
      <c r="H198" t="s">
        <v>731</v>
      </c>
      <c r="I198" t="s">
        <v>13</v>
      </c>
      <c r="J198">
        <v>3</v>
      </c>
      <c r="L198">
        <v>10</v>
      </c>
      <c r="M198">
        <v>45988</v>
      </c>
      <c r="O198" t="s">
        <v>231</v>
      </c>
      <c r="P198" t="s">
        <v>304</v>
      </c>
      <c r="R198" t="s">
        <v>304</v>
      </c>
      <c r="T198" t="s">
        <v>732</v>
      </c>
      <c r="U198">
        <v>45997</v>
      </c>
      <c r="V198">
        <v>45997</v>
      </c>
      <c r="W198" t="s">
        <v>231</v>
      </c>
      <c r="Y198" t="s">
        <v>306</v>
      </c>
      <c r="Z198">
        <v>45997</v>
      </c>
    </row>
    <row r="199" spans="1:26">
      <c r="A199">
        <v>5</v>
      </c>
      <c r="B199" t="s">
        <v>5</v>
      </c>
      <c r="C199">
        <v>45988</v>
      </c>
      <c r="D199">
        <v>46002</v>
      </c>
      <c r="E199" t="s">
        <v>175</v>
      </c>
      <c r="F199" t="s">
        <v>281</v>
      </c>
      <c r="G199" t="s">
        <v>733</v>
      </c>
      <c r="H199" t="s">
        <v>734</v>
      </c>
      <c r="I199" t="s">
        <v>13</v>
      </c>
      <c r="J199">
        <v>8</v>
      </c>
      <c r="L199">
        <v>85.25</v>
      </c>
      <c r="M199">
        <v>45989</v>
      </c>
      <c r="N199">
        <v>46000</v>
      </c>
      <c r="O199" t="s">
        <v>735</v>
      </c>
      <c r="P199" t="s">
        <v>304</v>
      </c>
      <c r="R199" t="s">
        <v>481</v>
      </c>
      <c r="T199" t="s">
        <v>736</v>
      </c>
      <c r="U199">
        <v>45996</v>
      </c>
      <c r="V199">
        <v>46000</v>
      </c>
      <c r="W199" t="s">
        <v>231</v>
      </c>
      <c r="Y199" t="s">
        <v>306</v>
      </c>
      <c r="Z199">
        <v>46000</v>
      </c>
    </row>
    <row r="200" spans="1:26">
      <c r="A200">
        <v>6</v>
      </c>
      <c r="B200" t="s">
        <v>5</v>
      </c>
      <c r="C200">
        <v>45988</v>
      </c>
      <c r="D200">
        <v>46002</v>
      </c>
      <c r="E200" t="s">
        <v>175</v>
      </c>
      <c r="F200" t="s">
        <v>268</v>
      </c>
      <c r="G200" t="s">
        <v>737</v>
      </c>
      <c r="H200" t="s">
        <v>738</v>
      </c>
      <c r="I200" t="s">
        <v>13</v>
      </c>
      <c r="J200">
        <v>3</v>
      </c>
      <c r="L200">
        <v>40</v>
      </c>
      <c r="M200">
        <v>45992</v>
      </c>
      <c r="O200" t="s">
        <v>268</v>
      </c>
      <c r="P200" t="s">
        <v>304</v>
      </c>
      <c r="R200" t="s">
        <v>231</v>
      </c>
      <c r="T200" t="s">
        <v>739</v>
      </c>
      <c r="U200">
        <v>45996</v>
      </c>
      <c r="V200">
        <v>45996</v>
      </c>
      <c r="W200" t="s">
        <v>231</v>
      </c>
      <c r="Y200" t="s">
        <v>740</v>
      </c>
      <c r="Z200">
        <v>45997</v>
      </c>
    </row>
    <row r="201" spans="1:26">
      <c r="A201">
        <v>7</v>
      </c>
      <c r="B201" t="s">
        <v>5</v>
      </c>
      <c r="C201">
        <v>45988</v>
      </c>
      <c r="D201">
        <v>46002</v>
      </c>
      <c r="E201" t="s">
        <v>175</v>
      </c>
      <c r="F201" t="s">
        <v>231</v>
      </c>
      <c r="G201" t="s">
        <v>741</v>
      </c>
      <c r="H201" t="s">
        <v>742</v>
      </c>
      <c r="I201" t="s">
        <v>13</v>
      </c>
      <c r="J201">
        <v>2</v>
      </c>
      <c r="L201">
        <v>8</v>
      </c>
      <c r="M201">
        <v>45988</v>
      </c>
      <c r="O201" t="s">
        <v>231</v>
      </c>
      <c r="P201" t="s">
        <v>304</v>
      </c>
      <c r="R201" t="s">
        <v>281</v>
      </c>
      <c r="T201" t="s">
        <v>743</v>
      </c>
      <c r="U201">
        <v>45993</v>
      </c>
      <c r="V201">
        <v>45993</v>
      </c>
      <c r="W201" t="s">
        <v>231</v>
      </c>
      <c r="Y201" t="s">
        <v>306</v>
      </c>
      <c r="Z201">
        <v>45993</v>
      </c>
    </row>
    <row r="202" spans="1:26">
      <c r="A202">
        <v>8</v>
      </c>
      <c r="B202" t="s">
        <v>5</v>
      </c>
      <c r="C202">
        <v>45988</v>
      </c>
      <c r="D202">
        <v>46002</v>
      </c>
      <c r="E202" t="s">
        <v>175</v>
      </c>
      <c r="F202" t="s">
        <v>268</v>
      </c>
      <c r="G202" t="s">
        <v>744</v>
      </c>
      <c r="H202" t="s">
        <v>745</v>
      </c>
      <c r="I202" t="s">
        <v>13</v>
      </c>
      <c r="J202" t="s">
        <v>93</v>
      </c>
      <c r="L202">
        <v>2</v>
      </c>
      <c r="M202">
        <v>45995</v>
      </c>
      <c r="N202">
        <v>45995</v>
      </c>
      <c r="O202" t="s">
        <v>268</v>
      </c>
      <c r="P202" t="s">
        <v>304</v>
      </c>
      <c r="R202" t="s">
        <v>281</v>
      </c>
      <c r="T202" t="s">
        <v>746</v>
      </c>
      <c r="U202">
        <v>45995</v>
      </c>
      <c r="V202">
        <v>45995</v>
      </c>
      <c r="W202" t="s">
        <v>231</v>
      </c>
      <c r="Y202" t="s">
        <v>306</v>
      </c>
      <c r="Z202">
        <v>45995</v>
      </c>
    </row>
    <row r="203" spans="1:26">
      <c r="A203">
        <v>9</v>
      </c>
      <c r="B203" t="s">
        <v>5</v>
      </c>
      <c r="C203">
        <v>45988</v>
      </c>
      <c r="D203">
        <v>46002</v>
      </c>
      <c r="E203" t="s">
        <v>175</v>
      </c>
      <c r="F203" t="s">
        <v>506</v>
      </c>
      <c r="G203" t="s">
        <v>747</v>
      </c>
      <c r="H203" t="s">
        <v>748</v>
      </c>
      <c r="I203" t="s">
        <v>13</v>
      </c>
      <c r="J203" t="s">
        <v>93</v>
      </c>
      <c r="L203">
        <v>15.5</v>
      </c>
      <c r="M203">
        <v>46000</v>
      </c>
      <c r="N203">
        <v>46000</v>
      </c>
      <c r="O203" t="s">
        <v>268</v>
      </c>
      <c r="P203" t="s">
        <v>304</v>
      </c>
      <c r="R203" t="s">
        <v>231</v>
      </c>
      <c r="T203" t="s">
        <v>749</v>
      </c>
      <c r="U203">
        <v>46001</v>
      </c>
      <c r="V203">
        <v>46001</v>
      </c>
      <c r="W203" t="s">
        <v>231</v>
      </c>
      <c r="Y203" t="s">
        <v>306</v>
      </c>
      <c r="Z203">
        <v>46001</v>
      </c>
    </row>
    <row r="204" spans="1:26">
      <c r="A204">
        <v>10</v>
      </c>
      <c r="B204" t="s">
        <v>5</v>
      </c>
      <c r="C204">
        <v>45988</v>
      </c>
      <c r="D204">
        <v>46002</v>
      </c>
      <c r="E204" t="s">
        <v>175</v>
      </c>
      <c r="F204" t="s">
        <v>268</v>
      </c>
      <c r="G204" t="s">
        <v>681</v>
      </c>
      <c r="H204" t="s">
        <v>750</v>
      </c>
      <c r="I204" t="s">
        <v>647</v>
      </c>
      <c r="J204">
        <v>1</v>
      </c>
      <c r="L204">
        <v>4</v>
      </c>
      <c r="M204">
        <v>46000</v>
      </c>
      <c r="N204">
        <v>46000</v>
      </c>
      <c r="O204" t="s">
        <v>268</v>
      </c>
      <c r="P204" t="s">
        <v>304</v>
      </c>
      <c r="R204" t="s">
        <v>231</v>
      </c>
      <c r="T204" t="s">
        <v>683</v>
      </c>
      <c r="U204">
        <v>46001</v>
      </c>
      <c r="V204">
        <v>46001</v>
      </c>
      <c r="W204" t="s">
        <v>231</v>
      </c>
      <c r="Y204" t="s">
        <v>306</v>
      </c>
      <c r="Z204">
        <v>46001</v>
      </c>
    </row>
    <row r="205" spans="1:26">
      <c r="A205">
        <v>1</v>
      </c>
      <c r="B205" t="s">
        <v>5</v>
      </c>
      <c r="C205">
        <v>46002</v>
      </c>
      <c r="D205">
        <v>46030</v>
      </c>
      <c r="E205" t="s">
        <v>179</v>
      </c>
      <c r="F205" t="s">
        <v>268</v>
      </c>
      <c r="G205" t="s">
        <v>681</v>
      </c>
      <c r="H205" t="s">
        <v>682</v>
      </c>
      <c r="I205" t="s">
        <v>13</v>
      </c>
      <c r="J205">
        <v>1</v>
      </c>
      <c r="L205">
        <v>4</v>
      </c>
      <c r="M205">
        <v>46000</v>
      </c>
      <c r="N205">
        <v>46000</v>
      </c>
      <c r="O205" t="s">
        <v>268</v>
      </c>
      <c r="P205" t="s">
        <v>304</v>
      </c>
      <c r="R205" t="s">
        <v>231</v>
      </c>
      <c r="T205" t="s">
        <v>683</v>
      </c>
      <c r="U205">
        <v>46001</v>
      </c>
      <c r="V205">
        <v>46001</v>
      </c>
      <c r="W205" t="s">
        <v>231</v>
      </c>
      <c r="Y205" t="s">
        <v>306</v>
      </c>
      <c r="Z205">
        <v>46001</v>
      </c>
    </row>
    <row r="206" spans="1:26">
      <c r="A206">
        <v>2</v>
      </c>
      <c r="B206" t="s">
        <v>5</v>
      </c>
      <c r="C206">
        <v>46002</v>
      </c>
      <c r="D206">
        <v>46030</v>
      </c>
      <c r="E206" t="s">
        <v>179</v>
      </c>
      <c r="F206" t="s">
        <v>268</v>
      </c>
      <c r="G206" t="s">
        <v>685</v>
      </c>
      <c r="H206" t="s">
        <v>686</v>
      </c>
      <c r="I206" t="s">
        <v>13</v>
      </c>
      <c r="J206">
        <v>2</v>
      </c>
      <c r="L206">
        <v>1</v>
      </c>
      <c r="M206">
        <v>46007</v>
      </c>
      <c r="N206">
        <v>46007</v>
      </c>
      <c r="O206" t="s">
        <v>268</v>
      </c>
      <c r="P206" t="s">
        <v>304</v>
      </c>
      <c r="R206" t="s">
        <v>231</v>
      </c>
      <c r="T206" t="s">
        <v>687</v>
      </c>
      <c r="U206">
        <v>46007</v>
      </c>
      <c r="V206">
        <v>46007</v>
      </c>
      <c r="W206" t="s">
        <v>231</v>
      </c>
      <c r="Y206" t="s">
        <v>306</v>
      </c>
      <c r="Z206">
        <v>46007</v>
      </c>
    </row>
    <row r="207" spans="1:26">
      <c r="A207">
        <v>3</v>
      </c>
      <c r="B207" t="s">
        <v>5</v>
      </c>
      <c r="C207">
        <v>46002</v>
      </c>
      <c r="D207">
        <v>46030</v>
      </c>
      <c r="E207" t="s">
        <v>179</v>
      </c>
      <c r="F207" t="s">
        <v>231</v>
      </c>
      <c r="G207" t="s">
        <v>688</v>
      </c>
      <c r="H207" t="s">
        <v>689</v>
      </c>
      <c r="I207" t="s">
        <v>13</v>
      </c>
      <c r="J207">
        <v>3</v>
      </c>
      <c r="L207">
        <v>31</v>
      </c>
      <c r="M207">
        <v>46003</v>
      </c>
      <c r="N207">
        <v>46041</v>
      </c>
      <c r="O207" t="s">
        <v>231</v>
      </c>
      <c r="P207" t="s">
        <v>304</v>
      </c>
      <c r="R207" t="s">
        <v>268</v>
      </c>
      <c r="T207" t="s">
        <v>690</v>
      </c>
      <c r="U207">
        <v>46006</v>
      </c>
      <c r="V207">
        <v>46007</v>
      </c>
      <c r="W207" t="s">
        <v>231</v>
      </c>
      <c r="Y207" t="s">
        <v>306</v>
      </c>
      <c r="Z207">
        <v>46007</v>
      </c>
    </row>
    <row r="208" spans="1:26">
      <c r="A208">
        <v>4</v>
      </c>
      <c r="B208" t="s">
        <v>5</v>
      </c>
      <c r="C208">
        <v>46002</v>
      </c>
      <c r="D208">
        <v>46030</v>
      </c>
      <c r="E208" t="s">
        <v>179</v>
      </c>
      <c r="F208" t="s">
        <v>268</v>
      </c>
      <c r="G208" t="s">
        <v>691</v>
      </c>
      <c r="H208" t="s">
        <v>692</v>
      </c>
      <c r="I208" t="s">
        <v>13</v>
      </c>
      <c r="J208">
        <v>5</v>
      </c>
      <c r="L208">
        <v>53</v>
      </c>
      <c r="M208">
        <v>46003</v>
      </c>
      <c r="N208">
        <v>46041</v>
      </c>
      <c r="O208" t="s">
        <v>268</v>
      </c>
      <c r="P208" t="s">
        <v>304</v>
      </c>
      <c r="R208" t="s">
        <v>231</v>
      </c>
      <c r="T208" t="s">
        <v>693</v>
      </c>
      <c r="U208">
        <v>46011</v>
      </c>
      <c r="V208">
        <v>46011</v>
      </c>
      <c r="W208" t="s">
        <v>231</v>
      </c>
      <c r="Y208" t="s">
        <v>306</v>
      </c>
      <c r="Z208">
        <v>46011</v>
      </c>
    </row>
    <row r="209" spans="1:27">
      <c r="A209">
        <v>5</v>
      </c>
      <c r="B209" t="s">
        <v>5</v>
      </c>
      <c r="C209">
        <v>46002</v>
      </c>
      <c r="D209">
        <v>46030</v>
      </c>
      <c r="E209" t="s">
        <v>179</v>
      </c>
      <c r="F209" t="s">
        <v>281</v>
      </c>
      <c r="G209" t="s">
        <v>694</v>
      </c>
      <c r="H209" t="s">
        <v>695</v>
      </c>
      <c r="I209" t="s">
        <v>13</v>
      </c>
      <c r="J209">
        <v>5</v>
      </c>
      <c r="L209">
        <v>82</v>
      </c>
      <c r="M209">
        <v>46006</v>
      </c>
      <c r="N209">
        <v>46022</v>
      </c>
      <c r="O209" t="s">
        <v>281</v>
      </c>
      <c r="P209" t="s">
        <v>304</v>
      </c>
      <c r="R209" t="s">
        <v>231</v>
      </c>
      <c r="T209" t="s">
        <v>696</v>
      </c>
      <c r="U209">
        <v>46017</v>
      </c>
      <c r="V209">
        <v>46023</v>
      </c>
      <c r="W209" t="s">
        <v>231</v>
      </c>
      <c r="Y209" s="43" t="s">
        <v>697</v>
      </c>
      <c r="Z209">
        <v>46023</v>
      </c>
    </row>
    <row r="210" spans="1:27">
      <c r="A210">
        <v>5</v>
      </c>
      <c r="B210" t="s">
        <v>5</v>
      </c>
      <c r="C210">
        <v>46002</v>
      </c>
      <c r="D210">
        <v>46030</v>
      </c>
      <c r="E210" t="s">
        <v>179</v>
      </c>
      <c r="F210" t="s">
        <v>281</v>
      </c>
      <c r="G210" t="s">
        <v>698</v>
      </c>
      <c r="H210" t="s">
        <v>699</v>
      </c>
      <c r="I210" t="s">
        <v>13</v>
      </c>
      <c r="J210">
        <v>5</v>
      </c>
      <c r="L210">
        <v>44</v>
      </c>
      <c r="M210">
        <v>46007</v>
      </c>
      <c r="N210">
        <v>46022</v>
      </c>
      <c r="O210" t="s">
        <v>281</v>
      </c>
      <c r="P210" t="s">
        <v>304</v>
      </c>
      <c r="R210" t="s">
        <v>231</v>
      </c>
      <c r="T210" t="s">
        <v>696</v>
      </c>
      <c r="U210">
        <v>46017</v>
      </c>
      <c r="V210">
        <v>46023</v>
      </c>
      <c r="W210" t="s">
        <v>231</v>
      </c>
      <c r="Y210" s="43" t="s">
        <v>697</v>
      </c>
      <c r="Z210">
        <v>46023</v>
      </c>
    </row>
    <row r="211" spans="1:27">
      <c r="A211">
        <v>6</v>
      </c>
      <c r="B211" t="s">
        <v>5</v>
      </c>
      <c r="C211">
        <v>46002</v>
      </c>
      <c r="D211">
        <v>46030</v>
      </c>
      <c r="E211" t="s">
        <v>179</v>
      </c>
      <c r="F211" t="s">
        <v>281</v>
      </c>
      <c r="G211" t="s">
        <v>700</v>
      </c>
      <c r="H211" t="s">
        <v>701</v>
      </c>
      <c r="I211" t="s">
        <v>13</v>
      </c>
      <c r="J211">
        <v>5</v>
      </c>
      <c r="L211">
        <v>37</v>
      </c>
      <c r="M211">
        <v>46008</v>
      </c>
      <c r="N211">
        <v>46022</v>
      </c>
      <c r="O211" t="s">
        <v>281</v>
      </c>
      <c r="P211" t="s">
        <v>304</v>
      </c>
      <c r="R211" t="s">
        <v>231</v>
      </c>
      <c r="T211" t="s">
        <v>696</v>
      </c>
      <c r="U211">
        <v>46017</v>
      </c>
      <c r="V211">
        <v>46023</v>
      </c>
      <c r="W211" t="s">
        <v>231</v>
      </c>
      <c r="Y211" s="43" t="s">
        <v>697</v>
      </c>
      <c r="Z211">
        <v>46023</v>
      </c>
    </row>
    <row r="212" spans="1:27">
      <c r="A212">
        <v>7</v>
      </c>
      <c r="B212" t="s">
        <v>5</v>
      </c>
      <c r="C212">
        <v>46003</v>
      </c>
      <c r="D212">
        <v>46030</v>
      </c>
      <c r="E212" t="s">
        <v>179</v>
      </c>
      <c r="F212" t="s">
        <v>231</v>
      </c>
      <c r="G212" t="s">
        <v>702</v>
      </c>
      <c r="H212" t="s">
        <v>703</v>
      </c>
      <c r="I212" t="s">
        <v>13</v>
      </c>
      <c r="J212">
        <v>1</v>
      </c>
      <c r="L212">
        <v>6</v>
      </c>
      <c r="M212" t="s">
        <v>93</v>
      </c>
      <c r="N212" t="s">
        <v>93</v>
      </c>
      <c r="O212" t="s">
        <v>93</v>
      </c>
      <c r="P212" t="s">
        <v>304</v>
      </c>
      <c r="R212" t="s">
        <v>93</v>
      </c>
      <c r="T212" t="s">
        <v>93</v>
      </c>
      <c r="U212" t="s">
        <v>93</v>
      </c>
      <c r="V212" t="s">
        <v>93</v>
      </c>
      <c r="W212" t="s">
        <v>93</v>
      </c>
      <c r="Y212" t="s">
        <v>93</v>
      </c>
      <c r="Z212" t="s">
        <v>93</v>
      </c>
    </row>
    <row r="213" spans="1:27">
      <c r="A213">
        <v>8</v>
      </c>
      <c r="B213" t="s">
        <v>5</v>
      </c>
      <c r="C213">
        <v>46003</v>
      </c>
      <c r="D213">
        <v>46030</v>
      </c>
      <c r="E213" t="s">
        <v>179</v>
      </c>
      <c r="F213" t="s">
        <v>506</v>
      </c>
      <c r="G213" t="s">
        <v>704</v>
      </c>
      <c r="H213" t="s">
        <v>705</v>
      </c>
      <c r="I213" t="s">
        <v>13</v>
      </c>
      <c r="J213">
        <v>3</v>
      </c>
      <c r="L213">
        <v>7</v>
      </c>
      <c r="M213">
        <v>46013</v>
      </c>
      <c r="N213">
        <v>46014</v>
      </c>
      <c r="O213" t="s">
        <v>268</v>
      </c>
      <c r="P213" t="s">
        <v>304</v>
      </c>
      <c r="R213" t="s">
        <v>231</v>
      </c>
      <c r="T213" t="s">
        <v>706</v>
      </c>
      <c r="U213">
        <v>46021</v>
      </c>
      <c r="V213">
        <v>46022</v>
      </c>
      <c r="W213" t="s">
        <v>231</v>
      </c>
      <c r="Y213" s="43" t="s">
        <v>697</v>
      </c>
      <c r="Z213">
        <v>46022</v>
      </c>
    </row>
    <row r="214" spans="1:27">
      <c r="A214">
        <v>9</v>
      </c>
      <c r="B214" t="s">
        <v>5</v>
      </c>
      <c r="C214">
        <v>46002</v>
      </c>
      <c r="D214">
        <v>46030</v>
      </c>
      <c r="E214" t="s">
        <v>179</v>
      </c>
      <c r="F214" t="s">
        <v>268</v>
      </c>
      <c r="G214" t="s">
        <v>707</v>
      </c>
      <c r="H214" t="s">
        <v>708</v>
      </c>
      <c r="I214" t="s">
        <v>13</v>
      </c>
      <c r="J214">
        <v>2</v>
      </c>
      <c r="L214">
        <v>18</v>
      </c>
      <c r="M214">
        <v>45993</v>
      </c>
      <c r="N214">
        <v>46027</v>
      </c>
      <c r="O214" t="s">
        <v>268</v>
      </c>
      <c r="P214" t="s">
        <v>304</v>
      </c>
      <c r="R214" t="s">
        <v>231</v>
      </c>
      <c r="T214" t="s">
        <v>709</v>
      </c>
      <c r="U214">
        <v>46027</v>
      </c>
      <c r="V214">
        <v>46028</v>
      </c>
      <c r="W214" t="s">
        <v>231</v>
      </c>
      <c r="Y214" t="s">
        <v>306</v>
      </c>
      <c r="Z214">
        <v>46028</v>
      </c>
    </row>
    <row r="215" spans="1:27">
      <c r="A215">
        <v>10</v>
      </c>
      <c r="B215" t="s">
        <v>5</v>
      </c>
      <c r="C215">
        <v>46003</v>
      </c>
      <c r="D215">
        <v>46030</v>
      </c>
      <c r="E215" t="s">
        <v>179</v>
      </c>
      <c r="F215" t="s">
        <v>281</v>
      </c>
      <c r="G215" t="s">
        <v>710</v>
      </c>
      <c r="H215" t="s">
        <v>711</v>
      </c>
      <c r="I215" t="s">
        <v>13</v>
      </c>
      <c r="J215">
        <v>2</v>
      </c>
      <c r="L215">
        <v>12.5</v>
      </c>
      <c r="M215">
        <v>46022</v>
      </c>
      <c r="N215">
        <v>46024</v>
      </c>
      <c r="O215" t="s">
        <v>281</v>
      </c>
      <c r="P215" t="s">
        <v>304</v>
      </c>
      <c r="R215" t="s">
        <v>268</v>
      </c>
      <c r="T215" t="s">
        <v>712</v>
      </c>
      <c r="U215">
        <v>46024</v>
      </c>
      <c r="V215">
        <v>46025</v>
      </c>
      <c r="W215" t="s">
        <v>231</v>
      </c>
      <c r="Y215" t="s">
        <v>306</v>
      </c>
      <c r="Z215">
        <v>46027</v>
      </c>
    </row>
    <row r="216" spans="1:27">
      <c r="A216">
        <v>11</v>
      </c>
      <c r="B216" t="s">
        <v>5</v>
      </c>
      <c r="C216">
        <v>46003</v>
      </c>
      <c r="D216">
        <v>46030</v>
      </c>
      <c r="E216" t="s">
        <v>179</v>
      </c>
      <c r="F216" t="s">
        <v>281</v>
      </c>
      <c r="G216" t="s">
        <v>713</v>
      </c>
      <c r="H216" t="s">
        <v>714</v>
      </c>
      <c r="I216" t="s">
        <v>13</v>
      </c>
      <c r="J216">
        <v>3</v>
      </c>
      <c r="L216">
        <v>22</v>
      </c>
      <c r="M216">
        <v>46029</v>
      </c>
      <c r="N216">
        <v>46029</v>
      </c>
      <c r="O216" t="s">
        <v>281</v>
      </c>
      <c r="P216" t="s">
        <v>304</v>
      </c>
      <c r="R216" t="s">
        <v>268</v>
      </c>
      <c r="T216" t="s">
        <v>715</v>
      </c>
      <c r="U216">
        <v>46029</v>
      </c>
      <c r="V216">
        <v>46029</v>
      </c>
      <c r="W216" t="s">
        <v>231</v>
      </c>
      <c r="Y216" t="s">
        <v>306</v>
      </c>
      <c r="Z216">
        <v>46029</v>
      </c>
    </row>
    <row r="217" spans="1:27">
      <c r="A217">
        <v>12</v>
      </c>
      <c r="B217" t="s">
        <v>5</v>
      </c>
      <c r="C217">
        <v>46003</v>
      </c>
      <c r="D217">
        <v>46030</v>
      </c>
      <c r="E217" t="s">
        <v>179</v>
      </c>
      <c r="F217" t="s">
        <v>716</v>
      </c>
      <c r="G217" t="s">
        <v>717</v>
      </c>
      <c r="H217" t="s">
        <v>718</v>
      </c>
      <c r="I217" t="s">
        <v>13</v>
      </c>
      <c r="J217">
        <v>2</v>
      </c>
      <c r="L217">
        <v>29</v>
      </c>
      <c r="M217">
        <v>46028</v>
      </c>
      <c r="N217">
        <v>46029</v>
      </c>
      <c r="O217" t="s">
        <v>268</v>
      </c>
      <c r="P217" t="s">
        <v>304</v>
      </c>
      <c r="R217" t="s">
        <v>281</v>
      </c>
      <c r="T217" t="s">
        <v>719</v>
      </c>
      <c r="U217">
        <v>46029</v>
      </c>
      <c r="V217">
        <v>46030</v>
      </c>
      <c r="W217" t="s">
        <v>231</v>
      </c>
      <c r="Y217" t="s">
        <v>306</v>
      </c>
      <c r="Z217">
        <v>46030</v>
      </c>
    </row>
    <row r="218" spans="1:27">
      <c r="A218">
        <v>1</v>
      </c>
      <c r="B218" t="s">
        <v>5</v>
      </c>
      <c r="C218">
        <v>46030</v>
      </c>
      <c r="D218">
        <v>46044</v>
      </c>
      <c r="E218" t="s">
        <v>183</v>
      </c>
      <c r="F218" t="s">
        <v>268</v>
      </c>
      <c r="G218" t="s">
        <v>649</v>
      </c>
      <c r="H218" t="s">
        <v>650</v>
      </c>
      <c r="I218" t="s">
        <v>13</v>
      </c>
      <c r="J218">
        <v>1</v>
      </c>
      <c r="K218">
        <v>1</v>
      </c>
      <c r="L218">
        <v>14</v>
      </c>
      <c r="M218">
        <v>46035</v>
      </c>
      <c r="N218">
        <v>46031</v>
      </c>
      <c r="O218" t="s">
        <v>303</v>
      </c>
      <c r="P218" t="s">
        <v>304</v>
      </c>
      <c r="T218" t="s">
        <v>651</v>
      </c>
      <c r="U218">
        <v>46031</v>
      </c>
      <c r="V218">
        <v>46031</v>
      </c>
      <c r="W218" t="s">
        <v>231</v>
      </c>
      <c r="Y218" t="s">
        <v>306</v>
      </c>
      <c r="Z218">
        <v>46032</v>
      </c>
    </row>
    <row r="219" spans="1:27">
      <c r="A219">
        <v>2</v>
      </c>
      <c r="B219" t="s">
        <v>5</v>
      </c>
      <c r="C219">
        <v>46030</v>
      </c>
      <c r="D219">
        <v>46044</v>
      </c>
      <c r="E219" t="s">
        <v>183</v>
      </c>
      <c r="F219" t="s">
        <v>231</v>
      </c>
      <c r="G219" t="s">
        <v>653</v>
      </c>
      <c r="H219" t="s">
        <v>654</v>
      </c>
      <c r="I219" t="s">
        <v>13</v>
      </c>
      <c r="J219">
        <v>5</v>
      </c>
      <c r="K219">
        <v>5</v>
      </c>
      <c r="L219">
        <v>28</v>
      </c>
      <c r="M219">
        <v>46035</v>
      </c>
      <c r="N219">
        <v>46041</v>
      </c>
      <c r="O219" t="s">
        <v>303</v>
      </c>
      <c r="P219" t="s">
        <v>304</v>
      </c>
      <c r="T219" t="s">
        <v>655</v>
      </c>
      <c r="U219">
        <v>46039</v>
      </c>
      <c r="V219" t="s">
        <v>93</v>
      </c>
      <c r="W219" t="s">
        <v>93</v>
      </c>
      <c r="Y219" t="s">
        <v>306</v>
      </c>
      <c r="Z219">
        <v>46043</v>
      </c>
    </row>
    <row r="220" spans="1:27">
      <c r="A220">
        <v>3</v>
      </c>
      <c r="B220" t="s">
        <v>5</v>
      </c>
      <c r="C220">
        <v>46030</v>
      </c>
      <c r="D220">
        <v>46044</v>
      </c>
      <c r="E220" t="s">
        <v>183</v>
      </c>
      <c r="F220" t="s">
        <v>281</v>
      </c>
      <c r="G220" t="s">
        <v>657</v>
      </c>
      <c r="H220" t="s">
        <v>658</v>
      </c>
      <c r="I220" t="s">
        <v>13</v>
      </c>
      <c r="J220">
        <v>1</v>
      </c>
      <c r="K220">
        <v>1</v>
      </c>
      <c r="L220">
        <v>16.5</v>
      </c>
      <c r="M220">
        <v>46031</v>
      </c>
      <c r="N220">
        <v>46031</v>
      </c>
      <c r="O220" t="s">
        <v>303</v>
      </c>
      <c r="P220" t="s">
        <v>304</v>
      </c>
      <c r="T220" t="s">
        <v>659</v>
      </c>
      <c r="U220">
        <v>46031</v>
      </c>
      <c r="V220">
        <v>46032</v>
      </c>
      <c r="W220" t="s">
        <v>231</v>
      </c>
      <c r="Y220" t="s">
        <v>306</v>
      </c>
      <c r="Z220">
        <v>46032</v>
      </c>
    </row>
    <row r="221" spans="1:27">
      <c r="A221">
        <v>4</v>
      </c>
      <c r="B221" t="s">
        <v>5</v>
      </c>
      <c r="C221">
        <v>46030</v>
      </c>
      <c r="D221">
        <v>46044</v>
      </c>
      <c r="E221" t="s">
        <v>183</v>
      </c>
      <c r="F221" t="s">
        <v>268</v>
      </c>
      <c r="G221" t="s">
        <v>661</v>
      </c>
      <c r="H221" t="s">
        <v>662</v>
      </c>
      <c r="I221" t="s">
        <v>13</v>
      </c>
      <c r="J221">
        <v>1</v>
      </c>
      <c r="K221">
        <v>1</v>
      </c>
      <c r="L221">
        <v>9</v>
      </c>
      <c r="M221">
        <v>46031</v>
      </c>
      <c r="N221">
        <v>46031</v>
      </c>
      <c r="O221" t="s">
        <v>303</v>
      </c>
      <c r="P221" t="s">
        <v>304</v>
      </c>
      <c r="T221" t="s">
        <v>663</v>
      </c>
      <c r="U221">
        <v>46034</v>
      </c>
      <c r="V221">
        <v>46035</v>
      </c>
      <c r="W221" t="s">
        <v>231</v>
      </c>
      <c r="Y221" t="s">
        <v>306</v>
      </c>
      <c r="Z221">
        <v>46035</v>
      </c>
    </row>
    <row r="222" spans="1:27">
      <c r="A222">
        <v>5</v>
      </c>
      <c r="B222" t="s">
        <v>5</v>
      </c>
      <c r="C222">
        <v>46030</v>
      </c>
      <c r="D222">
        <v>46044</v>
      </c>
      <c r="E222" t="s">
        <v>183</v>
      </c>
      <c r="F222" t="s">
        <v>268</v>
      </c>
      <c r="G222" t="s">
        <v>664</v>
      </c>
      <c r="H222" t="s">
        <v>665</v>
      </c>
      <c r="I222" t="s">
        <v>13</v>
      </c>
      <c r="J222">
        <v>1</v>
      </c>
      <c r="K222">
        <v>1</v>
      </c>
      <c r="L222">
        <v>13</v>
      </c>
      <c r="M222">
        <v>46031</v>
      </c>
      <c r="N222">
        <v>46031</v>
      </c>
      <c r="O222" t="s">
        <v>303</v>
      </c>
      <c r="P222" t="s">
        <v>304</v>
      </c>
      <c r="T222" t="s">
        <v>663</v>
      </c>
      <c r="U222">
        <v>46034</v>
      </c>
      <c r="V222">
        <v>46035</v>
      </c>
      <c r="W222" t="s">
        <v>231</v>
      </c>
      <c r="Y222" t="s">
        <v>306</v>
      </c>
      <c r="Z222">
        <v>46035</v>
      </c>
      <c r="AA222" t="s">
        <v>666</v>
      </c>
    </row>
    <row r="223" spans="1:27">
      <c r="A223">
        <v>6</v>
      </c>
      <c r="B223" t="s">
        <v>5</v>
      </c>
      <c r="C223">
        <v>46030</v>
      </c>
      <c r="D223">
        <v>46044</v>
      </c>
      <c r="E223" t="s">
        <v>183</v>
      </c>
      <c r="F223" t="s">
        <v>231</v>
      </c>
      <c r="G223" t="s">
        <v>668</v>
      </c>
      <c r="H223" t="s">
        <v>669</v>
      </c>
      <c r="I223" t="s">
        <v>13</v>
      </c>
      <c r="J223">
        <v>3</v>
      </c>
      <c r="K223">
        <v>3</v>
      </c>
      <c r="L223">
        <v>25</v>
      </c>
      <c r="M223">
        <v>46038</v>
      </c>
      <c r="N223">
        <v>46041</v>
      </c>
      <c r="O223" t="s">
        <v>303</v>
      </c>
      <c r="P223" t="s">
        <v>304</v>
      </c>
      <c r="T223" t="s">
        <v>670</v>
      </c>
      <c r="U223">
        <v>46043</v>
      </c>
      <c r="V223">
        <v>46043</v>
      </c>
      <c r="W223" t="s">
        <v>231</v>
      </c>
      <c r="Y223" t="s">
        <v>306</v>
      </c>
      <c r="Z223">
        <v>46043</v>
      </c>
    </row>
    <row r="224" spans="1:27">
      <c r="A224">
        <v>7</v>
      </c>
      <c r="B224" t="s">
        <v>5</v>
      </c>
      <c r="C224">
        <v>46030</v>
      </c>
      <c r="D224">
        <v>46044</v>
      </c>
      <c r="E224" t="s">
        <v>183</v>
      </c>
      <c r="F224" t="s">
        <v>268</v>
      </c>
      <c r="G224" t="s">
        <v>672</v>
      </c>
      <c r="H224" t="s">
        <v>673</v>
      </c>
      <c r="I224" t="s">
        <v>13</v>
      </c>
      <c r="J224">
        <v>2</v>
      </c>
      <c r="K224">
        <v>2</v>
      </c>
      <c r="L224">
        <v>16</v>
      </c>
      <c r="M224">
        <v>46034</v>
      </c>
      <c r="N224">
        <v>46035</v>
      </c>
      <c r="O224" t="s">
        <v>303</v>
      </c>
      <c r="P224" t="s">
        <v>304</v>
      </c>
      <c r="T224" t="s">
        <v>674</v>
      </c>
      <c r="U224">
        <v>46035</v>
      </c>
      <c r="V224">
        <v>46036</v>
      </c>
      <c r="W224" t="s">
        <v>231</v>
      </c>
      <c r="Y224" t="s">
        <v>306</v>
      </c>
      <c r="Z224">
        <v>46036</v>
      </c>
    </row>
    <row r="225" spans="1:26">
      <c r="A225">
        <v>8</v>
      </c>
      <c r="B225" t="s">
        <v>5</v>
      </c>
      <c r="C225">
        <v>46030</v>
      </c>
      <c r="D225">
        <v>46044</v>
      </c>
      <c r="E225" t="s">
        <v>183</v>
      </c>
      <c r="F225" t="s">
        <v>231</v>
      </c>
      <c r="G225" t="s">
        <v>676</v>
      </c>
      <c r="H225" t="s">
        <v>677</v>
      </c>
      <c r="I225" t="s">
        <v>13</v>
      </c>
      <c r="J225">
        <v>2</v>
      </c>
      <c r="K225">
        <v>2</v>
      </c>
      <c r="L225">
        <v>2</v>
      </c>
      <c r="M225">
        <v>46031</v>
      </c>
      <c r="N225">
        <v>46031</v>
      </c>
      <c r="P225" t="s">
        <v>93</v>
      </c>
      <c r="T225" t="s">
        <v>93</v>
      </c>
      <c r="U225" t="s">
        <v>93</v>
      </c>
      <c r="V225" t="s">
        <v>93</v>
      </c>
      <c r="W225" t="s">
        <v>93</v>
      </c>
      <c r="Y225" t="s">
        <v>93</v>
      </c>
      <c r="Z225" t="s">
        <v>93</v>
      </c>
    </row>
    <row r="226" spans="1:26">
      <c r="A226">
        <v>9</v>
      </c>
      <c r="B226" t="s">
        <v>5</v>
      </c>
      <c r="C226">
        <v>46030</v>
      </c>
      <c r="D226">
        <v>46044</v>
      </c>
      <c r="E226" t="s">
        <v>183</v>
      </c>
      <c r="F226" t="s">
        <v>602</v>
      </c>
      <c r="G226" t="s">
        <v>603</v>
      </c>
      <c r="H226" t="s">
        <v>604</v>
      </c>
      <c r="I226" t="s">
        <v>587</v>
      </c>
      <c r="J226">
        <v>3</v>
      </c>
      <c r="K226">
        <v>3</v>
      </c>
      <c r="L226">
        <v>30.5</v>
      </c>
      <c r="M226">
        <v>46041</v>
      </c>
      <c r="N226">
        <v>46043</v>
      </c>
      <c r="O226" t="s">
        <v>303</v>
      </c>
      <c r="P226" t="s">
        <v>304</v>
      </c>
      <c r="T226" t="s">
        <v>605</v>
      </c>
      <c r="U226">
        <v>46043</v>
      </c>
      <c r="V226">
        <v>46044</v>
      </c>
      <c r="W226" t="s">
        <v>231</v>
      </c>
      <c r="Y226" t="s">
        <v>306</v>
      </c>
    </row>
    <row r="227" spans="1:26">
      <c r="A227">
        <v>1</v>
      </c>
      <c r="B227" t="s">
        <v>5</v>
      </c>
      <c r="C227">
        <v>46044</v>
      </c>
      <c r="D227">
        <v>46058</v>
      </c>
      <c r="E227" t="s">
        <v>187</v>
      </c>
      <c r="F227" t="s">
        <v>602</v>
      </c>
      <c r="G227" t="s">
        <v>603</v>
      </c>
      <c r="H227" t="s">
        <v>604</v>
      </c>
      <c r="I227" t="s">
        <v>13</v>
      </c>
      <c r="J227">
        <v>3</v>
      </c>
      <c r="K227">
        <v>3</v>
      </c>
      <c r="L227">
        <v>16</v>
      </c>
      <c r="M227">
        <v>46044</v>
      </c>
      <c r="N227">
        <v>46044</v>
      </c>
      <c r="O227" t="s">
        <v>303</v>
      </c>
      <c r="P227" t="s">
        <v>304</v>
      </c>
      <c r="Q227" t="s">
        <v>509</v>
      </c>
      <c r="T227" t="s">
        <v>605</v>
      </c>
      <c r="U227">
        <v>46043</v>
      </c>
      <c r="V227">
        <v>46044</v>
      </c>
      <c r="W227" t="s">
        <v>231</v>
      </c>
      <c r="Y227" t="s">
        <v>306</v>
      </c>
      <c r="Z227">
        <v>46045</v>
      </c>
    </row>
    <row r="228" spans="1:26">
      <c r="A228">
        <v>2</v>
      </c>
      <c r="B228" t="s">
        <v>5</v>
      </c>
      <c r="C228">
        <v>46044</v>
      </c>
      <c r="D228">
        <v>46058</v>
      </c>
      <c r="E228" t="s">
        <v>187</v>
      </c>
      <c r="F228" t="s">
        <v>231</v>
      </c>
      <c r="G228" t="s">
        <v>608</v>
      </c>
      <c r="H228" t="s">
        <v>609</v>
      </c>
      <c r="I228" t="s">
        <v>13</v>
      </c>
      <c r="J228">
        <v>1</v>
      </c>
      <c r="K228">
        <v>1</v>
      </c>
      <c r="L228">
        <v>2</v>
      </c>
      <c r="M228">
        <v>46045</v>
      </c>
      <c r="N228">
        <v>46045</v>
      </c>
      <c r="O228" t="s">
        <v>303</v>
      </c>
      <c r="P228" t="s">
        <v>304</v>
      </c>
      <c r="Q228" t="s">
        <v>509</v>
      </c>
      <c r="T228" t="s">
        <v>610</v>
      </c>
      <c r="U228">
        <v>46045</v>
      </c>
      <c r="V228">
        <v>46045</v>
      </c>
      <c r="Y228" t="s">
        <v>306</v>
      </c>
      <c r="Z228">
        <v>46045</v>
      </c>
    </row>
    <row r="229" spans="1:26">
      <c r="A229">
        <v>3</v>
      </c>
      <c r="B229" t="s">
        <v>5</v>
      </c>
      <c r="C229">
        <v>46044</v>
      </c>
      <c r="D229">
        <v>46058</v>
      </c>
      <c r="E229" t="s">
        <v>187</v>
      </c>
      <c r="F229" t="s">
        <v>281</v>
      </c>
      <c r="G229" t="s">
        <v>612</v>
      </c>
      <c r="H229" t="s">
        <v>613</v>
      </c>
      <c r="I229" t="s">
        <v>13</v>
      </c>
      <c r="J229">
        <v>2</v>
      </c>
      <c r="K229">
        <v>2</v>
      </c>
      <c r="L229">
        <v>35.5</v>
      </c>
      <c r="M229">
        <v>46045</v>
      </c>
      <c r="N229">
        <v>46050</v>
      </c>
      <c r="O229" t="s">
        <v>303</v>
      </c>
      <c r="P229" t="s">
        <v>304</v>
      </c>
      <c r="Q229" t="s">
        <v>509</v>
      </c>
      <c r="T229" t="s">
        <v>614</v>
      </c>
      <c r="U229">
        <v>46050</v>
      </c>
      <c r="V229">
        <v>46050</v>
      </c>
      <c r="W229" t="s">
        <v>231</v>
      </c>
      <c r="Y229" t="s">
        <v>306</v>
      </c>
      <c r="Z229">
        <v>46050</v>
      </c>
    </row>
    <row r="230" spans="1:26">
      <c r="A230">
        <v>4</v>
      </c>
      <c r="B230" t="s">
        <v>5</v>
      </c>
      <c r="C230">
        <v>46044</v>
      </c>
      <c r="D230">
        <v>46058</v>
      </c>
      <c r="E230" t="s">
        <v>187</v>
      </c>
      <c r="F230" t="s">
        <v>481</v>
      </c>
      <c r="G230" t="s">
        <v>616</v>
      </c>
      <c r="H230" t="s">
        <v>617</v>
      </c>
      <c r="I230" t="s">
        <v>13</v>
      </c>
      <c r="J230">
        <v>1</v>
      </c>
      <c r="K230">
        <v>1</v>
      </c>
      <c r="L230">
        <v>15</v>
      </c>
      <c r="M230">
        <v>46045</v>
      </c>
      <c r="N230">
        <v>46045</v>
      </c>
      <c r="O230" t="s">
        <v>303</v>
      </c>
      <c r="P230" t="s">
        <v>304</v>
      </c>
      <c r="Q230" t="s">
        <v>509</v>
      </c>
      <c r="R230" t="s">
        <v>231</v>
      </c>
      <c r="S230" t="s">
        <v>618</v>
      </c>
      <c r="T230" t="s">
        <v>619</v>
      </c>
      <c r="U230">
        <v>46045</v>
      </c>
      <c r="V230">
        <v>46046</v>
      </c>
      <c r="W230" t="s">
        <v>231</v>
      </c>
      <c r="Y230" t="s">
        <v>620</v>
      </c>
      <c r="Z230">
        <v>46046</v>
      </c>
    </row>
    <row r="231" spans="1:26">
      <c r="A231">
        <v>5</v>
      </c>
      <c r="B231" t="s">
        <v>5</v>
      </c>
      <c r="C231">
        <v>46044</v>
      </c>
      <c r="D231">
        <v>46058</v>
      </c>
      <c r="E231" t="s">
        <v>187</v>
      </c>
      <c r="F231" t="s">
        <v>231</v>
      </c>
      <c r="G231" t="s">
        <v>622</v>
      </c>
      <c r="H231" t="s">
        <v>623</v>
      </c>
      <c r="I231" t="s">
        <v>13</v>
      </c>
      <c r="J231">
        <v>1</v>
      </c>
      <c r="K231">
        <v>1</v>
      </c>
      <c r="L231">
        <v>12</v>
      </c>
      <c r="M231">
        <v>46045</v>
      </c>
      <c r="N231">
        <v>46051</v>
      </c>
      <c r="O231" t="s">
        <v>303</v>
      </c>
      <c r="P231" t="s">
        <v>304</v>
      </c>
      <c r="Q231" t="s">
        <v>509</v>
      </c>
      <c r="T231" t="s">
        <v>624</v>
      </c>
      <c r="U231">
        <v>46050</v>
      </c>
      <c r="V231">
        <v>46051</v>
      </c>
      <c r="W231" t="s">
        <v>231</v>
      </c>
      <c r="Y231" t="s">
        <v>306</v>
      </c>
      <c r="Z231">
        <v>46051</v>
      </c>
    </row>
    <row r="232" spans="1:26">
      <c r="A232">
        <v>6</v>
      </c>
      <c r="B232" t="s">
        <v>5</v>
      </c>
      <c r="C232">
        <v>46044</v>
      </c>
      <c r="D232">
        <v>46058</v>
      </c>
      <c r="E232" t="s">
        <v>187</v>
      </c>
      <c r="F232" t="s">
        <v>481</v>
      </c>
      <c r="G232" t="s">
        <v>626</v>
      </c>
      <c r="H232" t="s">
        <v>627</v>
      </c>
      <c r="I232" t="s">
        <v>13</v>
      </c>
      <c r="J232">
        <v>5</v>
      </c>
      <c r="K232">
        <v>5</v>
      </c>
      <c r="L232">
        <v>17</v>
      </c>
      <c r="M232">
        <v>46051</v>
      </c>
      <c r="O232" t="s">
        <v>303</v>
      </c>
      <c r="P232" t="s">
        <v>304</v>
      </c>
      <c r="Q232" t="s">
        <v>509</v>
      </c>
    </row>
    <row r="233" spans="1:26">
      <c r="A233">
        <v>7</v>
      </c>
      <c r="B233" t="s">
        <v>5</v>
      </c>
      <c r="C233">
        <v>46044</v>
      </c>
      <c r="D233">
        <v>46058</v>
      </c>
      <c r="E233" t="s">
        <v>187</v>
      </c>
      <c r="F233" t="s">
        <v>268</v>
      </c>
      <c r="G233" t="s">
        <v>629</v>
      </c>
      <c r="H233" t="s">
        <v>630</v>
      </c>
      <c r="I233" t="s">
        <v>13</v>
      </c>
      <c r="J233">
        <v>1</v>
      </c>
      <c r="K233">
        <v>1</v>
      </c>
      <c r="L233">
        <v>10</v>
      </c>
      <c r="M233">
        <v>46050</v>
      </c>
      <c r="N233">
        <v>46050</v>
      </c>
      <c r="O233" t="s">
        <v>303</v>
      </c>
      <c r="P233" t="s">
        <v>304</v>
      </c>
      <c r="Q233" t="s">
        <v>509</v>
      </c>
      <c r="T233" t="s">
        <v>631</v>
      </c>
      <c r="U233">
        <v>46051</v>
      </c>
      <c r="V233">
        <v>46051</v>
      </c>
      <c r="W233" t="s">
        <v>231</v>
      </c>
      <c r="Y233" t="s">
        <v>306</v>
      </c>
      <c r="Z233">
        <v>46052</v>
      </c>
    </row>
    <row r="234" spans="1:26">
      <c r="A234">
        <v>8</v>
      </c>
      <c r="B234" t="s">
        <v>5</v>
      </c>
      <c r="C234">
        <v>46044</v>
      </c>
      <c r="D234">
        <v>46058</v>
      </c>
      <c r="E234" t="s">
        <v>187</v>
      </c>
      <c r="F234" t="s">
        <v>231</v>
      </c>
      <c r="G234" t="s">
        <v>633</v>
      </c>
      <c r="H234" t="s">
        <v>634</v>
      </c>
      <c r="I234" t="s">
        <v>13</v>
      </c>
      <c r="J234">
        <v>2</v>
      </c>
      <c r="K234">
        <v>2</v>
      </c>
      <c r="L234">
        <v>2</v>
      </c>
      <c r="M234">
        <v>46052</v>
      </c>
      <c r="N234">
        <v>46053</v>
      </c>
      <c r="O234" t="s">
        <v>303</v>
      </c>
      <c r="P234" t="s">
        <v>304</v>
      </c>
      <c r="Q234" t="s">
        <v>509</v>
      </c>
      <c r="T234" t="s">
        <v>635</v>
      </c>
      <c r="U234">
        <v>46053</v>
      </c>
      <c r="V234">
        <v>46053</v>
      </c>
      <c r="W234" t="s">
        <v>231</v>
      </c>
      <c r="Y234" t="s">
        <v>306</v>
      </c>
      <c r="Z234">
        <v>46053</v>
      </c>
    </row>
    <row r="235" spans="1:26">
      <c r="A235">
        <v>9</v>
      </c>
      <c r="B235" t="s">
        <v>5</v>
      </c>
      <c r="C235">
        <v>46044</v>
      </c>
      <c r="D235">
        <v>46058</v>
      </c>
      <c r="E235" t="s">
        <v>636</v>
      </c>
      <c r="F235" t="s">
        <v>268</v>
      </c>
      <c r="G235" t="s">
        <v>637</v>
      </c>
      <c r="H235" t="s">
        <v>638</v>
      </c>
      <c r="I235" t="s">
        <v>13</v>
      </c>
      <c r="J235">
        <v>2</v>
      </c>
      <c r="K235">
        <v>2</v>
      </c>
      <c r="L235">
        <v>10</v>
      </c>
      <c r="M235">
        <v>46057</v>
      </c>
      <c r="N235">
        <v>46058</v>
      </c>
      <c r="O235" t="s">
        <v>303</v>
      </c>
      <c r="P235" t="s">
        <v>304</v>
      </c>
      <c r="Q235" t="s">
        <v>509</v>
      </c>
    </row>
    <row r="236" spans="1:26">
      <c r="A236">
        <v>10</v>
      </c>
      <c r="B236" t="s">
        <v>5</v>
      </c>
      <c r="C236">
        <v>46044</v>
      </c>
      <c r="D236">
        <v>46058</v>
      </c>
      <c r="E236" t="s">
        <v>636</v>
      </c>
      <c r="F236" t="s">
        <v>231</v>
      </c>
      <c r="G236" t="s">
        <v>641</v>
      </c>
      <c r="H236" t="s">
        <v>642</v>
      </c>
      <c r="I236" t="s">
        <v>13</v>
      </c>
      <c r="J236">
        <v>1</v>
      </c>
      <c r="K236">
        <v>1</v>
      </c>
      <c r="L236">
        <v>1</v>
      </c>
      <c r="M236">
        <v>46057</v>
      </c>
      <c r="N236">
        <v>46058</v>
      </c>
      <c r="O236" t="s">
        <v>303</v>
      </c>
      <c r="P236" t="s">
        <v>304</v>
      </c>
      <c r="Q236" t="s">
        <v>509</v>
      </c>
    </row>
    <row r="237" spans="1:26">
      <c r="A237">
        <v>11</v>
      </c>
      <c r="B237" t="s">
        <v>5</v>
      </c>
      <c r="C237">
        <v>46044</v>
      </c>
      <c r="D237">
        <v>46058</v>
      </c>
      <c r="E237" t="s">
        <v>636</v>
      </c>
      <c r="F237" t="s">
        <v>281</v>
      </c>
      <c r="G237" t="s">
        <v>564</v>
      </c>
      <c r="H237" t="s">
        <v>565</v>
      </c>
      <c r="I237" t="s">
        <v>643</v>
      </c>
      <c r="J237">
        <v>2</v>
      </c>
      <c r="K237">
        <v>1</v>
      </c>
      <c r="L237">
        <v>10.5</v>
      </c>
      <c r="M237">
        <v>46058</v>
      </c>
      <c r="N237">
        <v>46058</v>
      </c>
      <c r="O237" t="s">
        <v>303</v>
      </c>
      <c r="T237" t="s">
        <v>566</v>
      </c>
      <c r="U237">
        <v>46058</v>
      </c>
    </row>
    <row r="238" spans="1:26">
      <c r="A238">
        <v>12</v>
      </c>
      <c r="B238" t="s">
        <v>5</v>
      </c>
      <c r="C238">
        <v>46044</v>
      </c>
      <c r="D238">
        <v>46058</v>
      </c>
      <c r="E238" t="s">
        <v>187</v>
      </c>
      <c r="F238" t="s">
        <v>534</v>
      </c>
      <c r="G238" t="s">
        <v>507</v>
      </c>
      <c r="H238" t="s">
        <v>508</v>
      </c>
      <c r="I238" t="s">
        <v>271</v>
      </c>
      <c r="J238">
        <v>3</v>
      </c>
      <c r="L238">
        <v>64.5</v>
      </c>
      <c r="M238">
        <v>46045</v>
      </c>
      <c r="T238" t="s">
        <v>645</v>
      </c>
      <c r="U238">
        <v>46049</v>
      </c>
      <c r="V238" t="s">
        <v>93</v>
      </c>
      <c r="W238" t="s">
        <v>93</v>
      </c>
      <c r="Y238" t="s">
        <v>306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i:0#.f|membership|ganapathiraman.balasubramanian@relevantz.com</cp:lastModifiedBy>
  <cp:revision/>
  <dcterms:created xsi:type="dcterms:W3CDTF">2024-02-15T09:08:03Z</dcterms:created>
  <dcterms:modified xsi:type="dcterms:W3CDTF">2026-05-17T10:32:25Z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2025-06-05T11:01:03Z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fe66d7b1-c17e-4ba8-a08d-2e146117dc7e</vt:lpwstr>
  </property>
  <property fmtid="{D5CDD505-2E9C-101B-9397-08002B2CF9AE}" pid="7" name="MSIP_Label_defa4170-0d19-0005-0004-bc88714345d2_ActionId">
    <vt:lpwstr>355f1544-1251-48ca-a283-4375918087d5</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